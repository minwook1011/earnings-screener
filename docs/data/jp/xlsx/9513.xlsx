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30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49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9513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329248</v>
      </c>
      <c r="D4" s="12" t="n">
        <v>297156</v>
      </c>
      <c r="E4" s="12" t="n">
        <v>259056</v>
      </c>
      <c r="F4" s="12" t="n">
        <v>381669</v>
      </c>
      <c r="G4" s="12" t="n">
        <v>318234</v>
      </c>
      <c r="H4" s="12" t="n">
        <v>357715</v>
      </c>
      <c r="I4" s="12" t="n">
        <v>250297</v>
      </c>
      <c r="J4" s="12" t="n">
        <v>321117</v>
      </c>
      <c r="K4" s="12" t="n">
        <v>293145</v>
      </c>
      <c r="L4" s="12" t="n">
        <v>317701</v>
      </c>
      <c r="M4" s="12" t="n">
        <v>280273</v>
      </c>
      <c r="N4" s="12" t="n">
        <v>411181</v>
      </c>
      <c r="O4" s="11" t="n">
        <v>744402</v>
      </c>
      <c r="P4" s="12" t="n">
        <v>856252</v>
      </c>
      <c r="Q4" s="12" t="n">
        <v>897366</v>
      </c>
      <c r="R4" s="12" t="n">
        <v>913775</v>
      </c>
      <c r="S4" s="12" t="n">
        <v>909144</v>
      </c>
      <c r="T4" s="12" t="n">
        <v>1084621</v>
      </c>
      <c r="U4" s="12" t="n">
        <v>1841922</v>
      </c>
      <c r="V4" s="12" t="n">
        <v>1257998</v>
      </c>
      <c r="W4" s="12" t="n">
        <v>1316674</v>
      </c>
      <c r="X4" s="12" t="n">
        <v>1182260</v>
      </c>
      <c r="Y4" s="11">
        <f>IF(COUNT(Y7,Y10,Y13,Y16,Y19,Y22,Y25,Y28)=0,"",SUM(Y7,Y10,Y13,Y16,Y19,Y22,Y25,Y28))</f>
        <v/>
      </c>
      <c r="Z4" s="12">
        <f>IF(COUNT(Z7,Z10,Z13,Z16,Z19,Z22,Z25,Z28)=0,"",SUM(Z7,Z10,Z13,Z16,Z19,Z22,Z25,Z28))</f>
        <v/>
      </c>
      <c r="AA4" s="12">
        <f>IF(COUNT(AA7,AA10,AA13,AA16,AA19,AA22,AA25,AA28)=0,"",SUM(AA7,AA10,AA13,AA16,AA19,AA22,AA25,AA28))</f>
        <v/>
      </c>
      <c r="AB4" s="12">
        <f>IF(COUNT(AB7,AB10,AB13,AB16,AB19,AB22,AB25,AB28)=0,"",SUM(AB7,AB10,AB13,AB16,AB19,AB22,AB25,AB28))</f>
        <v/>
      </c>
      <c r="AC4" s="12">
        <f>IF(COUNT(AC7,AC10,AC13,AC16,AC19,AC22,AC25,AC28)=0,"",SUM(AC7,AC10,AC13,AC16,AC19,AC22,AC25,AC28))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PowerGenerationReportableSegmentMember</t>
        </is>
      </c>
      <c r="B7" s="10" t="n"/>
      <c r="C7" s="19" t="n">
        <v>241011</v>
      </c>
      <c r="D7" s="20" t="n">
        <v>218038</v>
      </c>
      <c r="E7" s="20" t="n">
        <v>174341</v>
      </c>
      <c r="F7" s="20" t="n">
        <v>269506</v>
      </c>
      <c r="G7" s="20" t="n">
        <v>237611</v>
      </c>
      <c r="H7" s="20" t="n">
        <v>264242</v>
      </c>
      <c r="I7" s="20" t="n">
        <v>176868</v>
      </c>
      <c r="J7" s="20" t="n">
        <v>232532</v>
      </c>
      <c r="K7" s="20" t="n">
        <v>206177</v>
      </c>
      <c r="L7" s="20" t="n">
        <v>224868</v>
      </c>
      <c r="M7" s="20" t="n">
        <v>189488</v>
      </c>
      <c r="N7" s="20" t="n">
        <v>280945</v>
      </c>
      <c r="O7" s="19" t="n"/>
      <c r="P7" s="20" t="n"/>
      <c r="Q7" s="20" t="n"/>
      <c r="R7" s="20" t="n"/>
      <c r="S7" s="20" t="n"/>
      <c r="T7" s="20" t="n"/>
      <c r="U7" s="20" t="n"/>
      <c r="V7" s="20" t="n">
        <v>855652</v>
      </c>
      <c r="W7" s="20" t="n">
        <v>945700</v>
      </c>
      <c r="X7" s="20" t="n">
        <v>840445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TransmissionandTransformationReportableSegmentMember</t>
        </is>
      </c>
      <c r="B10" s="10" t="n"/>
      <c r="C10" s="19" t="n">
        <v>12002</v>
      </c>
      <c r="D10" s="20" t="n">
        <v>12929</v>
      </c>
      <c r="E10" s="20" t="n">
        <v>12356</v>
      </c>
      <c r="F10" s="20" t="n">
        <v>12326</v>
      </c>
      <c r="G10" s="20" t="n">
        <v>12719</v>
      </c>
      <c r="H10" s="20" t="n">
        <v>12450</v>
      </c>
      <c r="I10" s="20" t="n">
        <v>12205</v>
      </c>
      <c r="J10" s="20" t="n">
        <v>12175</v>
      </c>
      <c r="K10" s="20" t="n">
        <v>12370</v>
      </c>
      <c r="L10" s="20" t="n">
        <v>12520</v>
      </c>
      <c r="M10" s="20" t="n">
        <v>12192</v>
      </c>
      <c r="N10" s="20" t="n">
        <v>12158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48928</v>
      </c>
      <c r="W10" s="20" t="n">
        <v>49851</v>
      </c>
      <c r="X10" s="20" t="n">
        <v>49270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ElectricPowerRelatedReportableSegmentsMember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77879</v>
      </c>
      <c r="W13" s="20" t="n">
        <v>59206</v>
      </c>
      <c r="X13" s="20" t="n">
        <v>49638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ElectricPowerSurroundingsRelatedReportableSegmentsMember</t>
        </is>
      </c>
      <c r="B16" s="10" t="n"/>
      <c r="C16" s="19" t="n">
        <v>15510</v>
      </c>
      <c r="D16" s="20" t="n"/>
      <c r="E16" s="20" t="n">
        <v>12714</v>
      </c>
      <c r="F16" s="20" t="n">
        <v>18619</v>
      </c>
      <c r="G16" s="20" t="n">
        <v>10567</v>
      </c>
      <c r="H16" s="20" t="n"/>
      <c r="I16" s="20" t="n">
        <v>8995</v>
      </c>
      <c r="J16" s="20" t="n">
        <v>11611</v>
      </c>
      <c r="K16" s="20" t="n">
        <v>13195</v>
      </c>
      <c r="L16" s="20" t="n"/>
      <c r="M16" s="20" t="n">
        <v>9568</v>
      </c>
      <c r="N16" s="20" t="n">
        <v>13119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OverseasReportableSegmentsMember</t>
        </is>
      </c>
      <c r="B19" s="10" t="n"/>
      <c r="C19" s="19" t="n">
        <v>57074</v>
      </c>
      <c r="D19" s="20" t="n">
        <v>43760</v>
      </c>
      <c r="E19" s="20" t="n">
        <v>57109</v>
      </c>
      <c r="F19" s="20" t="n">
        <v>75565</v>
      </c>
      <c r="G19" s="20" t="n">
        <v>53271</v>
      </c>
      <c r="H19" s="20" t="n">
        <v>58728</v>
      </c>
      <c r="I19" s="20" t="n">
        <v>49678</v>
      </c>
      <c r="J19" s="20" t="n">
        <v>59923</v>
      </c>
      <c r="K19" s="20" t="n">
        <v>58200</v>
      </c>
      <c r="L19" s="20" t="n">
        <v>60095</v>
      </c>
      <c r="M19" s="20" t="n">
        <v>66458</v>
      </c>
      <c r="N19" s="20" t="n">
        <v>102028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259264</v>
      </c>
      <c r="W19" s="20" t="n">
        <v>244673</v>
      </c>
      <c r="X19" s="20" t="n">
        <v>227896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OtherBusinessesReportableSegmentsMember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16273</v>
      </c>
      <c r="W22" s="20" t="n">
        <v>17241</v>
      </c>
      <c r="X22" s="20" t="n">
        <v>15009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OtherReportableSegmentsMember</t>
        </is>
      </c>
      <c r="B25" s="10" t="n"/>
      <c r="C25" s="19" t="n">
        <v>3652</v>
      </c>
      <c r="D25" s="20" t="n"/>
      <c r="E25" s="20" t="n">
        <v>2534</v>
      </c>
      <c r="F25" s="20" t="n">
        <v>5653</v>
      </c>
      <c r="G25" s="20" t="n">
        <v>4066</v>
      </c>
      <c r="H25" s="20" t="n"/>
      <c r="I25" s="20" t="n">
        <v>2549</v>
      </c>
      <c r="J25" s="20" t="n">
        <v>4875</v>
      </c>
      <c r="K25" s="20" t="n">
        <v>3204</v>
      </c>
      <c r="L25" s="20" t="n"/>
      <c r="M25" s="20" t="n">
        <v>2565</v>
      </c>
      <c r="N25" s="20" t="n">
        <v>2931</v>
      </c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EntityTotalMember</t>
        </is>
      </c>
      <c r="B28" s="10" t="n"/>
      <c r="C28" s="19" t="n"/>
      <c r="D28" s="20" t="n"/>
      <c r="E28" s="20" t="n">
        <v>259056</v>
      </c>
      <c r="F28" s="20" t="n"/>
      <c r="G28" s="20" t="n"/>
      <c r="H28" s="20" t="n"/>
      <c r="I28" s="20" t="n">
        <v>250297</v>
      </c>
      <c r="J28" s="20" t="n"/>
      <c r="K28" s="20" t="n"/>
      <c r="L28" s="20" t="n"/>
      <c r="M28" s="20" t="n">
        <v>280273</v>
      </c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매출원가</t>
        </is>
      </c>
      <c r="B31" s="16" t="n"/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18" t="inlineStr">
        <is>
          <t>전체 매출원가</t>
        </is>
      </c>
      <c r="B32" s="10" t="n"/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18" t="inlineStr">
        <is>
          <t>매출총이익</t>
        </is>
      </c>
      <c r="B34" s="10" t="n"/>
      <c r="C34" s="19">
        <f>IF(OR(C4="",C32=""),"",IFERROR(C4-C32,""))</f>
        <v/>
      </c>
      <c r="D34" s="20">
        <f>IF(OR(D4="",D32=""),"",IFERROR(D4-D32,""))</f>
        <v/>
      </c>
      <c r="E34" s="20">
        <f>IF(OR(E4="",E32=""),"",IFERROR(E4-E32,""))</f>
        <v/>
      </c>
      <c r="F34" s="20">
        <f>IF(OR(F4="",F32=""),"",IFERROR(F4-F32,""))</f>
        <v/>
      </c>
      <c r="G34" s="20">
        <f>IF(OR(G4="",G32=""),"",IFERROR(G4-G32,""))</f>
        <v/>
      </c>
      <c r="H34" s="20">
        <f>IF(OR(H4="",H32=""),"",IFERROR(H4-H32,""))</f>
        <v/>
      </c>
      <c r="I34" s="20">
        <f>IF(OR(I4="",I32=""),"",IFERROR(I4-I32,""))</f>
        <v/>
      </c>
      <c r="J34" s="20">
        <f>IF(OR(J4="",J32=""),"",IFERROR(J4-J32,""))</f>
        <v/>
      </c>
      <c r="K34" s="20">
        <f>IF(OR(K4="",K32=""),"",IFERROR(K4-K32,""))</f>
        <v/>
      </c>
      <c r="L34" s="20">
        <f>IF(OR(L4="",L32=""),"",IFERROR(L4-L32,""))</f>
        <v/>
      </c>
      <c r="M34" s="20">
        <f>IF(OR(M4="",M32=""),"",IFERROR(M4-M32,""))</f>
        <v/>
      </c>
      <c r="N34" s="20">
        <f>IF(OR(N4="",N32=""),"",IFERROR(N4-N32,""))</f>
        <v/>
      </c>
      <c r="O34" s="19">
        <f>IF(OR(O4="",O32=""),"",IFERROR(O4-O32,""))</f>
        <v/>
      </c>
      <c r="P34" s="20">
        <f>IF(OR(P4="",P32=""),"",IFERROR(P4-P32,""))</f>
        <v/>
      </c>
      <c r="Q34" s="20">
        <f>IF(OR(Q4="",Q32=""),"",IFERROR(Q4-Q32,""))</f>
        <v/>
      </c>
      <c r="R34" s="20">
        <f>IF(OR(R4="",R32=""),"",IFERROR(R4-R32,""))</f>
        <v/>
      </c>
      <c r="S34" s="20">
        <f>IF(OR(S4="",S32=""),"",IFERROR(S4-S32,""))</f>
        <v/>
      </c>
      <c r="T34" s="20">
        <f>IF(OR(T4="",T32=""),"",IFERROR(T4-T32,""))</f>
        <v/>
      </c>
      <c r="U34" s="20">
        <f>IF(OR(U4="",U32=""),"",IFERROR(U4-U32,""))</f>
        <v/>
      </c>
      <c r="V34" s="20">
        <f>IF(OR(V4="",V32=""),"",IFERROR(V4-V32,""))</f>
        <v/>
      </c>
      <c r="W34" s="20">
        <f>IF(OR(W4="",W32=""),"",IFERROR(W4-W32,""))</f>
        <v/>
      </c>
      <c r="X34" s="20">
        <f>IF(OR(X4="",X32=""),"",IFERROR(X4-X32,""))</f>
        <v/>
      </c>
      <c r="Y34" s="19" t="n"/>
      <c r="Z34" s="20" t="n"/>
      <c r="AA34" s="20" t="n"/>
      <c r="AB34" s="20" t="n"/>
      <c r="AC34" s="20" t="n"/>
    </row>
    <row r="35">
      <c r="A35" s="13" t="inlineStr">
        <is>
          <t>GPM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IF(OR(G34="",C34=""),"",IF(C34&lt;=0,"",IFERROR(G34/C34-1,"")))</f>
        <v/>
      </c>
      <c r="H36" s="15">
        <f>IF(OR(H34="",D34=""),"",IF(D34&lt;=0,"",IFERROR(H34/D34-1,"")))</f>
        <v/>
      </c>
      <c r="I36" s="15">
        <f>IF(OR(I34="",E34=""),"",IF(E34&lt;=0,"",IFERROR(I34/E34-1,"")))</f>
        <v/>
      </c>
      <c r="J36" s="15">
        <f>IF(OR(J34="",F34=""),"",IF(F34&lt;=0,"",IFERROR(J34/F34-1,"")))</f>
        <v/>
      </c>
      <c r="K36" s="15">
        <f>IF(OR(K34="",G34=""),"",IF(G34&lt;=0,"",IFERROR(K34/G34-1,"")))</f>
        <v/>
      </c>
      <c r="L36" s="15">
        <f>IF(OR(L34="",H34=""),"",IF(H34&lt;=0,"",IFERROR(L34/H34-1,"")))</f>
        <v/>
      </c>
      <c r="M36" s="15">
        <f>IF(OR(M34="",I34=""),"",IF(I34&lt;=0,"",IFERROR(M34/I34-1,"")))</f>
        <v/>
      </c>
      <c r="N36" s="15">
        <f>IF(OR(N34="",J34=""),"",IF(J34&lt;=0,"",IFERROR(N34/J34-1,"")))</f>
        <v/>
      </c>
      <c r="O36" s="14" t="n"/>
      <c r="P36" s="15">
        <f>IF(OR(P34="",O34=""),"",IF(O34&lt;=0,"",IFERROR(P34/O34-1,"")))</f>
        <v/>
      </c>
      <c r="Q36" s="15">
        <f>IF(OR(Q34="",P34=""),"",IF(P34&lt;=0,"",IFERROR(Q34/P34-1,"")))</f>
        <v/>
      </c>
      <c r="R36" s="15">
        <f>IF(OR(R34="",Q34=""),"",IF(Q34&lt;=0,"",IFERROR(R34/Q34-1,"")))</f>
        <v/>
      </c>
      <c r="S36" s="15">
        <f>IF(OR(S34="",R34=""),"",IF(R34&lt;=0,"",IFERROR(S34/R34-1,"")))</f>
        <v/>
      </c>
      <c r="T36" s="15">
        <f>IF(OR(T34="",S34=""),"",IF(S34&lt;=0,"",IFERROR(T34/S34-1,"")))</f>
        <v/>
      </c>
      <c r="U36" s="15">
        <f>IF(OR(U34="",T34=""),"",IF(T34&lt;=0,"",IFERROR(U34/T34-1,"")))</f>
        <v/>
      </c>
      <c r="V36" s="15">
        <f>IF(OR(V34="",U34=""),"",IF(U34&lt;=0,"",IFERROR(V34/U34-1,"")))</f>
        <v/>
      </c>
      <c r="W36" s="15">
        <f>IF(OR(W34="",V34=""),"",IF(V34&lt;=0,"",IFERROR(W34/V34-1,"")))</f>
        <v/>
      </c>
      <c r="X36" s="15">
        <f>IF(OR(X34="",W34=""),"",IF(W34&lt;=0,"",IFERROR(X34/W34-1,"")))</f>
        <v/>
      </c>
      <c r="Y36" s="14">
        <f>IF(OR(Y34="",X34=""),"",IF(X34&lt;=0,"",IFERROR(Y34/X34-1,"")))</f>
        <v/>
      </c>
      <c r="Z36" s="15">
        <f>IF(OR(Z34="",Y34=""),"",IF(Y34&lt;=0,"",IFERROR(Z34/Y34-1,"")))</f>
        <v/>
      </c>
      <c r="AA36" s="15">
        <f>IF(OR(AA34="",Z34=""),"",IF(Z34&lt;=0,"",IFERROR(AA34/Z34-1,"")))</f>
        <v/>
      </c>
      <c r="AB36" s="15">
        <f>IF(OR(AB34="",AA34=""),"",IF(AA34&lt;=0,"",IFERROR(AB34/AA34-1,"")))</f>
        <v/>
      </c>
      <c r="AC36" s="15">
        <f>IF(OR(AC34="",AB34=""),"",IF(AB34&lt;=0,"",IFERROR(AC34/AB34-1,"")))</f>
        <v/>
      </c>
    </row>
    <row r="37">
      <c r="A37" s="23" t="inlineStr">
        <is>
          <t>판매관리비</t>
        </is>
      </c>
      <c r="B37" s="23" t="n"/>
      <c r="C37" s="24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4" t="n"/>
      <c r="Z37" s="23" t="n"/>
      <c r="AA37" s="23" t="n"/>
      <c r="AB37" s="23" t="n"/>
      <c r="AC37" s="23" t="n"/>
    </row>
    <row r="38">
      <c r="A38" s="18" t="inlineStr">
        <is>
          <t>전체 판관비</t>
        </is>
      </c>
      <c r="B38" s="10" t="n"/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IF(OR(G38="",C38=""),"",IF(C38&lt;=0,"",IFERROR(G38/C38-1,"")))</f>
        <v/>
      </c>
      <c r="H39" s="15">
        <f>IF(OR(H38="",D38=""),"",IF(D38&lt;=0,"",IFERROR(H38/D38-1,"")))</f>
        <v/>
      </c>
      <c r="I39" s="15">
        <f>IF(OR(I38="",E38=""),"",IF(E38&lt;=0,"",IFERROR(I38/E38-1,"")))</f>
        <v/>
      </c>
      <c r="J39" s="15">
        <f>IF(OR(J38="",F38=""),"",IF(F38&lt;=0,"",IFERROR(J38/F38-1,"")))</f>
        <v/>
      </c>
      <c r="K39" s="15">
        <f>IF(OR(K38="",G38=""),"",IF(G38&lt;=0,"",IFERROR(K38/G38-1,"")))</f>
        <v/>
      </c>
      <c r="L39" s="15">
        <f>IF(OR(L38="",H38=""),"",IF(H38&lt;=0,"",IFERROR(L38/H38-1,"")))</f>
        <v/>
      </c>
      <c r="M39" s="15">
        <f>IF(OR(M38="",I38=""),"",IF(I38&lt;=0,"",IFERROR(M38/I38-1,"")))</f>
        <v/>
      </c>
      <c r="N39" s="15">
        <f>IF(OR(N38="",J38=""),"",IF(J38&lt;=0,"",IFERROR(N38/J38-1,"")))</f>
        <v/>
      </c>
      <c r="O39" s="14" t="n"/>
      <c r="P39" s="15">
        <f>IF(OR(P38="",O38=""),"",IF(O38&lt;=0,"",IFERROR(P38/O38-1,"")))</f>
        <v/>
      </c>
      <c r="Q39" s="15">
        <f>IF(OR(Q38="",P38=""),"",IF(P38&lt;=0,"",IFERROR(Q38/P38-1,"")))</f>
        <v/>
      </c>
      <c r="R39" s="15">
        <f>IF(OR(R38="",Q38=""),"",IF(Q38&lt;=0,"",IFERROR(R38/Q38-1,"")))</f>
        <v/>
      </c>
      <c r="S39" s="15">
        <f>IF(OR(S38="",R38=""),"",IF(R38&lt;=0,"",IFERROR(S38/R38-1,"")))</f>
        <v/>
      </c>
      <c r="T39" s="15">
        <f>IF(OR(T38="",S38=""),"",IF(S38&lt;=0,"",IFERROR(T38/S38-1,"")))</f>
        <v/>
      </c>
      <c r="U39" s="15">
        <f>IF(OR(U38="",T38=""),"",IF(T38&lt;=0,"",IFERROR(U38/T38-1,"")))</f>
        <v/>
      </c>
      <c r="V39" s="15">
        <f>IF(OR(V38="",U38=""),"",IF(U38&lt;=0,"",IFERROR(V38/U38-1,"")))</f>
        <v/>
      </c>
      <c r="W39" s="15">
        <f>IF(OR(W38="",V38=""),"",IF(V38&lt;=0,"",IFERROR(W38/V38-1,"")))</f>
        <v/>
      </c>
      <c r="X39" s="15">
        <f>IF(OR(X38="",W38=""),"",IF(W38&lt;=0,"",IFERROR(X38/W38-1,"")))</f>
        <v/>
      </c>
      <c r="Y39" s="14">
        <f>IF(OR(Y38="",X38=""),"",IF(X38&lt;=0,"",IFERROR(Y38/X38-1,"")))</f>
        <v/>
      </c>
      <c r="Z39" s="15">
        <f>IF(OR(Z38="",Y38=""),"",IF(Y38&lt;=0,"",IFERROR(Z38/Y38-1,"")))</f>
        <v/>
      </c>
      <c r="AA39" s="15">
        <f>IF(OR(AA38="",Z38=""),"",IF(Z38&lt;=0,"",IFERROR(AA38/Z38-1,"")))</f>
        <v/>
      </c>
      <c r="AB39" s="15">
        <f>IF(OR(AB38="",AA38=""),"",IF(AA38&lt;=0,"",IFERROR(AB38/AA38-1,"")))</f>
        <v/>
      </c>
      <c r="AC39" s="15">
        <f>IF(OR(AC38="",AB38=""),"",IF(AB38&lt;=0,"",IFERROR(AC38/AB38-1,"")))</f>
        <v/>
      </c>
    </row>
    <row r="40">
      <c r="A40" s="9" t="inlineStr">
        <is>
          <t>영업이익</t>
        </is>
      </c>
      <c r="B40" s="10" t="inlineStr">
        <is>
          <t>MW = 매출 × OPM</t>
        </is>
      </c>
      <c r="C40" s="11" t="n">
        <v>38727</v>
      </c>
      <c r="D40" s="12" t="n">
        <v>21979</v>
      </c>
      <c r="E40" s="12" t="n">
        <v>32676</v>
      </c>
      <c r="F40" s="12" t="n">
        <v>38115</v>
      </c>
      <c r="G40" s="12" t="n">
        <v>43503</v>
      </c>
      <c r="H40" s="12" t="n">
        <v>24016</v>
      </c>
      <c r="I40" s="12" t="n">
        <v>32477</v>
      </c>
      <c r="J40" s="12" t="n">
        <v>21128</v>
      </c>
      <c r="K40" s="12" t="n">
        <v>34660</v>
      </c>
      <c r="L40" s="12" t="n">
        <v>12727</v>
      </c>
      <c r="M40" s="12" t="n">
        <v>36282</v>
      </c>
      <c r="N40" s="12" t="n">
        <v>45415</v>
      </c>
      <c r="O40" s="11" t="n">
        <v>81726</v>
      </c>
      <c r="P40" s="12" t="n">
        <v>104336</v>
      </c>
      <c r="Q40" s="12" t="n">
        <v>78844</v>
      </c>
      <c r="R40" s="12" t="n">
        <v>83638</v>
      </c>
      <c r="S40" s="12" t="n">
        <v>77775</v>
      </c>
      <c r="T40" s="12" t="n">
        <v>86979</v>
      </c>
      <c r="U40" s="12" t="n">
        <v>183867</v>
      </c>
      <c r="V40" s="12" t="n">
        <v>105704</v>
      </c>
      <c r="W40" s="12" t="n">
        <v>138310</v>
      </c>
      <c r="X40" s="12" t="n">
        <v>100992</v>
      </c>
      <c r="Y40" s="11">
        <f>IF(OR(Y4="",Y41=""),"",IFERROR(Y4*Y41,""))</f>
        <v/>
      </c>
      <c r="Z40" s="12">
        <f>IF(OR(Z4="",Z41=""),"",IFERROR(Z4*Z41,""))</f>
        <v/>
      </c>
      <c r="AA40" s="12">
        <f>IF(OR(AA4="",AA41=""),"",IFERROR(AA4*AA41,""))</f>
        <v/>
      </c>
      <c r="AB40" s="12">
        <f>IF(OR(AB4="",AB41=""),"",IFERROR(AB4*AB41,""))</f>
        <v/>
      </c>
      <c r="AC40" s="12">
        <f>IF(OR(AC4="",AC41=""),"",IFERROR(AC4*AC41,""))</f>
        <v/>
      </c>
    </row>
    <row r="41">
      <c r="A41" s="13" t="inlineStr">
        <is>
          <t>OPM</t>
        </is>
      </c>
      <c r="B41" s="10" t="inlineStr">
        <is>
          <t>MW 입력</t>
        </is>
      </c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 t="n"/>
      <c r="Z41" s="26" t="n"/>
      <c r="AA41" s="26" t="n"/>
      <c r="AB41" s="26" t="n"/>
      <c r="AC41" s="26" t="n"/>
    </row>
    <row r="42">
      <c r="A42" s="13" t="inlineStr">
        <is>
          <t>증가율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6" t="inlineStr">
        <is>
          <t>비용의 성격별 분류</t>
        </is>
      </c>
      <c r="B43" s="16" t="inlineStr">
        <is>
          <t>참고 데이터</t>
        </is>
      </c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9" t="inlineStr">
        <is>
          <t>총 판관비</t>
        </is>
      </c>
      <c r="B44" s="10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1">
        <f>IF(O38="","",O38)</f>
        <v/>
      </c>
      <c r="P44" s="12">
        <f>IF(P38="","",P38)</f>
        <v/>
      </c>
      <c r="Q44" s="12">
        <f>IF(Q38="","",Q38)</f>
        <v/>
      </c>
      <c r="R44" s="12">
        <f>IF(R38="","",R38)</f>
        <v/>
      </c>
      <c r="S44" s="12">
        <f>IF(S38="","",S38)</f>
        <v/>
      </c>
      <c r="T44" s="12">
        <f>IF(T38="","",T38)</f>
        <v/>
      </c>
      <c r="U44" s="12">
        <f>IF(U38="","",U38)</f>
        <v/>
      </c>
      <c r="V44" s="12">
        <f>IF(V38="","",V38)</f>
        <v/>
      </c>
      <c r="W44" s="12">
        <f>IF(W38="","",W38)</f>
        <v/>
      </c>
      <c r="X44" s="12">
        <f>IF(X38="","",X38)</f>
        <v/>
      </c>
      <c r="Y44" s="11" t="n"/>
      <c r="Z44" s="12" t="n"/>
      <c r="AA44" s="12" t="n"/>
      <c r="AB44" s="12" t="n"/>
      <c r="AC44" s="12" t="n"/>
    </row>
    <row r="45">
      <c r="A45" s="18" t="inlineStr">
        <is>
          <t>급여</t>
        </is>
      </c>
      <c r="B45" s="10" t="inlineStr">
        <is>
          <t>고정비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감가상각비</t>
        </is>
      </c>
      <c r="B47" s="10" t="inlineStr">
        <is>
          <t>고정비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8" t="inlineStr">
        <is>
          <t>지급수수료</t>
        </is>
      </c>
      <c r="B49" s="10" t="inlineStr">
        <is>
          <t>고정비</t>
        </is>
      </c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19" t="n"/>
      <c r="Z49" s="20" t="n"/>
      <c r="AA49" s="20" t="n"/>
      <c r="AB49" s="20" t="n"/>
      <c r="AC49" s="20" t="n"/>
    </row>
    <row r="50">
      <c r="A50" s="13" t="inlineStr">
        <is>
          <t>% of Sales</t>
        </is>
      </c>
      <c r="B50" s="10" t="n"/>
      <c r="C50" s="14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14" t="n"/>
      <c r="Z50" s="15" t="n"/>
      <c r="AA50" s="15" t="n"/>
      <c r="AB50" s="15" t="n"/>
      <c r="AC50" s="15" t="n"/>
    </row>
    <row r="51">
      <c r="A51" s="18" t="inlineStr">
        <is>
          <t>연구개발비</t>
        </is>
      </c>
      <c r="B51" s="10" t="inlineStr">
        <is>
          <t>변동비</t>
        </is>
      </c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20" t="n"/>
      <c r="AA51" s="20" t="n"/>
      <c r="AB51" s="20" t="n"/>
      <c r="AC51" s="20" t="n"/>
    </row>
    <row r="52">
      <c r="A52" s="13" t="inlineStr">
        <is>
          <t>% of Sales</t>
        </is>
      </c>
      <c r="B52" s="10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14" t="n"/>
      <c r="Z52" s="15" t="n"/>
      <c r="AA52" s="15" t="n"/>
      <c r="AB52" s="15" t="n"/>
      <c r="AC52" s="15" t="n"/>
    </row>
    <row r="53">
      <c r="A53" s="18" t="inlineStr">
        <is>
          <t>기타비용</t>
        </is>
      </c>
      <c r="B53" s="10" t="inlineStr">
        <is>
          <t>변동비</t>
        </is>
      </c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>
        <f>IF(OR(O44="",O45="",O47="",O49="",O51=""),"",IFERROR(O44-O45-O47-O49-O51,""))</f>
        <v/>
      </c>
      <c r="P53" s="20">
        <f>IF(OR(P44="",P45="",P47="",P49="",P51=""),"",IFERROR(P44-P45-P47-P49-P51,""))</f>
        <v/>
      </c>
      <c r="Q53" s="20">
        <f>IF(OR(Q44="",Q45="",Q47="",Q49="",Q51=""),"",IFERROR(Q44-Q45-Q47-Q49-Q51,""))</f>
        <v/>
      </c>
      <c r="R53" s="20">
        <f>IF(OR(R44="",R45="",R47="",R49="",R51=""),"",IFERROR(R44-R45-R47-R49-R51,""))</f>
        <v/>
      </c>
      <c r="S53" s="20">
        <f>IF(OR(S44="",S45="",S47="",S49="",S51=""),"",IFERROR(S44-S45-S47-S49-S51,""))</f>
        <v/>
      </c>
      <c r="T53" s="20">
        <f>IF(OR(T44="",T45="",T47="",T49="",T51=""),"",IFERROR(T44-T45-T47-T49-T51,""))</f>
        <v/>
      </c>
      <c r="U53" s="20">
        <f>IF(OR(U44="",U45="",U47="",U49="",U51=""),"",IFERROR(U44-U45-U47-U49-U51,""))</f>
        <v/>
      </c>
      <c r="V53" s="20">
        <f>IF(OR(V44="",V45="",V47="",V49="",V51=""),"",IFERROR(V44-V45-V47-V49-V51,""))</f>
        <v/>
      </c>
      <c r="W53" s="20">
        <f>IF(OR(W44="",W45="",W47="",W49="",W51=""),"",IFERROR(W44-W45-W47-W49-W51,""))</f>
        <v/>
      </c>
      <c r="X53" s="20">
        <f>IF(OR(X44="",X45="",X47="",X49="",X51=""),"",IFERROR(X44-X45-X47-X49-X51,""))</f>
        <v/>
      </c>
      <c r="Y53" s="19" t="n"/>
      <c r="Z53" s="20" t="n"/>
      <c r="AA53" s="20" t="n"/>
      <c r="AB53" s="20" t="n"/>
      <c r="AC53" s="20" t="n"/>
    </row>
    <row r="54">
      <c r="A54" s="13" t="inlineStr">
        <is>
          <t>% of Sales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14" t="n"/>
      <c r="Z54" s="15" t="n"/>
      <c r="AA54" s="15" t="n"/>
      <c r="AB54" s="15" t="n"/>
      <c r="AC54" s="15" t="n"/>
    </row>
    <row r="55">
      <c r="A55" s="16" t="inlineStr">
        <is>
          <t>당기순이익 추정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특별이익</t>
        </is>
      </c>
      <c r="B56" s="10" t="n"/>
      <c r="C56" s="19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19" t="n"/>
      <c r="P56" s="20" t="n"/>
      <c r="Q56" s="20" t="n"/>
      <c r="R56" s="20" t="n">
        <v>0</v>
      </c>
      <c r="S56" s="20" t="n">
        <v>9478</v>
      </c>
      <c r="T56" s="20" t="n">
        <v>0</v>
      </c>
      <c r="U56" s="20" t="n"/>
      <c r="V56" s="20" t="n"/>
      <c r="W56" s="20" t="n"/>
      <c r="X56" s="20" t="n"/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inlineStr">
        <is>
          <t>MW = 최근 3년 평균</t>
        </is>
      </c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18" t="inlineStr">
        <is>
          <t>특별손실</t>
        </is>
      </c>
      <c r="B58" s="10" t="n"/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>
        <v>0</v>
      </c>
      <c r="P58" s="20" t="n">
        <v>3389</v>
      </c>
      <c r="Q58" s="20" t="n">
        <v>0</v>
      </c>
      <c r="R58" s="20" t="n">
        <v>12497</v>
      </c>
      <c r="S58" s="20" t="n">
        <v>5706</v>
      </c>
      <c r="T58" s="20" t="n">
        <v>0</v>
      </c>
      <c r="U58" s="20" t="n"/>
      <c r="V58" s="20" t="n"/>
      <c r="W58" s="20" t="n">
        <v>0</v>
      </c>
      <c r="X58" s="20" t="n">
        <v>51817</v>
      </c>
      <c r="Y58" s="19">
        <f>IF(OR(Y4="",Y59=""),"",IFERROR(Y4*Y59,""))</f>
        <v/>
      </c>
      <c r="Z58" s="20">
        <f>IF(OR(Z4="",Z59=""),"",IFERROR(Z4*Z59,""))</f>
        <v/>
      </c>
      <c r="AA58" s="20">
        <f>IF(OR(AA4="",AA59=""),"",IFERROR(AA4*AA59,""))</f>
        <v/>
      </c>
      <c r="AB58" s="20">
        <f>IF(OR(AB4="",AB59=""),"",IFERROR(AB4*AB59,""))</f>
        <v/>
      </c>
      <c r="AC58" s="20">
        <f>IF(OR(AC4="",AC59=""),"",IFERROR(AC4*AC59,""))</f>
        <v/>
      </c>
    </row>
    <row r="59">
      <c r="A59" s="13" t="inlineStr">
        <is>
          <t>% of Sales</t>
        </is>
      </c>
      <c r="B59" s="10" t="n"/>
      <c r="C59" s="14">
        <f>IF(OR(C58="",C4=""),"",IFERROR(C58/C4,""))</f>
        <v/>
      </c>
      <c r="D59" s="15">
        <f>IF(OR(D58="",D4=""),"",IFERROR(D58/D4,""))</f>
        <v/>
      </c>
      <c r="E59" s="15">
        <f>IF(OR(E58="",E4=""),"",IFERROR(E58/E4,""))</f>
        <v/>
      </c>
      <c r="F59" s="15">
        <f>IF(OR(F58="",F4=""),"",IFERROR(F58/F4,""))</f>
        <v/>
      </c>
      <c r="G59" s="15">
        <f>IF(OR(G58="",G4=""),"",IFERROR(G58/G4,""))</f>
        <v/>
      </c>
      <c r="H59" s="15">
        <f>IF(OR(H58="",H4=""),"",IFERROR(H58/H4,""))</f>
        <v/>
      </c>
      <c r="I59" s="15">
        <f>IF(OR(I58="",I4=""),"",IFERROR(I58/I4,""))</f>
        <v/>
      </c>
      <c r="J59" s="15">
        <f>IF(OR(J58="",J4=""),"",IFERROR(J58/J4,""))</f>
        <v/>
      </c>
      <c r="K59" s="15">
        <f>IF(OR(K58="",K4=""),"",IFERROR(K58/K4,""))</f>
        <v/>
      </c>
      <c r="L59" s="15">
        <f>IF(OR(L58="",L4=""),"",IFERROR(L58/L4,""))</f>
        <v/>
      </c>
      <c r="M59" s="15">
        <f>IF(OR(M58="",M4=""),"",IFERROR(M58/M4,""))</f>
        <v/>
      </c>
      <c r="N59" s="15">
        <f>IF(OR(N58="",N4=""),"",IFERROR(N58/N4,""))</f>
        <v/>
      </c>
      <c r="O59" s="14">
        <f>IF(OR(O58="",O4=""),"",IFERROR(O58/O4,""))</f>
        <v/>
      </c>
      <c r="P59" s="15">
        <f>IF(OR(P58="",P4=""),"",IFERROR(P58/P4,""))</f>
        <v/>
      </c>
      <c r="Q59" s="15">
        <f>IF(OR(Q58="",Q4=""),"",IFERROR(Q58/Q4,""))</f>
        <v/>
      </c>
      <c r="R59" s="15">
        <f>IF(OR(R58="",R4=""),"",IFERROR(R58/R4,""))</f>
        <v/>
      </c>
      <c r="S59" s="15">
        <f>IF(OR(S58="",S4=""),"",IFERROR(S58/S4,""))</f>
        <v/>
      </c>
      <c r="T59" s="15">
        <f>IF(OR(T58="",T4=""),"",IFERROR(T58/T4,""))</f>
        <v/>
      </c>
      <c r="U59" s="15">
        <f>IF(OR(U58="",U4=""),"",IFERROR(U58/U4,""))</f>
        <v/>
      </c>
      <c r="V59" s="15">
        <f>IF(OR(V58="",V4=""),"",IFERROR(V58/V4,""))</f>
        <v/>
      </c>
      <c r="W59" s="15">
        <f>IF(OR(W58="",W4=""),"",IFERROR(W58/W4,""))</f>
        <v/>
      </c>
      <c r="X59" s="15">
        <f>IF(OR(X58="",X4=""),"",IFERROR(X58/X4,""))</f>
        <v/>
      </c>
      <c r="Y59" s="25">
        <f>IFERROR(AVERAGE(V59,W59,X59),"")</f>
        <v/>
      </c>
      <c r="Z59" s="26">
        <f>Y59</f>
        <v/>
      </c>
      <c r="AA59" s="26">
        <f>Z59</f>
        <v/>
      </c>
      <c r="AB59" s="26">
        <f>AA59</f>
        <v/>
      </c>
      <c r="AC59" s="26">
        <f>AB59</f>
        <v/>
      </c>
    </row>
    <row r="60">
      <c r="A60" s="18" t="inlineStr">
        <is>
          <t>영업외수익</t>
        </is>
      </c>
      <c r="B60" s="10" t="n"/>
      <c r="C60" s="19" t="n">
        <v>16121</v>
      </c>
      <c r="D60" s="20" t="n">
        <v>17193</v>
      </c>
      <c r="E60" s="20" t="n">
        <v>15088</v>
      </c>
      <c r="F60" s="20" t="n">
        <v>11135</v>
      </c>
      <c r="G60" s="20" t="n">
        <v>10087</v>
      </c>
      <c r="H60" s="20" t="n">
        <v>3666</v>
      </c>
      <c r="I60" s="20" t="n">
        <v>50905</v>
      </c>
      <c r="J60" s="20" t="n">
        <v>13747</v>
      </c>
      <c r="K60" s="20" t="n">
        <v>12261</v>
      </c>
      <c r="L60" s="20" t="n">
        <v>20483</v>
      </c>
      <c r="M60" s="20" t="n">
        <v>15605</v>
      </c>
      <c r="N60" s="20" t="n">
        <v>9357</v>
      </c>
      <c r="O60" s="19" t="n">
        <v>20526</v>
      </c>
      <c r="P60" s="20" t="n">
        <v>29113</v>
      </c>
      <c r="Q60" s="20" t="n">
        <v>18894</v>
      </c>
      <c r="R60" s="20" t="n">
        <v>26537</v>
      </c>
      <c r="S60" s="20" t="n">
        <v>11214</v>
      </c>
      <c r="T60" s="20" t="n">
        <v>22508</v>
      </c>
      <c r="U60" s="20" t="n">
        <v>24764</v>
      </c>
      <c r="V60" s="20" t="n">
        <v>49518</v>
      </c>
      <c r="W60" s="20" t="n">
        <v>39976</v>
      </c>
      <c r="X60" s="20" t="n">
        <v>97396</v>
      </c>
      <c r="Y60" s="19">
        <f>IF(OR(Y4="",Y61=""),"",IFERROR(Y4*Y61,""))</f>
        <v/>
      </c>
      <c r="Z60" s="20">
        <f>IF(OR(Z4="",Z61=""),"",IFERROR(Z4*Z61,""))</f>
        <v/>
      </c>
      <c r="AA60" s="20">
        <f>IF(OR(AA4="",AA61=""),"",IFERROR(AA4*AA61,""))</f>
        <v/>
      </c>
      <c r="AB60" s="20">
        <f>IF(OR(AB4="",AB61=""),"",IFERROR(AB4*AB61,""))</f>
        <v/>
      </c>
      <c r="AC60" s="20">
        <f>IF(OR(AC4="",AC61=""),"",IFERROR(AC4*AC61,""))</f>
        <v/>
      </c>
    </row>
    <row r="61">
      <c r="A61" s="13" t="inlineStr">
        <is>
          <t>% of Sales</t>
        </is>
      </c>
      <c r="B61" s="10" t="n"/>
      <c r="C61" s="14">
        <f>IF(OR(C60="",C4=""),"",IFERROR(C60/C4,""))</f>
        <v/>
      </c>
      <c r="D61" s="15">
        <f>IF(OR(D60="",D4=""),"",IFERROR(D60/D4,""))</f>
        <v/>
      </c>
      <c r="E61" s="15">
        <f>IF(OR(E60="",E4=""),"",IFERROR(E60/E4,""))</f>
        <v/>
      </c>
      <c r="F61" s="15">
        <f>IF(OR(F60="",F4=""),"",IFERROR(F60/F4,""))</f>
        <v/>
      </c>
      <c r="G61" s="15">
        <f>IF(OR(G60="",G4=""),"",IFERROR(G60/G4,""))</f>
        <v/>
      </c>
      <c r="H61" s="15">
        <f>IF(OR(H60="",H4=""),"",IFERROR(H60/H4,""))</f>
        <v/>
      </c>
      <c r="I61" s="15">
        <f>IF(OR(I60="",I4=""),"",IFERROR(I60/I4,""))</f>
        <v/>
      </c>
      <c r="J61" s="15">
        <f>IF(OR(J60="",J4=""),"",IFERROR(J60/J4,""))</f>
        <v/>
      </c>
      <c r="K61" s="15">
        <f>IF(OR(K60="",K4=""),"",IFERROR(K60/K4,""))</f>
        <v/>
      </c>
      <c r="L61" s="15">
        <f>IF(OR(L60="",L4=""),"",IFERROR(L60/L4,""))</f>
        <v/>
      </c>
      <c r="M61" s="15">
        <f>IF(OR(M60="",M4=""),"",IFERROR(M60/M4,""))</f>
        <v/>
      </c>
      <c r="N61" s="15">
        <f>IF(OR(N60="",N4=""),"",IFERROR(N60/N4,""))</f>
        <v/>
      </c>
      <c r="O61" s="14">
        <f>IF(OR(O60="",O4=""),"",IFERROR(O60/O4,""))</f>
        <v/>
      </c>
      <c r="P61" s="15">
        <f>IF(OR(P60="",P4=""),"",IFERROR(P60/P4,""))</f>
        <v/>
      </c>
      <c r="Q61" s="15">
        <f>IF(OR(Q60="",Q4=""),"",IFERROR(Q60/Q4,""))</f>
        <v/>
      </c>
      <c r="R61" s="15">
        <f>IF(OR(R60="",R4=""),"",IFERROR(R60/R4,""))</f>
        <v/>
      </c>
      <c r="S61" s="15">
        <f>IF(OR(S60="",S4=""),"",IFERROR(S60/S4,""))</f>
        <v/>
      </c>
      <c r="T61" s="15">
        <f>IF(OR(T60="",T4=""),"",IFERROR(T60/T4,""))</f>
        <v/>
      </c>
      <c r="U61" s="15">
        <f>IF(OR(U60="",U4=""),"",IFERROR(U60/U4,""))</f>
        <v/>
      </c>
      <c r="V61" s="15">
        <f>IF(OR(V60="",V4=""),"",IFERROR(V60/V4,""))</f>
        <v/>
      </c>
      <c r="W61" s="15">
        <f>IF(OR(W60="",W4=""),"",IFERROR(W60/W4,""))</f>
        <v/>
      </c>
      <c r="X61" s="15">
        <f>IF(OR(X60="",X4=""),"",IFERROR(X60/X4,""))</f>
        <v/>
      </c>
      <c r="Y61" s="25">
        <f>IFERROR(AVERAGE(V61,W61,X61),"")</f>
        <v/>
      </c>
      <c r="Z61" s="26">
        <f>Y61</f>
        <v/>
      </c>
      <c r="AA61" s="26">
        <f>Z61</f>
        <v/>
      </c>
      <c r="AB61" s="26">
        <f>AA61</f>
        <v/>
      </c>
      <c r="AC61" s="26">
        <f>AB61</f>
        <v/>
      </c>
    </row>
    <row r="62">
      <c r="A62" s="18" t="inlineStr">
        <is>
          <t>영업외비용</t>
        </is>
      </c>
      <c r="B62" s="10" t="n"/>
      <c r="C62" s="19" t="n">
        <v>12469</v>
      </c>
      <c r="D62" s="20" t="n">
        <v>5438</v>
      </c>
      <c r="E62" s="20" t="n">
        <v>12721</v>
      </c>
      <c r="F62" s="20" t="n">
        <v>13234</v>
      </c>
      <c r="G62" s="20" t="n">
        <v>-404</v>
      </c>
      <c r="H62" s="20" t="n">
        <v>12641</v>
      </c>
      <c r="I62" s="20" t="n">
        <v>10314</v>
      </c>
      <c r="J62" s="20" t="n">
        <v>11578</v>
      </c>
      <c r="K62" s="20" t="n">
        <v>11803</v>
      </c>
      <c r="L62" s="20" t="n">
        <v>6162</v>
      </c>
      <c r="M62" s="20" t="n">
        <v>12326</v>
      </c>
      <c r="N62" s="20" t="n">
        <v>12263</v>
      </c>
      <c r="O62" s="19" t="n">
        <v>35103</v>
      </c>
      <c r="P62" s="20" t="n">
        <v>30974</v>
      </c>
      <c r="Q62" s="20" t="n">
        <v>29200</v>
      </c>
      <c r="R62" s="20" t="n">
        <v>32091</v>
      </c>
      <c r="S62" s="20" t="n">
        <v>28086</v>
      </c>
      <c r="T62" s="20" t="n">
        <v>36641</v>
      </c>
      <c r="U62" s="20" t="n">
        <v>37839</v>
      </c>
      <c r="V62" s="20" t="n">
        <v>36687</v>
      </c>
      <c r="W62" s="20" t="n">
        <v>38192</v>
      </c>
      <c r="X62" s="20" t="n">
        <v>39857</v>
      </c>
      <c r="Y62" s="19">
        <f>IF(OR(Y4="",Y63=""),"",IFERROR(Y4*Y63,""))</f>
        <v/>
      </c>
      <c r="Z62" s="20">
        <f>IF(OR(Z4="",Z63=""),"",IFERROR(Z4*Z63,""))</f>
        <v/>
      </c>
      <c r="AA62" s="20">
        <f>IF(OR(AA4="",AA63=""),"",IFERROR(AA4*AA63,""))</f>
        <v/>
      </c>
      <c r="AB62" s="20">
        <f>IF(OR(AB4="",AB63=""),"",IFERROR(AB4*AB63,""))</f>
        <v/>
      </c>
      <c r="AC62" s="20">
        <f>IF(OR(AC4="",AC63=""),"",IFERROR(AC4*AC63,""))</f>
        <v/>
      </c>
    </row>
    <row r="63">
      <c r="A63" s="13" t="inlineStr">
        <is>
          <t>% of Sales</t>
        </is>
      </c>
      <c r="B63" s="10" t="n"/>
      <c r="C63" s="14">
        <f>IF(OR(C62="",C4=""),"",IFERROR(C62/C4,""))</f>
        <v/>
      </c>
      <c r="D63" s="15">
        <f>IF(OR(D62="",D4=""),"",IFERROR(D62/D4,""))</f>
        <v/>
      </c>
      <c r="E63" s="15">
        <f>IF(OR(E62="",E4=""),"",IFERROR(E62/E4,""))</f>
        <v/>
      </c>
      <c r="F63" s="15">
        <f>IF(OR(F62="",F4=""),"",IFERROR(F62/F4,""))</f>
        <v/>
      </c>
      <c r="G63" s="15">
        <f>IF(OR(G62="",G4=""),"",IFERROR(G62/G4,""))</f>
        <v/>
      </c>
      <c r="H63" s="15">
        <f>IF(OR(H62="",H4=""),"",IFERROR(H62/H4,""))</f>
        <v/>
      </c>
      <c r="I63" s="15">
        <f>IF(OR(I62="",I4=""),"",IFERROR(I62/I4,""))</f>
        <v/>
      </c>
      <c r="J63" s="15">
        <f>IF(OR(J62="",J4=""),"",IFERROR(J62/J4,""))</f>
        <v/>
      </c>
      <c r="K63" s="15">
        <f>IF(OR(K62="",K4=""),"",IFERROR(K62/K4,""))</f>
        <v/>
      </c>
      <c r="L63" s="15">
        <f>IF(OR(L62="",L4=""),"",IFERROR(L62/L4,""))</f>
        <v/>
      </c>
      <c r="M63" s="15">
        <f>IF(OR(M62="",M4=""),"",IFERROR(M62/M4,""))</f>
        <v/>
      </c>
      <c r="N63" s="15">
        <f>IF(OR(N62="",N4=""),"",IFERROR(N62/N4,""))</f>
        <v/>
      </c>
      <c r="O63" s="14">
        <f>IF(OR(O62="",O4=""),"",IFERROR(O62/O4,""))</f>
        <v/>
      </c>
      <c r="P63" s="15">
        <f>IF(OR(P62="",P4=""),"",IFERROR(P62/P4,""))</f>
        <v/>
      </c>
      <c r="Q63" s="15">
        <f>IF(OR(Q62="",Q4=""),"",IFERROR(Q62/Q4,""))</f>
        <v/>
      </c>
      <c r="R63" s="15">
        <f>IF(OR(R62="",R4=""),"",IFERROR(R62/R4,""))</f>
        <v/>
      </c>
      <c r="S63" s="15">
        <f>IF(OR(S62="",S4=""),"",IFERROR(S62/S4,""))</f>
        <v/>
      </c>
      <c r="T63" s="15">
        <f>IF(OR(T62="",T4=""),"",IFERROR(T62/T4,""))</f>
        <v/>
      </c>
      <c r="U63" s="15">
        <f>IF(OR(U62="",U4=""),"",IFERROR(U62/U4,""))</f>
        <v/>
      </c>
      <c r="V63" s="15">
        <f>IF(OR(V62="",V4=""),"",IFERROR(V62/V4,""))</f>
        <v/>
      </c>
      <c r="W63" s="15">
        <f>IF(OR(W62="",W4=""),"",IFERROR(W62/W4,""))</f>
        <v/>
      </c>
      <c r="X63" s="15">
        <f>IF(OR(X62="",X4=""),"",IFERROR(X62/X4,""))</f>
        <v/>
      </c>
      <c r="Y63" s="25">
        <f>IFERROR(AVERAGE(V63,W63,X63),"")</f>
        <v/>
      </c>
      <c r="Z63" s="26">
        <f>Y63</f>
        <v/>
      </c>
      <c r="AA63" s="26">
        <f>Z63</f>
        <v/>
      </c>
      <c r="AB63" s="26">
        <f>AA63</f>
        <v/>
      </c>
      <c r="AC63" s="26">
        <f>AB63</f>
        <v/>
      </c>
    </row>
    <row r="64">
      <c r="A64" s="9" t="inlineStr">
        <is>
          <t>법인세비용차감전순이익(손실)</t>
        </is>
      </c>
      <c r="B64" s="10" t="n"/>
      <c r="C64" s="11" t="n">
        <v>42379</v>
      </c>
      <c r="D64" s="12" t="n">
        <v>33734</v>
      </c>
      <c r="E64" s="12" t="n">
        <v>35044</v>
      </c>
      <c r="F64" s="12" t="n">
        <v>36014</v>
      </c>
      <c r="G64" s="12" t="n">
        <v>53995</v>
      </c>
      <c r="H64" s="12" t="n">
        <v>15042</v>
      </c>
      <c r="I64" s="12" t="n">
        <v>73067</v>
      </c>
      <c r="J64" s="12" t="n">
        <v>23298</v>
      </c>
      <c r="K64" s="12" t="n">
        <v>35119</v>
      </c>
      <c r="L64" s="12" t="n">
        <v>-24770</v>
      </c>
      <c r="M64" s="12" t="n">
        <v>39561</v>
      </c>
      <c r="N64" s="12" t="n">
        <v>42510</v>
      </c>
      <c r="O64" s="11" t="n">
        <v>67150</v>
      </c>
      <c r="P64" s="12" t="n">
        <v>99086</v>
      </c>
      <c r="Q64" s="12" t="n">
        <v>68539</v>
      </c>
      <c r="R64" s="12" t="n">
        <v>65587</v>
      </c>
      <c r="S64" s="12" t="n">
        <v>64674</v>
      </c>
      <c r="T64" s="12" t="n">
        <v>72846</v>
      </c>
      <c r="U64" s="12" t="n">
        <v>170792</v>
      </c>
      <c r="V64" s="12" t="n">
        <v>118535</v>
      </c>
      <c r="W64" s="12" t="n">
        <v>140095</v>
      </c>
      <c r="X64" s="12" t="n">
        <v>106714</v>
      </c>
      <c r="Y64" s="11">
        <f>IF(OR(Y40=""),"",IFERROR(Y40+N(Y56)-N(Y58)+N(Y60)-N(Y62),""))</f>
        <v/>
      </c>
      <c r="Z64" s="12">
        <f>IF(OR(Z40=""),"",IFERROR(Z40+N(Z56)-N(Z58)+N(Z60)-N(Z62),""))</f>
        <v/>
      </c>
      <c r="AA64" s="12">
        <f>IF(OR(AA40=""),"",IFERROR(AA40+N(AA56)-N(AA58)+N(AA60)-N(AA62),""))</f>
        <v/>
      </c>
      <c r="AB64" s="12">
        <f>IF(OR(AB40=""),"",IFERROR(AB40+N(AB56)-N(AB58)+N(AB60)-N(AB62),""))</f>
        <v/>
      </c>
      <c r="AC64" s="12">
        <f>IF(OR(AC40=""),"",IFERROR(AC40+N(AC56)-N(AC58)+N(AC60)-N(AC62),""))</f>
        <v/>
      </c>
    </row>
    <row r="65">
      <c r="A65" s="13" t="inlineStr">
        <is>
          <t>YoY</t>
        </is>
      </c>
      <c r="B65" s="10" t="n"/>
      <c r="C65" s="14" t="n"/>
      <c r="D65" s="15" t="n"/>
      <c r="E65" s="15" t="n"/>
      <c r="F65" s="15" t="n"/>
      <c r="G65" s="15">
        <f>IF(OR(G64="",C64=""),"",IF(C64&lt;=0,"",IFERROR(G64/C64-1,"")))</f>
        <v/>
      </c>
      <c r="H65" s="15">
        <f>IF(OR(H64="",D64=""),"",IF(D64&lt;=0,"",IFERROR(H64/D64-1,"")))</f>
        <v/>
      </c>
      <c r="I65" s="15">
        <f>IF(OR(I64="",E64=""),"",IF(E64&lt;=0,"",IFERROR(I64/E64-1,"")))</f>
        <v/>
      </c>
      <c r="J65" s="15">
        <f>IF(OR(J64="",F64=""),"",IF(F64&lt;=0,"",IFERROR(J64/F64-1,"")))</f>
        <v/>
      </c>
      <c r="K65" s="15">
        <f>IF(OR(K64="",G64=""),"",IF(G64&lt;=0,"",IFERROR(K64/G64-1,"")))</f>
        <v/>
      </c>
      <c r="L65" s="15">
        <f>IF(OR(L64="",H64=""),"",IF(H64&lt;=0,"",IFERROR(L64/H64-1,"")))</f>
        <v/>
      </c>
      <c r="M65" s="15">
        <f>IF(OR(M64="",I64=""),"",IF(I64&lt;=0,"",IFERROR(M64/I64-1,"")))</f>
        <v/>
      </c>
      <c r="N65" s="15">
        <f>IF(OR(N64="",J64=""),"",IF(J64&lt;=0,"",IFERROR(N64/J64-1,"")))</f>
        <v/>
      </c>
      <c r="O65" s="14" t="n"/>
      <c r="P65" s="15">
        <f>IF(OR(P64="",O64=""),"",IF(O64&lt;=0,"",IFERROR(P64/O64-1,"")))</f>
        <v/>
      </c>
      <c r="Q65" s="15">
        <f>IF(OR(Q64="",P64=""),"",IF(P64&lt;=0,"",IFERROR(Q64/P64-1,"")))</f>
        <v/>
      </c>
      <c r="R65" s="15">
        <f>IF(OR(R64="",Q64=""),"",IF(Q64&lt;=0,"",IFERROR(R64/Q64-1,"")))</f>
        <v/>
      </c>
      <c r="S65" s="15">
        <f>IF(OR(S64="",R64=""),"",IF(R64&lt;=0,"",IFERROR(S64/R64-1,"")))</f>
        <v/>
      </c>
      <c r="T65" s="15">
        <f>IF(OR(T64="",S64=""),"",IF(S64&lt;=0,"",IFERROR(T64/S64-1,"")))</f>
        <v/>
      </c>
      <c r="U65" s="15">
        <f>IF(OR(U64="",T64=""),"",IF(T64&lt;=0,"",IFERROR(U64/T64-1,"")))</f>
        <v/>
      </c>
      <c r="V65" s="15">
        <f>IF(OR(V64="",U64=""),"",IF(U64&lt;=0,"",IFERROR(V64/U64-1,"")))</f>
        <v/>
      </c>
      <c r="W65" s="15">
        <f>IF(OR(W64="",V64=""),"",IF(V64&lt;=0,"",IFERROR(W64/V64-1,"")))</f>
        <v/>
      </c>
      <c r="X65" s="15">
        <f>IF(OR(X64="",W64=""),"",IF(W64&lt;=0,"",IFERROR(X64/W64-1,"")))</f>
        <v/>
      </c>
      <c r="Y65" s="14">
        <f>IF(OR(Y64="",X64=""),"",IF(X64&lt;=0,"",IFERROR(Y64/X64-1,"")))</f>
        <v/>
      </c>
      <c r="Z65" s="15">
        <f>IF(OR(Z64="",Y64=""),"",IF(Y64&lt;=0,"",IFERROR(Z64/Y64-1,"")))</f>
        <v/>
      </c>
      <c r="AA65" s="15">
        <f>IF(OR(AA64="",Z64=""),"",IF(Z64&lt;=0,"",IFERROR(AA64/Z64-1,"")))</f>
        <v/>
      </c>
      <c r="AB65" s="15">
        <f>IF(OR(AB64="",AA64=""),"",IF(AA64&lt;=0,"",IFERROR(AB64/AA64-1,"")))</f>
        <v/>
      </c>
      <c r="AC65" s="15">
        <f>IF(OR(AC64="",AB64=""),"",IF(AB64&lt;=0,"",IFERROR(AC64/AB64-1,"")))</f>
        <v/>
      </c>
    </row>
    <row r="66">
      <c r="A66" s="18" t="inlineStr">
        <is>
          <t>법인세비용(수익)</t>
        </is>
      </c>
      <c r="B66" s="10" t="n"/>
      <c r="C66" s="19" t="n">
        <v>11833</v>
      </c>
      <c r="D66" s="20" t="n">
        <v>8517</v>
      </c>
      <c r="E66" s="20" t="n">
        <v>10005</v>
      </c>
      <c r="F66" s="20" t="n">
        <v>11367</v>
      </c>
      <c r="G66" s="20" t="n">
        <v>13992</v>
      </c>
      <c r="H66" s="20" t="n">
        <v>2200</v>
      </c>
      <c r="I66" s="20" t="n">
        <v>20274</v>
      </c>
      <c r="J66" s="20" t="n">
        <v>8263</v>
      </c>
      <c r="K66" s="20" t="n">
        <v>8551</v>
      </c>
      <c r="L66" s="20" t="n">
        <v>-4207</v>
      </c>
      <c r="M66" s="20" t="n">
        <v>9369</v>
      </c>
      <c r="N66" s="20" t="n">
        <v>11343</v>
      </c>
      <c r="O66" s="19" t="n">
        <v>21482</v>
      </c>
      <c r="P66" s="20" t="n">
        <v>16423</v>
      </c>
      <c r="Q66" s="20" t="n">
        <v>13201</v>
      </c>
      <c r="R66" s="20" t="n">
        <v>11990</v>
      </c>
      <c r="S66" s="20" t="n">
        <v>33491</v>
      </c>
      <c r="T66" s="20" t="n">
        <v>-1938</v>
      </c>
      <c r="U66" s="20" t="n">
        <v>51799</v>
      </c>
      <c r="V66" s="20" t="n">
        <v>33839</v>
      </c>
      <c r="W66" s="20" t="n">
        <v>37564</v>
      </c>
      <c r="X66" s="20" t="n">
        <v>32881</v>
      </c>
      <c r="Y66" s="19">
        <f>IF(OR(Y64="",Y67=""),"",IFERROR(MAX(Y64,0)*Y67,""))</f>
        <v/>
      </c>
      <c r="Z66" s="20">
        <f>IF(OR(Z64="",Z67=""),"",IFERROR(MAX(Z64,0)*Z67,""))</f>
        <v/>
      </c>
      <c r="AA66" s="20">
        <f>IF(OR(AA64="",AA67=""),"",IFERROR(MAX(AA64,0)*AA67,""))</f>
        <v/>
      </c>
      <c r="AB66" s="20">
        <f>IF(OR(AB64="",AB67=""),"",IFERROR(MAX(AB64,0)*AB67,""))</f>
        <v/>
      </c>
      <c r="AC66" s="20">
        <f>IF(OR(AC64="",AC67=""),"",IFERROR(MAX(AC64,0)*AC67,""))</f>
        <v/>
      </c>
    </row>
    <row r="67">
      <c r="A67" s="13" t="inlineStr">
        <is>
          <t>법인세율</t>
        </is>
      </c>
      <c r="B67" s="10" t="inlineStr">
        <is>
          <t>MW 기본 30%</t>
        </is>
      </c>
      <c r="C67" s="14">
        <f>IF(OR(C66="",C64=""),"",IFERROR(C66/C64,""))</f>
        <v/>
      </c>
      <c r="D67" s="15">
        <f>IF(OR(D66="",D64=""),"",IFERROR(D66/D64,""))</f>
        <v/>
      </c>
      <c r="E67" s="15">
        <f>IF(OR(E66="",E64=""),"",IFERROR(E66/E64,""))</f>
        <v/>
      </c>
      <c r="F67" s="15">
        <f>IF(OR(F66="",F64=""),"",IFERROR(F66/F64,""))</f>
        <v/>
      </c>
      <c r="G67" s="15">
        <f>IF(OR(G66="",G64=""),"",IFERROR(G66/G64,""))</f>
        <v/>
      </c>
      <c r="H67" s="15">
        <f>IF(OR(H66="",H64=""),"",IFERROR(H66/H64,""))</f>
        <v/>
      </c>
      <c r="I67" s="15">
        <f>IF(OR(I66="",I64=""),"",IFERROR(I66/I64,""))</f>
        <v/>
      </c>
      <c r="J67" s="15">
        <f>IF(OR(J66="",J64=""),"",IFERROR(J66/J64,""))</f>
        <v/>
      </c>
      <c r="K67" s="15">
        <f>IF(OR(K66="",K64=""),"",IFERROR(K66/K64,""))</f>
        <v/>
      </c>
      <c r="L67" s="15">
        <f>IF(OR(L66="",L64=""),"",IFERROR(L66/L64,""))</f>
        <v/>
      </c>
      <c r="M67" s="15">
        <f>IF(OR(M66="",M64=""),"",IFERROR(M66/M64,""))</f>
        <v/>
      </c>
      <c r="N67" s="15">
        <f>IF(OR(N66="",N64=""),"",IFERROR(N66/N64,""))</f>
        <v/>
      </c>
      <c r="O67" s="14">
        <f>IF(OR(O66="",O64=""),"",IFERROR(O66/O64,""))</f>
        <v/>
      </c>
      <c r="P67" s="15">
        <f>IF(OR(P66="",P64=""),"",IFERROR(P66/P64,""))</f>
        <v/>
      </c>
      <c r="Q67" s="15">
        <f>IF(OR(Q66="",Q64=""),"",IFERROR(Q66/Q64,""))</f>
        <v/>
      </c>
      <c r="R67" s="15">
        <f>IF(OR(R66="",R64=""),"",IFERROR(R66/R64,""))</f>
        <v/>
      </c>
      <c r="S67" s="15">
        <f>IF(OR(S66="",S64=""),"",IFERROR(S66/S64,""))</f>
        <v/>
      </c>
      <c r="T67" s="15">
        <f>IF(OR(T66="",T64=""),"",IFERROR(T66/T64,""))</f>
        <v/>
      </c>
      <c r="U67" s="15">
        <f>IF(OR(U66="",U64=""),"",IFERROR(U66/U64,""))</f>
        <v/>
      </c>
      <c r="V67" s="15">
        <f>IF(OR(V66="",V64=""),"",IFERROR(V66/V64,""))</f>
        <v/>
      </c>
      <c r="W67" s="15">
        <f>IF(OR(W66="",W64=""),"",IFERROR(W66/W64,""))</f>
        <v/>
      </c>
      <c r="X67" s="15">
        <f>IF(OR(X66="",X64=""),"",IFERROR(X66/X64,""))</f>
        <v/>
      </c>
      <c r="Y67" s="25" t="n">
        <v>0.3</v>
      </c>
      <c r="Z67" s="26" t="n">
        <v>0.3</v>
      </c>
      <c r="AA67" s="26" t="n">
        <v>0.3</v>
      </c>
      <c r="AB67" s="26" t="n">
        <v>0.3</v>
      </c>
      <c r="AC67" s="26" t="n">
        <v>0.3</v>
      </c>
    </row>
    <row r="68">
      <c r="A68" s="9" t="inlineStr">
        <is>
          <t>당기순이익(손실)</t>
        </is>
      </c>
      <c r="B68" s="10" t="n"/>
      <c r="C68" s="11" t="n">
        <v>30547</v>
      </c>
      <c r="D68" s="12" t="n">
        <v>25216</v>
      </c>
      <c r="E68" s="12" t="n">
        <v>25038</v>
      </c>
      <c r="F68" s="12" t="n">
        <v>24647</v>
      </c>
      <c r="G68" s="12" t="n">
        <v>40004</v>
      </c>
      <c r="H68" s="12" t="n">
        <v>12841</v>
      </c>
      <c r="I68" s="12" t="n">
        <v>52793</v>
      </c>
      <c r="J68" s="12" t="n">
        <v>15035</v>
      </c>
      <c r="K68" s="12" t="n">
        <v>26567</v>
      </c>
      <c r="L68" s="12" t="n">
        <v>-20562</v>
      </c>
      <c r="M68" s="12" t="n">
        <v>30191</v>
      </c>
      <c r="N68" s="12" t="n">
        <v>31168</v>
      </c>
      <c r="O68" s="11" t="n">
        <v>45667</v>
      </c>
      <c r="P68" s="12" t="n">
        <v>82662</v>
      </c>
      <c r="Q68" s="12" t="n">
        <v>55337</v>
      </c>
      <c r="R68" s="12" t="n">
        <v>53596</v>
      </c>
      <c r="S68" s="12" t="n">
        <v>31183</v>
      </c>
      <c r="T68" s="12" t="n">
        <v>74784</v>
      </c>
      <c r="U68" s="12" t="n">
        <v>118993</v>
      </c>
      <c r="V68" s="12" t="n">
        <v>84695</v>
      </c>
      <c r="W68" s="12" t="n">
        <v>102530</v>
      </c>
      <c r="X68" s="12" t="n">
        <v>73833</v>
      </c>
      <c r="Y68" s="11">
        <f>IF(OR(Y64=""),"",IFERROR(Y64-Y66,""))</f>
        <v/>
      </c>
      <c r="Z68" s="12">
        <f>IF(OR(Z64=""),"",IFERROR(Z64-Z66,""))</f>
        <v/>
      </c>
      <c r="AA68" s="12">
        <f>IF(OR(AA64=""),"",IFERROR(AA64-AA66,""))</f>
        <v/>
      </c>
      <c r="AB68" s="12">
        <f>IF(OR(AB64=""),"",IFERROR(AB64-AB66,""))</f>
        <v/>
      </c>
      <c r="AC68" s="12">
        <f>IF(OR(AC64=""),"",IFERROR(AC64-AC66,""))</f>
        <v/>
      </c>
    </row>
    <row r="69">
      <c r="A69" s="13" t="inlineStr">
        <is>
          <t>YoY</t>
        </is>
      </c>
      <c r="B69" s="10" t="n"/>
      <c r="C69" s="14" t="n"/>
      <c r="D69" s="15" t="n"/>
      <c r="E69" s="15" t="n"/>
      <c r="F69" s="15" t="n"/>
      <c r="G69" s="15">
        <f>IF(OR(G68="",C68=""),"",IF(C68&lt;=0,"",IFERROR(G68/C68-1,"")))</f>
        <v/>
      </c>
      <c r="H69" s="15">
        <f>IF(OR(H68="",D68=""),"",IF(D68&lt;=0,"",IFERROR(H68/D68-1,"")))</f>
        <v/>
      </c>
      <c r="I69" s="15">
        <f>IF(OR(I68="",E68=""),"",IF(E68&lt;=0,"",IFERROR(I68/E68-1,"")))</f>
        <v/>
      </c>
      <c r="J69" s="15">
        <f>IF(OR(J68="",F68=""),"",IF(F68&lt;=0,"",IFERROR(J68/F68-1,"")))</f>
        <v/>
      </c>
      <c r="K69" s="15">
        <f>IF(OR(K68="",G68=""),"",IF(G68&lt;=0,"",IFERROR(K68/G68-1,"")))</f>
        <v/>
      </c>
      <c r="L69" s="15">
        <f>IF(OR(L68="",H68=""),"",IF(H68&lt;=0,"",IFERROR(L68/H68-1,"")))</f>
        <v/>
      </c>
      <c r="M69" s="15">
        <f>IF(OR(M68="",I68=""),"",IF(I68&lt;=0,"",IFERROR(M68/I68-1,"")))</f>
        <v/>
      </c>
      <c r="N69" s="15">
        <f>IF(OR(N68="",J68=""),"",IF(J68&lt;=0,"",IFERROR(N68/J68-1,"")))</f>
        <v/>
      </c>
      <c r="O69" s="14" t="n"/>
      <c r="P69" s="15">
        <f>IF(OR(P68="",O68=""),"",IF(O68&lt;=0,"",IFERROR(P68/O68-1,"")))</f>
        <v/>
      </c>
      <c r="Q69" s="15">
        <f>IF(OR(Q68="",P68=""),"",IF(P68&lt;=0,"",IFERROR(Q68/P68-1,"")))</f>
        <v/>
      </c>
      <c r="R69" s="15">
        <f>IF(OR(R68="",Q68=""),"",IF(Q68&lt;=0,"",IFERROR(R68/Q68-1,"")))</f>
        <v/>
      </c>
      <c r="S69" s="15">
        <f>IF(OR(S68="",R68=""),"",IF(R68&lt;=0,"",IFERROR(S68/R68-1,"")))</f>
        <v/>
      </c>
      <c r="T69" s="15">
        <f>IF(OR(T68="",S68=""),"",IF(S68&lt;=0,"",IFERROR(T68/S68-1,"")))</f>
        <v/>
      </c>
      <c r="U69" s="15">
        <f>IF(OR(U68="",T68=""),"",IF(T68&lt;=0,"",IFERROR(U68/T68-1,"")))</f>
        <v/>
      </c>
      <c r="V69" s="15">
        <f>IF(OR(V68="",U68=""),"",IF(U68&lt;=0,"",IFERROR(V68/U68-1,"")))</f>
        <v/>
      </c>
      <c r="W69" s="15">
        <f>IF(OR(W68="",V68=""),"",IF(V68&lt;=0,"",IFERROR(W68/V68-1,"")))</f>
        <v/>
      </c>
      <c r="X69" s="15">
        <f>IF(OR(X68="",W68=""),"",IF(W68&lt;=0,"",IFERROR(X68/W68-1,"")))</f>
        <v/>
      </c>
      <c r="Y69" s="14">
        <f>IF(OR(Y68="",X68=""),"",IF(X68&lt;=0,"",IFERROR(Y68/X68-1,"")))</f>
        <v/>
      </c>
      <c r="Z69" s="15">
        <f>IF(OR(Z68="",Y68=""),"",IF(Y68&lt;=0,"",IFERROR(Z68/Y68-1,"")))</f>
        <v/>
      </c>
      <c r="AA69" s="15">
        <f>IF(OR(AA68="",Z68=""),"",IF(Z68&lt;=0,"",IFERROR(AA68/Z68-1,"")))</f>
        <v/>
      </c>
      <c r="AB69" s="15">
        <f>IF(OR(AB68="",AA68=""),"",IF(AA68&lt;=0,"",IFERROR(AB68/AA68-1,"")))</f>
        <v/>
      </c>
      <c r="AC69" s="15">
        <f>IF(OR(AC68="",AB68=""),"",IF(AB68&lt;=0,"",IFERROR(AC68/AB68-1,"")))</f>
        <v/>
      </c>
    </row>
    <row r="70">
      <c r="A70" s="9" t="inlineStr">
        <is>
          <t>지배주주 순이익</t>
        </is>
      </c>
      <c r="B70" s="10" t="n"/>
      <c r="C70" s="11" t="n">
        <v>28625</v>
      </c>
      <c r="D70" s="12" t="n">
        <v>21418</v>
      </c>
      <c r="E70" s="12" t="n">
        <v>25469</v>
      </c>
      <c r="F70" s="12" t="n">
        <v>22866</v>
      </c>
      <c r="G70" s="12" t="n">
        <v>31379</v>
      </c>
      <c r="H70" s="12" t="n">
        <v>12755</v>
      </c>
      <c r="I70" s="12" t="n">
        <v>52088</v>
      </c>
      <c r="J70" s="12" t="n">
        <v>10978</v>
      </c>
      <c r="K70" s="12" t="n">
        <v>20983</v>
      </c>
      <c r="L70" s="12" t="n">
        <v>-25512</v>
      </c>
      <c r="M70" s="12" t="n">
        <v>27424</v>
      </c>
      <c r="N70" s="12" t="n">
        <v>27751</v>
      </c>
      <c r="O70" s="11" t="n">
        <v>41429</v>
      </c>
      <c r="P70" s="12" t="n">
        <v>68448</v>
      </c>
      <c r="Q70" s="12" t="n">
        <v>46252</v>
      </c>
      <c r="R70" s="12" t="n">
        <v>42277</v>
      </c>
      <c r="S70" s="12" t="n">
        <v>22304</v>
      </c>
      <c r="T70" s="12" t="n">
        <v>69687</v>
      </c>
      <c r="U70" s="12" t="n">
        <v>113689</v>
      </c>
      <c r="V70" s="12" t="n">
        <v>77774</v>
      </c>
      <c r="W70" s="12" t="n">
        <v>92469</v>
      </c>
      <c r="X70" s="12" t="n">
        <v>58537</v>
      </c>
      <c r="Y70" s="11">
        <f>IF(OR(Y68="",Y71=""),"",IFERROR(Y68*Y71,""))</f>
        <v/>
      </c>
      <c r="Z70" s="12">
        <f>IF(OR(Z68="",Z71=""),"",IFERROR(Z68*Z71,""))</f>
        <v/>
      </c>
      <c r="AA70" s="12">
        <f>IF(OR(AA68="",AA71=""),"",IFERROR(AA68*AA71,""))</f>
        <v/>
      </c>
      <c r="AB70" s="12">
        <f>IF(OR(AB68="",AB71=""),"",IFERROR(AB68*AB71,""))</f>
        <v/>
      </c>
      <c r="AC70" s="12">
        <f>IF(OR(AC68="",AC71=""),"",IFERROR(AC68*AC71,""))</f>
        <v/>
      </c>
    </row>
    <row r="71">
      <c r="A71" s="13" t="inlineStr">
        <is>
          <t>지배주주 순이익률</t>
        </is>
      </c>
      <c r="B71" s="10" t="inlineStr">
        <is>
          <t>MW 기본 100%</t>
        </is>
      </c>
      <c r="C71" s="14">
        <f>IF(OR(C70="",C68=""),"",IFERROR(C70/C68,""))</f>
        <v/>
      </c>
      <c r="D71" s="15">
        <f>IF(OR(D70="",D68=""),"",IFERROR(D70/D68,""))</f>
        <v/>
      </c>
      <c r="E71" s="15">
        <f>IF(OR(E70="",E68=""),"",IFERROR(E70/E68,""))</f>
        <v/>
      </c>
      <c r="F71" s="15">
        <f>IF(OR(F70="",F68=""),"",IFERROR(F70/F68,""))</f>
        <v/>
      </c>
      <c r="G71" s="15">
        <f>IF(OR(G70="",G68=""),"",IFERROR(G70/G68,""))</f>
        <v/>
      </c>
      <c r="H71" s="15">
        <f>IF(OR(H70="",H68=""),"",IFERROR(H70/H68,""))</f>
        <v/>
      </c>
      <c r="I71" s="15">
        <f>IF(OR(I70="",I68=""),"",IFERROR(I70/I68,""))</f>
        <v/>
      </c>
      <c r="J71" s="15">
        <f>IF(OR(J70="",J68=""),"",IFERROR(J70/J68,""))</f>
        <v/>
      </c>
      <c r="K71" s="15">
        <f>IF(OR(K70="",K68=""),"",IFERROR(K70/K68,""))</f>
        <v/>
      </c>
      <c r="L71" s="15">
        <f>IF(OR(L70="",L68=""),"",IFERROR(L70/L68,""))</f>
        <v/>
      </c>
      <c r="M71" s="15">
        <f>IF(OR(M70="",M68=""),"",IFERROR(M70/M68,""))</f>
        <v/>
      </c>
      <c r="N71" s="15">
        <f>IF(OR(N70="",N68=""),"",IFERROR(N70/N68,""))</f>
        <v/>
      </c>
      <c r="O71" s="14">
        <f>IF(OR(O70="",O68=""),"",IFERROR(O70/O68,""))</f>
        <v/>
      </c>
      <c r="P71" s="15">
        <f>IF(OR(P70="",P68=""),"",IFERROR(P70/P68,""))</f>
        <v/>
      </c>
      <c r="Q71" s="15">
        <f>IF(OR(Q70="",Q68=""),"",IFERROR(Q70/Q68,""))</f>
        <v/>
      </c>
      <c r="R71" s="15">
        <f>IF(OR(R70="",R68=""),"",IFERROR(R70/R68,""))</f>
        <v/>
      </c>
      <c r="S71" s="15">
        <f>IF(OR(S70="",S68=""),"",IFERROR(S70/S68,""))</f>
        <v/>
      </c>
      <c r="T71" s="15">
        <f>IF(OR(T70="",T68=""),"",IFERROR(T70/T68,""))</f>
        <v/>
      </c>
      <c r="U71" s="15">
        <f>IF(OR(U70="",U68=""),"",IFERROR(U70/U68,""))</f>
        <v/>
      </c>
      <c r="V71" s="15">
        <f>IF(OR(V70="",V68=""),"",IFERROR(V70/V68,""))</f>
        <v/>
      </c>
      <c r="W71" s="15">
        <f>IF(OR(W70="",W68=""),"",IFERROR(W70/W68,""))</f>
        <v/>
      </c>
      <c r="X71" s="15">
        <f>IF(OR(X70="",X68=""),"",IFERROR(X70/X68,""))</f>
        <v/>
      </c>
      <c r="Y71" s="25" t="n">
        <v>1</v>
      </c>
      <c r="Z71" s="26" t="n">
        <v>1</v>
      </c>
      <c r="AA71" s="26" t="n">
        <v>1</v>
      </c>
      <c r="AB71" s="26" t="n">
        <v>1</v>
      </c>
      <c r="AC71" s="26" t="n">
        <v>1</v>
      </c>
    </row>
    <row r="72">
      <c r="A72" s="13" t="inlineStr">
        <is>
          <t>지배주주 순이익 YoY</t>
        </is>
      </c>
      <c r="B72" s="10" t="n"/>
      <c r="C72" s="14" t="n"/>
      <c r="D72" s="15" t="n"/>
      <c r="E72" s="15" t="n"/>
      <c r="F72" s="15" t="n"/>
      <c r="G72" s="15">
        <f>IF(OR(G70="",C70=""),"",IF(C70&lt;=0,"",IFERROR(G70/C70-1,"")))</f>
        <v/>
      </c>
      <c r="H72" s="15">
        <f>IF(OR(H70="",D70=""),"",IF(D70&lt;=0,"",IFERROR(H70/D70-1,"")))</f>
        <v/>
      </c>
      <c r="I72" s="15">
        <f>IF(OR(I70="",E70=""),"",IF(E70&lt;=0,"",IFERROR(I70/E70-1,"")))</f>
        <v/>
      </c>
      <c r="J72" s="15">
        <f>IF(OR(J70="",F70=""),"",IF(F70&lt;=0,"",IFERROR(J70/F70-1,"")))</f>
        <v/>
      </c>
      <c r="K72" s="15">
        <f>IF(OR(K70="",G70=""),"",IF(G70&lt;=0,"",IFERROR(K70/G70-1,"")))</f>
        <v/>
      </c>
      <c r="L72" s="15">
        <f>IF(OR(L70="",H70=""),"",IF(H70&lt;=0,"",IFERROR(L70/H70-1,"")))</f>
        <v/>
      </c>
      <c r="M72" s="15">
        <f>IF(OR(M70="",I70=""),"",IF(I70&lt;=0,"",IFERROR(M70/I70-1,"")))</f>
        <v/>
      </c>
      <c r="N72" s="15">
        <f>IF(OR(N70="",J70=""),"",IF(J70&lt;=0,"",IFERROR(N70/J70-1,"")))</f>
        <v/>
      </c>
      <c r="O72" s="14" t="n"/>
      <c r="P72" s="15">
        <f>IF(OR(P70="",O70=""),"",IF(O70&lt;=0,"",IFERROR(P70/O70-1,"")))</f>
        <v/>
      </c>
      <c r="Q72" s="15">
        <f>IF(OR(Q70="",P70=""),"",IF(P70&lt;=0,"",IFERROR(Q70/P70-1,"")))</f>
        <v/>
      </c>
      <c r="R72" s="15">
        <f>IF(OR(R70="",Q70=""),"",IF(Q70&lt;=0,"",IFERROR(R70/Q70-1,"")))</f>
        <v/>
      </c>
      <c r="S72" s="15">
        <f>IF(OR(S70="",R70=""),"",IF(R70&lt;=0,"",IFERROR(S70/R70-1,"")))</f>
        <v/>
      </c>
      <c r="T72" s="15">
        <f>IF(OR(T70="",S70=""),"",IF(S70&lt;=0,"",IFERROR(T70/S70-1,"")))</f>
        <v/>
      </c>
      <c r="U72" s="15">
        <f>IF(OR(U70="",T70=""),"",IF(T70&lt;=0,"",IFERROR(U70/T70-1,"")))</f>
        <v/>
      </c>
      <c r="V72" s="15">
        <f>IF(OR(V70="",U70=""),"",IF(U70&lt;=0,"",IFERROR(V70/U70-1,"")))</f>
        <v/>
      </c>
      <c r="W72" s="15">
        <f>IF(OR(W70="",V70=""),"",IF(V70&lt;=0,"",IFERROR(W70/V70-1,"")))</f>
        <v/>
      </c>
      <c r="X72" s="15">
        <f>IF(OR(X70="",W70=""),"",IF(W70&lt;=0,"",IFERROR(X70/W70-1,"")))</f>
        <v/>
      </c>
      <c r="Y72" s="14">
        <f>IF(OR(Y70="",X70=""),"",IF(X70&lt;=0,"",IFERROR(Y70/X70-1,"")))</f>
        <v/>
      </c>
      <c r="Z72" s="15">
        <f>IF(OR(Z70="",Y70=""),"",IF(Y70&lt;=0,"",IFERROR(Z70/Y70-1,"")))</f>
        <v/>
      </c>
      <c r="AA72" s="15">
        <f>IF(OR(AA70="",Z70=""),"",IF(Z70&lt;=0,"",IFERROR(AA70/Z70-1,"")))</f>
        <v/>
      </c>
      <c r="AB72" s="15">
        <f>IF(OR(AB70="",AA70=""),"",IF(AA70&lt;=0,"",IFERROR(AB70/AA70-1,"")))</f>
        <v/>
      </c>
      <c r="AC72" s="15">
        <f>IF(OR(AC70="",AB70=""),"",IF(AB70&lt;=0,"",IFERROR(AC70/AB70-1,"")))</f>
        <v/>
      </c>
    </row>
    <row r="73">
      <c r="A73" s="16" t="inlineStr">
        <is>
          <t>목표주가 산출</t>
        </is>
      </c>
      <c r="B73" s="16" t="n"/>
      <c r="C73" s="17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7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7" t="n"/>
      <c r="Z73" s="16" t="n"/>
      <c r="AA73" s="16" t="n"/>
      <c r="AB73" s="16" t="n"/>
      <c r="AC73" s="16" t="n"/>
    </row>
    <row r="74">
      <c r="A74" s="18" t="inlineStr">
        <is>
          <t>현재 주가 ()</t>
        </is>
      </c>
      <c r="B74" s="27" t="n"/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8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8" t="n"/>
      <c r="Z74" s="29" t="n"/>
      <c r="AA74" s="29" t="n"/>
      <c r="AB74" s="29" t="n"/>
      <c r="AC74" s="29" t="n"/>
    </row>
    <row r="75">
      <c r="A75" s="18" t="inlineStr">
        <is>
          <t>발행주식수 (보통주)</t>
        </is>
      </c>
      <c r="B75" s="27" t="n"/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8" t="n"/>
      <c r="Z75" s="29" t="n"/>
      <c r="AA75" s="29" t="n"/>
      <c r="AB75" s="29" t="n"/>
      <c r="AC75" s="29" t="n"/>
    </row>
    <row r="76">
      <c r="A76" s="18" t="inlineStr">
        <is>
          <t>시가총액 (백만엔)</t>
        </is>
      </c>
      <c r="B76" s="12">
        <f>IF(OR(B74="",B75=""),"",B74*B75/1000000.0)</f>
        <v/>
      </c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19" t="n"/>
      <c r="Z76" s="20" t="n"/>
      <c r="AA76" s="20" t="n"/>
      <c r="AB76" s="20" t="n"/>
      <c r="AC76" s="20" t="n"/>
    </row>
    <row r="77">
      <c r="A77" s="13" t="inlineStr">
        <is>
          <t>OPM</t>
        </is>
      </c>
      <c r="B77" s="10" t="n"/>
      <c r="C77" s="14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4">
        <f>IF(O41="","",O41)</f>
        <v/>
      </c>
      <c r="P77" s="15">
        <f>IF(P41="","",P41)</f>
        <v/>
      </c>
      <c r="Q77" s="15">
        <f>IF(Q41="","",Q41)</f>
        <v/>
      </c>
      <c r="R77" s="15">
        <f>IF(R41="","",R41)</f>
        <v/>
      </c>
      <c r="S77" s="15">
        <f>IF(S41="","",S41)</f>
        <v/>
      </c>
      <c r="T77" s="15">
        <f>IF(T41="","",T41)</f>
        <v/>
      </c>
      <c r="U77" s="15">
        <f>IF(U41="","",U41)</f>
        <v/>
      </c>
      <c r="V77" s="15">
        <f>IF(V41="","",V41)</f>
        <v/>
      </c>
      <c r="W77" s="15">
        <f>IF(W41="","",W41)</f>
        <v/>
      </c>
      <c r="X77" s="15">
        <f>IF(X41="","",X41)</f>
        <v/>
      </c>
      <c r="Y77" s="14">
        <f>IF(Y41="","",Y41)</f>
        <v/>
      </c>
      <c r="Z77" s="15">
        <f>IF(Z41="","",Z41)</f>
        <v/>
      </c>
      <c r="AA77" s="15">
        <f>IF(AA41="","",AA41)</f>
        <v/>
      </c>
      <c r="AB77" s="15">
        <f>IF(AB41="","",AB41)</f>
        <v/>
      </c>
      <c r="AC77" s="15">
        <f>IF(AC41="","",AC41)</f>
        <v/>
      </c>
    </row>
    <row r="78">
      <c r="A78" s="13" t="inlineStr">
        <is>
          <t>지배주주 순이익 증가율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>
        <f>IF(OR(P70="",O70=""),"",IFERROR(P70/O70-1,""))</f>
        <v/>
      </c>
      <c r="Q78" s="15">
        <f>IF(OR(Q70="",P70=""),"",IFERROR(Q70/P70-1,""))</f>
        <v/>
      </c>
      <c r="R78" s="15">
        <f>IF(OR(R70="",Q70=""),"",IFERROR(R70/Q70-1,""))</f>
        <v/>
      </c>
      <c r="S78" s="15">
        <f>IF(OR(S70="",R70=""),"",IFERROR(S70/R70-1,""))</f>
        <v/>
      </c>
      <c r="T78" s="15">
        <f>IF(OR(T70="",S70=""),"",IFERROR(T70/S70-1,""))</f>
        <v/>
      </c>
      <c r="U78" s="15">
        <f>IF(OR(U70="",T70=""),"",IFERROR(U70/T70-1,""))</f>
        <v/>
      </c>
      <c r="V78" s="15">
        <f>IF(OR(V70="",U70=""),"",IFERROR(V70/U70-1,""))</f>
        <v/>
      </c>
      <c r="W78" s="15">
        <f>IF(OR(W70="",V70=""),"",IFERROR(W70/V70-1,""))</f>
        <v/>
      </c>
      <c r="X78" s="15">
        <f>IF(OR(X70="",W70=""),"",IFERROR(X70/W70-1,""))</f>
        <v/>
      </c>
      <c r="Y78" s="14">
        <f>IF(OR(Y70="",X70=""),"",IFERROR(Y70/X70-1,""))</f>
        <v/>
      </c>
      <c r="Z78" s="15">
        <f>IF(OR(Z70="",Y70=""),"",IFERROR(Z70/Y70-1,""))</f>
        <v/>
      </c>
      <c r="AA78" s="15">
        <f>IF(OR(AA70="",Z70=""),"",IFERROR(AA70/Z70-1,""))</f>
        <v/>
      </c>
      <c r="AB78" s="15">
        <f>IF(OR(AB70="",AA70=""),"",IFERROR(AB70/AA70-1,""))</f>
        <v/>
      </c>
      <c r="AC78" s="15">
        <f>IF(OR(AC70="",AB70=""),"",IFERROR(AC70/AB70-1,""))</f>
        <v/>
      </c>
    </row>
    <row r="79">
      <c r="A79" s="18" t="inlineStr">
        <is>
          <t>P/E (현재 주가)</t>
        </is>
      </c>
      <c r="B79" s="10" t="inlineStr">
        <is>
          <t>시총 ÷ 지배순이익</t>
        </is>
      </c>
      <c r="C79" s="30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0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>
        <f>IF(OR($B$76="",X70=""),"",IFERROR($B$76/X70,""))</f>
        <v/>
      </c>
      <c r="Y79" s="30">
        <f>IF(OR($B$76="",Y70=""),"",IFERROR($B$76/Y70,""))</f>
        <v/>
      </c>
      <c r="Z79" s="31">
        <f>IF(OR($B$76="",Z70=""),"",IFERROR($B$76/Z70,""))</f>
        <v/>
      </c>
      <c r="AA79" s="31">
        <f>IF(OR($B$76="",AA70=""),"",IFERROR($B$76/AA70,""))</f>
        <v/>
      </c>
      <c r="AB79" s="31">
        <f>IF(OR($B$76="",AB70=""),"",IFERROR($B$76/AB70,""))</f>
        <v/>
      </c>
      <c r="AC79" s="31">
        <f>IF(OR($B$76="",AC70=""),"",IFERROR($B$76/AC70,""))</f>
        <v/>
      </c>
    </row>
    <row r="80">
      <c r="A80" s="18" t="inlineStr">
        <is>
          <t>Target P/E</t>
        </is>
      </c>
      <c r="B80" s="10" t="inlineStr">
        <is>
          <t>직접 입력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0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2" t="n"/>
      <c r="Z80" s="33" t="n"/>
      <c r="AA80" s="33" t="n"/>
      <c r="AB80" s="33" t="n"/>
      <c r="AC80" s="33" t="n"/>
    </row>
    <row r="81">
      <c r="A81" s="18" t="inlineStr">
        <is>
          <t>EPS</t>
        </is>
      </c>
      <c r="B81" s="10" t="inlineStr">
        <is>
          <t>지배순이익 ÷ 주식수</t>
        </is>
      </c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8">
        <f>IF(OR(O70="",$B$75=""),"",IFERROR(O70*1000000.0/$B$75,""))</f>
        <v/>
      </c>
      <c r="P81" s="29">
        <f>IF(OR(P70="",$B$75=""),"",IFERROR(P70*1000000.0/$B$75,""))</f>
        <v/>
      </c>
      <c r="Q81" s="29">
        <f>IF(OR(Q70="",$B$75=""),"",IFERROR(Q70*1000000.0/$B$75,""))</f>
        <v/>
      </c>
      <c r="R81" s="29">
        <f>IF(OR(R70="",$B$75=""),"",IFERROR(R70*1000000.0/$B$75,""))</f>
        <v/>
      </c>
      <c r="S81" s="29">
        <f>IF(OR(S70="",$B$75=""),"",IFERROR(S70*1000000.0/$B$75,""))</f>
        <v/>
      </c>
      <c r="T81" s="29">
        <f>IF(OR(T70="",$B$75=""),"",IFERROR(T70*1000000.0/$B$75,""))</f>
        <v/>
      </c>
      <c r="U81" s="29">
        <f>IF(OR(U70="",$B$75=""),"",IFERROR(U70*1000000.0/$B$75,""))</f>
        <v/>
      </c>
      <c r="V81" s="29">
        <f>IF(OR(V70="",$B$75=""),"",IFERROR(V70*1000000.0/$B$75,""))</f>
        <v/>
      </c>
      <c r="W81" s="29">
        <f>IF(OR(W70="",$B$75=""),"",IFERROR(W70*1000000.0/$B$75,""))</f>
        <v/>
      </c>
      <c r="X81" s="29">
        <f>IF(OR(X70="",$B$75=""),"",IFERROR(X70*1000000.0/$B$75,""))</f>
        <v/>
      </c>
      <c r="Y81" s="28">
        <f>IF(OR(Y70="",$B$75=""),"",IFERROR(Y70*1000000.0/$B$75,""))</f>
        <v/>
      </c>
      <c r="Z81" s="29">
        <f>IF(OR(Z70="",$B$75=""),"",IFERROR(Z70*1000000.0/$B$75,""))</f>
        <v/>
      </c>
      <c r="AA81" s="29">
        <f>IF(OR(AA70="",$B$75=""),"",IFERROR(AA70*1000000.0/$B$75,""))</f>
        <v/>
      </c>
      <c r="AB81" s="29">
        <f>IF(OR(AB70="",$B$75=""),"",IFERROR(AB70*1000000.0/$B$75,""))</f>
        <v/>
      </c>
      <c r="AC81" s="29">
        <f>IF(OR(AC70="",$B$75=""),"",IFERROR(AC70*1000000.0/$B$75,""))</f>
        <v/>
      </c>
    </row>
    <row r="82">
      <c r="A82" s="9" t="inlineStr">
        <is>
          <t>목표주가</t>
        </is>
      </c>
      <c r="B82" s="10" t="n"/>
      <c r="C82" s="34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34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34">
        <f>IF(OR(Y81="",Y80=""),"",IFERROR(Y81*Y80,""))</f>
        <v/>
      </c>
      <c r="Z82" s="27">
        <f>IF(OR(Z81="",Z80=""),"",IFERROR(Z81*Z80,""))</f>
        <v/>
      </c>
      <c r="AA82" s="27">
        <f>IF(OR(AA81="",AA80=""),"",IFERROR(AA81*AA80,""))</f>
        <v/>
      </c>
      <c r="AB82" s="27">
        <f>IF(OR(AB81="",AB80=""),"",IFERROR(AB81*AB80,""))</f>
        <v/>
      </c>
      <c r="AC82" s="27">
        <f>IF(OR(AC81="",AC80=""),"",IFERROR(AC81*AC80,""))</f>
        <v/>
      </c>
    </row>
    <row r="83">
      <c r="A83" s="18" t="inlineStr">
        <is>
          <t>상승여력</t>
        </is>
      </c>
      <c r="B83" s="10" t="n"/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5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7">
        <f>IF(OR(Y82="",$B$74=""),"",IFERROR(Y82/$B$74-1,""))</f>
        <v/>
      </c>
      <c r="Z83" s="38">
        <f>IF(OR(Z82="",$B$74=""),"",IFERROR(Z82/$B$74-1,""))</f>
        <v/>
      </c>
      <c r="AA83" s="38">
        <f>IF(OR(AA82="",$B$74=""),"",IFERROR(AA82/$B$74-1,""))</f>
        <v/>
      </c>
      <c r="AB83" s="38">
        <f>IF(OR(AB82="",$B$74=""),"",IFERROR(AB82/$B$74-1,""))</f>
        <v/>
      </c>
      <c r="AC83" s="38">
        <f>IF(OR(AC82="",$B$74=""),"",IFERROR(AC82/$B$74-1,""))</f>
        <v/>
      </c>
    </row>
    <row r="84">
      <c r="A84" s="16" t="inlineStr">
        <is>
          <t>자산가치 산출</t>
        </is>
      </c>
      <c r="B84" s="16" t="inlineStr">
        <is>
          <t>최신 분기 BS</t>
        </is>
      </c>
      <c r="C84" s="17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7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7" t="n"/>
      <c r="Z84" s="16" t="n"/>
      <c r="AA84" s="16" t="n"/>
      <c r="AB84" s="16" t="n"/>
      <c r="AC84" s="16" t="n"/>
    </row>
    <row r="85">
      <c r="A85" s="18" t="inlineStr">
        <is>
          <t>현금및현금성자산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'재무상태표'!G6</f>
        <v/>
      </c>
      <c r="Y85" s="19">
        <f>'재무상태표'!G6</f>
        <v/>
      </c>
      <c r="Z85" s="20">
        <f>'재무상태표'!G6</f>
        <v/>
      </c>
      <c r="AA85" s="20">
        <f>'재무상태표'!G6</f>
        <v/>
      </c>
      <c r="AB85" s="20">
        <f>'재무상태표'!G6</f>
        <v/>
      </c>
      <c r="AC85" s="20">
        <f>'재무상태표'!G6</f>
        <v/>
      </c>
    </row>
    <row r="86">
      <c r="A86" s="18" t="inlineStr">
        <is>
          <t>단기금융상품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'재무상태표'!G7</f>
        <v/>
      </c>
      <c r="Y86" s="19">
        <f>'재무상태표'!G7</f>
        <v/>
      </c>
      <c r="Z86" s="20">
        <f>'재무상태표'!G7</f>
        <v/>
      </c>
      <c r="AA86" s="20">
        <f>'재무상태표'!G7</f>
        <v/>
      </c>
      <c r="AB86" s="20">
        <f>'재무상태표'!G7</f>
        <v/>
      </c>
      <c r="AC86" s="20">
        <f>'재무상태표'!G7</f>
        <v/>
      </c>
    </row>
    <row r="87">
      <c r="A87" s="18" t="inlineStr">
        <is>
          <t>투자부동산</t>
        </is>
      </c>
      <c r="B87" s="10" t="n"/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>
        <f>'재무상태표'!G14</f>
        <v/>
      </c>
      <c r="Y87" s="19">
        <f>'재무상태표'!G14</f>
        <v/>
      </c>
      <c r="Z87" s="20">
        <f>'재무상태표'!G14</f>
        <v/>
      </c>
      <c r="AA87" s="20">
        <f>'재무상태표'!G14</f>
        <v/>
      </c>
      <c r="AB87" s="20">
        <f>'재무상태표'!G14</f>
        <v/>
      </c>
      <c r="AC87" s="20">
        <f>'재무상태표'!G14</f>
        <v/>
      </c>
    </row>
    <row r="88">
      <c r="A88" s="18" t="inlineStr">
        <is>
          <t>지배자본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'재무상태표'!G31</f>
        <v/>
      </c>
      <c r="Y88" s="19">
        <f>'재무상태표'!G31</f>
        <v/>
      </c>
      <c r="Z88" s="20">
        <f>'재무상태표'!G31</f>
        <v/>
      </c>
      <c r="AA88" s="20">
        <f>'재무상태표'!G31</f>
        <v/>
      </c>
      <c r="AB88" s="20">
        <f>'재무상태표'!G31</f>
        <v/>
      </c>
      <c r="AC88" s="20">
        <f>'재무상태표'!G31</f>
        <v/>
      </c>
    </row>
    <row r="89">
      <c r="A89" s="18" t="inlineStr">
        <is>
          <t>부채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'재무상태표'!G27</f>
        <v/>
      </c>
      <c r="Y89" s="19">
        <f>'재무상태표'!G27</f>
        <v/>
      </c>
      <c r="Z89" s="20">
        <f>'재무상태표'!G27</f>
        <v/>
      </c>
      <c r="AA89" s="20">
        <f>'재무상태표'!G27</f>
        <v/>
      </c>
      <c r="AB89" s="20">
        <f>'재무상태표'!G27</f>
        <v/>
      </c>
      <c r="AC89" s="20">
        <f>'재무상태표'!G27</f>
        <v/>
      </c>
    </row>
    <row r="90">
      <c r="A90" s="13" t="inlineStr">
        <is>
          <t>부채비율</t>
        </is>
      </c>
      <c r="B90" s="10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4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>
        <f>IF(OR(X89="",X88=""),"",IFERROR(X89/X88,""))</f>
        <v/>
      </c>
      <c r="Y90" s="14">
        <f>IF(OR(Y89="",Y88=""),"",IFERROR(Y89/Y88,""))</f>
        <v/>
      </c>
      <c r="Z90" s="15">
        <f>IF(OR(Z89="",Z88=""),"",IFERROR(Z89/Z88,""))</f>
        <v/>
      </c>
      <c r="AA90" s="15">
        <f>IF(OR(AA89="",AA88=""),"",IFERROR(AA89/AA88,""))</f>
        <v/>
      </c>
      <c r="AB90" s="15">
        <f>IF(OR(AB89="",AB88=""),"",IFERROR(AB89/AB88,""))</f>
        <v/>
      </c>
      <c r="AC90" s="15">
        <f>IF(OR(AC89="",AC88=""),"",IFERROR(AC89/AC88,""))</f>
        <v/>
      </c>
    </row>
    <row r="91">
      <c r="A91" s="9" t="inlineStr">
        <is>
          <t>자산가치</t>
        </is>
      </c>
      <c r="B91" s="10" t="inlineStr">
        <is>
          <t>현금+단기금융+투자부동산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>
        <f>SUM(X85,X86,X87)</f>
        <v/>
      </c>
      <c r="Y91" s="11">
        <f>SUM(Y85,Y86,Y87)</f>
        <v/>
      </c>
      <c r="Z91" s="12">
        <f>SUM(Z85,Z86,Z87)</f>
        <v/>
      </c>
      <c r="AA91" s="12">
        <f>SUM(AA85,AA86,AA87)</f>
        <v/>
      </c>
      <c r="AB91" s="12">
        <f>SUM(AB85,AB86,AB87)</f>
        <v/>
      </c>
      <c r="AC91" s="12">
        <f>SUM(AC85,AC86,AC87)</f>
        <v/>
      </c>
    </row>
    <row r="92">
      <c r="A92" s="16" t="inlineStr">
        <is>
          <t>기업가치 산출</t>
        </is>
      </c>
      <c r="B92" s="16" t="n"/>
      <c r="C92" s="17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7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7" t="n"/>
      <c r="Z92" s="16" t="n"/>
      <c r="AA92" s="16" t="n"/>
      <c r="AB92" s="16" t="n"/>
      <c r="AC92" s="16" t="n"/>
    </row>
    <row r="93">
      <c r="A93" s="18" t="inlineStr">
        <is>
          <t>목표 시가총액 (P/E)</t>
        </is>
      </c>
      <c r="B93" s="10" t="inlineStr">
        <is>
          <t>지배순이익 × Target P/E</t>
        </is>
      </c>
      <c r="C93" s="19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19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19">
        <f>IF(OR(Y70="",Y80=""),"",IFERROR(Y70*Y80,""))</f>
        <v/>
      </c>
      <c r="Z93" s="20">
        <f>IF(OR(Z70="",Z80=""),"",IFERROR(Z70*Z80,""))</f>
        <v/>
      </c>
      <c r="AA93" s="20">
        <f>IF(OR(AA70="",AA80=""),"",IFERROR(AA70*AA80,""))</f>
        <v/>
      </c>
      <c r="AB93" s="20">
        <f>IF(OR(AB70="",AB80=""),"",IFERROR(AB70*AB80,""))</f>
        <v/>
      </c>
      <c r="AC93" s="20">
        <f>IF(OR(AC70="",AC80=""),"",IFERROR(AC70*AC80,""))</f>
        <v/>
      </c>
    </row>
    <row r="94">
      <c r="A94" s="9" t="inlineStr">
        <is>
          <t>기업가치</t>
        </is>
      </c>
      <c r="B94" s="10" t="inlineStr">
        <is>
          <t>목표시총 + 자산가치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1">
        <f>IF(OR(Y93=""),"",IFERROR(Y93+Y91,""))</f>
        <v/>
      </c>
      <c r="Z94" s="12">
        <f>IF(OR(Z93=""),"",IFERROR(Z93+Z91,""))</f>
        <v/>
      </c>
      <c r="AA94" s="12">
        <f>IF(OR(AA93=""),"",IFERROR(AA93+AA91,""))</f>
        <v/>
      </c>
      <c r="AB94" s="12">
        <f>IF(OR(AB93=""),"",IFERROR(AB93+AB91,""))</f>
        <v/>
      </c>
      <c r="AC94" s="12">
        <f>IF(OR(AC93=""),"",IFERROR(AC93+AC91,""))</f>
        <v/>
      </c>
    </row>
    <row r="95">
      <c r="A95" s="18" t="inlineStr">
        <is>
          <t>현재 시가총액</t>
        </is>
      </c>
      <c r="B95" s="10" t="n"/>
      <c r="C95" s="19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19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19">
        <f>$B$76</f>
        <v/>
      </c>
      <c r="Z95" s="20">
        <f>$B$76</f>
        <v/>
      </c>
      <c r="AA95" s="20">
        <f>$B$76</f>
        <v/>
      </c>
      <c r="AB95" s="20">
        <f>$B$76</f>
        <v/>
      </c>
      <c r="AC95" s="20">
        <f>$B$76</f>
        <v/>
      </c>
    </row>
    <row r="96">
      <c r="A96" s="18" t="inlineStr">
        <is>
          <t>상승여력</t>
        </is>
      </c>
      <c r="B96" s="10" t="n"/>
      <c r="C96" s="35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5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7">
        <f>IF(OR(Y94="",Y95=""),"",IFERROR(Y94/Y95-1,""))</f>
        <v/>
      </c>
      <c r="Z96" s="38">
        <f>IF(OR(Z94="",Z95=""),"",IFERROR(Z94/Z95-1,""))</f>
        <v/>
      </c>
      <c r="AA96" s="38">
        <f>IF(OR(AA94="",AA95=""),"",IFERROR(AA94/AA95-1,""))</f>
        <v/>
      </c>
      <c r="AB96" s="38">
        <f>IF(OR(AB94="",AB95=""),"",IFERROR(AB94/AB95-1,""))</f>
        <v/>
      </c>
      <c r="AC96" s="38">
        <f>IF(OR(AC94="",AC95=""),"",IFERROR(AC94/AC95-1,""))</f>
        <v/>
      </c>
    </row>
    <row r="97">
      <c r="C97" s="39" t="n"/>
      <c r="O97" s="39" t="n"/>
      <c r="Y97" s="39" t="n"/>
    </row>
    <row r="98">
      <c r="A98" s="40" t="inlineStr">
        <is>
          <t>출처</t>
        </is>
      </c>
      <c r="C98" s="39" t="n"/>
      <c r="O98" s="39" t="n"/>
      <c r="Y98" s="39" t="n"/>
    </row>
    <row r="99">
      <c r="A99" s="41" t="inlineStr">
        <is>
          <t>결산단신 XBRL(TDnet·JPX 보관소) — 쓴 문서는 '출처' 시트</t>
        </is>
      </c>
      <c r="C99" s="39" t="n"/>
      <c r="O99" s="39" t="n"/>
      <c r="Y99" s="39" t="n"/>
    </row>
    <row r="100">
      <c r="A100" s="41" t="inlineStr">
        <is>
          <t>분기 = 누계에서 앞 분기를 뺀 3개월 값</t>
        </is>
      </c>
      <c r="C100" s="39" t="n"/>
      <c r="O100" s="39" t="n"/>
      <c r="Y100" s="39" t="n"/>
    </row>
    <row r="101">
      <c r="A101" s="41" t="inlineStr">
        <is>
          <t>주가: 야후 파이낸스 일봉</t>
        </is>
      </c>
      <c r="C101" s="39" t="n"/>
      <c r="O101" s="39" t="n"/>
      <c r="Y101" s="39" t="n"/>
    </row>
    <row r="103">
      <c r="A103" s="16" t="inlineStr">
        <is>
          <t>손익계산서 · 전 항목</t>
        </is>
      </c>
      <c r="B103" s="42" t="inlineStr">
        <is>
          <t>분기 = 3개월 단독</t>
        </is>
      </c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</row>
    <row r="104">
      <c r="A104" s="5" t="inlineStr">
        <is>
          <t>항목</t>
        </is>
      </c>
      <c r="B104" s="5" t="inlineStr">
        <is>
          <t>참고</t>
        </is>
      </c>
      <c r="C104" s="5" t="inlineStr">
        <is>
          <t>2024.3Q</t>
        </is>
      </c>
      <c r="D104" s="5" t="inlineStr">
        <is>
          <t>2024.4Q</t>
        </is>
      </c>
      <c r="E104" s="5" t="inlineStr">
        <is>
          <t>2025.1Q</t>
        </is>
      </c>
      <c r="F104" s="5" t="inlineStr">
        <is>
          <t>2025.2Q</t>
        </is>
      </c>
      <c r="G104" s="5" t="inlineStr">
        <is>
          <t>2025.3Q</t>
        </is>
      </c>
      <c r="H104" s="5" t="inlineStr">
        <is>
          <t>2025.4Q</t>
        </is>
      </c>
      <c r="I104" s="5" t="inlineStr">
        <is>
          <t>2026.1Q</t>
        </is>
      </c>
      <c r="J104" s="5" t="inlineStr">
        <is>
          <t>2026.2Q</t>
        </is>
      </c>
      <c r="K104" s="5" t="inlineStr">
        <is>
          <t>2026.3Q</t>
        </is>
      </c>
      <c r="L104" s="5" t="inlineStr">
        <is>
          <t>2026.4Q</t>
        </is>
      </c>
      <c r="M104" s="5" t="inlineStr">
        <is>
          <t>2027.1Q</t>
        </is>
      </c>
      <c r="N104" s="5" t="inlineStr">
        <is>
          <t>2027.2Q</t>
        </is>
      </c>
      <c r="O104" s="5" t="inlineStr">
        <is>
          <t>2017</t>
        </is>
      </c>
      <c r="P104" s="5" t="inlineStr">
        <is>
          <t>2018</t>
        </is>
      </c>
      <c r="Q104" s="5" t="inlineStr">
        <is>
          <t>2019</t>
        </is>
      </c>
      <c r="R104" s="5" t="inlineStr">
        <is>
          <t>2020</t>
        </is>
      </c>
      <c r="S104" s="5" t="inlineStr">
        <is>
          <t>2021</t>
        </is>
      </c>
      <c r="T104" s="5" t="inlineStr">
        <is>
          <t>2022</t>
        </is>
      </c>
      <c r="U104" s="5" t="inlineStr">
        <is>
          <t>2023</t>
        </is>
      </c>
      <c r="V104" s="5" t="inlineStr">
        <is>
          <t>2024</t>
        </is>
      </c>
      <c r="W104" s="5" t="inlineStr">
        <is>
          <t>2025</t>
        </is>
      </c>
      <c r="X104" s="5" t="inlineStr">
        <is>
          <t>2026</t>
        </is>
      </c>
      <c r="Y104" s="5" t="inlineStr">
        <is>
          <t>2027(MW)</t>
        </is>
      </c>
      <c r="Z104" s="5" t="inlineStr">
        <is>
          <t>2028(MW)</t>
        </is>
      </c>
      <c r="AA104" s="5" t="inlineStr">
        <is>
          <t>2029(MW)</t>
        </is>
      </c>
      <c r="AB104" s="5" t="inlineStr">
        <is>
          <t>2030(MW)</t>
        </is>
      </c>
      <c r="AC104" s="5" t="inlineStr">
        <is>
          <t>2031(MW)</t>
        </is>
      </c>
    </row>
    <row r="105">
      <c r="A105" s="18" t="inlineStr">
        <is>
          <t>영업수익</t>
        </is>
      </c>
      <c r="C105" s="20" t="n">
        <v>329248</v>
      </c>
      <c r="D105" s="20" t="n">
        <v>297156</v>
      </c>
      <c r="E105" s="20" t="n">
        <v>259056</v>
      </c>
      <c r="F105" s="20" t="n">
        <v>381669</v>
      </c>
      <c r="G105" s="20" t="n">
        <v>318234</v>
      </c>
      <c r="H105" s="20" t="n">
        <v>357715</v>
      </c>
      <c r="I105" s="20" t="n">
        <v>250297</v>
      </c>
      <c r="J105" s="20" t="n">
        <v>321117</v>
      </c>
      <c r="K105" s="20" t="n">
        <v>293145</v>
      </c>
      <c r="L105" s="20" t="n">
        <v>317701</v>
      </c>
      <c r="M105" s="20" t="n">
        <v>280273</v>
      </c>
      <c r="N105" s="20" t="n">
        <v>411181</v>
      </c>
      <c r="T105" s="20" t="n">
        <v>375108</v>
      </c>
      <c r="U105" s="20" t="n">
        <v>440368</v>
      </c>
      <c r="V105" s="20" t="n">
        <v>297156</v>
      </c>
      <c r="W105" s="20" t="n">
        <v>357715</v>
      </c>
      <c r="X105" s="20" t="n">
        <v>317701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IF(OR(G105="",C105=""),"",IF(C105&lt;=0,"",IFERROR(G105/C105-1,"")))</f>
        <v/>
      </c>
      <c r="H106" s="15">
        <f>IF(OR(H105="",D105=""),"",IF(D105&lt;=0,"",IFERROR(H105/D105-1,"")))</f>
        <v/>
      </c>
      <c r="I106" s="15">
        <f>IF(OR(I105="",E105=""),"",IF(E105&lt;=0,"",IFERROR(I105/E105-1,"")))</f>
        <v/>
      </c>
      <c r="J106" s="15">
        <f>IF(OR(J105="",F105=""),"",IF(F105&lt;=0,"",IFERROR(J105/F105-1,"")))</f>
        <v/>
      </c>
      <c r="K106" s="15">
        <f>IF(OR(K105="",G105=""),"",IF(G105&lt;=0,"",IFERROR(K105/G105-1,"")))</f>
        <v/>
      </c>
      <c r="L106" s="15">
        <f>IF(OR(L105="",H105=""),"",IF(H105&lt;=0,"",IFERROR(L105/H105-1,"")))</f>
        <v/>
      </c>
      <c r="M106" s="15">
        <f>IF(OR(M105="",I105=""),"",IF(I105&lt;=0,"",IFERROR(M105/I105-1,"")))</f>
        <v/>
      </c>
      <c r="N106" s="15">
        <f>IF(OR(N105="",J105=""),"",IF(J105&lt;=0,"",IFERROR(N105/J105-1,"")))</f>
        <v/>
      </c>
      <c r="T106" s="15">
        <f>IF(OR(T105="",S105=""),"",IF(S105&lt;=0,"",IFERROR(T105/S105-1,"")))</f>
        <v/>
      </c>
      <c r="U106" s="15">
        <f>IF(OR(U105="",T105=""),"",IF(T105&lt;=0,"",IFERROR(U105/T105-1,"")))</f>
        <v/>
      </c>
      <c r="V106" s="15">
        <f>IF(OR(V105="",U105=""),"",IF(U105&lt;=0,"",IFERROR(V105/U105-1,"")))</f>
        <v/>
      </c>
      <c r="W106" s="15">
        <f>IF(OR(W105="",V105=""),"",IF(V105&lt;=0,"",IFERROR(W105/V105-1,"")))</f>
        <v/>
      </c>
      <c r="X106" s="15">
        <f>IF(OR(X105="",W105=""),"",IF(W105&lt;=0,"",IFERROR(X105/W105-1,"")))</f>
        <v/>
      </c>
    </row>
    <row r="107">
      <c r="A107" s="18" t="inlineStr">
        <is>
          <t>Electric Utility Operating Revenue ELE</t>
        </is>
      </c>
      <c r="C107" s="20" t="n">
        <v>252310</v>
      </c>
      <c r="D107" s="20" t="n">
        <v>229216</v>
      </c>
      <c r="E107" s="20" t="n">
        <v>185958</v>
      </c>
      <c r="F107" s="20" t="n">
        <v>280518</v>
      </c>
      <c r="G107" s="20" t="n">
        <v>249454</v>
      </c>
      <c r="H107" s="20" t="n">
        <v>272757</v>
      </c>
      <c r="I107" s="20" t="n">
        <v>188168</v>
      </c>
      <c r="J107" s="20" t="n">
        <v>243500</v>
      </c>
      <c r="K107" s="20" t="n">
        <v>217981</v>
      </c>
      <c r="L107" s="20" t="n">
        <v>236407</v>
      </c>
      <c r="M107" s="20" t="n">
        <v>201197</v>
      </c>
      <c r="N107" s="20" t="n">
        <v>292011</v>
      </c>
      <c r="T107" s="20" t="n">
        <v>309194</v>
      </c>
      <c r="U107" s="20" t="n">
        <v>333051</v>
      </c>
      <c r="V107" s="20" t="n">
        <v>229216</v>
      </c>
      <c r="W107" s="20" t="n">
        <v>272757</v>
      </c>
      <c r="X107" s="20" t="n">
        <v>236407</v>
      </c>
    </row>
    <row r="108">
      <c r="A108" s="18" t="inlineStr">
        <is>
          <t>Overseas Business Operating Revenue ELE</t>
        </is>
      </c>
      <c r="C108" s="20" t="n">
        <v>57074</v>
      </c>
      <c r="D108" s="20" t="n">
        <v>43760</v>
      </c>
      <c r="E108" s="20" t="n">
        <v>57109</v>
      </c>
      <c r="F108" s="20" t="n">
        <v>75565</v>
      </c>
      <c r="G108" s="20" t="n">
        <v>53271</v>
      </c>
      <c r="H108" s="20" t="n">
        <v>58728</v>
      </c>
      <c r="I108" s="20" t="n">
        <v>49678</v>
      </c>
      <c r="J108" s="20" t="n">
        <v>59923</v>
      </c>
      <c r="K108" s="20" t="n">
        <v>58200</v>
      </c>
      <c r="L108" s="20" t="n">
        <v>60095</v>
      </c>
      <c r="M108" s="20" t="n">
        <v>66458</v>
      </c>
      <c r="N108" s="20" t="n">
        <v>102028</v>
      </c>
      <c r="T108" s="20" t="n">
        <v>42657</v>
      </c>
      <c r="U108" s="20" t="n">
        <v>72425</v>
      </c>
      <c r="V108" s="20" t="n">
        <v>43760</v>
      </c>
      <c r="W108" s="20" t="n">
        <v>58728</v>
      </c>
      <c r="X108" s="20" t="n">
        <v>60095</v>
      </c>
    </row>
    <row r="109">
      <c r="A109" s="18" t="inlineStr">
        <is>
          <t>Other Business Operating Revenue ELE</t>
        </is>
      </c>
      <c r="C109" s="20" t="n">
        <v>19865</v>
      </c>
      <c r="D109" s="20" t="n">
        <v>24178</v>
      </c>
      <c r="E109" s="20" t="n">
        <v>15988</v>
      </c>
      <c r="F109" s="20" t="n">
        <v>25586</v>
      </c>
      <c r="G109" s="20" t="n">
        <v>15510</v>
      </c>
      <c r="H109" s="20" t="n">
        <v>26229</v>
      </c>
      <c r="I109" s="20" t="n">
        <v>12449</v>
      </c>
      <c r="J109" s="20" t="n">
        <v>17694</v>
      </c>
      <c r="K109" s="20" t="n">
        <v>16965</v>
      </c>
      <c r="L109" s="20" t="n">
        <v>21199</v>
      </c>
      <c r="M109" s="20" t="n">
        <v>12616</v>
      </c>
      <c r="N109" s="20" t="n">
        <v>17143</v>
      </c>
      <c r="T109" s="20" t="n">
        <v>23257</v>
      </c>
      <c r="U109" s="20" t="n">
        <v>34891</v>
      </c>
      <c r="V109" s="20" t="n">
        <v>24178</v>
      </c>
      <c r="W109" s="20" t="n">
        <v>26229</v>
      </c>
      <c r="X109" s="20" t="n">
        <v>21199</v>
      </c>
    </row>
    <row r="110">
      <c r="A110" s="18" t="inlineStr">
        <is>
          <t>영업비용</t>
        </is>
      </c>
      <c r="C110" s="20" t="n">
        <v>290522</v>
      </c>
      <c r="D110" s="20" t="n">
        <v>275176</v>
      </c>
      <c r="E110" s="20" t="n">
        <v>226379</v>
      </c>
      <c r="F110" s="20" t="n">
        <v>343555</v>
      </c>
      <c r="G110" s="20" t="n">
        <v>274730</v>
      </c>
      <c r="H110" s="20" t="n">
        <v>333699</v>
      </c>
      <c r="I110" s="20" t="n">
        <v>217819</v>
      </c>
      <c r="J110" s="20" t="n">
        <v>299989</v>
      </c>
      <c r="K110" s="20" t="n">
        <v>258485</v>
      </c>
      <c r="L110" s="20" t="n">
        <v>304974</v>
      </c>
      <c r="M110" s="20" t="n">
        <v>243990</v>
      </c>
      <c r="N110" s="20" t="n">
        <v>365767</v>
      </c>
      <c r="T110" s="20" t="n">
        <v>352062</v>
      </c>
      <c r="U110" s="20" t="n">
        <v>418012</v>
      </c>
      <c r="V110" s="20" t="n">
        <v>275176</v>
      </c>
      <c r="W110" s="20" t="n">
        <v>333699</v>
      </c>
      <c r="X110" s="20" t="n">
        <v>304974</v>
      </c>
    </row>
    <row r="111">
      <c r="A111" s="18" t="inlineStr">
        <is>
          <t>Electric Utility Operating Expenses ELE</t>
        </is>
      </c>
      <c r="C111" s="20" t="n">
        <v>231730</v>
      </c>
      <c r="D111" s="20" t="n">
        <v>221052</v>
      </c>
      <c r="E111" s="20" t="n">
        <v>161090</v>
      </c>
      <c r="F111" s="20" t="n">
        <v>255594</v>
      </c>
      <c r="G111" s="20" t="n">
        <v>222603</v>
      </c>
      <c r="H111" s="20" t="n">
        <v>267563</v>
      </c>
      <c r="I111" s="20" t="n">
        <v>158547</v>
      </c>
      <c r="J111" s="20" t="n">
        <v>230640</v>
      </c>
      <c r="K111" s="20" t="n">
        <v>198575</v>
      </c>
      <c r="L111" s="20" t="n">
        <v>238558</v>
      </c>
      <c r="M111" s="20" t="n">
        <v>174935</v>
      </c>
      <c r="N111" s="20" t="n">
        <v>257986</v>
      </c>
      <c r="T111" s="20" t="n">
        <v>298525</v>
      </c>
      <c r="U111" s="20" t="n">
        <v>326185</v>
      </c>
      <c r="V111" s="20" t="n">
        <v>221052</v>
      </c>
      <c r="W111" s="20" t="n">
        <v>267563</v>
      </c>
      <c r="X111" s="20" t="n">
        <v>238558</v>
      </c>
    </row>
    <row r="112">
      <c r="A112" s="18" t="inlineStr">
        <is>
          <t>Overseas Business Operating Expenses ELE</t>
        </is>
      </c>
      <c r="C112" s="20" t="n">
        <v>45929</v>
      </c>
      <c r="D112" s="20" t="n">
        <v>36211</v>
      </c>
      <c r="E112" s="20" t="n">
        <v>50670</v>
      </c>
      <c r="F112" s="20" t="n">
        <v>67414</v>
      </c>
      <c r="G112" s="20" t="n">
        <v>39685</v>
      </c>
      <c r="H112" s="20" t="n">
        <v>48862</v>
      </c>
      <c r="I112" s="20" t="n">
        <v>45740</v>
      </c>
      <c r="J112" s="20" t="n">
        <v>51144</v>
      </c>
      <c r="K112" s="20" t="n">
        <v>44068</v>
      </c>
      <c r="L112" s="20" t="n">
        <v>48438</v>
      </c>
      <c r="M112" s="20" t="n">
        <v>54687</v>
      </c>
      <c r="N112" s="20" t="n">
        <v>90548</v>
      </c>
      <c r="T112" s="20" t="n">
        <v>35614</v>
      </c>
      <c r="U112" s="20" t="n">
        <v>75409</v>
      </c>
      <c r="V112" s="20" t="n">
        <v>36211</v>
      </c>
      <c r="W112" s="20" t="n">
        <v>48862</v>
      </c>
      <c r="X112" s="20" t="n">
        <v>48438</v>
      </c>
    </row>
    <row r="113">
      <c r="A113" s="18" t="inlineStr">
        <is>
          <t>Other Business Operating Expenses ELE</t>
        </is>
      </c>
      <c r="C113" s="20" t="n">
        <v>12862</v>
      </c>
      <c r="D113" s="20" t="n">
        <v>17914</v>
      </c>
      <c r="E113" s="20" t="n">
        <v>14618</v>
      </c>
      <c r="F113" s="20" t="n">
        <v>20547</v>
      </c>
      <c r="G113" s="20" t="n">
        <v>12442</v>
      </c>
      <c r="H113" s="20" t="n">
        <v>17275</v>
      </c>
      <c r="I113" s="20" t="n">
        <v>13532</v>
      </c>
      <c r="J113" s="20" t="n">
        <v>18204</v>
      </c>
      <c r="K113" s="20" t="n">
        <v>15842</v>
      </c>
      <c r="L113" s="20" t="n">
        <v>17978</v>
      </c>
      <c r="M113" s="20" t="n">
        <v>14367</v>
      </c>
      <c r="N113" s="20" t="n">
        <v>17233</v>
      </c>
      <c r="T113" s="20" t="n">
        <v>17922</v>
      </c>
      <c r="U113" s="20" t="n">
        <v>16418</v>
      </c>
      <c r="V113" s="20" t="n">
        <v>17914</v>
      </c>
      <c r="W113" s="20" t="n">
        <v>17275</v>
      </c>
      <c r="X113" s="20" t="n">
        <v>17978</v>
      </c>
    </row>
    <row r="114">
      <c r="A114" s="9" t="inlineStr">
        <is>
          <t>영업이익</t>
        </is>
      </c>
      <c r="C114" s="12" t="n">
        <v>38727</v>
      </c>
      <c r="D114" s="12" t="n">
        <v>21979</v>
      </c>
      <c r="E114" s="12" t="n">
        <v>32676</v>
      </c>
      <c r="F114" s="12" t="n">
        <v>38115</v>
      </c>
      <c r="G114" s="12" t="n">
        <v>43503</v>
      </c>
      <c r="H114" s="12" t="n">
        <v>24016</v>
      </c>
      <c r="I114" s="12" t="n">
        <v>32477</v>
      </c>
      <c r="J114" s="12" t="n">
        <v>21128</v>
      </c>
      <c r="K114" s="12" t="n">
        <v>34660</v>
      </c>
      <c r="L114" s="12" t="n">
        <v>12727</v>
      </c>
      <c r="M114" s="12" t="n">
        <v>36282</v>
      </c>
      <c r="N114" s="12" t="n">
        <v>45415</v>
      </c>
      <c r="T114" s="12" t="n">
        <v>23047</v>
      </c>
      <c r="U114" s="12" t="n">
        <v>22356</v>
      </c>
      <c r="V114" s="12" t="n">
        <v>21979</v>
      </c>
      <c r="W114" s="12" t="n">
        <v>24016</v>
      </c>
      <c r="X114" s="12" t="n">
        <v>12727</v>
      </c>
    </row>
    <row r="115">
      <c r="A115" s="43" t="inlineStr">
        <is>
          <t>OPM</t>
        </is>
      </c>
      <c r="B115" s="3" t="inlineStr">
        <is>
          <t>영업이익 ÷ 매출</t>
        </is>
      </c>
      <c r="C115" s="15">
        <f>IF(OR(C114="",C105=""),"",IF(C105&lt;=0,"",IFERROR(C114/C105,"")))</f>
        <v/>
      </c>
      <c r="D115" s="15">
        <f>IF(OR(D114="",D105=""),"",IF(D105&lt;=0,"",IFERROR(D114/D105,"")))</f>
        <v/>
      </c>
      <c r="E115" s="15">
        <f>IF(OR(E114="",E105=""),"",IF(E105&lt;=0,"",IFERROR(E114/E105,"")))</f>
        <v/>
      </c>
      <c r="F115" s="15">
        <f>IF(OR(F114="",F105=""),"",IF(F105&lt;=0,"",IFERROR(F114/F105,"")))</f>
        <v/>
      </c>
      <c r="G115" s="15">
        <f>IF(OR(G114="",G105=""),"",IF(G105&lt;=0,"",IFERROR(G114/G105,"")))</f>
        <v/>
      </c>
      <c r="H115" s="15">
        <f>IF(OR(H114="",H105=""),"",IF(H105&lt;=0,"",IFERROR(H114/H105,"")))</f>
        <v/>
      </c>
      <c r="I115" s="15">
        <f>IF(OR(I114="",I105=""),"",IF(I105&lt;=0,"",IFERROR(I114/I105,"")))</f>
        <v/>
      </c>
      <c r="J115" s="15">
        <f>IF(OR(J114="",J105=""),"",IF(J105&lt;=0,"",IFERROR(J114/J105,"")))</f>
        <v/>
      </c>
      <c r="K115" s="15">
        <f>IF(OR(K114="",K105=""),"",IF(K105&lt;=0,"",IFERROR(K114/K105,"")))</f>
        <v/>
      </c>
      <c r="L115" s="15">
        <f>IF(OR(L114="",L105=""),"",IF(L105&lt;=0,"",IFERROR(L114/L105,"")))</f>
        <v/>
      </c>
      <c r="M115" s="15">
        <f>IF(OR(M114="",M105=""),"",IF(M105&lt;=0,"",IFERROR(M114/M105,"")))</f>
        <v/>
      </c>
      <c r="N115" s="15">
        <f>IF(OR(N114="",N105=""),"",IF(N105&lt;=0,"",IFERROR(N114/N105,"")))</f>
        <v/>
      </c>
      <c r="T115" s="15">
        <f>IF(OR(T114="",T105=""),"",IF(T105&lt;=0,"",IFERROR(T114/T105,"")))</f>
        <v/>
      </c>
      <c r="U115" s="15">
        <f>IF(OR(U114="",U105=""),"",IF(U105&lt;=0,"",IFERROR(U114/U105,"")))</f>
        <v/>
      </c>
      <c r="V115" s="15">
        <f>IF(OR(V114="",V105=""),"",IF(V105&lt;=0,"",IFERROR(V114/V105,"")))</f>
        <v/>
      </c>
      <c r="W115" s="15">
        <f>IF(OR(W114="",W105=""),"",IF(W105&lt;=0,"",IFERROR(W114/W105,"")))</f>
        <v/>
      </c>
      <c r="X115" s="15">
        <f>IF(OR(X114="",X105=""),"",IF(X105&lt;=0,"",IFERROR(X114/X105,"")))</f>
        <v/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IF(OR(G114="",C114=""),"",IF(C114&lt;=0,"",IFERROR(G114/C114-1,"")))</f>
        <v/>
      </c>
      <c r="H116" s="15">
        <f>IF(OR(H114="",D114=""),"",IF(D114&lt;=0,"",IFERROR(H114/D114-1,"")))</f>
        <v/>
      </c>
      <c r="I116" s="15">
        <f>IF(OR(I114="",E114=""),"",IF(E114&lt;=0,"",IFERROR(I114/E114-1,"")))</f>
        <v/>
      </c>
      <c r="J116" s="15">
        <f>IF(OR(J114="",F114=""),"",IF(F114&lt;=0,"",IFERROR(J114/F114-1,"")))</f>
        <v/>
      </c>
      <c r="K116" s="15">
        <f>IF(OR(K114="",G114=""),"",IF(G114&lt;=0,"",IFERROR(K114/G114-1,"")))</f>
        <v/>
      </c>
      <c r="L116" s="15">
        <f>IF(OR(L114="",H114=""),"",IF(H114&lt;=0,"",IFERROR(L114/H114-1,"")))</f>
        <v/>
      </c>
      <c r="M116" s="15">
        <f>IF(OR(M114="",I114=""),"",IF(I114&lt;=0,"",IFERROR(M114/I114-1,"")))</f>
        <v/>
      </c>
      <c r="N116" s="15">
        <f>IF(OR(N114="",J114=""),"",IF(J114&lt;=0,"",IFERROR(N114/J114-1,"")))</f>
        <v/>
      </c>
      <c r="T116" s="15">
        <f>IF(OR(T114="",S114=""),"",IF(S114&lt;=0,"",IFERROR(T114/S114-1,"")))</f>
        <v/>
      </c>
      <c r="U116" s="15">
        <f>IF(OR(U114="",T114=""),"",IF(T114&lt;=0,"",IFERROR(U114/T114-1,"")))</f>
        <v/>
      </c>
      <c r="V116" s="15">
        <f>IF(OR(V114="",U114=""),"",IF(U114&lt;=0,"",IFERROR(V114/U114-1,"")))</f>
        <v/>
      </c>
      <c r="W116" s="15">
        <f>IF(OR(W114="",V114=""),"",IF(V114&lt;=0,"",IFERROR(W114/V114-1,"")))</f>
        <v/>
      </c>
      <c r="X116" s="15">
        <f>IF(OR(X114="",W114=""),"",IF(W114&lt;=0,"",IFERROR(X114/W114-1,"")))</f>
        <v/>
      </c>
    </row>
    <row r="117">
      <c r="A117" s="18" t="inlineStr">
        <is>
          <t>Non Operating Income</t>
        </is>
      </c>
      <c r="C117" s="20" t="n">
        <v>16121</v>
      </c>
      <c r="D117" s="20" t="n">
        <v>17193</v>
      </c>
      <c r="E117" s="20" t="n">
        <v>15088</v>
      </c>
      <c r="F117" s="20" t="n">
        <v>11135</v>
      </c>
      <c r="G117" s="20" t="n">
        <v>10087</v>
      </c>
      <c r="H117" s="20" t="n">
        <v>3666</v>
      </c>
      <c r="I117" s="20" t="n">
        <v>50905</v>
      </c>
      <c r="J117" s="20" t="n">
        <v>13747</v>
      </c>
      <c r="K117" s="20" t="n">
        <v>12261</v>
      </c>
      <c r="L117" s="20" t="n">
        <v>20483</v>
      </c>
      <c r="M117" s="20" t="n">
        <v>15605</v>
      </c>
      <c r="N117" s="20" t="n">
        <v>9357</v>
      </c>
      <c r="T117" s="20" t="n">
        <v>2542</v>
      </c>
      <c r="U117" s="20" t="n">
        <v>-3600</v>
      </c>
      <c r="V117" s="20" t="n">
        <v>17193</v>
      </c>
      <c r="W117" s="20" t="n">
        <v>3666</v>
      </c>
      <c r="X117" s="20" t="n">
        <v>20483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18" t="inlineStr">
        <is>
          <t>배당금수익</t>
        </is>
      </c>
      <c r="C119" s="20" t="n">
        <v>688</v>
      </c>
      <c r="D119" s="20" t="n">
        <v>73</v>
      </c>
      <c r="E119" s="20" t="n">
        <v>1274</v>
      </c>
      <c r="F119" s="20" t="n">
        <v>0</v>
      </c>
      <c r="G119" s="20" t="n">
        <v>1153</v>
      </c>
      <c r="H119" s="20" t="n">
        <v>178</v>
      </c>
      <c r="I119" s="20" t="n">
        <v>1373</v>
      </c>
      <c r="J119" s="20" t="n">
        <v>1</v>
      </c>
      <c r="K119" s="20" t="n">
        <v>813</v>
      </c>
      <c r="L119" s="20" t="n">
        <v>163</v>
      </c>
      <c r="M119" s="20" t="n">
        <v>2051</v>
      </c>
      <c r="N119" s="20" t="n">
        <v>239</v>
      </c>
      <c r="T119" s="20" t="n">
        <v>0</v>
      </c>
      <c r="U119" s="20" t="n">
        <v>218</v>
      </c>
      <c r="V119" s="20" t="n">
        <v>73</v>
      </c>
      <c r="W119" s="20" t="n">
        <v>178</v>
      </c>
      <c r="X119" s="20" t="n">
        <v>163</v>
      </c>
    </row>
    <row r="120">
      <c r="A120" s="18" t="inlineStr">
        <is>
          <t>이자수익</t>
        </is>
      </c>
      <c r="C120" s="20" t="n">
        <v>1897</v>
      </c>
      <c r="D120" s="20" t="n">
        <v>2157</v>
      </c>
      <c r="E120" s="20" t="n">
        <v>2220</v>
      </c>
      <c r="F120" s="20" t="n">
        <v>2470</v>
      </c>
      <c r="G120" s="20" t="n">
        <v>1991</v>
      </c>
      <c r="H120" s="20" t="n">
        <v>2743</v>
      </c>
      <c r="I120" s="20" t="n">
        <v>2316</v>
      </c>
      <c r="J120" s="20" t="n">
        <v>2380</v>
      </c>
      <c r="K120" s="20" t="n">
        <v>2604</v>
      </c>
      <c r="L120" s="20" t="n">
        <v>2855</v>
      </c>
      <c r="M120" s="20" t="n">
        <v>2220</v>
      </c>
      <c r="N120" s="20" t="n">
        <v>2522</v>
      </c>
      <c r="T120" s="20" t="n">
        <v>618</v>
      </c>
      <c r="U120" s="20" t="n">
        <v>1176</v>
      </c>
      <c r="V120" s="20" t="n">
        <v>2157</v>
      </c>
      <c r="W120" s="20" t="n">
        <v>2743</v>
      </c>
      <c r="X120" s="20" t="n">
        <v>2855</v>
      </c>
    </row>
    <row r="121">
      <c r="A121" s="18" t="inlineStr">
        <is>
          <t>지분법이익</t>
        </is>
      </c>
      <c r="C121" s="20" t="n">
        <v>8048</v>
      </c>
      <c r="D121" s="20" t="n">
        <v>9381</v>
      </c>
      <c r="E121" s="20" t="n">
        <v>4406</v>
      </c>
      <c r="F121" s="20" t="n">
        <v>8158</v>
      </c>
      <c r="G121" s="20" t="n">
        <v>-3090</v>
      </c>
      <c r="H121" s="20" t="n">
        <v>4990</v>
      </c>
      <c r="I121" s="20" t="n">
        <v>46520</v>
      </c>
      <c r="J121" s="20" t="n">
        <v>5190</v>
      </c>
      <c r="K121" s="20" t="n">
        <v>4871</v>
      </c>
      <c r="L121" s="20" t="n">
        <v>7297</v>
      </c>
      <c r="M121" s="20" t="n">
        <v>10110</v>
      </c>
      <c r="N121" s="20" t="n">
        <v>4001</v>
      </c>
      <c r="T121" s="20" t="n">
        <v>693</v>
      </c>
      <c r="U121" s="20" t="n">
        <v>-7491</v>
      </c>
      <c r="V121" s="20" t="n">
        <v>9381</v>
      </c>
      <c r="W121" s="20" t="n">
        <v>4990</v>
      </c>
      <c r="X121" s="20" t="n">
        <v>7297</v>
      </c>
    </row>
    <row r="122">
      <c r="A122" s="18" t="inlineStr">
        <is>
          <t>외환차익</t>
        </is>
      </c>
      <c r="E122" s="20" t="n">
        <v>0</v>
      </c>
    </row>
    <row r="123">
      <c r="A123" s="18" t="inlineStr">
        <is>
          <t>고정자산 매각이익</t>
        </is>
      </c>
      <c r="C123" s="20" t="n">
        <v>4595</v>
      </c>
      <c r="D123" s="20" t="n">
        <v>5</v>
      </c>
      <c r="E123" s="20" t="n">
        <v>5485</v>
      </c>
      <c r="F123" s="20" t="n">
        <v>2</v>
      </c>
      <c r="G123" s="20" t="n">
        <v>2206</v>
      </c>
      <c r="H123" s="20" t="n">
        <v>-175</v>
      </c>
      <c r="I123" s="20" t="n">
        <v>0</v>
      </c>
      <c r="V123" s="20" t="n">
        <v>5</v>
      </c>
      <c r="W123" s="20" t="n">
        <v>-175</v>
      </c>
    </row>
    <row r="124">
      <c r="A124" s="18" t="inlineStr">
        <is>
          <t>기타</t>
        </is>
      </c>
      <c r="C124" s="20" t="n">
        <v>894</v>
      </c>
      <c r="D124" s="20" t="n">
        <v>5577</v>
      </c>
      <c r="E124" s="20" t="n">
        <v>1702</v>
      </c>
      <c r="F124" s="20" t="n">
        <v>5990</v>
      </c>
      <c r="G124" s="20" t="n">
        <v>10034</v>
      </c>
      <c r="H124" s="20" t="n">
        <v>-4244</v>
      </c>
      <c r="I124" s="20" t="n">
        <v>694</v>
      </c>
      <c r="J124" s="20" t="n">
        <v>6177</v>
      </c>
      <c r="K124" s="20" t="n">
        <v>3972</v>
      </c>
      <c r="L124" s="20" t="n">
        <v>10168</v>
      </c>
      <c r="M124" s="20" t="n">
        <v>1222</v>
      </c>
      <c r="N124" s="20" t="n">
        <v>2596</v>
      </c>
      <c r="T124" s="20" t="n">
        <v>1168</v>
      </c>
      <c r="U124" s="20" t="n">
        <v>2497</v>
      </c>
      <c r="V124" s="20" t="n">
        <v>5577</v>
      </c>
      <c r="W124" s="20" t="n">
        <v>-4244</v>
      </c>
      <c r="X124" s="20" t="n">
        <v>10168</v>
      </c>
    </row>
    <row r="125">
      <c r="A125" s="18" t="inlineStr">
        <is>
          <t>Non Operating Expenses</t>
        </is>
      </c>
      <c r="C125" s="20" t="n">
        <v>12469</v>
      </c>
      <c r="D125" s="20" t="n">
        <v>5438</v>
      </c>
      <c r="E125" s="20" t="n">
        <v>12721</v>
      </c>
      <c r="F125" s="20" t="n">
        <v>13234</v>
      </c>
      <c r="G125" s="20" t="n">
        <v>-404</v>
      </c>
      <c r="H125" s="20" t="n">
        <v>12641</v>
      </c>
      <c r="I125" s="20" t="n">
        <v>10314</v>
      </c>
      <c r="J125" s="20" t="n">
        <v>11578</v>
      </c>
      <c r="K125" s="20" t="n">
        <v>11803</v>
      </c>
      <c r="L125" s="20" t="n">
        <v>6162</v>
      </c>
      <c r="M125" s="20" t="n">
        <v>12326</v>
      </c>
      <c r="N125" s="20" t="n">
        <v>12263</v>
      </c>
      <c r="T125" s="20" t="n">
        <v>7609</v>
      </c>
      <c r="U125" s="20" t="n">
        <v>6212</v>
      </c>
      <c r="V125" s="20" t="n">
        <v>5438</v>
      </c>
      <c r="W125" s="20" t="n">
        <v>12641</v>
      </c>
      <c r="X125" s="20" t="n">
        <v>6162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M126" s="15">
        <f>IF(OR(M125="",I125=""),"",IF(M125*I125&lt;=0,"",IFERROR(M125/I125-1,"")))</f>
        <v/>
      </c>
      <c r="N126" s="15">
        <f>IF(OR(N125="",J125=""),"",IF(N125*J125&lt;=0,"",IFERROR(N125/J125-1,"")))</f>
        <v/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  <c r="X126" s="15">
        <f>IF(OR(X125="",W125=""),"",IF(X125*W125&lt;=0,"",IFERROR(X125/W125-1,"")))</f>
        <v/>
      </c>
    </row>
    <row r="127">
      <c r="A127" s="18" t="inlineStr">
        <is>
          <t>이자비용</t>
        </is>
      </c>
      <c r="C127" s="20" t="n">
        <v>7893</v>
      </c>
      <c r="D127" s="20" t="n">
        <v>7360</v>
      </c>
      <c r="E127" s="20" t="n">
        <v>7662</v>
      </c>
      <c r="F127" s="20" t="n">
        <v>8155</v>
      </c>
      <c r="G127" s="20" t="n">
        <v>7703</v>
      </c>
      <c r="H127" s="20" t="n">
        <v>9482</v>
      </c>
      <c r="I127" s="20" t="n">
        <v>6816</v>
      </c>
      <c r="J127" s="20" t="n">
        <v>7609</v>
      </c>
      <c r="K127" s="20" t="n">
        <v>8270</v>
      </c>
      <c r="L127" s="20" t="n">
        <v>9234</v>
      </c>
      <c r="M127" s="20" t="n">
        <v>8612</v>
      </c>
      <c r="N127" s="20" t="n">
        <v>9364</v>
      </c>
      <c r="T127" s="20" t="n">
        <v>5903</v>
      </c>
      <c r="U127" s="20" t="n">
        <v>7203</v>
      </c>
      <c r="V127" s="20" t="n">
        <v>7360</v>
      </c>
      <c r="W127" s="20" t="n">
        <v>9482</v>
      </c>
      <c r="X127" s="20" t="n">
        <v>9234</v>
      </c>
    </row>
    <row r="128">
      <c r="A128" s="18" t="inlineStr">
        <is>
          <t>외환차손</t>
        </is>
      </c>
      <c r="E128" s="20" t="n">
        <v>4098</v>
      </c>
      <c r="F128" s="20" t="n">
        <v>4970</v>
      </c>
      <c r="I128" s="20" t="n">
        <v>797</v>
      </c>
      <c r="J128" s="20" t="n">
        <v>-797</v>
      </c>
      <c r="M128" s="20" t="n">
        <v>2832</v>
      </c>
      <c r="N128" s="20" t="n">
        <v>2283</v>
      </c>
      <c r="T128" s="20" t="n">
        <v>-2216</v>
      </c>
    </row>
    <row r="129">
      <c r="A129" s="18" t="inlineStr">
        <is>
          <t>기타</t>
        </is>
      </c>
      <c r="C129" s="20" t="n">
        <v>4911</v>
      </c>
      <c r="D129" s="20" t="n">
        <v>-1922</v>
      </c>
      <c r="E129" s="20" t="n">
        <v>5059</v>
      </c>
      <c r="F129" s="20" t="n">
        <v>-3990</v>
      </c>
      <c r="G129" s="20" t="n">
        <v>961</v>
      </c>
      <c r="H129" s="20" t="n">
        <v>3159</v>
      </c>
      <c r="I129" s="20" t="n">
        <v>2700</v>
      </c>
      <c r="J129" s="20" t="n">
        <v>4766</v>
      </c>
      <c r="K129" s="20" t="n">
        <v>3533</v>
      </c>
      <c r="L129" s="20" t="n">
        <v>-3071</v>
      </c>
      <c r="M129" s="20" t="n">
        <v>881</v>
      </c>
      <c r="N129" s="20" t="n">
        <v>615</v>
      </c>
      <c r="T129" s="20" t="n">
        <v>9699</v>
      </c>
      <c r="U129" s="20" t="n">
        <v>-992</v>
      </c>
      <c r="V129" s="20" t="n">
        <v>-1922</v>
      </c>
      <c r="W129" s="20" t="n">
        <v>3159</v>
      </c>
      <c r="X129" s="20" t="n">
        <v>-3071</v>
      </c>
    </row>
    <row r="130">
      <c r="A130" s="18" t="inlineStr">
        <is>
          <t>Ordinary Revenue ELE</t>
        </is>
      </c>
      <c r="C130" s="20" t="n">
        <v>345370</v>
      </c>
      <c r="D130" s="20" t="n">
        <v>314348</v>
      </c>
      <c r="E130" s="20" t="n">
        <v>274145</v>
      </c>
      <c r="F130" s="20" t="n">
        <v>392804</v>
      </c>
      <c r="G130" s="20" t="n">
        <v>328320</v>
      </c>
      <c r="H130" s="20" t="n">
        <v>361382</v>
      </c>
      <c r="I130" s="20" t="n">
        <v>301202</v>
      </c>
      <c r="J130" s="20" t="n">
        <v>334864</v>
      </c>
      <c r="K130" s="20" t="n">
        <v>305406</v>
      </c>
      <c r="L130" s="20" t="n">
        <v>338185</v>
      </c>
      <c r="M130" s="20" t="n">
        <v>295878</v>
      </c>
      <c r="N130" s="20" t="n">
        <v>420539</v>
      </c>
      <c r="T130" s="20" t="n">
        <v>377651</v>
      </c>
      <c r="U130" s="20" t="n">
        <v>436767</v>
      </c>
      <c r="V130" s="20" t="n">
        <v>314348</v>
      </c>
      <c r="W130" s="20" t="n">
        <v>361382</v>
      </c>
      <c r="X130" s="20" t="n">
        <v>338185</v>
      </c>
    </row>
    <row r="131">
      <c r="A131" s="18" t="inlineStr">
        <is>
          <t>Ordinary Expenses ELE</t>
        </is>
      </c>
      <c r="C131" s="20" t="n">
        <v>302990</v>
      </c>
      <c r="D131" s="20" t="n">
        <v>280615</v>
      </c>
      <c r="E131" s="20" t="n">
        <v>239101</v>
      </c>
      <c r="F131" s="20" t="n">
        <v>356789</v>
      </c>
      <c r="G131" s="20" t="n">
        <v>274326</v>
      </c>
      <c r="H131" s="20" t="n">
        <v>346339</v>
      </c>
      <c r="I131" s="20" t="n">
        <v>228134</v>
      </c>
      <c r="J131" s="20" t="n">
        <v>311566</v>
      </c>
      <c r="K131" s="20" t="n">
        <v>270288</v>
      </c>
      <c r="L131" s="20" t="n">
        <v>311137</v>
      </c>
      <c r="M131" s="20" t="n">
        <v>256317</v>
      </c>
      <c r="N131" s="20" t="n">
        <v>378029</v>
      </c>
      <c r="T131" s="20" t="n">
        <v>359670</v>
      </c>
      <c r="U131" s="20" t="n">
        <v>424223</v>
      </c>
      <c r="V131" s="20" t="n">
        <v>280615</v>
      </c>
      <c r="W131" s="20" t="n">
        <v>346339</v>
      </c>
      <c r="X131" s="20" t="n">
        <v>311137</v>
      </c>
    </row>
    <row r="132">
      <c r="A132" s="9" t="inlineStr">
        <is>
          <t>경상이익</t>
        </is>
      </c>
      <c r="C132" s="12" t="n">
        <v>42379</v>
      </c>
      <c r="D132" s="12" t="n">
        <v>33734</v>
      </c>
      <c r="E132" s="12" t="n">
        <v>35044</v>
      </c>
      <c r="F132" s="12" t="n">
        <v>36014</v>
      </c>
      <c r="G132" s="12" t="n">
        <v>53995</v>
      </c>
      <c r="H132" s="12" t="n">
        <v>15042</v>
      </c>
      <c r="I132" s="12" t="n">
        <v>73067</v>
      </c>
      <c r="J132" s="12" t="n">
        <v>23298</v>
      </c>
      <c r="K132" s="12" t="n">
        <v>35119</v>
      </c>
      <c r="L132" s="12" t="n">
        <v>27048</v>
      </c>
      <c r="M132" s="12" t="n">
        <v>39561</v>
      </c>
      <c r="N132" s="12" t="n">
        <v>42510</v>
      </c>
      <c r="T132" s="12" t="n">
        <v>17980</v>
      </c>
      <c r="U132" s="12" t="n">
        <v>12545</v>
      </c>
      <c r="V132" s="12" t="n">
        <v>33734</v>
      </c>
      <c r="W132" s="12" t="n">
        <v>15042</v>
      </c>
      <c r="X132" s="12" t="n">
        <v>27048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법인세차감전 순이익</t>
        </is>
      </c>
      <c r="C134" s="12" t="n">
        <v>42379</v>
      </c>
      <c r="D134" s="12" t="n">
        <v>33734</v>
      </c>
      <c r="E134" s="12" t="n">
        <v>35044</v>
      </c>
      <c r="F134" s="12" t="n">
        <v>36014</v>
      </c>
      <c r="G134" s="12" t="n">
        <v>53995</v>
      </c>
      <c r="H134" s="12" t="n">
        <v>15042</v>
      </c>
      <c r="I134" s="12" t="n">
        <v>73067</v>
      </c>
      <c r="J134" s="12" t="n">
        <v>23298</v>
      </c>
      <c r="K134" s="12" t="n">
        <v>35119</v>
      </c>
      <c r="L134" s="12" t="n">
        <v>-24770</v>
      </c>
      <c r="M134" s="12" t="n">
        <v>39561</v>
      </c>
      <c r="N134" s="12" t="n">
        <v>42510</v>
      </c>
      <c r="T134" s="12" t="n">
        <v>17980</v>
      </c>
      <c r="U134" s="12" t="n">
        <v>12545</v>
      </c>
      <c r="V134" s="12" t="n">
        <v>33734</v>
      </c>
      <c r="W134" s="12" t="n">
        <v>15042</v>
      </c>
      <c r="X134" s="12" t="n">
        <v>-24770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18" t="inlineStr">
        <is>
          <t>법인세·주민세·사업세</t>
        </is>
      </c>
      <c r="C136" s="20" t="n">
        <v>10705</v>
      </c>
      <c r="D136" s="20" t="n">
        <v>3615</v>
      </c>
      <c r="E136" s="20" t="n">
        <v>9867</v>
      </c>
      <c r="F136" s="20" t="n">
        <v>9800</v>
      </c>
      <c r="G136" s="20" t="n">
        <v>13972</v>
      </c>
      <c r="H136" s="20" t="n">
        <v>-4844</v>
      </c>
      <c r="I136" s="20" t="n">
        <v>27140</v>
      </c>
      <c r="J136" s="20" t="n">
        <v>9733</v>
      </c>
      <c r="K136" s="20" t="n">
        <v>7396</v>
      </c>
      <c r="L136" s="20" t="n">
        <v>2646</v>
      </c>
      <c r="M136" s="20" t="n">
        <v>10475</v>
      </c>
      <c r="N136" s="20" t="n">
        <v>10832</v>
      </c>
      <c r="T136" s="20" t="n">
        <v>6370</v>
      </c>
      <c r="U136" s="20" t="n">
        <v>-1712</v>
      </c>
      <c r="V136" s="20" t="n">
        <v>3615</v>
      </c>
      <c r="W136" s="20" t="n">
        <v>-4844</v>
      </c>
      <c r="X136" s="20" t="n">
        <v>2646</v>
      </c>
    </row>
    <row r="137">
      <c r="A137" s="18" t="inlineStr">
        <is>
          <t>법인세 조정액</t>
        </is>
      </c>
      <c r="C137" s="20" t="n">
        <v>1129</v>
      </c>
      <c r="D137" s="20" t="n">
        <v>4902</v>
      </c>
      <c r="E137" s="20" t="n">
        <v>138</v>
      </c>
      <c r="F137" s="20" t="n">
        <v>1567</v>
      </c>
      <c r="G137" s="20" t="n">
        <v>19</v>
      </c>
      <c r="H137" s="20" t="n">
        <v>7045</v>
      </c>
      <c r="I137" s="20" t="n">
        <v>-6866</v>
      </c>
      <c r="J137" s="20" t="n">
        <v>-1469</v>
      </c>
      <c r="K137" s="20" t="n">
        <v>1155</v>
      </c>
      <c r="L137" s="20" t="n">
        <v>-6853</v>
      </c>
      <c r="M137" s="20" t="n">
        <v>-1106</v>
      </c>
      <c r="N137" s="20" t="n">
        <v>512</v>
      </c>
      <c r="T137" s="20" t="n">
        <v>-20366</v>
      </c>
      <c r="U137" s="20" t="n">
        <v>6239</v>
      </c>
      <c r="V137" s="20" t="n">
        <v>4902</v>
      </c>
      <c r="W137" s="20" t="n">
        <v>7045</v>
      </c>
      <c r="X137" s="20" t="n">
        <v>-6853</v>
      </c>
    </row>
    <row r="138">
      <c r="A138" s="18" t="inlineStr">
        <is>
          <t>법인세 등 합계</t>
        </is>
      </c>
      <c r="C138" s="20" t="n">
        <v>11833</v>
      </c>
      <c r="D138" s="20" t="n">
        <v>8517</v>
      </c>
      <c r="E138" s="20" t="n">
        <v>10005</v>
      </c>
      <c r="F138" s="20" t="n">
        <v>11367</v>
      </c>
      <c r="G138" s="20" t="n">
        <v>13992</v>
      </c>
      <c r="H138" s="20" t="n">
        <v>2200</v>
      </c>
      <c r="I138" s="20" t="n">
        <v>20274</v>
      </c>
      <c r="J138" s="20" t="n">
        <v>8263</v>
      </c>
      <c r="K138" s="20" t="n">
        <v>8551</v>
      </c>
      <c r="L138" s="20" t="n">
        <v>-4207</v>
      </c>
      <c r="M138" s="20" t="n">
        <v>9369</v>
      </c>
      <c r="N138" s="20" t="n">
        <v>11343</v>
      </c>
      <c r="T138" s="20" t="n">
        <v>-13997</v>
      </c>
      <c r="U138" s="20" t="n">
        <v>4526</v>
      </c>
      <c r="V138" s="20" t="n">
        <v>8517</v>
      </c>
      <c r="W138" s="20" t="n">
        <v>2200</v>
      </c>
      <c r="X138" s="20" t="n">
        <v>-4207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IF(OR(G138="",C138=""),"",IF(G138*C138&lt;=0,"",IFERROR(G138/C138-1,"")))</f>
        <v/>
      </c>
      <c r="H139" s="15">
        <f>IF(OR(H138="",D138=""),"",IF(H138*D138&lt;=0,"",IFERROR(H138/D138-1,"")))</f>
        <v/>
      </c>
      <c r="I139" s="15">
        <f>IF(OR(I138="",E138=""),"",IF(I138*E138&lt;=0,"",IFERROR(I138/E138-1,"")))</f>
        <v/>
      </c>
      <c r="J139" s="15">
        <f>IF(OR(J138="",F138=""),"",IF(J138*F138&lt;=0,"",IFERROR(J138/F138-1,"")))</f>
        <v/>
      </c>
      <c r="K139" s="15">
        <f>IF(OR(K138="",G138=""),"",IF(K138*G138&lt;=0,"",IFERROR(K138/G138-1,"")))</f>
        <v/>
      </c>
      <c r="L139" s="15">
        <f>IF(OR(L138="",H138=""),"",IF(L138*H138&lt;=0,"",IFERROR(L138/H138-1,"")))</f>
        <v/>
      </c>
      <c r="M139" s="15">
        <f>IF(OR(M138="",I138=""),"",IF(M138*I138&lt;=0,"",IFERROR(M138/I138-1,"")))</f>
        <v/>
      </c>
      <c r="N139" s="15">
        <f>IF(OR(N138="",J138=""),"",IF(N138*J138&lt;=0,"",IFERROR(N138/J138-1,"")))</f>
        <v/>
      </c>
      <c r="T139" s="15">
        <f>IF(OR(T138="",S138=""),"",IF(T138*S138&lt;=0,"",IFERROR(T138/S138-1,"")))</f>
        <v/>
      </c>
      <c r="U139" s="15">
        <f>IF(OR(U138="",T138=""),"",IF(U138*T138&lt;=0,"",IFERROR(U138/T138-1,"")))</f>
        <v/>
      </c>
      <c r="V139" s="15">
        <f>IF(OR(V138="",U138=""),"",IF(V138*U138&lt;=0,"",IFERROR(V138/U138-1,"")))</f>
        <v/>
      </c>
      <c r="W139" s="15">
        <f>IF(OR(W138="",V138=""),"",IF(W138*V138&lt;=0,"",IFERROR(W138/V138-1,"")))</f>
        <v/>
      </c>
      <c r="X139" s="15">
        <f>IF(OR(X138="",W138=""),"",IF(X138*W138&lt;=0,"",IFERROR(X138/W138-1,"")))</f>
        <v/>
      </c>
    </row>
    <row r="140">
      <c r="A140" s="9" t="inlineStr">
        <is>
          <t>순이익</t>
        </is>
      </c>
      <c r="C140" s="12" t="n">
        <v>30547</v>
      </c>
      <c r="D140" s="12" t="n">
        <v>25216</v>
      </c>
      <c r="E140" s="12" t="n">
        <v>25038</v>
      </c>
      <c r="F140" s="12" t="n">
        <v>24647</v>
      </c>
      <c r="G140" s="12" t="n">
        <v>40004</v>
      </c>
      <c r="H140" s="12" t="n">
        <v>12841</v>
      </c>
      <c r="I140" s="12" t="n">
        <v>52793</v>
      </c>
      <c r="J140" s="12" t="n">
        <v>15035</v>
      </c>
      <c r="K140" s="12" t="n">
        <v>26567</v>
      </c>
      <c r="L140" s="12" t="n">
        <v>-20562</v>
      </c>
      <c r="M140" s="12" t="n">
        <v>30191</v>
      </c>
      <c r="N140" s="12" t="n">
        <v>31168</v>
      </c>
      <c r="T140" s="12" t="n">
        <v>31977</v>
      </c>
      <c r="U140" s="12" t="n">
        <v>8019</v>
      </c>
      <c r="V140" s="12" t="n">
        <v>25216</v>
      </c>
      <c r="W140" s="12" t="n">
        <v>12841</v>
      </c>
      <c r="X140" s="12" t="n">
        <v>-20562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T141" s="15">
        <f>IF(OR(T140="",S140=""),"",IF(S140&lt;=0,"",IFERROR(T140/S140-1,"")))</f>
        <v/>
      </c>
      <c r="U141" s="15">
        <f>IF(OR(U140="",T140=""),"",IF(T140&lt;=0,"",IFERROR(U140/T140-1,"")))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9" t="inlineStr">
        <is>
          <t>비지배주주 순이익</t>
        </is>
      </c>
      <c r="C142" s="12" t="n">
        <v>1921</v>
      </c>
      <c r="D142" s="12" t="n">
        <v>3798</v>
      </c>
      <c r="E142" s="12" t="n">
        <v>-430</v>
      </c>
      <c r="F142" s="12" t="n">
        <v>1780</v>
      </c>
      <c r="G142" s="12" t="n">
        <v>8624</v>
      </c>
      <c r="H142" s="12" t="n">
        <v>86</v>
      </c>
      <c r="I142" s="12" t="n">
        <v>705</v>
      </c>
      <c r="J142" s="12" t="n">
        <v>4057</v>
      </c>
      <c r="K142" s="12" t="n">
        <v>5583</v>
      </c>
      <c r="L142" s="12" t="n">
        <v>4951</v>
      </c>
      <c r="M142" s="12" t="n">
        <v>2767</v>
      </c>
      <c r="N142" s="12" t="n">
        <v>3416</v>
      </c>
      <c r="T142" s="12" t="n">
        <v>2684</v>
      </c>
      <c r="U142" s="12" t="n">
        <v>5386</v>
      </c>
      <c r="V142" s="12" t="n">
        <v>3798</v>
      </c>
      <c r="W142" s="12" t="n">
        <v>86</v>
      </c>
      <c r="X142" s="12" t="n">
        <v>4951</v>
      </c>
    </row>
    <row r="143">
      <c r="A143" s="9" t="inlineStr">
        <is>
          <t>지배주주 순이익</t>
        </is>
      </c>
      <c r="C143" s="12" t="n">
        <v>28625</v>
      </c>
      <c r="D143" s="12" t="n">
        <v>21418</v>
      </c>
      <c r="E143" s="12" t="n">
        <v>25469</v>
      </c>
      <c r="F143" s="12" t="n">
        <v>22866</v>
      </c>
      <c r="G143" s="12" t="n">
        <v>31379</v>
      </c>
      <c r="H143" s="12" t="n">
        <v>12755</v>
      </c>
      <c r="I143" s="12" t="n">
        <v>52088</v>
      </c>
      <c r="J143" s="12" t="n">
        <v>10978</v>
      </c>
      <c r="K143" s="12" t="n">
        <v>20983</v>
      </c>
      <c r="L143" s="12" t="n">
        <v>-25512</v>
      </c>
      <c r="M143" s="12" t="n">
        <v>27424</v>
      </c>
      <c r="N143" s="12" t="n">
        <v>27751</v>
      </c>
      <c r="T143" s="12" t="n">
        <v>29294</v>
      </c>
      <c r="U143" s="12" t="n">
        <v>2632</v>
      </c>
      <c r="V143" s="12" t="n">
        <v>21418</v>
      </c>
      <c r="W143" s="12" t="n">
        <v>12755</v>
      </c>
      <c r="X143" s="12" t="n">
        <v>-25512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T144" s="15">
        <f>IF(OR(T143="",S143=""),"",IF(S143&lt;=0,"",IFERROR(T143/S143-1,"")))</f>
        <v/>
      </c>
      <c r="U144" s="15">
        <f>IF(OR(U143="",T143=""),"",IF(T143&lt;=0,"",IFERROR(U143/T143-1,"")))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6">
      <c r="A146" s="16" t="inlineStr">
        <is>
          <t>포괄손익 · 전 항목</t>
        </is>
      </c>
      <c r="B146" s="42" t="inlineStr">
        <is>
          <t>분기 = 3개월 단독</t>
        </is>
      </c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</row>
    <row r="147">
      <c r="A147" s="5" t="inlineStr">
        <is>
          <t>항목</t>
        </is>
      </c>
      <c r="B147" s="5" t="inlineStr">
        <is>
          <t>참고</t>
        </is>
      </c>
      <c r="C147" s="5" t="inlineStr">
        <is>
          <t>2024.3Q</t>
        </is>
      </c>
      <c r="D147" s="5" t="inlineStr">
        <is>
          <t>2024.4Q</t>
        </is>
      </c>
      <c r="E147" s="5" t="inlineStr">
        <is>
          <t>2025.1Q</t>
        </is>
      </c>
      <c r="F147" s="5" t="inlineStr">
        <is>
          <t>2025.2Q</t>
        </is>
      </c>
      <c r="G147" s="5" t="inlineStr">
        <is>
          <t>2025.3Q</t>
        </is>
      </c>
      <c r="H147" s="5" t="inlineStr">
        <is>
          <t>2025.4Q</t>
        </is>
      </c>
      <c r="I147" s="5" t="inlineStr">
        <is>
          <t>2026.1Q</t>
        </is>
      </c>
      <c r="J147" s="5" t="inlineStr">
        <is>
          <t>2026.2Q</t>
        </is>
      </c>
      <c r="K147" s="5" t="inlineStr">
        <is>
          <t>2026.3Q</t>
        </is>
      </c>
      <c r="L147" s="5" t="inlineStr">
        <is>
          <t>2026.4Q</t>
        </is>
      </c>
      <c r="M147" s="5" t="inlineStr">
        <is>
          <t>2027.1Q</t>
        </is>
      </c>
      <c r="N147" s="5" t="inlineStr">
        <is>
          <t>2027.2Q</t>
        </is>
      </c>
      <c r="O147" s="5" t="inlineStr">
        <is>
          <t>2017</t>
        </is>
      </c>
      <c r="P147" s="5" t="inlineStr">
        <is>
          <t>2018</t>
        </is>
      </c>
      <c r="Q147" s="5" t="inlineStr">
        <is>
          <t>2019</t>
        </is>
      </c>
      <c r="R147" s="5" t="inlineStr">
        <is>
          <t>2020</t>
        </is>
      </c>
      <c r="S147" s="5" t="inlineStr">
        <is>
          <t>2021</t>
        </is>
      </c>
      <c r="T147" s="5" t="inlineStr">
        <is>
          <t>2022</t>
        </is>
      </c>
      <c r="U147" s="5" t="inlineStr">
        <is>
          <t>2023</t>
        </is>
      </c>
      <c r="V147" s="5" t="inlineStr">
        <is>
          <t>2024</t>
        </is>
      </c>
      <c r="W147" s="5" t="inlineStr">
        <is>
          <t>2025</t>
        </is>
      </c>
      <c r="X147" s="5" t="inlineStr">
        <is>
          <t>2026</t>
        </is>
      </c>
      <c r="Y147" s="5" t="inlineStr">
        <is>
          <t>2027(MW)</t>
        </is>
      </c>
      <c r="Z147" s="5" t="inlineStr">
        <is>
          <t>2028(MW)</t>
        </is>
      </c>
      <c r="AA147" s="5" t="inlineStr">
        <is>
          <t>2029(MW)</t>
        </is>
      </c>
      <c r="AB147" s="5" t="inlineStr">
        <is>
          <t>2030(MW)</t>
        </is>
      </c>
      <c r="AC147" s="5" t="inlineStr">
        <is>
          <t>2031(MW)</t>
        </is>
      </c>
    </row>
    <row r="148">
      <c r="A148" s="9" t="inlineStr">
        <is>
          <t>순이익</t>
        </is>
      </c>
      <c r="C148" s="12" t="n">
        <v>30547</v>
      </c>
      <c r="D148" s="12" t="n">
        <v>25216</v>
      </c>
      <c r="E148" s="12" t="n">
        <v>25038</v>
      </c>
      <c r="F148" s="12" t="n">
        <v>24647</v>
      </c>
      <c r="G148" s="12" t="n">
        <v>40004</v>
      </c>
      <c r="H148" s="12" t="n">
        <v>12841</v>
      </c>
      <c r="I148" s="12" t="n">
        <v>52793</v>
      </c>
      <c r="J148" s="12" t="n">
        <v>15035</v>
      </c>
      <c r="K148" s="12" t="n">
        <v>26567</v>
      </c>
      <c r="L148" s="12" t="n">
        <v>-20562</v>
      </c>
      <c r="M148" s="12" t="n">
        <v>30191</v>
      </c>
      <c r="N148" s="12" t="n">
        <v>31168</v>
      </c>
      <c r="T148" s="12" t="n">
        <v>31977</v>
      </c>
      <c r="U148" s="12" t="n">
        <v>8019</v>
      </c>
      <c r="V148" s="12" t="n">
        <v>25216</v>
      </c>
      <c r="W148" s="12" t="n">
        <v>12841</v>
      </c>
      <c r="X148" s="12" t="n">
        <v>-20562</v>
      </c>
    </row>
    <row r="149">
      <c r="A149" s="18" t="inlineStr">
        <is>
          <t>기타유가증권 평가차액</t>
        </is>
      </c>
      <c r="C149" s="20" t="n">
        <v>-655</v>
      </c>
      <c r="D149" s="20" t="n">
        <v>6485</v>
      </c>
      <c r="E149" s="20" t="n">
        <v>1888</v>
      </c>
      <c r="F149" s="20" t="n">
        <v>-237</v>
      </c>
      <c r="G149" s="20" t="n">
        <v>2380</v>
      </c>
      <c r="H149" s="20" t="n">
        <v>229</v>
      </c>
      <c r="I149" s="20" t="n">
        <v>6041</v>
      </c>
      <c r="J149" s="20" t="n">
        <v>5564</v>
      </c>
      <c r="K149" s="20" t="n">
        <v>6646</v>
      </c>
      <c r="L149" s="20" t="n">
        <v>-101</v>
      </c>
      <c r="M149" s="20" t="n">
        <v>-1565</v>
      </c>
      <c r="N149" s="20" t="n">
        <v>191</v>
      </c>
      <c r="T149" s="20" t="n">
        <v>2307</v>
      </c>
      <c r="U149" s="20" t="n">
        <v>-808</v>
      </c>
      <c r="V149" s="20" t="n">
        <v>6485</v>
      </c>
      <c r="W149" s="20" t="n">
        <v>229</v>
      </c>
      <c r="X149" s="20" t="n">
        <v>-101</v>
      </c>
    </row>
    <row r="150">
      <c r="A150" s="18" t="inlineStr">
        <is>
          <t>이연헤지손익</t>
        </is>
      </c>
      <c r="C150" s="20" t="n">
        <v>3013</v>
      </c>
      <c r="D150" s="20" t="n">
        <v>-2255</v>
      </c>
      <c r="E150" s="20" t="n">
        <v>-2172</v>
      </c>
      <c r="F150" s="20" t="n">
        <v>1028</v>
      </c>
      <c r="G150" s="20" t="n">
        <v>-5429</v>
      </c>
      <c r="H150" s="20" t="n">
        <v>2007</v>
      </c>
      <c r="I150" s="20" t="n">
        <v>-3495</v>
      </c>
      <c r="J150" s="20" t="n">
        <v>-1500</v>
      </c>
      <c r="K150" s="20" t="n">
        <v>1097</v>
      </c>
      <c r="L150" s="20" t="n">
        <v>1598</v>
      </c>
      <c r="M150" s="20" t="n">
        <v>-598</v>
      </c>
      <c r="N150" s="20" t="n">
        <v>1035</v>
      </c>
      <c r="T150" s="20" t="n">
        <v>15098</v>
      </c>
      <c r="U150" s="20" t="n">
        <v>-10677</v>
      </c>
      <c r="V150" s="20" t="n">
        <v>-2255</v>
      </c>
      <c r="W150" s="20" t="n">
        <v>2007</v>
      </c>
      <c r="X150" s="20" t="n">
        <v>1598</v>
      </c>
    </row>
    <row r="151">
      <c r="A151" s="18" t="inlineStr">
        <is>
          <t>해외사업환산조정</t>
        </is>
      </c>
      <c r="C151" s="20" t="n">
        <v>5460</v>
      </c>
      <c r="D151" s="20" t="n">
        <v>-4907</v>
      </c>
      <c r="E151" s="20" t="n">
        <v>17128</v>
      </c>
      <c r="F151" s="20" t="n">
        <v>35882</v>
      </c>
      <c r="G151" s="20" t="n">
        <v>-35197</v>
      </c>
      <c r="H151" s="20" t="n">
        <v>26531</v>
      </c>
      <c r="I151" s="20" t="n">
        <v>-29722</v>
      </c>
      <c r="J151" s="20" t="n">
        <v>-833</v>
      </c>
      <c r="K151" s="20" t="n">
        <v>18965</v>
      </c>
      <c r="L151" s="20" t="n">
        <v>37616</v>
      </c>
      <c r="M151" s="20" t="n">
        <v>10146</v>
      </c>
      <c r="N151" s="20" t="n">
        <v>8942</v>
      </c>
      <c r="T151" s="20" t="n">
        <v>12114</v>
      </c>
      <c r="U151" s="20" t="n">
        <v>-19900</v>
      </c>
      <c r="V151" s="20" t="n">
        <v>-4907</v>
      </c>
      <c r="W151" s="20" t="n">
        <v>26531</v>
      </c>
      <c r="X151" s="20" t="n">
        <v>37616</v>
      </c>
    </row>
    <row r="152">
      <c r="A152" s="18" t="inlineStr">
        <is>
          <t>퇴직급여 조정액</t>
        </is>
      </c>
      <c r="C152" s="20" t="n">
        <v>-817</v>
      </c>
      <c r="D152" s="20" t="n">
        <v>13164</v>
      </c>
      <c r="E152" s="20" t="n">
        <v>-2580</v>
      </c>
      <c r="F152" s="20" t="n">
        <v>-2492</v>
      </c>
      <c r="G152" s="20" t="n">
        <v>-2490</v>
      </c>
      <c r="H152" s="20" t="n">
        <v>3714</v>
      </c>
      <c r="I152" s="20" t="n">
        <v>-1878</v>
      </c>
      <c r="J152" s="20" t="n">
        <v>-1795</v>
      </c>
      <c r="K152" s="20" t="n">
        <v>-1796</v>
      </c>
      <c r="L152" s="20" t="n">
        <v>13886</v>
      </c>
      <c r="M152" s="20" t="n">
        <v>-3144</v>
      </c>
      <c r="N152" s="20" t="n">
        <v>-3104</v>
      </c>
      <c r="T152" s="20" t="n">
        <v>4207</v>
      </c>
      <c r="U152" s="20" t="n">
        <v>1402</v>
      </c>
      <c r="V152" s="20" t="n">
        <v>13164</v>
      </c>
      <c r="W152" s="20" t="n">
        <v>3714</v>
      </c>
      <c r="X152" s="20" t="n">
        <v>13886</v>
      </c>
    </row>
    <row r="153">
      <c r="A153" s="18" t="inlineStr">
        <is>
          <t>지분법 적용회사 지분 해당액</t>
        </is>
      </c>
      <c r="C153" s="20" t="n">
        <v>5934</v>
      </c>
      <c r="D153" s="20" t="n">
        <v>-10847</v>
      </c>
      <c r="E153" s="20" t="n">
        <v>9759</v>
      </c>
      <c r="F153" s="20" t="n">
        <v>4292</v>
      </c>
      <c r="G153" s="20" t="n">
        <v>-12437</v>
      </c>
      <c r="H153" s="20" t="n">
        <v>12698</v>
      </c>
      <c r="I153" s="20" t="n">
        <v>-7904</v>
      </c>
      <c r="J153" s="20" t="n">
        <v>-3118</v>
      </c>
      <c r="K153" s="20" t="n">
        <v>5083</v>
      </c>
      <c r="L153" s="20" t="n">
        <v>7037</v>
      </c>
      <c r="M153" s="20" t="n">
        <v>1804</v>
      </c>
      <c r="N153" s="20" t="n">
        <v>552</v>
      </c>
      <c r="T153" s="20" t="n">
        <v>4906</v>
      </c>
      <c r="U153" s="20" t="n">
        <v>-9513</v>
      </c>
      <c r="V153" s="20" t="n">
        <v>-10847</v>
      </c>
      <c r="W153" s="20" t="n">
        <v>12698</v>
      </c>
      <c r="X153" s="20" t="n">
        <v>7037</v>
      </c>
    </row>
    <row r="154">
      <c r="A154" s="18" t="inlineStr">
        <is>
          <t>기타포괄손익 합계</t>
        </is>
      </c>
      <c r="C154" s="20" t="n">
        <v>12934</v>
      </c>
      <c r="D154" s="20" t="n">
        <v>1641</v>
      </c>
      <c r="E154" s="20" t="n">
        <v>24024</v>
      </c>
      <c r="F154" s="20" t="n">
        <v>38473</v>
      </c>
      <c r="G154" s="20" t="n">
        <v>-53173</v>
      </c>
      <c r="H154" s="20" t="n">
        <v>45178</v>
      </c>
      <c r="I154" s="20" t="n">
        <v>-36958</v>
      </c>
      <c r="J154" s="20" t="n">
        <v>-1683</v>
      </c>
      <c r="K154" s="20" t="n">
        <v>29996</v>
      </c>
      <c r="L154" s="20" t="n">
        <v>60038</v>
      </c>
      <c r="M154" s="20" t="n">
        <v>6642</v>
      </c>
      <c r="N154" s="20" t="n">
        <v>7617</v>
      </c>
      <c r="T154" s="20" t="n">
        <v>38632</v>
      </c>
      <c r="U154" s="20" t="n">
        <v>-39496</v>
      </c>
      <c r="V154" s="20" t="n">
        <v>1641</v>
      </c>
      <c r="W154" s="20" t="n">
        <v>45178</v>
      </c>
      <c r="X154" s="20" t="n">
        <v>60038</v>
      </c>
    </row>
    <row r="155">
      <c r="A155" s="9" t="inlineStr">
        <is>
          <t>포괄이익</t>
        </is>
      </c>
      <c r="C155" s="12" t="n">
        <v>43481</v>
      </c>
      <c r="D155" s="12" t="n">
        <v>26857</v>
      </c>
      <c r="E155" s="12" t="n">
        <v>49063</v>
      </c>
      <c r="F155" s="12" t="n">
        <v>63120</v>
      </c>
      <c r="G155" s="12" t="n">
        <v>-13170</v>
      </c>
      <c r="H155" s="12" t="n">
        <v>58020</v>
      </c>
      <c r="I155" s="12" t="n">
        <v>15834</v>
      </c>
      <c r="J155" s="12" t="n">
        <v>13352</v>
      </c>
      <c r="K155" s="12" t="n">
        <v>56563</v>
      </c>
      <c r="L155" s="12" t="n">
        <v>39477</v>
      </c>
      <c r="M155" s="12" t="n">
        <v>36834</v>
      </c>
      <c r="N155" s="12" t="n">
        <v>38784</v>
      </c>
      <c r="T155" s="12" t="n">
        <v>70610</v>
      </c>
      <c r="U155" s="12" t="n">
        <v>-31477</v>
      </c>
      <c r="V155" s="12" t="n">
        <v>26857</v>
      </c>
      <c r="W155" s="12" t="n">
        <v>58020</v>
      </c>
      <c r="X155" s="12" t="n">
        <v>39477</v>
      </c>
    </row>
    <row r="156">
      <c r="A156" s="9" t="inlineStr">
        <is>
          <t>지배주주 포괄이익</t>
        </is>
      </c>
      <c r="C156" s="12" t="n">
        <v>39462</v>
      </c>
      <c r="D156" s="12" t="n">
        <v>25628</v>
      </c>
      <c r="E156" s="12" t="n">
        <v>50699</v>
      </c>
      <c r="F156" s="12" t="n">
        <v>57283</v>
      </c>
      <c r="G156" s="12" t="n">
        <v>-20982</v>
      </c>
      <c r="H156" s="12" t="n">
        <v>52564</v>
      </c>
      <c r="I156" s="12" t="n">
        <v>20132</v>
      </c>
      <c r="J156" s="12" t="n">
        <v>9663</v>
      </c>
      <c r="K156" s="12" t="n">
        <v>47816</v>
      </c>
      <c r="L156" s="12" t="n">
        <v>30374</v>
      </c>
      <c r="M156" s="12" t="n">
        <v>35634</v>
      </c>
      <c r="N156" s="12" t="n">
        <v>34721</v>
      </c>
      <c r="T156" s="12" t="n">
        <v>65382</v>
      </c>
      <c r="U156" s="12" t="n">
        <v>-35359</v>
      </c>
      <c r="V156" s="12" t="n">
        <v>25628</v>
      </c>
      <c r="W156" s="12" t="n">
        <v>52564</v>
      </c>
      <c r="X156" s="12" t="n">
        <v>30374</v>
      </c>
    </row>
    <row r="157">
      <c r="A157" s="9" t="inlineStr">
        <is>
          <t>비지배주주 포괄이익</t>
        </is>
      </c>
      <c r="C157" s="12" t="n">
        <v>4020</v>
      </c>
      <c r="D157" s="12" t="n">
        <v>1229</v>
      </c>
      <c r="E157" s="12" t="n">
        <v>-1636</v>
      </c>
      <c r="F157" s="12" t="n">
        <v>5836</v>
      </c>
      <c r="G157" s="12" t="n">
        <v>7813</v>
      </c>
      <c r="H157" s="12" t="n">
        <v>5455</v>
      </c>
      <c r="I157" s="12" t="n">
        <v>-4297</v>
      </c>
      <c r="J157" s="12" t="n">
        <v>3688</v>
      </c>
      <c r="K157" s="12" t="n">
        <v>8746</v>
      </c>
      <c r="L157" s="12" t="n">
        <v>9104</v>
      </c>
      <c r="M157" s="12" t="n">
        <v>1200</v>
      </c>
      <c r="N157" s="12" t="n">
        <v>4063</v>
      </c>
      <c r="T157" s="12" t="n">
        <v>5227</v>
      </c>
      <c r="U157" s="12" t="n">
        <v>3882</v>
      </c>
      <c r="V157" s="12" t="n">
        <v>1229</v>
      </c>
      <c r="W157" s="12" t="n">
        <v>5455</v>
      </c>
      <c r="X157" s="12" t="n">
        <v>9104</v>
      </c>
    </row>
    <row r="159">
      <c r="A159" s="16" t="inlineStr">
        <is>
          <t>부문 · 전 항목</t>
        </is>
      </c>
      <c r="B159" s="42" t="inlineStr">
        <is>
          <t>부문 · 항목</t>
        </is>
      </c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</row>
    <row r="160">
      <c r="A160" s="5" t="inlineStr">
        <is>
          <t>항목</t>
        </is>
      </c>
      <c r="B160" s="5" t="inlineStr">
        <is>
          <t>참고</t>
        </is>
      </c>
      <c r="C160" s="5" t="inlineStr">
        <is>
          <t>2024.3Q</t>
        </is>
      </c>
      <c r="D160" s="5" t="inlineStr">
        <is>
          <t>2024.4Q</t>
        </is>
      </c>
      <c r="E160" s="5" t="inlineStr">
        <is>
          <t>2025.1Q</t>
        </is>
      </c>
      <c r="F160" s="5" t="inlineStr">
        <is>
          <t>2025.2Q</t>
        </is>
      </c>
      <c r="G160" s="5" t="inlineStr">
        <is>
          <t>2025.3Q</t>
        </is>
      </c>
      <c r="H160" s="5" t="inlineStr">
        <is>
          <t>2025.4Q</t>
        </is>
      </c>
      <c r="I160" s="5" t="inlineStr">
        <is>
          <t>2026.1Q</t>
        </is>
      </c>
      <c r="J160" s="5" t="inlineStr">
        <is>
          <t>2026.2Q</t>
        </is>
      </c>
      <c r="K160" s="5" t="inlineStr">
        <is>
          <t>2026.3Q</t>
        </is>
      </c>
      <c r="L160" s="5" t="inlineStr">
        <is>
          <t>2026.4Q</t>
        </is>
      </c>
      <c r="M160" s="5" t="inlineStr">
        <is>
          <t>2027.1Q</t>
        </is>
      </c>
      <c r="N160" s="5" t="inlineStr">
        <is>
          <t>2027.2Q</t>
        </is>
      </c>
      <c r="O160" s="5" t="inlineStr">
        <is>
          <t>2017</t>
        </is>
      </c>
      <c r="P160" s="5" t="inlineStr">
        <is>
          <t>2018</t>
        </is>
      </c>
      <c r="Q160" s="5" t="inlineStr">
        <is>
          <t>2019</t>
        </is>
      </c>
      <c r="R160" s="5" t="inlineStr">
        <is>
          <t>2020</t>
        </is>
      </c>
      <c r="S160" s="5" t="inlineStr">
        <is>
          <t>2021</t>
        </is>
      </c>
      <c r="T160" s="5" t="inlineStr">
        <is>
          <t>2022</t>
        </is>
      </c>
      <c r="U160" s="5" t="inlineStr">
        <is>
          <t>2023</t>
        </is>
      </c>
      <c r="V160" s="5" t="inlineStr">
        <is>
          <t>2024</t>
        </is>
      </c>
      <c r="W160" s="5" t="inlineStr">
        <is>
          <t>2025</t>
        </is>
      </c>
      <c r="X160" s="5" t="inlineStr">
        <is>
          <t>2026</t>
        </is>
      </c>
      <c r="Y160" s="5" t="inlineStr">
        <is>
          <t>2027(MW)</t>
        </is>
      </c>
      <c r="Z160" s="5" t="inlineStr">
        <is>
          <t>2028(MW)</t>
        </is>
      </c>
      <c r="AA160" s="5" t="inlineStr">
        <is>
          <t>2029(MW)</t>
        </is>
      </c>
      <c r="AB160" s="5" t="inlineStr">
        <is>
          <t>2030(MW)</t>
        </is>
      </c>
      <c r="AC160" s="5" t="inlineStr">
        <is>
          <t>2031(MW)</t>
        </is>
      </c>
    </row>
    <row r="161">
      <c r="A161" s="18" t="inlineStr">
        <is>
          <t>PowerGenerationReportableSegmentMember · 외부 고객 매출</t>
        </is>
      </c>
      <c r="C161" s="20" t="n">
        <v>241011</v>
      </c>
      <c r="D161" s="20" t="n">
        <v>218038</v>
      </c>
      <c r="E161" s="20" t="n">
        <v>174341</v>
      </c>
      <c r="F161" s="20" t="n">
        <v>269506</v>
      </c>
      <c r="G161" s="20" t="n">
        <v>237611</v>
      </c>
      <c r="H161" s="20" t="n">
        <v>264242</v>
      </c>
      <c r="I161" s="20" t="n">
        <v>176868</v>
      </c>
      <c r="J161" s="20" t="n">
        <v>232532</v>
      </c>
      <c r="K161" s="20" t="n">
        <v>206177</v>
      </c>
      <c r="L161" s="20" t="n">
        <v>224868</v>
      </c>
      <c r="M161" s="20" t="n">
        <v>189488</v>
      </c>
      <c r="N161" s="20" t="n">
        <v>280945</v>
      </c>
      <c r="V161" s="20" t="n">
        <v>218038</v>
      </c>
      <c r="W161" s="20" t="n">
        <v>264242</v>
      </c>
      <c r="X161" s="20" t="n">
        <v>224868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TransmissionandTransformationReportableSegmentMember · 외부 고객 매출</t>
        </is>
      </c>
      <c r="C163" s="20" t="n">
        <v>12002</v>
      </c>
      <c r="D163" s="20" t="n">
        <v>12929</v>
      </c>
      <c r="E163" s="20" t="n">
        <v>12356</v>
      </c>
      <c r="F163" s="20" t="n">
        <v>12326</v>
      </c>
      <c r="G163" s="20" t="n">
        <v>12719</v>
      </c>
      <c r="H163" s="20" t="n">
        <v>12450</v>
      </c>
      <c r="I163" s="20" t="n">
        <v>12205</v>
      </c>
      <c r="J163" s="20" t="n">
        <v>12175</v>
      </c>
      <c r="K163" s="20" t="n">
        <v>12370</v>
      </c>
      <c r="L163" s="20" t="n">
        <v>12520</v>
      </c>
      <c r="M163" s="20" t="n">
        <v>12192</v>
      </c>
      <c r="N163" s="20" t="n">
        <v>12158</v>
      </c>
      <c r="V163" s="20" t="n">
        <v>12929</v>
      </c>
      <c r="W163" s="20" t="n">
        <v>12450</v>
      </c>
      <c r="X163" s="20" t="n">
        <v>12520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ElectricPowerSurroundingsRelatedReportableSegmentsMember · 외부 고객 매출</t>
        </is>
      </c>
      <c r="C165" s="20" t="n">
        <v>15510</v>
      </c>
      <c r="E165" s="20" t="n">
        <v>12714</v>
      </c>
      <c r="F165" s="20" t="n">
        <v>18619</v>
      </c>
      <c r="G165" s="20" t="n">
        <v>10567</v>
      </c>
      <c r="I165" s="20" t="n">
        <v>8995</v>
      </c>
      <c r="J165" s="20" t="n">
        <v>11611</v>
      </c>
      <c r="K165" s="20" t="n">
        <v>13195</v>
      </c>
      <c r="M165" s="20" t="n">
        <v>9568</v>
      </c>
      <c r="N165" s="20" t="n">
        <v>13119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</row>
    <row r="167">
      <c r="A167" s="18" t="inlineStr">
        <is>
          <t>OverseasReportableSegmentsMember · 외부 고객 매출</t>
        </is>
      </c>
      <c r="C167" s="20" t="n">
        <v>57074</v>
      </c>
      <c r="D167" s="20" t="n">
        <v>43760</v>
      </c>
      <c r="E167" s="20" t="n">
        <v>57109</v>
      </c>
      <c r="F167" s="20" t="n">
        <v>75565</v>
      </c>
      <c r="G167" s="20" t="n">
        <v>53271</v>
      </c>
      <c r="H167" s="20" t="n">
        <v>58728</v>
      </c>
      <c r="I167" s="20" t="n">
        <v>49678</v>
      </c>
      <c r="J167" s="20" t="n">
        <v>59923</v>
      </c>
      <c r="K167" s="20" t="n">
        <v>58200</v>
      </c>
      <c r="L167" s="20" t="n">
        <v>60095</v>
      </c>
      <c r="M167" s="20" t="n">
        <v>66458</v>
      </c>
      <c r="N167" s="20" t="n">
        <v>102028</v>
      </c>
      <c r="V167" s="20" t="n">
        <v>43760</v>
      </c>
      <c r="W167" s="20" t="n">
        <v>58728</v>
      </c>
      <c r="X167" s="20" t="n">
        <v>60095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OtherReportableSegmentsMember · 외부 고객 매출</t>
        </is>
      </c>
      <c r="C169" s="20" t="n">
        <v>3652</v>
      </c>
      <c r="E169" s="20" t="n">
        <v>2534</v>
      </c>
      <c r="F169" s="20" t="n">
        <v>5653</v>
      </c>
      <c r="G169" s="20" t="n">
        <v>4066</v>
      </c>
      <c r="I169" s="20" t="n">
        <v>2549</v>
      </c>
      <c r="J169" s="20" t="n">
        <v>4875</v>
      </c>
      <c r="K169" s="20" t="n">
        <v>3204</v>
      </c>
      <c r="M169" s="20" t="n">
        <v>2565</v>
      </c>
      <c r="N169" s="20" t="n">
        <v>2931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</row>
    <row r="171">
      <c r="A171" s="18" t="inlineStr">
        <is>
          <t>보고부문 합계 · 외부 고객 매출</t>
        </is>
      </c>
      <c r="E171" s="20" t="n">
        <v>259056</v>
      </c>
      <c r="I171" s="20" t="n">
        <v>250297</v>
      </c>
      <c r="M171" s="20" t="n">
        <v>280273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I172" s="15">
        <f>IF(OR(I171="",E171=""),"",IF(E171&lt;=0,"",IFERROR(I171/E171-1,"")))</f>
        <v/>
      </c>
      <c r="M172" s="15">
        <f>IF(OR(M171="",I171=""),"",IF(I171&lt;=0,"",IFERROR(M171/I171-1,"")))</f>
        <v/>
      </c>
    </row>
    <row r="173">
      <c r="A173" s="18" t="inlineStr">
        <is>
          <t>합계 · 외부 고객 매출</t>
        </is>
      </c>
      <c r="C173" s="20" t="n">
        <v>329248</v>
      </c>
      <c r="G173" s="20" t="n">
        <v>318234</v>
      </c>
      <c r="K173" s="20" t="n">
        <v>293145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K174" s="15">
        <f>IF(OR(K173="",G173=""),"",IF(G173&lt;=0,"",IFERROR(K173/G173-1,"")))</f>
        <v/>
      </c>
    </row>
    <row r="175">
      <c r="A175" s="18" t="inlineStr">
        <is>
          <t>조정액 · 외부 고객 매출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18" t="inlineStr">
        <is>
          <t>EntityTotalMember · 외부 고객 매출</t>
        </is>
      </c>
      <c r="E176" s="20" t="n">
        <v>259056</v>
      </c>
      <c r="I176" s="20" t="n">
        <v>250297</v>
      </c>
      <c r="M176" s="20" t="n">
        <v>280273</v>
      </c>
    </row>
    <row r="177">
      <c r="A177" s="9" t="inlineStr">
        <is>
          <t>외부 고객 매출</t>
        </is>
      </c>
      <c r="C177" s="12" t="n">
        <v>329248</v>
      </c>
      <c r="D177" s="12" t="n">
        <v>297156</v>
      </c>
      <c r="E177" s="12" t="n">
        <v>259056</v>
      </c>
      <c r="F177" s="12" t="n">
        <v>381669</v>
      </c>
      <c r="G177" s="12" t="n">
        <v>318234</v>
      </c>
      <c r="H177" s="12" t="n">
        <v>357715</v>
      </c>
      <c r="V177" s="12" t="n">
        <v>297156</v>
      </c>
      <c r="W177" s="12" t="n">
        <v>357715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</row>
    <row r="179">
      <c r="A179" s="18" t="inlineStr">
        <is>
          <t>PowerGenerationReportableSegmentMember · 부문 간 내부매출·대체</t>
        </is>
      </c>
      <c r="C179" s="20" t="n">
        <v>3819</v>
      </c>
      <c r="D179" s="20" t="n">
        <v>9332</v>
      </c>
      <c r="E179" s="20" t="n">
        <v>3079</v>
      </c>
      <c r="F179" s="20" t="n">
        <v>4187</v>
      </c>
      <c r="G179" s="20" t="n">
        <v>3662</v>
      </c>
      <c r="H179" s="20" t="n">
        <v>10746</v>
      </c>
      <c r="I179" s="20" t="n">
        <v>3098</v>
      </c>
      <c r="J179" s="20" t="n">
        <v>3418</v>
      </c>
      <c r="K179" s="20" t="n">
        <v>4468</v>
      </c>
      <c r="L179" s="20" t="n">
        <v>14195</v>
      </c>
      <c r="M179" s="20" t="n">
        <v>3234</v>
      </c>
      <c r="N179" s="20" t="n">
        <v>3906</v>
      </c>
      <c r="V179" s="20" t="n">
        <v>9332</v>
      </c>
      <c r="W179" s="20" t="n">
        <v>10746</v>
      </c>
      <c r="X179" s="20" t="n">
        <v>14195</v>
      </c>
    </row>
    <row r="180">
      <c r="A180" s="18" t="inlineStr">
        <is>
          <t>TransmissionandTransformationReportableSegmentMember · 부문 간 내부매출·대체</t>
        </is>
      </c>
      <c r="C180" s="20" t="n">
        <v>161</v>
      </c>
      <c r="D180" s="20" t="n">
        <v>161</v>
      </c>
      <c r="E180" s="20" t="n">
        <v>159</v>
      </c>
      <c r="F180" s="20" t="n">
        <v>155</v>
      </c>
      <c r="G180" s="20" t="n">
        <v>145</v>
      </c>
      <c r="H180" s="20" t="n">
        <v>147</v>
      </c>
      <c r="I180" s="20" t="n">
        <v>145</v>
      </c>
      <c r="J180" s="20" t="n">
        <v>145</v>
      </c>
      <c r="K180" s="20" t="n">
        <v>146</v>
      </c>
      <c r="L180" s="20" t="n">
        <v>147</v>
      </c>
      <c r="M180" s="20" t="n">
        <v>149</v>
      </c>
      <c r="N180" s="20" t="n">
        <v>148</v>
      </c>
      <c r="V180" s="20" t="n">
        <v>161</v>
      </c>
      <c r="W180" s="20" t="n">
        <v>147</v>
      </c>
      <c r="X180" s="20" t="n">
        <v>147</v>
      </c>
    </row>
    <row r="181">
      <c r="A181" s="18" t="inlineStr">
        <is>
          <t>ElectricPowerSurroundingsRelatedReportableSegmentsMember · 부문 간 내부매출·대체</t>
        </is>
      </c>
      <c r="C181" s="20" t="n">
        <v>8572</v>
      </c>
      <c r="E181" s="20" t="n">
        <v>7796</v>
      </c>
      <c r="F181" s="20" t="n">
        <v>6780</v>
      </c>
      <c r="G181" s="20" t="n">
        <v>8117</v>
      </c>
      <c r="I181" s="20" t="n">
        <v>6867</v>
      </c>
      <c r="J181" s="20" t="n">
        <v>5549</v>
      </c>
      <c r="K181" s="20" t="n">
        <v>8293</v>
      </c>
      <c r="M181" s="20" t="n">
        <v>7716</v>
      </c>
      <c r="N181" s="20" t="n">
        <v>6894</v>
      </c>
    </row>
    <row r="182">
      <c r="A182" s="18" t="inlineStr">
        <is>
          <t>OverseasReportableSegmentsMember · 부문 간 내부매출·대체</t>
        </is>
      </c>
      <c r="C182" s="20" t="n">
        <v>0</v>
      </c>
      <c r="D182" s="20" t="n">
        <v>0</v>
      </c>
      <c r="E182" s="20" t="n">
        <v>0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0</v>
      </c>
      <c r="K182" s="20" t="n">
        <v>0</v>
      </c>
      <c r="L182" s="20" t="n">
        <v>0</v>
      </c>
      <c r="M182" s="20" t="n">
        <v>0</v>
      </c>
      <c r="N182" s="20" t="n">
        <v>0</v>
      </c>
      <c r="V182" s="20" t="n">
        <v>0</v>
      </c>
      <c r="W182" s="20" t="n">
        <v>0</v>
      </c>
      <c r="X182" s="20" t="n">
        <v>0</v>
      </c>
    </row>
    <row r="183">
      <c r="A183" s="18" t="inlineStr">
        <is>
          <t>OtherReportableSegmentsMember · 부문 간 내부매출·대체</t>
        </is>
      </c>
      <c r="C183" s="20" t="n">
        <v>232</v>
      </c>
      <c r="E183" s="20" t="n">
        <v>187</v>
      </c>
      <c r="F183" s="20" t="n">
        <v>210</v>
      </c>
      <c r="G183" s="20" t="n">
        <v>198</v>
      </c>
      <c r="I183" s="20" t="n">
        <v>238</v>
      </c>
      <c r="J183" s="20" t="n">
        <v>232</v>
      </c>
      <c r="K183" s="20" t="n">
        <v>245</v>
      </c>
      <c r="M183" s="20" t="n">
        <v>325</v>
      </c>
      <c r="N183" s="20" t="n">
        <v>315</v>
      </c>
    </row>
    <row r="184">
      <c r="A184" s="18" t="inlineStr">
        <is>
          <t>보고부문 합계 · 부문 간 내부매출·대체</t>
        </is>
      </c>
      <c r="E184" s="20" t="n">
        <v>11222</v>
      </c>
      <c r="I184" s="20" t="n">
        <v>10349</v>
      </c>
      <c r="M184" s="20" t="n">
        <v>11425</v>
      </c>
    </row>
    <row r="185">
      <c r="A185" s="18" t="inlineStr">
        <is>
          <t>합계 · 부문 간 내부매출·대체</t>
        </is>
      </c>
      <c r="C185" s="20" t="n">
        <v>12783</v>
      </c>
      <c r="G185" s="20" t="n">
        <v>12122</v>
      </c>
      <c r="K185" s="20" t="n">
        <v>13151</v>
      </c>
    </row>
    <row r="186">
      <c r="A186" s="18" t="inlineStr">
        <is>
          <t>조정액 · 부문 간 내부매출·대체</t>
        </is>
      </c>
      <c r="C186" s="20" t="n">
        <v>-12783</v>
      </c>
      <c r="D186" s="20" t="n">
        <v>-28446</v>
      </c>
      <c r="E186" s="20" t="n">
        <v>-11222</v>
      </c>
      <c r="F186" s="20" t="n">
        <v>-11333</v>
      </c>
      <c r="G186" s="20" t="n">
        <v>-12122</v>
      </c>
      <c r="H186" s="20" t="n">
        <v>-31985</v>
      </c>
      <c r="I186" s="20" t="n">
        <v>-10349</v>
      </c>
      <c r="J186" s="20" t="n">
        <v>-9345</v>
      </c>
      <c r="K186" s="20" t="n">
        <v>-13151</v>
      </c>
      <c r="L186" s="20" t="n">
        <v>-34192</v>
      </c>
      <c r="M186" s="20" t="n">
        <v>-11425</v>
      </c>
      <c r="N186" s="20" t="n">
        <v>-11263</v>
      </c>
      <c r="V186" s="20" t="n">
        <v>-28446</v>
      </c>
      <c r="W186" s="20" t="n">
        <v>-31985</v>
      </c>
      <c r="X186" s="20" t="n">
        <v>-34192</v>
      </c>
    </row>
    <row r="187">
      <c r="A187" s="18" t="inlineStr">
        <is>
          <t>EntityTotalMember · 부문 간 내부매출·대체</t>
        </is>
      </c>
      <c r="E187" s="20" t="n">
        <v>0</v>
      </c>
      <c r="I187" s="20" t="n">
        <v>0</v>
      </c>
      <c r="M187" s="20" t="n">
        <v>0</v>
      </c>
    </row>
    <row r="188">
      <c r="A188" s="18" t="inlineStr">
        <is>
          <t>부문 간 내부매출·대체</t>
        </is>
      </c>
      <c r="C188" s="20" t="n">
        <v>0</v>
      </c>
      <c r="D188" s="20" t="n">
        <v>0</v>
      </c>
      <c r="E188" s="20" t="n">
        <v>0</v>
      </c>
      <c r="F188" s="20" t="n">
        <v>0</v>
      </c>
      <c r="G188" s="20" t="n">
        <v>0</v>
      </c>
      <c r="H188" s="20" t="n">
        <v>0</v>
      </c>
      <c r="V188" s="20" t="n">
        <v>0</v>
      </c>
      <c r="W188" s="20" t="n">
        <v>0</v>
      </c>
    </row>
    <row r="189">
      <c r="A189" s="18" t="inlineStr">
        <is>
          <t>PowerGenerationReportableSegmentMember · 계</t>
        </is>
      </c>
      <c r="C189" s="20" t="n">
        <v>244830</v>
      </c>
      <c r="D189" s="20" t="n">
        <v>227370</v>
      </c>
      <c r="E189" s="20" t="n">
        <v>177420</v>
      </c>
      <c r="F189" s="20" t="n">
        <v>273694</v>
      </c>
      <c r="G189" s="20" t="n">
        <v>241273</v>
      </c>
      <c r="H189" s="20" t="n">
        <v>274988</v>
      </c>
      <c r="I189" s="20" t="n">
        <v>179966</v>
      </c>
      <c r="J189" s="20" t="n">
        <v>235951</v>
      </c>
      <c r="K189" s="20" t="n">
        <v>210644</v>
      </c>
      <c r="L189" s="20" t="n">
        <v>239063</v>
      </c>
      <c r="M189" s="20" t="n">
        <v>192722</v>
      </c>
      <c r="N189" s="20" t="n">
        <v>284851</v>
      </c>
      <c r="V189" s="20" t="n">
        <v>227370</v>
      </c>
      <c r="W189" s="20" t="n">
        <v>274988</v>
      </c>
      <c r="X189" s="20" t="n">
        <v>239063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K190" s="15">
        <f>IF(OR(K189="",G189=""),"",IF(G189&lt;=0,"",IFERROR(K189/G189-1,"")))</f>
        <v/>
      </c>
      <c r="L190" s="15">
        <f>IF(OR(L189="",H189=""),"",IF(H189&lt;=0,"",IFERROR(L189/H189-1,"")))</f>
        <v/>
      </c>
      <c r="M190" s="15">
        <f>IF(OR(M189="",I189=""),"",IF(I189&lt;=0,"",IFERROR(M189/I189-1,"")))</f>
        <v/>
      </c>
      <c r="N190" s="15">
        <f>IF(OR(N189="",J189=""),"",IF(J189&lt;=0,"",IFERROR(N189/J189-1,"")))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TransmissionandTransformationReportableSegmentMember · 계</t>
        </is>
      </c>
      <c r="C191" s="20" t="n">
        <v>12162</v>
      </c>
      <c r="D191" s="20" t="n">
        <v>13091</v>
      </c>
      <c r="E191" s="20" t="n">
        <v>12515</v>
      </c>
      <c r="F191" s="20" t="n">
        <v>12482</v>
      </c>
      <c r="G191" s="20" t="n">
        <v>12864</v>
      </c>
      <c r="H191" s="20" t="n">
        <v>12597</v>
      </c>
      <c r="I191" s="20" t="n">
        <v>12350</v>
      </c>
      <c r="J191" s="20" t="n">
        <v>12320</v>
      </c>
      <c r="K191" s="20" t="n">
        <v>12516</v>
      </c>
      <c r="L191" s="20" t="n">
        <v>12668</v>
      </c>
      <c r="M191" s="20" t="n">
        <v>12341</v>
      </c>
      <c r="N191" s="20" t="n">
        <v>12306</v>
      </c>
      <c r="V191" s="20" t="n">
        <v>13091</v>
      </c>
      <c r="W191" s="20" t="n">
        <v>12597</v>
      </c>
      <c r="X191" s="20" t="n">
        <v>12668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IF(OR(G191="",C191=""),"",IF(C191&lt;=0,"",IFERROR(G191/C191-1,"")))</f>
        <v/>
      </c>
      <c r="H192" s="15">
        <f>IF(OR(H191="",D191=""),"",IF(D191&lt;=0,"",IFERROR(H191/D191-1,"")))</f>
        <v/>
      </c>
      <c r="I192" s="15">
        <f>IF(OR(I191="",E191=""),"",IF(E191&lt;=0,"",IFERROR(I191/E191-1,"")))</f>
        <v/>
      </c>
      <c r="J192" s="15">
        <f>IF(OR(J191="",F191=""),"",IF(F191&lt;=0,"",IFERROR(J191/F191-1,"")))</f>
        <v/>
      </c>
      <c r="K192" s="15">
        <f>IF(OR(K191="",G191=""),"",IF(G191&lt;=0,"",IFERROR(K191/G191-1,"")))</f>
        <v/>
      </c>
      <c r="L192" s="15">
        <f>IF(OR(L191="",H191=""),"",IF(H191&lt;=0,"",IFERROR(L191/H191-1,"")))</f>
        <v/>
      </c>
      <c r="M192" s="15">
        <f>IF(OR(M191="",I191=""),"",IF(I191&lt;=0,"",IFERROR(M191/I191-1,"")))</f>
        <v/>
      </c>
      <c r="N192" s="15">
        <f>IF(OR(N191="",J191=""),"",IF(J191&lt;=0,"",IFERROR(N191/J191-1,"")))</f>
        <v/>
      </c>
      <c r="V192" s="15">
        <f>IF(OR(V191="",U191=""),"",IF(U191&lt;=0,"",IFERROR(V191/U191-1,"")))</f>
        <v/>
      </c>
      <c r="W192" s="15">
        <f>IF(OR(W191="",V191=""),"",IF(V191&lt;=0,"",IFERROR(W191/V191-1,"")))</f>
        <v/>
      </c>
      <c r="X192" s="15">
        <f>IF(OR(X191="",W191=""),"",IF(W191&lt;=0,"",IFERROR(X191/W191-1,"")))</f>
        <v/>
      </c>
    </row>
    <row r="193">
      <c r="A193" s="18" t="inlineStr">
        <is>
          <t>ElectricPowerSurroundingsRelatedReportableSegmentsMember · 계</t>
        </is>
      </c>
      <c r="C193" s="20" t="n">
        <v>24081</v>
      </c>
      <c r="E193" s="20" t="n">
        <v>20510</v>
      </c>
      <c r="F193" s="20" t="n">
        <v>25400</v>
      </c>
      <c r="G193" s="20" t="n">
        <v>18683</v>
      </c>
      <c r="I193" s="20" t="n">
        <v>15862</v>
      </c>
      <c r="J193" s="20" t="n">
        <v>17161</v>
      </c>
      <c r="K193" s="20" t="n">
        <v>21487</v>
      </c>
      <c r="M193" s="20" t="n">
        <v>17285</v>
      </c>
      <c r="N193" s="20" t="n">
        <v>20013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IF(OR(G193="",C193=""),"",IF(C193&lt;=0,"",IFERROR(G193/C193-1,"")))</f>
        <v/>
      </c>
      <c r="I194" s="15">
        <f>IF(OR(I193="",E193=""),"",IF(E193&lt;=0,"",IFERROR(I193/E193-1,"")))</f>
        <v/>
      </c>
      <c r="J194" s="15">
        <f>IF(OR(J193="",F193=""),"",IF(F193&lt;=0,"",IFERROR(J193/F193-1,"")))</f>
        <v/>
      </c>
      <c r="K194" s="15">
        <f>IF(OR(K193="",G193=""),"",IF(G193&lt;=0,"",IFERROR(K193/G193-1,"")))</f>
        <v/>
      </c>
      <c r="M194" s="15">
        <f>IF(OR(M193="",I193=""),"",IF(I193&lt;=0,"",IFERROR(M193/I193-1,"")))</f>
        <v/>
      </c>
      <c r="N194" s="15">
        <f>IF(OR(N193="",J193=""),"",IF(J193&lt;=0,"",IFERROR(N193/J193-1,"")))</f>
        <v/>
      </c>
    </row>
    <row r="195">
      <c r="A195" s="18" t="inlineStr">
        <is>
          <t>OverseasReportableSegmentsMember · 계</t>
        </is>
      </c>
      <c r="C195" s="20" t="n">
        <v>57074</v>
      </c>
      <c r="D195" s="20" t="n">
        <v>43760</v>
      </c>
      <c r="E195" s="20" t="n">
        <v>57109</v>
      </c>
      <c r="F195" s="20" t="n">
        <v>75565</v>
      </c>
      <c r="G195" s="20" t="n">
        <v>53271</v>
      </c>
      <c r="H195" s="20" t="n">
        <v>58728</v>
      </c>
      <c r="I195" s="20" t="n">
        <v>49678</v>
      </c>
      <c r="J195" s="20" t="n">
        <v>59923</v>
      </c>
      <c r="K195" s="20" t="n">
        <v>58200</v>
      </c>
      <c r="L195" s="20" t="n">
        <v>60095</v>
      </c>
      <c r="M195" s="20" t="n">
        <v>66458</v>
      </c>
      <c r="N195" s="20" t="n">
        <v>102028</v>
      </c>
      <c r="V195" s="20" t="n">
        <v>43760</v>
      </c>
      <c r="W195" s="20" t="n">
        <v>58728</v>
      </c>
      <c r="X195" s="20" t="n">
        <v>60095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OtherReportableSegmentsMember · 계</t>
        </is>
      </c>
      <c r="C197" s="20" t="n">
        <v>3884</v>
      </c>
      <c r="E197" s="20" t="n">
        <v>2722</v>
      </c>
      <c r="F197" s="20" t="n">
        <v>5862</v>
      </c>
      <c r="G197" s="20" t="n">
        <v>4265</v>
      </c>
      <c r="I197" s="20" t="n">
        <v>2788</v>
      </c>
      <c r="J197" s="20" t="n">
        <v>5107</v>
      </c>
      <c r="K197" s="20" t="n">
        <v>3448</v>
      </c>
      <c r="M197" s="20" t="n">
        <v>2890</v>
      </c>
      <c r="N197" s="20" t="n">
        <v>3247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IF(OR(G197="",C197=""),"",IF(C197&lt;=0,"",IFERROR(G197/C197-1,"")))</f>
        <v/>
      </c>
      <c r="I198" s="15">
        <f>IF(OR(I197="",E197=""),"",IF(E197&lt;=0,"",IFERROR(I197/E197-1,"")))</f>
        <v/>
      </c>
      <c r="J198" s="15">
        <f>IF(OR(J197="",F197=""),"",IF(F197&lt;=0,"",IFERROR(J197/F197-1,"")))</f>
        <v/>
      </c>
      <c r="K198" s="15">
        <f>IF(OR(K197="",G197=""),"",IF(G197&lt;=0,"",IFERROR(K197/G197-1,"")))</f>
        <v/>
      </c>
      <c r="M198" s="15">
        <f>IF(OR(M197="",I197=""),"",IF(I197&lt;=0,"",IFERROR(M197/I197-1,"")))</f>
        <v/>
      </c>
      <c r="N198" s="15">
        <f>IF(OR(N197="",J197=""),"",IF(J197&lt;=0,"",IFERROR(N197/J197-1,"")))</f>
        <v/>
      </c>
    </row>
    <row r="199">
      <c r="A199" s="18" t="inlineStr">
        <is>
          <t>보고부문 합계 · 계</t>
        </is>
      </c>
      <c r="E199" s="20" t="n">
        <v>270279</v>
      </c>
      <c r="I199" s="20" t="n">
        <v>260646</v>
      </c>
      <c r="M199" s="20" t="n">
        <v>291698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I200" s="15">
        <f>IF(OR(I199="",E199=""),"",IF(E199&lt;=0,"",IFERROR(I199/E199-1,"")))</f>
        <v/>
      </c>
      <c r="M200" s="15">
        <f>IF(OR(M199="",I199=""),"",IF(I199&lt;=0,"",IFERROR(M199/I199-1,"")))</f>
        <v/>
      </c>
    </row>
    <row r="201">
      <c r="A201" s="18" t="inlineStr">
        <is>
          <t>합계 · 계</t>
        </is>
      </c>
      <c r="C201" s="20" t="n">
        <v>342032</v>
      </c>
      <c r="G201" s="20" t="n">
        <v>330356</v>
      </c>
      <c r="K201" s="20" t="n">
        <v>306296</v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IF(OR(G201="",C201=""),"",IF(C201&lt;=0,"",IFERROR(G201/C201-1,"")))</f>
        <v/>
      </c>
      <c r="K202" s="15">
        <f>IF(OR(K201="",G201=""),"",IF(G201&lt;=0,"",IFERROR(K201/G201-1,"")))</f>
        <v/>
      </c>
    </row>
    <row r="203">
      <c r="A203" s="18" t="inlineStr">
        <is>
          <t>조정액 · 계</t>
        </is>
      </c>
      <c r="C203" s="20" t="n">
        <v>-12783</v>
      </c>
      <c r="D203" s="20" t="n">
        <v>-28446</v>
      </c>
      <c r="E203" s="20" t="n">
        <v>-11222</v>
      </c>
      <c r="F203" s="20" t="n">
        <v>-11333</v>
      </c>
      <c r="G203" s="20" t="n">
        <v>-12122</v>
      </c>
      <c r="H203" s="20" t="n">
        <v>-31985</v>
      </c>
      <c r="I203" s="20" t="n">
        <v>-10349</v>
      </c>
      <c r="J203" s="20" t="n">
        <v>-9345</v>
      </c>
      <c r="K203" s="20" t="n">
        <v>-13151</v>
      </c>
      <c r="L203" s="20" t="n">
        <v>-34192</v>
      </c>
      <c r="M203" s="20" t="n">
        <v>-11425</v>
      </c>
      <c r="N203" s="20" t="n">
        <v>-11263</v>
      </c>
      <c r="V203" s="20" t="n">
        <v>-28446</v>
      </c>
      <c r="W203" s="20" t="n">
        <v>-31985</v>
      </c>
      <c r="X203" s="20" t="n">
        <v>-34192</v>
      </c>
    </row>
    <row r="204">
      <c r="A204" s="18" t="inlineStr">
        <is>
          <t>EntityTotalMember · 계</t>
        </is>
      </c>
      <c r="E204" s="20" t="n">
        <v>259056</v>
      </c>
      <c r="I204" s="20" t="n">
        <v>250297</v>
      </c>
      <c r="M204" s="20" t="n">
        <v>280273</v>
      </c>
    </row>
    <row r="205">
      <c r="A205" s="18" t="inlineStr">
        <is>
          <t>계</t>
        </is>
      </c>
      <c r="C205" s="20" t="n">
        <v>329248</v>
      </c>
      <c r="D205" s="20" t="n">
        <v>297156</v>
      </c>
      <c r="E205" s="20" t="n">
        <v>259056</v>
      </c>
      <c r="F205" s="20" t="n">
        <v>381669</v>
      </c>
      <c r="G205" s="20" t="n">
        <v>318234</v>
      </c>
      <c r="H205" s="20" t="n">
        <v>357715</v>
      </c>
      <c r="V205" s="20" t="n">
        <v>297156</v>
      </c>
      <c r="W205" s="20" t="n">
        <v>357715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IF(OR(G205="",C205=""),"",IF(C205&lt;=0,"",IFERROR(G205/C205-1,"")))</f>
        <v/>
      </c>
      <c r="H206" s="15">
        <f>IF(OR(H205="",D205=""),"",IF(D205&lt;=0,"",IFERROR(H205/D205-1,"")))</f>
        <v/>
      </c>
      <c r="V206" s="15">
        <f>IF(OR(V205="",U205=""),"",IF(U205&lt;=0,"",IFERROR(V205/U205-1,"")))</f>
        <v/>
      </c>
      <c r="W206" s="15">
        <f>IF(OR(W205="",V205=""),"",IF(V205&lt;=0,"",IFERROR(W205/V205-1,"")))</f>
        <v/>
      </c>
    </row>
    <row r="207">
      <c r="A207" s="18" t="inlineStr">
        <is>
          <t>PowerGenerationReportableSegmentMember · 부문 이익</t>
        </is>
      </c>
      <c r="C207" s="20" t="n">
        <v>18526</v>
      </c>
      <c r="D207" s="20" t="n">
        <v>3278</v>
      </c>
      <c r="E207" s="20" t="n">
        <v>24648</v>
      </c>
      <c r="F207" s="20" t="n">
        <v>14649</v>
      </c>
      <c r="G207" s="20" t="n">
        <v>24265</v>
      </c>
      <c r="H207" s="20" t="n">
        <v>4985</v>
      </c>
      <c r="I207" s="20" t="n">
        <v>20523</v>
      </c>
      <c r="J207" s="20" t="n">
        <v>4407</v>
      </c>
      <c r="K207" s="20" t="n">
        <v>14902</v>
      </c>
      <c r="L207" s="20" t="n">
        <v>5519</v>
      </c>
      <c r="M207" s="20" t="n">
        <v>20152</v>
      </c>
      <c r="N207" s="20" t="n">
        <v>28135</v>
      </c>
      <c r="V207" s="20" t="n">
        <v>3278</v>
      </c>
      <c r="W207" s="20" t="n">
        <v>4985</v>
      </c>
      <c r="X207" s="20" t="n">
        <v>5519</v>
      </c>
    </row>
    <row r="208">
      <c r="A208" s="18" t="inlineStr">
        <is>
          <t>TransmissionandTransformationReportableSegmentMember · 부문 이익</t>
        </is>
      </c>
      <c r="C208" s="20" t="n">
        <v>2443</v>
      </c>
      <c r="D208" s="20" t="n">
        <v>-460</v>
      </c>
      <c r="E208" s="20" t="n">
        <v>3022</v>
      </c>
      <c r="F208" s="20" t="n">
        <v>1993</v>
      </c>
      <c r="G208" s="20" t="n">
        <v>3034</v>
      </c>
      <c r="H208" s="20" t="n">
        <v>-5214</v>
      </c>
      <c r="I208" s="20" t="n">
        <v>2602</v>
      </c>
      <c r="J208" s="20" t="n">
        <v>2314</v>
      </c>
      <c r="K208" s="20" t="n">
        <v>1779</v>
      </c>
      <c r="L208" s="20" t="n">
        <v>-4919</v>
      </c>
      <c r="M208" s="20" t="n">
        <v>1962</v>
      </c>
      <c r="N208" s="20" t="n">
        <v>189</v>
      </c>
      <c r="V208" s="20" t="n">
        <v>-460</v>
      </c>
      <c r="W208" s="20" t="n">
        <v>-5214</v>
      </c>
      <c r="X208" s="20" t="n">
        <v>-4919</v>
      </c>
    </row>
    <row r="209">
      <c r="A209" s="18" t="inlineStr">
        <is>
          <t>ElectricPowerSurroundingsRelatedReportableSegmentsMember · 부문 이익</t>
        </is>
      </c>
      <c r="C209" s="20" t="n">
        <v>9270</v>
      </c>
      <c r="E209" s="20" t="n">
        <v>5772</v>
      </c>
      <c r="F209" s="20" t="n">
        <v>8139</v>
      </c>
      <c r="G209" s="20" t="n">
        <v>7370</v>
      </c>
      <c r="I209" s="20" t="n">
        <v>2841</v>
      </c>
      <c r="J209" s="20" t="n">
        <v>2518</v>
      </c>
      <c r="K209" s="20" t="n">
        <v>4257</v>
      </c>
      <c r="M209" s="20" t="n">
        <v>1895</v>
      </c>
      <c r="N209" s="20" t="n">
        <v>2759</v>
      </c>
    </row>
    <row r="210">
      <c r="A210" s="18" t="inlineStr">
        <is>
          <t>OverseasReportableSegmentsMember · 부문 이익</t>
        </is>
      </c>
      <c r="C210" s="20" t="n">
        <v>12026</v>
      </c>
      <c r="D210" s="20" t="n">
        <v>21188</v>
      </c>
      <c r="E210" s="20" t="n">
        <v>1291</v>
      </c>
      <c r="F210" s="20" t="n">
        <v>11296</v>
      </c>
      <c r="G210" s="20" t="n">
        <v>19615</v>
      </c>
      <c r="H210" s="20" t="n">
        <v>2301</v>
      </c>
      <c r="I210" s="20" t="n">
        <v>46487</v>
      </c>
      <c r="J210" s="20" t="n">
        <v>13881</v>
      </c>
      <c r="K210" s="20" t="n">
        <v>14311</v>
      </c>
      <c r="L210" s="20" t="n">
        <v>20177</v>
      </c>
      <c r="M210" s="20" t="n">
        <v>15001</v>
      </c>
      <c r="N210" s="20" t="n">
        <v>11217</v>
      </c>
      <c r="V210" s="20" t="n">
        <v>21188</v>
      </c>
      <c r="W210" s="20" t="n">
        <v>2301</v>
      </c>
      <c r="X210" s="20" t="n">
        <v>20177</v>
      </c>
    </row>
    <row r="211">
      <c r="A211" s="18" t="inlineStr">
        <is>
          <t>OtherReportableSegmentsMember · 부문 이익</t>
        </is>
      </c>
      <c r="C211" s="20" t="n">
        <v>57</v>
      </c>
      <c r="E211" s="20" t="n">
        <v>58</v>
      </c>
      <c r="F211" s="20" t="n">
        <v>112</v>
      </c>
      <c r="G211" s="20" t="n">
        <v>65</v>
      </c>
      <c r="I211" s="20" t="n">
        <v>68</v>
      </c>
      <c r="J211" s="20" t="n">
        <v>97</v>
      </c>
      <c r="K211" s="20" t="n">
        <v>-48</v>
      </c>
      <c r="M211" s="20" t="n">
        <v>186</v>
      </c>
      <c r="N211" s="20" t="n">
        <v>115</v>
      </c>
    </row>
    <row r="212">
      <c r="A212" s="18" t="inlineStr">
        <is>
          <t>보고부문 합계 · 부문 이익</t>
        </is>
      </c>
      <c r="E212" s="20" t="n">
        <v>34793</v>
      </c>
      <c r="I212" s="20" t="n">
        <v>72523</v>
      </c>
      <c r="M212" s="20" t="n">
        <v>39198</v>
      </c>
    </row>
    <row r="213">
      <c r="A213" s="18" t="inlineStr">
        <is>
          <t>합계 · 부문 이익</t>
        </is>
      </c>
      <c r="C213" s="20" t="n">
        <v>42323</v>
      </c>
      <c r="G213" s="20" t="n">
        <v>54348</v>
      </c>
      <c r="K213" s="20" t="n">
        <v>35201</v>
      </c>
    </row>
    <row r="214">
      <c r="A214" s="18" t="inlineStr">
        <is>
          <t>조정액 · 부문 이익</t>
        </is>
      </c>
      <c r="C214" s="20" t="n">
        <v>57</v>
      </c>
      <c r="D214" s="20" t="n">
        <v>-500</v>
      </c>
      <c r="E214" s="20" t="n">
        <v>250</v>
      </c>
      <c r="F214" s="20" t="n">
        <v>-175</v>
      </c>
      <c r="G214" s="20" t="n">
        <v>-352</v>
      </c>
      <c r="H214" s="20" t="n">
        <v>-225</v>
      </c>
      <c r="I214" s="20" t="n">
        <v>544</v>
      </c>
      <c r="J214" s="20" t="n">
        <v>82</v>
      </c>
      <c r="K214" s="20" t="n">
        <v>-83</v>
      </c>
      <c r="L214" s="20" t="n">
        <v>-1403</v>
      </c>
      <c r="M214" s="20" t="n">
        <v>363</v>
      </c>
      <c r="N214" s="20" t="n">
        <v>94</v>
      </c>
      <c r="V214" s="20" t="n">
        <v>-500</v>
      </c>
      <c r="W214" s="20" t="n">
        <v>-225</v>
      </c>
      <c r="X214" s="20" t="n">
        <v>-1403</v>
      </c>
    </row>
    <row r="215">
      <c r="A215" s="18" t="inlineStr">
        <is>
          <t>EntityTotalMember · 부문 이익</t>
        </is>
      </c>
      <c r="E215" s="20" t="n">
        <v>35044</v>
      </c>
      <c r="I215" s="20" t="n">
        <v>73067</v>
      </c>
      <c r="M215" s="20" t="n">
        <v>39561</v>
      </c>
    </row>
    <row r="216">
      <c r="A216" s="9" t="inlineStr">
        <is>
          <t>부문 이익</t>
        </is>
      </c>
      <c r="C216" s="12" t="n">
        <v>42379</v>
      </c>
      <c r="D216" s="12" t="n">
        <v>33734</v>
      </c>
      <c r="E216" s="12" t="n">
        <v>35044</v>
      </c>
      <c r="F216" s="12" t="n">
        <v>36014</v>
      </c>
      <c r="G216" s="12" t="n">
        <v>53892</v>
      </c>
      <c r="H216" s="12" t="n">
        <v>15145</v>
      </c>
      <c r="V216" s="12" t="n">
        <v>33734</v>
      </c>
      <c r="W216" s="12" t="n">
        <v>15145</v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G217" s="15">
        <f>IF(OR(G216="",C216=""),"",IF(C216&lt;=0,"",IFERROR(G216/C216-1,"")))</f>
        <v/>
      </c>
      <c r="H217" s="15">
        <f>IF(OR(H216="",D216=""),"",IF(D216&lt;=0,"",IFERROR(H216/D216-1,"")))</f>
        <v/>
      </c>
      <c r="V217" s="15">
        <f>IF(OR(V216="",U216=""),"",IF(U216&lt;=0,"",IFERROR(V216/U216-1,"")))</f>
        <v/>
      </c>
      <c r="W217" s="15">
        <f>IF(OR(W216="",V216=""),"",IF(V216&lt;=0,"",IFERROR(W216/V216-1,"")))</f>
        <v/>
      </c>
    </row>
    <row r="219">
      <c r="A219" s="16" t="inlineStr">
        <is>
          <t>현금흐름표 · 전 항목</t>
        </is>
      </c>
      <c r="B219" s="42" t="inlineStr">
        <is>
          <t>분기 = 결산기 첫날부터 누계(공시 그대로)</t>
        </is>
      </c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</row>
    <row r="220">
      <c r="A220" s="5" t="inlineStr">
        <is>
          <t>항목</t>
        </is>
      </c>
      <c r="B220" s="5" t="inlineStr">
        <is>
          <t>참고</t>
        </is>
      </c>
      <c r="C220" s="5" t="inlineStr">
        <is>
          <t>2024.3Q</t>
        </is>
      </c>
      <c r="D220" s="5" t="inlineStr">
        <is>
          <t>2024.4Q</t>
        </is>
      </c>
      <c r="E220" s="5" t="inlineStr">
        <is>
          <t>2025.1Q</t>
        </is>
      </c>
      <c r="F220" s="5" t="inlineStr">
        <is>
          <t>2025.2Q</t>
        </is>
      </c>
      <c r="G220" s="5" t="inlineStr">
        <is>
          <t>2025.3Q</t>
        </is>
      </c>
      <c r="H220" s="5" t="inlineStr">
        <is>
          <t>2025.4Q</t>
        </is>
      </c>
      <c r="I220" s="5" t="inlineStr">
        <is>
          <t>2026.1Q</t>
        </is>
      </c>
      <c r="J220" s="5" t="inlineStr">
        <is>
          <t>2026.2Q</t>
        </is>
      </c>
      <c r="K220" s="5" t="inlineStr">
        <is>
          <t>2026.3Q</t>
        </is>
      </c>
      <c r="L220" s="5" t="inlineStr">
        <is>
          <t>2026.4Q</t>
        </is>
      </c>
      <c r="M220" s="5" t="inlineStr">
        <is>
          <t>2027.1Q</t>
        </is>
      </c>
      <c r="N220" s="5" t="inlineStr">
        <is>
          <t>2027.2Q</t>
        </is>
      </c>
      <c r="O220" s="5" t="inlineStr">
        <is>
          <t>2017</t>
        </is>
      </c>
      <c r="P220" s="5" t="inlineStr">
        <is>
          <t>2018</t>
        </is>
      </c>
      <c r="Q220" s="5" t="inlineStr">
        <is>
          <t>2019</t>
        </is>
      </c>
      <c r="R220" s="5" t="inlineStr">
        <is>
          <t>2020</t>
        </is>
      </c>
      <c r="S220" s="5" t="inlineStr">
        <is>
          <t>2021</t>
        </is>
      </c>
      <c r="T220" s="5" t="inlineStr">
        <is>
          <t>2022</t>
        </is>
      </c>
      <c r="U220" s="5" t="inlineStr">
        <is>
          <t>2023</t>
        </is>
      </c>
      <c r="V220" s="5" t="inlineStr">
        <is>
          <t>2024</t>
        </is>
      </c>
      <c r="W220" s="5" t="inlineStr">
        <is>
          <t>2025</t>
        </is>
      </c>
      <c r="X220" s="5" t="inlineStr">
        <is>
          <t>2026</t>
        </is>
      </c>
      <c r="Y220" s="5" t="inlineStr">
        <is>
          <t>2027(MW)</t>
        </is>
      </c>
      <c r="Z220" s="5" t="inlineStr">
        <is>
          <t>2028(MW)</t>
        </is>
      </c>
      <c r="AA220" s="5" t="inlineStr">
        <is>
          <t>2029(MW)</t>
        </is>
      </c>
      <c r="AB220" s="5" t="inlineStr">
        <is>
          <t>2030(MW)</t>
        </is>
      </c>
      <c r="AC220" s="5" t="inlineStr">
        <is>
          <t>2031(MW)</t>
        </is>
      </c>
    </row>
    <row r="221">
      <c r="A221" s="9" t="inlineStr">
        <is>
          <t>법인세차감전 순이익</t>
        </is>
      </c>
      <c r="D221" s="12" t="n">
        <v>118535</v>
      </c>
      <c r="F221" s="12" t="n">
        <v>71058</v>
      </c>
      <c r="H221" s="12" t="n">
        <v>140095</v>
      </c>
      <c r="J221" s="12" t="n">
        <v>96365</v>
      </c>
      <c r="L221" s="12" t="n">
        <v>106714</v>
      </c>
      <c r="N221" s="12" t="n">
        <v>82071</v>
      </c>
      <c r="O221" s="12" t="n">
        <v>67150</v>
      </c>
      <c r="P221" s="12" t="n">
        <v>99086</v>
      </c>
      <c r="Q221" s="12" t="n">
        <v>68539</v>
      </c>
      <c r="R221" s="12" t="n">
        <v>65587</v>
      </c>
      <c r="S221" s="12" t="n">
        <v>64674</v>
      </c>
      <c r="T221" s="12" t="n">
        <v>72846</v>
      </c>
      <c r="U221" s="12" t="n">
        <v>170792</v>
      </c>
      <c r="V221" s="12" t="n">
        <v>118535</v>
      </c>
      <c r="W221" s="12" t="n">
        <v>140095</v>
      </c>
      <c r="X221" s="12" t="n">
        <v>106714</v>
      </c>
    </row>
    <row r="222">
      <c r="A222" s="18" t="inlineStr">
        <is>
          <t>감가상각비</t>
        </is>
      </c>
      <c r="D222" s="20" t="n">
        <v>110313</v>
      </c>
      <c r="F222" s="20" t="n">
        <v>57424</v>
      </c>
      <c r="H222" s="20" t="n">
        <v>116405</v>
      </c>
      <c r="J222" s="20" t="n">
        <v>56061</v>
      </c>
      <c r="L222" s="20" t="n">
        <v>116074</v>
      </c>
      <c r="N222" s="20" t="n">
        <v>57065</v>
      </c>
      <c r="O222" s="20" t="n">
        <v>75660</v>
      </c>
      <c r="P222" s="20" t="n">
        <v>82298</v>
      </c>
      <c r="Q222" s="20" t="n">
        <v>79979</v>
      </c>
      <c r="R222" s="20" t="n">
        <v>83009</v>
      </c>
      <c r="S222" s="20" t="n">
        <v>96445</v>
      </c>
      <c r="T222" s="20" t="n">
        <v>96997</v>
      </c>
      <c r="U222" s="20" t="n">
        <v>107642</v>
      </c>
      <c r="V222" s="20" t="n">
        <v>110313</v>
      </c>
      <c r="W222" s="20" t="n">
        <v>116405</v>
      </c>
      <c r="X222" s="20" t="n">
        <v>116074</v>
      </c>
    </row>
    <row r="223">
      <c r="A223" s="18" t="inlineStr">
        <is>
          <t>손상차손</t>
        </is>
      </c>
      <c r="H223" s="20" t="n">
        <v>18</v>
      </c>
      <c r="L223" s="20" t="n">
        <v>32988</v>
      </c>
      <c r="O223" s="20" t="n">
        <v>2624</v>
      </c>
      <c r="P223" s="20" t="n">
        <v>3389</v>
      </c>
      <c r="Q223" s="20" t="n">
        <v>632</v>
      </c>
      <c r="R223" s="20" t="n">
        <v>3586</v>
      </c>
      <c r="S223" s="20" t="n">
        <v>5706</v>
      </c>
      <c r="W223" s="20" t="n">
        <v>18</v>
      </c>
      <c r="X223" s="20" t="n">
        <v>32988</v>
      </c>
    </row>
    <row r="224">
      <c r="A224" s="18" t="inlineStr">
        <is>
          <t>고정자산 제각손실</t>
        </is>
      </c>
      <c r="D224" s="20" t="n">
        <v>2751</v>
      </c>
      <c r="F224" s="20" t="n">
        <v>570</v>
      </c>
      <c r="H224" s="20" t="n">
        <v>5818</v>
      </c>
      <c r="J224" s="20" t="n">
        <v>2529</v>
      </c>
      <c r="L224" s="20" t="n">
        <v>24082</v>
      </c>
      <c r="N224" s="20" t="n">
        <v>1557</v>
      </c>
      <c r="O224" s="20" t="n">
        <v>2842</v>
      </c>
      <c r="P224" s="20" t="n">
        <v>3039</v>
      </c>
      <c r="Q224" s="20" t="n">
        <v>4786</v>
      </c>
      <c r="R224" s="20" t="n">
        <v>3963</v>
      </c>
      <c r="S224" s="20" t="n">
        <v>4945</v>
      </c>
      <c r="T224" s="20" t="n">
        <v>4828</v>
      </c>
      <c r="U224" s="20" t="n">
        <v>6821</v>
      </c>
      <c r="V224" s="20" t="n">
        <v>2751</v>
      </c>
      <c r="W224" s="20" t="n">
        <v>5818</v>
      </c>
      <c r="X224" s="20" t="n">
        <v>24082</v>
      </c>
    </row>
    <row r="225">
      <c r="A225" s="18" t="inlineStr">
        <is>
          <t>Loss On Business Of Subsidiaries And Affiliates Ope CF</t>
        </is>
      </c>
      <c r="Q225" s="20" t="n">
        <v>0</v>
      </c>
      <c r="R225" s="20" t="n">
        <v>8911</v>
      </c>
      <c r="S225" s="20" t="n">
        <v>0</v>
      </c>
    </row>
    <row r="226">
      <c r="A226" s="18" t="inlineStr">
        <is>
          <t>퇴직급여부채 증감</t>
        </is>
      </c>
      <c r="D226" s="20" t="n">
        <v>-3352</v>
      </c>
      <c r="F226" s="20" t="n">
        <v>-882</v>
      </c>
      <c r="H226" s="20" t="n">
        <v>-3248</v>
      </c>
      <c r="J226" s="20" t="n">
        <v>-81</v>
      </c>
      <c r="L226" s="20" t="n">
        <v>-664</v>
      </c>
      <c r="N226" s="20" t="n">
        <v>-1115</v>
      </c>
      <c r="O226" s="20" t="n">
        <v>9276</v>
      </c>
      <c r="P226" s="20" t="n">
        <v>-1046</v>
      </c>
      <c r="Q226" s="20" t="n">
        <v>-2777</v>
      </c>
      <c r="R226" s="20" t="n">
        <v>1161</v>
      </c>
      <c r="S226" s="20" t="n">
        <v>2036</v>
      </c>
      <c r="T226" s="20" t="n">
        <v>-7372</v>
      </c>
      <c r="U226" s="20" t="n">
        <v>-9685</v>
      </c>
      <c r="V226" s="20" t="n">
        <v>-3352</v>
      </c>
      <c r="W226" s="20" t="n">
        <v>-3248</v>
      </c>
      <c r="X226" s="20" t="n">
        <v>-664</v>
      </c>
    </row>
    <row r="227">
      <c r="A227" s="18" t="inlineStr">
        <is>
          <t>이자·배당금 수익</t>
        </is>
      </c>
      <c r="D227" s="20" t="n">
        <v>-9313</v>
      </c>
      <c r="F227" s="20" t="n">
        <v>-5965</v>
      </c>
      <c r="H227" s="20" t="n">
        <v>-12030</v>
      </c>
      <c r="J227" s="20" t="n">
        <v>-6070</v>
      </c>
      <c r="L227" s="20" t="n">
        <v>-12506</v>
      </c>
      <c r="N227" s="20" t="n">
        <v>-7032</v>
      </c>
      <c r="O227" s="20" t="n">
        <v>-2713</v>
      </c>
      <c r="P227" s="20" t="n">
        <v>-2864</v>
      </c>
      <c r="Q227" s="20" t="n">
        <v>-2950</v>
      </c>
      <c r="R227" s="20" t="n">
        <v>-2729</v>
      </c>
      <c r="S227" s="20" t="n">
        <v>-3354</v>
      </c>
      <c r="T227" s="20" t="n">
        <v>-3673</v>
      </c>
      <c r="U227" s="20" t="n">
        <v>-5400</v>
      </c>
      <c r="V227" s="20" t="n">
        <v>-9313</v>
      </c>
      <c r="W227" s="20" t="n">
        <v>-12030</v>
      </c>
      <c r="X227" s="20" t="n">
        <v>-12506</v>
      </c>
    </row>
    <row r="228">
      <c r="A228" s="18" t="inlineStr">
        <is>
          <t>이자비용</t>
        </is>
      </c>
      <c r="D228" s="20" t="n">
        <v>30937</v>
      </c>
      <c r="F228" s="20" t="n">
        <v>15817</v>
      </c>
      <c r="H228" s="20" t="n">
        <v>33002</v>
      </c>
      <c r="J228" s="20" t="n">
        <v>14425</v>
      </c>
      <c r="L228" s="20" t="n">
        <v>31929</v>
      </c>
      <c r="N228" s="20" t="n">
        <v>17976</v>
      </c>
      <c r="O228" s="20" t="n">
        <v>29798</v>
      </c>
      <c r="P228" s="20" t="n">
        <v>28387</v>
      </c>
      <c r="Q228" s="20" t="n">
        <v>26377</v>
      </c>
      <c r="R228" s="20" t="n">
        <v>26293</v>
      </c>
      <c r="S228" s="20" t="n">
        <v>23746</v>
      </c>
      <c r="T228" s="20" t="n">
        <v>22442</v>
      </c>
      <c r="U228" s="20" t="n">
        <v>27368</v>
      </c>
      <c r="V228" s="20" t="n">
        <v>30937</v>
      </c>
      <c r="W228" s="20" t="n">
        <v>33002</v>
      </c>
      <c r="X228" s="20" t="n">
        <v>31929</v>
      </c>
    </row>
    <row r="229">
      <c r="A229" s="18" t="inlineStr">
        <is>
          <t>매출채권 증감</t>
        </is>
      </c>
      <c r="D229" s="20" t="n">
        <v>37012</v>
      </c>
      <c r="F229" s="20" t="n">
        <v>-35370</v>
      </c>
      <c r="H229" s="20" t="n">
        <v>-9702</v>
      </c>
      <c r="J229" s="20" t="n">
        <v>-2976</v>
      </c>
      <c r="L229" s="20" t="n">
        <v>4346</v>
      </c>
      <c r="N229" s="20" t="n">
        <v>-58165</v>
      </c>
      <c r="O229" s="20" t="n">
        <v>-13433</v>
      </c>
      <c r="P229" s="20" t="n">
        <v>-10801</v>
      </c>
      <c r="Q229" s="20" t="n">
        <v>6211</v>
      </c>
      <c r="R229" s="20" t="n">
        <v>5818</v>
      </c>
      <c r="S229" s="20" t="n">
        <v>14183</v>
      </c>
      <c r="T229" s="20" t="n">
        <v>-10283</v>
      </c>
      <c r="U229" s="20" t="n">
        <v>-47335</v>
      </c>
      <c r="V229" s="20" t="n">
        <v>37012</v>
      </c>
      <c r="W229" s="20" t="n">
        <v>-9702</v>
      </c>
      <c r="X229" s="20" t="n">
        <v>4346</v>
      </c>
    </row>
    <row r="230">
      <c r="A230" s="18" t="inlineStr">
        <is>
          <t>재고자산 증감</t>
        </is>
      </c>
      <c r="D230" s="20" t="n">
        <v>31360</v>
      </c>
      <c r="F230" s="20" t="n">
        <v>10037</v>
      </c>
      <c r="H230" s="20" t="n">
        <v>9399</v>
      </c>
      <c r="J230" s="20" t="n">
        <v>3118</v>
      </c>
      <c r="L230" s="20" t="n">
        <v>-4775</v>
      </c>
      <c r="N230" s="20" t="n">
        <v>-2490</v>
      </c>
      <c r="O230" s="20" t="n">
        <v>-5503</v>
      </c>
      <c r="P230" s="20" t="n">
        <v>-5121</v>
      </c>
      <c r="Q230" s="20" t="n">
        <v>-1315</v>
      </c>
      <c r="R230" s="20" t="n">
        <v>3926</v>
      </c>
      <c r="S230" s="20" t="n">
        <v>4411</v>
      </c>
      <c r="T230" s="20" t="n">
        <v>-15958</v>
      </c>
      <c r="U230" s="20" t="n">
        <v>-44357</v>
      </c>
      <c r="V230" s="20" t="n">
        <v>31360</v>
      </c>
      <c r="W230" s="20" t="n">
        <v>9399</v>
      </c>
      <c r="X230" s="20" t="n">
        <v>-4775</v>
      </c>
    </row>
    <row r="231">
      <c r="A231" s="18" t="inlineStr">
        <is>
          <t>매입채무 증감</t>
        </is>
      </c>
      <c r="D231" s="20" t="n">
        <v>-13524</v>
      </c>
      <c r="F231" s="20" t="n">
        <v>3202</v>
      </c>
      <c r="H231" s="20" t="n">
        <v>11509</v>
      </c>
      <c r="J231" s="20" t="n">
        <v>-24767</v>
      </c>
      <c r="L231" s="20" t="n">
        <v>-6301</v>
      </c>
      <c r="N231" s="20" t="n">
        <v>6876</v>
      </c>
      <c r="O231" s="20" t="n">
        <v>-6477</v>
      </c>
      <c r="P231" s="20" t="n">
        <v>-2143</v>
      </c>
      <c r="Q231" s="20" t="n">
        <v>3394</v>
      </c>
      <c r="R231" s="20" t="n">
        <v>322</v>
      </c>
      <c r="S231" s="20" t="n">
        <v>-24</v>
      </c>
      <c r="T231" s="20" t="n">
        <v>12182</v>
      </c>
      <c r="U231" s="20" t="n">
        <v>18316</v>
      </c>
      <c r="V231" s="20" t="n">
        <v>-13524</v>
      </c>
      <c r="W231" s="20" t="n">
        <v>11509</v>
      </c>
      <c r="X231" s="20" t="n">
        <v>-6301</v>
      </c>
    </row>
    <row r="232">
      <c r="A232" s="18" t="inlineStr">
        <is>
          <t>지분법손익</t>
        </is>
      </c>
      <c r="D232" s="20" t="n">
        <v>-24550</v>
      </c>
      <c r="F232" s="20" t="n">
        <v>-12564</v>
      </c>
      <c r="H232" s="20" t="n">
        <v>-14464</v>
      </c>
      <c r="J232" s="20" t="n">
        <v>-51710</v>
      </c>
      <c r="L232" s="20" t="n">
        <v>-63878</v>
      </c>
      <c r="N232" s="20" t="n">
        <v>-14111</v>
      </c>
      <c r="O232" s="20" t="n">
        <v>-13258</v>
      </c>
      <c r="P232" s="20" t="n">
        <v>-9721</v>
      </c>
      <c r="Q232" s="20" t="n">
        <v>-9657</v>
      </c>
      <c r="R232" s="20" t="n">
        <v>-11320</v>
      </c>
      <c r="S232" s="20" t="n">
        <v>-2759</v>
      </c>
      <c r="T232" s="20" t="n">
        <v>-14228</v>
      </c>
      <c r="U232" s="20" t="n">
        <v>-9128</v>
      </c>
      <c r="V232" s="20" t="n">
        <v>-24550</v>
      </c>
      <c r="W232" s="20" t="n">
        <v>-14464</v>
      </c>
      <c r="X232" s="20" t="n">
        <v>-63878</v>
      </c>
    </row>
    <row r="233">
      <c r="A233" s="18" t="inlineStr">
        <is>
          <t>관계회사 주식 매각손익</t>
        </is>
      </c>
      <c r="R233" s="20" t="n">
        <v>0</v>
      </c>
      <c r="S233" s="20" t="n">
        <v>-9478</v>
      </c>
      <c r="T233" s="20" t="n">
        <v>0</v>
      </c>
    </row>
    <row r="234">
      <c r="A234" s="18" t="inlineStr">
        <is>
          <t>고정자산 매각손익</t>
        </is>
      </c>
      <c r="D234" s="20" t="n">
        <v>-4621</v>
      </c>
      <c r="F234" s="20" t="n">
        <v>-5487</v>
      </c>
      <c r="H234" s="20" t="n">
        <v>-6940</v>
      </c>
      <c r="T234" s="20" t="n">
        <v>23</v>
      </c>
      <c r="U234" s="20" t="n">
        <v>-3251</v>
      </c>
      <c r="V234" s="20" t="n">
        <v>-4621</v>
      </c>
      <c r="W234" s="20" t="n">
        <v>-6940</v>
      </c>
    </row>
    <row r="235">
      <c r="A235" s="18" t="inlineStr">
        <is>
          <t>기타</t>
        </is>
      </c>
      <c r="D235" s="20" t="n">
        <v>5689</v>
      </c>
      <c r="F235" s="20" t="n">
        <v>-3255</v>
      </c>
      <c r="H235" s="20" t="n">
        <v>-3150</v>
      </c>
      <c r="J235" s="20" t="n">
        <v>-28680</v>
      </c>
      <c r="L235" s="20" t="n">
        <v>-28947</v>
      </c>
      <c r="N235" s="20" t="n">
        <v>3712</v>
      </c>
      <c r="O235" s="20" t="n">
        <v>6786</v>
      </c>
      <c r="P235" s="20" t="n">
        <v>10253</v>
      </c>
      <c r="Q235" s="20" t="n">
        <v>9378</v>
      </c>
      <c r="R235" s="20" t="n">
        <v>-2064</v>
      </c>
      <c r="S235" s="20" t="n">
        <v>-9098</v>
      </c>
      <c r="T235" s="20" t="n">
        <v>21889</v>
      </c>
      <c r="U235" s="20" t="n">
        <v>-30306</v>
      </c>
      <c r="V235" s="20" t="n">
        <v>5689</v>
      </c>
      <c r="W235" s="20" t="n">
        <v>-3150</v>
      </c>
      <c r="X235" s="20" t="n">
        <v>-28947</v>
      </c>
    </row>
    <row r="236">
      <c r="A236" s="18" t="inlineStr">
        <is>
          <t>소계</t>
        </is>
      </c>
      <c r="D236" s="20" t="n">
        <v>281237</v>
      </c>
      <c r="F236" s="20" t="n">
        <v>100072</v>
      </c>
      <c r="H236" s="20" t="n">
        <v>273652</v>
      </c>
      <c r="J236" s="20" t="n">
        <v>58213</v>
      </c>
      <c r="L236" s="20" t="n">
        <v>199063</v>
      </c>
      <c r="N236" s="20" t="n">
        <v>86344</v>
      </c>
      <c r="O236" s="20" t="n">
        <v>152753</v>
      </c>
      <c r="P236" s="20" t="n">
        <v>191366</v>
      </c>
      <c r="Q236" s="20" t="n">
        <v>182599</v>
      </c>
      <c r="R236" s="20" t="n">
        <v>186466</v>
      </c>
      <c r="S236" s="20" t="n">
        <v>185729</v>
      </c>
      <c r="T236" s="20" t="n">
        <v>179694</v>
      </c>
      <c r="U236" s="20" t="n">
        <v>184727</v>
      </c>
      <c r="V236" s="20" t="n">
        <v>281237</v>
      </c>
      <c r="W236" s="20" t="n">
        <v>273652</v>
      </c>
      <c r="X236" s="20" t="n">
        <v>199063</v>
      </c>
    </row>
    <row r="237">
      <c r="A237" s="18" t="inlineStr">
        <is>
          <t>이자·배당금 수취</t>
        </is>
      </c>
      <c r="D237" s="20" t="n">
        <v>39868</v>
      </c>
      <c r="F237" s="20" t="n">
        <v>15375</v>
      </c>
      <c r="H237" s="20" t="n">
        <v>31471</v>
      </c>
      <c r="J237" s="20" t="n">
        <v>22986</v>
      </c>
      <c r="L237" s="20" t="n">
        <v>108492</v>
      </c>
      <c r="N237" s="20" t="n">
        <v>22162</v>
      </c>
      <c r="O237" s="20" t="n">
        <v>13229</v>
      </c>
      <c r="P237" s="20" t="n">
        <v>16620</v>
      </c>
      <c r="Q237" s="20" t="n">
        <v>15749</v>
      </c>
      <c r="R237" s="20" t="n">
        <v>16036</v>
      </c>
      <c r="S237" s="20" t="n">
        <v>18506</v>
      </c>
      <c r="T237" s="20" t="n">
        <v>15576</v>
      </c>
      <c r="U237" s="20" t="n">
        <v>18989</v>
      </c>
      <c r="V237" s="20" t="n">
        <v>39868</v>
      </c>
      <c r="W237" s="20" t="n">
        <v>31471</v>
      </c>
      <c r="X237" s="20" t="n">
        <v>108492</v>
      </c>
    </row>
    <row r="238">
      <c r="A238" s="18" t="inlineStr">
        <is>
          <t>이자 지급</t>
        </is>
      </c>
      <c r="D238" s="20" t="n">
        <v>-34294</v>
      </c>
      <c r="F238" s="20" t="n">
        <v>-15682</v>
      </c>
      <c r="H238" s="20" t="n">
        <v>-32878</v>
      </c>
      <c r="J238" s="20" t="n">
        <v>-15305</v>
      </c>
      <c r="L238" s="20" t="n">
        <v>-31776</v>
      </c>
      <c r="N238" s="20" t="n">
        <v>-17093</v>
      </c>
      <c r="O238" s="20" t="n">
        <v>-30224</v>
      </c>
      <c r="P238" s="20" t="n">
        <v>-28486</v>
      </c>
      <c r="Q238" s="20" t="n">
        <v>-26102</v>
      </c>
      <c r="R238" s="20" t="n">
        <v>-25724</v>
      </c>
      <c r="S238" s="20" t="n">
        <v>-23163</v>
      </c>
      <c r="T238" s="20" t="n">
        <v>-21537</v>
      </c>
      <c r="U238" s="20" t="n">
        <v>-26220</v>
      </c>
      <c r="V238" s="20" t="n">
        <v>-34294</v>
      </c>
      <c r="W238" s="20" t="n">
        <v>-32878</v>
      </c>
      <c r="X238" s="20" t="n">
        <v>-31776</v>
      </c>
    </row>
    <row r="239">
      <c r="A239" s="18" t="inlineStr">
        <is>
          <t>법인세 납부</t>
        </is>
      </c>
      <c r="D239" s="20" t="n">
        <v>-32790</v>
      </c>
      <c r="F239" s="20" t="n">
        <v>-14123</v>
      </c>
      <c r="H239" s="20" t="n">
        <v>-21910</v>
      </c>
      <c r="J239" s="20" t="n">
        <v>-15326</v>
      </c>
      <c r="L239" s="20" t="n">
        <v>-51512</v>
      </c>
      <c r="N239" s="20" t="n">
        <v>-11994</v>
      </c>
      <c r="O239" s="20" t="n">
        <v>-20317</v>
      </c>
      <c r="P239" s="20" t="n">
        <v>-19190</v>
      </c>
      <c r="Q239" s="20" t="n">
        <v>-23822</v>
      </c>
      <c r="R239" s="20" t="n">
        <v>-17531</v>
      </c>
      <c r="S239" s="20" t="n">
        <v>-13113</v>
      </c>
      <c r="T239" s="20" t="n">
        <v>-45353</v>
      </c>
      <c r="U239" s="20" t="n">
        <v>-21663</v>
      </c>
      <c r="V239" s="20" t="n">
        <v>-32790</v>
      </c>
      <c r="W239" s="20" t="n">
        <v>-21910</v>
      </c>
      <c r="X239" s="20" t="n">
        <v>-51512</v>
      </c>
    </row>
    <row r="240">
      <c r="A240" s="9" t="inlineStr">
        <is>
          <t>영업활동 현금흐름</t>
        </is>
      </c>
      <c r="D240" s="12" t="n">
        <v>254021</v>
      </c>
      <c r="F240" s="12" t="n">
        <v>85643</v>
      </c>
      <c r="H240" s="12" t="n">
        <v>250335</v>
      </c>
      <c r="J240" s="12" t="n">
        <v>50567</v>
      </c>
      <c r="L240" s="12" t="n">
        <v>224265</v>
      </c>
      <c r="N240" s="12" t="n">
        <v>79418</v>
      </c>
      <c r="O240" s="12" t="n">
        <v>115440</v>
      </c>
      <c r="P240" s="12" t="n">
        <v>160310</v>
      </c>
      <c r="Q240" s="12" t="n">
        <v>148423</v>
      </c>
      <c r="R240" s="12" t="n">
        <v>159245</v>
      </c>
      <c r="S240" s="12" t="n">
        <v>167959</v>
      </c>
      <c r="T240" s="12" t="n">
        <v>128380</v>
      </c>
      <c r="U240" s="12" t="n">
        <v>155832</v>
      </c>
      <c r="V240" s="12" t="n">
        <v>254021</v>
      </c>
      <c r="W240" s="12" t="n">
        <v>250335</v>
      </c>
      <c r="X240" s="12" t="n">
        <v>224265</v>
      </c>
    </row>
    <row r="241">
      <c r="A241" s="18" t="inlineStr">
        <is>
          <t>고정자산 취득</t>
        </is>
      </c>
      <c r="D241" s="20" t="n">
        <v>-115840</v>
      </c>
      <c r="F241" s="20" t="n">
        <v>-33983</v>
      </c>
      <c r="H241" s="20" t="n">
        <v>-123920</v>
      </c>
      <c r="J241" s="20" t="n">
        <v>-57118</v>
      </c>
      <c r="L241" s="20" t="n">
        <v>-177384</v>
      </c>
      <c r="N241" s="20" t="n">
        <v>-102546</v>
      </c>
      <c r="O241" s="20" t="n">
        <v>-108149</v>
      </c>
      <c r="P241" s="20" t="n">
        <v>-98816</v>
      </c>
      <c r="Q241" s="20" t="n">
        <v>-106009</v>
      </c>
      <c r="R241" s="20" t="n">
        <v>-149520</v>
      </c>
      <c r="S241" s="20" t="n">
        <v>-159296</v>
      </c>
      <c r="T241" s="20" t="n">
        <v>-135282</v>
      </c>
      <c r="U241" s="20" t="n">
        <v>-144862</v>
      </c>
      <c r="V241" s="20" t="n">
        <v>-115840</v>
      </c>
      <c r="W241" s="20" t="n">
        <v>-123920</v>
      </c>
      <c r="X241" s="20" t="n">
        <v>-177384</v>
      </c>
    </row>
    <row r="242">
      <c r="A242" s="18" t="inlineStr">
        <is>
          <t>고정자산 매각</t>
        </is>
      </c>
      <c r="D242" s="20" t="n">
        <v>5842</v>
      </c>
      <c r="F242" s="20" t="n">
        <v>4956</v>
      </c>
      <c r="H242" s="20" t="n">
        <v>8059</v>
      </c>
      <c r="T242" s="20" t="n">
        <v>392</v>
      </c>
      <c r="U242" s="20" t="n">
        <v>5008</v>
      </c>
      <c r="V242" s="20" t="n">
        <v>5842</v>
      </c>
      <c r="W242" s="20" t="n">
        <v>8059</v>
      </c>
    </row>
    <row r="243">
      <c r="A243" s="18" t="inlineStr">
        <is>
          <t>Payments Of Investment And Loans Receivable Inv CF</t>
        </is>
      </c>
      <c r="D243" s="20" t="n">
        <v>-9357</v>
      </c>
      <c r="F243" s="20" t="n">
        <v>-3318</v>
      </c>
      <c r="H243" s="20" t="n">
        <v>-12352</v>
      </c>
      <c r="J243" s="20" t="n">
        <v>-6815</v>
      </c>
      <c r="L243" s="20" t="n">
        <v>-12533</v>
      </c>
      <c r="N243" s="20" t="n">
        <v>-37204</v>
      </c>
      <c r="O243" s="20" t="n">
        <v>-18005</v>
      </c>
      <c r="P243" s="20" t="n">
        <v>-8149</v>
      </c>
      <c r="Q243" s="20" t="n">
        <v>-74457</v>
      </c>
      <c r="R243" s="20" t="n">
        <v>-10912</v>
      </c>
      <c r="S243" s="20" t="n">
        <v>-2567</v>
      </c>
      <c r="T243" s="20" t="n">
        <v>-49740</v>
      </c>
      <c r="U243" s="20" t="n">
        <v>-7828</v>
      </c>
      <c r="V243" s="20" t="n">
        <v>-9357</v>
      </c>
      <c r="W243" s="20" t="n">
        <v>-12352</v>
      </c>
      <c r="X243" s="20" t="n">
        <v>-12533</v>
      </c>
    </row>
    <row r="244">
      <c r="A244" s="18" t="inlineStr">
        <is>
          <t>Collection Of Investment And Loans Receivable Inv CF</t>
        </is>
      </c>
      <c r="D244" s="20" t="n">
        <v>7619</v>
      </c>
      <c r="F244" s="20" t="n">
        <v>1370</v>
      </c>
      <c r="H244" s="20" t="n">
        <v>5231</v>
      </c>
      <c r="J244" s="20" t="n">
        <v>451</v>
      </c>
      <c r="L244" s="20" t="n">
        <v>8521</v>
      </c>
      <c r="N244" s="20" t="n">
        <v>2853</v>
      </c>
      <c r="O244" s="20" t="n">
        <v>2577</v>
      </c>
      <c r="P244" s="20" t="n">
        <v>2243</v>
      </c>
      <c r="Q244" s="20" t="n">
        <v>10410</v>
      </c>
      <c r="R244" s="20" t="n">
        <v>7055</v>
      </c>
      <c r="S244" s="20" t="n">
        <v>21378</v>
      </c>
      <c r="T244" s="20" t="n">
        <v>4744</v>
      </c>
      <c r="U244" s="20" t="n">
        <v>3140</v>
      </c>
      <c r="V244" s="20" t="n">
        <v>7619</v>
      </c>
      <c r="W244" s="20" t="n">
        <v>5231</v>
      </c>
      <c r="X244" s="20" t="n">
        <v>8521</v>
      </c>
    </row>
    <row r="245">
      <c r="A245" s="18" t="inlineStr">
        <is>
          <t>연결범위 변경 자회사 주식 매각</t>
        </is>
      </c>
      <c r="D245" s="20" t="n">
        <v>0</v>
      </c>
      <c r="T245" s="20" t="n">
        <v>0</v>
      </c>
      <c r="U245" s="20" t="n">
        <v>156</v>
      </c>
      <c r="V245" s="20" t="n">
        <v>0</v>
      </c>
    </row>
    <row r="246">
      <c r="A246" s="18" t="inlineStr">
        <is>
          <t>연결범위 변경 자회사 주식 취득</t>
        </is>
      </c>
      <c r="D246" s="20" t="n">
        <v>0</v>
      </c>
      <c r="F246" s="20" t="n">
        <v>-28762</v>
      </c>
      <c r="H246" s="20" t="n">
        <v>-28762</v>
      </c>
      <c r="J246" s="20" t="n">
        <v>0</v>
      </c>
      <c r="L246" s="20" t="n">
        <v>0</v>
      </c>
      <c r="N246" s="20" t="n">
        <v>-2132</v>
      </c>
      <c r="V246" s="20" t="n">
        <v>0</v>
      </c>
      <c r="W246" s="20" t="n">
        <v>-28762</v>
      </c>
      <c r="X246" s="20" t="n">
        <v>0</v>
      </c>
    </row>
    <row r="247">
      <c r="A247" s="18" t="inlineStr">
        <is>
          <t>정기예금 순증감</t>
        </is>
      </c>
      <c r="D247" s="20" t="n">
        <v>-50196</v>
      </c>
      <c r="F247" s="20" t="n">
        <v>-7899</v>
      </c>
      <c r="H247" s="20" t="n">
        <v>18116</v>
      </c>
      <c r="J247" s="20" t="n">
        <v>4598</v>
      </c>
      <c r="L247" s="20" t="n">
        <v>-4536</v>
      </c>
      <c r="U247" s="20" t="n">
        <v>-6880</v>
      </c>
      <c r="V247" s="20" t="n">
        <v>-50196</v>
      </c>
      <c r="W247" s="20" t="n">
        <v>18116</v>
      </c>
      <c r="X247" s="20" t="n">
        <v>-4536</v>
      </c>
    </row>
    <row r="248">
      <c r="A248" s="18" t="inlineStr">
        <is>
          <t>기타</t>
        </is>
      </c>
      <c r="D248" s="20" t="n">
        <v>-21</v>
      </c>
      <c r="F248" s="20" t="n">
        <v>7667</v>
      </c>
      <c r="H248" s="20" t="n">
        <v>18857</v>
      </c>
      <c r="J248" s="20" t="n">
        <v>7206</v>
      </c>
      <c r="L248" s="20" t="n">
        <v>-7315</v>
      </c>
      <c r="N248" s="20" t="n">
        <v>2500</v>
      </c>
      <c r="O248" s="20" t="n">
        <v>-14086</v>
      </c>
      <c r="P248" s="20" t="n">
        <v>-4913</v>
      </c>
      <c r="Q248" s="20" t="n">
        <v>-375</v>
      </c>
      <c r="R248" s="20" t="n">
        <v>-8333</v>
      </c>
      <c r="S248" s="20" t="n">
        <v>-2788</v>
      </c>
      <c r="T248" s="20" t="n">
        <v>1039</v>
      </c>
      <c r="U248" s="20" t="n">
        <v>425</v>
      </c>
      <c r="V248" s="20" t="n">
        <v>-21</v>
      </c>
      <c r="W248" s="20" t="n">
        <v>18857</v>
      </c>
      <c r="X248" s="20" t="n">
        <v>-7315</v>
      </c>
    </row>
    <row r="249">
      <c r="A249" s="9" t="inlineStr">
        <is>
          <t>투자활동 현금흐름</t>
        </is>
      </c>
      <c r="D249" s="12" t="n">
        <v>-161954</v>
      </c>
      <c r="F249" s="12" t="n">
        <v>-64926</v>
      </c>
      <c r="H249" s="12" t="n">
        <v>-122830</v>
      </c>
      <c r="J249" s="12" t="n">
        <v>-56275</v>
      </c>
      <c r="L249" s="12" t="n">
        <v>-193248</v>
      </c>
      <c r="N249" s="12" t="n">
        <v>-136529</v>
      </c>
      <c r="O249" s="12" t="n">
        <v>-137663</v>
      </c>
      <c r="P249" s="12" t="n">
        <v>-109635</v>
      </c>
      <c r="Q249" s="12" t="n">
        <v>-170432</v>
      </c>
      <c r="R249" s="12" t="n">
        <v>-161711</v>
      </c>
      <c r="S249" s="12" t="n">
        <v>-143274</v>
      </c>
      <c r="T249" s="12" t="n">
        <v>-178846</v>
      </c>
      <c r="U249" s="12" t="n">
        <v>-150839</v>
      </c>
      <c r="V249" s="12" t="n">
        <v>-161954</v>
      </c>
      <c r="W249" s="12" t="n">
        <v>-122830</v>
      </c>
      <c r="X249" s="12" t="n">
        <v>-193248</v>
      </c>
    </row>
    <row r="250">
      <c r="A250" s="18" t="inlineStr">
        <is>
          <t>사채 발행</t>
        </is>
      </c>
      <c r="D250" s="20" t="n">
        <v>44840</v>
      </c>
      <c r="F250" s="20" t="n">
        <v>17736</v>
      </c>
      <c r="H250" s="20" t="n">
        <v>17736</v>
      </c>
      <c r="J250" s="20" t="n">
        <v>38562</v>
      </c>
      <c r="L250" s="20" t="n">
        <v>80705</v>
      </c>
      <c r="N250" s="20" t="n">
        <v>73448</v>
      </c>
      <c r="O250" s="20" t="n">
        <v>79702</v>
      </c>
      <c r="P250" s="20" t="n">
        <v>99633</v>
      </c>
      <c r="Q250" s="20" t="n">
        <v>119548</v>
      </c>
      <c r="R250" s="20" t="n">
        <v>69698</v>
      </c>
      <c r="S250" s="20" t="n">
        <v>69782</v>
      </c>
      <c r="T250" s="20" t="n">
        <v>71242</v>
      </c>
      <c r="U250" s="20" t="n">
        <v>137192</v>
      </c>
      <c r="V250" s="20" t="n">
        <v>44840</v>
      </c>
      <c r="W250" s="20" t="n">
        <v>17736</v>
      </c>
      <c r="X250" s="20" t="n">
        <v>80705</v>
      </c>
    </row>
    <row r="251">
      <c r="A251" s="18" t="inlineStr">
        <is>
          <t>사채 상환</t>
        </is>
      </c>
      <c r="D251" s="20" t="n">
        <v>-70000</v>
      </c>
      <c r="F251" s="20" t="n">
        <v>-50000</v>
      </c>
      <c r="H251" s="20" t="n">
        <v>-90000</v>
      </c>
      <c r="J251" s="20" t="n">
        <v>-83900</v>
      </c>
      <c r="L251" s="20" t="n">
        <v>-93900</v>
      </c>
      <c r="N251" s="20" t="n">
        <v>-45000</v>
      </c>
      <c r="O251" s="20" t="n">
        <v>-90000</v>
      </c>
      <c r="P251" s="20" t="n">
        <v>-160100</v>
      </c>
      <c r="Q251" s="20" t="n">
        <v>-40000</v>
      </c>
      <c r="R251" s="20" t="n">
        <v>-60000</v>
      </c>
      <c r="S251" s="20" t="n">
        <v>-80000</v>
      </c>
      <c r="T251" s="20" t="n">
        <v>-20000</v>
      </c>
      <c r="U251" s="20" t="n">
        <v>-20000</v>
      </c>
      <c r="V251" s="20" t="n">
        <v>-70000</v>
      </c>
      <c r="W251" s="20" t="n">
        <v>-90000</v>
      </c>
      <c r="X251" s="20" t="n">
        <v>-93900</v>
      </c>
    </row>
    <row r="252">
      <c r="A252" s="18" t="inlineStr">
        <is>
          <t>장기차입</t>
        </is>
      </c>
      <c r="D252" s="20" t="n">
        <v>129276</v>
      </c>
      <c r="F252" s="20" t="n">
        <v>59284</v>
      </c>
      <c r="H252" s="20" t="n">
        <v>80637</v>
      </c>
      <c r="J252" s="20" t="n">
        <v>85737</v>
      </c>
      <c r="L252" s="20" t="n">
        <v>129850</v>
      </c>
      <c r="N252" s="20" t="n">
        <v>142533</v>
      </c>
      <c r="O252" s="20" t="n">
        <v>83762</v>
      </c>
      <c r="P252" s="20" t="n">
        <v>56510</v>
      </c>
      <c r="Q252" s="20" t="n">
        <v>79720</v>
      </c>
      <c r="R252" s="20" t="n">
        <v>87624</v>
      </c>
      <c r="S252" s="20" t="n">
        <v>106706</v>
      </c>
      <c r="T252" s="20" t="n">
        <v>49155</v>
      </c>
      <c r="U252" s="20" t="n">
        <v>157684</v>
      </c>
      <c r="V252" s="20" t="n">
        <v>129276</v>
      </c>
      <c r="W252" s="20" t="n">
        <v>80637</v>
      </c>
      <c r="X252" s="20" t="n">
        <v>129850</v>
      </c>
    </row>
    <row r="253">
      <c r="A253" s="18" t="inlineStr">
        <is>
          <t>장기차입금 상환</t>
        </is>
      </c>
      <c r="D253" s="20" t="n">
        <v>-144381</v>
      </c>
      <c r="F253" s="20" t="n">
        <v>-71071</v>
      </c>
      <c r="H253" s="20" t="n">
        <v>-109088</v>
      </c>
      <c r="J253" s="20" t="n">
        <v>-59616</v>
      </c>
      <c r="L253" s="20" t="n">
        <v>-124345</v>
      </c>
      <c r="N253" s="20" t="n">
        <v>-101020</v>
      </c>
      <c r="O253" s="20" t="n">
        <v>-69108</v>
      </c>
      <c r="P253" s="20" t="n">
        <v>-53280</v>
      </c>
      <c r="Q253" s="20" t="n">
        <v>-74860</v>
      </c>
      <c r="R253" s="20" t="n">
        <v>-101962</v>
      </c>
      <c r="S253" s="20" t="n">
        <v>-79265</v>
      </c>
      <c r="T253" s="20" t="n">
        <v>-65311</v>
      </c>
      <c r="U253" s="20" t="n">
        <v>-126468</v>
      </c>
      <c r="V253" s="20" t="n">
        <v>-144381</v>
      </c>
      <c r="W253" s="20" t="n">
        <v>-109088</v>
      </c>
      <c r="X253" s="20" t="n">
        <v>-124345</v>
      </c>
    </row>
    <row r="254">
      <c r="A254" s="18" t="inlineStr">
        <is>
          <t>단기차입</t>
        </is>
      </c>
      <c r="D254" s="20" t="n">
        <v>33363</v>
      </c>
      <c r="F254" s="20" t="n">
        <v>18571</v>
      </c>
      <c r="H254" s="20" t="n">
        <v>34598</v>
      </c>
      <c r="J254" s="20" t="n">
        <v>16450</v>
      </c>
      <c r="L254" s="20" t="n">
        <v>32399</v>
      </c>
      <c r="N254" s="20" t="n">
        <v>49618</v>
      </c>
      <c r="O254" s="20" t="n">
        <v>87663</v>
      </c>
      <c r="P254" s="20" t="n">
        <v>67708</v>
      </c>
      <c r="Q254" s="20" t="n">
        <v>63470</v>
      </c>
      <c r="R254" s="20" t="n">
        <v>62565</v>
      </c>
      <c r="S254" s="20" t="n">
        <v>54316</v>
      </c>
      <c r="T254" s="20" t="n">
        <v>37154</v>
      </c>
      <c r="U254" s="20" t="n">
        <v>122626</v>
      </c>
      <c r="V254" s="20" t="n">
        <v>33363</v>
      </c>
      <c r="W254" s="20" t="n">
        <v>34598</v>
      </c>
      <c r="X254" s="20" t="n">
        <v>32399</v>
      </c>
    </row>
    <row r="255">
      <c r="A255" s="18" t="inlineStr">
        <is>
          <t>단기차입금 상환</t>
        </is>
      </c>
      <c r="D255" s="20" t="n">
        <v>-36176</v>
      </c>
      <c r="F255" s="20" t="n">
        <v>-15905</v>
      </c>
      <c r="H255" s="20" t="n">
        <v>-34522</v>
      </c>
      <c r="J255" s="20" t="n">
        <v>-15904</v>
      </c>
      <c r="L255" s="20" t="n">
        <v>-32265</v>
      </c>
      <c r="N255" s="20" t="n">
        <v>-39804</v>
      </c>
      <c r="O255" s="20" t="n">
        <v>-90194</v>
      </c>
      <c r="P255" s="20" t="n">
        <v>-75813</v>
      </c>
      <c r="Q255" s="20" t="n">
        <v>-64991</v>
      </c>
      <c r="R255" s="20" t="n">
        <v>-62896</v>
      </c>
      <c r="S255" s="20" t="n">
        <v>-60322</v>
      </c>
      <c r="T255" s="20" t="n">
        <v>-37924</v>
      </c>
      <c r="U255" s="20" t="n">
        <v>-120061</v>
      </c>
      <c r="V255" s="20" t="n">
        <v>-36176</v>
      </c>
      <c r="W255" s="20" t="n">
        <v>-34522</v>
      </c>
      <c r="X255" s="20" t="n">
        <v>-32265</v>
      </c>
    </row>
    <row r="256">
      <c r="A256" s="18" t="inlineStr">
        <is>
          <t>기업어음 발행 수입</t>
        </is>
      </c>
      <c r="D256" s="20" t="n">
        <v>0</v>
      </c>
      <c r="O256" s="20" t="n">
        <v>15000</v>
      </c>
      <c r="P256" s="20" t="n">
        <v>15000</v>
      </c>
      <c r="Q256" s="20" t="n">
        <v>83000</v>
      </c>
      <c r="R256" s="20" t="n">
        <v>0</v>
      </c>
      <c r="S256" s="20" t="n">
        <v>20007</v>
      </c>
      <c r="T256" s="20" t="n">
        <v>140033</v>
      </c>
      <c r="U256" s="20" t="n">
        <v>219999</v>
      </c>
      <c r="V256" s="20" t="n">
        <v>0</v>
      </c>
    </row>
    <row r="257">
      <c r="A257" s="18" t="inlineStr">
        <is>
          <t>기업어음 상환 지출</t>
        </is>
      </c>
      <c r="D257" s="20" t="n">
        <v>0</v>
      </c>
      <c r="O257" s="20" t="n">
        <v>-15000</v>
      </c>
      <c r="P257" s="20" t="n">
        <v>-15000</v>
      </c>
      <c r="Q257" s="20" t="n">
        <v>-83000</v>
      </c>
      <c r="R257" s="20" t="n">
        <v>0</v>
      </c>
      <c r="S257" s="20" t="n">
        <v>0</v>
      </c>
      <c r="T257" s="20" t="n">
        <v>-70000</v>
      </c>
      <c r="U257" s="20" t="n">
        <v>-310000</v>
      </c>
      <c r="V257" s="20" t="n">
        <v>0</v>
      </c>
    </row>
    <row r="258">
      <c r="A258" s="18" t="inlineStr">
        <is>
          <t>연결범위 변동 없는 자회사 주식 매각 수입</t>
        </is>
      </c>
      <c r="D258" s="20" t="n">
        <v>0</v>
      </c>
      <c r="O258" s="20" t="n">
        <v>42363</v>
      </c>
      <c r="P258" s="20" t="n">
        <v>0</v>
      </c>
      <c r="T258" s="20" t="n">
        <v>0</v>
      </c>
      <c r="U258" s="20" t="n">
        <v>55821</v>
      </c>
      <c r="V258" s="20" t="n">
        <v>0</v>
      </c>
    </row>
    <row r="259">
      <c r="A259" s="18" t="inlineStr">
        <is>
          <t>자기주식 취득</t>
        </is>
      </c>
      <c r="F259" s="20" t="n">
        <v>-0</v>
      </c>
      <c r="H259" s="20" t="n">
        <v>-0</v>
      </c>
      <c r="J259" s="20" t="n">
        <v>-10497</v>
      </c>
      <c r="L259" s="20" t="n">
        <v>-20459</v>
      </c>
      <c r="W259" s="20" t="n">
        <v>-0</v>
      </c>
      <c r="X259" s="20" t="n">
        <v>-20459</v>
      </c>
    </row>
    <row r="260">
      <c r="A260" s="18" t="inlineStr">
        <is>
          <t>배당금 지급</t>
        </is>
      </c>
      <c r="D260" s="20" t="n">
        <v>-17386</v>
      </c>
      <c r="F260" s="20" t="n">
        <v>-10059</v>
      </c>
      <c r="H260" s="20" t="n">
        <v>-19210</v>
      </c>
      <c r="J260" s="20" t="n">
        <v>-9147</v>
      </c>
      <c r="L260" s="20" t="n">
        <v>-18117</v>
      </c>
      <c r="N260" s="20" t="n">
        <v>-8811</v>
      </c>
      <c r="O260" s="20" t="n">
        <v>-12811</v>
      </c>
      <c r="P260" s="20" t="n">
        <v>-12810</v>
      </c>
      <c r="Q260" s="20" t="n">
        <v>-13729</v>
      </c>
      <c r="R260" s="20" t="n">
        <v>-13727</v>
      </c>
      <c r="S260" s="20" t="n">
        <v>-13728</v>
      </c>
      <c r="T260" s="20" t="n">
        <v>-13725</v>
      </c>
      <c r="U260" s="20" t="n">
        <v>-14647</v>
      </c>
      <c r="V260" s="20" t="n">
        <v>-17386</v>
      </c>
      <c r="W260" s="20" t="n">
        <v>-19210</v>
      </c>
      <c r="X260" s="20" t="n">
        <v>-18117</v>
      </c>
    </row>
    <row r="261">
      <c r="A261" s="18" t="inlineStr">
        <is>
          <t>비지배주주 배당금 지급</t>
        </is>
      </c>
      <c r="D261" s="20" t="n">
        <v>-4064</v>
      </c>
      <c r="F261" s="20" t="n">
        <v>-5741</v>
      </c>
      <c r="H261" s="20" t="n">
        <v>-12155</v>
      </c>
      <c r="J261" s="20" t="n">
        <v>-5077</v>
      </c>
      <c r="L261" s="20" t="n">
        <v>-15513</v>
      </c>
      <c r="N261" s="20" t="n">
        <v>-6444</v>
      </c>
      <c r="O261" s="20" t="n">
        <v>0</v>
      </c>
      <c r="P261" s="20" t="n">
        <v>-7342</v>
      </c>
      <c r="Q261" s="20" t="n">
        <v>-10826</v>
      </c>
      <c r="R261" s="20" t="n">
        <v>-8217</v>
      </c>
      <c r="S261" s="20" t="n">
        <v>-9527</v>
      </c>
      <c r="T261" s="20" t="n">
        <v>-5918</v>
      </c>
      <c r="U261" s="20" t="n">
        <v>-4673</v>
      </c>
      <c r="V261" s="20" t="n">
        <v>-4064</v>
      </c>
      <c r="W261" s="20" t="n">
        <v>-12155</v>
      </c>
      <c r="X261" s="20" t="n">
        <v>-15513</v>
      </c>
    </row>
    <row r="262">
      <c r="A262" s="18" t="inlineStr">
        <is>
          <t>기타</t>
        </is>
      </c>
      <c r="D262" s="20" t="n">
        <v>-1335</v>
      </c>
      <c r="F262" s="20" t="n">
        <v>-324</v>
      </c>
      <c r="H262" s="20" t="n">
        <v>-1693</v>
      </c>
      <c r="J262" s="20" t="n">
        <v>-12508</v>
      </c>
      <c r="L262" s="20" t="n">
        <v>-2574</v>
      </c>
      <c r="N262" s="20" t="n">
        <v>-1445</v>
      </c>
      <c r="O262" s="20" t="n">
        <v>-916</v>
      </c>
      <c r="P262" s="20" t="n">
        <v>-329</v>
      </c>
      <c r="Q262" s="20" t="n">
        <v>16289</v>
      </c>
      <c r="R262" s="20" t="n">
        <v>-821</v>
      </c>
      <c r="S262" s="20" t="n">
        <v>-936</v>
      </c>
      <c r="T262" s="20" t="n">
        <v>-636</v>
      </c>
      <c r="U262" s="20" t="n">
        <v>-1453</v>
      </c>
      <c r="V262" s="20" t="n">
        <v>-1335</v>
      </c>
      <c r="W262" s="20" t="n">
        <v>-1693</v>
      </c>
      <c r="X262" s="20" t="n">
        <v>-2574</v>
      </c>
    </row>
    <row r="263">
      <c r="A263" s="9" t="inlineStr">
        <is>
          <t>재무활동 현금흐름</t>
        </is>
      </c>
      <c r="D263" s="12" t="n">
        <v>-65864</v>
      </c>
      <c r="F263" s="12" t="n">
        <v>-57510</v>
      </c>
      <c r="H263" s="12" t="n">
        <v>-133697</v>
      </c>
      <c r="J263" s="12" t="n">
        <v>-45403</v>
      </c>
      <c r="L263" s="12" t="n">
        <v>-64219</v>
      </c>
      <c r="N263" s="12" t="n">
        <v>63074</v>
      </c>
      <c r="O263" s="12" t="n">
        <v>30461</v>
      </c>
      <c r="P263" s="12" t="n">
        <v>-85825</v>
      </c>
      <c r="Q263" s="12" t="n">
        <v>74622</v>
      </c>
      <c r="R263" s="12" t="n">
        <v>-27737</v>
      </c>
      <c r="S263" s="12" t="n">
        <v>7031</v>
      </c>
      <c r="T263" s="12" t="n">
        <v>84070</v>
      </c>
      <c r="U263" s="12" t="n">
        <v>96021</v>
      </c>
      <c r="V263" s="12" t="n">
        <v>-65864</v>
      </c>
      <c r="W263" s="12" t="n">
        <v>-133697</v>
      </c>
      <c r="X263" s="12" t="n">
        <v>-64219</v>
      </c>
    </row>
    <row r="264">
      <c r="A264" s="18" t="inlineStr">
        <is>
          <t>현금성자산 환산차이</t>
        </is>
      </c>
      <c r="D264" s="20" t="n">
        <v>10167</v>
      </c>
      <c r="F264" s="20" t="n">
        <v>8708</v>
      </c>
      <c r="H264" s="20" t="n">
        <v>8614</v>
      </c>
      <c r="J264" s="20" t="n">
        <v>-8763</v>
      </c>
      <c r="L264" s="20" t="n">
        <v>8982</v>
      </c>
      <c r="N264" s="20" t="n">
        <v>4810</v>
      </c>
      <c r="O264" s="20" t="n">
        <v>267</v>
      </c>
      <c r="P264" s="20" t="n">
        <v>3536</v>
      </c>
      <c r="Q264" s="20" t="n">
        <v>-2375</v>
      </c>
      <c r="R264" s="20" t="n">
        <v>337</v>
      </c>
      <c r="S264" s="20" t="n">
        <v>-3667</v>
      </c>
      <c r="T264" s="20" t="n">
        <v>3686</v>
      </c>
      <c r="U264" s="20" t="n">
        <v>10729</v>
      </c>
      <c r="V264" s="20" t="n">
        <v>10167</v>
      </c>
      <c r="W264" s="20" t="n">
        <v>8614</v>
      </c>
      <c r="X264" s="20" t="n">
        <v>8982</v>
      </c>
    </row>
    <row r="265">
      <c r="A265" s="18" t="inlineStr">
        <is>
          <t>현금성자산 증감</t>
        </is>
      </c>
      <c r="D265" s="20" t="n">
        <v>36368</v>
      </c>
      <c r="F265" s="20" t="n">
        <v>-28085</v>
      </c>
      <c r="H265" s="20" t="n">
        <v>2422</v>
      </c>
      <c r="J265" s="20" t="n">
        <v>-59874</v>
      </c>
      <c r="L265" s="20" t="n">
        <v>-24220</v>
      </c>
      <c r="N265" s="20" t="n">
        <v>10773</v>
      </c>
      <c r="O265" s="20" t="n">
        <v>8505</v>
      </c>
      <c r="P265" s="20" t="n">
        <v>-31614</v>
      </c>
      <c r="Q265" s="20" t="n">
        <v>50237</v>
      </c>
      <c r="R265" s="20" t="n">
        <v>-29865</v>
      </c>
      <c r="S265" s="20" t="n">
        <v>28048</v>
      </c>
      <c r="T265" s="20" t="n">
        <v>37290</v>
      </c>
      <c r="U265" s="20" t="n">
        <v>111743</v>
      </c>
      <c r="V265" s="20" t="n">
        <v>36368</v>
      </c>
      <c r="W265" s="20" t="n">
        <v>2422</v>
      </c>
      <c r="X265" s="20" t="n">
        <v>-24220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9513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624941</v>
      </c>
      <c r="D5" s="12" t="n">
        <v>689306</v>
      </c>
      <c r="E5" s="12" t="n">
        <v>666243</v>
      </c>
      <c r="F5" s="12" t="n">
        <v>705191</v>
      </c>
      <c r="G5" s="12" t="n">
        <v>756228</v>
      </c>
      <c r="H5" s="11" t="n">
        <v>471357</v>
      </c>
      <c r="I5" s="12" t="n">
        <v>661300</v>
      </c>
      <c r="J5" s="12" t="n">
        <v>690254</v>
      </c>
      <c r="K5" s="12" t="n">
        <v>673708</v>
      </c>
      <c r="L5" s="12" t="n">
        <v>666243</v>
      </c>
    </row>
    <row r="6">
      <c r="A6" s="18" t="inlineStr">
        <is>
          <t>현금및현금성자산</t>
        </is>
      </c>
      <c r="B6" s="10" t="n"/>
      <c r="C6" s="19" t="n">
        <v>317871</v>
      </c>
      <c r="D6" s="20" t="n">
        <v>330391</v>
      </c>
      <c r="E6" s="20" t="n">
        <v>396964</v>
      </c>
      <c r="F6" s="20" t="n">
        <v>377536</v>
      </c>
      <c r="G6" s="20" t="n">
        <v>354097</v>
      </c>
      <c r="H6" s="19" t="n">
        <v>223072</v>
      </c>
      <c r="I6" s="20" t="n">
        <v>342018</v>
      </c>
      <c r="J6" s="20" t="n">
        <v>278814</v>
      </c>
      <c r="K6" s="20" t="n">
        <v>308995</v>
      </c>
      <c r="L6" s="20" t="n">
        <v>396964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113735</v>
      </c>
      <c r="D8" s="20" t="n">
        <v>115726</v>
      </c>
      <c r="E8" s="20" t="n">
        <v>110003</v>
      </c>
      <c r="F8" s="20" t="n">
        <v>135091</v>
      </c>
      <c r="G8" s="20" t="n">
        <v>168010</v>
      </c>
      <c r="H8" s="19" t="n">
        <v>80439</v>
      </c>
      <c r="I8" s="20" t="n">
        <v>129901</v>
      </c>
      <c r="J8" s="20" t="n">
        <v>98119</v>
      </c>
      <c r="K8" s="20" t="n">
        <v>112210</v>
      </c>
      <c r="L8" s="20" t="n">
        <v>110003</v>
      </c>
    </row>
    <row r="9">
      <c r="A9" s="18" t="inlineStr">
        <is>
          <t>재고자산</t>
        </is>
      </c>
      <c r="B9" s="10" t="n"/>
      <c r="C9" s="19" t="n">
        <v>67765</v>
      </c>
      <c r="D9" s="20" t="n">
        <v>72527</v>
      </c>
      <c r="E9" s="20" t="n">
        <v>77338</v>
      </c>
      <c r="F9" s="20" t="n">
        <v>81682</v>
      </c>
      <c r="G9" s="20" t="n">
        <v>80279</v>
      </c>
      <c r="H9" s="19" t="n">
        <v>62173</v>
      </c>
      <c r="I9" s="20" t="n">
        <v>110315</v>
      </c>
      <c r="J9" s="20" t="n">
        <v>80059</v>
      </c>
      <c r="K9" s="20" t="n">
        <v>72191</v>
      </c>
      <c r="L9" s="20" t="n">
        <v>77338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2977956</v>
      </c>
      <c r="D11" s="12" t="n">
        <v>2993941</v>
      </c>
      <c r="E11" s="12" t="n">
        <v>3073458</v>
      </c>
      <c r="F11" s="12" t="n">
        <v>3132421</v>
      </c>
      <c r="G11" s="12" t="n">
        <v>3169666</v>
      </c>
      <c r="H11" s="11" t="n">
        <v>2594819</v>
      </c>
      <c r="I11" s="12" t="n">
        <v>2701385</v>
      </c>
      <c r="J11" s="12" t="n">
        <v>2785551</v>
      </c>
      <c r="K11" s="12" t="n">
        <v>2995032</v>
      </c>
      <c r="L11" s="12" t="n">
        <v>3073458</v>
      </c>
    </row>
    <row r="12">
      <c r="A12" s="18" t="inlineStr">
        <is>
          <t>유형자산</t>
        </is>
      </c>
      <c r="B12" s="10" t="n"/>
      <c r="C12" s="19" t="n"/>
      <c r="D12" s="20" t="n"/>
      <c r="E12" s="20" t="n"/>
      <c r="F12" s="20" t="n"/>
      <c r="G12" s="20" t="n"/>
      <c r="H12" s="19" t="n"/>
      <c r="I12" s="20" t="n"/>
      <c r="J12" s="20" t="n"/>
      <c r="K12" s="20" t="n"/>
      <c r="L12" s="20" t="n"/>
    </row>
    <row r="13">
      <c r="A13" s="18" t="inlineStr">
        <is>
          <t>무형자산</t>
        </is>
      </c>
      <c r="B13" s="10" t="n"/>
      <c r="C13" s="19" t="n"/>
      <c r="D13" s="20" t="n"/>
      <c r="E13" s="20" t="n"/>
      <c r="F13" s="20" t="n"/>
      <c r="G13" s="20" t="n"/>
      <c r="H13" s="19" t="n"/>
      <c r="I13" s="20" t="n"/>
      <c r="J13" s="20" t="n"/>
      <c r="K13" s="20" t="n"/>
      <c r="L13" s="20" t="n"/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3602897</v>
      </c>
      <c r="D16" s="12" t="n">
        <v>3683247</v>
      </c>
      <c r="E16" s="12" t="n">
        <v>3739701</v>
      </c>
      <c r="F16" s="12" t="n">
        <v>3837613</v>
      </c>
      <c r="G16" s="12" t="n">
        <v>3925895</v>
      </c>
      <c r="H16" s="11" t="n">
        <v>3066176</v>
      </c>
      <c r="I16" s="12" t="n">
        <v>3362685</v>
      </c>
      <c r="J16" s="12" t="n">
        <v>3475805</v>
      </c>
      <c r="K16" s="12" t="n">
        <v>3668740</v>
      </c>
      <c r="L16" s="12" t="n">
        <v>3739701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402071</v>
      </c>
      <c r="D18" s="12" t="n">
        <v>398385</v>
      </c>
      <c r="E18" s="12" t="n">
        <v>398227</v>
      </c>
      <c r="F18" s="12" t="n">
        <v>387614</v>
      </c>
      <c r="G18" s="12" t="n">
        <v>469680</v>
      </c>
      <c r="H18" s="11" t="n">
        <v>415496</v>
      </c>
      <c r="I18" s="12" t="n">
        <v>372019</v>
      </c>
      <c r="J18" s="12" t="n">
        <v>349257</v>
      </c>
      <c r="K18" s="12" t="n">
        <v>413357</v>
      </c>
      <c r="L18" s="12" t="n">
        <v>398227</v>
      </c>
    </row>
    <row r="19">
      <c r="A19" s="18" t="inlineStr">
        <is>
          <t>매입채무</t>
        </is>
      </c>
      <c r="B19" s="10" t="n"/>
      <c r="C19" s="19" t="n">
        <v>45460</v>
      </c>
      <c r="D19" s="20" t="n">
        <v>59675</v>
      </c>
      <c r="E19" s="20" t="n">
        <v>55644</v>
      </c>
      <c r="F19" s="20" t="n">
        <v>68729</v>
      </c>
      <c r="G19" s="20" t="n">
        <v>72258</v>
      </c>
      <c r="H19" s="19" t="n">
        <v>44651</v>
      </c>
      <c r="I19" s="20" t="n">
        <v>53774</v>
      </c>
      <c r="J19" s="20" t="n">
        <v>52379</v>
      </c>
      <c r="K19" s="20" t="n">
        <v>61997</v>
      </c>
      <c r="L19" s="20" t="n">
        <v>55644</v>
      </c>
    </row>
    <row r="20">
      <c r="A20" s="18" t="inlineStr">
        <is>
          <t>단기차입금</t>
        </is>
      </c>
      <c r="B20" s="10" t="n"/>
      <c r="C20" s="19" t="n">
        <v>8677</v>
      </c>
      <c r="D20" s="20" t="n">
        <v>8266</v>
      </c>
      <c r="E20" s="20" t="n">
        <v>8270</v>
      </c>
      <c r="F20" s="20" t="n">
        <v>32217</v>
      </c>
      <c r="G20" s="20" t="n">
        <v>18083</v>
      </c>
      <c r="H20" s="19" t="n">
        <v>8149</v>
      </c>
      <c r="I20" s="20" t="n">
        <v>10715</v>
      </c>
      <c r="J20" s="20" t="n">
        <v>8031</v>
      </c>
      <c r="K20" s="20" t="n">
        <v>8133</v>
      </c>
      <c r="L20" s="20" t="n">
        <v>8270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1737345</v>
      </c>
      <c r="D23" s="12" t="n">
        <v>1782759</v>
      </c>
      <c r="E23" s="12" t="n">
        <v>1806997</v>
      </c>
      <c r="F23" s="12" t="n">
        <v>1890073</v>
      </c>
      <c r="G23" s="12" t="n">
        <v>1858680</v>
      </c>
      <c r="H23" s="11" t="n">
        <v>1686575</v>
      </c>
      <c r="I23" s="12" t="n">
        <v>1797923</v>
      </c>
      <c r="J23" s="12" t="n">
        <v>1793412</v>
      </c>
      <c r="K23" s="12" t="n">
        <v>1791881</v>
      </c>
      <c r="L23" s="12" t="n">
        <v>1806997</v>
      </c>
    </row>
    <row r="24">
      <c r="A24" s="18" t="inlineStr">
        <is>
          <t>장기차입금</t>
        </is>
      </c>
      <c r="B24" s="10" t="n"/>
      <c r="C24" s="19" t="n">
        <v>962265</v>
      </c>
      <c r="D24" s="20" t="n">
        <v>971032</v>
      </c>
      <c r="E24" s="20" t="n">
        <v>989700</v>
      </c>
      <c r="F24" s="20" t="n">
        <v>1086456</v>
      </c>
      <c r="G24" s="20" t="n">
        <v>1014014</v>
      </c>
      <c r="H24" s="19" t="n">
        <v>839645</v>
      </c>
      <c r="I24" s="20" t="n">
        <v>893363</v>
      </c>
      <c r="J24" s="20" t="n">
        <v>932304</v>
      </c>
      <c r="K24" s="20" t="n">
        <v>998134</v>
      </c>
      <c r="L24" s="20" t="n">
        <v>989700</v>
      </c>
    </row>
    <row r="25">
      <c r="A25" s="18" t="inlineStr">
        <is>
          <t>사채</t>
        </is>
      </c>
      <c r="B25" s="10" t="n"/>
      <c r="C25" s="19" t="n">
        <v>646687</v>
      </c>
      <c r="D25" s="20" t="n">
        <v>678987</v>
      </c>
      <c r="E25" s="20" t="n">
        <v>678987</v>
      </c>
      <c r="F25" s="20" t="n">
        <v>673488</v>
      </c>
      <c r="G25" s="20" t="n">
        <v>712688</v>
      </c>
      <c r="H25" s="19" t="n">
        <v>706484</v>
      </c>
      <c r="I25" s="20" t="n">
        <v>774085</v>
      </c>
      <c r="J25" s="20" t="n">
        <v>729086</v>
      </c>
      <c r="K25" s="20" t="n">
        <v>652987</v>
      </c>
      <c r="L25" s="20" t="n">
        <v>678987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2139417</v>
      </c>
      <c r="D27" s="12" t="n">
        <v>2181145</v>
      </c>
      <c r="E27" s="12" t="n">
        <v>2205224</v>
      </c>
      <c r="F27" s="12" t="n">
        <v>2277688</v>
      </c>
      <c r="G27" s="12" t="n">
        <v>2328361</v>
      </c>
      <c r="H27" s="11" t="n">
        <v>2102071</v>
      </c>
      <c r="I27" s="12" t="n">
        <v>2169942</v>
      </c>
      <c r="J27" s="12" t="n">
        <v>2142670</v>
      </c>
      <c r="K27" s="12" t="n">
        <v>2205238</v>
      </c>
      <c r="L27" s="12" t="n">
        <v>2205224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1346215</v>
      </c>
      <c r="D31" s="12" t="n">
        <v>1379475</v>
      </c>
      <c r="E31" s="12" t="n">
        <v>1405468</v>
      </c>
      <c r="F31" s="12" t="n">
        <v>1432333</v>
      </c>
      <c r="G31" s="12" t="n">
        <v>1467089</v>
      </c>
      <c r="H31" s="11" t="n">
        <v>916030</v>
      </c>
      <c r="I31" s="12" t="n">
        <v>1084679</v>
      </c>
      <c r="J31" s="12" t="n">
        <v>1215979</v>
      </c>
      <c r="K31" s="12" t="n">
        <v>1336035</v>
      </c>
      <c r="L31" s="12" t="n">
        <v>1405468</v>
      </c>
    </row>
    <row r="32">
      <c r="A32" s="18" t="inlineStr">
        <is>
          <t>자본금</t>
        </is>
      </c>
      <c r="B32" s="10" t="n"/>
      <c r="C32" s="19" t="n">
        <v>180502</v>
      </c>
      <c r="D32" s="20" t="n">
        <v>180502</v>
      </c>
      <c r="E32" s="20" t="n">
        <v>180502</v>
      </c>
      <c r="F32" s="20" t="n">
        <v>180502</v>
      </c>
      <c r="G32" s="20" t="n">
        <v>180502</v>
      </c>
      <c r="H32" s="19" t="n">
        <v>180502</v>
      </c>
      <c r="I32" s="20" t="n">
        <v>180502</v>
      </c>
      <c r="J32" s="20" t="n">
        <v>180502</v>
      </c>
      <c r="K32" s="20" t="n">
        <v>180502</v>
      </c>
      <c r="L32" s="20" t="n">
        <v>180502</v>
      </c>
    </row>
    <row r="33">
      <c r="A33" s="18" t="inlineStr">
        <is>
          <t>이익잉여금</t>
        </is>
      </c>
      <c r="B33" s="10" t="n"/>
      <c r="C33" s="19" t="n">
        <v>857103</v>
      </c>
      <c r="D33" s="20" t="n">
        <v>869113</v>
      </c>
      <c r="E33" s="20" t="n">
        <v>843600</v>
      </c>
      <c r="F33" s="20" t="n">
        <v>842208</v>
      </c>
      <c r="G33" s="20" t="n">
        <v>869959</v>
      </c>
      <c r="H33" s="19" t="n">
        <v>570452</v>
      </c>
      <c r="I33" s="20" t="n">
        <v>669498</v>
      </c>
      <c r="J33" s="20" t="n">
        <v>729940</v>
      </c>
      <c r="K33" s="20" t="n">
        <v>803189</v>
      </c>
      <c r="L33" s="20" t="n">
        <v>843600</v>
      </c>
    </row>
    <row r="34">
      <c r="A34" s="18" t="inlineStr">
        <is>
          <t>비지배지분</t>
        </is>
      </c>
      <c r="B34" s="10" t="n"/>
      <c r="C34" s="19" t="n">
        <v>117265</v>
      </c>
      <c r="D34" s="20" t="n">
        <v>122627</v>
      </c>
      <c r="E34" s="20" t="n">
        <v>129008</v>
      </c>
      <c r="F34" s="20" t="n">
        <v>127591</v>
      </c>
      <c r="G34" s="20" t="n">
        <v>130444</v>
      </c>
      <c r="H34" s="19" t="n">
        <v>48075</v>
      </c>
      <c r="I34" s="20" t="n">
        <v>108064</v>
      </c>
      <c r="J34" s="20" t="n">
        <v>117156</v>
      </c>
      <c r="K34" s="20" t="n">
        <v>127467</v>
      </c>
      <c r="L34" s="20" t="n">
        <v>129008</v>
      </c>
    </row>
    <row r="35">
      <c r="A35" s="9" t="inlineStr">
        <is>
          <t>자본총계</t>
        </is>
      </c>
      <c r="B35" s="10" t="n"/>
      <c r="C35" s="11" t="n">
        <v>1463480</v>
      </c>
      <c r="D35" s="12" t="n">
        <v>1502102</v>
      </c>
      <c r="E35" s="12" t="n">
        <v>1534476</v>
      </c>
      <c r="F35" s="12" t="n">
        <v>1559924</v>
      </c>
      <c r="G35" s="12" t="n">
        <v>1597533</v>
      </c>
      <c r="H35" s="11" t="n">
        <v>964105</v>
      </c>
      <c r="I35" s="12" t="n">
        <v>1192743</v>
      </c>
      <c r="J35" s="12" t="n">
        <v>1333135</v>
      </c>
      <c r="K35" s="12" t="n">
        <v>1463502</v>
      </c>
      <c r="L35" s="12" t="n">
        <v>1534476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215259</v>
      </c>
      <c r="D37" s="12" t="n"/>
      <c r="E37" s="12" t="n">
        <v>224265</v>
      </c>
      <c r="F37" s="12" t="n"/>
      <c r="G37" s="12" t="n">
        <v>253116</v>
      </c>
      <c r="H37" s="11" t="n">
        <v>128380</v>
      </c>
      <c r="I37" s="12" t="n">
        <v>155832</v>
      </c>
      <c r="J37" s="12" t="n">
        <v>254021</v>
      </c>
      <c r="K37" s="12" t="n">
        <v>250335</v>
      </c>
      <c r="L37" s="12" t="n">
        <v>224265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18298</v>
      </c>
      <c r="D40" s="20" t="n"/>
      <c r="E40" s="20" t="n">
        <v>18117</v>
      </c>
      <c r="F40" s="20" t="n"/>
      <c r="G40" s="20" t="n">
        <v>17781</v>
      </c>
      <c r="H40" s="19" t="n">
        <v>13725</v>
      </c>
      <c r="I40" s="20" t="n">
        <v>14647</v>
      </c>
      <c r="J40" s="20" t="n">
        <v>17386</v>
      </c>
      <c r="K40" s="20" t="n">
        <v>19210</v>
      </c>
      <c r="L40" s="20" t="n">
        <v>18117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IFERROR((IF(COUNT('연간'!G40:J40)&lt;4,"",SUM('연간'!G40:J40)))/(IF(COUNT('연간'!G62:J62)&lt;4,"",SUM('연간'!G62:J62))),"")</f>
        <v/>
      </c>
      <c r="D48" s="31">
        <f>IFERROR((IF(COUNT('연간'!H40:K40)&lt;4,"",SUM('연간'!H40:K40)))/(IF(COUNT('연간'!H62:K62)&lt;4,"",SUM('연간'!H62:K62))),"")</f>
        <v/>
      </c>
      <c r="E48" s="31">
        <f>IFERROR((IF(COUNT('연간'!I40:L40)&lt;4,"",SUM('연간'!I40:L40)))/(IF(COUNT('연간'!I62:L62)&lt;4,"",SUM('연간'!I62:L62))),"")</f>
        <v/>
      </c>
      <c r="F48" s="31">
        <f>IFERROR((IF(COUNT('연간'!J40:M40)&lt;4,"",SUM('연간'!J40:M40)))/(IF(COUNT('연간'!J62:M62)&lt;4,"",SUM('연간'!J62:M62))),"")</f>
        <v/>
      </c>
      <c r="G48" s="31">
        <f>IFERROR((IF(COUNT('연간'!K40:N40)&lt;4,"",SUM('연간'!K40:N40)))/(IF(COUNT('연간'!K62:N62)&lt;4,"",SUM('연간'!K62:N62))),"")</f>
        <v/>
      </c>
      <c r="H48" s="30">
        <f>IFERROR(('연간'!T40)/('연간'!T62),"")</f>
        <v/>
      </c>
      <c r="I48" s="31">
        <f>IFERROR(('연간'!U40)/('연간'!U62),"")</f>
        <v/>
      </c>
      <c r="J48" s="31">
        <f>IFERROR(('연간'!V40)/('연간'!V62),"")</f>
        <v/>
      </c>
      <c r="K48" s="31">
        <f>IFERROR(('연간'!W40)/('연간'!W62),"")</f>
        <v/>
      </c>
      <c r="L48" s="31">
        <f>IFERROR(('연간'!X40)/('연간'!X62),"")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IFERROR(IF((IF(COUNT('연간'!G70:J70)&lt;4,"",SUM('연간'!G70:J70)))&lt;=0,"적자",C28/(IF(COUNT('연간'!G70:J70)&lt;4,"",SUM('연간'!G70:J70)))),"")</f>
        <v/>
      </c>
      <c r="D49" s="47">
        <f>IFERROR(IF((IF(COUNT('연간'!H70:K70)&lt;4,"",SUM('연간'!H70:K70)))&lt;=0,"적자",D28/(IF(COUNT('연간'!H70:K70)&lt;4,"",SUM('연간'!H70:K70)))),"")</f>
        <v/>
      </c>
      <c r="E49" s="47">
        <f>IFERROR(IF((IF(COUNT('연간'!I70:L70)&lt;4,"",SUM('연간'!I70:L70)))&lt;=0,"적자",E28/(IF(COUNT('연간'!I70:L70)&lt;4,"",SUM('연간'!I70:L70)))),"")</f>
        <v/>
      </c>
      <c r="F49" s="47">
        <f>IFERROR(IF((IF(COUNT('연간'!J70:M70)&lt;4,"",SUM('연간'!J70:M70)))&lt;=0,"적자",F28/(IF(COUNT('연간'!J70:M70)&lt;4,"",SUM('연간'!J70:M70)))),"")</f>
        <v/>
      </c>
      <c r="G49" s="47">
        <f>IFERROR(IF((IF(COUNT('연간'!K70:N70)&lt;4,"",SUM('연간'!K70:N70)))&lt;=0,"적자",G28/(IF(COUNT('연간'!K70:N70)&lt;4,"",SUM('연간'!K70:N70)))),"")</f>
        <v/>
      </c>
      <c r="H49" s="46">
        <f>IFERROR(IF(('연간'!T70)&lt;=0,"적자",H28/('연간'!T70)),"")</f>
        <v/>
      </c>
      <c r="I49" s="47">
        <f>IFERROR(IF(('연간'!U70)&lt;=0,"적자",I28/('연간'!U70)),"")</f>
        <v/>
      </c>
      <c r="J49" s="47">
        <f>IFERROR(IF(('연간'!V70)&lt;=0,"적자",J28/('연간'!V70)),"")</f>
        <v/>
      </c>
      <c r="K49" s="47">
        <f>IFERROR(IF(('연간'!W70)&lt;=0,"적자",K28/('연간'!W70)),"")</f>
        <v/>
      </c>
      <c r="L49" s="47">
        <f>IFERROR(IF(('연간'!X70)&lt;=0,"적자",L28/('연간'!X70)),"")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IFERROR((IF(COUNT('연간'!G70:J70)&lt;4,"",SUM('연간'!G70:J70)))/C31,"")</f>
        <v/>
      </c>
      <c r="D51" s="36">
        <f>IFERROR((IF(COUNT('연간'!H70:K70)&lt;4,"",SUM('연간'!H70:K70)))/D31,"")</f>
        <v/>
      </c>
      <c r="E51" s="36">
        <f>IFERROR((IF(COUNT('연간'!I70:L70)&lt;4,"",SUM('연간'!I70:L70)))/E31,"")</f>
        <v/>
      </c>
      <c r="F51" s="36">
        <f>IFERROR((IF(COUNT('연간'!J70:M70)&lt;4,"",SUM('연간'!J70:M70)))/F31,"")</f>
        <v/>
      </c>
      <c r="G51" s="36">
        <f>IFERROR((IF(COUNT('연간'!K70:N70)&lt;4,"",SUM('연간'!K70:N70)))/G31,"")</f>
        <v/>
      </c>
      <c r="H51" s="35">
        <f>IFERROR(('연간'!T70)/H31,"")</f>
        <v/>
      </c>
      <c r="I51" s="36">
        <f>IFERROR(('연간'!U70)/I31,"")</f>
        <v/>
      </c>
      <c r="J51" s="36">
        <f>IFERROR(('연간'!V70)/J31,"")</f>
        <v/>
      </c>
      <c r="K51" s="36">
        <f>IFERROR(('연간'!W70)/K31,"")</f>
        <v/>
      </c>
      <c r="L51" s="36">
        <f>IFERROR(('연간'!X70)/L31,"")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IFERROR((IF(COUNT('연간'!G68:J68)&lt;4,"",SUM('연간'!G68:J68)))/C16,"")</f>
        <v/>
      </c>
      <c r="D52" s="36">
        <f>IFERROR((IF(COUNT('연간'!H68:K68)&lt;4,"",SUM('연간'!H68:K68)))/D16,"")</f>
        <v/>
      </c>
      <c r="E52" s="36">
        <f>IFERROR((IF(COUNT('연간'!I68:L68)&lt;4,"",SUM('연간'!I68:L68)))/E16,"")</f>
        <v/>
      </c>
      <c r="F52" s="36">
        <f>IFERROR((IF(COUNT('연간'!J68:M68)&lt;4,"",SUM('연간'!J68:M68)))/F16,"")</f>
        <v/>
      </c>
      <c r="G52" s="36">
        <f>IFERROR((IF(COUNT('연간'!K68:N68)&lt;4,"",SUM('연간'!K68:N68)))/G16,"")</f>
        <v/>
      </c>
      <c r="H52" s="35">
        <f>IFERROR(('연간'!T68)/H16,"")</f>
        <v/>
      </c>
      <c r="I52" s="36">
        <f>IFERROR(('연간'!U68)/I16,"")</f>
        <v/>
      </c>
      <c r="J52" s="36">
        <f>IFERROR(('연간'!V68)/J16,"")</f>
        <v/>
      </c>
      <c r="K52" s="36">
        <f>IFERROR(('연간'!W68)/K16,"")</f>
        <v/>
      </c>
      <c r="L52" s="36">
        <f>IFERROR(('연간'!X68)/L16,"")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IFERROR((IF(COUNT('연간'!G40:J40)&lt;4,"",SUM('연간'!G40:J40)))*(1-0.3)/(C35+C29),"")</f>
        <v/>
      </c>
      <c r="D53" s="36">
        <f>IFERROR((IF(COUNT('연간'!H40:K40)&lt;4,"",SUM('연간'!H40:K40)))*(1-0.3)/(D35+D29),"")</f>
        <v/>
      </c>
      <c r="E53" s="36">
        <f>IFERROR((IF(COUNT('연간'!I40:L40)&lt;4,"",SUM('연간'!I40:L40)))*(1-0.3)/(E35+E29),"")</f>
        <v/>
      </c>
      <c r="F53" s="36">
        <f>IFERROR((IF(COUNT('연간'!J40:M40)&lt;4,"",SUM('연간'!J40:M40)))*(1-0.3)/(F35+F29),"")</f>
        <v/>
      </c>
      <c r="G53" s="36">
        <f>IFERROR((IF(COUNT('연간'!K40:N40)&lt;4,"",SUM('연간'!K40:N40)))*(1-0.3)/(G35+G29),"")</f>
        <v/>
      </c>
      <c r="H53" s="35">
        <f>IFERROR(('연간'!T40)*(1-0.3)/(H35+H29),"")</f>
        <v/>
      </c>
      <c r="I53" s="36">
        <f>IFERROR(('연간'!U40)*(1-0.3)/(I35+I29),"")</f>
        <v/>
      </c>
      <c r="J53" s="36">
        <f>IFERROR(('연간'!V40)*(1-0.3)/(J35+J29),"")</f>
        <v/>
      </c>
      <c r="K53" s="36">
        <f>IFERROR(('연간'!W40)*(1-0.3)/(K35+K29),"")</f>
        <v/>
      </c>
      <c r="L53" s="36">
        <f>IFERROR(('연간'!X40)*(1-0.3)/(L35+L29),"")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IFERROR((IF(COUNT('연간'!G34:J34)&lt;4,"",SUM('연간'!G34:J34)))/(IF(COUNT('연간'!G4:J4)&lt;4,"",SUM('연간'!G4:J4))),"")</f>
        <v/>
      </c>
      <c r="D54" s="36">
        <f>IFERROR((IF(COUNT('연간'!H34:K34)&lt;4,"",SUM('연간'!H34:K34)))/(IF(COUNT('연간'!H4:K4)&lt;4,"",SUM('연간'!H4:K4))),"")</f>
        <v/>
      </c>
      <c r="E54" s="36">
        <f>IFERROR((IF(COUNT('연간'!I34:L34)&lt;4,"",SUM('연간'!I34:L34)))/(IF(COUNT('연간'!I4:L4)&lt;4,"",SUM('연간'!I4:L4))),"")</f>
        <v/>
      </c>
      <c r="F54" s="36">
        <f>IFERROR((IF(COUNT('연간'!J34:M34)&lt;4,"",SUM('연간'!J34:M34)))/(IF(COUNT('연간'!J4:M4)&lt;4,"",SUM('연간'!J4:M4))),"")</f>
        <v/>
      </c>
      <c r="G54" s="36">
        <f>IFERROR((IF(COUNT('연간'!K34:N34)&lt;4,"",SUM('연간'!K34:N34)))/(IF(COUNT('연간'!K4:N4)&lt;4,"",SUM('연간'!K4:N4))),"")</f>
        <v/>
      </c>
      <c r="H54" s="35">
        <f>IFERROR(('연간'!T34)/('연간'!T4),"")</f>
        <v/>
      </c>
      <c r="I54" s="36">
        <f>IFERROR(('연간'!U34)/('연간'!U4),"")</f>
        <v/>
      </c>
      <c r="J54" s="36">
        <f>IFERROR(('연간'!V34)/('연간'!V4),"")</f>
        <v/>
      </c>
      <c r="K54" s="36">
        <f>IFERROR(('연간'!W34)/('연간'!W4),"")</f>
        <v/>
      </c>
      <c r="L54" s="36">
        <f>IFERROR(('연간'!X34)/('연간'!X4),"")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IFERROR((IF(COUNT('연간'!G40:J40)&lt;4,"",SUM('연간'!G40:J40)))/(IF(COUNT('연간'!G4:J4)&lt;4,"",SUM('연간'!G4:J4))),"")</f>
        <v/>
      </c>
      <c r="D55" s="36">
        <f>IFERROR((IF(COUNT('연간'!H40:K40)&lt;4,"",SUM('연간'!H40:K40)))/(IF(COUNT('연간'!H4:K4)&lt;4,"",SUM('연간'!H4:K4))),"")</f>
        <v/>
      </c>
      <c r="E55" s="36">
        <f>IFERROR((IF(COUNT('연간'!I40:L40)&lt;4,"",SUM('연간'!I40:L40)))/(IF(COUNT('연간'!I4:L4)&lt;4,"",SUM('연간'!I4:L4))),"")</f>
        <v/>
      </c>
      <c r="F55" s="36">
        <f>IFERROR((IF(COUNT('연간'!J40:M40)&lt;4,"",SUM('연간'!J40:M40)))/(IF(COUNT('연간'!J4:M4)&lt;4,"",SUM('연간'!J4:M4))),"")</f>
        <v/>
      </c>
      <c r="G55" s="36">
        <f>IFERROR((IF(COUNT('연간'!K40:N40)&lt;4,"",SUM('연간'!K40:N40)))/(IF(COUNT('연간'!K4:N4)&lt;4,"",SUM('연간'!K4:N4))),"")</f>
        <v/>
      </c>
      <c r="H55" s="35">
        <f>IFERROR(('연간'!T40)/('연간'!T4),"")</f>
        <v/>
      </c>
      <c r="I55" s="36">
        <f>IFERROR(('연간'!U40)/('연간'!U4),"")</f>
        <v/>
      </c>
      <c r="J55" s="36">
        <f>IFERROR(('연간'!V40)/('연간'!V4),"")</f>
        <v/>
      </c>
      <c r="K55" s="36">
        <f>IFERROR(('연간'!W40)/('연간'!W4),"")</f>
        <v/>
      </c>
      <c r="L55" s="36">
        <f>IFERROR(('연간'!X40)/('연간'!X4),"")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IFERROR((IF(COUNT('연간'!G68:J68)&lt;4,"",SUM('연간'!G68:J68)))/(IF(COUNT('연간'!G4:J4)&lt;4,"",SUM('연간'!G4:J4))),"")</f>
        <v/>
      </c>
      <c r="D56" s="36">
        <f>IFERROR((IF(COUNT('연간'!H68:K68)&lt;4,"",SUM('연간'!H68:K68)))/(IF(COUNT('연간'!H4:K4)&lt;4,"",SUM('연간'!H4:K4))),"")</f>
        <v/>
      </c>
      <c r="E56" s="36">
        <f>IFERROR((IF(COUNT('연간'!I68:L68)&lt;4,"",SUM('연간'!I68:L68)))/(IF(COUNT('연간'!I4:L4)&lt;4,"",SUM('연간'!I4:L4))),"")</f>
        <v/>
      </c>
      <c r="F56" s="36">
        <f>IFERROR((IF(COUNT('연간'!J68:M68)&lt;4,"",SUM('연간'!J68:M68)))/(IF(COUNT('연간'!J4:M4)&lt;4,"",SUM('연간'!J4:M4))),"")</f>
        <v/>
      </c>
      <c r="G56" s="36">
        <f>IFERROR((IF(COUNT('연간'!K68:N68)&lt;4,"",SUM('연간'!K68:N68)))/(IF(COUNT('연간'!K4:N4)&lt;4,"",SUM('연간'!K4:N4))),"")</f>
        <v/>
      </c>
      <c r="H56" s="35">
        <f>IFERROR(('연간'!T68)/('연간'!T4),"")</f>
        <v/>
      </c>
      <c r="I56" s="36">
        <f>IFERROR(('연간'!U68)/('연간'!U4),"")</f>
        <v/>
      </c>
      <c r="J56" s="36">
        <f>IFERROR(('연간'!V68)/('연간'!V4),"")</f>
        <v/>
      </c>
      <c r="K56" s="36">
        <f>IFERROR(('연간'!W68)/('연간'!W4),"")</f>
        <v/>
      </c>
      <c r="L56" s="36">
        <f>IFERROR(('연간'!X68)/('연간'!X4),"")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IFERROR(C9/(IF(COUNT('연간'!G32:J32)&lt;4,"",SUM('연간'!G32:J32)))*365,"")</f>
        <v/>
      </c>
      <c r="D60" s="49">
        <f>IFERROR(D9/(IF(COUNT('연간'!H32:K32)&lt;4,"",SUM('연간'!H32:K32)))*365,"")</f>
        <v/>
      </c>
      <c r="E60" s="49">
        <f>IFERROR(E9/(IF(COUNT('연간'!I32:L32)&lt;4,"",SUM('연간'!I32:L32)))*365,"")</f>
        <v/>
      </c>
      <c r="F60" s="49">
        <f>IFERROR(F9/(IF(COUNT('연간'!J32:M32)&lt;4,"",SUM('연간'!J32:M32)))*365,"")</f>
        <v/>
      </c>
      <c r="G60" s="49">
        <f>IFERROR(G9/(IF(COUNT('연간'!K32:N32)&lt;4,"",SUM('연간'!K32:N32)))*365,"")</f>
        <v/>
      </c>
      <c r="H60" s="48">
        <f>IFERROR(H9/('연간'!T32)*365,"")</f>
        <v/>
      </c>
      <c r="I60" s="49">
        <f>IFERROR(I9/('연간'!U32)*365,"")</f>
        <v/>
      </c>
      <c r="J60" s="49">
        <f>IFERROR(J9/('연간'!V32)*365,"")</f>
        <v/>
      </c>
      <c r="K60" s="49">
        <f>IFERROR(K9/('연간'!W32)*365,"")</f>
        <v/>
      </c>
      <c r="L60" s="49">
        <f>IFERROR(L9/('연간'!X32)*365,"")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IFERROR(C19/(IF(COUNT('연간'!G32:J32)&lt;4,"",SUM('연간'!G32:J32)))*365,"")</f>
        <v/>
      </c>
      <c r="D61" s="49">
        <f>IFERROR(D19/(IF(COUNT('연간'!H32:K32)&lt;4,"",SUM('연간'!H32:K32)))*365,"")</f>
        <v/>
      </c>
      <c r="E61" s="49">
        <f>IFERROR(E19/(IF(COUNT('연간'!I32:L32)&lt;4,"",SUM('연간'!I32:L32)))*365,"")</f>
        <v/>
      </c>
      <c r="F61" s="49">
        <f>IFERROR(F19/(IF(COUNT('연간'!J32:M32)&lt;4,"",SUM('연간'!J32:M32)))*365,"")</f>
        <v/>
      </c>
      <c r="G61" s="49">
        <f>IFERROR(G19/(IF(COUNT('연간'!K32:N32)&lt;4,"",SUM('연간'!K32:N32)))*365,"")</f>
        <v/>
      </c>
      <c r="H61" s="48">
        <f>IFERROR(H19/('연간'!T32)*365,"")</f>
        <v/>
      </c>
      <c r="I61" s="49">
        <f>IFERROR(I19/('연간'!U32)*365,"")</f>
        <v/>
      </c>
      <c r="J61" s="49">
        <f>IFERROR(J19/('연간'!V32)*365,"")</f>
        <v/>
      </c>
      <c r="K61" s="49">
        <f>IFERROR(K19/('연간'!W32)*365,"")</f>
        <v/>
      </c>
      <c r="L61" s="49">
        <f>IFERROR(L19/('연간'!X32)*365,"")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IF(C37="","",IFERROR(C37/(IF(COUNT('연간'!G68:J68)&lt;4,"",SUM('연간'!G68:J68))),""))</f>
        <v/>
      </c>
      <c r="D64" s="31">
        <f>IF(D37="","",IFERROR(D37/(IF(COUNT('연간'!H68:K68)&lt;4,"",SUM('연간'!H68:K68))),""))</f>
        <v/>
      </c>
      <c r="E64" s="31">
        <f>IF(E37="","",IFERROR(E37/(IF(COUNT('연간'!I68:L68)&lt;4,"",SUM('연간'!I68:L68))),""))</f>
        <v/>
      </c>
      <c r="F64" s="31">
        <f>IF(F37="","",IFERROR(F37/(IF(COUNT('연간'!J68:M68)&lt;4,"",SUM('연간'!J68:M68))),""))</f>
        <v/>
      </c>
      <c r="G64" s="31">
        <f>IF(G37="","",IFERROR(G37/(IF(COUNT('연간'!K68:N68)&lt;4,"",SUM('연간'!K68:N68))),""))</f>
        <v/>
      </c>
      <c r="H64" s="30">
        <f>IF(H37="","",IFERROR(H37/('연간'!T68),""))</f>
        <v/>
      </c>
      <c r="I64" s="31">
        <f>IF(I37="","",IFERROR(I37/('연간'!U68),""))</f>
        <v/>
      </c>
      <c r="J64" s="31">
        <f>IF(J37="","",IFERROR(J37/('연간'!V68),""))</f>
        <v/>
      </c>
      <c r="K64" s="31">
        <f>IF(K37="","",IFERROR(K37/('연간'!W68),""))</f>
        <v/>
      </c>
      <c r="L64" s="31">
        <f>IF(L37="","",IFERROR(L37/('연간'!X68),""))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IF(C40="","",IFERROR(C40/(IF(COUNT('연간'!G70:J70)&lt;4,"",SUM('연간'!G70:J70))),""))</f>
        <v/>
      </c>
      <c r="D67" s="36">
        <f>IF(D40="","",IFERROR(D40/(IF(COUNT('연간'!H70:K70)&lt;4,"",SUM('연간'!H70:K70))),""))</f>
        <v/>
      </c>
      <c r="E67" s="36">
        <f>IF(E40="","",IFERROR(E40/(IF(COUNT('연간'!I70:L70)&lt;4,"",SUM('연간'!I70:L70))),""))</f>
        <v/>
      </c>
      <c r="F67" s="36">
        <f>IF(F40="","",IFERROR(F40/(IF(COUNT('연간'!J70:M70)&lt;4,"",SUM('연간'!J70:M70))),""))</f>
        <v/>
      </c>
      <c r="G67" s="36">
        <f>IF(G40="","",IFERROR(G40/(IF(COUNT('연간'!K70:N70)&lt;4,"",SUM('연간'!K70:N70))),""))</f>
        <v/>
      </c>
      <c r="H67" s="35">
        <f>IF(H40="","",IFERROR(H40/('연간'!T70),""))</f>
        <v/>
      </c>
      <c r="I67" s="36">
        <f>IF(I40="","",IFERROR(I40/('연간'!U70),""))</f>
        <v/>
      </c>
      <c r="J67" s="36">
        <f>IF(J40="","",IFERROR(J40/('연간'!V70),""))</f>
        <v/>
      </c>
      <c r="K67" s="36">
        <f>IF(K40="","",IFERROR(K40/('연간'!W70),""))</f>
        <v/>
      </c>
      <c r="L67" s="36">
        <f>IF(L40="","",IFERROR(L40/('연간'!X70),""))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9" t="inlineStr">
        <is>
          <t>Noncurrent Assets</t>
        </is>
      </c>
      <c r="C71" s="12" t="n">
        <v>2977956</v>
      </c>
      <c r="D71" s="12" t="n">
        <v>2993941</v>
      </c>
      <c r="E71" s="12" t="n">
        <v>3073458</v>
      </c>
      <c r="F71" s="12" t="n">
        <v>3132421</v>
      </c>
      <c r="G71" s="12" t="n">
        <v>3169666</v>
      </c>
      <c r="H71" s="12" t="n">
        <v>2594819</v>
      </c>
      <c r="I71" s="12" t="n">
        <v>2701385</v>
      </c>
      <c r="J71" s="12" t="n">
        <v>2785551</v>
      </c>
      <c r="K71" s="12" t="n">
        <v>2995032</v>
      </c>
      <c r="L71" s="12" t="n">
        <v>3073458</v>
      </c>
    </row>
    <row r="72">
      <c r="A72" s="18" t="inlineStr">
        <is>
          <t>Electric Utility Plant And Equipment Assets ELE</t>
        </is>
      </c>
      <c r="C72" s="20" t="n">
        <v>1078197</v>
      </c>
      <c r="D72" s="20" t="n">
        <v>1073675</v>
      </c>
      <c r="E72" s="20" t="n">
        <v>1071256</v>
      </c>
      <c r="F72" s="20" t="n">
        <v>1061341</v>
      </c>
      <c r="G72" s="20" t="n">
        <v>1056505</v>
      </c>
      <c r="H72" s="20" t="n">
        <v>1076948</v>
      </c>
      <c r="I72" s="20" t="n">
        <v>1065522</v>
      </c>
      <c r="J72" s="20" t="n">
        <v>1092687</v>
      </c>
      <c r="K72" s="20" t="n">
        <v>1085212</v>
      </c>
      <c r="L72" s="20" t="n">
        <v>1071256</v>
      </c>
    </row>
    <row r="73">
      <c r="A73" s="18" t="inlineStr">
        <is>
          <t>Hydroelectric Power Production Facilities NCAElectric ELE</t>
        </is>
      </c>
      <c r="C73" s="20" t="n">
        <v>377239</v>
      </c>
      <c r="D73" s="20" t="n">
        <v>380662</v>
      </c>
      <c r="E73" s="20" t="n">
        <v>382320</v>
      </c>
      <c r="F73" s="20" t="n">
        <v>381248</v>
      </c>
      <c r="G73" s="20" t="n">
        <v>377646</v>
      </c>
      <c r="H73" s="20" t="n">
        <v>360084</v>
      </c>
      <c r="I73" s="20" t="n">
        <v>374454</v>
      </c>
      <c r="J73" s="20" t="n">
        <v>378572</v>
      </c>
      <c r="K73" s="20" t="n">
        <v>383092</v>
      </c>
      <c r="L73" s="20" t="n">
        <v>382320</v>
      </c>
    </row>
    <row r="74">
      <c r="A74" s="18" t="inlineStr">
        <is>
          <t>Thermal Power Production Facilities NCAElectric ELE</t>
        </is>
      </c>
      <c r="C74" s="20" t="n">
        <v>344939</v>
      </c>
      <c r="D74" s="20" t="n">
        <v>339742</v>
      </c>
      <c r="E74" s="20" t="n">
        <v>335966</v>
      </c>
      <c r="F74" s="20" t="n">
        <v>329204</v>
      </c>
      <c r="G74" s="20" t="n">
        <v>332809</v>
      </c>
      <c r="H74" s="20" t="n">
        <v>401071</v>
      </c>
      <c r="I74" s="20" t="n">
        <v>379750</v>
      </c>
      <c r="J74" s="20" t="n">
        <v>364877</v>
      </c>
      <c r="K74" s="20" t="n">
        <v>343141</v>
      </c>
      <c r="L74" s="20" t="n">
        <v>335966</v>
      </c>
    </row>
    <row r="75">
      <c r="A75" s="18" t="inlineStr">
        <is>
          <t>Internal Combustion Engine Power Production Facilities NCAElectric ELE</t>
        </is>
      </c>
      <c r="H75" s="20" t="n">
        <v>1198</v>
      </c>
      <c r="I75" s="20" t="n">
        <v>0</v>
      </c>
    </row>
    <row r="76">
      <c r="A76" s="18" t="inlineStr">
        <is>
          <t>Renewable Power Production Facilities NCAElectric ELE</t>
        </is>
      </c>
      <c r="H76" s="20" t="n">
        <v>76556</v>
      </c>
      <c r="I76" s="20" t="n">
        <v>77783</v>
      </c>
      <c r="J76" s="20" t="n">
        <v>0</v>
      </c>
    </row>
    <row r="77">
      <c r="A77" s="18" t="inlineStr">
        <is>
          <t>Renewable Power Production And Other Facilities NCAElectric ELE</t>
        </is>
      </c>
      <c r="I77" s="20" t="n">
        <v>0</v>
      </c>
      <c r="J77" s="20" t="n">
        <v>118762</v>
      </c>
    </row>
    <row r="78">
      <c r="A78" s="18" t="inlineStr">
        <is>
          <t>Rnewable Power Production Facilities NCAElectric ELE</t>
        </is>
      </c>
      <c r="I78" s="20" t="n">
        <v>0</v>
      </c>
      <c r="J78" s="20" t="n">
        <v>118762</v>
      </c>
    </row>
    <row r="79">
      <c r="A79" s="18" t="inlineStr">
        <is>
          <t>Renewable Power Production And Related Facilities NCAElectric ELE</t>
        </is>
      </c>
      <c r="J79" s="20" t="n">
        <v>118762</v>
      </c>
    </row>
    <row r="80">
      <c r="A80" s="18" t="inlineStr">
        <is>
          <t>Renewable Power Production And Related Facilities NCAElectric ELE</t>
        </is>
      </c>
      <c r="C80" s="20" t="n">
        <v>131576</v>
      </c>
      <c r="D80" s="20" t="n">
        <v>128757</v>
      </c>
      <c r="E80" s="20" t="n">
        <v>125184</v>
      </c>
      <c r="F80" s="20" t="n">
        <v>122231</v>
      </c>
      <c r="G80" s="20" t="n">
        <v>119318</v>
      </c>
      <c r="J80" s="20" t="n">
        <v>118762</v>
      </c>
      <c r="K80" s="20" t="n">
        <v>132060</v>
      </c>
      <c r="L80" s="20" t="n">
        <v>125184</v>
      </c>
    </row>
    <row r="81">
      <c r="A81" s="18" t="inlineStr">
        <is>
          <t>Transmission Facilities NCAElectric ELE</t>
        </is>
      </c>
      <c r="C81" s="20" t="n">
        <v>133602</v>
      </c>
      <c r="D81" s="20" t="n">
        <v>131860</v>
      </c>
      <c r="E81" s="20" t="n">
        <v>132442</v>
      </c>
      <c r="F81" s="20" t="n">
        <v>131656</v>
      </c>
      <c r="G81" s="20" t="n">
        <v>129215</v>
      </c>
      <c r="H81" s="20" t="n">
        <v>144458</v>
      </c>
      <c r="I81" s="20" t="n">
        <v>140248</v>
      </c>
      <c r="J81" s="20" t="n">
        <v>136104</v>
      </c>
      <c r="K81" s="20" t="n">
        <v>132446</v>
      </c>
      <c r="L81" s="20" t="n">
        <v>132442</v>
      </c>
    </row>
    <row r="82">
      <c r="A82" s="18" t="inlineStr">
        <is>
          <t>Transformation Facilities NCAElectric ELE</t>
        </is>
      </c>
      <c r="C82" s="20" t="n">
        <v>31501</v>
      </c>
      <c r="D82" s="20" t="n">
        <v>32932</v>
      </c>
      <c r="E82" s="20" t="n">
        <v>34829</v>
      </c>
      <c r="F82" s="20" t="n">
        <v>36425</v>
      </c>
      <c r="G82" s="20" t="n">
        <v>37098</v>
      </c>
      <c r="H82" s="20" t="n">
        <v>30236</v>
      </c>
      <c r="I82" s="20" t="n">
        <v>32954</v>
      </c>
      <c r="J82" s="20" t="n">
        <v>33506</v>
      </c>
      <c r="K82" s="20" t="n">
        <v>32752</v>
      </c>
      <c r="L82" s="20" t="n">
        <v>34829</v>
      </c>
    </row>
    <row r="83">
      <c r="A83" s="18" t="inlineStr">
        <is>
          <t>Communication Facilities NCAElectric ELE</t>
        </is>
      </c>
      <c r="C83" s="20" t="n">
        <v>6051</v>
      </c>
      <c r="D83" s="20" t="n">
        <v>6334</v>
      </c>
      <c r="E83" s="20" t="n">
        <v>6928</v>
      </c>
      <c r="F83" s="20" t="n">
        <v>7419</v>
      </c>
      <c r="G83" s="20" t="n">
        <v>7153</v>
      </c>
      <c r="H83" s="20" t="n">
        <v>6600</v>
      </c>
      <c r="I83" s="20" t="n">
        <v>6303</v>
      </c>
      <c r="J83" s="20" t="n">
        <v>6523</v>
      </c>
      <c r="K83" s="20" t="n">
        <v>6594</v>
      </c>
      <c r="L83" s="20" t="n">
        <v>6928</v>
      </c>
    </row>
    <row r="84">
      <c r="A84" s="18" t="inlineStr">
        <is>
          <t>General Facilities NCAElectric ELE</t>
        </is>
      </c>
      <c r="C84" s="20" t="n">
        <v>53286</v>
      </c>
      <c r="D84" s="20" t="n">
        <v>53386</v>
      </c>
      <c r="E84" s="20" t="n">
        <v>53584</v>
      </c>
      <c r="F84" s="20" t="n">
        <v>53153</v>
      </c>
      <c r="G84" s="20" t="n">
        <v>53264</v>
      </c>
      <c r="H84" s="20" t="n">
        <v>56742</v>
      </c>
      <c r="I84" s="20" t="n">
        <v>54028</v>
      </c>
      <c r="J84" s="20" t="n">
        <v>54340</v>
      </c>
      <c r="K84" s="20" t="n">
        <v>55125</v>
      </c>
      <c r="L84" s="20" t="n">
        <v>53584</v>
      </c>
    </row>
    <row r="85">
      <c r="A85" s="18" t="inlineStr">
        <is>
          <t>Overseas Business Facilities NCA</t>
        </is>
      </c>
      <c r="C85" s="20" t="n">
        <v>484148</v>
      </c>
      <c r="D85" s="20" t="n">
        <v>495286</v>
      </c>
      <c r="E85" s="20" t="n">
        <v>515501</v>
      </c>
      <c r="F85" s="20" t="n">
        <v>507012</v>
      </c>
      <c r="G85" s="20" t="n">
        <v>504001</v>
      </c>
      <c r="H85" s="20" t="n">
        <v>271356</v>
      </c>
      <c r="I85" s="20" t="n">
        <v>447201</v>
      </c>
      <c r="J85" s="20" t="n">
        <v>463421</v>
      </c>
      <c r="K85" s="20" t="n">
        <v>529667</v>
      </c>
      <c r="L85" s="20" t="n">
        <v>515501</v>
      </c>
    </row>
    <row r="86">
      <c r="A86" s="18" t="inlineStr">
        <is>
          <t>Other Noncurrent Assets ELE</t>
        </is>
      </c>
      <c r="C86" s="20" t="n">
        <v>84671</v>
      </c>
      <c r="D86" s="20" t="n">
        <v>84823</v>
      </c>
      <c r="E86" s="20" t="n">
        <v>85718</v>
      </c>
      <c r="F86" s="20" t="n">
        <v>91038</v>
      </c>
      <c r="G86" s="20" t="n">
        <v>91295</v>
      </c>
      <c r="H86" s="20" t="n">
        <v>92297</v>
      </c>
      <c r="I86" s="20" t="n">
        <v>89219</v>
      </c>
      <c r="J86" s="20" t="n">
        <v>89664</v>
      </c>
      <c r="K86" s="20" t="n">
        <v>89404</v>
      </c>
      <c r="L86" s="20" t="n">
        <v>85718</v>
      </c>
    </row>
    <row r="87">
      <c r="A87" s="18" t="inlineStr">
        <is>
          <t>Construction In Progress ELE</t>
        </is>
      </c>
      <c r="C87" s="20" t="n">
        <v>704220</v>
      </c>
      <c r="D87" s="20" t="n">
        <v>727059</v>
      </c>
      <c r="E87" s="20" t="n">
        <v>774903</v>
      </c>
      <c r="F87" s="20" t="n">
        <v>812002</v>
      </c>
      <c r="G87" s="20" t="n">
        <v>846285</v>
      </c>
      <c r="H87" s="20" t="n">
        <v>676596</v>
      </c>
      <c r="I87" s="20" t="n">
        <v>572165</v>
      </c>
      <c r="J87" s="20" t="n">
        <v>576118</v>
      </c>
      <c r="K87" s="20" t="n">
        <v>693372</v>
      </c>
      <c r="L87" s="20" t="n">
        <v>774903</v>
      </c>
    </row>
    <row r="88">
      <c r="A88" s="18" t="inlineStr">
        <is>
          <t>건설중인자산</t>
        </is>
      </c>
      <c r="C88" s="20" t="n">
        <v>704220</v>
      </c>
      <c r="D88" s="20" t="n">
        <v>727059</v>
      </c>
      <c r="E88" s="20" t="n">
        <v>774903</v>
      </c>
      <c r="F88" s="20" t="n">
        <v>812002</v>
      </c>
      <c r="G88" s="20" t="n">
        <v>846285</v>
      </c>
      <c r="H88" s="20" t="n">
        <v>676596</v>
      </c>
      <c r="I88" s="20" t="n">
        <v>572165</v>
      </c>
      <c r="J88" s="20" t="n">
        <v>576118</v>
      </c>
      <c r="K88" s="20" t="n">
        <v>693372</v>
      </c>
      <c r="L88" s="20" t="n">
        <v>774903</v>
      </c>
    </row>
    <row r="89">
      <c r="A89" s="18" t="inlineStr">
        <is>
          <t>Nuclear Fuel NCAELE</t>
        </is>
      </c>
      <c r="C89" s="20" t="n">
        <v>77867</v>
      </c>
      <c r="D89" s="20" t="n">
        <v>77872</v>
      </c>
      <c r="E89" s="20" t="n">
        <v>78377</v>
      </c>
      <c r="F89" s="20" t="n">
        <v>78492</v>
      </c>
      <c r="G89" s="20" t="n">
        <v>78488</v>
      </c>
      <c r="H89" s="20" t="n">
        <v>75806</v>
      </c>
      <c r="I89" s="20" t="n">
        <v>76226</v>
      </c>
      <c r="J89" s="20" t="n">
        <v>77101</v>
      </c>
      <c r="K89" s="20" t="n">
        <v>77556</v>
      </c>
      <c r="L89" s="20" t="n">
        <v>78377</v>
      </c>
    </row>
    <row r="90">
      <c r="A90" s="18" t="inlineStr">
        <is>
          <t>Nuclear Fuel In Processing NCAELE</t>
        </is>
      </c>
      <c r="C90" s="20" t="n">
        <v>77867</v>
      </c>
      <c r="D90" s="20" t="n">
        <v>77872</v>
      </c>
      <c r="E90" s="20" t="n">
        <v>78377</v>
      </c>
      <c r="F90" s="20" t="n">
        <v>78492</v>
      </c>
      <c r="G90" s="20" t="n">
        <v>78488</v>
      </c>
      <c r="H90" s="20" t="n">
        <v>75806</v>
      </c>
      <c r="I90" s="20" t="n">
        <v>76226</v>
      </c>
      <c r="J90" s="20" t="n">
        <v>77101</v>
      </c>
      <c r="K90" s="20" t="n">
        <v>77556</v>
      </c>
      <c r="L90" s="20" t="n">
        <v>78377</v>
      </c>
    </row>
    <row r="91">
      <c r="A91" s="18" t="inlineStr">
        <is>
          <t>투자 및 기타자산</t>
        </is>
      </c>
      <c r="C91" s="20" t="n">
        <v>548851</v>
      </c>
      <c r="D91" s="20" t="n">
        <v>535224</v>
      </c>
      <c r="E91" s="20" t="n">
        <v>547700</v>
      </c>
      <c r="F91" s="20" t="n">
        <v>582534</v>
      </c>
      <c r="G91" s="20" t="n">
        <v>593089</v>
      </c>
      <c r="H91" s="20" t="n">
        <v>401813</v>
      </c>
      <c r="I91" s="20" t="n">
        <v>451048</v>
      </c>
      <c r="J91" s="20" t="n">
        <v>486557</v>
      </c>
      <c r="K91" s="20" t="n">
        <v>519818</v>
      </c>
      <c r="L91" s="20" t="n">
        <v>547700</v>
      </c>
    </row>
    <row r="92">
      <c r="A92" s="18" t="inlineStr">
        <is>
          <t>장기투자</t>
        </is>
      </c>
      <c r="C92" s="20" t="n">
        <v>475887</v>
      </c>
      <c r="D92" s="20" t="n">
        <v>454716</v>
      </c>
      <c r="E92" s="20" t="n">
        <v>449524</v>
      </c>
      <c r="F92" s="20" t="n">
        <v>476985</v>
      </c>
      <c r="G92" s="20" t="n">
        <v>484858</v>
      </c>
      <c r="H92" s="20" t="n">
        <v>323770</v>
      </c>
      <c r="I92" s="20" t="n">
        <v>371914</v>
      </c>
      <c r="J92" s="20" t="n">
        <v>410175</v>
      </c>
      <c r="K92" s="20" t="n">
        <v>439466</v>
      </c>
      <c r="L92" s="20" t="n">
        <v>449524</v>
      </c>
    </row>
    <row r="93">
      <c r="A93" s="18" t="inlineStr">
        <is>
          <t>퇴직급여자산</t>
        </is>
      </c>
      <c r="C93" s="20" t="n">
        <v>26384</v>
      </c>
      <c r="D93" s="20" t="n">
        <v>26704</v>
      </c>
      <c r="E93" s="20" t="n">
        <v>43910</v>
      </c>
      <c r="F93" s="20" t="n">
        <v>43992</v>
      </c>
      <c r="G93" s="20" t="n">
        <v>43883</v>
      </c>
      <c r="H93" s="20" t="n">
        <v>241</v>
      </c>
      <c r="I93" s="20" t="n">
        <v>1473</v>
      </c>
      <c r="J93" s="20" t="n">
        <v>18157</v>
      </c>
      <c r="K93" s="20" t="n">
        <v>25771</v>
      </c>
      <c r="L93" s="20" t="n">
        <v>43910</v>
      </c>
    </row>
    <row r="94">
      <c r="A94" s="18" t="inlineStr">
        <is>
          <t>이연법인세자산</t>
        </is>
      </c>
      <c r="C94" s="20" t="n">
        <v>30176</v>
      </c>
      <c r="D94" s="20" t="n">
        <v>27904</v>
      </c>
      <c r="E94" s="20" t="n">
        <v>27416</v>
      </c>
      <c r="F94" s="20" t="n">
        <v>29315</v>
      </c>
      <c r="G94" s="20" t="n">
        <v>30246</v>
      </c>
      <c r="H94" s="20" t="n">
        <v>64277</v>
      </c>
      <c r="I94" s="20" t="n">
        <v>56896</v>
      </c>
      <c r="J94" s="20" t="n">
        <v>41766</v>
      </c>
      <c r="K94" s="20" t="n">
        <v>32939</v>
      </c>
      <c r="L94" s="20" t="n">
        <v>27416</v>
      </c>
    </row>
    <row r="95">
      <c r="A95" s="18" t="inlineStr">
        <is>
          <t>기타</t>
        </is>
      </c>
      <c r="C95" s="20" t="n">
        <v>16576</v>
      </c>
      <c r="D95" s="20" t="n">
        <v>26074</v>
      </c>
      <c r="E95" s="20" t="n">
        <v>27023</v>
      </c>
      <c r="F95" s="20" t="n">
        <v>32387</v>
      </c>
      <c r="G95" s="20" t="n">
        <v>34246</v>
      </c>
      <c r="H95" s="20" t="n">
        <v>13642</v>
      </c>
      <c r="I95" s="20" t="n">
        <v>20867</v>
      </c>
      <c r="J95" s="20" t="n">
        <v>16545</v>
      </c>
      <c r="K95" s="20" t="n">
        <v>21713</v>
      </c>
      <c r="L95" s="20" t="n">
        <v>27023</v>
      </c>
    </row>
    <row r="96">
      <c r="A96" s="18" t="inlineStr">
        <is>
          <t>Allowance For Doubtful Accounts IOABy Group</t>
        </is>
      </c>
      <c r="C96" s="20" t="n">
        <v>-174</v>
      </c>
      <c r="D96" s="20" t="n">
        <v>-174</v>
      </c>
      <c r="E96" s="20" t="n">
        <v>-174</v>
      </c>
      <c r="F96" s="20" t="n">
        <v>-145</v>
      </c>
      <c r="G96" s="20" t="n">
        <v>-145</v>
      </c>
      <c r="H96" s="20" t="n">
        <v>-118</v>
      </c>
      <c r="I96" s="20" t="n">
        <v>-102</v>
      </c>
      <c r="J96" s="20" t="n">
        <v>-87</v>
      </c>
      <c r="K96" s="20" t="n">
        <v>-71</v>
      </c>
      <c r="L96" s="20" t="n">
        <v>-174</v>
      </c>
    </row>
    <row r="97">
      <c r="A97" s="9" t="inlineStr">
        <is>
          <t>Current Assets</t>
        </is>
      </c>
      <c r="C97" s="12" t="n">
        <v>624941</v>
      </c>
      <c r="D97" s="12" t="n">
        <v>689306</v>
      </c>
      <c r="E97" s="12" t="n">
        <v>666243</v>
      </c>
      <c r="F97" s="12" t="n">
        <v>705191</v>
      </c>
      <c r="G97" s="12" t="n">
        <v>756228</v>
      </c>
      <c r="H97" s="12" t="n">
        <v>471357</v>
      </c>
      <c r="I97" s="12" t="n">
        <v>661300</v>
      </c>
      <c r="J97" s="12" t="n">
        <v>690254</v>
      </c>
      <c r="K97" s="12" t="n">
        <v>673708</v>
      </c>
      <c r="L97" s="12" t="n">
        <v>666243</v>
      </c>
    </row>
    <row r="98">
      <c r="A98" s="18" t="inlineStr">
        <is>
          <t>현금 및 예금</t>
        </is>
      </c>
      <c r="C98" s="20" t="n">
        <v>317871</v>
      </c>
      <c r="D98" s="20" t="n">
        <v>330391</v>
      </c>
      <c r="E98" s="20" t="n">
        <v>396964</v>
      </c>
      <c r="F98" s="20" t="n">
        <v>377536</v>
      </c>
      <c r="G98" s="20" t="n">
        <v>354097</v>
      </c>
      <c r="H98" s="20" t="n">
        <v>223072</v>
      </c>
      <c r="I98" s="20" t="n">
        <v>342018</v>
      </c>
      <c r="J98" s="20" t="n">
        <v>278814</v>
      </c>
      <c r="K98" s="20" t="n">
        <v>308995</v>
      </c>
      <c r="L98" s="20" t="n">
        <v>396964</v>
      </c>
    </row>
    <row r="99">
      <c r="A99" s="18" t="inlineStr">
        <is>
          <t>받을어음·매출채권</t>
        </is>
      </c>
      <c r="H99" s="20" t="n">
        <v>0</v>
      </c>
    </row>
    <row r="100">
      <c r="A100" s="18" t="inlineStr">
        <is>
          <t>받을어음·매출채권·계약자산</t>
        </is>
      </c>
      <c r="C100" s="20" t="n">
        <v>113735</v>
      </c>
      <c r="D100" s="20" t="n">
        <v>115726</v>
      </c>
      <c r="E100" s="20" t="n">
        <v>110003</v>
      </c>
      <c r="F100" s="20" t="n">
        <v>135091</v>
      </c>
      <c r="G100" s="20" t="n">
        <v>168010</v>
      </c>
      <c r="H100" s="20" t="n">
        <v>80439</v>
      </c>
      <c r="I100" s="20" t="n">
        <v>129901</v>
      </c>
      <c r="J100" s="20" t="n">
        <v>98119</v>
      </c>
      <c r="K100" s="20" t="n">
        <v>112210</v>
      </c>
      <c r="L100" s="20" t="n">
        <v>110003</v>
      </c>
    </row>
    <row r="101">
      <c r="A101" s="18" t="inlineStr">
        <is>
          <t>Short Term Investments CAELE</t>
        </is>
      </c>
      <c r="E101" s="20" t="n">
        <v>2187</v>
      </c>
      <c r="G101" s="20" t="n">
        <v>57155</v>
      </c>
      <c r="I101" s="20" t="n">
        <v>3281</v>
      </c>
      <c r="J101" s="20" t="n">
        <v>153146</v>
      </c>
      <c r="K101" s="20" t="n">
        <v>107464</v>
      </c>
      <c r="L101" s="20" t="n">
        <v>2187</v>
      </c>
    </row>
    <row r="102">
      <c r="A102" s="18" t="inlineStr">
        <is>
          <t>재고자산</t>
        </is>
      </c>
      <c r="C102" s="20" t="n">
        <v>67765</v>
      </c>
      <c r="D102" s="20" t="n">
        <v>72527</v>
      </c>
      <c r="E102" s="20" t="n">
        <v>77338</v>
      </c>
      <c r="F102" s="20" t="n">
        <v>81682</v>
      </c>
      <c r="G102" s="20" t="n">
        <v>80279</v>
      </c>
      <c r="H102" s="20" t="n">
        <v>62173</v>
      </c>
      <c r="I102" s="20" t="n">
        <v>110315</v>
      </c>
      <c r="J102" s="20" t="n">
        <v>80059</v>
      </c>
      <c r="K102" s="20" t="n">
        <v>72191</v>
      </c>
      <c r="L102" s="20" t="n">
        <v>77338</v>
      </c>
    </row>
    <row r="103">
      <c r="A103" s="18" t="inlineStr">
        <is>
          <t>기타</t>
        </is>
      </c>
      <c r="C103" s="20" t="n">
        <v>125653</v>
      </c>
      <c r="D103" s="20" t="n">
        <v>170793</v>
      </c>
      <c r="E103" s="20" t="n">
        <v>79752</v>
      </c>
      <c r="F103" s="20" t="n">
        <v>110925</v>
      </c>
      <c r="G103" s="20" t="n">
        <v>96776</v>
      </c>
      <c r="H103" s="20" t="n">
        <v>105674</v>
      </c>
      <c r="I103" s="20" t="n">
        <v>75786</v>
      </c>
      <c r="J103" s="20" t="n">
        <v>80118</v>
      </c>
      <c r="K103" s="20" t="n">
        <v>180314</v>
      </c>
      <c r="L103" s="20" t="n">
        <v>79752</v>
      </c>
    </row>
    <row r="104">
      <c r="A104" s="18" t="inlineStr">
        <is>
          <t>Allowance For Doubtful Accounts CA</t>
        </is>
      </c>
      <c r="C104" s="20" t="n">
        <v>-83</v>
      </c>
      <c r="D104" s="20" t="n">
        <v>-133</v>
      </c>
      <c r="E104" s="20" t="n">
        <v>-3</v>
      </c>
      <c r="F104" s="20" t="n">
        <v>-44</v>
      </c>
      <c r="G104" s="20" t="n">
        <v>-89</v>
      </c>
      <c r="H104" s="20" t="n">
        <v>-3</v>
      </c>
      <c r="I104" s="20" t="n">
        <v>-3</v>
      </c>
      <c r="J104" s="20" t="n">
        <v>-3</v>
      </c>
      <c r="K104" s="20" t="n">
        <v>-3</v>
      </c>
      <c r="L104" s="20" t="n">
        <v>-3</v>
      </c>
    </row>
    <row r="105">
      <c r="A105" s="9" t="inlineStr">
        <is>
          <t>자산 합계</t>
        </is>
      </c>
      <c r="C105" s="12" t="n">
        <v>3602897</v>
      </c>
      <c r="D105" s="12" t="n">
        <v>3683247</v>
      </c>
      <c r="E105" s="12" t="n">
        <v>3739701</v>
      </c>
      <c r="F105" s="12" t="n">
        <v>3837613</v>
      </c>
      <c r="G105" s="12" t="n">
        <v>3925895</v>
      </c>
      <c r="H105" s="12" t="n">
        <v>3066176</v>
      </c>
      <c r="I105" s="12" t="n">
        <v>3362685</v>
      </c>
      <c r="J105" s="12" t="n">
        <v>3475805</v>
      </c>
      <c r="K105" s="12" t="n">
        <v>3668740</v>
      </c>
      <c r="L105" s="12" t="n">
        <v>3739701</v>
      </c>
    </row>
    <row r="106">
      <c r="A106" s="9" t="inlineStr">
        <is>
          <t>비유동부채</t>
        </is>
      </c>
      <c r="C106" s="12" t="n">
        <v>1737345</v>
      </c>
      <c r="D106" s="12" t="n">
        <v>1782759</v>
      </c>
      <c r="E106" s="12" t="n">
        <v>1806997</v>
      </c>
      <c r="F106" s="12" t="n">
        <v>1890073</v>
      </c>
      <c r="G106" s="12" t="n">
        <v>1858680</v>
      </c>
      <c r="H106" s="12" t="n">
        <v>1686575</v>
      </c>
      <c r="I106" s="12" t="n">
        <v>1797923</v>
      </c>
      <c r="J106" s="12" t="n">
        <v>1793412</v>
      </c>
      <c r="K106" s="12" t="n">
        <v>1791881</v>
      </c>
      <c r="L106" s="12" t="n">
        <v>1806997</v>
      </c>
    </row>
    <row r="107">
      <c r="A107" s="18" t="inlineStr">
        <is>
          <t>사채</t>
        </is>
      </c>
      <c r="C107" s="20" t="n">
        <v>646687</v>
      </c>
      <c r="D107" s="20" t="n">
        <v>678987</v>
      </c>
      <c r="E107" s="20" t="n">
        <v>678987</v>
      </c>
      <c r="F107" s="20" t="n">
        <v>673488</v>
      </c>
      <c r="G107" s="20" t="n">
        <v>712688</v>
      </c>
      <c r="H107" s="20" t="n">
        <v>706484</v>
      </c>
      <c r="I107" s="20" t="n">
        <v>774085</v>
      </c>
      <c r="J107" s="20" t="n">
        <v>729086</v>
      </c>
      <c r="K107" s="20" t="n">
        <v>652987</v>
      </c>
      <c r="L107" s="20" t="n">
        <v>678987</v>
      </c>
    </row>
    <row r="108">
      <c r="A108" s="18" t="inlineStr">
        <is>
          <t>장기차입금</t>
        </is>
      </c>
      <c r="C108" s="20" t="n">
        <v>962265</v>
      </c>
      <c r="D108" s="20" t="n">
        <v>971032</v>
      </c>
      <c r="E108" s="20" t="n">
        <v>989700</v>
      </c>
      <c r="F108" s="20" t="n">
        <v>1086456</v>
      </c>
      <c r="G108" s="20" t="n">
        <v>1014014</v>
      </c>
      <c r="H108" s="20" t="n">
        <v>839645</v>
      </c>
      <c r="I108" s="20" t="n">
        <v>893363</v>
      </c>
      <c r="J108" s="20" t="n">
        <v>932304</v>
      </c>
      <c r="K108" s="20" t="n">
        <v>998134</v>
      </c>
      <c r="L108" s="20" t="n">
        <v>989700</v>
      </c>
    </row>
    <row r="109">
      <c r="A109" s="18" t="inlineStr">
        <is>
          <t>리스부채</t>
        </is>
      </c>
      <c r="C109" s="20" t="n">
        <v>1906</v>
      </c>
      <c r="D109" s="20" t="n">
        <v>1892</v>
      </c>
      <c r="E109" s="20" t="n">
        <v>1905</v>
      </c>
      <c r="F109" s="20" t="n">
        <v>1931</v>
      </c>
      <c r="G109" s="20" t="n">
        <v>2110</v>
      </c>
      <c r="H109" s="20" t="n">
        <v>2239</v>
      </c>
      <c r="I109" s="20" t="n">
        <v>1695</v>
      </c>
      <c r="J109" s="20" t="n">
        <v>1210</v>
      </c>
      <c r="K109" s="20" t="n">
        <v>2035</v>
      </c>
      <c r="L109" s="20" t="n">
        <v>1905</v>
      </c>
    </row>
    <row r="110">
      <c r="A110" s="18" t="inlineStr">
        <is>
          <t>기타 충당금</t>
        </is>
      </c>
      <c r="C110" s="20" t="n">
        <v>166</v>
      </c>
      <c r="D110" s="20" t="n">
        <v>94</v>
      </c>
      <c r="E110" s="20" t="n">
        <v>890</v>
      </c>
      <c r="F110" s="20" t="n">
        <v>985</v>
      </c>
      <c r="G110" s="20" t="n">
        <v>992</v>
      </c>
      <c r="H110" s="20" t="n">
        <v>20</v>
      </c>
      <c r="I110" s="20" t="n">
        <v>11</v>
      </c>
      <c r="J110" s="20" t="n">
        <v>26</v>
      </c>
      <c r="K110" s="20" t="n">
        <v>126</v>
      </c>
      <c r="L110" s="20" t="n">
        <v>890</v>
      </c>
    </row>
    <row r="111">
      <c r="A111" s="18" t="inlineStr">
        <is>
          <t>퇴직급여부채</t>
        </is>
      </c>
      <c r="C111" s="20" t="n">
        <v>30270</v>
      </c>
      <c r="D111" s="20" t="n">
        <v>30818</v>
      </c>
      <c r="E111" s="20" t="n">
        <v>25648</v>
      </c>
      <c r="F111" s="20" t="n">
        <v>26179</v>
      </c>
      <c r="G111" s="20" t="n">
        <v>26715</v>
      </c>
      <c r="H111" s="20" t="n">
        <v>37976</v>
      </c>
      <c r="I111" s="20" t="n">
        <v>33301</v>
      </c>
      <c r="J111" s="20" t="n">
        <v>31707</v>
      </c>
      <c r="K111" s="20" t="n">
        <v>29065</v>
      </c>
      <c r="L111" s="20" t="n">
        <v>25648</v>
      </c>
    </row>
    <row r="112">
      <c r="A112" s="18" t="inlineStr">
        <is>
          <t>자산복구부채</t>
        </is>
      </c>
      <c r="C112" s="20" t="n">
        <v>38422</v>
      </c>
      <c r="D112" s="20" t="n">
        <v>39048</v>
      </c>
      <c r="E112" s="20" t="n">
        <v>42525</v>
      </c>
      <c r="F112" s="20" t="n">
        <v>42878</v>
      </c>
      <c r="G112" s="20" t="n">
        <v>43292</v>
      </c>
      <c r="H112" s="20" t="n">
        <v>35240</v>
      </c>
      <c r="I112" s="20" t="n">
        <v>34087</v>
      </c>
      <c r="J112" s="20" t="n">
        <v>34465</v>
      </c>
      <c r="K112" s="20" t="n">
        <v>39153</v>
      </c>
      <c r="L112" s="20" t="n">
        <v>42525</v>
      </c>
    </row>
    <row r="113">
      <c r="A113" s="18" t="inlineStr">
        <is>
          <t>이연법인세부채</t>
        </is>
      </c>
      <c r="C113" s="20" t="n">
        <v>17127</v>
      </c>
      <c r="D113" s="20" t="n">
        <v>18985</v>
      </c>
      <c r="E113" s="20" t="n">
        <v>20526</v>
      </c>
      <c r="F113" s="20" t="n">
        <v>19222</v>
      </c>
      <c r="G113" s="20" t="n">
        <v>19823</v>
      </c>
      <c r="H113" s="20" t="n">
        <v>16808</v>
      </c>
      <c r="I113" s="20" t="n">
        <v>25098</v>
      </c>
      <c r="J113" s="20" t="n">
        <v>27677</v>
      </c>
      <c r="K113" s="20" t="n">
        <v>28575</v>
      </c>
      <c r="L113" s="20" t="n">
        <v>20526</v>
      </c>
    </row>
    <row r="114">
      <c r="A114" s="18" t="inlineStr">
        <is>
          <t>기타</t>
        </is>
      </c>
      <c r="C114" s="20" t="n">
        <v>40498</v>
      </c>
      <c r="D114" s="20" t="n">
        <v>41899</v>
      </c>
      <c r="E114" s="20" t="n">
        <v>46813</v>
      </c>
      <c r="F114" s="20" t="n">
        <v>38931</v>
      </c>
      <c r="G114" s="20" t="n">
        <v>39042</v>
      </c>
      <c r="H114" s="20" t="n">
        <v>48158</v>
      </c>
      <c r="I114" s="20" t="n">
        <v>36279</v>
      </c>
      <c r="J114" s="20" t="n">
        <v>36934</v>
      </c>
      <c r="K114" s="20" t="n">
        <v>41803</v>
      </c>
      <c r="L114" s="20" t="n">
        <v>46813</v>
      </c>
    </row>
    <row r="115">
      <c r="A115" s="9" t="inlineStr">
        <is>
          <t>Current Liabilities</t>
        </is>
      </c>
      <c r="C115" s="12" t="n">
        <v>402071</v>
      </c>
      <c r="D115" s="12" t="n">
        <v>398385</v>
      </c>
      <c r="E115" s="12" t="n">
        <v>398227</v>
      </c>
      <c r="F115" s="12" t="n">
        <v>387614</v>
      </c>
      <c r="G115" s="12" t="n">
        <v>469680</v>
      </c>
      <c r="H115" s="12" t="n">
        <v>415496</v>
      </c>
      <c r="I115" s="12" t="n">
        <v>372019</v>
      </c>
      <c r="J115" s="12" t="n">
        <v>349257</v>
      </c>
      <c r="K115" s="12" t="n">
        <v>413357</v>
      </c>
      <c r="L115" s="12" t="n">
        <v>398227</v>
      </c>
    </row>
    <row r="116">
      <c r="A116" s="18" t="inlineStr">
        <is>
          <t>Current Portion Of Noncurrent Liabilities CLELE</t>
        </is>
      </c>
      <c r="C116" s="20" t="n">
        <v>217897</v>
      </c>
      <c r="D116" s="20" t="n">
        <v>225746</v>
      </c>
      <c r="E116" s="20" t="n">
        <v>204980</v>
      </c>
      <c r="F116" s="20" t="n">
        <v>167973</v>
      </c>
      <c r="G116" s="20" t="n">
        <v>227416</v>
      </c>
      <c r="H116" s="20" t="n">
        <v>145467</v>
      </c>
      <c r="I116" s="20" t="n">
        <v>207374</v>
      </c>
      <c r="J116" s="20" t="n">
        <v>196448</v>
      </c>
      <c r="K116" s="20" t="n">
        <v>221532</v>
      </c>
      <c r="L116" s="20" t="n">
        <v>204980</v>
      </c>
    </row>
    <row r="117">
      <c r="A117" s="18" t="inlineStr">
        <is>
          <t>단기차입금</t>
        </is>
      </c>
      <c r="C117" s="20" t="n">
        <v>8677</v>
      </c>
      <c r="D117" s="20" t="n">
        <v>8266</v>
      </c>
      <c r="E117" s="20" t="n">
        <v>8270</v>
      </c>
      <c r="F117" s="20" t="n">
        <v>32217</v>
      </c>
      <c r="G117" s="20" t="n">
        <v>18083</v>
      </c>
      <c r="H117" s="20" t="n">
        <v>8149</v>
      </c>
      <c r="I117" s="20" t="n">
        <v>10715</v>
      </c>
      <c r="J117" s="20" t="n">
        <v>8031</v>
      </c>
      <c r="K117" s="20" t="n">
        <v>8133</v>
      </c>
      <c r="L117" s="20" t="n">
        <v>8270</v>
      </c>
    </row>
    <row r="118">
      <c r="A118" s="18" t="inlineStr">
        <is>
          <t>기업어음(CP)</t>
        </is>
      </c>
      <c r="H118" s="20" t="n">
        <v>90016</v>
      </c>
      <c r="I118" s="20" t="n">
        <v>0</v>
      </c>
    </row>
    <row r="119">
      <c r="A119" s="18" t="inlineStr">
        <is>
          <t>지급어음·매입채무</t>
        </is>
      </c>
      <c r="C119" s="20" t="n">
        <v>45460</v>
      </c>
      <c r="D119" s="20" t="n">
        <v>59675</v>
      </c>
      <c r="E119" s="20" t="n">
        <v>55644</v>
      </c>
      <c r="F119" s="20" t="n">
        <v>68729</v>
      </c>
      <c r="G119" s="20" t="n">
        <v>72258</v>
      </c>
      <c r="H119" s="20" t="n">
        <v>44651</v>
      </c>
      <c r="I119" s="20" t="n">
        <v>53774</v>
      </c>
      <c r="J119" s="20" t="n">
        <v>52379</v>
      </c>
      <c r="K119" s="20" t="n">
        <v>61997</v>
      </c>
      <c r="L119" s="20" t="n">
        <v>55644</v>
      </c>
    </row>
    <row r="120">
      <c r="A120" s="18" t="inlineStr">
        <is>
          <t>Accrued Taxes</t>
        </is>
      </c>
      <c r="C120" s="20" t="n">
        <v>42609</v>
      </c>
      <c r="D120" s="20" t="n">
        <v>21917</v>
      </c>
      <c r="E120" s="20" t="n">
        <v>16832</v>
      </c>
      <c r="F120" s="20" t="n">
        <v>18919</v>
      </c>
      <c r="G120" s="20" t="n">
        <v>32725</v>
      </c>
      <c r="H120" s="20" t="n">
        <v>18276</v>
      </c>
      <c r="I120" s="20" t="n">
        <v>27884</v>
      </c>
      <c r="J120" s="20" t="n">
        <v>27745</v>
      </c>
      <c r="K120" s="20" t="n">
        <v>26228</v>
      </c>
      <c r="L120" s="20" t="n">
        <v>16832</v>
      </c>
    </row>
    <row r="121">
      <c r="A121" s="18" t="inlineStr">
        <is>
          <t>기타 충당금</t>
        </is>
      </c>
      <c r="C121" s="20" t="n">
        <v>613</v>
      </c>
      <c r="D121" s="20" t="n">
        <v>730</v>
      </c>
      <c r="E121" s="20" t="n">
        <v>934</v>
      </c>
      <c r="F121" s="20" t="n">
        <v>696</v>
      </c>
      <c r="G121" s="20" t="n">
        <v>815</v>
      </c>
      <c r="H121" s="20" t="n">
        <v>691</v>
      </c>
      <c r="I121" s="20" t="n">
        <v>698</v>
      </c>
      <c r="J121" s="20" t="n">
        <v>646</v>
      </c>
      <c r="K121" s="20" t="n">
        <v>848</v>
      </c>
      <c r="L121" s="20" t="n">
        <v>934</v>
      </c>
    </row>
    <row r="122">
      <c r="A122" s="18" t="inlineStr">
        <is>
          <t>자산복구부채</t>
        </is>
      </c>
      <c r="C122" s="20" t="n">
        <v>437</v>
      </c>
      <c r="D122" s="20" t="n">
        <v>453</v>
      </c>
      <c r="E122" s="20" t="n">
        <v>664</v>
      </c>
      <c r="F122" s="20" t="n">
        <v>681</v>
      </c>
      <c r="G122" s="20" t="n">
        <v>728</v>
      </c>
      <c r="H122" s="20" t="n">
        <v>426</v>
      </c>
      <c r="I122" s="20" t="n">
        <v>476</v>
      </c>
      <c r="J122" s="20" t="n">
        <v>528</v>
      </c>
      <c r="K122" s="20" t="n">
        <v>599</v>
      </c>
      <c r="L122" s="20" t="n">
        <v>664</v>
      </c>
    </row>
    <row r="123">
      <c r="A123" s="18" t="inlineStr">
        <is>
          <t>기타</t>
        </is>
      </c>
      <c r="C123" s="20" t="n">
        <v>86373</v>
      </c>
      <c r="D123" s="20" t="n">
        <v>81595</v>
      </c>
      <c r="E123" s="20" t="n">
        <v>110900</v>
      </c>
      <c r="F123" s="20" t="n">
        <v>98396</v>
      </c>
      <c r="G123" s="20" t="n">
        <v>117651</v>
      </c>
      <c r="H123" s="20" t="n">
        <v>107817</v>
      </c>
      <c r="I123" s="20" t="n">
        <v>71096</v>
      </c>
      <c r="J123" s="20" t="n">
        <v>63478</v>
      </c>
      <c r="K123" s="20" t="n">
        <v>94017</v>
      </c>
      <c r="L123" s="20" t="n">
        <v>110900</v>
      </c>
    </row>
    <row r="124">
      <c r="A124" s="9" t="inlineStr">
        <is>
          <t>부채 합계</t>
        </is>
      </c>
      <c r="C124" s="12" t="n">
        <v>2139417</v>
      </c>
      <c r="D124" s="12" t="n">
        <v>2181145</v>
      </c>
      <c r="E124" s="12" t="n">
        <v>2205224</v>
      </c>
      <c r="F124" s="12" t="n">
        <v>2277688</v>
      </c>
      <c r="G124" s="12" t="n">
        <v>2328361</v>
      </c>
      <c r="H124" s="12" t="n">
        <v>2102071</v>
      </c>
      <c r="I124" s="12" t="n">
        <v>2169942</v>
      </c>
      <c r="J124" s="12" t="n">
        <v>2142670</v>
      </c>
      <c r="K124" s="12" t="n">
        <v>2205238</v>
      </c>
      <c r="L124" s="12" t="n">
        <v>2205224</v>
      </c>
    </row>
    <row r="125">
      <c r="A125" s="9" t="inlineStr">
        <is>
          <t>Shareholders Equity</t>
        </is>
      </c>
      <c r="C125" s="12" t="n">
        <v>1154972</v>
      </c>
      <c r="D125" s="12" t="n">
        <v>1161399</v>
      </c>
      <c r="E125" s="12" t="n">
        <v>1131506</v>
      </c>
      <c r="F125" s="12" t="n">
        <v>1150161</v>
      </c>
      <c r="G125" s="12" t="n">
        <v>1177947</v>
      </c>
      <c r="H125" s="12" t="n">
        <v>870826</v>
      </c>
      <c r="I125" s="12" t="n">
        <v>977800</v>
      </c>
      <c r="J125" s="12" t="n">
        <v>1038258</v>
      </c>
      <c r="K125" s="12" t="n">
        <v>1111520</v>
      </c>
      <c r="L125" s="12" t="n">
        <v>1131506</v>
      </c>
    </row>
    <row r="126">
      <c r="A126" s="18" t="inlineStr">
        <is>
          <t>자본금</t>
        </is>
      </c>
      <c r="C126" s="20" t="n">
        <v>180502</v>
      </c>
      <c r="D126" s="20" t="n">
        <v>180502</v>
      </c>
      <c r="E126" s="20" t="n">
        <v>180502</v>
      </c>
      <c r="F126" s="20" t="n">
        <v>180502</v>
      </c>
      <c r="G126" s="20" t="n">
        <v>180502</v>
      </c>
      <c r="H126" s="20" t="n">
        <v>180502</v>
      </c>
      <c r="I126" s="20" t="n">
        <v>180502</v>
      </c>
      <c r="J126" s="20" t="n">
        <v>180502</v>
      </c>
      <c r="K126" s="20" t="n">
        <v>180502</v>
      </c>
      <c r="L126" s="20" t="n">
        <v>180502</v>
      </c>
    </row>
    <row r="127">
      <c r="A127" s="18" t="inlineStr">
        <is>
          <t>자본잉여금</t>
        </is>
      </c>
      <c r="C127" s="20" t="n">
        <v>128178</v>
      </c>
      <c r="D127" s="20" t="n">
        <v>128178</v>
      </c>
      <c r="E127" s="20" t="n">
        <v>128178</v>
      </c>
      <c r="F127" s="20" t="n">
        <v>128178</v>
      </c>
      <c r="G127" s="20" t="n">
        <v>128178</v>
      </c>
      <c r="H127" s="20" t="n">
        <v>119881</v>
      </c>
      <c r="I127" s="20" t="n">
        <v>128178</v>
      </c>
      <c r="J127" s="20" t="n">
        <v>128178</v>
      </c>
      <c r="K127" s="20" t="n">
        <v>128178</v>
      </c>
      <c r="L127" s="20" t="n">
        <v>128178</v>
      </c>
    </row>
    <row r="128">
      <c r="A128" s="18" t="inlineStr">
        <is>
          <t>이익잉여금</t>
        </is>
      </c>
      <c r="C128" s="20" t="n">
        <v>857103</v>
      </c>
      <c r="D128" s="20" t="n">
        <v>869113</v>
      </c>
      <c r="E128" s="20" t="n">
        <v>843600</v>
      </c>
      <c r="F128" s="20" t="n">
        <v>842208</v>
      </c>
      <c r="G128" s="20" t="n">
        <v>869959</v>
      </c>
      <c r="H128" s="20" t="n">
        <v>570452</v>
      </c>
      <c r="I128" s="20" t="n">
        <v>669498</v>
      </c>
      <c r="J128" s="20" t="n">
        <v>729940</v>
      </c>
      <c r="K128" s="20" t="n">
        <v>803189</v>
      </c>
      <c r="L128" s="20" t="n">
        <v>843600</v>
      </c>
    </row>
    <row r="129">
      <c r="A129" s="18" t="inlineStr">
        <is>
          <t>자기주식</t>
        </is>
      </c>
      <c r="C129" s="20" t="n">
        <v>-10811</v>
      </c>
      <c r="D129" s="20" t="n">
        <v>-16393</v>
      </c>
      <c r="E129" s="20" t="n">
        <v>-20774</v>
      </c>
      <c r="F129" s="20" t="n">
        <v>-727</v>
      </c>
      <c r="G129" s="20" t="n">
        <v>-692</v>
      </c>
      <c r="H129" s="20" t="n">
        <v>-9</v>
      </c>
      <c r="I129" s="20" t="n">
        <v>-378</v>
      </c>
      <c r="J129" s="20" t="n">
        <v>-362</v>
      </c>
      <c r="K129" s="20" t="n">
        <v>-349</v>
      </c>
      <c r="L129" s="20" t="n">
        <v>-20774</v>
      </c>
    </row>
    <row r="130">
      <c r="A130" s="18" t="inlineStr">
        <is>
          <t>Valuation And Translation Adjustments</t>
        </is>
      </c>
      <c r="C130" s="20" t="n">
        <v>191242</v>
      </c>
      <c r="D130" s="20" t="n">
        <v>218075</v>
      </c>
      <c r="E130" s="20" t="n">
        <v>273961</v>
      </c>
      <c r="F130" s="20" t="n">
        <v>282171</v>
      </c>
      <c r="G130" s="20" t="n">
        <v>289141</v>
      </c>
      <c r="H130" s="20" t="n">
        <v>45203</v>
      </c>
      <c r="I130" s="20" t="n">
        <v>106878</v>
      </c>
      <c r="J130" s="20" t="n">
        <v>177720</v>
      </c>
      <c r="K130" s="20" t="n">
        <v>224513</v>
      </c>
      <c r="L130" s="20" t="n">
        <v>273961</v>
      </c>
    </row>
    <row r="131">
      <c r="A131" s="18" t="inlineStr">
        <is>
          <t>기타유가증권 평가차액</t>
        </is>
      </c>
      <c r="C131" s="20" t="n">
        <v>42424</v>
      </c>
      <c r="D131" s="20" t="n">
        <v>49072</v>
      </c>
      <c r="E131" s="20" t="n">
        <v>48971</v>
      </c>
      <c r="F131" s="20" t="n">
        <v>47406</v>
      </c>
      <c r="G131" s="20" t="n">
        <v>47597</v>
      </c>
      <c r="H131" s="20" t="n">
        <v>14014</v>
      </c>
      <c r="I131" s="20" t="n">
        <v>14372</v>
      </c>
      <c r="J131" s="20" t="n">
        <v>26855</v>
      </c>
      <c r="K131" s="20" t="n">
        <v>30817</v>
      </c>
      <c r="L131" s="20" t="n">
        <v>48971</v>
      </c>
    </row>
    <row r="132">
      <c r="A132" s="18" t="inlineStr">
        <is>
          <t>이연헤지손익</t>
        </is>
      </c>
      <c r="C132" s="20" t="n">
        <v>10012</v>
      </c>
      <c r="D132" s="20" t="n">
        <v>12725</v>
      </c>
      <c r="E132" s="20" t="n">
        <v>16948</v>
      </c>
      <c r="F132" s="20" t="n">
        <v>18560</v>
      </c>
      <c r="G132" s="20" t="n">
        <v>19240</v>
      </c>
      <c r="H132" s="20" t="n">
        <v>-9359</v>
      </c>
      <c r="I132" s="20" t="n">
        <v>7948</v>
      </c>
      <c r="J132" s="20" t="n">
        <v>15434</v>
      </c>
      <c r="K132" s="20" t="n">
        <v>16408</v>
      </c>
      <c r="L132" s="20" t="n">
        <v>16948</v>
      </c>
    </row>
    <row r="133">
      <c r="A133" s="18" t="inlineStr">
        <is>
          <t>해외사업환산조정</t>
        </is>
      </c>
      <c r="C133" s="20" t="n">
        <v>130299</v>
      </c>
      <c r="D133" s="20" t="n">
        <v>149568</v>
      </c>
      <c r="E133" s="20" t="n">
        <v>187449</v>
      </c>
      <c r="F133" s="20" t="n">
        <v>198758</v>
      </c>
      <c r="G133" s="20" t="n">
        <v>207961</v>
      </c>
      <c r="H133" s="20" t="n">
        <v>32136</v>
      </c>
      <c r="I133" s="20" t="n">
        <v>78928</v>
      </c>
      <c r="J133" s="20" t="n">
        <v>119358</v>
      </c>
      <c r="K133" s="20" t="n">
        <v>165112</v>
      </c>
      <c r="L133" s="20" t="n">
        <v>187449</v>
      </c>
    </row>
    <row r="134">
      <c r="A134" s="18" t="inlineStr">
        <is>
          <t>퇴직급여 조정누계액</t>
        </is>
      </c>
      <c r="C134" s="20" t="n">
        <v>8506</v>
      </c>
      <c r="D134" s="20" t="n">
        <v>6708</v>
      </c>
      <c r="E134" s="20" t="n">
        <v>20591</v>
      </c>
      <c r="F134" s="20" t="n">
        <v>17446</v>
      </c>
      <c r="G134" s="20" t="n">
        <v>14341</v>
      </c>
      <c r="H134" s="20" t="n">
        <v>8411</v>
      </c>
      <c r="I134" s="20" t="n">
        <v>5629</v>
      </c>
      <c r="J134" s="20" t="n">
        <v>16072</v>
      </c>
      <c r="K134" s="20" t="n">
        <v>12174</v>
      </c>
      <c r="L134" s="20" t="n">
        <v>20591</v>
      </c>
    </row>
    <row r="135">
      <c r="A135" s="18" t="inlineStr">
        <is>
          <t>비지배지분</t>
        </is>
      </c>
      <c r="C135" s="20" t="n">
        <v>117265</v>
      </c>
      <c r="D135" s="20" t="n">
        <v>122627</v>
      </c>
      <c r="E135" s="20" t="n">
        <v>129008</v>
      </c>
      <c r="F135" s="20" t="n">
        <v>127591</v>
      </c>
      <c r="G135" s="20" t="n">
        <v>130444</v>
      </c>
      <c r="H135" s="20" t="n">
        <v>48075</v>
      </c>
      <c r="I135" s="20" t="n">
        <v>108064</v>
      </c>
      <c r="J135" s="20" t="n">
        <v>117156</v>
      </c>
      <c r="K135" s="20" t="n">
        <v>127467</v>
      </c>
      <c r="L135" s="20" t="n">
        <v>129008</v>
      </c>
    </row>
    <row r="136">
      <c r="A136" s="9" t="inlineStr">
        <is>
          <t>순자산 합계</t>
        </is>
      </c>
      <c r="C136" s="12" t="n">
        <v>1463480</v>
      </c>
      <c r="D136" s="12" t="n">
        <v>1502102</v>
      </c>
      <c r="E136" s="12" t="n">
        <v>1534476</v>
      </c>
      <c r="F136" s="12" t="n">
        <v>1559924</v>
      </c>
      <c r="G136" s="12" t="n">
        <v>1597533</v>
      </c>
      <c r="H136" s="12" t="n">
        <v>964105</v>
      </c>
      <c r="I136" s="12" t="n">
        <v>1192743</v>
      </c>
      <c r="J136" s="12" t="n">
        <v>1333135</v>
      </c>
      <c r="K136" s="12" t="n">
        <v>1463502</v>
      </c>
      <c r="L136" s="12" t="n">
        <v>1534476</v>
      </c>
    </row>
    <row r="137">
      <c r="A137" s="9" t="inlineStr">
        <is>
          <t>부채·순자산 합계</t>
        </is>
      </c>
      <c r="C137" s="12" t="n">
        <v>3602897</v>
      </c>
      <c r="D137" s="12" t="n">
        <v>3683247</v>
      </c>
      <c r="E137" s="12" t="n">
        <v>3739701</v>
      </c>
      <c r="F137" s="12" t="n">
        <v>3837613</v>
      </c>
      <c r="G137" s="12" t="n">
        <v>3925895</v>
      </c>
      <c r="H137" s="12" t="n">
        <v>3066176</v>
      </c>
      <c r="I137" s="12" t="n">
        <v>3362685</v>
      </c>
      <c r="J137" s="12" t="n">
        <v>3475805</v>
      </c>
      <c r="K137" s="12" t="n">
        <v>3668740</v>
      </c>
      <c r="L137" s="12" t="n">
        <v>3739701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0" t="inlineStr">
        <is>
          <t>9513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q_items · 2024.1Q</t>
        </is>
      </c>
      <c r="B4" s="52" t="n"/>
      <c r="C4" s="52" t="n"/>
      <c r="D4" s="52" t="n"/>
      <c r="E4" s="52" t="n"/>
    </row>
    <row r="5">
      <c r="A5" s="53" t="inlineStr">
        <is>
          <t>항목</t>
        </is>
      </c>
      <c r="B5" s="53" t="inlineStr">
        <is>
          <t>값</t>
        </is>
      </c>
      <c r="E5" s="53" t="inlineStr">
        <is>
          <t>출처</t>
        </is>
      </c>
    </row>
    <row r="6">
      <c r="A6" s="54" t="inlineStr">
        <is>
          <t>人件費</t>
        </is>
      </c>
      <c r="B6" s="55" t="n">
        <v>75.09999999999999</v>
      </c>
      <c r="E6" s="56" t="inlineStr">
        <is>
          <t>2단계 보고서 자료(회사 설명회 자료·공시)</t>
        </is>
      </c>
    </row>
    <row r="7">
      <c r="A7" s="54" t="inlineStr">
        <is>
          <t>燃料費</t>
        </is>
      </c>
      <c r="B7" s="55" t="n">
        <v>781.4</v>
      </c>
    </row>
    <row r="8">
      <c r="A8" s="54" t="inlineStr">
        <is>
          <t>修繕費</t>
        </is>
      </c>
      <c r="B8" s="55" t="n">
        <v>57.6</v>
      </c>
    </row>
    <row r="9">
      <c r="A9" s="54" t="inlineStr">
        <is>
          <t>委託費</t>
        </is>
      </c>
      <c r="B9" s="55" t="n">
        <v>100.5</v>
      </c>
    </row>
    <row r="10">
      <c r="A10" s="54" t="inlineStr">
        <is>
          <t>租税公課</t>
        </is>
      </c>
      <c r="B10" s="55" t="n">
        <v>63.9</v>
      </c>
    </row>
    <row r="11">
      <c r="A11" s="54" t="inlineStr">
        <is>
          <t>減価償却費</t>
        </is>
      </c>
      <c r="B11" s="55" t="n">
        <v>187</v>
      </c>
    </row>
    <row r="12">
      <c r="A12" s="54" t="inlineStr">
        <is>
          <t>電気事業営業費用</t>
        </is>
      </c>
      <c r="B12" s="55" t="n">
        <v>1699.7</v>
      </c>
    </row>
    <row r="13">
      <c r="A13" s="54" t="inlineStr">
        <is>
          <t>海外事業営業費用</t>
        </is>
      </c>
      <c r="B13" s="55" t="n">
        <v>675.4</v>
      </c>
    </row>
    <row r="14">
      <c r="A14" s="54" t="inlineStr">
        <is>
          <t>その他事業営業費用</t>
        </is>
      </c>
      <c r="B14" s="55" t="n">
        <v>173.1</v>
      </c>
    </row>
    <row r="15">
      <c r="A15" s="54" t="inlineStr">
        <is>
          <t>営業費用</t>
        </is>
      </c>
      <c r="B15" s="55" t="n">
        <v>2548.2</v>
      </c>
    </row>
    <row r="16">
      <c r="A16" s="54" t="inlineStr">
        <is>
          <t>営業外収益</t>
        </is>
      </c>
      <c r="B16" s="55" t="n">
        <v>96.59999999999999</v>
      </c>
    </row>
    <row r="17">
      <c r="A17" s="54" t="inlineStr">
        <is>
          <t>受取配当金</t>
        </is>
      </c>
      <c r="B17" s="55" t="n">
        <v>10.8</v>
      </c>
    </row>
    <row r="18">
      <c r="A18" s="54" t="inlineStr">
        <is>
          <t>受取利息</t>
        </is>
      </c>
      <c r="B18" s="55" t="n">
        <v>14.6</v>
      </c>
    </row>
    <row r="19">
      <c r="A19" s="54" t="inlineStr">
        <is>
          <t>持分法による投資利益</t>
        </is>
      </c>
      <c r="B19" s="55" t="n">
        <v>27.4</v>
      </c>
    </row>
    <row r="20">
      <c r="A20" s="54" t="inlineStr">
        <is>
          <t>支払利息</t>
        </is>
      </c>
      <c r="B20" s="55" t="n">
        <v>75.2</v>
      </c>
    </row>
    <row r="21">
      <c r="A21" s="54" t="inlineStr">
        <is>
          <t>為替差損</t>
        </is>
      </c>
      <c r="B21" s="55" t="n">
        <v>0</v>
      </c>
    </row>
    <row r="22">
      <c r="A22" s="54" t="inlineStr">
        <is>
          <t>営業外費用</t>
        </is>
      </c>
      <c r="B22" s="55" t="n">
        <v>87.7</v>
      </c>
    </row>
    <row r="23">
      <c r="A23" s="54" t="inlineStr">
        <is>
          <t>特別損失</t>
        </is>
      </c>
      <c r="B23" s="55" t="n">
        <v>0</v>
      </c>
    </row>
    <row r="24">
      <c r="A24" s="54" t="inlineStr">
        <is>
          <t>営業収益</t>
        </is>
      </c>
      <c r="B24" s="55" t="n">
        <v>2813.8</v>
      </c>
    </row>
    <row r="26">
      <c r="A26" s="52" t="inlineStr">
        <is>
          <t>q_items · 2024.2Q</t>
        </is>
      </c>
      <c r="B26" s="52" t="n"/>
      <c r="C26" s="52" t="n"/>
      <c r="D26" s="52" t="n"/>
      <c r="E26" s="52" t="n"/>
    </row>
    <row r="27">
      <c r="A27" s="53" t="inlineStr">
        <is>
          <t>항목</t>
        </is>
      </c>
      <c r="B27" s="53" t="inlineStr">
        <is>
          <t>값</t>
        </is>
      </c>
      <c r="E27" s="53" t="inlineStr">
        <is>
          <t>출처</t>
        </is>
      </c>
    </row>
    <row r="28">
      <c r="A28" s="54" t="inlineStr">
        <is>
          <t>人件費</t>
        </is>
      </c>
      <c r="B28" s="55" t="n">
        <v>74</v>
      </c>
      <c r="E28" s="56" t="inlineStr">
        <is>
          <t>2단계 보고서 자료(회사 설명회 자료·공시)</t>
        </is>
      </c>
    </row>
    <row r="29">
      <c r="A29" s="54" t="inlineStr">
        <is>
          <t>燃料費</t>
        </is>
      </c>
      <c r="B29" s="55" t="n">
        <v>1244.5</v>
      </c>
    </row>
    <row r="30">
      <c r="A30" s="54" t="inlineStr">
        <is>
          <t>修繕費</t>
        </is>
      </c>
      <c r="B30" s="55" t="n">
        <v>143.9</v>
      </c>
    </row>
    <row r="31">
      <c r="A31" s="54" t="inlineStr">
        <is>
          <t>委託費</t>
        </is>
      </c>
      <c r="B31" s="55" t="n">
        <v>111.2</v>
      </c>
    </row>
    <row r="32">
      <c r="A32" s="54" t="inlineStr">
        <is>
          <t>租税公課</t>
        </is>
      </c>
      <c r="B32" s="55" t="n">
        <v>68.09999999999999</v>
      </c>
    </row>
    <row r="33">
      <c r="A33" s="54" t="inlineStr">
        <is>
          <t>減価償却費</t>
        </is>
      </c>
      <c r="B33" s="55" t="n">
        <v>186.5</v>
      </c>
    </row>
    <row r="34">
      <c r="A34" s="54" t="inlineStr">
        <is>
          <t>電気事業営業費用</t>
        </is>
      </c>
      <c r="B34" s="55" t="n">
        <v>2382.7</v>
      </c>
    </row>
    <row r="35">
      <c r="A35" s="54" t="inlineStr">
        <is>
          <t>海外事業営業費用</t>
        </is>
      </c>
      <c r="B35" s="55" t="n">
        <v>770.8</v>
      </c>
    </row>
    <row r="36">
      <c r="A36" s="54" t="inlineStr">
        <is>
          <t>その他事業営業費用</t>
        </is>
      </c>
      <c r="B36" s="55" t="n">
        <v>164.3</v>
      </c>
    </row>
    <row r="37">
      <c r="A37" s="54" t="inlineStr">
        <is>
          <t>営業費用</t>
        </is>
      </c>
      <c r="B37" s="55" t="n">
        <v>3317.7</v>
      </c>
    </row>
    <row r="38">
      <c r="A38" s="54" t="inlineStr">
        <is>
          <t>営業外収益</t>
        </is>
      </c>
      <c r="B38" s="55" t="n">
        <v>65.40000000000001</v>
      </c>
    </row>
    <row r="39">
      <c r="A39" s="54" t="inlineStr">
        <is>
          <t>受取配当金</t>
        </is>
      </c>
      <c r="B39" s="55" t="n">
        <v>0.2</v>
      </c>
    </row>
    <row r="40">
      <c r="A40" s="54" t="inlineStr">
        <is>
          <t>受取利息</t>
        </is>
      </c>
      <c r="B40" s="55" t="n">
        <v>19.4</v>
      </c>
    </row>
    <row r="41">
      <c r="A41" s="54" t="inlineStr">
        <is>
          <t>持分法による投資利益</t>
        </is>
      </c>
      <c r="B41" s="55" t="n">
        <v>43.8</v>
      </c>
    </row>
    <row r="42">
      <c r="A42" s="54" t="inlineStr">
        <is>
          <t>支払利息</t>
        </is>
      </c>
      <c r="B42" s="55" t="n">
        <v>81.7</v>
      </c>
    </row>
    <row r="43">
      <c r="A43" s="54" t="inlineStr">
        <is>
          <t>為替差損</t>
        </is>
      </c>
      <c r="B43" s="55" t="n">
        <v>0</v>
      </c>
    </row>
    <row r="44">
      <c r="A44" s="54" t="inlineStr">
        <is>
          <t>営業外費用</t>
        </is>
      </c>
      <c r="B44" s="55" t="n">
        <v>100.1</v>
      </c>
    </row>
    <row r="45">
      <c r="A45" s="54" t="inlineStr">
        <is>
          <t>特別損失</t>
        </is>
      </c>
      <c r="B45" s="55" t="n">
        <v>0</v>
      </c>
    </row>
    <row r="46">
      <c r="A46" s="54" t="inlineStr">
        <is>
          <t>営業収益</t>
        </is>
      </c>
      <c r="B46" s="55" t="n">
        <v>3502.1</v>
      </c>
    </row>
    <row r="48">
      <c r="A48" s="52" t="inlineStr">
        <is>
          <t>q_items · 2024.3Q</t>
        </is>
      </c>
      <c r="B48" s="52" t="n"/>
      <c r="C48" s="52" t="n"/>
      <c r="D48" s="52" t="n"/>
      <c r="E48" s="52" t="n"/>
    </row>
    <row r="49">
      <c r="A49" s="53" t="inlineStr">
        <is>
          <t>항목</t>
        </is>
      </c>
      <c r="B49" s="53" t="inlineStr">
        <is>
          <t>값</t>
        </is>
      </c>
      <c r="E49" s="53" t="inlineStr">
        <is>
          <t>출처</t>
        </is>
      </c>
    </row>
    <row r="50">
      <c r="A50" s="54" t="inlineStr">
        <is>
          <t>人件費</t>
        </is>
      </c>
      <c r="B50" s="55" t="n">
        <v>75.59999999999999</v>
      </c>
      <c r="E50" s="56" t="inlineStr">
        <is>
          <t>2단계 보고서 자료(회사 설명회 자료·공시)</t>
        </is>
      </c>
    </row>
    <row r="51">
      <c r="A51" s="54" t="inlineStr">
        <is>
          <t>燃料費</t>
        </is>
      </c>
      <c r="B51" s="55" t="n">
        <v>1159.3</v>
      </c>
    </row>
    <row r="52">
      <c r="A52" s="54" t="inlineStr">
        <is>
          <t>修繕費</t>
        </is>
      </c>
      <c r="B52" s="55" t="n">
        <v>107.7</v>
      </c>
    </row>
    <row r="53">
      <c r="A53" s="54" t="inlineStr">
        <is>
          <t>委託費</t>
        </is>
      </c>
      <c r="B53" s="55" t="n">
        <v>111.4</v>
      </c>
    </row>
    <row r="54">
      <c r="A54" s="54" t="inlineStr">
        <is>
          <t>租税公課</t>
        </is>
      </c>
      <c r="B54" s="55" t="n">
        <v>70</v>
      </c>
    </row>
    <row r="55">
      <c r="A55" s="54" t="inlineStr">
        <is>
          <t>減価償却費</t>
        </is>
      </c>
      <c r="B55" s="55" t="n">
        <v>192.9</v>
      </c>
    </row>
    <row r="56">
      <c r="A56" s="54" t="inlineStr">
        <is>
          <t>電気事業営業費用</t>
        </is>
      </c>
      <c r="B56" s="55" t="n">
        <v>2317.3</v>
      </c>
    </row>
    <row r="57">
      <c r="A57" s="54" t="inlineStr">
        <is>
          <t>海外事業営業費用</t>
        </is>
      </c>
      <c r="B57" s="55" t="n">
        <v>459.3</v>
      </c>
    </row>
    <row r="58">
      <c r="A58" s="54" t="inlineStr">
        <is>
          <t>その他事業営業費用</t>
        </is>
      </c>
      <c r="B58" s="55" t="n">
        <v>128.6</v>
      </c>
    </row>
    <row r="59">
      <c r="A59" s="54" t="inlineStr">
        <is>
          <t>営業費用</t>
        </is>
      </c>
      <c r="B59" s="55" t="n">
        <v>2905.2</v>
      </c>
    </row>
    <row r="60">
      <c r="A60" s="54" t="inlineStr">
        <is>
          <t>営業外収益</t>
        </is>
      </c>
      <c r="B60" s="55" t="n">
        <v>161.2</v>
      </c>
    </row>
    <row r="61">
      <c r="A61" s="54" t="inlineStr">
        <is>
          <t>受取配当金</t>
        </is>
      </c>
      <c r="B61" s="55" t="n">
        <v>6.9</v>
      </c>
    </row>
    <row r="62">
      <c r="A62" s="54" t="inlineStr">
        <is>
          <t>受取利息</t>
        </is>
      </c>
      <c r="B62" s="55" t="n">
        <v>19</v>
      </c>
    </row>
    <row r="63">
      <c r="A63" s="54" t="inlineStr">
        <is>
          <t>持分法による投資利益</t>
        </is>
      </c>
      <c r="B63" s="55" t="n">
        <v>80.5</v>
      </c>
    </row>
    <row r="64">
      <c r="A64" s="54" t="inlineStr">
        <is>
          <t>支払利息</t>
        </is>
      </c>
      <c r="B64" s="55" t="n">
        <v>78.90000000000001</v>
      </c>
    </row>
    <row r="65">
      <c r="A65" s="54" t="inlineStr">
        <is>
          <t>為替差損</t>
        </is>
      </c>
      <c r="B65" s="55" t="n">
        <v>0</v>
      </c>
    </row>
    <row r="66">
      <c r="A66" s="54" t="inlineStr">
        <is>
          <t>営業外費用</t>
        </is>
      </c>
      <c r="B66" s="55" t="n">
        <v>124.7</v>
      </c>
    </row>
    <row r="67">
      <c r="A67" s="54" t="inlineStr">
        <is>
          <t>特別損失</t>
        </is>
      </c>
      <c r="B67" s="55" t="n">
        <v>0</v>
      </c>
    </row>
    <row r="68">
      <c r="A68" s="54" t="inlineStr">
        <is>
          <t>営業収益</t>
        </is>
      </c>
      <c r="B68" s="55" t="n">
        <v>3292.5</v>
      </c>
    </row>
    <row r="70">
      <c r="A70" s="52" t="inlineStr">
        <is>
          <t>q_items · 2024.4Q</t>
        </is>
      </c>
      <c r="B70" s="52" t="n"/>
      <c r="C70" s="52" t="n"/>
      <c r="D70" s="52" t="n"/>
      <c r="E70" s="52" t="n"/>
    </row>
    <row r="71">
      <c r="A71" s="53" t="inlineStr">
        <is>
          <t>항목</t>
        </is>
      </c>
      <c r="B71" s="53" t="inlineStr">
        <is>
          <t>값</t>
        </is>
      </c>
      <c r="E71" s="53" t="inlineStr">
        <is>
          <t>출처</t>
        </is>
      </c>
    </row>
    <row r="72">
      <c r="A72" s="54" t="inlineStr">
        <is>
          <t>人件費</t>
        </is>
      </c>
      <c r="B72" s="55" t="n">
        <v>75.3</v>
      </c>
      <c r="E72" s="56" t="inlineStr">
        <is>
          <t>2단계 보고서 자료(회사 설명회 자료·공시)</t>
        </is>
      </c>
    </row>
    <row r="73">
      <c r="A73" s="54" t="inlineStr">
        <is>
          <t>燃料費</t>
        </is>
      </c>
      <c r="B73" s="55" t="n">
        <v>1028.5</v>
      </c>
    </row>
    <row r="74">
      <c r="A74" s="54" t="inlineStr">
        <is>
          <t>修繕費</t>
        </is>
      </c>
      <c r="B74" s="55" t="n">
        <v>140.1</v>
      </c>
    </row>
    <row r="75">
      <c r="A75" s="54" t="inlineStr">
        <is>
          <t>委託費</t>
        </is>
      </c>
      <c r="B75" s="55" t="n">
        <v>170.3</v>
      </c>
    </row>
    <row r="76">
      <c r="A76" s="54" t="inlineStr">
        <is>
          <t>租税公課</t>
        </is>
      </c>
      <c r="B76" s="55" t="n">
        <v>67.5</v>
      </c>
    </row>
    <row r="77">
      <c r="A77" s="54" t="inlineStr">
        <is>
          <t>減価償却費</t>
        </is>
      </c>
      <c r="B77" s="55" t="n">
        <v>195.8</v>
      </c>
    </row>
    <row r="78">
      <c r="A78" s="54" t="inlineStr">
        <is>
          <t>電気事業営業費用</t>
        </is>
      </c>
      <c r="B78" s="55" t="n">
        <v>2210.5</v>
      </c>
    </row>
    <row r="79">
      <c r="A79" s="54" t="inlineStr">
        <is>
          <t>海外事業営業費用</t>
        </is>
      </c>
      <c r="B79" s="55" t="n">
        <v>362.1</v>
      </c>
    </row>
    <row r="80">
      <c r="A80" s="54" t="inlineStr">
        <is>
          <t>その他事業営業費用</t>
        </is>
      </c>
      <c r="B80" s="55" t="n">
        <v>179.1</v>
      </c>
    </row>
    <row r="81">
      <c r="A81" s="54" t="inlineStr">
        <is>
          <t>営業費用</t>
        </is>
      </c>
      <c r="B81" s="55" t="n">
        <v>2751.8</v>
      </c>
    </row>
    <row r="82">
      <c r="A82" s="54" t="inlineStr">
        <is>
          <t>営業外収益</t>
        </is>
      </c>
      <c r="B82" s="55" t="n">
        <v>171.9</v>
      </c>
    </row>
    <row r="83">
      <c r="A83" s="54" t="inlineStr">
        <is>
          <t>受取配当金</t>
        </is>
      </c>
      <c r="B83" s="55" t="n">
        <v>0.7</v>
      </c>
    </row>
    <row r="84">
      <c r="A84" s="54" t="inlineStr">
        <is>
          <t>受取利息</t>
        </is>
      </c>
      <c r="B84" s="55" t="n">
        <v>21.6</v>
      </c>
    </row>
    <row r="85">
      <c r="A85" s="54" t="inlineStr">
        <is>
          <t>持分法による投資利益</t>
        </is>
      </c>
      <c r="B85" s="55" t="n">
        <v>93.8</v>
      </c>
    </row>
    <row r="86">
      <c r="A86" s="54" t="inlineStr">
        <is>
          <t>支払利息</t>
        </is>
      </c>
      <c r="B86" s="55" t="n">
        <v>73.59999999999999</v>
      </c>
    </row>
    <row r="87">
      <c r="A87" s="54" t="inlineStr">
        <is>
          <t>為替差損</t>
        </is>
      </c>
      <c r="B87" s="55" t="n">
        <v>0</v>
      </c>
    </row>
    <row r="88">
      <c r="A88" s="54" t="inlineStr">
        <is>
          <t>営業外費用</t>
        </is>
      </c>
      <c r="B88" s="55" t="n">
        <v>54.4</v>
      </c>
    </row>
    <row r="89">
      <c r="A89" s="54" t="inlineStr">
        <is>
          <t>特別損失</t>
        </is>
      </c>
      <c r="B89" s="55" t="n">
        <v>0</v>
      </c>
    </row>
    <row r="90">
      <c r="A90" s="54" t="inlineStr">
        <is>
          <t>営業収益</t>
        </is>
      </c>
      <c r="B90" s="55" t="n">
        <v>2971.6</v>
      </c>
    </row>
    <row r="92">
      <c r="A92" s="52" t="inlineStr">
        <is>
          <t>q_items · 2025.1Q</t>
        </is>
      </c>
      <c r="B92" s="52" t="n"/>
      <c r="C92" s="52" t="n"/>
      <c r="D92" s="52" t="n"/>
      <c r="E92" s="52" t="n"/>
    </row>
    <row r="93">
      <c r="A93" s="53" t="inlineStr">
        <is>
          <t>항목</t>
        </is>
      </c>
      <c r="B93" s="53" t="inlineStr">
        <is>
          <t>값</t>
        </is>
      </c>
      <c r="E93" s="53" t="inlineStr">
        <is>
          <t>출처</t>
        </is>
      </c>
    </row>
    <row r="94">
      <c r="A94" s="54" t="inlineStr">
        <is>
          <t>人件費</t>
        </is>
      </c>
      <c r="B94" s="55" t="n">
        <v>60.5</v>
      </c>
      <c r="E94" s="56" t="inlineStr">
        <is>
          <t>2단계 보고서 자료(회사 설명회 자료·공시)</t>
        </is>
      </c>
    </row>
    <row r="95">
      <c r="A95" s="54" t="inlineStr">
        <is>
          <t>燃料費</t>
        </is>
      </c>
      <c r="B95" s="55" t="n">
        <v>504.4</v>
      </c>
    </row>
    <row r="96">
      <c r="A96" s="54" t="inlineStr">
        <is>
          <t>修繕費</t>
        </is>
      </c>
      <c r="B96" s="55" t="n">
        <v>61.3</v>
      </c>
    </row>
    <row r="97">
      <c r="A97" s="54" t="inlineStr">
        <is>
          <t>委託費</t>
        </is>
      </c>
      <c r="B97" s="55" t="n">
        <v>113.2</v>
      </c>
    </row>
    <row r="98">
      <c r="A98" s="54" t="inlineStr">
        <is>
          <t>租税公課</t>
        </is>
      </c>
      <c r="B98" s="55" t="n">
        <v>65.2</v>
      </c>
    </row>
    <row r="99">
      <c r="A99" s="54" t="inlineStr">
        <is>
          <t>減価償却費</t>
        </is>
      </c>
      <c r="B99" s="55" t="n">
        <v>196.9</v>
      </c>
    </row>
    <row r="100">
      <c r="A100" s="54" t="inlineStr">
        <is>
          <t>電気事業営業費用</t>
        </is>
      </c>
      <c r="B100" s="55" t="n">
        <v>1610.9</v>
      </c>
    </row>
    <row r="101">
      <c r="A101" s="54" t="inlineStr">
        <is>
          <t>海外事業営業費用</t>
        </is>
      </c>
      <c r="B101" s="55" t="n">
        <v>506.7</v>
      </c>
    </row>
    <row r="102">
      <c r="A102" s="54" t="inlineStr">
        <is>
          <t>その他事業営業費用</t>
        </is>
      </c>
      <c r="B102" s="55" t="n">
        <v>146.2</v>
      </c>
    </row>
    <row r="103">
      <c r="A103" s="54" t="inlineStr">
        <is>
          <t>営業費用</t>
        </is>
      </c>
      <c r="B103" s="55" t="n">
        <v>2263.8</v>
      </c>
    </row>
    <row r="104">
      <c r="A104" s="54" t="inlineStr">
        <is>
          <t>営業外収益</t>
        </is>
      </c>
      <c r="B104" s="55" t="n">
        <v>150.9</v>
      </c>
    </row>
    <row r="105">
      <c r="A105" s="54" t="inlineStr">
        <is>
          <t>受取配当金</t>
        </is>
      </c>
      <c r="B105" s="55" t="n">
        <v>12.7</v>
      </c>
    </row>
    <row r="106">
      <c r="A106" s="54" t="inlineStr">
        <is>
          <t>受取利息</t>
        </is>
      </c>
      <c r="B106" s="55" t="n">
        <v>22.2</v>
      </c>
    </row>
    <row r="107">
      <c r="A107" s="54" t="inlineStr">
        <is>
          <t>持分法による投資利益</t>
        </is>
      </c>
      <c r="B107" s="55" t="n">
        <v>44.1</v>
      </c>
    </row>
    <row r="108">
      <c r="A108" s="54" t="inlineStr">
        <is>
          <t>支払利息</t>
        </is>
      </c>
      <c r="B108" s="55" t="n">
        <v>76.59999999999999</v>
      </c>
    </row>
    <row r="109">
      <c r="A109" s="54" t="inlineStr">
        <is>
          <t>為替差損</t>
        </is>
      </c>
      <c r="B109" s="55" t="n">
        <v>41</v>
      </c>
    </row>
    <row r="110">
      <c r="A110" s="54" t="inlineStr">
        <is>
          <t>営業外費用</t>
        </is>
      </c>
      <c r="B110" s="55" t="n">
        <v>127.2</v>
      </c>
    </row>
    <row r="111">
      <c r="A111" s="54" t="inlineStr">
        <is>
          <t>特別損失</t>
        </is>
      </c>
      <c r="B111" s="55" t="n">
        <v>0</v>
      </c>
    </row>
    <row r="112">
      <c r="A112" s="54" t="inlineStr">
        <is>
          <t>営業収益</t>
        </is>
      </c>
      <c r="B112" s="55" t="n">
        <v>2590.6</v>
      </c>
    </row>
    <row r="114">
      <c r="A114" s="52" t="inlineStr">
        <is>
          <t>q_items · 2025.2Q</t>
        </is>
      </c>
      <c r="B114" s="52" t="n"/>
      <c r="C114" s="52" t="n"/>
      <c r="D114" s="52" t="n"/>
      <c r="E114" s="52" t="n"/>
    </row>
    <row r="115">
      <c r="A115" s="53" t="inlineStr">
        <is>
          <t>항목</t>
        </is>
      </c>
      <c r="B115" s="53" t="inlineStr">
        <is>
          <t>값</t>
        </is>
      </c>
      <c r="E115" s="53" t="inlineStr">
        <is>
          <t>출처</t>
        </is>
      </c>
    </row>
    <row r="116">
      <c r="A116" s="54" t="inlineStr">
        <is>
          <t>人件費</t>
        </is>
      </c>
      <c r="B116" s="55" t="n">
        <v>58.3</v>
      </c>
      <c r="E116" s="56" t="inlineStr">
        <is>
          <t>2단계 보고서 자료(회사 설명회 자료·공시)</t>
        </is>
      </c>
    </row>
    <row r="117">
      <c r="A117" s="54" t="inlineStr">
        <is>
          <t>燃料費</t>
        </is>
      </c>
      <c r="B117" s="55" t="n">
        <v>1136.4</v>
      </c>
    </row>
    <row r="118">
      <c r="A118" s="54" t="inlineStr">
        <is>
          <t>修繕費</t>
        </is>
      </c>
      <c r="B118" s="55" t="n">
        <v>136.3</v>
      </c>
    </row>
    <row r="119">
      <c r="A119" s="54" t="inlineStr">
        <is>
          <t>委託費</t>
        </is>
      </c>
      <c r="B119" s="55" t="n">
        <v>125.4</v>
      </c>
    </row>
    <row r="120">
      <c r="A120" s="54" t="inlineStr">
        <is>
          <t>租税公課</t>
        </is>
      </c>
      <c r="B120" s="55" t="n">
        <v>72.90000000000001</v>
      </c>
    </row>
    <row r="121">
      <c r="A121" s="54" t="inlineStr">
        <is>
          <t>減価償却費</t>
        </is>
      </c>
      <c r="B121" s="55" t="n">
        <v>198.2</v>
      </c>
    </row>
    <row r="122">
      <c r="A122" s="54" t="inlineStr">
        <is>
          <t>電気事業営業費用</t>
        </is>
      </c>
      <c r="B122" s="55" t="n">
        <v>2555.9</v>
      </c>
    </row>
    <row r="123">
      <c r="A123" s="54" t="inlineStr">
        <is>
          <t>海外事業営業費用</t>
        </is>
      </c>
      <c r="B123" s="55" t="n">
        <v>674.1</v>
      </c>
    </row>
    <row r="124">
      <c r="A124" s="54" t="inlineStr">
        <is>
          <t>その他事業営業費用</t>
        </is>
      </c>
      <c r="B124" s="55" t="n">
        <v>205.5</v>
      </c>
    </row>
    <row r="125">
      <c r="A125" s="54" t="inlineStr">
        <is>
          <t>営業費用</t>
        </is>
      </c>
      <c r="B125" s="55" t="n">
        <v>3435.6</v>
      </c>
    </row>
    <row r="126">
      <c r="A126" s="54" t="inlineStr">
        <is>
          <t>営業外収益</t>
        </is>
      </c>
      <c r="B126" s="55" t="n">
        <v>111.3</v>
      </c>
    </row>
    <row r="127">
      <c r="A127" s="54" t="inlineStr">
        <is>
          <t>受取配当金</t>
        </is>
      </c>
      <c r="B127" s="55" t="n">
        <v>0</v>
      </c>
    </row>
    <row r="128">
      <c r="A128" s="54" t="inlineStr">
        <is>
          <t>受取利息</t>
        </is>
      </c>
      <c r="B128" s="55" t="n">
        <v>24.7</v>
      </c>
    </row>
    <row r="129">
      <c r="A129" s="54" t="inlineStr">
        <is>
          <t>持分法による投資利益</t>
        </is>
      </c>
      <c r="B129" s="55" t="n">
        <v>81.59999999999999</v>
      </c>
    </row>
    <row r="130">
      <c r="A130" s="54" t="inlineStr">
        <is>
          <t>支払利息</t>
        </is>
      </c>
      <c r="B130" s="55" t="n">
        <v>81.5</v>
      </c>
    </row>
    <row r="131">
      <c r="A131" s="54" t="inlineStr">
        <is>
          <t>為替差損</t>
        </is>
      </c>
      <c r="B131" s="55" t="n">
        <v>49.7</v>
      </c>
    </row>
    <row r="132">
      <c r="A132" s="54" t="inlineStr">
        <is>
          <t>営業外費用</t>
        </is>
      </c>
      <c r="B132" s="55" t="n">
        <v>132.3</v>
      </c>
    </row>
    <row r="133">
      <c r="A133" s="54" t="inlineStr">
        <is>
          <t>特別損失</t>
        </is>
      </c>
      <c r="B133" s="55" t="n">
        <v>0</v>
      </c>
    </row>
    <row r="134">
      <c r="A134" s="54" t="inlineStr">
        <is>
          <t>営業収益</t>
        </is>
      </c>
      <c r="B134" s="55" t="n">
        <v>3816.7</v>
      </c>
    </row>
    <row r="136">
      <c r="A136" s="52" t="inlineStr">
        <is>
          <t>q_items · 2025.3Q</t>
        </is>
      </c>
      <c r="B136" s="52" t="n"/>
      <c r="C136" s="52" t="n"/>
      <c r="D136" s="52" t="n"/>
      <c r="E136" s="52" t="n"/>
    </row>
    <row r="137">
      <c r="A137" s="53" t="inlineStr">
        <is>
          <t>항목</t>
        </is>
      </c>
      <c r="B137" s="53" t="inlineStr">
        <is>
          <t>값</t>
        </is>
      </c>
      <c r="E137" s="53" t="inlineStr">
        <is>
          <t>출처</t>
        </is>
      </c>
    </row>
    <row r="138">
      <c r="A138" s="54" t="inlineStr">
        <is>
          <t>人件費</t>
        </is>
      </c>
      <c r="B138" s="55" t="n">
        <v>65.5</v>
      </c>
      <c r="E138" s="56" t="inlineStr">
        <is>
          <t>2단계 보고서 자료(회사 설명회 자료·공시)</t>
        </is>
      </c>
    </row>
    <row r="139">
      <c r="A139" s="54" t="inlineStr">
        <is>
          <t>燃料費</t>
        </is>
      </c>
      <c r="B139" s="55" t="n">
        <v>951.4</v>
      </c>
    </row>
    <row r="140">
      <c r="A140" s="54" t="inlineStr">
        <is>
          <t>修繕費</t>
        </is>
      </c>
      <c r="B140" s="55" t="n">
        <v>106.5</v>
      </c>
    </row>
    <row r="141">
      <c r="A141" s="54" t="inlineStr">
        <is>
          <t>委託費</t>
        </is>
      </c>
      <c r="B141" s="55" t="n">
        <v>117.3</v>
      </c>
    </row>
    <row r="142">
      <c r="A142" s="54" t="inlineStr">
        <is>
          <t>租税公課</t>
        </is>
      </c>
      <c r="B142" s="55" t="n">
        <v>69.59999999999999</v>
      </c>
    </row>
    <row r="143">
      <c r="A143" s="54" t="inlineStr">
        <is>
          <t>減価償却費</t>
        </is>
      </c>
      <c r="B143" s="55" t="n">
        <v>196.9</v>
      </c>
    </row>
    <row r="144">
      <c r="A144" s="54" t="inlineStr">
        <is>
          <t>電気事業営業費用</t>
        </is>
      </c>
      <c r="B144" s="55" t="n">
        <v>2226</v>
      </c>
    </row>
    <row r="145">
      <c r="A145" s="54" t="inlineStr">
        <is>
          <t>海外事業営業費用</t>
        </is>
      </c>
      <c r="B145" s="55" t="n">
        <v>397.9</v>
      </c>
    </row>
    <row r="146">
      <c r="A146" s="54" t="inlineStr">
        <is>
          <t>その他事業営業費用</t>
        </is>
      </c>
      <c r="B146" s="55" t="n">
        <v>124.4</v>
      </c>
    </row>
    <row r="147">
      <c r="A147" s="54" t="inlineStr">
        <is>
          <t>営業費用</t>
        </is>
      </c>
      <c r="B147" s="55" t="n">
        <v>2748.3</v>
      </c>
    </row>
    <row r="148">
      <c r="A148" s="54" t="inlineStr">
        <is>
          <t>営業外収益</t>
        </is>
      </c>
      <c r="B148" s="55" t="n">
        <v>100.9</v>
      </c>
    </row>
    <row r="149">
      <c r="A149" s="54" t="inlineStr">
        <is>
          <t>受取配当金</t>
        </is>
      </c>
      <c r="B149" s="55" t="n">
        <v>11.5</v>
      </c>
    </row>
    <row r="150">
      <c r="A150" s="54" t="inlineStr">
        <is>
          <t>受取利息</t>
        </is>
      </c>
      <c r="B150" s="55" t="n">
        <v>19.9</v>
      </c>
    </row>
    <row r="151">
      <c r="A151" s="54" t="inlineStr">
        <is>
          <t>持分法による投資利益</t>
        </is>
      </c>
      <c r="B151" s="55" t="n">
        <v>-30.9</v>
      </c>
    </row>
    <row r="152">
      <c r="A152" s="54" t="inlineStr">
        <is>
          <t>支払利息</t>
        </is>
      </c>
      <c r="B152" s="55" t="n">
        <v>77</v>
      </c>
    </row>
    <row r="153">
      <c r="A153" s="54" t="inlineStr">
        <is>
          <t>為替差損</t>
        </is>
      </c>
      <c r="B153" s="55" t="n">
        <v>-90.7</v>
      </c>
    </row>
    <row r="154">
      <c r="A154" s="54" t="inlineStr">
        <is>
          <t>営業外費用</t>
        </is>
      </c>
      <c r="B154" s="55" t="n">
        <v>-4</v>
      </c>
    </row>
    <row r="155">
      <c r="A155" s="54" t="inlineStr">
        <is>
          <t>特別損失</t>
        </is>
      </c>
      <c r="B155" s="55" t="n">
        <v>0</v>
      </c>
    </row>
    <row r="156">
      <c r="A156" s="54" t="inlineStr">
        <is>
          <t>営業収益</t>
        </is>
      </c>
      <c r="B156" s="55" t="n">
        <v>3182.3</v>
      </c>
    </row>
    <row r="158">
      <c r="A158" s="52" t="inlineStr">
        <is>
          <t>q_items · 2025.4Q</t>
        </is>
      </c>
      <c r="B158" s="52" t="n"/>
      <c r="C158" s="52" t="n"/>
      <c r="D158" s="52" t="n"/>
      <c r="E158" s="52" t="n"/>
    </row>
    <row r="159">
      <c r="A159" s="53" t="inlineStr">
        <is>
          <t>항목</t>
        </is>
      </c>
      <c r="B159" s="53" t="inlineStr">
        <is>
          <t>값</t>
        </is>
      </c>
      <c r="E159" s="53" t="inlineStr">
        <is>
          <t>출처</t>
        </is>
      </c>
    </row>
    <row r="160">
      <c r="A160" s="54" t="inlineStr">
        <is>
          <t>人件費</t>
        </is>
      </c>
      <c r="B160" s="55" t="n">
        <v>73</v>
      </c>
      <c r="E160" s="56" t="inlineStr">
        <is>
          <t>2단계 보고서 자료(회사 설명회 자료·공시)</t>
        </is>
      </c>
    </row>
    <row r="161">
      <c r="A161" s="54" t="inlineStr">
        <is>
          <t>燃料費</t>
        </is>
      </c>
      <c r="B161" s="55" t="n">
        <v>1024.1</v>
      </c>
    </row>
    <row r="162">
      <c r="A162" s="54" t="inlineStr">
        <is>
          <t>修繕費</t>
        </is>
      </c>
      <c r="B162" s="55" t="n">
        <v>236.2</v>
      </c>
    </row>
    <row r="163">
      <c r="A163" s="54" t="inlineStr">
        <is>
          <t>委託費</t>
        </is>
      </c>
      <c r="B163" s="55" t="n">
        <v>209.5</v>
      </c>
    </row>
    <row r="164">
      <c r="A164" s="54" t="inlineStr">
        <is>
          <t>租税公課</t>
        </is>
      </c>
      <c r="B164" s="55" t="n">
        <v>68.7</v>
      </c>
    </row>
    <row r="165">
      <c r="A165" s="54" t="inlineStr">
        <is>
          <t>減価償却費</t>
        </is>
      </c>
      <c r="B165" s="55" t="n">
        <v>199.8</v>
      </c>
    </row>
    <row r="166">
      <c r="A166" s="54" t="inlineStr">
        <is>
          <t>電気事業営業費用</t>
        </is>
      </c>
      <c r="B166" s="55" t="n">
        <v>2675.6</v>
      </c>
    </row>
    <row r="167">
      <c r="A167" s="54" t="inlineStr">
        <is>
          <t>海外事業営業費用</t>
        </is>
      </c>
      <c r="B167" s="55" t="n">
        <v>487.6</v>
      </c>
    </row>
    <row r="168">
      <c r="A168" s="54" t="inlineStr">
        <is>
          <t>その他事業営業費用</t>
        </is>
      </c>
      <c r="B168" s="55" t="n">
        <v>172.8</v>
      </c>
    </row>
    <row r="169">
      <c r="A169" s="54" t="inlineStr">
        <is>
          <t>営業費用</t>
        </is>
      </c>
      <c r="B169" s="55" t="n">
        <v>3336</v>
      </c>
    </row>
    <row r="170">
      <c r="A170" s="54" t="inlineStr">
        <is>
          <t>営業外収益</t>
        </is>
      </c>
      <c r="B170" s="55" t="n">
        <v>36.7</v>
      </c>
    </row>
    <row r="171">
      <c r="A171" s="54" t="inlineStr">
        <is>
          <t>受取配当金</t>
        </is>
      </c>
      <c r="B171" s="55" t="n">
        <v>1.8</v>
      </c>
    </row>
    <row r="172">
      <c r="A172" s="54" t="inlineStr">
        <is>
          <t>受取利息</t>
        </is>
      </c>
      <c r="B172" s="55" t="n">
        <v>27.4</v>
      </c>
    </row>
    <row r="173">
      <c r="A173" s="54" t="inlineStr">
        <is>
          <t>持分法による投資利益</t>
        </is>
      </c>
      <c r="B173" s="55" t="n">
        <v>49.9</v>
      </c>
    </row>
    <row r="174">
      <c r="A174" s="54" t="inlineStr">
        <is>
          <t>支払利息</t>
        </is>
      </c>
      <c r="B174" s="55" t="n">
        <v>94.8</v>
      </c>
    </row>
    <row r="175">
      <c r="A175" s="54" t="inlineStr">
        <is>
          <t>為替差損</t>
        </is>
      </c>
      <c r="B175" s="55" t="n">
        <v>0</v>
      </c>
    </row>
    <row r="176">
      <c r="A176" s="54" t="inlineStr">
        <is>
          <t>営業外費用</t>
        </is>
      </c>
      <c r="B176" s="55" t="n">
        <v>126.4</v>
      </c>
    </row>
    <row r="177">
      <c r="A177" s="54" t="inlineStr">
        <is>
          <t>特別損失</t>
        </is>
      </c>
      <c r="B177" s="55" t="n">
        <v>0</v>
      </c>
    </row>
    <row r="178">
      <c r="A178" s="54" t="inlineStr">
        <is>
          <t>営業収益</t>
        </is>
      </c>
      <c r="B178" s="55" t="n">
        <v>3577.2</v>
      </c>
    </row>
    <row r="180">
      <c r="A180" s="52" t="inlineStr">
        <is>
          <t>q_items · 2026.1Q</t>
        </is>
      </c>
      <c r="B180" s="52" t="n"/>
      <c r="C180" s="52" t="n"/>
      <c r="D180" s="52" t="n"/>
      <c r="E180" s="52" t="n"/>
    </row>
    <row r="181">
      <c r="A181" s="53" t="inlineStr">
        <is>
          <t>항목</t>
        </is>
      </c>
      <c r="B181" s="53" t="inlineStr">
        <is>
          <t>값</t>
        </is>
      </c>
      <c r="E181" s="53" t="inlineStr">
        <is>
          <t>출처</t>
        </is>
      </c>
    </row>
    <row r="182">
      <c r="A182" s="54" t="inlineStr">
        <is>
          <t>人件費</t>
        </is>
      </c>
      <c r="B182" s="55" t="n">
        <v>70.5</v>
      </c>
      <c r="E182" s="56" t="inlineStr">
        <is>
          <t>2단계 보고서 자료(회사 설명회 자료·공시)</t>
        </is>
      </c>
    </row>
    <row r="183">
      <c r="A183" s="54" t="inlineStr">
        <is>
          <t>燃料費</t>
        </is>
      </c>
      <c r="B183" s="55" t="n">
        <v>505.7</v>
      </c>
    </row>
    <row r="184">
      <c r="A184" s="54" t="inlineStr">
        <is>
          <t>修繕費</t>
        </is>
      </c>
      <c r="B184" s="55" t="n">
        <v>58.8</v>
      </c>
    </row>
    <row r="185">
      <c r="A185" s="54" t="inlineStr">
        <is>
          <t>委託費</t>
        </is>
      </c>
      <c r="B185" s="55" t="n">
        <v>110.8</v>
      </c>
    </row>
    <row r="186">
      <c r="A186" s="54" t="inlineStr">
        <is>
          <t>租税公課</t>
        </is>
      </c>
      <c r="B186" s="55" t="n">
        <v>65.5</v>
      </c>
    </row>
    <row r="187">
      <c r="A187" s="54" t="inlineStr">
        <is>
          <t>減価償却費</t>
        </is>
      </c>
      <c r="B187" s="55" t="n">
        <v>191.6</v>
      </c>
    </row>
    <row r="188">
      <c r="A188" s="54" t="inlineStr">
        <is>
          <t>電気事業営業費用</t>
        </is>
      </c>
      <c r="B188" s="55" t="n">
        <v>1585.5</v>
      </c>
    </row>
    <row r="189">
      <c r="A189" s="54" t="inlineStr">
        <is>
          <t>海外事業営業費用</t>
        </is>
      </c>
      <c r="B189" s="55" t="n">
        <v>457.4</v>
      </c>
    </row>
    <row r="190">
      <c r="A190" s="54" t="inlineStr">
        <is>
          <t>その他事業営業費用</t>
        </is>
      </c>
      <c r="B190" s="55" t="n">
        <v>135.3</v>
      </c>
    </row>
    <row r="191">
      <c r="A191" s="54" t="inlineStr">
        <is>
          <t>営業費用</t>
        </is>
      </c>
      <c r="B191" s="55" t="n">
        <v>2178.2</v>
      </c>
    </row>
    <row r="192">
      <c r="A192" s="54" t="inlineStr">
        <is>
          <t>営業外収益</t>
        </is>
      </c>
      <c r="B192" s="55" t="n">
        <v>509.1</v>
      </c>
    </row>
    <row r="193">
      <c r="A193" s="54" t="inlineStr">
        <is>
          <t>受取配当金</t>
        </is>
      </c>
      <c r="B193" s="55" t="n">
        <v>13.7</v>
      </c>
    </row>
    <row r="194">
      <c r="A194" s="54" t="inlineStr">
        <is>
          <t>受取利息</t>
        </is>
      </c>
      <c r="B194" s="55" t="n">
        <v>23.2</v>
      </c>
    </row>
    <row r="195">
      <c r="A195" s="54" t="inlineStr">
        <is>
          <t>持分法による投資利益</t>
        </is>
      </c>
      <c r="B195" s="55" t="n">
        <v>465.2</v>
      </c>
    </row>
    <row r="196">
      <c r="A196" s="54" t="inlineStr">
        <is>
          <t>支払利息</t>
        </is>
      </c>
      <c r="B196" s="55" t="n">
        <v>68.2</v>
      </c>
    </row>
    <row r="197">
      <c r="A197" s="54" t="inlineStr">
        <is>
          <t>為替差損</t>
        </is>
      </c>
      <c r="B197" s="55" t="n">
        <v>0</v>
      </c>
    </row>
    <row r="198">
      <c r="A198" s="54" t="inlineStr">
        <is>
          <t>営業外費用</t>
        </is>
      </c>
      <c r="B198" s="55" t="n">
        <v>103.1</v>
      </c>
    </row>
    <row r="199">
      <c r="A199" s="54" t="inlineStr">
        <is>
          <t>特別損失</t>
        </is>
      </c>
      <c r="B199" s="55" t="n">
        <v>0</v>
      </c>
    </row>
    <row r="200">
      <c r="A200" s="54" t="inlineStr">
        <is>
          <t>営業収益</t>
        </is>
      </c>
      <c r="B200" s="55" t="n">
        <v>2503</v>
      </c>
    </row>
    <row r="202">
      <c r="A202" s="52" t="inlineStr">
        <is>
          <t>q_items · 2026.2Q</t>
        </is>
      </c>
      <c r="B202" s="52" t="n"/>
      <c r="C202" s="52" t="n"/>
      <c r="D202" s="52" t="n"/>
      <c r="E202" s="52" t="n"/>
    </row>
    <row r="203">
      <c r="A203" s="53" t="inlineStr">
        <is>
          <t>항목</t>
        </is>
      </c>
      <c r="B203" s="53" t="inlineStr">
        <is>
          <t>값</t>
        </is>
      </c>
      <c r="E203" s="53" t="inlineStr">
        <is>
          <t>출처</t>
        </is>
      </c>
    </row>
    <row r="204">
      <c r="A204" s="54" t="inlineStr">
        <is>
          <t>人件費</t>
        </is>
      </c>
      <c r="B204" s="55" t="n">
        <v>69.2</v>
      </c>
      <c r="E204" s="56" t="inlineStr">
        <is>
          <t>2단계 보고서 자료(회사 설명회 자료·공시)</t>
        </is>
      </c>
    </row>
    <row r="205">
      <c r="A205" s="54" t="inlineStr">
        <is>
          <t>燃料費</t>
        </is>
      </c>
      <c r="B205" s="55" t="n">
        <v>891.7</v>
      </c>
    </row>
    <row r="206">
      <c r="A206" s="54" t="inlineStr">
        <is>
          <t>修繕費</t>
        </is>
      </c>
      <c r="B206" s="55" t="n">
        <v>231.7</v>
      </c>
    </row>
    <row r="207">
      <c r="A207" s="54" t="inlineStr">
        <is>
          <t>委託費</t>
        </is>
      </c>
      <c r="B207" s="55" t="n">
        <v>128.5</v>
      </c>
    </row>
    <row r="208">
      <c r="A208" s="54" t="inlineStr">
        <is>
          <t>租税公課</t>
        </is>
      </c>
      <c r="B208" s="55" t="n">
        <v>70.09999999999999</v>
      </c>
    </row>
    <row r="209">
      <c r="A209" s="54" t="inlineStr">
        <is>
          <t>減価償却費</t>
        </is>
      </c>
      <c r="B209" s="55" t="n">
        <v>180.8</v>
      </c>
    </row>
    <row r="210">
      <c r="A210" s="54" t="inlineStr">
        <is>
          <t>電気事業営業費用</t>
        </is>
      </c>
      <c r="B210" s="55" t="n">
        <v>2306.4</v>
      </c>
    </row>
    <row r="211">
      <c r="A211" s="54" t="inlineStr">
        <is>
          <t>海外事業営業費用</t>
        </is>
      </c>
      <c r="B211" s="55" t="n">
        <v>511.4</v>
      </c>
    </row>
    <row r="212">
      <c r="A212" s="54" t="inlineStr">
        <is>
          <t>その他事業営業費用</t>
        </is>
      </c>
      <c r="B212" s="55" t="n">
        <v>182</v>
      </c>
    </row>
    <row r="213">
      <c r="A213" s="54" t="inlineStr">
        <is>
          <t>営業費用</t>
        </is>
      </c>
      <c r="B213" s="55" t="n">
        <v>2999.9</v>
      </c>
    </row>
    <row r="214">
      <c r="A214" s="54" t="inlineStr">
        <is>
          <t>営業外収益</t>
        </is>
      </c>
      <c r="B214" s="55" t="n">
        <v>137.5</v>
      </c>
    </row>
    <row r="215">
      <c r="A215" s="54" t="inlineStr">
        <is>
          <t>受取配当金</t>
        </is>
      </c>
      <c r="B215" s="55" t="n">
        <v>0</v>
      </c>
    </row>
    <row r="216">
      <c r="A216" s="54" t="inlineStr">
        <is>
          <t>受取利息</t>
        </is>
      </c>
      <c r="B216" s="55" t="n">
        <v>23.8</v>
      </c>
    </row>
    <row r="217">
      <c r="A217" s="54" t="inlineStr">
        <is>
          <t>持分法による投資利益</t>
        </is>
      </c>
      <c r="B217" s="55" t="n">
        <v>51.9</v>
      </c>
    </row>
    <row r="218">
      <c r="A218" s="54" t="inlineStr">
        <is>
          <t>支払利息</t>
        </is>
      </c>
      <c r="B218" s="55" t="n">
        <v>76.09999999999999</v>
      </c>
    </row>
    <row r="219">
      <c r="A219" s="54" t="inlineStr">
        <is>
          <t>為替差損</t>
        </is>
      </c>
      <c r="B219" s="55" t="n">
        <v>0</v>
      </c>
    </row>
    <row r="220">
      <c r="A220" s="54" t="inlineStr">
        <is>
          <t>営業外費用</t>
        </is>
      </c>
      <c r="B220" s="55" t="n">
        <v>115.8</v>
      </c>
    </row>
    <row r="221">
      <c r="A221" s="54" t="inlineStr">
        <is>
          <t>特別損失</t>
        </is>
      </c>
      <c r="B221" s="55" t="n">
        <v>0</v>
      </c>
    </row>
    <row r="222">
      <c r="A222" s="54" t="inlineStr">
        <is>
          <t>営業収益</t>
        </is>
      </c>
      <c r="B222" s="55" t="n">
        <v>3211.2</v>
      </c>
    </row>
    <row r="224">
      <c r="A224" s="52" t="inlineStr">
        <is>
          <t>q_items · 2026.3Q</t>
        </is>
      </c>
      <c r="B224" s="52" t="n"/>
      <c r="C224" s="52" t="n"/>
      <c r="D224" s="52" t="n"/>
      <c r="E224" s="52" t="n"/>
    </row>
    <row r="225">
      <c r="A225" s="53" t="inlineStr">
        <is>
          <t>항목</t>
        </is>
      </c>
      <c r="B225" s="53" t="inlineStr">
        <is>
          <t>값</t>
        </is>
      </c>
      <c r="E225" s="53" t="inlineStr">
        <is>
          <t>출처</t>
        </is>
      </c>
    </row>
    <row r="226">
      <c r="A226" s="54" t="inlineStr">
        <is>
          <t>人件費</t>
        </is>
      </c>
      <c r="B226" s="55" t="n">
        <v>75.5</v>
      </c>
      <c r="E226" s="56" t="inlineStr">
        <is>
          <t>2단계 보고서 자료(회사 설명회 자료·공시)</t>
        </is>
      </c>
    </row>
    <row r="227">
      <c r="A227" s="54" t="inlineStr">
        <is>
          <t>燃料費</t>
        </is>
      </c>
      <c r="B227" s="55" t="n">
        <v>791.3</v>
      </c>
    </row>
    <row r="228">
      <c r="A228" s="54" t="inlineStr">
        <is>
          <t>修繕費</t>
        </is>
      </c>
      <c r="B228" s="55" t="n">
        <v>87.2</v>
      </c>
    </row>
    <row r="229">
      <c r="A229" s="54" t="inlineStr">
        <is>
          <t>委託費</t>
        </is>
      </c>
      <c r="B229" s="55" t="n">
        <v>122.8</v>
      </c>
    </row>
    <row r="230">
      <c r="A230" s="54" t="inlineStr">
        <is>
          <t>租税公課</t>
        </is>
      </c>
      <c r="B230" s="55" t="n">
        <v>66.40000000000001</v>
      </c>
    </row>
    <row r="231">
      <c r="A231" s="54" t="inlineStr">
        <is>
          <t>減価償却費</t>
        </is>
      </c>
      <c r="B231" s="55" t="n">
        <v>184.1</v>
      </c>
    </row>
    <row r="232">
      <c r="A232" s="54" t="inlineStr">
        <is>
          <t>電気事業営業費用</t>
        </is>
      </c>
      <c r="B232" s="55" t="n">
        <v>1985.8</v>
      </c>
    </row>
    <row r="233">
      <c r="A233" s="54" t="inlineStr">
        <is>
          <t>海外事業営業費用</t>
        </is>
      </c>
      <c r="B233" s="55" t="n">
        <v>440.7</v>
      </c>
    </row>
    <row r="234">
      <c r="A234" s="54" t="inlineStr">
        <is>
          <t>その他事業営業費用</t>
        </is>
      </c>
      <c r="B234" s="55" t="n">
        <v>158.4</v>
      </c>
    </row>
    <row r="235">
      <c r="A235" s="54" t="inlineStr">
        <is>
          <t>営業費用</t>
        </is>
      </c>
      <c r="B235" s="55" t="n">
        <v>2584.8</v>
      </c>
    </row>
    <row r="236">
      <c r="A236" s="54" t="inlineStr">
        <is>
          <t>営業外収益</t>
        </is>
      </c>
      <c r="B236" s="55" t="n">
        <v>122.6</v>
      </c>
    </row>
    <row r="237">
      <c r="A237" s="54" t="inlineStr">
        <is>
          <t>受取配当金</t>
        </is>
      </c>
      <c r="B237" s="55" t="n">
        <v>8.1</v>
      </c>
    </row>
    <row r="238">
      <c r="A238" s="54" t="inlineStr">
        <is>
          <t>受取利息</t>
        </is>
      </c>
      <c r="B238" s="55" t="n">
        <v>26</v>
      </c>
    </row>
    <row r="239">
      <c r="A239" s="54" t="inlineStr">
        <is>
          <t>持分法による投資利益</t>
        </is>
      </c>
      <c r="B239" s="55" t="n">
        <v>48.7</v>
      </c>
    </row>
    <row r="240">
      <c r="A240" s="54" t="inlineStr">
        <is>
          <t>支払利息</t>
        </is>
      </c>
      <c r="B240" s="55" t="n">
        <v>82.7</v>
      </c>
    </row>
    <row r="241">
      <c r="A241" s="54" t="inlineStr">
        <is>
          <t>為替差損</t>
        </is>
      </c>
      <c r="B241" s="55" t="n">
        <v>0</v>
      </c>
    </row>
    <row r="242">
      <c r="A242" s="54" t="inlineStr">
        <is>
          <t>営業外費用</t>
        </is>
      </c>
      <c r="B242" s="55" t="n">
        <v>118</v>
      </c>
    </row>
    <row r="243">
      <c r="A243" s="54" t="inlineStr">
        <is>
          <t>特別損失</t>
        </is>
      </c>
      <c r="B243" s="55" t="n">
        <v>0</v>
      </c>
    </row>
    <row r="244">
      <c r="A244" s="54" t="inlineStr">
        <is>
          <t>営業収益</t>
        </is>
      </c>
      <c r="B244" s="55" t="n">
        <v>2931.4</v>
      </c>
    </row>
    <row r="246">
      <c r="A246" s="52" t="inlineStr">
        <is>
          <t>q_items · 2026.4Q</t>
        </is>
      </c>
      <c r="B246" s="52" t="n"/>
      <c r="C246" s="52" t="n"/>
      <c r="D246" s="52" t="n"/>
      <c r="E246" s="52" t="n"/>
    </row>
    <row r="247">
      <c r="A247" s="53" t="inlineStr">
        <is>
          <t>항목</t>
        </is>
      </c>
      <c r="B247" s="53" t="inlineStr">
        <is>
          <t>값</t>
        </is>
      </c>
      <c r="E247" s="53" t="inlineStr">
        <is>
          <t>출처</t>
        </is>
      </c>
    </row>
    <row r="248">
      <c r="A248" s="54" t="inlineStr">
        <is>
          <t>人件費</t>
        </is>
      </c>
      <c r="B248" s="55" t="n">
        <v>76.7</v>
      </c>
      <c r="E248" s="56" t="inlineStr">
        <is>
          <t>2단계 보고서 자료(회사 설명회 자료·공시)</t>
        </is>
      </c>
    </row>
    <row r="249">
      <c r="A249" s="54" t="inlineStr">
        <is>
          <t>燃料費</t>
        </is>
      </c>
      <c r="B249" s="55" t="n">
        <v>839.1</v>
      </c>
    </row>
    <row r="250">
      <c r="A250" s="54" t="inlineStr">
        <is>
          <t>修繕費</t>
        </is>
      </c>
      <c r="B250" s="55" t="n">
        <v>191.8</v>
      </c>
    </row>
    <row r="251">
      <c r="A251" s="54" t="inlineStr">
        <is>
          <t>委託費</t>
        </is>
      </c>
      <c r="B251" s="55" t="n">
        <v>244.6</v>
      </c>
    </row>
    <row r="252">
      <c r="A252" s="54" t="inlineStr">
        <is>
          <t>租税公課</t>
        </is>
      </c>
      <c r="B252" s="55" t="n">
        <v>69.2</v>
      </c>
    </row>
    <row r="253">
      <c r="A253" s="54" t="inlineStr">
        <is>
          <t>減価償却費</t>
        </is>
      </c>
      <c r="B253" s="55" t="n">
        <v>182.7</v>
      </c>
    </row>
    <row r="254">
      <c r="A254" s="54" t="inlineStr">
        <is>
          <t>電気事業営業費用</t>
        </is>
      </c>
      <c r="B254" s="55" t="n">
        <v>2385.6</v>
      </c>
    </row>
    <row r="255">
      <c r="A255" s="54" t="inlineStr">
        <is>
          <t>海外事業営業費用</t>
        </is>
      </c>
      <c r="B255" s="55" t="n">
        <v>484.4</v>
      </c>
    </row>
    <row r="256">
      <c r="A256" s="54" t="inlineStr">
        <is>
          <t>その他事業営業費用</t>
        </is>
      </c>
      <c r="B256" s="55" t="n">
        <v>179.8</v>
      </c>
    </row>
    <row r="257">
      <c r="A257" s="54" t="inlineStr">
        <is>
          <t>営業費用</t>
        </is>
      </c>
      <c r="B257" s="55" t="n">
        <v>3049.7</v>
      </c>
    </row>
    <row r="258">
      <c r="A258" s="54" t="inlineStr">
        <is>
          <t>営業外収益</t>
        </is>
      </c>
      <c r="B258" s="55" t="n">
        <v>204.8</v>
      </c>
    </row>
    <row r="259">
      <c r="A259" s="54" t="inlineStr">
        <is>
          <t>受取配当金</t>
        </is>
      </c>
      <c r="B259" s="55" t="n">
        <v>1.6</v>
      </c>
    </row>
    <row r="260">
      <c r="A260" s="54" t="inlineStr">
        <is>
          <t>受取利息</t>
        </is>
      </c>
      <c r="B260" s="55" t="n">
        <v>28.6</v>
      </c>
    </row>
    <row r="261">
      <c r="A261" s="54" t="inlineStr">
        <is>
          <t>持分法による投資利益</t>
        </is>
      </c>
      <c r="B261" s="55" t="n">
        <v>73</v>
      </c>
    </row>
    <row r="262">
      <c r="A262" s="54" t="inlineStr">
        <is>
          <t>支払利息</t>
        </is>
      </c>
      <c r="B262" s="55" t="n">
        <v>92.3</v>
      </c>
    </row>
    <row r="263">
      <c r="A263" s="54" t="inlineStr">
        <is>
          <t>為替差損</t>
        </is>
      </c>
      <c r="B263" s="55" t="n">
        <v>0</v>
      </c>
    </row>
    <row r="264">
      <c r="A264" s="54" t="inlineStr">
        <is>
          <t>営業外費用</t>
        </is>
      </c>
      <c r="B264" s="55" t="n">
        <v>61.6</v>
      </c>
    </row>
    <row r="265">
      <c r="A265" s="54" t="inlineStr">
        <is>
          <t>特別損失</t>
        </is>
      </c>
      <c r="B265" s="55" t="n">
        <v>518.2</v>
      </c>
    </row>
    <row r="266">
      <c r="A266" s="54" t="inlineStr">
        <is>
          <t>営業収益</t>
        </is>
      </c>
      <c r="B266" s="55" t="n">
        <v>3177</v>
      </c>
    </row>
    <row r="268">
      <c r="A268" s="52" t="inlineStr">
        <is>
          <t>q_items · 2027.1Q</t>
        </is>
      </c>
      <c r="B268" s="52" t="n"/>
      <c r="C268" s="52" t="n"/>
      <c r="D268" s="52" t="n"/>
      <c r="E268" s="52" t="n"/>
    </row>
    <row r="269">
      <c r="A269" s="53" t="inlineStr">
        <is>
          <t>항목</t>
        </is>
      </c>
      <c r="B269" s="53" t="inlineStr">
        <is>
          <t>값</t>
        </is>
      </c>
      <c r="E269" s="53" t="inlineStr">
        <is>
          <t>출처</t>
        </is>
      </c>
    </row>
    <row r="270">
      <c r="A270" s="54" t="inlineStr">
        <is>
          <t>人件費</t>
        </is>
      </c>
      <c r="B270" s="55" t="n">
        <v>60.7</v>
      </c>
      <c r="E270" s="56" t="inlineStr">
        <is>
          <t>2단계 보고서 자료(회사 설명회 자료·공시)</t>
        </is>
      </c>
    </row>
    <row r="271">
      <c r="A271" s="54" t="inlineStr">
        <is>
          <t>燃料費</t>
        </is>
      </c>
      <c r="B271" s="55" t="n">
        <v>631.3</v>
      </c>
    </row>
    <row r="272">
      <c r="A272" s="54" t="inlineStr">
        <is>
          <t>修繕費</t>
        </is>
      </c>
      <c r="B272" s="55" t="n">
        <v>56.4</v>
      </c>
    </row>
    <row r="273">
      <c r="A273" s="54" t="inlineStr">
        <is>
          <t>委託費</t>
        </is>
      </c>
      <c r="B273" s="55" t="n">
        <v>115.9</v>
      </c>
    </row>
    <row r="274">
      <c r="A274" s="54" t="inlineStr">
        <is>
          <t>租税公課</t>
        </is>
      </c>
      <c r="B274" s="55" t="n">
        <v>66.2</v>
      </c>
    </row>
    <row r="275">
      <c r="A275" s="54" t="inlineStr">
        <is>
          <t>減価償却費</t>
        </is>
      </c>
      <c r="B275" s="55" t="n">
        <v>182.4</v>
      </c>
    </row>
    <row r="276">
      <c r="A276" s="54" t="inlineStr">
        <is>
          <t>電気事業営業費用</t>
        </is>
      </c>
      <c r="B276" s="55" t="n">
        <v>1749.3</v>
      </c>
    </row>
    <row r="277">
      <c r="A277" s="54" t="inlineStr">
        <is>
          <t>海外事業営業費用</t>
        </is>
      </c>
      <c r="B277" s="55" t="n">
        <v>546.9</v>
      </c>
    </row>
    <row r="278">
      <c r="A278" s="54" t="inlineStr">
        <is>
          <t>その他事業営業費用</t>
        </is>
      </c>
      <c r="B278" s="55" t="n">
        <v>143.7</v>
      </c>
    </row>
    <row r="279">
      <c r="A279" s="54" t="inlineStr">
        <is>
          <t>営業費用</t>
        </is>
      </c>
      <c r="B279" s="55" t="n">
        <v>2439.9</v>
      </c>
    </row>
    <row r="280">
      <c r="A280" s="54" t="inlineStr">
        <is>
          <t>営業外収益</t>
        </is>
      </c>
      <c r="B280" s="55" t="n">
        <v>156.1</v>
      </c>
    </row>
    <row r="281">
      <c r="A281" s="54" t="inlineStr">
        <is>
          <t>受取配当金</t>
        </is>
      </c>
      <c r="B281" s="55" t="n">
        <v>20.5</v>
      </c>
    </row>
    <row r="282">
      <c r="A282" s="54" t="inlineStr">
        <is>
          <t>受取利息</t>
        </is>
      </c>
      <c r="B282" s="55" t="n">
        <v>22.2</v>
      </c>
    </row>
    <row r="283">
      <c r="A283" s="54" t="inlineStr">
        <is>
          <t>持分法による投資利益</t>
        </is>
      </c>
      <c r="B283" s="55" t="n">
        <v>101.1</v>
      </c>
    </row>
    <row r="284">
      <c r="A284" s="54" t="inlineStr">
        <is>
          <t>支払利息</t>
        </is>
      </c>
      <c r="B284" s="55" t="n">
        <v>86.09999999999999</v>
      </c>
    </row>
    <row r="285">
      <c r="A285" s="54" t="inlineStr">
        <is>
          <t>為替差損</t>
        </is>
      </c>
      <c r="B285" s="55" t="n">
        <v>28.3</v>
      </c>
    </row>
    <row r="286">
      <c r="A286" s="54" t="inlineStr">
        <is>
          <t>営業外費用</t>
        </is>
      </c>
      <c r="B286" s="55" t="n">
        <v>123.3</v>
      </c>
    </row>
    <row r="287">
      <c r="A287" s="54" t="inlineStr">
        <is>
          <t>特別損失</t>
        </is>
      </c>
      <c r="B287" s="55" t="n">
        <v>0</v>
      </c>
    </row>
    <row r="288">
      <c r="A288" s="54" t="inlineStr">
        <is>
          <t>営業収益</t>
        </is>
      </c>
      <c r="B288" s="55" t="n">
        <v>2802.7</v>
      </c>
    </row>
    <row r="290">
      <c r="A290" s="52" t="inlineStr">
        <is>
          <t>q_items · 2027.2Q</t>
        </is>
      </c>
      <c r="B290" s="52" t="n"/>
      <c r="C290" s="52" t="n"/>
      <c r="D290" s="52" t="n"/>
      <c r="E290" s="52" t="n"/>
    </row>
    <row r="291">
      <c r="A291" s="53" t="inlineStr">
        <is>
          <t>항목</t>
        </is>
      </c>
      <c r="B291" s="53" t="inlineStr">
        <is>
          <t>값</t>
        </is>
      </c>
      <c r="E291" s="53" t="inlineStr">
        <is>
          <t>출처</t>
        </is>
      </c>
    </row>
    <row r="292">
      <c r="A292" s="54" t="inlineStr">
        <is>
          <t>人件費</t>
        </is>
      </c>
      <c r="B292" s="55" t="n">
        <v>56.1</v>
      </c>
      <c r="E292" s="56" t="inlineStr">
        <is>
          <t>2단계 보고서 자료(회사 설명회 자료·공시)</t>
        </is>
      </c>
    </row>
    <row r="293">
      <c r="A293" s="54" t="inlineStr">
        <is>
          <t>燃料費</t>
        </is>
      </c>
      <c r="B293" s="55" t="n">
        <v>1180.5</v>
      </c>
    </row>
    <row r="294">
      <c r="A294" s="54" t="inlineStr">
        <is>
          <t>修繕費</t>
        </is>
      </c>
      <c r="B294" s="55" t="n">
        <v>154.2</v>
      </c>
    </row>
    <row r="295">
      <c r="A295" s="54" t="inlineStr">
        <is>
          <t>委託費</t>
        </is>
      </c>
      <c r="B295" s="55" t="n">
        <v>143.3</v>
      </c>
    </row>
    <row r="296">
      <c r="A296" s="54" t="inlineStr">
        <is>
          <t>租税公課</t>
        </is>
      </c>
      <c r="B296" s="55" t="n">
        <v>75</v>
      </c>
    </row>
    <row r="297">
      <c r="A297" s="54" t="inlineStr">
        <is>
          <t>減価償却費</t>
        </is>
      </c>
      <c r="B297" s="55" t="n">
        <v>183.5</v>
      </c>
    </row>
    <row r="298">
      <c r="A298" s="54" t="inlineStr">
        <is>
          <t>電気事業営業費用</t>
        </is>
      </c>
      <c r="B298" s="55" t="n">
        <v>2579.9</v>
      </c>
    </row>
    <row r="299">
      <c r="A299" s="54" t="inlineStr">
        <is>
          <t>海外事業営業費用</t>
        </is>
      </c>
      <c r="B299" s="55" t="n">
        <v>905.5</v>
      </c>
    </row>
    <row r="300">
      <c r="A300" s="54" t="inlineStr">
        <is>
          <t>その他事業営業費用</t>
        </is>
      </c>
      <c r="B300" s="55" t="n">
        <v>172.3</v>
      </c>
    </row>
    <row r="301">
      <c r="A301" s="54" t="inlineStr">
        <is>
          <t>営業費用</t>
        </is>
      </c>
      <c r="B301" s="55" t="n">
        <v>3657.7</v>
      </c>
    </row>
    <row r="302">
      <c r="A302" s="54" t="inlineStr">
        <is>
          <t>営業外収益</t>
        </is>
      </c>
      <c r="B302" s="55" t="n">
        <v>93.59999999999999</v>
      </c>
    </row>
    <row r="303">
      <c r="A303" s="54" t="inlineStr">
        <is>
          <t>受取配当金</t>
        </is>
      </c>
      <c r="B303" s="55" t="n">
        <v>2.4</v>
      </c>
    </row>
    <row r="304">
      <c r="A304" s="54" t="inlineStr">
        <is>
          <t>受取利息</t>
        </is>
      </c>
      <c r="B304" s="55" t="n">
        <v>25.2</v>
      </c>
    </row>
    <row r="305">
      <c r="A305" s="54" t="inlineStr">
        <is>
          <t>持分法による投資利益</t>
        </is>
      </c>
      <c r="B305" s="55" t="n">
        <v>40</v>
      </c>
    </row>
    <row r="306">
      <c r="A306" s="54" t="inlineStr">
        <is>
          <t>支払利息</t>
        </is>
      </c>
      <c r="B306" s="55" t="n">
        <v>93.59999999999999</v>
      </c>
    </row>
    <row r="307">
      <c r="A307" s="54" t="inlineStr">
        <is>
          <t>為替差損</t>
        </is>
      </c>
      <c r="B307" s="55" t="n">
        <v>22.8</v>
      </c>
    </row>
    <row r="308">
      <c r="A308" s="54" t="inlineStr">
        <is>
          <t>営業外費用</t>
        </is>
      </c>
      <c r="B308" s="55" t="n">
        <v>122.6</v>
      </c>
    </row>
    <row r="309">
      <c r="A309" s="54" t="inlineStr">
        <is>
          <t>特別損失</t>
        </is>
      </c>
      <c r="B309" s="55" t="n">
        <v>0</v>
      </c>
    </row>
    <row r="310">
      <c r="A310" s="54" t="inlineStr">
        <is>
          <t>営業収益</t>
        </is>
      </c>
      <c r="B310" s="55" t="n">
        <v>4111.8</v>
      </c>
    </row>
    <row r="312">
      <c r="A312" s="52" t="inlineStr">
        <is>
          <t>a items · FY2021</t>
        </is>
      </c>
      <c r="B312" s="52" t="n"/>
      <c r="C312" s="52" t="n"/>
      <c r="D312" s="52" t="n"/>
      <c r="E312" s="52" t="n"/>
    </row>
    <row r="313">
      <c r="A313" s="53" t="inlineStr">
        <is>
          <t>항목</t>
        </is>
      </c>
      <c r="B313" s="53" t="inlineStr">
        <is>
          <t>값</t>
        </is>
      </c>
      <c r="E313" s="53" t="inlineStr">
        <is>
          <t>출처</t>
        </is>
      </c>
    </row>
    <row r="314">
      <c r="A314" s="54" t="inlineStr">
        <is>
          <t>人件費</t>
        </is>
      </c>
      <c r="B314" s="55" t="n">
        <v>349.9</v>
      </c>
      <c r="E314" s="56" t="inlineStr">
        <is>
          <t>2단계 보고서 자료(회사 설명회 자료·공시)</t>
        </is>
      </c>
    </row>
    <row r="315">
      <c r="A315" s="54" t="inlineStr">
        <is>
          <t>燃料費</t>
        </is>
      </c>
      <c r="B315" s="55" t="n">
        <v>1979.5</v>
      </c>
    </row>
    <row r="316">
      <c r="A316" s="54" t="inlineStr">
        <is>
          <t>修繕費</t>
        </is>
      </c>
      <c r="B316" s="55" t="n">
        <v>486.5</v>
      </c>
    </row>
    <row r="317">
      <c r="A317" s="54" t="inlineStr">
        <is>
          <t>委託費</t>
        </is>
      </c>
      <c r="B317" s="55" t="n">
        <v>481.9</v>
      </c>
    </row>
    <row r="318">
      <c r="A318" s="54" t="inlineStr">
        <is>
          <t>租税公課</t>
        </is>
      </c>
      <c r="B318" s="55" t="n">
        <v>244.9</v>
      </c>
    </row>
    <row r="319">
      <c r="A319" s="54" t="inlineStr">
        <is>
          <t>減価償却費</t>
        </is>
      </c>
      <c r="B319" s="55" t="n">
        <v>718.5</v>
      </c>
    </row>
    <row r="320">
      <c r="A320" s="54" t="inlineStr">
        <is>
          <t>電気事業営業費用</t>
        </is>
      </c>
      <c r="B320" s="55" t="n">
        <v>6758.4</v>
      </c>
    </row>
    <row r="321">
      <c r="A321" s="54" t="inlineStr">
        <is>
          <t>海外事業営業費用</t>
        </is>
      </c>
      <c r="B321" s="55" t="n">
        <v>1091.7</v>
      </c>
    </row>
    <row r="322">
      <c r="A322" s="54" t="inlineStr">
        <is>
          <t>その他事業営業費用</t>
        </is>
      </c>
      <c r="B322" s="55" t="n">
        <v>463.6</v>
      </c>
    </row>
    <row r="323">
      <c r="A323" s="54" t="inlineStr">
        <is>
          <t>営業費用</t>
        </is>
      </c>
      <c r="B323" s="55" t="n">
        <v>8313.700000000001</v>
      </c>
    </row>
    <row r="324">
      <c r="A324" s="54" t="inlineStr">
        <is>
          <t>営業外収益</t>
        </is>
      </c>
      <c r="B324" s="55" t="n">
        <v>112.1</v>
      </c>
    </row>
    <row r="325">
      <c r="A325" s="54" t="inlineStr">
        <is>
          <t>受取配当金</t>
        </is>
      </c>
      <c r="B325" s="55" t="n">
        <v>28.4</v>
      </c>
    </row>
    <row r="326">
      <c r="A326" s="54" t="inlineStr">
        <is>
          <t>受取利息</t>
        </is>
      </c>
      <c r="B326" s="55" t="n">
        <v>5.2</v>
      </c>
    </row>
    <row r="327">
      <c r="A327" s="54" t="inlineStr">
        <is>
          <t>持分法による投資利益</t>
        </is>
      </c>
      <c r="B327" s="55" t="n">
        <v>27.6</v>
      </c>
    </row>
    <row r="328">
      <c r="A328" s="54" t="inlineStr">
        <is>
          <t>支払利息</t>
        </is>
      </c>
      <c r="B328" s="55" t="n">
        <v>237.5</v>
      </c>
    </row>
    <row r="329">
      <c r="A329" s="54" t="inlineStr">
        <is>
          <t>為替差損</t>
        </is>
      </c>
      <c r="B329" s="55" t="n">
        <v>0</v>
      </c>
    </row>
    <row r="330">
      <c r="A330" s="54" t="inlineStr">
        <is>
          <t>営業外費用</t>
        </is>
      </c>
      <c r="B330" s="55" t="n">
        <v>280.9</v>
      </c>
    </row>
    <row r="331">
      <c r="A331" s="54" t="inlineStr">
        <is>
          <t>特別損失</t>
        </is>
      </c>
      <c r="B331" s="55" t="n">
        <v>57.1</v>
      </c>
    </row>
    <row r="332">
      <c r="A332" s="54" t="inlineStr">
        <is>
          <t>営業収益</t>
        </is>
      </c>
      <c r="B332" s="55" t="n">
        <v>9091.4</v>
      </c>
    </row>
    <row r="334">
      <c r="A334" s="52" t="inlineStr">
        <is>
          <t>a items · FY2022</t>
        </is>
      </c>
      <c r="B334" s="52" t="n"/>
      <c r="C334" s="52" t="n"/>
      <c r="D334" s="52" t="n"/>
      <c r="E334" s="52" t="n"/>
    </row>
    <row r="335">
      <c r="A335" s="53" t="inlineStr">
        <is>
          <t>항목</t>
        </is>
      </c>
      <c r="B335" s="53" t="inlineStr">
        <is>
          <t>값</t>
        </is>
      </c>
      <c r="E335" s="53" t="inlineStr">
        <is>
          <t>출처</t>
        </is>
      </c>
    </row>
    <row r="336">
      <c r="A336" s="54" t="inlineStr">
        <is>
          <t>人件費</t>
        </is>
      </c>
      <c r="B336" s="55" t="n">
        <v>251.1</v>
      </c>
      <c r="E336" s="56" t="inlineStr">
        <is>
          <t>2단계 보고서 자료(회사 설명회 자료·공시)</t>
        </is>
      </c>
    </row>
    <row r="337">
      <c r="A337" s="54" t="inlineStr">
        <is>
          <t>燃料費</t>
        </is>
      </c>
      <c r="B337" s="55" t="n">
        <v>3037.6</v>
      </c>
    </row>
    <row r="338">
      <c r="A338" s="54" t="inlineStr">
        <is>
          <t>修繕費</t>
        </is>
      </c>
      <c r="B338" s="55" t="n">
        <v>577.9</v>
      </c>
    </row>
    <row r="339">
      <c r="A339" s="54" t="inlineStr">
        <is>
          <t>委託費</t>
        </is>
      </c>
      <c r="B339" s="55" t="n">
        <v>500.7</v>
      </c>
    </row>
    <row r="340">
      <c r="A340" s="54" t="inlineStr">
        <is>
          <t>租税公課</t>
        </is>
      </c>
      <c r="B340" s="55" t="n">
        <v>271</v>
      </c>
    </row>
    <row r="341">
      <c r="A341" s="54" t="inlineStr">
        <is>
          <t>減価償却費</t>
        </is>
      </c>
      <c r="B341" s="55" t="n">
        <v>728.3</v>
      </c>
    </row>
    <row r="342">
      <c r="A342" s="54" t="inlineStr">
        <is>
          <t>電気事業営業費用</t>
        </is>
      </c>
      <c r="B342" s="55" t="n">
        <v>8244.9</v>
      </c>
    </row>
    <row r="343">
      <c r="A343" s="54" t="inlineStr">
        <is>
          <t>海外事業営業費用</t>
        </is>
      </c>
      <c r="B343" s="55" t="n">
        <v>1182.9</v>
      </c>
    </row>
    <row r="344">
      <c r="A344" s="54" t="inlineStr">
        <is>
          <t>その他事業営業費用</t>
        </is>
      </c>
      <c r="B344" s="55" t="n">
        <v>548.6</v>
      </c>
    </row>
    <row r="345">
      <c r="A345" s="54" t="inlineStr">
        <is>
          <t>営業費用</t>
        </is>
      </c>
      <c r="B345" s="55" t="n">
        <v>9976.4</v>
      </c>
    </row>
    <row r="346">
      <c r="A346" s="54" t="inlineStr">
        <is>
          <t>営業外収益</t>
        </is>
      </c>
      <c r="B346" s="55" t="n">
        <v>225.1</v>
      </c>
    </row>
    <row r="347">
      <c r="A347" s="54" t="inlineStr">
        <is>
          <t>受取配当金</t>
        </is>
      </c>
      <c r="B347" s="55" t="n">
        <v>18.6</v>
      </c>
    </row>
    <row r="348">
      <c r="A348" s="54" t="inlineStr">
        <is>
          <t>受取利息</t>
        </is>
      </c>
      <c r="B348" s="55" t="n">
        <v>18.1</v>
      </c>
    </row>
    <row r="349">
      <c r="A349" s="54" t="inlineStr">
        <is>
          <t>持分法による投資利益</t>
        </is>
      </c>
      <c r="B349" s="55" t="n">
        <v>142.3</v>
      </c>
    </row>
    <row r="350">
      <c r="A350" s="54" t="inlineStr">
        <is>
          <t>支払利息</t>
        </is>
      </c>
      <c r="B350" s="55" t="n">
        <v>224.4</v>
      </c>
    </row>
    <row r="351">
      <c r="A351" s="54" t="inlineStr">
        <is>
          <t>為替差損</t>
        </is>
      </c>
      <c r="B351" s="55" t="n">
        <v>75.59999999999999</v>
      </c>
    </row>
    <row r="352">
      <c r="A352" s="54" t="inlineStr">
        <is>
          <t>営業外費用</t>
        </is>
      </c>
      <c r="B352" s="55" t="n">
        <v>366.4</v>
      </c>
    </row>
    <row r="353">
      <c r="A353" s="54" t="inlineStr">
        <is>
          <t>特別損失</t>
        </is>
      </c>
      <c r="B353" s="55" t="n">
        <v>0</v>
      </c>
    </row>
    <row r="354">
      <c r="A354" s="54" t="inlineStr">
        <is>
          <t>営業収益</t>
        </is>
      </c>
      <c r="B354" s="55" t="n">
        <v>10846.2</v>
      </c>
    </row>
    <row r="356">
      <c r="A356" s="52" t="inlineStr">
        <is>
          <t>a items · FY2023</t>
        </is>
      </c>
      <c r="B356" s="52" t="n"/>
      <c r="C356" s="52" t="n"/>
      <c r="D356" s="52" t="n"/>
      <c r="E356" s="52" t="n"/>
    </row>
    <row r="357">
      <c r="A357" s="53" t="inlineStr">
        <is>
          <t>항목</t>
        </is>
      </c>
      <c r="B357" s="53" t="inlineStr">
        <is>
          <t>값</t>
        </is>
      </c>
      <c r="E357" s="53" t="inlineStr">
        <is>
          <t>출처</t>
        </is>
      </c>
    </row>
    <row r="358">
      <c r="A358" s="54" t="inlineStr">
        <is>
          <t>人件費</t>
        </is>
      </c>
      <c r="B358" s="55" t="n">
        <v>255.4</v>
      </c>
      <c r="E358" s="56" t="inlineStr">
        <is>
          <t>2단계 보고서 자료(회사 설명회 자료·공시)</t>
        </is>
      </c>
    </row>
    <row r="359">
      <c r="A359" s="54" t="inlineStr">
        <is>
          <t>燃料費</t>
        </is>
      </c>
      <c r="B359" s="55" t="n">
        <v>7645.1</v>
      </c>
    </row>
    <row r="360">
      <c r="A360" s="54" t="inlineStr">
        <is>
          <t>修繕費</t>
        </is>
      </c>
      <c r="B360" s="55" t="n">
        <v>473</v>
      </c>
    </row>
    <row r="361">
      <c r="A361" s="54" t="inlineStr">
        <is>
          <t>委託費</t>
        </is>
      </c>
      <c r="B361" s="55" t="n">
        <v>522.1</v>
      </c>
    </row>
    <row r="362">
      <c r="A362" s="54" t="inlineStr">
        <is>
          <t>租税公課</t>
        </is>
      </c>
      <c r="B362" s="55" t="n">
        <v>313</v>
      </c>
    </row>
    <row r="363">
      <c r="A363" s="54" t="inlineStr">
        <is>
          <t>減価償却費</t>
        </is>
      </c>
      <c r="B363" s="55" t="n">
        <v>753.4</v>
      </c>
    </row>
    <row r="364">
      <c r="A364" s="54" t="inlineStr">
        <is>
          <t>電気事業営業費用</t>
        </is>
      </c>
      <c r="B364" s="55" t="n">
        <v>13406.1</v>
      </c>
    </row>
    <row r="365">
      <c r="A365" s="54" t="inlineStr">
        <is>
          <t>海外事業営業費用</t>
        </is>
      </c>
      <c r="B365" s="55" t="n">
        <v>2485.9</v>
      </c>
    </row>
    <row r="366">
      <c r="A366" s="54" t="inlineStr">
        <is>
          <t>その他事業営業費用</t>
        </is>
      </c>
      <c r="B366" s="55" t="n">
        <v>688.5</v>
      </c>
    </row>
    <row r="367">
      <c r="A367" s="54" t="inlineStr">
        <is>
          <t>営業費用</t>
        </is>
      </c>
      <c r="B367" s="55" t="n">
        <v>16580.5</v>
      </c>
    </row>
    <row r="368">
      <c r="A368" s="54" t="inlineStr">
        <is>
          <t>営業外収益</t>
        </is>
      </c>
      <c r="B368" s="55" t="n">
        <v>247.6</v>
      </c>
    </row>
    <row r="369">
      <c r="A369" s="54" t="inlineStr">
        <is>
          <t>受取配当金</t>
        </is>
      </c>
      <c r="B369" s="55" t="n">
        <v>19.3</v>
      </c>
    </row>
    <row r="370">
      <c r="A370" s="54" t="inlineStr">
        <is>
          <t>受取利息</t>
        </is>
      </c>
      <c r="B370" s="55" t="n">
        <v>34.7</v>
      </c>
    </row>
    <row r="371">
      <c r="A371" s="54" t="inlineStr">
        <is>
          <t>持分法による投資利益</t>
        </is>
      </c>
      <c r="B371" s="55" t="n">
        <v>91.3</v>
      </c>
    </row>
    <row r="372">
      <c r="A372" s="54" t="inlineStr">
        <is>
          <t>支払利息</t>
        </is>
      </c>
      <c r="B372" s="55" t="n">
        <v>273.7</v>
      </c>
    </row>
    <row r="373">
      <c r="A373" s="54" t="inlineStr">
        <is>
          <t>為替差損</t>
        </is>
      </c>
      <c r="B373" s="55" t="n">
        <v>0</v>
      </c>
    </row>
    <row r="374">
      <c r="A374" s="54" t="inlineStr">
        <is>
          <t>営業外費用</t>
        </is>
      </c>
      <c r="B374" s="55" t="n">
        <v>378.4</v>
      </c>
    </row>
    <row r="375">
      <c r="A375" s="54" t="inlineStr">
        <is>
          <t>特別損失</t>
        </is>
      </c>
      <c r="B375" s="55" t="n">
        <v>0</v>
      </c>
    </row>
    <row r="376">
      <c r="A376" s="54" t="inlineStr">
        <is>
          <t>営業収益</t>
        </is>
      </c>
      <c r="B376" s="55" t="n">
        <v>18419.2</v>
      </c>
    </row>
    <row r="378">
      <c r="A378" s="52" t="inlineStr">
        <is>
          <t>a items · FY2024</t>
        </is>
      </c>
      <c r="B378" s="52" t="n"/>
      <c r="C378" s="52" t="n"/>
      <c r="D378" s="52" t="n"/>
      <c r="E378" s="52" t="n"/>
    </row>
    <row r="379">
      <c r="A379" s="53" t="inlineStr">
        <is>
          <t>항목</t>
        </is>
      </c>
      <c r="B379" s="53" t="inlineStr">
        <is>
          <t>값</t>
        </is>
      </c>
      <c r="E379" s="53" t="inlineStr">
        <is>
          <t>출처</t>
        </is>
      </c>
    </row>
    <row r="380">
      <c r="A380" s="54" t="inlineStr">
        <is>
          <t>人件費</t>
        </is>
      </c>
      <c r="B380" s="55" t="n">
        <v>300</v>
      </c>
      <c r="E380" s="56" t="inlineStr">
        <is>
          <t>2단계 보고서 자료(회사 설명회 자료·공시)</t>
        </is>
      </c>
    </row>
    <row r="381">
      <c r="A381" s="54" t="inlineStr">
        <is>
          <t>燃料費</t>
        </is>
      </c>
      <c r="B381" s="55" t="n">
        <v>4213.6</v>
      </c>
    </row>
    <row r="382">
      <c r="A382" s="54" t="inlineStr">
        <is>
          <t>修繕費</t>
        </is>
      </c>
      <c r="B382" s="55" t="n">
        <v>449.2</v>
      </c>
    </row>
    <row r="383">
      <c r="A383" s="54" t="inlineStr">
        <is>
          <t>委託費</t>
        </is>
      </c>
      <c r="B383" s="55" t="n">
        <v>493.3</v>
      </c>
    </row>
    <row r="384">
      <c r="A384" s="54" t="inlineStr">
        <is>
          <t>租税公課</t>
        </is>
      </c>
      <c r="B384" s="55" t="n">
        <v>269.5</v>
      </c>
    </row>
    <row r="385">
      <c r="A385" s="54" t="inlineStr">
        <is>
          <t>減価償却費</t>
        </is>
      </c>
      <c r="B385" s="55" t="n">
        <v>762.2</v>
      </c>
    </row>
    <row r="386">
      <c r="A386" s="54" t="inlineStr">
        <is>
          <t>電気事業営業費用</t>
        </is>
      </c>
      <c r="B386" s="55" t="n">
        <v>8610.200000000001</v>
      </c>
    </row>
    <row r="387">
      <c r="A387" s="54" t="inlineStr">
        <is>
          <t>海外事業営業費用</t>
        </is>
      </c>
      <c r="B387" s="55" t="n">
        <v>2267.6</v>
      </c>
    </row>
    <row r="388">
      <c r="A388" s="54" t="inlineStr">
        <is>
          <t>その他事業営業費用</t>
        </is>
      </c>
      <c r="B388" s="55" t="n">
        <v>645.1</v>
      </c>
    </row>
    <row r="389">
      <c r="A389" s="54" t="inlineStr">
        <is>
          <t>営業費用</t>
        </is>
      </c>
      <c r="B389" s="55" t="n">
        <v>11522.9</v>
      </c>
    </row>
    <row r="390">
      <c r="A390" s="54" t="inlineStr">
        <is>
          <t>営業外収益</t>
        </is>
      </c>
      <c r="B390" s="55" t="n">
        <v>495.2</v>
      </c>
    </row>
    <row r="391">
      <c r="A391" s="54" t="inlineStr">
        <is>
          <t>受取配当金</t>
        </is>
      </c>
      <c r="B391" s="55" t="n">
        <v>18.7</v>
      </c>
    </row>
    <row r="392">
      <c r="A392" s="54" t="inlineStr">
        <is>
          <t>受取利息</t>
        </is>
      </c>
      <c r="B392" s="55" t="n">
        <v>74.5</v>
      </c>
    </row>
    <row r="393">
      <c r="A393" s="54" t="inlineStr">
        <is>
          <t>持分法による投資利益</t>
        </is>
      </c>
      <c r="B393" s="55" t="n">
        <v>245.5</v>
      </c>
    </row>
    <row r="394">
      <c r="A394" s="54" t="inlineStr">
        <is>
          <t>支払利息</t>
        </is>
      </c>
      <c r="B394" s="55" t="n">
        <v>309.4</v>
      </c>
    </row>
    <row r="395">
      <c r="A395" s="54" t="inlineStr">
        <is>
          <t>為替差損</t>
        </is>
      </c>
      <c r="B395" s="55" t="n">
        <v>0</v>
      </c>
    </row>
    <row r="396">
      <c r="A396" s="54" t="inlineStr">
        <is>
          <t>営業外費用</t>
        </is>
      </c>
      <c r="B396" s="55" t="n">
        <v>366.9</v>
      </c>
    </row>
    <row r="397">
      <c r="A397" s="54" t="inlineStr">
        <is>
          <t>特別損失</t>
        </is>
      </c>
      <c r="B397" s="55" t="n">
        <v>0</v>
      </c>
    </row>
    <row r="398">
      <c r="A398" s="54" t="inlineStr">
        <is>
          <t>営業収益</t>
        </is>
      </c>
      <c r="B398" s="55" t="n">
        <v>12580</v>
      </c>
    </row>
    <row r="400">
      <c r="A400" s="52" t="inlineStr">
        <is>
          <t>a items · FY2025</t>
        </is>
      </c>
      <c r="B400" s="52" t="n"/>
      <c r="C400" s="52" t="n"/>
      <c r="D400" s="52" t="n"/>
      <c r="E400" s="52" t="n"/>
    </row>
    <row r="401">
      <c r="A401" s="53" t="inlineStr">
        <is>
          <t>항목</t>
        </is>
      </c>
      <c r="B401" s="53" t="inlineStr">
        <is>
          <t>값</t>
        </is>
      </c>
      <c r="E401" s="53" t="inlineStr">
        <is>
          <t>출처</t>
        </is>
      </c>
    </row>
    <row r="402">
      <c r="A402" s="54" t="inlineStr">
        <is>
          <t>人件費</t>
        </is>
      </c>
      <c r="B402" s="55" t="n">
        <v>257.4</v>
      </c>
      <c r="E402" s="56" t="inlineStr">
        <is>
          <t>2단계 보고서 자료(회사 설명회 자료·공시)</t>
        </is>
      </c>
    </row>
    <row r="403">
      <c r="A403" s="54" t="inlineStr">
        <is>
          <t>燃料費</t>
        </is>
      </c>
      <c r="B403" s="55" t="n">
        <v>3616.3</v>
      </c>
    </row>
    <row r="404">
      <c r="A404" s="54" t="inlineStr">
        <is>
          <t>修繕費</t>
        </is>
      </c>
      <c r="B404" s="55" t="n">
        <v>540.3</v>
      </c>
    </row>
    <row r="405">
      <c r="A405" s="54" t="inlineStr">
        <is>
          <t>委託費</t>
        </is>
      </c>
      <c r="B405" s="55" t="n">
        <v>565.4</v>
      </c>
    </row>
    <row r="406">
      <c r="A406" s="54" t="inlineStr">
        <is>
          <t>租税公課</t>
        </is>
      </c>
      <c r="B406" s="55" t="n">
        <v>276.4</v>
      </c>
    </row>
    <row r="407">
      <c r="A407" s="54" t="inlineStr">
        <is>
          <t>減価償却費</t>
        </is>
      </c>
      <c r="B407" s="55" t="n">
        <v>791.9</v>
      </c>
    </row>
    <row r="408">
      <c r="A408" s="54" t="inlineStr">
        <is>
          <t>電気事業営業費用</t>
        </is>
      </c>
      <c r="B408" s="55" t="n">
        <v>9068.5</v>
      </c>
    </row>
    <row r="409">
      <c r="A409" s="54" t="inlineStr">
        <is>
          <t>海外事業営業費用</t>
        </is>
      </c>
      <c r="B409" s="55" t="n">
        <v>2066.3</v>
      </c>
    </row>
    <row r="410">
      <c r="A410" s="54" t="inlineStr">
        <is>
          <t>その他事業営業費用</t>
        </is>
      </c>
      <c r="B410" s="55" t="n">
        <v>648.8</v>
      </c>
    </row>
    <row r="411">
      <c r="A411" s="54" t="inlineStr">
        <is>
          <t>営業費用</t>
        </is>
      </c>
      <c r="B411" s="55" t="n">
        <v>11783.6</v>
      </c>
    </row>
    <row r="412">
      <c r="A412" s="54" t="inlineStr">
        <is>
          <t>営業外収益</t>
        </is>
      </c>
      <c r="B412" s="55" t="n">
        <v>399.8</v>
      </c>
    </row>
    <row r="413">
      <c r="A413" s="54" t="inlineStr">
        <is>
          <t>受取配当金</t>
        </is>
      </c>
      <c r="B413" s="55" t="n">
        <v>26.1</v>
      </c>
    </row>
    <row r="414">
      <c r="A414" s="54" t="inlineStr">
        <is>
          <t>受取利息</t>
        </is>
      </c>
      <c r="B414" s="55" t="n">
        <v>94.2</v>
      </c>
    </row>
    <row r="415">
      <c r="A415" s="54" t="inlineStr">
        <is>
          <t>持分法による投資利益</t>
        </is>
      </c>
      <c r="B415" s="55" t="n">
        <v>144.6</v>
      </c>
    </row>
    <row r="416">
      <c r="A416" s="54" t="inlineStr">
        <is>
          <t>支払利息</t>
        </is>
      </c>
      <c r="B416" s="55" t="n">
        <v>330</v>
      </c>
    </row>
    <row r="417">
      <c r="A417" s="54" t="inlineStr">
        <is>
          <t>為替差損</t>
        </is>
      </c>
      <c r="B417" s="55" t="n">
        <v>0</v>
      </c>
    </row>
    <row r="418">
      <c r="A418" s="54" t="inlineStr">
        <is>
          <t>営業外費用</t>
        </is>
      </c>
      <c r="B418" s="55" t="n">
        <v>381.9</v>
      </c>
    </row>
    <row r="419">
      <c r="A419" s="54" t="inlineStr">
        <is>
          <t>特別損失</t>
        </is>
      </c>
      <c r="B419" s="55" t="n">
        <v>0</v>
      </c>
    </row>
    <row r="420">
      <c r="A420" s="54" t="inlineStr">
        <is>
          <t>営業収益</t>
        </is>
      </c>
      <c r="B420" s="55" t="n">
        <v>13166.7</v>
      </c>
    </row>
    <row r="422">
      <c r="A422" s="52" t="inlineStr">
        <is>
          <t>a items · FY2026</t>
        </is>
      </c>
      <c r="B422" s="52" t="n"/>
      <c r="C422" s="52" t="n"/>
      <c r="D422" s="52" t="n"/>
      <c r="E422" s="52" t="n"/>
    </row>
    <row r="423">
      <c r="A423" s="53" t="inlineStr">
        <is>
          <t>항목</t>
        </is>
      </c>
      <c r="B423" s="53" t="inlineStr">
        <is>
          <t>값</t>
        </is>
      </c>
      <c r="E423" s="53" t="inlineStr">
        <is>
          <t>출처</t>
        </is>
      </c>
    </row>
    <row r="424">
      <c r="A424" s="54" t="inlineStr">
        <is>
          <t>人件費</t>
        </is>
      </c>
      <c r="B424" s="55" t="n">
        <v>291.9</v>
      </c>
      <c r="E424" s="56" t="inlineStr">
        <is>
          <t>2단계 보고서 자료(회사 설명회 자료·공시)</t>
        </is>
      </c>
    </row>
    <row r="425">
      <c r="A425" s="54" t="inlineStr">
        <is>
          <t>燃料費</t>
        </is>
      </c>
      <c r="B425" s="55" t="n">
        <v>3027.8</v>
      </c>
    </row>
    <row r="426">
      <c r="A426" s="54" t="inlineStr">
        <is>
          <t>修繕費</t>
        </is>
      </c>
      <c r="B426" s="55" t="n">
        <v>569.6</v>
      </c>
    </row>
    <row r="427">
      <c r="A427" s="54" t="inlineStr">
        <is>
          <t>委託費</t>
        </is>
      </c>
      <c r="B427" s="55" t="n">
        <v>606.7</v>
      </c>
    </row>
    <row r="428">
      <c r="A428" s="54" t="inlineStr">
        <is>
          <t>租税公課</t>
        </is>
      </c>
      <c r="B428" s="55" t="n">
        <v>271.1</v>
      </c>
    </row>
    <row r="429">
      <c r="A429" s="54" t="inlineStr">
        <is>
          <t>減価償却費</t>
        </is>
      </c>
      <c r="B429" s="55" t="n">
        <v>739.2</v>
      </c>
    </row>
    <row r="430">
      <c r="A430" s="54" t="inlineStr">
        <is>
          <t>電気事業営業費用</t>
        </is>
      </c>
      <c r="B430" s="55" t="n">
        <v>8263.200000000001</v>
      </c>
    </row>
    <row r="431">
      <c r="A431" s="54" t="inlineStr">
        <is>
          <t>海外事業営業費用</t>
        </is>
      </c>
      <c r="B431" s="55" t="n">
        <v>1893.9</v>
      </c>
    </row>
    <row r="432">
      <c r="A432" s="54" t="inlineStr">
        <is>
          <t>その他事業営業費用</t>
        </is>
      </c>
      <c r="B432" s="55" t="n">
        <v>655.6</v>
      </c>
    </row>
    <row r="433">
      <c r="A433" s="54" t="inlineStr">
        <is>
          <t>営業費用</t>
        </is>
      </c>
      <c r="B433" s="55" t="n">
        <v>10812.7</v>
      </c>
    </row>
    <row r="434">
      <c r="A434" s="54" t="inlineStr">
        <is>
          <t>営業外収益</t>
        </is>
      </c>
      <c r="B434" s="55" t="n">
        <v>974</v>
      </c>
    </row>
    <row r="435">
      <c r="A435" s="54" t="inlineStr">
        <is>
          <t>受取配当金</t>
        </is>
      </c>
      <c r="B435" s="55" t="n">
        <v>23.5</v>
      </c>
    </row>
    <row r="436">
      <c r="A436" s="54" t="inlineStr">
        <is>
          <t>受取利息</t>
        </is>
      </c>
      <c r="B436" s="55" t="n">
        <v>101.5</v>
      </c>
    </row>
    <row r="437">
      <c r="A437" s="54" t="inlineStr">
        <is>
          <t>持分法による投資利益</t>
        </is>
      </c>
      <c r="B437" s="55" t="n">
        <v>638.8</v>
      </c>
    </row>
    <row r="438">
      <c r="A438" s="54" t="inlineStr">
        <is>
          <t>支払利息</t>
        </is>
      </c>
      <c r="B438" s="55" t="n">
        <v>319.3</v>
      </c>
    </row>
    <row r="439">
      <c r="A439" s="54" t="inlineStr">
        <is>
          <t>為替差損</t>
        </is>
      </c>
      <c r="B439" s="55" t="n">
        <v>0</v>
      </c>
    </row>
    <row r="440">
      <c r="A440" s="54" t="inlineStr">
        <is>
          <t>営業外費用</t>
        </is>
      </c>
      <c r="B440" s="55" t="n">
        <v>398.6</v>
      </c>
    </row>
    <row r="441">
      <c r="A441" s="54" t="inlineStr">
        <is>
          <t>特別損失</t>
        </is>
      </c>
      <c r="B441" s="55" t="n">
        <v>518.2</v>
      </c>
    </row>
    <row r="442">
      <c r="A442" s="54" t="inlineStr">
        <is>
          <t>営業収益</t>
        </is>
      </c>
      <c r="B442" s="55" t="n">
        <v>11822.6</v>
      </c>
    </row>
    <row r="444">
      <c r="A444" s="52" t="inlineStr">
        <is>
          <t>a items · FY2020</t>
        </is>
      </c>
      <c r="B444" s="52" t="n"/>
      <c r="C444" s="52" t="n"/>
      <c r="D444" s="52" t="n"/>
      <c r="E444" s="52" t="n"/>
    </row>
    <row r="445">
      <c r="A445" s="53" t="inlineStr">
        <is>
          <t>항목</t>
        </is>
      </c>
      <c r="B445" s="53" t="inlineStr">
        <is>
          <t>값</t>
        </is>
      </c>
      <c r="E445" s="53" t="inlineStr">
        <is>
          <t>출처</t>
        </is>
      </c>
    </row>
    <row r="446">
      <c r="A446" s="54" t="inlineStr">
        <is>
          <t>人件費</t>
        </is>
      </c>
      <c r="B446" s="55" t="n">
        <v>345.8</v>
      </c>
      <c r="E446" s="56" t="inlineStr">
        <is>
          <t>2단계 보고서 자료(회사 설명회 자료·공시)</t>
        </is>
      </c>
    </row>
    <row r="447">
      <c r="A447" s="54" t="inlineStr">
        <is>
          <t>燃料費</t>
        </is>
      </c>
      <c r="B447" s="55" t="n">
        <v>2401.4</v>
      </c>
    </row>
    <row r="448">
      <c r="A448" s="54" t="inlineStr">
        <is>
          <t>修繕費</t>
        </is>
      </c>
      <c r="B448" s="55" t="n">
        <v>667.7</v>
      </c>
    </row>
    <row r="449">
      <c r="A449" s="54" t="inlineStr">
        <is>
          <t>委託費</t>
        </is>
      </c>
      <c r="B449" s="55" t="n">
        <v>416.8</v>
      </c>
    </row>
    <row r="450">
      <c r="A450" s="54" t="inlineStr">
        <is>
          <t>租税公課</t>
        </is>
      </c>
      <c r="B450" s="55" t="n">
        <v>248.4</v>
      </c>
    </row>
    <row r="451">
      <c r="A451" s="54" t="inlineStr">
        <is>
          <t>減価償却費</t>
        </is>
      </c>
      <c r="B451" s="55" t="n">
        <v>572.4</v>
      </c>
    </row>
    <row r="452">
      <c r="A452" s="54" t="inlineStr">
        <is>
          <t>電気事業営業費用</t>
        </is>
      </c>
      <c r="B452" s="55" t="n">
        <v>6292.9</v>
      </c>
    </row>
    <row r="453">
      <c r="A453" s="54" t="inlineStr">
        <is>
          <t>海外事業営業費用</t>
        </is>
      </c>
      <c r="B453" s="55" t="n">
        <v>1518.1</v>
      </c>
    </row>
    <row r="454">
      <c r="A454" s="54" t="inlineStr">
        <is>
          <t>その他事業営業費用</t>
        </is>
      </c>
      <c r="B454" s="55" t="n">
        <v>490.4</v>
      </c>
    </row>
    <row r="455">
      <c r="A455" s="54" t="inlineStr">
        <is>
          <t>営業費用</t>
        </is>
      </c>
      <c r="B455" s="55" t="n">
        <v>8301.4</v>
      </c>
    </row>
    <row r="456">
      <c r="A456" s="54" t="inlineStr">
        <is>
          <t>営業外収益</t>
        </is>
      </c>
      <c r="B456" s="55" t="n">
        <v>265.4</v>
      </c>
    </row>
    <row r="457">
      <c r="A457" s="54" t="inlineStr">
        <is>
          <t>受取配当金</t>
        </is>
      </c>
      <c r="B457" s="55" t="n">
        <v>14.7</v>
      </c>
    </row>
    <row r="458">
      <c r="A458" s="54" t="inlineStr">
        <is>
          <t>受取利息</t>
        </is>
      </c>
      <c r="B458" s="55" t="n">
        <v>12.6</v>
      </c>
    </row>
    <row r="459">
      <c r="A459" s="54" t="inlineStr">
        <is>
          <t>持分法による投資利益</t>
        </is>
      </c>
      <c r="B459" s="55" t="n">
        <v>113.2</v>
      </c>
    </row>
    <row r="460">
      <c r="A460" s="54" t="inlineStr">
        <is>
          <t>支払利息</t>
        </is>
      </c>
      <c r="B460" s="55" t="n">
        <v>262.9</v>
      </c>
    </row>
    <row r="461">
      <c r="A461" s="54" t="inlineStr">
        <is>
          <t>為替差損</t>
        </is>
      </c>
      <c r="B461" s="55" t="n">
        <v>0</v>
      </c>
    </row>
    <row r="462">
      <c r="A462" s="54" t="inlineStr">
        <is>
          <t>営業外費用</t>
        </is>
      </c>
      <c r="B462" s="55" t="n">
        <v>320.9</v>
      </c>
    </row>
    <row r="463">
      <c r="A463" s="54" t="inlineStr">
        <is>
          <t>特別損失</t>
        </is>
      </c>
      <c r="B463" s="55" t="n">
        <v>125</v>
      </c>
    </row>
    <row r="464">
      <c r="A464" s="54" t="inlineStr">
        <is>
          <t>営業収益</t>
        </is>
      </c>
      <c r="B464" s="55" t="n">
        <v>9137.799999999999</v>
      </c>
    </row>
    <row r="466">
      <c r="A466" s="52" t="inlineStr">
        <is>
          <t>band</t>
        </is>
      </c>
      <c r="B466" s="52" t="n"/>
      <c r="C466" s="52" t="n"/>
      <c r="D466" s="52" t="n"/>
      <c r="E466" s="52" t="n"/>
    </row>
    <row r="467">
      <c r="A467" s="53" t="inlineStr">
        <is>
          <t>항목</t>
        </is>
      </c>
      <c r="B467" s="53" t="inlineStr">
        <is>
          <t>값</t>
        </is>
      </c>
      <c r="E467" s="53" t="inlineStr">
        <is>
          <t>출처</t>
        </is>
      </c>
    </row>
    <row r="468">
      <c r="A468" s="54" t="inlineStr">
        <is>
          <t>lo</t>
        </is>
      </c>
      <c r="B468" s="55" t="n">
        <v>4.9</v>
      </c>
      <c r="E468" s="56" t="inlineStr">
        <is>
          <t>2단계 보고서 자료(회사 설명회 자료·공시)</t>
        </is>
      </c>
    </row>
    <row r="469">
      <c r="A469" s="54" t="inlineStr">
        <is>
          <t>avg</t>
        </is>
      </c>
      <c r="B469" s="55" t="n">
        <v>7.6</v>
      </c>
    </row>
    <row r="470">
      <c r="A470" s="54" t="inlineStr">
        <is>
          <t>hi</t>
        </is>
      </c>
      <c r="B470" s="55" t="n">
        <v>11.6</v>
      </c>
    </row>
    <row r="471">
      <c r="A471" s="54" t="inlineStr">
        <is>
          <t>now</t>
        </is>
      </c>
      <c r="B471" s="55" t="n">
        <v>8.85</v>
      </c>
    </row>
    <row r="473">
      <c r="A473" s="52" t="inlineStr">
        <is>
          <t>lead1</t>
        </is>
      </c>
      <c r="B473" s="52" t="n"/>
      <c r="C473" s="52" t="n"/>
      <c r="D473" s="52" t="n"/>
      <c r="E473" s="52" t="n"/>
    </row>
    <row r="474">
      <c r="A474" s="53" t="inlineStr">
        <is>
          <t>항목</t>
        </is>
      </c>
      <c r="B474" s="53" t="inlineStr">
        <is>
          <t>값</t>
        </is>
      </c>
      <c r="E474" s="53" t="inlineStr">
        <is>
          <t>출처</t>
        </is>
      </c>
    </row>
    <row r="475">
      <c r="A475" s="54" t="inlineStr">
        <is>
          <t>corr0</t>
        </is>
      </c>
      <c r="B475" s="55" t="n">
        <v>-0.26</v>
      </c>
      <c r="E475" s="56" t="inlineStr">
        <is>
          <t>2단계 보고서 자료(회사 설명회 자료·공시)</t>
        </is>
      </c>
    </row>
    <row r="476">
      <c r="A476" s="54" t="inlineStr">
        <is>
          <t>corr1</t>
        </is>
      </c>
      <c r="B476" s="55" t="n">
        <v>-0.31</v>
      </c>
    </row>
    <row r="478">
      <c r="A478" s="52" t="inlineStr">
        <is>
          <t>deck map</t>
        </is>
      </c>
      <c r="B478" s="52" t="n"/>
      <c r="C478" s="52" t="n"/>
      <c r="D478" s="52" t="n"/>
      <c r="E478" s="52" t="n"/>
    </row>
    <row r="479">
      <c r="A479" s="53" t="inlineStr">
        <is>
          <t>항목</t>
        </is>
      </c>
      <c r="B479" s="53" t="inlineStr">
        <is>
          <t>제목</t>
        </is>
      </c>
      <c r="C479" s="53" t="inlineStr">
        <is>
          <t>핵심 숫자</t>
        </is>
      </c>
      <c r="D479" s="53" t="inlineStr">
        <is>
          <t>넣은 소제목 또는 뺀 이유</t>
        </is>
      </c>
      <c r="E479" s="53" t="inlineStr">
        <is>
          <t>출처</t>
        </is>
      </c>
    </row>
    <row r="480">
      <c r="A480" s="54" t="inlineStr">
        <is>
          <t>1</t>
        </is>
      </c>
      <c r="B480" s="57" t="inlineStr">
        <is>
          <t>표지</t>
        </is>
      </c>
      <c r="C480" s="57" t="inlineStr">
        <is>
          <t>—</t>
        </is>
      </c>
      <c r="D480" s="57" t="inlineStr">
        <is>
          <t>뺌: 표지</t>
        </is>
      </c>
      <c r="E480" s="56" t="inlineStr">
        <is>
          <t>2단계 보고서 자료(회사 설명회 자료·공시)</t>
        </is>
      </c>
    </row>
    <row r="481">
      <c r="A481" s="54" t="inlineStr">
        <is>
          <t>2</t>
        </is>
      </c>
      <c r="B481" s="57" t="inlineStr">
        <is>
          <t>주의</t>
        </is>
      </c>
      <c r="C481" s="57" t="inlineStr">
        <is>
          <t>—</t>
        </is>
      </c>
      <c r="D481" s="57" t="inlineStr">
        <is>
          <t>뺌: 면책</t>
        </is>
      </c>
    </row>
    <row r="482">
      <c r="A482" s="54" t="inlineStr">
        <is>
          <t>3</t>
        </is>
      </c>
      <c r="B482" s="57" t="inlineStr">
        <is>
          <t>목차</t>
        </is>
      </c>
      <c r="C482" s="57" t="inlineStr">
        <is>
          <t>—</t>
        </is>
      </c>
      <c r="D482" s="57" t="inlineStr">
        <is>
          <t>뺌: 목차</t>
        </is>
      </c>
    </row>
    <row r="483">
      <c r="A483" s="54" t="inlineStr">
        <is>
          <t>4</t>
        </is>
      </c>
      <c r="B483" s="57" t="inlineStr">
        <is>
          <t>간지</t>
        </is>
      </c>
      <c r="C483" s="57" t="inlineStr">
        <is>
          <t>—</t>
        </is>
      </c>
      <c r="D483" s="57" t="inlineStr">
        <is>
          <t>뺌: 표지</t>
        </is>
      </c>
    </row>
    <row r="484">
      <c r="A484" s="54" t="inlineStr">
        <is>
          <t>5</t>
        </is>
      </c>
      <c r="B484" s="57" t="inlineStr">
        <is>
          <t>결산 개요</t>
        </is>
      </c>
      <c r="C484" s="57" t="inlineStr">
        <is>
          <t>매출 6,914 영업 816 경상 820 순 551, 개별</t>
        </is>
      </c>
      <c r="D484" s="57" t="inlineStr">
        <is>
          <t>① 전사</t>
        </is>
      </c>
    </row>
    <row r="485">
      <c r="A485" s="54" t="inlineStr">
        <is>
          <t>6</t>
        </is>
      </c>
      <c r="B485" s="57" t="inlineStr">
        <is>
          <t>판매전력량</t>
        </is>
      </c>
      <c r="C485" s="57" t="inlineStr">
        <is>
          <t>326→317, 해외 75→107</t>
        </is>
      </c>
      <c r="D485" s="57" t="inlineStr">
        <is>
          <t>P·Q·C, ③</t>
        </is>
      </c>
    </row>
    <row r="486">
      <c r="A486" s="54" t="inlineStr">
        <is>
          <t>7</t>
        </is>
      </c>
      <c r="B486" s="57" t="inlineStr">
        <is>
          <t>증감 폭포</t>
        </is>
      </c>
      <c r="C486" s="57" t="inlineStr">
        <is>
          <t>963→820</t>
        </is>
      </c>
      <c r="D486" s="57" t="inlineStr">
        <is>
          <t>②</t>
        </is>
      </c>
    </row>
    <row r="487">
      <c r="A487" s="54" t="inlineStr">
        <is>
          <t>8</t>
        </is>
      </c>
      <c r="B487" s="57" t="inlineStr">
        <is>
          <t>항목별</t>
        </is>
      </c>
      <c r="C487" s="57" t="inlineStr">
        <is>
          <t>8개 요인</t>
        </is>
      </c>
      <c r="D487" s="57" t="inlineStr">
        <is>
          <t>②④⑤</t>
        </is>
      </c>
    </row>
    <row r="488">
      <c r="A488" s="54" t="inlineStr">
        <is>
          <t>9</t>
        </is>
      </c>
      <c r="B488" s="57" t="inlineStr">
        <is>
          <t>세그먼트·환율</t>
        </is>
      </c>
      <c r="C488" s="57" t="inlineStr">
        <is>
          <t>발전 482.9 해외 262.2</t>
        </is>
      </c>
      <c r="D488" s="57" t="inlineStr">
        <is>
          <t>③④⑤</t>
        </is>
      </c>
    </row>
    <row r="489">
      <c r="A489" s="54" t="inlineStr">
        <is>
          <t>10</t>
        </is>
      </c>
      <c r="B489" s="57" t="inlineStr">
        <is>
          <t>수지표</t>
        </is>
      </c>
      <c r="C489" s="57" t="inlineStr">
        <is>
          <t>연료비 1,812</t>
        </is>
      </c>
      <c r="D489" s="57" t="inlineStr">
        <is>
          <t>⑥</t>
        </is>
      </c>
    </row>
    <row r="490">
      <c r="A490" s="54" t="inlineStr">
        <is>
          <t>11</t>
        </is>
      </c>
      <c r="B490" s="57" t="inlineStr">
        <is>
          <t>BS</t>
        </is>
      </c>
      <c r="C490" s="57" t="inlineStr">
        <is>
          <t>유이자부채 19,742</t>
        </is>
      </c>
      <c r="D490" s="57" t="inlineStr">
        <is>
          <t>⑦</t>
        </is>
      </c>
    </row>
    <row r="491">
      <c r="A491" s="54" t="inlineStr">
        <is>
          <t>12</t>
        </is>
      </c>
      <c r="B491" s="57" t="inlineStr">
        <is>
          <t>예상 개요</t>
        </is>
      </c>
      <c r="C491" s="57" t="inlineStr">
        <is>
          <t>1,250/810</t>
        </is>
      </c>
      <c r="D491" s="57" t="inlineStr">
        <is>
          <t>⑧</t>
        </is>
      </c>
    </row>
    <row r="492">
      <c r="A492" s="54" t="inlineStr">
        <is>
          <t>13</t>
        </is>
      </c>
      <c r="B492" s="57" t="inlineStr">
        <is>
          <t>부록 간지</t>
        </is>
      </c>
      <c r="C492" s="57" t="inlineStr">
        <is>
          <t>—</t>
        </is>
      </c>
      <c r="D492" s="57" t="inlineStr">
        <is>
          <t>뺌: 표지</t>
        </is>
      </c>
    </row>
    <row r="493">
      <c r="A493" s="54" t="inlineStr">
        <is>
          <t>14</t>
        </is>
      </c>
      <c r="B493" s="57" t="inlineStr">
        <is>
          <t>부록 목차</t>
        </is>
      </c>
      <c r="C493" s="57" t="inlineStr">
        <is>
          <t>—</t>
        </is>
      </c>
      <c r="D493" s="57" t="inlineStr">
        <is>
          <t>뺌: 목차</t>
        </is>
      </c>
    </row>
    <row r="494">
      <c r="A494" s="54" t="inlineStr">
        <is>
          <t>15</t>
        </is>
      </c>
      <c r="B494" s="57" t="inlineStr">
        <is>
          <t>국내 판매 흐름</t>
        </is>
      </c>
      <c r="C494" s="57" t="inlineStr">
        <is>
          <t>JEPX·소매</t>
        </is>
      </c>
      <c r="D494" s="57" t="inlineStr">
        <is>
          <t>2장 BM 그림</t>
        </is>
      </c>
    </row>
    <row r="495">
      <c r="A495" s="54" t="inlineStr">
        <is>
          <t>16</t>
        </is>
      </c>
      <c r="B495" s="57" t="inlineStr">
        <is>
          <t>재생 확대</t>
        </is>
      </c>
      <c r="C495" s="57" t="inlineStr">
        <is>
          <t>9월 현황</t>
        </is>
      </c>
      <c r="D495" s="57" t="inlineStr">
        <is>
          <t>⑨⑫</t>
        </is>
      </c>
    </row>
    <row r="496">
      <c r="A496" s="54" t="inlineStr">
        <is>
          <t>17</t>
        </is>
      </c>
      <c r="B496" s="57" t="inlineStr">
        <is>
          <t>국내 재생 개발</t>
        </is>
      </c>
      <c r="C496" s="57" t="inlineStr">
        <is>
          <t>9,321MW, 오가 315MW</t>
        </is>
      </c>
      <c r="D496" s="57" t="inlineStr">
        <is>
          <t>⑨</t>
        </is>
      </c>
    </row>
    <row r="497">
      <c r="A497" s="54" t="inlineStr">
        <is>
          <t>18</t>
        </is>
      </c>
      <c r="B497" s="57" t="inlineStr">
        <is>
          <t>NEXUS 사쿠마</t>
        </is>
      </c>
      <c r="C497" s="57" t="inlineStr">
        <is>
          <t>+50MW</t>
        </is>
      </c>
      <c r="D497" s="57" t="inlineStr">
        <is>
          <t>⑨</t>
        </is>
      </c>
    </row>
    <row r="498">
      <c r="A498" s="54" t="inlineStr">
        <is>
          <t>19</t>
        </is>
      </c>
      <c r="B498" s="57" t="inlineStr">
        <is>
          <t>오마</t>
        </is>
      </c>
      <c r="C498" s="57" t="inlineStr">
        <is>
          <t>1,383MW</t>
        </is>
      </c>
      <c r="D498" s="57" t="inlineStr">
        <is>
          <t>⑩</t>
        </is>
      </c>
    </row>
    <row r="499">
      <c r="A499" s="54" t="inlineStr">
        <is>
          <t>20</t>
        </is>
      </c>
      <c r="B499" s="57" t="inlineStr">
        <is>
          <t>GENESIS 마쓰시마</t>
        </is>
      </c>
      <c r="C499" s="57" t="inlineStr">
        <is>
          <t>가스화</t>
        </is>
      </c>
      <c r="D499" s="57" t="inlineStr">
        <is>
          <t>⑪</t>
        </is>
      </c>
    </row>
    <row r="500">
      <c r="A500" s="54" t="inlineStr">
        <is>
          <t>21</t>
        </is>
      </c>
      <c r="B500" s="57" t="inlineStr">
        <is>
          <t>CCS</t>
        </is>
      </c>
      <c r="C500" s="57" t="inlineStr">
        <is>
          <t>2030년대 초</t>
        </is>
      </c>
      <c r="D500" s="57" t="inlineStr">
        <is>
          <t>⑪</t>
        </is>
      </c>
    </row>
    <row r="501">
      <c r="A501" s="54" t="inlineStr">
        <is>
          <t>22</t>
        </is>
      </c>
      <c r="B501" s="57" t="inlineStr">
        <is>
          <t>해외 모델</t>
        </is>
      </c>
      <c r="C501" s="57" t="inlineStr">
        <is>
          <t>개발·매각</t>
        </is>
      </c>
      <c r="D501" s="57" t="inlineStr">
        <is>
          <t>⑫</t>
        </is>
      </c>
    </row>
    <row r="502">
      <c r="A502" s="54" t="inlineStr">
        <is>
          <t>23</t>
        </is>
      </c>
      <c r="B502" s="57" t="inlineStr">
        <is>
          <t>차저·Genex</t>
        </is>
      </c>
      <c r="C502" s="57" t="inlineStr">
        <is>
          <t>394MW</t>
        </is>
      </c>
      <c r="D502" s="57" t="inlineStr">
        <is>
          <t>⑫</t>
        </is>
      </c>
    </row>
    <row r="503">
      <c r="A503" s="54" t="inlineStr">
        <is>
          <t>24</t>
        </is>
      </c>
      <c r="B503" s="57" t="inlineStr">
        <is>
          <t>팍라이 등</t>
        </is>
      </c>
      <c r="C503" s="57" t="inlineStr">
        <is>
          <t>770MW</t>
        </is>
      </c>
      <c r="D503" s="57" t="inlineStr">
        <is>
          <t>⑫</t>
        </is>
      </c>
    </row>
    <row r="504">
      <c r="A504" s="54" t="inlineStr">
        <is>
          <t>25</t>
        </is>
      </c>
      <c r="B504" s="57" t="inlineStr">
        <is>
          <t>전력망</t>
        </is>
      </c>
      <c r="C504" s="57" t="inlineStr">
        <is>
          <t>간몬 +100만 kW</t>
        </is>
      </c>
      <c r="D504" s="57" t="inlineStr">
        <is>
          <t>⑬</t>
        </is>
      </c>
    </row>
    <row r="505">
      <c r="A505" s="54" t="inlineStr">
        <is>
          <t>26</t>
        </is>
      </c>
      <c r="B505" s="57" t="inlineStr">
        <is>
          <t>전환 투자</t>
        </is>
      </c>
      <c r="C505" s="57" t="inlineStr">
        <is>
          <t>3,500억</t>
        </is>
      </c>
      <c r="D505" s="57" t="inlineStr">
        <is>
          <t>⑭</t>
        </is>
      </c>
    </row>
    <row r="506">
      <c r="A506" s="54" t="inlineStr">
        <is>
          <t>27</t>
        </is>
      </c>
      <c r="B506" s="57" t="inlineStr">
        <is>
          <t>금융 프레임워크</t>
        </is>
      </c>
      <c r="C506" s="57" t="inlineStr">
        <is>
          <t>920만 t</t>
        </is>
      </c>
      <c r="D506" s="57" t="inlineStr">
        <is>
          <t>⑪</t>
        </is>
      </c>
    </row>
    <row r="507">
      <c r="A507" s="54" t="inlineStr">
        <is>
          <t>28</t>
        </is>
      </c>
      <c r="B507" s="57" t="inlineStr">
        <is>
          <t>재무 데이터1</t>
        </is>
      </c>
      <c r="C507" s="57" t="inlineStr">
        <is>
          <t>ROE·ROIC</t>
        </is>
      </c>
      <c r="D507" s="57" t="inlineStr">
        <is>
          <t>재무분석·KPI</t>
        </is>
      </c>
    </row>
    <row r="508">
      <c r="A508" s="54" t="inlineStr">
        <is>
          <t>29</t>
        </is>
      </c>
      <c r="B508" s="57" t="inlineStr">
        <is>
          <t>재무 데이터2</t>
        </is>
      </c>
      <c r="C508" s="57" t="inlineStr">
        <is>
          <t>OCF·FCF</t>
        </is>
      </c>
      <c r="D508" s="57" t="inlineStr">
        <is>
          <t>⑦</t>
        </is>
      </c>
    </row>
    <row r="509">
      <c r="A509" s="54" t="inlineStr">
        <is>
          <t>30</t>
        </is>
      </c>
      <c r="B509" s="57" t="inlineStr">
        <is>
          <t>재무 데이터3</t>
        </is>
      </c>
      <c r="C509" s="57" t="inlineStr">
        <is>
          <t>BS</t>
        </is>
      </c>
      <c r="D509" s="57" t="inlineStr">
        <is>
          <t>⑦</t>
        </is>
      </c>
    </row>
    <row r="510">
      <c r="A510" s="54" t="inlineStr">
        <is>
          <t>31</t>
        </is>
      </c>
      <c r="B510" s="57" t="inlineStr">
        <is>
          <t>재무 데이터4</t>
        </is>
      </c>
      <c r="C510" s="57" t="inlineStr">
        <is>
          <t>주요 지표</t>
        </is>
      </c>
      <c r="D510" s="57" t="inlineStr">
        <is>
          <t>KPI</t>
        </is>
      </c>
    </row>
    <row r="511">
      <c r="A511" s="54" t="inlineStr">
        <is>
          <t>32</t>
        </is>
      </c>
      <c r="B511" s="57" t="inlineStr">
        <is>
          <t>재무 데이터5</t>
        </is>
      </c>
      <c r="C511" s="57" t="inlineStr">
        <is>
          <t>주요 지표</t>
        </is>
      </c>
      <c r="D511" s="57" t="inlineStr">
        <is>
          <t>KPI</t>
        </is>
      </c>
    </row>
    <row r="512">
      <c r="A512" s="54" t="inlineStr">
        <is>
          <t>33</t>
        </is>
      </c>
      <c r="B512" s="57" t="inlineStr">
        <is>
          <t>월별 화력</t>
        </is>
      </c>
      <c r="C512" s="57" t="inlineStr">
        <is>
          <t>8월 94%</t>
        </is>
      </c>
      <c r="D512" s="57" t="inlineStr">
        <is>
          <t>③</t>
        </is>
      </c>
    </row>
    <row r="513">
      <c r="A513" s="54" t="inlineStr">
        <is>
          <t>34</t>
        </is>
      </c>
      <c r="B513" s="57" t="inlineStr">
        <is>
          <t>화력 운용</t>
        </is>
      </c>
      <c r="C513" s="57" t="inlineStr">
        <is>
          <t>중간전원</t>
        </is>
      </c>
      <c r="D513" s="57" t="inlineStr">
        <is>
          <t>⑪</t>
        </is>
      </c>
    </row>
    <row r="514">
      <c r="A514" s="54" t="inlineStr">
        <is>
          <t>35</t>
        </is>
      </c>
      <c r="B514" s="57" t="inlineStr">
        <is>
          <t>월별 수력</t>
        </is>
      </c>
      <c r="C514" s="57" t="inlineStr">
        <is>
          <t>출수율</t>
        </is>
      </c>
      <c r="D514" s="57" t="inlineStr">
        <is>
          <t>⑧</t>
        </is>
      </c>
    </row>
    <row r="515">
      <c r="A515" s="54" t="inlineStr">
        <is>
          <t>36</t>
        </is>
      </c>
      <c r="B515" s="57" t="inlineStr">
        <is>
          <t>월별 풍력</t>
        </is>
      </c>
      <c r="C515" s="57" t="inlineStr">
        <is>
          <t>5.3억 kWh</t>
        </is>
      </c>
      <c r="D515" s="57" t="inlineStr">
        <is>
          <t>③</t>
        </is>
      </c>
    </row>
    <row r="516">
      <c r="A516" s="54" t="inlineStr">
        <is>
          <t>37</t>
        </is>
      </c>
      <c r="B516" s="57" t="inlineStr">
        <is>
          <t>전년 동월</t>
        </is>
      </c>
      <c r="C516" s="57" t="inlineStr">
        <is>
          <t>합계 95%</t>
        </is>
      </c>
      <c r="D516" s="57" t="inlineStr">
        <is>
          <t>③</t>
        </is>
      </c>
    </row>
    <row r="517">
      <c r="A517" s="54" t="inlineStr">
        <is>
          <t>38</t>
        </is>
      </c>
      <c r="B517" s="57" t="inlineStr">
        <is>
          <t>끝 표지</t>
        </is>
      </c>
      <c r="C517" s="57" t="inlineStr">
        <is>
          <t>—</t>
        </is>
      </c>
      <c r="D517" s="57" t="inlineStr">
        <is>
          <t>뺌: 표지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https://www2.jpx.co.jp/disc/95130/140120261029560126.pdf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https://www2.jpx.co.jp/disc/95130/140120260730503477.pdf</t>
        </is>
      </c>
    </row>
    <row r="6">
      <c r="A6" t="inlineStr">
        <is>
          <t>2026-05-12</t>
        </is>
      </c>
      <c r="B6" t="inlineStr">
        <is>
          <t>2026년 3월 결산기 연간 결산단신</t>
        </is>
      </c>
      <c r="C6" t="inlineStr">
        <is>
          <t>https://www2.jpx.co.jp/disc/95130/140120260511523365.pdf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https://www2.jpx.co.jp/disc/95130/140120260129541945.pdf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https://www2.jpx.co.jp/disc/95130/140120251031584507.pdf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https://www2.jpx.co.jp/disc/95130/140120250730524124.pdf</t>
        </is>
      </c>
    </row>
    <row r="10">
      <c r="A10" t="inlineStr">
        <is>
          <t>2025-05-09</t>
        </is>
      </c>
      <c r="B10" t="inlineStr">
        <is>
          <t>2025년 3월 결산기 연간 결산단신</t>
        </is>
      </c>
      <c r="C10" t="inlineStr">
        <is>
          <t>https://www2.jpx.co.jp/disc/95130/140120250509537963.pdf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https://www2.jpx.co.jp/disc/95130/140120250131559318.pdf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https://www2.jpx.co.jp/disc/95130/140120241029505257.pdf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https://www2.jpx.co.jp/disc/95130/140120240723553652.pdf</t>
        </is>
      </c>
    </row>
    <row r="14">
      <c r="A14" t="inlineStr">
        <is>
          <t>2024-05-09</t>
        </is>
      </c>
      <c r="B14" t="inlineStr">
        <is>
          <t>2024년 3월 결산기 연간 결산단신</t>
        </is>
      </c>
      <c r="C14" t="inlineStr">
        <is>
          <t>https://www2.jpx.co.jp/disc/95130/140120240509585730.pdf</t>
        </is>
      </c>
    </row>
    <row r="15">
      <c r="A15" t="inlineStr">
        <is>
          <t>2024-01-31</t>
        </is>
      </c>
      <c r="B15" t="inlineStr">
        <is>
          <t>2024년 3월 결산기 3분기 결산단신</t>
        </is>
      </c>
      <c r="C15" t="inlineStr">
        <is>
          <t>https://www2.jpx.co.jp/disc/95130/140120240129521015.pdf</t>
        </is>
      </c>
    </row>
    <row r="16">
      <c r="A16" t="inlineStr">
        <is>
          <t>2023-10-31</t>
        </is>
      </c>
      <c r="B16" t="inlineStr">
        <is>
          <t>2024년 3월 결산기 2분기 결산단신</t>
        </is>
      </c>
      <c r="C16" t="inlineStr">
        <is>
          <t>https://www2.jpx.co.jp/disc/95130/140120231027572894.pdf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https://www2.jpx.co.jp/disc/95130/140120230719524149.pdf</t>
        </is>
      </c>
    </row>
    <row r="18">
      <c r="A18" t="inlineStr">
        <is>
          <t>2023-05-10</t>
        </is>
      </c>
      <c r="B18" t="inlineStr">
        <is>
          <t>2023년 3월 결산기 연간 결산단신</t>
        </is>
      </c>
      <c r="C18" t="inlineStr">
        <is>
          <t>https://www2.jpx.co.jp/disc/95130/140120230508559499.pdf</t>
        </is>
      </c>
    </row>
    <row r="19">
      <c r="A19" t="inlineStr">
        <is>
          <t>2023-01-31</t>
        </is>
      </c>
      <c r="B19" t="inlineStr">
        <is>
          <t>2023년 3월 결산기 3분기 결산단신</t>
        </is>
      </c>
      <c r="C19" t="inlineStr">
        <is>
          <t>https://www2.jpx.co.jp/disc/95130/140120230127594712.pdf</t>
        </is>
      </c>
    </row>
    <row r="20">
      <c r="A20" t="inlineStr">
        <is>
          <t>2022-05-11</t>
        </is>
      </c>
      <c r="B20" t="inlineStr">
        <is>
          <t>연간 결산단신</t>
        </is>
      </c>
      <c r="C20" t="inlineStr">
        <is>
          <t>https://www2.jpx.co.jp/disc/95130/140120220506534132.pdf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https://www2.jpx.co.jp/disc/95130/140120210423499403.pdf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https://www2.jpx.co.jp/disc/95130/140120200423498421.pdf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https://www2.jpx.co.jp/disc/95130/140120190329497784.pdf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https://www2.jpx.co.jp/disc/95130/140120180402403187.pdf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59" t="inlineStr">
        <is>
          <t>9513 재무제표 한눈에 보기 — 최근 40개 분기(달력 분기, 3Q26 = 26.7~9) · 단위 억 엔</t>
        </is>
      </c>
    </row>
    <row r="2">
      <c r="A2" s="60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1" t="inlineStr">
        <is>
          <t>항목</t>
        </is>
      </c>
      <c r="B4" s="62" t="inlineStr">
        <is>
          <t>4Q16</t>
        </is>
      </c>
      <c r="C4" s="62" t="inlineStr">
        <is>
          <t>1Q17</t>
        </is>
      </c>
      <c r="D4" s="62" t="inlineStr">
        <is>
          <t>2Q17</t>
        </is>
      </c>
      <c r="E4" s="62" t="inlineStr">
        <is>
          <t>3Q17</t>
        </is>
      </c>
      <c r="F4" s="62" t="inlineStr">
        <is>
          <t>4Q17</t>
        </is>
      </c>
      <c r="G4" s="62" t="inlineStr">
        <is>
          <t>1Q18</t>
        </is>
      </c>
      <c r="H4" s="62" t="inlineStr">
        <is>
          <t>2Q18</t>
        </is>
      </c>
      <c r="I4" s="62" t="inlineStr">
        <is>
          <t>3Q18</t>
        </is>
      </c>
      <c r="J4" s="62" t="inlineStr">
        <is>
          <t>4Q18</t>
        </is>
      </c>
      <c r="K4" s="62" t="inlineStr">
        <is>
          <t>1Q19</t>
        </is>
      </c>
      <c r="L4" s="62" t="inlineStr">
        <is>
          <t>2Q19</t>
        </is>
      </c>
      <c r="M4" s="62" t="inlineStr">
        <is>
          <t>3Q19</t>
        </is>
      </c>
      <c r="N4" s="62" t="inlineStr">
        <is>
          <t>4Q19</t>
        </is>
      </c>
      <c r="O4" s="62" t="inlineStr">
        <is>
          <t>1Q20</t>
        </is>
      </c>
      <c r="P4" s="62" t="inlineStr">
        <is>
          <t>2Q20</t>
        </is>
      </c>
      <c r="Q4" s="62" t="inlineStr">
        <is>
          <t>3Q20</t>
        </is>
      </c>
      <c r="R4" s="62" t="inlineStr">
        <is>
          <t>4Q20</t>
        </is>
      </c>
      <c r="S4" s="62" t="inlineStr">
        <is>
          <t>1Q21</t>
        </is>
      </c>
      <c r="T4" s="62" t="inlineStr">
        <is>
          <t>2Q21</t>
        </is>
      </c>
      <c r="U4" s="62" t="inlineStr">
        <is>
          <t>3Q21</t>
        </is>
      </c>
      <c r="V4" s="62" t="inlineStr">
        <is>
          <t>4Q21</t>
        </is>
      </c>
      <c r="W4" s="62" t="inlineStr">
        <is>
          <t>1Q22</t>
        </is>
      </c>
      <c r="X4" s="62" t="inlineStr">
        <is>
          <t>2Q22</t>
        </is>
      </c>
      <c r="Y4" s="62" t="inlineStr">
        <is>
          <t>3Q22</t>
        </is>
      </c>
      <c r="Z4" s="62" t="inlineStr">
        <is>
          <t>4Q22</t>
        </is>
      </c>
      <c r="AA4" s="62" t="inlineStr">
        <is>
          <t>1Q23</t>
        </is>
      </c>
      <c r="AB4" s="62" t="inlineStr">
        <is>
          <t>2Q23</t>
        </is>
      </c>
      <c r="AC4" s="62" t="inlineStr">
        <is>
          <t>3Q23</t>
        </is>
      </c>
      <c r="AD4" s="62" t="inlineStr">
        <is>
          <t>4Q23</t>
        </is>
      </c>
      <c r="AE4" s="62" t="inlineStr">
        <is>
          <t>1Q24</t>
        </is>
      </c>
      <c r="AF4" s="62" t="inlineStr">
        <is>
          <t>2Q24</t>
        </is>
      </c>
      <c r="AG4" s="62" t="inlineStr">
        <is>
          <t>3Q24</t>
        </is>
      </c>
      <c r="AH4" s="62" t="inlineStr">
        <is>
          <t>4Q24</t>
        </is>
      </c>
      <c r="AI4" s="62" t="inlineStr">
        <is>
          <t>1Q25</t>
        </is>
      </c>
      <c r="AJ4" s="62" t="inlineStr">
        <is>
          <t>2Q25</t>
        </is>
      </c>
      <c r="AK4" s="62" t="inlineStr">
        <is>
          <t>3Q25</t>
        </is>
      </c>
      <c r="AL4" s="62" t="inlineStr">
        <is>
          <t>4Q25</t>
        </is>
      </c>
      <c r="AM4" s="62" t="inlineStr">
        <is>
          <t>1Q26</t>
        </is>
      </c>
      <c r="AN4" s="62" t="inlineStr">
        <is>
          <t>2Q26</t>
        </is>
      </c>
      <c r="AO4" s="62" t="inlineStr">
        <is>
          <t>3Q26</t>
        </is>
      </c>
      <c r="AP4" s="61" t="inlineStr">
        <is>
          <t>출처</t>
        </is>
      </c>
    </row>
    <row r="5">
      <c r="A5" s="63" t="inlineStr">
        <is>
          <t>매출액</t>
        </is>
      </c>
      <c r="B5" s="64" t="n"/>
      <c r="C5" s="64" t="n">
        <v>2134.1</v>
      </c>
      <c r="D5" s="64" t="n">
        <v>1897.2</v>
      </c>
      <c r="E5" s="64" t="n">
        <v>2204.9</v>
      </c>
      <c r="F5" s="64" t="n">
        <v>2244.8</v>
      </c>
      <c r="G5" s="64" t="n">
        <v>2215.6</v>
      </c>
      <c r="H5" s="64" t="n">
        <v>1975.9</v>
      </c>
      <c r="I5" s="64" t="n">
        <v>2267</v>
      </c>
      <c r="J5" s="64" t="n">
        <v>2357</v>
      </c>
      <c r="K5" s="64" t="n">
        <v>2373.8</v>
      </c>
      <c r="L5" s="64" t="n">
        <v>2158.8</v>
      </c>
      <c r="M5" s="64" t="n">
        <v>2460.6</v>
      </c>
      <c r="N5" s="64" t="n">
        <v>2140.7</v>
      </c>
      <c r="O5" s="64" t="n">
        <v>2377.7</v>
      </c>
      <c r="P5" s="64" t="n">
        <v>1879.2</v>
      </c>
      <c r="Q5" s="64" t="n">
        <v>2206.4</v>
      </c>
      <c r="R5" s="64" t="n">
        <v>1977</v>
      </c>
      <c r="S5" s="64" t="n">
        <v>3028.9</v>
      </c>
      <c r="T5" s="64" t="n">
        <v>1917.4</v>
      </c>
      <c r="U5" s="64" t="n">
        <v>2400.7</v>
      </c>
      <c r="V5" s="64" t="n">
        <v>2777</v>
      </c>
      <c r="W5" s="64" t="n">
        <v>3751.1</v>
      </c>
      <c r="X5" s="64" t="n">
        <v>3233.2</v>
      </c>
      <c r="Y5" s="64" t="n">
        <v>5164.8</v>
      </c>
      <c r="Z5" s="64" t="n">
        <v>5617.6</v>
      </c>
      <c r="AA5" s="64" t="n">
        <v>4403.7</v>
      </c>
      <c r="AB5" s="64" t="n">
        <v>2813.8</v>
      </c>
      <c r="AC5" s="64" t="n">
        <v>3502.1</v>
      </c>
      <c r="AD5" s="64" t="n">
        <v>3292.5</v>
      </c>
      <c r="AE5" s="64" t="n">
        <v>2971.6</v>
      </c>
      <c r="AF5" s="64" t="n">
        <v>2590.6</v>
      </c>
      <c r="AG5" s="64" t="n">
        <v>3816.7</v>
      </c>
      <c r="AH5" s="64" t="n">
        <v>3182.3</v>
      </c>
      <c r="AI5" s="64" t="n">
        <v>3577.2</v>
      </c>
      <c r="AJ5" s="64" t="n">
        <v>2503</v>
      </c>
      <c r="AK5" s="64" t="n">
        <v>3211.2</v>
      </c>
      <c r="AL5" s="64" t="n">
        <v>2931.4</v>
      </c>
      <c r="AM5" s="64" t="n">
        <v>3177</v>
      </c>
      <c r="AN5" s="64" t="n">
        <v>2802.7</v>
      </c>
      <c r="AO5" s="64" t="n">
        <v>4111.8</v>
      </c>
    </row>
    <row r="6">
      <c r="A6" s="63" t="inlineStr">
        <is>
          <t>매출액 YoY</t>
        </is>
      </c>
      <c r="B6" s="65" t="n"/>
      <c r="C6" s="65" t="n"/>
      <c r="D6" s="65" t="n"/>
      <c r="E6" s="65" t="n"/>
      <c r="F6" s="65" t="n"/>
      <c r="G6" s="65" t="n">
        <v>3.8</v>
      </c>
      <c r="H6" s="65" t="n">
        <v>4.1</v>
      </c>
      <c r="I6" s="65" t="n">
        <v>2.8</v>
      </c>
      <c r="J6" s="65" t="n">
        <v>5</v>
      </c>
      <c r="K6" s="65" t="n">
        <v>7.1</v>
      </c>
      <c r="L6" s="65" t="n">
        <v>9.300000000000001</v>
      </c>
      <c r="M6" s="65" t="n">
        <v>8.5</v>
      </c>
      <c r="N6" s="65" t="n">
        <v>-9.199999999999999</v>
      </c>
      <c r="O6" s="65" t="n">
        <v>0.2</v>
      </c>
      <c r="P6" s="65" t="n">
        <v>-13</v>
      </c>
      <c r="Q6" s="65" t="n">
        <v>-10.3</v>
      </c>
      <c r="R6" s="65" t="n">
        <v>-7.6</v>
      </c>
      <c r="S6" s="65" t="n">
        <v>27.4</v>
      </c>
      <c r="T6" s="65" t="n">
        <v>2</v>
      </c>
      <c r="U6" s="65" t="n">
        <v>8.800000000000001</v>
      </c>
      <c r="V6" s="65" t="n">
        <v>40.5</v>
      </c>
      <c r="W6" s="65" t="n">
        <v>23.8</v>
      </c>
      <c r="X6" s="65" t="n">
        <v>68.59999999999999</v>
      </c>
      <c r="Y6" s="65" t="n">
        <v>115.1</v>
      </c>
      <c r="Z6" s="65" t="n">
        <v>102.3</v>
      </c>
      <c r="AA6" s="65" t="n">
        <v>17.4</v>
      </c>
      <c r="AB6" s="65" t="n">
        <v>-13</v>
      </c>
      <c r="AC6" s="65" t="n">
        <v>-32.2</v>
      </c>
      <c r="AD6" s="65" t="n">
        <v>-41.4</v>
      </c>
      <c r="AE6" s="65" t="n">
        <v>-32.5</v>
      </c>
      <c r="AF6" s="65" t="n">
        <v>-7.9</v>
      </c>
      <c r="AG6" s="65" t="n">
        <v>9</v>
      </c>
      <c r="AH6" s="65" t="n">
        <v>-3.3</v>
      </c>
      <c r="AI6" s="65" t="n">
        <v>20.4</v>
      </c>
      <c r="AJ6" s="65" t="n">
        <v>-3.4</v>
      </c>
      <c r="AK6" s="65" t="n">
        <v>-15.9</v>
      </c>
      <c r="AL6" s="65" t="n">
        <v>-7.9</v>
      </c>
      <c r="AM6" s="65" t="n">
        <v>-11.2</v>
      </c>
      <c r="AN6" s="65" t="n">
        <v>12</v>
      </c>
      <c r="AO6" s="65" t="n">
        <v>28</v>
      </c>
    </row>
    <row r="7">
      <c r="A7" s="63" t="inlineStr">
        <is>
          <t>영업이익</t>
        </is>
      </c>
      <c r="B7" s="64" t="n"/>
      <c r="C7" s="64" t="n">
        <v>108</v>
      </c>
      <c r="D7" s="64" t="n">
        <v>276</v>
      </c>
      <c r="E7" s="64" t="n">
        <v>400.3</v>
      </c>
      <c r="F7" s="64" t="n">
        <v>324</v>
      </c>
      <c r="G7" s="64" t="n">
        <v>43</v>
      </c>
      <c r="H7" s="64" t="n">
        <v>311.8</v>
      </c>
      <c r="I7" s="64" t="n">
        <v>167.5</v>
      </c>
      <c r="J7" s="64" t="n">
        <v>298.4</v>
      </c>
      <c r="K7" s="64" t="n">
        <v>10.8</v>
      </c>
      <c r="L7" s="64" t="n">
        <v>301.5</v>
      </c>
      <c r="M7" s="64" t="n">
        <v>193.5</v>
      </c>
      <c r="N7" s="64" t="n">
        <v>187.4</v>
      </c>
      <c r="O7" s="64" t="n">
        <v>154</v>
      </c>
      <c r="P7" s="64" t="n">
        <v>225.9</v>
      </c>
      <c r="Q7" s="64" t="n">
        <v>317.2</v>
      </c>
      <c r="R7" s="64" t="n">
        <v>206.3</v>
      </c>
      <c r="S7" s="64" t="n">
        <v>28.4</v>
      </c>
      <c r="T7" s="64" t="n">
        <v>215.4</v>
      </c>
      <c r="U7" s="64" t="n">
        <v>132.9</v>
      </c>
      <c r="V7" s="64" t="n">
        <v>290.9</v>
      </c>
      <c r="W7" s="64" t="n">
        <v>230.5</v>
      </c>
      <c r="X7" s="64" t="n">
        <v>195.1</v>
      </c>
      <c r="Y7" s="64" t="n">
        <v>668.1</v>
      </c>
      <c r="Z7" s="64" t="n">
        <v>751.9</v>
      </c>
      <c r="AA7" s="64" t="n">
        <v>223.6</v>
      </c>
      <c r="AB7" s="64" t="n">
        <v>265.6</v>
      </c>
      <c r="AC7" s="64" t="n">
        <v>184.4</v>
      </c>
      <c r="AD7" s="64" t="n">
        <v>387.3</v>
      </c>
      <c r="AE7" s="64" t="n">
        <v>219.8</v>
      </c>
      <c r="AF7" s="64" t="n">
        <v>326.8</v>
      </c>
      <c r="AG7" s="64" t="n">
        <v>381.1</v>
      </c>
      <c r="AH7" s="64" t="n">
        <v>435</v>
      </c>
      <c r="AI7" s="64" t="n">
        <v>240.2</v>
      </c>
      <c r="AJ7" s="64" t="n">
        <v>324.8</v>
      </c>
      <c r="AK7" s="64" t="n">
        <v>211.3</v>
      </c>
      <c r="AL7" s="64" t="n">
        <v>346.6</v>
      </c>
      <c r="AM7" s="64" t="n">
        <v>127.3</v>
      </c>
      <c r="AN7" s="64" t="n">
        <v>362.8</v>
      </c>
      <c r="AO7" s="64" t="n">
        <v>454.1</v>
      </c>
    </row>
    <row r="8">
      <c r="A8" s="63" t="inlineStr">
        <is>
          <t>영업이익률</t>
        </is>
      </c>
      <c r="B8" s="65" t="n"/>
      <c r="C8" s="65" t="n">
        <v>5.1</v>
      </c>
      <c r="D8" s="65" t="n">
        <v>14.5</v>
      </c>
      <c r="E8" s="65" t="n">
        <v>18.2</v>
      </c>
      <c r="F8" s="65" t="n">
        <v>14.4</v>
      </c>
      <c r="G8" s="65" t="n">
        <v>1.9</v>
      </c>
      <c r="H8" s="65" t="n">
        <v>15.8</v>
      </c>
      <c r="I8" s="65" t="n">
        <v>7.4</v>
      </c>
      <c r="J8" s="65" t="n">
        <v>12.7</v>
      </c>
      <c r="K8" s="65" t="n">
        <v>0.5</v>
      </c>
      <c r="L8" s="65" t="n">
        <v>14</v>
      </c>
      <c r="M8" s="65" t="n">
        <v>7.9</v>
      </c>
      <c r="N8" s="65" t="n">
        <v>8.800000000000001</v>
      </c>
      <c r="O8" s="65" t="n">
        <v>6.5</v>
      </c>
      <c r="P8" s="65" t="n">
        <v>12</v>
      </c>
      <c r="Q8" s="65" t="n">
        <v>14.4</v>
      </c>
      <c r="R8" s="65" t="n">
        <v>10.4</v>
      </c>
      <c r="S8" s="65" t="n">
        <v>0.9</v>
      </c>
      <c r="T8" s="65" t="n">
        <v>11.2</v>
      </c>
      <c r="U8" s="65" t="n">
        <v>5.5</v>
      </c>
      <c r="V8" s="65" t="n">
        <v>10.5</v>
      </c>
      <c r="W8" s="65" t="n">
        <v>6.1</v>
      </c>
      <c r="X8" s="65" t="n">
        <v>6</v>
      </c>
      <c r="Y8" s="65" t="n">
        <v>12.9</v>
      </c>
      <c r="Z8" s="65" t="n">
        <v>13.4</v>
      </c>
      <c r="AA8" s="65" t="n">
        <v>5.1</v>
      </c>
      <c r="AB8" s="65" t="n">
        <v>9.4</v>
      </c>
      <c r="AC8" s="65" t="n">
        <v>5.3</v>
      </c>
      <c r="AD8" s="65" t="n">
        <v>11.8</v>
      </c>
      <c r="AE8" s="65" t="n">
        <v>7.4</v>
      </c>
      <c r="AF8" s="65" t="n">
        <v>12.6</v>
      </c>
      <c r="AG8" s="65" t="n">
        <v>10</v>
      </c>
      <c r="AH8" s="65" t="n">
        <v>13.7</v>
      </c>
      <c r="AI8" s="65" t="n">
        <v>6.7</v>
      </c>
      <c r="AJ8" s="65" t="n">
        <v>13</v>
      </c>
      <c r="AK8" s="65" t="n">
        <v>6.6</v>
      </c>
      <c r="AL8" s="65" t="n">
        <v>11.8</v>
      </c>
      <c r="AM8" s="65" t="n">
        <v>4</v>
      </c>
      <c r="AN8" s="65" t="n">
        <v>12.9</v>
      </c>
      <c r="AO8" s="65" t="n">
        <v>11</v>
      </c>
    </row>
    <row r="9">
      <c r="A9" s="63" t="inlineStr">
        <is>
          <t>영업이익 YoY</t>
        </is>
      </c>
      <c r="B9" s="65" t="n"/>
      <c r="C9" s="65" t="n"/>
      <c r="D9" s="65" t="n"/>
      <c r="E9" s="65" t="n"/>
      <c r="F9" s="65" t="n"/>
      <c r="G9" s="65" t="n">
        <v>-60.2</v>
      </c>
      <c r="H9" s="65" t="n">
        <v>13</v>
      </c>
      <c r="I9" s="65" t="n">
        <v>-58.2</v>
      </c>
      <c r="J9" s="65" t="n">
        <v>-7.9</v>
      </c>
      <c r="K9" s="65" t="n">
        <v>-74.90000000000001</v>
      </c>
      <c r="L9" s="65" t="n">
        <v>-3.3</v>
      </c>
      <c r="M9" s="65" t="n">
        <v>15.5</v>
      </c>
      <c r="N9" s="65" t="n">
        <v>-37.2</v>
      </c>
      <c r="O9" s="65" t="n">
        <v>1325.9</v>
      </c>
      <c r="P9" s="65" t="n">
        <v>-25.1</v>
      </c>
      <c r="Q9" s="65" t="n">
        <v>63.9</v>
      </c>
      <c r="R9" s="65" t="n">
        <v>10.1</v>
      </c>
      <c r="S9" s="65" t="n">
        <v>-81.59999999999999</v>
      </c>
      <c r="T9" s="65" t="n">
        <v>-4.6</v>
      </c>
      <c r="U9" s="65" t="n">
        <v>-58.1</v>
      </c>
      <c r="V9" s="65" t="n">
        <v>41</v>
      </c>
      <c r="W9" s="65" t="n">
        <v>711.6</v>
      </c>
      <c r="X9" s="65" t="n">
        <v>-9.4</v>
      </c>
      <c r="Y9" s="65" t="n">
        <v>402.7</v>
      </c>
      <c r="Z9" s="65" t="n">
        <v>158.5</v>
      </c>
      <c r="AA9" s="65" t="n">
        <v>-3</v>
      </c>
      <c r="AB9" s="65" t="n">
        <v>36.1</v>
      </c>
      <c r="AC9" s="65" t="n">
        <v>-72.40000000000001</v>
      </c>
      <c r="AD9" s="65" t="n">
        <v>-48.5</v>
      </c>
      <c r="AE9" s="65" t="n">
        <v>-1.7</v>
      </c>
      <c r="AF9" s="65" t="n">
        <v>23</v>
      </c>
      <c r="AG9" s="65" t="n">
        <v>106.7</v>
      </c>
      <c r="AH9" s="65" t="n">
        <v>12.3</v>
      </c>
      <c r="AI9" s="65" t="n">
        <v>9.300000000000001</v>
      </c>
      <c r="AJ9" s="65" t="n">
        <v>-0.6</v>
      </c>
      <c r="AK9" s="65" t="n">
        <v>-44.6</v>
      </c>
      <c r="AL9" s="65" t="n">
        <v>-20.3</v>
      </c>
      <c r="AM9" s="65" t="n">
        <v>-47</v>
      </c>
      <c r="AN9" s="65" t="n">
        <v>11.7</v>
      </c>
      <c r="AO9" s="65" t="n">
        <v>114.9</v>
      </c>
    </row>
    <row r="10">
      <c r="A10" s="63" t="inlineStr">
        <is>
          <t>유동자산</t>
        </is>
      </c>
      <c r="B10" s="64" t="n"/>
      <c r="C10" s="64" t="n">
        <v>3352.4</v>
      </c>
      <c r="D10" s="64" t="n"/>
      <c r="E10" s="64" t="n"/>
      <c r="F10" s="64" t="n">
        <v>3767.1</v>
      </c>
      <c r="G10" s="64" t="n">
        <v>3218</v>
      </c>
      <c r="H10" s="64" t="n">
        <v>3339.8</v>
      </c>
      <c r="I10" s="64" t="n">
        <v>3777.4</v>
      </c>
      <c r="J10" s="64" t="n">
        <v>3995.9</v>
      </c>
      <c r="K10" s="64" t="n">
        <v>3645.1</v>
      </c>
      <c r="L10" s="64" t="n">
        <v>3782.4</v>
      </c>
      <c r="M10" s="64" t="n">
        <v>3597.4</v>
      </c>
      <c r="N10" s="64" t="n">
        <v>3739</v>
      </c>
      <c r="O10" s="64" t="n">
        <v>3340.4</v>
      </c>
      <c r="P10" s="64" t="n">
        <v>3552.6</v>
      </c>
      <c r="Q10" s="64" t="n">
        <v>3410.5</v>
      </c>
      <c r="R10" s="64" t="n">
        <v>3760.2</v>
      </c>
      <c r="S10" s="64" t="n">
        <v>3667.6</v>
      </c>
      <c r="T10" s="64" t="n">
        <v>3604.7</v>
      </c>
      <c r="U10" s="64" t="n">
        <v>3545.4</v>
      </c>
      <c r="V10" s="64" t="n">
        <v>3598.3</v>
      </c>
      <c r="W10" s="64" t="n">
        <v>4713.6</v>
      </c>
      <c r="X10" s="64" t="n">
        <v>6139.7</v>
      </c>
      <c r="Y10" s="64" t="n">
        <v>7074.1</v>
      </c>
      <c r="Z10" s="64" t="n">
        <v>7203.2</v>
      </c>
      <c r="AA10" s="64" t="n">
        <v>6613</v>
      </c>
      <c r="AB10" s="64" t="n">
        <v>6901.3</v>
      </c>
      <c r="AC10" s="64" t="n">
        <v>6949.2</v>
      </c>
      <c r="AD10" s="64" t="n">
        <v>6742.9</v>
      </c>
      <c r="AE10" s="64" t="n">
        <v>6902.5</v>
      </c>
      <c r="AF10" s="64" t="n">
        <v>6970.1</v>
      </c>
      <c r="AG10" s="64" t="n">
        <v>7191.2</v>
      </c>
      <c r="AH10" s="64" t="n">
        <v>7066.2</v>
      </c>
      <c r="AI10" s="64" t="n">
        <v>6737.1</v>
      </c>
      <c r="AJ10" s="64" t="n">
        <v>6389.1</v>
      </c>
      <c r="AK10" s="64" t="n">
        <v>6249.4</v>
      </c>
      <c r="AL10" s="64" t="n">
        <v>6893.1</v>
      </c>
      <c r="AM10" s="64" t="n">
        <v>6662.4</v>
      </c>
      <c r="AN10" s="64" t="n">
        <v>7051.9</v>
      </c>
      <c r="AO10" s="64" t="n">
        <v>7562.3</v>
      </c>
    </row>
    <row r="11">
      <c r="A11" s="63" t="inlineStr">
        <is>
          <t>유동부채</t>
        </is>
      </c>
      <c r="B11" s="64" t="n"/>
      <c r="C11" s="64" t="n">
        <v>3443.8</v>
      </c>
      <c r="D11" s="64" t="n"/>
      <c r="E11" s="64" t="n"/>
      <c r="F11" s="64" t="n">
        <v>2662.2</v>
      </c>
      <c r="G11" s="64" t="n">
        <v>2491</v>
      </c>
      <c r="H11" s="64" t="n">
        <v>2267.7</v>
      </c>
      <c r="I11" s="64" t="n">
        <v>2462.7</v>
      </c>
      <c r="J11" s="64" t="n">
        <v>2684.2</v>
      </c>
      <c r="K11" s="64" t="n">
        <v>2982.2</v>
      </c>
      <c r="L11" s="64" t="n">
        <v>3094.6</v>
      </c>
      <c r="M11" s="64" t="n">
        <v>2848.6</v>
      </c>
      <c r="N11" s="64" t="n">
        <v>2930.6</v>
      </c>
      <c r="O11" s="64" t="n">
        <v>3056.5</v>
      </c>
      <c r="P11" s="64" t="n">
        <v>2824.4</v>
      </c>
      <c r="Q11" s="64" t="n">
        <v>2684.2</v>
      </c>
      <c r="R11" s="64" t="n">
        <v>2689</v>
      </c>
      <c r="S11" s="64" t="n">
        <v>2751.2</v>
      </c>
      <c r="T11" s="64" t="n">
        <v>2551.1</v>
      </c>
      <c r="U11" s="64" t="n">
        <v>2892.7</v>
      </c>
      <c r="V11" s="64" t="n">
        <v>2962.3</v>
      </c>
      <c r="W11" s="64" t="n">
        <v>4155</v>
      </c>
      <c r="X11" s="64" t="n">
        <v>5222.4</v>
      </c>
      <c r="Y11" s="64" t="n">
        <v>5378.2</v>
      </c>
      <c r="Z11" s="64" t="n">
        <v>5157.4</v>
      </c>
      <c r="AA11" s="64" t="n">
        <v>3720.2</v>
      </c>
      <c r="AB11" s="64" t="n">
        <v>3757.1</v>
      </c>
      <c r="AC11" s="64" t="n">
        <v>3801.6</v>
      </c>
      <c r="AD11" s="64" t="n">
        <v>3784.4</v>
      </c>
      <c r="AE11" s="64" t="n">
        <v>3492.6</v>
      </c>
      <c r="AF11" s="64" t="n">
        <v>3763.9</v>
      </c>
      <c r="AG11" s="64" t="n">
        <v>4025.2</v>
      </c>
      <c r="AH11" s="64" t="n">
        <v>3851.9</v>
      </c>
      <c r="AI11" s="64" t="n">
        <v>4133.6</v>
      </c>
      <c r="AJ11" s="64" t="n">
        <v>4205.4</v>
      </c>
      <c r="AK11" s="64" t="n">
        <v>4020.7</v>
      </c>
      <c r="AL11" s="64" t="n">
        <v>3983.8</v>
      </c>
      <c r="AM11" s="64" t="n">
        <v>3982.3</v>
      </c>
      <c r="AN11" s="64" t="n">
        <v>3876.1</v>
      </c>
      <c r="AO11" s="64" t="n">
        <v>4696.8</v>
      </c>
    </row>
    <row r="12">
      <c r="A12" s="63" t="inlineStr">
        <is>
          <t>부채총계</t>
        </is>
      </c>
      <c r="B12" s="64" t="n"/>
      <c r="C12" s="64" t="n">
        <v>18422.7</v>
      </c>
      <c r="D12" s="64" t="n"/>
      <c r="E12" s="64" t="n"/>
      <c r="F12" s="64" t="n">
        <v>18217.2</v>
      </c>
      <c r="G12" s="64" t="n">
        <v>18109.3</v>
      </c>
      <c r="H12" s="64" t="n">
        <v>17782.8</v>
      </c>
      <c r="I12" s="64" t="n">
        <v>18789.2</v>
      </c>
      <c r="J12" s="64" t="n">
        <v>19200</v>
      </c>
      <c r="K12" s="64" t="n">
        <v>19206</v>
      </c>
      <c r="L12" s="64" t="n">
        <v>19415.1</v>
      </c>
      <c r="M12" s="64" t="n">
        <v>19271.7</v>
      </c>
      <c r="N12" s="64" t="n">
        <v>19432.8</v>
      </c>
      <c r="O12" s="64" t="n">
        <v>19480</v>
      </c>
      <c r="P12" s="64" t="n">
        <v>19886.1</v>
      </c>
      <c r="Q12" s="64" t="n">
        <v>19577.4</v>
      </c>
      <c r="R12" s="64" t="n">
        <v>19632.1</v>
      </c>
      <c r="S12" s="64" t="n">
        <v>19882.7</v>
      </c>
      <c r="T12" s="64" t="n">
        <v>20032.4</v>
      </c>
      <c r="U12" s="64" t="n">
        <v>20034.5</v>
      </c>
      <c r="V12" s="64" t="n">
        <v>20025.3</v>
      </c>
      <c r="W12" s="64" t="n">
        <v>21020.7</v>
      </c>
      <c r="X12" s="64" t="n">
        <v>22364.8</v>
      </c>
      <c r="Y12" s="64" t="n">
        <v>23114.9</v>
      </c>
      <c r="Z12" s="64" t="n">
        <v>22987.2</v>
      </c>
      <c r="AA12" s="64" t="n">
        <v>21699.4</v>
      </c>
      <c r="AB12" s="64" t="n">
        <v>21869.1</v>
      </c>
      <c r="AC12" s="64" t="n">
        <v>21750.1</v>
      </c>
      <c r="AD12" s="64" t="n">
        <v>21521.4</v>
      </c>
      <c r="AE12" s="64" t="n">
        <v>21426.7</v>
      </c>
      <c r="AF12" s="64" t="n">
        <v>21439.1</v>
      </c>
      <c r="AG12" s="64" t="n">
        <v>22510.7</v>
      </c>
      <c r="AH12" s="64" t="n">
        <v>21989.6</v>
      </c>
      <c r="AI12" s="64" t="n">
        <v>22052.4</v>
      </c>
      <c r="AJ12" s="64" t="n">
        <v>21540.4</v>
      </c>
      <c r="AK12" s="64" t="n">
        <v>21394.2</v>
      </c>
      <c r="AL12" s="64" t="n">
        <v>21811.5</v>
      </c>
      <c r="AM12" s="64" t="n">
        <v>22052.2</v>
      </c>
      <c r="AN12" s="64" t="n">
        <v>22776.9</v>
      </c>
      <c r="AO12" s="64" t="n">
        <v>23283.6</v>
      </c>
    </row>
    <row r="13">
      <c r="A13" s="63" t="inlineStr">
        <is>
          <t>자기자본</t>
        </is>
      </c>
      <c r="B13" s="65" t="n"/>
      <c r="C13" s="65" t="n">
        <v>7640.2</v>
      </c>
      <c r="D13" s="65" t="n"/>
      <c r="E13" s="65" t="n"/>
      <c r="F13" s="65" t="n">
        <v>8323.4</v>
      </c>
      <c r="G13" s="65" t="n">
        <v>8361.200000000001</v>
      </c>
      <c r="H13" s="65" t="n">
        <v>8515.5</v>
      </c>
      <c r="I13" s="65" t="n">
        <v>8525.299999999999</v>
      </c>
      <c r="J13" s="65" t="n">
        <v>8775.299999999999</v>
      </c>
      <c r="K13" s="65" t="n">
        <v>8455.799999999999</v>
      </c>
      <c r="L13" s="65" t="n">
        <v>8537.1</v>
      </c>
      <c r="M13" s="65" t="n">
        <v>8501.6</v>
      </c>
      <c r="N13" s="65" t="n">
        <v>8454.9</v>
      </c>
      <c r="O13" s="65" t="n">
        <v>8573.9</v>
      </c>
      <c r="P13" s="65" t="n">
        <v>8106.5</v>
      </c>
      <c r="Q13" s="65" t="n">
        <v>8460.4</v>
      </c>
      <c r="R13" s="65" t="n">
        <v>8637.299999999999</v>
      </c>
      <c r="S13" s="65" t="n">
        <v>8536.9</v>
      </c>
      <c r="T13" s="65" t="n">
        <v>8969.700000000001</v>
      </c>
      <c r="U13" s="65" t="n">
        <v>8940.9</v>
      </c>
      <c r="V13" s="65" t="n">
        <v>8945.700000000001</v>
      </c>
      <c r="W13" s="65" t="n">
        <v>9641</v>
      </c>
      <c r="X13" s="65" t="n">
        <v>10287.6</v>
      </c>
      <c r="Y13" s="65" t="n">
        <v>11119.8</v>
      </c>
      <c r="Z13" s="65" t="n">
        <v>11711.6</v>
      </c>
      <c r="AA13" s="65" t="n">
        <v>11927.4</v>
      </c>
      <c r="AB13" s="65" t="n">
        <v>12067.2</v>
      </c>
      <c r="AC13" s="65" t="n">
        <v>12739.8</v>
      </c>
      <c r="AD13" s="65" t="n">
        <v>13105.7</v>
      </c>
      <c r="AE13" s="65" t="n">
        <v>13331.4</v>
      </c>
      <c r="AF13" s="65" t="n">
        <v>13697.3</v>
      </c>
      <c r="AG13" s="65" t="n">
        <v>14359.1</v>
      </c>
      <c r="AH13" s="65" t="n">
        <v>14043</v>
      </c>
      <c r="AI13" s="65" t="n">
        <v>14635</v>
      </c>
      <c r="AJ13" s="65" t="n">
        <v>14649.4</v>
      </c>
      <c r="AK13" s="65" t="n">
        <v>14634.8</v>
      </c>
      <c r="AL13" s="65" t="n">
        <v>15021</v>
      </c>
      <c r="AM13" s="65" t="n">
        <v>15344.8</v>
      </c>
      <c r="AN13" s="65" t="n">
        <v>15599.2</v>
      </c>
      <c r="AO13" s="65" t="n">
        <v>15975.3</v>
      </c>
    </row>
    <row r="14">
      <c r="A14" s="63" t="inlineStr">
        <is>
          <t>유동비율</t>
        </is>
      </c>
      <c r="B14" s="65" t="n"/>
      <c r="C14" s="65" t="n">
        <v>97.3</v>
      </c>
      <c r="D14" s="65" t="n"/>
      <c r="E14" s="65" t="n"/>
      <c r="F14" s="65" t="n">
        <v>141.5</v>
      </c>
      <c r="G14" s="65" t="n">
        <v>129.2</v>
      </c>
      <c r="H14" s="65" t="n">
        <v>147.3</v>
      </c>
      <c r="I14" s="65" t="n">
        <v>153.4</v>
      </c>
      <c r="J14" s="65" t="n">
        <v>148.9</v>
      </c>
      <c r="K14" s="65" t="n">
        <v>122.2</v>
      </c>
      <c r="L14" s="65" t="n">
        <v>122.2</v>
      </c>
      <c r="M14" s="65" t="n">
        <v>126.3</v>
      </c>
      <c r="N14" s="65" t="n">
        <v>127.6</v>
      </c>
      <c r="O14" s="65" t="n">
        <v>109.3</v>
      </c>
      <c r="P14" s="65" t="n">
        <v>125.8</v>
      </c>
      <c r="Q14" s="65" t="n">
        <v>127.1</v>
      </c>
      <c r="R14" s="65" t="n">
        <v>139.8</v>
      </c>
      <c r="S14" s="65" t="n">
        <v>133.3</v>
      </c>
      <c r="T14" s="65" t="n">
        <v>141.3</v>
      </c>
      <c r="U14" s="65" t="n">
        <v>122.6</v>
      </c>
      <c r="V14" s="65" t="n">
        <v>121.5</v>
      </c>
      <c r="W14" s="65" t="n">
        <v>113.4</v>
      </c>
      <c r="X14" s="65" t="n">
        <v>117.6</v>
      </c>
      <c r="Y14" s="65" t="n">
        <v>131.5</v>
      </c>
      <c r="Z14" s="65" t="n">
        <v>139.7</v>
      </c>
      <c r="AA14" s="65" t="n">
        <v>177.8</v>
      </c>
      <c r="AB14" s="65" t="n">
        <v>183.7</v>
      </c>
      <c r="AC14" s="65" t="n">
        <v>182.8</v>
      </c>
      <c r="AD14" s="65" t="n">
        <v>178.2</v>
      </c>
      <c r="AE14" s="65" t="n">
        <v>197.6</v>
      </c>
      <c r="AF14" s="65" t="n">
        <v>185.2</v>
      </c>
      <c r="AG14" s="65" t="n">
        <v>178.7</v>
      </c>
      <c r="AH14" s="65" t="n">
        <v>183.4</v>
      </c>
      <c r="AI14" s="65" t="n">
        <v>163</v>
      </c>
      <c r="AJ14" s="65" t="n">
        <v>151.9</v>
      </c>
      <c r="AK14" s="65" t="n">
        <v>155.4</v>
      </c>
      <c r="AL14" s="65" t="n">
        <v>173</v>
      </c>
      <c r="AM14" s="65" t="n">
        <v>167.3</v>
      </c>
      <c r="AN14" s="65" t="n">
        <v>181.9</v>
      </c>
      <c r="AO14" s="65" t="n">
        <v>161</v>
      </c>
    </row>
    <row r="15">
      <c r="A15" s="63" t="inlineStr">
        <is>
          <t>부채비율</t>
        </is>
      </c>
      <c r="B15" s="65" t="n"/>
      <c r="C15" s="65" t="n">
        <v>241.1</v>
      </c>
      <c r="D15" s="65" t="n"/>
      <c r="E15" s="65" t="n"/>
      <c r="F15" s="65" t="n">
        <v>218.9</v>
      </c>
      <c r="G15" s="65" t="n">
        <v>216.6</v>
      </c>
      <c r="H15" s="65" t="n">
        <v>208.8</v>
      </c>
      <c r="I15" s="65" t="n">
        <v>220.4</v>
      </c>
      <c r="J15" s="65" t="n">
        <v>218.8</v>
      </c>
      <c r="K15" s="65" t="n">
        <v>227.1</v>
      </c>
      <c r="L15" s="65" t="n">
        <v>227.4</v>
      </c>
      <c r="M15" s="65" t="n">
        <v>226.7</v>
      </c>
      <c r="N15" s="65" t="n">
        <v>229.8</v>
      </c>
      <c r="O15" s="65" t="n">
        <v>227.2</v>
      </c>
      <c r="P15" s="65" t="n">
        <v>245.3</v>
      </c>
      <c r="Q15" s="65" t="n">
        <v>231.4</v>
      </c>
      <c r="R15" s="65" t="n">
        <v>227.3</v>
      </c>
      <c r="S15" s="65" t="n">
        <v>232.9</v>
      </c>
      <c r="T15" s="65" t="n">
        <v>223.3</v>
      </c>
      <c r="U15" s="65" t="n">
        <v>224.1</v>
      </c>
      <c r="V15" s="65" t="n">
        <v>223.9</v>
      </c>
      <c r="W15" s="65" t="n">
        <v>218</v>
      </c>
      <c r="X15" s="65" t="n">
        <v>217.4</v>
      </c>
      <c r="Y15" s="65" t="n">
        <v>207.9</v>
      </c>
      <c r="Z15" s="65" t="n">
        <v>196.3</v>
      </c>
      <c r="AA15" s="65" t="n">
        <v>181.9</v>
      </c>
      <c r="AB15" s="65" t="n">
        <v>181.2</v>
      </c>
      <c r="AC15" s="65" t="n">
        <v>170.7</v>
      </c>
      <c r="AD15" s="65" t="n">
        <v>164.2</v>
      </c>
      <c r="AE15" s="65" t="n">
        <v>160.7</v>
      </c>
      <c r="AF15" s="65" t="n">
        <v>156.5</v>
      </c>
      <c r="AG15" s="65" t="n">
        <v>156.8</v>
      </c>
      <c r="AH15" s="65" t="n">
        <v>156.6</v>
      </c>
      <c r="AI15" s="65" t="n">
        <v>150.7</v>
      </c>
      <c r="AJ15" s="65" t="n">
        <v>147</v>
      </c>
      <c r="AK15" s="65" t="n">
        <v>146.2</v>
      </c>
      <c r="AL15" s="65" t="n">
        <v>145.2</v>
      </c>
      <c r="AM15" s="65" t="n">
        <v>143.7</v>
      </c>
      <c r="AN15" s="65" t="n">
        <v>146</v>
      </c>
      <c r="AO15" s="65" t="n">
        <v>145.7</v>
      </c>
    </row>
    <row r="16">
      <c r="A16" s="63" t="inlineStr">
        <is>
          <t>순차입금/자기자본</t>
        </is>
      </c>
      <c r="B16" s="65" t="n"/>
      <c r="C16" s="65" t="n">
        <v>169.4</v>
      </c>
      <c r="D16" s="65" t="n"/>
      <c r="E16" s="65" t="n"/>
      <c r="F16" s="65" t="n">
        <v>158.3</v>
      </c>
      <c r="G16" s="65" t="n">
        <v>157.6</v>
      </c>
      <c r="H16" s="65" t="n">
        <v>153.5</v>
      </c>
      <c r="I16" s="65" t="n">
        <v>161.6</v>
      </c>
      <c r="J16" s="65" t="n">
        <v>158.5</v>
      </c>
      <c r="K16" s="65" t="n">
        <v>161.1</v>
      </c>
      <c r="L16" s="65" t="n">
        <v>158.4</v>
      </c>
      <c r="M16" s="65" t="n">
        <v>162.9</v>
      </c>
      <c r="N16" s="65" t="n">
        <v>163</v>
      </c>
      <c r="O16" s="65" t="n">
        <v>154.9</v>
      </c>
      <c r="P16" s="65" t="n">
        <v>168.8</v>
      </c>
      <c r="Q16" s="65" t="n">
        <v>160.4</v>
      </c>
      <c r="R16" s="65" t="n">
        <v>155.5</v>
      </c>
      <c r="S16" s="65" t="n">
        <v>162.7</v>
      </c>
      <c r="T16" s="65" t="n">
        <v>163.2</v>
      </c>
      <c r="U16" s="65" t="n">
        <v>167.6</v>
      </c>
      <c r="V16" s="65" t="n">
        <v>163.9</v>
      </c>
      <c r="W16" s="65" t="n">
        <v>147.6</v>
      </c>
      <c r="X16" s="65" t="n">
        <v>149.9</v>
      </c>
      <c r="Y16" s="65" t="n">
        <v>140.1</v>
      </c>
      <c r="Z16" s="65" t="n">
        <v>126.6</v>
      </c>
      <c r="AA16" s="65" t="n">
        <v>112.2</v>
      </c>
      <c r="AB16" s="65" t="n">
        <v>110</v>
      </c>
      <c r="AC16" s="65" t="n">
        <v>99.7</v>
      </c>
      <c r="AD16" s="65" t="n">
        <v>95.8</v>
      </c>
      <c r="AE16" s="65" t="n">
        <v>104.4</v>
      </c>
      <c r="AF16" s="65" t="n">
        <v>99.3</v>
      </c>
      <c r="AG16" s="65" t="n">
        <v>96.90000000000001</v>
      </c>
      <c r="AH16" s="65" t="n">
        <v>97.5</v>
      </c>
      <c r="AI16" s="65" t="n">
        <v>92.40000000000001</v>
      </c>
      <c r="AJ16" s="65" t="n">
        <v>86</v>
      </c>
      <c r="AK16" s="65" t="n">
        <v>88.90000000000001</v>
      </c>
      <c r="AL16" s="65" t="n">
        <v>88.5</v>
      </c>
      <c r="AM16" s="65" t="n">
        <v>83.5</v>
      </c>
      <c r="AN16" s="65" t="n">
        <v>90.8</v>
      </c>
      <c r="AO16" s="65" t="n">
        <v>87.2</v>
      </c>
    </row>
    <row r="17">
      <c r="A17" s="63" t="inlineStr">
        <is>
          <t>재고자산</t>
        </is>
      </c>
      <c r="B17" s="64" t="n"/>
      <c r="C17" s="64" t="n">
        <v>471.7</v>
      </c>
      <c r="D17" s="64" t="n"/>
      <c r="E17" s="64" t="n"/>
      <c r="F17" s="64" t="n">
        <v>545.6</v>
      </c>
      <c r="G17" s="64" t="n">
        <v>523.7</v>
      </c>
      <c r="H17" s="64" t="n">
        <v>553.6</v>
      </c>
      <c r="I17" s="64" t="n">
        <v>516.8</v>
      </c>
      <c r="J17" s="64" t="n">
        <v>576</v>
      </c>
      <c r="K17" s="64" t="n">
        <v>534.8</v>
      </c>
      <c r="L17" s="64" t="n">
        <v>558.4</v>
      </c>
      <c r="M17" s="64" t="n">
        <v>500</v>
      </c>
      <c r="N17" s="64" t="n">
        <v>491.2</v>
      </c>
      <c r="O17" s="64" t="n">
        <v>503.8</v>
      </c>
      <c r="P17" s="64" t="n">
        <v>506.6</v>
      </c>
      <c r="Q17" s="64" t="n">
        <v>490.7</v>
      </c>
      <c r="R17" s="64" t="n">
        <v>493.1</v>
      </c>
      <c r="S17" s="64" t="n">
        <v>460.9</v>
      </c>
      <c r="T17" s="64" t="n">
        <v>491.1</v>
      </c>
      <c r="U17" s="64" t="n">
        <v>565.2</v>
      </c>
      <c r="V17" s="64" t="n">
        <v>557.2</v>
      </c>
      <c r="W17" s="64" t="n">
        <v>621.7</v>
      </c>
      <c r="X17" s="64" t="n">
        <v>1068.2</v>
      </c>
      <c r="Y17" s="64" t="n">
        <v>1225.2</v>
      </c>
      <c r="Z17" s="64" t="n">
        <v>989.4</v>
      </c>
      <c r="AA17" s="64" t="n">
        <v>1103.2</v>
      </c>
      <c r="AB17" s="64" t="n">
        <v>988.9</v>
      </c>
      <c r="AC17" s="64" t="n">
        <v>832.7</v>
      </c>
      <c r="AD17" s="64" t="n">
        <v>800.6</v>
      </c>
      <c r="AE17" s="64" t="n">
        <v>800.6</v>
      </c>
      <c r="AF17" s="64" t="n">
        <v>869.1</v>
      </c>
      <c r="AG17" s="64" t="n">
        <v>711.1</v>
      </c>
      <c r="AH17" s="64" t="n">
        <v>844.2</v>
      </c>
      <c r="AI17" s="64" t="n">
        <v>721.9</v>
      </c>
      <c r="AJ17" s="64" t="n">
        <v>704.3</v>
      </c>
      <c r="AK17" s="64" t="n">
        <v>677.6</v>
      </c>
      <c r="AL17" s="64" t="n">
        <v>725.3</v>
      </c>
      <c r="AM17" s="64" t="n">
        <v>773.4</v>
      </c>
      <c r="AN17" s="64" t="n">
        <v>816.8</v>
      </c>
      <c r="AO17" s="64" t="n">
        <v>802.8</v>
      </c>
    </row>
    <row r="18">
      <c r="A18" s="63" t="inlineStr">
        <is>
          <t>재고자산 회전일수</t>
        </is>
      </c>
      <c r="B18" s="64" t="n"/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</row>
    <row r="19">
      <c r="A19" s="63" t="inlineStr">
        <is>
          <t>매출채권 회전일수</t>
        </is>
      </c>
      <c r="B19" s="64" t="n"/>
      <c r="C19" s="64" t="n">
        <v>34</v>
      </c>
      <c r="D19" s="64" t="n"/>
      <c r="E19" s="64" t="n"/>
      <c r="F19" s="64" t="n">
        <v>41</v>
      </c>
      <c r="G19" s="64" t="n">
        <v>38</v>
      </c>
      <c r="H19" s="64" t="n">
        <v>40</v>
      </c>
      <c r="I19" s="64" t="n">
        <v>37</v>
      </c>
      <c r="J19" s="64" t="n">
        <v>31</v>
      </c>
      <c r="K19" s="64" t="n">
        <v>32</v>
      </c>
      <c r="L19" s="64" t="n">
        <v>37</v>
      </c>
      <c r="M19" s="64" t="n">
        <v>32</v>
      </c>
      <c r="N19" s="64" t="n">
        <v>35</v>
      </c>
      <c r="O19" s="64" t="n">
        <v>31</v>
      </c>
      <c r="P19" s="64" t="n">
        <v>33</v>
      </c>
      <c r="Q19" s="64" t="n">
        <v>28</v>
      </c>
      <c r="R19" s="64" t="n">
        <v>32</v>
      </c>
      <c r="S19" s="64" t="n">
        <v>0</v>
      </c>
      <c r="T19" s="64" t="n">
        <v>38</v>
      </c>
      <c r="U19" s="64" t="n">
        <v>33</v>
      </c>
      <c r="V19" s="64" t="n">
        <v>29</v>
      </c>
      <c r="W19" s="64" t="n">
        <v>20</v>
      </c>
      <c r="X19" s="64" t="n">
        <v>32</v>
      </c>
      <c r="Y19" s="64" t="n">
        <v>24</v>
      </c>
      <c r="Z19" s="64" t="n">
        <v>25</v>
      </c>
      <c r="AA19" s="64" t="n">
        <v>27</v>
      </c>
      <c r="AB19" s="64" t="n">
        <v>38</v>
      </c>
      <c r="AC19" s="64" t="n">
        <v>31</v>
      </c>
      <c r="AD19" s="64" t="n">
        <v>30</v>
      </c>
      <c r="AE19" s="64" t="n">
        <v>30</v>
      </c>
      <c r="AF19" s="64" t="n">
        <v>38</v>
      </c>
      <c r="AG19" s="64" t="n">
        <v>33</v>
      </c>
      <c r="AH19" s="64" t="n">
        <v>35</v>
      </c>
      <c r="AI19" s="64" t="n">
        <v>29</v>
      </c>
      <c r="AJ19" s="64" t="n">
        <v>46</v>
      </c>
      <c r="AK19" s="64" t="n">
        <v>32</v>
      </c>
      <c r="AL19" s="64" t="n">
        <v>36</v>
      </c>
      <c r="AM19" s="64" t="n">
        <v>32</v>
      </c>
      <c r="AN19" s="64" t="n">
        <v>44</v>
      </c>
      <c r="AO19" s="64" t="n">
        <v>37</v>
      </c>
    </row>
    <row r="20">
      <c r="A20" s="63" t="inlineStr">
        <is>
          <t>매입채무 회전일수</t>
        </is>
      </c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</row>
    <row r="21">
      <c r="A21" s="63" t="inlineStr">
        <is>
          <t>현금전환주기(CCC)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</row>
    <row r="22">
      <c r="A22" s="63" t="inlineStr">
        <is>
          <t>총 차입금</t>
        </is>
      </c>
      <c r="B22" s="64" t="n"/>
      <c r="C22" s="64" t="n">
        <v>14115</v>
      </c>
      <c r="D22" s="64" t="n"/>
      <c r="E22" s="64" t="n"/>
      <c r="F22" s="64" t="n">
        <v>14517.5</v>
      </c>
      <c r="G22" s="64" t="n">
        <v>14472</v>
      </c>
      <c r="H22" s="64" t="n">
        <v>14422</v>
      </c>
      <c r="I22" s="64" t="n">
        <v>15098.8</v>
      </c>
      <c r="J22" s="64" t="n">
        <v>15299.9</v>
      </c>
      <c r="K22" s="64" t="n">
        <v>14836.5</v>
      </c>
      <c r="L22" s="64" t="n">
        <v>14873.5</v>
      </c>
      <c r="M22" s="64" t="n">
        <v>14961.3</v>
      </c>
      <c r="N22" s="64" t="n">
        <v>14979.6</v>
      </c>
      <c r="O22" s="64" t="n">
        <v>14875.3</v>
      </c>
      <c r="P22" s="64" t="n">
        <v>15420</v>
      </c>
      <c r="Q22" s="64" t="n">
        <v>15286.1</v>
      </c>
      <c r="R22" s="64" t="n">
        <v>15334</v>
      </c>
      <c r="S22" s="64" t="n">
        <v>15787.8</v>
      </c>
      <c r="T22" s="64" t="n">
        <v>16202.7</v>
      </c>
      <c r="U22" s="64" t="n">
        <v>16155.3</v>
      </c>
      <c r="V22" s="64" t="n">
        <v>15792.9</v>
      </c>
      <c r="W22" s="64" t="n">
        <v>16465.4</v>
      </c>
      <c r="X22" s="64" t="n">
        <v>17593.5</v>
      </c>
      <c r="Y22" s="64" t="n">
        <v>18516.5</v>
      </c>
      <c r="Z22" s="64" t="n">
        <v>18098.2</v>
      </c>
      <c r="AA22" s="64" t="n">
        <v>16798.6</v>
      </c>
      <c r="AB22" s="64" t="n">
        <v>16895.6</v>
      </c>
      <c r="AC22" s="64" t="n">
        <v>16692.5</v>
      </c>
      <c r="AD22" s="64" t="n">
        <v>16500.4</v>
      </c>
      <c r="AE22" s="64" t="n">
        <v>16706.3</v>
      </c>
      <c r="AF22" s="64" t="n">
        <v>16382.5</v>
      </c>
      <c r="AG22" s="64" t="n">
        <v>17164.2</v>
      </c>
      <c r="AH22" s="64" t="n">
        <v>16838.3</v>
      </c>
      <c r="AI22" s="64" t="n">
        <v>16612.9</v>
      </c>
      <c r="AJ22" s="64" t="n">
        <v>16130.1</v>
      </c>
      <c r="AK22" s="64" t="n">
        <v>16195.4</v>
      </c>
      <c r="AL22" s="64" t="n">
        <v>16601.8</v>
      </c>
      <c r="AM22" s="64" t="n">
        <v>16788.7</v>
      </c>
      <c r="AN22" s="64" t="n">
        <v>17941</v>
      </c>
      <c r="AO22" s="64" t="n">
        <v>17468.9</v>
      </c>
    </row>
    <row r="23">
      <c r="A23" s="63" t="inlineStr">
        <is>
          <t>현금</t>
        </is>
      </c>
      <c r="B23" s="64" t="n"/>
      <c r="C23" s="64" t="n">
        <v>1172.4</v>
      </c>
      <c r="D23" s="64" t="n"/>
      <c r="E23" s="64" t="n"/>
      <c r="F23" s="64" t="n">
        <v>1340.3</v>
      </c>
      <c r="G23" s="64" t="n">
        <v>1296.8</v>
      </c>
      <c r="H23" s="64" t="n">
        <v>1353.4</v>
      </c>
      <c r="I23" s="64" t="n">
        <v>1320.7</v>
      </c>
      <c r="J23" s="64" t="n">
        <v>1393</v>
      </c>
      <c r="K23" s="64" t="n">
        <v>1211.9</v>
      </c>
      <c r="L23" s="64" t="n">
        <v>1350.1</v>
      </c>
      <c r="M23" s="64" t="n">
        <v>1115.1</v>
      </c>
      <c r="N23" s="64" t="n">
        <v>1201.7</v>
      </c>
      <c r="O23" s="64" t="n">
        <v>1593.2</v>
      </c>
      <c r="P23" s="64" t="n">
        <v>1737.6</v>
      </c>
      <c r="Q23" s="64" t="n">
        <v>1713.8</v>
      </c>
      <c r="R23" s="64" t="n">
        <v>1901.4</v>
      </c>
      <c r="S23" s="64" t="n">
        <v>1898.4</v>
      </c>
      <c r="T23" s="64" t="n">
        <v>1562.2</v>
      </c>
      <c r="U23" s="64" t="n">
        <v>1172</v>
      </c>
      <c r="V23" s="64" t="n">
        <v>1127.3</v>
      </c>
      <c r="W23" s="64" t="n">
        <v>2230.7</v>
      </c>
      <c r="X23" s="64" t="n">
        <v>2177.5</v>
      </c>
      <c r="Y23" s="64" t="n">
        <v>2942.2</v>
      </c>
      <c r="Z23" s="64" t="n">
        <v>3269</v>
      </c>
      <c r="AA23" s="64" t="n">
        <v>3420.2</v>
      </c>
      <c r="AB23" s="64" t="n">
        <v>3619.7</v>
      </c>
      <c r="AC23" s="64" t="n">
        <v>3992.2</v>
      </c>
      <c r="AD23" s="64" t="n">
        <v>3950.5</v>
      </c>
      <c r="AE23" s="64" t="n">
        <v>2788.1</v>
      </c>
      <c r="AF23" s="64" t="n">
        <v>2775.3</v>
      </c>
      <c r="AG23" s="64" t="n">
        <v>3252.8</v>
      </c>
      <c r="AH23" s="64" t="n">
        <v>3152.7</v>
      </c>
      <c r="AI23" s="64" t="n">
        <v>3089.9</v>
      </c>
      <c r="AJ23" s="64" t="n">
        <v>3527.2</v>
      </c>
      <c r="AK23" s="64" t="n">
        <v>3178.7</v>
      </c>
      <c r="AL23" s="64" t="n">
        <v>3303.9</v>
      </c>
      <c r="AM23" s="64" t="n">
        <v>3969.6</v>
      </c>
      <c r="AN23" s="64" t="n">
        <v>3775.4</v>
      </c>
      <c r="AO23" s="64" t="n">
        <v>3541</v>
      </c>
    </row>
    <row r="24">
      <c r="A24" s="63" t="inlineStr">
        <is>
          <t>부문별 매출 · PowerGenerationReportableSegmentMember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>
        <v>1668.9</v>
      </c>
      <c r="AC24" s="64" t="n">
        <v>2297.1</v>
      </c>
      <c r="AD24" s="64" t="n">
        <v>2410.1</v>
      </c>
      <c r="AE24" s="64" t="n">
        <v>2180.4</v>
      </c>
      <c r="AF24" s="64" t="n">
        <v>1743.4</v>
      </c>
      <c r="AG24" s="64" t="n">
        <v>2695.1</v>
      </c>
      <c r="AH24" s="64" t="n">
        <v>2376.1</v>
      </c>
      <c r="AI24" s="64" t="n">
        <v>2642.4</v>
      </c>
      <c r="AJ24" s="64" t="n">
        <v>1768.7</v>
      </c>
      <c r="AK24" s="64" t="n">
        <v>2325.3</v>
      </c>
      <c r="AL24" s="64" t="n">
        <v>2061.8</v>
      </c>
      <c r="AM24" s="64" t="n">
        <v>2248.7</v>
      </c>
      <c r="AN24" s="64" t="n">
        <v>1894.9</v>
      </c>
      <c r="AO24" s="64" t="n">
        <v>2809.4</v>
      </c>
      <c r="AP24" s="60" t="inlineStr">
        <is>
          <t>결산단신 부문 정보(외부 고객 매출)</t>
        </is>
      </c>
    </row>
    <row r="25">
      <c r="A25" s="63" t="inlineStr">
        <is>
          <t>부문별 매출 · TransmissionandTransformationReportableSegmentMember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>
        <v>120.1</v>
      </c>
      <c r="AC25" s="64" t="n">
        <v>119.8</v>
      </c>
      <c r="AD25" s="64" t="n">
        <v>120</v>
      </c>
      <c r="AE25" s="64" t="n">
        <v>129.3</v>
      </c>
      <c r="AF25" s="64" t="n">
        <v>123.6</v>
      </c>
      <c r="AG25" s="64" t="n">
        <v>123.3</v>
      </c>
      <c r="AH25" s="64" t="n">
        <v>127.2</v>
      </c>
      <c r="AI25" s="64" t="n">
        <v>124.5</v>
      </c>
      <c r="AJ25" s="64" t="n">
        <v>122</v>
      </c>
      <c r="AK25" s="64" t="n">
        <v>121.8</v>
      </c>
      <c r="AL25" s="64" t="n">
        <v>123.7</v>
      </c>
      <c r="AM25" s="64" t="n">
        <v>125.2</v>
      </c>
      <c r="AN25" s="64" t="n">
        <v>121.9</v>
      </c>
      <c r="AO25" s="64" t="n">
        <v>121.6</v>
      </c>
      <c r="AP25" s="60" t="inlineStr">
        <is>
          <t>결산단신 부문 정보(외부 고객 매출)</t>
        </is>
      </c>
    </row>
    <row r="26">
      <c r="A26" s="63" t="inlineStr">
        <is>
          <t>부문별 매출 · ElectricPowerSurroundingsRelatedReportableSegmentsMember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>
        <v>253.8</v>
      </c>
      <c r="AC26" s="64" t="n">
        <v>201.6</v>
      </c>
      <c r="AD26" s="64" t="n">
        <v>155.1</v>
      </c>
      <c r="AE26" s="64" t="n"/>
      <c r="AF26" s="64" t="n">
        <v>127.1</v>
      </c>
      <c r="AG26" s="64" t="n">
        <v>186.2</v>
      </c>
      <c r="AH26" s="64" t="n">
        <v>105.7</v>
      </c>
      <c r="AI26" s="64" t="n"/>
      <c r="AJ26" s="64" t="n">
        <v>90</v>
      </c>
      <c r="AK26" s="64" t="n">
        <v>116.1</v>
      </c>
      <c r="AL26" s="64" t="n">
        <v>131.9</v>
      </c>
      <c r="AM26" s="64" t="n"/>
      <c r="AN26" s="64" t="n">
        <v>95.7</v>
      </c>
      <c r="AO26" s="64" t="n">
        <v>131.2</v>
      </c>
      <c r="AP26" s="60" t="inlineStr">
        <is>
          <t>결산단신 부문 정보(외부 고객 매출)</t>
        </is>
      </c>
    </row>
    <row r="27">
      <c r="A27" s="63" t="inlineStr">
        <is>
          <t>부문별 매출 · OverseasReportableSegmentsMember</t>
        </is>
      </c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>
        <v>736.4</v>
      </c>
      <c r="AC27" s="64" t="n">
        <v>847.9</v>
      </c>
      <c r="AD27" s="64" t="n">
        <v>570.7</v>
      </c>
      <c r="AE27" s="64" t="n">
        <v>437.6</v>
      </c>
      <c r="AF27" s="64" t="n">
        <v>571.1</v>
      </c>
      <c r="AG27" s="64" t="n">
        <v>755.6</v>
      </c>
      <c r="AH27" s="64" t="n">
        <v>532.7</v>
      </c>
      <c r="AI27" s="64" t="n">
        <v>587.3</v>
      </c>
      <c r="AJ27" s="64" t="n">
        <v>496.8</v>
      </c>
      <c r="AK27" s="64" t="n">
        <v>599.2</v>
      </c>
      <c r="AL27" s="64" t="n">
        <v>582</v>
      </c>
      <c r="AM27" s="64" t="n">
        <v>601</v>
      </c>
      <c r="AN27" s="64" t="n">
        <v>664.6</v>
      </c>
      <c r="AO27" s="64" t="n">
        <v>1020.3</v>
      </c>
      <c r="AP27" s="60" t="inlineStr">
        <is>
          <t>결산단신 부문 정보(외부 고객 매출)</t>
        </is>
      </c>
    </row>
    <row r="28">
      <c r="A28" s="63" t="inlineStr">
        <is>
          <t>부문별 매출 · OtherReportableSegmentsMember</t>
        </is>
      </c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>
        <v>34.6</v>
      </c>
      <c r="AC28" s="64" t="n">
        <v>35.7</v>
      </c>
      <c r="AD28" s="64" t="n">
        <v>36.5</v>
      </c>
      <c r="AE28" s="64" t="n"/>
      <c r="AF28" s="64" t="n">
        <v>25.3</v>
      </c>
      <c r="AG28" s="64" t="n">
        <v>56.5</v>
      </c>
      <c r="AH28" s="64" t="n">
        <v>40.7</v>
      </c>
      <c r="AI28" s="64" t="n"/>
      <c r="AJ28" s="64" t="n">
        <v>25.5</v>
      </c>
      <c r="AK28" s="64" t="n">
        <v>48.8</v>
      </c>
      <c r="AL28" s="64" t="n">
        <v>32</v>
      </c>
      <c r="AM28" s="64" t="n"/>
      <c r="AN28" s="64" t="n">
        <v>25.6</v>
      </c>
      <c r="AO28" s="64" t="n">
        <v>29.3</v>
      </c>
      <c r="AP28" s="60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2026-10-30T08:34:45Z</dcterms:created>
  <dcterms:modified xmlns:dcterms="http://purl.org/dc/terms/" xmlns:xsi="http://www.w3.org/2001/XMLSchema-instance" xsi:type="dcterms:W3CDTF">2026-10-30T08:35:54Z</dcterms:modified>
</cp:coreProperties>
</file>