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49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6653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12월 결산 · 일본 기준 · 2026.2Q = 2026년 12월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2023.3Q</t>
        </is>
      </c>
      <c r="D3" s="5" t="inlineStr">
        <is>
          <t>2023.4Q</t>
        </is>
      </c>
      <c r="E3" s="5" t="inlineStr">
        <is>
          <t>2024.1Q</t>
        </is>
      </c>
      <c r="F3" s="5" t="inlineStr">
        <is>
          <t>2024.2Q</t>
        </is>
      </c>
      <c r="G3" s="5" t="inlineStr">
        <is>
          <t>2024.3Q</t>
        </is>
      </c>
      <c r="H3" s="5" t="inlineStr">
        <is>
          <t>2024.4Q</t>
        </is>
      </c>
      <c r="I3" s="5" t="inlineStr">
        <is>
          <t>2025.1Q</t>
        </is>
      </c>
      <c r="J3" s="5" t="inlineStr">
        <is>
          <t>2025.2Q</t>
        </is>
      </c>
      <c r="K3" s="5" t="inlineStr">
        <is>
          <t>2025.3Q</t>
        </is>
      </c>
      <c r="L3" s="5" t="inlineStr">
        <is>
          <t>2025.4Q</t>
        </is>
      </c>
      <c r="M3" s="5" t="inlineStr">
        <is>
          <t>2026.1Q</t>
        </is>
      </c>
      <c r="N3" s="5" t="inlineStr">
        <is>
          <t>2026.2Q</t>
        </is>
      </c>
      <c r="O3" s="6" t="inlineStr">
        <is>
          <t>2016</t>
        </is>
      </c>
      <c r="P3" s="5" t="inlineStr">
        <is>
          <t>2017</t>
        </is>
      </c>
      <c r="Q3" s="5" t="inlineStr">
        <is>
          <t>2018</t>
        </is>
      </c>
      <c r="R3" s="5" t="inlineStr">
        <is>
          <t>2019</t>
        </is>
      </c>
      <c r="S3" s="5" t="inlineStr">
        <is>
          <t>2020</t>
        </is>
      </c>
      <c r="T3" s="5" t="inlineStr">
        <is>
          <t>2021</t>
        </is>
      </c>
      <c r="U3" s="5" t="inlineStr">
        <is>
          <t>2022</t>
        </is>
      </c>
      <c r="V3" s="5" t="inlineStr">
        <is>
          <t>2023</t>
        </is>
      </c>
      <c r="W3" s="5" t="inlineStr">
        <is>
          <t>2024</t>
        </is>
      </c>
      <c r="X3" s="5" t="inlineStr">
        <is>
          <t>2025</t>
        </is>
      </c>
      <c r="Y3" s="7" t="inlineStr">
        <is>
          <t>2026(MW)</t>
        </is>
      </c>
      <c r="Z3" s="8" t="inlineStr">
        <is>
          <t>2027(MW)</t>
        </is>
      </c>
      <c r="AA3" s="8" t="inlineStr">
        <is>
          <t>2028(MW)</t>
        </is>
      </c>
      <c r="AB3" s="8" t="inlineStr">
        <is>
          <t>2029(MW)</t>
        </is>
      </c>
      <c r="AC3" s="8" t="inlineStr">
        <is>
          <t>2030(MW)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6047</v>
      </c>
      <c r="D4" s="12" t="n">
        <v>8468</v>
      </c>
      <c r="E4" s="12" t="n">
        <v>7836</v>
      </c>
      <c r="F4" s="12" t="n">
        <v>6401</v>
      </c>
      <c r="G4" s="12" t="n">
        <v>6029</v>
      </c>
      <c r="H4" s="12" t="n">
        <v>8833</v>
      </c>
      <c r="I4" s="12" t="n">
        <v>8504</v>
      </c>
      <c r="J4" s="12" t="n">
        <v>5911</v>
      </c>
      <c r="K4" s="12" t="n">
        <v>6388</v>
      </c>
      <c r="L4" s="12" t="n">
        <v>10577</v>
      </c>
      <c r="M4" s="12" t="n">
        <v>9574</v>
      </c>
      <c r="N4" s="12" t="n">
        <v>7530</v>
      </c>
      <c r="O4" s="11" t="n">
        <v>19949</v>
      </c>
      <c r="P4" s="12" t="n">
        <v>20002</v>
      </c>
      <c r="Q4" s="12" t="n">
        <v>22342</v>
      </c>
      <c r="R4" s="12" t="n">
        <v>24514</v>
      </c>
      <c r="S4" s="12" t="n">
        <v>23383</v>
      </c>
      <c r="T4" s="12" t="n">
        <v>24596</v>
      </c>
      <c r="U4" s="12" t="n">
        <v>25007</v>
      </c>
      <c r="V4" s="12" t="n">
        <v>27071</v>
      </c>
      <c r="W4" s="12" t="n">
        <v>29099</v>
      </c>
      <c r="X4" s="12" t="n">
        <v>31380</v>
      </c>
      <c r="Y4" s="11">
        <f>IF(COUNT(Y7,Y10,Y13,Y16,Y19,Y22,Y25,Y28,Y31)=0,"",SUM(Y7,Y10,Y13,Y16,Y19,Y22,Y25,Y28,Y31))</f>
        <v/>
      </c>
      <c r="Z4" s="12">
        <f>IF(COUNT(Z7,Z10,Z13,Z16,Z19,Z22,Z25,Z28,Z31)=0,"",SUM(Z7,Z10,Z13,Z16,Z19,Z22,Z25,Z28,Z31))</f>
        <v/>
      </c>
      <c r="AA4" s="12">
        <f>IF(COUNT(AA7,AA10,AA13,AA16,AA19,AA22,AA25,AA28,AA31)=0,"",SUM(AA7,AA10,AA13,AA16,AA19,AA22,AA25,AA28,AA31))</f>
        <v/>
      </c>
      <c r="AB4" s="12">
        <f>IF(COUNT(AB7,AB10,AB13,AB16,AB19,AB22,AB25,AB28,AB31)=0,"",SUM(AB7,AB10,AB13,AB16,AB19,AB22,AB25,AB28,AB31))</f>
        <v/>
      </c>
      <c r="AC4" s="12">
        <f>IF(COUNT(AC7,AC10,AC13,AC16,AC19,AC22,AC25,AC28,AC31)=0,"",SUM(AC7,AC10,AC13,AC16,AC19,AC22,AC25,AC28,AC31))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ElectricSystemReportableSegmentsMember</t>
        </is>
      </c>
      <c r="B7" s="10" t="n"/>
      <c r="C7" s="19" t="n">
        <v>1573</v>
      </c>
      <c r="D7" s="20" t="n"/>
      <c r="E7" s="20" t="n"/>
      <c r="F7" s="20" t="n"/>
      <c r="G7" s="20" t="n">
        <v>1549</v>
      </c>
      <c r="H7" s="20" t="n"/>
      <c r="I7" s="20" t="n"/>
      <c r="J7" s="20" t="n"/>
      <c r="K7" s="20" t="n">
        <v>1811</v>
      </c>
      <c r="L7" s="20" t="n"/>
      <c r="M7" s="20" t="n"/>
      <c r="N7" s="20" t="n"/>
      <c r="O7" s="19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EcologicalEnergySystemReportableSegmentsMember</t>
        </is>
      </c>
      <c r="B10" s="10" t="n"/>
      <c r="C10" s="19" t="n">
        <v>2496</v>
      </c>
      <c r="D10" s="20" t="n"/>
      <c r="E10" s="20" t="n"/>
      <c r="F10" s="20" t="n"/>
      <c r="G10" s="20" t="n">
        <v>2853</v>
      </c>
      <c r="H10" s="20" t="n"/>
      <c r="I10" s="20" t="n"/>
      <c r="J10" s="20" t="n"/>
      <c r="K10" s="20" t="n">
        <v>2565</v>
      </c>
      <c r="L10" s="20" t="n"/>
      <c r="M10" s="20" t="n"/>
      <c r="N10" s="20" t="n"/>
      <c r="O10" s="19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InformationSystemReportableSegmentsMember</t>
        </is>
      </c>
      <c r="B13" s="10" t="n"/>
      <c r="C13" s="19" t="n">
        <v>344</v>
      </c>
      <c r="D13" s="20" t="n"/>
      <c r="E13" s="20" t="n"/>
      <c r="F13" s="20" t="n"/>
      <c r="G13" s="20" t="n">
        <v>428</v>
      </c>
      <c r="H13" s="20" t="n"/>
      <c r="I13" s="20" t="n"/>
      <c r="J13" s="20" t="n"/>
      <c r="K13" s="20" t="n">
        <v>407</v>
      </c>
      <c r="L13" s="20" t="n"/>
      <c r="M13" s="20" t="n"/>
      <c r="N13" s="20" t="n"/>
      <c r="O13" s="19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ServicesAndEngineeringBusinessUnitReportableSegmentMember</t>
        </is>
      </c>
      <c r="B16" s="10" t="n"/>
      <c r="C16" s="19" t="n">
        <v>1162</v>
      </c>
      <c r="D16" s="20" t="n"/>
      <c r="E16" s="20" t="n">
        <v>1336</v>
      </c>
      <c r="F16" s="20" t="n">
        <v>956</v>
      </c>
      <c r="G16" s="20" t="n">
        <v>680</v>
      </c>
      <c r="H16" s="20" t="n">
        <v>1981</v>
      </c>
      <c r="I16" s="20" t="n">
        <v>1394</v>
      </c>
      <c r="J16" s="20" t="n">
        <v>705</v>
      </c>
      <c r="K16" s="20" t="n">
        <v>961</v>
      </c>
      <c r="L16" s="20" t="n">
        <v>3081</v>
      </c>
      <c r="M16" s="20" t="n">
        <v>2138</v>
      </c>
      <c r="N16" s="20" t="n">
        <v>1995</v>
      </c>
      <c r="O16" s="19" t="n"/>
      <c r="P16" s="20" t="n"/>
      <c r="Q16" s="20" t="n"/>
      <c r="R16" s="20" t="n"/>
      <c r="S16" s="20" t="n"/>
      <c r="T16" s="20" t="n"/>
      <c r="U16" s="20" t="n"/>
      <c r="V16" s="20" t="n"/>
      <c r="W16" s="20" t="n">
        <v>4953</v>
      </c>
      <c r="X16" s="20" t="n">
        <v>6141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기타</t>
        </is>
      </c>
      <c r="B19" s="10" t="n"/>
      <c r="C19" s="19" t="n">
        <v>472</v>
      </c>
      <c r="D19" s="20" t="n"/>
      <c r="E19" s="20" t="n">
        <v>664</v>
      </c>
      <c r="F19" s="20" t="n">
        <v>639</v>
      </c>
      <c r="G19" s="20" t="n">
        <v>521</v>
      </c>
      <c r="H19" s="20" t="n">
        <v>589</v>
      </c>
      <c r="I19" s="20" t="n">
        <v>665</v>
      </c>
      <c r="J19" s="20" t="n">
        <v>520</v>
      </c>
      <c r="K19" s="20" t="n">
        <v>644</v>
      </c>
      <c r="L19" s="20" t="n">
        <v>597</v>
      </c>
      <c r="M19" s="20" t="n">
        <v>631</v>
      </c>
      <c r="N19" s="20" t="n">
        <v>599</v>
      </c>
      <c r="O19" s="19" t="n"/>
      <c r="P19" s="20" t="n"/>
      <c r="Q19" s="20" t="n"/>
      <c r="R19" s="20" t="n"/>
      <c r="S19" s="20" t="n"/>
      <c r="T19" s="20" t="n"/>
      <c r="U19" s="20" t="n"/>
      <c r="V19" s="20" t="n"/>
      <c r="W19" s="20" t="n">
        <v>2413</v>
      </c>
      <c r="X19" s="20" t="n">
        <v>2426</v>
      </c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8" t="inlineStr">
        <is>
          <t>EntityTotalMember</t>
        </is>
      </c>
      <c r="B22" s="10" t="n"/>
      <c r="C22" s="19" t="n"/>
      <c r="D22" s="20" t="n"/>
      <c r="E22" s="20" t="n"/>
      <c r="F22" s="20" t="n"/>
      <c r="G22" s="20" t="n"/>
      <c r="H22" s="20" t="n"/>
      <c r="I22" s="20" t="n">
        <v>8504</v>
      </c>
      <c r="J22" s="20" t="n"/>
      <c r="K22" s="20" t="n"/>
      <c r="L22" s="20" t="n"/>
      <c r="M22" s="20" t="n">
        <v>9574</v>
      </c>
      <c r="N22" s="20" t="n"/>
      <c r="O22" s="19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1" t="n"/>
      <c r="Z22" s="22" t="n"/>
      <c r="AA22" s="22" t="n"/>
      <c r="AB22" s="22" t="n"/>
      <c r="AC22" s="22" t="n"/>
    </row>
    <row r="23">
      <c r="A23" s="13" t="inlineStr">
        <is>
          <t>비중</t>
        </is>
      </c>
      <c r="B23" s="10" t="n"/>
      <c r="C23" s="14">
        <f>IF(OR(C22="",C4=""),"",IFERROR(C22/C4,""))</f>
        <v/>
      </c>
      <c r="D23" s="15">
        <f>IF(OR(D22="",D4=""),"",IFERROR(D22/D4,""))</f>
        <v/>
      </c>
      <c r="E23" s="15">
        <f>IF(OR(E22="",E4=""),"",IFERROR(E22/E4,""))</f>
        <v/>
      </c>
      <c r="F23" s="15">
        <f>IF(OR(F22="",F4=""),"",IFERROR(F22/F4,""))</f>
        <v/>
      </c>
      <c r="G23" s="15">
        <f>IF(OR(G22="",G4=""),"",IFERROR(G22/G4,""))</f>
        <v/>
      </c>
      <c r="H23" s="15">
        <f>IF(OR(H22="",H4=""),"",IFERROR(H22/H4,""))</f>
        <v/>
      </c>
      <c r="I23" s="15">
        <f>IF(OR(I22="",I4=""),"",IFERROR(I22/I4,""))</f>
        <v/>
      </c>
      <c r="J23" s="15">
        <f>IF(OR(J22="",J4=""),"",IFERROR(J22/J4,""))</f>
        <v/>
      </c>
      <c r="K23" s="15">
        <f>IF(OR(K22="",K4=""),"",IFERROR(K22/K4,""))</f>
        <v/>
      </c>
      <c r="L23" s="15">
        <f>IF(OR(L22="",L4=""),"",IFERROR(L22/L4,""))</f>
        <v/>
      </c>
      <c r="M23" s="15">
        <f>IF(OR(M22="",M4=""),"",IFERROR(M22/M4,""))</f>
        <v/>
      </c>
      <c r="N23" s="15">
        <f>IF(OR(N22="",N4=""),"",IFERROR(N22/N4,""))</f>
        <v/>
      </c>
      <c r="O23" s="14">
        <f>IF(OR(O22="",O4=""),"",IFERROR(O22/O4,""))</f>
        <v/>
      </c>
      <c r="P23" s="15">
        <f>IF(OR(P22="",P4=""),"",IFERROR(P22/P4,""))</f>
        <v/>
      </c>
      <c r="Q23" s="15">
        <f>IF(OR(Q22="",Q4=""),"",IFERROR(Q22/Q4,""))</f>
        <v/>
      </c>
      <c r="R23" s="15">
        <f>IF(OR(R22="",R4=""),"",IFERROR(R22/R4,""))</f>
        <v/>
      </c>
      <c r="S23" s="15">
        <f>IF(OR(S22="",S4=""),"",IFERROR(S22/S4,""))</f>
        <v/>
      </c>
      <c r="T23" s="15">
        <f>IF(OR(T22="",T4=""),"",IFERROR(T22/T4,""))</f>
        <v/>
      </c>
      <c r="U23" s="15">
        <f>IF(OR(U22="",U4=""),"",IFERROR(U22/U4,""))</f>
        <v/>
      </c>
      <c r="V23" s="15">
        <f>IF(OR(V22="",V4=""),"",IFERROR(V22/V4,""))</f>
        <v/>
      </c>
      <c r="W23" s="15">
        <f>IF(OR(W22="",W4=""),"",IFERROR(W22/W4,""))</f>
        <v/>
      </c>
      <c r="X23" s="15">
        <f>IF(OR(X22="",X4=""),"",IFERROR(X22/X4,""))</f>
        <v/>
      </c>
      <c r="Y23" s="14">
        <f>IF(OR(Y22="",Y4=""),"",IFERROR(Y22/Y4,""))</f>
        <v/>
      </c>
      <c r="Z23" s="15">
        <f>IF(OR(Z22="",Z4=""),"",IFERROR(Z22/Z4,""))</f>
        <v/>
      </c>
      <c r="AA23" s="15">
        <f>IF(OR(AA22="",AA4=""),"",IFERROR(AA22/AA4,""))</f>
        <v/>
      </c>
      <c r="AB23" s="15">
        <f>IF(OR(AB22="",AB4=""),"",IFERROR(AB22/AB4,""))</f>
        <v/>
      </c>
      <c r="AC23" s="15">
        <f>IF(OR(AC22="",AC4=""),"",IFERROR(AC22/AC4,""))</f>
        <v/>
      </c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IF(OR(G22="",C22=""),"",IFERROR(G22/C22-1,""))</f>
        <v/>
      </c>
      <c r="H24" s="15">
        <f>IF(OR(H22="",D22=""),"",IFERROR(H22/D22-1,""))</f>
        <v/>
      </c>
      <c r="I24" s="15">
        <f>IF(OR(I22="",E22=""),"",IFERROR(I22/E22-1,""))</f>
        <v/>
      </c>
      <c r="J24" s="15">
        <f>IF(OR(J22="",F22=""),"",IFERROR(J22/F22-1,""))</f>
        <v/>
      </c>
      <c r="K24" s="15">
        <f>IF(OR(K22="",G22=""),"",IFERROR(K22/G22-1,""))</f>
        <v/>
      </c>
      <c r="L24" s="15">
        <f>IF(OR(L22="",H22=""),"",IFERROR(L22/H22-1,""))</f>
        <v/>
      </c>
      <c r="M24" s="15">
        <f>IF(OR(M22="",I22=""),"",IFERROR(M22/I22-1,""))</f>
        <v/>
      </c>
      <c r="N24" s="15">
        <f>IF(OR(N22="",J22=""),"",IFERROR(N22/J22-1,""))</f>
        <v/>
      </c>
      <c r="O24" s="14" t="n"/>
      <c r="P24" s="15">
        <f>IF(OR(P22="",O22=""),"",IFERROR(P22/O22-1,""))</f>
        <v/>
      </c>
      <c r="Q24" s="15">
        <f>IF(OR(Q22="",P22=""),"",IFERROR(Q22/P22-1,""))</f>
        <v/>
      </c>
      <c r="R24" s="15">
        <f>IF(OR(R22="",Q22=""),"",IFERROR(R22/Q22-1,""))</f>
        <v/>
      </c>
      <c r="S24" s="15">
        <f>IF(OR(S22="",R22=""),"",IFERROR(S22/R22-1,""))</f>
        <v/>
      </c>
      <c r="T24" s="15">
        <f>IF(OR(T22="",S22=""),"",IFERROR(T22/S22-1,""))</f>
        <v/>
      </c>
      <c r="U24" s="15">
        <f>IF(OR(U22="",T22=""),"",IFERROR(U22/T22-1,""))</f>
        <v/>
      </c>
      <c r="V24" s="15">
        <f>IF(OR(V22="",U22=""),"",IFERROR(V22/U22-1,""))</f>
        <v/>
      </c>
      <c r="W24" s="15">
        <f>IF(OR(W22="",V22=""),"",IFERROR(W22/V22-1,""))</f>
        <v/>
      </c>
      <c r="X24" s="15">
        <f>IF(OR(X22="",W22=""),"",IFERROR(X22/W22-1,""))</f>
        <v/>
      </c>
      <c r="Y24" s="14">
        <f>IF(OR(Y22="",X22=""),"",IFERROR(Y22/X22-1,""))</f>
        <v/>
      </c>
      <c r="Z24" s="15">
        <f>IF(OR(Z22="",Y22=""),"",IFERROR(Z22/Y22-1,""))</f>
        <v/>
      </c>
      <c r="AA24" s="15">
        <f>IF(OR(AA22="",Z22=""),"",IFERROR(AA22/Z22-1,""))</f>
        <v/>
      </c>
      <c r="AB24" s="15">
        <f>IF(OR(AB22="",AA22=""),"",IFERROR(AB22/AA22-1,""))</f>
        <v/>
      </c>
      <c r="AC24" s="15">
        <f>IF(OR(AC22="",AB22=""),"",IFERROR(AC22/AB22-1,""))</f>
        <v/>
      </c>
    </row>
    <row r="25">
      <c r="A25" s="18" t="inlineStr">
        <is>
          <t>PowerSystemsBusinessUnitReportableSegmentsMember</t>
        </is>
      </c>
      <c r="B25" s="10" t="n"/>
      <c r="C25" s="19" t="n"/>
      <c r="D25" s="20" t="n"/>
      <c r="E25" s="20" t="n">
        <v>2460</v>
      </c>
      <c r="F25" s="20" t="n"/>
      <c r="G25" s="20" t="n"/>
      <c r="H25" s="20" t="n"/>
      <c r="I25" s="20" t="n">
        <v>2502</v>
      </c>
      <c r="J25" s="20" t="n"/>
      <c r="K25" s="20" t="n"/>
      <c r="L25" s="20" t="n"/>
      <c r="M25" s="20" t="n">
        <v>2434</v>
      </c>
      <c r="N25" s="20" t="n"/>
      <c r="O25" s="19" t="n"/>
      <c r="P25" s="20" t="n"/>
      <c r="Q25" s="20" t="n"/>
      <c r="R25" s="20" t="n"/>
      <c r="S25" s="20" t="n"/>
      <c r="T25" s="20" t="n"/>
      <c r="U25" s="20" t="n"/>
      <c r="V25" s="20" t="n"/>
      <c r="W25" s="20" t="n">
        <v>8286</v>
      </c>
      <c r="X25" s="20" t="n">
        <v>8251</v>
      </c>
      <c r="Y25" s="21" t="n"/>
      <c r="Z25" s="22" t="n"/>
      <c r="AA25" s="22" t="n"/>
      <c r="AB25" s="22" t="n"/>
      <c r="AC25" s="22" t="n"/>
    </row>
    <row r="26">
      <c r="A26" s="13" t="inlineStr">
        <is>
          <t>비중</t>
        </is>
      </c>
      <c r="B26" s="10" t="n"/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14">
        <f>IF(OR(Y25="",Y4=""),"",IFERROR(Y25/Y4,""))</f>
        <v/>
      </c>
      <c r="Z26" s="15">
        <f>IF(OR(Z25="",Z4=""),"",IFERROR(Z25/Z4,""))</f>
        <v/>
      </c>
      <c r="AA26" s="15">
        <f>IF(OR(AA25="",AA4=""),"",IFERROR(AA25/AA4,""))</f>
        <v/>
      </c>
      <c r="AB26" s="15">
        <f>IF(OR(AB25="",AB4=""),"",IFERROR(AB25/AB4,""))</f>
        <v/>
      </c>
      <c r="AC26" s="15">
        <f>IF(OR(AC25="",AC4=""),"",IFERROR(AC25/AC4,""))</f>
        <v/>
      </c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IF(OR(G25="",C25=""),"",IFERROR(G25/C25-1,""))</f>
        <v/>
      </c>
      <c r="H27" s="15">
        <f>IF(OR(H25="",D25=""),"",IFERROR(H25/D25-1,""))</f>
        <v/>
      </c>
      <c r="I27" s="15">
        <f>IF(OR(I25="",E25=""),"",IFERROR(I25/E25-1,""))</f>
        <v/>
      </c>
      <c r="J27" s="15">
        <f>IF(OR(J25="",F25=""),"",IFERROR(J25/F25-1,""))</f>
        <v/>
      </c>
      <c r="K27" s="15">
        <f>IF(OR(K25="",G25=""),"",IFERROR(K25/G25-1,""))</f>
        <v/>
      </c>
      <c r="L27" s="15">
        <f>IF(OR(L25="",H25=""),"",IFERROR(L25/H25-1,""))</f>
        <v/>
      </c>
      <c r="M27" s="15">
        <f>IF(OR(M25="",I25=""),"",IFERROR(M25/I25-1,""))</f>
        <v/>
      </c>
      <c r="N27" s="15">
        <f>IF(OR(N25="",J25=""),"",IFERROR(N25/J25-1,""))</f>
        <v/>
      </c>
      <c r="O27" s="14" t="n"/>
      <c r="P27" s="15">
        <f>IF(OR(P25="",O25=""),"",IFERROR(P25/O25-1,""))</f>
        <v/>
      </c>
      <c r="Q27" s="15">
        <f>IF(OR(Q25="",P25=""),"",IFERROR(Q25/P25-1,""))</f>
        <v/>
      </c>
      <c r="R27" s="15">
        <f>IF(OR(R25="",Q25=""),"",IFERROR(R25/Q25-1,""))</f>
        <v/>
      </c>
      <c r="S27" s="15">
        <f>IF(OR(S25="",R25=""),"",IFERROR(S25/R25-1,""))</f>
        <v/>
      </c>
      <c r="T27" s="15">
        <f>IF(OR(T25="",S25=""),"",IFERROR(T25/S25-1,""))</f>
        <v/>
      </c>
      <c r="U27" s="15">
        <f>IF(OR(U25="",T25=""),"",IFERROR(U25/T25-1,""))</f>
        <v/>
      </c>
      <c r="V27" s="15">
        <f>IF(OR(V25="",U25=""),"",IFERROR(V25/U25-1,""))</f>
        <v/>
      </c>
      <c r="W27" s="15">
        <f>IF(OR(W25="",V25=""),"",IFERROR(W25/V25-1,""))</f>
        <v/>
      </c>
      <c r="X27" s="15">
        <f>IF(OR(X25="",W25=""),"",IFERROR(X25/W25-1,""))</f>
        <v/>
      </c>
      <c r="Y27" s="14">
        <f>IF(OR(Y25="",X25=""),"",IFERROR(Y25/X25-1,""))</f>
        <v/>
      </c>
      <c r="Z27" s="15">
        <f>IF(OR(Z25="",Y25=""),"",IFERROR(Z25/Y25-1,""))</f>
        <v/>
      </c>
      <c r="AA27" s="15">
        <f>IF(OR(AA25="",Z25=""),"",IFERROR(AA25/Z25-1,""))</f>
        <v/>
      </c>
      <c r="AB27" s="15">
        <f>IF(OR(AB25="",AA25=""),"",IFERROR(AB25/AA25-1,""))</f>
        <v/>
      </c>
      <c r="AC27" s="15">
        <f>IF(OR(AC25="",AB25=""),"",IFERROR(AC25/AB25-1,""))</f>
        <v/>
      </c>
    </row>
    <row r="28">
      <c r="A28" s="18" t="inlineStr">
        <is>
          <t>EnvironmentalEnergyAndControlSystemsBusinessUnitReportableSegmentsMember</t>
        </is>
      </c>
      <c r="B28" s="10" t="n"/>
      <c r="C28" s="19" t="n"/>
      <c r="D28" s="20" t="n"/>
      <c r="E28" s="20" t="n">
        <v>2950</v>
      </c>
      <c r="F28" s="20" t="n"/>
      <c r="G28" s="20" t="n"/>
      <c r="H28" s="20" t="n"/>
      <c r="I28" s="20" t="n">
        <v>3561</v>
      </c>
      <c r="J28" s="20" t="n"/>
      <c r="K28" s="20" t="n"/>
      <c r="L28" s="20" t="n"/>
      <c r="M28" s="20" t="n">
        <v>3937</v>
      </c>
      <c r="N28" s="20" t="n"/>
      <c r="O28" s="19" t="n"/>
      <c r="P28" s="20" t="n"/>
      <c r="Q28" s="20" t="n"/>
      <c r="R28" s="20" t="n"/>
      <c r="S28" s="20" t="n"/>
      <c r="T28" s="20" t="n"/>
      <c r="U28" s="20" t="n"/>
      <c r="V28" s="20" t="n"/>
      <c r="W28" s="20" t="n">
        <v>11923</v>
      </c>
      <c r="X28" s="20" t="n">
        <v>13008</v>
      </c>
      <c r="Y28" s="21" t="n"/>
      <c r="Z28" s="22" t="n"/>
      <c r="AA28" s="22" t="n"/>
      <c r="AB28" s="22" t="n"/>
      <c r="AC28" s="22" t="n"/>
    </row>
    <row r="29">
      <c r="A29" s="13" t="inlineStr">
        <is>
          <t>비중</t>
        </is>
      </c>
      <c r="B29" s="10" t="n"/>
      <c r="C29" s="14">
        <f>IF(OR(C28="",C4=""),"",IFERROR(C28/C4,""))</f>
        <v/>
      </c>
      <c r="D29" s="15">
        <f>IF(OR(D28="",D4=""),"",IFERROR(D28/D4,""))</f>
        <v/>
      </c>
      <c r="E29" s="15">
        <f>IF(OR(E28="",E4=""),"",IFERROR(E28/E4,""))</f>
        <v/>
      </c>
      <c r="F29" s="15">
        <f>IF(OR(F28="",F4=""),"",IFERROR(F28/F4,""))</f>
        <v/>
      </c>
      <c r="G29" s="15">
        <f>IF(OR(G28="",G4=""),"",IFERROR(G28/G4,""))</f>
        <v/>
      </c>
      <c r="H29" s="15">
        <f>IF(OR(H28="",H4=""),"",IFERROR(H28/H4,""))</f>
        <v/>
      </c>
      <c r="I29" s="15">
        <f>IF(OR(I28="",I4=""),"",IFERROR(I28/I4,""))</f>
        <v/>
      </c>
      <c r="J29" s="15">
        <f>IF(OR(J28="",J4=""),"",IFERROR(J28/J4,""))</f>
        <v/>
      </c>
      <c r="K29" s="15">
        <f>IF(OR(K28="",K4=""),"",IFERROR(K28/K4,""))</f>
        <v/>
      </c>
      <c r="L29" s="15">
        <f>IF(OR(L28="",L4=""),"",IFERROR(L28/L4,""))</f>
        <v/>
      </c>
      <c r="M29" s="15">
        <f>IF(OR(M28="",M4=""),"",IFERROR(M28/M4,""))</f>
        <v/>
      </c>
      <c r="N29" s="15">
        <f>IF(OR(N28="",N4=""),"",IFERROR(N28/N4,""))</f>
        <v/>
      </c>
      <c r="O29" s="14">
        <f>IF(OR(O28="",O4=""),"",IFERROR(O28/O4,""))</f>
        <v/>
      </c>
      <c r="P29" s="15">
        <f>IF(OR(P28="",P4=""),"",IFERROR(P28/P4,""))</f>
        <v/>
      </c>
      <c r="Q29" s="15">
        <f>IF(OR(Q28="",Q4=""),"",IFERROR(Q28/Q4,""))</f>
        <v/>
      </c>
      <c r="R29" s="15">
        <f>IF(OR(R28="",R4=""),"",IFERROR(R28/R4,""))</f>
        <v/>
      </c>
      <c r="S29" s="15">
        <f>IF(OR(S28="",S4=""),"",IFERROR(S28/S4,""))</f>
        <v/>
      </c>
      <c r="T29" s="15">
        <f>IF(OR(T28="",T4=""),"",IFERROR(T28/T4,""))</f>
        <v/>
      </c>
      <c r="U29" s="15">
        <f>IF(OR(U28="",U4=""),"",IFERROR(U28/U4,""))</f>
        <v/>
      </c>
      <c r="V29" s="15">
        <f>IF(OR(V28="",V4=""),"",IFERROR(V28/V4,""))</f>
        <v/>
      </c>
      <c r="W29" s="15">
        <f>IF(OR(W28="",W4=""),"",IFERROR(W28/W4,""))</f>
        <v/>
      </c>
      <c r="X29" s="15">
        <f>IF(OR(X28="",X4=""),"",IFERROR(X28/X4,""))</f>
        <v/>
      </c>
      <c r="Y29" s="14">
        <f>IF(OR(Y28="",Y4=""),"",IFERROR(Y28/Y4,""))</f>
        <v/>
      </c>
      <c r="Z29" s="15">
        <f>IF(OR(Z28="",Z4=""),"",IFERROR(Z28/Z4,""))</f>
        <v/>
      </c>
      <c r="AA29" s="15">
        <f>IF(OR(AA28="",AA4=""),"",IFERROR(AA28/AA4,""))</f>
        <v/>
      </c>
      <c r="AB29" s="15">
        <f>IF(OR(AB28="",AB4=""),"",IFERROR(AB28/AB4,""))</f>
        <v/>
      </c>
      <c r="AC29" s="15">
        <f>IF(OR(AC28="",AC4=""),"",IFERROR(AC28/AC4,""))</f>
        <v/>
      </c>
    </row>
    <row r="30">
      <c r="A30" s="13" t="inlineStr">
        <is>
          <t>YoY</t>
        </is>
      </c>
      <c r="B30" s="10" t="n"/>
      <c r="C30" s="14" t="n"/>
      <c r="D30" s="15" t="n"/>
      <c r="E30" s="15" t="n"/>
      <c r="F30" s="15" t="n"/>
      <c r="G30" s="15">
        <f>IF(OR(G28="",C28=""),"",IFERROR(G28/C28-1,""))</f>
        <v/>
      </c>
      <c r="H30" s="15">
        <f>IF(OR(H28="",D28=""),"",IFERROR(H28/D28-1,""))</f>
        <v/>
      </c>
      <c r="I30" s="15">
        <f>IF(OR(I28="",E28=""),"",IFERROR(I28/E28-1,""))</f>
        <v/>
      </c>
      <c r="J30" s="15">
        <f>IF(OR(J28="",F28=""),"",IFERROR(J28/F28-1,""))</f>
        <v/>
      </c>
      <c r="K30" s="15">
        <f>IF(OR(K28="",G28=""),"",IFERROR(K28/G28-1,""))</f>
        <v/>
      </c>
      <c r="L30" s="15">
        <f>IF(OR(L28="",H28=""),"",IFERROR(L28/H28-1,""))</f>
        <v/>
      </c>
      <c r="M30" s="15">
        <f>IF(OR(M28="",I28=""),"",IFERROR(M28/I28-1,""))</f>
        <v/>
      </c>
      <c r="N30" s="15">
        <f>IF(OR(N28="",J28=""),"",IFERROR(N28/J28-1,""))</f>
        <v/>
      </c>
      <c r="O30" s="14" t="n"/>
      <c r="P30" s="15">
        <f>IF(OR(P28="",O28=""),"",IFERROR(P28/O28-1,""))</f>
        <v/>
      </c>
      <c r="Q30" s="15">
        <f>IF(OR(Q28="",P28=""),"",IFERROR(Q28/P28-1,""))</f>
        <v/>
      </c>
      <c r="R30" s="15">
        <f>IF(OR(R28="",Q28=""),"",IFERROR(R28/Q28-1,""))</f>
        <v/>
      </c>
      <c r="S30" s="15">
        <f>IF(OR(S28="",R28=""),"",IFERROR(S28/R28-1,""))</f>
        <v/>
      </c>
      <c r="T30" s="15">
        <f>IF(OR(T28="",S28=""),"",IFERROR(T28/S28-1,""))</f>
        <v/>
      </c>
      <c r="U30" s="15">
        <f>IF(OR(U28="",T28=""),"",IFERROR(U28/T28-1,""))</f>
        <v/>
      </c>
      <c r="V30" s="15">
        <f>IF(OR(V28="",U28=""),"",IFERROR(V28/U28-1,""))</f>
        <v/>
      </c>
      <c r="W30" s="15">
        <f>IF(OR(W28="",V28=""),"",IFERROR(W28/V28-1,""))</f>
        <v/>
      </c>
      <c r="X30" s="15">
        <f>IF(OR(X28="",W28=""),"",IFERROR(X28/W28-1,""))</f>
        <v/>
      </c>
      <c r="Y30" s="14">
        <f>IF(OR(Y28="",X28=""),"",IFERROR(Y28/X28-1,""))</f>
        <v/>
      </c>
      <c r="Z30" s="15">
        <f>IF(OR(Z28="",Y28=""),"",IFERROR(Z28/Y28-1,""))</f>
        <v/>
      </c>
      <c r="AA30" s="15">
        <f>IF(OR(AA28="",Z28=""),"",IFERROR(AA28/Z28-1,""))</f>
        <v/>
      </c>
      <c r="AB30" s="15">
        <f>IF(OR(AB28="",AA28=""),"",IFERROR(AB28/AA28-1,""))</f>
        <v/>
      </c>
      <c r="AC30" s="15">
        <f>IF(OR(AC28="",AB28=""),"",IFERROR(AC28/AB28-1,""))</f>
        <v/>
      </c>
    </row>
    <row r="31">
      <c r="A31" s="18" t="inlineStr">
        <is>
          <t>ITSystemSolutionsBusinessUnitReportableSegmentsMember</t>
        </is>
      </c>
      <c r="B31" s="10" t="n"/>
      <c r="C31" s="19" t="n"/>
      <c r="D31" s="20" t="n"/>
      <c r="E31" s="20" t="n">
        <v>574</v>
      </c>
      <c r="F31" s="20" t="n"/>
      <c r="G31" s="20" t="n"/>
      <c r="H31" s="20" t="n"/>
      <c r="I31" s="20" t="n">
        <v>508</v>
      </c>
      <c r="J31" s="20" t="n"/>
      <c r="K31" s="20" t="n"/>
      <c r="L31" s="20" t="n"/>
      <c r="M31" s="20" t="n">
        <v>550</v>
      </c>
      <c r="N31" s="20" t="n"/>
      <c r="O31" s="19" t="n"/>
      <c r="P31" s="20" t="n"/>
      <c r="Q31" s="20" t="n"/>
      <c r="R31" s="20" t="n"/>
      <c r="S31" s="20" t="n"/>
      <c r="T31" s="20" t="n"/>
      <c r="U31" s="20" t="n"/>
      <c r="V31" s="20" t="n"/>
      <c r="W31" s="20" t="n">
        <v>2095</v>
      </c>
      <c r="X31" s="20" t="n">
        <v>2059</v>
      </c>
      <c r="Y31" s="21" t="n"/>
      <c r="Z31" s="22" t="n"/>
      <c r="AA31" s="22" t="n"/>
      <c r="AB31" s="22" t="n"/>
      <c r="AC31" s="22" t="n"/>
    </row>
    <row r="32">
      <c r="A32" s="13" t="inlineStr">
        <is>
          <t>비중</t>
        </is>
      </c>
      <c r="B32" s="10" t="n"/>
      <c r="C32" s="14">
        <f>IF(OR(C31="",C4=""),"",IFERROR(C31/C4,""))</f>
        <v/>
      </c>
      <c r="D32" s="15">
        <f>IF(OR(D31="",D4=""),"",IFERROR(D31/D4,""))</f>
        <v/>
      </c>
      <c r="E32" s="15">
        <f>IF(OR(E31="",E4=""),"",IFERROR(E31/E4,""))</f>
        <v/>
      </c>
      <c r="F32" s="15">
        <f>IF(OR(F31="",F4=""),"",IFERROR(F31/F4,""))</f>
        <v/>
      </c>
      <c r="G32" s="15">
        <f>IF(OR(G31="",G4=""),"",IFERROR(G31/G4,""))</f>
        <v/>
      </c>
      <c r="H32" s="15">
        <f>IF(OR(H31="",H4=""),"",IFERROR(H31/H4,""))</f>
        <v/>
      </c>
      <c r="I32" s="15">
        <f>IF(OR(I31="",I4=""),"",IFERROR(I31/I4,""))</f>
        <v/>
      </c>
      <c r="J32" s="15">
        <f>IF(OR(J31="",J4=""),"",IFERROR(J31/J4,""))</f>
        <v/>
      </c>
      <c r="K32" s="15">
        <f>IF(OR(K31="",K4=""),"",IFERROR(K31/K4,""))</f>
        <v/>
      </c>
      <c r="L32" s="15">
        <f>IF(OR(L31="",L4=""),"",IFERROR(L31/L4,""))</f>
        <v/>
      </c>
      <c r="M32" s="15">
        <f>IF(OR(M31="",M4=""),"",IFERROR(M31/M4,""))</f>
        <v/>
      </c>
      <c r="N32" s="15">
        <f>IF(OR(N31="",N4=""),"",IFERROR(N31/N4,""))</f>
        <v/>
      </c>
      <c r="O32" s="14">
        <f>IF(OR(O31="",O4=""),"",IFERROR(O31/O4,""))</f>
        <v/>
      </c>
      <c r="P32" s="15">
        <f>IF(OR(P31="",P4=""),"",IFERROR(P31/P4,""))</f>
        <v/>
      </c>
      <c r="Q32" s="15">
        <f>IF(OR(Q31="",Q4=""),"",IFERROR(Q31/Q4,""))</f>
        <v/>
      </c>
      <c r="R32" s="15">
        <f>IF(OR(R31="",R4=""),"",IFERROR(R31/R4,""))</f>
        <v/>
      </c>
      <c r="S32" s="15">
        <f>IF(OR(S31="",S4=""),"",IFERROR(S31/S4,""))</f>
        <v/>
      </c>
      <c r="T32" s="15">
        <f>IF(OR(T31="",T4=""),"",IFERROR(T31/T4,""))</f>
        <v/>
      </c>
      <c r="U32" s="15">
        <f>IF(OR(U31="",U4=""),"",IFERROR(U31/U4,""))</f>
        <v/>
      </c>
      <c r="V32" s="15">
        <f>IF(OR(V31="",V4=""),"",IFERROR(V31/V4,""))</f>
        <v/>
      </c>
      <c r="W32" s="15">
        <f>IF(OR(W31="",W4=""),"",IFERROR(W31/W4,""))</f>
        <v/>
      </c>
      <c r="X32" s="15">
        <f>IF(OR(X31="",X4=""),"",IFERROR(X31/X4,""))</f>
        <v/>
      </c>
      <c r="Y32" s="14">
        <f>IF(OR(Y31="",Y4=""),"",IFERROR(Y31/Y4,""))</f>
        <v/>
      </c>
      <c r="Z32" s="15">
        <f>IF(OR(Z31="",Z4=""),"",IFERROR(Z31/Z4,""))</f>
        <v/>
      </c>
      <c r="AA32" s="15">
        <f>IF(OR(AA31="",AA4=""),"",IFERROR(AA31/AA4,""))</f>
        <v/>
      </c>
      <c r="AB32" s="15">
        <f>IF(OR(AB31="",AB4=""),"",IFERROR(AB31/AB4,""))</f>
        <v/>
      </c>
      <c r="AC32" s="15">
        <f>IF(OR(AC31="",AC4=""),"",IFERROR(AC31/AC4,""))</f>
        <v/>
      </c>
    </row>
    <row r="33">
      <c r="A33" s="13" t="inlineStr">
        <is>
          <t>YoY</t>
        </is>
      </c>
      <c r="B33" s="10" t="n"/>
      <c r="C33" s="14" t="n"/>
      <c r="D33" s="15" t="n"/>
      <c r="E33" s="15" t="n"/>
      <c r="F33" s="15" t="n"/>
      <c r="G33" s="15">
        <f>IF(OR(G31="",C31=""),"",IFERROR(G31/C31-1,""))</f>
        <v/>
      </c>
      <c r="H33" s="15">
        <f>IF(OR(H31="",D31=""),"",IFERROR(H31/D31-1,""))</f>
        <v/>
      </c>
      <c r="I33" s="15">
        <f>IF(OR(I31="",E31=""),"",IFERROR(I31/E31-1,""))</f>
        <v/>
      </c>
      <c r="J33" s="15">
        <f>IF(OR(J31="",F31=""),"",IFERROR(J31/F31-1,""))</f>
        <v/>
      </c>
      <c r="K33" s="15">
        <f>IF(OR(K31="",G31=""),"",IFERROR(K31/G31-1,""))</f>
        <v/>
      </c>
      <c r="L33" s="15">
        <f>IF(OR(L31="",H31=""),"",IFERROR(L31/H31-1,""))</f>
        <v/>
      </c>
      <c r="M33" s="15">
        <f>IF(OR(M31="",I31=""),"",IFERROR(M31/I31-1,""))</f>
        <v/>
      </c>
      <c r="N33" s="15">
        <f>IF(OR(N31="",J31=""),"",IFERROR(N31/J31-1,""))</f>
        <v/>
      </c>
      <c r="O33" s="14" t="n"/>
      <c r="P33" s="15">
        <f>IF(OR(P31="",O31=""),"",IFERROR(P31/O31-1,""))</f>
        <v/>
      </c>
      <c r="Q33" s="15">
        <f>IF(OR(Q31="",P31=""),"",IFERROR(Q31/P31-1,""))</f>
        <v/>
      </c>
      <c r="R33" s="15">
        <f>IF(OR(R31="",Q31=""),"",IFERROR(R31/Q31-1,""))</f>
        <v/>
      </c>
      <c r="S33" s="15">
        <f>IF(OR(S31="",R31=""),"",IFERROR(S31/R31-1,""))</f>
        <v/>
      </c>
      <c r="T33" s="15">
        <f>IF(OR(T31="",S31=""),"",IFERROR(T31/S31-1,""))</f>
        <v/>
      </c>
      <c r="U33" s="15">
        <f>IF(OR(U31="",T31=""),"",IFERROR(U31/T31-1,""))</f>
        <v/>
      </c>
      <c r="V33" s="15">
        <f>IF(OR(V31="",U31=""),"",IFERROR(V31/U31-1,""))</f>
        <v/>
      </c>
      <c r="W33" s="15">
        <f>IF(OR(W31="",V31=""),"",IFERROR(W31/V31-1,""))</f>
        <v/>
      </c>
      <c r="X33" s="15">
        <f>IF(OR(X31="",W31=""),"",IFERROR(X31/W31-1,""))</f>
        <v/>
      </c>
      <c r="Y33" s="14">
        <f>IF(OR(Y31="",X31=""),"",IFERROR(Y31/X31-1,""))</f>
        <v/>
      </c>
      <c r="Z33" s="15">
        <f>IF(OR(Z31="",Y31=""),"",IFERROR(Z31/Y31-1,""))</f>
        <v/>
      </c>
      <c r="AA33" s="15">
        <f>IF(OR(AA31="",Z31=""),"",IFERROR(AA31/Z31-1,""))</f>
        <v/>
      </c>
      <c r="AB33" s="15">
        <f>IF(OR(AB31="",AA31=""),"",IFERROR(AB31/AA31-1,""))</f>
        <v/>
      </c>
      <c r="AC33" s="15">
        <f>IF(OR(AC31="",AB31=""),"",IFERROR(AC31/AB31-1,""))</f>
        <v/>
      </c>
    </row>
    <row r="34">
      <c r="A34" s="16" t="inlineStr">
        <is>
          <t>매출원가</t>
        </is>
      </c>
      <c r="B34" s="16" t="n"/>
      <c r="C34" s="17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7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7" t="n"/>
      <c r="Z34" s="16" t="n"/>
      <c r="AA34" s="16" t="n"/>
      <c r="AB34" s="16" t="n"/>
      <c r="AC34" s="16" t="n"/>
    </row>
    <row r="35">
      <c r="A35" s="18" t="inlineStr">
        <is>
          <t>전체 매출원가</t>
        </is>
      </c>
      <c r="B35" s="10" t="n"/>
      <c r="C35" s="19" t="n">
        <v>5088</v>
      </c>
      <c r="D35" s="20" t="n">
        <v>7148</v>
      </c>
      <c r="E35" s="20" t="n">
        <v>6285</v>
      </c>
      <c r="F35" s="20" t="n">
        <v>5323</v>
      </c>
      <c r="G35" s="20" t="n">
        <v>4932</v>
      </c>
      <c r="H35" s="20" t="n">
        <v>7364</v>
      </c>
      <c r="I35" s="20" t="n">
        <v>6604</v>
      </c>
      <c r="J35" s="20" t="n">
        <v>4814</v>
      </c>
      <c r="K35" s="20" t="n">
        <v>5125</v>
      </c>
      <c r="L35" s="20" t="n">
        <v>8885</v>
      </c>
      <c r="M35" s="20" t="n">
        <v>7402</v>
      </c>
      <c r="N35" s="20" t="n">
        <v>6196</v>
      </c>
      <c r="O35" s="19" t="n">
        <v>16424</v>
      </c>
      <c r="P35" s="20" t="n">
        <v>16363</v>
      </c>
      <c r="Q35" s="20" t="n">
        <v>18574</v>
      </c>
      <c r="R35" s="20" t="n">
        <v>20758</v>
      </c>
      <c r="S35" s="20" t="n">
        <v>19214</v>
      </c>
      <c r="T35" s="20" t="n">
        <v>20181</v>
      </c>
      <c r="U35" s="20" t="n">
        <v>20536</v>
      </c>
      <c r="V35" s="20" t="n">
        <v>22400</v>
      </c>
      <c r="W35" s="20" t="n">
        <v>23904</v>
      </c>
      <c r="X35" s="20" t="n">
        <v>25428</v>
      </c>
      <c r="Y35" s="19" t="n"/>
      <c r="Z35" s="20" t="n"/>
      <c r="AA35" s="20" t="n"/>
      <c r="AB35" s="20" t="n"/>
      <c r="AC35" s="20" t="n"/>
    </row>
    <row r="36">
      <c r="A36" s="18" t="inlineStr">
        <is>
          <t>매출총이익</t>
        </is>
      </c>
      <c r="B36" s="10" t="n"/>
      <c r="C36" s="19">
        <f>IF(OR(C4="",C35=""),"",IFERROR(C4-C35,""))</f>
        <v/>
      </c>
      <c r="D36" s="20">
        <f>IF(OR(D4="",D35=""),"",IFERROR(D4-D35,""))</f>
        <v/>
      </c>
      <c r="E36" s="20">
        <f>IF(OR(E4="",E35=""),"",IFERROR(E4-E35,""))</f>
        <v/>
      </c>
      <c r="F36" s="20">
        <f>IF(OR(F4="",F35=""),"",IFERROR(F4-F35,""))</f>
        <v/>
      </c>
      <c r="G36" s="20">
        <f>IF(OR(G4="",G35=""),"",IFERROR(G4-G35,""))</f>
        <v/>
      </c>
      <c r="H36" s="20">
        <f>IF(OR(H4="",H35=""),"",IFERROR(H4-H35,""))</f>
        <v/>
      </c>
      <c r="I36" s="20">
        <f>IF(OR(I4="",I35=""),"",IFERROR(I4-I35,""))</f>
        <v/>
      </c>
      <c r="J36" s="20">
        <f>IF(OR(J4="",J35=""),"",IFERROR(J4-J35,""))</f>
        <v/>
      </c>
      <c r="K36" s="20">
        <f>IF(OR(K4="",K35=""),"",IFERROR(K4-K35,""))</f>
        <v/>
      </c>
      <c r="L36" s="20">
        <f>IF(OR(L4="",L35=""),"",IFERROR(L4-L35,""))</f>
        <v/>
      </c>
      <c r="M36" s="20">
        <f>IF(OR(M4="",M35=""),"",IFERROR(M4-M35,""))</f>
        <v/>
      </c>
      <c r="N36" s="20">
        <f>IF(OR(N4="",N35=""),"",IFERROR(N4-N35,""))</f>
        <v/>
      </c>
      <c r="O36" s="19">
        <f>IF(OR(O4="",O35=""),"",IFERROR(O4-O35,""))</f>
        <v/>
      </c>
      <c r="P36" s="20">
        <f>IF(OR(P4="",P35=""),"",IFERROR(P4-P35,""))</f>
        <v/>
      </c>
      <c r="Q36" s="20">
        <f>IF(OR(Q4="",Q35=""),"",IFERROR(Q4-Q35,""))</f>
        <v/>
      </c>
      <c r="R36" s="20">
        <f>IF(OR(R4="",R35=""),"",IFERROR(R4-R35,""))</f>
        <v/>
      </c>
      <c r="S36" s="20">
        <f>IF(OR(S4="",S35=""),"",IFERROR(S4-S35,""))</f>
        <v/>
      </c>
      <c r="T36" s="20">
        <f>IF(OR(T4="",T35=""),"",IFERROR(T4-T35,""))</f>
        <v/>
      </c>
      <c r="U36" s="20">
        <f>IF(OR(U4="",U35=""),"",IFERROR(U4-U35,""))</f>
        <v/>
      </c>
      <c r="V36" s="20">
        <f>IF(OR(V4="",V35=""),"",IFERROR(V4-V35,""))</f>
        <v/>
      </c>
      <c r="W36" s="20">
        <f>IF(OR(W4="",W35=""),"",IFERROR(W4-W35,""))</f>
        <v/>
      </c>
      <c r="X36" s="20">
        <f>IF(OR(X4="",X35=""),"",IFERROR(X4-X35,""))</f>
        <v/>
      </c>
      <c r="Y36" s="19" t="n"/>
      <c r="Z36" s="20" t="n"/>
      <c r="AA36" s="20" t="n"/>
      <c r="AB36" s="20" t="n"/>
      <c r="AC36" s="20" t="n"/>
    </row>
    <row r="37">
      <c r="A37" s="13" t="inlineStr">
        <is>
          <t>GPM</t>
        </is>
      </c>
      <c r="B37" s="10" t="n"/>
      <c r="C37" s="14">
        <f>IF(OR(C36="",C4=""),"",IFERROR(C36/C4,""))</f>
        <v/>
      </c>
      <c r="D37" s="15">
        <f>IF(OR(D36="",D4=""),"",IFERROR(D36/D4,""))</f>
        <v/>
      </c>
      <c r="E37" s="15">
        <f>IF(OR(E36="",E4=""),"",IFERROR(E36/E4,""))</f>
        <v/>
      </c>
      <c r="F37" s="15">
        <f>IF(OR(F36="",F4=""),"",IFERROR(F36/F4,""))</f>
        <v/>
      </c>
      <c r="G37" s="15">
        <f>IF(OR(G36="",G4=""),"",IFERROR(G36/G4,""))</f>
        <v/>
      </c>
      <c r="H37" s="15">
        <f>IF(OR(H36="",H4=""),"",IFERROR(H36/H4,""))</f>
        <v/>
      </c>
      <c r="I37" s="15">
        <f>IF(OR(I36="",I4=""),"",IFERROR(I36/I4,""))</f>
        <v/>
      </c>
      <c r="J37" s="15">
        <f>IF(OR(J36="",J4=""),"",IFERROR(J36/J4,""))</f>
        <v/>
      </c>
      <c r="K37" s="15">
        <f>IF(OR(K36="",K4=""),"",IFERROR(K36/K4,""))</f>
        <v/>
      </c>
      <c r="L37" s="15">
        <f>IF(OR(L36="",L4=""),"",IFERROR(L36/L4,""))</f>
        <v/>
      </c>
      <c r="M37" s="15">
        <f>IF(OR(M36="",M4=""),"",IFERROR(M36/M4,""))</f>
        <v/>
      </c>
      <c r="N37" s="15">
        <f>IF(OR(N36="",N4=""),"",IFERROR(N36/N4,""))</f>
        <v/>
      </c>
      <c r="O37" s="14">
        <f>IF(OR(O36="",O4=""),"",IFERROR(O36/O4,""))</f>
        <v/>
      </c>
      <c r="P37" s="15">
        <f>IF(OR(P36="",P4=""),"",IFERROR(P36/P4,""))</f>
        <v/>
      </c>
      <c r="Q37" s="15">
        <f>IF(OR(Q36="",Q4=""),"",IFERROR(Q36/Q4,""))</f>
        <v/>
      </c>
      <c r="R37" s="15">
        <f>IF(OR(R36="",R4=""),"",IFERROR(R36/R4,""))</f>
        <v/>
      </c>
      <c r="S37" s="15">
        <f>IF(OR(S36="",S4=""),"",IFERROR(S36/S4,""))</f>
        <v/>
      </c>
      <c r="T37" s="15">
        <f>IF(OR(T36="",T4=""),"",IFERROR(T36/T4,""))</f>
        <v/>
      </c>
      <c r="U37" s="15">
        <f>IF(OR(U36="",U4=""),"",IFERROR(U36/U4,""))</f>
        <v/>
      </c>
      <c r="V37" s="15">
        <f>IF(OR(V36="",V4=""),"",IFERROR(V36/V4,""))</f>
        <v/>
      </c>
      <c r="W37" s="15">
        <f>IF(OR(W36="",W4=""),"",IFERROR(W36/W4,""))</f>
        <v/>
      </c>
      <c r="X37" s="15">
        <f>IF(OR(X36="",X4=""),"",IFERROR(X36/X4,""))</f>
        <v/>
      </c>
      <c r="Y37" s="14">
        <f>IF(OR(Y36="",Y4=""),"",IFERROR(Y36/Y4,""))</f>
        <v/>
      </c>
      <c r="Z37" s="15">
        <f>IF(OR(Z36="",Z4=""),"",IFERROR(Z36/Z4,""))</f>
        <v/>
      </c>
      <c r="AA37" s="15">
        <f>IF(OR(AA36="",AA4=""),"",IFERROR(AA36/AA4,""))</f>
        <v/>
      </c>
      <c r="AB37" s="15">
        <f>IF(OR(AB36="",AB4=""),"",IFERROR(AB36/AB4,""))</f>
        <v/>
      </c>
      <c r="AC37" s="15">
        <f>IF(OR(AC36="",AC4=""),"",IFERROR(AC36/AC4,""))</f>
        <v/>
      </c>
    </row>
    <row r="38">
      <c r="A38" s="23" t="inlineStr">
        <is>
          <t>판매관리비</t>
        </is>
      </c>
      <c r="B38" s="23" t="n"/>
      <c r="C38" s="24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4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4" t="n"/>
      <c r="Z38" s="23" t="n"/>
      <c r="AA38" s="23" t="n"/>
      <c r="AB38" s="23" t="n"/>
      <c r="AC38" s="23" t="n"/>
    </row>
    <row r="39">
      <c r="A39" s="18" t="inlineStr">
        <is>
          <t>전체 판관비</t>
        </is>
      </c>
      <c r="B39" s="10" t="n"/>
      <c r="C39" s="19" t="n">
        <v>739</v>
      </c>
      <c r="D39" s="20" t="n">
        <v>760</v>
      </c>
      <c r="E39" s="20" t="n">
        <v>780</v>
      </c>
      <c r="F39" s="20" t="n">
        <v>835</v>
      </c>
      <c r="G39" s="20" t="n">
        <v>766</v>
      </c>
      <c r="H39" s="20" t="n">
        <v>797</v>
      </c>
      <c r="I39" s="20" t="n">
        <v>799</v>
      </c>
      <c r="J39" s="20" t="n">
        <v>860</v>
      </c>
      <c r="K39" s="20" t="n">
        <v>806</v>
      </c>
      <c r="L39" s="20" t="n">
        <v>871</v>
      </c>
      <c r="M39" s="20" t="n">
        <v>890</v>
      </c>
      <c r="N39" s="20" t="n">
        <v>935</v>
      </c>
      <c r="O39" s="19" t="n">
        <v>2658</v>
      </c>
      <c r="P39" s="20" t="n">
        <v>2803</v>
      </c>
      <c r="Q39" s="20" t="n">
        <v>2872</v>
      </c>
      <c r="R39" s="20" t="n">
        <v>2847</v>
      </c>
      <c r="S39" s="20" t="n">
        <v>2844</v>
      </c>
      <c r="T39" s="20" t="n">
        <v>3008</v>
      </c>
      <c r="U39" s="20" t="n">
        <v>3030</v>
      </c>
      <c r="V39" s="20" t="n">
        <v>3048</v>
      </c>
      <c r="W39" s="20" t="n">
        <v>3178</v>
      </c>
      <c r="X39" s="20" t="n">
        <v>3336</v>
      </c>
      <c r="Y39" s="19" t="n"/>
      <c r="Z39" s="20" t="n"/>
      <c r="AA39" s="20" t="n"/>
      <c r="AB39" s="20" t="n"/>
      <c r="AC39" s="20" t="n"/>
    </row>
    <row r="40">
      <c r="A40" s="9" t="inlineStr">
        <is>
          <t>영업이익</t>
        </is>
      </c>
      <c r="B40" s="10" t="inlineStr">
        <is>
          <t>MW = 매출 × OPM</t>
        </is>
      </c>
      <c r="C40" s="11" t="n">
        <v>220</v>
      </c>
      <c r="D40" s="12" t="n">
        <v>560</v>
      </c>
      <c r="E40" s="12" t="n">
        <v>770</v>
      </c>
      <c r="F40" s="12" t="n">
        <v>243</v>
      </c>
      <c r="G40" s="12" t="n">
        <v>332</v>
      </c>
      <c r="H40" s="12" t="n">
        <v>671</v>
      </c>
      <c r="I40" s="12" t="n">
        <v>1101</v>
      </c>
      <c r="J40" s="12" t="n">
        <v>237</v>
      </c>
      <c r="K40" s="12" t="n">
        <v>456</v>
      </c>
      <c r="L40" s="12" t="n">
        <v>821</v>
      </c>
      <c r="M40" s="12" t="n">
        <v>1280</v>
      </c>
      <c r="N40" s="12" t="n">
        <v>400</v>
      </c>
      <c r="O40" s="11" t="n">
        <v>866</v>
      </c>
      <c r="P40" s="12" t="n">
        <v>835</v>
      </c>
      <c r="Q40" s="12" t="n">
        <v>895</v>
      </c>
      <c r="R40" s="12" t="n">
        <v>907</v>
      </c>
      <c r="S40" s="12" t="n">
        <v>1325</v>
      </c>
      <c r="T40" s="12" t="n">
        <v>1406</v>
      </c>
      <c r="U40" s="12" t="n">
        <v>1440</v>
      </c>
      <c r="V40" s="12" t="n">
        <v>1622</v>
      </c>
      <c r="W40" s="12" t="n">
        <v>2016</v>
      </c>
      <c r="X40" s="12" t="n">
        <v>2615</v>
      </c>
      <c r="Y40" s="11">
        <f>IF(OR(Y4="",Y41=""),"",IFERROR(Y4*Y41,""))</f>
        <v/>
      </c>
      <c r="Z40" s="12">
        <f>IF(OR(Z4="",Z41=""),"",IFERROR(Z4*Z41,""))</f>
        <v/>
      </c>
      <c r="AA40" s="12">
        <f>IF(OR(AA4="",AA41=""),"",IFERROR(AA4*AA41,""))</f>
        <v/>
      </c>
      <c r="AB40" s="12">
        <f>IF(OR(AB4="",AB41=""),"",IFERROR(AB4*AB41,""))</f>
        <v/>
      </c>
      <c r="AC40" s="12">
        <f>IF(OR(AC4="",AC41=""),"",IFERROR(AC4*AC41,""))</f>
        <v/>
      </c>
    </row>
    <row r="41">
      <c r="A41" s="13" t="inlineStr">
        <is>
          <t>OPM</t>
        </is>
      </c>
      <c r="B41" s="10" t="inlineStr">
        <is>
          <t>MW 입력</t>
        </is>
      </c>
      <c r="C41" s="14">
        <f>IF(OR(C40="",C4=""),"",IFERROR(C40/C4,""))</f>
        <v/>
      </c>
      <c r="D41" s="15">
        <f>IF(OR(D40="",D4=""),"",IFERROR(D40/D4,""))</f>
        <v/>
      </c>
      <c r="E41" s="15">
        <f>IF(OR(E40="",E4=""),"",IFERROR(E40/E4,""))</f>
        <v/>
      </c>
      <c r="F41" s="15">
        <f>IF(OR(F40="",F4=""),"",IFERROR(F40/F4,""))</f>
        <v/>
      </c>
      <c r="G41" s="15">
        <f>IF(OR(G40="",G4=""),"",IFERROR(G40/G4,""))</f>
        <v/>
      </c>
      <c r="H41" s="15">
        <f>IF(OR(H40="",H4=""),"",IFERROR(H40/H4,""))</f>
        <v/>
      </c>
      <c r="I41" s="15">
        <f>IF(OR(I40="",I4=""),"",IFERROR(I40/I4,""))</f>
        <v/>
      </c>
      <c r="J41" s="15">
        <f>IF(OR(J40="",J4=""),"",IFERROR(J40/J4,""))</f>
        <v/>
      </c>
      <c r="K41" s="15">
        <f>IF(OR(K40="",K4=""),"",IFERROR(K40/K4,""))</f>
        <v/>
      </c>
      <c r="L41" s="15">
        <f>IF(OR(L40="",L4=""),"",IFERROR(L40/L4,""))</f>
        <v/>
      </c>
      <c r="M41" s="15">
        <f>IF(OR(M40="",M4=""),"",IFERROR(M40/M4,""))</f>
        <v/>
      </c>
      <c r="N41" s="15">
        <f>IF(OR(N40="",N4=""),"",IFERROR(N40/N4,""))</f>
        <v/>
      </c>
      <c r="O41" s="14">
        <f>IF(OR(O40="",O4=""),"",IFERROR(O40/O4,""))</f>
        <v/>
      </c>
      <c r="P41" s="15">
        <f>IF(OR(P40="",P4=""),"",IFERROR(P40/P4,""))</f>
        <v/>
      </c>
      <c r="Q41" s="15">
        <f>IF(OR(Q40="",Q4=""),"",IFERROR(Q40/Q4,""))</f>
        <v/>
      </c>
      <c r="R41" s="15">
        <f>IF(OR(R40="",R4=""),"",IFERROR(R40/R4,""))</f>
        <v/>
      </c>
      <c r="S41" s="15">
        <f>IF(OR(S40="",S4=""),"",IFERROR(S40/S4,""))</f>
        <v/>
      </c>
      <c r="T41" s="15">
        <f>IF(OR(T40="",T4=""),"",IFERROR(T40/T4,""))</f>
        <v/>
      </c>
      <c r="U41" s="15">
        <f>IF(OR(U40="",U4=""),"",IFERROR(U40/U4,""))</f>
        <v/>
      </c>
      <c r="V41" s="15">
        <f>IF(OR(V40="",V4=""),"",IFERROR(V40/V4,""))</f>
        <v/>
      </c>
      <c r="W41" s="15">
        <f>IF(OR(W40="",W4=""),"",IFERROR(W40/W4,""))</f>
        <v/>
      </c>
      <c r="X41" s="15">
        <f>IF(OR(X40="",X4=""),"",IFERROR(X40/X4,""))</f>
        <v/>
      </c>
      <c r="Y41" s="25" t="n"/>
      <c r="Z41" s="26" t="n"/>
      <c r="AA41" s="26" t="n"/>
      <c r="AB41" s="26" t="n"/>
      <c r="AC41" s="26" t="n"/>
    </row>
    <row r="42">
      <c r="A42" s="13" t="inlineStr">
        <is>
          <t>증가율</t>
        </is>
      </c>
      <c r="B42" s="10" t="n"/>
      <c r="C42" s="14" t="n"/>
      <c r="D42" s="15" t="n"/>
      <c r="E42" s="15" t="n"/>
      <c r="F42" s="15" t="n"/>
      <c r="G42" s="15">
        <f>IF(OR(G40="",C40=""),"",IFERROR(G40/C40-1,""))</f>
        <v/>
      </c>
      <c r="H42" s="15">
        <f>IF(OR(H40="",D40=""),"",IFERROR(H40/D40-1,""))</f>
        <v/>
      </c>
      <c r="I42" s="15">
        <f>IF(OR(I40="",E40=""),"",IFERROR(I40/E40-1,""))</f>
        <v/>
      </c>
      <c r="J42" s="15">
        <f>IF(OR(J40="",F40=""),"",IFERROR(J40/F40-1,""))</f>
        <v/>
      </c>
      <c r="K42" s="15">
        <f>IF(OR(K40="",G40=""),"",IFERROR(K40/G40-1,""))</f>
        <v/>
      </c>
      <c r="L42" s="15">
        <f>IF(OR(L40="",H40=""),"",IFERROR(L40/H40-1,""))</f>
        <v/>
      </c>
      <c r="M42" s="15">
        <f>IF(OR(M40="",I40=""),"",IFERROR(M40/I40-1,""))</f>
        <v/>
      </c>
      <c r="N42" s="15">
        <f>IF(OR(N40="",J40=""),"",IFERROR(N40/J40-1,""))</f>
        <v/>
      </c>
      <c r="O42" s="14" t="n"/>
      <c r="P42" s="15">
        <f>IF(OR(P40="",O40=""),"",IFERROR(P40/O40-1,""))</f>
        <v/>
      </c>
      <c r="Q42" s="15">
        <f>IF(OR(Q40="",P40=""),"",IFERROR(Q40/P40-1,""))</f>
        <v/>
      </c>
      <c r="R42" s="15">
        <f>IF(OR(R40="",Q40=""),"",IFERROR(R40/Q40-1,""))</f>
        <v/>
      </c>
      <c r="S42" s="15">
        <f>IF(OR(S40="",R40=""),"",IFERROR(S40/R40-1,""))</f>
        <v/>
      </c>
      <c r="T42" s="15">
        <f>IF(OR(T40="",S40=""),"",IFERROR(T40/S40-1,""))</f>
        <v/>
      </c>
      <c r="U42" s="15">
        <f>IF(OR(U40="",T40=""),"",IFERROR(U40/T40-1,""))</f>
        <v/>
      </c>
      <c r="V42" s="15">
        <f>IF(OR(V40="",U40=""),"",IFERROR(V40/U40-1,""))</f>
        <v/>
      </c>
      <c r="W42" s="15">
        <f>IF(OR(W40="",V40=""),"",IFERROR(W40/V40-1,""))</f>
        <v/>
      </c>
      <c r="X42" s="15">
        <f>IF(OR(X40="",W40=""),"",IFERROR(X40/W40-1,""))</f>
        <v/>
      </c>
      <c r="Y42" s="14">
        <f>IF(OR(Y40="",X40=""),"",IFERROR(Y40/X40-1,""))</f>
        <v/>
      </c>
      <c r="Z42" s="15">
        <f>IF(OR(Z40="",Y40=""),"",IFERROR(Z40/Y40-1,""))</f>
        <v/>
      </c>
      <c r="AA42" s="15">
        <f>IF(OR(AA40="",Z40=""),"",IFERROR(AA40/Z40-1,""))</f>
        <v/>
      </c>
      <c r="AB42" s="15">
        <f>IF(OR(AB40="",AA40=""),"",IFERROR(AB40/AA40-1,""))</f>
        <v/>
      </c>
      <c r="AC42" s="15">
        <f>IF(OR(AC40="",AB40=""),"",IFERROR(AC40/AB40-1,""))</f>
        <v/>
      </c>
    </row>
    <row r="43">
      <c r="A43" s="16" t="inlineStr">
        <is>
          <t>비용의 성격별 분류</t>
        </is>
      </c>
      <c r="B43" s="16" t="inlineStr">
        <is>
          <t>참고 데이터</t>
        </is>
      </c>
      <c r="C43" s="17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7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7" t="n"/>
      <c r="Z43" s="16" t="n"/>
      <c r="AA43" s="16" t="n"/>
      <c r="AB43" s="16" t="n"/>
      <c r="AC43" s="16" t="n"/>
    </row>
    <row r="44">
      <c r="A44" s="9" t="inlineStr">
        <is>
          <t>총 판관비</t>
        </is>
      </c>
      <c r="B44" s="10" t="n"/>
      <c r="C44" s="11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1">
        <f>IF(O39="","",O39)</f>
        <v/>
      </c>
      <c r="P44" s="12">
        <f>IF(P39="","",P39)</f>
        <v/>
      </c>
      <c r="Q44" s="12">
        <f>IF(Q39="","",Q39)</f>
        <v/>
      </c>
      <c r="R44" s="12">
        <f>IF(R39="","",R39)</f>
        <v/>
      </c>
      <c r="S44" s="12">
        <f>IF(S39="","",S39)</f>
        <v/>
      </c>
      <c r="T44" s="12">
        <f>IF(T39="","",T39)</f>
        <v/>
      </c>
      <c r="U44" s="12">
        <f>IF(U39="","",U39)</f>
        <v/>
      </c>
      <c r="V44" s="12">
        <f>IF(V39="","",V39)</f>
        <v/>
      </c>
      <c r="W44" s="12">
        <f>IF(W39="","",W39)</f>
        <v/>
      </c>
      <c r="X44" s="12">
        <f>IF(X39="","",X39)</f>
        <v/>
      </c>
      <c r="Y44" s="11" t="n"/>
      <c r="Z44" s="12" t="n"/>
      <c r="AA44" s="12" t="n"/>
      <c r="AB44" s="12" t="n"/>
      <c r="AC44" s="12" t="n"/>
    </row>
    <row r="45">
      <c r="A45" s="18" t="inlineStr">
        <is>
          <t>급여</t>
        </is>
      </c>
      <c r="B45" s="10" t="inlineStr">
        <is>
          <t>고정비</t>
        </is>
      </c>
      <c r="C45" s="19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19" t="n"/>
      <c r="P45" s="20" t="n"/>
      <c r="Q45" s="20" t="n"/>
      <c r="R45" s="20" t="n">
        <v>1024</v>
      </c>
      <c r="S45" s="20" t="n">
        <v>1023</v>
      </c>
      <c r="T45" s="20" t="n">
        <v>1026</v>
      </c>
      <c r="U45" s="20" t="n">
        <v>1045</v>
      </c>
      <c r="V45" s="20" t="n">
        <v>1044</v>
      </c>
      <c r="W45" s="20" t="n">
        <v>1036</v>
      </c>
      <c r="X45" s="20" t="n">
        <v>1088</v>
      </c>
      <c r="Y45" s="19" t="n"/>
      <c r="Z45" s="20" t="n"/>
      <c r="AA45" s="20" t="n"/>
      <c r="AB45" s="20" t="n"/>
      <c r="AC45" s="20" t="n"/>
    </row>
    <row r="46">
      <c r="A46" s="13" t="inlineStr">
        <is>
          <t>% of Sales</t>
        </is>
      </c>
      <c r="B46" s="10" t="n"/>
      <c r="C46" s="14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4">
        <f>IF(OR(O45="",O4=""),"",IFERROR(O45/O4,""))</f>
        <v/>
      </c>
      <c r="P46" s="15">
        <f>IF(OR(P45="",P4=""),"",IFERROR(P45/P4,""))</f>
        <v/>
      </c>
      <c r="Q46" s="15">
        <f>IF(OR(Q45="",Q4=""),"",IFERROR(Q45/Q4,""))</f>
        <v/>
      </c>
      <c r="R46" s="15">
        <f>IF(OR(R45="",R4=""),"",IFERROR(R45/R4,""))</f>
        <v/>
      </c>
      <c r="S46" s="15">
        <f>IF(OR(S45="",S4=""),"",IFERROR(S45/S4,""))</f>
        <v/>
      </c>
      <c r="T46" s="15">
        <f>IF(OR(T45="",T4=""),"",IFERROR(T45/T4,""))</f>
        <v/>
      </c>
      <c r="U46" s="15">
        <f>IF(OR(U45="",U4=""),"",IFERROR(U45/U4,""))</f>
        <v/>
      </c>
      <c r="V46" s="15">
        <f>IF(OR(V45="",V4=""),"",IFERROR(V45/V4,""))</f>
        <v/>
      </c>
      <c r="W46" s="15">
        <f>IF(OR(W45="",W4=""),"",IFERROR(W45/W4,""))</f>
        <v/>
      </c>
      <c r="X46" s="15">
        <f>IF(OR(X45="",X4=""),"",IFERROR(X45/X4,""))</f>
        <v/>
      </c>
      <c r="Y46" s="14" t="n"/>
      <c r="Z46" s="15" t="n"/>
      <c r="AA46" s="15" t="n"/>
      <c r="AB46" s="15" t="n"/>
      <c r="AC46" s="15" t="n"/>
    </row>
    <row r="47">
      <c r="A47" s="18" t="inlineStr">
        <is>
          <t>감가상각비</t>
        </is>
      </c>
      <c r="B47" s="10" t="inlineStr">
        <is>
          <t>고정비</t>
        </is>
      </c>
      <c r="C47" s="19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19" t="n"/>
      <c r="P47" s="20" t="n"/>
      <c r="Q47" s="20" t="n"/>
      <c r="R47" s="20" t="n"/>
      <c r="S47" s="20" t="n"/>
      <c r="T47" s="20" t="n"/>
      <c r="U47" s="20" t="n"/>
      <c r="V47" s="20" t="n"/>
      <c r="W47" s="20" t="n"/>
      <c r="X47" s="20" t="n"/>
      <c r="Y47" s="19" t="n"/>
      <c r="Z47" s="20" t="n"/>
      <c r="AA47" s="20" t="n"/>
      <c r="AB47" s="20" t="n"/>
      <c r="AC47" s="20" t="n"/>
    </row>
    <row r="48">
      <c r="A48" s="13" t="inlineStr">
        <is>
          <t>% of Sales</t>
        </is>
      </c>
      <c r="B48" s="10" t="n"/>
      <c r="C48" s="14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14" t="n"/>
      <c r="Z48" s="15" t="n"/>
      <c r="AA48" s="15" t="n"/>
      <c r="AB48" s="15" t="n"/>
      <c r="AC48" s="15" t="n"/>
    </row>
    <row r="49">
      <c r="A49" s="18" t="inlineStr">
        <is>
          <t>지급수수료</t>
        </is>
      </c>
      <c r="B49" s="10" t="inlineStr">
        <is>
          <t>고정비</t>
        </is>
      </c>
      <c r="C49" s="19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19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19" t="n"/>
      <c r="Z49" s="20" t="n"/>
      <c r="AA49" s="20" t="n"/>
      <c r="AB49" s="20" t="n"/>
      <c r="AC49" s="20" t="n"/>
    </row>
    <row r="50">
      <c r="A50" s="13" t="inlineStr">
        <is>
          <t>% of Sales</t>
        </is>
      </c>
      <c r="B50" s="10" t="n"/>
      <c r="C50" s="14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4">
        <f>IF(OR(O49="",O4=""),"",IFERROR(O49/O4,""))</f>
        <v/>
      </c>
      <c r="P50" s="15">
        <f>IF(OR(P49="",P4=""),"",IFERROR(P49/P4,""))</f>
        <v/>
      </c>
      <c r="Q50" s="15">
        <f>IF(OR(Q49="",Q4=""),"",IFERROR(Q49/Q4,""))</f>
        <v/>
      </c>
      <c r="R50" s="15">
        <f>IF(OR(R49="",R4=""),"",IFERROR(R49/R4,""))</f>
        <v/>
      </c>
      <c r="S50" s="15">
        <f>IF(OR(S49="",S4=""),"",IFERROR(S49/S4,""))</f>
        <v/>
      </c>
      <c r="T50" s="15">
        <f>IF(OR(T49="",T4=""),"",IFERROR(T49/T4,""))</f>
        <v/>
      </c>
      <c r="U50" s="15">
        <f>IF(OR(U49="",U4=""),"",IFERROR(U49/U4,""))</f>
        <v/>
      </c>
      <c r="V50" s="15">
        <f>IF(OR(V49="",V4=""),"",IFERROR(V49/V4,""))</f>
        <v/>
      </c>
      <c r="W50" s="15">
        <f>IF(OR(W49="",W4=""),"",IFERROR(W49/W4,""))</f>
        <v/>
      </c>
      <c r="X50" s="15">
        <f>IF(OR(X49="",X4=""),"",IFERROR(X49/X4,""))</f>
        <v/>
      </c>
      <c r="Y50" s="14" t="n"/>
      <c r="Z50" s="15" t="n"/>
      <c r="AA50" s="15" t="n"/>
      <c r="AB50" s="15" t="n"/>
      <c r="AC50" s="15" t="n"/>
    </row>
    <row r="51">
      <c r="A51" s="18" t="inlineStr">
        <is>
          <t>연구개발비</t>
        </is>
      </c>
      <c r="B51" s="10" t="inlineStr">
        <is>
          <t>변동비</t>
        </is>
      </c>
      <c r="C51" s="19" t="n"/>
      <c r="D51" s="20" t="n"/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19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19" t="n"/>
      <c r="Z51" s="20" t="n"/>
      <c r="AA51" s="20" t="n"/>
      <c r="AB51" s="20" t="n"/>
      <c r="AC51" s="20" t="n"/>
    </row>
    <row r="52">
      <c r="A52" s="13" t="inlineStr">
        <is>
          <t>% of Sales</t>
        </is>
      </c>
      <c r="B52" s="10" t="n"/>
      <c r="C52" s="14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4">
        <f>IF(OR(O51="",O4=""),"",IFERROR(O51/O4,""))</f>
        <v/>
      </c>
      <c r="P52" s="15">
        <f>IF(OR(P51="",P4=""),"",IFERROR(P51/P4,""))</f>
        <v/>
      </c>
      <c r="Q52" s="15">
        <f>IF(OR(Q51="",Q4=""),"",IFERROR(Q51/Q4,""))</f>
        <v/>
      </c>
      <c r="R52" s="15">
        <f>IF(OR(R51="",R4=""),"",IFERROR(R51/R4,""))</f>
        <v/>
      </c>
      <c r="S52" s="15">
        <f>IF(OR(S51="",S4=""),"",IFERROR(S51/S4,""))</f>
        <v/>
      </c>
      <c r="T52" s="15">
        <f>IF(OR(T51="",T4=""),"",IFERROR(T51/T4,""))</f>
        <v/>
      </c>
      <c r="U52" s="15">
        <f>IF(OR(U51="",U4=""),"",IFERROR(U51/U4,""))</f>
        <v/>
      </c>
      <c r="V52" s="15">
        <f>IF(OR(V51="",V4=""),"",IFERROR(V51/V4,""))</f>
        <v/>
      </c>
      <c r="W52" s="15">
        <f>IF(OR(W51="",W4=""),"",IFERROR(W51/W4,""))</f>
        <v/>
      </c>
      <c r="X52" s="15">
        <f>IF(OR(X51="",X4=""),"",IFERROR(X51/X4,""))</f>
        <v/>
      </c>
      <c r="Y52" s="14" t="n"/>
      <c r="Z52" s="15" t="n"/>
      <c r="AA52" s="15" t="n"/>
      <c r="AB52" s="15" t="n"/>
      <c r="AC52" s="15" t="n"/>
    </row>
    <row r="53">
      <c r="A53" s="18" t="inlineStr">
        <is>
          <t>기타비용</t>
        </is>
      </c>
      <c r="B53" s="10" t="inlineStr">
        <is>
          <t>변동비</t>
        </is>
      </c>
      <c r="C53" s="19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19">
        <f>IF(OR(O44="",O45="",O47="",O49="",O51=""),"",IFERROR(O44-O45-O47-O49-O51,""))</f>
        <v/>
      </c>
      <c r="P53" s="20">
        <f>IF(OR(P44="",P45="",P47="",P49="",P51=""),"",IFERROR(P44-P45-P47-P49-P51,""))</f>
        <v/>
      </c>
      <c r="Q53" s="20">
        <f>IF(OR(Q44="",Q45="",Q47="",Q49="",Q51=""),"",IFERROR(Q44-Q45-Q47-Q49-Q51,""))</f>
        <v/>
      </c>
      <c r="R53" s="20">
        <f>IF(OR(R44="",R45="",R47="",R49="",R51=""),"",IFERROR(R44-R45-R47-R49-R51,""))</f>
        <v/>
      </c>
      <c r="S53" s="20">
        <f>IF(OR(S44="",S45="",S47="",S49="",S51=""),"",IFERROR(S44-S45-S47-S49-S51,""))</f>
        <v/>
      </c>
      <c r="T53" s="20">
        <f>IF(OR(T44="",T45="",T47="",T49="",T51=""),"",IFERROR(T44-T45-T47-T49-T51,""))</f>
        <v/>
      </c>
      <c r="U53" s="20">
        <f>IF(OR(U44="",U45="",U47="",U49="",U51=""),"",IFERROR(U44-U45-U47-U49-U51,""))</f>
        <v/>
      </c>
      <c r="V53" s="20">
        <f>IF(OR(V44="",V45="",V47="",V49="",V51=""),"",IFERROR(V44-V45-V47-V49-V51,""))</f>
        <v/>
      </c>
      <c r="W53" s="20">
        <f>IF(OR(W44="",W45="",W47="",W49="",W51=""),"",IFERROR(W44-W45-W47-W49-W51,""))</f>
        <v/>
      </c>
      <c r="X53" s="20">
        <f>IF(OR(X44="",X45="",X47="",X49="",X51=""),"",IFERROR(X44-X45-X47-X49-X51,""))</f>
        <v/>
      </c>
      <c r="Y53" s="19" t="n"/>
      <c r="Z53" s="20" t="n"/>
      <c r="AA53" s="20" t="n"/>
      <c r="AB53" s="20" t="n"/>
      <c r="AC53" s="20" t="n"/>
    </row>
    <row r="54">
      <c r="A54" s="13" t="inlineStr">
        <is>
          <t>% of Sales</t>
        </is>
      </c>
      <c r="B54" s="10" t="n"/>
      <c r="C54" s="14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4">
        <f>IF(OR(O53="",O4=""),"",IFERROR(O53/O4,""))</f>
        <v/>
      </c>
      <c r="P54" s="15">
        <f>IF(OR(P53="",P4=""),"",IFERROR(P53/P4,""))</f>
        <v/>
      </c>
      <c r="Q54" s="15">
        <f>IF(OR(Q53="",Q4=""),"",IFERROR(Q53/Q4,""))</f>
        <v/>
      </c>
      <c r="R54" s="15">
        <f>IF(OR(R53="",R4=""),"",IFERROR(R53/R4,""))</f>
        <v/>
      </c>
      <c r="S54" s="15">
        <f>IF(OR(S53="",S4=""),"",IFERROR(S53/S4,""))</f>
        <v/>
      </c>
      <c r="T54" s="15">
        <f>IF(OR(T53="",T4=""),"",IFERROR(T53/T4,""))</f>
        <v/>
      </c>
      <c r="U54" s="15">
        <f>IF(OR(U53="",U4=""),"",IFERROR(U53/U4,""))</f>
        <v/>
      </c>
      <c r="V54" s="15">
        <f>IF(OR(V53="",V4=""),"",IFERROR(V53/V4,""))</f>
        <v/>
      </c>
      <c r="W54" s="15">
        <f>IF(OR(W53="",W4=""),"",IFERROR(W53/W4,""))</f>
        <v/>
      </c>
      <c r="X54" s="15">
        <f>IF(OR(X53="",X4=""),"",IFERROR(X53/X4,""))</f>
        <v/>
      </c>
      <c r="Y54" s="14" t="n"/>
      <c r="Z54" s="15" t="n"/>
      <c r="AA54" s="15" t="n"/>
      <c r="AB54" s="15" t="n"/>
      <c r="AC54" s="15" t="n"/>
    </row>
    <row r="55">
      <c r="A55" s="16" t="inlineStr">
        <is>
          <t>당기순이익 추정</t>
        </is>
      </c>
      <c r="B55" s="16" t="n"/>
      <c r="C55" s="17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7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7" t="n"/>
      <c r="Z55" s="16" t="n"/>
      <c r="AA55" s="16" t="n"/>
      <c r="AB55" s="16" t="n"/>
      <c r="AC55" s="16" t="n"/>
    </row>
    <row r="56">
      <c r="A56" s="18" t="inlineStr">
        <is>
          <t>특별이익</t>
        </is>
      </c>
      <c r="B56" s="10" t="n"/>
      <c r="C56" s="19" t="n"/>
      <c r="D56" s="20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20" t="n"/>
      <c r="O56" s="19" t="n">
        <v>238</v>
      </c>
      <c r="P56" s="20" t="n">
        <v>0</v>
      </c>
      <c r="Q56" s="20" t="n"/>
      <c r="R56" s="20" t="n"/>
      <c r="S56" s="20" t="n"/>
      <c r="T56" s="20" t="n"/>
      <c r="U56" s="20" t="n"/>
      <c r="V56" s="20" t="n"/>
      <c r="W56" s="20" t="n"/>
      <c r="X56" s="20" t="n"/>
      <c r="Y56" s="19">
        <f>IF(OR(Y4="",Y57=""),"",IFERROR(Y4*Y57,""))</f>
        <v/>
      </c>
      <c r="Z56" s="20">
        <f>IF(OR(Z4="",Z57=""),"",IFERROR(Z4*Z57,""))</f>
        <v/>
      </c>
      <c r="AA56" s="20">
        <f>IF(OR(AA4="",AA57=""),"",IFERROR(AA4*AA57,""))</f>
        <v/>
      </c>
      <c r="AB56" s="20">
        <f>IF(OR(AB4="",AB57=""),"",IFERROR(AB4*AB57,""))</f>
        <v/>
      </c>
      <c r="AC56" s="20">
        <f>IF(OR(AC4="",AC57=""),"",IFERROR(AC4*AC57,""))</f>
        <v/>
      </c>
    </row>
    <row r="57">
      <c r="A57" s="13" t="inlineStr">
        <is>
          <t>% of Sales</t>
        </is>
      </c>
      <c r="B57" s="10" t="inlineStr">
        <is>
          <t>MW = 최근 3년 평균</t>
        </is>
      </c>
      <c r="C57" s="14">
        <f>IF(OR(C56="",C4=""),"",IFERROR(C56/C4,""))</f>
        <v/>
      </c>
      <c r="D57" s="15">
        <f>IF(OR(D56="",D4=""),"",IFERROR(D56/D4,""))</f>
        <v/>
      </c>
      <c r="E57" s="15">
        <f>IF(OR(E56="",E4=""),"",IFERROR(E56/E4,""))</f>
        <v/>
      </c>
      <c r="F57" s="15">
        <f>IF(OR(F56="",F4=""),"",IFERROR(F56/F4,""))</f>
        <v/>
      </c>
      <c r="G57" s="15">
        <f>IF(OR(G56="",G4=""),"",IFERROR(G56/G4,""))</f>
        <v/>
      </c>
      <c r="H57" s="15">
        <f>IF(OR(H56="",H4=""),"",IFERROR(H56/H4,""))</f>
        <v/>
      </c>
      <c r="I57" s="15">
        <f>IF(OR(I56="",I4=""),"",IFERROR(I56/I4,""))</f>
        <v/>
      </c>
      <c r="J57" s="15">
        <f>IF(OR(J56="",J4=""),"",IFERROR(J56/J4,""))</f>
        <v/>
      </c>
      <c r="K57" s="15">
        <f>IF(OR(K56="",K4=""),"",IFERROR(K56/K4,""))</f>
        <v/>
      </c>
      <c r="L57" s="15">
        <f>IF(OR(L56="",L4=""),"",IFERROR(L56/L4,""))</f>
        <v/>
      </c>
      <c r="M57" s="15">
        <f>IF(OR(M56="",M4=""),"",IFERROR(M56/M4,""))</f>
        <v/>
      </c>
      <c r="N57" s="15">
        <f>IF(OR(N56="",N4=""),"",IFERROR(N56/N4,""))</f>
        <v/>
      </c>
      <c r="O57" s="14">
        <f>IF(OR(O56="",O4=""),"",IFERROR(O56/O4,""))</f>
        <v/>
      </c>
      <c r="P57" s="15">
        <f>IF(OR(P56="",P4=""),"",IFERROR(P56/P4,""))</f>
        <v/>
      </c>
      <c r="Q57" s="15">
        <f>IF(OR(Q56="",Q4=""),"",IFERROR(Q56/Q4,""))</f>
        <v/>
      </c>
      <c r="R57" s="15">
        <f>IF(OR(R56="",R4=""),"",IFERROR(R56/R4,""))</f>
        <v/>
      </c>
      <c r="S57" s="15">
        <f>IF(OR(S56="",S4=""),"",IFERROR(S56/S4,""))</f>
        <v/>
      </c>
      <c r="T57" s="15">
        <f>IF(OR(T56="",T4=""),"",IFERROR(T56/T4,""))</f>
        <v/>
      </c>
      <c r="U57" s="15">
        <f>IF(OR(U56="",U4=""),"",IFERROR(U56/U4,""))</f>
        <v/>
      </c>
      <c r="V57" s="15">
        <f>IF(OR(V56="",V4=""),"",IFERROR(V56/V4,""))</f>
        <v/>
      </c>
      <c r="W57" s="15">
        <f>IF(OR(W56="",W4=""),"",IFERROR(W56/W4,""))</f>
        <v/>
      </c>
      <c r="X57" s="15">
        <f>IF(OR(X56="",X4=""),"",IFERROR(X56/X4,""))</f>
        <v/>
      </c>
      <c r="Y57" s="25">
        <f>IFERROR(AVERAGE(V57,W57,X57),"")</f>
        <v/>
      </c>
      <c r="Z57" s="26">
        <f>Y57</f>
        <v/>
      </c>
      <c r="AA57" s="26">
        <f>Z57</f>
        <v/>
      </c>
      <c r="AB57" s="26">
        <f>AA57</f>
        <v/>
      </c>
      <c r="AC57" s="26">
        <f>AB57</f>
        <v/>
      </c>
    </row>
    <row r="58">
      <c r="A58" s="18" t="inlineStr">
        <is>
          <t>특별손실</t>
        </is>
      </c>
      <c r="B58" s="10" t="n"/>
      <c r="C58" s="19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19" t="n">
        <v>48</v>
      </c>
      <c r="P58" s="20" t="n">
        <v>0</v>
      </c>
      <c r="Q58" s="20" t="n"/>
      <c r="R58" s="20" t="n"/>
      <c r="S58" s="20" t="n"/>
      <c r="T58" s="20" t="n"/>
      <c r="U58" s="20" t="n"/>
      <c r="V58" s="20" t="n"/>
      <c r="W58" s="20" t="n"/>
      <c r="X58" s="20" t="n"/>
      <c r="Y58" s="19">
        <f>IF(OR(Y4="",Y59=""),"",IFERROR(Y4*Y59,""))</f>
        <v/>
      </c>
      <c r="Z58" s="20">
        <f>IF(OR(Z4="",Z59=""),"",IFERROR(Z4*Z59,""))</f>
        <v/>
      </c>
      <c r="AA58" s="20">
        <f>IF(OR(AA4="",AA59=""),"",IFERROR(AA4*AA59,""))</f>
        <v/>
      </c>
      <c r="AB58" s="20">
        <f>IF(OR(AB4="",AB59=""),"",IFERROR(AB4*AB59,""))</f>
        <v/>
      </c>
      <c r="AC58" s="20">
        <f>IF(OR(AC4="",AC59=""),"",IFERROR(AC4*AC59,""))</f>
        <v/>
      </c>
    </row>
    <row r="59">
      <c r="A59" s="13" t="inlineStr">
        <is>
          <t>% of Sales</t>
        </is>
      </c>
      <c r="B59" s="10" t="n"/>
      <c r="C59" s="14">
        <f>IF(OR(C58="",C4=""),"",IFERROR(C58/C4,""))</f>
        <v/>
      </c>
      <c r="D59" s="15">
        <f>IF(OR(D58="",D4=""),"",IFERROR(D58/D4,""))</f>
        <v/>
      </c>
      <c r="E59" s="15">
        <f>IF(OR(E58="",E4=""),"",IFERROR(E58/E4,""))</f>
        <v/>
      </c>
      <c r="F59" s="15">
        <f>IF(OR(F58="",F4=""),"",IFERROR(F58/F4,""))</f>
        <v/>
      </c>
      <c r="G59" s="15">
        <f>IF(OR(G58="",G4=""),"",IFERROR(G58/G4,""))</f>
        <v/>
      </c>
      <c r="H59" s="15">
        <f>IF(OR(H58="",H4=""),"",IFERROR(H58/H4,""))</f>
        <v/>
      </c>
      <c r="I59" s="15">
        <f>IF(OR(I58="",I4=""),"",IFERROR(I58/I4,""))</f>
        <v/>
      </c>
      <c r="J59" s="15">
        <f>IF(OR(J58="",J4=""),"",IFERROR(J58/J4,""))</f>
        <v/>
      </c>
      <c r="K59" s="15">
        <f>IF(OR(K58="",K4=""),"",IFERROR(K58/K4,""))</f>
        <v/>
      </c>
      <c r="L59" s="15">
        <f>IF(OR(L58="",L4=""),"",IFERROR(L58/L4,""))</f>
        <v/>
      </c>
      <c r="M59" s="15">
        <f>IF(OR(M58="",M4=""),"",IFERROR(M58/M4,""))</f>
        <v/>
      </c>
      <c r="N59" s="15">
        <f>IF(OR(N58="",N4=""),"",IFERROR(N58/N4,""))</f>
        <v/>
      </c>
      <c r="O59" s="14">
        <f>IF(OR(O58="",O4=""),"",IFERROR(O58/O4,""))</f>
        <v/>
      </c>
      <c r="P59" s="15">
        <f>IF(OR(P58="",P4=""),"",IFERROR(P58/P4,""))</f>
        <v/>
      </c>
      <c r="Q59" s="15">
        <f>IF(OR(Q58="",Q4=""),"",IFERROR(Q58/Q4,""))</f>
        <v/>
      </c>
      <c r="R59" s="15">
        <f>IF(OR(R58="",R4=""),"",IFERROR(R58/R4,""))</f>
        <v/>
      </c>
      <c r="S59" s="15">
        <f>IF(OR(S58="",S4=""),"",IFERROR(S58/S4,""))</f>
        <v/>
      </c>
      <c r="T59" s="15">
        <f>IF(OR(T58="",T4=""),"",IFERROR(T58/T4,""))</f>
        <v/>
      </c>
      <c r="U59" s="15">
        <f>IF(OR(U58="",U4=""),"",IFERROR(U58/U4,""))</f>
        <v/>
      </c>
      <c r="V59" s="15">
        <f>IF(OR(V58="",V4=""),"",IFERROR(V58/V4,""))</f>
        <v/>
      </c>
      <c r="W59" s="15">
        <f>IF(OR(W58="",W4=""),"",IFERROR(W58/W4,""))</f>
        <v/>
      </c>
      <c r="X59" s="15">
        <f>IF(OR(X58="",X4=""),"",IFERROR(X58/X4,""))</f>
        <v/>
      </c>
      <c r="Y59" s="25">
        <f>IFERROR(AVERAGE(V59,W59,X59),"")</f>
        <v/>
      </c>
      <c r="Z59" s="26">
        <f>Y59</f>
        <v/>
      </c>
      <c r="AA59" s="26">
        <f>Z59</f>
        <v/>
      </c>
      <c r="AB59" s="26">
        <f>AA59</f>
        <v/>
      </c>
      <c r="AC59" s="26">
        <f>AB59</f>
        <v/>
      </c>
    </row>
    <row r="60">
      <c r="A60" s="18" t="inlineStr">
        <is>
          <t>영업외수익</t>
        </is>
      </c>
      <c r="B60" s="10" t="n"/>
      <c r="C60" s="19" t="n">
        <v>37</v>
      </c>
      <c r="D60" s="20" t="n">
        <v>86</v>
      </c>
      <c r="E60" s="20" t="n">
        <v>249</v>
      </c>
      <c r="F60" s="20" t="n">
        <v>72</v>
      </c>
      <c r="G60" s="20" t="n">
        <v>76</v>
      </c>
      <c r="H60" s="20" t="n">
        <v>259</v>
      </c>
      <c r="I60" s="20" t="n">
        <v>105</v>
      </c>
      <c r="J60" s="20" t="n">
        <v>154</v>
      </c>
      <c r="K60" s="20" t="n">
        <v>151</v>
      </c>
      <c r="L60" s="20" t="n">
        <v>241</v>
      </c>
      <c r="M60" s="20" t="n">
        <v>194</v>
      </c>
      <c r="N60" s="20" t="n">
        <v>205</v>
      </c>
      <c r="O60" s="19" t="n">
        <v>75</v>
      </c>
      <c r="P60" s="20" t="n">
        <v>112</v>
      </c>
      <c r="Q60" s="20" t="n">
        <v>120</v>
      </c>
      <c r="R60" s="20" t="n">
        <v>147</v>
      </c>
      <c r="S60" s="20" t="n">
        <v>126</v>
      </c>
      <c r="T60" s="20" t="n">
        <v>183</v>
      </c>
      <c r="U60" s="20" t="n">
        <v>234</v>
      </c>
      <c r="V60" s="20" t="n">
        <v>261</v>
      </c>
      <c r="W60" s="20" t="n">
        <v>656</v>
      </c>
      <c r="X60" s="20" t="n">
        <v>651</v>
      </c>
      <c r="Y60" s="19">
        <f>IF(OR(Y4="",Y61=""),"",IFERROR(Y4*Y61,""))</f>
        <v/>
      </c>
      <c r="Z60" s="20">
        <f>IF(OR(Z4="",Z61=""),"",IFERROR(Z4*Z61,""))</f>
        <v/>
      </c>
      <c r="AA60" s="20">
        <f>IF(OR(AA4="",AA61=""),"",IFERROR(AA4*AA61,""))</f>
        <v/>
      </c>
      <c r="AB60" s="20">
        <f>IF(OR(AB4="",AB61=""),"",IFERROR(AB4*AB61,""))</f>
        <v/>
      </c>
      <c r="AC60" s="20">
        <f>IF(OR(AC4="",AC61=""),"",IFERROR(AC4*AC61,""))</f>
        <v/>
      </c>
    </row>
    <row r="61">
      <c r="A61" s="13" t="inlineStr">
        <is>
          <t>% of Sales</t>
        </is>
      </c>
      <c r="B61" s="10" t="n"/>
      <c r="C61" s="14">
        <f>IF(OR(C60="",C4=""),"",IFERROR(C60/C4,""))</f>
        <v/>
      </c>
      <c r="D61" s="15">
        <f>IF(OR(D60="",D4=""),"",IFERROR(D60/D4,""))</f>
        <v/>
      </c>
      <c r="E61" s="15">
        <f>IF(OR(E60="",E4=""),"",IFERROR(E60/E4,""))</f>
        <v/>
      </c>
      <c r="F61" s="15">
        <f>IF(OR(F60="",F4=""),"",IFERROR(F60/F4,""))</f>
        <v/>
      </c>
      <c r="G61" s="15">
        <f>IF(OR(G60="",G4=""),"",IFERROR(G60/G4,""))</f>
        <v/>
      </c>
      <c r="H61" s="15">
        <f>IF(OR(H60="",H4=""),"",IFERROR(H60/H4,""))</f>
        <v/>
      </c>
      <c r="I61" s="15">
        <f>IF(OR(I60="",I4=""),"",IFERROR(I60/I4,""))</f>
        <v/>
      </c>
      <c r="J61" s="15">
        <f>IF(OR(J60="",J4=""),"",IFERROR(J60/J4,""))</f>
        <v/>
      </c>
      <c r="K61" s="15">
        <f>IF(OR(K60="",K4=""),"",IFERROR(K60/K4,""))</f>
        <v/>
      </c>
      <c r="L61" s="15">
        <f>IF(OR(L60="",L4=""),"",IFERROR(L60/L4,""))</f>
        <v/>
      </c>
      <c r="M61" s="15">
        <f>IF(OR(M60="",M4=""),"",IFERROR(M60/M4,""))</f>
        <v/>
      </c>
      <c r="N61" s="15">
        <f>IF(OR(N60="",N4=""),"",IFERROR(N60/N4,""))</f>
        <v/>
      </c>
      <c r="O61" s="14">
        <f>IF(OR(O60="",O4=""),"",IFERROR(O60/O4,""))</f>
        <v/>
      </c>
      <c r="P61" s="15">
        <f>IF(OR(P60="",P4=""),"",IFERROR(P60/P4,""))</f>
        <v/>
      </c>
      <c r="Q61" s="15">
        <f>IF(OR(Q60="",Q4=""),"",IFERROR(Q60/Q4,""))</f>
        <v/>
      </c>
      <c r="R61" s="15">
        <f>IF(OR(R60="",R4=""),"",IFERROR(R60/R4,""))</f>
        <v/>
      </c>
      <c r="S61" s="15">
        <f>IF(OR(S60="",S4=""),"",IFERROR(S60/S4,""))</f>
        <v/>
      </c>
      <c r="T61" s="15">
        <f>IF(OR(T60="",T4=""),"",IFERROR(T60/T4,""))</f>
        <v/>
      </c>
      <c r="U61" s="15">
        <f>IF(OR(U60="",U4=""),"",IFERROR(U60/U4,""))</f>
        <v/>
      </c>
      <c r="V61" s="15">
        <f>IF(OR(V60="",V4=""),"",IFERROR(V60/V4,""))</f>
        <v/>
      </c>
      <c r="W61" s="15">
        <f>IF(OR(W60="",W4=""),"",IFERROR(W60/W4,""))</f>
        <v/>
      </c>
      <c r="X61" s="15">
        <f>IF(OR(X60="",X4=""),"",IFERROR(X60/X4,""))</f>
        <v/>
      </c>
      <c r="Y61" s="25">
        <f>IFERROR(AVERAGE(V61,W61,X61),"")</f>
        <v/>
      </c>
      <c r="Z61" s="26">
        <f>Y61</f>
        <v/>
      </c>
      <c r="AA61" s="26">
        <f>Z61</f>
        <v/>
      </c>
      <c r="AB61" s="26">
        <f>AA61</f>
        <v/>
      </c>
      <c r="AC61" s="26">
        <f>AB61</f>
        <v/>
      </c>
    </row>
    <row r="62">
      <c r="A62" s="18" t="inlineStr">
        <is>
          <t>영업외비용</t>
        </is>
      </c>
      <c r="B62" s="10" t="n"/>
      <c r="C62" s="19" t="n">
        <v>14</v>
      </c>
      <c r="D62" s="20" t="n">
        <v>21</v>
      </c>
      <c r="E62" s="20" t="n">
        <v>23</v>
      </c>
      <c r="F62" s="20" t="n">
        <v>14</v>
      </c>
      <c r="G62" s="20" t="n">
        <v>15</v>
      </c>
      <c r="H62" s="20" t="n">
        <v>261</v>
      </c>
      <c r="I62" s="20" t="n">
        <v>44</v>
      </c>
      <c r="J62" s="20" t="n">
        <v>25</v>
      </c>
      <c r="K62" s="20" t="n">
        <v>-3</v>
      </c>
      <c r="L62" s="20" t="n">
        <v>74</v>
      </c>
      <c r="M62" s="20" t="n">
        <v>19</v>
      </c>
      <c r="N62" s="20" t="n">
        <v>32</v>
      </c>
      <c r="O62" s="19" t="n">
        <v>79</v>
      </c>
      <c r="P62" s="20" t="n">
        <v>70</v>
      </c>
      <c r="Q62" s="20" t="n">
        <v>72</v>
      </c>
      <c r="R62" s="20" t="n">
        <v>48</v>
      </c>
      <c r="S62" s="20" t="n">
        <v>103</v>
      </c>
      <c r="T62" s="20" t="n">
        <v>49</v>
      </c>
      <c r="U62" s="20" t="n">
        <v>63</v>
      </c>
      <c r="V62" s="20" t="n">
        <v>67</v>
      </c>
      <c r="W62" s="20" t="n">
        <v>313</v>
      </c>
      <c r="X62" s="20" t="n">
        <v>140</v>
      </c>
      <c r="Y62" s="19">
        <f>IF(OR(Y4="",Y63=""),"",IFERROR(Y4*Y63,""))</f>
        <v/>
      </c>
      <c r="Z62" s="20">
        <f>IF(OR(Z4="",Z63=""),"",IFERROR(Z4*Z63,""))</f>
        <v/>
      </c>
      <c r="AA62" s="20">
        <f>IF(OR(AA4="",AA63=""),"",IFERROR(AA4*AA63,""))</f>
        <v/>
      </c>
      <c r="AB62" s="20">
        <f>IF(OR(AB4="",AB63=""),"",IFERROR(AB4*AB63,""))</f>
        <v/>
      </c>
      <c r="AC62" s="20">
        <f>IF(OR(AC4="",AC63=""),"",IFERROR(AC4*AC63,""))</f>
        <v/>
      </c>
    </row>
    <row r="63">
      <c r="A63" s="13" t="inlineStr">
        <is>
          <t>% of Sales</t>
        </is>
      </c>
      <c r="B63" s="10" t="n"/>
      <c r="C63" s="14">
        <f>IF(OR(C62="",C4=""),"",IFERROR(C62/C4,""))</f>
        <v/>
      </c>
      <c r="D63" s="15">
        <f>IF(OR(D62="",D4=""),"",IFERROR(D62/D4,""))</f>
        <v/>
      </c>
      <c r="E63" s="15">
        <f>IF(OR(E62="",E4=""),"",IFERROR(E62/E4,""))</f>
        <v/>
      </c>
      <c r="F63" s="15">
        <f>IF(OR(F62="",F4=""),"",IFERROR(F62/F4,""))</f>
        <v/>
      </c>
      <c r="G63" s="15">
        <f>IF(OR(G62="",G4=""),"",IFERROR(G62/G4,""))</f>
        <v/>
      </c>
      <c r="H63" s="15">
        <f>IF(OR(H62="",H4=""),"",IFERROR(H62/H4,""))</f>
        <v/>
      </c>
      <c r="I63" s="15">
        <f>IF(OR(I62="",I4=""),"",IFERROR(I62/I4,""))</f>
        <v/>
      </c>
      <c r="J63" s="15">
        <f>IF(OR(J62="",J4=""),"",IFERROR(J62/J4,""))</f>
        <v/>
      </c>
      <c r="K63" s="15">
        <f>IF(OR(K62="",K4=""),"",IFERROR(K62/K4,""))</f>
        <v/>
      </c>
      <c r="L63" s="15">
        <f>IF(OR(L62="",L4=""),"",IFERROR(L62/L4,""))</f>
        <v/>
      </c>
      <c r="M63" s="15">
        <f>IF(OR(M62="",M4=""),"",IFERROR(M62/M4,""))</f>
        <v/>
      </c>
      <c r="N63" s="15">
        <f>IF(OR(N62="",N4=""),"",IFERROR(N62/N4,""))</f>
        <v/>
      </c>
      <c r="O63" s="14">
        <f>IF(OR(O62="",O4=""),"",IFERROR(O62/O4,""))</f>
        <v/>
      </c>
      <c r="P63" s="15">
        <f>IF(OR(P62="",P4=""),"",IFERROR(P62/P4,""))</f>
        <v/>
      </c>
      <c r="Q63" s="15">
        <f>IF(OR(Q62="",Q4=""),"",IFERROR(Q62/Q4,""))</f>
        <v/>
      </c>
      <c r="R63" s="15">
        <f>IF(OR(R62="",R4=""),"",IFERROR(R62/R4,""))</f>
        <v/>
      </c>
      <c r="S63" s="15">
        <f>IF(OR(S62="",S4=""),"",IFERROR(S62/S4,""))</f>
        <v/>
      </c>
      <c r="T63" s="15">
        <f>IF(OR(T62="",T4=""),"",IFERROR(T62/T4,""))</f>
        <v/>
      </c>
      <c r="U63" s="15">
        <f>IF(OR(U62="",U4=""),"",IFERROR(U62/U4,""))</f>
        <v/>
      </c>
      <c r="V63" s="15">
        <f>IF(OR(V62="",V4=""),"",IFERROR(V62/V4,""))</f>
        <v/>
      </c>
      <c r="W63" s="15">
        <f>IF(OR(W62="",W4=""),"",IFERROR(W62/W4,""))</f>
        <v/>
      </c>
      <c r="X63" s="15">
        <f>IF(OR(X62="",X4=""),"",IFERROR(X62/X4,""))</f>
        <v/>
      </c>
      <c r="Y63" s="25">
        <f>IFERROR(AVERAGE(V63,W63,X63),"")</f>
        <v/>
      </c>
      <c r="Z63" s="26">
        <f>Y63</f>
        <v/>
      </c>
      <c r="AA63" s="26">
        <f>Z63</f>
        <v/>
      </c>
      <c r="AB63" s="26">
        <f>AA63</f>
        <v/>
      </c>
      <c r="AC63" s="26">
        <f>AB63</f>
        <v/>
      </c>
    </row>
    <row r="64">
      <c r="A64" s="9" t="inlineStr">
        <is>
          <t>법인세비용차감전순이익(손실)</t>
        </is>
      </c>
      <c r="B64" s="10" t="n"/>
      <c r="C64" s="11" t="n">
        <v>243</v>
      </c>
      <c r="D64" s="12" t="n">
        <v>625</v>
      </c>
      <c r="E64" s="12" t="n">
        <v>997</v>
      </c>
      <c r="F64" s="12" t="n">
        <v>300</v>
      </c>
      <c r="G64" s="12" t="n">
        <v>392</v>
      </c>
      <c r="H64" s="12" t="n">
        <v>670</v>
      </c>
      <c r="I64" s="12" t="n">
        <v>1162</v>
      </c>
      <c r="J64" s="12" t="n">
        <v>367</v>
      </c>
      <c r="K64" s="12" t="n">
        <v>609</v>
      </c>
      <c r="L64" s="12" t="n">
        <v>988</v>
      </c>
      <c r="M64" s="12" t="n">
        <v>1456</v>
      </c>
      <c r="N64" s="12" t="n">
        <v>572</v>
      </c>
      <c r="O64" s="11" t="n">
        <v>1052</v>
      </c>
      <c r="P64" s="12" t="n">
        <v>877</v>
      </c>
      <c r="Q64" s="12" t="n">
        <v>943</v>
      </c>
      <c r="R64" s="12" t="n">
        <v>1006</v>
      </c>
      <c r="S64" s="12" t="n">
        <v>1347</v>
      </c>
      <c r="T64" s="12" t="n">
        <v>1540</v>
      </c>
      <c r="U64" s="12" t="n">
        <v>1612</v>
      </c>
      <c r="V64" s="12" t="n">
        <v>1816</v>
      </c>
      <c r="W64" s="12" t="n">
        <v>2359</v>
      </c>
      <c r="X64" s="12" t="n">
        <v>3126</v>
      </c>
      <c r="Y64" s="11">
        <f>IF(OR(Y40=""),"",IFERROR(Y40+N(Y56)-N(Y58)+N(Y60)-N(Y62),""))</f>
        <v/>
      </c>
      <c r="Z64" s="12">
        <f>IF(OR(Z40=""),"",IFERROR(Z40+N(Z56)-N(Z58)+N(Z60)-N(Z62),""))</f>
        <v/>
      </c>
      <c r="AA64" s="12">
        <f>IF(OR(AA40=""),"",IFERROR(AA40+N(AA56)-N(AA58)+N(AA60)-N(AA62),""))</f>
        <v/>
      </c>
      <c r="AB64" s="12">
        <f>IF(OR(AB40=""),"",IFERROR(AB40+N(AB56)-N(AB58)+N(AB60)-N(AB62),""))</f>
        <v/>
      </c>
      <c r="AC64" s="12">
        <f>IF(OR(AC40=""),"",IFERROR(AC40+N(AC56)-N(AC58)+N(AC60)-N(AC62),""))</f>
        <v/>
      </c>
    </row>
    <row r="65">
      <c r="A65" s="18" t="inlineStr">
        <is>
          <t>법인세비용(수익)</t>
        </is>
      </c>
      <c r="B65" s="10" t="n"/>
      <c r="C65" s="19" t="n">
        <v>79</v>
      </c>
      <c r="D65" s="20" t="n">
        <v>204</v>
      </c>
      <c r="E65" s="20" t="n">
        <v>323</v>
      </c>
      <c r="F65" s="20" t="n">
        <v>129</v>
      </c>
      <c r="G65" s="20" t="n">
        <v>155</v>
      </c>
      <c r="H65" s="20" t="n">
        <v>215</v>
      </c>
      <c r="I65" s="20" t="n">
        <v>415</v>
      </c>
      <c r="J65" s="20" t="n">
        <v>137</v>
      </c>
      <c r="K65" s="20" t="n">
        <v>215</v>
      </c>
      <c r="L65" s="20" t="n">
        <v>322</v>
      </c>
      <c r="M65" s="20" t="n">
        <v>399</v>
      </c>
      <c r="N65" s="20" t="n">
        <v>171</v>
      </c>
      <c r="O65" s="19" t="n">
        <v>375</v>
      </c>
      <c r="P65" s="20" t="n">
        <v>261</v>
      </c>
      <c r="Q65" s="20" t="n">
        <v>327</v>
      </c>
      <c r="R65" s="20" t="n">
        <v>306</v>
      </c>
      <c r="S65" s="20" t="n">
        <v>307</v>
      </c>
      <c r="T65" s="20" t="n">
        <v>484</v>
      </c>
      <c r="U65" s="20" t="n">
        <v>529</v>
      </c>
      <c r="V65" s="20" t="n">
        <v>613</v>
      </c>
      <c r="W65" s="20" t="n">
        <v>822</v>
      </c>
      <c r="X65" s="20" t="n">
        <v>1089</v>
      </c>
      <c r="Y65" s="19">
        <f>IF(OR(Y64="",Y66=""),"",IFERROR(MAX(Y64,0)*Y66,""))</f>
        <v/>
      </c>
      <c r="Z65" s="20">
        <f>IF(OR(Z64="",Z66=""),"",IFERROR(MAX(Z64,0)*Z66,""))</f>
        <v/>
      </c>
      <c r="AA65" s="20">
        <f>IF(OR(AA64="",AA66=""),"",IFERROR(MAX(AA64,0)*AA66,""))</f>
        <v/>
      </c>
      <c r="AB65" s="20">
        <f>IF(OR(AB64="",AB66=""),"",IFERROR(MAX(AB64,0)*AB66,""))</f>
        <v/>
      </c>
      <c r="AC65" s="20">
        <f>IF(OR(AC64="",AC66=""),"",IFERROR(MAX(AC64,0)*AC66,""))</f>
        <v/>
      </c>
    </row>
    <row r="66">
      <c r="A66" s="13" t="inlineStr">
        <is>
          <t>법인세율</t>
        </is>
      </c>
      <c r="B66" s="10" t="inlineStr">
        <is>
          <t>MW 기본 30%</t>
        </is>
      </c>
      <c r="C66" s="14">
        <f>IF(OR(C65="",C64=""),"",IFERROR(C65/C64,""))</f>
        <v/>
      </c>
      <c r="D66" s="15">
        <f>IF(OR(D65="",D64=""),"",IFERROR(D65/D64,""))</f>
        <v/>
      </c>
      <c r="E66" s="15">
        <f>IF(OR(E65="",E64=""),"",IFERROR(E65/E64,""))</f>
        <v/>
      </c>
      <c r="F66" s="15">
        <f>IF(OR(F65="",F64=""),"",IFERROR(F65/F64,""))</f>
        <v/>
      </c>
      <c r="G66" s="15">
        <f>IF(OR(G65="",G64=""),"",IFERROR(G65/G64,""))</f>
        <v/>
      </c>
      <c r="H66" s="15">
        <f>IF(OR(H65="",H64=""),"",IFERROR(H65/H64,""))</f>
        <v/>
      </c>
      <c r="I66" s="15">
        <f>IF(OR(I65="",I64=""),"",IFERROR(I65/I64,""))</f>
        <v/>
      </c>
      <c r="J66" s="15">
        <f>IF(OR(J65="",J64=""),"",IFERROR(J65/J64,""))</f>
        <v/>
      </c>
      <c r="K66" s="15">
        <f>IF(OR(K65="",K64=""),"",IFERROR(K65/K64,""))</f>
        <v/>
      </c>
      <c r="L66" s="15">
        <f>IF(OR(L65="",L64=""),"",IFERROR(L65/L64,""))</f>
        <v/>
      </c>
      <c r="M66" s="15">
        <f>IF(OR(M65="",M64=""),"",IFERROR(M65/M64,""))</f>
        <v/>
      </c>
      <c r="N66" s="15">
        <f>IF(OR(N65="",N64=""),"",IFERROR(N65/N64,""))</f>
        <v/>
      </c>
      <c r="O66" s="14">
        <f>IF(OR(O65="",O64=""),"",IFERROR(O65/O64,""))</f>
        <v/>
      </c>
      <c r="P66" s="15">
        <f>IF(OR(P65="",P64=""),"",IFERROR(P65/P64,""))</f>
        <v/>
      </c>
      <c r="Q66" s="15">
        <f>IF(OR(Q65="",Q64=""),"",IFERROR(Q65/Q64,""))</f>
        <v/>
      </c>
      <c r="R66" s="15">
        <f>IF(OR(R65="",R64=""),"",IFERROR(R65/R64,""))</f>
        <v/>
      </c>
      <c r="S66" s="15">
        <f>IF(OR(S65="",S64=""),"",IFERROR(S65/S64,""))</f>
        <v/>
      </c>
      <c r="T66" s="15">
        <f>IF(OR(T65="",T64=""),"",IFERROR(T65/T64,""))</f>
        <v/>
      </c>
      <c r="U66" s="15">
        <f>IF(OR(U65="",U64=""),"",IFERROR(U65/U64,""))</f>
        <v/>
      </c>
      <c r="V66" s="15">
        <f>IF(OR(V65="",V64=""),"",IFERROR(V65/V64,""))</f>
        <v/>
      </c>
      <c r="W66" s="15">
        <f>IF(OR(W65="",W64=""),"",IFERROR(W65/W64,""))</f>
        <v/>
      </c>
      <c r="X66" s="15">
        <f>IF(OR(X65="",X64=""),"",IFERROR(X65/X64,""))</f>
        <v/>
      </c>
      <c r="Y66" s="25" t="n">
        <v>0.3</v>
      </c>
      <c r="Z66" s="26" t="n">
        <v>0.3</v>
      </c>
      <c r="AA66" s="26" t="n">
        <v>0.3</v>
      </c>
      <c r="AB66" s="26" t="n">
        <v>0.3</v>
      </c>
      <c r="AC66" s="26" t="n">
        <v>0.3</v>
      </c>
    </row>
    <row r="67">
      <c r="A67" s="9" t="inlineStr">
        <is>
          <t>당기순이익(손실)</t>
        </is>
      </c>
      <c r="B67" s="10" t="n"/>
      <c r="C67" s="11" t="n">
        <v>164</v>
      </c>
      <c r="D67" s="12" t="n">
        <v>420</v>
      </c>
      <c r="E67" s="12" t="n">
        <v>674</v>
      </c>
      <c r="F67" s="12" t="n">
        <v>170</v>
      </c>
      <c r="G67" s="12" t="n">
        <v>237</v>
      </c>
      <c r="H67" s="12" t="n">
        <v>455</v>
      </c>
      <c r="I67" s="12" t="n">
        <v>746</v>
      </c>
      <c r="J67" s="12" t="n">
        <v>230</v>
      </c>
      <c r="K67" s="12" t="n">
        <v>394</v>
      </c>
      <c r="L67" s="12" t="n">
        <v>666</v>
      </c>
      <c r="M67" s="12" t="n">
        <v>1057</v>
      </c>
      <c r="N67" s="12" t="n">
        <v>401</v>
      </c>
      <c r="O67" s="11" t="n">
        <v>676</v>
      </c>
      <c r="P67" s="12" t="n">
        <v>615</v>
      </c>
      <c r="Q67" s="12" t="n">
        <v>616</v>
      </c>
      <c r="R67" s="12" t="n">
        <v>700</v>
      </c>
      <c r="S67" s="12" t="n">
        <v>1039</v>
      </c>
      <c r="T67" s="12" t="n">
        <v>1056</v>
      </c>
      <c r="U67" s="12" t="n">
        <v>1082</v>
      </c>
      <c r="V67" s="12" t="n">
        <v>1202</v>
      </c>
      <c r="W67" s="12" t="n">
        <v>1536</v>
      </c>
      <c r="X67" s="12" t="n">
        <v>2036</v>
      </c>
      <c r="Y67" s="11">
        <f>IF(OR(Y64=""),"",IFERROR(Y64-Y65,""))</f>
        <v/>
      </c>
      <c r="Z67" s="12">
        <f>IF(OR(Z64=""),"",IFERROR(Z64-Z65,""))</f>
        <v/>
      </c>
      <c r="AA67" s="12">
        <f>IF(OR(AA64=""),"",IFERROR(AA64-AA65,""))</f>
        <v/>
      </c>
      <c r="AB67" s="12">
        <f>IF(OR(AB64=""),"",IFERROR(AB64-AB65,""))</f>
        <v/>
      </c>
      <c r="AC67" s="12">
        <f>IF(OR(AC64=""),"",IFERROR(AC64-AC65,""))</f>
        <v/>
      </c>
    </row>
    <row r="68">
      <c r="A68" s="9" t="inlineStr">
        <is>
          <t>지배주주 순이익</t>
        </is>
      </c>
      <c r="B68" s="10" t="n"/>
      <c r="C68" s="11" t="n">
        <v>164</v>
      </c>
      <c r="D68" s="12" t="n">
        <v>420</v>
      </c>
      <c r="E68" s="12" t="n">
        <v>674</v>
      </c>
      <c r="F68" s="12" t="n">
        <v>170</v>
      </c>
      <c r="G68" s="12" t="n">
        <v>237</v>
      </c>
      <c r="H68" s="12" t="n">
        <v>455</v>
      </c>
      <c r="I68" s="12" t="n">
        <v>746</v>
      </c>
      <c r="J68" s="12" t="n">
        <v>230</v>
      </c>
      <c r="K68" s="12" t="n">
        <v>394</v>
      </c>
      <c r="L68" s="12" t="n">
        <v>666</v>
      </c>
      <c r="M68" s="12" t="n">
        <v>1057</v>
      </c>
      <c r="N68" s="12" t="n">
        <v>401</v>
      </c>
      <c r="O68" s="11" t="n">
        <v>676</v>
      </c>
      <c r="P68" s="12" t="n">
        <v>615</v>
      </c>
      <c r="Q68" s="12" t="n">
        <v>616</v>
      </c>
      <c r="R68" s="12" t="n">
        <v>700</v>
      </c>
      <c r="S68" s="12" t="n">
        <v>1039</v>
      </c>
      <c r="T68" s="12" t="n">
        <v>1056</v>
      </c>
      <c r="U68" s="12" t="n">
        <v>1082</v>
      </c>
      <c r="V68" s="12" t="n">
        <v>1202</v>
      </c>
      <c r="W68" s="12" t="n">
        <v>1536</v>
      </c>
      <c r="X68" s="12" t="n">
        <v>2036</v>
      </c>
      <c r="Y68" s="11">
        <f>IF(OR(Y67="",Y69=""),"",IFERROR(Y67*Y69,""))</f>
        <v/>
      </c>
      <c r="Z68" s="12">
        <f>IF(OR(Z67="",Z69=""),"",IFERROR(Z67*Z69,""))</f>
        <v/>
      </c>
      <c r="AA68" s="12">
        <f>IF(OR(AA67="",AA69=""),"",IFERROR(AA67*AA69,""))</f>
        <v/>
      </c>
      <c r="AB68" s="12">
        <f>IF(OR(AB67="",AB69=""),"",IFERROR(AB67*AB69,""))</f>
        <v/>
      </c>
      <c r="AC68" s="12">
        <f>IF(OR(AC67="",AC69=""),"",IFERROR(AC67*AC69,""))</f>
        <v/>
      </c>
    </row>
    <row r="69">
      <c r="A69" s="13" t="inlineStr">
        <is>
          <t>지배주주 순이익률</t>
        </is>
      </c>
      <c r="B69" s="10" t="inlineStr">
        <is>
          <t>MW 기본 100%</t>
        </is>
      </c>
      <c r="C69" s="14">
        <f>IF(OR(C68="",C67=""),"",IFERROR(C68/C67,""))</f>
        <v/>
      </c>
      <c r="D69" s="15">
        <f>IF(OR(D68="",D67=""),"",IFERROR(D68/D67,""))</f>
        <v/>
      </c>
      <c r="E69" s="15">
        <f>IF(OR(E68="",E67=""),"",IFERROR(E68/E67,""))</f>
        <v/>
      </c>
      <c r="F69" s="15">
        <f>IF(OR(F68="",F67=""),"",IFERROR(F68/F67,""))</f>
        <v/>
      </c>
      <c r="G69" s="15">
        <f>IF(OR(G68="",G67=""),"",IFERROR(G68/G67,""))</f>
        <v/>
      </c>
      <c r="H69" s="15">
        <f>IF(OR(H68="",H67=""),"",IFERROR(H68/H67,""))</f>
        <v/>
      </c>
      <c r="I69" s="15">
        <f>IF(OR(I68="",I67=""),"",IFERROR(I68/I67,""))</f>
        <v/>
      </c>
      <c r="J69" s="15">
        <f>IF(OR(J68="",J67=""),"",IFERROR(J68/J67,""))</f>
        <v/>
      </c>
      <c r="K69" s="15">
        <f>IF(OR(K68="",K67=""),"",IFERROR(K68/K67,""))</f>
        <v/>
      </c>
      <c r="L69" s="15">
        <f>IF(OR(L68="",L67=""),"",IFERROR(L68/L67,""))</f>
        <v/>
      </c>
      <c r="M69" s="15">
        <f>IF(OR(M68="",M67=""),"",IFERROR(M68/M67,""))</f>
        <v/>
      </c>
      <c r="N69" s="15">
        <f>IF(OR(N68="",N67=""),"",IFERROR(N68/N67,""))</f>
        <v/>
      </c>
      <c r="O69" s="14">
        <f>IF(OR(O68="",O67=""),"",IFERROR(O68/O67,""))</f>
        <v/>
      </c>
      <c r="P69" s="15">
        <f>IF(OR(P68="",P67=""),"",IFERROR(P68/P67,""))</f>
        <v/>
      </c>
      <c r="Q69" s="15">
        <f>IF(OR(Q68="",Q67=""),"",IFERROR(Q68/Q67,""))</f>
        <v/>
      </c>
      <c r="R69" s="15">
        <f>IF(OR(R68="",R67=""),"",IFERROR(R68/R67,""))</f>
        <v/>
      </c>
      <c r="S69" s="15">
        <f>IF(OR(S68="",S67=""),"",IFERROR(S68/S67,""))</f>
        <v/>
      </c>
      <c r="T69" s="15">
        <f>IF(OR(T68="",T67=""),"",IFERROR(T68/T67,""))</f>
        <v/>
      </c>
      <c r="U69" s="15">
        <f>IF(OR(U68="",U67=""),"",IFERROR(U68/U67,""))</f>
        <v/>
      </c>
      <c r="V69" s="15">
        <f>IF(OR(V68="",V67=""),"",IFERROR(V68/V67,""))</f>
        <v/>
      </c>
      <c r="W69" s="15">
        <f>IF(OR(W68="",W67=""),"",IFERROR(W68/W67,""))</f>
        <v/>
      </c>
      <c r="X69" s="15">
        <f>IF(OR(X68="",X67=""),"",IFERROR(X68/X67,""))</f>
        <v/>
      </c>
      <c r="Y69" s="25" t="n">
        <v>1</v>
      </c>
      <c r="Z69" s="26" t="n">
        <v>1</v>
      </c>
      <c r="AA69" s="26" t="n">
        <v>1</v>
      </c>
      <c r="AB69" s="26" t="n">
        <v>1</v>
      </c>
      <c r="AC69" s="26" t="n">
        <v>1</v>
      </c>
    </row>
    <row r="70">
      <c r="A70" s="16" t="inlineStr">
        <is>
          <t>목표주가 산출</t>
        </is>
      </c>
      <c r="B70" s="16" t="n"/>
      <c r="C70" s="17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7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7" t="n"/>
      <c r="Z70" s="16" t="n"/>
      <c r="AA70" s="16" t="n"/>
      <c r="AB70" s="16" t="n"/>
      <c r="AC70" s="16" t="n"/>
    </row>
    <row r="71">
      <c r="A71" s="18" t="inlineStr">
        <is>
          <t>현재 주가 ()</t>
        </is>
      </c>
      <c r="B71" s="27" t="n"/>
      <c r="C71" s="28" t="n"/>
      <c r="D71" s="29" t="n"/>
      <c r="E71" s="29" t="n"/>
      <c r="F71" s="29" t="n"/>
      <c r="G71" s="29" t="n"/>
      <c r="H71" s="29" t="n"/>
      <c r="I71" s="29" t="n"/>
      <c r="J71" s="29" t="n"/>
      <c r="K71" s="29" t="n"/>
      <c r="L71" s="29" t="n"/>
      <c r="M71" s="29" t="n"/>
      <c r="N71" s="29" t="n"/>
      <c r="O71" s="28" t="n"/>
      <c r="P71" s="29" t="n"/>
      <c r="Q71" s="29" t="n"/>
      <c r="R71" s="29" t="n"/>
      <c r="S71" s="29" t="n"/>
      <c r="T71" s="29" t="n"/>
      <c r="U71" s="29" t="n"/>
      <c r="V71" s="29" t="n"/>
      <c r="W71" s="29" t="n"/>
      <c r="X71" s="29" t="n"/>
      <c r="Y71" s="28" t="n"/>
      <c r="Z71" s="29" t="n"/>
      <c r="AA71" s="29" t="n"/>
      <c r="AB71" s="29" t="n"/>
      <c r="AC71" s="29" t="n"/>
    </row>
    <row r="72">
      <c r="A72" s="18" t="inlineStr">
        <is>
          <t>발행주식수 (보통주)</t>
        </is>
      </c>
      <c r="B72" s="27" t="n"/>
      <c r="C72" s="28" t="n"/>
      <c r="D72" s="29" t="n"/>
      <c r="E72" s="29" t="n"/>
      <c r="F72" s="29" t="n"/>
      <c r="G72" s="29" t="n"/>
      <c r="H72" s="29" t="n"/>
      <c r="I72" s="29" t="n"/>
      <c r="J72" s="29" t="n"/>
      <c r="K72" s="29" t="n"/>
      <c r="L72" s="29" t="n"/>
      <c r="M72" s="29" t="n"/>
      <c r="N72" s="29" t="n"/>
      <c r="O72" s="28" t="n"/>
      <c r="P72" s="29" t="n"/>
      <c r="Q72" s="29" t="n"/>
      <c r="R72" s="29" t="n"/>
      <c r="S72" s="29" t="n"/>
      <c r="T72" s="29" t="n"/>
      <c r="U72" s="29" t="n"/>
      <c r="V72" s="29" t="n"/>
      <c r="W72" s="29" t="n"/>
      <c r="X72" s="29" t="n"/>
      <c r="Y72" s="28" t="n"/>
      <c r="Z72" s="29" t="n"/>
      <c r="AA72" s="29" t="n"/>
      <c r="AB72" s="29" t="n"/>
      <c r="AC72" s="29" t="n"/>
    </row>
    <row r="73">
      <c r="A73" s="18" t="inlineStr">
        <is>
          <t>시가총액 (백만엔)</t>
        </is>
      </c>
      <c r="B73" s="12">
        <f>IF(OR(B71="",B72=""),"",B71*B72/1000000.0)</f>
        <v/>
      </c>
      <c r="C73" s="19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19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 t="n"/>
      <c r="Y73" s="19" t="n"/>
      <c r="Z73" s="20" t="n"/>
      <c r="AA73" s="20" t="n"/>
      <c r="AB73" s="20" t="n"/>
      <c r="AC73" s="20" t="n"/>
    </row>
    <row r="74">
      <c r="A74" s="13" t="inlineStr">
        <is>
          <t>OPM</t>
        </is>
      </c>
      <c r="B74" s="10" t="n"/>
      <c r="C74" s="14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4">
        <f>IF(O41="","",O41)</f>
        <v/>
      </c>
      <c r="P74" s="15">
        <f>IF(P41="","",P41)</f>
        <v/>
      </c>
      <c r="Q74" s="15">
        <f>IF(Q41="","",Q41)</f>
        <v/>
      </c>
      <c r="R74" s="15">
        <f>IF(R41="","",R41)</f>
        <v/>
      </c>
      <c r="S74" s="15">
        <f>IF(S41="","",S41)</f>
        <v/>
      </c>
      <c r="T74" s="15">
        <f>IF(T41="","",T41)</f>
        <v/>
      </c>
      <c r="U74" s="15">
        <f>IF(U41="","",U41)</f>
        <v/>
      </c>
      <c r="V74" s="15">
        <f>IF(V41="","",V41)</f>
        <v/>
      </c>
      <c r="W74" s="15">
        <f>IF(W41="","",W41)</f>
        <v/>
      </c>
      <c r="X74" s="15">
        <f>IF(X41="","",X41)</f>
        <v/>
      </c>
      <c r="Y74" s="14">
        <f>IF(Y41="","",Y41)</f>
        <v/>
      </c>
      <c r="Z74" s="15">
        <f>IF(Z41="","",Z41)</f>
        <v/>
      </c>
      <c r="AA74" s="15">
        <f>IF(AA41="","",AA41)</f>
        <v/>
      </c>
      <c r="AB74" s="15">
        <f>IF(AB41="","",AB41)</f>
        <v/>
      </c>
      <c r="AC74" s="15">
        <f>IF(AC41="","",AC41)</f>
        <v/>
      </c>
    </row>
    <row r="75">
      <c r="A75" s="13" t="inlineStr">
        <is>
          <t>지배주주 순이익 증가율</t>
        </is>
      </c>
      <c r="B75" s="10" t="n"/>
      <c r="C75" s="14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4" t="n"/>
      <c r="P75" s="15">
        <f>IF(OR(P68="",O68=""),"",IFERROR(P68/O68-1,""))</f>
        <v/>
      </c>
      <c r="Q75" s="15">
        <f>IF(OR(Q68="",P68=""),"",IFERROR(Q68/P68-1,""))</f>
        <v/>
      </c>
      <c r="R75" s="15">
        <f>IF(OR(R68="",Q68=""),"",IFERROR(R68/Q68-1,""))</f>
        <v/>
      </c>
      <c r="S75" s="15">
        <f>IF(OR(S68="",R68=""),"",IFERROR(S68/R68-1,""))</f>
        <v/>
      </c>
      <c r="T75" s="15">
        <f>IF(OR(T68="",S68=""),"",IFERROR(T68/S68-1,""))</f>
        <v/>
      </c>
      <c r="U75" s="15">
        <f>IF(OR(U68="",T68=""),"",IFERROR(U68/T68-1,""))</f>
        <v/>
      </c>
      <c r="V75" s="15">
        <f>IF(OR(V68="",U68=""),"",IFERROR(V68/U68-1,""))</f>
        <v/>
      </c>
      <c r="W75" s="15">
        <f>IF(OR(W68="",V68=""),"",IFERROR(W68/V68-1,""))</f>
        <v/>
      </c>
      <c r="X75" s="15">
        <f>IF(OR(X68="",W68=""),"",IFERROR(X68/W68-1,""))</f>
        <v/>
      </c>
      <c r="Y75" s="14">
        <f>IF(OR(Y68="",X68=""),"",IFERROR(Y68/X68-1,""))</f>
        <v/>
      </c>
      <c r="Z75" s="15">
        <f>IF(OR(Z68="",Y68=""),"",IFERROR(Z68/Y68-1,""))</f>
        <v/>
      </c>
      <c r="AA75" s="15">
        <f>IF(OR(AA68="",Z68=""),"",IFERROR(AA68/Z68-1,""))</f>
        <v/>
      </c>
      <c r="AB75" s="15">
        <f>IF(OR(AB68="",AA68=""),"",IFERROR(AB68/AA68-1,""))</f>
        <v/>
      </c>
      <c r="AC75" s="15">
        <f>IF(OR(AC68="",AB68=""),"",IFERROR(AC68/AB68-1,""))</f>
        <v/>
      </c>
    </row>
    <row r="76">
      <c r="A76" s="18" t="inlineStr">
        <is>
          <t>P/E (현재 주가)</t>
        </is>
      </c>
      <c r="B76" s="10" t="inlineStr">
        <is>
          <t>시총 ÷ 지배순이익</t>
        </is>
      </c>
      <c r="C76" s="30" t="n"/>
      <c r="D76" s="31" t="n"/>
      <c r="E76" s="31" t="n"/>
      <c r="F76" s="31" t="n"/>
      <c r="G76" s="31" t="n"/>
      <c r="H76" s="31" t="n"/>
      <c r="I76" s="31" t="n"/>
      <c r="J76" s="31" t="n"/>
      <c r="K76" s="31" t="n"/>
      <c r="L76" s="31" t="n"/>
      <c r="M76" s="31" t="n"/>
      <c r="N76" s="31" t="n"/>
      <c r="O76" s="30" t="n"/>
      <c r="P76" s="31" t="n"/>
      <c r="Q76" s="31" t="n"/>
      <c r="R76" s="31" t="n"/>
      <c r="S76" s="31" t="n"/>
      <c r="T76" s="31" t="n"/>
      <c r="U76" s="31" t="n"/>
      <c r="V76" s="31" t="n"/>
      <c r="W76" s="31" t="n"/>
      <c r="X76" s="31">
        <f>IF(OR($B$73="",X68=""),"",IFERROR($B$73/X68,""))</f>
        <v/>
      </c>
      <c r="Y76" s="30">
        <f>IF(OR($B$73="",Y68=""),"",IFERROR($B$73/Y68,""))</f>
        <v/>
      </c>
      <c r="Z76" s="31">
        <f>IF(OR($B$73="",Z68=""),"",IFERROR($B$73/Z68,""))</f>
        <v/>
      </c>
      <c r="AA76" s="31">
        <f>IF(OR($B$73="",AA68=""),"",IFERROR($B$73/AA68,""))</f>
        <v/>
      </c>
      <c r="AB76" s="31">
        <f>IF(OR($B$73="",AB68=""),"",IFERROR($B$73/AB68,""))</f>
        <v/>
      </c>
      <c r="AC76" s="31">
        <f>IF(OR($B$73="",AC68=""),"",IFERROR($B$73/AC68,""))</f>
        <v/>
      </c>
    </row>
    <row r="77">
      <c r="A77" s="18" t="inlineStr">
        <is>
          <t>Target P/E</t>
        </is>
      </c>
      <c r="B77" s="10" t="inlineStr">
        <is>
          <t>직접 입력</t>
        </is>
      </c>
      <c r="C77" s="30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0" t="n"/>
      <c r="P77" s="31" t="n"/>
      <c r="Q77" s="31" t="n"/>
      <c r="R77" s="31" t="n"/>
      <c r="S77" s="31" t="n"/>
      <c r="T77" s="31" t="n"/>
      <c r="U77" s="31" t="n"/>
      <c r="V77" s="31" t="n"/>
      <c r="W77" s="31" t="n"/>
      <c r="X77" s="31" t="n"/>
      <c r="Y77" s="32" t="n"/>
      <c r="Z77" s="33" t="n"/>
      <c r="AA77" s="33" t="n"/>
      <c r="AB77" s="33" t="n"/>
      <c r="AC77" s="33" t="n"/>
    </row>
    <row r="78">
      <c r="A78" s="18" t="inlineStr">
        <is>
          <t>EPS</t>
        </is>
      </c>
      <c r="B78" s="10" t="inlineStr">
        <is>
          <t>지배순이익 ÷ 주식수</t>
        </is>
      </c>
      <c r="C78" s="28" t="n"/>
      <c r="D78" s="29" t="n"/>
      <c r="E78" s="29" t="n"/>
      <c r="F78" s="29" t="n"/>
      <c r="G78" s="29" t="n"/>
      <c r="H78" s="29" t="n"/>
      <c r="I78" s="29" t="n"/>
      <c r="J78" s="29" t="n"/>
      <c r="K78" s="29" t="n"/>
      <c r="L78" s="29" t="n"/>
      <c r="M78" s="29" t="n"/>
      <c r="N78" s="29" t="n"/>
      <c r="O78" s="28">
        <f>IF(OR(O68="",$B$72=""),"",IFERROR(O68*1000000.0/$B$72,""))</f>
        <v/>
      </c>
      <c r="P78" s="29">
        <f>IF(OR(P68="",$B$72=""),"",IFERROR(P68*1000000.0/$B$72,""))</f>
        <v/>
      </c>
      <c r="Q78" s="29">
        <f>IF(OR(Q68="",$B$72=""),"",IFERROR(Q68*1000000.0/$B$72,""))</f>
        <v/>
      </c>
      <c r="R78" s="29">
        <f>IF(OR(R68="",$B$72=""),"",IFERROR(R68*1000000.0/$B$72,""))</f>
        <v/>
      </c>
      <c r="S78" s="29">
        <f>IF(OR(S68="",$B$72=""),"",IFERROR(S68*1000000.0/$B$72,""))</f>
        <v/>
      </c>
      <c r="T78" s="29">
        <f>IF(OR(T68="",$B$72=""),"",IFERROR(T68*1000000.0/$B$72,""))</f>
        <v/>
      </c>
      <c r="U78" s="29">
        <f>IF(OR(U68="",$B$72=""),"",IFERROR(U68*1000000.0/$B$72,""))</f>
        <v/>
      </c>
      <c r="V78" s="29">
        <f>IF(OR(V68="",$B$72=""),"",IFERROR(V68*1000000.0/$B$72,""))</f>
        <v/>
      </c>
      <c r="W78" s="29">
        <f>IF(OR(W68="",$B$72=""),"",IFERROR(W68*1000000.0/$B$72,""))</f>
        <v/>
      </c>
      <c r="X78" s="29">
        <f>IF(OR(X68="",$B$72=""),"",IFERROR(X68*1000000.0/$B$72,""))</f>
        <v/>
      </c>
      <c r="Y78" s="28">
        <f>IF(OR(Y68="",$B$72=""),"",IFERROR(Y68*1000000.0/$B$72,""))</f>
        <v/>
      </c>
      <c r="Z78" s="29">
        <f>IF(OR(Z68="",$B$72=""),"",IFERROR(Z68*1000000.0/$B$72,""))</f>
        <v/>
      </c>
      <c r="AA78" s="29">
        <f>IF(OR(AA68="",$B$72=""),"",IFERROR(AA68*1000000.0/$B$72,""))</f>
        <v/>
      </c>
      <c r="AB78" s="29">
        <f>IF(OR(AB68="",$B$72=""),"",IFERROR(AB68*1000000.0/$B$72,""))</f>
        <v/>
      </c>
      <c r="AC78" s="29">
        <f>IF(OR(AC68="",$B$72=""),"",IFERROR(AC68*1000000.0/$B$72,""))</f>
        <v/>
      </c>
    </row>
    <row r="79">
      <c r="A79" s="9" t="inlineStr">
        <is>
          <t>목표주가</t>
        </is>
      </c>
      <c r="B79" s="10" t="n"/>
      <c r="C79" s="34" t="n"/>
      <c r="D79" s="27" t="n"/>
      <c r="E79" s="27" t="n"/>
      <c r="F79" s="27" t="n"/>
      <c r="G79" s="27" t="n"/>
      <c r="H79" s="27" t="n"/>
      <c r="I79" s="27" t="n"/>
      <c r="J79" s="27" t="n"/>
      <c r="K79" s="27" t="n"/>
      <c r="L79" s="27" t="n"/>
      <c r="M79" s="27" t="n"/>
      <c r="N79" s="27" t="n"/>
      <c r="O79" s="34" t="n"/>
      <c r="P79" s="27" t="n"/>
      <c r="Q79" s="27" t="n"/>
      <c r="R79" s="27" t="n"/>
      <c r="S79" s="27" t="n"/>
      <c r="T79" s="27" t="n"/>
      <c r="U79" s="27" t="n"/>
      <c r="V79" s="27" t="n"/>
      <c r="W79" s="27" t="n"/>
      <c r="X79" s="27" t="n"/>
      <c r="Y79" s="34">
        <f>IF(OR(Y78="",Y77=""),"",IFERROR(Y78*Y77,""))</f>
        <v/>
      </c>
      <c r="Z79" s="27">
        <f>IF(OR(Z78="",Z77=""),"",IFERROR(Z78*Z77,""))</f>
        <v/>
      </c>
      <c r="AA79" s="27">
        <f>IF(OR(AA78="",AA77=""),"",IFERROR(AA78*AA77,""))</f>
        <v/>
      </c>
      <c r="AB79" s="27">
        <f>IF(OR(AB78="",AB77=""),"",IFERROR(AB78*AB77,""))</f>
        <v/>
      </c>
      <c r="AC79" s="27">
        <f>IF(OR(AC78="",AC77=""),"",IFERROR(AC78*AC77,""))</f>
        <v/>
      </c>
    </row>
    <row r="80">
      <c r="A80" s="18" t="inlineStr">
        <is>
          <t>상승여력</t>
        </is>
      </c>
      <c r="B80" s="10" t="n"/>
      <c r="C80" s="35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5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7">
        <f>IF(OR(Y79="",$B$71=""),"",IFERROR(Y79/$B$71-1,""))</f>
        <v/>
      </c>
      <c r="Z80" s="38">
        <f>IF(OR(Z79="",$B$71=""),"",IFERROR(Z79/$B$71-1,""))</f>
        <v/>
      </c>
      <c r="AA80" s="38">
        <f>IF(OR(AA79="",$B$71=""),"",IFERROR(AA79/$B$71-1,""))</f>
        <v/>
      </c>
      <c r="AB80" s="38">
        <f>IF(OR(AB79="",$B$71=""),"",IFERROR(AB79/$B$71-1,""))</f>
        <v/>
      </c>
      <c r="AC80" s="38">
        <f>IF(OR(AC79="",$B$71=""),"",IFERROR(AC79/$B$71-1,""))</f>
        <v/>
      </c>
    </row>
    <row r="81">
      <c r="A81" s="16" t="inlineStr">
        <is>
          <t>자산가치 산출</t>
        </is>
      </c>
      <c r="B81" s="16" t="inlineStr">
        <is>
          <t>최신 분기 BS</t>
        </is>
      </c>
      <c r="C81" s="17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7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7" t="n"/>
      <c r="Z81" s="16" t="n"/>
      <c r="AA81" s="16" t="n"/>
      <c r="AB81" s="16" t="n"/>
      <c r="AC81" s="16" t="n"/>
    </row>
    <row r="82">
      <c r="A82" s="18" t="inlineStr">
        <is>
          <t>현금및현금성자산</t>
        </is>
      </c>
      <c r="B82" s="10" t="n"/>
      <c r="C82" s="19" t="n"/>
      <c r="D82" s="20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0" t="n"/>
      <c r="O82" s="19" t="n"/>
      <c r="P82" s="20" t="n"/>
      <c r="Q82" s="20" t="n"/>
      <c r="R82" s="20" t="n"/>
      <c r="S82" s="20" t="n"/>
      <c r="T82" s="20" t="n"/>
      <c r="U82" s="20" t="n"/>
      <c r="V82" s="20" t="n"/>
      <c r="W82" s="20" t="n"/>
      <c r="X82" s="20">
        <f>'재무상태표'!G6</f>
        <v/>
      </c>
      <c r="Y82" s="19">
        <f>'재무상태표'!G6</f>
        <v/>
      </c>
      <c r="Z82" s="20">
        <f>'재무상태표'!G6</f>
        <v/>
      </c>
      <c r="AA82" s="20">
        <f>'재무상태표'!G6</f>
        <v/>
      </c>
      <c r="AB82" s="20">
        <f>'재무상태표'!G6</f>
        <v/>
      </c>
      <c r="AC82" s="20">
        <f>'재무상태표'!G6</f>
        <v/>
      </c>
    </row>
    <row r="83">
      <c r="A83" s="18" t="inlineStr">
        <is>
          <t>단기금융상품</t>
        </is>
      </c>
      <c r="B83" s="10" t="n"/>
      <c r="C83" s="19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19" t="n"/>
      <c r="P83" s="20" t="n"/>
      <c r="Q83" s="20" t="n"/>
      <c r="R83" s="20" t="n"/>
      <c r="S83" s="20" t="n"/>
      <c r="T83" s="20" t="n"/>
      <c r="U83" s="20" t="n"/>
      <c r="V83" s="20" t="n"/>
      <c r="W83" s="20" t="n"/>
      <c r="X83" s="20">
        <f>'재무상태표'!G7</f>
        <v/>
      </c>
      <c r="Y83" s="19">
        <f>'재무상태표'!G7</f>
        <v/>
      </c>
      <c r="Z83" s="20">
        <f>'재무상태표'!G7</f>
        <v/>
      </c>
      <c r="AA83" s="20">
        <f>'재무상태표'!G7</f>
        <v/>
      </c>
      <c r="AB83" s="20">
        <f>'재무상태표'!G7</f>
        <v/>
      </c>
      <c r="AC83" s="20">
        <f>'재무상태표'!G7</f>
        <v/>
      </c>
    </row>
    <row r="84">
      <c r="A84" s="18" t="inlineStr">
        <is>
          <t>투자부동산</t>
        </is>
      </c>
      <c r="B84" s="10" t="n"/>
      <c r="C84" s="19" t="n"/>
      <c r="D84" s="20" t="n"/>
      <c r="E84" s="20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0" t="n"/>
      <c r="O84" s="19" t="n"/>
      <c r="P84" s="20" t="n"/>
      <c r="Q84" s="20" t="n"/>
      <c r="R84" s="20" t="n"/>
      <c r="S84" s="20" t="n"/>
      <c r="T84" s="20" t="n"/>
      <c r="U84" s="20" t="n"/>
      <c r="V84" s="20" t="n"/>
      <c r="W84" s="20" t="n"/>
      <c r="X84" s="20">
        <f>'재무상태표'!G14</f>
        <v/>
      </c>
      <c r="Y84" s="19">
        <f>'재무상태표'!G14</f>
        <v/>
      </c>
      <c r="Z84" s="20">
        <f>'재무상태표'!G14</f>
        <v/>
      </c>
      <c r="AA84" s="20">
        <f>'재무상태표'!G14</f>
        <v/>
      </c>
      <c r="AB84" s="20">
        <f>'재무상태표'!G14</f>
        <v/>
      </c>
      <c r="AC84" s="20">
        <f>'재무상태표'!G14</f>
        <v/>
      </c>
    </row>
    <row r="85">
      <c r="A85" s="18" t="inlineStr">
        <is>
          <t>지배자본</t>
        </is>
      </c>
      <c r="B85" s="10" t="n"/>
      <c r="C85" s="19" t="n"/>
      <c r="D85" s="20" t="n"/>
      <c r="E85" s="20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0" t="n"/>
      <c r="O85" s="19" t="n"/>
      <c r="P85" s="20" t="n"/>
      <c r="Q85" s="20" t="n"/>
      <c r="R85" s="20" t="n"/>
      <c r="S85" s="20" t="n"/>
      <c r="T85" s="20" t="n"/>
      <c r="U85" s="20" t="n"/>
      <c r="V85" s="20" t="n"/>
      <c r="W85" s="20" t="n"/>
      <c r="X85" s="20">
        <f>'재무상태표'!G31</f>
        <v/>
      </c>
      <c r="Y85" s="19">
        <f>'재무상태표'!G31</f>
        <v/>
      </c>
      <c r="Z85" s="20">
        <f>'재무상태표'!G31</f>
        <v/>
      </c>
      <c r="AA85" s="20">
        <f>'재무상태표'!G31</f>
        <v/>
      </c>
      <c r="AB85" s="20">
        <f>'재무상태표'!G31</f>
        <v/>
      </c>
      <c r="AC85" s="20">
        <f>'재무상태표'!G31</f>
        <v/>
      </c>
    </row>
    <row r="86">
      <c r="A86" s="18" t="inlineStr">
        <is>
          <t>부채</t>
        </is>
      </c>
      <c r="B86" s="10" t="n"/>
      <c r="C86" s="19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19" t="n"/>
      <c r="P86" s="20" t="n"/>
      <c r="Q86" s="20" t="n"/>
      <c r="R86" s="20" t="n"/>
      <c r="S86" s="20" t="n"/>
      <c r="T86" s="20" t="n"/>
      <c r="U86" s="20" t="n"/>
      <c r="V86" s="20" t="n"/>
      <c r="W86" s="20" t="n"/>
      <c r="X86" s="20">
        <f>'재무상태표'!G27</f>
        <v/>
      </c>
      <c r="Y86" s="19">
        <f>'재무상태표'!G27</f>
        <v/>
      </c>
      <c r="Z86" s="20">
        <f>'재무상태표'!G27</f>
        <v/>
      </c>
      <c r="AA86" s="20">
        <f>'재무상태표'!G27</f>
        <v/>
      </c>
      <c r="AB86" s="20">
        <f>'재무상태표'!G27</f>
        <v/>
      </c>
      <c r="AC86" s="20">
        <f>'재무상태표'!G27</f>
        <v/>
      </c>
    </row>
    <row r="87">
      <c r="A87" s="13" t="inlineStr">
        <is>
          <t>부채비율</t>
        </is>
      </c>
      <c r="B87" s="10" t="n"/>
      <c r="C87" s="14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4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>
        <f>IF(OR(X86="",X85=""),"",IFERROR(X86/X85,""))</f>
        <v/>
      </c>
      <c r="Y87" s="14">
        <f>IF(OR(Y86="",Y85=""),"",IFERROR(Y86/Y85,""))</f>
        <v/>
      </c>
      <c r="Z87" s="15">
        <f>IF(OR(Z86="",Z85=""),"",IFERROR(Z86/Z85,""))</f>
        <v/>
      </c>
      <c r="AA87" s="15">
        <f>IF(OR(AA86="",AA85=""),"",IFERROR(AA86/AA85,""))</f>
        <v/>
      </c>
      <c r="AB87" s="15">
        <f>IF(OR(AB86="",AB85=""),"",IFERROR(AB86/AB85,""))</f>
        <v/>
      </c>
      <c r="AC87" s="15">
        <f>IF(OR(AC86="",AC85=""),"",IFERROR(AC86/AC85,""))</f>
        <v/>
      </c>
    </row>
    <row r="88">
      <c r="A88" s="9" t="inlineStr">
        <is>
          <t>자산가치</t>
        </is>
      </c>
      <c r="B88" s="10" t="inlineStr">
        <is>
          <t>현금+단기금융+투자부동산</t>
        </is>
      </c>
      <c r="C88" s="11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1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>
        <f>SUM(X82,X83,X84)</f>
        <v/>
      </c>
      <c r="Y88" s="11">
        <f>SUM(Y82,Y83,Y84)</f>
        <v/>
      </c>
      <c r="Z88" s="12">
        <f>SUM(Z82,Z83,Z84)</f>
        <v/>
      </c>
      <c r="AA88" s="12">
        <f>SUM(AA82,AA83,AA84)</f>
        <v/>
      </c>
      <c r="AB88" s="12">
        <f>SUM(AB82,AB83,AB84)</f>
        <v/>
      </c>
      <c r="AC88" s="12">
        <f>SUM(AC82,AC83,AC84)</f>
        <v/>
      </c>
    </row>
    <row r="89">
      <c r="A89" s="16" t="inlineStr">
        <is>
          <t>기업가치 산출</t>
        </is>
      </c>
      <c r="B89" s="16" t="n"/>
      <c r="C89" s="17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7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7" t="n"/>
      <c r="Z89" s="16" t="n"/>
      <c r="AA89" s="16" t="n"/>
      <c r="AB89" s="16" t="n"/>
      <c r="AC89" s="16" t="n"/>
    </row>
    <row r="90">
      <c r="A90" s="18" t="inlineStr">
        <is>
          <t>목표 시가총액 (P/E)</t>
        </is>
      </c>
      <c r="B90" s="10" t="inlineStr">
        <is>
          <t>지배순이익 × Target P/E</t>
        </is>
      </c>
      <c r="C90" s="19" t="n"/>
      <c r="D90" s="20" t="n"/>
      <c r="E90" s="20" t="n"/>
      <c r="F90" s="20" t="n"/>
      <c r="G90" s="20" t="n"/>
      <c r="H90" s="20" t="n"/>
      <c r="I90" s="20" t="n"/>
      <c r="J90" s="20" t="n"/>
      <c r="K90" s="20" t="n"/>
      <c r="L90" s="20" t="n"/>
      <c r="M90" s="20" t="n"/>
      <c r="N90" s="20" t="n"/>
      <c r="O90" s="19" t="n"/>
      <c r="P90" s="20" t="n"/>
      <c r="Q90" s="20" t="n"/>
      <c r="R90" s="20" t="n"/>
      <c r="S90" s="20" t="n"/>
      <c r="T90" s="20" t="n"/>
      <c r="U90" s="20" t="n"/>
      <c r="V90" s="20" t="n"/>
      <c r="W90" s="20" t="n"/>
      <c r="X90" s="20" t="n"/>
      <c r="Y90" s="19">
        <f>IF(OR(Y68="",Y77=""),"",IFERROR(Y68*Y77,""))</f>
        <v/>
      </c>
      <c r="Z90" s="20">
        <f>IF(OR(Z68="",Z77=""),"",IFERROR(Z68*Z77,""))</f>
        <v/>
      </c>
      <c r="AA90" s="20">
        <f>IF(OR(AA68="",AA77=""),"",IFERROR(AA68*AA77,""))</f>
        <v/>
      </c>
      <c r="AB90" s="20">
        <f>IF(OR(AB68="",AB77=""),"",IFERROR(AB68*AB77,""))</f>
        <v/>
      </c>
      <c r="AC90" s="20">
        <f>IF(OR(AC68="",AC77=""),"",IFERROR(AC68*AC77,""))</f>
        <v/>
      </c>
    </row>
    <row r="91">
      <c r="A91" s="9" t="inlineStr">
        <is>
          <t>기업가치</t>
        </is>
      </c>
      <c r="B91" s="10" t="inlineStr">
        <is>
          <t>목표시총 + 자산가치</t>
        </is>
      </c>
      <c r="C91" s="11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1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1">
        <f>IF(OR(Y90=""),"",IFERROR(Y90+Y88,""))</f>
        <v/>
      </c>
      <c r="Z91" s="12">
        <f>IF(OR(Z90=""),"",IFERROR(Z90+Z88,""))</f>
        <v/>
      </c>
      <c r="AA91" s="12">
        <f>IF(OR(AA90=""),"",IFERROR(AA90+AA88,""))</f>
        <v/>
      </c>
      <c r="AB91" s="12">
        <f>IF(OR(AB90=""),"",IFERROR(AB90+AB88,""))</f>
        <v/>
      </c>
      <c r="AC91" s="12">
        <f>IF(OR(AC90=""),"",IFERROR(AC90+AC88,""))</f>
        <v/>
      </c>
    </row>
    <row r="92">
      <c r="A92" s="18" t="inlineStr">
        <is>
          <t>현재 시가총액</t>
        </is>
      </c>
      <c r="B92" s="10" t="n"/>
      <c r="C92" s="19" t="n"/>
      <c r="D92" s="20" t="n"/>
      <c r="E92" s="20" t="n"/>
      <c r="F92" s="20" t="n"/>
      <c r="G92" s="20" t="n"/>
      <c r="H92" s="20" t="n"/>
      <c r="I92" s="20" t="n"/>
      <c r="J92" s="20" t="n"/>
      <c r="K92" s="20" t="n"/>
      <c r="L92" s="20" t="n"/>
      <c r="M92" s="20" t="n"/>
      <c r="N92" s="20" t="n"/>
      <c r="O92" s="19" t="n"/>
      <c r="P92" s="20" t="n"/>
      <c r="Q92" s="20" t="n"/>
      <c r="R92" s="20" t="n"/>
      <c r="S92" s="20" t="n"/>
      <c r="T92" s="20" t="n"/>
      <c r="U92" s="20" t="n"/>
      <c r="V92" s="20" t="n"/>
      <c r="W92" s="20" t="n"/>
      <c r="X92" s="20" t="n"/>
      <c r="Y92" s="19">
        <f>$B$73</f>
        <v/>
      </c>
      <c r="Z92" s="20">
        <f>$B$73</f>
        <v/>
      </c>
      <c r="AA92" s="20">
        <f>$B$73</f>
        <v/>
      </c>
      <c r="AB92" s="20">
        <f>$B$73</f>
        <v/>
      </c>
      <c r="AC92" s="20">
        <f>$B$73</f>
        <v/>
      </c>
    </row>
    <row r="93">
      <c r="A93" s="18" t="inlineStr">
        <is>
          <t>상승여력</t>
        </is>
      </c>
      <c r="B93" s="10" t="n"/>
      <c r="C93" s="35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5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7">
        <f>IF(OR(Y91="",Y92=""),"",IFERROR(Y91/Y92-1,""))</f>
        <v/>
      </c>
      <c r="Z93" s="38">
        <f>IF(OR(Z91="",Z92=""),"",IFERROR(Z91/Z92-1,""))</f>
        <v/>
      </c>
      <c r="AA93" s="38">
        <f>IF(OR(AA91="",AA92=""),"",IFERROR(AA91/AA92-1,""))</f>
        <v/>
      </c>
      <c r="AB93" s="38">
        <f>IF(OR(AB91="",AB92=""),"",IFERROR(AB91/AB92-1,""))</f>
        <v/>
      </c>
      <c r="AC93" s="38">
        <f>IF(OR(AC91="",AC92=""),"",IFERROR(AC91/AC92-1,""))</f>
        <v/>
      </c>
    </row>
    <row r="94">
      <c r="C94" s="39" t="n"/>
      <c r="O94" s="39" t="n"/>
      <c r="Y94" s="39" t="n"/>
    </row>
    <row r="95">
      <c r="A95" s="40" t="inlineStr">
        <is>
          <t>출처</t>
        </is>
      </c>
      <c r="C95" s="39" t="n"/>
      <c r="O95" s="39" t="n"/>
      <c r="Y95" s="39" t="n"/>
    </row>
    <row r="96">
      <c r="A96" s="41" t="inlineStr">
        <is>
          <t>결산단신 XBRL(TDnet·JPX 보관소) — 쓴 문서는 '출처' 시트</t>
        </is>
      </c>
      <c r="C96" s="39" t="n"/>
      <c r="O96" s="39" t="n"/>
      <c r="Y96" s="39" t="n"/>
    </row>
    <row r="97">
      <c r="A97" s="41" t="inlineStr">
        <is>
          <t>분기 = 누계에서 앞 분기를 뺀 3개월 값</t>
        </is>
      </c>
      <c r="C97" s="39" t="n"/>
      <c r="O97" s="39" t="n"/>
      <c r="Y97" s="39" t="n"/>
    </row>
    <row r="98">
      <c r="A98" s="41" t="inlineStr">
        <is>
          <t>주가: 야후 파이낸스 일봉</t>
        </is>
      </c>
      <c r="C98" s="39" t="n"/>
      <c r="O98" s="39" t="n"/>
      <c r="Y98" s="39" t="n"/>
    </row>
    <row r="100">
      <c r="A100" s="16" t="inlineStr">
        <is>
          <t>손익계산서 · 전 항목</t>
        </is>
      </c>
      <c r="B100" s="42" t="inlineStr">
        <is>
          <t>분기 = 3개월 단독</t>
        </is>
      </c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6" t="n"/>
      <c r="Z100" s="16" t="n"/>
      <c r="AA100" s="16" t="n"/>
      <c r="AB100" s="16" t="n"/>
      <c r="AC100" s="16" t="n"/>
    </row>
    <row r="101">
      <c r="A101" s="5" t="inlineStr">
        <is>
          <t>항목</t>
        </is>
      </c>
      <c r="B101" s="5" t="inlineStr">
        <is>
          <t>참고</t>
        </is>
      </c>
      <c r="C101" s="5" t="inlineStr">
        <is>
          <t>2023.3Q</t>
        </is>
      </c>
      <c r="D101" s="5" t="inlineStr">
        <is>
          <t>2023.4Q</t>
        </is>
      </c>
      <c r="E101" s="5" t="inlineStr">
        <is>
          <t>2024.1Q</t>
        </is>
      </c>
      <c r="F101" s="5" t="inlineStr">
        <is>
          <t>2024.2Q</t>
        </is>
      </c>
      <c r="G101" s="5" t="inlineStr">
        <is>
          <t>2024.3Q</t>
        </is>
      </c>
      <c r="H101" s="5" t="inlineStr">
        <is>
          <t>2024.4Q</t>
        </is>
      </c>
      <c r="I101" s="5" t="inlineStr">
        <is>
          <t>2025.1Q</t>
        </is>
      </c>
      <c r="J101" s="5" t="inlineStr">
        <is>
          <t>2025.2Q</t>
        </is>
      </c>
      <c r="K101" s="5" t="inlineStr">
        <is>
          <t>2025.3Q</t>
        </is>
      </c>
      <c r="L101" s="5" t="inlineStr">
        <is>
          <t>2025.4Q</t>
        </is>
      </c>
      <c r="M101" s="5" t="inlineStr">
        <is>
          <t>2026.1Q</t>
        </is>
      </c>
      <c r="N101" s="5" t="inlineStr">
        <is>
          <t>2026.2Q</t>
        </is>
      </c>
      <c r="O101" s="5" t="inlineStr">
        <is>
          <t>2016</t>
        </is>
      </c>
      <c r="P101" s="5" t="inlineStr">
        <is>
          <t>2017</t>
        </is>
      </c>
      <c r="Q101" s="5" t="inlineStr">
        <is>
          <t>2018</t>
        </is>
      </c>
      <c r="R101" s="5" t="inlineStr">
        <is>
          <t>2019</t>
        </is>
      </c>
      <c r="S101" s="5" t="inlineStr">
        <is>
          <t>2020</t>
        </is>
      </c>
      <c r="T101" s="5" t="inlineStr">
        <is>
          <t>2021</t>
        </is>
      </c>
      <c r="U101" s="5" t="inlineStr">
        <is>
          <t>2022</t>
        </is>
      </c>
      <c r="V101" s="5" t="inlineStr">
        <is>
          <t>2023</t>
        </is>
      </c>
      <c r="W101" s="5" t="inlineStr">
        <is>
          <t>2024</t>
        </is>
      </c>
      <c r="X101" s="5" t="inlineStr">
        <is>
          <t>2025</t>
        </is>
      </c>
      <c r="Y101" s="5" t="inlineStr">
        <is>
          <t>2026(MW)</t>
        </is>
      </c>
      <c r="Z101" s="5" t="inlineStr">
        <is>
          <t>2027(MW)</t>
        </is>
      </c>
      <c r="AA101" s="5" t="inlineStr">
        <is>
          <t>2028(MW)</t>
        </is>
      </c>
      <c r="AB101" s="5" t="inlineStr">
        <is>
          <t>2029(MW)</t>
        </is>
      </c>
      <c r="AC101" s="5" t="inlineStr">
        <is>
          <t>2030(MW)</t>
        </is>
      </c>
    </row>
    <row r="102">
      <c r="A102" s="9" t="inlineStr">
        <is>
          <t>매출액</t>
        </is>
      </c>
      <c r="C102" s="12" t="n">
        <v>6047</v>
      </c>
      <c r="D102" s="12" t="n">
        <v>8468</v>
      </c>
      <c r="E102" s="12" t="n">
        <v>7836</v>
      </c>
      <c r="F102" s="12" t="n">
        <v>6401</v>
      </c>
      <c r="G102" s="12" t="n">
        <v>6029</v>
      </c>
      <c r="H102" s="12" t="n">
        <v>8833</v>
      </c>
      <c r="I102" s="12" t="n">
        <v>8504</v>
      </c>
      <c r="J102" s="12" t="n">
        <v>5911</v>
      </c>
      <c r="K102" s="12" t="n">
        <v>6388</v>
      </c>
      <c r="L102" s="12" t="n">
        <v>10577</v>
      </c>
      <c r="M102" s="12" t="n">
        <v>9574</v>
      </c>
      <c r="N102" s="12" t="n">
        <v>7530</v>
      </c>
      <c r="T102" s="12" t="n">
        <v>7945</v>
      </c>
      <c r="U102" s="12" t="n">
        <v>7156</v>
      </c>
      <c r="V102" s="12" t="n">
        <v>8468</v>
      </c>
      <c r="W102" s="12" t="n">
        <v>8833</v>
      </c>
      <c r="X102" s="12" t="n">
        <v>10577</v>
      </c>
    </row>
    <row r="103">
      <c r="A103" s="18" t="inlineStr">
        <is>
          <t>매출원가</t>
        </is>
      </c>
      <c r="C103" s="20" t="n">
        <v>5088</v>
      </c>
      <c r="D103" s="20" t="n">
        <v>7148</v>
      </c>
      <c r="E103" s="20" t="n">
        <v>6285</v>
      </c>
      <c r="F103" s="20" t="n">
        <v>5323</v>
      </c>
      <c r="G103" s="20" t="n">
        <v>4932</v>
      </c>
      <c r="H103" s="20" t="n">
        <v>7364</v>
      </c>
      <c r="I103" s="20" t="n">
        <v>6604</v>
      </c>
      <c r="J103" s="20" t="n">
        <v>4814</v>
      </c>
      <c r="K103" s="20" t="n">
        <v>5125</v>
      </c>
      <c r="L103" s="20" t="n">
        <v>8885</v>
      </c>
      <c r="M103" s="20" t="n">
        <v>7402</v>
      </c>
      <c r="N103" s="20" t="n">
        <v>6196</v>
      </c>
      <c r="T103" s="20" t="n">
        <v>6541</v>
      </c>
      <c r="U103" s="20" t="n">
        <v>5741</v>
      </c>
      <c r="V103" s="20" t="n">
        <v>7148</v>
      </c>
      <c r="W103" s="20" t="n">
        <v>7364</v>
      </c>
      <c r="X103" s="20" t="n">
        <v>8885</v>
      </c>
    </row>
    <row r="104">
      <c r="A104" s="9" t="inlineStr">
        <is>
          <t>매출총이익</t>
        </is>
      </c>
      <c r="C104" s="12" t="n">
        <v>958</v>
      </c>
      <c r="D104" s="12" t="n">
        <v>1321</v>
      </c>
      <c r="E104" s="12" t="n">
        <v>1550</v>
      </c>
      <c r="F104" s="12" t="n">
        <v>1079</v>
      </c>
      <c r="G104" s="12" t="n">
        <v>1097</v>
      </c>
      <c r="H104" s="12" t="n">
        <v>1468</v>
      </c>
      <c r="I104" s="12" t="n">
        <v>1900</v>
      </c>
      <c r="J104" s="12" t="n">
        <v>1097</v>
      </c>
      <c r="K104" s="12" t="n">
        <v>1263</v>
      </c>
      <c r="L104" s="12" t="n">
        <v>1691</v>
      </c>
      <c r="M104" s="12" t="n">
        <v>2171</v>
      </c>
      <c r="N104" s="12" t="n">
        <v>1335</v>
      </c>
      <c r="T104" s="12" t="n">
        <v>1405</v>
      </c>
      <c r="U104" s="12" t="n">
        <v>1414</v>
      </c>
      <c r="V104" s="12" t="n">
        <v>1321</v>
      </c>
      <c r="W104" s="12" t="n">
        <v>1468</v>
      </c>
      <c r="X104" s="12" t="n">
        <v>1691</v>
      </c>
    </row>
    <row r="105">
      <c r="A105" s="18" t="inlineStr">
        <is>
          <t>판매비와 관리비</t>
        </is>
      </c>
      <c r="C105" s="20" t="n">
        <v>739</v>
      </c>
      <c r="D105" s="20" t="n">
        <v>760</v>
      </c>
      <c r="E105" s="20" t="n">
        <v>780</v>
      </c>
      <c r="F105" s="20" t="n">
        <v>835</v>
      </c>
      <c r="G105" s="20" t="n">
        <v>766</v>
      </c>
      <c r="H105" s="20" t="n">
        <v>797</v>
      </c>
      <c r="I105" s="20" t="n">
        <v>799</v>
      </c>
      <c r="J105" s="20" t="n">
        <v>860</v>
      </c>
      <c r="K105" s="20" t="n">
        <v>806</v>
      </c>
      <c r="L105" s="20" t="n">
        <v>871</v>
      </c>
      <c r="M105" s="20" t="n">
        <v>890</v>
      </c>
      <c r="N105" s="20" t="n">
        <v>935</v>
      </c>
      <c r="T105" s="20" t="n">
        <v>859</v>
      </c>
      <c r="U105" s="20" t="n">
        <v>789</v>
      </c>
      <c r="V105" s="20" t="n">
        <v>760</v>
      </c>
      <c r="W105" s="20" t="n">
        <v>797</v>
      </c>
      <c r="X105" s="20" t="n">
        <v>871</v>
      </c>
    </row>
    <row r="106">
      <c r="A106" s="9" t="inlineStr">
        <is>
          <t>영업이익</t>
        </is>
      </c>
      <c r="C106" s="12" t="n">
        <v>220</v>
      </c>
      <c r="D106" s="12" t="n">
        <v>560</v>
      </c>
      <c r="E106" s="12" t="n">
        <v>770</v>
      </c>
      <c r="F106" s="12" t="n">
        <v>243</v>
      </c>
      <c r="G106" s="12" t="n">
        <v>332</v>
      </c>
      <c r="H106" s="12" t="n">
        <v>671</v>
      </c>
      <c r="I106" s="12" t="n">
        <v>1101</v>
      </c>
      <c r="J106" s="12" t="n">
        <v>237</v>
      </c>
      <c r="K106" s="12" t="n">
        <v>456</v>
      </c>
      <c r="L106" s="12" t="n">
        <v>821</v>
      </c>
      <c r="M106" s="12" t="n">
        <v>1280</v>
      </c>
      <c r="N106" s="12" t="n">
        <v>400</v>
      </c>
      <c r="T106" s="12" t="n">
        <v>545</v>
      </c>
      <c r="U106" s="12" t="n">
        <v>626</v>
      </c>
      <c r="V106" s="12" t="n">
        <v>560</v>
      </c>
      <c r="W106" s="12" t="n">
        <v>671</v>
      </c>
      <c r="X106" s="12" t="n">
        <v>821</v>
      </c>
    </row>
    <row r="107">
      <c r="A107" s="18" t="inlineStr">
        <is>
          <t>이자수익</t>
        </is>
      </c>
      <c r="C107" s="20" t="n">
        <v>0</v>
      </c>
      <c r="D107" s="20" t="n">
        <v>0</v>
      </c>
      <c r="E107" s="20" t="n">
        <v>0</v>
      </c>
      <c r="F107" s="20" t="n">
        <v>0</v>
      </c>
      <c r="G107" s="20" t="n">
        <v>0</v>
      </c>
      <c r="H107" s="20" t="n">
        <v>0</v>
      </c>
      <c r="I107" s="20" t="n">
        <v>0</v>
      </c>
      <c r="J107" s="20" t="n">
        <v>2</v>
      </c>
      <c r="K107" s="20" t="n">
        <v>6</v>
      </c>
      <c r="L107" s="20" t="n">
        <v>1</v>
      </c>
      <c r="M107" s="20" t="n">
        <v>2</v>
      </c>
      <c r="N107" s="20" t="n">
        <v>3</v>
      </c>
      <c r="T107" s="20" t="n">
        <v>0</v>
      </c>
      <c r="U107" s="20" t="n">
        <v>0</v>
      </c>
      <c r="V107" s="20" t="n">
        <v>0</v>
      </c>
      <c r="W107" s="20" t="n">
        <v>0</v>
      </c>
      <c r="X107" s="20" t="n">
        <v>1</v>
      </c>
    </row>
    <row r="108">
      <c r="A108" s="18" t="inlineStr">
        <is>
          <t>임대료 수익</t>
        </is>
      </c>
      <c r="E108" s="20" t="n">
        <v>3</v>
      </c>
      <c r="I108" s="20" t="n">
        <v>7</v>
      </c>
      <c r="M108" s="20" t="n">
        <v>7</v>
      </c>
    </row>
    <row r="109">
      <c r="A109" s="18" t="inlineStr">
        <is>
          <t>보조금 수입</t>
        </is>
      </c>
      <c r="T109" s="20" t="n">
        <v>45</v>
      </c>
      <c r="U109" s="20" t="n">
        <v>6</v>
      </c>
    </row>
    <row r="110">
      <c r="A110" s="18" t="inlineStr">
        <is>
          <t>배당금수익</t>
        </is>
      </c>
      <c r="C110" s="20" t="n">
        <v>5</v>
      </c>
      <c r="D110" s="20" t="n">
        <v>43</v>
      </c>
      <c r="G110" s="20" t="n">
        <v>4</v>
      </c>
      <c r="H110" s="20" t="n">
        <v>52</v>
      </c>
      <c r="K110" s="20" t="n">
        <v>5</v>
      </c>
      <c r="L110" s="20" t="n">
        <v>58</v>
      </c>
      <c r="T110" s="20" t="n">
        <v>41</v>
      </c>
      <c r="U110" s="20" t="n">
        <v>41</v>
      </c>
      <c r="V110" s="20" t="n">
        <v>43</v>
      </c>
      <c r="W110" s="20" t="n">
        <v>52</v>
      </c>
      <c r="X110" s="20" t="n">
        <v>58</v>
      </c>
    </row>
    <row r="111">
      <c r="A111" s="18" t="inlineStr">
        <is>
          <t>외환차익</t>
        </is>
      </c>
      <c r="E111" s="20" t="n">
        <v>16</v>
      </c>
      <c r="F111" s="20" t="n">
        <v>12</v>
      </c>
      <c r="I111" s="20" t="n">
        <v>0</v>
      </c>
      <c r="J111" s="20" t="n">
        <v>0</v>
      </c>
    </row>
    <row r="112">
      <c r="A112" s="18" t="inlineStr">
        <is>
          <t>투자유가증권 매각이익</t>
        </is>
      </c>
      <c r="C112" s="20" t="n">
        <v>22</v>
      </c>
      <c r="D112" s="20" t="n">
        <v>28</v>
      </c>
      <c r="E112" s="20" t="n">
        <v>0</v>
      </c>
      <c r="F112" s="20" t="n">
        <v>0</v>
      </c>
      <c r="G112" s="20" t="n">
        <v>0</v>
      </c>
      <c r="H112" s="20" t="n">
        <v>144</v>
      </c>
      <c r="I112" s="20" t="n">
        <v>84</v>
      </c>
      <c r="J112" s="20" t="n">
        <v>95</v>
      </c>
      <c r="K112" s="20" t="n">
        <v>129</v>
      </c>
      <c r="L112" s="20" t="n">
        <v>136</v>
      </c>
      <c r="M112" s="20" t="n">
        <v>164</v>
      </c>
      <c r="N112" s="20" t="n">
        <v>84</v>
      </c>
      <c r="T112" s="20" t="n">
        <v>0</v>
      </c>
      <c r="U112" s="20" t="n">
        <v>0</v>
      </c>
      <c r="V112" s="20" t="n">
        <v>28</v>
      </c>
      <c r="W112" s="20" t="n">
        <v>144</v>
      </c>
      <c r="X112" s="20" t="n">
        <v>136</v>
      </c>
    </row>
    <row r="113">
      <c r="A113" s="18" t="inlineStr">
        <is>
          <t>고정자산 매각이익</t>
        </is>
      </c>
      <c r="C113" s="20" t="n">
        <v>0</v>
      </c>
      <c r="D113" s="20" t="n">
        <v>0</v>
      </c>
      <c r="E113" s="20" t="n">
        <v>218</v>
      </c>
      <c r="F113" s="20" t="n">
        <v>0</v>
      </c>
      <c r="G113" s="20" t="n">
        <v>85</v>
      </c>
      <c r="I113" s="20" t="n">
        <v>0</v>
      </c>
      <c r="J113" s="20" t="n">
        <v>0</v>
      </c>
      <c r="K113" s="20" t="n">
        <v>0</v>
      </c>
      <c r="U113" s="20" t="n">
        <v>0</v>
      </c>
      <c r="V113" s="20" t="n">
        <v>0</v>
      </c>
    </row>
    <row r="114">
      <c r="A114" s="18" t="inlineStr">
        <is>
          <t>기타</t>
        </is>
      </c>
      <c r="C114" s="20" t="n">
        <v>11</v>
      </c>
      <c r="D114" s="20" t="n">
        <v>-2</v>
      </c>
      <c r="E114" s="20" t="n">
        <v>12</v>
      </c>
      <c r="F114" s="20" t="n">
        <v>11</v>
      </c>
      <c r="G114" s="20" t="n">
        <v>17</v>
      </c>
      <c r="H114" s="20" t="n">
        <v>343</v>
      </c>
      <c r="I114" s="20" t="n">
        <v>12</v>
      </c>
      <c r="J114" s="20" t="n">
        <v>13</v>
      </c>
      <c r="K114" s="20" t="n">
        <v>12</v>
      </c>
      <c r="L114" s="20" t="n">
        <v>15</v>
      </c>
      <c r="M114" s="20" t="n">
        <v>20</v>
      </c>
      <c r="N114" s="20" t="n">
        <v>52</v>
      </c>
      <c r="T114" s="20" t="n">
        <v>-1</v>
      </c>
      <c r="U114" s="20" t="n">
        <v>-54</v>
      </c>
      <c r="V114" s="20" t="n">
        <v>-2</v>
      </c>
      <c r="W114" s="20" t="n">
        <v>343</v>
      </c>
      <c r="X114" s="20" t="n">
        <v>15</v>
      </c>
    </row>
    <row r="115">
      <c r="A115" s="18" t="inlineStr">
        <is>
          <t>영업외수익 합계</t>
        </is>
      </c>
      <c r="C115" s="20" t="n">
        <v>37</v>
      </c>
      <c r="D115" s="20" t="n">
        <v>86</v>
      </c>
      <c r="E115" s="20" t="n">
        <v>249</v>
      </c>
      <c r="F115" s="20" t="n">
        <v>72</v>
      </c>
      <c r="G115" s="20" t="n">
        <v>76</v>
      </c>
      <c r="H115" s="20" t="n">
        <v>259</v>
      </c>
      <c r="I115" s="20" t="n">
        <v>105</v>
      </c>
      <c r="J115" s="20" t="n">
        <v>154</v>
      </c>
      <c r="K115" s="20" t="n">
        <v>151</v>
      </c>
      <c r="L115" s="20" t="n">
        <v>241</v>
      </c>
      <c r="M115" s="20" t="n">
        <v>194</v>
      </c>
      <c r="N115" s="20" t="n">
        <v>205</v>
      </c>
      <c r="T115" s="20" t="n">
        <v>100</v>
      </c>
      <c r="U115" s="20" t="n">
        <v>45</v>
      </c>
      <c r="V115" s="20" t="n">
        <v>86</v>
      </c>
      <c r="W115" s="20" t="n">
        <v>259</v>
      </c>
      <c r="X115" s="20" t="n">
        <v>241</v>
      </c>
    </row>
    <row r="116">
      <c r="A116" s="18" t="inlineStr">
        <is>
          <t>이자비용</t>
        </is>
      </c>
      <c r="C116" s="20" t="n">
        <v>9</v>
      </c>
      <c r="D116" s="20" t="n">
        <v>7</v>
      </c>
      <c r="E116" s="20" t="n">
        <v>6</v>
      </c>
      <c r="F116" s="20" t="n">
        <v>6</v>
      </c>
      <c r="G116" s="20" t="n">
        <v>4</v>
      </c>
      <c r="H116" s="20" t="n">
        <v>6</v>
      </c>
      <c r="I116" s="20" t="n">
        <v>9</v>
      </c>
      <c r="J116" s="20" t="n">
        <v>5</v>
      </c>
      <c r="K116" s="20" t="n">
        <v>4</v>
      </c>
      <c r="L116" s="20" t="n">
        <v>5</v>
      </c>
      <c r="M116" s="20" t="n">
        <v>9</v>
      </c>
      <c r="N116" s="20" t="n">
        <v>8</v>
      </c>
      <c r="T116" s="20" t="n">
        <v>7</v>
      </c>
      <c r="U116" s="20" t="n">
        <v>9</v>
      </c>
      <c r="V116" s="20" t="n">
        <v>7</v>
      </c>
      <c r="W116" s="20" t="n">
        <v>6</v>
      </c>
      <c r="X116" s="20" t="n">
        <v>5</v>
      </c>
    </row>
    <row r="117">
      <c r="A117" s="18" t="inlineStr">
        <is>
          <t>지급보증료</t>
        </is>
      </c>
      <c r="C117" s="20" t="n">
        <v>2</v>
      </c>
      <c r="D117" s="20" t="n">
        <v>3</v>
      </c>
      <c r="E117" s="20" t="n">
        <v>1</v>
      </c>
      <c r="F117" s="20" t="n">
        <v>2</v>
      </c>
      <c r="G117" s="20" t="n">
        <v>1</v>
      </c>
      <c r="H117" s="20" t="n">
        <v>3</v>
      </c>
      <c r="I117" s="20" t="n">
        <v>0</v>
      </c>
      <c r="T117" s="20" t="n">
        <v>2</v>
      </c>
      <c r="U117" s="20" t="n">
        <v>3</v>
      </c>
      <c r="V117" s="20" t="n">
        <v>3</v>
      </c>
      <c r="W117" s="20" t="n">
        <v>3</v>
      </c>
    </row>
    <row r="118">
      <c r="A118" s="18" t="inlineStr">
        <is>
          <t>외환차손</t>
        </is>
      </c>
      <c r="E118" s="20" t="n">
        <v>0</v>
      </c>
      <c r="F118" s="20" t="n">
        <v>0</v>
      </c>
      <c r="I118" s="20" t="n">
        <v>14</v>
      </c>
      <c r="J118" s="20" t="n">
        <v>2</v>
      </c>
      <c r="M118" s="20" t="n">
        <v>0</v>
      </c>
      <c r="N118" s="20" t="n">
        <v>0</v>
      </c>
    </row>
    <row r="119">
      <c r="A119" s="18" t="inlineStr">
        <is>
          <t>지급수수료</t>
        </is>
      </c>
      <c r="E119" s="20" t="n">
        <v>6</v>
      </c>
      <c r="I119" s="20" t="n">
        <v>0</v>
      </c>
    </row>
    <row r="120">
      <c r="A120" s="18" t="inlineStr">
        <is>
          <t>기타</t>
        </is>
      </c>
      <c r="C120" s="20" t="n">
        <v>3</v>
      </c>
      <c r="D120" s="20" t="n">
        <v>12</v>
      </c>
      <c r="E120" s="20" t="n">
        <v>8</v>
      </c>
      <c r="F120" s="20" t="n">
        <v>16</v>
      </c>
      <c r="G120" s="20" t="n">
        <v>12</v>
      </c>
      <c r="H120" s="20" t="n">
        <v>46</v>
      </c>
      <c r="I120" s="20" t="n">
        <v>21</v>
      </c>
      <c r="J120" s="20" t="n">
        <v>17</v>
      </c>
      <c r="K120" s="20" t="n">
        <v>9</v>
      </c>
      <c r="L120" s="20" t="n">
        <v>-2</v>
      </c>
      <c r="M120" s="20" t="n">
        <v>9</v>
      </c>
      <c r="N120" s="20" t="n">
        <v>10</v>
      </c>
      <c r="T120" s="20" t="n">
        <v>-1</v>
      </c>
      <c r="U120" s="20" t="n">
        <v>10</v>
      </c>
      <c r="V120" s="20" t="n">
        <v>12</v>
      </c>
      <c r="W120" s="20" t="n">
        <v>46</v>
      </c>
      <c r="X120" s="20" t="n">
        <v>-2</v>
      </c>
    </row>
    <row r="121">
      <c r="A121" s="18" t="inlineStr">
        <is>
          <t>영업외비용 합계</t>
        </is>
      </c>
      <c r="C121" s="20" t="n">
        <v>14</v>
      </c>
      <c r="D121" s="20" t="n">
        <v>21</v>
      </c>
      <c r="E121" s="20" t="n">
        <v>23</v>
      </c>
      <c r="F121" s="20" t="n">
        <v>14</v>
      </c>
      <c r="G121" s="20" t="n">
        <v>15</v>
      </c>
      <c r="H121" s="20" t="n">
        <v>261</v>
      </c>
      <c r="I121" s="20" t="n">
        <v>44</v>
      </c>
      <c r="J121" s="20" t="n">
        <v>25</v>
      </c>
      <c r="K121" s="20" t="n">
        <v>-3</v>
      </c>
      <c r="L121" s="20" t="n">
        <v>74</v>
      </c>
      <c r="M121" s="20" t="n">
        <v>19</v>
      </c>
      <c r="N121" s="20" t="n">
        <v>32</v>
      </c>
      <c r="T121" s="20" t="n">
        <v>14</v>
      </c>
      <c r="U121" s="20" t="n">
        <v>22</v>
      </c>
      <c r="V121" s="20" t="n">
        <v>21</v>
      </c>
      <c r="W121" s="20" t="n">
        <v>261</v>
      </c>
      <c r="X121" s="20" t="n">
        <v>74</v>
      </c>
    </row>
    <row r="122">
      <c r="A122" s="9" t="inlineStr">
        <is>
          <t>경상이익</t>
        </is>
      </c>
      <c r="C122" s="12" t="n">
        <v>243</v>
      </c>
      <c r="D122" s="12" t="n">
        <v>625</v>
      </c>
      <c r="E122" s="12" t="n">
        <v>997</v>
      </c>
      <c r="F122" s="12" t="n">
        <v>300</v>
      </c>
      <c r="G122" s="12" t="n">
        <v>392</v>
      </c>
      <c r="H122" s="12" t="n">
        <v>670</v>
      </c>
      <c r="I122" s="12" t="n">
        <v>1162</v>
      </c>
      <c r="J122" s="12" t="n">
        <v>367</v>
      </c>
      <c r="K122" s="12" t="n">
        <v>609</v>
      </c>
      <c r="L122" s="12" t="n">
        <v>988</v>
      </c>
      <c r="M122" s="12" t="n">
        <v>1456</v>
      </c>
      <c r="N122" s="12" t="n">
        <v>572</v>
      </c>
      <c r="T122" s="12" t="n">
        <v>631</v>
      </c>
      <c r="U122" s="12" t="n">
        <v>650</v>
      </c>
      <c r="V122" s="12" t="n">
        <v>625</v>
      </c>
      <c r="W122" s="12" t="n">
        <v>670</v>
      </c>
      <c r="X122" s="12" t="n">
        <v>988</v>
      </c>
    </row>
    <row r="123">
      <c r="A123" s="9" t="inlineStr">
        <is>
          <t>법인세차감전 순이익</t>
        </is>
      </c>
      <c r="C123" s="12" t="n">
        <v>243</v>
      </c>
      <c r="D123" s="12" t="n">
        <v>625</v>
      </c>
      <c r="E123" s="12" t="n">
        <v>997</v>
      </c>
      <c r="F123" s="12" t="n">
        <v>300</v>
      </c>
      <c r="G123" s="12" t="n">
        <v>392</v>
      </c>
      <c r="H123" s="12" t="n">
        <v>670</v>
      </c>
      <c r="I123" s="12" t="n">
        <v>1162</v>
      </c>
      <c r="J123" s="12" t="n">
        <v>367</v>
      </c>
      <c r="K123" s="12" t="n">
        <v>609</v>
      </c>
      <c r="L123" s="12" t="n">
        <v>988</v>
      </c>
      <c r="M123" s="12" t="n">
        <v>1456</v>
      </c>
      <c r="N123" s="12" t="n">
        <v>572</v>
      </c>
      <c r="T123" s="12" t="n">
        <v>631</v>
      </c>
      <c r="U123" s="12" t="n">
        <v>650</v>
      </c>
      <c r="V123" s="12" t="n">
        <v>625</v>
      </c>
      <c r="W123" s="12" t="n">
        <v>670</v>
      </c>
      <c r="X123" s="12" t="n">
        <v>988</v>
      </c>
    </row>
    <row r="124">
      <c r="A124" s="18" t="inlineStr">
        <is>
          <t>법인세·주민세·사업세</t>
        </is>
      </c>
      <c r="C124" s="20" t="n">
        <v>210</v>
      </c>
      <c r="D124" s="20" t="n">
        <v>177</v>
      </c>
      <c r="E124" s="20" t="n">
        <v>175</v>
      </c>
      <c r="F124" s="20" t="n">
        <v>140</v>
      </c>
      <c r="G124" s="20" t="n">
        <v>277</v>
      </c>
      <c r="H124" s="20" t="n">
        <v>213</v>
      </c>
      <c r="I124" s="20" t="n">
        <v>365</v>
      </c>
      <c r="J124" s="20" t="n">
        <v>168</v>
      </c>
      <c r="K124" s="20" t="n">
        <v>346</v>
      </c>
      <c r="L124" s="20" t="n">
        <v>341</v>
      </c>
      <c r="M124" s="20" t="n">
        <v>277</v>
      </c>
      <c r="N124" s="20" t="n">
        <v>207</v>
      </c>
      <c r="T124" s="20" t="n">
        <v>175</v>
      </c>
      <c r="U124" s="20" t="n">
        <v>185</v>
      </c>
      <c r="V124" s="20" t="n">
        <v>177</v>
      </c>
      <c r="W124" s="20" t="n">
        <v>213</v>
      </c>
      <c r="X124" s="20" t="n">
        <v>341</v>
      </c>
    </row>
    <row r="125">
      <c r="A125" s="18" t="inlineStr">
        <is>
          <t>법인세 조정액</t>
        </is>
      </c>
      <c r="C125" s="20" t="n">
        <v>-130</v>
      </c>
      <c r="D125" s="20" t="n">
        <v>27</v>
      </c>
      <c r="E125" s="20" t="n">
        <v>147</v>
      </c>
      <c r="F125" s="20" t="n">
        <v>-11</v>
      </c>
      <c r="G125" s="20" t="n">
        <v>-121</v>
      </c>
      <c r="H125" s="20" t="n">
        <v>2</v>
      </c>
      <c r="I125" s="20" t="n">
        <v>50</v>
      </c>
      <c r="J125" s="20" t="n">
        <v>-32</v>
      </c>
      <c r="K125" s="20" t="n">
        <v>-130</v>
      </c>
      <c r="L125" s="20" t="n">
        <v>-18</v>
      </c>
      <c r="M125" s="20" t="n">
        <v>122</v>
      </c>
      <c r="N125" s="20" t="n">
        <v>-36</v>
      </c>
      <c r="T125" s="20" t="n">
        <v>-37</v>
      </c>
      <c r="U125" s="20" t="n">
        <v>-19</v>
      </c>
      <c r="V125" s="20" t="n">
        <v>27</v>
      </c>
      <c r="W125" s="20" t="n">
        <v>2</v>
      </c>
      <c r="X125" s="20" t="n">
        <v>-18</v>
      </c>
    </row>
    <row r="126">
      <c r="A126" s="18" t="inlineStr">
        <is>
          <t>법인세 등 합계</t>
        </is>
      </c>
      <c r="C126" s="20" t="n">
        <v>79</v>
      </c>
      <c r="D126" s="20" t="n">
        <v>204</v>
      </c>
      <c r="E126" s="20" t="n">
        <v>323</v>
      </c>
      <c r="F126" s="20" t="n">
        <v>129</v>
      </c>
      <c r="G126" s="20" t="n">
        <v>155</v>
      </c>
      <c r="H126" s="20" t="n">
        <v>215</v>
      </c>
      <c r="I126" s="20" t="n">
        <v>415</v>
      </c>
      <c r="J126" s="20" t="n">
        <v>137</v>
      </c>
      <c r="K126" s="20" t="n">
        <v>215</v>
      </c>
      <c r="L126" s="20" t="n">
        <v>322</v>
      </c>
      <c r="M126" s="20" t="n">
        <v>399</v>
      </c>
      <c r="N126" s="20" t="n">
        <v>171</v>
      </c>
      <c r="T126" s="20" t="n">
        <v>138</v>
      </c>
      <c r="U126" s="20" t="n">
        <v>166</v>
      </c>
      <c r="V126" s="20" t="n">
        <v>204</v>
      </c>
      <c r="W126" s="20" t="n">
        <v>215</v>
      </c>
      <c r="X126" s="20" t="n">
        <v>322</v>
      </c>
    </row>
    <row r="127">
      <c r="A127" s="9" t="inlineStr">
        <is>
          <t>순이익</t>
        </is>
      </c>
      <c r="C127" s="12" t="n">
        <v>164</v>
      </c>
      <c r="D127" s="12" t="n">
        <v>420</v>
      </c>
      <c r="E127" s="12" t="n">
        <v>674</v>
      </c>
      <c r="F127" s="12" t="n">
        <v>170</v>
      </c>
      <c r="G127" s="12" t="n">
        <v>237</v>
      </c>
      <c r="H127" s="12" t="n">
        <v>455</v>
      </c>
      <c r="I127" s="12" t="n">
        <v>746</v>
      </c>
      <c r="J127" s="12" t="n">
        <v>230</v>
      </c>
      <c r="K127" s="12" t="n">
        <v>394</v>
      </c>
      <c r="L127" s="12" t="n">
        <v>666</v>
      </c>
      <c r="M127" s="12" t="n">
        <v>1057</v>
      </c>
      <c r="N127" s="12" t="n">
        <v>401</v>
      </c>
      <c r="T127" s="12" t="n">
        <v>493</v>
      </c>
      <c r="U127" s="12" t="n">
        <v>483</v>
      </c>
      <c r="V127" s="12" t="n">
        <v>420</v>
      </c>
      <c r="W127" s="12" t="n">
        <v>455</v>
      </c>
      <c r="X127" s="12" t="n">
        <v>666</v>
      </c>
    </row>
    <row r="128">
      <c r="A128" s="9" t="inlineStr">
        <is>
          <t>지배주주 순이익</t>
        </is>
      </c>
      <c r="C128" s="12" t="n">
        <v>164</v>
      </c>
      <c r="D128" s="12" t="n">
        <v>420</v>
      </c>
      <c r="E128" s="12" t="n">
        <v>674</v>
      </c>
      <c r="F128" s="12" t="n">
        <v>170</v>
      </c>
      <c r="G128" s="12" t="n">
        <v>237</v>
      </c>
      <c r="H128" s="12" t="n">
        <v>455</v>
      </c>
      <c r="I128" s="12" t="n">
        <v>746</v>
      </c>
      <c r="J128" s="12" t="n">
        <v>230</v>
      </c>
      <c r="K128" s="12" t="n">
        <v>394</v>
      </c>
      <c r="L128" s="12" t="n">
        <v>666</v>
      </c>
      <c r="M128" s="12" t="n">
        <v>1057</v>
      </c>
      <c r="N128" s="12" t="n">
        <v>401</v>
      </c>
      <c r="T128" s="12" t="n">
        <v>493</v>
      </c>
      <c r="U128" s="12" t="n">
        <v>483</v>
      </c>
      <c r="V128" s="12" t="n">
        <v>420</v>
      </c>
      <c r="W128" s="12" t="n">
        <v>455</v>
      </c>
      <c r="X128" s="12" t="n">
        <v>666</v>
      </c>
    </row>
    <row r="130">
      <c r="A130" s="16" t="inlineStr">
        <is>
          <t>포괄손익 · 전 항목</t>
        </is>
      </c>
      <c r="B130" s="42" t="inlineStr">
        <is>
          <t>분기 = 3개월 단독</t>
        </is>
      </c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/>
      <c r="AA130" s="16" t="n"/>
      <c r="AB130" s="16" t="n"/>
      <c r="AC130" s="16" t="n"/>
    </row>
    <row r="131">
      <c r="A131" s="5" t="inlineStr">
        <is>
          <t>항목</t>
        </is>
      </c>
      <c r="B131" s="5" t="inlineStr">
        <is>
          <t>참고</t>
        </is>
      </c>
      <c r="C131" s="5" t="inlineStr">
        <is>
          <t>2023.3Q</t>
        </is>
      </c>
      <c r="D131" s="5" t="inlineStr">
        <is>
          <t>2023.4Q</t>
        </is>
      </c>
      <c r="E131" s="5" t="inlineStr">
        <is>
          <t>2024.1Q</t>
        </is>
      </c>
      <c r="F131" s="5" t="inlineStr">
        <is>
          <t>2024.2Q</t>
        </is>
      </c>
      <c r="G131" s="5" t="inlineStr">
        <is>
          <t>2024.3Q</t>
        </is>
      </c>
      <c r="H131" s="5" t="inlineStr">
        <is>
          <t>2024.4Q</t>
        </is>
      </c>
      <c r="I131" s="5" t="inlineStr">
        <is>
          <t>2025.1Q</t>
        </is>
      </c>
      <c r="J131" s="5" t="inlineStr">
        <is>
          <t>2025.2Q</t>
        </is>
      </c>
      <c r="K131" s="5" t="inlineStr">
        <is>
          <t>2025.3Q</t>
        </is>
      </c>
      <c r="L131" s="5" t="inlineStr">
        <is>
          <t>2025.4Q</t>
        </is>
      </c>
      <c r="M131" s="5" t="inlineStr">
        <is>
          <t>2026.1Q</t>
        </is>
      </c>
      <c r="N131" s="5" t="inlineStr">
        <is>
          <t>2026.2Q</t>
        </is>
      </c>
      <c r="O131" s="5" t="inlineStr">
        <is>
          <t>2016</t>
        </is>
      </c>
      <c r="P131" s="5" t="inlineStr">
        <is>
          <t>2017</t>
        </is>
      </c>
      <c r="Q131" s="5" t="inlineStr">
        <is>
          <t>2018</t>
        </is>
      </c>
      <c r="R131" s="5" t="inlineStr">
        <is>
          <t>2019</t>
        </is>
      </c>
      <c r="S131" s="5" t="inlineStr">
        <is>
          <t>2020</t>
        </is>
      </c>
      <c r="T131" s="5" t="inlineStr">
        <is>
          <t>2021</t>
        </is>
      </c>
      <c r="U131" s="5" t="inlineStr">
        <is>
          <t>2022</t>
        </is>
      </c>
      <c r="V131" s="5" t="inlineStr">
        <is>
          <t>2023</t>
        </is>
      </c>
      <c r="W131" s="5" t="inlineStr">
        <is>
          <t>2024</t>
        </is>
      </c>
      <c r="X131" s="5" t="inlineStr">
        <is>
          <t>2025</t>
        </is>
      </c>
      <c r="Y131" s="5" t="inlineStr">
        <is>
          <t>2026(MW)</t>
        </is>
      </c>
      <c r="Z131" s="5" t="inlineStr">
        <is>
          <t>2027(MW)</t>
        </is>
      </c>
      <c r="AA131" s="5" t="inlineStr">
        <is>
          <t>2028(MW)</t>
        </is>
      </c>
      <c r="AB131" s="5" t="inlineStr">
        <is>
          <t>2029(MW)</t>
        </is>
      </c>
      <c r="AC131" s="5" t="inlineStr">
        <is>
          <t>2030(MW)</t>
        </is>
      </c>
    </row>
    <row r="132">
      <c r="A132" s="9" t="inlineStr">
        <is>
          <t>순이익</t>
        </is>
      </c>
      <c r="C132" s="12" t="n">
        <v>164</v>
      </c>
      <c r="D132" s="12" t="n">
        <v>420</v>
      </c>
      <c r="E132" s="12" t="n">
        <v>674</v>
      </c>
      <c r="F132" s="12" t="n">
        <v>170</v>
      </c>
      <c r="G132" s="12" t="n">
        <v>237</v>
      </c>
      <c r="H132" s="12" t="n">
        <v>455</v>
      </c>
      <c r="I132" s="12" t="n">
        <v>746</v>
      </c>
      <c r="J132" s="12" t="n">
        <v>230</v>
      </c>
      <c r="K132" s="12" t="n">
        <v>394</v>
      </c>
      <c r="L132" s="12" t="n">
        <v>666</v>
      </c>
      <c r="M132" s="12" t="n">
        <v>1057</v>
      </c>
      <c r="N132" s="12" t="n">
        <v>401</v>
      </c>
      <c r="T132" s="12" t="n">
        <v>493</v>
      </c>
      <c r="U132" s="12" t="n">
        <v>483</v>
      </c>
      <c r="V132" s="12" t="n">
        <v>420</v>
      </c>
      <c r="W132" s="12" t="n">
        <v>455</v>
      </c>
      <c r="X132" s="12" t="n">
        <v>666</v>
      </c>
    </row>
    <row r="133">
      <c r="A133" s="18" t="inlineStr">
        <is>
          <t>기타유가증권 평가차액</t>
        </is>
      </c>
      <c r="C133" s="20" t="n">
        <v>335</v>
      </c>
      <c r="D133" s="20" t="n">
        <v>122</v>
      </c>
      <c r="E133" s="20" t="n">
        <v>572</v>
      </c>
      <c r="F133" s="20" t="n">
        <v>-95</v>
      </c>
      <c r="G133" s="20" t="n">
        <v>232</v>
      </c>
      <c r="H133" s="20" t="n">
        <v>-689</v>
      </c>
      <c r="I133" s="20" t="n">
        <v>-204</v>
      </c>
      <c r="J133" s="20" t="n">
        <v>318</v>
      </c>
      <c r="K133" s="20" t="n">
        <v>396</v>
      </c>
      <c r="L133" s="20" t="n">
        <v>219</v>
      </c>
      <c r="M133" s="20" t="n">
        <v>466</v>
      </c>
      <c r="N133" s="20" t="n">
        <v>-78</v>
      </c>
      <c r="T133" s="20" t="n">
        <v>-108</v>
      </c>
      <c r="U133" s="20" t="n">
        <v>210</v>
      </c>
      <c r="V133" s="20" t="n">
        <v>122</v>
      </c>
      <c r="W133" s="20" t="n">
        <v>-689</v>
      </c>
      <c r="X133" s="20" t="n">
        <v>219</v>
      </c>
    </row>
    <row r="134">
      <c r="A134" s="18" t="inlineStr">
        <is>
          <t>해외사업환산조정</t>
        </is>
      </c>
      <c r="C134" s="20" t="n">
        <v>-1</v>
      </c>
      <c r="D134" s="20" t="n">
        <v>-3</v>
      </c>
      <c r="E134" s="20" t="n">
        <v>-2</v>
      </c>
      <c r="F134" s="20" t="n">
        <v>9</v>
      </c>
      <c r="G134" s="20" t="n">
        <v>-1</v>
      </c>
      <c r="H134" s="20" t="n">
        <v>1</v>
      </c>
      <c r="I134" s="20" t="n">
        <v>2</v>
      </c>
      <c r="J134" s="20" t="n">
        <v>7</v>
      </c>
      <c r="K134" s="20" t="n">
        <v>-3</v>
      </c>
      <c r="L134" s="20" t="n">
        <v>-3</v>
      </c>
      <c r="M134" s="20" t="n">
        <v>-9</v>
      </c>
      <c r="N134" s="20" t="n">
        <v>-9</v>
      </c>
      <c r="T134" s="20" t="n">
        <v>6</v>
      </c>
      <c r="U134" s="20" t="n">
        <v>2</v>
      </c>
      <c r="V134" s="20" t="n">
        <v>-3</v>
      </c>
      <c r="W134" s="20" t="n">
        <v>1</v>
      </c>
      <c r="X134" s="20" t="n">
        <v>-3</v>
      </c>
    </row>
    <row r="135">
      <c r="A135" s="18" t="inlineStr">
        <is>
          <t>퇴직급여 조정액</t>
        </is>
      </c>
      <c r="C135" s="20" t="n">
        <v>4</v>
      </c>
      <c r="D135" s="20" t="n">
        <v>31</v>
      </c>
      <c r="E135" s="20" t="n">
        <v>1</v>
      </c>
      <c r="F135" s="20" t="n">
        <v>45</v>
      </c>
      <c r="G135" s="20" t="n">
        <v>-41</v>
      </c>
      <c r="H135" s="20" t="n">
        <v>94</v>
      </c>
      <c r="I135" s="20" t="n">
        <v>3</v>
      </c>
      <c r="J135" s="20" t="n">
        <v>-3</v>
      </c>
      <c r="K135" s="20" t="n">
        <v>0</v>
      </c>
      <c r="L135" s="20" t="n">
        <v>9</v>
      </c>
      <c r="M135" s="20" t="n">
        <v>-0</v>
      </c>
      <c r="N135" s="20" t="n">
        <v>0</v>
      </c>
      <c r="T135" s="20" t="n">
        <v>3</v>
      </c>
      <c r="U135" s="20" t="n">
        <v>10</v>
      </c>
      <c r="V135" s="20" t="n">
        <v>31</v>
      </c>
      <c r="W135" s="20" t="n">
        <v>94</v>
      </c>
      <c r="X135" s="20" t="n">
        <v>9</v>
      </c>
    </row>
    <row r="136">
      <c r="A136" s="18" t="inlineStr">
        <is>
          <t>기타포괄손익 합계</t>
        </is>
      </c>
      <c r="C136" s="20" t="n">
        <v>338</v>
      </c>
      <c r="D136" s="20" t="n">
        <v>150</v>
      </c>
      <c r="E136" s="20" t="n">
        <v>570</v>
      </c>
      <c r="F136" s="20" t="n">
        <v>-39</v>
      </c>
      <c r="G136" s="20" t="n">
        <v>190</v>
      </c>
      <c r="H136" s="20" t="n">
        <v>-593</v>
      </c>
      <c r="I136" s="20" t="n">
        <v>-198</v>
      </c>
      <c r="J136" s="20" t="n">
        <v>322</v>
      </c>
      <c r="K136" s="20" t="n">
        <v>393</v>
      </c>
      <c r="L136" s="20" t="n">
        <v>225</v>
      </c>
      <c r="M136" s="20" t="n">
        <v>457</v>
      </c>
      <c r="N136" s="20" t="n">
        <v>-88</v>
      </c>
      <c r="T136" s="20" t="n">
        <v>-101</v>
      </c>
      <c r="U136" s="20" t="n">
        <v>223</v>
      </c>
      <c r="V136" s="20" t="n">
        <v>150</v>
      </c>
      <c r="W136" s="20" t="n">
        <v>-593</v>
      </c>
      <c r="X136" s="20" t="n">
        <v>225</v>
      </c>
    </row>
    <row r="137">
      <c r="A137" s="9" t="inlineStr">
        <is>
          <t>포괄이익</t>
        </is>
      </c>
      <c r="C137" s="12" t="n">
        <v>502</v>
      </c>
      <c r="D137" s="12" t="n">
        <v>569</v>
      </c>
      <c r="E137" s="12" t="n">
        <v>1244</v>
      </c>
      <c r="F137" s="12" t="n">
        <v>132</v>
      </c>
      <c r="G137" s="12" t="n">
        <v>427</v>
      </c>
      <c r="H137" s="12" t="n">
        <v>-139</v>
      </c>
      <c r="I137" s="12" t="n">
        <v>547</v>
      </c>
      <c r="J137" s="12" t="n">
        <v>553</v>
      </c>
      <c r="K137" s="12" t="n">
        <v>788</v>
      </c>
      <c r="L137" s="12" t="n">
        <v>890</v>
      </c>
      <c r="M137" s="12" t="n">
        <v>1514</v>
      </c>
      <c r="N137" s="12" t="n">
        <v>313</v>
      </c>
      <c r="T137" s="12" t="n">
        <v>392</v>
      </c>
      <c r="U137" s="12" t="n">
        <v>706</v>
      </c>
      <c r="V137" s="12" t="n">
        <v>569</v>
      </c>
      <c r="W137" s="12" t="n">
        <v>-139</v>
      </c>
      <c r="X137" s="12" t="n">
        <v>890</v>
      </c>
    </row>
    <row r="138">
      <c r="A138" s="9" t="inlineStr">
        <is>
          <t>지배주주 포괄이익</t>
        </is>
      </c>
      <c r="C138" s="12" t="n">
        <v>502</v>
      </c>
      <c r="D138" s="12" t="n">
        <v>569</v>
      </c>
      <c r="E138" s="12" t="n">
        <v>1244</v>
      </c>
      <c r="F138" s="12" t="n">
        <v>132</v>
      </c>
      <c r="G138" s="12" t="n">
        <v>427</v>
      </c>
      <c r="H138" s="12" t="n">
        <v>-139</v>
      </c>
      <c r="I138" s="12" t="n">
        <v>547</v>
      </c>
      <c r="J138" s="12" t="n">
        <v>553</v>
      </c>
      <c r="K138" s="12" t="n">
        <v>788</v>
      </c>
      <c r="L138" s="12" t="n">
        <v>890</v>
      </c>
      <c r="M138" s="12" t="n">
        <v>1514</v>
      </c>
      <c r="N138" s="12" t="n">
        <v>313</v>
      </c>
      <c r="T138" s="12" t="n">
        <v>392</v>
      </c>
      <c r="U138" s="12" t="n">
        <v>706</v>
      </c>
      <c r="V138" s="12" t="n">
        <v>569</v>
      </c>
      <c r="W138" s="12" t="n">
        <v>-139</v>
      </c>
      <c r="X138" s="12" t="n">
        <v>890</v>
      </c>
    </row>
    <row r="140">
      <c r="A140" s="16" t="inlineStr">
        <is>
          <t>부문 · 전 항목</t>
        </is>
      </c>
      <c r="B140" s="42" t="inlineStr">
        <is>
          <t>부문 · 항목</t>
        </is>
      </c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  <c r="AA140" s="16" t="n"/>
      <c r="AB140" s="16" t="n"/>
      <c r="AC140" s="16" t="n"/>
    </row>
    <row r="141">
      <c r="A141" s="5" t="inlineStr">
        <is>
          <t>항목</t>
        </is>
      </c>
      <c r="B141" s="5" t="inlineStr">
        <is>
          <t>참고</t>
        </is>
      </c>
      <c r="C141" s="5" t="inlineStr">
        <is>
          <t>2023.3Q</t>
        </is>
      </c>
      <c r="D141" s="5" t="inlineStr">
        <is>
          <t>2023.4Q</t>
        </is>
      </c>
      <c r="E141" s="5" t="inlineStr">
        <is>
          <t>2024.1Q</t>
        </is>
      </c>
      <c r="F141" s="5" t="inlineStr">
        <is>
          <t>2024.2Q</t>
        </is>
      </c>
      <c r="G141" s="5" t="inlineStr">
        <is>
          <t>2024.3Q</t>
        </is>
      </c>
      <c r="H141" s="5" t="inlineStr">
        <is>
          <t>2024.4Q</t>
        </is>
      </c>
      <c r="I141" s="5" t="inlineStr">
        <is>
          <t>2025.1Q</t>
        </is>
      </c>
      <c r="J141" s="5" t="inlineStr">
        <is>
          <t>2025.2Q</t>
        </is>
      </c>
      <c r="K141" s="5" t="inlineStr">
        <is>
          <t>2025.3Q</t>
        </is>
      </c>
      <c r="L141" s="5" t="inlineStr">
        <is>
          <t>2025.4Q</t>
        </is>
      </c>
      <c r="M141" s="5" t="inlineStr">
        <is>
          <t>2026.1Q</t>
        </is>
      </c>
      <c r="N141" s="5" t="inlineStr">
        <is>
          <t>2026.2Q</t>
        </is>
      </c>
      <c r="O141" s="5" t="inlineStr">
        <is>
          <t>2016</t>
        </is>
      </c>
      <c r="P141" s="5" t="inlineStr">
        <is>
          <t>2017</t>
        </is>
      </c>
      <c r="Q141" s="5" t="inlineStr">
        <is>
          <t>2018</t>
        </is>
      </c>
      <c r="R141" s="5" t="inlineStr">
        <is>
          <t>2019</t>
        </is>
      </c>
      <c r="S141" s="5" t="inlineStr">
        <is>
          <t>2020</t>
        </is>
      </c>
      <c r="T141" s="5" t="inlineStr">
        <is>
          <t>2021</t>
        </is>
      </c>
      <c r="U141" s="5" t="inlineStr">
        <is>
          <t>2022</t>
        </is>
      </c>
      <c r="V141" s="5" t="inlineStr">
        <is>
          <t>2023</t>
        </is>
      </c>
      <c r="W141" s="5" t="inlineStr">
        <is>
          <t>2024</t>
        </is>
      </c>
      <c r="X141" s="5" t="inlineStr">
        <is>
          <t>2025</t>
        </is>
      </c>
      <c r="Y141" s="5" t="inlineStr">
        <is>
          <t>2026(MW)</t>
        </is>
      </c>
      <c r="Z141" s="5" t="inlineStr">
        <is>
          <t>2027(MW)</t>
        </is>
      </c>
      <c r="AA141" s="5" t="inlineStr">
        <is>
          <t>2028(MW)</t>
        </is>
      </c>
      <c r="AB141" s="5" t="inlineStr">
        <is>
          <t>2029(MW)</t>
        </is>
      </c>
      <c r="AC141" s="5" t="inlineStr">
        <is>
          <t>2030(MW)</t>
        </is>
      </c>
    </row>
    <row r="142">
      <c r="A142" s="18" t="inlineStr">
        <is>
          <t>ElectricSystemReportableSegmentsMember · 외부 고객 매출</t>
        </is>
      </c>
      <c r="C142" s="20" t="n">
        <v>1573</v>
      </c>
      <c r="G142" s="20" t="n">
        <v>1549</v>
      </c>
      <c r="K142" s="20" t="n">
        <v>1811</v>
      </c>
    </row>
    <row r="143">
      <c r="A143" s="18" t="inlineStr">
        <is>
          <t>EcologicalEnergySystemReportableSegmentsMember · 외부 고객 매출</t>
        </is>
      </c>
      <c r="C143" s="20" t="n">
        <v>2496</v>
      </c>
      <c r="G143" s="20" t="n">
        <v>2853</v>
      </c>
      <c r="K143" s="20" t="n">
        <v>2565</v>
      </c>
    </row>
    <row r="144">
      <c r="A144" s="18" t="inlineStr">
        <is>
          <t>InformationSystemReportableSegmentsMember · 외부 고객 매출</t>
        </is>
      </c>
      <c r="C144" s="20" t="n">
        <v>344</v>
      </c>
      <c r="G144" s="20" t="n">
        <v>428</v>
      </c>
      <c r="K144" s="20" t="n">
        <v>407</v>
      </c>
    </row>
    <row r="145">
      <c r="A145" s="18" t="inlineStr">
        <is>
          <t>ServicesAndEngineeringBusinessUnitReportableSegmentMember · 외부 고객 매출</t>
        </is>
      </c>
      <c r="C145" s="20" t="n">
        <v>1162</v>
      </c>
      <c r="E145" s="20" t="n">
        <v>1336</v>
      </c>
      <c r="F145" s="20" t="n">
        <v>956</v>
      </c>
      <c r="G145" s="20" t="n">
        <v>680</v>
      </c>
      <c r="H145" s="20" t="n">
        <v>1981</v>
      </c>
      <c r="I145" s="20" t="n">
        <v>1394</v>
      </c>
      <c r="J145" s="20" t="n">
        <v>705</v>
      </c>
      <c r="K145" s="20" t="n">
        <v>961</v>
      </c>
      <c r="L145" s="20" t="n">
        <v>3081</v>
      </c>
      <c r="M145" s="20" t="n">
        <v>2138</v>
      </c>
      <c r="N145" s="20" t="n">
        <v>1995</v>
      </c>
      <c r="W145" s="20" t="n">
        <v>1981</v>
      </c>
      <c r="X145" s="20" t="n">
        <v>3081</v>
      </c>
    </row>
    <row r="146">
      <c r="A146" s="18" t="inlineStr">
        <is>
          <t>보고부문 합계 · 외부 고객 매출</t>
        </is>
      </c>
      <c r="C146" s="20" t="n">
        <v>5575</v>
      </c>
      <c r="E146" s="20" t="n">
        <v>7172</v>
      </c>
      <c r="F146" s="20" t="n">
        <v>5762</v>
      </c>
      <c r="G146" s="20" t="n">
        <v>5508</v>
      </c>
      <c r="H146" s="20" t="n">
        <v>8243</v>
      </c>
      <c r="I146" s="20" t="n">
        <v>7839</v>
      </c>
      <c r="J146" s="20" t="n">
        <v>5391</v>
      </c>
      <c r="K146" s="20" t="n">
        <v>5744</v>
      </c>
      <c r="L146" s="20" t="n">
        <v>9979</v>
      </c>
      <c r="M146" s="20" t="n">
        <v>8942</v>
      </c>
      <c r="N146" s="20" t="n">
        <v>6932</v>
      </c>
      <c r="W146" s="20" t="n">
        <v>8243</v>
      </c>
      <c r="X146" s="20" t="n">
        <v>9979</v>
      </c>
    </row>
    <row r="147">
      <c r="A147" s="18" t="inlineStr">
        <is>
          <t>기타 · 외부 고객 매출</t>
        </is>
      </c>
      <c r="C147" s="20" t="n">
        <v>472</v>
      </c>
      <c r="E147" s="20" t="n">
        <v>664</v>
      </c>
      <c r="F147" s="20" t="n">
        <v>639</v>
      </c>
      <c r="G147" s="20" t="n">
        <v>521</v>
      </c>
      <c r="H147" s="20" t="n">
        <v>589</v>
      </c>
      <c r="I147" s="20" t="n">
        <v>665</v>
      </c>
      <c r="J147" s="20" t="n">
        <v>520</v>
      </c>
      <c r="K147" s="20" t="n">
        <v>644</v>
      </c>
      <c r="L147" s="20" t="n">
        <v>597</v>
      </c>
      <c r="M147" s="20" t="n">
        <v>631</v>
      </c>
      <c r="N147" s="20" t="n">
        <v>599</v>
      </c>
      <c r="W147" s="20" t="n">
        <v>589</v>
      </c>
      <c r="X147" s="20" t="n">
        <v>597</v>
      </c>
    </row>
    <row r="148">
      <c r="A148" s="18" t="inlineStr">
        <is>
          <t>합계 · 외부 고객 매출</t>
        </is>
      </c>
      <c r="C148" s="20" t="n">
        <v>6047</v>
      </c>
      <c r="E148" s="20" t="n">
        <v>7836</v>
      </c>
      <c r="F148" s="20" t="n">
        <v>6401</v>
      </c>
      <c r="G148" s="20" t="n">
        <v>6029</v>
      </c>
      <c r="H148" s="20" t="n">
        <v>8833</v>
      </c>
      <c r="I148" s="20" t="n">
        <v>8504</v>
      </c>
      <c r="J148" s="20" t="n">
        <v>5911</v>
      </c>
      <c r="K148" s="20" t="n">
        <v>6388</v>
      </c>
      <c r="L148" s="20" t="n">
        <v>10577</v>
      </c>
      <c r="M148" s="20" t="n">
        <v>9574</v>
      </c>
      <c r="N148" s="20" t="n">
        <v>7530</v>
      </c>
      <c r="W148" s="20" t="n">
        <v>8833</v>
      </c>
      <c r="X148" s="20" t="n">
        <v>10577</v>
      </c>
    </row>
    <row r="149">
      <c r="A149" s="18" t="inlineStr">
        <is>
          <t>조정액 · 외부 고객 매출</t>
        </is>
      </c>
      <c r="C149" s="20" t="n">
        <v>0</v>
      </c>
      <c r="E149" s="20" t="n">
        <v>0</v>
      </c>
      <c r="F149" s="20" t="n">
        <v>0</v>
      </c>
      <c r="G149" s="20" t="n">
        <v>0</v>
      </c>
      <c r="H149" s="20" t="n">
        <v>0</v>
      </c>
      <c r="I149" s="20" t="n">
        <v>0</v>
      </c>
      <c r="J149" s="20" t="n">
        <v>0</v>
      </c>
      <c r="K149" s="20" t="n">
        <v>0</v>
      </c>
      <c r="L149" s="20" t="n">
        <v>0</v>
      </c>
      <c r="M149" s="20" t="n">
        <v>0</v>
      </c>
      <c r="N149" s="20" t="n">
        <v>0</v>
      </c>
      <c r="W149" s="20" t="n">
        <v>0</v>
      </c>
      <c r="X149" s="20" t="n">
        <v>0</v>
      </c>
    </row>
    <row r="150">
      <c r="A150" s="18" t="inlineStr">
        <is>
          <t>EntityTotalMember · 외부 고객 매출</t>
        </is>
      </c>
      <c r="I150" s="20" t="n">
        <v>8504</v>
      </c>
      <c r="M150" s="20" t="n">
        <v>9574</v>
      </c>
    </row>
    <row r="151">
      <c r="A151" s="18" t="inlineStr">
        <is>
          <t>PowerSystemsBusinessUnitReportableSegmentsMember · 부문 간 내부매출·대체</t>
        </is>
      </c>
      <c r="E151" s="20" t="n">
        <v>0</v>
      </c>
      <c r="I151" s="20" t="n">
        <v>0</v>
      </c>
      <c r="M151" s="20" t="n">
        <v>0</v>
      </c>
    </row>
    <row r="152">
      <c r="A152" s="18" t="inlineStr">
        <is>
          <t>EnvironmentalEnergyAndControlSystemsBusinessUnitReportableSegmentsMember · 부문 간 내부매출·대체</t>
        </is>
      </c>
      <c r="E152" s="20" t="n">
        <v>5</v>
      </c>
      <c r="I152" s="20" t="n">
        <v>5</v>
      </c>
      <c r="M152" s="20" t="n">
        <v>8</v>
      </c>
    </row>
    <row r="153">
      <c r="A153" s="18" t="inlineStr">
        <is>
          <t>ITSystemSolutionsBusinessUnitReportableSegmentsMember · 부문 간 내부매출·대체</t>
        </is>
      </c>
      <c r="E153" s="20" t="n">
        <v>143</v>
      </c>
      <c r="I153" s="20" t="n">
        <v>121</v>
      </c>
      <c r="M153" s="20" t="n">
        <v>110</v>
      </c>
    </row>
    <row r="154">
      <c r="A154" s="9" t="inlineStr">
        <is>
          <t>외부 고객 매출</t>
        </is>
      </c>
      <c r="C154" s="12" t="n">
        <v>6047</v>
      </c>
      <c r="E154" s="12" t="n">
        <v>7836</v>
      </c>
      <c r="F154" s="12" t="n">
        <v>6401</v>
      </c>
      <c r="G154" s="12" t="n">
        <v>6029</v>
      </c>
      <c r="H154" s="12" t="n">
        <v>8833</v>
      </c>
      <c r="I154" s="12" t="n">
        <v>8504</v>
      </c>
      <c r="J154" s="12" t="n">
        <v>5911</v>
      </c>
      <c r="K154" s="12" t="n">
        <v>6388</v>
      </c>
      <c r="L154" s="12" t="n">
        <v>10577</v>
      </c>
      <c r="W154" s="12" t="n">
        <v>8833</v>
      </c>
      <c r="X154" s="12" t="n">
        <v>10577</v>
      </c>
    </row>
    <row r="155">
      <c r="A155" s="18" t="inlineStr">
        <is>
          <t>ElectricSystemReportableSegmentsMember · 부문 간 내부매출·대체</t>
        </is>
      </c>
      <c r="C155" s="20" t="n">
        <v>0</v>
      </c>
      <c r="G155" s="20" t="n">
        <v>0</v>
      </c>
      <c r="K155" s="20" t="n">
        <v>1</v>
      </c>
    </row>
    <row r="156">
      <c r="A156" s="18" t="inlineStr">
        <is>
          <t>EcologicalEnergySystemReportableSegmentsMember · 부문 간 내부매출·대체</t>
        </is>
      </c>
      <c r="C156" s="20" t="n">
        <v>8</v>
      </c>
      <c r="G156" s="20" t="n">
        <v>33</v>
      </c>
      <c r="K156" s="20" t="n">
        <v>3</v>
      </c>
    </row>
    <row r="157">
      <c r="A157" s="18" t="inlineStr">
        <is>
          <t>InformationSystemReportableSegmentsMember · 부문 간 내부매출·대체</t>
        </is>
      </c>
      <c r="C157" s="20" t="n">
        <v>76</v>
      </c>
      <c r="G157" s="20" t="n">
        <v>91</v>
      </c>
      <c r="K157" s="20" t="n">
        <v>85</v>
      </c>
    </row>
    <row r="158">
      <c r="A158" s="18" t="inlineStr">
        <is>
          <t>ServicesAndEngineeringBusinessUnitReportableSegmentMember · 부문 간 내부매출·대체</t>
        </is>
      </c>
      <c r="C158" s="20" t="n">
        <v>138</v>
      </c>
      <c r="E158" s="20" t="n">
        <v>121</v>
      </c>
      <c r="F158" s="20" t="n">
        <v>139</v>
      </c>
      <c r="G158" s="20" t="n">
        <v>189</v>
      </c>
      <c r="H158" s="20" t="n">
        <v>193</v>
      </c>
      <c r="I158" s="20" t="n">
        <v>156</v>
      </c>
      <c r="J158" s="20" t="n">
        <v>128</v>
      </c>
      <c r="K158" s="20" t="n">
        <v>259</v>
      </c>
      <c r="L158" s="20" t="n">
        <v>184</v>
      </c>
      <c r="M158" s="20" t="n">
        <v>121</v>
      </c>
      <c r="N158" s="20" t="n">
        <v>97</v>
      </c>
      <c r="W158" s="20" t="n">
        <v>193</v>
      </c>
      <c r="X158" s="20" t="n">
        <v>184</v>
      </c>
    </row>
    <row r="159">
      <c r="A159" s="18" t="inlineStr">
        <is>
          <t>보고부문 합계 · 부문 간 내부매출·대체</t>
        </is>
      </c>
      <c r="C159" s="20" t="n">
        <v>223</v>
      </c>
      <c r="E159" s="20" t="n">
        <v>270</v>
      </c>
      <c r="F159" s="20" t="n">
        <v>246</v>
      </c>
      <c r="G159" s="20" t="n">
        <v>314</v>
      </c>
      <c r="H159" s="20" t="n">
        <v>385</v>
      </c>
      <c r="I159" s="20" t="n">
        <v>282</v>
      </c>
      <c r="J159" s="20" t="n">
        <v>261</v>
      </c>
      <c r="K159" s="20" t="n">
        <v>349</v>
      </c>
      <c r="L159" s="20" t="n">
        <v>341</v>
      </c>
      <c r="M159" s="20" t="n">
        <v>239</v>
      </c>
      <c r="N159" s="20" t="n">
        <v>226</v>
      </c>
      <c r="W159" s="20" t="n">
        <v>385</v>
      </c>
      <c r="X159" s="20" t="n">
        <v>341</v>
      </c>
    </row>
    <row r="160">
      <c r="A160" s="18" t="inlineStr">
        <is>
          <t>기타 · 부문 간 내부매출·대체</t>
        </is>
      </c>
      <c r="C160" s="20" t="n">
        <v>91</v>
      </c>
      <c r="E160" s="20" t="n">
        <v>168</v>
      </c>
      <c r="F160" s="20" t="n">
        <v>142</v>
      </c>
      <c r="G160" s="20" t="n">
        <v>113</v>
      </c>
      <c r="H160" s="20" t="n">
        <v>103</v>
      </c>
      <c r="I160" s="20" t="n">
        <v>105</v>
      </c>
      <c r="J160" s="20" t="n">
        <v>94</v>
      </c>
      <c r="K160" s="20" t="n">
        <v>84</v>
      </c>
      <c r="L160" s="20" t="n">
        <v>130</v>
      </c>
      <c r="M160" s="20" t="n">
        <v>74</v>
      </c>
      <c r="N160" s="20" t="n">
        <v>63</v>
      </c>
      <c r="W160" s="20" t="n">
        <v>103</v>
      </c>
      <c r="X160" s="20" t="n">
        <v>130</v>
      </c>
    </row>
    <row r="161">
      <c r="A161" s="18" t="inlineStr">
        <is>
          <t>합계 · 부문 간 내부매출·대체</t>
        </is>
      </c>
      <c r="C161" s="20" t="n">
        <v>313</v>
      </c>
      <c r="E161" s="20" t="n">
        <v>439</v>
      </c>
      <c r="F161" s="20" t="n">
        <v>387</v>
      </c>
      <c r="G161" s="20" t="n">
        <v>427</v>
      </c>
      <c r="H161" s="20" t="n">
        <v>489</v>
      </c>
      <c r="I161" s="20" t="n">
        <v>388</v>
      </c>
      <c r="J161" s="20" t="n">
        <v>354</v>
      </c>
      <c r="K161" s="20" t="n">
        <v>433</v>
      </c>
      <c r="L161" s="20" t="n">
        <v>472</v>
      </c>
      <c r="M161" s="20" t="n">
        <v>314</v>
      </c>
      <c r="N161" s="20" t="n">
        <v>289</v>
      </c>
      <c r="W161" s="20" t="n">
        <v>489</v>
      </c>
      <c r="X161" s="20" t="n">
        <v>472</v>
      </c>
    </row>
    <row r="162">
      <c r="A162" s="18" t="inlineStr">
        <is>
          <t>조정액 · 부문 간 내부매출·대체</t>
        </is>
      </c>
      <c r="C162" s="20" t="n">
        <v>-313</v>
      </c>
      <c r="E162" s="20" t="n">
        <v>-439</v>
      </c>
      <c r="F162" s="20" t="n">
        <v>-387</v>
      </c>
      <c r="G162" s="20" t="n">
        <v>-427</v>
      </c>
      <c r="H162" s="20" t="n">
        <v>-489</v>
      </c>
      <c r="I162" s="20" t="n">
        <v>-388</v>
      </c>
      <c r="J162" s="20" t="n">
        <v>-354</v>
      </c>
      <c r="K162" s="20" t="n">
        <v>-433</v>
      </c>
      <c r="L162" s="20" t="n">
        <v>-472</v>
      </c>
      <c r="M162" s="20" t="n">
        <v>-314</v>
      </c>
      <c r="N162" s="20" t="n">
        <v>-289</v>
      </c>
      <c r="W162" s="20" t="n">
        <v>-489</v>
      </c>
      <c r="X162" s="20" t="n">
        <v>-472</v>
      </c>
    </row>
    <row r="163">
      <c r="A163" s="18" t="inlineStr">
        <is>
          <t>EntityTotalMember · 부문 간 내부매출·대체</t>
        </is>
      </c>
      <c r="I163" s="20" t="n">
        <v>0</v>
      </c>
      <c r="M163" s="20" t="n">
        <v>0</v>
      </c>
    </row>
    <row r="164">
      <c r="A164" s="18" t="inlineStr">
        <is>
          <t>PowerSystemsBusinessUnitReportableSegmentsMember · 계</t>
        </is>
      </c>
      <c r="E164" s="20" t="n">
        <v>2460</v>
      </c>
      <c r="I164" s="20" t="n">
        <v>2502</v>
      </c>
      <c r="M164" s="20" t="n">
        <v>2434</v>
      </c>
    </row>
    <row r="165">
      <c r="A165" s="18" t="inlineStr">
        <is>
          <t>EnvironmentalEnergyAndControlSystemsBusinessUnitReportableSegmentsMember · 계</t>
        </is>
      </c>
      <c r="E165" s="20" t="n">
        <v>2950</v>
      </c>
      <c r="I165" s="20" t="n">
        <v>3561</v>
      </c>
      <c r="M165" s="20" t="n">
        <v>3937</v>
      </c>
    </row>
    <row r="166">
      <c r="A166" s="18" t="inlineStr">
        <is>
          <t>ITSystemSolutionsBusinessUnitReportableSegmentsMember · 계</t>
        </is>
      </c>
      <c r="E166" s="20" t="n">
        <v>574</v>
      </c>
      <c r="I166" s="20" t="n">
        <v>508</v>
      </c>
      <c r="M166" s="20" t="n">
        <v>550</v>
      </c>
    </row>
    <row r="167">
      <c r="A167" s="18" t="inlineStr">
        <is>
          <t>부문 간 내부매출·대체</t>
        </is>
      </c>
      <c r="C167" s="20" t="n">
        <v>0</v>
      </c>
      <c r="E167" s="20" t="n">
        <v>0</v>
      </c>
      <c r="F167" s="20" t="n">
        <v>0</v>
      </c>
      <c r="G167" s="20" t="n">
        <v>0</v>
      </c>
      <c r="H167" s="20" t="n">
        <v>0</v>
      </c>
      <c r="I167" s="20" t="n">
        <v>0</v>
      </c>
      <c r="J167" s="20" t="n">
        <v>0</v>
      </c>
      <c r="K167" s="20" t="n">
        <v>0</v>
      </c>
      <c r="L167" s="20" t="n">
        <v>0</v>
      </c>
      <c r="W167" s="20" t="n">
        <v>0</v>
      </c>
      <c r="X167" s="20" t="n">
        <v>0</v>
      </c>
    </row>
    <row r="168">
      <c r="A168" s="18" t="inlineStr">
        <is>
          <t>ElectricSystemReportableSegmentsMember · 계</t>
        </is>
      </c>
      <c r="C168" s="20" t="n">
        <v>1573</v>
      </c>
      <c r="G168" s="20" t="n">
        <v>1549</v>
      </c>
      <c r="K168" s="20" t="n">
        <v>1811</v>
      </c>
    </row>
    <row r="169">
      <c r="A169" s="18" t="inlineStr">
        <is>
          <t>EcologicalEnergySystemReportableSegmentsMember · 계</t>
        </is>
      </c>
      <c r="C169" s="20" t="n">
        <v>2503</v>
      </c>
      <c r="G169" s="20" t="n">
        <v>2886</v>
      </c>
      <c r="K169" s="20" t="n">
        <v>2568</v>
      </c>
    </row>
    <row r="170">
      <c r="A170" s="18" t="inlineStr">
        <is>
          <t>InformationSystemReportableSegmentsMember · 계</t>
        </is>
      </c>
      <c r="C170" s="20" t="n">
        <v>420</v>
      </c>
      <c r="G170" s="20" t="n">
        <v>519</v>
      </c>
      <c r="K170" s="20" t="n">
        <v>493</v>
      </c>
    </row>
    <row r="171">
      <c r="A171" s="18" t="inlineStr">
        <is>
          <t>ServicesAndEngineeringBusinessUnitReportableSegmentMember · 계</t>
        </is>
      </c>
      <c r="C171" s="20" t="n">
        <v>1301</v>
      </c>
      <c r="E171" s="20" t="n">
        <v>1457</v>
      </c>
      <c r="F171" s="20" t="n">
        <v>1095</v>
      </c>
      <c r="G171" s="20" t="n">
        <v>870</v>
      </c>
      <c r="H171" s="20" t="n">
        <v>2173</v>
      </c>
      <c r="I171" s="20" t="n">
        <v>1550</v>
      </c>
      <c r="J171" s="20" t="n">
        <v>833</v>
      </c>
      <c r="K171" s="20" t="n">
        <v>1221</v>
      </c>
      <c r="L171" s="20" t="n">
        <v>3264</v>
      </c>
      <c r="M171" s="20" t="n">
        <v>2259</v>
      </c>
      <c r="N171" s="20" t="n">
        <v>2093</v>
      </c>
      <c r="W171" s="20" t="n">
        <v>2173</v>
      </c>
      <c r="X171" s="20" t="n">
        <v>3264</v>
      </c>
    </row>
    <row r="172">
      <c r="A172" s="18" t="inlineStr">
        <is>
          <t>보고부문 합계 · 계</t>
        </is>
      </c>
      <c r="C172" s="20" t="n">
        <v>5797</v>
      </c>
      <c r="E172" s="20" t="n">
        <v>7442</v>
      </c>
      <c r="F172" s="20" t="n">
        <v>6008</v>
      </c>
      <c r="G172" s="20" t="n">
        <v>5822</v>
      </c>
      <c r="H172" s="20" t="n">
        <v>8629</v>
      </c>
      <c r="I172" s="20" t="n">
        <v>8121</v>
      </c>
      <c r="J172" s="20" t="n">
        <v>5653</v>
      </c>
      <c r="K172" s="20" t="n">
        <v>6092</v>
      </c>
      <c r="L172" s="20" t="n">
        <v>10321</v>
      </c>
      <c r="M172" s="20" t="n">
        <v>9181</v>
      </c>
      <c r="N172" s="20" t="n">
        <v>7158</v>
      </c>
      <c r="W172" s="20" t="n">
        <v>8629</v>
      </c>
      <c r="X172" s="20" t="n">
        <v>10321</v>
      </c>
    </row>
    <row r="173">
      <c r="A173" s="18" t="inlineStr">
        <is>
          <t>기타 · 계</t>
        </is>
      </c>
      <c r="C173" s="20" t="n">
        <v>562</v>
      </c>
      <c r="E173" s="20" t="n">
        <v>833</v>
      </c>
      <c r="F173" s="20" t="n">
        <v>780</v>
      </c>
      <c r="G173" s="20" t="n">
        <v>634</v>
      </c>
      <c r="H173" s="20" t="n">
        <v>693</v>
      </c>
      <c r="I173" s="20" t="n">
        <v>771</v>
      </c>
      <c r="J173" s="20" t="n">
        <v>613</v>
      </c>
      <c r="K173" s="20" t="n">
        <v>728</v>
      </c>
      <c r="L173" s="20" t="n">
        <v>728</v>
      </c>
      <c r="M173" s="20" t="n">
        <v>706</v>
      </c>
      <c r="N173" s="20" t="n">
        <v>661</v>
      </c>
      <c r="W173" s="20" t="n">
        <v>693</v>
      </c>
      <c r="X173" s="20" t="n">
        <v>728</v>
      </c>
    </row>
    <row r="174">
      <c r="A174" s="18" t="inlineStr">
        <is>
          <t>합계 · 계</t>
        </is>
      </c>
      <c r="C174" s="20" t="n">
        <v>6360</v>
      </c>
      <c r="E174" s="20" t="n">
        <v>8276</v>
      </c>
      <c r="F174" s="20" t="n">
        <v>6787</v>
      </c>
      <c r="G174" s="20" t="n">
        <v>6457</v>
      </c>
      <c r="H174" s="20" t="n">
        <v>9321</v>
      </c>
      <c r="I174" s="20" t="n">
        <v>8893</v>
      </c>
      <c r="J174" s="20" t="n">
        <v>6265</v>
      </c>
      <c r="K174" s="20" t="n">
        <v>6821</v>
      </c>
      <c r="L174" s="20" t="n">
        <v>11049</v>
      </c>
      <c r="M174" s="20" t="n">
        <v>9888</v>
      </c>
      <c r="N174" s="20" t="n">
        <v>7819</v>
      </c>
      <c r="W174" s="20" t="n">
        <v>9321</v>
      </c>
      <c r="X174" s="20" t="n">
        <v>11049</v>
      </c>
    </row>
    <row r="175">
      <c r="A175" s="18" t="inlineStr">
        <is>
          <t>조정액 · 계</t>
        </is>
      </c>
      <c r="C175" s="20" t="n">
        <v>-313</v>
      </c>
      <c r="E175" s="20" t="n">
        <v>-439</v>
      </c>
      <c r="F175" s="20" t="n">
        <v>-387</v>
      </c>
      <c r="G175" s="20" t="n">
        <v>-427</v>
      </c>
      <c r="H175" s="20" t="n">
        <v>-489</v>
      </c>
      <c r="I175" s="20" t="n">
        <v>-388</v>
      </c>
      <c r="J175" s="20" t="n">
        <v>-354</v>
      </c>
      <c r="K175" s="20" t="n">
        <v>-433</v>
      </c>
      <c r="L175" s="20" t="n">
        <v>-472</v>
      </c>
      <c r="M175" s="20" t="n">
        <v>-314</v>
      </c>
      <c r="N175" s="20" t="n">
        <v>-289</v>
      </c>
      <c r="W175" s="20" t="n">
        <v>-489</v>
      </c>
      <c r="X175" s="20" t="n">
        <v>-472</v>
      </c>
    </row>
    <row r="176">
      <c r="A176" s="18" t="inlineStr">
        <is>
          <t>EntityTotalMember · 계</t>
        </is>
      </c>
      <c r="I176" s="20" t="n">
        <v>8504</v>
      </c>
      <c r="M176" s="20" t="n">
        <v>9574</v>
      </c>
    </row>
    <row r="177">
      <c r="A177" s="18" t="inlineStr">
        <is>
          <t>PowerSystemsBusinessUnitReportableSegmentsMember · 부문 이익</t>
        </is>
      </c>
      <c r="E177" s="20" t="n">
        <v>468</v>
      </c>
      <c r="I177" s="20" t="n">
        <v>562</v>
      </c>
      <c r="M177" s="20" t="n">
        <v>479</v>
      </c>
    </row>
    <row r="178">
      <c r="A178" s="18" t="inlineStr">
        <is>
          <t>EnvironmentalEnergyAndControlSystemsBusinessUnitReportableSegmentsMember · 부문 이익</t>
        </is>
      </c>
      <c r="E178" s="20" t="n">
        <v>100</v>
      </c>
      <c r="I178" s="20" t="n">
        <v>309</v>
      </c>
      <c r="M178" s="20" t="n">
        <v>652</v>
      </c>
    </row>
    <row r="179">
      <c r="A179" s="18" t="inlineStr">
        <is>
          <t>ITSystemSolutionsBusinessUnitReportableSegmentsMember · 부문 이익</t>
        </is>
      </c>
      <c r="E179" s="20" t="n">
        <v>60</v>
      </c>
      <c r="I179" s="20" t="n">
        <v>54</v>
      </c>
      <c r="M179" s="20" t="n">
        <v>11</v>
      </c>
    </row>
    <row r="180">
      <c r="A180" s="9" t="inlineStr">
        <is>
          <t>계</t>
        </is>
      </c>
      <c r="C180" s="12" t="n">
        <v>6047</v>
      </c>
      <c r="E180" s="12" t="n">
        <v>7836</v>
      </c>
      <c r="F180" s="12" t="n">
        <v>6401</v>
      </c>
      <c r="G180" s="12" t="n">
        <v>6029</v>
      </c>
      <c r="H180" s="12" t="n">
        <v>8833</v>
      </c>
      <c r="I180" s="12" t="n">
        <v>8504</v>
      </c>
      <c r="J180" s="12" t="n">
        <v>5911</v>
      </c>
      <c r="K180" s="12" t="n">
        <v>6388</v>
      </c>
      <c r="L180" s="12" t="n">
        <v>10577</v>
      </c>
      <c r="W180" s="12" t="n">
        <v>8833</v>
      </c>
      <c r="X180" s="12" t="n">
        <v>10577</v>
      </c>
    </row>
    <row r="181">
      <c r="A181" s="18" t="inlineStr">
        <is>
          <t>ElectricSystemReportableSegmentsMember · 부문 이익</t>
        </is>
      </c>
      <c r="C181" s="20" t="n">
        <v>109</v>
      </c>
      <c r="G181" s="20" t="n">
        <v>167</v>
      </c>
      <c r="K181" s="20" t="n">
        <v>195</v>
      </c>
    </row>
    <row r="182">
      <c r="A182" s="18" t="inlineStr">
        <is>
          <t>EcologicalEnergySystemReportableSegmentsMember · 부문 이익</t>
        </is>
      </c>
      <c r="C182" s="20" t="n">
        <v>-96</v>
      </c>
      <c r="G182" s="20" t="n">
        <v>19</v>
      </c>
      <c r="K182" s="20" t="n">
        <v>88</v>
      </c>
    </row>
    <row r="183">
      <c r="A183" s="18" t="inlineStr">
        <is>
          <t>InformationSystemReportableSegmentsMember · 부문 이익</t>
        </is>
      </c>
      <c r="C183" s="20" t="n">
        <v>34</v>
      </c>
      <c r="G183" s="20" t="n">
        <v>61</v>
      </c>
      <c r="K183" s="20" t="n">
        <v>20</v>
      </c>
    </row>
    <row r="184">
      <c r="A184" s="18" t="inlineStr">
        <is>
          <t>ServicesAndEngineeringBusinessUnitReportableSegmentMember · 부문 이익</t>
        </is>
      </c>
      <c r="C184" s="20" t="n">
        <v>-2</v>
      </c>
      <c r="E184" s="20" t="n">
        <v>26</v>
      </c>
      <c r="F184" s="20" t="n">
        <v>-4</v>
      </c>
      <c r="G184" s="20" t="n">
        <v>12</v>
      </c>
      <c r="H184" s="20" t="n">
        <v>29</v>
      </c>
      <c r="I184" s="20" t="n">
        <v>36</v>
      </c>
      <c r="J184" s="20" t="n">
        <v>8</v>
      </c>
      <c r="K184" s="20" t="n">
        <v>49</v>
      </c>
      <c r="L184" s="20" t="n">
        <v>42</v>
      </c>
      <c r="M184" s="20" t="n">
        <v>46</v>
      </c>
      <c r="N184" s="20" t="n">
        <v>31</v>
      </c>
      <c r="W184" s="20" t="n">
        <v>29</v>
      </c>
      <c r="X184" s="20" t="n">
        <v>42</v>
      </c>
    </row>
    <row r="185">
      <c r="A185" s="18" t="inlineStr">
        <is>
          <t>보고부문 합계 · 부문 이익</t>
        </is>
      </c>
      <c r="C185" s="20" t="n">
        <v>46</v>
      </c>
      <c r="E185" s="20" t="n">
        <v>655</v>
      </c>
      <c r="F185" s="20" t="n">
        <v>151</v>
      </c>
      <c r="G185" s="20" t="n">
        <v>258</v>
      </c>
      <c r="H185" s="20" t="n">
        <v>613</v>
      </c>
      <c r="I185" s="20" t="n">
        <v>962</v>
      </c>
      <c r="J185" s="20" t="n">
        <v>187</v>
      </c>
      <c r="K185" s="20" t="n">
        <v>353</v>
      </c>
      <c r="L185" s="20" t="n">
        <v>724</v>
      </c>
      <c r="M185" s="20" t="n">
        <v>1190</v>
      </c>
      <c r="N185" s="20" t="n">
        <v>321</v>
      </c>
      <c r="W185" s="20" t="n">
        <v>613</v>
      </c>
      <c r="X185" s="20" t="n">
        <v>724</v>
      </c>
    </row>
    <row r="186">
      <c r="A186" s="18" t="inlineStr">
        <is>
          <t>기타 · 부문 이익</t>
        </is>
      </c>
      <c r="C186" s="20" t="n">
        <v>173</v>
      </c>
      <c r="E186" s="20" t="n">
        <v>115</v>
      </c>
      <c r="F186" s="20" t="n">
        <v>91</v>
      </c>
      <c r="G186" s="20" t="n">
        <v>74</v>
      </c>
      <c r="H186" s="20" t="n">
        <v>59</v>
      </c>
      <c r="I186" s="20" t="n">
        <v>138</v>
      </c>
      <c r="J186" s="20" t="n">
        <v>51</v>
      </c>
      <c r="K186" s="20" t="n">
        <v>102</v>
      </c>
      <c r="L186" s="20" t="n">
        <v>97</v>
      </c>
      <c r="M186" s="20" t="n">
        <v>90</v>
      </c>
      <c r="N186" s="20" t="n">
        <v>79</v>
      </c>
      <c r="W186" s="20" t="n">
        <v>59</v>
      </c>
      <c r="X186" s="20" t="n">
        <v>97</v>
      </c>
    </row>
    <row r="187">
      <c r="A187" s="18" t="inlineStr">
        <is>
          <t>합계 · 부문 이익</t>
        </is>
      </c>
      <c r="C187" s="20" t="n">
        <v>220</v>
      </c>
      <c r="E187" s="20" t="n">
        <v>770</v>
      </c>
      <c r="F187" s="20" t="n">
        <v>243</v>
      </c>
      <c r="G187" s="20" t="n">
        <v>332</v>
      </c>
      <c r="H187" s="20" t="n">
        <v>671</v>
      </c>
      <c r="I187" s="20" t="n">
        <v>1101</v>
      </c>
      <c r="J187" s="20" t="n">
        <v>237</v>
      </c>
      <c r="K187" s="20" t="n">
        <v>456</v>
      </c>
      <c r="L187" s="20" t="n">
        <v>821</v>
      </c>
      <c r="M187" s="20" t="n">
        <v>1280</v>
      </c>
      <c r="N187" s="20" t="n">
        <v>400</v>
      </c>
      <c r="W187" s="20" t="n">
        <v>671</v>
      </c>
      <c r="X187" s="20" t="n">
        <v>821</v>
      </c>
    </row>
    <row r="188">
      <c r="A188" s="18" t="inlineStr">
        <is>
          <t>조정액 · 부문 이익</t>
        </is>
      </c>
      <c r="C188" s="20" t="n">
        <v>0</v>
      </c>
      <c r="E188" s="20" t="n">
        <v>0</v>
      </c>
      <c r="F188" s="20" t="n">
        <v>0</v>
      </c>
      <c r="G188" s="20" t="n">
        <v>0</v>
      </c>
      <c r="H188" s="20" t="n">
        <v>0</v>
      </c>
      <c r="I188" s="20" t="n">
        <v>0</v>
      </c>
      <c r="J188" s="20" t="n">
        <v>0</v>
      </c>
      <c r="K188" s="20" t="n">
        <v>0</v>
      </c>
      <c r="L188" s="20" t="n">
        <v>0</v>
      </c>
      <c r="M188" s="20" t="n">
        <v>0</v>
      </c>
      <c r="N188" s="20" t="n">
        <v>0</v>
      </c>
      <c r="W188" s="20" t="n">
        <v>0</v>
      </c>
      <c r="X188" s="20" t="n">
        <v>0</v>
      </c>
    </row>
    <row r="189">
      <c r="A189" s="18" t="inlineStr">
        <is>
          <t>EntityTotalMember · 부문 이익</t>
        </is>
      </c>
      <c r="I189" s="20" t="n">
        <v>1101</v>
      </c>
      <c r="M189" s="20" t="n">
        <v>1280</v>
      </c>
    </row>
    <row r="190">
      <c r="A190" s="9" t="inlineStr">
        <is>
          <t>부문 이익</t>
        </is>
      </c>
      <c r="C190" s="12" t="n">
        <v>220</v>
      </c>
      <c r="E190" s="12" t="n">
        <v>770</v>
      </c>
      <c r="F190" s="12" t="n">
        <v>243</v>
      </c>
      <c r="G190" s="12" t="n">
        <v>332</v>
      </c>
      <c r="H190" s="12" t="n">
        <v>671</v>
      </c>
      <c r="I190" s="12" t="n">
        <v>1101</v>
      </c>
      <c r="J190" s="12" t="n">
        <v>237</v>
      </c>
      <c r="K190" s="12" t="n">
        <v>456</v>
      </c>
      <c r="L190" s="12" t="n">
        <v>821</v>
      </c>
      <c r="W190" s="12" t="n">
        <v>671</v>
      </c>
      <c r="X190" s="12" t="n">
        <v>821</v>
      </c>
    </row>
    <row r="191">
      <c r="A191" s="18" t="inlineStr">
        <is>
          <t>PowerSystemsBusinessUnitReportableSegmentsMember · 외부 고객 매출</t>
        </is>
      </c>
      <c r="E191" s="20" t="n">
        <v>2460</v>
      </c>
      <c r="I191" s="20" t="n">
        <v>2502</v>
      </c>
      <c r="M191" s="20" t="n">
        <v>2434</v>
      </c>
    </row>
    <row r="192">
      <c r="A192" s="18" t="inlineStr">
        <is>
          <t>EnvironmentalEnergyAndControlSystemsBusinessUnitReportableSegmentsMember · 외부 고객 매출</t>
        </is>
      </c>
      <c r="E192" s="20" t="n">
        <v>2945</v>
      </c>
      <c r="I192" s="20" t="n">
        <v>3555</v>
      </c>
      <c r="M192" s="20" t="n">
        <v>3929</v>
      </c>
    </row>
    <row r="193">
      <c r="A193" s="18" t="inlineStr">
        <is>
          <t>ITSystemSolutionsBusinessUnitReportableSegmentsMember · 외부 고객 매출</t>
        </is>
      </c>
      <c r="E193" s="20" t="n">
        <v>430</v>
      </c>
      <c r="I193" s="20" t="n">
        <v>386</v>
      </c>
      <c r="M193" s="20" t="n">
        <v>439</v>
      </c>
    </row>
    <row r="195">
      <c r="A195" s="16" t="inlineStr">
        <is>
          <t>현금흐름표 · 전 항목</t>
        </is>
      </c>
      <c r="B195" s="42" t="inlineStr">
        <is>
          <t>분기 = 결산기 첫날부터 누계(공시 그대로)</t>
        </is>
      </c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  <c r="T195" s="16" t="n"/>
      <c r="U195" s="16" t="n"/>
      <c r="V195" s="16" t="n"/>
      <c r="W195" s="16" t="n"/>
      <c r="X195" s="16" t="n"/>
      <c r="Y195" s="16" t="n"/>
      <c r="Z195" s="16" t="n"/>
      <c r="AA195" s="16" t="n"/>
      <c r="AB195" s="16" t="n"/>
      <c r="AC195" s="16" t="n"/>
    </row>
    <row r="196">
      <c r="A196" s="5" t="inlineStr">
        <is>
          <t>항목</t>
        </is>
      </c>
      <c r="B196" s="5" t="inlineStr">
        <is>
          <t>참고</t>
        </is>
      </c>
      <c r="C196" s="5" t="inlineStr">
        <is>
          <t>2023.3Q</t>
        </is>
      </c>
      <c r="D196" s="5" t="inlineStr">
        <is>
          <t>2023.4Q</t>
        </is>
      </c>
      <c r="E196" s="5" t="inlineStr">
        <is>
          <t>2024.1Q</t>
        </is>
      </c>
      <c r="F196" s="5" t="inlineStr">
        <is>
          <t>2024.2Q</t>
        </is>
      </c>
      <c r="G196" s="5" t="inlineStr">
        <is>
          <t>2024.3Q</t>
        </is>
      </c>
      <c r="H196" s="5" t="inlineStr">
        <is>
          <t>2024.4Q</t>
        </is>
      </c>
      <c r="I196" s="5" t="inlineStr">
        <is>
          <t>2025.1Q</t>
        </is>
      </c>
      <c r="J196" s="5" t="inlineStr">
        <is>
          <t>2025.2Q</t>
        </is>
      </c>
      <c r="K196" s="5" t="inlineStr">
        <is>
          <t>2025.3Q</t>
        </is>
      </c>
      <c r="L196" s="5" t="inlineStr">
        <is>
          <t>2025.4Q</t>
        </is>
      </c>
      <c r="M196" s="5" t="inlineStr">
        <is>
          <t>2026.1Q</t>
        </is>
      </c>
      <c r="N196" s="5" t="inlineStr">
        <is>
          <t>2026.2Q</t>
        </is>
      </c>
      <c r="O196" s="5" t="inlineStr">
        <is>
          <t>2016</t>
        </is>
      </c>
      <c r="P196" s="5" t="inlineStr">
        <is>
          <t>2017</t>
        </is>
      </c>
      <c r="Q196" s="5" t="inlineStr">
        <is>
          <t>2018</t>
        </is>
      </c>
      <c r="R196" s="5" t="inlineStr">
        <is>
          <t>2019</t>
        </is>
      </c>
      <c r="S196" s="5" t="inlineStr">
        <is>
          <t>2020</t>
        </is>
      </c>
      <c r="T196" s="5" t="inlineStr">
        <is>
          <t>2021</t>
        </is>
      </c>
      <c r="U196" s="5" t="inlineStr">
        <is>
          <t>2022</t>
        </is>
      </c>
      <c r="V196" s="5" t="inlineStr">
        <is>
          <t>2023</t>
        </is>
      </c>
      <c r="W196" s="5" t="inlineStr">
        <is>
          <t>2024</t>
        </is>
      </c>
      <c r="X196" s="5" t="inlineStr">
        <is>
          <t>2025</t>
        </is>
      </c>
      <c r="Y196" s="5" t="inlineStr">
        <is>
          <t>2026(MW)</t>
        </is>
      </c>
      <c r="Z196" s="5" t="inlineStr">
        <is>
          <t>2027(MW)</t>
        </is>
      </c>
      <c r="AA196" s="5" t="inlineStr">
        <is>
          <t>2028(MW)</t>
        </is>
      </c>
      <c r="AB196" s="5" t="inlineStr">
        <is>
          <t>2029(MW)</t>
        </is>
      </c>
      <c r="AC196" s="5" t="inlineStr">
        <is>
          <t>2030(MW)</t>
        </is>
      </c>
    </row>
    <row r="197">
      <c r="A197" s="9" t="inlineStr">
        <is>
          <t>법인세차감전 순이익</t>
        </is>
      </c>
      <c r="D197" s="12" t="n">
        <v>1816</v>
      </c>
      <c r="F197" s="12" t="n">
        <v>1297</v>
      </c>
      <c r="H197" s="12" t="n">
        <v>2359</v>
      </c>
      <c r="J197" s="12" t="n">
        <v>1529</v>
      </c>
      <c r="L197" s="12" t="n">
        <v>3126</v>
      </c>
      <c r="N197" s="12" t="n">
        <v>2028</v>
      </c>
      <c r="O197" s="12" t="n">
        <v>1052</v>
      </c>
      <c r="P197" s="12" t="n">
        <v>877</v>
      </c>
      <c r="Q197" s="12" t="n">
        <v>943</v>
      </c>
      <c r="R197" s="12" t="n">
        <v>1006</v>
      </c>
      <c r="S197" s="12" t="n">
        <v>1347</v>
      </c>
      <c r="T197" s="12" t="n">
        <v>1540</v>
      </c>
      <c r="U197" s="12" t="n">
        <v>1612</v>
      </c>
      <c r="V197" s="12" t="n">
        <v>1816</v>
      </c>
      <c r="W197" s="12" t="n">
        <v>2359</v>
      </c>
      <c r="X197" s="12" t="n">
        <v>3126</v>
      </c>
    </row>
    <row r="198">
      <c r="A198" s="18" t="inlineStr">
        <is>
          <t>감가상각비</t>
        </is>
      </c>
      <c r="D198" s="20" t="n">
        <v>388</v>
      </c>
      <c r="F198" s="20" t="n">
        <v>198</v>
      </c>
      <c r="H198" s="20" t="n">
        <v>405</v>
      </c>
      <c r="J198" s="20" t="n">
        <v>212</v>
      </c>
      <c r="L198" s="20" t="n">
        <v>440</v>
      </c>
      <c r="N198" s="20" t="n">
        <v>235</v>
      </c>
      <c r="O198" s="20" t="n">
        <v>309</v>
      </c>
      <c r="P198" s="20" t="n">
        <v>291</v>
      </c>
      <c r="Q198" s="20" t="n">
        <v>282</v>
      </c>
      <c r="R198" s="20" t="n">
        <v>294</v>
      </c>
      <c r="S198" s="20" t="n">
        <v>316</v>
      </c>
      <c r="T198" s="20" t="n">
        <v>319</v>
      </c>
      <c r="U198" s="20" t="n">
        <v>387</v>
      </c>
      <c r="V198" s="20" t="n">
        <v>388</v>
      </c>
      <c r="W198" s="20" t="n">
        <v>405</v>
      </c>
      <c r="X198" s="20" t="n">
        <v>440</v>
      </c>
    </row>
    <row r="199">
      <c r="A199" s="18" t="inlineStr">
        <is>
          <t>영업권 상각</t>
        </is>
      </c>
      <c r="D199" s="20" t="n">
        <v>0</v>
      </c>
      <c r="O199" s="20" t="n">
        <v>0</v>
      </c>
      <c r="P199" s="20" t="n">
        <v>17</v>
      </c>
      <c r="Q199" s="20" t="n">
        <v>23</v>
      </c>
      <c r="R199" s="20" t="n">
        <v>23</v>
      </c>
      <c r="S199" s="20" t="n">
        <v>23</v>
      </c>
      <c r="T199" s="20" t="n">
        <v>23</v>
      </c>
      <c r="U199" s="20" t="n">
        <v>5</v>
      </c>
      <c r="V199" s="20" t="n">
        <v>0</v>
      </c>
    </row>
    <row r="200">
      <c r="A200" s="18" t="inlineStr">
        <is>
          <t>퇴직급여부채 증감</t>
        </is>
      </c>
      <c r="D200" s="20" t="n">
        <v>-87</v>
      </c>
      <c r="F200" s="20" t="n">
        <v>-54</v>
      </c>
      <c r="H200" s="20" t="n">
        <v>-86</v>
      </c>
      <c r="J200" s="20" t="n">
        <v>5</v>
      </c>
      <c r="L200" s="20" t="n">
        <v>27</v>
      </c>
      <c r="N200" s="20" t="n">
        <v>-33</v>
      </c>
      <c r="O200" s="20" t="n">
        <v>45</v>
      </c>
      <c r="P200" s="20" t="n">
        <v>74</v>
      </c>
      <c r="Q200" s="20" t="n">
        <v>14</v>
      </c>
      <c r="R200" s="20" t="n">
        <v>50</v>
      </c>
      <c r="S200" s="20" t="n">
        <v>55</v>
      </c>
      <c r="T200" s="20" t="n">
        <v>69</v>
      </c>
      <c r="U200" s="20" t="n">
        <v>-6</v>
      </c>
      <c r="V200" s="20" t="n">
        <v>-87</v>
      </c>
      <c r="W200" s="20" t="n">
        <v>-86</v>
      </c>
      <c r="X200" s="20" t="n">
        <v>27</v>
      </c>
    </row>
    <row r="201">
      <c r="A201" s="18" t="inlineStr">
        <is>
          <t>대손충당금 증감</t>
        </is>
      </c>
      <c r="D201" s="20" t="n">
        <v>-0</v>
      </c>
      <c r="F201" s="20" t="n">
        <v>-3</v>
      </c>
      <c r="H201" s="20" t="n">
        <v>-2</v>
      </c>
      <c r="J201" s="20" t="n">
        <v>-0</v>
      </c>
      <c r="L201" s="20" t="n">
        <v>-1</v>
      </c>
      <c r="N201" s="20" t="n">
        <v>0</v>
      </c>
      <c r="O201" s="20" t="n">
        <v>35</v>
      </c>
      <c r="P201" s="20" t="n">
        <v>-11</v>
      </c>
      <c r="Q201" s="20" t="n">
        <v>-6</v>
      </c>
      <c r="R201" s="20" t="n">
        <v>-0</v>
      </c>
      <c r="S201" s="20" t="n">
        <v>-4</v>
      </c>
      <c r="T201" s="20" t="n">
        <v>-1</v>
      </c>
      <c r="U201" s="20" t="n">
        <v>2</v>
      </c>
      <c r="V201" s="20" t="n">
        <v>-0</v>
      </c>
      <c r="W201" s="20" t="n">
        <v>-2</v>
      </c>
      <c r="X201" s="20" t="n">
        <v>-1</v>
      </c>
    </row>
    <row r="202">
      <c r="A202" s="18" t="inlineStr">
        <is>
          <t>이자·배당금 수익</t>
        </is>
      </c>
      <c r="D202" s="20" t="n">
        <v>-93</v>
      </c>
      <c r="F202" s="20" t="n">
        <v>-49</v>
      </c>
      <c r="H202" s="20" t="n">
        <v>-105</v>
      </c>
      <c r="J202" s="20" t="n">
        <v>-54</v>
      </c>
      <c r="L202" s="20" t="n">
        <v>-123</v>
      </c>
      <c r="N202" s="20" t="n">
        <v>-78</v>
      </c>
      <c r="O202" s="20" t="n">
        <v>-51</v>
      </c>
      <c r="P202" s="20" t="n">
        <v>-72</v>
      </c>
      <c r="Q202" s="20" t="n">
        <v>-84</v>
      </c>
      <c r="R202" s="20" t="n">
        <v>-84</v>
      </c>
      <c r="S202" s="20" t="n">
        <v>-81</v>
      </c>
      <c r="T202" s="20" t="n">
        <v>-82</v>
      </c>
      <c r="U202" s="20" t="n">
        <v>-84</v>
      </c>
      <c r="V202" s="20" t="n">
        <v>-93</v>
      </c>
      <c r="W202" s="20" t="n">
        <v>-105</v>
      </c>
      <c r="X202" s="20" t="n">
        <v>-123</v>
      </c>
    </row>
    <row r="203">
      <c r="A203" s="18" t="inlineStr">
        <is>
          <t>이자비용</t>
        </is>
      </c>
      <c r="D203" s="20" t="n">
        <v>35</v>
      </c>
      <c r="F203" s="20" t="n">
        <v>12</v>
      </c>
      <c r="H203" s="20" t="n">
        <v>22</v>
      </c>
      <c r="J203" s="20" t="n">
        <v>14</v>
      </c>
      <c r="L203" s="20" t="n">
        <v>23</v>
      </c>
      <c r="N203" s="20" t="n">
        <v>17</v>
      </c>
      <c r="O203" s="20" t="n">
        <v>37</v>
      </c>
      <c r="P203" s="20" t="n">
        <v>41</v>
      </c>
      <c r="Q203" s="20" t="n">
        <v>32</v>
      </c>
      <c r="R203" s="20" t="n">
        <v>23</v>
      </c>
      <c r="S203" s="20" t="n">
        <v>25</v>
      </c>
      <c r="T203" s="20" t="n">
        <v>26</v>
      </c>
      <c r="U203" s="20" t="n">
        <v>33</v>
      </c>
      <c r="V203" s="20" t="n">
        <v>35</v>
      </c>
      <c r="W203" s="20" t="n">
        <v>22</v>
      </c>
      <c r="X203" s="20" t="n">
        <v>23</v>
      </c>
    </row>
    <row r="204">
      <c r="A204" s="18" t="inlineStr">
        <is>
          <t>지분법손익</t>
        </is>
      </c>
      <c r="O204" s="20" t="n">
        <v>0</v>
      </c>
      <c r="P204" s="20" t="n">
        <v>3</v>
      </c>
      <c r="Q204" s="20" t="n">
        <v>1</v>
      </c>
      <c r="R204" s="20" t="n">
        <v>0</v>
      </c>
    </row>
    <row r="205">
      <c r="A205" s="18" t="inlineStr">
        <is>
          <t>부의 영업권 발생이익</t>
        </is>
      </c>
      <c r="O205" s="20" t="n">
        <v>-238</v>
      </c>
      <c r="P205" s="20" t="n">
        <v>0</v>
      </c>
    </row>
    <row r="206">
      <c r="A206" s="18" t="inlineStr">
        <is>
          <t>단계적 취득 차손익</t>
        </is>
      </c>
      <c r="O206" s="20" t="n">
        <v>48</v>
      </c>
      <c r="P206" s="20" t="n">
        <v>0</v>
      </c>
    </row>
    <row r="207">
      <c r="A207" s="18" t="inlineStr">
        <is>
          <t>유형자산 매각손익</t>
        </is>
      </c>
      <c r="D207" s="20" t="n">
        <v>-70</v>
      </c>
      <c r="F207" s="20" t="n">
        <v>-218</v>
      </c>
      <c r="J207" s="20" t="n">
        <v>0</v>
      </c>
      <c r="U207" s="20" t="n">
        <v>-0</v>
      </c>
      <c r="V207" s="20" t="n">
        <v>-70</v>
      </c>
    </row>
    <row r="208">
      <c r="A208" s="18" t="inlineStr">
        <is>
          <t>투자유가증권 매각손익</t>
        </is>
      </c>
      <c r="D208" s="20" t="n">
        <v>-50</v>
      </c>
      <c r="H208" s="20" t="n">
        <v>-144</v>
      </c>
      <c r="J208" s="20" t="n">
        <v>-179</v>
      </c>
      <c r="L208" s="20" t="n">
        <v>-444</v>
      </c>
      <c r="N208" s="20" t="n">
        <v>-248</v>
      </c>
      <c r="T208" s="20" t="n">
        <v>0</v>
      </c>
      <c r="U208" s="20" t="n">
        <v>-64</v>
      </c>
      <c r="V208" s="20" t="n">
        <v>-50</v>
      </c>
      <c r="W208" s="20" t="n">
        <v>-144</v>
      </c>
      <c r="X208" s="20" t="n">
        <v>-444</v>
      </c>
    </row>
    <row r="209">
      <c r="A209" s="18" t="inlineStr">
        <is>
          <t>투자유가증권 평가손익</t>
        </is>
      </c>
      <c r="R209" s="20" t="n">
        <v>0</v>
      </c>
      <c r="S209" s="20" t="n">
        <v>37</v>
      </c>
      <c r="T209" s="20" t="n">
        <v>0</v>
      </c>
      <c r="U209" s="20" t="n">
        <v>0</v>
      </c>
    </row>
    <row r="210">
      <c r="A210" s="18" t="inlineStr">
        <is>
          <t>선수금 증감</t>
        </is>
      </c>
      <c r="O210" s="20" t="n">
        <v>80</v>
      </c>
      <c r="P210" s="20" t="n">
        <v>-51</v>
      </c>
      <c r="Q210" s="20" t="n">
        <v>942</v>
      </c>
      <c r="R210" s="20" t="n">
        <v>-638</v>
      </c>
      <c r="S210" s="20" t="n">
        <v>-250</v>
      </c>
      <c r="T210" s="20" t="n">
        <v>-20</v>
      </c>
      <c r="U210" s="20" t="n">
        <v>0</v>
      </c>
    </row>
    <row r="211">
      <c r="A211" s="18" t="inlineStr">
        <is>
          <t>계약부채 증감</t>
        </is>
      </c>
      <c r="D211" s="20" t="n">
        <v>-366</v>
      </c>
      <c r="T211" s="20" t="n">
        <v>0</v>
      </c>
      <c r="U211" s="20" t="n">
        <v>252</v>
      </c>
      <c r="V211" s="20" t="n">
        <v>-366</v>
      </c>
    </row>
    <row r="212">
      <c r="A212" s="18" t="inlineStr">
        <is>
          <t>매출채권 증감</t>
        </is>
      </c>
      <c r="D212" s="20" t="n">
        <v>805</v>
      </c>
      <c r="F212" s="20" t="n">
        <v>2928</v>
      </c>
      <c r="H212" s="20" t="n">
        <v>-570</v>
      </c>
      <c r="J212" s="20" t="n">
        <v>6451</v>
      </c>
      <c r="L212" s="20" t="n">
        <v>-1147</v>
      </c>
      <c r="N212" s="20" t="n">
        <v>6053</v>
      </c>
      <c r="O212" s="20" t="n">
        <v>-262</v>
      </c>
      <c r="P212" s="20" t="n">
        <v>-1626</v>
      </c>
      <c r="Q212" s="20" t="n">
        <v>-2005</v>
      </c>
      <c r="R212" s="20" t="n">
        <v>1195</v>
      </c>
      <c r="S212" s="20" t="n">
        <v>-833</v>
      </c>
      <c r="T212" s="20" t="n">
        <v>-1219</v>
      </c>
      <c r="U212" s="20" t="n">
        <v>-1788</v>
      </c>
      <c r="V212" s="20" t="n">
        <v>805</v>
      </c>
      <c r="W212" s="20" t="n">
        <v>-570</v>
      </c>
      <c r="X212" s="20" t="n">
        <v>-1147</v>
      </c>
    </row>
    <row r="213">
      <c r="A213" s="18" t="inlineStr">
        <is>
          <t>재고자산 증감</t>
        </is>
      </c>
      <c r="D213" s="20" t="n">
        <v>-66</v>
      </c>
      <c r="F213" s="20" t="n">
        <v>29</v>
      </c>
      <c r="H213" s="20" t="n">
        <v>-132</v>
      </c>
      <c r="J213" s="20" t="n">
        <v>193</v>
      </c>
      <c r="L213" s="20" t="n">
        <v>-159</v>
      </c>
      <c r="N213" s="20" t="n">
        <v>-57</v>
      </c>
      <c r="O213" s="20" t="n">
        <v>276</v>
      </c>
      <c r="P213" s="20" t="n">
        <v>-73</v>
      </c>
      <c r="Q213" s="20" t="n">
        <v>-105</v>
      </c>
      <c r="R213" s="20" t="n">
        <v>-448</v>
      </c>
      <c r="S213" s="20" t="n">
        <v>-422</v>
      </c>
      <c r="T213" s="20" t="n">
        <v>650</v>
      </c>
      <c r="U213" s="20" t="n">
        <v>45</v>
      </c>
      <c r="V213" s="20" t="n">
        <v>-66</v>
      </c>
      <c r="W213" s="20" t="n">
        <v>-132</v>
      </c>
      <c r="X213" s="20" t="n">
        <v>-159</v>
      </c>
    </row>
    <row r="214">
      <c r="A214" s="18" t="inlineStr">
        <is>
          <t>매입채무 증감</t>
        </is>
      </c>
      <c r="D214" s="20" t="n">
        <v>1226</v>
      </c>
      <c r="F214" s="20" t="n">
        <v>-872</v>
      </c>
      <c r="H214" s="20" t="n">
        <v>-852</v>
      </c>
      <c r="J214" s="20" t="n">
        <v>-2579</v>
      </c>
      <c r="L214" s="20" t="n">
        <v>1485</v>
      </c>
      <c r="N214" s="20" t="n">
        <v>-1896</v>
      </c>
      <c r="O214" s="20" t="n">
        <v>-829</v>
      </c>
      <c r="P214" s="20" t="n">
        <v>321</v>
      </c>
      <c r="Q214" s="20" t="n">
        <v>879</v>
      </c>
      <c r="R214" s="20" t="n">
        <v>591</v>
      </c>
      <c r="S214" s="20" t="n">
        <v>-700</v>
      </c>
      <c r="T214" s="20" t="n">
        <v>652</v>
      </c>
      <c r="U214" s="20" t="n">
        <v>93</v>
      </c>
      <c r="V214" s="20" t="n">
        <v>1226</v>
      </c>
      <c r="W214" s="20" t="n">
        <v>-852</v>
      </c>
      <c r="X214" s="20" t="n">
        <v>1485</v>
      </c>
    </row>
    <row r="215">
      <c r="A215" s="18" t="inlineStr">
        <is>
          <t>계약부채 증감</t>
        </is>
      </c>
      <c r="F215" s="20" t="n">
        <v>99</v>
      </c>
    </row>
    <row r="216">
      <c r="A216" s="18" t="inlineStr">
        <is>
          <t>고정자산 제각손실</t>
        </is>
      </c>
      <c r="J216" s="20" t="n">
        <v>0</v>
      </c>
      <c r="N216" s="20" t="n">
        <v>15</v>
      </c>
    </row>
    <row r="217">
      <c r="A217" s="18" t="inlineStr">
        <is>
          <t>계약부채 증감</t>
        </is>
      </c>
      <c r="F217" s="20" t="n">
        <v>99</v>
      </c>
      <c r="H217" s="20" t="n">
        <v>64</v>
      </c>
      <c r="J217" s="20" t="n">
        <v>973</v>
      </c>
      <c r="L217" s="20" t="n">
        <v>1147</v>
      </c>
      <c r="N217" s="20" t="n">
        <v>1383</v>
      </c>
      <c r="W217" s="20" t="n">
        <v>64</v>
      </c>
      <c r="X217" s="20" t="n">
        <v>1147</v>
      </c>
    </row>
    <row r="218">
      <c r="A218" s="18" t="inlineStr">
        <is>
          <t>기타</t>
        </is>
      </c>
      <c r="D218" s="20" t="n">
        <v>188</v>
      </c>
      <c r="F218" s="20" t="n">
        <v>-266</v>
      </c>
      <c r="H218" s="20" t="n">
        <v>-59</v>
      </c>
      <c r="J218" s="20" t="n">
        <v>-150</v>
      </c>
      <c r="L218" s="20" t="n">
        <v>308</v>
      </c>
      <c r="N218" s="20" t="n">
        <v>392</v>
      </c>
      <c r="O218" s="20" t="n">
        <v>233</v>
      </c>
      <c r="P218" s="20" t="n">
        <v>-212</v>
      </c>
      <c r="Q218" s="20" t="n">
        <v>166</v>
      </c>
      <c r="R218" s="20" t="n">
        <v>-1</v>
      </c>
      <c r="S218" s="20" t="n">
        <v>92</v>
      </c>
      <c r="T218" s="20" t="n">
        <v>234</v>
      </c>
      <c r="U218" s="20" t="n">
        <v>-179</v>
      </c>
      <c r="V218" s="20" t="n">
        <v>188</v>
      </c>
      <c r="W218" s="20" t="n">
        <v>-59</v>
      </c>
      <c r="X218" s="20" t="n">
        <v>308</v>
      </c>
    </row>
    <row r="219">
      <c r="A219" s="18" t="inlineStr">
        <is>
          <t>소계</t>
        </is>
      </c>
      <c r="D219" s="20" t="n">
        <v>3724</v>
      </c>
      <c r="F219" s="20" t="n">
        <v>3101</v>
      </c>
      <c r="H219" s="20" t="n">
        <v>897</v>
      </c>
      <c r="J219" s="20" t="n">
        <v>6416</v>
      </c>
      <c r="L219" s="20" t="n">
        <v>4682</v>
      </c>
      <c r="N219" s="20" t="n">
        <v>7812</v>
      </c>
      <c r="O219" s="20" t="n">
        <v>739</v>
      </c>
      <c r="P219" s="20" t="n">
        <v>-418</v>
      </c>
      <c r="Q219" s="20" t="n">
        <v>1082</v>
      </c>
      <c r="R219" s="20" t="n">
        <v>2011</v>
      </c>
      <c r="S219" s="20" t="n">
        <v>-393</v>
      </c>
      <c r="T219" s="20" t="n">
        <v>2191</v>
      </c>
      <c r="U219" s="20" t="n">
        <v>310</v>
      </c>
      <c r="V219" s="20" t="n">
        <v>3724</v>
      </c>
      <c r="W219" s="20" t="n">
        <v>897</v>
      </c>
      <c r="X219" s="20" t="n">
        <v>4682</v>
      </c>
    </row>
    <row r="220">
      <c r="A220" s="18" t="inlineStr">
        <is>
          <t>이자·배당금 수취</t>
        </is>
      </c>
      <c r="D220" s="20" t="n">
        <v>93</v>
      </c>
      <c r="F220" s="20" t="n">
        <v>49</v>
      </c>
      <c r="H220" s="20" t="n">
        <v>105</v>
      </c>
      <c r="J220" s="20" t="n">
        <v>54</v>
      </c>
      <c r="L220" s="20" t="n">
        <v>123</v>
      </c>
      <c r="N220" s="20" t="n">
        <v>78</v>
      </c>
      <c r="O220" s="20" t="n">
        <v>51</v>
      </c>
      <c r="P220" s="20" t="n">
        <v>72</v>
      </c>
      <c r="Q220" s="20" t="n">
        <v>84</v>
      </c>
      <c r="R220" s="20" t="n">
        <v>84</v>
      </c>
      <c r="S220" s="20" t="n">
        <v>81</v>
      </c>
      <c r="T220" s="20" t="n">
        <v>82</v>
      </c>
      <c r="U220" s="20" t="n">
        <v>84</v>
      </c>
      <c r="V220" s="20" t="n">
        <v>93</v>
      </c>
      <c r="W220" s="20" t="n">
        <v>105</v>
      </c>
      <c r="X220" s="20" t="n">
        <v>123</v>
      </c>
    </row>
    <row r="221">
      <c r="A221" s="18" t="inlineStr">
        <is>
          <t>이자 지급</t>
        </is>
      </c>
      <c r="D221" s="20" t="n">
        <v>-34</v>
      </c>
      <c r="F221" s="20" t="n">
        <v>-12</v>
      </c>
      <c r="H221" s="20" t="n">
        <v>-24</v>
      </c>
      <c r="J221" s="20" t="n">
        <v>-14</v>
      </c>
      <c r="L221" s="20" t="n">
        <v>-21</v>
      </c>
      <c r="N221" s="20" t="n">
        <v>-15</v>
      </c>
      <c r="O221" s="20" t="n">
        <v>-36</v>
      </c>
      <c r="P221" s="20" t="n">
        <v>-39</v>
      </c>
      <c r="Q221" s="20" t="n">
        <v>-29</v>
      </c>
      <c r="R221" s="20" t="n">
        <v>-25</v>
      </c>
      <c r="S221" s="20" t="n">
        <v>-26</v>
      </c>
      <c r="T221" s="20" t="n">
        <v>-23</v>
      </c>
      <c r="U221" s="20" t="n">
        <v>-32</v>
      </c>
      <c r="V221" s="20" t="n">
        <v>-34</v>
      </c>
      <c r="W221" s="20" t="n">
        <v>-24</v>
      </c>
      <c r="X221" s="20" t="n">
        <v>-21</v>
      </c>
    </row>
    <row r="222">
      <c r="A222" s="18" t="inlineStr">
        <is>
          <t>법인세 납부</t>
        </is>
      </c>
      <c r="D222" s="20" t="n">
        <v>-593</v>
      </c>
      <c r="F222" s="20" t="n">
        <v>-367</v>
      </c>
      <c r="H222" s="20" t="n">
        <v>-638</v>
      </c>
      <c r="J222" s="20" t="n">
        <v>-572</v>
      </c>
      <c r="L222" s="20" t="n">
        <v>-976</v>
      </c>
      <c r="N222" s="20" t="n">
        <v>-674</v>
      </c>
      <c r="O222" s="20" t="n">
        <v>-590</v>
      </c>
      <c r="P222" s="20" t="n">
        <v>-207</v>
      </c>
      <c r="Q222" s="20" t="n">
        <v>-299</v>
      </c>
      <c r="R222" s="20" t="n">
        <v>-352</v>
      </c>
      <c r="S222" s="20" t="n">
        <v>-306</v>
      </c>
      <c r="T222" s="20" t="n">
        <v>-612</v>
      </c>
      <c r="U222" s="20" t="n">
        <v>-441</v>
      </c>
      <c r="V222" s="20" t="n">
        <v>-593</v>
      </c>
      <c r="W222" s="20" t="n">
        <v>-638</v>
      </c>
      <c r="X222" s="20" t="n">
        <v>-976</v>
      </c>
    </row>
    <row r="223">
      <c r="A223" s="9" t="inlineStr">
        <is>
          <t>영업활동 현금흐름</t>
        </is>
      </c>
      <c r="D223" s="12" t="n">
        <v>3190</v>
      </c>
      <c r="F223" s="12" t="n">
        <v>2770</v>
      </c>
      <c r="H223" s="12" t="n">
        <v>339</v>
      </c>
      <c r="J223" s="12" t="n">
        <v>5884</v>
      </c>
      <c r="L223" s="12" t="n">
        <v>3808</v>
      </c>
      <c r="N223" s="12" t="n">
        <v>7200</v>
      </c>
      <c r="O223" s="12" t="n">
        <v>163</v>
      </c>
      <c r="P223" s="12" t="n">
        <v>-592</v>
      </c>
      <c r="Q223" s="12" t="n">
        <v>838</v>
      </c>
      <c r="R223" s="12" t="n">
        <v>1718</v>
      </c>
      <c r="S223" s="12" t="n">
        <v>-644</v>
      </c>
      <c r="T223" s="12" t="n">
        <v>1638</v>
      </c>
      <c r="U223" s="12" t="n">
        <v>-79</v>
      </c>
      <c r="V223" s="12" t="n">
        <v>3190</v>
      </c>
      <c r="W223" s="12" t="n">
        <v>339</v>
      </c>
      <c r="X223" s="12" t="n">
        <v>3808</v>
      </c>
    </row>
    <row r="224">
      <c r="A224" s="18" t="inlineStr">
        <is>
          <t>정기예금 예입</t>
        </is>
      </c>
      <c r="D224" s="20" t="n">
        <v>-8</v>
      </c>
      <c r="F224" s="20" t="n">
        <v>-3</v>
      </c>
      <c r="H224" s="20" t="n">
        <v>-8</v>
      </c>
      <c r="J224" s="20" t="n">
        <v>-3</v>
      </c>
      <c r="L224" s="20" t="n">
        <v>-8</v>
      </c>
      <c r="O224" s="20" t="n">
        <v>-121</v>
      </c>
      <c r="P224" s="20" t="n">
        <v>-121</v>
      </c>
      <c r="Q224" s="20" t="n">
        <v>-121</v>
      </c>
      <c r="R224" s="20" t="n">
        <v>-121</v>
      </c>
      <c r="S224" s="20" t="n">
        <v>-121</v>
      </c>
      <c r="T224" s="20" t="n">
        <v>-65</v>
      </c>
      <c r="U224" s="20" t="n">
        <v>-3</v>
      </c>
      <c r="V224" s="20" t="n">
        <v>-8</v>
      </c>
      <c r="W224" s="20" t="n">
        <v>-8</v>
      </c>
      <c r="X224" s="20" t="n">
        <v>-8</v>
      </c>
    </row>
    <row r="225">
      <c r="A225" s="18" t="inlineStr">
        <is>
          <t>정기예금 인출</t>
        </is>
      </c>
      <c r="D225" s="20" t="n">
        <v>8</v>
      </c>
      <c r="F225" s="20" t="n">
        <v>3</v>
      </c>
      <c r="H225" s="20" t="n">
        <v>8</v>
      </c>
      <c r="J225" s="20" t="n">
        <v>3</v>
      </c>
      <c r="L225" s="20" t="n">
        <v>8</v>
      </c>
      <c r="O225" s="20" t="n">
        <v>121</v>
      </c>
      <c r="P225" s="20" t="n">
        <v>121</v>
      </c>
      <c r="Q225" s="20" t="n">
        <v>121</v>
      </c>
      <c r="R225" s="20" t="n">
        <v>121</v>
      </c>
      <c r="S225" s="20" t="n">
        <v>121</v>
      </c>
      <c r="T225" s="20" t="n">
        <v>131</v>
      </c>
      <c r="U225" s="20" t="n">
        <v>3</v>
      </c>
      <c r="V225" s="20" t="n">
        <v>8</v>
      </c>
      <c r="W225" s="20" t="n">
        <v>8</v>
      </c>
      <c r="X225" s="20" t="n">
        <v>8</v>
      </c>
    </row>
    <row r="226">
      <c r="A226" s="18" t="inlineStr">
        <is>
          <t>유가증권 취득</t>
        </is>
      </c>
      <c r="O226" s="20" t="n">
        <v>-147</v>
      </c>
      <c r="P226" s="20" t="n">
        <v>0</v>
      </c>
    </row>
    <row r="227">
      <c r="A227" s="18" t="inlineStr">
        <is>
          <t>유가증권 상환 수입</t>
        </is>
      </c>
      <c r="O227" s="20" t="n">
        <v>315</v>
      </c>
      <c r="P227" s="20" t="n">
        <v>0</v>
      </c>
    </row>
    <row r="228">
      <c r="A228" s="18" t="inlineStr">
        <is>
          <t>유형자산 취득(설비투자)</t>
        </is>
      </c>
      <c r="D228" s="20" t="n">
        <v>-926</v>
      </c>
      <c r="F228" s="20" t="n">
        <v>-208</v>
      </c>
      <c r="H228" s="20" t="n">
        <v>-365</v>
      </c>
      <c r="J228" s="20" t="n">
        <v>-162</v>
      </c>
      <c r="L228" s="20" t="n">
        <v>-1639</v>
      </c>
      <c r="N228" s="20" t="n">
        <v>-1913</v>
      </c>
      <c r="O228" s="20" t="n">
        <v>-118</v>
      </c>
      <c r="P228" s="20" t="n">
        <v>-102</v>
      </c>
      <c r="Q228" s="20" t="n">
        <v>-75</v>
      </c>
      <c r="R228" s="20" t="n">
        <v>-345</v>
      </c>
      <c r="S228" s="20" t="n">
        <v>-610</v>
      </c>
      <c r="T228" s="20" t="n">
        <v>-1672</v>
      </c>
      <c r="U228" s="20" t="n">
        <v>-476</v>
      </c>
      <c r="V228" s="20" t="n">
        <v>-926</v>
      </c>
      <c r="W228" s="20" t="n">
        <v>-365</v>
      </c>
      <c r="X228" s="20" t="n">
        <v>-1639</v>
      </c>
    </row>
    <row r="229">
      <c r="A229" s="18" t="inlineStr">
        <is>
          <t>유형자산 매각</t>
        </is>
      </c>
      <c r="D229" s="20" t="n">
        <v>151</v>
      </c>
      <c r="F229" s="20" t="n">
        <v>220</v>
      </c>
      <c r="J229" s="20" t="n">
        <v>0</v>
      </c>
      <c r="U229" s="20" t="n">
        <v>0</v>
      </c>
      <c r="V229" s="20" t="n">
        <v>151</v>
      </c>
    </row>
    <row r="230">
      <c r="A230" s="18" t="inlineStr">
        <is>
          <t>무형자산 취득</t>
        </is>
      </c>
      <c r="D230" s="20" t="n">
        <v>-26</v>
      </c>
      <c r="F230" s="20" t="n">
        <v>-15</v>
      </c>
      <c r="H230" s="20" t="n">
        <v>-34</v>
      </c>
      <c r="J230" s="20" t="n">
        <v>-15</v>
      </c>
      <c r="L230" s="20" t="n">
        <v>-56</v>
      </c>
      <c r="N230" s="20" t="n">
        <v>-2</v>
      </c>
      <c r="S230" s="20" t="n">
        <v>-9</v>
      </c>
      <c r="T230" s="20" t="n">
        <v>-78</v>
      </c>
      <c r="U230" s="20" t="n">
        <v>-71</v>
      </c>
      <c r="V230" s="20" t="n">
        <v>-26</v>
      </c>
      <c r="W230" s="20" t="n">
        <v>-34</v>
      </c>
      <c r="X230" s="20" t="n">
        <v>-56</v>
      </c>
    </row>
    <row r="231">
      <c r="A231" s="18" t="inlineStr">
        <is>
          <t>투자유가증권 취득</t>
        </is>
      </c>
      <c r="D231" s="20" t="n">
        <v>-84</v>
      </c>
      <c r="F231" s="20" t="n">
        <v>-3</v>
      </c>
      <c r="H231" s="20" t="n">
        <v>-35</v>
      </c>
      <c r="J231" s="20" t="n">
        <v>-29</v>
      </c>
      <c r="L231" s="20" t="n">
        <v>-61</v>
      </c>
      <c r="N231" s="20" t="n">
        <v>-22</v>
      </c>
      <c r="O231" s="20" t="n">
        <v>-45</v>
      </c>
      <c r="P231" s="20" t="n">
        <v>-12</v>
      </c>
      <c r="Q231" s="20" t="n">
        <v>-12</v>
      </c>
      <c r="R231" s="20" t="n">
        <v>-13</v>
      </c>
      <c r="S231" s="20" t="n">
        <v>-13</v>
      </c>
      <c r="T231" s="20" t="n">
        <v>-113</v>
      </c>
      <c r="U231" s="20" t="n">
        <v>-34</v>
      </c>
      <c r="V231" s="20" t="n">
        <v>-84</v>
      </c>
      <c r="W231" s="20" t="n">
        <v>-35</v>
      </c>
      <c r="X231" s="20" t="n">
        <v>-61</v>
      </c>
    </row>
    <row r="232">
      <c r="A232" s="18" t="inlineStr">
        <is>
          <t>관계회사 주식 취득</t>
        </is>
      </c>
      <c r="O232" s="20" t="n">
        <v>-40</v>
      </c>
      <c r="P232" s="20" t="n">
        <v>0</v>
      </c>
    </row>
    <row r="233">
      <c r="A233" s="18" t="inlineStr">
        <is>
          <t>연결범위 변경 자회사 주식 취득(수입)</t>
        </is>
      </c>
      <c r="O233" s="20" t="n">
        <v>13</v>
      </c>
      <c r="P233" s="20" t="n">
        <v>0</v>
      </c>
    </row>
    <row r="234">
      <c r="A234" s="18" t="inlineStr">
        <is>
          <t>투자유가증권 매각</t>
        </is>
      </c>
      <c r="D234" s="20" t="n">
        <v>117</v>
      </c>
      <c r="F234" s="20" t="n">
        <v>4</v>
      </c>
      <c r="H234" s="20" t="n">
        <v>217</v>
      </c>
      <c r="J234" s="20" t="n">
        <v>199</v>
      </c>
      <c r="L234" s="20" t="n">
        <v>484</v>
      </c>
      <c r="N234" s="20" t="n">
        <v>263</v>
      </c>
      <c r="Q234" s="20" t="n">
        <v>0</v>
      </c>
      <c r="R234" s="20" t="n">
        <v>46</v>
      </c>
      <c r="S234" s="20" t="n">
        <v>0</v>
      </c>
      <c r="T234" s="20" t="n">
        <v>0</v>
      </c>
      <c r="U234" s="20" t="n">
        <v>70</v>
      </c>
      <c r="V234" s="20" t="n">
        <v>117</v>
      </c>
      <c r="W234" s="20" t="n">
        <v>217</v>
      </c>
      <c r="X234" s="20" t="n">
        <v>484</v>
      </c>
    </row>
    <row r="235">
      <c r="A235" s="18" t="inlineStr">
        <is>
          <t>관계회사 주식 매각</t>
        </is>
      </c>
      <c r="P235" s="20" t="n">
        <v>0</v>
      </c>
      <c r="Q235" s="20" t="n">
        <v>40</v>
      </c>
      <c r="R235" s="20" t="n">
        <v>0</v>
      </c>
    </row>
    <row r="236">
      <c r="A236" s="18" t="inlineStr">
        <is>
          <t>연결범위 변경 자회사 주식 취득</t>
        </is>
      </c>
      <c r="O236" s="20" t="n">
        <v>0</v>
      </c>
      <c r="P236" s="20" t="n">
        <v>-269</v>
      </c>
      <c r="Q236" s="20" t="n">
        <v>0</v>
      </c>
    </row>
    <row r="237">
      <c r="A237" s="18" t="inlineStr">
        <is>
          <t>기타</t>
        </is>
      </c>
      <c r="D237" s="20" t="n">
        <v>-3</v>
      </c>
      <c r="F237" s="20" t="n">
        <v>-2</v>
      </c>
      <c r="H237" s="20" t="n">
        <v>377</v>
      </c>
      <c r="J237" s="20" t="n">
        <v>-41</v>
      </c>
      <c r="L237" s="20" t="n">
        <v>-27</v>
      </c>
      <c r="N237" s="20" t="n">
        <v>-4</v>
      </c>
      <c r="O237" s="20" t="n">
        <v>-30</v>
      </c>
      <c r="P237" s="20" t="n">
        <v>-14</v>
      </c>
      <c r="Q237" s="20" t="n">
        <v>2</v>
      </c>
      <c r="R237" s="20" t="n">
        <v>-36</v>
      </c>
      <c r="S237" s="20" t="n">
        <v>16</v>
      </c>
      <c r="T237" s="20" t="n">
        <v>14</v>
      </c>
      <c r="U237" s="20" t="n">
        <v>12</v>
      </c>
      <c r="V237" s="20" t="n">
        <v>-3</v>
      </c>
      <c r="W237" s="20" t="n">
        <v>377</v>
      </c>
      <c r="X237" s="20" t="n">
        <v>-27</v>
      </c>
    </row>
    <row r="238">
      <c r="A238" s="9" t="inlineStr">
        <is>
          <t>투자활동 현금흐름</t>
        </is>
      </c>
      <c r="D238" s="12" t="n">
        <v>-771</v>
      </c>
      <c r="F238" s="12" t="n">
        <v>-5</v>
      </c>
      <c r="H238" s="12" t="n">
        <v>160</v>
      </c>
      <c r="J238" s="12" t="n">
        <v>-50</v>
      </c>
      <c r="L238" s="12" t="n">
        <v>-1300</v>
      </c>
      <c r="N238" s="12" t="n">
        <v>-1679</v>
      </c>
      <c r="O238" s="12" t="n">
        <v>-53</v>
      </c>
      <c r="P238" s="12" t="n">
        <v>-400</v>
      </c>
      <c r="Q238" s="12" t="n">
        <v>-45</v>
      </c>
      <c r="R238" s="12" t="n">
        <v>-348</v>
      </c>
      <c r="S238" s="12" t="n">
        <v>-617</v>
      </c>
      <c r="T238" s="12" t="n">
        <v>-1785</v>
      </c>
      <c r="U238" s="12" t="n">
        <v>-498</v>
      </c>
      <c r="V238" s="12" t="n">
        <v>-771</v>
      </c>
      <c r="W238" s="12" t="n">
        <v>160</v>
      </c>
      <c r="X238" s="12" t="n">
        <v>-1300</v>
      </c>
    </row>
    <row r="239">
      <c r="A239" s="18" t="inlineStr">
        <is>
          <t>단기차입금 순증감</t>
        </is>
      </c>
      <c r="D239" s="20" t="n">
        <v>-1814</v>
      </c>
      <c r="F239" s="20" t="n">
        <v>-1885</v>
      </c>
      <c r="H239" s="20" t="n">
        <v>-283</v>
      </c>
      <c r="J239" s="20" t="n">
        <v>-1692</v>
      </c>
      <c r="L239" s="20" t="n">
        <v>-1524</v>
      </c>
      <c r="N239" s="20" t="n">
        <v>77</v>
      </c>
      <c r="O239" s="20" t="n">
        <v>114</v>
      </c>
      <c r="P239" s="20" t="n">
        <v>911</v>
      </c>
      <c r="Q239" s="20" t="n">
        <v>-755</v>
      </c>
      <c r="R239" s="20" t="n">
        <v>-944</v>
      </c>
      <c r="S239" s="20" t="n">
        <v>1798</v>
      </c>
      <c r="T239" s="20" t="n">
        <v>-974</v>
      </c>
      <c r="U239" s="20" t="n">
        <v>1754</v>
      </c>
      <c r="V239" s="20" t="n">
        <v>-1814</v>
      </c>
      <c r="W239" s="20" t="n">
        <v>-283</v>
      </c>
      <c r="X239" s="20" t="n">
        <v>-1524</v>
      </c>
    </row>
    <row r="240">
      <c r="A240" s="18" t="inlineStr">
        <is>
          <t>장기차입</t>
        </is>
      </c>
      <c r="S240" s="20" t="n">
        <v>0</v>
      </c>
      <c r="T240" s="20" t="n">
        <v>1600</v>
      </c>
      <c r="U240" s="20" t="n">
        <v>0</v>
      </c>
    </row>
    <row r="241">
      <c r="A241" s="18" t="inlineStr">
        <is>
          <t>장기차입금 상환</t>
        </is>
      </c>
      <c r="D241" s="20" t="n">
        <v>-228</v>
      </c>
      <c r="F241" s="20" t="n">
        <v>-114</v>
      </c>
      <c r="H241" s="20" t="n">
        <v>-228</v>
      </c>
      <c r="J241" s="20" t="n">
        <v>-114</v>
      </c>
      <c r="L241" s="20" t="n">
        <v>-228</v>
      </c>
      <c r="N241" s="20" t="n">
        <v>-114</v>
      </c>
      <c r="O241" s="20" t="n">
        <v>-71</v>
      </c>
      <c r="P241" s="20" t="n">
        <v>-83</v>
      </c>
      <c r="Q241" s="20" t="n">
        <v>-77</v>
      </c>
      <c r="R241" s="20" t="n">
        <v>-82</v>
      </c>
      <c r="S241" s="20" t="n">
        <v>0</v>
      </c>
      <c r="T241" s="20" t="n">
        <v>-133</v>
      </c>
      <c r="U241" s="20" t="n">
        <v>-228</v>
      </c>
      <c r="V241" s="20" t="n">
        <v>-228</v>
      </c>
      <c r="W241" s="20" t="n">
        <v>-228</v>
      </c>
      <c r="X241" s="20" t="n">
        <v>-228</v>
      </c>
    </row>
    <row r="242">
      <c r="A242" s="18" t="inlineStr">
        <is>
          <t>주식 발행</t>
        </is>
      </c>
      <c r="H242" s="20" t="n">
        <v>1431</v>
      </c>
      <c r="L242" s="20" t="n">
        <v>0</v>
      </c>
      <c r="P242" s="20" t="n">
        <v>0</v>
      </c>
      <c r="Q242" s="20" t="n">
        <v>557</v>
      </c>
      <c r="R242" s="20" t="n">
        <v>0</v>
      </c>
      <c r="W242" s="20" t="n">
        <v>1431</v>
      </c>
      <c r="X242" s="20" t="n">
        <v>0</v>
      </c>
    </row>
    <row r="243">
      <c r="A243" s="18" t="inlineStr">
        <is>
          <t>자기주식 취득</t>
        </is>
      </c>
      <c r="D243" s="20" t="n">
        <v>-0</v>
      </c>
      <c r="F243" s="20" t="n">
        <v>0</v>
      </c>
      <c r="H243" s="20" t="n">
        <v>-0</v>
      </c>
      <c r="J243" s="20" t="n">
        <v>-0</v>
      </c>
      <c r="L243" s="20" t="n">
        <v>-0</v>
      </c>
      <c r="N243" s="20" t="n">
        <v>-0</v>
      </c>
      <c r="O243" s="20" t="n">
        <v>-0</v>
      </c>
      <c r="P243" s="20" t="n">
        <v>-0</v>
      </c>
      <c r="Q243" s="20" t="n">
        <v>-0</v>
      </c>
      <c r="R243" s="20" t="n">
        <v>-0</v>
      </c>
      <c r="S243" s="20" t="n">
        <v>-0</v>
      </c>
      <c r="T243" s="20" t="n">
        <v>-0</v>
      </c>
      <c r="U243" s="20" t="n">
        <v>0</v>
      </c>
      <c r="V243" s="20" t="n">
        <v>-0</v>
      </c>
      <c r="W243" s="20" t="n">
        <v>-0</v>
      </c>
      <c r="X243" s="20" t="n">
        <v>-0</v>
      </c>
    </row>
    <row r="244">
      <c r="A244" s="18" t="inlineStr">
        <is>
          <t>배당금 지급</t>
        </is>
      </c>
      <c r="D244" s="20" t="n">
        <v>-395</v>
      </c>
      <c r="F244" s="20" t="n">
        <v>-212</v>
      </c>
      <c r="H244" s="20" t="n">
        <v>-456</v>
      </c>
      <c r="J244" s="20" t="n">
        <v>-269</v>
      </c>
      <c r="L244" s="20" t="n">
        <v>-608</v>
      </c>
      <c r="N244" s="20" t="n">
        <v>-338</v>
      </c>
      <c r="O244" s="20" t="n">
        <v>-137</v>
      </c>
      <c r="P244" s="20" t="n">
        <v>-171</v>
      </c>
      <c r="Q244" s="20" t="n">
        <v>-182</v>
      </c>
      <c r="R244" s="20" t="n">
        <v>-265</v>
      </c>
      <c r="S244" s="20" t="n">
        <v>-241</v>
      </c>
      <c r="T244" s="20" t="n">
        <v>-302</v>
      </c>
      <c r="U244" s="20" t="n">
        <v>-424</v>
      </c>
      <c r="V244" s="20" t="n">
        <v>-395</v>
      </c>
      <c r="W244" s="20" t="n">
        <v>-456</v>
      </c>
      <c r="X244" s="20" t="n">
        <v>-608</v>
      </c>
    </row>
    <row r="245">
      <c r="A245" s="18" t="inlineStr">
        <is>
          <t>리스부채 상환</t>
        </is>
      </c>
      <c r="D245" s="20" t="n">
        <v>-61</v>
      </c>
      <c r="F245" s="20" t="n">
        <v>-34</v>
      </c>
      <c r="H245" s="20" t="n">
        <v>-70</v>
      </c>
      <c r="J245" s="20" t="n">
        <v>-15</v>
      </c>
      <c r="L245" s="20" t="n">
        <v>-60</v>
      </c>
      <c r="N245" s="20" t="n">
        <v>-37</v>
      </c>
      <c r="O245" s="20" t="n">
        <v>-28</v>
      </c>
      <c r="P245" s="20" t="n">
        <v>-27</v>
      </c>
      <c r="Q245" s="20" t="n">
        <v>-30</v>
      </c>
      <c r="R245" s="20" t="n">
        <v>-27</v>
      </c>
      <c r="S245" s="20" t="n">
        <v>-37</v>
      </c>
      <c r="T245" s="20" t="n">
        <v>-33</v>
      </c>
      <c r="U245" s="20" t="n">
        <v>-60</v>
      </c>
      <c r="V245" s="20" t="n">
        <v>-61</v>
      </c>
      <c r="W245" s="20" t="n">
        <v>-70</v>
      </c>
      <c r="X245" s="20" t="n">
        <v>-60</v>
      </c>
    </row>
    <row r="246">
      <c r="A246" s="18" t="inlineStr">
        <is>
          <t>세일앤리스백 수입</t>
        </is>
      </c>
      <c r="O246" s="20" t="n">
        <v>0</v>
      </c>
      <c r="P246" s="20" t="n">
        <v>25</v>
      </c>
      <c r="Q246" s="20" t="n">
        <v>0</v>
      </c>
    </row>
    <row r="247">
      <c r="A247" s="9" t="inlineStr">
        <is>
          <t>재무활동 현금흐름</t>
        </is>
      </c>
      <c r="D247" s="12" t="n">
        <v>-2499</v>
      </c>
      <c r="F247" s="12" t="n">
        <v>-2247</v>
      </c>
      <c r="H247" s="12" t="n">
        <v>391</v>
      </c>
      <c r="J247" s="12" t="n">
        <v>-2093</v>
      </c>
      <c r="L247" s="12" t="n">
        <v>-2422</v>
      </c>
      <c r="N247" s="12" t="n">
        <v>-412</v>
      </c>
      <c r="O247" s="12" t="n">
        <v>-122</v>
      </c>
      <c r="P247" s="12" t="n">
        <v>654</v>
      </c>
      <c r="Q247" s="12" t="n">
        <v>-489</v>
      </c>
      <c r="R247" s="12" t="n">
        <v>-1319</v>
      </c>
      <c r="S247" s="12" t="n">
        <v>1518</v>
      </c>
      <c r="T247" s="12" t="n">
        <v>154</v>
      </c>
      <c r="U247" s="12" t="n">
        <v>1040</v>
      </c>
      <c r="V247" s="12" t="n">
        <v>-2499</v>
      </c>
      <c r="W247" s="12" t="n">
        <v>391</v>
      </c>
      <c r="X247" s="12" t="n">
        <v>-2422</v>
      </c>
    </row>
    <row r="248">
      <c r="A248" s="18" t="inlineStr">
        <is>
          <t>현금성자산 환산차이</t>
        </is>
      </c>
      <c r="D248" s="20" t="n">
        <v>11</v>
      </c>
      <c r="F248" s="20" t="n">
        <v>29</v>
      </c>
      <c r="H248" s="20" t="n">
        <v>19</v>
      </c>
      <c r="J248" s="20" t="n">
        <v>-12</v>
      </c>
      <c r="L248" s="20" t="n">
        <v>6</v>
      </c>
      <c r="N248" s="20" t="n">
        <v>8</v>
      </c>
      <c r="O248" s="20" t="n">
        <v>-19</v>
      </c>
      <c r="P248" s="20" t="n">
        <v>4</v>
      </c>
      <c r="Q248" s="20" t="n">
        <v>-12</v>
      </c>
      <c r="R248" s="20" t="n">
        <v>-9</v>
      </c>
      <c r="S248" s="20" t="n">
        <v>5</v>
      </c>
      <c r="T248" s="20" t="n">
        <v>17</v>
      </c>
      <c r="U248" s="20" t="n">
        <v>10</v>
      </c>
      <c r="V248" s="20" t="n">
        <v>11</v>
      </c>
      <c r="W248" s="20" t="n">
        <v>19</v>
      </c>
      <c r="X248" s="20" t="n">
        <v>6</v>
      </c>
    </row>
    <row r="249">
      <c r="A249" s="18" t="inlineStr">
        <is>
          <t>현금성자산 증감</t>
        </is>
      </c>
      <c r="D249" s="20" t="n">
        <v>-70</v>
      </c>
      <c r="F249" s="20" t="n">
        <v>547</v>
      </c>
      <c r="H249" s="20" t="n">
        <v>911</v>
      </c>
      <c r="J249" s="20" t="n">
        <v>3728</v>
      </c>
      <c r="L249" s="20" t="n">
        <v>91</v>
      </c>
      <c r="N249" s="20" t="n">
        <v>5117</v>
      </c>
      <c r="O249" s="20" t="n">
        <v>-31</v>
      </c>
      <c r="P249" s="20" t="n">
        <v>-333</v>
      </c>
      <c r="Q249" s="20" t="n">
        <v>290</v>
      </c>
      <c r="R249" s="20" t="n">
        <v>40</v>
      </c>
      <c r="S249" s="20" t="n">
        <v>262</v>
      </c>
      <c r="T249" s="20" t="n">
        <v>25</v>
      </c>
      <c r="U249" s="20" t="n">
        <v>473</v>
      </c>
      <c r="V249" s="20" t="n">
        <v>-70</v>
      </c>
      <c r="W249" s="20" t="n">
        <v>911</v>
      </c>
      <c r="X249" s="20" t="n">
        <v>91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29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6653 재무상태표</t>
        </is>
      </c>
    </row>
    <row r="2">
      <c r="A2" s="43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2025.2Q</t>
        </is>
      </c>
      <c r="D3" s="5" t="inlineStr">
        <is>
          <t>2025.3Q</t>
        </is>
      </c>
      <c r="E3" s="5" t="inlineStr">
        <is>
          <t>2025.4Q</t>
        </is>
      </c>
      <c r="F3" s="5" t="inlineStr">
        <is>
          <t>2026.1Q</t>
        </is>
      </c>
      <c r="G3" s="5" t="inlineStr">
        <is>
          <t>2026.2Q</t>
        </is>
      </c>
      <c r="H3" s="6" t="inlineStr">
        <is>
          <t>2021</t>
        </is>
      </c>
      <c r="I3" s="5" t="inlineStr">
        <is>
          <t>2022</t>
        </is>
      </c>
      <c r="J3" s="5" t="inlineStr">
        <is>
          <t>2023</t>
        </is>
      </c>
      <c r="K3" s="5" t="inlineStr">
        <is>
          <t>2024</t>
        </is>
      </c>
      <c r="L3" s="5" t="inlineStr">
        <is>
          <t>2025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17178</v>
      </c>
      <c r="D5" s="12" t="n">
        <v>16009</v>
      </c>
      <c r="E5" s="12" t="n">
        <v>21612</v>
      </c>
      <c r="F5" s="12" t="n">
        <v>20683</v>
      </c>
      <c r="G5" s="12" t="n">
        <v>20768</v>
      </c>
      <c r="H5" s="11" t="n">
        <v>16945</v>
      </c>
      <c r="I5" s="12" t="n">
        <v>19365</v>
      </c>
      <c r="J5" s="12" t="n">
        <v>18480</v>
      </c>
      <c r="K5" s="12" t="n">
        <v>20060</v>
      </c>
      <c r="L5" s="12" t="n">
        <v>21612</v>
      </c>
    </row>
    <row r="6">
      <c r="A6" s="18" t="inlineStr">
        <is>
          <t>현금및현금성자산</t>
        </is>
      </c>
      <c r="B6" s="10" t="n"/>
      <c r="C6" s="19" t="n">
        <v>6896</v>
      </c>
      <c r="D6" s="20" t="n">
        <v>3625</v>
      </c>
      <c r="E6" s="20" t="n">
        <v>3260</v>
      </c>
      <c r="F6" s="20" t="n">
        <v>4078</v>
      </c>
      <c r="G6" s="20" t="n">
        <v>8377</v>
      </c>
      <c r="H6" s="19" t="n">
        <v>1853</v>
      </c>
      <c r="I6" s="20" t="n">
        <v>2327</v>
      </c>
      <c r="J6" s="20" t="n">
        <v>2257</v>
      </c>
      <c r="K6" s="20" t="n">
        <v>3168</v>
      </c>
      <c r="L6" s="20" t="n">
        <v>3260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7309</v>
      </c>
      <c r="D8" s="20" t="n">
        <v>9035</v>
      </c>
      <c r="E8" s="20" t="n">
        <v>14942</v>
      </c>
      <c r="F8" s="20" t="n">
        <v>13447</v>
      </c>
      <c r="G8" s="20" t="n">
        <v>8920</v>
      </c>
      <c r="H8" s="19" t="n">
        <v>0</v>
      </c>
      <c r="I8" s="20" t="n">
        <v>13965</v>
      </c>
      <c r="J8" s="20" t="n">
        <v>13181</v>
      </c>
      <c r="K8" s="20" t="n">
        <v>13781</v>
      </c>
      <c r="L8" s="20" t="n">
        <v>14942</v>
      </c>
    </row>
    <row r="9">
      <c r="A9" s="18" t="inlineStr">
        <is>
          <t>재고자산</t>
        </is>
      </c>
      <c r="B9" s="10" t="n"/>
      <c r="C9" s="19" t="n">
        <v>2694</v>
      </c>
      <c r="D9" s="20" t="n">
        <v>3062</v>
      </c>
      <c r="E9" s="20" t="n">
        <v>3063</v>
      </c>
      <c r="F9" s="20" t="n">
        <v>2834</v>
      </c>
      <c r="G9" s="20" t="n">
        <v>3130</v>
      </c>
      <c r="H9" s="19" t="n">
        <v>2694</v>
      </c>
      <c r="I9" s="20" t="n">
        <v>2665</v>
      </c>
      <c r="J9" s="20" t="n">
        <v>2741</v>
      </c>
      <c r="K9" s="20" t="n">
        <v>2895</v>
      </c>
      <c r="L9" s="20" t="n">
        <v>3063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10754</v>
      </c>
      <c r="D11" s="12" t="n">
        <v>12674</v>
      </c>
      <c r="E11" s="12" t="n">
        <v>13103</v>
      </c>
      <c r="F11" s="12" t="n">
        <v>15574</v>
      </c>
      <c r="G11" s="12" t="n">
        <v>15497</v>
      </c>
      <c r="H11" s="11" t="n">
        <v>8848</v>
      </c>
      <c r="I11" s="12" t="n">
        <v>8689</v>
      </c>
      <c r="J11" s="12" t="n">
        <v>10274</v>
      </c>
      <c r="K11" s="12" t="n">
        <v>10270</v>
      </c>
      <c r="L11" s="12" t="n">
        <v>13103</v>
      </c>
    </row>
    <row r="12">
      <c r="A12" s="18" t="inlineStr">
        <is>
          <t>유형자산</t>
        </is>
      </c>
      <c r="B12" s="10" t="n"/>
      <c r="C12" s="19" t="n">
        <v>6103</v>
      </c>
      <c r="D12" s="20" t="n">
        <v>7458</v>
      </c>
      <c r="E12" s="20" t="n">
        <v>7445</v>
      </c>
      <c r="F12" s="20" t="n">
        <v>9253</v>
      </c>
      <c r="G12" s="20" t="n">
        <v>9258</v>
      </c>
      <c r="H12" s="19" t="n">
        <v>5399</v>
      </c>
      <c r="I12" s="20" t="n">
        <v>5276</v>
      </c>
      <c r="J12" s="20" t="n">
        <v>5768</v>
      </c>
      <c r="K12" s="20" t="n">
        <v>5773</v>
      </c>
      <c r="L12" s="20" t="n">
        <v>7445</v>
      </c>
    </row>
    <row r="13">
      <c r="A13" s="18" t="inlineStr">
        <is>
          <t>무형자산</t>
        </is>
      </c>
      <c r="B13" s="10" t="n"/>
      <c r="C13" s="19" t="n">
        <v>200</v>
      </c>
      <c r="D13" s="20" t="n">
        <v>189</v>
      </c>
      <c r="E13" s="20" t="n">
        <v>220</v>
      </c>
      <c r="F13" s="20" t="n">
        <v>249</v>
      </c>
      <c r="G13" s="20" t="n">
        <v>247</v>
      </c>
      <c r="H13" s="19" t="n">
        <v>174</v>
      </c>
      <c r="I13" s="20" t="n">
        <v>232</v>
      </c>
      <c r="J13" s="20" t="n">
        <v>226</v>
      </c>
      <c r="K13" s="20" t="n">
        <v>211</v>
      </c>
      <c r="L13" s="20" t="n">
        <v>220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27933</v>
      </c>
      <c r="D16" s="12" t="n">
        <v>28684</v>
      </c>
      <c r="E16" s="12" t="n">
        <v>34715</v>
      </c>
      <c r="F16" s="12" t="n">
        <v>36257</v>
      </c>
      <c r="G16" s="12" t="n">
        <v>36266</v>
      </c>
      <c r="H16" s="11" t="n">
        <v>25793</v>
      </c>
      <c r="I16" s="12" t="n">
        <v>28055</v>
      </c>
      <c r="J16" s="12" t="n">
        <v>28755</v>
      </c>
      <c r="K16" s="12" t="n">
        <v>30331</v>
      </c>
      <c r="L16" s="12" t="n">
        <v>34715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8096</v>
      </c>
      <c r="D18" s="12" t="n">
        <v>8362</v>
      </c>
      <c r="E18" s="12" t="n">
        <v>13373</v>
      </c>
      <c r="F18" s="12" t="n">
        <v>13402</v>
      </c>
      <c r="G18" s="12" t="n">
        <v>13181</v>
      </c>
      <c r="H18" s="11" t="n">
        <v>11252</v>
      </c>
      <c r="I18" s="12" t="n">
        <v>13167</v>
      </c>
      <c r="J18" s="12" t="n">
        <v>12271</v>
      </c>
      <c r="K18" s="12" t="n">
        <v>11574</v>
      </c>
      <c r="L18" s="12" t="n">
        <v>13373</v>
      </c>
    </row>
    <row r="19">
      <c r="A19" s="18" t="inlineStr">
        <is>
          <t>매입채무</t>
        </is>
      </c>
      <c r="B19" s="10" t="n"/>
      <c r="C19" s="19" t="n">
        <v>2354</v>
      </c>
      <c r="D19" s="20" t="n">
        <v>2641</v>
      </c>
      <c r="E19" s="20" t="n">
        <v>6106</v>
      </c>
      <c r="F19" s="20" t="n">
        <v>3928</v>
      </c>
      <c r="G19" s="20" t="n">
        <v>4293</v>
      </c>
      <c r="H19" s="19" t="n">
        <v>4459</v>
      </c>
      <c r="I19" s="20" t="n">
        <v>4484</v>
      </c>
      <c r="J19" s="20" t="n">
        <v>5548</v>
      </c>
      <c r="K19" s="20" t="n">
        <v>4620</v>
      </c>
      <c r="L19" s="20" t="n">
        <v>6106</v>
      </c>
    </row>
    <row r="20">
      <c r="A20" s="18" t="inlineStr">
        <is>
          <t>단기차입금</t>
        </is>
      </c>
      <c r="B20" s="10" t="n"/>
      <c r="C20" s="19" t="n">
        <v>503</v>
      </c>
      <c r="D20" s="20" t="n">
        <v>575</v>
      </c>
      <c r="E20" s="20" t="n">
        <v>655</v>
      </c>
      <c r="F20" s="20" t="n">
        <v>3262</v>
      </c>
      <c r="G20" s="20" t="n">
        <v>780</v>
      </c>
      <c r="H20" s="19" t="n">
        <v>2475</v>
      </c>
      <c r="I20" s="20" t="n">
        <v>4253</v>
      </c>
      <c r="J20" s="20" t="n">
        <v>2466</v>
      </c>
      <c r="K20" s="20" t="n">
        <v>2162</v>
      </c>
      <c r="L20" s="20" t="n">
        <v>655</v>
      </c>
    </row>
    <row r="21">
      <c r="A21" s="18" t="inlineStr">
        <is>
          <t>유동성장기부채</t>
        </is>
      </c>
      <c r="B21" s="10" t="n"/>
      <c r="C21" s="19" t="n"/>
      <c r="D21" s="20" t="n"/>
      <c r="E21" s="20" t="n"/>
      <c r="F21" s="20" t="n"/>
      <c r="G21" s="20" t="n"/>
      <c r="H21" s="19" t="n"/>
      <c r="I21" s="20" t="n"/>
      <c r="J21" s="20" t="n"/>
      <c r="K21" s="20" t="n"/>
      <c r="L21" s="20" t="n"/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3087</v>
      </c>
      <c r="D23" s="12" t="n">
        <v>3122</v>
      </c>
      <c r="E23" s="12" t="n">
        <v>3252</v>
      </c>
      <c r="F23" s="12" t="n">
        <v>3589</v>
      </c>
      <c r="G23" s="12" t="n">
        <v>3468</v>
      </c>
      <c r="H23" s="11" t="n">
        <v>3600</v>
      </c>
      <c r="I23" s="12" t="n">
        <v>3322</v>
      </c>
      <c r="J23" s="12" t="n">
        <v>3271</v>
      </c>
      <c r="K23" s="12" t="n">
        <v>2873</v>
      </c>
      <c r="L23" s="12" t="n">
        <v>3252</v>
      </c>
    </row>
    <row r="24">
      <c r="A24" s="18" t="inlineStr">
        <is>
          <t>장기차입금</t>
        </is>
      </c>
      <c r="B24" s="10" t="n"/>
      <c r="C24" s="19" t="n">
        <v>437</v>
      </c>
      <c r="D24" s="20" t="n">
        <v>380</v>
      </c>
      <c r="E24" s="20" t="n">
        <v>323</v>
      </c>
      <c r="F24" s="20" t="n">
        <v>266</v>
      </c>
      <c r="G24" s="20" t="n">
        <v>209</v>
      </c>
      <c r="H24" s="19" t="n">
        <v>1237</v>
      </c>
      <c r="I24" s="20" t="n">
        <v>1009</v>
      </c>
      <c r="J24" s="20" t="n">
        <v>780</v>
      </c>
      <c r="K24" s="20" t="n">
        <v>552</v>
      </c>
      <c r="L24" s="20" t="n">
        <v>323</v>
      </c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11183</v>
      </c>
      <c r="D27" s="12" t="n">
        <v>11485</v>
      </c>
      <c r="E27" s="12" t="n">
        <v>16626</v>
      </c>
      <c r="F27" s="12" t="n">
        <v>16991</v>
      </c>
      <c r="G27" s="12" t="n">
        <v>16649</v>
      </c>
      <c r="H27" s="11" t="n">
        <v>14853</v>
      </c>
      <c r="I27" s="12" t="n">
        <v>16490</v>
      </c>
      <c r="J27" s="12" t="n">
        <v>15542</v>
      </c>
      <c r="K27" s="12" t="n">
        <v>14448</v>
      </c>
      <c r="L27" s="12" t="n">
        <v>16626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16749</v>
      </c>
      <c r="D31" s="12" t="n">
        <v>17198</v>
      </c>
      <c r="E31" s="12" t="n">
        <v>18089</v>
      </c>
      <c r="F31" s="12" t="n">
        <v>19265</v>
      </c>
      <c r="G31" s="12" t="n">
        <v>19616</v>
      </c>
      <c r="H31" s="11" t="n">
        <v>10940</v>
      </c>
      <c r="I31" s="12" t="n">
        <v>11565</v>
      </c>
      <c r="J31" s="12" t="n">
        <v>13212</v>
      </c>
      <c r="K31" s="12" t="n">
        <v>15882</v>
      </c>
      <c r="L31" s="12" t="n">
        <v>18089</v>
      </c>
    </row>
    <row r="32">
      <c r="A32" s="18" t="inlineStr">
        <is>
          <t>자본금</t>
        </is>
      </c>
      <c r="B32" s="10" t="n"/>
      <c r="C32" s="19" t="n">
        <v>3323</v>
      </c>
      <c r="D32" s="20" t="n">
        <v>3323</v>
      </c>
      <c r="E32" s="20" t="n">
        <v>3323</v>
      </c>
      <c r="F32" s="20" t="n">
        <v>3323</v>
      </c>
      <c r="G32" s="20" t="n">
        <v>3323</v>
      </c>
      <c r="H32" s="19" t="n">
        <v>2607</v>
      </c>
      <c r="I32" s="20" t="n">
        <v>2607</v>
      </c>
      <c r="J32" s="20" t="n">
        <v>2607</v>
      </c>
      <c r="K32" s="20" t="n">
        <v>3323</v>
      </c>
      <c r="L32" s="20" t="n">
        <v>3323</v>
      </c>
    </row>
    <row r="33">
      <c r="A33" s="18" t="inlineStr">
        <is>
          <t>이익잉여금</t>
        </is>
      </c>
      <c r="B33" s="10" t="n"/>
      <c r="C33" s="19" t="n">
        <v>8822</v>
      </c>
      <c r="D33" s="20" t="n">
        <v>8879</v>
      </c>
      <c r="E33" s="20" t="n">
        <v>9544</v>
      </c>
      <c r="F33" s="20" t="n">
        <v>10263</v>
      </c>
      <c r="G33" s="20" t="n">
        <v>10665</v>
      </c>
      <c r="H33" s="19" t="n">
        <v>5570</v>
      </c>
      <c r="I33" s="20" t="n">
        <v>6229</v>
      </c>
      <c r="J33" s="20" t="n">
        <v>7036</v>
      </c>
      <c r="K33" s="20" t="n">
        <v>8116</v>
      </c>
      <c r="L33" s="20" t="n">
        <v>9544</v>
      </c>
    </row>
    <row r="34">
      <c r="A34" s="18" t="inlineStr">
        <is>
          <t>비지배지분</t>
        </is>
      </c>
      <c r="B34" s="10" t="n"/>
      <c r="C34" s="19" t="n"/>
      <c r="D34" s="20" t="n"/>
      <c r="E34" s="20" t="n"/>
      <c r="F34" s="20" t="n"/>
      <c r="G34" s="20" t="n"/>
      <c r="H34" s="19" t="n"/>
      <c r="I34" s="20" t="n"/>
      <c r="J34" s="20" t="n"/>
      <c r="K34" s="20" t="n"/>
      <c r="L34" s="20" t="n"/>
    </row>
    <row r="35">
      <c r="A35" s="9" t="inlineStr">
        <is>
          <t>자본총계</t>
        </is>
      </c>
      <c r="B35" s="10" t="n"/>
      <c r="C35" s="11" t="n">
        <v>16749</v>
      </c>
      <c r="D35" s="12" t="n">
        <v>17198</v>
      </c>
      <c r="E35" s="12" t="n">
        <v>18089</v>
      </c>
      <c r="F35" s="12" t="n">
        <v>19265</v>
      </c>
      <c r="G35" s="12" t="n">
        <v>19616</v>
      </c>
      <c r="H35" s="11" t="n">
        <v>10940</v>
      </c>
      <c r="I35" s="12" t="n">
        <v>11565</v>
      </c>
      <c r="J35" s="12" t="n">
        <v>13212</v>
      </c>
      <c r="K35" s="12" t="n">
        <v>15882</v>
      </c>
      <c r="L35" s="12" t="n">
        <v>18089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3453</v>
      </c>
      <c r="D37" s="12" t="n"/>
      <c r="E37" s="12" t="n">
        <v>3808</v>
      </c>
      <c r="F37" s="12" t="n"/>
      <c r="G37" s="12" t="n">
        <v>5124</v>
      </c>
      <c r="H37" s="11" t="n">
        <v>1638</v>
      </c>
      <c r="I37" s="12" t="n">
        <v>-79</v>
      </c>
      <c r="J37" s="12" t="n">
        <v>3190</v>
      </c>
      <c r="K37" s="12" t="n">
        <v>339</v>
      </c>
      <c r="L37" s="12" t="n">
        <v>3808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>
        <v>353</v>
      </c>
      <c r="D38" s="20" t="n"/>
      <c r="E38" s="20" t="n">
        <v>1695</v>
      </c>
      <c r="F38" s="20" t="n"/>
      <c r="G38" s="20" t="n">
        <v>3433</v>
      </c>
      <c r="H38" s="19" t="n">
        <v>1750</v>
      </c>
      <c r="I38" s="20" t="n">
        <v>547</v>
      </c>
      <c r="J38" s="20" t="n">
        <v>952</v>
      </c>
      <c r="K38" s="20" t="n">
        <v>399</v>
      </c>
      <c r="L38" s="20" t="n">
        <v>1695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513</v>
      </c>
      <c r="D40" s="20" t="n"/>
      <c r="E40" s="20" t="n">
        <v>608</v>
      </c>
      <c r="F40" s="20" t="n"/>
      <c r="G40" s="20" t="n">
        <v>677</v>
      </c>
      <c r="H40" s="19" t="n">
        <v>302</v>
      </c>
      <c r="I40" s="20" t="n">
        <v>424</v>
      </c>
      <c r="J40" s="20" t="n">
        <v>395</v>
      </c>
      <c r="K40" s="20" t="n">
        <v>456</v>
      </c>
      <c r="L40" s="20" t="n">
        <v>608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4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4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4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4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4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4" t="inlineStr">
        <is>
          <t>이자보상배율</t>
        </is>
      </c>
      <c r="B48" s="10" t="inlineStr">
        <is>
          <t>5x↑ (금융원가 기준)</t>
        </is>
      </c>
      <c r="C48" s="30">
        <f>IFERROR((IF(COUNT('연간'!G40:J40)&lt;4,"",SUM('연간'!G40:J40)))/(IF(COUNT('연간'!G62:J62)&lt;4,"",SUM('연간'!G62:J62))),"")</f>
        <v/>
      </c>
      <c r="D48" s="31">
        <f>IFERROR((IF(COUNT('연간'!H40:K40)&lt;4,"",SUM('연간'!H40:K40)))/(IF(COUNT('연간'!H62:K62)&lt;4,"",SUM('연간'!H62:K62))),"")</f>
        <v/>
      </c>
      <c r="E48" s="31">
        <f>IFERROR((IF(COUNT('연간'!I40:L40)&lt;4,"",SUM('연간'!I40:L40)))/(IF(COUNT('연간'!I62:L62)&lt;4,"",SUM('연간'!I62:L62))),"")</f>
        <v/>
      </c>
      <c r="F48" s="31">
        <f>IFERROR((IF(COUNT('연간'!J40:M40)&lt;4,"",SUM('연간'!J40:M40)))/(IF(COUNT('연간'!J62:M62)&lt;4,"",SUM('연간'!J62:M62))),"")</f>
        <v/>
      </c>
      <c r="G48" s="31">
        <f>IFERROR((IF(COUNT('연간'!K40:N40)&lt;4,"",SUM('연간'!K40:N40)))/(IF(COUNT('연간'!K62:N62)&lt;4,"",SUM('연간'!K62:N62))),"")</f>
        <v/>
      </c>
      <c r="H48" s="30">
        <f>IFERROR(('연간'!T40)/('연간'!T62),"")</f>
        <v/>
      </c>
      <c r="I48" s="31">
        <f>IFERROR(('연간'!U40)/('연간'!U62),"")</f>
        <v/>
      </c>
      <c r="J48" s="31">
        <f>IFERROR(('연간'!V40)/('연간'!V62),"")</f>
        <v/>
      </c>
      <c r="K48" s="31">
        <f>IFERROR(('연간'!W40)/('연간'!W62),"")</f>
        <v/>
      </c>
      <c r="L48" s="31">
        <f>IFERROR(('연간'!X40)/('연간'!X62),"")</f>
        <v/>
      </c>
    </row>
    <row r="49">
      <c r="A49" s="44" t="inlineStr">
        <is>
          <t>차입금 상환연수</t>
        </is>
      </c>
      <c r="B49" s="10" t="inlineStr">
        <is>
          <t>4년↓ (버핏)</t>
        </is>
      </c>
      <c r="C49" s="45">
        <f>IFERROR(IF((IF(COUNT('연간'!G68:J68)&lt;4,"",SUM('연간'!G68:J68)))&lt;=0,"적자",C28/(IF(COUNT('연간'!G68:J68)&lt;4,"",SUM('연간'!G68:J68)))),"")</f>
        <v/>
      </c>
      <c r="D49" s="46">
        <f>IFERROR(IF((IF(COUNT('연간'!H68:K68)&lt;4,"",SUM('연간'!H68:K68)))&lt;=0,"적자",D28/(IF(COUNT('연간'!H68:K68)&lt;4,"",SUM('연간'!H68:K68)))),"")</f>
        <v/>
      </c>
      <c r="E49" s="46">
        <f>IFERROR(IF((IF(COUNT('연간'!I68:L68)&lt;4,"",SUM('연간'!I68:L68)))&lt;=0,"적자",E28/(IF(COUNT('연간'!I68:L68)&lt;4,"",SUM('연간'!I68:L68)))),"")</f>
        <v/>
      </c>
      <c r="F49" s="46">
        <f>IFERROR(IF((IF(COUNT('연간'!J68:M68)&lt;4,"",SUM('연간'!J68:M68)))&lt;=0,"적자",F28/(IF(COUNT('연간'!J68:M68)&lt;4,"",SUM('연간'!J68:M68)))),"")</f>
        <v/>
      </c>
      <c r="G49" s="46">
        <f>IFERROR(IF((IF(COUNT('연간'!K68:N68)&lt;4,"",SUM('연간'!K68:N68)))&lt;=0,"적자",G28/(IF(COUNT('연간'!K68:N68)&lt;4,"",SUM('연간'!K68:N68)))),"")</f>
        <v/>
      </c>
      <c r="H49" s="45">
        <f>IFERROR(IF(('연간'!T68)&lt;=0,"적자",H28/('연간'!T68)),"")</f>
        <v/>
      </c>
      <c r="I49" s="46">
        <f>IFERROR(IF(('연간'!U68)&lt;=0,"적자",I28/('연간'!U68)),"")</f>
        <v/>
      </c>
      <c r="J49" s="46">
        <f>IFERROR(IF(('연간'!V68)&lt;=0,"적자",J28/('연간'!V68)),"")</f>
        <v/>
      </c>
      <c r="K49" s="46">
        <f>IFERROR(IF(('연간'!W68)&lt;=0,"적자",K28/('연간'!W68)),"")</f>
        <v/>
      </c>
      <c r="L49" s="46">
        <f>IFERROR(IF(('연간'!X68)&lt;=0,"적자",L28/('연간'!X68)),"")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4" t="inlineStr">
        <is>
          <t>ROE</t>
        </is>
      </c>
      <c r="B51" s="10" t="inlineStr">
        <is>
          <t>15%↑ (버핏)</t>
        </is>
      </c>
      <c r="C51" s="35">
        <f>IFERROR((IF(COUNT('연간'!G68:J68)&lt;4,"",SUM('연간'!G68:J68)))/C31,"")</f>
        <v/>
      </c>
      <c r="D51" s="36">
        <f>IFERROR((IF(COUNT('연간'!H68:K68)&lt;4,"",SUM('연간'!H68:K68)))/D31,"")</f>
        <v/>
      </c>
      <c r="E51" s="36">
        <f>IFERROR((IF(COUNT('연간'!I68:L68)&lt;4,"",SUM('연간'!I68:L68)))/E31,"")</f>
        <v/>
      </c>
      <c r="F51" s="36">
        <f>IFERROR((IF(COUNT('연간'!J68:M68)&lt;4,"",SUM('연간'!J68:M68)))/F31,"")</f>
        <v/>
      </c>
      <c r="G51" s="36">
        <f>IFERROR((IF(COUNT('연간'!K68:N68)&lt;4,"",SUM('연간'!K68:N68)))/G31,"")</f>
        <v/>
      </c>
      <c r="H51" s="35">
        <f>IFERROR(('연간'!T68)/H31,"")</f>
        <v/>
      </c>
      <c r="I51" s="36">
        <f>IFERROR(('연간'!U68)/I31,"")</f>
        <v/>
      </c>
      <c r="J51" s="36">
        <f>IFERROR(('연간'!V68)/J31,"")</f>
        <v/>
      </c>
      <c r="K51" s="36">
        <f>IFERROR(('연간'!W68)/K31,"")</f>
        <v/>
      </c>
      <c r="L51" s="36">
        <f>IFERROR(('연간'!X68)/L31,"")</f>
        <v/>
      </c>
    </row>
    <row r="52">
      <c r="A52" s="44" t="inlineStr">
        <is>
          <t>ROA</t>
        </is>
      </c>
      <c r="B52" s="10" t="inlineStr">
        <is>
          <t>5%↑</t>
        </is>
      </c>
      <c r="C52" s="35">
        <f>IFERROR((IF(COUNT('연간'!G67:J67)&lt;4,"",SUM('연간'!G67:J67)))/C16,"")</f>
        <v/>
      </c>
      <c r="D52" s="36">
        <f>IFERROR((IF(COUNT('연간'!H67:K67)&lt;4,"",SUM('연간'!H67:K67)))/D16,"")</f>
        <v/>
      </c>
      <c r="E52" s="36">
        <f>IFERROR((IF(COUNT('연간'!I67:L67)&lt;4,"",SUM('연간'!I67:L67)))/E16,"")</f>
        <v/>
      </c>
      <c r="F52" s="36">
        <f>IFERROR((IF(COUNT('연간'!J67:M67)&lt;4,"",SUM('연간'!J67:M67)))/F16,"")</f>
        <v/>
      </c>
      <c r="G52" s="36">
        <f>IFERROR((IF(COUNT('연간'!K67:N67)&lt;4,"",SUM('연간'!K67:N67)))/G16,"")</f>
        <v/>
      </c>
      <c r="H52" s="35">
        <f>IFERROR(('연간'!T67)/H16,"")</f>
        <v/>
      </c>
      <c r="I52" s="36">
        <f>IFERROR(('연간'!U67)/I16,"")</f>
        <v/>
      </c>
      <c r="J52" s="36">
        <f>IFERROR(('연간'!V67)/J16,"")</f>
        <v/>
      </c>
      <c r="K52" s="36">
        <f>IFERROR(('연간'!W67)/K16,"")</f>
        <v/>
      </c>
      <c r="L52" s="36">
        <f>IFERROR(('연간'!X67)/L16,"")</f>
        <v/>
      </c>
    </row>
    <row r="53">
      <c r="A53" s="44" t="inlineStr">
        <is>
          <t>ROIC</t>
        </is>
      </c>
      <c r="B53" s="10" t="inlineStr">
        <is>
          <t>10%↑ (세후영업이익 기준)</t>
        </is>
      </c>
      <c r="C53" s="35">
        <f>IFERROR((IF(COUNT('연간'!G40:J40)&lt;4,"",SUM('연간'!G40:J40)))*(1-0.3)/(C35+C29),"")</f>
        <v/>
      </c>
      <c r="D53" s="36">
        <f>IFERROR((IF(COUNT('연간'!H40:K40)&lt;4,"",SUM('연간'!H40:K40)))*(1-0.3)/(D35+D29),"")</f>
        <v/>
      </c>
      <c r="E53" s="36">
        <f>IFERROR((IF(COUNT('연간'!I40:L40)&lt;4,"",SUM('연간'!I40:L40)))*(1-0.3)/(E35+E29),"")</f>
        <v/>
      </c>
      <c r="F53" s="36">
        <f>IFERROR((IF(COUNT('연간'!J40:M40)&lt;4,"",SUM('연간'!J40:M40)))*(1-0.3)/(F35+F29),"")</f>
        <v/>
      </c>
      <c r="G53" s="36">
        <f>IFERROR((IF(COUNT('연간'!K40:N40)&lt;4,"",SUM('연간'!K40:N40)))*(1-0.3)/(G35+G29),"")</f>
        <v/>
      </c>
      <c r="H53" s="35">
        <f>IFERROR(('연간'!T40)*(1-0.3)/(H35+H29),"")</f>
        <v/>
      </c>
      <c r="I53" s="36">
        <f>IFERROR(('연간'!U40)*(1-0.3)/(I35+I29),"")</f>
        <v/>
      </c>
      <c r="J53" s="36">
        <f>IFERROR(('연간'!V40)*(1-0.3)/(J35+J29),"")</f>
        <v/>
      </c>
      <c r="K53" s="36">
        <f>IFERROR(('연간'!W40)*(1-0.3)/(K35+K29),"")</f>
        <v/>
      </c>
      <c r="L53" s="36">
        <f>IFERROR(('연간'!X40)*(1-0.3)/(L35+L29),"")</f>
        <v/>
      </c>
    </row>
    <row r="54">
      <c r="A54" s="44" t="inlineStr">
        <is>
          <t>매출총이익률 (GPM)</t>
        </is>
      </c>
      <c r="B54" s="10" t="inlineStr">
        <is>
          <t>40%↑ (해자 신호)</t>
        </is>
      </c>
      <c r="C54" s="35">
        <f>IFERROR((IF(COUNT('연간'!G36:J36)&lt;4,"",SUM('연간'!G36:J36)))/(IF(COUNT('연간'!G4:J4)&lt;4,"",SUM('연간'!G4:J4))),"")</f>
        <v/>
      </c>
      <c r="D54" s="36">
        <f>IFERROR((IF(COUNT('연간'!H36:K36)&lt;4,"",SUM('연간'!H36:K36)))/(IF(COUNT('연간'!H4:K4)&lt;4,"",SUM('연간'!H4:K4))),"")</f>
        <v/>
      </c>
      <c r="E54" s="36">
        <f>IFERROR((IF(COUNT('연간'!I36:L36)&lt;4,"",SUM('연간'!I36:L36)))/(IF(COUNT('연간'!I4:L4)&lt;4,"",SUM('연간'!I4:L4))),"")</f>
        <v/>
      </c>
      <c r="F54" s="36">
        <f>IFERROR((IF(COUNT('연간'!J36:M36)&lt;4,"",SUM('연간'!J36:M36)))/(IF(COUNT('연간'!J4:M4)&lt;4,"",SUM('연간'!J4:M4))),"")</f>
        <v/>
      </c>
      <c r="G54" s="36">
        <f>IFERROR((IF(COUNT('연간'!K36:N36)&lt;4,"",SUM('연간'!K36:N36)))/(IF(COUNT('연간'!K4:N4)&lt;4,"",SUM('연간'!K4:N4))),"")</f>
        <v/>
      </c>
      <c r="H54" s="35">
        <f>IFERROR(('연간'!T36)/('연간'!T4),"")</f>
        <v/>
      </c>
      <c r="I54" s="36">
        <f>IFERROR(('연간'!U36)/('연간'!U4),"")</f>
        <v/>
      </c>
      <c r="J54" s="36">
        <f>IFERROR(('연간'!V36)/('연간'!V4),"")</f>
        <v/>
      </c>
      <c r="K54" s="36">
        <f>IFERROR(('연간'!W36)/('연간'!W4),"")</f>
        <v/>
      </c>
      <c r="L54" s="36">
        <f>IFERROR(('연간'!X36)/('연간'!X4),"")</f>
        <v/>
      </c>
    </row>
    <row r="55">
      <c r="A55" s="44" t="inlineStr">
        <is>
          <t>영업이익률 (OPM)</t>
        </is>
      </c>
      <c r="B55" s="10" t="inlineStr">
        <is>
          <t>15%↑</t>
        </is>
      </c>
      <c r="C55" s="35">
        <f>IFERROR((IF(COUNT('연간'!G40:J40)&lt;4,"",SUM('연간'!G40:J40)))/(IF(COUNT('연간'!G4:J4)&lt;4,"",SUM('연간'!G4:J4))),"")</f>
        <v/>
      </c>
      <c r="D55" s="36">
        <f>IFERROR((IF(COUNT('연간'!H40:K40)&lt;4,"",SUM('연간'!H40:K40)))/(IF(COUNT('연간'!H4:K4)&lt;4,"",SUM('연간'!H4:K4))),"")</f>
        <v/>
      </c>
      <c r="E55" s="36">
        <f>IFERROR((IF(COUNT('연간'!I40:L40)&lt;4,"",SUM('연간'!I40:L40)))/(IF(COUNT('연간'!I4:L4)&lt;4,"",SUM('연간'!I4:L4))),"")</f>
        <v/>
      </c>
      <c r="F55" s="36">
        <f>IFERROR((IF(COUNT('연간'!J40:M40)&lt;4,"",SUM('연간'!J40:M40)))/(IF(COUNT('연간'!J4:M4)&lt;4,"",SUM('연간'!J4:M4))),"")</f>
        <v/>
      </c>
      <c r="G55" s="36">
        <f>IFERROR((IF(COUNT('연간'!K40:N40)&lt;4,"",SUM('연간'!K40:N40)))/(IF(COUNT('연간'!K4:N4)&lt;4,"",SUM('연간'!K4:N4))),"")</f>
        <v/>
      </c>
      <c r="H55" s="35">
        <f>IFERROR(('연간'!T40)/('연간'!T4),"")</f>
        <v/>
      </c>
      <c r="I55" s="36">
        <f>IFERROR(('연간'!U40)/('연간'!U4),"")</f>
        <v/>
      </c>
      <c r="J55" s="36">
        <f>IFERROR(('연간'!V40)/('연간'!V4),"")</f>
        <v/>
      </c>
      <c r="K55" s="36">
        <f>IFERROR(('연간'!W40)/('연간'!W4),"")</f>
        <v/>
      </c>
      <c r="L55" s="36">
        <f>IFERROR(('연간'!X40)/('연간'!X4),"")</f>
        <v/>
      </c>
    </row>
    <row r="56">
      <c r="A56" s="44" t="inlineStr">
        <is>
          <t>순이익률</t>
        </is>
      </c>
      <c r="B56" s="10" t="inlineStr">
        <is>
          <t>10%↑</t>
        </is>
      </c>
      <c r="C56" s="35">
        <f>IFERROR((IF(COUNT('연간'!G67:J67)&lt;4,"",SUM('연간'!G67:J67)))/(IF(COUNT('연간'!G4:J4)&lt;4,"",SUM('연간'!G4:J4))),"")</f>
        <v/>
      </c>
      <c r="D56" s="36">
        <f>IFERROR((IF(COUNT('연간'!H67:K67)&lt;4,"",SUM('연간'!H67:K67)))/(IF(COUNT('연간'!H4:K4)&lt;4,"",SUM('연간'!H4:K4))),"")</f>
        <v/>
      </c>
      <c r="E56" s="36">
        <f>IFERROR((IF(COUNT('연간'!I67:L67)&lt;4,"",SUM('연간'!I67:L67)))/(IF(COUNT('연간'!I4:L4)&lt;4,"",SUM('연간'!I4:L4))),"")</f>
        <v/>
      </c>
      <c r="F56" s="36">
        <f>IFERROR((IF(COUNT('연간'!J67:M67)&lt;4,"",SUM('연간'!J67:M67)))/(IF(COUNT('연간'!J4:M4)&lt;4,"",SUM('연간'!J4:M4))),"")</f>
        <v/>
      </c>
      <c r="G56" s="36">
        <f>IFERROR((IF(COUNT('연간'!K67:N67)&lt;4,"",SUM('연간'!K67:N67)))/(IF(COUNT('연간'!K4:N4)&lt;4,"",SUM('연간'!K4:N4))),"")</f>
        <v/>
      </c>
      <c r="H56" s="35">
        <f>IFERROR(('연간'!T67)/('연간'!T4),"")</f>
        <v/>
      </c>
      <c r="I56" s="36">
        <f>IFERROR(('연간'!U67)/('연간'!U4),"")</f>
        <v/>
      </c>
      <c r="J56" s="36">
        <f>IFERROR(('연간'!V67)/('연간'!V4),"")</f>
        <v/>
      </c>
      <c r="K56" s="36">
        <f>IFERROR(('연간'!W67)/('연간'!W4),"")</f>
        <v/>
      </c>
      <c r="L56" s="36">
        <f>IFERROR(('연간'!X67)/('연간'!X4),"")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4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4" t="inlineStr">
        <is>
          <t>매출채권회전일수</t>
        </is>
      </c>
      <c r="B59" s="10" t="inlineStr">
        <is>
          <t>짧을수록↑</t>
        </is>
      </c>
      <c r="C59" s="47">
        <f>IFERROR(C8/(IF(COUNT('연간'!G4:J4)&lt;4,"",SUM('연간'!G4:J4)))*365,"")</f>
        <v/>
      </c>
      <c r="D59" s="48">
        <f>IFERROR(D8/(IF(COUNT('연간'!H4:K4)&lt;4,"",SUM('연간'!H4:K4)))*365,"")</f>
        <v/>
      </c>
      <c r="E59" s="48">
        <f>IFERROR(E8/(IF(COUNT('연간'!I4:L4)&lt;4,"",SUM('연간'!I4:L4)))*365,"")</f>
        <v/>
      </c>
      <c r="F59" s="48">
        <f>IFERROR(F8/(IF(COUNT('연간'!J4:M4)&lt;4,"",SUM('연간'!J4:M4)))*365,"")</f>
        <v/>
      </c>
      <c r="G59" s="48">
        <f>IFERROR(G8/(IF(COUNT('연간'!K4:N4)&lt;4,"",SUM('연간'!K4:N4)))*365,"")</f>
        <v/>
      </c>
      <c r="H59" s="47">
        <f>IFERROR(H8/('연간'!T4)*365,"")</f>
        <v/>
      </c>
      <c r="I59" s="48">
        <f>IFERROR(I8/('연간'!U4)*365,"")</f>
        <v/>
      </c>
      <c r="J59" s="48">
        <f>IFERROR(J8/('연간'!V4)*365,"")</f>
        <v/>
      </c>
      <c r="K59" s="48">
        <f>IFERROR(K8/('연간'!W4)*365,"")</f>
        <v/>
      </c>
      <c r="L59" s="48">
        <f>IFERROR(L8/('연간'!X4)*365,"")</f>
        <v/>
      </c>
    </row>
    <row r="60">
      <c r="A60" s="44" t="inlineStr">
        <is>
          <t>재고자산회전일수</t>
        </is>
      </c>
      <c r="B60" s="10" t="inlineStr">
        <is>
          <t>짧을수록↑</t>
        </is>
      </c>
      <c r="C60" s="47">
        <f>IFERROR(C9/(IF(COUNT('연간'!G35:J35)&lt;4,"",SUM('연간'!G35:J35)))*365,"")</f>
        <v/>
      </c>
      <c r="D60" s="48">
        <f>IFERROR(D9/(IF(COUNT('연간'!H35:K35)&lt;4,"",SUM('연간'!H35:K35)))*365,"")</f>
        <v/>
      </c>
      <c r="E60" s="48">
        <f>IFERROR(E9/(IF(COUNT('연간'!I35:L35)&lt;4,"",SUM('연간'!I35:L35)))*365,"")</f>
        <v/>
      </c>
      <c r="F60" s="48">
        <f>IFERROR(F9/(IF(COUNT('연간'!J35:M35)&lt;4,"",SUM('연간'!J35:M35)))*365,"")</f>
        <v/>
      </c>
      <c r="G60" s="48">
        <f>IFERROR(G9/(IF(COUNT('연간'!K35:N35)&lt;4,"",SUM('연간'!K35:N35)))*365,"")</f>
        <v/>
      </c>
      <c r="H60" s="47">
        <f>IFERROR(H9/('연간'!T35)*365,"")</f>
        <v/>
      </c>
      <c r="I60" s="48">
        <f>IFERROR(I9/('연간'!U35)*365,"")</f>
        <v/>
      </c>
      <c r="J60" s="48">
        <f>IFERROR(J9/('연간'!V35)*365,"")</f>
        <v/>
      </c>
      <c r="K60" s="48">
        <f>IFERROR(K9/('연간'!W35)*365,"")</f>
        <v/>
      </c>
      <c r="L60" s="48">
        <f>IFERROR(L9/('연간'!X35)*365,"")</f>
        <v/>
      </c>
    </row>
    <row r="61">
      <c r="A61" s="44" t="inlineStr">
        <is>
          <t>매입채무회전일수</t>
        </is>
      </c>
      <c r="B61" s="10" t="inlineStr">
        <is>
          <t>길수록 유리</t>
        </is>
      </c>
      <c r="C61" s="47">
        <f>IFERROR(C19/(IF(COUNT('연간'!G35:J35)&lt;4,"",SUM('연간'!G35:J35)))*365,"")</f>
        <v/>
      </c>
      <c r="D61" s="48">
        <f>IFERROR(D19/(IF(COUNT('연간'!H35:K35)&lt;4,"",SUM('연간'!H35:K35)))*365,"")</f>
        <v/>
      </c>
      <c r="E61" s="48">
        <f>IFERROR(E19/(IF(COUNT('연간'!I35:L35)&lt;4,"",SUM('연간'!I35:L35)))*365,"")</f>
        <v/>
      </c>
      <c r="F61" s="48">
        <f>IFERROR(F19/(IF(COUNT('연간'!J35:M35)&lt;4,"",SUM('연간'!J35:M35)))*365,"")</f>
        <v/>
      </c>
      <c r="G61" s="48">
        <f>IFERROR(G19/(IF(COUNT('연간'!K35:N35)&lt;4,"",SUM('연간'!K35:N35)))*365,"")</f>
        <v/>
      </c>
      <c r="H61" s="47">
        <f>IFERROR(H19/('연간'!T35)*365,"")</f>
        <v/>
      </c>
      <c r="I61" s="48">
        <f>IFERROR(I19/('연간'!U35)*365,"")</f>
        <v/>
      </c>
      <c r="J61" s="48">
        <f>IFERROR(J19/('연간'!V35)*365,"")</f>
        <v/>
      </c>
      <c r="K61" s="48">
        <f>IFERROR(K19/('연간'!W35)*365,"")</f>
        <v/>
      </c>
      <c r="L61" s="48">
        <f>IFERROR(L19/('연간'!X35)*365,"")</f>
        <v/>
      </c>
    </row>
    <row r="62">
      <c r="A62" s="44" t="inlineStr">
        <is>
          <t>현금전환주기 (CCC)</t>
        </is>
      </c>
      <c r="B62" s="10" t="inlineStr">
        <is>
          <t>짧을수록↑</t>
        </is>
      </c>
      <c r="C62" s="47">
        <f>IF(OR(C59="",C60="",C61=""),"",IFERROR(C59+C60-C61,""))</f>
        <v/>
      </c>
      <c r="D62" s="48">
        <f>IF(OR(D59="",D60="",D61=""),"",IFERROR(D59+D60-D61,""))</f>
        <v/>
      </c>
      <c r="E62" s="48">
        <f>IF(OR(E59="",E60="",E61=""),"",IFERROR(E59+E60-E61,""))</f>
        <v/>
      </c>
      <c r="F62" s="48">
        <f>IF(OR(F59="",F60="",F61=""),"",IFERROR(F59+F60-F61,""))</f>
        <v/>
      </c>
      <c r="G62" s="48">
        <f>IF(OR(G59="",G60="",G61=""),"",IFERROR(G59+G60-G61,""))</f>
        <v/>
      </c>
      <c r="H62" s="47">
        <f>IF(OR(H59="",H60="",H61=""),"",IFERROR(H59+H60-H61,""))</f>
        <v/>
      </c>
      <c r="I62" s="48">
        <f>IF(OR(I59="",I60="",I61=""),"",IFERROR(I59+I60-I61,""))</f>
        <v/>
      </c>
      <c r="J62" s="48">
        <f>IF(OR(J59="",J60="",J61=""),"",IFERROR(J59+J60-J61,""))</f>
        <v/>
      </c>
      <c r="K62" s="48">
        <f>IF(OR(K59="",K60="",K61=""),"",IFERROR(K59+K60-K61,""))</f>
        <v/>
      </c>
      <c r="L62" s="48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4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IF(C37="","",IFERROR(C37/(IF(COUNT('연간'!G67:J67)&lt;4,"",SUM('연간'!G67:J67))),""))</f>
        <v/>
      </c>
      <c r="D64" s="31">
        <f>IF(D37="","",IFERROR(D37/(IF(COUNT('연간'!H67:K67)&lt;4,"",SUM('연간'!H67:K67))),""))</f>
        <v/>
      </c>
      <c r="E64" s="31">
        <f>IF(E37="","",IFERROR(E37/(IF(COUNT('연간'!I67:L67)&lt;4,"",SUM('연간'!I67:L67))),""))</f>
        <v/>
      </c>
      <c r="F64" s="31">
        <f>IF(F37="","",IFERROR(F37/(IF(COUNT('연간'!J67:M67)&lt;4,"",SUM('연간'!J67:M67))),""))</f>
        <v/>
      </c>
      <c r="G64" s="31">
        <f>IF(G37="","",IFERROR(G37/(IF(COUNT('연간'!K67:N67)&lt;4,"",SUM('연간'!K67:N67))),""))</f>
        <v/>
      </c>
      <c r="H64" s="30">
        <f>IF(H37="","",IFERROR(H37/('연간'!T67),""))</f>
        <v/>
      </c>
      <c r="I64" s="31">
        <f>IF(I37="","",IFERROR(I37/('연간'!U67),""))</f>
        <v/>
      </c>
      <c r="J64" s="31">
        <f>IF(J37="","",IFERROR(J37/('연간'!V67),""))</f>
        <v/>
      </c>
      <c r="K64" s="31">
        <f>IF(K37="","",IFERROR(K37/('연간'!W67),""))</f>
        <v/>
      </c>
      <c r="L64" s="31">
        <f>IF(L37="","",IFERROR(L37/('연간'!X67),""))</f>
        <v/>
      </c>
    </row>
    <row r="65">
      <c r="A65" s="44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4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4" t="inlineStr">
        <is>
          <t>배당성향</t>
        </is>
      </c>
      <c r="B67" s="10" t="inlineStr">
        <is>
          <t>참고</t>
        </is>
      </c>
      <c r="C67" s="35">
        <f>IF(C40="","",IFERROR(C40/(IF(COUNT('연간'!G68:J68)&lt;4,"",SUM('연간'!G68:J68))),""))</f>
        <v/>
      </c>
      <c r="D67" s="36">
        <f>IF(D40="","",IFERROR(D40/(IF(COUNT('연간'!H68:K68)&lt;4,"",SUM('연간'!H68:K68))),""))</f>
        <v/>
      </c>
      <c r="E67" s="36">
        <f>IF(E40="","",IFERROR(E40/(IF(COUNT('연간'!I68:L68)&lt;4,"",SUM('연간'!I68:L68))),""))</f>
        <v/>
      </c>
      <c r="F67" s="36">
        <f>IF(F40="","",IFERROR(F40/(IF(COUNT('연간'!J68:M68)&lt;4,"",SUM('연간'!J68:M68))),""))</f>
        <v/>
      </c>
      <c r="G67" s="36">
        <f>IF(G40="","",IFERROR(G40/(IF(COUNT('연간'!K68:N68)&lt;4,"",SUM('연간'!K68:N68))),""))</f>
        <v/>
      </c>
      <c r="H67" s="35">
        <f>IF(H40="","",IFERROR(H40/('연간'!T68),""))</f>
        <v/>
      </c>
      <c r="I67" s="36">
        <f>IF(I40="","",IFERROR(I40/('연간'!U68),""))</f>
        <v/>
      </c>
      <c r="J67" s="36">
        <f>IF(J40="","",IFERROR(J40/('연간'!V68),""))</f>
        <v/>
      </c>
      <c r="K67" s="36">
        <f>IF(K40="","",IFERROR(K40/('연간'!W68),""))</f>
        <v/>
      </c>
      <c r="L67" s="36">
        <f>IF(L40="","",IFERROR(L40/('연간'!X68),""))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2025.2Q</t>
        </is>
      </c>
      <c r="D70" s="5" t="inlineStr">
        <is>
          <t>2025.3Q</t>
        </is>
      </c>
      <c r="E70" s="5" t="inlineStr">
        <is>
          <t>2025.4Q</t>
        </is>
      </c>
      <c r="F70" s="5" t="inlineStr">
        <is>
          <t>2026.1Q</t>
        </is>
      </c>
      <c r="G70" s="5" t="inlineStr">
        <is>
          <t>2026.2Q</t>
        </is>
      </c>
      <c r="H70" s="5" t="inlineStr">
        <is>
          <t>2021</t>
        </is>
      </c>
      <c r="I70" s="5" t="inlineStr">
        <is>
          <t>2022</t>
        </is>
      </c>
      <c r="J70" s="5" t="inlineStr">
        <is>
          <t>2023</t>
        </is>
      </c>
      <c r="K70" s="5" t="inlineStr">
        <is>
          <t>2024</t>
        </is>
      </c>
      <c r="L70" s="5" t="inlineStr">
        <is>
          <t>2025</t>
        </is>
      </c>
    </row>
    <row r="71">
      <c r="A71" s="18" t="inlineStr">
        <is>
          <t>현금 및 예금</t>
        </is>
      </c>
      <c r="C71" s="20" t="n">
        <v>6896</v>
      </c>
      <c r="D71" s="20" t="n">
        <v>3625</v>
      </c>
      <c r="E71" s="20" t="n">
        <v>3260</v>
      </c>
      <c r="F71" s="20" t="n">
        <v>4078</v>
      </c>
      <c r="G71" s="20" t="n">
        <v>8377</v>
      </c>
      <c r="H71" s="20" t="n">
        <v>1853</v>
      </c>
      <c r="I71" s="20" t="n">
        <v>2327</v>
      </c>
      <c r="J71" s="20" t="n">
        <v>2257</v>
      </c>
      <c r="K71" s="20" t="n">
        <v>3168</v>
      </c>
      <c r="L71" s="20" t="n">
        <v>3260</v>
      </c>
    </row>
    <row r="72">
      <c r="A72" s="18" t="inlineStr">
        <is>
          <t>받을어음·매출채권</t>
        </is>
      </c>
      <c r="H72" s="20" t="n">
        <v>12155</v>
      </c>
      <c r="I72" s="20" t="n">
        <v>0</v>
      </c>
    </row>
    <row r="73">
      <c r="A73" s="18" t="inlineStr">
        <is>
          <t>받을어음·매출채권·계약자산</t>
        </is>
      </c>
      <c r="C73" s="20" t="n">
        <v>7309</v>
      </c>
      <c r="D73" s="20" t="n">
        <v>9035</v>
      </c>
      <c r="E73" s="20" t="n">
        <v>14942</v>
      </c>
      <c r="F73" s="20" t="n">
        <v>13447</v>
      </c>
      <c r="G73" s="20" t="n">
        <v>8920</v>
      </c>
      <c r="H73" s="20" t="n">
        <v>0</v>
      </c>
      <c r="I73" s="20" t="n">
        <v>13965</v>
      </c>
      <c r="J73" s="20" t="n">
        <v>13181</v>
      </c>
      <c r="K73" s="20" t="n">
        <v>13781</v>
      </c>
      <c r="L73" s="20" t="n">
        <v>14942</v>
      </c>
    </row>
    <row r="74">
      <c r="A74" s="18" t="inlineStr">
        <is>
          <t>상품·제품</t>
        </is>
      </c>
      <c r="C74" s="20" t="n">
        <v>655</v>
      </c>
      <c r="D74" s="20" t="n">
        <v>737</v>
      </c>
      <c r="E74" s="20" t="n">
        <v>797</v>
      </c>
      <c r="F74" s="20" t="n">
        <v>852</v>
      </c>
      <c r="G74" s="20" t="n">
        <v>871</v>
      </c>
      <c r="H74" s="20" t="n">
        <v>753</v>
      </c>
      <c r="I74" s="20" t="n">
        <v>535</v>
      </c>
      <c r="J74" s="20" t="n">
        <v>330</v>
      </c>
      <c r="K74" s="20" t="n">
        <v>637</v>
      </c>
      <c r="L74" s="20" t="n">
        <v>797</v>
      </c>
    </row>
    <row r="75">
      <c r="A75" s="18" t="inlineStr">
        <is>
          <t>재공품</t>
        </is>
      </c>
      <c r="C75" s="20" t="n">
        <v>1620</v>
      </c>
      <c r="D75" s="20" t="n">
        <v>1889</v>
      </c>
      <c r="E75" s="20" t="n">
        <v>1851</v>
      </c>
      <c r="F75" s="20" t="n">
        <v>1549</v>
      </c>
      <c r="G75" s="20" t="n">
        <v>1763</v>
      </c>
      <c r="H75" s="20" t="n">
        <v>1621</v>
      </c>
      <c r="I75" s="20" t="n">
        <v>1727</v>
      </c>
      <c r="J75" s="20" t="n">
        <v>1936</v>
      </c>
      <c r="K75" s="20" t="n">
        <v>1839</v>
      </c>
      <c r="L75" s="20" t="n">
        <v>1851</v>
      </c>
    </row>
    <row r="76">
      <c r="A76" s="18" t="inlineStr">
        <is>
          <t>원재료</t>
        </is>
      </c>
      <c r="C76" s="20" t="n">
        <v>419</v>
      </c>
      <c r="D76" s="20" t="n">
        <v>436</v>
      </c>
      <c r="E76" s="20" t="n">
        <v>415</v>
      </c>
      <c r="F76" s="20" t="n">
        <v>433</v>
      </c>
      <c r="G76" s="20" t="n">
        <v>496</v>
      </c>
      <c r="H76" s="20" t="n">
        <v>320</v>
      </c>
      <c r="I76" s="20" t="n">
        <v>403</v>
      </c>
      <c r="J76" s="20" t="n">
        <v>475</v>
      </c>
      <c r="K76" s="20" t="n">
        <v>419</v>
      </c>
      <c r="L76" s="20" t="n">
        <v>415</v>
      </c>
    </row>
    <row r="77">
      <c r="A77" s="18" t="inlineStr">
        <is>
          <t>기타</t>
        </is>
      </c>
      <c r="C77" s="20" t="n">
        <v>291</v>
      </c>
      <c r="D77" s="20" t="n">
        <v>300</v>
      </c>
      <c r="E77" s="20" t="n">
        <v>361</v>
      </c>
      <c r="F77" s="20" t="n">
        <v>337</v>
      </c>
      <c r="G77" s="20" t="n">
        <v>356</v>
      </c>
      <c r="H77" s="20" t="n">
        <v>252</v>
      </c>
      <c r="I77" s="20" t="n">
        <v>423</v>
      </c>
      <c r="J77" s="20" t="n">
        <v>317</v>
      </c>
      <c r="K77" s="20" t="n">
        <v>230</v>
      </c>
      <c r="L77" s="20" t="n">
        <v>361</v>
      </c>
    </row>
    <row r="78">
      <c r="A78" s="18" t="inlineStr">
        <is>
          <t>대손충당금</t>
        </is>
      </c>
      <c r="C78" s="20" t="n">
        <v>-15</v>
      </c>
      <c r="D78" s="20" t="n">
        <v>-14</v>
      </c>
      <c r="E78" s="20" t="n">
        <v>-16</v>
      </c>
      <c r="F78" s="20" t="n">
        <v>-16</v>
      </c>
      <c r="G78" s="20" t="n">
        <v>-18</v>
      </c>
      <c r="H78" s="20" t="n">
        <v>-13</v>
      </c>
      <c r="I78" s="20" t="n">
        <v>-16</v>
      </c>
      <c r="J78" s="20" t="n">
        <v>-17</v>
      </c>
      <c r="K78" s="20" t="n">
        <v>-16</v>
      </c>
      <c r="L78" s="20" t="n">
        <v>-16</v>
      </c>
    </row>
    <row r="79">
      <c r="A79" s="9" t="inlineStr">
        <is>
          <t>유동자산 합계</t>
        </is>
      </c>
      <c r="C79" s="12" t="n">
        <v>17178</v>
      </c>
      <c r="D79" s="12" t="n">
        <v>16009</v>
      </c>
      <c r="E79" s="12" t="n">
        <v>21612</v>
      </c>
      <c r="F79" s="12" t="n">
        <v>20683</v>
      </c>
      <c r="G79" s="12" t="n">
        <v>20768</v>
      </c>
      <c r="H79" s="12" t="n">
        <v>16945</v>
      </c>
      <c r="I79" s="12" t="n">
        <v>19365</v>
      </c>
      <c r="J79" s="12" t="n">
        <v>18480</v>
      </c>
      <c r="K79" s="12" t="n">
        <v>20060</v>
      </c>
      <c r="L79" s="12" t="n">
        <v>21612</v>
      </c>
    </row>
    <row r="80">
      <c r="A80" s="18" t="inlineStr">
        <is>
          <t>건물·구축물</t>
        </is>
      </c>
      <c r="E80" s="20" t="n">
        <v>9645</v>
      </c>
      <c r="H80" s="20" t="n">
        <v>8669</v>
      </c>
      <c r="I80" s="20" t="n">
        <v>8772</v>
      </c>
      <c r="J80" s="20" t="n">
        <v>9023</v>
      </c>
      <c r="K80" s="20" t="n">
        <v>9502</v>
      </c>
      <c r="L80" s="20" t="n">
        <v>9645</v>
      </c>
    </row>
    <row r="81">
      <c r="A81" s="18" t="inlineStr">
        <is>
          <t>감가상각누계액</t>
        </is>
      </c>
      <c r="E81" s="20" t="n">
        <v>-5511</v>
      </c>
      <c r="H81" s="20" t="n">
        <v>-4630</v>
      </c>
      <c r="I81" s="20" t="n">
        <v>-4843</v>
      </c>
      <c r="J81" s="20" t="n">
        <v>-5051</v>
      </c>
      <c r="K81" s="20" t="n">
        <v>-5268</v>
      </c>
      <c r="L81" s="20" t="n">
        <v>-5511</v>
      </c>
    </row>
    <row r="82">
      <c r="A82" s="18" t="inlineStr">
        <is>
          <t>건물·구축물(순액)</t>
        </is>
      </c>
      <c r="C82" s="20" t="n">
        <v>4142</v>
      </c>
      <c r="D82" s="20" t="n">
        <v>4146</v>
      </c>
      <c r="E82" s="20" t="n">
        <v>4133</v>
      </c>
      <c r="F82" s="20" t="n">
        <v>4083</v>
      </c>
      <c r="G82" s="20" t="n">
        <v>4042</v>
      </c>
      <c r="H82" s="20" t="n">
        <v>4038</v>
      </c>
      <c r="I82" s="20" t="n">
        <v>3928</v>
      </c>
      <c r="J82" s="20" t="n">
        <v>3972</v>
      </c>
      <c r="K82" s="20" t="n">
        <v>4234</v>
      </c>
      <c r="L82" s="20" t="n">
        <v>4133</v>
      </c>
    </row>
    <row r="83">
      <c r="A83" s="18" t="inlineStr">
        <is>
          <t>기계장치·운반구</t>
        </is>
      </c>
      <c r="E83" s="20" t="n">
        <v>1592</v>
      </c>
      <c r="H83" s="20" t="n">
        <v>1552</v>
      </c>
      <c r="I83" s="20" t="n">
        <v>1585</v>
      </c>
      <c r="J83" s="20" t="n">
        <v>1541</v>
      </c>
      <c r="K83" s="20" t="n">
        <v>1548</v>
      </c>
      <c r="L83" s="20" t="n">
        <v>1592</v>
      </c>
    </row>
    <row r="84">
      <c r="A84" s="18" t="inlineStr">
        <is>
          <t>감가상각누계액</t>
        </is>
      </c>
      <c r="E84" s="20" t="n">
        <v>-1485</v>
      </c>
      <c r="H84" s="20" t="n">
        <v>-1422</v>
      </c>
      <c r="I84" s="20" t="n">
        <v>-1452</v>
      </c>
      <c r="J84" s="20" t="n">
        <v>-1417</v>
      </c>
      <c r="K84" s="20" t="n">
        <v>-1436</v>
      </c>
      <c r="L84" s="20" t="n">
        <v>-1485</v>
      </c>
    </row>
    <row r="85">
      <c r="A85" s="18" t="inlineStr">
        <is>
          <t>기계장치·운반구(순액)</t>
        </is>
      </c>
      <c r="E85" s="20" t="n">
        <v>106</v>
      </c>
      <c r="H85" s="20" t="n">
        <v>130</v>
      </c>
      <c r="I85" s="20" t="n">
        <v>132</v>
      </c>
      <c r="J85" s="20" t="n">
        <v>124</v>
      </c>
      <c r="K85" s="20" t="n">
        <v>111</v>
      </c>
      <c r="L85" s="20" t="n">
        <v>106</v>
      </c>
    </row>
    <row r="86">
      <c r="A86" s="18" t="inlineStr">
        <is>
          <t>공구·기구·비품</t>
        </is>
      </c>
      <c r="E86" s="20" t="n">
        <v>1446</v>
      </c>
      <c r="H86" s="20" t="n">
        <v>1394</v>
      </c>
      <c r="I86" s="20" t="n">
        <v>1415</v>
      </c>
      <c r="J86" s="20" t="n">
        <v>1414</v>
      </c>
      <c r="K86" s="20" t="n">
        <v>1423</v>
      </c>
      <c r="L86" s="20" t="n">
        <v>1446</v>
      </c>
    </row>
    <row r="87">
      <c r="A87" s="18" t="inlineStr">
        <is>
          <t>감가상각누계액</t>
        </is>
      </c>
      <c r="E87" s="20" t="n">
        <v>-1363</v>
      </c>
      <c r="H87" s="20" t="n">
        <v>-1258</v>
      </c>
      <c r="I87" s="20" t="n">
        <v>-1318</v>
      </c>
      <c r="J87" s="20" t="n">
        <v>-1324</v>
      </c>
      <c r="K87" s="20" t="n">
        <v>-1345</v>
      </c>
      <c r="L87" s="20" t="n">
        <v>-1363</v>
      </c>
    </row>
    <row r="88">
      <c r="A88" s="18" t="inlineStr">
        <is>
          <t>공구·기구·비품(순액)</t>
        </is>
      </c>
      <c r="E88" s="20" t="n">
        <v>83</v>
      </c>
      <c r="H88" s="20" t="n">
        <v>135</v>
      </c>
      <c r="I88" s="20" t="n">
        <v>96</v>
      </c>
      <c r="J88" s="20" t="n">
        <v>90</v>
      </c>
      <c r="K88" s="20" t="n">
        <v>78</v>
      </c>
      <c r="L88" s="20" t="n">
        <v>83</v>
      </c>
    </row>
    <row r="89">
      <c r="A89" s="18" t="inlineStr">
        <is>
          <t>토지</t>
        </is>
      </c>
      <c r="E89" s="20" t="n">
        <v>1143</v>
      </c>
      <c r="H89" s="20" t="n">
        <v>827</v>
      </c>
      <c r="I89" s="20" t="n">
        <v>827</v>
      </c>
      <c r="J89" s="20" t="n">
        <v>1148</v>
      </c>
      <c r="K89" s="20" t="n">
        <v>1136</v>
      </c>
      <c r="L89" s="20" t="n">
        <v>1143</v>
      </c>
    </row>
    <row r="90">
      <c r="A90" s="18" t="inlineStr">
        <is>
          <t>리스자산</t>
        </is>
      </c>
      <c r="E90" s="20" t="n">
        <v>856</v>
      </c>
      <c r="H90" s="20" t="n">
        <v>476</v>
      </c>
      <c r="I90" s="20" t="n">
        <v>516</v>
      </c>
      <c r="J90" s="20" t="n">
        <v>450</v>
      </c>
      <c r="K90" s="20" t="n">
        <v>393</v>
      </c>
      <c r="L90" s="20" t="n">
        <v>856</v>
      </c>
    </row>
    <row r="91">
      <c r="A91" s="18" t="inlineStr">
        <is>
          <t>감가상각누계액</t>
        </is>
      </c>
      <c r="E91" s="20" t="n">
        <v>-382</v>
      </c>
      <c r="H91" s="20" t="n">
        <v>-227</v>
      </c>
      <c r="I91" s="20" t="n">
        <v>-275</v>
      </c>
      <c r="J91" s="20" t="n">
        <v>-252</v>
      </c>
      <c r="K91" s="20" t="n">
        <v>-246</v>
      </c>
      <c r="L91" s="20" t="n">
        <v>-382</v>
      </c>
    </row>
    <row r="92">
      <c r="A92" s="18" t="inlineStr">
        <is>
          <t>리스자산(순액)</t>
        </is>
      </c>
      <c r="E92" s="20" t="n">
        <v>473</v>
      </c>
      <c r="H92" s="20" t="n">
        <v>249</v>
      </c>
      <c r="I92" s="20" t="n">
        <v>241</v>
      </c>
      <c r="J92" s="20" t="n">
        <v>197</v>
      </c>
      <c r="K92" s="20" t="n">
        <v>146</v>
      </c>
      <c r="L92" s="20" t="n">
        <v>473</v>
      </c>
    </row>
    <row r="93">
      <c r="A93" s="18" t="inlineStr">
        <is>
          <t>건설중인자산</t>
        </is>
      </c>
      <c r="E93" s="20" t="n">
        <v>1504</v>
      </c>
      <c r="H93" s="20" t="n">
        <v>18</v>
      </c>
      <c r="I93" s="20" t="n">
        <v>48</v>
      </c>
      <c r="J93" s="20" t="n">
        <v>235</v>
      </c>
      <c r="K93" s="20" t="n">
        <v>65</v>
      </c>
      <c r="L93" s="20" t="n">
        <v>1504</v>
      </c>
    </row>
    <row r="94">
      <c r="A94" s="18" t="inlineStr">
        <is>
          <t>기타(순액)</t>
        </is>
      </c>
      <c r="C94" s="20" t="n">
        <v>1961</v>
      </c>
      <c r="D94" s="20" t="n">
        <v>3311</v>
      </c>
      <c r="E94" s="20" t="n">
        <v>3311</v>
      </c>
      <c r="F94" s="20" t="n">
        <v>5170</v>
      </c>
      <c r="G94" s="20" t="n">
        <v>5216</v>
      </c>
      <c r="H94" s="20" t="n">
        <v>1360</v>
      </c>
      <c r="I94" s="20" t="n">
        <v>1347</v>
      </c>
      <c r="J94" s="20" t="n">
        <v>1796</v>
      </c>
      <c r="K94" s="20" t="n">
        <v>1539</v>
      </c>
      <c r="L94" s="20" t="n">
        <v>3311</v>
      </c>
    </row>
    <row r="95">
      <c r="A95" s="18" t="inlineStr">
        <is>
          <t>유형자산 합계</t>
        </is>
      </c>
      <c r="C95" s="20" t="n">
        <v>6103</v>
      </c>
      <c r="D95" s="20" t="n">
        <v>7458</v>
      </c>
      <c r="E95" s="20" t="n">
        <v>7445</v>
      </c>
      <c r="F95" s="20" t="n">
        <v>9253</v>
      </c>
      <c r="G95" s="20" t="n">
        <v>9258</v>
      </c>
      <c r="H95" s="20" t="n">
        <v>5399</v>
      </c>
      <c r="I95" s="20" t="n">
        <v>5276</v>
      </c>
      <c r="J95" s="20" t="n">
        <v>5768</v>
      </c>
      <c r="K95" s="20" t="n">
        <v>5773</v>
      </c>
      <c r="L95" s="20" t="n">
        <v>7445</v>
      </c>
    </row>
    <row r="96">
      <c r="A96" s="18" t="inlineStr">
        <is>
          <t>무형자산</t>
        </is>
      </c>
      <c r="C96" s="20" t="n">
        <v>200</v>
      </c>
      <c r="D96" s="20" t="n">
        <v>189</v>
      </c>
      <c r="E96" s="20" t="n">
        <v>220</v>
      </c>
      <c r="F96" s="20" t="n">
        <v>249</v>
      </c>
      <c r="G96" s="20" t="n">
        <v>247</v>
      </c>
      <c r="H96" s="20" t="n">
        <v>174</v>
      </c>
      <c r="I96" s="20" t="n">
        <v>232</v>
      </c>
      <c r="J96" s="20" t="n">
        <v>226</v>
      </c>
      <c r="K96" s="20" t="n">
        <v>211</v>
      </c>
      <c r="L96" s="20" t="n">
        <v>220</v>
      </c>
    </row>
    <row r="97">
      <c r="A97" s="18" t="inlineStr">
        <is>
          <t>투자유가증권</t>
        </is>
      </c>
      <c r="C97" s="20" t="n">
        <v>4340</v>
      </c>
      <c r="D97" s="20" t="n">
        <v>4895</v>
      </c>
      <c r="E97" s="20" t="n">
        <v>5215</v>
      </c>
      <c r="F97" s="20" t="n">
        <v>5899</v>
      </c>
      <c r="G97" s="20" t="n">
        <v>5787</v>
      </c>
      <c r="H97" s="20" t="n">
        <v>3142</v>
      </c>
      <c r="I97" s="20" t="n">
        <v>3047</v>
      </c>
      <c r="J97" s="20" t="n">
        <v>4140</v>
      </c>
      <c r="K97" s="20" t="n">
        <v>4131</v>
      </c>
      <c r="L97" s="20" t="n">
        <v>5215</v>
      </c>
    </row>
    <row r="98">
      <c r="A98" s="18" t="inlineStr">
        <is>
          <t>기타</t>
        </is>
      </c>
      <c r="C98" s="20" t="n">
        <v>117</v>
      </c>
      <c r="D98" s="20" t="n">
        <v>136</v>
      </c>
      <c r="E98" s="20" t="n">
        <v>227</v>
      </c>
      <c r="F98" s="20" t="n">
        <v>178</v>
      </c>
      <c r="G98" s="20" t="n">
        <v>209</v>
      </c>
      <c r="H98" s="20" t="n">
        <v>140</v>
      </c>
      <c r="I98" s="20" t="n">
        <v>142</v>
      </c>
      <c r="J98" s="20" t="n">
        <v>145</v>
      </c>
      <c r="K98" s="20" t="n">
        <v>161</v>
      </c>
      <c r="L98" s="20" t="n">
        <v>227</v>
      </c>
    </row>
    <row r="99">
      <c r="A99" s="18" t="inlineStr">
        <is>
          <t>대손충당금</t>
        </is>
      </c>
      <c r="C99" s="20" t="n">
        <v>-6</v>
      </c>
      <c r="D99" s="20" t="n">
        <v>-5</v>
      </c>
      <c r="E99" s="20" t="n">
        <v>-5</v>
      </c>
      <c r="F99" s="20" t="n">
        <v>-5</v>
      </c>
      <c r="G99" s="20" t="n">
        <v>-5</v>
      </c>
      <c r="H99" s="20" t="n">
        <v>-8</v>
      </c>
      <c r="I99" s="20" t="n">
        <v>-8</v>
      </c>
      <c r="J99" s="20" t="n">
        <v>-6</v>
      </c>
      <c r="K99" s="20" t="n">
        <v>-6</v>
      </c>
      <c r="L99" s="20" t="n">
        <v>-5</v>
      </c>
    </row>
    <row r="100">
      <c r="A100" s="18" t="inlineStr">
        <is>
          <t>투자 및 기타자산 합계</t>
        </is>
      </c>
      <c r="C100" s="20" t="n">
        <v>4450</v>
      </c>
      <c r="D100" s="20" t="n">
        <v>5026</v>
      </c>
      <c r="E100" s="20" t="n">
        <v>5437</v>
      </c>
      <c r="F100" s="20" t="n">
        <v>6071</v>
      </c>
      <c r="G100" s="20" t="n">
        <v>5990</v>
      </c>
      <c r="H100" s="20" t="n">
        <v>3274</v>
      </c>
      <c r="I100" s="20" t="n">
        <v>3181</v>
      </c>
      <c r="J100" s="20" t="n">
        <v>4279</v>
      </c>
      <c r="K100" s="20" t="n">
        <v>4285</v>
      </c>
      <c r="L100" s="20" t="n">
        <v>5437</v>
      </c>
    </row>
    <row r="101">
      <c r="A101" s="9" t="inlineStr">
        <is>
          <t>비유동자산 합계</t>
        </is>
      </c>
      <c r="C101" s="12" t="n">
        <v>10754</v>
      </c>
      <c r="D101" s="12" t="n">
        <v>12674</v>
      </c>
      <c r="E101" s="12" t="n">
        <v>13103</v>
      </c>
      <c r="F101" s="12" t="n">
        <v>15574</v>
      </c>
      <c r="G101" s="12" t="n">
        <v>15497</v>
      </c>
      <c r="H101" s="12" t="n">
        <v>8848</v>
      </c>
      <c r="I101" s="12" t="n">
        <v>8689</v>
      </c>
      <c r="J101" s="12" t="n">
        <v>10274</v>
      </c>
      <c r="K101" s="12" t="n">
        <v>10270</v>
      </c>
      <c r="L101" s="12" t="n">
        <v>13103</v>
      </c>
    </row>
    <row r="102">
      <c r="A102" s="9" t="inlineStr">
        <is>
          <t>자산 합계</t>
        </is>
      </c>
      <c r="C102" s="12" t="n">
        <v>27933</v>
      </c>
      <c r="D102" s="12" t="n">
        <v>28684</v>
      </c>
      <c r="E102" s="12" t="n">
        <v>34715</v>
      </c>
      <c r="F102" s="12" t="n">
        <v>36257</v>
      </c>
      <c r="G102" s="12" t="n">
        <v>36266</v>
      </c>
      <c r="H102" s="12" t="n">
        <v>25793</v>
      </c>
      <c r="I102" s="12" t="n">
        <v>28055</v>
      </c>
      <c r="J102" s="12" t="n">
        <v>28755</v>
      </c>
      <c r="K102" s="12" t="n">
        <v>30331</v>
      </c>
      <c r="L102" s="12" t="n">
        <v>34715</v>
      </c>
    </row>
    <row r="103">
      <c r="A103" s="18" t="inlineStr">
        <is>
          <t>지급어음·매입채무</t>
        </is>
      </c>
      <c r="C103" s="20" t="n">
        <v>2354</v>
      </c>
      <c r="D103" s="20" t="n">
        <v>2641</v>
      </c>
      <c r="E103" s="20" t="n">
        <v>6106</v>
      </c>
      <c r="F103" s="20" t="n">
        <v>3928</v>
      </c>
      <c r="G103" s="20" t="n">
        <v>4293</v>
      </c>
      <c r="H103" s="20" t="n">
        <v>4459</v>
      </c>
      <c r="I103" s="20" t="n">
        <v>4484</v>
      </c>
      <c r="J103" s="20" t="n">
        <v>5548</v>
      </c>
      <c r="K103" s="20" t="n">
        <v>4620</v>
      </c>
      <c r="L103" s="20" t="n">
        <v>6106</v>
      </c>
    </row>
    <row r="104">
      <c r="A104" s="18" t="inlineStr">
        <is>
          <t>전자기록채무</t>
        </is>
      </c>
      <c r="C104" s="20" t="n">
        <v>1258</v>
      </c>
      <c r="D104" s="20" t="n">
        <v>1178</v>
      </c>
      <c r="E104" s="20" t="n">
        <v>1584</v>
      </c>
      <c r="F104" s="20" t="n">
        <v>1851</v>
      </c>
      <c r="G104" s="20" t="n">
        <v>1518</v>
      </c>
      <c r="H104" s="20" t="n">
        <v>1243</v>
      </c>
      <c r="I104" s="20" t="n">
        <v>1322</v>
      </c>
      <c r="J104" s="20" t="n">
        <v>1492</v>
      </c>
      <c r="K104" s="20" t="n">
        <v>1579</v>
      </c>
      <c r="L104" s="20" t="n">
        <v>1584</v>
      </c>
    </row>
    <row r="105">
      <c r="A105" s="18" t="inlineStr">
        <is>
          <t>단기차입금</t>
        </is>
      </c>
      <c r="C105" s="20" t="n">
        <v>503</v>
      </c>
      <c r="D105" s="20" t="n">
        <v>575</v>
      </c>
      <c r="E105" s="20" t="n">
        <v>655</v>
      </c>
      <c r="F105" s="20" t="n">
        <v>3262</v>
      </c>
      <c r="G105" s="20" t="n">
        <v>780</v>
      </c>
      <c r="H105" s="20" t="n">
        <v>2475</v>
      </c>
      <c r="I105" s="20" t="n">
        <v>4253</v>
      </c>
      <c r="J105" s="20" t="n">
        <v>2466</v>
      </c>
      <c r="K105" s="20" t="n">
        <v>2162</v>
      </c>
      <c r="L105" s="20" t="n">
        <v>655</v>
      </c>
    </row>
    <row r="106">
      <c r="A106" s="18" t="inlineStr">
        <is>
          <t>미지급법인세</t>
        </is>
      </c>
      <c r="C106" s="20" t="n">
        <v>547</v>
      </c>
      <c r="D106" s="20" t="n">
        <v>480</v>
      </c>
      <c r="E106" s="20" t="n">
        <v>840</v>
      </c>
      <c r="F106" s="20" t="n">
        <v>430</v>
      </c>
      <c r="G106" s="20" t="n">
        <v>650</v>
      </c>
      <c r="H106" s="20" t="n">
        <v>321</v>
      </c>
      <c r="I106" s="20" t="n">
        <v>404</v>
      </c>
      <c r="J106" s="20" t="n">
        <v>409</v>
      </c>
      <c r="K106" s="20" t="n">
        <v>587</v>
      </c>
      <c r="L106" s="20" t="n">
        <v>840</v>
      </c>
    </row>
    <row r="107">
      <c r="A107" s="18" t="inlineStr">
        <is>
          <t>계약부채</t>
        </is>
      </c>
      <c r="E107" s="20" t="n">
        <v>1529</v>
      </c>
      <c r="G107" s="20" t="n">
        <v>2924</v>
      </c>
      <c r="H107" s="20" t="n">
        <v>0</v>
      </c>
      <c r="I107" s="20" t="n">
        <v>683</v>
      </c>
      <c r="J107" s="20" t="n">
        <v>317</v>
      </c>
      <c r="K107" s="20" t="n">
        <v>381</v>
      </c>
      <c r="L107" s="20" t="n">
        <v>1529</v>
      </c>
    </row>
    <row r="108">
      <c r="A108" s="18" t="inlineStr">
        <is>
          <t>선수금</t>
        </is>
      </c>
      <c r="H108" s="20" t="n">
        <v>431</v>
      </c>
      <c r="I108" s="20" t="n">
        <v>0</v>
      </c>
    </row>
    <row r="109">
      <c r="A109" s="18" t="inlineStr">
        <is>
          <t>상여충당금</t>
        </is>
      </c>
      <c r="C109" s="20" t="n">
        <v>643</v>
      </c>
      <c r="D109" s="20" t="n">
        <v>1108</v>
      </c>
      <c r="E109" s="20" t="n">
        <v>0</v>
      </c>
      <c r="F109" s="20" t="n">
        <v>689</v>
      </c>
      <c r="G109" s="20" t="n">
        <v>768</v>
      </c>
      <c r="H109" s="20" t="n">
        <v>0</v>
      </c>
      <c r="I109" s="20" t="n">
        <v>0</v>
      </c>
      <c r="J109" s="20" t="n">
        <v>0</v>
      </c>
      <c r="K109" s="20" t="n">
        <v>0</v>
      </c>
      <c r="L109" s="20" t="n">
        <v>0</v>
      </c>
    </row>
    <row r="110">
      <c r="A110" s="18" t="inlineStr">
        <is>
          <t>Provision For Loss On Construction Contracts</t>
        </is>
      </c>
      <c r="C110" s="20" t="n">
        <v>113</v>
      </c>
      <c r="D110" s="20" t="n">
        <v>80</v>
      </c>
      <c r="E110" s="20" t="n">
        <v>72</v>
      </c>
      <c r="F110" s="20" t="n">
        <v>42</v>
      </c>
      <c r="G110" s="20" t="n">
        <v>91</v>
      </c>
      <c r="H110" s="20" t="n">
        <v>34</v>
      </c>
      <c r="I110" s="20" t="n">
        <v>1</v>
      </c>
      <c r="J110" s="20" t="n">
        <v>4</v>
      </c>
      <c r="K110" s="20" t="n">
        <v>22</v>
      </c>
      <c r="L110" s="20" t="n">
        <v>72</v>
      </c>
    </row>
    <row r="111">
      <c r="A111" s="18" t="inlineStr">
        <is>
          <t>기타</t>
        </is>
      </c>
      <c r="C111" s="20" t="n">
        <v>2674</v>
      </c>
      <c r="D111" s="20" t="n">
        <v>2298</v>
      </c>
      <c r="E111" s="20" t="n">
        <v>2583</v>
      </c>
      <c r="F111" s="20" t="n">
        <v>3197</v>
      </c>
      <c r="G111" s="20" t="n">
        <v>2154</v>
      </c>
      <c r="H111" s="20" t="n">
        <v>2286</v>
      </c>
      <c r="I111" s="20" t="n">
        <v>2016</v>
      </c>
      <c r="J111" s="20" t="n">
        <v>2349</v>
      </c>
      <c r="K111" s="20" t="n">
        <v>2220</v>
      </c>
      <c r="L111" s="20" t="n">
        <v>2583</v>
      </c>
    </row>
    <row r="112">
      <c r="A112" s="9" t="inlineStr">
        <is>
          <t>유동부채 합계</t>
        </is>
      </c>
      <c r="C112" s="12" t="n">
        <v>8096</v>
      </c>
      <c r="D112" s="12" t="n">
        <v>8362</v>
      </c>
      <c r="E112" s="12" t="n">
        <v>13373</v>
      </c>
      <c r="F112" s="12" t="n">
        <v>13402</v>
      </c>
      <c r="G112" s="12" t="n">
        <v>13181</v>
      </c>
      <c r="H112" s="12" t="n">
        <v>11252</v>
      </c>
      <c r="I112" s="12" t="n">
        <v>13167</v>
      </c>
      <c r="J112" s="12" t="n">
        <v>12271</v>
      </c>
      <c r="K112" s="12" t="n">
        <v>11574</v>
      </c>
      <c r="L112" s="12" t="n">
        <v>13373</v>
      </c>
    </row>
    <row r="113">
      <c r="A113" s="18" t="inlineStr">
        <is>
          <t>장기차입금</t>
        </is>
      </c>
      <c r="C113" s="20" t="n">
        <v>437</v>
      </c>
      <c r="D113" s="20" t="n">
        <v>380</v>
      </c>
      <c r="E113" s="20" t="n">
        <v>323</v>
      </c>
      <c r="F113" s="20" t="n">
        <v>266</v>
      </c>
      <c r="G113" s="20" t="n">
        <v>209</v>
      </c>
      <c r="H113" s="20" t="n">
        <v>1237</v>
      </c>
      <c r="I113" s="20" t="n">
        <v>1009</v>
      </c>
      <c r="J113" s="20" t="n">
        <v>780</v>
      </c>
      <c r="K113" s="20" t="n">
        <v>552</v>
      </c>
      <c r="L113" s="20" t="n">
        <v>323</v>
      </c>
    </row>
    <row r="114">
      <c r="A114" s="18" t="inlineStr">
        <is>
          <t>이연법인세부채</t>
        </is>
      </c>
      <c r="E114" s="20" t="n">
        <v>766</v>
      </c>
      <c r="H114" s="20" t="n">
        <v>119</v>
      </c>
      <c r="I114" s="20" t="n">
        <v>118</v>
      </c>
      <c r="J114" s="20" t="n">
        <v>455</v>
      </c>
      <c r="K114" s="20" t="n">
        <v>514</v>
      </c>
      <c r="L114" s="20" t="n">
        <v>766</v>
      </c>
    </row>
    <row r="115">
      <c r="A115" s="18" t="inlineStr">
        <is>
          <t>퇴직급여부채</t>
        </is>
      </c>
      <c r="C115" s="20" t="n">
        <v>1629</v>
      </c>
      <c r="D115" s="20" t="n">
        <v>1643</v>
      </c>
      <c r="E115" s="20" t="n">
        <v>1636</v>
      </c>
      <c r="F115" s="20" t="n">
        <v>1617</v>
      </c>
      <c r="G115" s="20" t="n">
        <v>1601</v>
      </c>
      <c r="H115" s="20" t="n">
        <v>1961</v>
      </c>
      <c r="I115" s="20" t="n">
        <v>1935</v>
      </c>
      <c r="J115" s="20" t="n">
        <v>1797</v>
      </c>
      <c r="K115" s="20" t="n">
        <v>1625</v>
      </c>
      <c r="L115" s="20" t="n">
        <v>1636</v>
      </c>
    </row>
    <row r="116">
      <c r="A116" s="18" t="inlineStr">
        <is>
          <t>기타</t>
        </is>
      </c>
      <c r="C116" s="20" t="n">
        <v>1019</v>
      </c>
      <c r="D116" s="20" t="n">
        <v>1098</v>
      </c>
      <c r="E116" s="20" t="n">
        <v>1292</v>
      </c>
      <c r="F116" s="20" t="n">
        <v>1704</v>
      </c>
      <c r="G116" s="20" t="n">
        <v>1657</v>
      </c>
      <c r="H116" s="20" t="n">
        <v>281</v>
      </c>
      <c r="I116" s="20" t="n">
        <v>259</v>
      </c>
      <c r="J116" s="20" t="n">
        <v>693</v>
      </c>
      <c r="K116" s="20" t="n">
        <v>181</v>
      </c>
      <c r="L116" s="20" t="n">
        <v>1292</v>
      </c>
    </row>
    <row r="117">
      <c r="A117" s="9" t="inlineStr">
        <is>
          <t>비유동부채 합계</t>
        </is>
      </c>
      <c r="C117" s="12" t="n">
        <v>3087</v>
      </c>
      <c r="D117" s="12" t="n">
        <v>3122</v>
      </c>
      <c r="E117" s="12" t="n">
        <v>3252</v>
      </c>
      <c r="F117" s="12" t="n">
        <v>3589</v>
      </c>
      <c r="G117" s="12" t="n">
        <v>3468</v>
      </c>
      <c r="H117" s="12" t="n">
        <v>3600</v>
      </c>
      <c r="I117" s="12" t="n">
        <v>3322</v>
      </c>
      <c r="J117" s="12" t="n">
        <v>3271</v>
      </c>
      <c r="K117" s="12" t="n">
        <v>2873</v>
      </c>
      <c r="L117" s="12" t="n">
        <v>3252</v>
      </c>
    </row>
    <row r="118">
      <c r="A118" s="9" t="inlineStr">
        <is>
          <t>부채 합계</t>
        </is>
      </c>
      <c r="C118" s="12" t="n">
        <v>11183</v>
      </c>
      <c r="D118" s="12" t="n">
        <v>11485</v>
      </c>
      <c r="E118" s="12" t="n">
        <v>16626</v>
      </c>
      <c r="F118" s="12" t="n">
        <v>16991</v>
      </c>
      <c r="G118" s="12" t="n">
        <v>16649</v>
      </c>
      <c r="H118" s="12" t="n">
        <v>14853</v>
      </c>
      <c r="I118" s="12" t="n">
        <v>16490</v>
      </c>
      <c r="J118" s="12" t="n">
        <v>15542</v>
      </c>
      <c r="K118" s="12" t="n">
        <v>14448</v>
      </c>
      <c r="L118" s="12" t="n">
        <v>16626</v>
      </c>
    </row>
    <row r="119">
      <c r="A119" s="18" t="inlineStr">
        <is>
          <t>자본금</t>
        </is>
      </c>
      <c r="C119" s="20" t="n">
        <v>3323</v>
      </c>
      <c r="D119" s="20" t="n">
        <v>3323</v>
      </c>
      <c r="E119" s="20" t="n">
        <v>3323</v>
      </c>
      <c r="F119" s="20" t="n">
        <v>3323</v>
      </c>
      <c r="G119" s="20" t="n">
        <v>3323</v>
      </c>
      <c r="H119" s="20" t="n">
        <v>2607</v>
      </c>
      <c r="I119" s="20" t="n">
        <v>2607</v>
      </c>
      <c r="J119" s="20" t="n">
        <v>2607</v>
      </c>
      <c r="K119" s="20" t="n">
        <v>3323</v>
      </c>
      <c r="L119" s="20" t="n">
        <v>3323</v>
      </c>
    </row>
    <row r="120">
      <c r="A120" s="18" t="inlineStr">
        <is>
          <t>자본잉여금</t>
        </is>
      </c>
      <c r="C120" s="20" t="n">
        <v>2746</v>
      </c>
      <c r="D120" s="20" t="n">
        <v>2746</v>
      </c>
      <c r="E120" s="20" t="n">
        <v>2746</v>
      </c>
      <c r="F120" s="20" t="n">
        <v>2746</v>
      </c>
      <c r="G120" s="20" t="n">
        <v>2777</v>
      </c>
      <c r="H120" s="20" t="n">
        <v>1958</v>
      </c>
      <c r="I120" s="20" t="n">
        <v>1974</v>
      </c>
      <c r="J120" s="20" t="n">
        <v>1988</v>
      </c>
      <c r="K120" s="20" t="n">
        <v>2724</v>
      </c>
      <c r="L120" s="20" t="n">
        <v>2746</v>
      </c>
    </row>
    <row r="121">
      <c r="A121" s="18" t="inlineStr">
        <is>
          <t>이익잉여금</t>
        </is>
      </c>
      <c r="C121" s="20" t="n">
        <v>8822</v>
      </c>
      <c r="D121" s="20" t="n">
        <v>8879</v>
      </c>
      <c r="E121" s="20" t="n">
        <v>9544</v>
      </c>
      <c r="F121" s="20" t="n">
        <v>10263</v>
      </c>
      <c r="G121" s="20" t="n">
        <v>10665</v>
      </c>
      <c r="H121" s="20" t="n">
        <v>5570</v>
      </c>
      <c r="I121" s="20" t="n">
        <v>6229</v>
      </c>
      <c r="J121" s="20" t="n">
        <v>7036</v>
      </c>
      <c r="K121" s="20" t="n">
        <v>8116</v>
      </c>
      <c r="L121" s="20" t="n">
        <v>9544</v>
      </c>
    </row>
    <row r="122">
      <c r="A122" s="18" t="inlineStr">
        <is>
          <t>자기주식</t>
        </is>
      </c>
      <c r="C122" s="20" t="n">
        <v>-178</v>
      </c>
      <c r="D122" s="20" t="n">
        <v>-178</v>
      </c>
      <c r="E122" s="20" t="n">
        <v>-179</v>
      </c>
      <c r="F122" s="20" t="n">
        <v>-179</v>
      </c>
      <c r="G122" s="20" t="n">
        <v>-172</v>
      </c>
      <c r="H122" s="20" t="n">
        <v>-225</v>
      </c>
      <c r="I122" s="20" t="n">
        <v>-215</v>
      </c>
      <c r="J122" s="20" t="n">
        <v>-204</v>
      </c>
      <c r="K122" s="20" t="n">
        <v>-193</v>
      </c>
      <c r="L122" s="20" t="n">
        <v>-179</v>
      </c>
    </row>
    <row r="123">
      <c r="A123" s="9" t="inlineStr">
        <is>
          <t>주주자본 합계</t>
        </is>
      </c>
      <c r="C123" s="12" t="n">
        <v>14713</v>
      </c>
      <c r="D123" s="12" t="n">
        <v>14769</v>
      </c>
      <c r="E123" s="12" t="n">
        <v>15434</v>
      </c>
      <c r="F123" s="12" t="n">
        <v>16153</v>
      </c>
      <c r="G123" s="12" t="n">
        <v>16592</v>
      </c>
      <c r="H123" s="12" t="n">
        <v>9910</v>
      </c>
      <c r="I123" s="12" t="n">
        <v>10594</v>
      </c>
      <c r="J123" s="12" t="n">
        <v>11428</v>
      </c>
      <c r="K123" s="12" t="n">
        <v>13970</v>
      </c>
      <c r="L123" s="12" t="n">
        <v>15434</v>
      </c>
    </row>
    <row r="124">
      <c r="A124" s="18" t="inlineStr">
        <is>
          <t>기타유가증권 평가차액</t>
        </is>
      </c>
      <c r="C124" s="20" t="n">
        <v>2010</v>
      </c>
      <c r="D124" s="20" t="n">
        <v>2406</v>
      </c>
      <c r="E124" s="20" t="n">
        <v>2625</v>
      </c>
      <c r="F124" s="20" t="n">
        <v>3092</v>
      </c>
      <c r="G124" s="20" t="n">
        <v>3013</v>
      </c>
      <c r="H124" s="20" t="n">
        <v>1204</v>
      </c>
      <c r="I124" s="20" t="n">
        <v>1107</v>
      </c>
      <c r="J124" s="20" t="n">
        <v>1875</v>
      </c>
      <c r="K124" s="20" t="n">
        <v>1896</v>
      </c>
      <c r="L124" s="20" t="n">
        <v>2625</v>
      </c>
    </row>
    <row r="125">
      <c r="A125" s="18" t="inlineStr">
        <is>
          <t>해외사업환산조정</t>
        </is>
      </c>
      <c r="C125" s="20" t="n">
        <v>-59</v>
      </c>
      <c r="D125" s="20" t="n">
        <v>-62</v>
      </c>
      <c r="E125" s="20" t="n">
        <v>-65</v>
      </c>
      <c r="F125" s="20" t="n">
        <v>-74</v>
      </c>
      <c r="G125" s="20" t="n">
        <v>-84</v>
      </c>
      <c r="H125" s="20" t="n">
        <v>-87</v>
      </c>
      <c r="I125" s="20" t="n">
        <v>-78</v>
      </c>
      <c r="J125" s="20" t="n">
        <v>-76</v>
      </c>
      <c r="K125" s="20" t="n">
        <v>-68</v>
      </c>
      <c r="L125" s="20" t="n">
        <v>-65</v>
      </c>
    </row>
    <row r="126">
      <c r="A126" s="18" t="inlineStr">
        <is>
          <t>퇴직급여 조정누계액</t>
        </is>
      </c>
      <c r="C126" s="20" t="n">
        <v>85</v>
      </c>
      <c r="D126" s="20" t="n">
        <v>85</v>
      </c>
      <c r="E126" s="20" t="n">
        <v>94</v>
      </c>
      <c r="F126" s="20" t="n">
        <v>94</v>
      </c>
      <c r="G126" s="20" t="n">
        <v>93</v>
      </c>
      <c r="H126" s="20" t="n">
        <v>-86</v>
      </c>
      <c r="I126" s="20" t="n">
        <v>-58</v>
      </c>
      <c r="J126" s="20" t="n">
        <v>-15</v>
      </c>
      <c r="K126" s="20" t="n">
        <v>84</v>
      </c>
      <c r="L126" s="20" t="n">
        <v>94</v>
      </c>
    </row>
    <row r="127">
      <c r="A127" s="18" t="inlineStr">
        <is>
          <t>기타포괄손익누계액 합계</t>
        </is>
      </c>
      <c r="C127" s="20" t="n">
        <v>2036</v>
      </c>
      <c r="D127" s="20" t="n">
        <v>2429</v>
      </c>
      <c r="E127" s="20" t="n">
        <v>2654</v>
      </c>
      <c r="F127" s="20" t="n">
        <v>3112</v>
      </c>
      <c r="G127" s="20" t="n">
        <v>3023</v>
      </c>
      <c r="H127" s="20" t="n">
        <v>1029</v>
      </c>
      <c r="I127" s="20" t="n">
        <v>970</v>
      </c>
      <c r="J127" s="20" t="n">
        <v>1784</v>
      </c>
      <c r="K127" s="20" t="n">
        <v>1912</v>
      </c>
      <c r="L127" s="20" t="n">
        <v>2654</v>
      </c>
    </row>
    <row r="128">
      <c r="A128" s="9" t="inlineStr">
        <is>
          <t>순자산 합계</t>
        </is>
      </c>
      <c r="C128" s="12" t="n">
        <v>16749</v>
      </c>
      <c r="D128" s="12" t="n">
        <v>17198</v>
      </c>
      <c r="E128" s="12" t="n">
        <v>18089</v>
      </c>
      <c r="F128" s="12" t="n">
        <v>19265</v>
      </c>
      <c r="G128" s="12" t="n">
        <v>19616</v>
      </c>
      <c r="H128" s="12" t="n">
        <v>10940</v>
      </c>
      <c r="I128" s="12" t="n">
        <v>11565</v>
      </c>
      <c r="J128" s="12" t="n">
        <v>13212</v>
      </c>
      <c r="K128" s="12" t="n">
        <v>15882</v>
      </c>
      <c r="L128" s="12" t="n">
        <v>18089</v>
      </c>
    </row>
    <row r="129">
      <c r="A129" s="9" t="inlineStr">
        <is>
          <t>부채·순자산 합계</t>
        </is>
      </c>
      <c r="C129" s="12" t="n">
        <v>27933</v>
      </c>
      <c r="D129" s="12" t="n">
        <v>28684</v>
      </c>
      <c r="E129" s="12" t="n">
        <v>34715</v>
      </c>
      <c r="F129" s="12" t="n">
        <v>36257</v>
      </c>
      <c r="G129" s="12" t="n">
        <v>36266</v>
      </c>
      <c r="H129" s="12" t="n">
        <v>25793</v>
      </c>
      <c r="I129" s="12" t="n">
        <v>28055</v>
      </c>
      <c r="J129" s="12" t="n">
        <v>28755</v>
      </c>
      <c r="K129" s="12" t="n">
        <v>30331</v>
      </c>
      <c r="L129" s="12" t="n">
        <v>34715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49" t="inlineStr">
        <is>
          <t>출처 · 쓴 결산단신</t>
        </is>
      </c>
    </row>
    <row r="3">
      <c r="A3" s="50" t="inlineStr">
        <is>
          <t>공시일</t>
        </is>
      </c>
      <c r="B3" s="50" t="inlineStr">
        <is>
          <t>문서</t>
        </is>
      </c>
      <c r="C3" s="50" t="inlineStr">
        <is>
          <t>PDF</t>
        </is>
      </c>
    </row>
    <row r="4">
      <c r="A4" t="inlineStr">
        <is>
          <t>2026-07-24</t>
        </is>
      </c>
      <c r="B4" t="inlineStr">
        <is>
          <t>2026년 12월 결산기 ２분기 결산단신</t>
        </is>
      </c>
      <c r="C4" t="inlineStr">
        <is>
          <t>https://www2.jpx.co.jp/disc/66530/140120260724599132.pdf</t>
        </is>
      </c>
    </row>
    <row r="5">
      <c r="A5" t="inlineStr">
        <is>
          <t>2026-04-22</t>
        </is>
      </c>
      <c r="B5" t="inlineStr">
        <is>
          <t>2026년 12월 결산기 １분기 결산단신</t>
        </is>
      </c>
      <c r="C5" t="inlineStr">
        <is>
          <t>https://www2.jpx.co.jp/disc/66530/140120260422507921.pdf</t>
        </is>
      </c>
    </row>
    <row r="6">
      <c r="A6" t="inlineStr">
        <is>
          <t>2026-02-12</t>
        </is>
      </c>
      <c r="B6" t="inlineStr">
        <is>
          <t>2025년 12월 결산기 연간 결산단신</t>
        </is>
      </c>
      <c r="C6" t="inlineStr">
        <is>
          <t>https://www2.jpx.co.jp/disc/66530/140120260212555541.pdf</t>
        </is>
      </c>
    </row>
    <row r="7">
      <c r="A7" t="inlineStr">
        <is>
          <t>2025-10-27</t>
        </is>
      </c>
      <c r="B7" t="inlineStr">
        <is>
          <t>2025년 12월 결산기 ３분기 결산단신</t>
        </is>
      </c>
      <c r="C7" t="inlineStr">
        <is>
          <t>https://www2.jpx.co.jp/disc/66530/140120251027579314.pdf</t>
        </is>
      </c>
    </row>
    <row r="8">
      <c r="A8" t="inlineStr">
        <is>
          <t>2025-07-31</t>
        </is>
      </c>
      <c r="B8" t="inlineStr">
        <is>
          <t>2025년 12월 결산기 ２분기 결산단신</t>
        </is>
      </c>
      <c r="C8" t="inlineStr">
        <is>
          <t>https://www2.jpx.co.jp/disc/66530/140120250731525149.pdf</t>
        </is>
      </c>
    </row>
    <row r="9">
      <c r="A9" t="inlineStr">
        <is>
          <t>2025-04-23</t>
        </is>
      </c>
      <c r="B9" t="inlineStr">
        <is>
          <t>2025년 12월 결산기 １분기 결산단신</t>
        </is>
      </c>
      <c r="C9" t="inlineStr">
        <is>
          <t>https://www2.jpx.co.jp/disc/66530/140120250423520741.pdf</t>
        </is>
      </c>
    </row>
    <row r="10">
      <c r="A10" t="inlineStr">
        <is>
          <t>2024-10-29</t>
        </is>
      </c>
      <c r="B10" t="inlineStr">
        <is>
          <t>2024년 12월 결산기 ３분기 결산단신</t>
        </is>
      </c>
      <c r="C10" t="inlineStr">
        <is>
          <t>https://www2.jpx.co.jp/disc/66530/140120241029505016.pdf</t>
        </is>
      </c>
    </row>
    <row r="11">
      <c r="A11" t="inlineStr">
        <is>
          <t>2024-07-30</t>
        </is>
      </c>
      <c r="B11" t="inlineStr">
        <is>
          <t>2024년 12월 결산기 ２분기 결산단신</t>
        </is>
      </c>
      <c r="C11" t="inlineStr">
        <is>
          <t>https://www2.jpx.co.jp/disc/66530/140120240730557382.pdf</t>
        </is>
      </c>
    </row>
    <row r="12">
      <c r="A12" t="inlineStr">
        <is>
          <t>2024-04-26</t>
        </is>
      </c>
      <c r="B12" t="inlineStr">
        <is>
          <t>2024년 12월 결산기 １분기 결산단신</t>
        </is>
      </c>
      <c r="C12" t="inlineStr">
        <is>
          <t>https://www2.jpx.co.jp/disc/66530/140120240426577770.pdf</t>
        </is>
      </c>
    </row>
    <row r="13">
      <c r="A13" t="inlineStr">
        <is>
          <t>2024-02-08</t>
        </is>
      </c>
      <c r="B13" t="inlineStr">
        <is>
          <t>2023년 12월 결산기 연간 결산단신</t>
        </is>
      </c>
      <c r="C13" t="inlineStr">
        <is>
          <t>https://www2.jpx.co.jp/disc/66530/140120240207529082.pdf</t>
        </is>
      </c>
    </row>
    <row r="14">
      <c r="A14" t="inlineStr">
        <is>
          <t>2023-10-25</t>
        </is>
      </c>
      <c r="B14" t="inlineStr">
        <is>
          <t>2023년 12월 결산기 ３분기 결산단신</t>
        </is>
      </c>
      <c r="C14" t="inlineStr">
        <is>
          <t>https://www2.jpx.co.jp/disc/66530/140120231025571016.pdf</t>
        </is>
      </c>
    </row>
    <row r="15">
      <c r="A15" t="inlineStr">
        <is>
          <t>2023-07-26</t>
        </is>
      </c>
      <c r="B15" t="inlineStr">
        <is>
          <t>2023년 12월 결산기 ２분기 결산단신</t>
        </is>
      </c>
      <c r="C15" t="inlineStr">
        <is>
          <t>https://www2.jpx.co.jp/disc/66530/140120230726526983.pdf</t>
        </is>
      </c>
    </row>
    <row r="16">
      <c r="A16" t="inlineStr">
        <is>
          <t>2023-04-26</t>
        </is>
      </c>
      <c r="B16" t="inlineStr">
        <is>
          <t>2023년 12월 결산기 １분기 결산단신</t>
        </is>
      </c>
      <c r="C16" t="inlineStr">
        <is>
          <t>https://www2.jpx.co.jp/disc/66530/140120230426552925.pdf</t>
        </is>
      </c>
    </row>
    <row r="17">
      <c r="A17" t="inlineStr">
        <is>
          <t>2023-02-01</t>
        </is>
      </c>
      <c r="B17" t="inlineStr">
        <is>
          <t>2022년 12월 결산기 연간 결산단신</t>
        </is>
      </c>
      <c r="C17" t="inlineStr">
        <is>
          <t>https://www2.jpx.co.jp/disc/66530/140120230201597844.pdf</t>
        </is>
      </c>
    </row>
    <row r="18">
      <c r="A18" t="inlineStr">
        <is>
          <t>2022-10-26</t>
        </is>
      </c>
      <c r="B18" t="inlineStr">
        <is>
          <t>2022년 12월 결산기 ３분기 결산단신</t>
        </is>
      </c>
      <c r="C18" t="inlineStr">
        <is>
          <t>https://www2.jpx.co.jp/disc/66530/140120221026549471.pdf</t>
        </is>
      </c>
    </row>
    <row r="19">
      <c r="A19" t="inlineStr">
        <is>
          <t>2022-07-29</t>
        </is>
      </c>
      <c r="B19" t="inlineStr">
        <is>
          <t>2022년 12월 결산기 ２분기 결산단신</t>
        </is>
      </c>
      <c r="C19" t="inlineStr">
        <is>
          <t>https://www2.jpx.co.jp/disc/66530/140120220729507498.pdf</t>
        </is>
      </c>
    </row>
    <row r="20">
      <c r="A20" t="inlineStr">
        <is>
          <t>2022-02-09</t>
        </is>
      </c>
      <c r="B20" t="inlineStr">
        <is>
          <t>2021년 12월 결산기 연간 결산단신</t>
        </is>
      </c>
      <c r="C20" t="inlineStr">
        <is>
          <t>https://www2.jpx.co.jp/disc/66530/140120220209584822.pdf</t>
        </is>
      </c>
    </row>
    <row r="21">
      <c r="A21" t="inlineStr">
        <is>
          <t>2021-02-02</t>
        </is>
      </c>
      <c r="B21" t="inlineStr">
        <is>
          <t>2020년 12월 결산기 연간 결산단신</t>
        </is>
      </c>
      <c r="C21" t="inlineStr">
        <is>
          <t>https://www2.jpx.co.jp/disc/66530/140120210202453878.pdf</t>
        </is>
      </c>
    </row>
    <row r="22">
      <c r="A22" t="inlineStr">
        <is>
          <t>2020-01-31</t>
        </is>
      </c>
      <c r="B22" t="inlineStr">
        <is>
          <t>2019년 12월 결산기 연간 결산단신</t>
        </is>
      </c>
      <c r="C22" t="inlineStr">
        <is>
          <t>https://www2.jpx.co.jp/disc/66530/140120200131454865.pdf</t>
        </is>
      </c>
    </row>
    <row r="23">
      <c r="A23" t="inlineStr">
        <is>
          <t>2019-02-08</t>
        </is>
      </c>
      <c r="B23" t="inlineStr">
        <is>
          <t>연간 결산단신</t>
        </is>
      </c>
      <c r="C23" t="inlineStr">
        <is>
          <t>https://www2.jpx.co.jp/disc/66530/140120190208473478.pdf</t>
        </is>
      </c>
    </row>
    <row r="24">
      <c r="A24" t="inlineStr">
        <is>
          <t>2018-02-09</t>
        </is>
      </c>
      <c r="B24" t="inlineStr">
        <is>
          <t>연간 결산단신</t>
        </is>
      </c>
      <c r="C24" t="inlineStr">
        <is>
          <t>https://www2.jpx.co.jp/disc/66530/140120180208467567.pdf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2026-10-25T16:03:20Z</dcterms:created>
  <dcterms:modified xmlns:dcterms="http://purl.org/dc/terms/" xmlns:xsi="http://www.w3.org/2001/XMLSchema-instance" xsi:type="dcterms:W3CDTF">2026-10-25T16:03:21Z</dcterms:modified>
</cp:coreProperties>
</file>