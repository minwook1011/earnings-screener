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31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6653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12월 결산 · 일본 기준 · 2026.2Q = 2026년 12월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2023.3Q</t>
        </is>
      </c>
      <c r="D3" s="5" t="inlineStr">
        <is>
          <t>2023.4Q</t>
        </is>
      </c>
      <c r="E3" s="5" t="inlineStr">
        <is>
          <t>2024.1Q</t>
        </is>
      </c>
      <c r="F3" s="5" t="inlineStr">
        <is>
          <t>2024.2Q</t>
        </is>
      </c>
      <c r="G3" s="5" t="inlineStr">
        <is>
          <t>2024.3Q</t>
        </is>
      </c>
      <c r="H3" s="5" t="inlineStr">
        <is>
          <t>2024.4Q</t>
        </is>
      </c>
      <c r="I3" s="5" t="inlineStr">
        <is>
          <t>2025.1Q</t>
        </is>
      </c>
      <c r="J3" s="5" t="inlineStr">
        <is>
          <t>2025.2Q</t>
        </is>
      </c>
      <c r="K3" s="5" t="inlineStr">
        <is>
          <t>2025.3Q</t>
        </is>
      </c>
      <c r="L3" s="5" t="inlineStr">
        <is>
          <t>2025.4Q</t>
        </is>
      </c>
      <c r="M3" s="5" t="inlineStr">
        <is>
          <t>2026.1Q</t>
        </is>
      </c>
      <c r="N3" s="5" t="inlineStr">
        <is>
          <t>2026.2Q</t>
        </is>
      </c>
      <c r="O3" s="6" t="inlineStr">
        <is>
          <t>2016</t>
        </is>
      </c>
      <c r="P3" s="5" t="inlineStr">
        <is>
          <t>2017</t>
        </is>
      </c>
      <c r="Q3" s="5" t="inlineStr">
        <is>
          <t>2018</t>
        </is>
      </c>
      <c r="R3" s="5" t="inlineStr">
        <is>
          <t>2019</t>
        </is>
      </c>
      <c r="S3" s="5" t="inlineStr">
        <is>
          <t>2020</t>
        </is>
      </c>
      <c r="T3" s="5" t="inlineStr">
        <is>
          <t>2021</t>
        </is>
      </c>
      <c r="U3" s="5" t="inlineStr">
        <is>
          <t>2022</t>
        </is>
      </c>
      <c r="V3" s="5" t="inlineStr">
        <is>
          <t>2023</t>
        </is>
      </c>
      <c r="W3" s="5" t="inlineStr">
        <is>
          <t>2024</t>
        </is>
      </c>
      <c r="X3" s="5" t="inlineStr">
        <is>
          <t>2025</t>
        </is>
      </c>
      <c r="Y3" s="7" t="inlineStr">
        <is>
          <t>2026(MW)</t>
        </is>
      </c>
      <c r="Z3" s="8" t="inlineStr">
        <is>
          <t>2027(MW)</t>
        </is>
      </c>
      <c r="AA3" s="8" t="inlineStr">
        <is>
          <t>2028(MW)</t>
        </is>
      </c>
      <c r="AB3" s="8" t="inlineStr">
        <is>
          <t>2029(MW)</t>
        </is>
      </c>
      <c r="AC3" s="8" t="inlineStr">
        <is>
          <t>2030(MW)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6047</v>
      </c>
      <c r="D4" s="12" t="n">
        <v>8468</v>
      </c>
      <c r="E4" s="12" t="n">
        <v>7836</v>
      </c>
      <c r="F4" s="12" t="n">
        <v>6401</v>
      </c>
      <c r="G4" s="12" t="n">
        <v>6029</v>
      </c>
      <c r="H4" s="12" t="n">
        <v>8833</v>
      </c>
      <c r="I4" s="12" t="n">
        <v>8504</v>
      </c>
      <c r="J4" s="12" t="n">
        <v>5911</v>
      </c>
      <c r="K4" s="12" t="n">
        <v>6388</v>
      </c>
      <c r="L4" s="12" t="n">
        <v>10577</v>
      </c>
      <c r="M4" s="12" t="n">
        <v>9574</v>
      </c>
      <c r="N4" s="12" t="n">
        <v>7530</v>
      </c>
      <c r="O4" s="11" t="n">
        <v>19949</v>
      </c>
      <c r="P4" s="12" t="n">
        <v>20002</v>
      </c>
      <c r="Q4" s="12" t="n">
        <v>22342</v>
      </c>
      <c r="R4" s="12" t="n">
        <v>24514</v>
      </c>
      <c r="S4" s="12" t="n">
        <v>23383</v>
      </c>
      <c r="T4" s="12" t="n">
        <v>24596</v>
      </c>
      <c r="U4" s="12" t="n">
        <v>25007</v>
      </c>
      <c r="V4" s="12" t="n">
        <v>27071</v>
      </c>
      <c r="W4" s="12" t="n">
        <v>29099</v>
      </c>
      <c r="X4" s="12" t="n">
        <v>31380</v>
      </c>
      <c r="Y4" s="11">
        <f>IF(COUNT(Y7,Y10,Y13,Y16,Y19,Y22,Y25,Y28,Y31)=0,"",SUM(Y7,Y10,Y13,Y16,Y19,Y22,Y25,Y28,Y31))</f>
        <v/>
      </c>
      <c r="Z4" s="12">
        <f>IF(COUNT(Z7,Z10,Z13,Z16,Z19,Z22,Z25,Z28,Z31)=0,"",SUM(Z7,Z10,Z13,Z16,Z19,Z22,Z25,Z28,Z31))</f>
        <v/>
      </c>
      <c r="AA4" s="12">
        <f>IF(COUNT(AA7,AA10,AA13,AA16,AA19,AA22,AA25,AA28,AA31)=0,"",SUM(AA7,AA10,AA13,AA16,AA19,AA22,AA25,AA28,AA31))</f>
        <v/>
      </c>
      <c r="AB4" s="12">
        <f>IF(COUNT(AB7,AB10,AB13,AB16,AB19,AB22,AB25,AB28,AB31)=0,"",SUM(AB7,AB10,AB13,AB16,AB19,AB22,AB25,AB28,AB31))</f>
        <v/>
      </c>
      <c r="AC4" s="12">
        <f>IF(COUNT(AC7,AC10,AC13,AC16,AC19,AC22,AC25,AC28,AC31)=0,"",SUM(AC7,AC10,AC13,AC16,AC19,AC22,AC25,AC28,AC31))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ElectricSystemReportableSegmentsMember</t>
        </is>
      </c>
      <c r="B7" s="10" t="n"/>
      <c r="C7" s="19" t="n">
        <v>1573</v>
      </c>
      <c r="D7" s="20" t="n"/>
      <c r="E7" s="20" t="n"/>
      <c r="F7" s="20" t="n"/>
      <c r="G7" s="20" t="n">
        <v>1549</v>
      </c>
      <c r="H7" s="20" t="n"/>
      <c r="I7" s="20" t="n"/>
      <c r="J7" s="20" t="n"/>
      <c r="K7" s="20" t="n">
        <v>1811</v>
      </c>
      <c r="L7" s="20" t="n"/>
      <c r="M7" s="20" t="n"/>
      <c r="N7" s="20" t="n"/>
      <c r="O7" s="19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EcologicalEnergySystemReportableSegmentsMember</t>
        </is>
      </c>
      <c r="B10" s="10" t="n"/>
      <c r="C10" s="19" t="n">
        <v>2496</v>
      </c>
      <c r="D10" s="20" t="n"/>
      <c r="E10" s="20" t="n"/>
      <c r="F10" s="20" t="n"/>
      <c r="G10" s="20" t="n">
        <v>2853</v>
      </c>
      <c r="H10" s="20" t="n"/>
      <c r="I10" s="20" t="n"/>
      <c r="J10" s="20" t="n"/>
      <c r="K10" s="20" t="n">
        <v>2565</v>
      </c>
      <c r="L10" s="20" t="n"/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InformationSystemReportableSegmentsMember</t>
        </is>
      </c>
      <c r="B13" s="10" t="n"/>
      <c r="C13" s="19" t="n">
        <v>344</v>
      </c>
      <c r="D13" s="20" t="n"/>
      <c r="E13" s="20" t="n"/>
      <c r="F13" s="20" t="n"/>
      <c r="G13" s="20" t="n">
        <v>428</v>
      </c>
      <c r="H13" s="20" t="n"/>
      <c r="I13" s="20" t="n"/>
      <c r="J13" s="20" t="n"/>
      <c r="K13" s="20" t="n">
        <v>407</v>
      </c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ServicesAndEngineeringBusinessUnitReportableSegmentMember</t>
        </is>
      </c>
      <c r="B16" s="10" t="n"/>
      <c r="C16" s="19" t="n">
        <v>1162</v>
      </c>
      <c r="D16" s="20" t="n"/>
      <c r="E16" s="20" t="n">
        <v>1336</v>
      </c>
      <c r="F16" s="20" t="n">
        <v>956</v>
      </c>
      <c r="G16" s="20" t="n">
        <v>680</v>
      </c>
      <c r="H16" s="20" t="n">
        <v>1981</v>
      </c>
      <c r="I16" s="20" t="n">
        <v>1394</v>
      </c>
      <c r="J16" s="20" t="n">
        <v>705</v>
      </c>
      <c r="K16" s="20" t="n">
        <v>961</v>
      </c>
      <c r="L16" s="20" t="n">
        <v>3081</v>
      </c>
      <c r="M16" s="20" t="n">
        <v>2138</v>
      </c>
      <c r="N16" s="20" t="n">
        <v>1995</v>
      </c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>
        <v>4953</v>
      </c>
      <c r="X16" s="20" t="n">
        <v>6141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기타</t>
        </is>
      </c>
      <c r="B19" s="10" t="n"/>
      <c r="C19" s="19" t="n">
        <v>472</v>
      </c>
      <c r="D19" s="20" t="n"/>
      <c r="E19" s="20" t="n">
        <v>664</v>
      </c>
      <c r="F19" s="20" t="n">
        <v>639</v>
      </c>
      <c r="G19" s="20" t="n">
        <v>521</v>
      </c>
      <c r="H19" s="20" t="n">
        <v>589</v>
      </c>
      <c r="I19" s="20" t="n">
        <v>665</v>
      </c>
      <c r="J19" s="20" t="n">
        <v>520</v>
      </c>
      <c r="K19" s="20" t="n">
        <v>644</v>
      </c>
      <c r="L19" s="20" t="n">
        <v>597</v>
      </c>
      <c r="M19" s="20" t="n">
        <v>631</v>
      </c>
      <c r="N19" s="20" t="n">
        <v>599</v>
      </c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>
        <v>2413</v>
      </c>
      <c r="X19" s="20" t="n">
        <v>2426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EntityTotalMember</t>
        </is>
      </c>
      <c r="B22" s="10" t="n"/>
      <c r="C22" s="19" t="n"/>
      <c r="D22" s="20" t="n"/>
      <c r="E22" s="20" t="n"/>
      <c r="F22" s="20" t="n"/>
      <c r="G22" s="20" t="n"/>
      <c r="H22" s="20" t="n"/>
      <c r="I22" s="20" t="n">
        <v>8504</v>
      </c>
      <c r="J22" s="20" t="n"/>
      <c r="K22" s="20" t="n"/>
      <c r="L22" s="20" t="n"/>
      <c r="M22" s="20" t="n">
        <v>9574</v>
      </c>
      <c r="N22" s="20" t="n"/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8" t="inlineStr">
        <is>
          <t>PowerSystemsBusinessUnitReportableSegmentsMember</t>
        </is>
      </c>
      <c r="B25" s="10" t="n"/>
      <c r="C25" s="19" t="n"/>
      <c r="D25" s="20" t="n"/>
      <c r="E25" s="20" t="n">
        <v>2460</v>
      </c>
      <c r="F25" s="20" t="n"/>
      <c r="G25" s="20" t="n"/>
      <c r="H25" s="20" t="n"/>
      <c r="I25" s="20" t="n">
        <v>2502</v>
      </c>
      <c r="J25" s="20" t="n"/>
      <c r="K25" s="20" t="n"/>
      <c r="L25" s="20" t="n"/>
      <c r="M25" s="20" t="n">
        <v>2434</v>
      </c>
      <c r="N25" s="20" t="n"/>
      <c r="O25" s="19" t="n"/>
      <c r="P25" s="20" t="n"/>
      <c r="Q25" s="20" t="n"/>
      <c r="R25" s="20" t="n"/>
      <c r="S25" s="20" t="n"/>
      <c r="T25" s="20" t="n"/>
      <c r="U25" s="20" t="n"/>
      <c r="V25" s="20" t="n"/>
      <c r="W25" s="20" t="n">
        <v>8286</v>
      </c>
      <c r="X25" s="20" t="n">
        <v>8251</v>
      </c>
      <c r="Y25" s="21" t="n"/>
      <c r="Z25" s="22" t="n"/>
      <c r="AA25" s="22" t="n"/>
      <c r="AB25" s="22" t="n"/>
      <c r="AC25" s="22" t="n"/>
    </row>
    <row r="26">
      <c r="A26" s="13" t="inlineStr">
        <is>
          <t>비중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8" t="inlineStr">
        <is>
          <t>EnvironmentalEnergyAndControlSystemsBusinessUnitReportableSegmentsMember</t>
        </is>
      </c>
      <c r="B28" s="10" t="n"/>
      <c r="C28" s="19" t="n"/>
      <c r="D28" s="20" t="n"/>
      <c r="E28" s="20" t="n">
        <v>2950</v>
      </c>
      <c r="F28" s="20" t="n"/>
      <c r="G28" s="20" t="n"/>
      <c r="H28" s="20" t="n"/>
      <c r="I28" s="20" t="n">
        <v>3561</v>
      </c>
      <c r="J28" s="20" t="n"/>
      <c r="K28" s="20" t="n"/>
      <c r="L28" s="20" t="n"/>
      <c r="M28" s="20" t="n">
        <v>3937</v>
      </c>
      <c r="N28" s="20" t="n"/>
      <c r="O28" s="19" t="n"/>
      <c r="P28" s="20" t="n"/>
      <c r="Q28" s="20" t="n"/>
      <c r="R28" s="20" t="n"/>
      <c r="S28" s="20" t="n"/>
      <c r="T28" s="20" t="n"/>
      <c r="U28" s="20" t="n"/>
      <c r="V28" s="20" t="n"/>
      <c r="W28" s="20" t="n">
        <v>11923</v>
      </c>
      <c r="X28" s="20" t="n">
        <v>13008</v>
      </c>
      <c r="Y28" s="21" t="n"/>
      <c r="Z28" s="22" t="n"/>
      <c r="AA28" s="22" t="n"/>
      <c r="AB28" s="22" t="n"/>
      <c r="AC28" s="22" t="n"/>
    </row>
    <row r="29">
      <c r="A29" s="13" t="inlineStr">
        <is>
          <t>비중</t>
        </is>
      </c>
      <c r="B29" s="10" t="n"/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>
        <f>IF(OR(Y28="",Y4=""),"",IFERROR(Y28/Y4,""))</f>
        <v/>
      </c>
      <c r="Z29" s="15">
        <f>IF(OR(Z28="",Z4=""),"",IFERROR(Z28/Z4,""))</f>
        <v/>
      </c>
      <c r="AA29" s="15">
        <f>IF(OR(AA28="",AA4=""),"",IFERROR(AA28/AA4,""))</f>
        <v/>
      </c>
      <c r="AB29" s="15">
        <f>IF(OR(AB28="",AB4=""),"",IFERROR(AB28/AB4,""))</f>
        <v/>
      </c>
      <c r="AC29" s="15">
        <f>IF(OR(AC28="",AC4=""),"",IFERROR(AC28/AC4,""))</f>
        <v/>
      </c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8" t="inlineStr">
        <is>
          <t>ITSystemSolutionsBusinessUnitReportableSegmentsMember</t>
        </is>
      </c>
      <c r="B31" s="10" t="n"/>
      <c r="C31" s="19" t="n"/>
      <c r="D31" s="20" t="n"/>
      <c r="E31" s="20" t="n">
        <v>574</v>
      </c>
      <c r="F31" s="20" t="n"/>
      <c r="G31" s="20" t="n"/>
      <c r="H31" s="20" t="n"/>
      <c r="I31" s="20" t="n">
        <v>508</v>
      </c>
      <c r="J31" s="20" t="n"/>
      <c r="K31" s="20" t="n"/>
      <c r="L31" s="20" t="n"/>
      <c r="M31" s="20" t="n">
        <v>550</v>
      </c>
      <c r="N31" s="20" t="n"/>
      <c r="O31" s="19" t="n"/>
      <c r="P31" s="20" t="n"/>
      <c r="Q31" s="20" t="n"/>
      <c r="R31" s="20" t="n"/>
      <c r="S31" s="20" t="n"/>
      <c r="T31" s="20" t="n"/>
      <c r="U31" s="20" t="n"/>
      <c r="V31" s="20" t="n"/>
      <c r="W31" s="20" t="n">
        <v>2095</v>
      </c>
      <c r="X31" s="20" t="n">
        <v>2059</v>
      </c>
      <c r="Y31" s="21" t="n"/>
      <c r="Z31" s="22" t="n"/>
      <c r="AA31" s="22" t="n"/>
      <c r="AB31" s="22" t="n"/>
      <c r="AC31" s="22" t="n"/>
    </row>
    <row r="32">
      <c r="A32" s="13" t="inlineStr">
        <is>
          <t>비중</t>
        </is>
      </c>
      <c r="B32" s="10" t="n"/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>
        <f>IF(OR(Y31="",Y4=""),"",IFERROR(Y31/Y4,""))</f>
        <v/>
      </c>
      <c r="Z32" s="15">
        <f>IF(OR(Z31="",Z4=""),"",IFERROR(Z31/Z4,""))</f>
        <v/>
      </c>
      <c r="AA32" s="15">
        <f>IF(OR(AA31="",AA4=""),"",IFERROR(AA31/AA4,""))</f>
        <v/>
      </c>
      <c r="AB32" s="15">
        <f>IF(OR(AB31="",AB4=""),"",IFERROR(AB31/AB4,""))</f>
        <v/>
      </c>
      <c r="AC32" s="15">
        <f>IF(OR(AC31="",AC4=""),"",IFERROR(AC31/AC4,""))</f>
        <v/>
      </c>
    </row>
    <row r="33">
      <c r="A33" s="13" t="inlineStr">
        <is>
          <t>YoY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매출원가</t>
        </is>
      </c>
      <c r="B34" s="16" t="n"/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18" t="inlineStr">
        <is>
          <t>전체 매출원가</t>
        </is>
      </c>
      <c r="B35" s="10" t="n"/>
      <c r="C35" s="19" t="n">
        <v>5088</v>
      </c>
      <c r="D35" s="20" t="n">
        <v>7148</v>
      </c>
      <c r="E35" s="20" t="n">
        <v>6285</v>
      </c>
      <c r="F35" s="20" t="n">
        <v>5323</v>
      </c>
      <c r="G35" s="20" t="n">
        <v>4932</v>
      </c>
      <c r="H35" s="20" t="n">
        <v>7364</v>
      </c>
      <c r="I35" s="20" t="n">
        <v>6604</v>
      </c>
      <c r="J35" s="20" t="n">
        <v>4814</v>
      </c>
      <c r="K35" s="20" t="n">
        <v>5125</v>
      </c>
      <c r="L35" s="20" t="n">
        <v>8885</v>
      </c>
      <c r="M35" s="20" t="n">
        <v>7402</v>
      </c>
      <c r="N35" s="20" t="n">
        <v>6196</v>
      </c>
      <c r="O35" s="19" t="n">
        <v>16424</v>
      </c>
      <c r="P35" s="20" t="n">
        <v>16363</v>
      </c>
      <c r="Q35" s="20" t="n">
        <v>18574</v>
      </c>
      <c r="R35" s="20" t="n">
        <v>20758</v>
      </c>
      <c r="S35" s="20" t="n">
        <v>19214</v>
      </c>
      <c r="T35" s="20" t="n">
        <v>20181</v>
      </c>
      <c r="U35" s="20" t="n">
        <v>20536</v>
      </c>
      <c r="V35" s="20" t="n">
        <v>22400</v>
      </c>
      <c r="W35" s="20" t="n">
        <v>23904</v>
      </c>
      <c r="X35" s="20" t="n">
        <v>25428</v>
      </c>
      <c r="Y35" s="19" t="n"/>
      <c r="Z35" s="20" t="n"/>
      <c r="AA35" s="20" t="n"/>
      <c r="AB35" s="20" t="n"/>
      <c r="AC35" s="20" t="n"/>
    </row>
    <row r="36">
      <c r="A36" s="13" t="inlineStr">
        <is>
          <t>YoY</t>
        </is>
      </c>
      <c r="B36" s="10" t="n"/>
      <c r="C36" s="14" t="n"/>
      <c r="D36" s="15" t="n"/>
      <c r="E36" s="15" t="n"/>
      <c r="F36" s="15" t="n"/>
      <c r="G36" s="15">
        <f>IF(OR(G35="",C35=""),"",IF(C35&lt;=0,"",IFERROR(G35/C35-1,"")))</f>
        <v/>
      </c>
      <c r="H36" s="15">
        <f>IF(OR(H35="",D35=""),"",IF(D35&lt;=0,"",IFERROR(H35/D35-1,"")))</f>
        <v/>
      </c>
      <c r="I36" s="15">
        <f>IF(OR(I35="",E35=""),"",IF(E35&lt;=0,"",IFERROR(I35/E35-1,"")))</f>
        <v/>
      </c>
      <c r="J36" s="15">
        <f>IF(OR(J35="",F35=""),"",IF(F35&lt;=0,"",IFERROR(J35/F35-1,"")))</f>
        <v/>
      </c>
      <c r="K36" s="15">
        <f>IF(OR(K35="",G35=""),"",IF(G35&lt;=0,"",IFERROR(K35/G35-1,"")))</f>
        <v/>
      </c>
      <c r="L36" s="15">
        <f>IF(OR(L35="",H35=""),"",IF(H35&lt;=0,"",IFERROR(L35/H35-1,"")))</f>
        <v/>
      </c>
      <c r="M36" s="15">
        <f>IF(OR(M35="",I35=""),"",IF(I35&lt;=0,"",IFERROR(M35/I35-1,"")))</f>
        <v/>
      </c>
      <c r="N36" s="15">
        <f>IF(OR(N35="",J35=""),"",IF(J35&lt;=0,"",IFERROR(N35/J35-1,"")))</f>
        <v/>
      </c>
      <c r="O36" s="14" t="n"/>
      <c r="P36" s="15">
        <f>IF(OR(P35="",O35=""),"",IF(O35&lt;=0,"",IFERROR(P35/O35-1,"")))</f>
        <v/>
      </c>
      <c r="Q36" s="15">
        <f>IF(OR(Q35="",P35=""),"",IF(P35&lt;=0,"",IFERROR(Q35/P35-1,"")))</f>
        <v/>
      </c>
      <c r="R36" s="15">
        <f>IF(OR(R35="",Q35=""),"",IF(Q35&lt;=0,"",IFERROR(R35/Q35-1,"")))</f>
        <v/>
      </c>
      <c r="S36" s="15">
        <f>IF(OR(S35="",R35=""),"",IF(R35&lt;=0,"",IFERROR(S35/R35-1,"")))</f>
        <v/>
      </c>
      <c r="T36" s="15">
        <f>IF(OR(T35="",S35=""),"",IF(S35&lt;=0,"",IFERROR(T35/S35-1,"")))</f>
        <v/>
      </c>
      <c r="U36" s="15">
        <f>IF(OR(U35="",T35=""),"",IF(T35&lt;=0,"",IFERROR(U35/T35-1,"")))</f>
        <v/>
      </c>
      <c r="V36" s="15">
        <f>IF(OR(V35="",U35=""),"",IF(U35&lt;=0,"",IFERROR(V35/U35-1,"")))</f>
        <v/>
      </c>
      <c r="W36" s="15">
        <f>IF(OR(W35="",V35=""),"",IF(V35&lt;=0,"",IFERROR(W35/V35-1,"")))</f>
        <v/>
      </c>
      <c r="X36" s="15">
        <f>IF(OR(X35="",W35=""),"",IF(W35&lt;=0,"",IFERROR(X35/W35-1,"")))</f>
        <v/>
      </c>
      <c r="Y36" s="14">
        <f>IF(OR(Y35="",X35=""),"",IF(X35&lt;=0,"",IFERROR(Y35/X35-1,"")))</f>
        <v/>
      </c>
      <c r="Z36" s="15">
        <f>IF(OR(Z35="",Y35=""),"",IF(Y35&lt;=0,"",IFERROR(Z35/Y35-1,"")))</f>
        <v/>
      </c>
      <c r="AA36" s="15">
        <f>IF(OR(AA35="",Z35=""),"",IF(Z35&lt;=0,"",IFERROR(AA35/Z35-1,"")))</f>
        <v/>
      </c>
      <c r="AB36" s="15">
        <f>IF(OR(AB35="",AA35=""),"",IF(AA35&lt;=0,"",IFERROR(AB35/AA35-1,"")))</f>
        <v/>
      </c>
      <c r="AC36" s="15">
        <f>IF(OR(AC35="",AB35=""),"",IF(AB35&lt;=0,"",IFERROR(AC35/AB35-1,"")))</f>
        <v/>
      </c>
    </row>
    <row r="37">
      <c r="A37" s="18" t="inlineStr">
        <is>
          <t>매출총이익</t>
        </is>
      </c>
      <c r="B37" s="10" t="n"/>
      <c r="C37" s="19">
        <f>IF(OR(C4="",C35=""),"",IFERROR(C4-C35,""))</f>
        <v/>
      </c>
      <c r="D37" s="20">
        <f>IF(OR(D4="",D35=""),"",IFERROR(D4-D35,""))</f>
        <v/>
      </c>
      <c r="E37" s="20">
        <f>IF(OR(E4="",E35=""),"",IFERROR(E4-E35,""))</f>
        <v/>
      </c>
      <c r="F37" s="20">
        <f>IF(OR(F4="",F35=""),"",IFERROR(F4-F35,""))</f>
        <v/>
      </c>
      <c r="G37" s="20">
        <f>IF(OR(G4="",G35=""),"",IFERROR(G4-G35,""))</f>
        <v/>
      </c>
      <c r="H37" s="20">
        <f>IF(OR(H4="",H35=""),"",IFERROR(H4-H35,""))</f>
        <v/>
      </c>
      <c r="I37" s="20">
        <f>IF(OR(I4="",I35=""),"",IFERROR(I4-I35,""))</f>
        <v/>
      </c>
      <c r="J37" s="20">
        <f>IF(OR(J4="",J35=""),"",IFERROR(J4-J35,""))</f>
        <v/>
      </c>
      <c r="K37" s="20">
        <f>IF(OR(K4="",K35=""),"",IFERROR(K4-K35,""))</f>
        <v/>
      </c>
      <c r="L37" s="20">
        <f>IF(OR(L4="",L35=""),"",IFERROR(L4-L35,""))</f>
        <v/>
      </c>
      <c r="M37" s="20">
        <f>IF(OR(M4="",M35=""),"",IFERROR(M4-M35,""))</f>
        <v/>
      </c>
      <c r="N37" s="20">
        <f>IF(OR(N4="",N35=""),"",IFERROR(N4-N35,""))</f>
        <v/>
      </c>
      <c r="O37" s="19">
        <f>IF(OR(O4="",O35=""),"",IFERROR(O4-O35,""))</f>
        <v/>
      </c>
      <c r="P37" s="20">
        <f>IF(OR(P4="",P35=""),"",IFERROR(P4-P35,""))</f>
        <v/>
      </c>
      <c r="Q37" s="20">
        <f>IF(OR(Q4="",Q35=""),"",IFERROR(Q4-Q35,""))</f>
        <v/>
      </c>
      <c r="R37" s="20">
        <f>IF(OR(R4="",R35=""),"",IFERROR(R4-R35,""))</f>
        <v/>
      </c>
      <c r="S37" s="20">
        <f>IF(OR(S4="",S35=""),"",IFERROR(S4-S35,""))</f>
        <v/>
      </c>
      <c r="T37" s="20">
        <f>IF(OR(T4="",T35=""),"",IFERROR(T4-T35,""))</f>
        <v/>
      </c>
      <c r="U37" s="20">
        <f>IF(OR(U4="",U35=""),"",IFERROR(U4-U35,""))</f>
        <v/>
      </c>
      <c r="V37" s="20">
        <f>IF(OR(V4="",V35=""),"",IFERROR(V4-V35,""))</f>
        <v/>
      </c>
      <c r="W37" s="20">
        <f>IF(OR(W4="",W35=""),"",IFERROR(W4-W35,""))</f>
        <v/>
      </c>
      <c r="X37" s="20">
        <f>IF(OR(X4="",X35=""),"",IFERROR(X4-X35,""))</f>
        <v/>
      </c>
      <c r="Y37" s="19" t="n"/>
      <c r="Z37" s="20" t="n"/>
      <c r="AA37" s="20" t="n"/>
      <c r="AB37" s="20" t="n"/>
      <c r="AC37" s="20" t="n"/>
    </row>
    <row r="38">
      <c r="A38" s="13" t="inlineStr">
        <is>
          <t>GPM</t>
        </is>
      </c>
      <c r="B38" s="10" t="n"/>
      <c r="C38" s="14">
        <f>IF(OR(C37="",C4=""),"",IFERROR(C37/C4,""))</f>
        <v/>
      </c>
      <c r="D38" s="15">
        <f>IF(OR(D37="",D4=""),"",IFERROR(D37/D4,""))</f>
        <v/>
      </c>
      <c r="E38" s="15">
        <f>IF(OR(E37="",E4=""),"",IFERROR(E37/E4,""))</f>
        <v/>
      </c>
      <c r="F38" s="15">
        <f>IF(OR(F37="",F4=""),"",IFERROR(F37/F4,""))</f>
        <v/>
      </c>
      <c r="G38" s="15">
        <f>IF(OR(G37="",G4=""),"",IFERROR(G37/G4,""))</f>
        <v/>
      </c>
      <c r="H38" s="15">
        <f>IF(OR(H37="",H4=""),"",IFERROR(H37/H4,""))</f>
        <v/>
      </c>
      <c r="I38" s="15">
        <f>IF(OR(I37="",I4=""),"",IFERROR(I37/I4,""))</f>
        <v/>
      </c>
      <c r="J38" s="15">
        <f>IF(OR(J37="",J4=""),"",IFERROR(J37/J4,""))</f>
        <v/>
      </c>
      <c r="K38" s="15">
        <f>IF(OR(K37="",K4=""),"",IFERROR(K37/K4,""))</f>
        <v/>
      </c>
      <c r="L38" s="15">
        <f>IF(OR(L37="",L4=""),"",IFERROR(L37/L4,""))</f>
        <v/>
      </c>
      <c r="M38" s="15">
        <f>IF(OR(M37="",M4=""),"",IFERROR(M37/M4,""))</f>
        <v/>
      </c>
      <c r="N38" s="15">
        <f>IF(OR(N37="",N4=""),"",IFERROR(N37/N4,""))</f>
        <v/>
      </c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>
        <f>IF(OR(Y37="",Y4=""),"",IFERROR(Y37/Y4,""))</f>
        <v/>
      </c>
      <c r="Z38" s="15">
        <f>IF(OR(Z37="",Z4=""),"",IFERROR(Z37/Z4,""))</f>
        <v/>
      </c>
      <c r="AA38" s="15">
        <f>IF(OR(AA37="",AA4=""),"",IFERROR(AA37/AA4,""))</f>
        <v/>
      </c>
      <c r="AB38" s="15">
        <f>IF(OR(AB37="",AB4=""),"",IFERROR(AB37/AB4,""))</f>
        <v/>
      </c>
      <c r="AC38" s="15">
        <f>IF(OR(AC37="",AC4=""),"",IFERROR(AC37/AC4,""))</f>
        <v/>
      </c>
    </row>
    <row r="39">
      <c r="A39" s="13" t="inlineStr">
        <is>
          <t>YoY</t>
        </is>
      </c>
      <c r="B39" s="10" t="n"/>
      <c r="C39" s="14" t="n"/>
      <c r="D39" s="15" t="n"/>
      <c r="E39" s="15" t="n"/>
      <c r="F39" s="15" t="n"/>
      <c r="G39" s="15">
        <f>IF(OR(G37="",C37=""),"",IF(C37&lt;=0,"",IFERROR(G37/C37-1,"")))</f>
        <v/>
      </c>
      <c r="H39" s="15">
        <f>IF(OR(H37="",D37=""),"",IF(D37&lt;=0,"",IFERROR(H37/D37-1,"")))</f>
        <v/>
      </c>
      <c r="I39" s="15">
        <f>IF(OR(I37="",E37=""),"",IF(E37&lt;=0,"",IFERROR(I37/E37-1,"")))</f>
        <v/>
      </c>
      <c r="J39" s="15">
        <f>IF(OR(J37="",F37=""),"",IF(F37&lt;=0,"",IFERROR(J37/F37-1,"")))</f>
        <v/>
      </c>
      <c r="K39" s="15">
        <f>IF(OR(K37="",G37=""),"",IF(G37&lt;=0,"",IFERROR(K37/G37-1,"")))</f>
        <v/>
      </c>
      <c r="L39" s="15">
        <f>IF(OR(L37="",H37=""),"",IF(H37&lt;=0,"",IFERROR(L37/H37-1,"")))</f>
        <v/>
      </c>
      <c r="M39" s="15">
        <f>IF(OR(M37="",I37=""),"",IF(I37&lt;=0,"",IFERROR(M37/I37-1,"")))</f>
        <v/>
      </c>
      <c r="N39" s="15">
        <f>IF(OR(N37="",J37=""),"",IF(J37&lt;=0,"",IFERROR(N37/J37-1,"")))</f>
        <v/>
      </c>
      <c r="O39" s="14" t="n"/>
      <c r="P39" s="15">
        <f>IF(OR(P37="",O37=""),"",IF(O37&lt;=0,"",IFERROR(P37/O37-1,"")))</f>
        <v/>
      </c>
      <c r="Q39" s="15">
        <f>IF(OR(Q37="",P37=""),"",IF(P37&lt;=0,"",IFERROR(Q37/P37-1,"")))</f>
        <v/>
      </c>
      <c r="R39" s="15">
        <f>IF(OR(R37="",Q37=""),"",IF(Q37&lt;=0,"",IFERROR(R37/Q37-1,"")))</f>
        <v/>
      </c>
      <c r="S39" s="15">
        <f>IF(OR(S37="",R37=""),"",IF(R37&lt;=0,"",IFERROR(S37/R37-1,"")))</f>
        <v/>
      </c>
      <c r="T39" s="15">
        <f>IF(OR(T37="",S37=""),"",IF(S37&lt;=0,"",IFERROR(T37/S37-1,"")))</f>
        <v/>
      </c>
      <c r="U39" s="15">
        <f>IF(OR(U37="",T37=""),"",IF(T37&lt;=0,"",IFERROR(U37/T37-1,"")))</f>
        <v/>
      </c>
      <c r="V39" s="15">
        <f>IF(OR(V37="",U37=""),"",IF(U37&lt;=0,"",IFERROR(V37/U37-1,"")))</f>
        <v/>
      </c>
      <c r="W39" s="15">
        <f>IF(OR(W37="",V37=""),"",IF(V37&lt;=0,"",IFERROR(W37/V37-1,"")))</f>
        <v/>
      </c>
      <c r="X39" s="15">
        <f>IF(OR(X37="",W37=""),"",IF(W37&lt;=0,"",IFERROR(X37/W37-1,"")))</f>
        <v/>
      </c>
      <c r="Y39" s="14">
        <f>IF(OR(Y37="",X37=""),"",IF(X37&lt;=0,"",IFERROR(Y37/X37-1,"")))</f>
        <v/>
      </c>
      <c r="Z39" s="15">
        <f>IF(OR(Z37="",Y37=""),"",IF(Y37&lt;=0,"",IFERROR(Z37/Y37-1,"")))</f>
        <v/>
      </c>
      <c r="AA39" s="15">
        <f>IF(OR(AA37="",Z37=""),"",IF(Z37&lt;=0,"",IFERROR(AA37/Z37-1,"")))</f>
        <v/>
      </c>
      <c r="AB39" s="15">
        <f>IF(OR(AB37="",AA37=""),"",IF(AA37&lt;=0,"",IFERROR(AB37/AA37-1,"")))</f>
        <v/>
      </c>
      <c r="AC39" s="15">
        <f>IF(OR(AC37="",AB37=""),"",IF(AB37&lt;=0,"",IFERROR(AC37/AB37-1,"")))</f>
        <v/>
      </c>
    </row>
    <row r="40">
      <c r="A40" s="23" t="inlineStr">
        <is>
          <t>판매관리비</t>
        </is>
      </c>
      <c r="B40" s="23" t="n"/>
      <c r="C40" s="24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4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4" t="n"/>
      <c r="Z40" s="23" t="n"/>
      <c r="AA40" s="23" t="n"/>
      <c r="AB40" s="23" t="n"/>
      <c r="AC40" s="23" t="n"/>
    </row>
    <row r="41">
      <c r="A41" s="18" t="inlineStr">
        <is>
          <t>전체 판관비</t>
        </is>
      </c>
      <c r="B41" s="10" t="n"/>
      <c r="C41" s="19" t="n">
        <v>739</v>
      </c>
      <c r="D41" s="20" t="n">
        <v>760</v>
      </c>
      <c r="E41" s="20" t="n">
        <v>780</v>
      </c>
      <c r="F41" s="20" t="n">
        <v>835</v>
      </c>
      <c r="G41" s="20" t="n">
        <v>766</v>
      </c>
      <c r="H41" s="20" t="n">
        <v>797</v>
      </c>
      <c r="I41" s="20" t="n">
        <v>799</v>
      </c>
      <c r="J41" s="20" t="n">
        <v>860</v>
      </c>
      <c r="K41" s="20" t="n">
        <v>806</v>
      </c>
      <c r="L41" s="20" t="n">
        <v>871</v>
      </c>
      <c r="M41" s="20" t="n">
        <v>890</v>
      </c>
      <c r="N41" s="20" t="n">
        <v>935</v>
      </c>
      <c r="O41" s="19" t="n">
        <v>2658</v>
      </c>
      <c r="P41" s="20" t="n">
        <v>2803</v>
      </c>
      <c r="Q41" s="20" t="n">
        <v>2872</v>
      </c>
      <c r="R41" s="20" t="n">
        <v>2847</v>
      </c>
      <c r="S41" s="20" t="n">
        <v>2844</v>
      </c>
      <c r="T41" s="20" t="n">
        <v>3008</v>
      </c>
      <c r="U41" s="20" t="n">
        <v>3030</v>
      </c>
      <c r="V41" s="20" t="n">
        <v>3048</v>
      </c>
      <c r="W41" s="20" t="n">
        <v>3178</v>
      </c>
      <c r="X41" s="20" t="n">
        <v>3336</v>
      </c>
      <c r="Y41" s="19" t="n"/>
      <c r="Z41" s="20" t="n"/>
      <c r="AA41" s="20" t="n"/>
      <c r="AB41" s="20" t="n"/>
      <c r="AC41" s="20" t="n"/>
    </row>
    <row r="42">
      <c r="A42" s="13" t="inlineStr">
        <is>
          <t>YoY</t>
        </is>
      </c>
      <c r="B42" s="10" t="n"/>
      <c r="C42" s="14" t="n"/>
      <c r="D42" s="15" t="n"/>
      <c r="E42" s="15" t="n"/>
      <c r="F42" s="15" t="n"/>
      <c r="G42" s="15">
        <f>IF(OR(G41="",C41=""),"",IF(C41&lt;=0,"",IFERROR(G41/C41-1,"")))</f>
        <v/>
      </c>
      <c r="H42" s="15">
        <f>IF(OR(H41="",D41=""),"",IF(D41&lt;=0,"",IFERROR(H41/D41-1,"")))</f>
        <v/>
      </c>
      <c r="I42" s="15">
        <f>IF(OR(I41="",E41=""),"",IF(E41&lt;=0,"",IFERROR(I41/E41-1,"")))</f>
        <v/>
      </c>
      <c r="J42" s="15">
        <f>IF(OR(J41="",F41=""),"",IF(F41&lt;=0,"",IFERROR(J41/F41-1,"")))</f>
        <v/>
      </c>
      <c r="K42" s="15">
        <f>IF(OR(K41="",G41=""),"",IF(G41&lt;=0,"",IFERROR(K41/G41-1,"")))</f>
        <v/>
      </c>
      <c r="L42" s="15">
        <f>IF(OR(L41="",H41=""),"",IF(H41&lt;=0,"",IFERROR(L41/H41-1,"")))</f>
        <v/>
      </c>
      <c r="M42" s="15">
        <f>IF(OR(M41="",I41=""),"",IF(I41&lt;=0,"",IFERROR(M41/I41-1,"")))</f>
        <v/>
      </c>
      <c r="N42" s="15">
        <f>IF(OR(N41="",J41=""),"",IF(J41&lt;=0,"",IFERROR(N41/J41-1,"")))</f>
        <v/>
      </c>
      <c r="O42" s="14" t="n"/>
      <c r="P42" s="15">
        <f>IF(OR(P41="",O41=""),"",IF(O41&lt;=0,"",IFERROR(P41/O41-1,"")))</f>
        <v/>
      </c>
      <c r="Q42" s="15">
        <f>IF(OR(Q41="",P41=""),"",IF(P41&lt;=0,"",IFERROR(Q41/P41-1,"")))</f>
        <v/>
      </c>
      <c r="R42" s="15">
        <f>IF(OR(R41="",Q41=""),"",IF(Q41&lt;=0,"",IFERROR(R41/Q41-1,"")))</f>
        <v/>
      </c>
      <c r="S42" s="15">
        <f>IF(OR(S41="",R41=""),"",IF(R41&lt;=0,"",IFERROR(S41/R41-1,"")))</f>
        <v/>
      </c>
      <c r="T42" s="15">
        <f>IF(OR(T41="",S41=""),"",IF(S41&lt;=0,"",IFERROR(T41/S41-1,"")))</f>
        <v/>
      </c>
      <c r="U42" s="15">
        <f>IF(OR(U41="",T41=""),"",IF(T41&lt;=0,"",IFERROR(U41/T41-1,"")))</f>
        <v/>
      </c>
      <c r="V42" s="15">
        <f>IF(OR(V41="",U41=""),"",IF(U41&lt;=0,"",IFERROR(V41/U41-1,"")))</f>
        <v/>
      </c>
      <c r="W42" s="15">
        <f>IF(OR(W41="",V41=""),"",IF(V41&lt;=0,"",IFERROR(W41/V41-1,"")))</f>
        <v/>
      </c>
      <c r="X42" s="15">
        <f>IF(OR(X41="",W41=""),"",IF(W41&lt;=0,"",IFERROR(X41/W41-1,"")))</f>
        <v/>
      </c>
      <c r="Y42" s="14">
        <f>IF(OR(Y41="",X41=""),"",IF(X41&lt;=0,"",IFERROR(Y41/X41-1,"")))</f>
        <v/>
      </c>
      <c r="Z42" s="15">
        <f>IF(OR(Z41="",Y41=""),"",IF(Y41&lt;=0,"",IFERROR(Z41/Y41-1,"")))</f>
        <v/>
      </c>
      <c r="AA42" s="15">
        <f>IF(OR(AA41="",Z41=""),"",IF(Z41&lt;=0,"",IFERROR(AA41/Z41-1,"")))</f>
        <v/>
      </c>
      <c r="AB42" s="15">
        <f>IF(OR(AB41="",AA41=""),"",IF(AA41&lt;=0,"",IFERROR(AB41/AA41-1,"")))</f>
        <v/>
      </c>
      <c r="AC42" s="15">
        <f>IF(OR(AC41="",AB41=""),"",IF(AB41&lt;=0,"",IFERROR(AC41/AB41-1,"")))</f>
        <v/>
      </c>
    </row>
    <row r="43">
      <c r="A43" s="9" t="inlineStr">
        <is>
          <t>영업이익</t>
        </is>
      </c>
      <c r="B43" s="10" t="inlineStr">
        <is>
          <t>MW = 매출 × OPM</t>
        </is>
      </c>
      <c r="C43" s="11" t="n">
        <v>220</v>
      </c>
      <c r="D43" s="12" t="n">
        <v>560</v>
      </c>
      <c r="E43" s="12" t="n">
        <v>770</v>
      </c>
      <c r="F43" s="12" t="n">
        <v>243</v>
      </c>
      <c r="G43" s="12" t="n">
        <v>332</v>
      </c>
      <c r="H43" s="12" t="n">
        <v>671</v>
      </c>
      <c r="I43" s="12" t="n">
        <v>1101</v>
      </c>
      <c r="J43" s="12" t="n">
        <v>237</v>
      </c>
      <c r="K43" s="12" t="n">
        <v>456</v>
      </c>
      <c r="L43" s="12" t="n">
        <v>821</v>
      </c>
      <c r="M43" s="12" t="n">
        <v>1280</v>
      </c>
      <c r="N43" s="12" t="n">
        <v>400</v>
      </c>
      <c r="O43" s="11" t="n">
        <v>866</v>
      </c>
      <c r="P43" s="12" t="n">
        <v>835</v>
      </c>
      <c r="Q43" s="12" t="n">
        <v>895</v>
      </c>
      <c r="R43" s="12" t="n">
        <v>907</v>
      </c>
      <c r="S43" s="12" t="n">
        <v>1325</v>
      </c>
      <c r="T43" s="12" t="n">
        <v>1406</v>
      </c>
      <c r="U43" s="12" t="n">
        <v>1440</v>
      </c>
      <c r="V43" s="12" t="n">
        <v>1622</v>
      </c>
      <c r="W43" s="12" t="n">
        <v>2016</v>
      </c>
      <c r="X43" s="12" t="n">
        <v>2615</v>
      </c>
      <c r="Y43" s="11">
        <f>IF(OR(Y4="",Y44=""),"",IFERROR(Y4*Y44,""))</f>
        <v/>
      </c>
      <c r="Z43" s="12">
        <f>IF(OR(Z4="",Z44=""),"",IFERROR(Z4*Z44,""))</f>
        <v/>
      </c>
      <c r="AA43" s="12">
        <f>IF(OR(AA4="",AA44=""),"",IFERROR(AA4*AA44,""))</f>
        <v/>
      </c>
      <c r="AB43" s="12">
        <f>IF(OR(AB4="",AB44=""),"",IFERROR(AB4*AB44,""))</f>
        <v/>
      </c>
      <c r="AC43" s="12">
        <f>IF(OR(AC4="",AC44=""),"",IFERROR(AC4*AC44,""))</f>
        <v/>
      </c>
    </row>
    <row r="44">
      <c r="A44" s="13" t="inlineStr">
        <is>
          <t>OPM</t>
        </is>
      </c>
      <c r="B44" s="10" t="inlineStr">
        <is>
          <t>MW 입력</t>
        </is>
      </c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 t="n"/>
      <c r="Z44" s="26" t="n"/>
      <c r="AA44" s="26" t="n"/>
      <c r="AB44" s="26" t="n"/>
      <c r="AC44" s="26" t="n"/>
    </row>
    <row r="45">
      <c r="A45" s="13" t="inlineStr">
        <is>
          <t>증가율</t>
        </is>
      </c>
      <c r="B45" s="10" t="n"/>
      <c r="C45" s="14" t="n"/>
      <c r="D45" s="15" t="n"/>
      <c r="E45" s="15" t="n"/>
      <c r="F45" s="15" t="n"/>
      <c r="G45" s="15">
        <f>IF(OR(G43="",C43=""),"",IFERROR(G43/C43-1,""))</f>
        <v/>
      </c>
      <c r="H45" s="15">
        <f>IF(OR(H43="",D43=""),"",IFERROR(H43/D43-1,""))</f>
        <v/>
      </c>
      <c r="I45" s="15">
        <f>IF(OR(I43="",E43=""),"",IFERROR(I43/E43-1,""))</f>
        <v/>
      </c>
      <c r="J45" s="15">
        <f>IF(OR(J43="",F43=""),"",IFERROR(J43/F43-1,""))</f>
        <v/>
      </c>
      <c r="K45" s="15">
        <f>IF(OR(K43="",G43=""),"",IFERROR(K43/G43-1,""))</f>
        <v/>
      </c>
      <c r="L45" s="15">
        <f>IF(OR(L43="",H43=""),"",IFERROR(L43/H43-1,""))</f>
        <v/>
      </c>
      <c r="M45" s="15">
        <f>IF(OR(M43="",I43=""),"",IFERROR(M43/I43-1,""))</f>
        <v/>
      </c>
      <c r="N45" s="15">
        <f>IF(OR(N43="",J43=""),"",IFERROR(N43/J43-1,""))</f>
        <v/>
      </c>
      <c r="O45" s="14" t="n"/>
      <c r="P45" s="15">
        <f>IF(OR(P43="",O43=""),"",IFERROR(P43/O43-1,""))</f>
        <v/>
      </c>
      <c r="Q45" s="15">
        <f>IF(OR(Q43="",P43=""),"",IFERROR(Q43/P43-1,""))</f>
        <v/>
      </c>
      <c r="R45" s="15">
        <f>IF(OR(R43="",Q43=""),"",IFERROR(R43/Q43-1,""))</f>
        <v/>
      </c>
      <c r="S45" s="15">
        <f>IF(OR(S43="",R43=""),"",IFERROR(S43/R43-1,""))</f>
        <v/>
      </c>
      <c r="T45" s="15">
        <f>IF(OR(T43="",S43=""),"",IFERROR(T43/S43-1,""))</f>
        <v/>
      </c>
      <c r="U45" s="15">
        <f>IF(OR(U43="",T43=""),"",IFERROR(U43/T43-1,""))</f>
        <v/>
      </c>
      <c r="V45" s="15">
        <f>IF(OR(V43="",U43=""),"",IFERROR(V43/U43-1,""))</f>
        <v/>
      </c>
      <c r="W45" s="15">
        <f>IF(OR(W43="",V43=""),"",IFERROR(W43/V43-1,""))</f>
        <v/>
      </c>
      <c r="X45" s="15">
        <f>IF(OR(X43="",W43=""),"",IFERROR(X43/W43-1,""))</f>
        <v/>
      </c>
      <c r="Y45" s="14">
        <f>IF(OR(Y43="",X43=""),"",IFERROR(Y43/X43-1,""))</f>
        <v/>
      </c>
      <c r="Z45" s="15">
        <f>IF(OR(Z43="",Y43=""),"",IFERROR(Z43/Y43-1,""))</f>
        <v/>
      </c>
      <c r="AA45" s="15">
        <f>IF(OR(AA43="",Z43=""),"",IFERROR(AA43/Z43-1,""))</f>
        <v/>
      </c>
      <c r="AB45" s="15">
        <f>IF(OR(AB43="",AA43=""),"",IFERROR(AB43/AA43-1,""))</f>
        <v/>
      </c>
      <c r="AC45" s="15">
        <f>IF(OR(AC43="",AB43=""),"",IFERROR(AC43/AB43-1,""))</f>
        <v/>
      </c>
    </row>
    <row r="46">
      <c r="A46" s="16" t="inlineStr">
        <is>
          <t>비용의 성격별 분류</t>
        </is>
      </c>
      <c r="B46" s="16" t="inlineStr">
        <is>
          <t>참고 데이터</t>
        </is>
      </c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9" t="inlineStr">
        <is>
          <t>총 판관비</t>
        </is>
      </c>
      <c r="B47" s="10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1">
        <f>IF(O41="","",O41)</f>
        <v/>
      </c>
      <c r="P47" s="12">
        <f>IF(P41="","",P41)</f>
        <v/>
      </c>
      <c r="Q47" s="12">
        <f>IF(Q41="","",Q41)</f>
        <v/>
      </c>
      <c r="R47" s="12">
        <f>IF(R41="","",R41)</f>
        <v/>
      </c>
      <c r="S47" s="12">
        <f>IF(S41="","",S41)</f>
        <v/>
      </c>
      <c r="T47" s="12">
        <f>IF(T41="","",T41)</f>
        <v/>
      </c>
      <c r="U47" s="12">
        <f>IF(U41="","",U41)</f>
        <v/>
      </c>
      <c r="V47" s="12">
        <f>IF(V41="","",V41)</f>
        <v/>
      </c>
      <c r="W47" s="12">
        <f>IF(W41="","",W41)</f>
        <v/>
      </c>
      <c r="X47" s="12">
        <f>IF(X41="","",X41)</f>
        <v/>
      </c>
      <c r="Y47" s="11" t="n"/>
      <c r="Z47" s="12" t="n"/>
      <c r="AA47" s="12" t="n"/>
      <c r="AB47" s="12" t="n"/>
      <c r="AC47" s="12" t="n"/>
    </row>
    <row r="48">
      <c r="A48" s="18" t="inlineStr">
        <is>
          <t>급여</t>
        </is>
      </c>
      <c r="B48" s="10" t="inlineStr">
        <is>
          <t>고정비</t>
        </is>
      </c>
      <c r="C48" s="19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19" t="n"/>
      <c r="P48" s="20" t="n"/>
      <c r="Q48" s="20" t="n"/>
      <c r="R48" s="20" t="n">
        <v>1024</v>
      </c>
      <c r="S48" s="20" t="n">
        <v>1023</v>
      </c>
      <c r="T48" s="20" t="n">
        <v>1026</v>
      </c>
      <c r="U48" s="20" t="n">
        <v>1045</v>
      </c>
      <c r="V48" s="20" t="n">
        <v>1044</v>
      </c>
      <c r="W48" s="20" t="n">
        <v>1036</v>
      </c>
      <c r="X48" s="20" t="n">
        <v>1088</v>
      </c>
      <c r="Y48" s="19" t="n"/>
      <c r="Z48" s="20" t="n"/>
      <c r="AA48" s="20" t="n"/>
      <c r="AB48" s="20" t="n"/>
      <c r="AC48" s="20" t="n"/>
    </row>
    <row r="49">
      <c r="A49" s="13" t="inlineStr">
        <is>
          <t>% of Sales</t>
        </is>
      </c>
      <c r="B49" s="10" t="n"/>
      <c r="C49" s="14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14" t="n"/>
      <c r="Z49" s="15" t="n"/>
      <c r="AA49" s="15" t="n"/>
      <c r="AB49" s="15" t="n"/>
      <c r="AC49" s="15" t="n"/>
    </row>
    <row r="50">
      <c r="A50" s="18" t="inlineStr">
        <is>
          <t>감가상각비</t>
        </is>
      </c>
      <c r="B50" s="10" t="inlineStr">
        <is>
          <t>고정비</t>
        </is>
      </c>
      <c r="C50" s="19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19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19" t="n"/>
      <c r="Z50" s="20" t="n"/>
      <c r="AA50" s="20" t="n"/>
      <c r="AB50" s="20" t="n"/>
      <c r="AC50" s="20" t="n"/>
    </row>
    <row r="51">
      <c r="A51" s="13" t="inlineStr">
        <is>
          <t>% of Sales</t>
        </is>
      </c>
      <c r="B51" s="10" t="n"/>
      <c r="C51" s="14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14" t="n"/>
      <c r="Z51" s="15" t="n"/>
      <c r="AA51" s="15" t="n"/>
      <c r="AB51" s="15" t="n"/>
      <c r="AC51" s="15" t="n"/>
    </row>
    <row r="52">
      <c r="A52" s="18" t="inlineStr">
        <is>
          <t>지급수수료</t>
        </is>
      </c>
      <c r="B52" s="10" t="inlineStr">
        <is>
          <t>고정비</t>
        </is>
      </c>
      <c r="C52" s="19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19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19" t="n"/>
      <c r="Z52" s="20" t="n"/>
      <c r="AA52" s="20" t="n"/>
      <c r="AB52" s="20" t="n"/>
      <c r="AC52" s="20" t="n"/>
    </row>
    <row r="53">
      <c r="A53" s="13" t="inlineStr">
        <is>
          <t>% of Sales</t>
        </is>
      </c>
      <c r="B53" s="10" t="n"/>
      <c r="C53" s="14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4">
        <f>IF(OR(O52="",O4=""),"",IFERROR(O52/O4,""))</f>
        <v/>
      </c>
      <c r="P53" s="15">
        <f>IF(OR(P52="",P4=""),"",IFERROR(P52/P4,""))</f>
        <v/>
      </c>
      <c r="Q53" s="15">
        <f>IF(OR(Q52="",Q4=""),"",IFERROR(Q52/Q4,""))</f>
        <v/>
      </c>
      <c r="R53" s="15">
        <f>IF(OR(R52="",R4=""),"",IFERROR(R52/R4,""))</f>
        <v/>
      </c>
      <c r="S53" s="15">
        <f>IF(OR(S52="",S4=""),"",IFERROR(S52/S4,""))</f>
        <v/>
      </c>
      <c r="T53" s="15">
        <f>IF(OR(T52="",T4=""),"",IFERROR(T52/T4,""))</f>
        <v/>
      </c>
      <c r="U53" s="15">
        <f>IF(OR(U52="",U4=""),"",IFERROR(U52/U4,""))</f>
        <v/>
      </c>
      <c r="V53" s="15">
        <f>IF(OR(V52="",V4=""),"",IFERROR(V52/V4,""))</f>
        <v/>
      </c>
      <c r="W53" s="15">
        <f>IF(OR(W52="",W4=""),"",IFERROR(W52/W4,""))</f>
        <v/>
      </c>
      <c r="X53" s="15">
        <f>IF(OR(X52="",X4=""),"",IFERROR(X52/X4,""))</f>
        <v/>
      </c>
      <c r="Y53" s="14" t="n"/>
      <c r="Z53" s="15" t="n"/>
      <c r="AA53" s="15" t="n"/>
      <c r="AB53" s="15" t="n"/>
      <c r="AC53" s="15" t="n"/>
    </row>
    <row r="54">
      <c r="A54" s="18" t="inlineStr">
        <is>
          <t>연구개발비</t>
        </is>
      </c>
      <c r="B54" s="10" t="inlineStr">
        <is>
          <t>변동비</t>
        </is>
      </c>
      <c r="C54" s="19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19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19" t="n"/>
      <c r="Z54" s="20" t="n"/>
      <c r="AA54" s="20" t="n"/>
      <c r="AB54" s="20" t="n"/>
      <c r="AC54" s="20" t="n"/>
    </row>
    <row r="55">
      <c r="A55" s="13" t="inlineStr">
        <is>
          <t>% of Sales</t>
        </is>
      </c>
      <c r="B55" s="10" t="n"/>
      <c r="C55" s="14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4">
        <f>IF(OR(O54="",O4=""),"",IFERROR(O54/O4,""))</f>
        <v/>
      </c>
      <c r="P55" s="15">
        <f>IF(OR(P54="",P4=""),"",IFERROR(P54/P4,""))</f>
        <v/>
      </c>
      <c r="Q55" s="15">
        <f>IF(OR(Q54="",Q4=""),"",IFERROR(Q54/Q4,""))</f>
        <v/>
      </c>
      <c r="R55" s="15">
        <f>IF(OR(R54="",R4=""),"",IFERROR(R54/R4,""))</f>
        <v/>
      </c>
      <c r="S55" s="15">
        <f>IF(OR(S54="",S4=""),"",IFERROR(S54/S4,""))</f>
        <v/>
      </c>
      <c r="T55" s="15">
        <f>IF(OR(T54="",T4=""),"",IFERROR(T54/T4,""))</f>
        <v/>
      </c>
      <c r="U55" s="15">
        <f>IF(OR(U54="",U4=""),"",IFERROR(U54/U4,""))</f>
        <v/>
      </c>
      <c r="V55" s="15">
        <f>IF(OR(V54="",V4=""),"",IFERROR(V54/V4,""))</f>
        <v/>
      </c>
      <c r="W55" s="15">
        <f>IF(OR(W54="",W4=""),"",IFERROR(W54/W4,""))</f>
        <v/>
      </c>
      <c r="X55" s="15">
        <f>IF(OR(X54="",X4=""),"",IFERROR(X54/X4,""))</f>
        <v/>
      </c>
      <c r="Y55" s="14" t="n"/>
      <c r="Z55" s="15" t="n"/>
      <c r="AA55" s="15" t="n"/>
      <c r="AB55" s="15" t="n"/>
      <c r="AC55" s="15" t="n"/>
    </row>
    <row r="56">
      <c r="A56" s="18" t="inlineStr">
        <is>
          <t>기타비용</t>
        </is>
      </c>
      <c r="B56" s="10" t="inlineStr">
        <is>
          <t>변동비</t>
        </is>
      </c>
      <c r="C56" s="19" t="n"/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19">
        <f>IF(OR(O47="",O48="",O50="",O52="",O54=""),"",IFERROR(O47-O48-O50-O52-O54,""))</f>
        <v/>
      </c>
      <c r="P56" s="20">
        <f>IF(OR(P47="",P48="",P50="",P52="",P54=""),"",IFERROR(P47-P48-P50-P52-P54,""))</f>
        <v/>
      </c>
      <c r="Q56" s="20">
        <f>IF(OR(Q47="",Q48="",Q50="",Q52="",Q54=""),"",IFERROR(Q47-Q48-Q50-Q52-Q54,""))</f>
        <v/>
      </c>
      <c r="R56" s="20">
        <f>IF(OR(R47="",R48="",R50="",R52="",R54=""),"",IFERROR(R47-R48-R50-R52-R54,""))</f>
        <v/>
      </c>
      <c r="S56" s="20">
        <f>IF(OR(S47="",S48="",S50="",S52="",S54=""),"",IFERROR(S47-S48-S50-S52-S54,""))</f>
        <v/>
      </c>
      <c r="T56" s="20">
        <f>IF(OR(T47="",T48="",T50="",T52="",T54=""),"",IFERROR(T47-T48-T50-T52-T54,""))</f>
        <v/>
      </c>
      <c r="U56" s="20">
        <f>IF(OR(U47="",U48="",U50="",U52="",U54=""),"",IFERROR(U47-U48-U50-U52-U54,""))</f>
        <v/>
      </c>
      <c r="V56" s="20">
        <f>IF(OR(V47="",V48="",V50="",V52="",V54=""),"",IFERROR(V47-V48-V50-V52-V54,""))</f>
        <v/>
      </c>
      <c r="W56" s="20">
        <f>IF(OR(W47="",W48="",W50="",W52="",W54=""),"",IFERROR(W47-W48-W50-W52-W54,""))</f>
        <v/>
      </c>
      <c r="X56" s="20">
        <f>IF(OR(X47="",X48="",X50="",X52="",X54=""),"",IFERROR(X47-X48-X50-X52-X54,""))</f>
        <v/>
      </c>
      <c r="Y56" s="19" t="n"/>
      <c r="Z56" s="20" t="n"/>
      <c r="AA56" s="20" t="n"/>
      <c r="AB56" s="20" t="n"/>
      <c r="AC56" s="20" t="n"/>
    </row>
    <row r="57">
      <c r="A57" s="13" t="inlineStr">
        <is>
          <t>% of Sales</t>
        </is>
      </c>
      <c r="B57" s="10" t="n"/>
      <c r="C57" s="14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4">
        <f>IF(OR(O56="",O4=""),"",IFERROR(O56/O4,""))</f>
        <v/>
      </c>
      <c r="P57" s="15">
        <f>IF(OR(P56="",P4=""),"",IFERROR(P56/P4,""))</f>
        <v/>
      </c>
      <c r="Q57" s="15">
        <f>IF(OR(Q56="",Q4=""),"",IFERROR(Q56/Q4,""))</f>
        <v/>
      </c>
      <c r="R57" s="15">
        <f>IF(OR(R56="",R4=""),"",IFERROR(R56/R4,""))</f>
        <v/>
      </c>
      <c r="S57" s="15">
        <f>IF(OR(S56="",S4=""),"",IFERROR(S56/S4,""))</f>
        <v/>
      </c>
      <c r="T57" s="15">
        <f>IF(OR(T56="",T4=""),"",IFERROR(T56/T4,""))</f>
        <v/>
      </c>
      <c r="U57" s="15">
        <f>IF(OR(U56="",U4=""),"",IFERROR(U56/U4,""))</f>
        <v/>
      </c>
      <c r="V57" s="15">
        <f>IF(OR(V56="",V4=""),"",IFERROR(V56/V4,""))</f>
        <v/>
      </c>
      <c r="W57" s="15">
        <f>IF(OR(W56="",W4=""),"",IFERROR(W56/W4,""))</f>
        <v/>
      </c>
      <c r="X57" s="15">
        <f>IF(OR(X56="",X4=""),"",IFERROR(X56/X4,""))</f>
        <v/>
      </c>
      <c r="Y57" s="14" t="n"/>
      <c r="Z57" s="15" t="n"/>
      <c r="AA57" s="15" t="n"/>
      <c r="AB57" s="15" t="n"/>
      <c r="AC57" s="15" t="n"/>
    </row>
    <row r="58">
      <c r="A58" s="16" t="inlineStr">
        <is>
          <t>당기순이익 추정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특별이익</t>
        </is>
      </c>
      <c r="B59" s="10" t="n"/>
      <c r="C59" s="19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19" t="n">
        <v>238</v>
      </c>
      <c r="P59" s="20" t="n">
        <v>0</v>
      </c>
      <c r="Q59" s="20" t="n"/>
      <c r="R59" s="20" t="n"/>
      <c r="S59" s="20" t="n"/>
      <c r="T59" s="20" t="n"/>
      <c r="U59" s="20" t="n"/>
      <c r="V59" s="20" t="n"/>
      <c r="W59" s="20" t="n"/>
      <c r="X59" s="20" t="n"/>
      <c r="Y59" s="19">
        <f>IF(OR(Y4="",Y60=""),"",IFERROR(Y4*Y60,""))</f>
        <v/>
      </c>
      <c r="Z59" s="20">
        <f>IF(OR(Z4="",Z60=""),"",IFERROR(Z4*Z60,""))</f>
        <v/>
      </c>
      <c r="AA59" s="20">
        <f>IF(OR(AA4="",AA60=""),"",IFERROR(AA4*AA60,""))</f>
        <v/>
      </c>
      <c r="AB59" s="20">
        <f>IF(OR(AB4="",AB60=""),"",IFERROR(AB4*AB60,""))</f>
        <v/>
      </c>
      <c r="AC59" s="20">
        <f>IF(OR(AC4="",AC60=""),"",IFERROR(AC4*AC60,""))</f>
        <v/>
      </c>
    </row>
    <row r="60">
      <c r="A60" s="13" t="inlineStr">
        <is>
          <t>% of Sales</t>
        </is>
      </c>
      <c r="B60" s="10" t="inlineStr">
        <is>
          <t>MW = 최근 3년 평균</t>
        </is>
      </c>
      <c r="C60" s="14">
        <f>IF(OR(C59="",C4=""),"",IFERROR(C59/C4,""))</f>
        <v/>
      </c>
      <c r="D60" s="15">
        <f>IF(OR(D59="",D4=""),"",IFERROR(D59/D4,""))</f>
        <v/>
      </c>
      <c r="E60" s="15">
        <f>IF(OR(E59="",E4=""),"",IFERROR(E59/E4,""))</f>
        <v/>
      </c>
      <c r="F60" s="15">
        <f>IF(OR(F59="",F4=""),"",IFERROR(F59/F4,""))</f>
        <v/>
      </c>
      <c r="G60" s="15">
        <f>IF(OR(G59="",G4=""),"",IFERROR(G59/G4,""))</f>
        <v/>
      </c>
      <c r="H60" s="15">
        <f>IF(OR(H59="",H4=""),"",IFERROR(H59/H4,""))</f>
        <v/>
      </c>
      <c r="I60" s="15">
        <f>IF(OR(I59="",I4=""),"",IFERROR(I59/I4,""))</f>
        <v/>
      </c>
      <c r="J60" s="15">
        <f>IF(OR(J59="",J4=""),"",IFERROR(J59/J4,""))</f>
        <v/>
      </c>
      <c r="K60" s="15">
        <f>IF(OR(K59="",K4=""),"",IFERROR(K59/K4,""))</f>
        <v/>
      </c>
      <c r="L60" s="15">
        <f>IF(OR(L59="",L4=""),"",IFERROR(L59/L4,""))</f>
        <v/>
      </c>
      <c r="M60" s="15">
        <f>IF(OR(M59="",M4=""),"",IFERROR(M59/M4,""))</f>
        <v/>
      </c>
      <c r="N60" s="15">
        <f>IF(OR(N59="",N4=""),"",IFERROR(N59/N4,""))</f>
        <v/>
      </c>
      <c r="O60" s="14">
        <f>IF(OR(O59="",O4=""),"",IFERROR(O59/O4,""))</f>
        <v/>
      </c>
      <c r="P60" s="15">
        <f>IF(OR(P59="",P4=""),"",IFERROR(P59/P4,""))</f>
        <v/>
      </c>
      <c r="Q60" s="15">
        <f>IF(OR(Q59="",Q4=""),"",IFERROR(Q59/Q4,""))</f>
        <v/>
      </c>
      <c r="R60" s="15">
        <f>IF(OR(R59="",R4=""),"",IFERROR(R59/R4,""))</f>
        <v/>
      </c>
      <c r="S60" s="15">
        <f>IF(OR(S59="",S4=""),"",IFERROR(S59/S4,""))</f>
        <v/>
      </c>
      <c r="T60" s="15">
        <f>IF(OR(T59="",T4=""),"",IFERROR(T59/T4,""))</f>
        <v/>
      </c>
      <c r="U60" s="15">
        <f>IF(OR(U59="",U4=""),"",IFERROR(U59/U4,""))</f>
        <v/>
      </c>
      <c r="V60" s="15">
        <f>IF(OR(V59="",V4=""),"",IFERROR(V59/V4,""))</f>
        <v/>
      </c>
      <c r="W60" s="15">
        <f>IF(OR(W59="",W4=""),"",IFERROR(W59/W4,""))</f>
        <v/>
      </c>
      <c r="X60" s="15">
        <f>IF(OR(X59="",X4=""),"",IFERROR(X59/X4,""))</f>
        <v/>
      </c>
      <c r="Y60" s="25">
        <f>IFERROR(AVERAGE(V60,W60,X60),"")</f>
        <v/>
      </c>
      <c r="Z60" s="26">
        <f>Y60</f>
        <v/>
      </c>
      <c r="AA60" s="26">
        <f>Z60</f>
        <v/>
      </c>
      <c r="AB60" s="26">
        <f>AA60</f>
        <v/>
      </c>
      <c r="AC60" s="26">
        <f>AB60</f>
        <v/>
      </c>
    </row>
    <row r="61">
      <c r="A61" s="18" t="inlineStr">
        <is>
          <t>특별손실</t>
        </is>
      </c>
      <c r="B61" s="10" t="n"/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>
        <v>48</v>
      </c>
      <c r="P61" s="20" t="n">
        <v>0</v>
      </c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>
        <f>IF(OR(Y4="",Y62=""),"",IFERROR(Y4*Y62,""))</f>
        <v/>
      </c>
      <c r="Z61" s="20">
        <f>IF(OR(Z4="",Z62=""),"",IFERROR(Z4*Z62,""))</f>
        <v/>
      </c>
      <c r="AA61" s="20">
        <f>IF(OR(AA4="",AA62=""),"",IFERROR(AA4*AA62,""))</f>
        <v/>
      </c>
      <c r="AB61" s="20">
        <f>IF(OR(AB4="",AB62=""),"",IFERROR(AB4*AB62,""))</f>
        <v/>
      </c>
      <c r="AC61" s="20">
        <f>IF(OR(AC4="",AC62=""),"",IFERROR(AC4*AC62,""))</f>
        <v/>
      </c>
    </row>
    <row r="62">
      <c r="A62" s="13" t="inlineStr">
        <is>
          <t>% of Sales</t>
        </is>
      </c>
      <c r="B62" s="10" t="n"/>
      <c r="C62" s="14">
        <f>IF(OR(C61="",C4=""),"",IFERROR(C61/C4,""))</f>
        <v/>
      </c>
      <c r="D62" s="15">
        <f>IF(OR(D61="",D4=""),"",IFERROR(D61/D4,""))</f>
        <v/>
      </c>
      <c r="E62" s="15">
        <f>IF(OR(E61="",E4=""),"",IFERROR(E61/E4,""))</f>
        <v/>
      </c>
      <c r="F62" s="15">
        <f>IF(OR(F61="",F4=""),"",IFERROR(F61/F4,""))</f>
        <v/>
      </c>
      <c r="G62" s="15">
        <f>IF(OR(G61="",G4=""),"",IFERROR(G61/G4,""))</f>
        <v/>
      </c>
      <c r="H62" s="15">
        <f>IF(OR(H61="",H4=""),"",IFERROR(H61/H4,""))</f>
        <v/>
      </c>
      <c r="I62" s="15">
        <f>IF(OR(I61="",I4=""),"",IFERROR(I61/I4,""))</f>
        <v/>
      </c>
      <c r="J62" s="15">
        <f>IF(OR(J61="",J4=""),"",IFERROR(J61/J4,""))</f>
        <v/>
      </c>
      <c r="K62" s="15">
        <f>IF(OR(K61="",K4=""),"",IFERROR(K61/K4,""))</f>
        <v/>
      </c>
      <c r="L62" s="15">
        <f>IF(OR(L61="",L4=""),"",IFERROR(L61/L4,""))</f>
        <v/>
      </c>
      <c r="M62" s="15">
        <f>IF(OR(M61="",M4=""),"",IFERROR(M61/M4,""))</f>
        <v/>
      </c>
      <c r="N62" s="15">
        <f>IF(OR(N61="",N4=""),"",IFERROR(N61/N4,""))</f>
        <v/>
      </c>
      <c r="O62" s="14">
        <f>IF(OR(O61="",O4=""),"",IFERROR(O61/O4,""))</f>
        <v/>
      </c>
      <c r="P62" s="15">
        <f>IF(OR(P61="",P4=""),"",IFERROR(P61/P4,""))</f>
        <v/>
      </c>
      <c r="Q62" s="15">
        <f>IF(OR(Q61="",Q4=""),"",IFERROR(Q61/Q4,""))</f>
        <v/>
      </c>
      <c r="R62" s="15">
        <f>IF(OR(R61="",R4=""),"",IFERROR(R61/R4,""))</f>
        <v/>
      </c>
      <c r="S62" s="15">
        <f>IF(OR(S61="",S4=""),"",IFERROR(S61/S4,""))</f>
        <v/>
      </c>
      <c r="T62" s="15">
        <f>IF(OR(T61="",T4=""),"",IFERROR(T61/T4,""))</f>
        <v/>
      </c>
      <c r="U62" s="15">
        <f>IF(OR(U61="",U4=""),"",IFERROR(U61/U4,""))</f>
        <v/>
      </c>
      <c r="V62" s="15">
        <f>IF(OR(V61="",V4=""),"",IFERROR(V61/V4,""))</f>
        <v/>
      </c>
      <c r="W62" s="15">
        <f>IF(OR(W61="",W4=""),"",IFERROR(W61/W4,""))</f>
        <v/>
      </c>
      <c r="X62" s="15">
        <f>IF(OR(X61="",X4=""),"",IFERROR(X61/X4,""))</f>
        <v/>
      </c>
      <c r="Y62" s="25">
        <f>IFERROR(AVERAGE(V62,W62,X62),"")</f>
        <v/>
      </c>
      <c r="Z62" s="26">
        <f>Y62</f>
        <v/>
      </c>
      <c r="AA62" s="26">
        <f>Z62</f>
        <v/>
      </c>
      <c r="AB62" s="26">
        <f>AA62</f>
        <v/>
      </c>
      <c r="AC62" s="26">
        <f>AB62</f>
        <v/>
      </c>
    </row>
    <row r="63">
      <c r="A63" s="18" t="inlineStr">
        <is>
          <t>영업외수익</t>
        </is>
      </c>
      <c r="B63" s="10" t="n"/>
      <c r="C63" s="19" t="n">
        <v>37</v>
      </c>
      <c r="D63" s="20" t="n">
        <v>86</v>
      </c>
      <c r="E63" s="20" t="n">
        <v>249</v>
      </c>
      <c r="F63" s="20" t="n">
        <v>72</v>
      </c>
      <c r="G63" s="20" t="n">
        <v>76</v>
      </c>
      <c r="H63" s="20" t="n">
        <v>259</v>
      </c>
      <c r="I63" s="20" t="n">
        <v>105</v>
      </c>
      <c r="J63" s="20" t="n">
        <v>154</v>
      </c>
      <c r="K63" s="20" t="n">
        <v>151</v>
      </c>
      <c r="L63" s="20" t="n">
        <v>241</v>
      </c>
      <c r="M63" s="20" t="n">
        <v>194</v>
      </c>
      <c r="N63" s="20" t="n">
        <v>205</v>
      </c>
      <c r="O63" s="19" t="n">
        <v>75</v>
      </c>
      <c r="P63" s="20" t="n">
        <v>112</v>
      </c>
      <c r="Q63" s="20" t="n">
        <v>120</v>
      </c>
      <c r="R63" s="20" t="n">
        <v>147</v>
      </c>
      <c r="S63" s="20" t="n">
        <v>126</v>
      </c>
      <c r="T63" s="20" t="n">
        <v>183</v>
      </c>
      <c r="U63" s="20" t="n">
        <v>234</v>
      </c>
      <c r="V63" s="20" t="n">
        <v>261</v>
      </c>
      <c r="W63" s="20" t="n">
        <v>656</v>
      </c>
      <c r="X63" s="20" t="n">
        <v>651</v>
      </c>
      <c r="Y63" s="19">
        <f>IF(OR(Y4="",Y64=""),"",IFERROR(Y4*Y64,""))</f>
        <v/>
      </c>
      <c r="Z63" s="20">
        <f>IF(OR(Z4="",Z64=""),"",IFERROR(Z4*Z64,""))</f>
        <v/>
      </c>
      <c r="AA63" s="20">
        <f>IF(OR(AA4="",AA64=""),"",IFERROR(AA4*AA64,""))</f>
        <v/>
      </c>
      <c r="AB63" s="20">
        <f>IF(OR(AB4="",AB64=""),"",IFERROR(AB4*AB64,""))</f>
        <v/>
      </c>
      <c r="AC63" s="20">
        <f>IF(OR(AC4="",AC64=""),"",IFERROR(AC4*AC64,""))</f>
        <v/>
      </c>
    </row>
    <row r="64">
      <c r="A64" s="13" t="inlineStr">
        <is>
          <t>% of Sales</t>
        </is>
      </c>
      <c r="B64" s="10" t="n"/>
      <c r="C64" s="14">
        <f>IF(OR(C63="",C4=""),"",IFERROR(C63/C4,""))</f>
        <v/>
      </c>
      <c r="D64" s="15">
        <f>IF(OR(D63="",D4=""),"",IFERROR(D63/D4,""))</f>
        <v/>
      </c>
      <c r="E64" s="15">
        <f>IF(OR(E63="",E4=""),"",IFERROR(E63/E4,""))</f>
        <v/>
      </c>
      <c r="F64" s="15">
        <f>IF(OR(F63="",F4=""),"",IFERROR(F63/F4,""))</f>
        <v/>
      </c>
      <c r="G64" s="15">
        <f>IF(OR(G63="",G4=""),"",IFERROR(G63/G4,""))</f>
        <v/>
      </c>
      <c r="H64" s="15">
        <f>IF(OR(H63="",H4=""),"",IFERROR(H63/H4,""))</f>
        <v/>
      </c>
      <c r="I64" s="15">
        <f>IF(OR(I63="",I4=""),"",IFERROR(I63/I4,""))</f>
        <v/>
      </c>
      <c r="J64" s="15">
        <f>IF(OR(J63="",J4=""),"",IFERROR(J63/J4,""))</f>
        <v/>
      </c>
      <c r="K64" s="15">
        <f>IF(OR(K63="",K4=""),"",IFERROR(K63/K4,""))</f>
        <v/>
      </c>
      <c r="L64" s="15">
        <f>IF(OR(L63="",L4=""),"",IFERROR(L63/L4,""))</f>
        <v/>
      </c>
      <c r="M64" s="15">
        <f>IF(OR(M63="",M4=""),"",IFERROR(M63/M4,""))</f>
        <v/>
      </c>
      <c r="N64" s="15">
        <f>IF(OR(N63="",N4=""),"",IFERROR(N63/N4,""))</f>
        <v/>
      </c>
      <c r="O64" s="14">
        <f>IF(OR(O63="",O4=""),"",IFERROR(O63/O4,""))</f>
        <v/>
      </c>
      <c r="P64" s="15">
        <f>IF(OR(P63="",P4=""),"",IFERROR(P63/P4,""))</f>
        <v/>
      </c>
      <c r="Q64" s="15">
        <f>IF(OR(Q63="",Q4=""),"",IFERROR(Q63/Q4,""))</f>
        <v/>
      </c>
      <c r="R64" s="15">
        <f>IF(OR(R63="",R4=""),"",IFERROR(R63/R4,""))</f>
        <v/>
      </c>
      <c r="S64" s="15">
        <f>IF(OR(S63="",S4=""),"",IFERROR(S63/S4,""))</f>
        <v/>
      </c>
      <c r="T64" s="15">
        <f>IF(OR(T63="",T4=""),"",IFERROR(T63/T4,""))</f>
        <v/>
      </c>
      <c r="U64" s="15">
        <f>IF(OR(U63="",U4=""),"",IFERROR(U63/U4,""))</f>
        <v/>
      </c>
      <c r="V64" s="15">
        <f>IF(OR(V63="",V4=""),"",IFERROR(V63/V4,""))</f>
        <v/>
      </c>
      <c r="W64" s="15">
        <f>IF(OR(W63="",W4=""),"",IFERROR(W63/W4,""))</f>
        <v/>
      </c>
      <c r="X64" s="15">
        <f>IF(OR(X63="",X4=""),"",IFERROR(X63/X4,""))</f>
        <v/>
      </c>
      <c r="Y64" s="25">
        <f>IFERROR(AVERAGE(V64,W64,X64),"")</f>
        <v/>
      </c>
      <c r="Z64" s="26">
        <f>Y64</f>
        <v/>
      </c>
      <c r="AA64" s="26">
        <f>Z64</f>
        <v/>
      </c>
      <c r="AB64" s="26">
        <f>AA64</f>
        <v/>
      </c>
      <c r="AC64" s="26">
        <f>AB64</f>
        <v/>
      </c>
    </row>
    <row r="65">
      <c r="A65" s="18" t="inlineStr">
        <is>
          <t>영업외비용</t>
        </is>
      </c>
      <c r="B65" s="10" t="n"/>
      <c r="C65" s="19" t="n">
        <v>14</v>
      </c>
      <c r="D65" s="20" t="n">
        <v>21</v>
      </c>
      <c r="E65" s="20" t="n">
        <v>23</v>
      </c>
      <c r="F65" s="20" t="n">
        <v>14</v>
      </c>
      <c r="G65" s="20" t="n">
        <v>15</v>
      </c>
      <c r="H65" s="20" t="n">
        <v>261</v>
      </c>
      <c r="I65" s="20" t="n">
        <v>44</v>
      </c>
      <c r="J65" s="20" t="n">
        <v>25</v>
      </c>
      <c r="K65" s="20" t="n">
        <v>-3</v>
      </c>
      <c r="L65" s="20" t="n">
        <v>74</v>
      </c>
      <c r="M65" s="20" t="n">
        <v>19</v>
      </c>
      <c r="N65" s="20" t="n">
        <v>32</v>
      </c>
      <c r="O65" s="19" t="n">
        <v>79</v>
      </c>
      <c r="P65" s="20" t="n">
        <v>70</v>
      </c>
      <c r="Q65" s="20" t="n">
        <v>72</v>
      </c>
      <c r="R65" s="20" t="n">
        <v>48</v>
      </c>
      <c r="S65" s="20" t="n">
        <v>103</v>
      </c>
      <c r="T65" s="20" t="n">
        <v>49</v>
      </c>
      <c r="U65" s="20" t="n">
        <v>63</v>
      </c>
      <c r="V65" s="20" t="n">
        <v>67</v>
      </c>
      <c r="W65" s="20" t="n">
        <v>313</v>
      </c>
      <c r="X65" s="20" t="n">
        <v>140</v>
      </c>
      <c r="Y65" s="19">
        <f>IF(OR(Y4="",Y66=""),"",IFERROR(Y4*Y66,""))</f>
        <v/>
      </c>
      <c r="Z65" s="20">
        <f>IF(OR(Z4="",Z66=""),"",IFERROR(Z4*Z66,""))</f>
        <v/>
      </c>
      <c r="AA65" s="20">
        <f>IF(OR(AA4="",AA66=""),"",IFERROR(AA4*AA66,""))</f>
        <v/>
      </c>
      <c r="AB65" s="20">
        <f>IF(OR(AB4="",AB66=""),"",IFERROR(AB4*AB66,""))</f>
        <v/>
      </c>
      <c r="AC65" s="20">
        <f>IF(OR(AC4="",AC66=""),"",IFERROR(AC4*AC66,""))</f>
        <v/>
      </c>
    </row>
    <row r="66">
      <c r="A66" s="13" t="inlineStr">
        <is>
          <t>% of Sales</t>
        </is>
      </c>
      <c r="B66" s="10" t="n"/>
      <c r="C66" s="14">
        <f>IF(OR(C65="",C4=""),"",IFERROR(C65/C4,""))</f>
        <v/>
      </c>
      <c r="D66" s="15">
        <f>IF(OR(D65="",D4=""),"",IFERROR(D65/D4,""))</f>
        <v/>
      </c>
      <c r="E66" s="15">
        <f>IF(OR(E65="",E4=""),"",IFERROR(E65/E4,""))</f>
        <v/>
      </c>
      <c r="F66" s="15">
        <f>IF(OR(F65="",F4=""),"",IFERROR(F65/F4,""))</f>
        <v/>
      </c>
      <c r="G66" s="15">
        <f>IF(OR(G65="",G4=""),"",IFERROR(G65/G4,""))</f>
        <v/>
      </c>
      <c r="H66" s="15">
        <f>IF(OR(H65="",H4=""),"",IFERROR(H65/H4,""))</f>
        <v/>
      </c>
      <c r="I66" s="15">
        <f>IF(OR(I65="",I4=""),"",IFERROR(I65/I4,""))</f>
        <v/>
      </c>
      <c r="J66" s="15">
        <f>IF(OR(J65="",J4=""),"",IFERROR(J65/J4,""))</f>
        <v/>
      </c>
      <c r="K66" s="15">
        <f>IF(OR(K65="",K4=""),"",IFERROR(K65/K4,""))</f>
        <v/>
      </c>
      <c r="L66" s="15">
        <f>IF(OR(L65="",L4=""),"",IFERROR(L65/L4,""))</f>
        <v/>
      </c>
      <c r="M66" s="15">
        <f>IF(OR(M65="",M4=""),"",IFERROR(M65/M4,""))</f>
        <v/>
      </c>
      <c r="N66" s="15">
        <f>IF(OR(N65="",N4=""),"",IFERROR(N65/N4,""))</f>
        <v/>
      </c>
      <c r="O66" s="14">
        <f>IF(OR(O65="",O4=""),"",IFERROR(O65/O4,""))</f>
        <v/>
      </c>
      <c r="P66" s="15">
        <f>IF(OR(P65="",P4=""),"",IFERROR(P65/P4,""))</f>
        <v/>
      </c>
      <c r="Q66" s="15">
        <f>IF(OR(Q65="",Q4=""),"",IFERROR(Q65/Q4,""))</f>
        <v/>
      </c>
      <c r="R66" s="15">
        <f>IF(OR(R65="",R4=""),"",IFERROR(R65/R4,""))</f>
        <v/>
      </c>
      <c r="S66" s="15">
        <f>IF(OR(S65="",S4=""),"",IFERROR(S65/S4,""))</f>
        <v/>
      </c>
      <c r="T66" s="15">
        <f>IF(OR(T65="",T4=""),"",IFERROR(T65/T4,""))</f>
        <v/>
      </c>
      <c r="U66" s="15">
        <f>IF(OR(U65="",U4=""),"",IFERROR(U65/U4,""))</f>
        <v/>
      </c>
      <c r="V66" s="15">
        <f>IF(OR(V65="",V4=""),"",IFERROR(V65/V4,""))</f>
        <v/>
      </c>
      <c r="W66" s="15">
        <f>IF(OR(W65="",W4=""),"",IFERROR(W65/W4,""))</f>
        <v/>
      </c>
      <c r="X66" s="15">
        <f>IF(OR(X65="",X4=""),"",IFERROR(X65/X4,""))</f>
        <v/>
      </c>
      <c r="Y66" s="25">
        <f>IFERROR(AVERAGE(V66,W66,X66),"")</f>
        <v/>
      </c>
      <c r="Z66" s="26">
        <f>Y66</f>
        <v/>
      </c>
      <c r="AA66" s="26">
        <f>Z66</f>
        <v/>
      </c>
      <c r="AB66" s="26">
        <f>AA66</f>
        <v/>
      </c>
      <c r="AC66" s="26">
        <f>AB66</f>
        <v/>
      </c>
    </row>
    <row r="67">
      <c r="A67" s="9" t="inlineStr">
        <is>
          <t>법인세비용차감전순이익(손실)</t>
        </is>
      </c>
      <c r="B67" s="10" t="n"/>
      <c r="C67" s="11" t="n">
        <v>243</v>
      </c>
      <c r="D67" s="12" t="n">
        <v>625</v>
      </c>
      <c r="E67" s="12" t="n">
        <v>997</v>
      </c>
      <c r="F67" s="12" t="n">
        <v>300</v>
      </c>
      <c r="G67" s="12" t="n">
        <v>392</v>
      </c>
      <c r="H67" s="12" t="n">
        <v>670</v>
      </c>
      <c r="I67" s="12" t="n">
        <v>1162</v>
      </c>
      <c r="J67" s="12" t="n">
        <v>367</v>
      </c>
      <c r="K67" s="12" t="n">
        <v>609</v>
      </c>
      <c r="L67" s="12" t="n">
        <v>988</v>
      </c>
      <c r="M67" s="12" t="n">
        <v>1456</v>
      </c>
      <c r="N67" s="12" t="n">
        <v>572</v>
      </c>
      <c r="O67" s="11" t="n">
        <v>1052</v>
      </c>
      <c r="P67" s="12" t="n">
        <v>877</v>
      </c>
      <c r="Q67" s="12" t="n">
        <v>943</v>
      </c>
      <c r="R67" s="12" t="n">
        <v>1006</v>
      </c>
      <c r="S67" s="12" t="n">
        <v>1347</v>
      </c>
      <c r="T67" s="12" t="n">
        <v>1540</v>
      </c>
      <c r="U67" s="12" t="n">
        <v>1612</v>
      </c>
      <c r="V67" s="12" t="n">
        <v>1816</v>
      </c>
      <c r="W67" s="12" t="n">
        <v>2359</v>
      </c>
      <c r="X67" s="12" t="n">
        <v>3126</v>
      </c>
      <c r="Y67" s="11">
        <f>IF(OR(Y43=""),"",IFERROR(Y43+N(Y59)-N(Y61)+N(Y63)-N(Y65),""))</f>
        <v/>
      </c>
      <c r="Z67" s="12">
        <f>IF(OR(Z43=""),"",IFERROR(Z43+N(Z59)-N(Z61)+N(Z63)-N(Z65),""))</f>
        <v/>
      </c>
      <c r="AA67" s="12">
        <f>IF(OR(AA43=""),"",IFERROR(AA43+N(AA59)-N(AA61)+N(AA63)-N(AA65),""))</f>
        <v/>
      </c>
      <c r="AB67" s="12">
        <f>IF(OR(AB43=""),"",IFERROR(AB43+N(AB59)-N(AB61)+N(AB63)-N(AB65),""))</f>
        <v/>
      </c>
      <c r="AC67" s="12">
        <f>IF(OR(AC43=""),"",IFERROR(AC43+N(AC59)-N(AC61)+N(AC63)-N(AC65),""))</f>
        <v/>
      </c>
    </row>
    <row r="68">
      <c r="A68" s="13" t="inlineStr">
        <is>
          <t>YoY</t>
        </is>
      </c>
      <c r="B68" s="10" t="n"/>
      <c r="C68" s="14" t="n"/>
      <c r="D68" s="15" t="n"/>
      <c r="E68" s="15" t="n"/>
      <c r="F68" s="15" t="n"/>
      <c r="G68" s="15">
        <f>IF(OR(G67="",C67=""),"",IF(C67&lt;=0,"",IFERROR(G67/C67-1,"")))</f>
        <v/>
      </c>
      <c r="H68" s="15">
        <f>IF(OR(H67="",D67=""),"",IF(D67&lt;=0,"",IFERROR(H67/D67-1,"")))</f>
        <v/>
      </c>
      <c r="I68" s="15">
        <f>IF(OR(I67="",E67=""),"",IF(E67&lt;=0,"",IFERROR(I67/E67-1,"")))</f>
        <v/>
      </c>
      <c r="J68" s="15">
        <f>IF(OR(J67="",F67=""),"",IF(F67&lt;=0,"",IFERROR(J67/F67-1,"")))</f>
        <v/>
      </c>
      <c r="K68" s="15">
        <f>IF(OR(K67="",G67=""),"",IF(G67&lt;=0,"",IFERROR(K67/G67-1,"")))</f>
        <v/>
      </c>
      <c r="L68" s="15">
        <f>IF(OR(L67="",H67=""),"",IF(H67&lt;=0,"",IFERROR(L67/H67-1,"")))</f>
        <v/>
      </c>
      <c r="M68" s="15">
        <f>IF(OR(M67="",I67=""),"",IF(I67&lt;=0,"",IFERROR(M67/I67-1,"")))</f>
        <v/>
      </c>
      <c r="N68" s="15">
        <f>IF(OR(N67="",J67=""),"",IF(J67&lt;=0,"",IFERROR(N67/J67-1,"")))</f>
        <v/>
      </c>
      <c r="O68" s="14" t="n"/>
      <c r="P68" s="15">
        <f>IF(OR(P67="",O67=""),"",IF(O67&lt;=0,"",IFERROR(P67/O67-1,"")))</f>
        <v/>
      </c>
      <c r="Q68" s="15">
        <f>IF(OR(Q67="",P67=""),"",IF(P67&lt;=0,"",IFERROR(Q67/P67-1,"")))</f>
        <v/>
      </c>
      <c r="R68" s="15">
        <f>IF(OR(R67="",Q67=""),"",IF(Q67&lt;=0,"",IFERROR(R67/Q67-1,"")))</f>
        <v/>
      </c>
      <c r="S68" s="15">
        <f>IF(OR(S67="",R67=""),"",IF(R67&lt;=0,"",IFERROR(S67/R67-1,"")))</f>
        <v/>
      </c>
      <c r="T68" s="15">
        <f>IF(OR(T67="",S67=""),"",IF(S67&lt;=0,"",IFERROR(T67/S67-1,"")))</f>
        <v/>
      </c>
      <c r="U68" s="15">
        <f>IF(OR(U67="",T67=""),"",IF(T67&lt;=0,"",IFERROR(U67/T67-1,"")))</f>
        <v/>
      </c>
      <c r="V68" s="15">
        <f>IF(OR(V67="",U67=""),"",IF(U67&lt;=0,"",IFERROR(V67/U67-1,"")))</f>
        <v/>
      </c>
      <c r="W68" s="15">
        <f>IF(OR(W67="",V67=""),"",IF(V67&lt;=0,"",IFERROR(W67/V67-1,"")))</f>
        <v/>
      </c>
      <c r="X68" s="15">
        <f>IF(OR(X67="",W67=""),"",IF(W67&lt;=0,"",IFERROR(X67/W67-1,"")))</f>
        <v/>
      </c>
      <c r="Y68" s="14">
        <f>IF(OR(Y67="",X67=""),"",IF(X67&lt;=0,"",IFERROR(Y67/X67-1,"")))</f>
        <v/>
      </c>
      <c r="Z68" s="15">
        <f>IF(OR(Z67="",Y67=""),"",IF(Y67&lt;=0,"",IFERROR(Z67/Y67-1,"")))</f>
        <v/>
      </c>
      <c r="AA68" s="15">
        <f>IF(OR(AA67="",Z67=""),"",IF(Z67&lt;=0,"",IFERROR(AA67/Z67-1,"")))</f>
        <v/>
      </c>
      <c r="AB68" s="15">
        <f>IF(OR(AB67="",AA67=""),"",IF(AA67&lt;=0,"",IFERROR(AB67/AA67-1,"")))</f>
        <v/>
      </c>
      <c r="AC68" s="15">
        <f>IF(OR(AC67="",AB67=""),"",IF(AB67&lt;=0,"",IFERROR(AC67/AB67-1,"")))</f>
        <v/>
      </c>
    </row>
    <row r="69">
      <c r="A69" s="18" t="inlineStr">
        <is>
          <t>법인세비용(수익)</t>
        </is>
      </c>
      <c r="B69" s="10" t="n"/>
      <c r="C69" s="19" t="n">
        <v>79</v>
      </c>
      <c r="D69" s="20" t="n">
        <v>204</v>
      </c>
      <c r="E69" s="20" t="n">
        <v>323</v>
      </c>
      <c r="F69" s="20" t="n">
        <v>129</v>
      </c>
      <c r="G69" s="20" t="n">
        <v>155</v>
      </c>
      <c r="H69" s="20" t="n">
        <v>215</v>
      </c>
      <c r="I69" s="20" t="n">
        <v>415</v>
      </c>
      <c r="J69" s="20" t="n">
        <v>137</v>
      </c>
      <c r="K69" s="20" t="n">
        <v>215</v>
      </c>
      <c r="L69" s="20" t="n">
        <v>322</v>
      </c>
      <c r="M69" s="20" t="n">
        <v>399</v>
      </c>
      <c r="N69" s="20" t="n">
        <v>171</v>
      </c>
      <c r="O69" s="19" t="n">
        <v>375</v>
      </c>
      <c r="P69" s="20" t="n">
        <v>261</v>
      </c>
      <c r="Q69" s="20" t="n">
        <v>327</v>
      </c>
      <c r="R69" s="20" t="n">
        <v>306</v>
      </c>
      <c r="S69" s="20" t="n">
        <v>307</v>
      </c>
      <c r="T69" s="20" t="n">
        <v>484</v>
      </c>
      <c r="U69" s="20" t="n">
        <v>529</v>
      </c>
      <c r="V69" s="20" t="n">
        <v>613</v>
      </c>
      <c r="W69" s="20" t="n">
        <v>822</v>
      </c>
      <c r="X69" s="20" t="n">
        <v>1089</v>
      </c>
      <c r="Y69" s="19">
        <f>IF(OR(Y67="",Y70=""),"",IFERROR(MAX(Y67,0)*Y70,""))</f>
        <v/>
      </c>
      <c r="Z69" s="20">
        <f>IF(OR(Z67="",Z70=""),"",IFERROR(MAX(Z67,0)*Z70,""))</f>
        <v/>
      </c>
      <c r="AA69" s="20">
        <f>IF(OR(AA67="",AA70=""),"",IFERROR(MAX(AA67,0)*AA70,""))</f>
        <v/>
      </c>
      <c r="AB69" s="20">
        <f>IF(OR(AB67="",AB70=""),"",IFERROR(MAX(AB67,0)*AB70,""))</f>
        <v/>
      </c>
      <c r="AC69" s="20">
        <f>IF(OR(AC67="",AC70=""),"",IFERROR(MAX(AC67,0)*AC70,""))</f>
        <v/>
      </c>
    </row>
    <row r="70">
      <c r="A70" s="13" t="inlineStr">
        <is>
          <t>법인세율</t>
        </is>
      </c>
      <c r="B70" s="10" t="inlineStr">
        <is>
          <t>MW 기본 30%</t>
        </is>
      </c>
      <c r="C70" s="14">
        <f>IF(OR(C69="",C67=""),"",IFERROR(C69/C67,""))</f>
        <v/>
      </c>
      <c r="D70" s="15">
        <f>IF(OR(D69="",D67=""),"",IFERROR(D69/D67,""))</f>
        <v/>
      </c>
      <c r="E70" s="15">
        <f>IF(OR(E69="",E67=""),"",IFERROR(E69/E67,""))</f>
        <v/>
      </c>
      <c r="F70" s="15">
        <f>IF(OR(F69="",F67=""),"",IFERROR(F69/F67,""))</f>
        <v/>
      </c>
      <c r="G70" s="15">
        <f>IF(OR(G69="",G67=""),"",IFERROR(G69/G67,""))</f>
        <v/>
      </c>
      <c r="H70" s="15">
        <f>IF(OR(H69="",H67=""),"",IFERROR(H69/H67,""))</f>
        <v/>
      </c>
      <c r="I70" s="15">
        <f>IF(OR(I69="",I67=""),"",IFERROR(I69/I67,""))</f>
        <v/>
      </c>
      <c r="J70" s="15">
        <f>IF(OR(J69="",J67=""),"",IFERROR(J69/J67,""))</f>
        <v/>
      </c>
      <c r="K70" s="15">
        <f>IF(OR(K69="",K67=""),"",IFERROR(K69/K67,""))</f>
        <v/>
      </c>
      <c r="L70" s="15">
        <f>IF(OR(L69="",L67=""),"",IFERROR(L69/L67,""))</f>
        <v/>
      </c>
      <c r="M70" s="15">
        <f>IF(OR(M69="",M67=""),"",IFERROR(M69/M67,""))</f>
        <v/>
      </c>
      <c r="N70" s="15">
        <f>IF(OR(N69="",N67=""),"",IFERROR(N69/N67,""))</f>
        <v/>
      </c>
      <c r="O70" s="14">
        <f>IF(OR(O69="",O67=""),"",IFERROR(O69/O67,""))</f>
        <v/>
      </c>
      <c r="P70" s="15">
        <f>IF(OR(P69="",P67=""),"",IFERROR(P69/P67,""))</f>
        <v/>
      </c>
      <c r="Q70" s="15">
        <f>IF(OR(Q69="",Q67=""),"",IFERROR(Q69/Q67,""))</f>
        <v/>
      </c>
      <c r="R70" s="15">
        <f>IF(OR(R69="",R67=""),"",IFERROR(R69/R67,""))</f>
        <v/>
      </c>
      <c r="S70" s="15">
        <f>IF(OR(S69="",S67=""),"",IFERROR(S69/S67,""))</f>
        <v/>
      </c>
      <c r="T70" s="15">
        <f>IF(OR(T69="",T67=""),"",IFERROR(T69/T67,""))</f>
        <v/>
      </c>
      <c r="U70" s="15">
        <f>IF(OR(U69="",U67=""),"",IFERROR(U69/U67,""))</f>
        <v/>
      </c>
      <c r="V70" s="15">
        <f>IF(OR(V69="",V67=""),"",IFERROR(V69/V67,""))</f>
        <v/>
      </c>
      <c r="W70" s="15">
        <f>IF(OR(W69="",W67=""),"",IFERROR(W69/W67,""))</f>
        <v/>
      </c>
      <c r="X70" s="15">
        <f>IF(OR(X69="",X67=""),"",IFERROR(X69/X67,""))</f>
        <v/>
      </c>
      <c r="Y70" s="25" t="n">
        <v>0.3</v>
      </c>
      <c r="Z70" s="26" t="n">
        <v>0.3</v>
      </c>
      <c r="AA70" s="26" t="n">
        <v>0.3</v>
      </c>
      <c r="AB70" s="26" t="n">
        <v>0.3</v>
      </c>
      <c r="AC70" s="26" t="n">
        <v>0.3</v>
      </c>
    </row>
    <row r="71">
      <c r="A71" s="9" t="inlineStr">
        <is>
          <t>당기순이익(손실)</t>
        </is>
      </c>
      <c r="B71" s="10" t="n"/>
      <c r="C71" s="11" t="n">
        <v>164</v>
      </c>
      <c r="D71" s="12" t="n">
        <v>420</v>
      </c>
      <c r="E71" s="12" t="n">
        <v>674</v>
      </c>
      <c r="F71" s="12" t="n">
        <v>170</v>
      </c>
      <c r="G71" s="12" t="n">
        <v>237</v>
      </c>
      <c r="H71" s="12" t="n">
        <v>455</v>
      </c>
      <c r="I71" s="12" t="n">
        <v>746</v>
      </c>
      <c r="J71" s="12" t="n">
        <v>230</v>
      </c>
      <c r="K71" s="12" t="n">
        <v>394</v>
      </c>
      <c r="L71" s="12" t="n">
        <v>666</v>
      </c>
      <c r="M71" s="12" t="n">
        <v>1057</v>
      </c>
      <c r="N71" s="12" t="n">
        <v>401</v>
      </c>
      <c r="O71" s="11" t="n">
        <v>676</v>
      </c>
      <c r="P71" s="12" t="n">
        <v>615</v>
      </c>
      <c r="Q71" s="12" t="n">
        <v>616</v>
      </c>
      <c r="R71" s="12" t="n">
        <v>700</v>
      </c>
      <c r="S71" s="12" t="n">
        <v>1039</v>
      </c>
      <c r="T71" s="12" t="n">
        <v>1056</v>
      </c>
      <c r="U71" s="12" t="n">
        <v>1082</v>
      </c>
      <c r="V71" s="12" t="n">
        <v>1202</v>
      </c>
      <c r="W71" s="12" t="n">
        <v>1536</v>
      </c>
      <c r="X71" s="12" t="n">
        <v>2036</v>
      </c>
      <c r="Y71" s="11">
        <f>IF(OR(Y67=""),"",IFERROR(Y67-Y69,""))</f>
        <v/>
      </c>
      <c r="Z71" s="12">
        <f>IF(OR(Z67=""),"",IFERROR(Z67-Z69,""))</f>
        <v/>
      </c>
      <c r="AA71" s="12">
        <f>IF(OR(AA67=""),"",IFERROR(AA67-AA69,""))</f>
        <v/>
      </c>
      <c r="AB71" s="12">
        <f>IF(OR(AB67=""),"",IFERROR(AB67-AB69,""))</f>
        <v/>
      </c>
      <c r="AC71" s="12">
        <f>IF(OR(AC67=""),"",IFERROR(AC67-AC69,""))</f>
        <v/>
      </c>
    </row>
    <row r="72">
      <c r="A72" s="13" t="inlineStr">
        <is>
          <t>YoY</t>
        </is>
      </c>
      <c r="B72" s="10" t="n"/>
      <c r="C72" s="14" t="n"/>
      <c r="D72" s="15" t="n"/>
      <c r="E72" s="15" t="n"/>
      <c r="F72" s="15" t="n"/>
      <c r="G72" s="15">
        <f>IF(OR(G71="",C71=""),"",IF(C71&lt;=0,"",IFERROR(G71/C71-1,"")))</f>
        <v/>
      </c>
      <c r="H72" s="15">
        <f>IF(OR(H71="",D71=""),"",IF(D71&lt;=0,"",IFERROR(H71/D71-1,"")))</f>
        <v/>
      </c>
      <c r="I72" s="15">
        <f>IF(OR(I71="",E71=""),"",IF(E71&lt;=0,"",IFERROR(I71/E71-1,"")))</f>
        <v/>
      </c>
      <c r="J72" s="15">
        <f>IF(OR(J71="",F71=""),"",IF(F71&lt;=0,"",IFERROR(J71/F71-1,"")))</f>
        <v/>
      </c>
      <c r="K72" s="15">
        <f>IF(OR(K71="",G71=""),"",IF(G71&lt;=0,"",IFERROR(K71/G71-1,"")))</f>
        <v/>
      </c>
      <c r="L72" s="15">
        <f>IF(OR(L71="",H71=""),"",IF(H71&lt;=0,"",IFERROR(L71/H71-1,"")))</f>
        <v/>
      </c>
      <c r="M72" s="15">
        <f>IF(OR(M71="",I71=""),"",IF(I71&lt;=0,"",IFERROR(M71/I71-1,"")))</f>
        <v/>
      </c>
      <c r="N72" s="15">
        <f>IF(OR(N71="",J71=""),"",IF(J71&lt;=0,"",IFERROR(N71/J71-1,"")))</f>
        <v/>
      </c>
      <c r="O72" s="14" t="n"/>
      <c r="P72" s="15">
        <f>IF(OR(P71="",O71=""),"",IF(O71&lt;=0,"",IFERROR(P71/O71-1,"")))</f>
        <v/>
      </c>
      <c r="Q72" s="15">
        <f>IF(OR(Q71="",P71=""),"",IF(P71&lt;=0,"",IFERROR(Q71/P71-1,"")))</f>
        <v/>
      </c>
      <c r="R72" s="15">
        <f>IF(OR(R71="",Q71=""),"",IF(Q71&lt;=0,"",IFERROR(R71/Q71-1,"")))</f>
        <v/>
      </c>
      <c r="S72" s="15">
        <f>IF(OR(S71="",R71=""),"",IF(R71&lt;=0,"",IFERROR(S71/R71-1,"")))</f>
        <v/>
      </c>
      <c r="T72" s="15">
        <f>IF(OR(T71="",S71=""),"",IF(S71&lt;=0,"",IFERROR(T71/S71-1,"")))</f>
        <v/>
      </c>
      <c r="U72" s="15">
        <f>IF(OR(U71="",T71=""),"",IF(T71&lt;=0,"",IFERROR(U71/T71-1,"")))</f>
        <v/>
      </c>
      <c r="V72" s="15">
        <f>IF(OR(V71="",U71=""),"",IF(U71&lt;=0,"",IFERROR(V71/U71-1,"")))</f>
        <v/>
      </c>
      <c r="W72" s="15">
        <f>IF(OR(W71="",V71=""),"",IF(V71&lt;=0,"",IFERROR(W71/V71-1,"")))</f>
        <v/>
      </c>
      <c r="X72" s="15">
        <f>IF(OR(X71="",W71=""),"",IF(W71&lt;=0,"",IFERROR(X71/W71-1,"")))</f>
        <v/>
      </c>
      <c r="Y72" s="14">
        <f>IF(OR(Y71="",X71=""),"",IF(X71&lt;=0,"",IFERROR(Y71/X71-1,"")))</f>
        <v/>
      </c>
      <c r="Z72" s="15">
        <f>IF(OR(Z71="",Y71=""),"",IF(Y71&lt;=0,"",IFERROR(Z71/Y71-1,"")))</f>
        <v/>
      </c>
      <c r="AA72" s="15">
        <f>IF(OR(AA71="",Z71=""),"",IF(Z71&lt;=0,"",IFERROR(AA71/Z71-1,"")))</f>
        <v/>
      </c>
      <c r="AB72" s="15">
        <f>IF(OR(AB71="",AA71=""),"",IF(AA71&lt;=0,"",IFERROR(AB71/AA71-1,"")))</f>
        <v/>
      </c>
      <c r="AC72" s="15">
        <f>IF(OR(AC71="",AB71=""),"",IF(AB71&lt;=0,"",IFERROR(AC71/AB71-1,"")))</f>
        <v/>
      </c>
    </row>
    <row r="73">
      <c r="A73" s="9" t="inlineStr">
        <is>
          <t>지배주주 순이익</t>
        </is>
      </c>
      <c r="B73" s="10" t="n"/>
      <c r="C73" s="11" t="n">
        <v>164</v>
      </c>
      <c r="D73" s="12" t="n">
        <v>420</v>
      </c>
      <c r="E73" s="12" t="n">
        <v>674</v>
      </c>
      <c r="F73" s="12" t="n">
        <v>170</v>
      </c>
      <c r="G73" s="12" t="n">
        <v>237</v>
      </c>
      <c r="H73" s="12" t="n">
        <v>455</v>
      </c>
      <c r="I73" s="12" t="n">
        <v>746</v>
      </c>
      <c r="J73" s="12" t="n">
        <v>230</v>
      </c>
      <c r="K73" s="12" t="n">
        <v>394</v>
      </c>
      <c r="L73" s="12" t="n">
        <v>666</v>
      </c>
      <c r="M73" s="12" t="n">
        <v>1057</v>
      </c>
      <c r="N73" s="12" t="n">
        <v>401</v>
      </c>
      <c r="O73" s="11" t="n">
        <v>676</v>
      </c>
      <c r="P73" s="12" t="n">
        <v>615</v>
      </c>
      <c r="Q73" s="12" t="n">
        <v>616</v>
      </c>
      <c r="R73" s="12" t="n">
        <v>700</v>
      </c>
      <c r="S73" s="12" t="n">
        <v>1039</v>
      </c>
      <c r="T73" s="12" t="n">
        <v>1056</v>
      </c>
      <c r="U73" s="12" t="n">
        <v>1082</v>
      </c>
      <c r="V73" s="12" t="n">
        <v>1202</v>
      </c>
      <c r="W73" s="12" t="n">
        <v>1536</v>
      </c>
      <c r="X73" s="12" t="n">
        <v>2036</v>
      </c>
      <c r="Y73" s="11">
        <f>IF(OR(Y71="",Y74=""),"",IFERROR(Y71*Y74,""))</f>
        <v/>
      </c>
      <c r="Z73" s="12">
        <f>IF(OR(Z71="",Z74=""),"",IFERROR(Z71*Z74,""))</f>
        <v/>
      </c>
      <c r="AA73" s="12">
        <f>IF(OR(AA71="",AA74=""),"",IFERROR(AA71*AA74,""))</f>
        <v/>
      </c>
      <c r="AB73" s="12">
        <f>IF(OR(AB71="",AB74=""),"",IFERROR(AB71*AB74,""))</f>
        <v/>
      </c>
      <c r="AC73" s="12">
        <f>IF(OR(AC71="",AC74=""),"",IFERROR(AC71*AC74,""))</f>
        <v/>
      </c>
    </row>
    <row r="74">
      <c r="A74" s="13" t="inlineStr">
        <is>
          <t>지배주주 순이익률</t>
        </is>
      </c>
      <c r="B74" s="10" t="inlineStr">
        <is>
          <t>MW 기본 100%</t>
        </is>
      </c>
      <c r="C74" s="14">
        <f>IF(OR(C73="",C71=""),"",IFERROR(C73/C71,""))</f>
        <v/>
      </c>
      <c r="D74" s="15">
        <f>IF(OR(D73="",D71=""),"",IFERROR(D73/D71,""))</f>
        <v/>
      </c>
      <c r="E74" s="15">
        <f>IF(OR(E73="",E71=""),"",IFERROR(E73/E71,""))</f>
        <v/>
      </c>
      <c r="F74" s="15">
        <f>IF(OR(F73="",F71=""),"",IFERROR(F73/F71,""))</f>
        <v/>
      </c>
      <c r="G74" s="15">
        <f>IF(OR(G73="",G71=""),"",IFERROR(G73/G71,""))</f>
        <v/>
      </c>
      <c r="H74" s="15">
        <f>IF(OR(H73="",H71=""),"",IFERROR(H73/H71,""))</f>
        <v/>
      </c>
      <c r="I74" s="15">
        <f>IF(OR(I73="",I71=""),"",IFERROR(I73/I71,""))</f>
        <v/>
      </c>
      <c r="J74" s="15">
        <f>IF(OR(J73="",J71=""),"",IFERROR(J73/J71,""))</f>
        <v/>
      </c>
      <c r="K74" s="15">
        <f>IF(OR(K73="",K71=""),"",IFERROR(K73/K71,""))</f>
        <v/>
      </c>
      <c r="L74" s="15">
        <f>IF(OR(L73="",L71=""),"",IFERROR(L73/L71,""))</f>
        <v/>
      </c>
      <c r="M74" s="15">
        <f>IF(OR(M73="",M71=""),"",IFERROR(M73/M71,""))</f>
        <v/>
      </c>
      <c r="N74" s="15">
        <f>IF(OR(N73="",N71=""),"",IFERROR(N73/N71,""))</f>
        <v/>
      </c>
      <c r="O74" s="14">
        <f>IF(OR(O73="",O71=""),"",IFERROR(O73/O71,""))</f>
        <v/>
      </c>
      <c r="P74" s="15">
        <f>IF(OR(P73="",P71=""),"",IFERROR(P73/P71,""))</f>
        <v/>
      </c>
      <c r="Q74" s="15">
        <f>IF(OR(Q73="",Q71=""),"",IFERROR(Q73/Q71,""))</f>
        <v/>
      </c>
      <c r="R74" s="15">
        <f>IF(OR(R73="",R71=""),"",IFERROR(R73/R71,""))</f>
        <v/>
      </c>
      <c r="S74" s="15">
        <f>IF(OR(S73="",S71=""),"",IFERROR(S73/S71,""))</f>
        <v/>
      </c>
      <c r="T74" s="15">
        <f>IF(OR(T73="",T71=""),"",IFERROR(T73/T71,""))</f>
        <v/>
      </c>
      <c r="U74" s="15">
        <f>IF(OR(U73="",U71=""),"",IFERROR(U73/U71,""))</f>
        <v/>
      </c>
      <c r="V74" s="15">
        <f>IF(OR(V73="",V71=""),"",IFERROR(V73/V71,""))</f>
        <v/>
      </c>
      <c r="W74" s="15">
        <f>IF(OR(W73="",W71=""),"",IFERROR(W73/W71,""))</f>
        <v/>
      </c>
      <c r="X74" s="15">
        <f>IF(OR(X73="",X71=""),"",IFERROR(X73/X71,""))</f>
        <v/>
      </c>
      <c r="Y74" s="25" t="n">
        <v>1</v>
      </c>
      <c r="Z74" s="26" t="n">
        <v>1</v>
      </c>
      <c r="AA74" s="26" t="n">
        <v>1</v>
      </c>
      <c r="AB74" s="26" t="n">
        <v>1</v>
      </c>
      <c r="AC74" s="26" t="n">
        <v>1</v>
      </c>
    </row>
    <row r="75">
      <c r="A75" s="13" t="inlineStr">
        <is>
          <t>지배주주 순이익 YoY</t>
        </is>
      </c>
      <c r="B75" s="10" t="n"/>
      <c r="C75" s="14" t="n"/>
      <c r="D75" s="15" t="n"/>
      <c r="E75" s="15" t="n"/>
      <c r="F75" s="15" t="n"/>
      <c r="G75" s="15">
        <f>IF(OR(G73="",C73=""),"",IF(C73&lt;=0,"",IFERROR(G73/C73-1,"")))</f>
        <v/>
      </c>
      <c r="H75" s="15">
        <f>IF(OR(H73="",D73=""),"",IF(D73&lt;=0,"",IFERROR(H73/D73-1,"")))</f>
        <v/>
      </c>
      <c r="I75" s="15">
        <f>IF(OR(I73="",E73=""),"",IF(E73&lt;=0,"",IFERROR(I73/E73-1,"")))</f>
        <v/>
      </c>
      <c r="J75" s="15">
        <f>IF(OR(J73="",F73=""),"",IF(F73&lt;=0,"",IFERROR(J73/F73-1,"")))</f>
        <v/>
      </c>
      <c r="K75" s="15">
        <f>IF(OR(K73="",G73=""),"",IF(G73&lt;=0,"",IFERROR(K73/G73-1,"")))</f>
        <v/>
      </c>
      <c r="L75" s="15">
        <f>IF(OR(L73="",H73=""),"",IF(H73&lt;=0,"",IFERROR(L73/H73-1,"")))</f>
        <v/>
      </c>
      <c r="M75" s="15">
        <f>IF(OR(M73="",I73=""),"",IF(I73&lt;=0,"",IFERROR(M73/I73-1,"")))</f>
        <v/>
      </c>
      <c r="N75" s="15">
        <f>IF(OR(N73="",J73=""),"",IF(J73&lt;=0,"",IFERROR(N73/J73-1,"")))</f>
        <v/>
      </c>
      <c r="O75" s="14" t="n"/>
      <c r="P75" s="15">
        <f>IF(OR(P73="",O73=""),"",IF(O73&lt;=0,"",IFERROR(P73/O73-1,"")))</f>
        <v/>
      </c>
      <c r="Q75" s="15">
        <f>IF(OR(Q73="",P73=""),"",IF(P73&lt;=0,"",IFERROR(Q73/P73-1,"")))</f>
        <v/>
      </c>
      <c r="R75" s="15">
        <f>IF(OR(R73="",Q73=""),"",IF(Q73&lt;=0,"",IFERROR(R73/Q73-1,"")))</f>
        <v/>
      </c>
      <c r="S75" s="15">
        <f>IF(OR(S73="",R73=""),"",IF(R73&lt;=0,"",IFERROR(S73/R73-1,"")))</f>
        <v/>
      </c>
      <c r="T75" s="15">
        <f>IF(OR(T73="",S73=""),"",IF(S73&lt;=0,"",IFERROR(T73/S73-1,"")))</f>
        <v/>
      </c>
      <c r="U75" s="15">
        <f>IF(OR(U73="",T73=""),"",IF(T73&lt;=0,"",IFERROR(U73/T73-1,"")))</f>
        <v/>
      </c>
      <c r="V75" s="15">
        <f>IF(OR(V73="",U73=""),"",IF(U73&lt;=0,"",IFERROR(V73/U73-1,"")))</f>
        <v/>
      </c>
      <c r="W75" s="15">
        <f>IF(OR(W73="",V73=""),"",IF(V73&lt;=0,"",IFERROR(W73/V73-1,"")))</f>
        <v/>
      </c>
      <c r="X75" s="15">
        <f>IF(OR(X73="",W73=""),"",IF(W73&lt;=0,"",IFERROR(X73/W73-1,"")))</f>
        <v/>
      </c>
      <c r="Y75" s="14">
        <f>IF(OR(Y73="",X73=""),"",IF(X73&lt;=0,"",IFERROR(Y73/X73-1,"")))</f>
        <v/>
      </c>
      <c r="Z75" s="15">
        <f>IF(OR(Z73="",Y73=""),"",IF(Y73&lt;=0,"",IFERROR(Z73/Y73-1,"")))</f>
        <v/>
      </c>
      <c r="AA75" s="15">
        <f>IF(OR(AA73="",Z73=""),"",IF(Z73&lt;=0,"",IFERROR(AA73/Z73-1,"")))</f>
        <v/>
      </c>
      <c r="AB75" s="15">
        <f>IF(OR(AB73="",AA73=""),"",IF(AA73&lt;=0,"",IFERROR(AB73/AA73-1,"")))</f>
        <v/>
      </c>
      <c r="AC75" s="15">
        <f>IF(OR(AC73="",AB73=""),"",IF(AB73&lt;=0,"",IFERROR(AC73/AB73-1,"")))</f>
        <v/>
      </c>
    </row>
    <row r="76">
      <c r="A76" s="16" t="inlineStr">
        <is>
          <t>목표주가 산출</t>
        </is>
      </c>
      <c r="B76" s="16" t="n"/>
      <c r="C76" s="17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7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7" t="n"/>
      <c r="Z76" s="16" t="n"/>
      <c r="AA76" s="16" t="n"/>
      <c r="AB76" s="16" t="n"/>
      <c r="AC76" s="16" t="n"/>
    </row>
    <row r="77">
      <c r="A77" s="18" t="inlineStr">
        <is>
          <t>현재 주가 (2026.10.28)</t>
        </is>
      </c>
      <c r="B77" s="27" t="n">
        <v>1879</v>
      </c>
      <c r="C77" s="28" t="n"/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8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8" t="n"/>
      <c r="Z77" s="29" t="n"/>
      <c r="AA77" s="29" t="n"/>
      <c r="AB77" s="29" t="n"/>
      <c r="AC77" s="29" t="n"/>
    </row>
    <row r="78">
      <c r="A78" s="18" t="inlineStr">
        <is>
          <t>발행주식수 (보통주)</t>
        </is>
      </c>
      <c r="B78" s="27" t="n">
        <v>13908595</v>
      </c>
      <c r="C78" s="28" t="n"/>
      <c r="D78" s="29" t="n"/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8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8" t="n"/>
      <c r="Z78" s="29" t="n"/>
      <c r="AA78" s="29" t="n"/>
      <c r="AB78" s="29" t="n"/>
      <c r="AC78" s="29" t="n"/>
    </row>
    <row r="79">
      <c r="A79" s="18" t="inlineStr">
        <is>
          <t>시가총액 (백만엔)</t>
        </is>
      </c>
      <c r="B79" s="12">
        <f>IF(OR(B77="",B78=""),"",B77*B78/1000000.0)</f>
        <v/>
      </c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19" t="n"/>
      <c r="Z79" s="20" t="n"/>
      <c r="AA79" s="20" t="n"/>
      <c r="AB79" s="20" t="n"/>
      <c r="AC79" s="20" t="n"/>
    </row>
    <row r="80">
      <c r="A80" s="13" t="inlineStr">
        <is>
          <t>OPM</t>
        </is>
      </c>
      <c r="B80" s="10" t="n"/>
      <c r="C80" s="14" t="n"/>
      <c r="D80" s="15" t="n"/>
      <c r="E80" s="15" t="n"/>
      <c r="F80" s="15" t="n"/>
      <c r="G80" s="15" t="n"/>
      <c r="H80" s="15" t="n"/>
      <c r="I80" s="15" t="n"/>
      <c r="J80" s="15" t="n"/>
      <c r="K80" s="15" t="n"/>
      <c r="L80" s="15" t="n"/>
      <c r="M80" s="15" t="n"/>
      <c r="N80" s="15" t="n"/>
      <c r="O80" s="14">
        <f>IF(O44="","",O44)</f>
        <v/>
      </c>
      <c r="P80" s="15">
        <f>IF(P44="","",P44)</f>
        <v/>
      </c>
      <c r="Q80" s="15">
        <f>IF(Q44="","",Q44)</f>
        <v/>
      </c>
      <c r="R80" s="15">
        <f>IF(R44="","",R44)</f>
        <v/>
      </c>
      <c r="S80" s="15">
        <f>IF(S44="","",S44)</f>
        <v/>
      </c>
      <c r="T80" s="15">
        <f>IF(T44="","",T44)</f>
        <v/>
      </c>
      <c r="U80" s="15">
        <f>IF(U44="","",U44)</f>
        <v/>
      </c>
      <c r="V80" s="15">
        <f>IF(V44="","",V44)</f>
        <v/>
      </c>
      <c r="W80" s="15">
        <f>IF(W44="","",W44)</f>
        <v/>
      </c>
      <c r="X80" s="15">
        <f>IF(X44="","",X44)</f>
        <v/>
      </c>
      <c r="Y80" s="14">
        <f>IF(Y44="","",Y44)</f>
        <v/>
      </c>
      <c r="Z80" s="15">
        <f>IF(Z44="","",Z44)</f>
        <v/>
      </c>
      <c r="AA80" s="15">
        <f>IF(AA44="","",AA44)</f>
        <v/>
      </c>
      <c r="AB80" s="15">
        <f>IF(AB44="","",AB44)</f>
        <v/>
      </c>
      <c r="AC80" s="15">
        <f>IF(AC44="","",AC44)</f>
        <v/>
      </c>
    </row>
    <row r="81">
      <c r="A81" s="13" t="inlineStr">
        <is>
          <t>지배주주 순이익 증가율</t>
        </is>
      </c>
      <c r="B81" s="10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4" t="n"/>
      <c r="P81" s="15">
        <f>IF(OR(P73="",O73=""),"",IFERROR(P73/O73-1,""))</f>
        <v/>
      </c>
      <c r="Q81" s="15">
        <f>IF(OR(Q73="",P73=""),"",IFERROR(Q73/P73-1,""))</f>
        <v/>
      </c>
      <c r="R81" s="15">
        <f>IF(OR(R73="",Q73=""),"",IFERROR(R73/Q73-1,""))</f>
        <v/>
      </c>
      <c r="S81" s="15">
        <f>IF(OR(S73="",R73=""),"",IFERROR(S73/R73-1,""))</f>
        <v/>
      </c>
      <c r="T81" s="15">
        <f>IF(OR(T73="",S73=""),"",IFERROR(T73/S73-1,""))</f>
        <v/>
      </c>
      <c r="U81" s="15">
        <f>IF(OR(U73="",T73=""),"",IFERROR(U73/T73-1,""))</f>
        <v/>
      </c>
      <c r="V81" s="15">
        <f>IF(OR(V73="",U73=""),"",IFERROR(V73/U73-1,""))</f>
        <v/>
      </c>
      <c r="W81" s="15">
        <f>IF(OR(W73="",V73=""),"",IFERROR(W73/V73-1,""))</f>
        <v/>
      </c>
      <c r="X81" s="15">
        <f>IF(OR(X73="",W73=""),"",IFERROR(X73/W73-1,""))</f>
        <v/>
      </c>
      <c r="Y81" s="14">
        <f>IF(OR(Y73="",X73=""),"",IFERROR(Y73/X73-1,""))</f>
        <v/>
      </c>
      <c r="Z81" s="15">
        <f>IF(OR(Z73="",Y73=""),"",IFERROR(Z73/Y73-1,""))</f>
        <v/>
      </c>
      <c r="AA81" s="15">
        <f>IF(OR(AA73="",Z73=""),"",IFERROR(AA73/Z73-1,""))</f>
        <v/>
      </c>
      <c r="AB81" s="15">
        <f>IF(OR(AB73="",AA73=""),"",IFERROR(AB73/AA73-1,""))</f>
        <v/>
      </c>
      <c r="AC81" s="15">
        <f>IF(OR(AC73="",AB73=""),"",IFERROR(AC73/AB73-1,""))</f>
        <v/>
      </c>
    </row>
    <row r="82">
      <c r="A82" s="18" t="inlineStr">
        <is>
          <t>P/E (현재 주가)</t>
        </is>
      </c>
      <c r="B82" s="10" t="inlineStr">
        <is>
          <t>시총 ÷ 지배순이익</t>
        </is>
      </c>
      <c r="C82" s="30" t="n"/>
      <c r="D82" s="31" t="n"/>
      <c r="E82" s="31" t="n"/>
      <c r="F82" s="31" t="n"/>
      <c r="G82" s="31" t="n"/>
      <c r="H82" s="31" t="n"/>
      <c r="I82" s="31" t="n"/>
      <c r="J82" s="31" t="n"/>
      <c r="K82" s="31" t="n"/>
      <c r="L82" s="31" t="n"/>
      <c r="M82" s="31" t="n"/>
      <c r="N82" s="31" t="n"/>
      <c r="O82" s="30" t="n"/>
      <c r="P82" s="31" t="n"/>
      <c r="Q82" s="31" t="n"/>
      <c r="R82" s="31" t="n"/>
      <c r="S82" s="31" t="n"/>
      <c r="T82" s="31" t="n"/>
      <c r="U82" s="31" t="n"/>
      <c r="V82" s="31" t="n"/>
      <c r="W82" s="31" t="n"/>
      <c r="X82" s="31">
        <f>IF(OR($B$79="",X73=""),"",IFERROR($B$79/X73,""))</f>
        <v/>
      </c>
      <c r="Y82" s="30">
        <f>IF(OR($B$79="",Y73=""),"",IFERROR($B$79/Y73,""))</f>
        <v/>
      </c>
      <c r="Z82" s="31">
        <f>IF(OR($B$79="",Z73=""),"",IFERROR($B$79/Z73,""))</f>
        <v/>
      </c>
      <c r="AA82" s="31">
        <f>IF(OR($B$79="",AA73=""),"",IFERROR($B$79/AA73,""))</f>
        <v/>
      </c>
      <c r="AB82" s="31">
        <f>IF(OR($B$79="",AB73=""),"",IFERROR($B$79/AB73,""))</f>
        <v/>
      </c>
      <c r="AC82" s="31">
        <f>IF(OR($B$79="",AC73=""),"",IFERROR($B$79/AC73,""))</f>
        <v/>
      </c>
    </row>
    <row r="83">
      <c r="A83" s="18" t="inlineStr">
        <is>
          <t>Target P/E</t>
        </is>
      </c>
      <c r="B83" s="10" t="inlineStr">
        <is>
          <t>직접 입력</t>
        </is>
      </c>
      <c r="C83" s="30" t="n"/>
      <c r="D83" s="31" t="n"/>
      <c r="E83" s="31" t="n"/>
      <c r="F83" s="31" t="n"/>
      <c r="G83" s="31" t="n"/>
      <c r="H83" s="31" t="n"/>
      <c r="I83" s="31" t="n"/>
      <c r="J83" s="31" t="n"/>
      <c r="K83" s="31" t="n"/>
      <c r="L83" s="31" t="n"/>
      <c r="M83" s="31" t="n"/>
      <c r="N83" s="31" t="n"/>
      <c r="O83" s="30" t="n"/>
      <c r="P83" s="31" t="n"/>
      <c r="Q83" s="31" t="n"/>
      <c r="R83" s="31" t="n"/>
      <c r="S83" s="31" t="n"/>
      <c r="T83" s="31" t="n"/>
      <c r="U83" s="31" t="n"/>
      <c r="V83" s="31" t="n"/>
      <c r="W83" s="31" t="n"/>
      <c r="X83" s="31" t="n"/>
      <c r="Y83" s="32" t="n"/>
      <c r="Z83" s="33" t="n"/>
      <c r="AA83" s="33" t="n"/>
      <c r="AB83" s="33" t="n"/>
      <c r="AC83" s="33" t="n"/>
    </row>
    <row r="84">
      <c r="A84" s="18" t="inlineStr">
        <is>
          <t>EPS</t>
        </is>
      </c>
      <c r="B84" s="10" t="inlineStr">
        <is>
          <t>지배순이익 ÷ 주식수</t>
        </is>
      </c>
      <c r="C84" s="28" t="n"/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8">
        <f>IF(OR(O73="",$B$78=""),"",IFERROR(O73*1000000.0/$B$78,""))</f>
        <v/>
      </c>
      <c r="P84" s="29">
        <f>IF(OR(P73="",$B$78=""),"",IFERROR(P73*1000000.0/$B$78,""))</f>
        <v/>
      </c>
      <c r="Q84" s="29">
        <f>IF(OR(Q73="",$B$78=""),"",IFERROR(Q73*1000000.0/$B$78,""))</f>
        <v/>
      </c>
      <c r="R84" s="29">
        <f>IF(OR(R73="",$B$78=""),"",IFERROR(R73*1000000.0/$B$78,""))</f>
        <v/>
      </c>
      <c r="S84" s="29">
        <f>IF(OR(S73="",$B$78=""),"",IFERROR(S73*1000000.0/$B$78,""))</f>
        <v/>
      </c>
      <c r="T84" s="29">
        <f>IF(OR(T73="",$B$78=""),"",IFERROR(T73*1000000.0/$B$78,""))</f>
        <v/>
      </c>
      <c r="U84" s="29">
        <f>IF(OR(U73="",$B$78=""),"",IFERROR(U73*1000000.0/$B$78,""))</f>
        <v/>
      </c>
      <c r="V84" s="29">
        <f>IF(OR(V73="",$B$78=""),"",IFERROR(V73*1000000.0/$B$78,""))</f>
        <v/>
      </c>
      <c r="W84" s="29">
        <f>IF(OR(W73="",$B$78=""),"",IFERROR(W73*1000000.0/$B$78,""))</f>
        <v/>
      </c>
      <c r="X84" s="29">
        <f>IF(OR(X73="",$B$78=""),"",IFERROR(X73*1000000.0/$B$78,""))</f>
        <v/>
      </c>
      <c r="Y84" s="28">
        <f>IF(OR(Y73="",$B$78=""),"",IFERROR(Y73*1000000.0/$B$78,""))</f>
        <v/>
      </c>
      <c r="Z84" s="29">
        <f>IF(OR(Z73="",$B$78=""),"",IFERROR(Z73*1000000.0/$B$78,""))</f>
        <v/>
      </c>
      <c r="AA84" s="29">
        <f>IF(OR(AA73="",$B$78=""),"",IFERROR(AA73*1000000.0/$B$78,""))</f>
        <v/>
      </c>
      <c r="AB84" s="29">
        <f>IF(OR(AB73="",$B$78=""),"",IFERROR(AB73*1000000.0/$B$78,""))</f>
        <v/>
      </c>
      <c r="AC84" s="29">
        <f>IF(OR(AC73="",$B$78=""),"",IFERROR(AC73*1000000.0/$B$78,""))</f>
        <v/>
      </c>
    </row>
    <row r="85">
      <c r="A85" s="9" t="inlineStr">
        <is>
          <t>목표주가</t>
        </is>
      </c>
      <c r="B85" s="10" t="n"/>
      <c r="C85" s="34" t="n"/>
      <c r="D85" s="27" t="n"/>
      <c r="E85" s="27" t="n"/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  <c r="O85" s="34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34">
        <f>IF(OR(Y84="",Y83=""),"",IFERROR(Y84*Y83,""))</f>
        <v/>
      </c>
      <c r="Z85" s="27">
        <f>IF(OR(Z84="",Z83=""),"",IFERROR(Z84*Z83,""))</f>
        <v/>
      </c>
      <c r="AA85" s="27">
        <f>IF(OR(AA84="",AA83=""),"",IFERROR(AA84*AA83,""))</f>
        <v/>
      </c>
      <c r="AB85" s="27">
        <f>IF(OR(AB84="",AB83=""),"",IFERROR(AB84*AB83,""))</f>
        <v/>
      </c>
      <c r="AC85" s="27">
        <f>IF(OR(AC84="",AC83=""),"",IFERROR(AC84*AC83,""))</f>
        <v/>
      </c>
    </row>
    <row r="86">
      <c r="A86" s="18" t="inlineStr">
        <is>
          <t>상승여력</t>
        </is>
      </c>
      <c r="B86" s="10" t="n"/>
      <c r="C86" s="35" t="n"/>
      <c r="D86" s="36" t="n"/>
      <c r="E86" s="36" t="n"/>
      <c r="F86" s="36" t="n"/>
      <c r="G86" s="36" t="n"/>
      <c r="H86" s="36" t="n"/>
      <c r="I86" s="36" t="n"/>
      <c r="J86" s="36" t="n"/>
      <c r="K86" s="36" t="n"/>
      <c r="L86" s="36" t="n"/>
      <c r="M86" s="36" t="n"/>
      <c r="N86" s="36" t="n"/>
      <c r="O86" s="35" t="n"/>
      <c r="P86" s="36" t="n"/>
      <c r="Q86" s="36" t="n"/>
      <c r="R86" s="36" t="n"/>
      <c r="S86" s="36" t="n"/>
      <c r="T86" s="36" t="n"/>
      <c r="U86" s="36" t="n"/>
      <c r="V86" s="36" t="n"/>
      <c r="W86" s="36" t="n"/>
      <c r="X86" s="36" t="n"/>
      <c r="Y86" s="37">
        <f>IF(OR(Y85="",$B$77=""),"",IFERROR(Y85/$B$77-1,""))</f>
        <v/>
      </c>
      <c r="Z86" s="38">
        <f>IF(OR(Z85="",$B$77=""),"",IFERROR(Z85/$B$77-1,""))</f>
        <v/>
      </c>
      <c r="AA86" s="38">
        <f>IF(OR(AA85="",$B$77=""),"",IFERROR(AA85/$B$77-1,""))</f>
        <v/>
      </c>
      <c r="AB86" s="38">
        <f>IF(OR(AB85="",$B$77=""),"",IFERROR(AB85/$B$77-1,""))</f>
        <v/>
      </c>
      <c r="AC86" s="38">
        <f>IF(OR(AC85="",$B$77=""),"",IFERROR(AC85/$B$77-1,""))</f>
        <v/>
      </c>
    </row>
    <row r="87">
      <c r="A87" s="16" t="inlineStr">
        <is>
          <t>자산가치 산출</t>
        </is>
      </c>
      <c r="B87" s="16" t="inlineStr">
        <is>
          <t>최신 분기 BS</t>
        </is>
      </c>
      <c r="C87" s="17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7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7" t="n"/>
      <c r="Z87" s="16" t="n"/>
      <c r="AA87" s="16" t="n"/>
      <c r="AB87" s="16" t="n"/>
      <c r="AC87" s="16" t="n"/>
    </row>
    <row r="88">
      <c r="A88" s="18" t="inlineStr">
        <is>
          <t>현금및현금성자산</t>
        </is>
      </c>
      <c r="B88" s="10" t="n"/>
      <c r="C88" s="19" t="n"/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19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>
        <f>'재무상태표'!G6</f>
        <v/>
      </c>
      <c r="Y88" s="19">
        <f>'재무상태표'!G6</f>
        <v/>
      </c>
      <c r="Z88" s="20">
        <f>'재무상태표'!G6</f>
        <v/>
      </c>
      <c r="AA88" s="20">
        <f>'재무상태표'!G6</f>
        <v/>
      </c>
      <c r="AB88" s="20">
        <f>'재무상태표'!G6</f>
        <v/>
      </c>
      <c r="AC88" s="20">
        <f>'재무상태표'!G6</f>
        <v/>
      </c>
    </row>
    <row r="89">
      <c r="A89" s="18" t="inlineStr">
        <is>
          <t>단기금융상품</t>
        </is>
      </c>
      <c r="B89" s="10" t="n"/>
      <c r="C89" s="19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19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>
        <f>'재무상태표'!G7</f>
        <v/>
      </c>
      <c r="Y89" s="19">
        <f>'재무상태표'!G7</f>
        <v/>
      </c>
      <c r="Z89" s="20">
        <f>'재무상태표'!G7</f>
        <v/>
      </c>
      <c r="AA89" s="20">
        <f>'재무상태표'!G7</f>
        <v/>
      </c>
      <c r="AB89" s="20">
        <f>'재무상태표'!G7</f>
        <v/>
      </c>
      <c r="AC89" s="20">
        <f>'재무상태표'!G7</f>
        <v/>
      </c>
    </row>
    <row r="90">
      <c r="A90" s="18" t="inlineStr">
        <is>
          <t>투자부동산</t>
        </is>
      </c>
      <c r="B90" s="10" t="n"/>
      <c r="C90" s="19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19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>
        <f>'재무상태표'!G14</f>
        <v/>
      </c>
      <c r="Y90" s="19">
        <f>'재무상태표'!G14</f>
        <v/>
      </c>
      <c r="Z90" s="20">
        <f>'재무상태표'!G14</f>
        <v/>
      </c>
      <c r="AA90" s="20">
        <f>'재무상태표'!G14</f>
        <v/>
      </c>
      <c r="AB90" s="20">
        <f>'재무상태표'!G14</f>
        <v/>
      </c>
      <c r="AC90" s="20">
        <f>'재무상태표'!G14</f>
        <v/>
      </c>
    </row>
    <row r="91">
      <c r="A91" s="18" t="inlineStr">
        <is>
          <t>지배자본</t>
        </is>
      </c>
      <c r="B91" s="10" t="n"/>
      <c r="C91" s="19" t="n"/>
      <c r="D91" s="20" t="n"/>
      <c r="E91" s="20" t="n"/>
      <c r="F91" s="20" t="n"/>
      <c r="G91" s="20" t="n"/>
      <c r="H91" s="20" t="n"/>
      <c r="I91" s="20" t="n"/>
      <c r="J91" s="20" t="n"/>
      <c r="K91" s="20" t="n"/>
      <c r="L91" s="20" t="n"/>
      <c r="M91" s="20" t="n"/>
      <c r="N91" s="20" t="n"/>
      <c r="O91" s="19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>
        <f>'재무상태표'!G31</f>
        <v/>
      </c>
      <c r="Y91" s="19">
        <f>'재무상태표'!G31</f>
        <v/>
      </c>
      <c r="Z91" s="20">
        <f>'재무상태표'!G31</f>
        <v/>
      </c>
      <c r="AA91" s="20">
        <f>'재무상태표'!G31</f>
        <v/>
      </c>
      <c r="AB91" s="20">
        <f>'재무상태표'!G31</f>
        <v/>
      </c>
      <c r="AC91" s="20">
        <f>'재무상태표'!G31</f>
        <v/>
      </c>
    </row>
    <row r="92">
      <c r="A92" s="18" t="inlineStr">
        <is>
          <t>부채</t>
        </is>
      </c>
      <c r="B92" s="10" t="n"/>
      <c r="C92" s="19" t="n"/>
      <c r="D92" s="20" t="n"/>
      <c r="E92" s="20" t="n"/>
      <c r="F92" s="20" t="n"/>
      <c r="G92" s="20" t="n"/>
      <c r="H92" s="20" t="n"/>
      <c r="I92" s="20" t="n"/>
      <c r="J92" s="20" t="n"/>
      <c r="K92" s="20" t="n"/>
      <c r="L92" s="20" t="n"/>
      <c r="M92" s="20" t="n"/>
      <c r="N92" s="20" t="n"/>
      <c r="O92" s="19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>
        <f>'재무상태표'!G27</f>
        <v/>
      </c>
      <c r="Y92" s="19">
        <f>'재무상태표'!G27</f>
        <v/>
      </c>
      <c r="Z92" s="20">
        <f>'재무상태표'!G27</f>
        <v/>
      </c>
      <c r="AA92" s="20">
        <f>'재무상태표'!G27</f>
        <v/>
      </c>
      <c r="AB92" s="20">
        <f>'재무상태표'!G27</f>
        <v/>
      </c>
      <c r="AC92" s="20">
        <f>'재무상태표'!G27</f>
        <v/>
      </c>
    </row>
    <row r="93">
      <c r="A93" s="13" t="inlineStr">
        <is>
          <t>부채비율</t>
        </is>
      </c>
      <c r="B93" s="10" t="n"/>
      <c r="C93" s="14" t="n"/>
      <c r="D93" s="15" t="n"/>
      <c r="E93" s="15" t="n"/>
      <c r="F93" s="15" t="n"/>
      <c r="G93" s="15" t="n"/>
      <c r="H93" s="15" t="n"/>
      <c r="I93" s="15" t="n"/>
      <c r="J93" s="15" t="n"/>
      <c r="K93" s="15" t="n"/>
      <c r="L93" s="15" t="n"/>
      <c r="M93" s="15" t="n"/>
      <c r="N93" s="15" t="n"/>
      <c r="O93" s="14" t="n"/>
      <c r="P93" s="15" t="n"/>
      <c r="Q93" s="15" t="n"/>
      <c r="R93" s="15" t="n"/>
      <c r="S93" s="15" t="n"/>
      <c r="T93" s="15" t="n"/>
      <c r="U93" s="15" t="n"/>
      <c r="V93" s="15" t="n"/>
      <c r="W93" s="15" t="n"/>
      <c r="X93" s="15">
        <f>IF(OR(X92="",X91=""),"",IFERROR(X92/X91,""))</f>
        <v/>
      </c>
      <c r="Y93" s="14">
        <f>IF(OR(Y92="",Y91=""),"",IFERROR(Y92/Y91,""))</f>
        <v/>
      </c>
      <c r="Z93" s="15">
        <f>IF(OR(Z92="",Z91=""),"",IFERROR(Z92/Z91,""))</f>
        <v/>
      </c>
      <c r="AA93" s="15">
        <f>IF(OR(AA92="",AA91=""),"",IFERROR(AA92/AA91,""))</f>
        <v/>
      </c>
      <c r="AB93" s="15">
        <f>IF(OR(AB92="",AB91=""),"",IFERROR(AB92/AB91,""))</f>
        <v/>
      </c>
      <c r="AC93" s="15">
        <f>IF(OR(AC92="",AC91=""),"",IFERROR(AC92/AC91,""))</f>
        <v/>
      </c>
    </row>
    <row r="94">
      <c r="A94" s="9" t="inlineStr">
        <is>
          <t>자산가치</t>
        </is>
      </c>
      <c r="B94" s="10" t="inlineStr">
        <is>
          <t>현금+단기금융+투자부동산</t>
        </is>
      </c>
      <c r="C94" s="11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1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>
        <f>SUM(X88,X89,X90)</f>
        <v/>
      </c>
      <c r="Y94" s="11">
        <f>SUM(Y88,Y89,Y90)</f>
        <v/>
      </c>
      <c r="Z94" s="12">
        <f>SUM(Z88,Z89,Z90)</f>
        <v/>
      </c>
      <c r="AA94" s="12">
        <f>SUM(AA88,AA89,AA90)</f>
        <v/>
      </c>
      <c r="AB94" s="12">
        <f>SUM(AB88,AB89,AB90)</f>
        <v/>
      </c>
      <c r="AC94" s="12">
        <f>SUM(AC88,AC89,AC90)</f>
        <v/>
      </c>
    </row>
    <row r="95">
      <c r="A95" s="16" t="inlineStr">
        <is>
          <t>기업가치 산출</t>
        </is>
      </c>
      <c r="B95" s="16" t="n"/>
      <c r="C95" s="17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7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7" t="n"/>
      <c r="Z95" s="16" t="n"/>
      <c r="AA95" s="16" t="n"/>
      <c r="AB95" s="16" t="n"/>
      <c r="AC95" s="16" t="n"/>
    </row>
    <row r="96">
      <c r="A96" s="18" t="inlineStr">
        <is>
          <t>목표 시가총액 (P/E)</t>
        </is>
      </c>
      <c r="B96" s="10" t="inlineStr">
        <is>
          <t>지배순이익 × Target P/E</t>
        </is>
      </c>
      <c r="C96" s="19" t="n"/>
      <c r="D96" s="20" t="n"/>
      <c r="E96" s="20" t="n"/>
      <c r="F96" s="20" t="n"/>
      <c r="G96" s="20" t="n"/>
      <c r="H96" s="20" t="n"/>
      <c r="I96" s="20" t="n"/>
      <c r="J96" s="20" t="n"/>
      <c r="K96" s="20" t="n"/>
      <c r="L96" s="20" t="n"/>
      <c r="M96" s="20" t="n"/>
      <c r="N96" s="20" t="n"/>
      <c r="O96" s="19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19">
        <f>IF(OR(Y73="",Y83=""),"",IFERROR(Y73*Y83,""))</f>
        <v/>
      </c>
      <c r="Z96" s="20">
        <f>IF(OR(Z73="",Z83=""),"",IFERROR(Z73*Z83,""))</f>
        <v/>
      </c>
      <c r="AA96" s="20">
        <f>IF(OR(AA73="",AA83=""),"",IFERROR(AA73*AA83,""))</f>
        <v/>
      </c>
      <c r="AB96" s="20">
        <f>IF(OR(AB73="",AB83=""),"",IFERROR(AB73*AB83,""))</f>
        <v/>
      </c>
      <c r="AC96" s="20">
        <f>IF(OR(AC73="",AC83=""),"",IFERROR(AC73*AC83,""))</f>
        <v/>
      </c>
    </row>
    <row r="97">
      <c r="A97" s="9" t="inlineStr">
        <is>
          <t>기업가치</t>
        </is>
      </c>
      <c r="B97" s="10" t="inlineStr">
        <is>
          <t>목표시총 + 자산가치</t>
        </is>
      </c>
      <c r="C97" s="11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1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1">
        <f>IF(OR(Y96=""),"",IFERROR(Y96+Y94,""))</f>
        <v/>
      </c>
      <c r="Z97" s="12">
        <f>IF(OR(Z96=""),"",IFERROR(Z96+Z94,""))</f>
        <v/>
      </c>
      <c r="AA97" s="12">
        <f>IF(OR(AA96=""),"",IFERROR(AA96+AA94,""))</f>
        <v/>
      </c>
      <c r="AB97" s="12">
        <f>IF(OR(AB96=""),"",IFERROR(AB96+AB94,""))</f>
        <v/>
      </c>
      <c r="AC97" s="12">
        <f>IF(OR(AC96=""),"",IFERROR(AC96+AC94,""))</f>
        <v/>
      </c>
    </row>
    <row r="98">
      <c r="A98" s="18" t="inlineStr">
        <is>
          <t>현재 시가총액</t>
        </is>
      </c>
      <c r="B98" s="10" t="n"/>
      <c r="C98" s="19" t="n"/>
      <c r="D98" s="20" t="n"/>
      <c r="E98" s="20" t="n"/>
      <c r="F98" s="20" t="n"/>
      <c r="G98" s="20" t="n"/>
      <c r="H98" s="20" t="n"/>
      <c r="I98" s="20" t="n"/>
      <c r="J98" s="20" t="n"/>
      <c r="K98" s="20" t="n"/>
      <c r="L98" s="20" t="n"/>
      <c r="M98" s="20" t="n"/>
      <c r="N98" s="20" t="n"/>
      <c r="O98" s="19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19">
        <f>$B$79</f>
        <v/>
      </c>
      <c r="Z98" s="20">
        <f>$B$79</f>
        <v/>
      </c>
      <c r="AA98" s="20">
        <f>$B$79</f>
        <v/>
      </c>
      <c r="AB98" s="20">
        <f>$B$79</f>
        <v/>
      </c>
      <c r="AC98" s="20">
        <f>$B$79</f>
        <v/>
      </c>
    </row>
    <row r="99">
      <c r="A99" s="18" t="inlineStr">
        <is>
          <t>상승여력</t>
        </is>
      </c>
      <c r="B99" s="10" t="n"/>
      <c r="C99" s="35" t="n"/>
      <c r="D99" s="36" t="n"/>
      <c r="E99" s="36" t="n"/>
      <c r="F99" s="36" t="n"/>
      <c r="G99" s="36" t="n"/>
      <c r="H99" s="36" t="n"/>
      <c r="I99" s="36" t="n"/>
      <c r="J99" s="36" t="n"/>
      <c r="K99" s="36" t="n"/>
      <c r="L99" s="36" t="n"/>
      <c r="M99" s="36" t="n"/>
      <c r="N99" s="36" t="n"/>
      <c r="O99" s="35" t="n"/>
      <c r="P99" s="36" t="n"/>
      <c r="Q99" s="36" t="n"/>
      <c r="R99" s="36" t="n"/>
      <c r="S99" s="36" t="n"/>
      <c r="T99" s="36" t="n"/>
      <c r="U99" s="36" t="n"/>
      <c r="V99" s="36" t="n"/>
      <c r="W99" s="36" t="n"/>
      <c r="X99" s="36" t="n"/>
      <c r="Y99" s="37">
        <f>IF(OR(Y97="",Y98=""),"",IFERROR(Y97/Y98-1,""))</f>
        <v/>
      </c>
      <c r="Z99" s="38">
        <f>IF(OR(Z97="",Z98=""),"",IFERROR(Z97/Z98-1,""))</f>
        <v/>
      </c>
      <c r="AA99" s="38">
        <f>IF(OR(AA97="",AA98=""),"",IFERROR(AA97/AA98-1,""))</f>
        <v/>
      </c>
      <c r="AB99" s="38">
        <f>IF(OR(AB97="",AB98=""),"",IFERROR(AB97/AB98-1,""))</f>
        <v/>
      </c>
      <c r="AC99" s="38">
        <f>IF(OR(AC97="",AC98=""),"",IFERROR(AC97/AC98-1,""))</f>
        <v/>
      </c>
    </row>
    <row r="100">
      <c r="C100" s="39" t="n"/>
      <c r="O100" s="39" t="n"/>
      <c r="Y100" s="39" t="n"/>
    </row>
    <row r="101">
      <c r="A101" s="40" t="inlineStr">
        <is>
          <t>출처</t>
        </is>
      </c>
      <c r="C101" s="39" t="n"/>
      <c r="O101" s="39" t="n"/>
      <c r="Y101" s="39" t="n"/>
    </row>
    <row r="102">
      <c r="A102" s="41" t="inlineStr">
        <is>
          <t>결산단신 XBRL(TDnet·JPX 보관소) — 쓴 문서는 '출처' 시트</t>
        </is>
      </c>
      <c r="C102" s="39" t="n"/>
      <c r="O102" s="39" t="n"/>
      <c r="Y102" s="39" t="n"/>
    </row>
    <row r="103">
      <c r="A103" s="41" t="inlineStr">
        <is>
          <t>분기 = 누계에서 앞 분기를 뺀 3개월 값</t>
        </is>
      </c>
      <c r="C103" s="39" t="n"/>
      <c r="O103" s="39" t="n"/>
      <c r="Y103" s="39" t="n"/>
    </row>
    <row r="104">
      <c r="A104" s="41" t="inlineStr">
        <is>
          <t>주가: 야후 파이낸스 일봉 2026.10.28</t>
        </is>
      </c>
      <c r="C104" s="39" t="n"/>
      <c r="O104" s="39" t="n"/>
      <c r="Y104" s="39" t="n"/>
    </row>
    <row r="106">
      <c r="A106" s="16" t="inlineStr">
        <is>
          <t>손익계산서 · 전 항목</t>
        </is>
      </c>
      <c r="B106" s="42" t="inlineStr">
        <is>
          <t>분기 = 3개월 단독</t>
        </is>
      </c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  <c r="AA106" s="16" t="n"/>
      <c r="AB106" s="16" t="n"/>
      <c r="AC106" s="16" t="n"/>
    </row>
    <row r="107">
      <c r="A107" s="5" t="inlineStr">
        <is>
          <t>항목</t>
        </is>
      </c>
      <c r="B107" s="5" t="inlineStr">
        <is>
          <t>참고</t>
        </is>
      </c>
      <c r="C107" s="5" t="inlineStr">
        <is>
          <t>2023.3Q</t>
        </is>
      </c>
      <c r="D107" s="5" t="inlineStr">
        <is>
          <t>2023.4Q</t>
        </is>
      </c>
      <c r="E107" s="5" t="inlineStr">
        <is>
          <t>2024.1Q</t>
        </is>
      </c>
      <c r="F107" s="5" t="inlineStr">
        <is>
          <t>2024.2Q</t>
        </is>
      </c>
      <c r="G107" s="5" t="inlineStr">
        <is>
          <t>2024.3Q</t>
        </is>
      </c>
      <c r="H107" s="5" t="inlineStr">
        <is>
          <t>2024.4Q</t>
        </is>
      </c>
      <c r="I107" s="5" t="inlineStr">
        <is>
          <t>2025.1Q</t>
        </is>
      </c>
      <c r="J107" s="5" t="inlineStr">
        <is>
          <t>2025.2Q</t>
        </is>
      </c>
      <c r="K107" s="5" t="inlineStr">
        <is>
          <t>2025.3Q</t>
        </is>
      </c>
      <c r="L107" s="5" t="inlineStr">
        <is>
          <t>2025.4Q</t>
        </is>
      </c>
      <c r="M107" s="5" t="inlineStr">
        <is>
          <t>2026.1Q</t>
        </is>
      </c>
      <c r="N107" s="5" t="inlineStr">
        <is>
          <t>2026.2Q</t>
        </is>
      </c>
      <c r="O107" s="5" t="inlineStr">
        <is>
          <t>2016</t>
        </is>
      </c>
      <c r="P107" s="5" t="inlineStr">
        <is>
          <t>2017</t>
        </is>
      </c>
      <c r="Q107" s="5" t="inlineStr">
        <is>
          <t>2018</t>
        </is>
      </c>
      <c r="R107" s="5" t="inlineStr">
        <is>
          <t>2019</t>
        </is>
      </c>
      <c r="S107" s="5" t="inlineStr">
        <is>
          <t>2020</t>
        </is>
      </c>
      <c r="T107" s="5" t="inlineStr">
        <is>
          <t>2021</t>
        </is>
      </c>
      <c r="U107" s="5" t="inlineStr">
        <is>
          <t>2022</t>
        </is>
      </c>
      <c r="V107" s="5" t="inlineStr">
        <is>
          <t>2023</t>
        </is>
      </c>
      <c r="W107" s="5" t="inlineStr">
        <is>
          <t>2024</t>
        </is>
      </c>
      <c r="X107" s="5" t="inlineStr">
        <is>
          <t>2025</t>
        </is>
      </c>
      <c r="Y107" s="5" t="inlineStr">
        <is>
          <t>2026(MW)</t>
        </is>
      </c>
      <c r="Z107" s="5" t="inlineStr">
        <is>
          <t>2027(MW)</t>
        </is>
      </c>
      <c r="AA107" s="5" t="inlineStr">
        <is>
          <t>2028(MW)</t>
        </is>
      </c>
      <c r="AB107" s="5" t="inlineStr">
        <is>
          <t>2029(MW)</t>
        </is>
      </c>
      <c r="AC107" s="5" t="inlineStr">
        <is>
          <t>2030(MW)</t>
        </is>
      </c>
    </row>
    <row r="108">
      <c r="A108" s="9" t="inlineStr">
        <is>
          <t>매출액</t>
        </is>
      </c>
      <c r="C108" s="12" t="n">
        <v>6047</v>
      </c>
      <c r="D108" s="12" t="n">
        <v>8468</v>
      </c>
      <c r="E108" s="12" t="n">
        <v>7836</v>
      </c>
      <c r="F108" s="12" t="n">
        <v>6401</v>
      </c>
      <c r="G108" s="12" t="n">
        <v>6029</v>
      </c>
      <c r="H108" s="12" t="n">
        <v>8833</v>
      </c>
      <c r="I108" s="12" t="n">
        <v>8504</v>
      </c>
      <c r="J108" s="12" t="n">
        <v>5911</v>
      </c>
      <c r="K108" s="12" t="n">
        <v>6388</v>
      </c>
      <c r="L108" s="12" t="n">
        <v>10577</v>
      </c>
      <c r="M108" s="12" t="n">
        <v>9574</v>
      </c>
      <c r="N108" s="12" t="n">
        <v>7530</v>
      </c>
      <c r="T108" s="12" t="n">
        <v>7945</v>
      </c>
      <c r="U108" s="12" t="n">
        <v>7156</v>
      </c>
      <c r="V108" s="12" t="n">
        <v>8468</v>
      </c>
      <c r="W108" s="12" t="n">
        <v>8833</v>
      </c>
      <c r="X108" s="12" t="n">
        <v>10577</v>
      </c>
    </row>
    <row r="109">
      <c r="A109" s="43" t="inlineStr">
        <is>
          <t>YoY</t>
        </is>
      </c>
      <c r="B109" s="3" t="inlineStr">
        <is>
          <t>전년 같은 분기·전년 대비</t>
        </is>
      </c>
      <c r="G109" s="15">
        <f>IF(OR(G108="",C108=""),"",IF(C108&lt;=0,"",IFERROR(G108/C108-1,"")))</f>
        <v/>
      </c>
      <c r="H109" s="15">
        <f>IF(OR(H108="",D108=""),"",IF(D108&lt;=0,"",IFERROR(H108/D108-1,"")))</f>
        <v/>
      </c>
      <c r="I109" s="15">
        <f>IF(OR(I108="",E108=""),"",IF(E108&lt;=0,"",IFERROR(I108/E108-1,"")))</f>
        <v/>
      </c>
      <c r="J109" s="15">
        <f>IF(OR(J108="",F108=""),"",IF(F108&lt;=0,"",IFERROR(J108/F108-1,"")))</f>
        <v/>
      </c>
      <c r="K109" s="15">
        <f>IF(OR(K108="",G108=""),"",IF(G108&lt;=0,"",IFERROR(K108/G108-1,"")))</f>
        <v/>
      </c>
      <c r="L109" s="15">
        <f>IF(OR(L108="",H108=""),"",IF(H108&lt;=0,"",IFERROR(L108/H108-1,"")))</f>
        <v/>
      </c>
      <c r="M109" s="15">
        <f>IF(OR(M108="",I108=""),"",IF(I108&lt;=0,"",IFERROR(M108/I108-1,"")))</f>
        <v/>
      </c>
      <c r="N109" s="15">
        <f>IF(OR(N108="",J108=""),"",IF(J108&lt;=0,"",IFERROR(N108/J108-1,"")))</f>
        <v/>
      </c>
      <c r="T109" s="15">
        <f>IF(OR(T108="",S108=""),"",IF(S108&lt;=0,"",IFERROR(T108/S108-1,"")))</f>
        <v/>
      </c>
      <c r="U109" s="15">
        <f>IF(OR(U108="",T108=""),"",IF(T108&lt;=0,"",IFERROR(U108/T108-1,"")))</f>
        <v/>
      </c>
      <c r="V109" s="15">
        <f>IF(OR(V108="",U108=""),"",IF(U108&lt;=0,"",IFERROR(V108/U108-1,"")))</f>
        <v/>
      </c>
      <c r="W109" s="15">
        <f>IF(OR(W108="",V108=""),"",IF(V108&lt;=0,"",IFERROR(W108/V108-1,"")))</f>
        <v/>
      </c>
      <c r="X109" s="15">
        <f>IF(OR(X108="",W108=""),"",IF(W108&lt;=0,"",IFERROR(X108/W108-1,"")))</f>
        <v/>
      </c>
    </row>
    <row r="110">
      <c r="A110" s="18" t="inlineStr">
        <is>
          <t>매출원가</t>
        </is>
      </c>
      <c r="C110" s="20" t="n">
        <v>5088</v>
      </c>
      <c r="D110" s="20" t="n">
        <v>7148</v>
      </c>
      <c r="E110" s="20" t="n">
        <v>6285</v>
      </c>
      <c r="F110" s="20" t="n">
        <v>5323</v>
      </c>
      <c r="G110" s="20" t="n">
        <v>4932</v>
      </c>
      <c r="H110" s="20" t="n">
        <v>7364</v>
      </c>
      <c r="I110" s="20" t="n">
        <v>6604</v>
      </c>
      <c r="J110" s="20" t="n">
        <v>4814</v>
      </c>
      <c r="K110" s="20" t="n">
        <v>5125</v>
      </c>
      <c r="L110" s="20" t="n">
        <v>8885</v>
      </c>
      <c r="M110" s="20" t="n">
        <v>7402</v>
      </c>
      <c r="N110" s="20" t="n">
        <v>6196</v>
      </c>
      <c r="T110" s="20" t="n">
        <v>6541</v>
      </c>
      <c r="U110" s="20" t="n">
        <v>5741</v>
      </c>
      <c r="V110" s="20" t="n">
        <v>7148</v>
      </c>
      <c r="W110" s="20" t="n">
        <v>7364</v>
      </c>
      <c r="X110" s="20" t="n">
        <v>8885</v>
      </c>
    </row>
    <row r="111">
      <c r="A111" s="43" t="inlineStr">
        <is>
          <t>YoY</t>
        </is>
      </c>
      <c r="B111" s="3" t="inlineStr">
        <is>
          <t>전년 같은 분기·전년 대비</t>
        </is>
      </c>
      <c r="G111" s="15">
        <f>IF(OR(G110="",C110=""),"",IF(G110*C110&lt;=0,"",IFERROR(G110/C110-1,"")))</f>
        <v/>
      </c>
      <c r="H111" s="15">
        <f>IF(OR(H110="",D110=""),"",IF(H110*D110&lt;=0,"",IFERROR(H110/D110-1,"")))</f>
        <v/>
      </c>
      <c r="I111" s="15">
        <f>IF(OR(I110="",E110=""),"",IF(I110*E110&lt;=0,"",IFERROR(I110/E110-1,"")))</f>
        <v/>
      </c>
      <c r="J111" s="15">
        <f>IF(OR(J110="",F110=""),"",IF(J110*F110&lt;=0,"",IFERROR(J110/F110-1,"")))</f>
        <v/>
      </c>
      <c r="K111" s="15">
        <f>IF(OR(K110="",G110=""),"",IF(K110*G110&lt;=0,"",IFERROR(K110/G110-1,"")))</f>
        <v/>
      </c>
      <c r="L111" s="15">
        <f>IF(OR(L110="",H110=""),"",IF(L110*H110&lt;=0,"",IFERROR(L110/H110-1,"")))</f>
        <v/>
      </c>
      <c r="M111" s="15">
        <f>IF(OR(M110="",I110=""),"",IF(M110*I110&lt;=0,"",IFERROR(M110/I110-1,"")))</f>
        <v/>
      </c>
      <c r="N111" s="15">
        <f>IF(OR(N110="",J110=""),"",IF(N110*J110&lt;=0,"",IFERROR(N110/J110-1,"")))</f>
        <v/>
      </c>
      <c r="T111" s="15">
        <f>IF(OR(T110="",S110=""),"",IF(T110*S110&lt;=0,"",IFERROR(T110/S110-1,"")))</f>
        <v/>
      </c>
      <c r="U111" s="15">
        <f>IF(OR(U110="",T110=""),"",IF(U110*T110&lt;=0,"",IFERROR(U110/T110-1,"")))</f>
        <v/>
      </c>
      <c r="V111" s="15">
        <f>IF(OR(V110="",U110=""),"",IF(V110*U110&lt;=0,"",IFERROR(V110/U110-1,"")))</f>
        <v/>
      </c>
      <c r="W111" s="15">
        <f>IF(OR(W110="",V110=""),"",IF(W110*V110&lt;=0,"",IFERROR(W110/V110-1,"")))</f>
        <v/>
      </c>
      <c r="X111" s="15">
        <f>IF(OR(X110="",W110=""),"",IF(X110*W110&lt;=0,"",IFERROR(X110/W110-1,"")))</f>
        <v/>
      </c>
    </row>
    <row r="112">
      <c r="A112" s="9" t="inlineStr">
        <is>
          <t>매출총이익</t>
        </is>
      </c>
      <c r="C112" s="12" t="n">
        <v>958</v>
      </c>
      <c r="D112" s="12" t="n">
        <v>1321</v>
      </c>
      <c r="E112" s="12" t="n">
        <v>1550</v>
      </c>
      <c r="F112" s="12" t="n">
        <v>1079</v>
      </c>
      <c r="G112" s="12" t="n">
        <v>1097</v>
      </c>
      <c r="H112" s="12" t="n">
        <v>1468</v>
      </c>
      <c r="I112" s="12" t="n">
        <v>1900</v>
      </c>
      <c r="J112" s="12" t="n">
        <v>1097</v>
      </c>
      <c r="K112" s="12" t="n">
        <v>1263</v>
      </c>
      <c r="L112" s="12" t="n">
        <v>1691</v>
      </c>
      <c r="M112" s="12" t="n">
        <v>2171</v>
      </c>
      <c r="N112" s="12" t="n">
        <v>1335</v>
      </c>
      <c r="T112" s="12" t="n">
        <v>1405</v>
      </c>
      <c r="U112" s="12" t="n">
        <v>1414</v>
      </c>
      <c r="V112" s="12" t="n">
        <v>1321</v>
      </c>
      <c r="W112" s="12" t="n">
        <v>1468</v>
      </c>
      <c r="X112" s="12" t="n">
        <v>1691</v>
      </c>
    </row>
    <row r="113">
      <c r="A113" s="43" t="inlineStr">
        <is>
          <t>YoY</t>
        </is>
      </c>
      <c r="B113" s="3" t="inlineStr">
        <is>
          <t>전년 같은 분기·전년 대비</t>
        </is>
      </c>
      <c r="G113" s="15">
        <f>IF(OR(G112="",C112=""),"",IF(C112&lt;=0,"",IFERROR(G112/C112-1,"")))</f>
        <v/>
      </c>
      <c r="H113" s="15">
        <f>IF(OR(H112="",D112=""),"",IF(D112&lt;=0,"",IFERROR(H112/D112-1,"")))</f>
        <v/>
      </c>
      <c r="I113" s="15">
        <f>IF(OR(I112="",E112=""),"",IF(E112&lt;=0,"",IFERROR(I112/E112-1,"")))</f>
        <v/>
      </c>
      <c r="J113" s="15">
        <f>IF(OR(J112="",F112=""),"",IF(F112&lt;=0,"",IFERROR(J112/F112-1,"")))</f>
        <v/>
      </c>
      <c r="K113" s="15">
        <f>IF(OR(K112="",G112=""),"",IF(G112&lt;=0,"",IFERROR(K112/G112-1,"")))</f>
        <v/>
      </c>
      <c r="L113" s="15">
        <f>IF(OR(L112="",H112=""),"",IF(H112&lt;=0,"",IFERROR(L112/H112-1,"")))</f>
        <v/>
      </c>
      <c r="M113" s="15">
        <f>IF(OR(M112="",I112=""),"",IF(I112&lt;=0,"",IFERROR(M112/I112-1,"")))</f>
        <v/>
      </c>
      <c r="N113" s="15">
        <f>IF(OR(N112="",J112=""),"",IF(J112&lt;=0,"",IFERROR(N112/J112-1,"")))</f>
        <v/>
      </c>
      <c r="T113" s="15">
        <f>IF(OR(T112="",S112=""),"",IF(S112&lt;=0,"",IFERROR(T112/S112-1,"")))</f>
        <v/>
      </c>
      <c r="U113" s="15">
        <f>IF(OR(U112="",T112=""),"",IF(T112&lt;=0,"",IFERROR(U112/T112-1,"")))</f>
        <v/>
      </c>
      <c r="V113" s="15">
        <f>IF(OR(V112="",U112=""),"",IF(U112&lt;=0,"",IFERROR(V112/U112-1,"")))</f>
        <v/>
      </c>
      <c r="W113" s="15">
        <f>IF(OR(W112="",V112=""),"",IF(V112&lt;=0,"",IFERROR(W112/V112-1,"")))</f>
        <v/>
      </c>
      <c r="X113" s="15">
        <f>IF(OR(X112="",W112=""),"",IF(W112&lt;=0,"",IFERROR(X112/W112-1,"")))</f>
        <v/>
      </c>
    </row>
    <row r="114">
      <c r="A114" s="18" t="inlineStr">
        <is>
          <t>판매비와 관리비</t>
        </is>
      </c>
      <c r="C114" s="20" t="n">
        <v>739</v>
      </c>
      <c r="D114" s="20" t="n">
        <v>760</v>
      </c>
      <c r="E114" s="20" t="n">
        <v>780</v>
      </c>
      <c r="F114" s="20" t="n">
        <v>835</v>
      </c>
      <c r="G114" s="20" t="n">
        <v>766</v>
      </c>
      <c r="H114" s="20" t="n">
        <v>797</v>
      </c>
      <c r="I114" s="20" t="n">
        <v>799</v>
      </c>
      <c r="J114" s="20" t="n">
        <v>860</v>
      </c>
      <c r="K114" s="20" t="n">
        <v>806</v>
      </c>
      <c r="L114" s="20" t="n">
        <v>871</v>
      </c>
      <c r="M114" s="20" t="n">
        <v>890</v>
      </c>
      <c r="N114" s="20" t="n">
        <v>935</v>
      </c>
      <c r="T114" s="20" t="n">
        <v>859</v>
      </c>
      <c r="U114" s="20" t="n">
        <v>789</v>
      </c>
      <c r="V114" s="20" t="n">
        <v>760</v>
      </c>
      <c r="W114" s="20" t="n">
        <v>797</v>
      </c>
      <c r="X114" s="20" t="n">
        <v>871</v>
      </c>
    </row>
    <row r="115">
      <c r="A115" s="43" t="inlineStr">
        <is>
          <t>YoY</t>
        </is>
      </c>
      <c r="B115" s="3" t="inlineStr">
        <is>
          <t>전년 같은 분기·전년 대비</t>
        </is>
      </c>
      <c r="G115" s="15">
        <f>IF(OR(G114="",C114=""),"",IF(G114*C114&lt;=0,"",IFERROR(G114/C114-1,"")))</f>
        <v/>
      </c>
      <c r="H115" s="15">
        <f>IF(OR(H114="",D114=""),"",IF(H114*D114&lt;=0,"",IFERROR(H114/D114-1,"")))</f>
        <v/>
      </c>
      <c r="I115" s="15">
        <f>IF(OR(I114="",E114=""),"",IF(I114*E114&lt;=0,"",IFERROR(I114/E114-1,"")))</f>
        <v/>
      </c>
      <c r="J115" s="15">
        <f>IF(OR(J114="",F114=""),"",IF(J114*F114&lt;=0,"",IFERROR(J114/F114-1,"")))</f>
        <v/>
      </c>
      <c r="K115" s="15">
        <f>IF(OR(K114="",G114=""),"",IF(K114*G114&lt;=0,"",IFERROR(K114/G114-1,"")))</f>
        <v/>
      </c>
      <c r="L115" s="15">
        <f>IF(OR(L114="",H114=""),"",IF(L114*H114&lt;=0,"",IFERROR(L114/H114-1,"")))</f>
        <v/>
      </c>
      <c r="M115" s="15">
        <f>IF(OR(M114="",I114=""),"",IF(M114*I114&lt;=0,"",IFERROR(M114/I114-1,"")))</f>
        <v/>
      </c>
      <c r="N115" s="15">
        <f>IF(OR(N114="",J114=""),"",IF(N114*J114&lt;=0,"",IFERROR(N114/J114-1,"")))</f>
        <v/>
      </c>
      <c r="T115" s="15">
        <f>IF(OR(T114="",S114=""),"",IF(T114*S114&lt;=0,"",IFERROR(T114/S114-1,"")))</f>
        <v/>
      </c>
      <c r="U115" s="15">
        <f>IF(OR(U114="",T114=""),"",IF(U114*T114&lt;=0,"",IFERROR(U114/T114-1,"")))</f>
        <v/>
      </c>
      <c r="V115" s="15">
        <f>IF(OR(V114="",U114=""),"",IF(V114*U114&lt;=0,"",IFERROR(V114/U114-1,"")))</f>
        <v/>
      </c>
      <c r="W115" s="15">
        <f>IF(OR(W114="",V114=""),"",IF(W114*V114&lt;=0,"",IFERROR(W114/V114-1,"")))</f>
        <v/>
      </c>
      <c r="X115" s="15">
        <f>IF(OR(X114="",W114=""),"",IF(X114*W114&lt;=0,"",IFERROR(X114/W114-1,"")))</f>
        <v/>
      </c>
    </row>
    <row r="116">
      <c r="A116" s="9" t="inlineStr">
        <is>
          <t>영업이익</t>
        </is>
      </c>
      <c r="C116" s="12" t="n">
        <v>220</v>
      </c>
      <c r="D116" s="12" t="n">
        <v>560</v>
      </c>
      <c r="E116" s="12" t="n">
        <v>770</v>
      </c>
      <c r="F116" s="12" t="n">
        <v>243</v>
      </c>
      <c r="G116" s="12" t="n">
        <v>332</v>
      </c>
      <c r="H116" s="12" t="n">
        <v>671</v>
      </c>
      <c r="I116" s="12" t="n">
        <v>1101</v>
      </c>
      <c r="J116" s="12" t="n">
        <v>237</v>
      </c>
      <c r="K116" s="12" t="n">
        <v>456</v>
      </c>
      <c r="L116" s="12" t="n">
        <v>821</v>
      </c>
      <c r="M116" s="12" t="n">
        <v>1280</v>
      </c>
      <c r="N116" s="12" t="n">
        <v>400</v>
      </c>
      <c r="T116" s="12" t="n">
        <v>545</v>
      </c>
      <c r="U116" s="12" t="n">
        <v>626</v>
      </c>
      <c r="V116" s="12" t="n">
        <v>560</v>
      </c>
      <c r="W116" s="12" t="n">
        <v>671</v>
      </c>
      <c r="X116" s="12" t="n">
        <v>821</v>
      </c>
    </row>
    <row r="117">
      <c r="A117" s="43" t="inlineStr">
        <is>
          <t>OPM</t>
        </is>
      </c>
      <c r="B117" s="3" t="inlineStr">
        <is>
          <t>영업이익 ÷ 매출</t>
        </is>
      </c>
      <c r="C117" s="15">
        <f>IF(OR(C116="",C108=""),"",IF(C108&lt;=0,"",IFERROR(C116/C108,"")))</f>
        <v/>
      </c>
      <c r="D117" s="15">
        <f>IF(OR(D116="",D108=""),"",IF(D108&lt;=0,"",IFERROR(D116/D108,"")))</f>
        <v/>
      </c>
      <c r="E117" s="15">
        <f>IF(OR(E116="",E108=""),"",IF(E108&lt;=0,"",IFERROR(E116/E108,"")))</f>
        <v/>
      </c>
      <c r="F117" s="15">
        <f>IF(OR(F116="",F108=""),"",IF(F108&lt;=0,"",IFERROR(F116/F108,"")))</f>
        <v/>
      </c>
      <c r="G117" s="15">
        <f>IF(OR(G116="",G108=""),"",IF(G108&lt;=0,"",IFERROR(G116/G108,"")))</f>
        <v/>
      </c>
      <c r="H117" s="15">
        <f>IF(OR(H116="",H108=""),"",IF(H108&lt;=0,"",IFERROR(H116/H108,"")))</f>
        <v/>
      </c>
      <c r="I117" s="15">
        <f>IF(OR(I116="",I108=""),"",IF(I108&lt;=0,"",IFERROR(I116/I108,"")))</f>
        <v/>
      </c>
      <c r="J117" s="15">
        <f>IF(OR(J116="",J108=""),"",IF(J108&lt;=0,"",IFERROR(J116/J108,"")))</f>
        <v/>
      </c>
      <c r="K117" s="15">
        <f>IF(OR(K116="",K108=""),"",IF(K108&lt;=0,"",IFERROR(K116/K108,"")))</f>
        <v/>
      </c>
      <c r="L117" s="15">
        <f>IF(OR(L116="",L108=""),"",IF(L108&lt;=0,"",IFERROR(L116/L108,"")))</f>
        <v/>
      </c>
      <c r="M117" s="15">
        <f>IF(OR(M116="",M108=""),"",IF(M108&lt;=0,"",IFERROR(M116/M108,"")))</f>
        <v/>
      </c>
      <c r="N117" s="15">
        <f>IF(OR(N116="",N108=""),"",IF(N108&lt;=0,"",IFERROR(N116/N108,"")))</f>
        <v/>
      </c>
      <c r="T117" s="15">
        <f>IF(OR(T116="",T108=""),"",IF(T108&lt;=0,"",IFERROR(T116/T108,"")))</f>
        <v/>
      </c>
      <c r="U117" s="15">
        <f>IF(OR(U116="",U108=""),"",IF(U108&lt;=0,"",IFERROR(U116/U108,"")))</f>
        <v/>
      </c>
      <c r="V117" s="15">
        <f>IF(OR(V116="",V108=""),"",IF(V108&lt;=0,"",IFERROR(V116/V108,"")))</f>
        <v/>
      </c>
      <c r="W117" s="15">
        <f>IF(OR(W116="",W108=""),"",IF(W108&lt;=0,"",IFERROR(W116/W108,"")))</f>
        <v/>
      </c>
      <c r="X117" s="15">
        <f>IF(OR(X116="",X108=""),"",IF(X108&lt;=0,"",IFERROR(X116/X108,"")))</f>
        <v/>
      </c>
    </row>
    <row r="118">
      <c r="A118" s="43" t="inlineStr">
        <is>
          <t>YoY</t>
        </is>
      </c>
      <c r="B118" s="3" t="inlineStr">
        <is>
          <t>전년 같은 분기·전년 대비</t>
        </is>
      </c>
      <c r="G118" s="15">
        <f>IF(OR(G116="",C116=""),"",IF(C116&lt;=0,"",IFERROR(G116/C116-1,"")))</f>
        <v/>
      </c>
      <c r="H118" s="15">
        <f>IF(OR(H116="",D116=""),"",IF(D116&lt;=0,"",IFERROR(H116/D116-1,"")))</f>
        <v/>
      </c>
      <c r="I118" s="15">
        <f>IF(OR(I116="",E116=""),"",IF(E116&lt;=0,"",IFERROR(I116/E116-1,"")))</f>
        <v/>
      </c>
      <c r="J118" s="15">
        <f>IF(OR(J116="",F116=""),"",IF(F116&lt;=0,"",IFERROR(J116/F116-1,"")))</f>
        <v/>
      </c>
      <c r="K118" s="15">
        <f>IF(OR(K116="",G116=""),"",IF(G116&lt;=0,"",IFERROR(K116/G116-1,"")))</f>
        <v/>
      </c>
      <c r="L118" s="15">
        <f>IF(OR(L116="",H116=""),"",IF(H116&lt;=0,"",IFERROR(L116/H116-1,"")))</f>
        <v/>
      </c>
      <c r="M118" s="15">
        <f>IF(OR(M116="",I116=""),"",IF(I116&lt;=0,"",IFERROR(M116/I116-1,"")))</f>
        <v/>
      </c>
      <c r="N118" s="15">
        <f>IF(OR(N116="",J116=""),"",IF(J116&lt;=0,"",IFERROR(N116/J116-1,"")))</f>
        <v/>
      </c>
      <c r="T118" s="15">
        <f>IF(OR(T116="",S116=""),"",IF(S116&lt;=0,"",IFERROR(T116/S116-1,"")))</f>
        <v/>
      </c>
      <c r="U118" s="15">
        <f>IF(OR(U116="",T116=""),"",IF(T116&lt;=0,"",IFERROR(U116/T116-1,"")))</f>
        <v/>
      </c>
      <c r="V118" s="15">
        <f>IF(OR(V116="",U116=""),"",IF(U116&lt;=0,"",IFERROR(V116/U116-1,"")))</f>
        <v/>
      </c>
      <c r="W118" s="15">
        <f>IF(OR(W116="",V116=""),"",IF(V116&lt;=0,"",IFERROR(W116/V116-1,"")))</f>
        <v/>
      </c>
      <c r="X118" s="15">
        <f>IF(OR(X116="",W116=""),"",IF(W116&lt;=0,"",IFERROR(X116/W116-1,"")))</f>
        <v/>
      </c>
    </row>
    <row r="119">
      <c r="A119" s="18" t="inlineStr">
        <is>
          <t>이자수익</t>
        </is>
      </c>
      <c r="C119" s="20" t="n">
        <v>0</v>
      </c>
      <c r="D119" s="20" t="n">
        <v>0</v>
      </c>
      <c r="E119" s="20" t="n">
        <v>0</v>
      </c>
      <c r="F119" s="20" t="n">
        <v>0</v>
      </c>
      <c r="G119" s="20" t="n">
        <v>0</v>
      </c>
      <c r="H119" s="20" t="n">
        <v>0</v>
      </c>
      <c r="I119" s="20" t="n">
        <v>0</v>
      </c>
      <c r="J119" s="20" t="n">
        <v>2</v>
      </c>
      <c r="K119" s="20" t="n">
        <v>6</v>
      </c>
      <c r="L119" s="20" t="n">
        <v>1</v>
      </c>
      <c r="M119" s="20" t="n">
        <v>2</v>
      </c>
      <c r="N119" s="20" t="n">
        <v>3</v>
      </c>
      <c r="T119" s="20" t="n">
        <v>0</v>
      </c>
      <c r="U119" s="20" t="n">
        <v>0</v>
      </c>
      <c r="V119" s="20" t="n">
        <v>0</v>
      </c>
      <c r="W119" s="20" t="n">
        <v>0</v>
      </c>
      <c r="X119" s="20" t="n">
        <v>1</v>
      </c>
    </row>
    <row r="120">
      <c r="A120" s="18" t="inlineStr">
        <is>
          <t>임대료 수익</t>
        </is>
      </c>
      <c r="E120" s="20" t="n">
        <v>3</v>
      </c>
      <c r="I120" s="20" t="n">
        <v>7</v>
      </c>
      <c r="M120" s="20" t="n">
        <v>7</v>
      </c>
    </row>
    <row r="121">
      <c r="A121" s="18" t="inlineStr">
        <is>
          <t>보조금 수입</t>
        </is>
      </c>
      <c r="T121" s="20" t="n">
        <v>45</v>
      </c>
      <c r="U121" s="20" t="n">
        <v>6</v>
      </c>
    </row>
    <row r="122">
      <c r="A122" s="18" t="inlineStr">
        <is>
          <t>배당금수익</t>
        </is>
      </c>
      <c r="C122" s="20" t="n">
        <v>5</v>
      </c>
      <c r="D122" s="20" t="n">
        <v>43</v>
      </c>
      <c r="G122" s="20" t="n">
        <v>4</v>
      </c>
      <c r="H122" s="20" t="n">
        <v>52</v>
      </c>
      <c r="K122" s="20" t="n">
        <v>5</v>
      </c>
      <c r="L122" s="20" t="n">
        <v>58</v>
      </c>
      <c r="T122" s="20" t="n">
        <v>41</v>
      </c>
      <c r="U122" s="20" t="n">
        <v>41</v>
      </c>
      <c r="V122" s="20" t="n">
        <v>43</v>
      </c>
      <c r="W122" s="20" t="n">
        <v>52</v>
      </c>
      <c r="X122" s="20" t="n">
        <v>58</v>
      </c>
    </row>
    <row r="123">
      <c r="A123" s="18" t="inlineStr">
        <is>
          <t>외환차익</t>
        </is>
      </c>
      <c r="E123" s="20" t="n">
        <v>16</v>
      </c>
      <c r="F123" s="20" t="n">
        <v>12</v>
      </c>
      <c r="I123" s="20" t="n">
        <v>0</v>
      </c>
      <c r="J123" s="20" t="n">
        <v>0</v>
      </c>
    </row>
    <row r="124">
      <c r="A124" s="18" t="inlineStr">
        <is>
          <t>투자유가증권 매각이익</t>
        </is>
      </c>
      <c r="C124" s="20" t="n">
        <v>22</v>
      </c>
      <c r="D124" s="20" t="n">
        <v>28</v>
      </c>
      <c r="E124" s="20" t="n">
        <v>0</v>
      </c>
      <c r="F124" s="20" t="n">
        <v>0</v>
      </c>
      <c r="G124" s="20" t="n">
        <v>0</v>
      </c>
      <c r="H124" s="20" t="n">
        <v>144</v>
      </c>
      <c r="I124" s="20" t="n">
        <v>84</v>
      </c>
      <c r="J124" s="20" t="n">
        <v>95</v>
      </c>
      <c r="K124" s="20" t="n">
        <v>129</v>
      </c>
      <c r="L124" s="20" t="n">
        <v>136</v>
      </c>
      <c r="M124" s="20" t="n">
        <v>164</v>
      </c>
      <c r="N124" s="20" t="n">
        <v>84</v>
      </c>
      <c r="T124" s="20" t="n">
        <v>0</v>
      </c>
      <c r="U124" s="20" t="n">
        <v>0</v>
      </c>
      <c r="V124" s="20" t="n">
        <v>28</v>
      </c>
      <c r="W124" s="20" t="n">
        <v>144</v>
      </c>
      <c r="X124" s="20" t="n">
        <v>136</v>
      </c>
    </row>
    <row r="125">
      <c r="A125" s="18" t="inlineStr">
        <is>
          <t>고정자산 매각이익</t>
        </is>
      </c>
      <c r="C125" s="20" t="n">
        <v>0</v>
      </c>
      <c r="D125" s="20" t="n">
        <v>0</v>
      </c>
      <c r="E125" s="20" t="n">
        <v>218</v>
      </c>
      <c r="F125" s="20" t="n">
        <v>0</v>
      </c>
      <c r="G125" s="20" t="n">
        <v>85</v>
      </c>
      <c r="I125" s="20" t="n">
        <v>0</v>
      </c>
      <c r="J125" s="20" t="n">
        <v>0</v>
      </c>
      <c r="K125" s="20" t="n">
        <v>0</v>
      </c>
      <c r="U125" s="20" t="n">
        <v>0</v>
      </c>
      <c r="V125" s="20" t="n">
        <v>0</v>
      </c>
    </row>
    <row r="126">
      <c r="A126" s="18" t="inlineStr">
        <is>
          <t>기타</t>
        </is>
      </c>
      <c r="C126" s="20" t="n">
        <v>11</v>
      </c>
      <c r="D126" s="20" t="n">
        <v>-2</v>
      </c>
      <c r="E126" s="20" t="n">
        <v>12</v>
      </c>
      <c r="F126" s="20" t="n">
        <v>11</v>
      </c>
      <c r="G126" s="20" t="n">
        <v>17</v>
      </c>
      <c r="H126" s="20" t="n">
        <v>343</v>
      </c>
      <c r="I126" s="20" t="n">
        <v>12</v>
      </c>
      <c r="J126" s="20" t="n">
        <v>13</v>
      </c>
      <c r="K126" s="20" t="n">
        <v>12</v>
      </c>
      <c r="L126" s="20" t="n">
        <v>15</v>
      </c>
      <c r="M126" s="20" t="n">
        <v>20</v>
      </c>
      <c r="N126" s="20" t="n">
        <v>52</v>
      </c>
      <c r="T126" s="20" t="n">
        <v>-1</v>
      </c>
      <c r="U126" s="20" t="n">
        <v>-54</v>
      </c>
      <c r="V126" s="20" t="n">
        <v>-2</v>
      </c>
      <c r="W126" s="20" t="n">
        <v>343</v>
      </c>
      <c r="X126" s="20" t="n">
        <v>15</v>
      </c>
    </row>
    <row r="127">
      <c r="A127" s="18" t="inlineStr">
        <is>
          <t>영업외수익 합계</t>
        </is>
      </c>
      <c r="C127" s="20" t="n">
        <v>37</v>
      </c>
      <c r="D127" s="20" t="n">
        <v>86</v>
      </c>
      <c r="E127" s="20" t="n">
        <v>249</v>
      </c>
      <c r="F127" s="20" t="n">
        <v>72</v>
      </c>
      <c r="G127" s="20" t="n">
        <v>76</v>
      </c>
      <c r="H127" s="20" t="n">
        <v>259</v>
      </c>
      <c r="I127" s="20" t="n">
        <v>105</v>
      </c>
      <c r="J127" s="20" t="n">
        <v>154</v>
      </c>
      <c r="K127" s="20" t="n">
        <v>151</v>
      </c>
      <c r="L127" s="20" t="n">
        <v>241</v>
      </c>
      <c r="M127" s="20" t="n">
        <v>194</v>
      </c>
      <c r="N127" s="20" t="n">
        <v>205</v>
      </c>
      <c r="T127" s="20" t="n">
        <v>100</v>
      </c>
      <c r="U127" s="20" t="n">
        <v>45</v>
      </c>
      <c r="V127" s="20" t="n">
        <v>86</v>
      </c>
      <c r="W127" s="20" t="n">
        <v>259</v>
      </c>
      <c r="X127" s="20" t="n">
        <v>241</v>
      </c>
    </row>
    <row r="128">
      <c r="A128" s="43" t="inlineStr">
        <is>
          <t>YoY</t>
        </is>
      </c>
      <c r="B128" s="3" t="inlineStr">
        <is>
          <t>전년 같은 분기·전년 대비</t>
        </is>
      </c>
      <c r="G128" s="15">
        <f>IF(OR(G127="",C127=""),"",IF(G127*C127&lt;=0,"",IFERROR(G127/C127-1,"")))</f>
        <v/>
      </c>
      <c r="H128" s="15">
        <f>IF(OR(H127="",D127=""),"",IF(H127*D127&lt;=0,"",IFERROR(H127/D127-1,"")))</f>
        <v/>
      </c>
      <c r="I128" s="15">
        <f>IF(OR(I127="",E127=""),"",IF(I127*E127&lt;=0,"",IFERROR(I127/E127-1,"")))</f>
        <v/>
      </c>
      <c r="J128" s="15">
        <f>IF(OR(J127="",F127=""),"",IF(J127*F127&lt;=0,"",IFERROR(J127/F127-1,"")))</f>
        <v/>
      </c>
      <c r="K128" s="15">
        <f>IF(OR(K127="",G127=""),"",IF(K127*G127&lt;=0,"",IFERROR(K127/G127-1,"")))</f>
        <v/>
      </c>
      <c r="L128" s="15">
        <f>IF(OR(L127="",H127=""),"",IF(L127*H127&lt;=0,"",IFERROR(L127/H127-1,"")))</f>
        <v/>
      </c>
      <c r="M128" s="15">
        <f>IF(OR(M127="",I127=""),"",IF(M127*I127&lt;=0,"",IFERROR(M127/I127-1,"")))</f>
        <v/>
      </c>
      <c r="N128" s="15">
        <f>IF(OR(N127="",J127=""),"",IF(N127*J127&lt;=0,"",IFERROR(N127/J127-1,"")))</f>
        <v/>
      </c>
      <c r="T128" s="15">
        <f>IF(OR(T127="",S127=""),"",IF(T127*S127&lt;=0,"",IFERROR(T127/S127-1,"")))</f>
        <v/>
      </c>
      <c r="U128" s="15">
        <f>IF(OR(U127="",T127=""),"",IF(U127*T127&lt;=0,"",IFERROR(U127/T127-1,"")))</f>
        <v/>
      </c>
      <c r="V128" s="15">
        <f>IF(OR(V127="",U127=""),"",IF(V127*U127&lt;=0,"",IFERROR(V127/U127-1,"")))</f>
        <v/>
      </c>
      <c r="W128" s="15">
        <f>IF(OR(W127="",V127=""),"",IF(W127*V127&lt;=0,"",IFERROR(W127/V127-1,"")))</f>
        <v/>
      </c>
      <c r="X128" s="15">
        <f>IF(OR(X127="",W127=""),"",IF(X127*W127&lt;=0,"",IFERROR(X127/W127-1,"")))</f>
        <v/>
      </c>
    </row>
    <row r="129">
      <c r="A129" s="18" t="inlineStr">
        <is>
          <t>이자비용</t>
        </is>
      </c>
      <c r="C129" s="20" t="n">
        <v>9</v>
      </c>
      <c r="D129" s="20" t="n">
        <v>7</v>
      </c>
      <c r="E129" s="20" t="n">
        <v>6</v>
      </c>
      <c r="F129" s="20" t="n">
        <v>6</v>
      </c>
      <c r="G129" s="20" t="n">
        <v>4</v>
      </c>
      <c r="H129" s="20" t="n">
        <v>6</v>
      </c>
      <c r="I129" s="20" t="n">
        <v>9</v>
      </c>
      <c r="J129" s="20" t="n">
        <v>5</v>
      </c>
      <c r="K129" s="20" t="n">
        <v>4</v>
      </c>
      <c r="L129" s="20" t="n">
        <v>5</v>
      </c>
      <c r="M129" s="20" t="n">
        <v>9</v>
      </c>
      <c r="N129" s="20" t="n">
        <v>8</v>
      </c>
      <c r="T129" s="20" t="n">
        <v>7</v>
      </c>
      <c r="U129" s="20" t="n">
        <v>9</v>
      </c>
      <c r="V129" s="20" t="n">
        <v>7</v>
      </c>
      <c r="W129" s="20" t="n">
        <v>6</v>
      </c>
      <c r="X129" s="20" t="n">
        <v>5</v>
      </c>
    </row>
    <row r="130">
      <c r="A130" s="18" t="inlineStr">
        <is>
          <t>지급보증료</t>
        </is>
      </c>
      <c r="C130" s="20" t="n">
        <v>2</v>
      </c>
      <c r="D130" s="20" t="n">
        <v>3</v>
      </c>
      <c r="E130" s="20" t="n">
        <v>1</v>
      </c>
      <c r="F130" s="20" t="n">
        <v>2</v>
      </c>
      <c r="G130" s="20" t="n">
        <v>1</v>
      </c>
      <c r="H130" s="20" t="n">
        <v>3</v>
      </c>
      <c r="I130" s="20" t="n">
        <v>0</v>
      </c>
      <c r="T130" s="20" t="n">
        <v>2</v>
      </c>
      <c r="U130" s="20" t="n">
        <v>3</v>
      </c>
      <c r="V130" s="20" t="n">
        <v>3</v>
      </c>
      <c r="W130" s="20" t="n">
        <v>3</v>
      </c>
    </row>
    <row r="131">
      <c r="A131" s="18" t="inlineStr">
        <is>
          <t>외환차손</t>
        </is>
      </c>
      <c r="E131" s="20" t="n">
        <v>0</v>
      </c>
      <c r="F131" s="20" t="n">
        <v>0</v>
      </c>
      <c r="I131" s="20" t="n">
        <v>14</v>
      </c>
      <c r="J131" s="20" t="n">
        <v>2</v>
      </c>
      <c r="M131" s="20" t="n">
        <v>0</v>
      </c>
      <c r="N131" s="20" t="n">
        <v>0</v>
      </c>
    </row>
    <row r="132">
      <c r="A132" s="18" t="inlineStr">
        <is>
          <t>지급수수료</t>
        </is>
      </c>
      <c r="E132" s="20" t="n">
        <v>6</v>
      </c>
      <c r="I132" s="20" t="n">
        <v>0</v>
      </c>
    </row>
    <row r="133">
      <c r="A133" s="18" t="inlineStr">
        <is>
          <t>기타</t>
        </is>
      </c>
      <c r="C133" s="20" t="n">
        <v>3</v>
      </c>
      <c r="D133" s="20" t="n">
        <v>12</v>
      </c>
      <c r="E133" s="20" t="n">
        <v>8</v>
      </c>
      <c r="F133" s="20" t="n">
        <v>16</v>
      </c>
      <c r="G133" s="20" t="n">
        <v>12</v>
      </c>
      <c r="H133" s="20" t="n">
        <v>46</v>
      </c>
      <c r="I133" s="20" t="n">
        <v>21</v>
      </c>
      <c r="J133" s="20" t="n">
        <v>17</v>
      </c>
      <c r="K133" s="20" t="n">
        <v>9</v>
      </c>
      <c r="L133" s="20" t="n">
        <v>-2</v>
      </c>
      <c r="M133" s="20" t="n">
        <v>9</v>
      </c>
      <c r="N133" s="20" t="n">
        <v>10</v>
      </c>
      <c r="T133" s="20" t="n">
        <v>-1</v>
      </c>
      <c r="U133" s="20" t="n">
        <v>10</v>
      </c>
      <c r="V133" s="20" t="n">
        <v>12</v>
      </c>
      <c r="W133" s="20" t="n">
        <v>46</v>
      </c>
      <c r="X133" s="20" t="n">
        <v>-2</v>
      </c>
    </row>
    <row r="134">
      <c r="A134" s="18" t="inlineStr">
        <is>
          <t>영업외비용 합계</t>
        </is>
      </c>
      <c r="C134" s="20" t="n">
        <v>14</v>
      </c>
      <c r="D134" s="20" t="n">
        <v>21</v>
      </c>
      <c r="E134" s="20" t="n">
        <v>23</v>
      </c>
      <c r="F134" s="20" t="n">
        <v>14</v>
      </c>
      <c r="G134" s="20" t="n">
        <v>15</v>
      </c>
      <c r="H134" s="20" t="n">
        <v>261</v>
      </c>
      <c r="I134" s="20" t="n">
        <v>44</v>
      </c>
      <c r="J134" s="20" t="n">
        <v>25</v>
      </c>
      <c r="K134" s="20" t="n">
        <v>-3</v>
      </c>
      <c r="L134" s="20" t="n">
        <v>74</v>
      </c>
      <c r="M134" s="20" t="n">
        <v>19</v>
      </c>
      <c r="N134" s="20" t="n">
        <v>32</v>
      </c>
      <c r="T134" s="20" t="n">
        <v>14</v>
      </c>
      <c r="U134" s="20" t="n">
        <v>22</v>
      </c>
      <c r="V134" s="20" t="n">
        <v>21</v>
      </c>
      <c r="W134" s="20" t="n">
        <v>261</v>
      </c>
      <c r="X134" s="20" t="n">
        <v>74</v>
      </c>
    </row>
    <row r="135">
      <c r="A135" s="43" t="inlineStr">
        <is>
          <t>YoY</t>
        </is>
      </c>
      <c r="B135" s="3" t="inlineStr">
        <is>
          <t>전년 같은 분기·전년 대비</t>
        </is>
      </c>
      <c r="G135" s="15">
        <f>IF(OR(G134="",C134=""),"",IF(G134*C134&lt;=0,"",IFERROR(G134/C134-1,"")))</f>
        <v/>
      </c>
      <c r="H135" s="15">
        <f>IF(OR(H134="",D134=""),"",IF(H134*D134&lt;=0,"",IFERROR(H134/D134-1,"")))</f>
        <v/>
      </c>
      <c r="I135" s="15">
        <f>IF(OR(I134="",E134=""),"",IF(I134*E134&lt;=0,"",IFERROR(I134/E134-1,"")))</f>
        <v/>
      </c>
      <c r="J135" s="15">
        <f>IF(OR(J134="",F134=""),"",IF(J134*F134&lt;=0,"",IFERROR(J134/F134-1,"")))</f>
        <v/>
      </c>
      <c r="K135" s="15">
        <f>IF(OR(K134="",G134=""),"",IF(K134*G134&lt;=0,"",IFERROR(K134/G134-1,"")))</f>
        <v/>
      </c>
      <c r="L135" s="15">
        <f>IF(OR(L134="",H134=""),"",IF(L134*H134&lt;=0,"",IFERROR(L134/H134-1,"")))</f>
        <v/>
      </c>
      <c r="M135" s="15">
        <f>IF(OR(M134="",I134=""),"",IF(M134*I134&lt;=0,"",IFERROR(M134/I134-1,"")))</f>
        <v/>
      </c>
      <c r="N135" s="15">
        <f>IF(OR(N134="",J134=""),"",IF(N134*J134&lt;=0,"",IFERROR(N134/J134-1,"")))</f>
        <v/>
      </c>
      <c r="T135" s="15">
        <f>IF(OR(T134="",S134=""),"",IF(T134*S134&lt;=0,"",IFERROR(T134/S134-1,"")))</f>
        <v/>
      </c>
      <c r="U135" s="15">
        <f>IF(OR(U134="",T134=""),"",IF(U134*T134&lt;=0,"",IFERROR(U134/T134-1,"")))</f>
        <v/>
      </c>
      <c r="V135" s="15">
        <f>IF(OR(V134="",U134=""),"",IF(V134*U134&lt;=0,"",IFERROR(V134/U134-1,"")))</f>
        <v/>
      </c>
      <c r="W135" s="15">
        <f>IF(OR(W134="",V134=""),"",IF(W134*V134&lt;=0,"",IFERROR(W134/V134-1,"")))</f>
        <v/>
      </c>
      <c r="X135" s="15">
        <f>IF(OR(X134="",W134=""),"",IF(X134*W134&lt;=0,"",IFERROR(X134/W134-1,"")))</f>
        <v/>
      </c>
    </row>
    <row r="136">
      <c r="A136" s="9" t="inlineStr">
        <is>
          <t>경상이익</t>
        </is>
      </c>
      <c r="C136" s="12" t="n">
        <v>243</v>
      </c>
      <c r="D136" s="12" t="n">
        <v>625</v>
      </c>
      <c r="E136" s="12" t="n">
        <v>997</v>
      </c>
      <c r="F136" s="12" t="n">
        <v>300</v>
      </c>
      <c r="G136" s="12" t="n">
        <v>392</v>
      </c>
      <c r="H136" s="12" t="n">
        <v>670</v>
      </c>
      <c r="I136" s="12" t="n">
        <v>1162</v>
      </c>
      <c r="J136" s="12" t="n">
        <v>367</v>
      </c>
      <c r="K136" s="12" t="n">
        <v>609</v>
      </c>
      <c r="L136" s="12" t="n">
        <v>988</v>
      </c>
      <c r="M136" s="12" t="n">
        <v>1456</v>
      </c>
      <c r="N136" s="12" t="n">
        <v>572</v>
      </c>
      <c r="T136" s="12" t="n">
        <v>631</v>
      </c>
      <c r="U136" s="12" t="n">
        <v>650</v>
      </c>
      <c r="V136" s="12" t="n">
        <v>625</v>
      </c>
      <c r="W136" s="12" t="n">
        <v>670</v>
      </c>
      <c r="X136" s="12" t="n">
        <v>988</v>
      </c>
    </row>
    <row r="137">
      <c r="A137" s="43" t="inlineStr">
        <is>
          <t>YoY</t>
        </is>
      </c>
      <c r="B137" s="3" t="inlineStr">
        <is>
          <t>전년 같은 분기·전년 대비</t>
        </is>
      </c>
      <c r="G137" s="15">
        <f>IF(OR(G136="",C136=""),"",IF(C136&lt;=0,"",IFERROR(G136/C136-1,"")))</f>
        <v/>
      </c>
      <c r="H137" s="15">
        <f>IF(OR(H136="",D136=""),"",IF(D136&lt;=0,"",IFERROR(H136/D136-1,"")))</f>
        <v/>
      </c>
      <c r="I137" s="15">
        <f>IF(OR(I136="",E136=""),"",IF(E136&lt;=0,"",IFERROR(I136/E136-1,"")))</f>
        <v/>
      </c>
      <c r="J137" s="15">
        <f>IF(OR(J136="",F136=""),"",IF(F136&lt;=0,"",IFERROR(J136/F136-1,"")))</f>
        <v/>
      </c>
      <c r="K137" s="15">
        <f>IF(OR(K136="",G136=""),"",IF(G136&lt;=0,"",IFERROR(K136/G136-1,"")))</f>
        <v/>
      </c>
      <c r="L137" s="15">
        <f>IF(OR(L136="",H136=""),"",IF(H136&lt;=0,"",IFERROR(L136/H136-1,"")))</f>
        <v/>
      </c>
      <c r="M137" s="15">
        <f>IF(OR(M136="",I136=""),"",IF(I136&lt;=0,"",IFERROR(M136/I136-1,"")))</f>
        <v/>
      </c>
      <c r="N137" s="15">
        <f>IF(OR(N136="",J136=""),"",IF(J136&lt;=0,"",IFERROR(N136/J136-1,"")))</f>
        <v/>
      </c>
      <c r="T137" s="15">
        <f>IF(OR(T136="",S136=""),"",IF(S136&lt;=0,"",IFERROR(T136/S136-1,"")))</f>
        <v/>
      </c>
      <c r="U137" s="15">
        <f>IF(OR(U136="",T136=""),"",IF(T136&lt;=0,"",IFERROR(U136/T136-1,"")))</f>
        <v/>
      </c>
      <c r="V137" s="15">
        <f>IF(OR(V136="",U136=""),"",IF(U136&lt;=0,"",IFERROR(V136/U136-1,"")))</f>
        <v/>
      </c>
      <c r="W137" s="15">
        <f>IF(OR(W136="",V136=""),"",IF(V136&lt;=0,"",IFERROR(W136/V136-1,"")))</f>
        <v/>
      </c>
      <c r="X137" s="15">
        <f>IF(OR(X136="",W136=""),"",IF(W136&lt;=0,"",IFERROR(X136/W136-1,"")))</f>
        <v/>
      </c>
    </row>
    <row r="138">
      <c r="A138" s="9" t="inlineStr">
        <is>
          <t>법인세차감전 순이익</t>
        </is>
      </c>
      <c r="C138" s="12" t="n">
        <v>243</v>
      </c>
      <c r="D138" s="12" t="n">
        <v>625</v>
      </c>
      <c r="E138" s="12" t="n">
        <v>997</v>
      </c>
      <c r="F138" s="12" t="n">
        <v>300</v>
      </c>
      <c r="G138" s="12" t="n">
        <v>392</v>
      </c>
      <c r="H138" s="12" t="n">
        <v>670</v>
      </c>
      <c r="I138" s="12" t="n">
        <v>1162</v>
      </c>
      <c r="J138" s="12" t="n">
        <v>367</v>
      </c>
      <c r="K138" s="12" t="n">
        <v>609</v>
      </c>
      <c r="L138" s="12" t="n">
        <v>988</v>
      </c>
      <c r="M138" s="12" t="n">
        <v>1456</v>
      </c>
      <c r="N138" s="12" t="n">
        <v>572</v>
      </c>
      <c r="T138" s="12" t="n">
        <v>631</v>
      </c>
      <c r="U138" s="12" t="n">
        <v>650</v>
      </c>
      <c r="V138" s="12" t="n">
        <v>625</v>
      </c>
      <c r="W138" s="12" t="n">
        <v>670</v>
      </c>
      <c r="X138" s="12" t="n">
        <v>988</v>
      </c>
    </row>
    <row r="139">
      <c r="A139" s="43" t="inlineStr">
        <is>
          <t>YoY</t>
        </is>
      </c>
      <c r="B139" s="3" t="inlineStr">
        <is>
          <t>전년 같은 분기·전년 대비</t>
        </is>
      </c>
      <c r="G139" s="15">
        <f>IF(OR(G138="",C138=""),"",IF(C138&lt;=0,"",IFERROR(G138/C138-1,"")))</f>
        <v/>
      </c>
      <c r="H139" s="15">
        <f>IF(OR(H138="",D138=""),"",IF(D138&lt;=0,"",IFERROR(H138/D138-1,"")))</f>
        <v/>
      </c>
      <c r="I139" s="15">
        <f>IF(OR(I138="",E138=""),"",IF(E138&lt;=0,"",IFERROR(I138/E138-1,"")))</f>
        <v/>
      </c>
      <c r="J139" s="15">
        <f>IF(OR(J138="",F138=""),"",IF(F138&lt;=0,"",IFERROR(J138/F138-1,"")))</f>
        <v/>
      </c>
      <c r="K139" s="15">
        <f>IF(OR(K138="",G138=""),"",IF(G138&lt;=0,"",IFERROR(K138/G138-1,"")))</f>
        <v/>
      </c>
      <c r="L139" s="15">
        <f>IF(OR(L138="",H138=""),"",IF(H138&lt;=0,"",IFERROR(L138/H138-1,"")))</f>
        <v/>
      </c>
      <c r="M139" s="15">
        <f>IF(OR(M138="",I138=""),"",IF(I138&lt;=0,"",IFERROR(M138/I138-1,"")))</f>
        <v/>
      </c>
      <c r="N139" s="15">
        <f>IF(OR(N138="",J138=""),"",IF(J138&lt;=0,"",IFERROR(N138/J138-1,"")))</f>
        <v/>
      </c>
      <c r="T139" s="15">
        <f>IF(OR(T138="",S138=""),"",IF(S138&lt;=0,"",IFERROR(T138/S138-1,"")))</f>
        <v/>
      </c>
      <c r="U139" s="15">
        <f>IF(OR(U138="",T138=""),"",IF(T138&lt;=0,"",IFERROR(U138/T138-1,"")))</f>
        <v/>
      </c>
      <c r="V139" s="15">
        <f>IF(OR(V138="",U138=""),"",IF(U138&lt;=0,"",IFERROR(V138/U138-1,"")))</f>
        <v/>
      </c>
      <c r="W139" s="15">
        <f>IF(OR(W138="",V138=""),"",IF(V138&lt;=0,"",IFERROR(W138/V138-1,"")))</f>
        <v/>
      </c>
      <c r="X139" s="15">
        <f>IF(OR(X138="",W138=""),"",IF(W138&lt;=0,"",IFERROR(X138/W138-1,"")))</f>
        <v/>
      </c>
    </row>
    <row r="140">
      <c r="A140" s="18" t="inlineStr">
        <is>
          <t>법인세·주민세·사업세</t>
        </is>
      </c>
      <c r="C140" s="20" t="n">
        <v>210</v>
      </c>
      <c r="D140" s="20" t="n">
        <v>177</v>
      </c>
      <c r="E140" s="20" t="n">
        <v>175</v>
      </c>
      <c r="F140" s="20" t="n">
        <v>140</v>
      </c>
      <c r="G140" s="20" t="n">
        <v>277</v>
      </c>
      <c r="H140" s="20" t="n">
        <v>213</v>
      </c>
      <c r="I140" s="20" t="n">
        <v>365</v>
      </c>
      <c r="J140" s="20" t="n">
        <v>168</v>
      </c>
      <c r="K140" s="20" t="n">
        <v>346</v>
      </c>
      <c r="L140" s="20" t="n">
        <v>341</v>
      </c>
      <c r="M140" s="20" t="n">
        <v>277</v>
      </c>
      <c r="N140" s="20" t="n">
        <v>207</v>
      </c>
      <c r="T140" s="20" t="n">
        <v>175</v>
      </c>
      <c r="U140" s="20" t="n">
        <v>185</v>
      </c>
      <c r="V140" s="20" t="n">
        <v>177</v>
      </c>
      <c r="W140" s="20" t="n">
        <v>213</v>
      </c>
      <c r="X140" s="20" t="n">
        <v>341</v>
      </c>
    </row>
    <row r="141">
      <c r="A141" s="18" t="inlineStr">
        <is>
          <t>법인세 조정액</t>
        </is>
      </c>
      <c r="C141" s="20" t="n">
        <v>-130</v>
      </c>
      <c r="D141" s="20" t="n">
        <v>27</v>
      </c>
      <c r="E141" s="20" t="n">
        <v>147</v>
      </c>
      <c r="F141" s="20" t="n">
        <v>-11</v>
      </c>
      <c r="G141" s="20" t="n">
        <v>-121</v>
      </c>
      <c r="H141" s="20" t="n">
        <v>2</v>
      </c>
      <c r="I141" s="20" t="n">
        <v>50</v>
      </c>
      <c r="J141" s="20" t="n">
        <v>-32</v>
      </c>
      <c r="K141" s="20" t="n">
        <v>-130</v>
      </c>
      <c r="L141" s="20" t="n">
        <v>-18</v>
      </c>
      <c r="M141" s="20" t="n">
        <v>122</v>
      </c>
      <c r="N141" s="20" t="n">
        <v>-36</v>
      </c>
      <c r="T141" s="20" t="n">
        <v>-37</v>
      </c>
      <c r="U141" s="20" t="n">
        <v>-19</v>
      </c>
      <c r="V141" s="20" t="n">
        <v>27</v>
      </c>
      <c r="W141" s="20" t="n">
        <v>2</v>
      </c>
      <c r="X141" s="20" t="n">
        <v>-18</v>
      </c>
    </row>
    <row r="142">
      <c r="A142" s="18" t="inlineStr">
        <is>
          <t>법인세 등 합계</t>
        </is>
      </c>
      <c r="C142" s="20" t="n">
        <v>79</v>
      </c>
      <c r="D142" s="20" t="n">
        <v>204</v>
      </c>
      <c r="E142" s="20" t="n">
        <v>323</v>
      </c>
      <c r="F142" s="20" t="n">
        <v>129</v>
      </c>
      <c r="G142" s="20" t="n">
        <v>155</v>
      </c>
      <c r="H142" s="20" t="n">
        <v>215</v>
      </c>
      <c r="I142" s="20" t="n">
        <v>415</v>
      </c>
      <c r="J142" s="20" t="n">
        <v>137</v>
      </c>
      <c r="K142" s="20" t="n">
        <v>215</v>
      </c>
      <c r="L142" s="20" t="n">
        <v>322</v>
      </c>
      <c r="M142" s="20" t="n">
        <v>399</v>
      </c>
      <c r="N142" s="20" t="n">
        <v>171</v>
      </c>
      <c r="T142" s="20" t="n">
        <v>138</v>
      </c>
      <c r="U142" s="20" t="n">
        <v>166</v>
      </c>
      <c r="V142" s="20" t="n">
        <v>204</v>
      </c>
      <c r="W142" s="20" t="n">
        <v>215</v>
      </c>
      <c r="X142" s="20" t="n">
        <v>322</v>
      </c>
    </row>
    <row r="143">
      <c r="A143" s="43" t="inlineStr">
        <is>
          <t>YoY</t>
        </is>
      </c>
      <c r="B143" s="3" t="inlineStr">
        <is>
          <t>전년 같은 분기·전년 대비</t>
        </is>
      </c>
      <c r="G143" s="15">
        <f>IF(OR(G142="",C142=""),"",IF(G142*C142&lt;=0,"",IFERROR(G142/C142-1,"")))</f>
        <v/>
      </c>
      <c r="H143" s="15">
        <f>IF(OR(H142="",D142=""),"",IF(H142*D142&lt;=0,"",IFERROR(H142/D142-1,"")))</f>
        <v/>
      </c>
      <c r="I143" s="15">
        <f>IF(OR(I142="",E142=""),"",IF(I142*E142&lt;=0,"",IFERROR(I142/E142-1,"")))</f>
        <v/>
      </c>
      <c r="J143" s="15">
        <f>IF(OR(J142="",F142=""),"",IF(J142*F142&lt;=0,"",IFERROR(J142/F142-1,"")))</f>
        <v/>
      </c>
      <c r="K143" s="15">
        <f>IF(OR(K142="",G142=""),"",IF(K142*G142&lt;=0,"",IFERROR(K142/G142-1,"")))</f>
        <v/>
      </c>
      <c r="L143" s="15">
        <f>IF(OR(L142="",H142=""),"",IF(L142*H142&lt;=0,"",IFERROR(L142/H142-1,"")))</f>
        <v/>
      </c>
      <c r="M143" s="15">
        <f>IF(OR(M142="",I142=""),"",IF(M142*I142&lt;=0,"",IFERROR(M142/I142-1,"")))</f>
        <v/>
      </c>
      <c r="N143" s="15">
        <f>IF(OR(N142="",J142=""),"",IF(N142*J142&lt;=0,"",IFERROR(N142/J142-1,"")))</f>
        <v/>
      </c>
      <c r="T143" s="15">
        <f>IF(OR(T142="",S142=""),"",IF(T142*S142&lt;=0,"",IFERROR(T142/S142-1,"")))</f>
        <v/>
      </c>
      <c r="U143" s="15">
        <f>IF(OR(U142="",T142=""),"",IF(U142*T142&lt;=0,"",IFERROR(U142/T142-1,"")))</f>
        <v/>
      </c>
      <c r="V143" s="15">
        <f>IF(OR(V142="",U142=""),"",IF(V142*U142&lt;=0,"",IFERROR(V142/U142-1,"")))</f>
        <v/>
      </c>
      <c r="W143" s="15">
        <f>IF(OR(W142="",V142=""),"",IF(W142*V142&lt;=0,"",IFERROR(W142/V142-1,"")))</f>
        <v/>
      </c>
      <c r="X143" s="15">
        <f>IF(OR(X142="",W142=""),"",IF(X142*W142&lt;=0,"",IFERROR(X142/W142-1,"")))</f>
        <v/>
      </c>
    </row>
    <row r="144">
      <c r="A144" s="9" t="inlineStr">
        <is>
          <t>순이익</t>
        </is>
      </c>
      <c r="C144" s="12" t="n">
        <v>164</v>
      </c>
      <c r="D144" s="12" t="n">
        <v>420</v>
      </c>
      <c r="E144" s="12" t="n">
        <v>674</v>
      </c>
      <c r="F144" s="12" t="n">
        <v>170</v>
      </c>
      <c r="G144" s="12" t="n">
        <v>237</v>
      </c>
      <c r="H144" s="12" t="n">
        <v>455</v>
      </c>
      <c r="I144" s="12" t="n">
        <v>746</v>
      </c>
      <c r="J144" s="12" t="n">
        <v>230</v>
      </c>
      <c r="K144" s="12" t="n">
        <v>394</v>
      </c>
      <c r="L144" s="12" t="n">
        <v>666</v>
      </c>
      <c r="M144" s="12" t="n">
        <v>1057</v>
      </c>
      <c r="N144" s="12" t="n">
        <v>401</v>
      </c>
      <c r="T144" s="12" t="n">
        <v>493</v>
      </c>
      <c r="U144" s="12" t="n">
        <v>483</v>
      </c>
      <c r="V144" s="12" t="n">
        <v>420</v>
      </c>
      <c r="W144" s="12" t="n">
        <v>455</v>
      </c>
      <c r="X144" s="12" t="n">
        <v>666</v>
      </c>
    </row>
    <row r="145">
      <c r="A145" s="43" t="inlineStr">
        <is>
          <t>YoY</t>
        </is>
      </c>
      <c r="B145" s="3" t="inlineStr">
        <is>
          <t>전년 같은 분기·전년 대비</t>
        </is>
      </c>
      <c r="G145" s="15">
        <f>IF(OR(G144="",C144=""),"",IF(C144&lt;=0,"",IFERROR(G144/C144-1,"")))</f>
        <v/>
      </c>
      <c r="H145" s="15">
        <f>IF(OR(H144="",D144=""),"",IF(D144&lt;=0,"",IFERROR(H144/D144-1,"")))</f>
        <v/>
      </c>
      <c r="I145" s="15">
        <f>IF(OR(I144="",E144=""),"",IF(E144&lt;=0,"",IFERROR(I144/E144-1,"")))</f>
        <v/>
      </c>
      <c r="J145" s="15">
        <f>IF(OR(J144="",F144=""),"",IF(F144&lt;=0,"",IFERROR(J144/F144-1,"")))</f>
        <v/>
      </c>
      <c r="K145" s="15">
        <f>IF(OR(K144="",G144=""),"",IF(G144&lt;=0,"",IFERROR(K144/G144-1,"")))</f>
        <v/>
      </c>
      <c r="L145" s="15">
        <f>IF(OR(L144="",H144=""),"",IF(H144&lt;=0,"",IFERROR(L144/H144-1,"")))</f>
        <v/>
      </c>
      <c r="M145" s="15">
        <f>IF(OR(M144="",I144=""),"",IF(I144&lt;=0,"",IFERROR(M144/I144-1,"")))</f>
        <v/>
      </c>
      <c r="N145" s="15">
        <f>IF(OR(N144="",J144=""),"",IF(J144&lt;=0,"",IFERROR(N144/J144-1,"")))</f>
        <v/>
      </c>
      <c r="T145" s="15">
        <f>IF(OR(T144="",S144=""),"",IF(S144&lt;=0,"",IFERROR(T144/S144-1,"")))</f>
        <v/>
      </c>
      <c r="U145" s="15">
        <f>IF(OR(U144="",T144=""),"",IF(T144&lt;=0,"",IFERROR(U144/T144-1,"")))</f>
        <v/>
      </c>
      <c r="V145" s="15">
        <f>IF(OR(V144="",U144=""),"",IF(U144&lt;=0,"",IFERROR(V144/U144-1,"")))</f>
        <v/>
      </c>
      <c r="W145" s="15">
        <f>IF(OR(W144="",V144=""),"",IF(V144&lt;=0,"",IFERROR(W144/V144-1,"")))</f>
        <v/>
      </c>
      <c r="X145" s="15">
        <f>IF(OR(X144="",W144=""),"",IF(W144&lt;=0,"",IFERROR(X144/W144-1,"")))</f>
        <v/>
      </c>
    </row>
    <row r="146">
      <c r="A146" s="9" t="inlineStr">
        <is>
          <t>지배주주 순이익</t>
        </is>
      </c>
      <c r="C146" s="12" t="n">
        <v>164</v>
      </c>
      <c r="D146" s="12" t="n">
        <v>420</v>
      </c>
      <c r="E146" s="12" t="n">
        <v>674</v>
      </c>
      <c r="F146" s="12" t="n">
        <v>170</v>
      </c>
      <c r="G146" s="12" t="n">
        <v>237</v>
      </c>
      <c r="H146" s="12" t="n">
        <v>455</v>
      </c>
      <c r="I146" s="12" t="n">
        <v>746</v>
      </c>
      <c r="J146" s="12" t="n">
        <v>230</v>
      </c>
      <c r="K146" s="12" t="n">
        <v>394</v>
      </c>
      <c r="L146" s="12" t="n">
        <v>666</v>
      </c>
      <c r="M146" s="12" t="n">
        <v>1057</v>
      </c>
      <c r="N146" s="12" t="n">
        <v>401</v>
      </c>
      <c r="T146" s="12" t="n">
        <v>493</v>
      </c>
      <c r="U146" s="12" t="n">
        <v>483</v>
      </c>
      <c r="V146" s="12" t="n">
        <v>420</v>
      </c>
      <c r="W146" s="12" t="n">
        <v>455</v>
      </c>
      <c r="X146" s="12" t="n">
        <v>666</v>
      </c>
    </row>
    <row r="147">
      <c r="A147" s="43" t="inlineStr">
        <is>
          <t>YoY</t>
        </is>
      </c>
      <c r="B147" s="3" t="inlineStr">
        <is>
          <t>전년 같은 분기·전년 대비</t>
        </is>
      </c>
      <c r="G147" s="15">
        <f>IF(OR(G146="",C146=""),"",IF(C146&lt;=0,"",IFERROR(G146/C146-1,"")))</f>
        <v/>
      </c>
      <c r="H147" s="15">
        <f>IF(OR(H146="",D146=""),"",IF(D146&lt;=0,"",IFERROR(H146/D146-1,"")))</f>
        <v/>
      </c>
      <c r="I147" s="15">
        <f>IF(OR(I146="",E146=""),"",IF(E146&lt;=0,"",IFERROR(I146/E146-1,"")))</f>
        <v/>
      </c>
      <c r="J147" s="15">
        <f>IF(OR(J146="",F146=""),"",IF(F146&lt;=0,"",IFERROR(J146/F146-1,"")))</f>
        <v/>
      </c>
      <c r="K147" s="15">
        <f>IF(OR(K146="",G146=""),"",IF(G146&lt;=0,"",IFERROR(K146/G146-1,"")))</f>
        <v/>
      </c>
      <c r="L147" s="15">
        <f>IF(OR(L146="",H146=""),"",IF(H146&lt;=0,"",IFERROR(L146/H146-1,"")))</f>
        <v/>
      </c>
      <c r="M147" s="15">
        <f>IF(OR(M146="",I146=""),"",IF(I146&lt;=0,"",IFERROR(M146/I146-1,"")))</f>
        <v/>
      </c>
      <c r="N147" s="15">
        <f>IF(OR(N146="",J146=""),"",IF(J146&lt;=0,"",IFERROR(N146/J146-1,"")))</f>
        <v/>
      </c>
      <c r="T147" s="15">
        <f>IF(OR(T146="",S146=""),"",IF(S146&lt;=0,"",IFERROR(T146/S146-1,"")))</f>
        <v/>
      </c>
      <c r="U147" s="15">
        <f>IF(OR(U146="",T146=""),"",IF(T146&lt;=0,"",IFERROR(U146/T146-1,"")))</f>
        <v/>
      </c>
      <c r="V147" s="15">
        <f>IF(OR(V146="",U146=""),"",IF(U146&lt;=0,"",IFERROR(V146/U146-1,"")))</f>
        <v/>
      </c>
      <c r="W147" s="15">
        <f>IF(OR(W146="",V146=""),"",IF(V146&lt;=0,"",IFERROR(W146/V146-1,"")))</f>
        <v/>
      </c>
      <c r="X147" s="15">
        <f>IF(OR(X146="",W146=""),"",IF(W146&lt;=0,"",IFERROR(X146/W146-1,"")))</f>
        <v/>
      </c>
    </row>
    <row r="149">
      <c r="A149" s="16" t="inlineStr">
        <is>
          <t>포괄손익 · 전 항목</t>
        </is>
      </c>
      <c r="B149" s="42" t="inlineStr">
        <is>
          <t>분기 = 3개월 단독</t>
        </is>
      </c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  <c r="AA149" s="16" t="n"/>
      <c r="AB149" s="16" t="n"/>
      <c r="AC149" s="16" t="n"/>
    </row>
    <row r="150">
      <c r="A150" s="5" t="inlineStr">
        <is>
          <t>항목</t>
        </is>
      </c>
      <c r="B150" s="5" t="inlineStr">
        <is>
          <t>참고</t>
        </is>
      </c>
      <c r="C150" s="5" t="inlineStr">
        <is>
          <t>2023.3Q</t>
        </is>
      </c>
      <c r="D150" s="5" t="inlineStr">
        <is>
          <t>2023.4Q</t>
        </is>
      </c>
      <c r="E150" s="5" t="inlineStr">
        <is>
          <t>2024.1Q</t>
        </is>
      </c>
      <c r="F150" s="5" t="inlineStr">
        <is>
          <t>2024.2Q</t>
        </is>
      </c>
      <c r="G150" s="5" t="inlineStr">
        <is>
          <t>2024.3Q</t>
        </is>
      </c>
      <c r="H150" s="5" t="inlineStr">
        <is>
          <t>2024.4Q</t>
        </is>
      </c>
      <c r="I150" s="5" t="inlineStr">
        <is>
          <t>2025.1Q</t>
        </is>
      </c>
      <c r="J150" s="5" t="inlineStr">
        <is>
          <t>2025.2Q</t>
        </is>
      </c>
      <c r="K150" s="5" t="inlineStr">
        <is>
          <t>2025.3Q</t>
        </is>
      </c>
      <c r="L150" s="5" t="inlineStr">
        <is>
          <t>2025.4Q</t>
        </is>
      </c>
      <c r="M150" s="5" t="inlineStr">
        <is>
          <t>2026.1Q</t>
        </is>
      </c>
      <c r="N150" s="5" t="inlineStr">
        <is>
          <t>2026.2Q</t>
        </is>
      </c>
      <c r="O150" s="5" t="inlineStr">
        <is>
          <t>2016</t>
        </is>
      </c>
      <c r="P150" s="5" t="inlineStr">
        <is>
          <t>2017</t>
        </is>
      </c>
      <c r="Q150" s="5" t="inlineStr">
        <is>
          <t>2018</t>
        </is>
      </c>
      <c r="R150" s="5" t="inlineStr">
        <is>
          <t>2019</t>
        </is>
      </c>
      <c r="S150" s="5" t="inlineStr">
        <is>
          <t>2020</t>
        </is>
      </c>
      <c r="T150" s="5" t="inlineStr">
        <is>
          <t>2021</t>
        </is>
      </c>
      <c r="U150" s="5" t="inlineStr">
        <is>
          <t>2022</t>
        </is>
      </c>
      <c r="V150" s="5" t="inlineStr">
        <is>
          <t>2023</t>
        </is>
      </c>
      <c r="W150" s="5" t="inlineStr">
        <is>
          <t>2024</t>
        </is>
      </c>
      <c r="X150" s="5" t="inlineStr">
        <is>
          <t>2025</t>
        </is>
      </c>
      <c r="Y150" s="5" t="inlineStr">
        <is>
          <t>2026(MW)</t>
        </is>
      </c>
      <c r="Z150" s="5" t="inlineStr">
        <is>
          <t>2027(MW)</t>
        </is>
      </c>
      <c r="AA150" s="5" t="inlineStr">
        <is>
          <t>2028(MW)</t>
        </is>
      </c>
      <c r="AB150" s="5" t="inlineStr">
        <is>
          <t>2029(MW)</t>
        </is>
      </c>
      <c r="AC150" s="5" t="inlineStr">
        <is>
          <t>2030(MW)</t>
        </is>
      </c>
    </row>
    <row r="151">
      <c r="A151" s="9" t="inlineStr">
        <is>
          <t>순이익</t>
        </is>
      </c>
      <c r="C151" s="12" t="n">
        <v>164</v>
      </c>
      <c r="D151" s="12" t="n">
        <v>420</v>
      </c>
      <c r="E151" s="12" t="n">
        <v>674</v>
      </c>
      <c r="F151" s="12" t="n">
        <v>170</v>
      </c>
      <c r="G151" s="12" t="n">
        <v>237</v>
      </c>
      <c r="H151" s="12" t="n">
        <v>455</v>
      </c>
      <c r="I151" s="12" t="n">
        <v>746</v>
      </c>
      <c r="J151" s="12" t="n">
        <v>230</v>
      </c>
      <c r="K151" s="12" t="n">
        <v>394</v>
      </c>
      <c r="L151" s="12" t="n">
        <v>666</v>
      </c>
      <c r="M151" s="12" t="n">
        <v>1057</v>
      </c>
      <c r="N151" s="12" t="n">
        <v>401</v>
      </c>
      <c r="T151" s="12" t="n">
        <v>493</v>
      </c>
      <c r="U151" s="12" t="n">
        <v>483</v>
      </c>
      <c r="V151" s="12" t="n">
        <v>420</v>
      </c>
      <c r="W151" s="12" t="n">
        <v>455</v>
      </c>
      <c r="X151" s="12" t="n">
        <v>666</v>
      </c>
    </row>
    <row r="152">
      <c r="A152" s="18" t="inlineStr">
        <is>
          <t>기타유가증권 평가차액</t>
        </is>
      </c>
      <c r="C152" s="20" t="n">
        <v>335</v>
      </c>
      <c r="D152" s="20" t="n">
        <v>122</v>
      </c>
      <c r="E152" s="20" t="n">
        <v>572</v>
      </c>
      <c r="F152" s="20" t="n">
        <v>-95</v>
      </c>
      <c r="G152" s="20" t="n">
        <v>232</v>
      </c>
      <c r="H152" s="20" t="n">
        <v>-689</v>
      </c>
      <c r="I152" s="20" t="n">
        <v>-204</v>
      </c>
      <c r="J152" s="20" t="n">
        <v>318</v>
      </c>
      <c r="K152" s="20" t="n">
        <v>396</v>
      </c>
      <c r="L152" s="20" t="n">
        <v>219</v>
      </c>
      <c r="M152" s="20" t="n">
        <v>466</v>
      </c>
      <c r="N152" s="20" t="n">
        <v>-78</v>
      </c>
      <c r="T152" s="20" t="n">
        <v>-108</v>
      </c>
      <c r="U152" s="20" t="n">
        <v>210</v>
      </c>
      <c r="V152" s="20" t="n">
        <v>122</v>
      </c>
      <c r="W152" s="20" t="n">
        <v>-689</v>
      </c>
      <c r="X152" s="20" t="n">
        <v>219</v>
      </c>
    </row>
    <row r="153">
      <c r="A153" s="18" t="inlineStr">
        <is>
          <t>해외사업환산조정</t>
        </is>
      </c>
      <c r="C153" s="20" t="n">
        <v>-1</v>
      </c>
      <c r="D153" s="20" t="n">
        <v>-3</v>
      </c>
      <c r="E153" s="20" t="n">
        <v>-2</v>
      </c>
      <c r="F153" s="20" t="n">
        <v>9</v>
      </c>
      <c r="G153" s="20" t="n">
        <v>-1</v>
      </c>
      <c r="H153" s="20" t="n">
        <v>1</v>
      </c>
      <c r="I153" s="20" t="n">
        <v>2</v>
      </c>
      <c r="J153" s="20" t="n">
        <v>7</v>
      </c>
      <c r="K153" s="20" t="n">
        <v>-3</v>
      </c>
      <c r="L153" s="20" t="n">
        <v>-3</v>
      </c>
      <c r="M153" s="20" t="n">
        <v>-9</v>
      </c>
      <c r="N153" s="20" t="n">
        <v>-9</v>
      </c>
      <c r="T153" s="20" t="n">
        <v>6</v>
      </c>
      <c r="U153" s="20" t="n">
        <v>2</v>
      </c>
      <c r="V153" s="20" t="n">
        <v>-3</v>
      </c>
      <c r="W153" s="20" t="n">
        <v>1</v>
      </c>
      <c r="X153" s="20" t="n">
        <v>-3</v>
      </c>
    </row>
    <row r="154">
      <c r="A154" s="18" t="inlineStr">
        <is>
          <t>퇴직급여 조정액</t>
        </is>
      </c>
      <c r="C154" s="20" t="n">
        <v>4</v>
      </c>
      <c r="D154" s="20" t="n">
        <v>31</v>
      </c>
      <c r="E154" s="20" t="n">
        <v>1</v>
      </c>
      <c r="F154" s="20" t="n">
        <v>45</v>
      </c>
      <c r="G154" s="20" t="n">
        <v>-41</v>
      </c>
      <c r="H154" s="20" t="n">
        <v>94</v>
      </c>
      <c r="I154" s="20" t="n">
        <v>3</v>
      </c>
      <c r="J154" s="20" t="n">
        <v>-3</v>
      </c>
      <c r="K154" s="20" t="n">
        <v>0</v>
      </c>
      <c r="L154" s="20" t="n">
        <v>9</v>
      </c>
      <c r="M154" s="20" t="n">
        <v>-0</v>
      </c>
      <c r="N154" s="20" t="n">
        <v>0</v>
      </c>
      <c r="T154" s="20" t="n">
        <v>3</v>
      </c>
      <c r="U154" s="20" t="n">
        <v>10</v>
      </c>
      <c r="V154" s="20" t="n">
        <v>31</v>
      </c>
      <c r="W154" s="20" t="n">
        <v>94</v>
      </c>
      <c r="X154" s="20" t="n">
        <v>9</v>
      </c>
    </row>
    <row r="155">
      <c r="A155" s="18" t="inlineStr">
        <is>
          <t>기타포괄손익 합계</t>
        </is>
      </c>
      <c r="C155" s="20" t="n">
        <v>338</v>
      </c>
      <c r="D155" s="20" t="n">
        <v>150</v>
      </c>
      <c r="E155" s="20" t="n">
        <v>570</v>
      </c>
      <c r="F155" s="20" t="n">
        <v>-39</v>
      </c>
      <c r="G155" s="20" t="n">
        <v>190</v>
      </c>
      <c r="H155" s="20" t="n">
        <v>-593</v>
      </c>
      <c r="I155" s="20" t="n">
        <v>-198</v>
      </c>
      <c r="J155" s="20" t="n">
        <v>322</v>
      </c>
      <c r="K155" s="20" t="n">
        <v>393</v>
      </c>
      <c r="L155" s="20" t="n">
        <v>225</v>
      </c>
      <c r="M155" s="20" t="n">
        <v>457</v>
      </c>
      <c r="N155" s="20" t="n">
        <v>-88</v>
      </c>
      <c r="T155" s="20" t="n">
        <v>-101</v>
      </c>
      <c r="U155" s="20" t="n">
        <v>223</v>
      </c>
      <c r="V155" s="20" t="n">
        <v>150</v>
      </c>
      <c r="W155" s="20" t="n">
        <v>-593</v>
      </c>
      <c r="X155" s="20" t="n">
        <v>225</v>
      </c>
    </row>
    <row r="156">
      <c r="A156" s="9" t="inlineStr">
        <is>
          <t>포괄이익</t>
        </is>
      </c>
      <c r="C156" s="12" t="n">
        <v>502</v>
      </c>
      <c r="D156" s="12" t="n">
        <v>569</v>
      </c>
      <c r="E156" s="12" t="n">
        <v>1244</v>
      </c>
      <c r="F156" s="12" t="n">
        <v>132</v>
      </c>
      <c r="G156" s="12" t="n">
        <v>427</v>
      </c>
      <c r="H156" s="12" t="n">
        <v>-139</v>
      </c>
      <c r="I156" s="12" t="n">
        <v>547</v>
      </c>
      <c r="J156" s="12" t="n">
        <v>553</v>
      </c>
      <c r="K156" s="12" t="n">
        <v>788</v>
      </c>
      <c r="L156" s="12" t="n">
        <v>890</v>
      </c>
      <c r="M156" s="12" t="n">
        <v>1514</v>
      </c>
      <c r="N156" s="12" t="n">
        <v>313</v>
      </c>
      <c r="T156" s="12" t="n">
        <v>392</v>
      </c>
      <c r="U156" s="12" t="n">
        <v>706</v>
      </c>
      <c r="V156" s="12" t="n">
        <v>569</v>
      </c>
      <c r="W156" s="12" t="n">
        <v>-139</v>
      </c>
      <c r="X156" s="12" t="n">
        <v>890</v>
      </c>
    </row>
    <row r="157">
      <c r="A157" s="9" t="inlineStr">
        <is>
          <t>지배주주 포괄이익</t>
        </is>
      </c>
      <c r="C157" s="12" t="n">
        <v>502</v>
      </c>
      <c r="D157" s="12" t="n">
        <v>569</v>
      </c>
      <c r="E157" s="12" t="n">
        <v>1244</v>
      </c>
      <c r="F157" s="12" t="n">
        <v>132</v>
      </c>
      <c r="G157" s="12" t="n">
        <v>427</v>
      </c>
      <c r="H157" s="12" t="n">
        <v>-139</v>
      </c>
      <c r="I157" s="12" t="n">
        <v>547</v>
      </c>
      <c r="J157" s="12" t="n">
        <v>553</v>
      </c>
      <c r="K157" s="12" t="n">
        <v>788</v>
      </c>
      <c r="L157" s="12" t="n">
        <v>890</v>
      </c>
      <c r="M157" s="12" t="n">
        <v>1514</v>
      </c>
      <c r="N157" s="12" t="n">
        <v>313</v>
      </c>
      <c r="T157" s="12" t="n">
        <v>392</v>
      </c>
      <c r="U157" s="12" t="n">
        <v>706</v>
      </c>
      <c r="V157" s="12" t="n">
        <v>569</v>
      </c>
      <c r="W157" s="12" t="n">
        <v>-139</v>
      </c>
      <c r="X157" s="12" t="n">
        <v>890</v>
      </c>
    </row>
    <row r="159">
      <c r="A159" s="16" t="inlineStr">
        <is>
          <t>부문 · 전 항목</t>
        </is>
      </c>
      <c r="B159" s="42" t="inlineStr">
        <is>
          <t>부문 · 항목</t>
        </is>
      </c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  <c r="AA159" s="16" t="n"/>
      <c r="AB159" s="16" t="n"/>
      <c r="AC159" s="16" t="n"/>
    </row>
    <row r="160">
      <c r="A160" s="5" t="inlineStr">
        <is>
          <t>항목</t>
        </is>
      </c>
      <c r="B160" s="5" t="inlineStr">
        <is>
          <t>참고</t>
        </is>
      </c>
      <c r="C160" s="5" t="inlineStr">
        <is>
          <t>2023.3Q</t>
        </is>
      </c>
      <c r="D160" s="5" t="inlineStr">
        <is>
          <t>2023.4Q</t>
        </is>
      </c>
      <c r="E160" s="5" t="inlineStr">
        <is>
          <t>2024.1Q</t>
        </is>
      </c>
      <c r="F160" s="5" t="inlineStr">
        <is>
          <t>2024.2Q</t>
        </is>
      </c>
      <c r="G160" s="5" t="inlineStr">
        <is>
          <t>2024.3Q</t>
        </is>
      </c>
      <c r="H160" s="5" t="inlineStr">
        <is>
          <t>2024.4Q</t>
        </is>
      </c>
      <c r="I160" s="5" t="inlineStr">
        <is>
          <t>2025.1Q</t>
        </is>
      </c>
      <c r="J160" s="5" t="inlineStr">
        <is>
          <t>2025.2Q</t>
        </is>
      </c>
      <c r="K160" s="5" t="inlineStr">
        <is>
          <t>2025.3Q</t>
        </is>
      </c>
      <c r="L160" s="5" t="inlineStr">
        <is>
          <t>2025.4Q</t>
        </is>
      </c>
      <c r="M160" s="5" t="inlineStr">
        <is>
          <t>2026.1Q</t>
        </is>
      </c>
      <c r="N160" s="5" t="inlineStr">
        <is>
          <t>2026.2Q</t>
        </is>
      </c>
      <c r="O160" s="5" t="inlineStr">
        <is>
          <t>2016</t>
        </is>
      </c>
      <c r="P160" s="5" t="inlineStr">
        <is>
          <t>2017</t>
        </is>
      </c>
      <c r="Q160" s="5" t="inlineStr">
        <is>
          <t>2018</t>
        </is>
      </c>
      <c r="R160" s="5" t="inlineStr">
        <is>
          <t>2019</t>
        </is>
      </c>
      <c r="S160" s="5" t="inlineStr">
        <is>
          <t>2020</t>
        </is>
      </c>
      <c r="T160" s="5" t="inlineStr">
        <is>
          <t>2021</t>
        </is>
      </c>
      <c r="U160" s="5" t="inlineStr">
        <is>
          <t>2022</t>
        </is>
      </c>
      <c r="V160" s="5" t="inlineStr">
        <is>
          <t>2023</t>
        </is>
      </c>
      <c r="W160" s="5" t="inlineStr">
        <is>
          <t>2024</t>
        </is>
      </c>
      <c r="X160" s="5" t="inlineStr">
        <is>
          <t>2025</t>
        </is>
      </c>
      <c r="Y160" s="5" t="inlineStr">
        <is>
          <t>2026(MW)</t>
        </is>
      </c>
      <c r="Z160" s="5" t="inlineStr">
        <is>
          <t>2027(MW)</t>
        </is>
      </c>
      <c r="AA160" s="5" t="inlineStr">
        <is>
          <t>2028(MW)</t>
        </is>
      </c>
      <c r="AB160" s="5" t="inlineStr">
        <is>
          <t>2029(MW)</t>
        </is>
      </c>
      <c r="AC160" s="5" t="inlineStr">
        <is>
          <t>2030(MW)</t>
        </is>
      </c>
    </row>
    <row r="161">
      <c r="A161" s="18" t="inlineStr">
        <is>
          <t>ElectricSystemReportableSegmentsMember · 외부 고객 매출</t>
        </is>
      </c>
      <c r="C161" s="20" t="n">
        <v>1573</v>
      </c>
      <c r="G161" s="20" t="n">
        <v>1549</v>
      </c>
      <c r="K161" s="20" t="n">
        <v>1811</v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G162" s="15">
        <f>IF(OR(G161="",C161=""),"",IF(C161&lt;=0,"",IFERROR(G161/C161-1,"")))</f>
        <v/>
      </c>
      <c r="K162" s="15">
        <f>IF(OR(K161="",G161=""),"",IF(G161&lt;=0,"",IFERROR(K161/G161-1,"")))</f>
        <v/>
      </c>
    </row>
    <row r="163">
      <c r="A163" s="18" t="inlineStr">
        <is>
          <t>EcologicalEnergySystemReportableSegmentsMember · 외부 고객 매출</t>
        </is>
      </c>
      <c r="C163" s="20" t="n">
        <v>2496</v>
      </c>
      <c r="G163" s="20" t="n">
        <v>2853</v>
      </c>
      <c r="K163" s="20" t="n">
        <v>2565</v>
      </c>
    </row>
    <row r="164">
      <c r="A164" s="43" t="inlineStr">
        <is>
          <t>YoY</t>
        </is>
      </c>
      <c r="B164" s="3" t="inlineStr">
        <is>
          <t>전년 같은 분기·전년 대비</t>
        </is>
      </c>
      <c r="G164" s="15">
        <f>IF(OR(G163="",C163=""),"",IF(C163&lt;=0,"",IFERROR(G163/C163-1,"")))</f>
        <v/>
      </c>
      <c r="K164" s="15">
        <f>IF(OR(K163="",G163=""),"",IF(G163&lt;=0,"",IFERROR(K163/G163-1,"")))</f>
        <v/>
      </c>
    </row>
    <row r="165">
      <c r="A165" s="18" t="inlineStr">
        <is>
          <t>InformationSystemReportableSegmentsMember · 외부 고객 매출</t>
        </is>
      </c>
      <c r="C165" s="20" t="n">
        <v>344</v>
      </c>
      <c r="G165" s="20" t="n">
        <v>428</v>
      </c>
      <c r="K165" s="20" t="n">
        <v>407</v>
      </c>
    </row>
    <row r="166">
      <c r="A166" s="43" t="inlineStr">
        <is>
          <t>YoY</t>
        </is>
      </c>
      <c r="B166" s="3" t="inlineStr">
        <is>
          <t>전년 같은 분기·전년 대비</t>
        </is>
      </c>
      <c r="G166" s="15">
        <f>IF(OR(G165="",C165=""),"",IF(C165&lt;=0,"",IFERROR(G165/C165-1,"")))</f>
        <v/>
      </c>
      <c r="K166" s="15">
        <f>IF(OR(K165="",G165=""),"",IF(G165&lt;=0,"",IFERROR(K165/G165-1,"")))</f>
        <v/>
      </c>
    </row>
    <row r="167">
      <c r="A167" s="18" t="inlineStr">
        <is>
          <t>ServicesAndEngineeringBusinessUnitReportableSegmentMember · 외부 고객 매출</t>
        </is>
      </c>
      <c r="C167" s="20" t="n">
        <v>1162</v>
      </c>
      <c r="E167" s="20" t="n">
        <v>1336</v>
      </c>
      <c r="F167" s="20" t="n">
        <v>956</v>
      </c>
      <c r="G167" s="20" t="n">
        <v>680</v>
      </c>
      <c r="H167" s="20" t="n">
        <v>1981</v>
      </c>
      <c r="I167" s="20" t="n">
        <v>1394</v>
      </c>
      <c r="J167" s="20" t="n">
        <v>705</v>
      </c>
      <c r="K167" s="20" t="n">
        <v>961</v>
      </c>
      <c r="L167" s="20" t="n">
        <v>3081</v>
      </c>
      <c r="M167" s="20" t="n">
        <v>2138</v>
      </c>
      <c r="N167" s="20" t="n">
        <v>1995</v>
      </c>
      <c r="W167" s="20" t="n">
        <v>1981</v>
      </c>
      <c r="X167" s="20" t="n">
        <v>3081</v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G168" s="15">
        <f>IF(OR(G167="",C167=""),"",IF(C167&lt;=0,"",IFERROR(G167/C167-1,"")))</f>
        <v/>
      </c>
      <c r="H168" s="15">
        <f>IF(OR(H167="",D167=""),"",IF(D167&lt;=0,"",IFERROR(H167/D167-1,"")))</f>
        <v/>
      </c>
      <c r="I168" s="15">
        <f>IF(OR(I167="",E167=""),"",IF(E167&lt;=0,"",IFERROR(I167/E167-1,"")))</f>
        <v/>
      </c>
      <c r="J168" s="15">
        <f>IF(OR(J167="",F167=""),"",IF(F167&lt;=0,"",IFERROR(J167/F167-1,"")))</f>
        <v/>
      </c>
      <c r="K168" s="15">
        <f>IF(OR(K167="",G167=""),"",IF(G167&lt;=0,"",IFERROR(K167/G167-1,"")))</f>
        <v/>
      </c>
      <c r="L168" s="15">
        <f>IF(OR(L167="",H167=""),"",IF(H167&lt;=0,"",IFERROR(L167/H167-1,"")))</f>
        <v/>
      </c>
      <c r="M168" s="15">
        <f>IF(OR(M167="",I167=""),"",IF(I167&lt;=0,"",IFERROR(M167/I167-1,"")))</f>
        <v/>
      </c>
      <c r="N168" s="15">
        <f>IF(OR(N167="",J167=""),"",IF(J167&lt;=0,"",IFERROR(N167/J167-1,"")))</f>
        <v/>
      </c>
      <c r="W168" s="15">
        <f>IF(OR(W167="",V167=""),"",IF(V167&lt;=0,"",IFERROR(W167/V167-1,"")))</f>
        <v/>
      </c>
      <c r="X168" s="15">
        <f>IF(OR(X167="",W167=""),"",IF(W167&lt;=0,"",IFERROR(X167/W167-1,"")))</f>
        <v/>
      </c>
    </row>
    <row r="169">
      <c r="A169" s="18" t="inlineStr">
        <is>
          <t>보고부문 합계 · 외부 고객 매출</t>
        </is>
      </c>
      <c r="C169" s="20" t="n">
        <v>5575</v>
      </c>
      <c r="E169" s="20" t="n">
        <v>7172</v>
      </c>
      <c r="F169" s="20" t="n">
        <v>5762</v>
      </c>
      <c r="G169" s="20" t="n">
        <v>5508</v>
      </c>
      <c r="H169" s="20" t="n">
        <v>8243</v>
      </c>
      <c r="I169" s="20" t="n">
        <v>7839</v>
      </c>
      <c r="J169" s="20" t="n">
        <v>5391</v>
      </c>
      <c r="K169" s="20" t="n">
        <v>5744</v>
      </c>
      <c r="L169" s="20" t="n">
        <v>9979</v>
      </c>
      <c r="M169" s="20" t="n">
        <v>8942</v>
      </c>
      <c r="N169" s="20" t="n">
        <v>6932</v>
      </c>
      <c r="W169" s="20" t="n">
        <v>8243</v>
      </c>
      <c r="X169" s="20" t="n">
        <v>9979</v>
      </c>
    </row>
    <row r="170">
      <c r="A170" s="43" t="inlineStr">
        <is>
          <t>YoY</t>
        </is>
      </c>
      <c r="B170" s="3" t="inlineStr">
        <is>
          <t>전년 같은 분기·전년 대비</t>
        </is>
      </c>
      <c r="G170" s="15">
        <f>IF(OR(G169="",C169=""),"",IF(C169&lt;=0,"",IFERROR(G169/C169-1,"")))</f>
        <v/>
      </c>
      <c r="H170" s="15">
        <f>IF(OR(H169="",D169=""),"",IF(D169&lt;=0,"",IFERROR(H169/D169-1,"")))</f>
        <v/>
      </c>
      <c r="I170" s="15">
        <f>IF(OR(I169="",E169=""),"",IF(E169&lt;=0,"",IFERROR(I169/E169-1,"")))</f>
        <v/>
      </c>
      <c r="J170" s="15">
        <f>IF(OR(J169="",F169=""),"",IF(F169&lt;=0,"",IFERROR(J169/F169-1,"")))</f>
        <v/>
      </c>
      <c r="K170" s="15">
        <f>IF(OR(K169="",G169=""),"",IF(G169&lt;=0,"",IFERROR(K169/G169-1,"")))</f>
        <v/>
      </c>
      <c r="L170" s="15">
        <f>IF(OR(L169="",H169=""),"",IF(H169&lt;=0,"",IFERROR(L169/H169-1,"")))</f>
        <v/>
      </c>
      <c r="M170" s="15">
        <f>IF(OR(M169="",I169=""),"",IF(I169&lt;=0,"",IFERROR(M169/I169-1,"")))</f>
        <v/>
      </c>
      <c r="N170" s="15">
        <f>IF(OR(N169="",J169=""),"",IF(J169&lt;=0,"",IFERROR(N169/J169-1,"")))</f>
        <v/>
      </c>
      <c r="W170" s="15">
        <f>IF(OR(W169="",V169=""),"",IF(V169&lt;=0,"",IFERROR(W169/V169-1,"")))</f>
        <v/>
      </c>
      <c r="X170" s="15">
        <f>IF(OR(X169="",W169=""),"",IF(W169&lt;=0,"",IFERROR(X169/W169-1,"")))</f>
        <v/>
      </c>
    </row>
    <row r="171">
      <c r="A171" s="18" t="inlineStr">
        <is>
          <t>기타 · 외부 고객 매출</t>
        </is>
      </c>
      <c r="C171" s="20" t="n">
        <v>472</v>
      </c>
      <c r="E171" s="20" t="n">
        <v>664</v>
      </c>
      <c r="F171" s="20" t="n">
        <v>639</v>
      </c>
      <c r="G171" s="20" t="n">
        <v>521</v>
      </c>
      <c r="H171" s="20" t="n">
        <v>589</v>
      </c>
      <c r="I171" s="20" t="n">
        <v>665</v>
      </c>
      <c r="J171" s="20" t="n">
        <v>520</v>
      </c>
      <c r="K171" s="20" t="n">
        <v>644</v>
      </c>
      <c r="L171" s="20" t="n">
        <v>597</v>
      </c>
      <c r="M171" s="20" t="n">
        <v>631</v>
      </c>
      <c r="N171" s="20" t="n">
        <v>599</v>
      </c>
      <c r="W171" s="20" t="n">
        <v>589</v>
      </c>
      <c r="X171" s="20" t="n">
        <v>597</v>
      </c>
    </row>
    <row r="172">
      <c r="A172" s="43" t="inlineStr">
        <is>
          <t>YoY</t>
        </is>
      </c>
      <c r="B172" s="3" t="inlineStr">
        <is>
          <t>전년 같은 분기·전년 대비</t>
        </is>
      </c>
      <c r="G172" s="15">
        <f>IF(OR(G171="",C171=""),"",IF(C171&lt;=0,"",IFERROR(G171/C171-1,"")))</f>
        <v/>
      </c>
      <c r="H172" s="15">
        <f>IF(OR(H171="",D171=""),"",IF(D171&lt;=0,"",IFERROR(H171/D171-1,"")))</f>
        <v/>
      </c>
      <c r="I172" s="15">
        <f>IF(OR(I171="",E171=""),"",IF(E171&lt;=0,"",IFERROR(I171/E171-1,"")))</f>
        <v/>
      </c>
      <c r="J172" s="15">
        <f>IF(OR(J171="",F171=""),"",IF(F171&lt;=0,"",IFERROR(J171/F171-1,"")))</f>
        <v/>
      </c>
      <c r="K172" s="15">
        <f>IF(OR(K171="",G171=""),"",IF(G171&lt;=0,"",IFERROR(K171/G171-1,"")))</f>
        <v/>
      </c>
      <c r="L172" s="15">
        <f>IF(OR(L171="",H171=""),"",IF(H171&lt;=0,"",IFERROR(L171/H171-1,"")))</f>
        <v/>
      </c>
      <c r="M172" s="15">
        <f>IF(OR(M171="",I171=""),"",IF(I171&lt;=0,"",IFERROR(M171/I171-1,"")))</f>
        <v/>
      </c>
      <c r="N172" s="15">
        <f>IF(OR(N171="",J171=""),"",IF(J171&lt;=0,"",IFERROR(N171/J171-1,"")))</f>
        <v/>
      </c>
      <c r="W172" s="15">
        <f>IF(OR(W171="",V171=""),"",IF(V171&lt;=0,"",IFERROR(W171/V171-1,"")))</f>
        <v/>
      </c>
      <c r="X172" s="15">
        <f>IF(OR(X171="",W171=""),"",IF(W171&lt;=0,"",IFERROR(X171/W171-1,"")))</f>
        <v/>
      </c>
    </row>
    <row r="173">
      <c r="A173" s="18" t="inlineStr">
        <is>
          <t>합계 · 외부 고객 매출</t>
        </is>
      </c>
      <c r="C173" s="20" t="n">
        <v>6047</v>
      </c>
      <c r="E173" s="20" t="n">
        <v>7836</v>
      </c>
      <c r="F173" s="20" t="n">
        <v>6401</v>
      </c>
      <c r="G173" s="20" t="n">
        <v>6029</v>
      </c>
      <c r="H173" s="20" t="n">
        <v>8833</v>
      </c>
      <c r="I173" s="20" t="n">
        <v>8504</v>
      </c>
      <c r="J173" s="20" t="n">
        <v>5911</v>
      </c>
      <c r="K173" s="20" t="n">
        <v>6388</v>
      </c>
      <c r="L173" s="20" t="n">
        <v>10577</v>
      </c>
      <c r="M173" s="20" t="n">
        <v>9574</v>
      </c>
      <c r="N173" s="20" t="n">
        <v>7530</v>
      </c>
      <c r="W173" s="20" t="n">
        <v>8833</v>
      </c>
      <c r="X173" s="20" t="n">
        <v>10577</v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G174" s="15">
        <f>IF(OR(G173="",C173=""),"",IF(C173&lt;=0,"",IFERROR(G173/C173-1,"")))</f>
        <v/>
      </c>
      <c r="H174" s="15">
        <f>IF(OR(H173="",D173=""),"",IF(D173&lt;=0,"",IFERROR(H173/D173-1,"")))</f>
        <v/>
      </c>
      <c r="I174" s="15">
        <f>IF(OR(I173="",E173=""),"",IF(E173&lt;=0,"",IFERROR(I173/E173-1,"")))</f>
        <v/>
      </c>
      <c r="J174" s="15">
        <f>IF(OR(J173="",F173=""),"",IF(F173&lt;=0,"",IFERROR(J173/F173-1,"")))</f>
        <v/>
      </c>
      <c r="K174" s="15">
        <f>IF(OR(K173="",G173=""),"",IF(G173&lt;=0,"",IFERROR(K173/G173-1,"")))</f>
        <v/>
      </c>
      <c r="L174" s="15">
        <f>IF(OR(L173="",H173=""),"",IF(H173&lt;=0,"",IFERROR(L173/H173-1,"")))</f>
        <v/>
      </c>
      <c r="M174" s="15">
        <f>IF(OR(M173="",I173=""),"",IF(I173&lt;=0,"",IFERROR(M173/I173-1,"")))</f>
        <v/>
      </c>
      <c r="N174" s="15">
        <f>IF(OR(N173="",J173=""),"",IF(J173&lt;=0,"",IFERROR(N173/J173-1,"")))</f>
        <v/>
      </c>
      <c r="W174" s="15">
        <f>IF(OR(W173="",V173=""),"",IF(V173&lt;=0,"",IFERROR(W173/V173-1,"")))</f>
        <v/>
      </c>
      <c r="X174" s="15">
        <f>IF(OR(X173="",W173=""),"",IF(W173&lt;=0,"",IFERROR(X173/W173-1,"")))</f>
        <v/>
      </c>
    </row>
    <row r="175">
      <c r="A175" s="18" t="inlineStr">
        <is>
          <t>조정액 · 외부 고객 매출</t>
        </is>
      </c>
      <c r="C175" s="20" t="n">
        <v>0</v>
      </c>
      <c r="E175" s="20" t="n">
        <v>0</v>
      </c>
      <c r="F175" s="20" t="n">
        <v>0</v>
      </c>
      <c r="G175" s="20" t="n">
        <v>0</v>
      </c>
      <c r="H175" s="20" t="n">
        <v>0</v>
      </c>
      <c r="I175" s="20" t="n">
        <v>0</v>
      </c>
      <c r="J175" s="20" t="n">
        <v>0</v>
      </c>
      <c r="K175" s="20" t="n">
        <v>0</v>
      </c>
      <c r="L175" s="20" t="n">
        <v>0</v>
      </c>
      <c r="M175" s="20" t="n">
        <v>0</v>
      </c>
      <c r="N175" s="20" t="n">
        <v>0</v>
      </c>
      <c r="W175" s="20" t="n">
        <v>0</v>
      </c>
      <c r="X175" s="20" t="n">
        <v>0</v>
      </c>
    </row>
    <row r="176">
      <c r="A176" s="18" t="inlineStr">
        <is>
          <t>EntityTotalMember · 외부 고객 매출</t>
        </is>
      </c>
      <c r="I176" s="20" t="n">
        <v>8504</v>
      </c>
      <c r="M176" s="20" t="n">
        <v>9574</v>
      </c>
    </row>
    <row r="177">
      <c r="A177" s="18" t="inlineStr">
        <is>
          <t>PowerSystemsBusinessUnitReportableSegmentsMember · 부문 간 내부매출·대체</t>
        </is>
      </c>
      <c r="E177" s="20" t="n">
        <v>0</v>
      </c>
      <c r="I177" s="20" t="n">
        <v>0</v>
      </c>
      <c r="M177" s="20" t="n">
        <v>0</v>
      </c>
    </row>
    <row r="178">
      <c r="A178" s="18" t="inlineStr">
        <is>
          <t>EnvironmentalEnergyAndControlSystemsBusinessUnitReportableSegmentsMember · 부문 간 내부매출·대체</t>
        </is>
      </c>
      <c r="E178" s="20" t="n">
        <v>5</v>
      </c>
      <c r="I178" s="20" t="n">
        <v>5</v>
      </c>
      <c r="M178" s="20" t="n">
        <v>8</v>
      </c>
    </row>
    <row r="179">
      <c r="A179" s="18" t="inlineStr">
        <is>
          <t>ITSystemSolutionsBusinessUnitReportableSegmentsMember · 부문 간 내부매출·대체</t>
        </is>
      </c>
      <c r="E179" s="20" t="n">
        <v>143</v>
      </c>
      <c r="I179" s="20" t="n">
        <v>121</v>
      </c>
      <c r="M179" s="20" t="n">
        <v>110</v>
      </c>
    </row>
    <row r="180">
      <c r="A180" s="9" t="inlineStr">
        <is>
          <t>외부 고객 매출</t>
        </is>
      </c>
      <c r="C180" s="12" t="n">
        <v>6047</v>
      </c>
      <c r="E180" s="12" t="n">
        <v>7836</v>
      </c>
      <c r="F180" s="12" t="n">
        <v>6401</v>
      </c>
      <c r="G180" s="12" t="n">
        <v>6029</v>
      </c>
      <c r="H180" s="12" t="n">
        <v>8833</v>
      </c>
      <c r="I180" s="12" t="n">
        <v>8504</v>
      </c>
      <c r="J180" s="12" t="n">
        <v>5911</v>
      </c>
      <c r="K180" s="12" t="n">
        <v>6388</v>
      </c>
      <c r="L180" s="12" t="n">
        <v>10577</v>
      </c>
      <c r="W180" s="12" t="n">
        <v>8833</v>
      </c>
      <c r="X180" s="12" t="n">
        <v>10577</v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IF(OR(G180="",C180=""),"",IF(C180&lt;=0,"",IFERROR(G180/C180-1,"")))</f>
        <v/>
      </c>
      <c r="H181" s="15">
        <f>IF(OR(H180="",D180=""),"",IF(D180&lt;=0,"",IFERROR(H180/D180-1,"")))</f>
        <v/>
      </c>
      <c r="I181" s="15">
        <f>IF(OR(I180="",E180=""),"",IF(E180&lt;=0,"",IFERROR(I180/E180-1,"")))</f>
        <v/>
      </c>
      <c r="J181" s="15">
        <f>IF(OR(J180="",F180=""),"",IF(F180&lt;=0,"",IFERROR(J180/F180-1,"")))</f>
        <v/>
      </c>
      <c r="K181" s="15">
        <f>IF(OR(K180="",G180=""),"",IF(G180&lt;=0,"",IFERROR(K180/G180-1,"")))</f>
        <v/>
      </c>
      <c r="L181" s="15">
        <f>IF(OR(L180="",H180=""),"",IF(H180&lt;=0,"",IFERROR(L180/H180-1,"")))</f>
        <v/>
      </c>
      <c r="W181" s="15">
        <f>IF(OR(W180="",V180=""),"",IF(V180&lt;=0,"",IFERROR(W180/V180-1,"")))</f>
        <v/>
      </c>
      <c r="X181" s="15">
        <f>IF(OR(X180="",W180=""),"",IF(W180&lt;=0,"",IFERROR(X180/W180-1,"")))</f>
        <v/>
      </c>
    </row>
    <row r="182">
      <c r="A182" s="18" t="inlineStr">
        <is>
          <t>ElectricSystemReportableSegmentsMember · 부문 간 내부매출·대체</t>
        </is>
      </c>
      <c r="C182" s="20" t="n">
        <v>0</v>
      </c>
      <c r="G182" s="20" t="n">
        <v>0</v>
      </c>
      <c r="K182" s="20" t="n">
        <v>1</v>
      </c>
    </row>
    <row r="183">
      <c r="A183" s="18" t="inlineStr">
        <is>
          <t>EcologicalEnergySystemReportableSegmentsMember · 부문 간 내부매출·대체</t>
        </is>
      </c>
      <c r="C183" s="20" t="n">
        <v>8</v>
      </c>
      <c r="G183" s="20" t="n">
        <v>33</v>
      </c>
      <c r="K183" s="20" t="n">
        <v>3</v>
      </c>
    </row>
    <row r="184">
      <c r="A184" s="18" t="inlineStr">
        <is>
          <t>InformationSystemReportableSegmentsMember · 부문 간 내부매출·대체</t>
        </is>
      </c>
      <c r="C184" s="20" t="n">
        <v>76</v>
      </c>
      <c r="G184" s="20" t="n">
        <v>91</v>
      </c>
      <c r="K184" s="20" t="n">
        <v>85</v>
      </c>
    </row>
    <row r="185">
      <c r="A185" s="18" t="inlineStr">
        <is>
          <t>ServicesAndEngineeringBusinessUnitReportableSegmentMember · 부문 간 내부매출·대체</t>
        </is>
      </c>
      <c r="C185" s="20" t="n">
        <v>138</v>
      </c>
      <c r="E185" s="20" t="n">
        <v>121</v>
      </c>
      <c r="F185" s="20" t="n">
        <v>139</v>
      </c>
      <c r="G185" s="20" t="n">
        <v>189</v>
      </c>
      <c r="H185" s="20" t="n">
        <v>193</v>
      </c>
      <c r="I185" s="20" t="n">
        <v>156</v>
      </c>
      <c r="J185" s="20" t="n">
        <v>128</v>
      </c>
      <c r="K185" s="20" t="n">
        <v>259</v>
      </c>
      <c r="L185" s="20" t="n">
        <v>184</v>
      </c>
      <c r="M185" s="20" t="n">
        <v>121</v>
      </c>
      <c r="N185" s="20" t="n">
        <v>97</v>
      </c>
      <c r="W185" s="20" t="n">
        <v>193</v>
      </c>
      <c r="X185" s="20" t="n">
        <v>184</v>
      </c>
    </row>
    <row r="186">
      <c r="A186" s="18" t="inlineStr">
        <is>
          <t>보고부문 합계 · 부문 간 내부매출·대체</t>
        </is>
      </c>
      <c r="C186" s="20" t="n">
        <v>223</v>
      </c>
      <c r="E186" s="20" t="n">
        <v>270</v>
      </c>
      <c r="F186" s="20" t="n">
        <v>246</v>
      </c>
      <c r="G186" s="20" t="n">
        <v>314</v>
      </c>
      <c r="H186" s="20" t="n">
        <v>385</v>
      </c>
      <c r="I186" s="20" t="n">
        <v>282</v>
      </c>
      <c r="J186" s="20" t="n">
        <v>261</v>
      </c>
      <c r="K186" s="20" t="n">
        <v>349</v>
      </c>
      <c r="L186" s="20" t="n">
        <v>341</v>
      </c>
      <c r="M186" s="20" t="n">
        <v>239</v>
      </c>
      <c r="N186" s="20" t="n">
        <v>226</v>
      </c>
      <c r="W186" s="20" t="n">
        <v>385</v>
      </c>
      <c r="X186" s="20" t="n">
        <v>341</v>
      </c>
    </row>
    <row r="187">
      <c r="A187" s="18" t="inlineStr">
        <is>
          <t>기타 · 부문 간 내부매출·대체</t>
        </is>
      </c>
      <c r="C187" s="20" t="n">
        <v>91</v>
      </c>
      <c r="E187" s="20" t="n">
        <v>168</v>
      </c>
      <c r="F187" s="20" t="n">
        <v>142</v>
      </c>
      <c r="G187" s="20" t="n">
        <v>113</v>
      </c>
      <c r="H187" s="20" t="n">
        <v>103</v>
      </c>
      <c r="I187" s="20" t="n">
        <v>105</v>
      </c>
      <c r="J187" s="20" t="n">
        <v>94</v>
      </c>
      <c r="K187" s="20" t="n">
        <v>84</v>
      </c>
      <c r="L187" s="20" t="n">
        <v>130</v>
      </c>
      <c r="M187" s="20" t="n">
        <v>74</v>
      </c>
      <c r="N187" s="20" t="n">
        <v>63</v>
      </c>
      <c r="W187" s="20" t="n">
        <v>103</v>
      </c>
      <c r="X187" s="20" t="n">
        <v>130</v>
      </c>
    </row>
    <row r="188">
      <c r="A188" s="18" t="inlineStr">
        <is>
          <t>합계 · 부문 간 내부매출·대체</t>
        </is>
      </c>
      <c r="C188" s="20" t="n">
        <v>313</v>
      </c>
      <c r="E188" s="20" t="n">
        <v>439</v>
      </c>
      <c r="F188" s="20" t="n">
        <v>387</v>
      </c>
      <c r="G188" s="20" t="n">
        <v>427</v>
      </c>
      <c r="H188" s="20" t="n">
        <v>489</v>
      </c>
      <c r="I188" s="20" t="n">
        <v>388</v>
      </c>
      <c r="J188" s="20" t="n">
        <v>354</v>
      </c>
      <c r="K188" s="20" t="n">
        <v>433</v>
      </c>
      <c r="L188" s="20" t="n">
        <v>472</v>
      </c>
      <c r="M188" s="20" t="n">
        <v>314</v>
      </c>
      <c r="N188" s="20" t="n">
        <v>289</v>
      </c>
      <c r="W188" s="20" t="n">
        <v>489</v>
      </c>
      <c r="X188" s="20" t="n">
        <v>472</v>
      </c>
    </row>
    <row r="189">
      <c r="A189" s="18" t="inlineStr">
        <is>
          <t>조정액 · 부문 간 내부매출·대체</t>
        </is>
      </c>
      <c r="C189" s="20" t="n">
        <v>-313</v>
      </c>
      <c r="E189" s="20" t="n">
        <v>-439</v>
      </c>
      <c r="F189" s="20" t="n">
        <v>-387</v>
      </c>
      <c r="G189" s="20" t="n">
        <v>-427</v>
      </c>
      <c r="H189" s="20" t="n">
        <v>-489</v>
      </c>
      <c r="I189" s="20" t="n">
        <v>-388</v>
      </c>
      <c r="J189" s="20" t="n">
        <v>-354</v>
      </c>
      <c r="K189" s="20" t="n">
        <v>-433</v>
      </c>
      <c r="L189" s="20" t="n">
        <v>-472</v>
      </c>
      <c r="M189" s="20" t="n">
        <v>-314</v>
      </c>
      <c r="N189" s="20" t="n">
        <v>-289</v>
      </c>
      <c r="W189" s="20" t="n">
        <v>-489</v>
      </c>
      <c r="X189" s="20" t="n">
        <v>-472</v>
      </c>
    </row>
    <row r="190">
      <c r="A190" s="18" t="inlineStr">
        <is>
          <t>EntityTotalMember · 부문 간 내부매출·대체</t>
        </is>
      </c>
      <c r="I190" s="20" t="n">
        <v>0</v>
      </c>
      <c r="M190" s="20" t="n">
        <v>0</v>
      </c>
    </row>
    <row r="191">
      <c r="A191" s="18" t="inlineStr">
        <is>
          <t>PowerSystemsBusinessUnitReportableSegmentsMember · 계</t>
        </is>
      </c>
      <c r="E191" s="20" t="n">
        <v>2460</v>
      </c>
      <c r="I191" s="20" t="n">
        <v>2502</v>
      </c>
      <c r="M191" s="20" t="n">
        <v>2434</v>
      </c>
    </row>
    <row r="192">
      <c r="A192" s="43" t="inlineStr">
        <is>
          <t>YoY</t>
        </is>
      </c>
      <c r="B192" s="3" t="inlineStr">
        <is>
          <t>전년 같은 분기·전년 대비</t>
        </is>
      </c>
      <c r="I192" s="15">
        <f>IF(OR(I191="",E191=""),"",IF(E191&lt;=0,"",IFERROR(I191/E191-1,"")))</f>
        <v/>
      </c>
      <c r="M192" s="15">
        <f>IF(OR(M191="",I191=""),"",IF(I191&lt;=0,"",IFERROR(M191/I191-1,"")))</f>
        <v/>
      </c>
    </row>
    <row r="193">
      <c r="A193" s="18" t="inlineStr">
        <is>
          <t>EnvironmentalEnergyAndControlSystemsBusinessUnitReportableSegmentsMember · 계</t>
        </is>
      </c>
      <c r="E193" s="20" t="n">
        <v>2950</v>
      </c>
      <c r="I193" s="20" t="n">
        <v>3561</v>
      </c>
      <c r="M193" s="20" t="n">
        <v>3937</v>
      </c>
    </row>
    <row r="194">
      <c r="A194" s="43" t="inlineStr">
        <is>
          <t>YoY</t>
        </is>
      </c>
      <c r="B194" s="3" t="inlineStr">
        <is>
          <t>전년 같은 분기·전년 대비</t>
        </is>
      </c>
      <c r="I194" s="15">
        <f>IF(OR(I193="",E193=""),"",IF(E193&lt;=0,"",IFERROR(I193/E193-1,"")))</f>
        <v/>
      </c>
      <c r="M194" s="15">
        <f>IF(OR(M193="",I193=""),"",IF(I193&lt;=0,"",IFERROR(M193/I193-1,"")))</f>
        <v/>
      </c>
    </row>
    <row r="195">
      <c r="A195" s="18" t="inlineStr">
        <is>
          <t>ITSystemSolutionsBusinessUnitReportableSegmentsMember · 계</t>
        </is>
      </c>
      <c r="E195" s="20" t="n">
        <v>574</v>
      </c>
      <c r="I195" s="20" t="n">
        <v>508</v>
      </c>
      <c r="M195" s="20" t="n">
        <v>550</v>
      </c>
    </row>
    <row r="196">
      <c r="A196" s="43" t="inlineStr">
        <is>
          <t>YoY</t>
        </is>
      </c>
      <c r="B196" s="3" t="inlineStr">
        <is>
          <t>전년 같은 분기·전년 대비</t>
        </is>
      </c>
      <c r="I196" s="15">
        <f>IF(OR(I195="",E195=""),"",IF(E195&lt;=0,"",IFERROR(I195/E195-1,"")))</f>
        <v/>
      </c>
      <c r="M196" s="15">
        <f>IF(OR(M195="",I195=""),"",IF(I195&lt;=0,"",IFERROR(M195/I195-1,"")))</f>
        <v/>
      </c>
    </row>
    <row r="197">
      <c r="A197" s="18" t="inlineStr">
        <is>
          <t>부문 간 내부매출·대체</t>
        </is>
      </c>
      <c r="C197" s="20" t="n">
        <v>0</v>
      </c>
      <c r="E197" s="20" t="n">
        <v>0</v>
      </c>
      <c r="F197" s="20" t="n">
        <v>0</v>
      </c>
      <c r="G197" s="20" t="n">
        <v>0</v>
      </c>
      <c r="H197" s="20" t="n">
        <v>0</v>
      </c>
      <c r="I197" s="20" t="n">
        <v>0</v>
      </c>
      <c r="J197" s="20" t="n">
        <v>0</v>
      </c>
      <c r="K197" s="20" t="n">
        <v>0</v>
      </c>
      <c r="L197" s="20" t="n">
        <v>0</v>
      </c>
      <c r="W197" s="20" t="n">
        <v>0</v>
      </c>
      <c r="X197" s="20" t="n">
        <v>0</v>
      </c>
    </row>
    <row r="198">
      <c r="A198" s="18" t="inlineStr">
        <is>
          <t>ElectricSystemReportableSegmentsMember · 계</t>
        </is>
      </c>
      <c r="C198" s="20" t="n">
        <v>1573</v>
      </c>
      <c r="G198" s="20" t="n">
        <v>1549</v>
      </c>
      <c r="K198" s="20" t="n">
        <v>1811</v>
      </c>
    </row>
    <row r="199">
      <c r="A199" s="43" t="inlineStr">
        <is>
          <t>YoY</t>
        </is>
      </c>
      <c r="B199" s="3" t="inlineStr">
        <is>
          <t>전년 같은 분기·전년 대비</t>
        </is>
      </c>
      <c r="G199" s="15">
        <f>IF(OR(G198="",C198=""),"",IF(C198&lt;=0,"",IFERROR(G198/C198-1,"")))</f>
        <v/>
      </c>
      <c r="K199" s="15">
        <f>IF(OR(K198="",G198=""),"",IF(G198&lt;=0,"",IFERROR(K198/G198-1,"")))</f>
        <v/>
      </c>
    </row>
    <row r="200">
      <c r="A200" s="18" t="inlineStr">
        <is>
          <t>EcologicalEnergySystemReportableSegmentsMember · 계</t>
        </is>
      </c>
      <c r="C200" s="20" t="n">
        <v>2503</v>
      </c>
      <c r="G200" s="20" t="n">
        <v>2886</v>
      </c>
      <c r="K200" s="20" t="n">
        <v>2568</v>
      </c>
    </row>
    <row r="201">
      <c r="A201" s="43" t="inlineStr">
        <is>
          <t>YoY</t>
        </is>
      </c>
      <c r="B201" s="3" t="inlineStr">
        <is>
          <t>전년 같은 분기·전년 대비</t>
        </is>
      </c>
      <c r="G201" s="15">
        <f>IF(OR(G200="",C200=""),"",IF(C200&lt;=0,"",IFERROR(G200/C200-1,"")))</f>
        <v/>
      </c>
      <c r="K201" s="15">
        <f>IF(OR(K200="",G200=""),"",IF(G200&lt;=0,"",IFERROR(K200/G200-1,"")))</f>
        <v/>
      </c>
    </row>
    <row r="202">
      <c r="A202" s="18" t="inlineStr">
        <is>
          <t>InformationSystemReportableSegmentsMember · 계</t>
        </is>
      </c>
      <c r="C202" s="20" t="n">
        <v>420</v>
      </c>
      <c r="G202" s="20" t="n">
        <v>519</v>
      </c>
      <c r="K202" s="20" t="n">
        <v>493</v>
      </c>
    </row>
    <row r="203">
      <c r="A203" s="43" t="inlineStr">
        <is>
          <t>YoY</t>
        </is>
      </c>
      <c r="B203" s="3" t="inlineStr">
        <is>
          <t>전년 같은 분기·전년 대비</t>
        </is>
      </c>
      <c r="G203" s="15">
        <f>IF(OR(G202="",C202=""),"",IF(C202&lt;=0,"",IFERROR(G202/C202-1,"")))</f>
        <v/>
      </c>
      <c r="K203" s="15">
        <f>IF(OR(K202="",G202=""),"",IF(G202&lt;=0,"",IFERROR(K202/G202-1,"")))</f>
        <v/>
      </c>
    </row>
    <row r="204">
      <c r="A204" s="18" t="inlineStr">
        <is>
          <t>ServicesAndEngineeringBusinessUnitReportableSegmentMember · 계</t>
        </is>
      </c>
      <c r="C204" s="20" t="n">
        <v>1301</v>
      </c>
      <c r="E204" s="20" t="n">
        <v>1457</v>
      </c>
      <c r="F204" s="20" t="n">
        <v>1095</v>
      </c>
      <c r="G204" s="20" t="n">
        <v>870</v>
      </c>
      <c r="H204" s="20" t="n">
        <v>2173</v>
      </c>
      <c r="I204" s="20" t="n">
        <v>1550</v>
      </c>
      <c r="J204" s="20" t="n">
        <v>833</v>
      </c>
      <c r="K204" s="20" t="n">
        <v>1221</v>
      </c>
      <c r="L204" s="20" t="n">
        <v>3264</v>
      </c>
      <c r="M204" s="20" t="n">
        <v>2259</v>
      </c>
      <c r="N204" s="20" t="n">
        <v>2093</v>
      </c>
      <c r="W204" s="20" t="n">
        <v>2173</v>
      </c>
      <c r="X204" s="20" t="n">
        <v>3264</v>
      </c>
    </row>
    <row r="205">
      <c r="A205" s="43" t="inlineStr">
        <is>
          <t>YoY</t>
        </is>
      </c>
      <c r="B205" s="3" t="inlineStr">
        <is>
          <t>전년 같은 분기·전년 대비</t>
        </is>
      </c>
      <c r="G205" s="15">
        <f>IF(OR(G204="",C204=""),"",IF(C204&lt;=0,"",IFERROR(G204/C204-1,"")))</f>
        <v/>
      </c>
      <c r="H205" s="15">
        <f>IF(OR(H204="",D204=""),"",IF(D204&lt;=0,"",IFERROR(H204/D204-1,"")))</f>
        <v/>
      </c>
      <c r="I205" s="15">
        <f>IF(OR(I204="",E204=""),"",IF(E204&lt;=0,"",IFERROR(I204/E204-1,"")))</f>
        <v/>
      </c>
      <c r="J205" s="15">
        <f>IF(OR(J204="",F204=""),"",IF(F204&lt;=0,"",IFERROR(J204/F204-1,"")))</f>
        <v/>
      </c>
      <c r="K205" s="15">
        <f>IF(OR(K204="",G204=""),"",IF(G204&lt;=0,"",IFERROR(K204/G204-1,"")))</f>
        <v/>
      </c>
      <c r="L205" s="15">
        <f>IF(OR(L204="",H204=""),"",IF(H204&lt;=0,"",IFERROR(L204/H204-1,"")))</f>
        <v/>
      </c>
      <c r="M205" s="15">
        <f>IF(OR(M204="",I204=""),"",IF(I204&lt;=0,"",IFERROR(M204/I204-1,"")))</f>
        <v/>
      </c>
      <c r="N205" s="15">
        <f>IF(OR(N204="",J204=""),"",IF(J204&lt;=0,"",IFERROR(N204/J204-1,"")))</f>
        <v/>
      </c>
      <c r="W205" s="15">
        <f>IF(OR(W204="",V204=""),"",IF(V204&lt;=0,"",IFERROR(W204/V204-1,"")))</f>
        <v/>
      </c>
      <c r="X205" s="15">
        <f>IF(OR(X204="",W204=""),"",IF(W204&lt;=0,"",IFERROR(X204/W204-1,"")))</f>
        <v/>
      </c>
    </row>
    <row r="206">
      <c r="A206" s="18" t="inlineStr">
        <is>
          <t>보고부문 합계 · 계</t>
        </is>
      </c>
      <c r="C206" s="20" t="n">
        <v>5797</v>
      </c>
      <c r="E206" s="20" t="n">
        <v>7442</v>
      </c>
      <c r="F206" s="20" t="n">
        <v>6008</v>
      </c>
      <c r="G206" s="20" t="n">
        <v>5822</v>
      </c>
      <c r="H206" s="20" t="n">
        <v>8629</v>
      </c>
      <c r="I206" s="20" t="n">
        <v>8121</v>
      </c>
      <c r="J206" s="20" t="n">
        <v>5653</v>
      </c>
      <c r="K206" s="20" t="n">
        <v>6092</v>
      </c>
      <c r="L206" s="20" t="n">
        <v>10321</v>
      </c>
      <c r="M206" s="20" t="n">
        <v>9181</v>
      </c>
      <c r="N206" s="20" t="n">
        <v>7158</v>
      </c>
      <c r="W206" s="20" t="n">
        <v>8629</v>
      </c>
      <c r="X206" s="20" t="n">
        <v>10321</v>
      </c>
    </row>
    <row r="207">
      <c r="A207" s="43" t="inlineStr">
        <is>
          <t>YoY</t>
        </is>
      </c>
      <c r="B207" s="3" t="inlineStr">
        <is>
          <t>전년 같은 분기·전년 대비</t>
        </is>
      </c>
      <c r="G207" s="15">
        <f>IF(OR(G206="",C206=""),"",IF(C206&lt;=0,"",IFERROR(G206/C206-1,"")))</f>
        <v/>
      </c>
      <c r="H207" s="15">
        <f>IF(OR(H206="",D206=""),"",IF(D206&lt;=0,"",IFERROR(H206/D206-1,"")))</f>
        <v/>
      </c>
      <c r="I207" s="15">
        <f>IF(OR(I206="",E206=""),"",IF(E206&lt;=0,"",IFERROR(I206/E206-1,"")))</f>
        <v/>
      </c>
      <c r="J207" s="15">
        <f>IF(OR(J206="",F206=""),"",IF(F206&lt;=0,"",IFERROR(J206/F206-1,"")))</f>
        <v/>
      </c>
      <c r="K207" s="15">
        <f>IF(OR(K206="",G206=""),"",IF(G206&lt;=0,"",IFERROR(K206/G206-1,"")))</f>
        <v/>
      </c>
      <c r="L207" s="15">
        <f>IF(OR(L206="",H206=""),"",IF(H206&lt;=0,"",IFERROR(L206/H206-1,"")))</f>
        <v/>
      </c>
      <c r="M207" s="15">
        <f>IF(OR(M206="",I206=""),"",IF(I206&lt;=0,"",IFERROR(M206/I206-1,"")))</f>
        <v/>
      </c>
      <c r="N207" s="15">
        <f>IF(OR(N206="",J206=""),"",IF(J206&lt;=0,"",IFERROR(N206/J206-1,"")))</f>
        <v/>
      </c>
      <c r="W207" s="15">
        <f>IF(OR(W206="",V206=""),"",IF(V206&lt;=0,"",IFERROR(W206/V206-1,"")))</f>
        <v/>
      </c>
      <c r="X207" s="15">
        <f>IF(OR(X206="",W206=""),"",IF(W206&lt;=0,"",IFERROR(X206/W206-1,"")))</f>
        <v/>
      </c>
    </row>
    <row r="208">
      <c r="A208" s="18" t="inlineStr">
        <is>
          <t>기타 · 계</t>
        </is>
      </c>
      <c r="C208" s="20" t="n">
        <v>562</v>
      </c>
      <c r="E208" s="20" t="n">
        <v>833</v>
      </c>
      <c r="F208" s="20" t="n">
        <v>780</v>
      </c>
      <c r="G208" s="20" t="n">
        <v>634</v>
      </c>
      <c r="H208" s="20" t="n">
        <v>693</v>
      </c>
      <c r="I208" s="20" t="n">
        <v>771</v>
      </c>
      <c r="J208" s="20" t="n">
        <v>613</v>
      </c>
      <c r="K208" s="20" t="n">
        <v>728</v>
      </c>
      <c r="L208" s="20" t="n">
        <v>728</v>
      </c>
      <c r="M208" s="20" t="n">
        <v>706</v>
      </c>
      <c r="N208" s="20" t="n">
        <v>661</v>
      </c>
      <c r="W208" s="20" t="n">
        <v>693</v>
      </c>
      <c r="X208" s="20" t="n">
        <v>728</v>
      </c>
    </row>
    <row r="209">
      <c r="A209" s="43" t="inlineStr">
        <is>
          <t>YoY</t>
        </is>
      </c>
      <c r="B209" s="3" t="inlineStr">
        <is>
          <t>전년 같은 분기·전년 대비</t>
        </is>
      </c>
      <c r="G209" s="15">
        <f>IF(OR(G208="",C208=""),"",IF(C208&lt;=0,"",IFERROR(G208/C208-1,"")))</f>
        <v/>
      </c>
      <c r="H209" s="15">
        <f>IF(OR(H208="",D208=""),"",IF(D208&lt;=0,"",IFERROR(H208/D208-1,"")))</f>
        <v/>
      </c>
      <c r="I209" s="15">
        <f>IF(OR(I208="",E208=""),"",IF(E208&lt;=0,"",IFERROR(I208/E208-1,"")))</f>
        <v/>
      </c>
      <c r="J209" s="15">
        <f>IF(OR(J208="",F208=""),"",IF(F208&lt;=0,"",IFERROR(J208/F208-1,"")))</f>
        <v/>
      </c>
      <c r="K209" s="15">
        <f>IF(OR(K208="",G208=""),"",IF(G208&lt;=0,"",IFERROR(K208/G208-1,"")))</f>
        <v/>
      </c>
      <c r="L209" s="15">
        <f>IF(OR(L208="",H208=""),"",IF(H208&lt;=0,"",IFERROR(L208/H208-1,"")))</f>
        <v/>
      </c>
      <c r="M209" s="15">
        <f>IF(OR(M208="",I208=""),"",IF(I208&lt;=0,"",IFERROR(M208/I208-1,"")))</f>
        <v/>
      </c>
      <c r="N209" s="15">
        <f>IF(OR(N208="",J208=""),"",IF(J208&lt;=0,"",IFERROR(N208/J208-1,"")))</f>
        <v/>
      </c>
      <c r="W209" s="15">
        <f>IF(OR(W208="",V208=""),"",IF(V208&lt;=0,"",IFERROR(W208/V208-1,"")))</f>
        <v/>
      </c>
      <c r="X209" s="15">
        <f>IF(OR(X208="",W208=""),"",IF(W208&lt;=0,"",IFERROR(X208/W208-1,"")))</f>
        <v/>
      </c>
    </row>
    <row r="210">
      <c r="A210" s="18" t="inlineStr">
        <is>
          <t>합계 · 계</t>
        </is>
      </c>
      <c r="C210" s="20" t="n">
        <v>6360</v>
      </c>
      <c r="E210" s="20" t="n">
        <v>8276</v>
      </c>
      <c r="F210" s="20" t="n">
        <v>6787</v>
      </c>
      <c r="G210" s="20" t="n">
        <v>6457</v>
      </c>
      <c r="H210" s="20" t="n">
        <v>9321</v>
      </c>
      <c r="I210" s="20" t="n">
        <v>8893</v>
      </c>
      <c r="J210" s="20" t="n">
        <v>6265</v>
      </c>
      <c r="K210" s="20" t="n">
        <v>6821</v>
      </c>
      <c r="L210" s="20" t="n">
        <v>11049</v>
      </c>
      <c r="M210" s="20" t="n">
        <v>9888</v>
      </c>
      <c r="N210" s="20" t="n">
        <v>7819</v>
      </c>
      <c r="W210" s="20" t="n">
        <v>9321</v>
      </c>
      <c r="X210" s="20" t="n">
        <v>11049</v>
      </c>
    </row>
    <row r="211">
      <c r="A211" s="43" t="inlineStr">
        <is>
          <t>YoY</t>
        </is>
      </c>
      <c r="B211" s="3" t="inlineStr">
        <is>
          <t>전년 같은 분기·전년 대비</t>
        </is>
      </c>
      <c r="G211" s="15">
        <f>IF(OR(G210="",C210=""),"",IF(C210&lt;=0,"",IFERROR(G210/C210-1,"")))</f>
        <v/>
      </c>
      <c r="H211" s="15">
        <f>IF(OR(H210="",D210=""),"",IF(D210&lt;=0,"",IFERROR(H210/D210-1,"")))</f>
        <v/>
      </c>
      <c r="I211" s="15">
        <f>IF(OR(I210="",E210=""),"",IF(E210&lt;=0,"",IFERROR(I210/E210-1,"")))</f>
        <v/>
      </c>
      <c r="J211" s="15">
        <f>IF(OR(J210="",F210=""),"",IF(F210&lt;=0,"",IFERROR(J210/F210-1,"")))</f>
        <v/>
      </c>
      <c r="K211" s="15">
        <f>IF(OR(K210="",G210=""),"",IF(G210&lt;=0,"",IFERROR(K210/G210-1,"")))</f>
        <v/>
      </c>
      <c r="L211" s="15">
        <f>IF(OR(L210="",H210=""),"",IF(H210&lt;=0,"",IFERROR(L210/H210-1,"")))</f>
        <v/>
      </c>
      <c r="M211" s="15">
        <f>IF(OR(M210="",I210=""),"",IF(I210&lt;=0,"",IFERROR(M210/I210-1,"")))</f>
        <v/>
      </c>
      <c r="N211" s="15">
        <f>IF(OR(N210="",J210=""),"",IF(J210&lt;=0,"",IFERROR(N210/J210-1,"")))</f>
        <v/>
      </c>
      <c r="W211" s="15">
        <f>IF(OR(W210="",V210=""),"",IF(V210&lt;=0,"",IFERROR(W210/V210-1,"")))</f>
        <v/>
      </c>
      <c r="X211" s="15">
        <f>IF(OR(X210="",W210=""),"",IF(W210&lt;=0,"",IFERROR(X210/W210-1,"")))</f>
        <v/>
      </c>
    </row>
    <row r="212">
      <c r="A212" s="18" t="inlineStr">
        <is>
          <t>조정액 · 계</t>
        </is>
      </c>
      <c r="C212" s="20" t="n">
        <v>-313</v>
      </c>
      <c r="E212" s="20" t="n">
        <v>-439</v>
      </c>
      <c r="F212" s="20" t="n">
        <v>-387</v>
      </c>
      <c r="G212" s="20" t="n">
        <v>-427</v>
      </c>
      <c r="H212" s="20" t="n">
        <v>-489</v>
      </c>
      <c r="I212" s="20" t="n">
        <v>-388</v>
      </c>
      <c r="J212" s="20" t="n">
        <v>-354</v>
      </c>
      <c r="K212" s="20" t="n">
        <v>-433</v>
      </c>
      <c r="L212" s="20" t="n">
        <v>-472</v>
      </c>
      <c r="M212" s="20" t="n">
        <v>-314</v>
      </c>
      <c r="N212" s="20" t="n">
        <v>-289</v>
      </c>
      <c r="W212" s="20" t="n">
        <v>-489</v>
      </c>
      <c r="X212" s="20" t="n">
        <v>-472</v>
      </c>
    </row>
    <row r="213">
      <c r="A213" s="18" t="inlineStr">
        <is>
          <t>EntityTotalMember · 계</t>
        </is>
      </c>
      <c r="I213" s="20" t="n">
        <v>8504</v>
      </c>
      <c r="M213" s="20" t="n">
        <v>9574</v>
      </c>
    </row>
    <row r="214">
      <c r="A214" s="18" t="inlineStr">
        <is>
          <t>PowerSystemsBusinessUnitReportableSegmentsMember · 부문 이익</t>
        </is>
      </c>
      <c r="E214" s="20" t="n">
        <v>468</v>
      </c>
      <c r="I214" s="20" t="n">
        <v>562</v>
      </c>
      <c r="M214" s="20" t="n">
        <v>479</v>
      </c>
    </row>
    <row r="215">
      <c r="A215" s="43" t="inlineStr">
        <is>
          <t>OPM</t>
        </is>
      </c>
      <c r="B215" s="3" t="inlineStr">
        <is>
          <t>영업이익 ÷ 매출</t>
        </is>
      </c>
      <c r="E215" s="15">
        <f>IF(OR(E214="",E191=""),"",IF(E191&lt;=0,"",IFERROR(E214/E191,"")))</f>
        <v/>
      </c>
      <c r="I215" s="15">
        <f>IF(OR(I214="",I191=""),"",IF(I191&lt;=0,"",IFERROR(I214/I191,"")))</f>
        <v/>
      </c>
      <c r="M215" s="15">
        <f>IF(OR(M214="",M191=""),"",IF(M191&lt;=0,"",IFERROR(M214/M191,"")))</f>
        <v/>
      </c>
    </row>
    <row r="216">
      <c r="A216" s="43" t="inlineStr">
        <is>
          <t>YoY</t>
        </is>
      </c>
      <c r="B216" s="3" t="inlineStr">
        <is>
          <t>전년 같은 분기·전년 대비</t>
        </is>
      </c>
      <c r="I216" s="15">
        <f>IF(OR(I214="",E214=""),"",IF(E214&lt;=0,"",IFERROR(I214/E214-1,"")))</f>
        <v/>
      </c>
      <c r="M216" s="15">
        <f>IF(OR(M214="",I214=""),"",IF(I214&lt;=0,"",IFERROR(M214/I214-1,"")))</f>
        <v/>
      </c>
    </row>
    <row r="217">
      <c r="A217" s="18" t="inlineStr">
        <is>
          <t>EnvironmentalEnergyAndControlSystemsBusinessUnitReportableSegmentsMember · 부문 이익</t>
        </is>
      </c>
      <c r="E217" s="20" t="n">
        <v>100</v>
      </c>
      <c r="I217" s="20" t="n">
        <v>309</v>
      </c>
      <c r="M217" s="20" t="n">
        <v>652</v>
      </c>
    </row>
    <row r="218">
      <c r="A218" s="43" t="inlineStr">
        <is>
          <t>OPM</t>
        </is>
      </c>
      <c r="B218" s="3" t="inlineStr">
        <is>
          <t>영업이익 ÷ 매출</t>
        </is>
      </c>
      <c r="E218" s="15">
        <f>IF(OR(E217="",E193=""),"",IF(E193&lt;=0,"",IFERROR(E217/E193,"")))</f>
        <v/>
      </c>
      <c r="I218" s="15">
        <f>IF(OR(I217="",I193=""),"",IF(I193&lt;=0,"",IFERROR(I217/I193,"")))</f>
        <v/>
      </c>
      <c r="M218" s="15">
        <f>IF(OR(M217="",M193=""),"",IF(M193&lt;=0,"",IFERROR(M217/M193,"")))</f>
        <v/>
      </c>
    </row>
    <row r="219">
      <c r="A219" s="43" t="inlineStr">
        <is>
          <t>YoY</t>
        </is>
      </c>
      <c r="B219" s="3" t="inlineStr">
        <is>
          <t>전년 같은 분기·전년 대비</t>
        </is>
      </c>
      <c r="I219" s="15">
        <f>IF(OR(I217="",E217=""),"",IF(E217&lt;=0,"",IFERROR(I217/E217-1,"")))</f>
        <v/>
      </c>
      <c r="M219" s="15">
        <f>IF(OR(M217="",I217=""),"",IF(I217&lt;=0,"",IFERROR(M217/I217-1,"")))</f>
        <v/>
      </c>
    </row>
    <row r="220">
      <c r="A220" s="18" t="inlineStr">
        <is>
          <t>ITSystemSolutionsBusinessUnitReportableSegmentsMember · 부문 이익</t>
        </is>
      </c>
      <c r="E220" s="20" t="n">
        <v>60</v>
      </c>
      <c r="I220" s="20" t="n">
        <v>54</v>
      </c>
      <c r="M220" s="20" t="n">
        <v>11</v>
      </c>
    </row>
    <row r="221">
      <c r="A221" s="43" t="inlineStr">
        <is>
          <t>OPM</t>
        </is>
      </c>
      <c r="B221" s="3" t="inlineStr">
        <is>
          <t>영업이익 ÷ 매출</t>
        </is>
      </c>
      <c r="E221" s="15">
        <f>IF(OR(E220="",E195=""),"",IF(E195&lt;=0,"",IFERROR(E220/E195,"")))</f>
        <v/>
      </c>
      <c r="I221" s="15">
        <f>IF(OR(I220="",I195=""),"",IF(I195&lt;=0,"",IFERROR(I220/I195,"")))</f>
        <v/>
      </c>
      <c r="M221" s="15">
        <f>IF(OR(M220="",M195=""),"",IF(M195&lt;=0,"",IFERROR(M220/M195,"")))</f>
        <v/>
      </c>
    </row>
    <row r="222">
      <c r="A222" s="43" t="inlineStr">
        <is>
          <t>YoY</t>
        </is>
      </c>
      <c r="B222" s="3" t="inlineStr">
        <is>
          <t>전년 같은 분기·전년 대비</t>
        </is>
      </c>
      <c r="I222" s="15">
        <f>IF(OR(I220="",E220=""),"",IF(E220&lt;=0,"",IFERROR(I220/E220-1,"")))</f>
        <v/>
      </c>
      <c r="M222" s="15">
        <f>IF(OR(M220="",I220=""),"",IF(I220&lt;=0,"",IFERROR(M220/I220-1,"")))</f>
        <v/>
      </c>
    </row>
    <row r="223">
      <c r="A223" s="9" t="inlineStr">
        <is>
          <t>계</t>
        </is>
      </c>
      <c r="C223" s="12" t="n">
        <v>6047</v>
      </c>
      <c r="E223" s="12" t="n">
        <v>7836</v>
      </c>
      <c r="F223" s="12" t="n">
        <v>6401</v>
      </c>
      <c r="G223" s="12" t="n">
        <v>6029</v>
      </c>
      <c r="H223" s="12" t="n">
        <v>8833</v>
      </c>
      <c r="I223" s="12" t="n">
        <v>8504</v>
      </c>
      <c r="J223" s="12" t="n">
        <v>5911</v>
      </c>
      <c r="K223" s="12" t="n">
        <v>6388</v>
      </c>
      <c r="L223" s="12" t="n">
        <v>10577</v>
      </c>
      <c r="W223" s="12" t="n">
        <v>8833</v>
      </c>
      <c r="X223" s="12" t="n">
        <v>10577</v>
      </c>
    </row>
    <row r="224">
      <c r="A224" s="43" t="inlineStr">
        <is>
          <t>YoY</t>
        </is>
      </c>
      <c r="B224" s="3" t="inlineStr">
        <is>
          <t>전년 같은 분기·전년 대비</t>
        </is>
      </c>
      <c r="G224" s="15">
        <f>IF(OR(G223="",C223=""),"",IF(C223&lt;=0,"",IFERROR(G223/C223-1,"")))</f>
        <v/>
      </c>
      <c r="H224" s="15">
        <f>IF(OR(H223="",D223=""),"",IF(D223&lt;=0,"",IFERROR(H223/D223-1,"")))</f>
        <v/>
      </c>
      <c r="I224" s="15">
        <f>IF(OR(I223="",E223=""),"",IF(E223&lt;=0,"",IFERROR(I223/E223-1,"")))</f>
        <v/>
      </c>
      <c r="J224" s="15">
        <f>IF(OR(J223="",F223=""),"",IF(F223&lt;=0,"",IFERROR(J223/F223-1,"")))</f>
        <v/>
      </c>
      <c r="K224" s="15">
        <f>IF(OR(K223="",G223=""),"",IF(G223&lt;=0,"",IFERROR(K223/G223-1,"")))</f>
        <v/>
      </c>
      <c r="L224" s="15">
        <f>IF(OR(L223="",H223=""),"",IF(H223&lt;=0,"",IFERROR(L223/H223-1,"")))</f>
        <v/>
      </c>
      <c r="W224" s="15">
        <f>IF(OR(W223="",V223=""),"",IF(V223&lt;=0,"",IFERROR(W223/V223-1,"")))</f>
        <v/>
      </c>
      <c r="X224" s="15">
        <f>IF(OR(X223="",W223=""),"",IF(W223&lt;=0,"",IFERROR(X223/W223-1,"")))</f>
        <v/>
      </c>
    </row>
    <row r="225">
      <c r="A225" s="18" t="inlineStr">
        <is>
          <t>ElectricSystemReportableSegmentsMember · 부문 이익</t>
        </is>
      </c>
      <c r="C225" s="20" t="n">
        <v>109</v>
      </c>
      <c r="G225" s="20" t="n">
        <v>167</v>
      </c>
      <c r="K225" s="20" t="n">
        <v>195</v>
      </c>
    </row>
    <row r="226">
      <c r="A226" s="43" t="inlineStr">
        <is>
          <t>OPM</t>
        </is>
      </c>
      <c r="B226" s="3" t="inlineStr">
        <is>
          <t>영업이익 ÷ 매출</t>
        </is>
      </c>
      <c r="C226" s="15">
        <f>IF(OR(C225="",C198=""),"",IF(C198&lt;=0,"",IFERROR(C225/C198,"")))</f>
        <v/>
      </c>
      <c r="G226" s="15">
        <f>IF(OR(G225="",G198=""),"",IF(G198&lt;=0,"",IFERROR(G225/G198,"")))</f>
        <v/>
      </c>
      <c r="K226" s="15">
        <f>IF(OR(K225="",K198=""),"",IF(K198&lt;=0,"",IFERROR(K225/K198,"")))</f>
        <v/>
      </c>
    </row>
    <row r="227">
      <c r="A227" s="43" t="inlineStr">
        <is>
          <t>YoY</t>
        </is>
      </c>
      <c r="B227" s="3" t="inlineStr">
        <is>
          <t>전년 같은 분기·전년 대비</t>
        </is>
      </c>
      <c r="G227" s="15">
        <f>IF(OR(G225="",C225=""),"",IF(C225&lt;=0,"",IFERROR(G225/C225-1,"")))</f>
        <v/>
      </c>
      <c r="K227" s="15">
        <f>IF(OR(K225="",G225=""),"",IF(G225&lt;=0,"",IFERROR(K225/G225-1,"")))</f>
        <v/>
      </c>
    </row>
    <row r="228">
      <c r="A228" s="18" t="inlineStr">
        <is>
          <t>EcologicalEnergySystemReportableSegmentsMember · 부문 이익</t>
        </is>
      </c>
      <c r="C228" s="20" t="n">
        <v>-96</v>
      </c>
      <c r="G228" s="20" t="n">
        <v>19</v>
      </c>
      <c r="K228" s="20" t="n">
        <v>88</v>
      </c>
    </row>
    <row r="229">
      <c r="A229" s="43" t="inlineStr">
        <is>
          <t>OPM</t>
        </is>
      </c>
      <c r="B229" s="3" t="inlineStr">
        <is>
          <t>영업이익 ÷ 매출</t>
        </is>
      </c>
      <c r="C229" s="15">
        <f>IF(OR(C228="",C200=""),"",IF(C200&lt;=0,"",IFERROR(C228/C200,"")))</f>
        <v/>
      </c>
      <c r="G229" s="15">
        <f>IF(OR(G228="",G200=""),"",IF(G200&lt;=0,"",IFERROR(G228/G200,"")))</f>
        <v/>
      </c>
      <c r="K229" s="15">
        <f>IF(OR(K228="",K200=""),"",IF(K200&lt;=0,"",IFERROR(K228/K200,"")))</f>
        <v/>
      </c>
    </row>
    <row r="230">
      <c r="A230" s="43" t="inlineStr">
        <is>
          <t>YoY</t>
        </is>
      </c>
      <c r="B230" s="3" t="inlineStr">
        <is>
          <t>전년 같은 분기·전년 대비</t>
        </is>
      </c>
      <c r="G230" s="15">
        <f>IF(OR(G228="",C228=""),"",IF(C228&lt;=0,"",IFERROR(G228/C228-1,"")))</f>
        <v/>
      </c>
      <c r="K230" s="15">
        <f>IF(OR(K228="",G228=""),"",IF(G228&lt;=0,"",IFERROR(K228/G228-1,"")))</f>
        <v/>
      </c>
    </row>
    <row r="231">
      <c r="A231" s="18" t="inlineStr">
        <is>
          <t>InformationSystemReportableSegmentsMember · 부문 이익</t>
        </is>
      </c>
      <c r="C231" s="20" t="n">
        <v>34</v>
      </c>
      <c r="G231" s="20" t="n">
        <v>61</v>
      </c>
      <c r="K231" s="20" t="n">
        <v>20</v>
      </c>
    </row>
    <row r="232">
      <c r="A232" s="43" t="inlineStr">
        <is>
          <t>OPM</t>
        </is>
      </c>
      <c r="B232" s="3" t="inlineStr">
        <is>
          <t>영업이익 ÷ 매출</t>
        </is>
      </c>
      <c r="C232" s="15">
        <f>IF(OR(C231="",C202=""),"",IF(C202&lt;=0,"",IFERROR(C231/C202,"")))</f>
        <v/>
      </c>
      <c r="G232" s="15">
        <f>IF(OR(G231="",G202=""),"",IF(G202&lt;=0,"",IFERROR(G231/G202,"")))</f>
        <v/>
      </c>
      <c r="K232" s="15">
        <f>IF(OR(K231="",K202=""),"",IF(K202&lt;=0,"",IFERROR(K231/K202,"")))</f>
        <v/>
      </c>
    </row>
    <row r="233">
      <c r="A233" s="43" t="inlineStr">
        <is>
          <t>YoY</t>
        </is>
      </c>
      <c r="B233" s="3" t="inlineStr">
        <is>
          <t>전년 같은 분기·전년 대비</t>
        </is>
      </c>
      <c r="G233" s="15">
        <f>IF(OR(G231="",C231=""),"",IF(C231&lt;=0,"",IFERROR(G231/C231-1,"")))</f>
        <v/>
      </c>
      <c r="K233" s="15">
        <f>IF(OR(K231="",G231=""),"",IF(G231&lt;=0,"",IFERROR(K231/G231-1,"")))</f>
        <v/>
      </c>
    </row>
    <row r="234">
      <c r="A234" s="18" t="inlineStr">
        <is>
          <t>ServicesAndEngineeringBusinessUnitReportableSegmentMember · 부문 이익</t>
        </is>
      </c>
      <c r="C234" s="20" t="n">
        <v>-2</v>
      </c>
      <c r="E234" s="20" t="n">
        <v>26</v>
      </c>
      <c r="F234" s="20" t="n">
        <v>-4</v>
      </c>
      <c r="G234" s="20" t="n">
        <v>12</v>
      </c>
      <c r="H234" s="20" t="n">
        <v>29</v>
      </c>
      <c r="I234" s="20" t="n">
        <v>36</v>
      </c>
      <c r="J234" s="20" t="n">
        <v>8</v>
      </c>
      <c r="K234" s="20" t="n">
        <v>49</v>
      </c>
      <c r="L234" s="20" t="n">
        <v>42</v>
      </c>
      <c r="M234" s="20" t="n">
        <v>46</v>
      </c>
      <c r="N234" s="20" t="n">
        <v>31</v>
      </c>
      <c r="W234" s="20" t="n">
        <v>29</v>
      </c>
      <c r="X234" s="20" t="n">
        <v>42</v>
      </c>
    </row>
    <row r="235">
      <c r="A235" s="43" t="inlineStr">
        <is>
          <t>OPM</t>
        </is>
      </c>
      <c r="B235" s="3" t="inlineStr">
        <is>
          <t>영업이익 ÷ 매출</t>
        </is>
      </c>
      <c r="C235" s="15">
        <f>IF(OR(C234="",C204=""),"",IF(C204&lt;=0,"",IFERROR(C234/C204,"")))</f>
        <v/>
      </c>
      <c r="E235" s="15">
        <f>IF(OR(E234="",E204=""),"",IF(E204&lt;=0,"",IFERROR(E234/E204,"")))</f>
        <v/>
      </c>
      <c r="F235" s="15">
        <f>IF(OR(F234="",F204=""),"",IF(F204&lt;=0,"",IFERROR(F234/F204,"")))</f>
        <v/>
      </c>
      <c r="G235" s="15">
        <f>IF(OR(G234="",G204=""),"",IF(G204&lt;=0,"",IFERROR(G234/G204,"")))</f>
        <v/>
      </c>
      <c r="H235" s="15">
        <f>IF(OR(H234="",H204=""),"",IF(H204&lt;=0,"",IFERROR(H234/H204,"")))</f>
        <v/>
      </c>
      <c r="I235" s="15">
        <f>IF(OR(I234="",I204=""),"",IF(I204&lt;=0,"",IFERROR(I234/I204,"")))</f>
        <v/>
      </c>
      <c r="J235" s="15">
        <f>IF(OR(J234="",J204=""),"",IF(J204&lt;=0,"",IFERROR(J234/J204,"")))</f>
        <v/>
      </c>
      <c r="K235" s="15">
        <f>IF(OR(K234="",K204=""),"",IF(K204&lt;=0,"",IFERROR(K234/K204,"")))</f>
        <v/>
      </c>
      <c r="L235" s="15">
        <f>IF(OR(L234="",L204=""),"",IF(L204&lt;=0,"",IFERROR(L234/L204,"")))</f>
        <v/>
      </c>
      <c r="M235" s="15">
        <f>IF(OR(M234="",M204=""),"",IF(M204&lt;=0,"",IFERROR(M234/M204,"")))</f>
        <v/>
      </c>
      <c r="N235" s="15">
        <f>IF(OR(N234="",N204=""),"",IF(N204&lt;=0,"",IFERROR(N234/N204,"")))</f>
        <v/>
      </c>
      <c r="W235" s="15">
        <f>IF(OR(W234="",W204=""),"",IF(W204&lt;=0,"",IFERROR(W234/W204,"")))</f>
        <v/>
      </c>
      <c r="X235" s="15">
        <f>IF(OR(X234="",X204=""),"",IF(X204&lt;=0,"",IFERROR(X234/X204,"")))</f>
        <v/>
      </c>
    </row>
    <row r="236">
      <c r="A236" s="43" t="inlineStr">
        <is>
          <t>YoY</t>
        </is>
      </c>
      <c r="B236" s="3" t="inlineStr">
        <is>
          <t>전년 같은 분기·전년 대비</t>
        </is>
      </c>
      <c r="G236" s="15">
        <f>IF(OR(G234="",C234=""),"",IF(C234&lt;=0,"",IFERROR(G234/C234-1,"")))</f>
        <v/>
      </c>
      <c r="H236" s="15">
        <f>IF(OR(H234="",D234=""),"",IF(D234&lt;=0,"",IFERROR(H234/D234-1,"")))</f>
        <v/>
      </c>
      <c r="I236" s="15">
        <f>IF(OR(I234="",E234=""),"",IF(E234&lt;=0,"",IFERROR(I234/E234-1,"")))</f>
        <v/>
      </c>
      <c r="J236" s="15">
        <f>IF(OR(J234="",F234=""),"",IF(F234&lt;=0,"",IFERROR(J234/F234-1,"")))</f>
        <v/>
      </c>
      <c r="K236" s="15">
        <f>IF(OR(K234="",G234=""),"",IF(G234&lt;=0,"",IFERROR(K234/G234-1,"")))</f>
        <v/>
      </c>
      <c r="L236" s="15">
        <f>IF(OR(L234="",H234=""),"",IF(H234&lt;=0,"",IFERROR(L234/H234-1,"")))</f>
        <v/>
      </c>
      <c r="M236" s="15">
        <f>IF(OR(M234="",I234=""),"",IF(I234&lt;=0,"",IFERROR(M234/I234-1,"")))</f>
        <v/>
      </c>
      <c r="N236" s="15">
        <f>IF(OR(N234="",J234=""),"",IF(J234&lt;=0,"",IFERROR(N234/J234-1,"")))</f>
        <v/>
      </c>
      <c r="W236" s="15">
        <f>IF(OR(W234="",V234=""),"",IF(V234&lt;=0,"",IFERROR(W234/V234-1,"")))</f>
        <v/>
      </c>
      <c r="X236" s="15">
        <f>IF(OR(X234="",W234=""),"",IF(W234&lt;=0,"",IFERROR(X234/W234-1,"")))</f>
        <v/>
      </c>
    </row>
    <row r="237">
      <c r="A237" s="18" t="inlineStr">
        <is>
          <t>보고부문 합계 · 부문 이익</t>
        </is>
      </c>
      <c r="C237" s="20" t="n">
        <v>46</v>
      </c>
      <c r="E237" s="20" t="n">
        <v>655</v>
      </c>
      <c r="F237" s="20" t="n">
        <v>151</v>
      </c>
      <c r="G237" s="20" t="n">
        <v>258</v>
      </c>
      <c r="H237" s="20" t="n">
        <v>613</v>
      </c>
      <c r="I237" s="20" t="n">
        <v>962</v>
      </c>
      <c r="J237" s="20" t="n">
        <v>187</v>
      </c>
      <c r="K237" s="20" t="n">
        <v>353</v>
      </c>
      <c r="L237" s="20" t="n">
        <v>724</v>
      </c>
      <c r="M237" s="20" t="n">
        <v>1190</v>
      </c>
      <c r="N237" s="20" t="n">
        <v>321</v>
      </c>
      <c r="W237" s="20" t="n">
        <v>613</v>
      </c>
      <c r="X237" s="20" t="n">
        <v>724</v>
      </c>
    </row>
    <row r="238">
      <c r="A238" s="43" t="inlineStr">
        <is>
          <t>OPM</t>
        </is>
      </c>
      <c r="B238" s="3" t="inlineStr">
        <is>
          <t>영업이익 ÷ 매출</t>
        </is>
      </c>
      <c r="C238" s="15">
        <f>IF(OR(C237="",C206=""),"",IF(C206&lt;=0,"",IFERROR(C237/C206,"")))</f>
        <v/>
      </c>
      <c r="E238" s="15">
        <f>IF(OR(E237="",E206=""),"",IF(E206&lt;=0,"",IFERROR(E237/E206,"")))</f>
        <v/>
      </c>
      <c r="F238" s="15">
        <f>IF(OR(F237="",F206=""),"",IF(F206&lt;=0,"",IFERROR(F237/F206,"")))</f>
        <v/>
      </c>
      <c r="G238" s="15">
        <f>IF(OR(G237="",G206=""),"",IF(G206&lt;=0,"",IFERROR(G237/G206,"")))</f>
        <v/>
      </c>
      <c r="H238" s="15">
        <f>IF(OR(H237="",H206=""),"",IF(H206&lt;=0,"",IFERROR(H237/H206,"")))</f>
        <v/>
      </c>
      <c r="I238" s="15">
        <f>IF(OR(I237="",I206=""),"",IF(I206&lt;=0,"",IFERROR(I237/I206,"")))</f>
        <v/>
      </c>
      <c r="J238" s="15">
        <f>IF(OR(J237="",J206=""),"",IF(J206&lt;=0,"",IFERROR(J237/J206,"")))</f>
        <v/>
      </c>
      <c r="K238" s="15">
        <f>IF(OR(K237="",K206=""),"",IF(K206&lt;=0,"",IFERROR(K237/K206,"")))</f>
        <v/>
      </c>
      <c r="L238" s="15">
        <f>IF(OR(L237="",L206=""),"",IF(L206&lt;=0,"",IFERROR(L237/L206,"")))</f>
        <v/>
      </c>
      <c r="M238" s="15">
        <f>IF(OR(M237="",M206=""),"",IF(M206&lt;=0,"",IFERROR(M237/M206,"")))</f>
        <v/>
      </c>
      <c r="N238" s="15">
        <f>IF(OR(N237="",N206=""),"",IF(N206&lt;=0,"",IFERROR(N237/N206,"")))</f>
        <v/>
      </c>
      <c r="W238" s="15">
        <f>IF(OR(W237="",W206=""),"",IF(W206&lt;=0,"",IFERROR(W237/W206,"")))</f>
        <v/>
      </c>
      <c r="X238" s="15">
        <f>IF(OR(X237="",X206=""),"",IF(X206&lt;=0,"",IFERROR(X237/X206,"")))</f>
        <v/>
      </c>
    </row>
    <row r="239">
      <c r="A239" s="43" t="inlineStr">
        <is>
          <t>YoY</t>
        </is>
      </c>
      <c r="B239" s="3" t="inlineStr">
        <is>
          <t>전년 같은 분기·전년 대비</t>
        </is>
      </c>
      <c r="G239" s="15">
        <f>IF(OR(G237="",C237=""),"",IF(C237&lt;=0,"",IFERROR(G237/C237-1,"")))</f>
        <v/>
      </c>
      <c r="H239" s="15">
        <f>IF(OR(H237="",D237=""),"",IF(D237&lt;=0,"",IFERROR(H237/D237-1,"")))</f>
        <v/>
      </c>
      <c r="I239" s="15">
        <f>IF(OR(I237="",E237=""),"",IF(E237&lt;=0,"",IFERROR(I237/E237-1,"")))</f>
        <v/>
      </c>
      <c r="J239" s="15">
        <f>IF(OR(J237="",F237=""),"",IF(F237&lt;=0,"",IFERROR(J237/F237-1,"")))</f>
        <v/>
      </c>
      <c r="K239" s="15">
        <f>IF(OR(K237="",G237=""),"",IF(G237&lt;=0,"",IFERROR(K237/G237-1,"")))</f>
        <v/>
      </c>
      <c r="L239" s="15">
        <f>IF(OR(L237="",H237=""),"",IF(H237&lt;=0,"",IFERROR(L237/H237-1,"")))</f>
        <v/>
      </c>
      <c r="M239" s="15">
        <f>IF(OR(M237="",I237=""),"",IF(I237&lt;=0,"",IFERROR(M237/I237-1,"")))</f>
        <v/>
      </c>
      <c r="N239" s="15">
        <f>IF(OR(N237="",J237=""),"",IF(J237&lt;=0,"",IFERROR(N237/J237-1,"")))</f>
        <v/>
      </c>
      <c r="W239" s="15">
        <f>IF(OR(W237="",V237=""),"",IF(V237&lt;=0,"",IFERROR(W237/V237-1,"")))</f>
        <v/>
      </c>
      <c r="X239" s="15">
        <f>IF(OR(X237="",W237=""),"",IF(W237&lt;=0,"",IFERROR(X237/W237-1,"")))</f>
        <v/>
      </c>
    </row>
    <row r="240">
      <c r="A240" s="18" t="inlineStr">
        <is>
          <t>기타 · 부문 이익</t>
        </is>
      </c>
      <c r="C240" s="20" t="n">
        <v>173</v>
      </c>
      <c r="E240" s="20" t="n">
        <v>115</v>
      </c>
      <c r="F240" s="20" t="n">
        <v>91</v>
      </c>
      <c r="G240" s="20" t="n">
        <v>74</v>
      </c>
      <c r="H240" s="20" t="n">
        <v>59</v>
      </c>
      <c r="I240" s="20" t="n">
        <v>138</v>
      </c>
      <c r="J240" s="20" t="n">
        <v>51</v>
      </c>
      <c r="K240" s="20" t="n">
        <v>102</v>
      </c>
      <c r="L240" s="20" t="n">
        <v>97</v>
      </c>
      <c r="M240" s="20" t="n">
        <v>90</v>
      </c>
      <c r="N240" s="20" t="n">
        <v>79</v>
      </c>
      <c r="W240" s="20" t="n">
        <v>59</v>
      </c>
      <c r="X240" s="20" t="n">
        <v>97</v>
      </c>
    </row>
    <row r="241">
      <c r="A241" s="43" t="inlineStr">
        <is>
          <t>OPM</t>
        </is>
      </c>
      <c r="B241" s="3" t="inlineStr">
        <is>
          <t>영업이익 ÷ 매출</t>
        </is>
      </c>
      <c r="C241" s="15">
        <f>IF(OR(C240="",C208=""),"",IF(C208&lt;=0,"",IFERROR(C240/C208,"")))</f>
        <v/>
      </c>
      <c r="E241" s="15">
        <f>IF(OR(E240="",E208=""),"",IF(E208&lt;=0,"",IFERROR(E240/E208,"")))</f>
        <v/>
      </c>
      <c r="F241" s="15">
        <f>IF(OR(F240="",F208=""),"",IF(F208&lt;=0,"",IFERROR(F240/F208,"")))</f>
        <v/>
      </c>
      <c r="G241" s="15">
        <f>IF(OR(G240="",G208=""),"",IF(G208&lt;=0,"",IFERROR(G240/G208,"")))</f>
        <v/>
      </c>
      <c r="H241" s="15">
        <f>IF(OR(H240="",H208=""),"",IF(H208&lt;=0,"",IFERROR(H240/H208,"")))</f>
        <v/>
      </c>
      <c r="I241" s="15">
        <f>IF(OR(I240="",I208=""),"",IF(I208&lt;=0,"",IFERROR(I240/I208,"")))</f>
        <v/>
      </c>
      <c r="J241" s="15">
        <f>IF(OR(J240="",J208=""),"",IF(J208&lt;=0,"",IFERROR(J240/J208,"")))</f>
        <v/>
      </c>
      <c r="K241" s="15">
        <f>IF(OR(K240="",K208=""),"",IF(K208&lt;=0,"",IFERROR(K240/K208,"")))</f>
        <v/>
      </c>
      <c r="L241" s="15">
        <f>IF(OR(L240="",L208=""),"",IF(L208&lt;=0,"",IFERROR(L240/L208,"")))</f>
        <v/>
      </c>
      <c r="M241" s="15">
        <f>IF(OR(M240="",M208=""),"",IF(M208&lt;=0,"",IFERROR(M240/M208,"")))</f>
        <v/>
      </c>
      <c r="N241" s="15">
        <f>IF(OR(N240="",N208=""),"",IF(N208&lt;=0,"",IFERROR(N240/N208,"")))</f>
        <v/>
      </c>
      <c r="W241" s="15">
        <f>IF(OR(W240="",W208=""),"",IF(W208&lt;=0,"",IFERROR(W240/W208,"")))</f>
        <v/>
      </c>
      <c r="X241" s="15">
        <f>IF(OR(X240="",X208=""),"",IF(X208&lt;=0,"",IFERROR(X240/X208,"")))</f>
        <v/>
      </c>
    </row>
    <row r="242">
      <c r="A242" s="43" t="inlineStr">
        <is>
          <t>YoY</t>
        </is>
      </c>
      <c r="B242" s="3" t="inlineStr">
        <is>
          <t>전년 같은 분기·전년 대비</t>
        </is>
      </c>
      <c r="G242" s="15">
        <f>IF(OR(G240="",C240=""),"",IF(C240&lt;=0,"",IFERROR(G240/C240-1,"")))</f>
        <v/>
      </c>
      <c r="H242" s="15">
        <f>IF(OR(H240="",D240=""),"",IF(D240&lt;=0,"",IFERROR(H240/D240-1,"")))</f>
        <v/>
      </c>
      <c r="I242" s="15">
        <f>IF(OR(I240="",E240=""),"",IF(E240&lt;=0,"",IFERROR(I240/E240-1,"")))</f>
        <v/>
      </c>
      <c r="J242" s="15">
        <f>IF(OR(J240="",F240=""),"",IF(F240&lt;=0,"",IFERROR(J240/F240-1,"")))</f>
        <v/>
      </c>
      <c r="K242" s="15">
        <f>IF(OR(K240="",G240=""),"",IF(G240&lt;=0,"",IFERROR(K240/G240-1,"")))</f>
        <v/>
      </c>
      <c r="L242" s="15">
        <f>IF(OR(L240="",H240=""),"",IF(H240&lt;=0,"",IFERROR(L240/H240-1,"")))</f>
        <v/>
      </c>
      <c r="M242" s="15">
        <f>IF(OR(M240="",I240=""),"",IF(I240&lt;=0,"",IFERROR(M240/I240-1,"")))</f>
        <v/>
      </c>
      <c r="N242" s="15">
        <f>IF(OR(N240="",J240=""),"",IF(J240&lt;=0,"",IFERROR(N240/J240-1,"")))</f>
        <v/>
      </c>
      <c r="W242" s="15">
        <f>IF(OR(W240="",V240=""),"",IF(V240&lt;=0,"",IFERROR(W240/V240-1,"")))</f>
        <v/>
      </c>
      <c r="X242" s="15">
        <f>IF(OR(X240="",W240=""),"",IF(W240&lt;=0,"",IFERROR(X240/W240-1,"")))</f>
        <v/>
      </c>
    </row>
    <row r="243">
      <c r="A243" s="18" t="inlineStr">
        <is>
          <t>합계 · 부문 이익</t>
        </is>
      </c>
      <c r="C243" s="20" t="n">
        <v>220</v>
      </c>
      <c r="E243" s="20" t="n">
        <v>770</v>
      </c>
      <c r="F243" s="20" t="n">
        <v>243</v>
      </c>
      <c r="G243" s="20" t="n">
        <v>332</v>
      </c>
      <c r="H243" s="20" t="n">
        <v>671</v>
      </c>
      <c r="I243" s="20" t="n">
        <v>1101</v>
      </c>
      <c r="J243" s="20" t="n">
        <v>237</v>
      </c>
      <c r="K243" s="20" t="n">
        <v>456</v>
      </c>
      <c r="L243" s="20" t="n">
        <v>821</v>
      </c>
      <c r="M243" s="20" t="n">
        <v>1280</v>
      </c>
      <c r="N243" s="20" t="n">
        <v>400</v>
      </c>
      <c r="W243" s="20" t="n">
        <v>671</v>
      </c>
      <c r="X243" s="20" t="n">
        <v>821</v>
      </c>
    </row>
    <row r="244">
      <c r="A244" s="43" t="inlineStr">
        <is>
          <t>OPM</t>
        </is>
      </c>
      <c r="B244" s="3" t="inlineStr">
        <is>
          <t>영업이익 ÷ 매출</t>
        </is>
      </c>
      <c r="C244" s="15">
        <f>IF(OR(C243="",C210=""),"",IF(C210&lt;=0,"",IFERROR(C243/C210,"")))</f>
        <v/>
      </c>
      <c r="E244" s="15">
        <f>IF(OR(E243="",E210=""),"",IF(E210&lt;=0,"",IFERROR(E243/E210,"")))</f>
        <v/>
      </c>
      <c r="F244" s="15">
        <f>IF(OR(F243="",F210=""),"",IF(F210&lt;=0,"",IFERROR(F243/F210,"")))</f>
        <v/>
      </c>
      <c r="G244" s="15">
        <f>IF(OR(G243="",G210=""),"",IF(G210&lt;=0,"",IFERROR(G243/G210,"")))</f>
        <v/>
      </c>
      <c r="H244" s="15">
        <f>IF(OR(H243="",H210=""),"",IF(H210&lt;=0,"",IFERROR(H243/H210,"")))</f>
        <v/>
      </c>
      <c r="I244" s="15">
        <f>IF(OR(I243="",I210=""),"",IF(I210&lt;=0,"",IFERROR(I243/I210,"")))</f>
        <v/>
      </c>
      <c r="J244" s="15">
        <f>IF(OR(J243="",J210=""),"",IF(J210&lt;=0,"",IFERROR(J243/J210,"")))</f>
        <v/>
      </c>
      <c r="K244" s="15">
        <f>IF(OR(K243="",K210=""),"",IF(K210&lt;=0,"",IFERROR(K243/K210,"")))</f>
        <v/>
      </c>
      <c r="L244" s="15">
        <f>IF(OR(L243="",L210=""),"",IF(L210&lt;=0,"",IFERROR(L243/L210,"")))</f>
        <v/>
      </c>
      <c r="M244" s="15">
        <f>IF(OR(M243="",M210=""),"",IF(M210&lt;=0,"",IFERROR(M243/M210,"")))</f>
        <v/>
      </c>
      <c r="N244" s="15">
        <f>IF(OR(N243="",N210=""),"",IF(N210&lt;=0,"",IFERROR(N243/N210,"")))</f>
        <v/>
      </c>
      <c r="W244" s="15">
        <f>IF(OR(W243="",W210=""),"",IF(W210&lt;=0,"",IFERROR(W243/W210,"")))</f>
        <v/>
      </c>
      <c r="X244" s="15">
        <f>IF(OR(X243="",X210=""),"",IF(X210&lt;=0,"",IFERROR(X243/X210,"")))</f>
        <v/>
      </c>
    </row>
    <row r="245">
      <c r="A245" s="43" t="inlineStr">
        <is>
          <t>YoY</t>
        </is>
      </c>
      <c r="B245" s="3" t="inlineStr">
        <is>
          <t>전년 같은 분기·전년 대비</t>
        </is>
      </c>
      <c r="G245" s="15">
        <f>IF(OR(G243="",C243=""),"",IF(C243&lt;=0,"",IFERROR(G243/C243-1,"")))</f>
        <v/>
      </c>
      <c r="H245" s="15">
        <f>IF(OR(H243="",D243=""),"",IF(D243&lt;=0,"",IFERROR(H243/D243-1,"")))</f>
        <v/>
      </c>
      <c r="I245" s="15">
        <f>IF(OR(I243="",E243=""),"",IF(E243&lt;=0,"",IFERROR(I243/E243-1,"")))</f>
        <v/>
      </c>
      <c r="J245" s="15">
        <f>IF(OR(J243="",F243=""),"",IF(F243&lt;=0,"",IFERROR(J243/F243-1,"")))</f>
        <v/>
      </c>
      <c r="K245" s="15">
        <f>IF(OR(K243="",G243=""),"",IF(G243&lt;=0,"",IFERROR(K243/G243-1,"")))</f>
        <v/>
      </c>
      <c r="L245" s="15">
        <f>IF(OR(L243="",H243=""),"",IF(H243&lt;=0,"",IFERROR(L243/H243-1,"")))</f>
        <v/>
      </c>
      <c r="M245" s="15">
        <f>IF(OR(M243="",I243=""),"",IF(I243&lt;=0,"",IFERROR(M243/I243-1,"")))</f>
        <v/>
      </c>
      <c r="N245" s="15">
        <f>IF(OR(N243="",J243=""),"",IF(J243&lt;=0,"",IFERROR(N243/J243-1,"")))</f>
        <v/>
      </c>
      <c r="W245" s="15">
        <f>IF(OR(W243="",V243=""),"",IF(V243&lt;=0,"",IFERROR(W243/V243-1,"")))</f>
        <v/>
      </c>
      <c r="X245" s="15">
        <f>IF(OR(X243="",W243=""),"",IF(W243&lt;=0,"",IFERROR(X243/W243-1,"")))</f>
        <v/>
      </c>
    </row>
    <row r="246">
      <c r="A246" s="18" t="inlineStr">
        <is>
          <t>조정액 · 부문 이익</t>
        </is>
      </c>
      <c r="C246" s="20" t="n">
        <v>0</v>
      </c>
      <c r="E246" s="20" t="n">
        <v>0</v>
      </c>
      <c r="F246" s="20" t="n">
        <v>0</v>
      </c>
      <c r="G246" s="20" t="n">
        <v>0</v>
      </c>
      <c r="H246" s="20" t="n">
        <v>0</v>
      </c>
      <c r="I246" s="20" t="n">
        <v>0</v>
      </c>
      <c r="J246" s="20" t="n">
        <v>0</v>
      </c>
      <c r="K246" s="20" t="n">
        <v>0</v>
      </c>
      <c r="L246" s="20" t="n">
        <v>0</v>
      </c>
      <c r="M246" s="20" t="n">
        <v>0</v>
      </c>
      <c r="N246" s="20" t="n">
        <v>0</v>
      </c>
      <c r="W246" s="20" t="n">
        <v>0</v>
      </c>
      <c r="X246" s="20" t="n">
        <v>0</v>
      </c>
    </row>
    <row r="247">
      <c r="A247" s="18" t="inlineStr">
        <is>
          <t>EntityTotalMember · 부문 이익</t>
        </is>
      </c>
      <c r="I247" s="20" t="n">
        <v>1101</v>
      </c>
      <c r="M247" s="20" t="n">
        <v>1280</v>
      </c>
    </row>
    <row r="248">
      <c r="A248" s="9" t="inlineStr">
        <is>
          <t>부문 이익</t>
        </is>
      </c>
      <c r="C248" s="12" t="n">
        <v>220</v>
      </c>
      <c r="E248" s="12" t="n">
        <v>770</v>
      </c>
      <c r="F248" s="12" t="n">
        <v>243</v>
      </c>
      <c r="G248" s="12" t="n">
        <v>332</v>
      </c>
      <c r="H248" s="12" t="n">
        <v>671</v>
      </c>
      <c r="I248" s="12" t="n">
        <v>1101</v>
      </c>
      <c r="J248" s="12" t="n">
        <v>237</v>
      </c>
      <c r="K248" s="12" t="n">
        <v>456</v>
      </c>
      <c r="L248" s="12" t="n">
        <v>821</v>
      </c>
      <c r="W248" s="12" t="n">
        <v>671</v>
      </c>
      <c r="X248" s="12" t="n">
        <v>821</v>
      </c>
    </row>
    <row r="249">
      <c r="A249" s="43" t="inlineStr">
        <is>
          <t>OPM</t>
        </is>
      </c>
      <c r="B249" s="3" t="inlineStr">
        <is>
          <t>영업이익 ÷ 매출</t>
        </is>
      </c>
      <c r="C249" s="15">
        <f>IF(OR(C248="",C180=""),"",IF(C180&lt;=0,"",IFERROR(C248/C180,"")))</f>
        <v/>
      </c>
      <c r="E249" s="15">
        <f>IF(OR(E248="",E180=""),"",IF(E180&lt;=0,"",IFERROR(E248/E180,"")))</f>
        <v/>
      </c>
      <c r="F249" s="15">
        <f>IF(OR(F248="",F180=""),"",IF(F180&lt;=0,"",IFERROR(F248/F180,"")))</f>
        <v/>
      </c>
      <c r="G249" s="15">
        <f>IF(OR(G248="",G180=""),"",IF(G180&lt;=0,"",IFERROR(G248/G180,"")))</f>
        <v/>
      </c>
      <c r="H249" s="15">
        <f>IF(OR(H248="",H180=""),"",IF(H180&lt;=0,"",IFERROR(H248/H180,"")))</f>
        <v/>
      </c>
      <c r="I249" s="15">
        <f>IF(OR(I248="",I180=""),"",IF(I180&lt;=0,"",IFERROR(I248/I180,"")))</f>
        <v/>
      </c>
      <c r="J249" s="15">
        <f>IF(OR(J248="",J180=""),"",IF(J180&lt;=0,"",IFERROR(J248/J180,"")))</f>
        <v/>
      </c>
      <c r="K249" s="15">
        <f>IF(OR(K248="",K180=""),"",IF(K180&lt;=0,"",IFERROR(K248/K180,"")))</f>
        <v/>
      </c>
      <c r="L249" s="15">
        <f>IF(OR(L248="",L180=""),"",IF(L180&lt;=0,"",IFERROR(L248/L180,"")))</f>
        <v/>
      </c>
      <c r="W249" s="15">
        <f>IF(OR(W248="",W180=""),"",IF(W180&lt;=0,"",IFERROR(W248/W180,"")))</f>
        <v/>
      </c>
      <c r="X249" s="15">
        <f>IF(OR(X248="",X180=""),"",IF(X180&lt;=0,"",IFERROR(X248/X180,"")))</f>
        <v/>
      </c>
    </row>
    <row r="250">
      <c r="A250" s="43" t="inlineStr">
        <is>
          <t>YoY</t>
        </is>
      </c>
      <c r="B250" s="3" t="inlineStr">
        <is>
          <t>전년 같은 분기·전년 대비</t>
        </is>
      </c>
      <c r="G250" s="15">
        <f>IF(OR(G248="",C248=""),"",IF(C248&lt;=0,"",IFERROR(G248/C248-1,"")))</f>
        <v/>
      </c>
      <c r="H250" s="15">
        <f>IF(OR(H248="",D248=""),"",IF(D248&lt;=0,"",IFERROR(H248/D248-1,"")))</f>
        <v/>
      </c>
      <c r="I250" s="15">
        <f>IF(OR(I248="",E248=""),"",IF(E248&lt;=0,"",IFERROR(I248/E248-1,"")))</f>
        <v/>
      </c>
      <c r="J250" s="15">
        <f>IF(OR(J248="",F248=""),"",IF(F248&lt;=0,"",IFERROR(J248/F248-1,"")))</f>
        <v/>
      </c>
      <c r="K250" s="15">
        <f>IF(OR(K248="",G248=""),"",IF(G248&lt;=0,"",IFERROR(K248/G248-1,"")))</f>
        <v/>
      </c>
      <c r="L250" s="15">
        <f>IF(OR(L248="",H248=""),"",IF(H248&lt;=0,"",IFERROR(L248/H248-1,"")))</f>
        <v/>
      </c>
      <c r="W250" s="15">
        <f>IF(OR(W248="",V248=""),"",IF(V248&lt;=0,"",IFERROR(W248/V248-1,"")))</f>
        <v/>
      </c>
      <c r="X250" s="15">
        <f>IF(OR(X248="",W248=""),"",IF(W248&lt;=0,"",IFERROR(X248/W248-1,"")))</f>
        <v/>
      </c>
    </row>
    <row r="251">
      <c r="A251" s="18" t="inlineStr">
        <is>
          <t>PowerSystemsBusinessUnitReportableSegmentsMember · 외부 고객 매출</t>
        </is>
      </c>
      <c r="E251" s="20" t="n">
        <v>2460</v>
      </c>
      <c r="I251" s="20" t="n">
        <v>2502</v>
      </c>
      <c r="M251" s="20" t="n">
        <v>2434</v>
      </c>
    </row>
    <row r="252">
      <c r="A252" s="43" t="inlineStr">
        <is>
          <t>YoY</t>
        </is>
      </c>
      <c r="B252" s="3" t="inlineStr">
        <is>
          <t>전년 같은 분기·전년 대비</t>
        </is>
      </c>
      <c r="I252" s="15">
        <f>IF(OR(I251="",E251=""),"",IF(E251&lt;=0,"",IFERROR(I251/E251-1,"")))</f>
        <v/>
      </c>
      <c r="M252" s="15">
        <f>IF(OR(M251="",I251=""),"",IF(I251&lt;=0,"",IFERROR(M251/I251-1,"")))</f>
        <v/>
      </c>
    </row>
    <row r="253">
      <c r="A253" s="18" t="inlineStr">
        <is>
          <t>EnvironmentalEnergyAndControlSystemsBusinessUnitReportableSegmentsMember · 외부 고객 매출</t>
        </is>
      </c>
      <c r="E253" s="20" t="n">
        <v>2945</v>
      </c>
      <c r="I253" s="20" t="n">
        <v>3555</v>
      </c>
      <c r="M253" s="20" t="n">
        <v>3929</v>
      </c>
    </row>
    <row r="254">
      <c r="A254" s="43" t="inlineStr">
        <is>
          <t>YoY</t>
        </is>
      </c>
      <c r="B254" s="3" t="inlineStr">
        <is>
          <t>전년 같은 분기·전년 대비</t>
        </is>
      </c>
      <c r="I254" s="15">
        <f>IF(OR(I253="",E253=""),"",IF(E253&lt;=0,"",IFERROR(I253/E253-1,"")))</f>
        <v/>
      </c>
      <c r="M254" s="15">
        <f>IF(OR(M253="",I253=""),"",IF(I253&lt;=0,"",IFERROR(M253/I253-1,"")))</f>
        <v/>
      </c>
    </row>
    <row r="255">
      <c r="A255" s="18" t="inlineStr">
        <is>
          <t>ITSystemSolutionsBusinessUnitReportableSegmentsMember · 외부 고객 매출</t>
        </is>
      </c>
      <c r="E255" s="20" t="n">
        <v>430</v>
      </c>
      <c r="I255" s="20" t="n">
        <v>386</v>
      </c>
      <c r="M255" s="20" t="n">
        <v>439</v>
      </c>
    </row>
    <row r="256">
      <c r="A256" s="43" t="inlineStr">
        <is>
          <t>YoY</t>
        </is>
      </c>
      <c r="B256" s="3" t="inlineStr">
        <is>
          <t>전년 같은 분기·전년 대비</t>
        </is>
      </c>
      <c r="I256" s="15">
        <f>IF(OR(I255="",E255=""),"",IF(E255&lt;=0,"",IFERROR(I255/E255-1,"")))</f>
        <v/>
      </c>
      <c r="M256" s="15">
        <f>IF(OR(M255="",I255=""),"",IF(I255&lt;=0,"",IFERROR(M255/I255-1,"")))</f>
        <v/>
      </c>
    </row>
    <row r="258">
      <c r="A258" s="16" t="inlineStr">
        <is>
          <t>현금흐름표 · 전 항목</t>
        </is>
      </c>
      <c r="B258" s="42" t="inlineStr">
        <is>
          <t>분기 = 결산기 첫날부터 누계(공시 그대로)</t>
        </is>
      </c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  <c r="AA258" s="16" t="n"/>
      <c r="AB258" s="16" t="n"/>
      <c r="AC258" s="16" t="n"/>
    </row>
    <row r="259">
      <c r="A259" s="5" t="inlineStr">
        <is>
          <t>항목</t>
        </is>
      </c>
      <c r="B259" s="5" t="inlineStr">
        <is>
          <t>참고</t>
        </is>
      </c>
      <c r="C259" s="5" t="inlineStr">
        <is>
          <t>2023.3Q</t>
        </is>
      </c>
      <c r="D259" s="5" t="inlineStr">
        <is>
          <t>2023.4Q</t>
        </is>
      </c>
      <c r="E259" s="5" t="inlineStr">
        <is>
          <t>2024.1Q</t>
        </is>
      </c>
      <c r="F259" s="5" t="inlineStr">
        <is>
          <t>2024.2Q</t>
        </is>
      </c>
      <c r="G259" s="5" t="inlineStr">
        <is>
          <t>2024.3Q</t>
        </is>
      </c>
      <c r="H259" s="5" t="inlineStr">
        <is>
          <t>2024.4Q</t>
        </is>
      </c>
      <c r="I259" s="5" t="inlineStr">
        <is>
          <t>2025.1Q</t>
        </is>
      </c>
      <c r="J259" s="5" t="inlineStr">
        <is>
          <t>2025.2Q</t>
        </is>
      </c>
      <c r="K259" s="5" t="inlineStr">
        <is>
          <t>2025.3Q</t>
        </is>
      </c>
      <c r="L259" s="5" t="inlineStr">
        <is>
          <t>2025.4Q</t>
        </is>
      </c>
      <c r="M259" s="5" t="inlineStr">
        <is>
          <t>2026.1Q</t>
        </is>
      </c>
      <c r="N259" s="5" t="inlineStr">
        <is>
          <t>2026.2Q</t>
        </is>
      </c>
      <c r="O259" s="5" t="inlineStr">
        <is>
          <t>2016</t>
        </is>
      </c>
      <c r="P259" s="5" t="inlineStr">
        <is>
          <t>2017</t>
        </is>
      </c>
      <c r="Q259" s="5" t="inlineStr">
        <is>
          <t>2018</t>
        </is>
      </c>
      <c r="R259" s="5" t="inlineStr">
        <is>
          <t>2019</t>
        </is>
      </c>
      <c r="S259" s="5" t="inlineStr">
        <is>
          <t>2020</t>
        </is>
      </c>
      <c r="T259" s="5" t="inlineStr">
        <is>
          <t>2021</t>
        </is>
      </c>
      <c r="U259" s="5" t="inlineStr">
        <is>
          <t>2022</t>
        </is>
      </c>
      <c r="V259" s="5" t="inlineStr">
        <is>
          <t>2023</t>
        </is>
      </c>
      <c r="W259" s="5" t="inlineStr">
        <is>
          <t>2024</t>
        </is>
      </c>
      <c r="X259" s="5" t="inlineStr">
        <is>
          <t>2025</t>
        </is>
      </c>
      <c r="Y259" s="5" t="inlineStr">
        <is>
          <t>2026(MW)</t>
        </is>
      </c>
      <c r="Z259" s="5" t="inlineStr">
        <is>
          <t>2027(MW)</t>
        </is>
      </c>
      <c r="AA259" s="5" t="inlineStr">
        <is>
          <t>2028(MW)</t>
        </is>
      </c>
      <c r="AB259" s="5" t="inlineStr">
        <is>
          <t>2029(MW)</t>
        </is>
      </c>
      <c r="AC259" s="5" t="inlineStr">
        <is>
          <t>2030(MW)</t>
        </is>
      </c>
    </row>
    <row r="260">
      <c r="A260" s="9" t="inlineStr">
        <is>
          <t>법인세차감전 순이익</t>
        </is>
      </c>
      <c r="D260" s="12" t="n">
        <v>1816</v>
      </c>
      <c r="F260" s="12" t="n">
        <v>1297</v>
      </c>
      <c r="H260" s="12" t="n">
        <v>2359</v>
      </c>
      <c r="J260" s="12" t="n">
        <v>1529</v>
      </c>
      <c r="L260" s="12" t="n">
        <v>3126</v>
      </c>
      <c r="N260" s="12" t="n">
        <v>2028</v>
      </c>
      <c r="O260" s="12" t="n">
        <v>1052</v>
      </c>
      <c r="P260" s="12" t="n">
        <v>877</v>
      </c>
      <c r="Q260" s="12" t="n">
        <v>943</v>
      </c>
      <c r="R260" s="12" t="n">
        <v>1006</v>
      </c>
      <c r="S260" s="12" t="n">
        <v>1347</v>
      </c>
      <c r="T260" s="12" t="n">
        <v>1540</v>
      </c>
      <c r="U260" s="12" t="n">
        <v>1612</v>
      </c>
      <c r="V260" s="12" t="n">
        <v>1816</v>
      </c>
      <c r="W260" s="12" t="n">
        <v>2359</v>
      </c>
      <c r="X260" s="12" t="n">
        <v>3126</v>
      </c>
    </row>
    <row r="261">
      <c r="A261" s="18" t="inlineStr">
        <is>
          <t>감가상각비</t>
        </is>
      </c>
      <c r="D261" s="20" t="n">
        <v>388</v>
      </c>
      <c r="F261" s="20" t="n">
        <v>198</v>
      </c>
      <c r="H261" s="20" t="n">
        <v>405</v>
      </c>
      <c r="J261" s="20" t="n">
        <v>212</v>
      </c>
      <c r="L261" s="20" t="n">
        <v>440</v>
      </c>
      <c r="N261" s="20" t="n">
        <v>235</v>
      </c>
      <c r="O261" s="20" t="n">
        <v>309</v>
      </c>
      <c r="P261" s="20" t="n">
        <v>291</v>
      </c>
      <c r="Q261" s="20" t="n">
        <v>282</v>
      </c>
      <c r="R261" s="20" t="n">
        <v>294</v>
      </c>
      <c r="S261" s="20" t="n">
        <v>316</v>
      </c>
      <c r="T261" s="20" t="n">
        <v>319</v>
      </c>
      <c r="U261" s="20" t="n">
        <v>387</v>
      </c>
      <c r="V261" s="20" t="n">
        <v>388</v>
      </c>
      <c r="W261" s="20" t="n">
        <v>405</v>
      </c>
      <c r="X261" s="20" t="n">
        <v>440</v>
      </c>
    </row>
    <row r="262">
      <c r="A262" s="18" t="inlineStr">
        <is>
          <t>영업권 상각</t>
        </is>
      </c>
      <c r="D262" s="20" t="n">
        <v>0</v>
      </c>
      <c r="O262" s="20" t="n">
        <v>0</v>
      </c>
      <c r="P262" s="20" t="n">
        <v>17</v>
      </c>
      <c r="Q262" s="20" t="n">
        <v>23</v>
      </c>
      <c r="R262" s="20" t="n">
        <v>23</v>
      </c>
      <c r="S262" s="20" t="n">
        <v>23</v>
      </c>
      <c r="T262" s="20" t="n">
        <v>23</v>
      </c>
      <c r="U262" s="20" t="n">
        <v>5</v>
      </c>
      <c r="V262" s="20" t="n">
        <v>0</v>
      </c>
    </row>
    <row r="263">
      <c r="A263" s="18" t="inlineStr">
        <is>
          <t>퇴직급여부채 증감</t>
        </is>
      </c>
      <c r="D263" s="20" t="n">
        <v>-87</v>
      </c>
      <c r="F263" s="20" t="n">
        <v>-54</v>
      </c>
      <c r="H263" s="20" t="n">
        <v>-86</v>
      </c>
      <c r="J263" s="20" t="n">
        <v>5</v>
      </c>
      <c r="L263" s="20" t="n">
        <v>27</v>
      </c>
      <c r="N263" s="20" t="n">
        <v>-33</v>
      </c>
      <c r="O263" s="20" t="n">
        <v>45</v>
      </c>
      <c r="P263" s="20" t="n">
        <v>74</v>
      </c>
      <c r="Q263" s="20" t="n">
        <v>14</v>
      </c>
      <c r="R263" s="20" t="n">
        <v>50</v>
      </c>
      <c r="S263" s="20" t="n">
        <v>55</v>
      </c>
      <c r="T263" s="20" t="n">
        <v>69</v>
      </c>
      <c r="U263" s="20" t="n">
        <v>-6</v>
      </c>
      <c r="V263" s="20" t="n">
        <v>-87</v>
      </c>
      <c r="W263" s="20" t="n">
        <v>-86</v>
      </c>
      <c r="X263" s="20" t="n">
        <v>27</v>
      </c>
    </row>
    <row r="264">
      <c r="A264" s="18" t="inlineStr">
        <is>
          <t>대손충당금 증감</t>
        </is>
      </c>
      <c r="D264" s="20" t="n">
        <v>-0</v>
      </c>
      <c r="F264" s="20" t="n">
        <v>-3</v>
      </c>
      <c r="H264" s="20" t="n">
        <v>-2</v>
      </c>
      <c r="J264" s="20" t="n">
        <v>-0</v>
      </c>
      <c r="L264" s="20" t="n">
        <v>-1</v>
      </c>
      <c r="N264" s="20" t="n">
        <v>0</v>
      </c>
      <c r="O264" s="20" t="n">
        <v>35</v>
      </c>
      <c r="P264" s="20" t="n">
        <v>-11</v>
      </c>
      <c r="Q264" s="20" t="n">
        <v>-6</v>
      </c>
      <c r="R264" s="20" t="n">
        <v>-0</v>
      </c>
      <c r="S264" s="20" t="n">
        <v>-4</v>
      </c>
      <c r="T264" s="20" t="n">
        <v>-1</v>
      </c>
      <c r="U264" s="20" t="n">
        <v>2</v>
      </c>
      <c r="V264" s="20" t="n">
        <v>-0</v>
      </c>
      <c r="W264" s="20" t="n">
        <v>-2</v>
      </c>
      <c r="X264" s="20" t="n">
        <v>-1</v>
      </c>
    </row>
    <row r="265">
      <c r="A265" s="18" t="inlineStr">
        <is>
          <t>이자·배당금 수익</t>
        </is>
      </c>
      <c r="D265" s="20" t="n">
        <v>-93</v>
      </c>
      <c r="F265" s="20" t="n">
        <v>-49</v>
      </c>
      <c r="H265" s="20" t="n">
        <v>-105</v>
      </c>
      <c r="J265" s="20" t="n">
        <v>-54</v>
      </c>
      <c r="L265" s="20" t="n">
        <v>-123</v>
      </c>
      <c r="N265" s="20" t="n">
        <v>-78</v>
      </c>
      <c r="O265" s="20" t="n">
        <v>-51</v>
      </c>
      <c r="P265" s="20" t="n">
        <v>-72</v>
      </c>
      <c r="Q265" s="20" t="n">
        <v>-84</v>
      </c>
      <c r="R265" s="20" t="n">
        <v>-84</v>
      </c>
      <c r="S265" s="20" t="n">
        <v>-81</v>
      </c>
      <c r="T265" s="20" t="n">
        <v>-82</v>
      </c>
      <c r="U265" s="20" t="n">
        <v>-84</v>
      </c>
      <c r="V265" s="20" t="n">
        <v>-93</v>
      </c>
      <c r="W265" s="20" t="n">
        <v>-105</v>
      </c>
      <c r="X265" s="20" t="n">
        <v>-123</v>
      </c>
    </row>
    <row r="266">
      <c r="A266" s="18" t="inlineStr">
        <is>
          <t>이자비용</t>
        </is>
      </c>
      <c r="D266" s="20" t="n">
        <v>35</v>
      </c>
      <c r="F266" s="20" t="n">
        <v>12</v>
      </c>
      <c r="H266" s="20" t="n">
        <v>22</v>
      </c>
      <c r="J266" s="20" t="n">
        <v>14</v>
      </c>
      <c r="L266" s="20" t="n">
        <v>23</v>
      </c>
      <c r="N266" s="20" t="n">
        <v>17</v>
      </c>
      <c r="O266" s="20" t="n">
        <v>37</v>
      </c>
      <c r="P266" s="20" t="n">
        <v>41</v>
      </c>
      <c r="Q266" s="20" t="n">
        <v>32</v>
      </c>
      <c r="R266" s="20" t="n">
        <v>23</v>
      </c>
      <c r="S266" s="20" t="n">
        <v>25</v>
      </c>
      <c r="T266" s="20" t="n">
        <v>26</v>
      </c>
      <c r="U266" s="20" t="n">
        <v>33</v>
      </c>
      <c r="V266" s="20" t="n">
        <v>35</v>
      </c>
      <c r="W266" s="20" t="n">
        <v>22</v>
      </c>
      <c r="X266" s="20" t="n">
        <v>23</v>
      </c>
    </row>
    <row r="267">
      <c r="A267" s="18" t="inlineStr">
        <is>
          <t>지분법손익</t>
        </is>
      </c>
      <c r="O267" s="20" t="n">
        <v>0</v>
      </c>
      <c r="P267" s="20" t="n">
        <v>3</v>
      </c>
      <c r="Q267" s="20" t="n">
        <v>1</v>
      </c>
      <c r="R267" s="20" t="n">
        <v>0</v>
      </c>
    </row>
    <row r="268">
      <c r="A268" s="18" t="inlineStr">
        <is>
          <t>부의 영업권 발생이익</t>
        </is>
      </c>
      <c r="O268" s="20" t="n">
        <v>-238</v>
      </c>
      <c r="P268" s="20" t="n">
        <v>0</v>
      </c>
    </row>
    <row r="269">
      <c r="A269" s="18" t="inlineStr">
        <is>
          <t>단계적 취득 차손익</t>
        </is>
      </c>
      <c r="O269" s="20" t="n">
        <v>48</v>
      </c>
      <c r="P269" s="20" t="n">
        <v>0</v>
      </c>
    </row>
    <row r="270">
      <c r="A270" s="18" t="inlineStr">
        <is>
          <t>유형자산 매각손익</t>
        </is>
      </c>
      <c r="D270" s="20" t="n">
        <v>-70</v>
      </c>
      <c r="F270" s="20" t="n">
        <v>-218</v>
      </c>
      <c r="J270" s="20" t="n">
        <v>0</v>
      </c>
      <c r="U270" s="20" t="n">
        <v>-0</v>
      </c>
      <c r="V270" s="20" t="n">
        <v>-70</v>
      </c>
    </row>
    <row r="271">
      <c r="A271" s="18" t="inlineStr">
        <is>
          <t>투자유가증권 매각손익</t>
        </is>
      </c>
      <c r="D271" s="20" t="n">
        <v>-50</v>
      </c>
      <c r="H271" s="20" t="n">
        <v>-144</v>
      </c>
      <c r="J271" s="20" t="n">
        <v>-179</v>
      </c>
      <c r="L271" s="20" t="n">
        <v>-444</v>
      </c>
      <c r="N271" s="20" t="n">
        <v>-248</v>
      </c>
      <c r="T271" s="20" t="n">
        <v>0</v>
      </c>
      <c r="U271" s="20" t="n">
        <v>-64</v>
      </c>
      <c r="V271" s="20" t="n">
        <v>-50</v>
      </c>
      <c r="W271" s="20" t="n">
        <v>-144</v>
      </c>
      <c r="X271" s="20" t="n">
        <v>-444</v>
      </c>
    </row>
    <row r="272">
      <c r="A272" s="18" t="inlineStr">
        <is>
          <t>투자유가증권 평가손익</t>
        </is>
      </c>
      <c r="R272" s="20" t="n">
        <v>0</v>
      </c>
      <c r="S272" s="20" t="n">
        <v>37</v>
      </c>
      <c r="T272" s="20" t="n">
        <v>0</v>
      </c>
      <c r="U272" s="20" t="n">
        <v>0</v>
      </c>
    </row>
    <row r="273">
      <c r="A273" s="18" t="inlineStr">
        <is>
          <t>선수금 증감</t>
        </is>
      </c>
      <c r="O273" s="20" t="n">
        <v>80</v>
      </c>
      <c r="P273" s="20" t="n">
        <v>-51</v>
      </c>
      <c r="Q273" s="20" t="n">
        <v>942</v>
      </c>
      <c r="R273" s="20" t="n">
        <v>-638</v>
      </c>
      <c r="S273" s="20" t="n">
        <v>-250</v>
      </c>
      <c r="T273" s="20" t="n">
        <v>-20</v>
      </c>
      <c r="U273" s="20" t="n">
        <v>0</v>
      </c>
    </row>
    <row r="274">
      <c r="A274" s="18" t="inlineStr">
        <is>
          <t>계약부채 증감</t>
        </is>
      </c>
      <c r="D274" s="20" t="n">
        <v>-366</v>
      </c>
      <c r="T274" s="20" t="n">
        <v>0</v>
      </c>
      <c r="U274" s="20" t="n">
        <v>252</v>
      </c>
      <c r="V274" s="20" t="n">
        <v>-366</v>
      </c>
    </row>
    <row r="275">
      <c r="A275" s="18" t="inlineStr">
        <is>
          <t>매출채권 증감</t>
        </is>
      </c>
      <c r="D275" s="20" t="n">
        <v>805</v>
      </c>
      <c r="F275" s="20" t="n">
        <v>2928</v>
      </c>
      <c r="H275" s="20" t="n">
        <v>-570</v>
      </c>
      <c r="J275" s="20" t="n">
        <v>6451</v>
      </c>
      <c r="L275" s="20" t="n">
        <v>-1147</v>
      </c>
      <c r="N275" s="20" t="n">
        <v>6053</v>
      </c>
      <c r="O275" s="20" t="n">
        <v>-262</v>
      </c>
      <c r="P275" s="20" t="n">
        <v>-1626</v>
      </c>
      <c r="Q275" s="20" t="n">
        <v>-2005</v>
      </c>
      <c r="R275" s="20" t="n">
        <v>1195</v>
      </c>
      <c r="S275" s="20" t="n">
        <v>-833</v>
      </c>
      <c r="T275" s="20" t="n">
        <v>-1219</v>
      </c>
      <c r="U275" s="20" t="n">
        <v>-1788</v>
      </c>
      <c r="V275" s="20" t="n">
        <v>805</v>
      </c>
      <c r="W275" s="20" t="n">
        <v>-570</v>
      </c>
      <c r="X275" s="20" t="n">
        <v>-1147</v>
      </c>
    </row>
    <row r="276">
      <c r="A276" s="18" t="inlineStr">
        <is>
          <t>재고자산 증감</t>
        </is>
      </c>
      <c r="D276" s="20" t="n">
        <v>-66</v>
      </c>
      <c r="F276" s="20" t="n">
        <v>29</v>
      </c>
      <c r="H276" s="20" t="n">
        <v>-132</v>
      </c>
      <c r="J276" s="20" t="n">
        <v>193</v>
      </c>
      <c r="L276" s="20" t="n">
        <v>-159</v>
      </c>
      <c r="N276" s="20" t="n">
        <v>-57</v>
      </c>
      <c r="O276" s="20" t="n">
        <v>276</v>
      </c>
      <c r="P276" s="20" t="n">
        <v>-73</v>
      </c>
      <c r="Q276" s="20" t="n">
        <v>-105</v>
      </c>
      <c r="R276" s="20" t="n">
        <v>-448</v>
      </c>
      <c r="S276" s="20" t="n">
        <v>-422</v>
      </c>
      <c r="T276" s="20" t="n">
        <v>650</v>
      </c>
      <c r="U276" s="20" t="n">
        <v>45</v>
      </c>
      <c r="V276" s="20" t="n">
        <v>-66</v>
      </c>
      <c r="W276" s="20" t="n">
        <v>-132</v>
      </c>
      <c r="X276" s="20" t="n">
        <v>-159</v>
      </c>
    </row>
    <row r="277">
      <c r="A277" s="18" t="inlineStr">
        <is>
          <t>매입채무 증감</t>
        </is>
      </c>
      <c r="D277" s="20" t="n">
        <v>1226</v>
      </c>
      <c r="F277" s="20" t="n">
        <v>-872</v>
      </c>
      <c r="H277" s="20" t="n">
        <v>-852</v>
      </c>
      <c r="J277" s="20" t="n">
        <v>-2579</v>
      </c>
      <c r="L277" s="20" t="n">
        <v>1485</v>
      </c>
      <c r="N277" s="20" t="n">
        <v>-1896</v>
      </c>
      <c r="O277" s="20" t="n">
        <v>-829</v>
      </c>
      <c r="P277" s="20" t="n">
        <v>321</v>
      </c>
      <c r="Q277" s="20" t="n">
        <v>879</v>
      </c>
      <c r="R277" s="20" t="n">
        <v>591</v>
      </c>
      <c r="S277" s="20" t="n">
        <v>-700</v>
      </c>
      <c r="T277" s="20" t="n">
        <v>652</v>
      </c>
      <c r="U277" s="20" t="n">
        <v>93</v>
      </c>
      <c r="V277" s="20" t="n">
        <v>1226</v>
      </c>
      <c r="W277" s="20" t="n">
        <v>-852</v>
      </c>
      <c r="X277" s="20" t="n">
        <v>1485</v>
      </c>
    </row>
    <row r="278">
      <c r="A278" s="18" t="inlineStr">
        <is>
          <t>계약부채 증감</t>
        </is>
      </c>
      <c r="F278" s="20" t="n">
        <v>99</v>
      </c>
    </row>
    <row r="279">
      <c r="A279" s="18" t="inlineStr">
        <is>
          <t>고정자산 제각손실</t>
        </is>
      </c>
      <c r="J279" s="20" t="n">
        <v>0</v>
      </c>
      <c r="N279" s="20" t="n">
        <v>15</v>
      </c>
    </row>
    <row r="280">
      <c r="A280" s="18" t="inlineStr">
        <is>
          <t>계약부채 증감</t>
        </is>
      </c>
      <c r="F280" s="20" t="n">
        <v>99</v>
      </c>
      <c r="H280" s="20" t="n">
        <v>64</v>
      </c>
      <c r="J280" s="20" t="n">
        <v>973</v>
      </c>
      <c r="L280" s="20" t="n">
        <v>1147</v>
      </c>
      <c r="N280" s="20" t="n">
        <v>1383</v>
      </c>
      <c r="W280" s="20" t="n">
        <v>64</v>
      </c>
      <c r="X280" s="20" t="n">
        <v>1147</v>
      </c>
    </row>
    <row r="281">
      <c r="A281" s="18" t="inlineStr">
        <is>
          <t>기타</t>
        </is>
      </c>
      <c r="D281" s="20" t="n">
        <v>188</v>
      </c>
      <c r="F281" s="20" t="n">
        <v>-266</v>
      </c>
      <c r="H281" s="20" t="n">
        <v>-59</v>
      </c>
      <c r="J281" s="20" t="n">
        <v>-150</v>
      </c>
      <c r="L281" s="20" t="n">
        <v>308</v>
      </c>
      <c r="N281" s="20" t="n">
        <v>392</v>
      </c>
      <c r="O281" s="20" t="n">
        <v>233</v>
      </c>
      <c r="P281" s="20" t="n">
        <v>-212</v>
      </c>
      <c r="Q281" s="20" t="n">
        <v>166</v>
      </c>
      <c r="R281" s="20" t="n">
        <v>-1</v>
      </c>
      <c r="S281" s="20" t="n">
        <v>92</v>
      </c>
      <c r="T281" s="20" t="n">
        <v>234</v>
      </c>
      <c r="U281" s="20" t="n">
        <v>-179</v>
      </c>
      <c r="V281" s="20" t="n">
        <v>188</v>
      </c>
      <c r="W281" s="20" t="n">
        <v>-59</v>
      </c>
      <c r="X281" s="20" t="n">
        <v>308</v>
      </c>
    </row>
    <row r="282">
      <c r="A282" s="18" t="inlineStr">
        <is>
          <t>소계</t>
        </is>
      </c>
      <c r="D282" s="20" t="n">
        <v>3724</v>
      </c>
      <c r="F282" s="20" t="n">
        <v>3101</v>
      </c>
      <c r="H282" s="20" t="n">
        <v>897</v>
      </c>
      <c r="J282" s="20" t="n">
        <v>6416</v>
      </c>
      <c r="L282" s="20" t="n">
        <v>4682</v>
      </c>
      <c r="N282" s="20" t="n">
        <v>7812</v>
      </c>
      <c r="O282" s="20" t="n">
        <v>739</v>
      </c>
      <c r="P282" s="20" t="n">
        <v>-418</v>
      </c>
      <c r="Q282" s="20" t="n">
        <v>1082</v>
      </c>
      <c r="R282" s="20" t="n">
        <v>2011</v>
      </c>
      <c r="S282" s="20" t="n">
        <v>-393</v>
      </c>
      <c r="T282" s="20" t="n">
        <v>2191</v>
      </c>
      <c r="U282" s="20" t="n">
        <v>310</v>
      </c>
      <c r="V282" s="20" t="n">
        <v>3724</v>
      </c>
      <c r="W282" s="20" t="n">
        <v>897</v>
      </c>
      <c r="X282" s="20" t="n">
        <v>4682</v>
      </c>
    </row>
    <row r="283">
      <c r="A283" s="18" t="inlineStr">
        <is>
          <t>이자·배당금 수취</t>
        </is>
      </c>
      <c r="D283" s="20" t="n">
        <v>93</v>
      </c>
      <c r="F283" s="20" t="n">
        <v>49</v>
      </c>
      <c r="H283" s="20" t="n">
        <v>105</v>
      </c>
      <c r="J283" s="20" t="n">
        <v>54</v>
      </c>
      <c r="L283" s="20" t="n">
        <v>123</v>
      </c>
      <c r="N283" s="20" t="n">
        <v>78</v>
      </c>
      <c r="O283" s="20" t="n">
        <v>51</v>
      </c>
      <c r="P283" s="20" t="n">
        <v>72</v>
      </c>
      <c r="Q283" s="20" t="n">
        <v>84</v>
      </c>
      <c r="R283" s="20" t="n">
        <v>84</v>
      </c>
      <c r="S283" s="20" t="n">
        <v>81</v>
      </c>
      <c r="T283" s="20" t="n">
        <v>82</v>
      </c>
      <c r="U283" s="20" t="n">
        <v>84</v>
      </c>
      <c r="V283" s="20" t="n">
        <v>93</v>
      </c>
      <c r="W283" s="20" t="n">
        <v>105</v>
      </c>
      <c r="X283" s="20" t="n">
        <v>123</v>
      </c>
    </row>
    <row r="284">
      <c r="A284" s="18" t="inlineStr">
        <is>
          <t>이자 지급</t>
        </is>
      </c>
      <c r="D284" s="20" t="n">
        <v>-34</v>
      </c>
      <c r="F284" s="20" t="n">
        <v>-12</v>
      </c>
      <c r="H284" s="20" t="n">
        <v>-24</v>
      </c>
      <c r="J284" s="20" t="n">
        <v>-14</v>
      </c>
      <c r="L284" s="20" t="n">
        <v>-21</v>
      </c>
      <c r="N284" s="20" t="n">
        <v>-15</v>
      </c>
      <c r="O284" s="20" t="n">
        <v>-36</v>
      </c>
      <c r="P284" s="20" t="n">
        <v>-39</v>
      </c>
      <c r="Q284" s="20" t="n">
        <v>-29</v>
      </c>
      <c r="R284" s="20" t="n">
        <v>-25</v>
      </c>
      <c r="S284" s="20" t="n">
        <v>-26</v>
      </c>
      <c r="T284" s="20" t="n">
        <v>-23</v>
      </c>
      <c r="U284" s="20" t="n">
        <v>-32</v>
      </c>
      <c r="V284" s="20" t="n">
        <v>-34</v>
      </c>
      <c r="W284" s="20" t="n">
        <v>-24</v>
      </c>
      <c r="X284" s="20" t="n">
        <v>-21</v>
      </c>
    </row>
    <row r="285">
      <c r="A285" s="18" t="inlineStr">
        <is>
          <t>법인세 납부</t>
        </is>
      </c>
      <c r="D285" s="20" t="n">
        <v>-593</v>
      </c>
      <c r="F285" s="20" t="n">
        <v>-367</v>
      </c>
      <c r="H285" s="20" t="n">
        <v>-638</v>
      </c>
      <c r="J285" s="20" t="n">
        <v>-572</v>
      </c>
      <c r="L285" s="20" t="n">
        <v>-976</v>
      </c>
      <c r="N285" s="20" t="n">
        <v>-674</v>
      </c>
      <c r="O285" s="20" t="n">
        <v>-590</v>
      </c>
      <c r="P285" s="20" t="n">
        <v>-207</v>
      </c>
      <c r="Q285" s="20" t="n">
        <v>-299</v>
      </c>
      <c r="R285" s="20" t="n">
        <v>-352</v>
      </c>
      <c r="S285" s="20" t="n">
        <v>-306</v>
      </c>
      <c r="T285" s="20" t="n">
        <v>-612</v>
      </c>
      <c r="U285" s="20" t="n">
        <v>-441</v>
      </c>
      <c r="V285" s="20" t="n">
        <v>-593</v>
      </c>
      <c r="W285" s="20" t="n">
        <v>-638</v>
      </c>
      <c r="X285" s="20" t="n">
        <v>-976</v>
      </c>
    </row>
    <row r="286">
      <c r="A286" s="9" t="inlineStr">
        <is>
          <t>영업활동 현금흐름</t>
        </is>
      </c>
      <c r="D286" s="12" t="n">
        <v>3190</v>
      </c>
      <c r="F286" s="12" t="n">
        <v>2770</v>
      </c>
      <c r="H286" s="12" t="n">
        <v>339</v>
      </c>
      <c r="J286" s="12" t="n">
        <v>5884</v>
      </c>
      <c r="L286" s="12" t="n">
        <v>3808</v>
      </c>
      <c r="N286" s="12" t="n">
        <v>7200</v>
      </c>
      <c r="O286" s="12" t="n">
        <v>163</v>
      </c>
      <c r="P286" s="12" t="n">
        <v>-592</v>
      </c>
      <c r="Q286" s="12" t="n">
        <v>838</v>
      </c>
      <c r="R286" s="12" t="n">
        <v>1718</v>
      </c>
      <c r="S286" s="12" t="n">
        <v>-644</v>
      </c>
      <c r="T286" s="12" t="n">
        <v>1638</v>
      </c>
      <c r="U286" s="12" t="n">
        <v>-79</v>
      </c>
      <c r="V286" s="12" t="n">
        <v>3190</v>
      </c>
      <c r="W286" s="12" t="n">
        <v>339</v>
      </c>
      <c r="X286" s="12" t="n">
        <v>3808</v>
      </c>
    </row>
    <row r="287">
      <c r="A287" s="18" t="inlineStr">
        <is>
          <t>정기예금 예입</t>
        </is>
      </c>
      <c r="D287" s="20" t="n">
        <v>-8</v>
      </c>
      <c r="F287" s="20" t="n">
        <v>-3</v>
      </c>
      <c r="H287" s="20" t="n">
        <v>-8</v>
      </c>
      <c r="J287" s="20" t="n">
        <v>-3</v>
      </c>
      <c r="L287" s="20" t="n">
        <v>-8</v>
      </c>
      <c r="O287" s="20" t="n">
        <v>-121</v>
      </c>
      <c r="P287" s="20" t="n">
        <v>-121</v>
      </c>
      <c r="Q287" s="20" t="n">
        <v>-121</v>
      </c>
      <c r="R287" s="20" t="n">
        <v>-121</v>
      </c>
      <c r="S287" s="20" t="n">
        <v>-121</v>
      </c>
      <c r="T287" s="20" t="n">
        <v>-65</v>
      </c>
      <c r="U287" s="20" t="n">
        <v>-3</v>
      </c>
      <c r="V287" s="20" t="n">
        <v>-8</v>
      </c>
      <c r="W287" s="20" t="n">
        <v>-8</v>
      </c>
      <c r="X287" s="20" t="n">
        <v>-8</v>
      </c>
    </row>
    <row r="288">
      <c r="A288" s="18" t="inlineStr">
        <is>
          <t>정기예금 인출</t>
        </is>
      </c>
      <c r="D288" s="20" t="n">
        <v>8</v>
      </c>
      <c r="F288" s="20" t="n">
        <v>3</v>
      </c>
      <c r="H288" s="20" t="n">
        <v>8</v>
      </c>
      <c r="J288" s="20" t="n">
        <v>3</v>
      </c>
      <c r="L288" s="20" t="n">
        <v>8</v>
      </c>
      <c r="O288" s="20" t="n">
        <v>121</v>
      </c>
      <c r="P288" s="20" t="n">
        <v>121</v>
      </c>
      <c r="Q288" s="20" t="n">
        <v>121</v>
      </c>
      <c r="R288" s="20" t="n">
        <v>121</v>
      </c>
      <c r="S288" s="20" t="n">
        <v>121</v>
      </c>
      <c r="T288" s="20" t="n">
        <v>131</v>
      </c>
      <c r="U288" s="20" t="n">
        <v>3</v>
      </c>
      <c r="V288" s="20" t="n">
        <v>8</v>
      </c>
      <c r="W288" s="20" t="n">
        <v>8</v>
      </c>
      <c r="X288" s="20" t="n">
        <v>8</v>
      </c>
    </row>
    <row r="289">
      <c r="A289" s="18" t="inlineStr">
        <is>
          <t>유가증권 취득</t>
        </is>
      </c>
      <c r="O289" s="20" t="n">
        <v>-147</v>
      </c>
      <c r="P289" s="20" t="n">
        <v>0</v>
      </c>
    </row>
    <row r="290">
      <c r="A290" s="18" t="inlineStr">
        <is>
          <t>유가증권 상환 수입</t>
        </is>
      </c>
      <c r="O290" s="20" t="n">
        <v>315</v>
      </c>
      <c r="P290" s="20" t="n">
        <v>0</v>
      </c>
    </row>
    <row r="291">
      <c r="A291" s="18" t="inlineStr">
        <is>
          <t>유형자산 취득(설비투자)</t>
        </is>
      </c>
      <c r="D291" s="20" t="n">
        <v>-926</v>
      </c>
      <c r="F291" s="20" t="n">
        <v>-208</v>
      </c>
      <c r="H291" s="20" t="n">
        <v>-365</v>
      </c>
      <c r="J291" s="20" t="n">
        <v>-162</v>
      </c>
      <c r="L291" s="20" t="n">
        <v>-1639</v>
      </c>
      <c r="N291" s="20" t="n">
        <v>-1913</v>
      </c>
      <c r="O291" s="20" t="n">
        <v>-118</v>
      </c>
      <c r="P291" s="20" t="n">
        <v>-102</v>
      </c>
      <c r="Q291" s="20" t="n">
        <v>-75</v>
      </c>
      <c r="R291" s="20" t="n">
        <v>-345</v>
      </c>
      <c r="S291" s="20" t="n">
        <v>-610</v>
      </c>
      <c r="T291" s="20" t="n">
        <v>-1672</v>
      </c>
      <c r="U291" s="20" t="n">
        <v>-476</v>
      </c>
      <c r="V291" s="20" t="n">
        <v>-926</v>
      </c>
      <c r="W291" s="20" t="n">
        <v>-365</v>
      </c>
      <c r="X291" s="20" t="n">
        <v>-1639</v>
      </c>
    </row>
    <row r="292">
      <c r="A292" s="18" t="inlineStr">
        <is>
          <t>유형자산 매각</t>
        </is>
      </c>
      <c r="D292" s="20" t="n">
        <v>151</v>
      </c>
      <c r="F292" s="20" t="n">
        <v>220</v>
      </c>
      <c r="J292" s="20" t="n">
        <v>0</v>
      </c>
      <c r="U292" s="20" t="n">
        <v>0</v>
      </c>
      <c r="V292" s="20" t="n">
        <v>151</v>
      </c>
    </row>
    <row r="293">
      <c r="A293" s="18" t="inlineStr">
        <is>
          <t>무형자산 취득</t>
        </is>
      </c>
      <c r="D293" s="20" t="n">
        <v>-26</v>
      </c>
      <c r="F293" s="20" t="n">
        <v>-15</v>
      </c>
      <c r="H293" s="20" t="n">
        <v>-34</v>
      </c>
      <c r="J293" s="20" t="n">
        <v>-15</v>
      </c>
      <c r="L293" s="20" t="n">
        <v>-56</v>
      </c>
      <c r="N293" s="20" t="n">
        <v>-2</v>
      </c>
      <c r="S293" s="20" t="n">
        <v>-9</v>
      </c>
      <c r="T293" s="20" t="n">
        <v>-78</v>
      </c>
      <c r="U293" s="20" t="n">
        <v>-71</v>
      </c>
      <c r="V293" s="20" t="n">
        <v>-26</v>
      </c>
      <c r="W293" s="20" t="n">
        <v>-34</v>
      </c>
      <c r="X293" s="20" t="n">
        <v>-56</v>
      </c>
    </row>
    <row r="294">
      <c r="A294" s="18" t="inlineStr">
        <is>
          <t>투자유가증권 취득</t>
        </is>
      </c>
      <c r="D294" s="20" t="n">
        <v>-84</v>
      </c>
      <c r="F294" s="20" t="n">
        <v>-3</v>
      </c>
      <c r="H294" s="20" t="n">
        <v>-35</v>
      </c>
      <c r="J294" s="20" t="n">
        <v>-29</v>
      </c>
      <c r="L294" s="20" t="n">
        <v>-61</v>
      </c>
      <c r="N294" s="20" t="n">
        <v>-22</v>
      </c>
      <c r="O294" s="20" t="n">
        <v>-45</v>
      </c>
      <c r="P294" s="20" t="n">
        <v>-12</v>
      </c>
      <c r="Q294" s="20" t="n">
        <v>-12</v>
      </c>
      <c r="R294" s="20" t="n">
        <v>-13</v>
      </c>
      <c r="S294" s="20" t="n">
        <v>-13</v>
      </c>
      <c r="T294" s="20" t="n">
        <v>-113</v>
      </c>
      <c r="U294" s="20" t="n">
        <v>-34</v>
      </c>
      <c r="V294" s="20" t="n">
        <v>-84</v>
      </c>
      <c r="W294" s="20" t="n">
        <v>-35</v>
      </c>
      <c r="X294" s="20" t="n">
        <v>-61</v>
      </c>
    </row>
    <row r="295">
      <c r="A295" s="18" t="inlineStr">
        <is>
          <t>관계회사 주식 취득</t>
        </is>
      </c>
      <c r="O295" s="20" t="n">
        <v>-40</v>
      </c>
      <c r="P295" s="20" t="n">
        <v>0</v>
      </c>
    </row>
    <row r="296">
      <c r="A296" s="18" t="inlineStr">
        <is>
          <t>연결범위 변경 자회사 주식 취득(수입)</t>
        </is>
      </c>
      <c r="O296" s="20" t="n">
        <v>13</v>
      </c>
      <c r="P296" s="20" t="n">
        <v>0</v>
      </c>
    </row>
    <row r="297">
      <c r="A297" s="18" t="inlineStr">
        <is>
          <t>투자유가증권 매각</t>
        </is>
      </c>
      <c r="D297" s="20" t="n">
        <v>117</v>
      </c>
      <c r="F297" s="20" t="n">
        <v>4</v>
      </c>
      <c r="H297" s="20" t="n">
        <v>217</v>
      </c>
      <c r="J297" s="20" t="n">
        <v>199</v>
      </c>
      <c r="L297" s="20" t="n">
        <v>484</v>
      </c>
      <c r="N297" s="20" t="n">
        <v>263</v>
      </c>
      <c r="Q297" s="20" t="n">
        <v>0</v>
      </c>
      <c r="R297" s="20" t="n">
        <v>46</v>
      </c>
      <c r="S297" s="20" t="n">
        <v>0</v>
      </c>
      <c r="T297" s="20" t="n">
        <v>0</v>
      </c>
      <c r="U297" s="20" t="n">
        <v>70</v>
      </c>
      <c r="V297" s="20" t="n">
        <v>117</v>
      </c>
      <c r="W297" s="20" t="n">
        <v>217</v>
      </c>
      <c r="X297" s="20" t="n">
        <v>484</v>
      </c>
    </row>
    <row r="298">
      <c r="A298" s="18" t="inlineStr">
        <is>
          <t>관계회사 주식 매각</t>
        </is>
      </c>
      <c r="P298" s="20" t="n">
        <v>0</v>
      </c>
      <c r="Q298" s="20" t="n">
        <v>40</v>
      </c>
      <c r="R298" s="20" t="n">
        <v>0</v>
      </c>
    </row>
    <row r="299">
      <c r="A299" s="18" t="inlineStr">
        <is>
          <t>연결범위 변경 자회사 주식 취득</t>
        </is>
      </c>
      <c r="O299" s="20" t="n">
        <v>0</v>
      </c>
      <c r="P299" s="20" t="n">
        <v>-269</v>
      </c>
      <c r="Q299" s="20" t="n">
        <v>0</v>
      </c>
    </row>
    <row r="300">
      <c r="A300" s="18" t="inlineStr">
        <is>
          <t>기타</t>
        </is>
      </c>
      <c r="D300" s="20" t="n">
        <v>-3</v>
      </c>
      <c r="F300" s="20" t="n">
        <v>-2</v>
      </c>
      <c r="H300" s="20" t="n">
        <v>377</v>
      </c>
      <c r="J300" s="20" t="n">
        <v>-41</v>
      </c>
      <c r="L300" s="20" t="n">
        <v>-27</v>
      </c>
      <c r="N300" s="20" t="n">
        <v>-4</v>
      </c>
      <c r="O300" s="20" t="n">
        <v>-30</v>
      </c>
      <c r="P300" s="20" t="n">
        <v>-14</v>
      </c>
      <c r="Q300" s="20" t="n">
        <v>2</v>
      </c>
      <c r="R300" s="20" t="n">
        <v>-36</v>
      </c>
      <c r="S300" s="20" t="n">
        <v>16</v>
      </c>
      <c r="T300" s="20" t="n">
        <v>14</v>
      </c>
      <c r="U300" s="20" t="n">
        <v>12</v>
      </c>
      <c r="V300" s="20" t="n">
        <v>-3</v>
      </c>
      <c r="W300" s="20" t="n">
        <v>377</v>
      </c>
      <c r="X300" s="20" t="n">
        <v>-27</v>
      </c>
    </row>
    <row r="301">
      <c r="A301" s="9" t="inlineStr">
        <is>
          <t>투자활동 현금흐름</t>
        </is>
      </c>
      <c r="D301" s="12" t="n">
        <v>-771</v>
      </c>
      <c r="F301" s="12" t="n">
        <v>-5</v>
      </c>
      <c r="H301" s="12" t="n">
        <v>160</v>
      </c>
      <c r="J301" s="12" t="n">
        <v>-50</v>
      </c>
      <c r="L301" s="12" t="n">
        <v>-1300</v>
      </c>
      <c r="N301" s="12" t="n">
        <v>-1679</v>
      </c>
      <c r="O301" s="12" t="n">
        <v>-53</v>
      </c>
      <c r="P301" s="12" t="n">
        <v>-400</v>
      </c>
      <c r="Q301" s="12" t="n">
        <v>-45</v>
      </c>
      <c r="R301" s="12" t="n">
        <v>-348</v>
      </c>
      <c r="S301" s="12" t="n">
        <v>-617</v>
      </c>
      <c r="T301" s="12" t="n">
        <v>-1785</v>
      </c>
      <c r="U301" s="12" t="n">
        <v>-498</v>
      </c>
      <c r="V301" s="12" t="n">
        <v>-771</v>
      </c>
      <c r="W301" s="12" t="n">
        <v>160</v>
      </c>
      <c r="X301" s="12" t="n">
        <v>-1300</v>
      </c>
    </row>
    <row r="302">
      <c r="A302" s="18" t="inlineStr">
        <is>
          <t>단기차입금 순증감</t>
        </is>
      </c>
      <c r="D302" s="20" t="n">
        <v>-1814</v>
      </c>
      <c r="F302" s="20" t="n">
        <v>-1885</v>
      </c>
      <c r="H302" s="20" t="n">
        <v>-283</v>
      </c>
      <c r="J302" s="20" t="n">
        <v>-1692</v>
      </c>
      <c r="L302" s="20" t="n">
        <v>-1524</v>
      </c>
      <c r="N302" s="20" t="n">
        <v>77</v>
      </c>
      <c r="O302" s="20" t="n">
        <v>114</v>
      </c>
      <c r="P302" s="20" t="n">
        <v>911</v>
      </c>
      <c r="Q302" s="20" t="n">
        <v>-755</v>
      </c>
      <c r="R302" s="20" t="n">
        <v>-944</v>
      </c>
      <c r="S302" s="20" t="n">
        <v>1798</v>
      </c>
      <c r="T302" s="20" t="n">
        <v>-974</v>
      </c>
      <c r="U302" s="20" t="n">
        <v>1754</v>
      </c>
      <c r="V302" s="20" t="n">
        <v>-1814</v>
      </c>
      <c r="W302" s="20" t="n">
        <v>-283</v>
      </c>
      <c r="X302" s="20" t="n">
        <v>-1524</v>
      </c>
    </row>
    <row r="303">
      <c r="A303" s="18" t="inlineStr">
        <is>
          <t>장기차입</t>
        </is>
      </c>
      <c r="S303" s="20" t="n">
        <v>0</v>
      </c>
      <c r="T303" s="20" t="n">
        <v>1600</v>
      </c>
      <c r="U303" s="20" t="n">
        <v>0</v>
      </c>
    </row>
    <row r="304">
      <c r="A304" s="18" t="inlineStr">
        <is>
          <t>장기차입금 상환</t>
        </is>
      </c>
      <c r="D304" s="20" t="n">
        <v>-228</v>
      </c>
      <c r="F304" s="20" t="n">
        <v>-114</v>
      </c>
      <c r="H304" s="20" t="n">
        <v>-228</v>
      </c>
      <c r="J304" s="20" t="n">
        <v>-114</v>
      </c>
      <c r="L304" s="20" t="n">
        <v>-228</v>
      </c>
      <c r="N304" s="20" t="n">
        <v>-114</v>
      </c>
      <c r="O304" s="20" t="n">
        <v>-71</v>
      </c>
      <c r="P304" s="20" t="n">
        <v>-83</v>
      </c>
      <c r="Q304" s="20" t="n">
        <v>-77</v>
      </c>
      <c r="R304" s="20" t="n">
        <v>-82</v>
      </c>
      <c r="S304" s="20" t="n">
        <v>0</v>
      </c>
      <c r="T304" s="20" t="n">
        <v>-133</v>
      </c>
      <c r="U304" s="20" t="n">
        <v>-228</v>
      </c>
      <c r="V304" s="20" t="n">
        <v>-228</v>
      </c>
      <c r="W304" s="20" t="n">
        <v>-228</v>
      </c>
      <c r="X304" s="20" t="n">
        <v>-228</v>
      </c>
    </row>
    <row r="305">
      <c r="A305" s="18" t="inlineStr">
        <is>
          <t>주식 발행</t>
        </is>
      </c>
      <c r="H305" s="20" t="n">
        <v>1431</v>
      </c>
      <c r="L305" s="20" t="n">
        <v>0</v>
      </c>
      <c r="P305" s="20" t="n">
        <v>0</v>
      </c>
      <c r="Q305" s="20" t="n">
        <v>557</v>
      </c>
      <c r="R305" s="20" t="n">
        <v>0</v>
      </c>
      <c r="W305" s="20" t="n">
        <v>1431</v>
      </c>
      <c r="X305" s="20" t="n">
        <v>0</v>
      </c>
    </row>
    <row r="306">
      <c r="A306" s="18" t="inlineStr">
        <is>
          <t>자기주식 취득</t>
        </is>
      </c>
      <c r="D306" s="20" t="n">
        <v>-0</v>
      </c>
      <c r="F306" s="20" t="n">
        <v>0</v>
      </c>
      <c r="H306" s="20" t="n">
        <v>-0</v>
      </c>
      <c r="J306" s="20" t="n">
        <v>-0</v>
      </c>
      <c r="L306" s="20" t="n">
        <v>-0</v>
      </c>
      <c r="N306" s="20" t="n">
        <v>-0</v>
      </c>
      <c r="O306" s="20" t="n">
        <v>-0</v>
      </c>
      <c r="P306" s="20" t="n">
        <v>-0</v>
      </c>
      <c r="Q306" s="20" t="n">
        <v>-0</v>
      </c>
      <c r="R306" s="20" t="n">
        <v>-0</v>
      </c>
      <c r="S306" s="20" t="n">
        <v>-0</v>
      </c>
      <c r="T306" s="20" t="n">
        <v>-0</v>
      </c>
      <c r="U306" s="20" t="n">
        <v>0</v>
      </c>
      <c r="V306" s="20" t="n">
        <v>-0</v>
      </c>
      <c r="W306" s="20" t="n">
        <v>-0</v>
      </c>
      <c r="X306" s="20" t="n">
        <v>-0</v>
      </c>
    </row>
    <row r="307">
      <c r="A307" s="18" t="inlineStr">
        <is>
          <t>배당금 지급</t>
        </is>
      </c>
      <c r="D307" s="20" t="n">
        <v>-395</v>
      </c>
      <c r="F307" s="20" t="n">
        <v>-212</v>
      </c>
      <c r="H307" s="20" t="n">
        <v>-456</v>
      </c>
      <c r="J307" s="20" t="n">
        <v>-269</v>
      </c>
      <c r="L307" s="20" t="n">
        <v>-608</v>
      </c>
      <c r="N307" s="20" t="n">
        <v>-338</v>
      </c>
      <c r="O307" s="20" t="n">
        <v>-137</v>
      </c>
      <c r="P307" s="20" t="n">
        <v>-171</v>
      </c>
      <c r="Q307" s="20" t="n">
        <v>-182</v>
      </c>
      <c r="R307" s="20" t="n">
        <v>-265</v>
      </c>
      <c r="S307" s="20" t="n">
        <v>-241</v>
      </c>
      <c r="T307" s="20" t="n">
        <v>-302</v>
      </c>
      <c r="U307" s="20" t="n">
        <v>-424</v>
      </c>
      <c r="V307" s="20" t="n">
        <v>-395</v>
      </c>
      <c r="W307" s="20" t="n">
        <v>-456</v>
      </c>
      <c r="X307" s="20" t="n">
        <v>-608</v>
      </c>
    </row>
    <row r="308">
      <c r="A308" s="18" t="inlineStr">
        <is>
          <t>리스부채 상환</t>
        </is>
      </c>
      <c r="D308" s="20" t="n">
        <v>-61</v>
      </c>
      <c r="F308" s="20" t="n">
        <v>-34</v>
      </c>
      <c r="H308" s="20" t="n">
        <v>-70</v>
      </c>
      <c r="J308" s="20" t="n">
        <v>-15</v>
      </c>
      <c r="L308" s="20" t="n">
        <v>-60</v>
      </c>
      <c r="N308" s="20" t="n">
        <v>-37</v>
      </c>
      <c r="O308" s="20" t="n">
        <v>-28</v>
      </c>
      <c r="P308" s="20" t="n">
        <v>-27</v>
      </c>
      <c r="Q308" s="20" t="n">
        <v>-30</v>
      </c>
      <c r="R308" s="20" t="n">
        <v>-27</v>
      </c>
      <c r="S308" s="20" t="n">
        <v>-37</v>
      </c>
      <c r="T308" s="20" t="n">
        <v>-33</v>
      </c>
      <c r="U308" s="20" t="n">
        <v>-60</v>
      </c>
      <c r="V308" s="20" t="n">
        <v>-61</v>
      </c>
      <c r="W308" s="20" t="n">
        <v>-70</v>
      </c>
      <c r="X308" s="20" t="n">
        <v>-60</v>
      </c>
    </row>
    <row r="309">
      <c r="A309" s="18" t="inlineStr">
        <is>
          <t>세일앤리스백 수입</t>
        </is>
      </c>
      <c r="O309" s="20" t="n">
        <v>0</v>
      </c>
      <c r="P309" s="20" t="n">
        <v>25</v>
      </c>
      <c r="Q309" s="20" t="n">
        <v>0</v>
      </c>
    </row>
    <row r="310">
      <c r="A310" s="9" t="inlineStr">
        <is>
          <t>재무활동 현금흐름</t>
        </is>
      </c>
      <c r="D310" s="12" t="n">
        <v>-2499</v>
      </c>
      <c r="F310" s="12" t="n">
        <v>-2247</v>
      </c>
      <c r="H310" s="12" t="n">
        <v>391</v>
      </c>
      <c r="J310" s="12" t="n">
        <v>-2093</v>
      </c>
      <c r="L310" s="12" t="n">
        <v>-2422</v>
      </c>
      <c r="N310" s="12" t="n">
        <v>-412</v>
      </c>
      <c r="O310" s="12" t="n">
        <v>-122</v>
      </c>
      <c r="P310" s="12" t="n">
        <v>654</v>
      </c>
      <c r="Q310" s="12" t="n">
        <v>-489</v>
      </c>
      <c r="R310" s="12" t="n">
        <v>-1319</v>
      </c>
      <c r="S310" s="12" t="n">
        <v>1518</v>
      </c>
      <c r="T310" s="12" t="n">
        <v>154</v>
      </c>
      <c r="U310" s="12" t="n">
        <v>1040</v>
      </c>
      <c r="V310" s="12" t="n">
        <v>-2499</v>
      </c>
      <c r="W310" s="12" t="n">
        <v>391</v>
      </c>
      <c r="X310" s="12" t="n">
        <v>-2422</v>
      </c>
    </row>
    <row r="311">
      <c r="A311" s="18" t="inlineStr">
        <is>
          <t>현금성자산 환산차이</t>
        </is>
      </c>
      <c r="D311" s="20" t="n">
        <v>11</v>
      </c>
      <c r="F311" s="20" t="n">
        <v>29</v>
      </c>
      <c r="H311" s="20" t="n">
        <v>19</v>
      </c>
      <c r="J311" s="20" t="n">
        <v>-12</v>
      </c>
      <c r="L311" s="20" t="n">
        <v>6</v>
      </c>
      <c r="N311" s="20" t="n">
        <v>8</v>
      </c>
      <c r="O311" s="20" t="n">
        <v>-19</v>
      </c>
      <c r="P311" s="20" t="n">
        <v>4</v>
      </c>
      <c r="Q311" s="20" t="n">
        <v>-12</v>
      </c>
      <c r="R311" s="20" t="n">
        <v>-9</v>
      </c>
      <c r="S311" s="20" t="n">
        <v>5</v>
      </c>
      <c r="T311" s="20" t="n">
        <v>17</v>
      </c>
      <c r="U311" s="20" t="n">
        <v>10</v>
      </c>
      <c r="V311" s="20" t="n">
        <v>11</v>
      </c>
      <c r="W311" s="20" t="n">
        <v>19</v>
      </c>
      <c r="X311" s="20" t="n">
        <v>6</v>
      </c>
    </row>
    <row r="312">
      <c r="A312" s="18" t="inlineStr">
        <is>
          <t>현금성자산 증감</t>
        </is>
      </c>
      <c r="D312" s="20" t="n">
        <v>-70</v>
      </c>
      <c r="F312" s="20" t="n">
        <v>547</v>
      </c>
      <c r="H312" s="20" t="n">
        <v>911</v>
      </c>
      <c r="J312" s="20" t="n">
        <v>3728</v>
      </c>
      <c r="L312" s="20" t="n">
        <v>91</v>
      </c>
      <c r="N312" s="20" t="n">
        <v>5117</v>
      </c>
      <c r="O312" s="20" t="n">
        <v>-31</v>
      </c>
      <c r="P312" s="20" t="n">
        <v>-333</v>
      </c>
      <c r="Q312" s="20" t="n">
        <v>290</v>
      </c>
      <c r="R312" s="20" t="n">
        <v>40</v>
      </c>
      <c r="S312" s="20" t="n">
        <v>262</v>
      </c>
      <c r="T312" s="20" t="n">
        <v>25</v>
      </c>
      <c r="U312" s="20" t="n">
        <v>473</v>
      </c>
      <c r="V312" s="20" t="n">
        <v>-70</v>
      </c>
      <c r="W312" s="20" t="n">
        <v>911</v>
      </c>
      <c r="X312" s="20" t="n">
        <v>91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6653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2025.2Q</t>
        </is>
      </c>
      <c r="D3" s="5" t="inlineStr">
        <is>
          <t>2025.3Q</t>
        </is>
      </c>
      <c r="E3" s="5" t="inlineStr">
        <is>
          <t>2025.4Q</t>
        </is>
      </c>
      <c r="F3" s="5" t="inlineStr">
        <is>
          <t>2026.1Q</t>
        </is>
      </c>
      <c r="G3" s="5" t="inlineStr">
        <is>
          <t>2026.2Q</t>
        </is>
      </c>
      <c r="H3" s="6" t="inlineStr">
        <is>
          <t>2021</t>
        </is>
      </c>
      <c r="I3" s="5" t="inlineStr">
        <is>
          <t>2022</t>
        </is>
      </c>
      <c r="J3" s="5" t="inlineStr">
        <is>
          <t>2023</t>
        </is>
      </c>
      <c r="K3" s="5" t="inlineStr">
        <is>
          <t>2024</t>
        </is>
      </c>
      <c r="L3" s="5" t="inlineStr">
        <is>
          <t>2025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17178</v>
      </c>
      <c r="D5" s="12" t="n">
        <v>16009</v>
      </c>
      <c r="E5" s="12" t="n">
        <v>21612</v>
      </c>
      <c r="F5" s="12" t="n">
        <v>20683</v>
      </c>
      <c r="G5" s="12" t="n">
        <v>20768</v>
      </c>
      <c r="H5" s="11" t="n">
        <v>16945</v>
      </c>
      <c r="I5" s="12" t="n">
        <v>19365</v>
      </c>
      <c r="J5" s="12" t="n">
        <v>18480</v>
      </c>
      <c r="K5" s="12" t="n">
        <v>20060</v>
      </c>
      <c r="L5" s="12" t="n">
        <v>21612</v>
      </c>
    </row>
    <row r="6">
      <c r="A6" s="18" t="inlineStr">
        <is>
          <t>현금및현금성자산</t>
        </is>
      </c>
      <c r="B6" s="10" t="n"/>
      <c r="C6" s="19" t="n">
        <v>6896</v>
      </c>
      <c r="D6" s="20" t="n">
        <v>3625</v>
      </c>
      <c r="E6" s="20" t="n">
        <v>3260</v>
      </c>
      <c r="F6" s="20" t="n">
        <v>4078</v>
      </c>
      <c r="G6" s="20" t="n">
        <v>8377</v>
      </c>
      <c r="H6" s="19" t="n">
        <v>1853</v>
      </c>
      <c r="I6" s="20" t="n">
        <v>2327</v>
      </c>
      <c r="J6" s="20" t="n">
        <v>2257</v>
      </c>
      <c r="K6" s="20" t="n">
        <v>3168</v>
      </c>
      <c r="L6" s="20" t="n">
        <v>3260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7309</v>
      </c>
      <c r="D8" s="20" t="n">
        <v>9035</v>
      </c>
      <c r="E8" s="20" t="n">
        <v>14942</v>
      </c>
      <c r="F8" s="20" t="n">
        <v>13447</v>
      </c>
      <c r="G8" s="20" t="n">
        <v>8920</v>
      </c>
      <c r="H8" s="19" t="n">
        <v>0</v>
      </c>
      <c r="I8" s="20" t="n">
        <v>13965</v>
      </c>
      <c r="J8" s="20" t="n">
        <v>13181</v>
      </c>
      <c r="K8" s="20" t="n">
        <v>13781</v>
      </c>
      <c r="L8" s="20" t="n">
        <v>14942</v>
      </c>
    </row>
    <row r="9">
      <c r="A9" s="18" t="inlineStr">
        <is>
          <t>재고자산</t>
        </is>
      </c>
      <c r="B9" s="10" t="n"/>
      <c r="C9" s="19" t="n">
        <v>2694</v>
      </c>
      <c r="D9" s="20" t="n">
        <v>3062</v>
      </c>
      <c r="E9" s="20" t="n">
        <v>3063</v>
      </c>
      <c r="F9" s="20" t="n">
        <v>2834</v>
      </c>
      <c r="G9" s="20" t="n">
        <v>3130</v>
      </c>
      <c r="H9" s="19" t="n">
        <v>2694</v>
      </c>
      <c r="I9" s="20" t="n">
        <v>2665</v>
      </c>
      <c r="J9" s="20" t="n">
        <v>2741</v>
      </c>
      <c r="K9" s="20" t="n">
        <v>2895</v>
      </c>
      <c r="L9" s="20" t="n">
        <v>3063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10754</v>
      </c>
      <c r="D11" s="12" t="n">
        <v>12674</v>
      </c>
      <c r="E11" s="12" t="n">
        <v>13103</v>
      </c>
      <c r="F11" s="12" t="n">
        <v>15574</v>
      </c>
      <c r="G11" s="12" t="n">
        <v>15497</v>
      </c>
      <c r="H11" s="11" t="n">
        <v>8848</v>
      </c>
      <c r="I11" s="12" t="n">
        <v>8689</v>
      </c>
      <c r="J11" s="12" t="n">
        <v>10274</v>
      </c>
      <c r="K11" s="12" t="n">
        <v>10270</v>
      </c>
      <c r="L11" s="12" t="n">
        <v>13103</v>
      </c>
    </row>
    <row r="12">
      <c r="A12" s="18" t="inlineStr">
        <is>
          <t>유형자산</t>
        </is>
      </c>
      <c r="B12" s="10" t="n"/>
      <c r="C12" s="19" t="n">
        <v>6103</v>
      </c>
      <c r="D12" s="20" t="n">
        <v>7458</v>
      </c>
      <c r="E12" s="20" t="n">
        <v>7445</v>
      </c>
      <c r="F12" s="20" t="n">
        <v>9253</v>
      </c>
      <c r="G12" s="20" t="n">
        <v>9258</v>
      </c>
      <c r="H12" s="19" t="n">
        <v>5399</v>
      </c>
      <c r="I12" s="20" t="n">
        <v>5276</v>
      </c>
      <c r="J12" s="20" t="n">
        <v>5768</v>
      </c>
      <c r="K12" s="20" t="n">
        <v>5773</v>
      </c>
      <c r="L12" s="20" t="n">
        <v>7445</v>
      </c>
    </row>
    <row r="13">
      <c r="A13" s="18" t="inlineStr">
        <is>
          <t>무형자산</t>
        </is>
      </c>
      <c r="B13" s="10" t="n"/>
      <c r="C13" s="19" t="n">
        <v>200</v>
      </c>
      <c r="D13" s="20" t="n">
        <v>189</v>
      </c>
      <c r="E13" s="20" t="n">
        <v>220</v>
      </c>
      <c r="F13" s="20" t="n">
        <v>249</v>
      </c>
      <c r="G13" s="20" t="n">
        <v>247</v>
      </c>
      <c r="H13" s="19" t="n">
        <v>174</v>
      </c>
      <c r="I13" s="20" t="n">
        <v>232</v>
      </c>
      <c r="J13" s="20" t="n">
        <v>226</v>
      </c>
      <c r="K13" s="20" t="n">
        <v>211</v>
      </c>
      <c r="L13" s="20" t="n">
        <v>220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27933</v>
      </c>
      <c r="D16" s="12" t="n">
        <v>28684</v>
      </c>
      <c r="E16" s="12" t="n">
        <v>34715</v>
      </c>
      <c r="F16" s="12" t="n">
        <v>36257</v>
      </c>
      <c r="G16" s="12" t="n">
        <v>36266</v>
      </c>
      <c r="H16" s="11" t="n">
        <v>25793</v>
      </c>
      <c r="I16" s="12" t="n">
        <v>28055</v>
      </c>
      <c r="J16" s="12" t="n">
        <v>28755</v>
      </c>
      <c r="K16" s="12" t="n">
        <v>30331</v>
      </c>
      <c r="L16" s="12" t="n">
        <v>34715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8096</v>
      </c>
      <c r="D18" s="12" t="n">
        <v>8362</v>
      </c>
      <c r="E18" s="12" t="n">
        <v>13373</v>
      </c>
      <c r="F18" s="12" t="n">
        <v>13402</v>
      </c>
      <c r="G18" s="12" t="n">
        <v>13181</v>
      </c>
      <c r="H18" s="11" t="n">
        <v>11252</v>
      </c>
      <c r="I18" s="12" t="n">
        <v>13167</v>
      </c>
      <c r="J18" s="12" t="n">
        <v>12271</v>
      </c>
      <c r="K18" s="12" t="n">
        <v>11574</v>
      </c>
      <c r="L18" s="12" t="n">
        <v>13373</v>
      </c>
    </row>
    <row r="19">
      <c r="A19" s="18" t="inlineStr">
        <is>
          <t>매입채무</t>
        </is>
      </c>
      <c r="B19" s="10" t="n"/>
      <c r="C19" s="19" t="n">
        <v>2354</v>
      </c>
      <c r="D19" s="20" t="n">
        <v>2641</v>
      </c>
      <c r="E19" s="20" t="n">
        <v>6106</v>
      </c>
      <c r="F19" s="20" t="n">
        <v>3928</v>
      </c>
      <c r="G19" s="20" t="n">
        <v>4293</v>
      </c>
      <c r="H19" s="19" t="n">
        <v>4459</v>
      </c>
      <c r="I19" s="20" t="n">
        <v>4484</v>
      </c>
      <c r="J19" s="20" t="n">
        <v>5548</v>
      </c>
      <c r="K19" s="20" t="n">
        <v>4620</v>
      </c>
      <c r="L19" s="20" t="n">
        <v>6106</v>
      </c>
    </row>
    <row r="20">
      <c r="A20" s="18" t="inlineStr">
        <is>
          <t>단기차입금</t>
        </is>
      </c>
      <c r="B20" s="10" t="n"/>
      <c r="C20" s="19" t="n">
        <v>503</v>
      </c>
      <c r="D20" s="20" t="n">
        <v>575</v>
      </c>
      <c r="E20" s="20" t="n">
        <v>655</v>
      </c>
      <c r="F20" s="20" t="n">
        <v>3262</v>
      </c>
      <c r="G20" s="20" t="n">
        <v>780</v>
      </c>
      <c r="H20" s="19" t="n">
        <v>2475</v>
      </c>
      <c r="I20" s="20" t="n">
        <v>4253</v>
      </c>
      <c r="J20" s="20" t="n">
        <v>2466</v>
      </c>
      <c r="K20" s="20" t="n">
        <v>2162</v>
      </c>
      <c r="L20" s="20" t="n">
        <v>655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3087</v>
      </c>
      <c r="D23" s="12" t="n">
        <v>3122</v>
      </c>
      <c r="E23" s="12" t="n">
        <v>3252</v>
      </c>
      <c r="F23" s="12" t="n">
        <v>3589</v>
      </c>
      <c r="G23" s="12" t="n">
        <v>3468</v>
      </c>
      <c r="H23" s="11" t="n">
        <v>3600</v>
      </c>
      <c r="I23" s="12" t="n">
        <v>3322</v>
      </c>
      <c r="J23" s="12" t="n">
        <v>3271</v>
      </c>
      <c r="K23" s="12" t="n">
        <v>2873</v>
      </c>
      <c r="L23" s="12" t="n">
        <v>3252</v>
      </c>
    </row>
    <row r="24">
      <c r="A24" s="18" t="inlineStr">
        <is>
          <t>장기차입금</t>
        </is>
      </c>
      <c r="B24" s="10" t="n"/>
      <c r="C24" s="19" t="n">
        <v>437</v>
      </c>
      <c r="D24" s="20" t="n">
        <v>380</v>
      </c>
      <c r="E24" s="20" t="n">
        <v>323</v>
      </c>
      <c r="F24" s="20" t="n">
        <v>266</v>
      </c>
      <c r="G24" s="20" t="n">
        <v>209</v>
      </c>
      <c r="H24" s="19" t="n">
        <v>1237</v>
      </c>
      <c r="I24" s="20" t="n">
        <v>1009</v>
      </c>
      <c r="J24" s="20" t="n">
        <v>780</v>
      </c>
      <c r="K24" s="20" t="n">
        <v>552</v>
      </c>
      <c r="L24" s="20" t="n">
        <v>323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11183</v>
      </c>
      <c r="D27" s="12" t="n">
        <v>11485</v>
      </c>
      <c r="E27" s="12" t="n">
        <v>16626</v>
      </c>
      <c r="F27" s="12" t="n">
        <v>16991</v>
      </c>
      <c r="G27" s="12" t="n">
        <v>16649</v>
      </c>
      <c r="H27" s="11" t="n">
        <v>14853</v>
      </c>
      <c r="I27" s="12" t="n">
        <v>16490</v>
      </c>
      <c r="J27" s="12" t="n">
        <v>15542</v>
      </c>
      <c r="K27" s="12" t="n">
        <v>14448</v>
      </c>
      <c r="L27" s="12" t="n">
        <v>16626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16749</v>
      </c>
      <c r="D31" s="12" t="n">
        <v>17198</v>
      </c>
      <c r="E31" s="12" t="n">
        <v>18089</v>
      </c>
      <c r="F31" s="12" t="n">
        <v>19265</v>
      </c>
      <c r="G31" s="12" t="n">
        <v>19616</v>
      </c>
      <c r="H31" s="11" t="n">
        <v>10940</v>
      </c>
      <c r="I31" s="12" t="n">
        <v>11565</v>
      </c>
      <c r="J31" s="12" t="n">
        <v>13212</v>
      </c>
      <c r="K31" s="12" t="n">
        <v>15882</v>
      </c>
      <c r="L31" s="12" t="n">
        <v>18089</v>
      </c>
    </row>
    <row r="32">
      <c r="A32" s="18" t="inlineStr">
        <is>
          <t>자본금</t>
        </is>
      </c>
      <c r="B32" s="10" t="n"/>
      <c r="C32" s="19" t="n">
        <v>3323</v>
      </c>
      <c r="D32" s="20" t="n">
        <v>3323</v>
      </c>
      <c r="E32" s="20" t="n">
        <v>3323</v>
      </c>
      <c r="F32" s="20" t="n">
        <v>3323</v>
      </c>
      <c r="G32" s="20" t="n">
        <v>3323</v>
      </c>
      <c r="H32" s="19" t="n">
        <v>2607</v>
      </c>
      <c r="I32" s="20" t="n">
        <v>2607</v>
      </c>
      <c r="J32" s="20" t="n">
        <v>2607</v>
      </c>
      <c r="K32" s="20" t="n">
        <v>3323</v>
      </c>
      <c r="L32" s="20" t="n">
        <v>3323</v>
      </c>
    </row>
    <row r="33">
      <c r="A33" s="18" t="inlineStr">
        <is>
          <t>이익잉여금</t>
        </is>
      </c>
      <c r="B33" s="10" t="n"/>
      <c r="C33" s="19" t="n">
        <v>8822</v>
      </c>
      <c r="D33" s="20" t="n">
        <v>8879</v>
      </c>
      <c r="E33" s="20" t="n">
        <v>9544</v>
      </c>
      <c r="F33" s="20" t="n">
        <v>10263</v>
      </c>
      <c r="G33" s="20" t="n">
        <v>10665</v>
      </c>
      <c r="H33" s="19" t="n">
        <v>5570</v>
      </c>
      <c r="I33" s="20" t="n">
        <v>6229</v>
      </c>
      <c r="J33" s="20" t="n">
        <v>7036</v>
      </c>
      <c r="K33" s="20" t="n">
        <v>8116</v>
      </c>
      <c r="L33" s="20" t="n">
        <v>9544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16749</v>
      </c>
      <c r="D35" s="12" t="n">
        <v>17198</v>
      </c>
      <c r="E35" s="12" t="n">
        <v>18089</v>
      </c>
      <c r="F35" s="12" t="n">
        <v>19265</v>
      </c>
      <c r="G35" s="12" t="n">
        <v>19616</v>
      </c>
      <c r="H35" s="11" t="n">
        <v>10940</v>
      </c>
      <c r="I35" s="12" t="n">
        <v>11565</v>
      </c>
      <c r="J35" s="12" t="n">
        <v>13212</v>
      </c>
      <c r="K35" s="12" t="n">
        <v>15882</v>
      </c>
      <c r="L35" s="12" t="n">
        <v>18089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3453</v>
      </c>
      <c r="D37" s="12" t="n"/>
      <c r="E37" s="12" t="n">
        <v>3808</v>
      </c>
      <c r="F37" s="12" t="n"/>
      <c r="G37" s="12" t="n">
        <v>5124</v>
      </c>
      <c r="H37" s="11" t="n">
        <v>1638</v>
      </c>
      <c r="I37" s="12" t="n">
        <v>-79</v>
      </c>
      <c r="J37" s="12" t="n">
        <v>3190</v>
      </c>
      <c r="K37" s="12" t="n">
        <v>339</v>
      </c>
      <c r="L37" s="12" t="n">
        <v>3808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353</v>
      </c>
      <c r="D38" s="20" t="n"/>
      <c r="E38" s="20" t="n">
        <v>1695</v>
      </c>
      <c r="F38" s="20" t="n"/>
      <c r="G38" s="20" t="n">
        <v>3433</v>
      </c>
      <c r="H38" s="19" t="n">
        <v>1750</v>
      </c>
      <c r="I38" s="20" t="n">
        <v>547</v>
      </c>
      <c r="J38" s="20" t="n">
        <v>952</v>
      </c>
      <c r="K38" s="20" t="n">
        <v>399</v>
      </c>
      <c r="L38" s="20" t="n">
        <v>1695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513</v>
      </c>
      <c r="D40" s="20" t="n"/>
      <c r="E40" s="20" t="n">
        <v>608</v>
      </c>
      <c r="F40" s="20" t="n"/>
      <c r="G40" s="20" t="n">
        <v>677</v>
      </c>
      <c r="H40" s="19" t="n">
        <v>302</v>
      </c>
      <c r="I40" s="20" t="n">
        <v>424</v>
      </c>
      <c r="J40" s="20" t="n">
        <v>395</v>
      </c>
      <c r="K40" s="20" t="n">
        <v>456</v>
      </c>
      <c r="L40" s="20" t="n">
        <v>608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IFERROR((IF(COUNT('연간'!G43:J43)&lt;4,"",SUM('연간'!G43:J43)))/(IF(COUNT('연간'!G65:J65)&lt;4,"",SUM('연간'!G65:J65))),"")</f>
        <v/>
      </c>
      <c r="D48" s="31">
        <f>IFERROR((IF(COUNT('연간'!H43:K43)&lt;4,"",SUM('연간'!H43:K43)))/(IF(COUNT('연간'!H65:K65)&lt;4,"",SUM('연간'!H65:K65))),"")</f>
        <v/>
      </c>
      <c r="E48" s="31">
        <f>IFERROR((IF(COUNT('연간'!I43:L43)&lt;4,"",SUM('연간'!I43:L43)))/(IF(COUNT('연간'!I65:L65)&lt;4,"",SUM('연간'!I65:L65))),"")</f>
        <v/>
      </c>
      <c r="F48" s="31">
        <f>IFERROR((IF(COUNT('연간'!J43:M43)&lt;4,"",SUM('연간'!J43:M43)))/(IF(COUNT('연간'!J65:M65)&lt;4,"",SUM('연간'!J65:M65))),"")</f>
        <v/>
      </c>
      <c r="G48" s="31">
        <f>IFERROR((IF(COUNT('연간'!K43:N43)&lt;4,"",SUM('연간'!K43:N43)))/(IF(COUNT('연간'!K65:N65)&lt;4,"",SUM('연간'!K65:N65))),"")</f>
        <v/>
      </c>
      <c r="H48" s="30">
        <f>IFERROR(('연간'!T43)/('연간'!T65),"")</f>
        <v/>
      </c>
      <c r="I48" s="31">
        <f>IFERROR(('연간'!U43)/('연간'!U65),"")</f>
        <v/>
      </c>
      <c r="J48" s="31">
        <f>IFERROR(('연간'!V43)/('연간'!V65),"")</f>
        <v/>
      </c>
      <c r="K48" s="31">
        <f>IFERROR(('연간'!W43)/('연간'!W65),"")</f>
        <v/>
      </c>
      <c r="L48" s="31">
        <f>IFERROR(('연간'!X43)/('연간'!X65),"")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IFERROR(IF((IF(COUNT('연간'!G73:J73)&lt;4,"",SUM('연간'!G73:J73)))&lt;=0,"적자",C28/(IF(COUNT('연간'!G73:J73)&lt;4,"",SUM('연간'!G73:J73)))),"")</f>
        <v/>
      </c>
      <c r="D49" s="47">
        <f>IFERROR(IF((IF(COUNT('연간'!H73:K73)&lt;4,"",SUM('연간'!H73:K73)))&lt;=0,"적자",D28/(IF(COUNT('연간'!H73:K73)&lt;4,"",SUM('연간'!H73:K73)))),"")</f>
        <v/>
      </c>
      <c r="E49" s="47">
        <f>IFERROR(IF((IF(COUNT('연간'!I73:L73)&lt;4,"",SUM('연간'!I73:L73)))&lt;=0,"적자",E28/(IF(COUNT('연간'!I73:L73)&lt;4,"",SUM('연간'!I73:L73)))),"")</f>
        <v/>
      </c>
      <c r="F49" s="47">
        <f>IFERROR(IF((IF(COUNT('연간'!J73:M73)&lt;4,"",SUM('연간'!J73:M73)))&lt;=0,"적자",F28/(IF(COUNT('연간'!J73:M73)&lt;4,"",SUM('연간'!J73:M73)))),"")</f>
        <v/>
      </c>
      <c r="G49" s="47">
        <f>IFERROR(IF((IF(COUNT('연간'!K73:N73)&lt;4,"",SUM('연간'!K73:N73)))&lt;=0,"적자",G28/(IF(COUNT('연간'!K73:N73)&lt;4,"",SUM('연간'!K73:N73)))),"")</f>
        <v/>
      </c>
      <c r="H49" s="46">
        <f>IFERROR(IF(('연간'!T73)&lt;=0,"적자",H28/('연간'!T73)),"")</f>
        <v/>
      </c>
      <c r="I49" s="47">
        <f>IFERROR(IF(('연간'!U73)&lt;=0,"적자",I28/('연간'!U73)),"")</f>
        <v/>
      </c>
      <c r="J49" s="47">
        <f>IFERROR(IF(('연간'!V73)&lt;=0,"적자",J28/('연간'!V73)),"")</f>
        <v/>
      </c>
      <c r="K49" s="47">
        <f>IFERROR(IF(('연간'!W73)&lt;=0,"적자",K28/('연간'!W73)),"")</f>
        <v/>
      </c>
      <c r="L49" s="47">
        <f>IFERROR(IF(('연간'!X73)&lt;=0,"적자",L28/('연간'!X73)),"")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IFERROR((IF(COUNT('연간'!G73:J73)&lt;4,"",SUM('연간'!G73:J73)))/C31,"")</f>
        <v/>
      </c>
      <c r="D51" s="36">
        <f>IFERROR((IF(COUNT('연간'!H73:K73)&lt;4,"",SUM('연간'!H73:K73)))/D31,"")</f>
        <v/>
      </c>
      <c r="E51" s="36">
        <f>IFERROR((IF(COUNT('연간'!I73:L73)&lt;4,"",SUM('연간'!I73:L73)))/E31,"")</f>
        <v/>
      </c>
      <c r="F51" s="36">
        <f>IFERROR((IF(COUNT('연간'!J73:M73)&lt;4,"",SUM('연간'!J73:M73)))/F31,"")</f>
        <v/>
      </c>
      <c r="G51" s="36">
        <f>IFERROR((IF(COUNT('연간'!K73:N73)&lt;4,"",SUM('연간'!K73:N73)))/G31,"")</f>
        <v/>
      </c>
      <c r="H51" s="35">
        <f>IFERROR(('연간'!T73)/H31,"")</f>
        <v/>
      </c>
      <c r="I51" s="36">
        <f>IFERROR(('연간'!U73)/I31,"")</f>
        <v/>
      </c>
      <c r="J51" s="36">
        <f>IFERROR(('연간'!V73)/J31,"")</f>
        <v/>
      </c>
      <c r="K51" s="36">
        <f>IFERROR(('연간'!W73)/K31,"")</f>
        <v/>
      </c>
      <c r="L51" s="36">
        <f>IFERROR(('연간'!X73)/L31,"")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IFERROR((IF(COUNT('연간'!G71:J71)&lt;4,"",SUM('연간'!G71:J71)))/C16,"")</f>
        <v/>
      </c>
      <c r="D52" s="36">
        <f>IFERROR((IF(COUNT('연간'!H71:K71)&lt;4,"",SUM('연간'!H71:K71)))/D16,"")</f>
        <v/>
      </c>
      <c r="E52" s="36">
        <f>IFERROR((IF(COUNT('연간'!I71:L71)&lt;4,"",SUM('연간'!I71:L71)))/E16,"")</f>
        <v/>
      </c>
      <c r="F52" s="36">
        <f>IFERROR((IF(COUNT('연간'!J71:M71)&lt;4,"",SUM('연간'!J71:M71)))/F16,"")</f>
        <v/>
      </c>
      <c r="G52" s="36">
        <f>IFERROR((IF(COUNT('연간'!K71:N71)&lt;4,"",SUM('연간'!K71:N71)))/G16,"")</f>
        <v/>
      </c>
      <c r="H52" s="35">
        <f>IFERROR(('연간'!T71)/H16,"")</f>
        <v/>
      </c>
      <c r="I52" s="36">
        <f>IFERROR(('연간'!U71)/I16,"")</f>
        <v/>
      </c>
      <c r="J52" s="36">
        <f>IFERROR(('연간'!V71)/J16,"")</f>
        <v/>
      </c>
      <c r="K52" s="36">
        <f>IFERROR(('연간'!W71)/K16,"")</f>
        <v/>
      </c>
      <c r="L52" s="36">
        <f>IFERROR(('연간'!X71)/L16,"")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IFERROR((IF(COUNT('연간'!G43:J43)&lt;4,"",SUM('연간'!G43:J43)))*(1-0.3)/(C35+C29),"")</f>
        <v/>
      </c>
      <c r="D53" s="36">
        <f>IFERROR((IF(COUNT('연간'!H43:K43)&lt;4,"",SUM('연간'!H43:K43)))*(1-0.3)/(D35+D29),"")</f>
        <v/>
      </c>
      <c r="E53" s="36">
        <f>IFERROR((IF(COUNT('연간'!I43:L43)&lt;4,"",SUM('연간'!I43:L43)))*(1-0.3)/(E35+E29),"")</f>
        <v/>
      </c>
      <c r="F53" s="36">
        <f>IFERROR((IF(COUNT('연간'!J43:M43)&lt;4,"",SUM('연간'!J43:M43)))*(1-0.3)/(F35+F29),"")</f>
        <v/>
      </c>
      <c r="G53" s="36">
        <f>IFERROR((IF(COUNT('연간'!K43:N43)&lt;4,"",SUM('연간'!K43:N43)))*(1-0.3)/(G35+G29),"")</f>
        <v/>
      </c>
      <c r="H53" s="35">
        <f>IFERROR(('연간'!T43)*(1-0.3)/(H35+H29),"")</f>
        <v/>
      </c>
      <c r="I53" s="36">
        <f>IFERROR(('연간'!U43)*(1-0.3)/(I35+I29),"")</f>
        <v/>
      </c>
      <c r="J53" s="36">
        <f>IFERROR(('연간'!V43)*(1-0.3)/(J35+J29),"")</f>
        <v/>
      </c>
      <c r="K53" s="36">
        <f>IFERROR(('연간'!W43)*(1-0.3)/(K35+K29),"")</f>
        <v/>
      </c>
      <c r="L53" s="36">
        <f>IFERROR(('연간'!X43)*(1-0.3)/(L35+L29),"")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IFERROR((IF(COUNT('연간'!G37:J37)&lt;4,"",SUM('연간'!G37:J37)))/(IF(COUNT('연간'!G4:J4)&lt;4,"",SUM('연간'!G4:J4))),"")</f>
        <v/>
      </c>
      <c r="D54" s="36">
        <f>IFERROR((IF(COUNT('연간'!H37:K37)&lt;4,"",SUM('연간'!H37:K37)))/(IF(COUNT('연간'!H4:K4)&lt;4,"",SUM('연간'!H4:K4))),"")</f>
        <v/>
      </c>
      <c r="E54" s="36">
        <f>IFERROR((IF(COUNT('연간'!I37:L37)&lt;4,"",SUM('연간'!I37:L37)))/(IF(COUNT('연간'!I4:L4)&lt;4,"",SUM('연간'!I4:L4))),"")</f>
        <v/>
      </c>
      <c r="F54" s="36">
        <f>IFERROR((IF(COUNT('연간'!J37:M37)&lt;4,"",SUM('연간'!J37:M37)))/(IF(COUNT('연간'!J4:M4)&lt;4,"",SUM('연간'!J4:M4))),"")</f>
        <v/>
      </c>
      <c r="G54" s="36">
        <f>IFERROR((IF(COUNT('연간'!K37:N37)&lt;4,"",SUM('연간'!K37:N37)))/(IF(COUNT('연간'!K4:N4)&lt;4,"",SUM('연간'!K4:N4))),"")</f>
        <v/>
      </c>
      <c r="H54" s="35">
        <f>IFERROR(('연간'!T37)/('연간'!T4),"")</f>
        <v/>
      </c>
      <c r="I54" s="36">
        <f>IFERROR(('연간'!U37)/('연간'!U4),"")</f>
        <v/>
      </c>
      <c r="J54" s="36">
        <f>IFERROR(('연간'!V37)/('연간'!V4),"")</f>
        <v/>
      </c>
      <c r="K54" s="36">
        <f>IFERROR(('연간'!W37)/('연간'!W4),"")</f>
        <v/>
      </c>
      <c r="L54" s="36">
        <f>IFERROR(('연간'!X37)/('연간'!X4),"")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IFERROR((IF(COUNT('연간'!G43:J43)&lt;4,"",SUM('연간'!G43:J43)))/(IF(COUNT('연간'!G4:J4)&lt;4,"",SUM('연간'!G4:J4))),"")</f>
        <v/>
      </c>
      <c r="D55" s="36">
        <f>IFERROR((IF(COUNT('연간'!H43:K43)&lt;4,"",SUM('연간'!H43:K43)))/(IF(COUNT('연간'!H4:K4)&lt;4,"",SUM('연간'!H4:K4))),"")</f>
        <v/>
      </c>
      <c r="E55" s="36">
        <f>IFERROR((IF(COUNT('연간'!I43:L43)&lt;4,"",SUM('연간'!I43:L43)))/(IF(COUNT('연간'!I4:L4)&lt;4,"",SUM('연간'!I4:L4))),"")</f>
        <v/>
      </c>
      <c r="F55" s="36">
        <f>IFERROR((IF(COUNT('연간'!J43:M43)&lt;4,"",SUM('연간'!J43:M43)))/(IF(COUNT('연간'!J4:M4)&lt;4,"",SUM('연간'!J4:M4))),"")</f>
        <v/>
      </c>
      <c r="G55" s="36">
        <f>IFERROR((IF(COUNT('연간'!K43:N43)&lt;4,"",SUM('연간'!K43:N43)))/(IF(COUNT('연간'!K4:N4)&lt;4,"",SUM('연간'!K4:N4))),"")</f>
        <v/>
      </c>
      <c r="H55" s="35">
        <f>IFERROR(('연간'!T43)/('연간'!T4),"")</f>
        <v/>
      </c>
      <c r="I55" s="36">
        <f>IFERROR(('연간'!U43)/('연간'!U4),"")</f>
        <v/>
      </c>
      <c r="J55" s="36">
        <f>IFERROR(('연간'!V43)/('연간'!V4),"")</f>
        <v/>
      </c>
      <c r="K55" s="36">
        <f>IFERROR(('연간'!W43)/('연간'!W4),"")</f>
        <v/>
      </c>
      <c r="L55" s="36">
        <f>IFERROR(('연간'!X43)/('연간'!X4),"")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IFERROR((IF(COUNT('연간'!G71:J71)&lt;4,"",SUM('연간'!G71:J71)))/(IF(COUNT('연간'!G4:J4)&lt;4,"",SUM('연간'!G4:J4))),"")</f>
        <v/>
      </c>
      <c r="D56" s="36">
        <f>IFERROR((IF(COUNT('연간'!H71:K71)&lt;4,"",SUM('연간'!H71:K71)))/(IF(COUNT('연간'!H4:K4)&lt;4,"",SUM('연간'!H4:K4))),"")</f>
        <v/>
      </c>
      <c r="E56" s="36">
        <f>IFERROR((IF(COUNT('연간'!I71:L71)&lt;4,"",SUM('연간'!I71:L71)))/(IF(COUNT('연간'!I4:L4)&lt;4,"",SUM('연간'!I4:L4))),"")</f>
        <v/>
      </c>
      <c r="F56" s="36">
        <f>IFERROR((IF(COUNT('연간'!J71:M71)&lt;4,"",SUM('연간'!J71:M71)))/(IF(COUNT('연간'!J4:M4)&lt;4,"",SUM('연간'!J4:M4))),"")</f>
        <v/>
      </c>
      <c r="G56" s="36">
        <f>IFERROR((IF(COUNT('연간'!K71:N71)&lt;4,"",SUM('연간'!K71:N71)))/(IF(COUNT('연간'!K4:N4)&lt;4,"",SUM('연간'!K4:N4))),"")</f>
        <v/>
      </c>
      <c r="H56" s="35">
        <f>IFERROR(('연간'!T71)/('연간'!T4),"")</f>
        <v/>
      </c>
      <c r="I56" s="36">
        <f>IFERROR(('연간'!U71)/('연간'!U4),"")</f>
        <v/>
      </c>
      <c r="J56" s="36">
        <f>IFERROR(('연간'!V71)/('연간'!V4),"")</f>
        <v/>
      </c>
      <c r="K56" s="36">
        <f>IFERROR(('연간'!W71)/('연간'!W4),"")</f>
        <v/>
      </c>
      <c r="L56" s="36">
        <f>IFERROR(('연간'!X71)/('연간'!X4),"")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IFERROR(C9/(IF(COUNT('연간'!G35:J35)&lt;4,"",SUM('연간'!G35:J35)))*365,"")</f>
        <v/>
      </c>
      <c r="D60" s="49">
        <f>IFERROR(D9/(IF(COUNT('연간'!H35:K35)&lt;4,"",SUM('연간'!H35:K35)))*365,"")</f>
        <v/>
      </c>
      <c r="E60" s="49">
        <f>IFERROR(E9/(IF(COUNT('연간'!I35:L35)&lt;4,"",SUM('연간'!I35:L35)))*365,"")</f>
        <v/>
      </c>
      <c r="F60" s="49">
        <f>IFERROR(F9/(IF(COUNT('연간'!J35:M35)&lt;4,"",SUM('연간'!J35:M35)))*365,"")</f>
        <v/>
      </c>
      <c r="G60" s="49">
        <f>IFERROR(G9/(IF(COUNT('연간'!K35:N35)&lt;4,"",SUM('연간'!K35:N35)))*365,"")</f>
        <v/>
      </c>
      <c r="H60" s="48">
        <f>IFERROR(H9/('연간'!T35)*365,"")</f>
        <v/>
      </c>
      <c r="I60" s="49">
        <f>IFERROR(I9/('연간'!U35)*365,"")</f>
        <v/>
      </c>
      <c r="J60" s="49">
        <f>IFERROR(J9/('연간'!V35)*365,"")</f>
        <v/>
      </c>
      <c r="K60" s="49">
        <f>IFERROR(K9/('연간'!W35)*365,"")</f>
        <v/>
      </c>
      <c r="L60" s="49">
        <f>IFERROR(L9/('연간'!X35)*365,"")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IFERROR(C19/(IF(COUNT('연간'!G35:J35)&lt;4,"",SUM('연간'!G35:J35)))*365,"")</f>
        <v/>
      </c>
      <c r="D61" s="49">
        <f>IFERROR(D19/(IF(COUNT('연간'!H35:K35)&lt;4,"",SUM('연간'!H35:K35)))*365,"")</f>
        <v/>
      </c>
      <c r="E61" s="49">
        <f>IFERROR(E19/(IF(COUNT('연간'!I35:L35)&lt;4,"",SUM('연간'!I35:L35)))*365,"")</f>
        <v/>
      </c>
      <c r="F61" s="49">
        <f>IFERROR(F19/(IF(COUNT('연간'!J35:M35)&lt;4,"",SUM('연간'!J35:M35)))*365,"")</f>
        <v/>
      </c>
      <c r="G61" s="49">
        <f>IFERROR(G19/(IF(COUNT('연간'!K35:N35)&lt;4,"",SUM('연간'!K35:N35)))*365,"")</f>
        <v/>
      </c>
      <c r="H61" s="48">
        <f>IFERROR(H19/('연간'!T35)*365,"")</f>
        <v/>
      </c>
      <c r="I61" s="49">
        <f>IFERROR(I19/('연간'!U35)*365,"")</f>
        <v/>
      </c>
      <c r="J61" s="49">
        <f>IFERROR(J19/('연간'!V35)*365,"")</f>
        <v/>
      </c>
      <c r="K61" s="49">
        <f>IFERROR(K19/('연간'!W35)*365,"")</f>
        <v/>
      </c>
      <c r="L61" s="49">
        <f>IFERROR(L19/('연간'!X35)*365,"")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IF(C37="","",IFERROR(C37/(IF(COUNT('연간'!G71:J71)&lt;4,"",SUM('연간'!G71:J71))),""))</f>
        <v/>
      </c>
      <c r="D64" s="31">
        <f>IF(D37="","",IFERROR(D37/(IF(COUNT('연간'!H71:K71)&lt;4,"",SUM('연간'!H71:K71))),""))</f>
        <v/>
      </c>
      <c r="E64" s="31">
        <f>IF(E37="","",IFERROR(E37/(IF(COUNT('연간'!I71:L71)&lt;4,"",SUM('연간'!I71:L71))),""))</f>
        <v/>
      </c>
      <c r="F64" s="31">
        <f>IF(F37="","",IFERROR(F37/(IF(COUNT('연간'!J71:M71)&lt;4,"",SUM('연간'!J71:M71))),""))</f>
        <v/>
      </c>
      <c r="G64" s="31">
        <f>IF(G37="","",IFERROR(G37/(IF(COUNT('연간'!K71:N71)&lt;4,"",SUM('연간'!K71:N71))),""))</f>
        <v/>
      </c>
      <c r="H64" s="30">
        <f>IF(H37="","",IFERROR(H37/('연간'!T71),""))</f>
        <v/>
      </c>
      <c r="I64" s="31">
        <f>IF(I37="","",IFERROR(I37/('연간'!U71),""))</f>
        <v/>
      </c>
      <c r="J64" s="31">
        <f>IF(J37="","",IFERROR(J37/('연간'!V71),""))</f>
        <v/>
      </c>
      <c r="K64" s="31">
        <f>IF(K37="","",IFERROR(K37/('연간'!W71),""))</f>
        <v/>
      </c>
      <c r="L64" s="31">
        <f>IF(L37="","",IFERROR(L37/('연간'!X71),""))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IF(C40="","",IFERROR(C40/(IF(COUNT('연간'!G73:J73)&lt;4,"",SUM('연간'!G73:J73))),""))</f>
        <v/>
      </c>
      <c r="D67" s="36">
        <f>IF(D40="","",IFERROR(D40/(IF(COUNT('연간'!H73:K73)&lt;4,"",SUM('연간'!H73:K73))),""))</f>
        <v/>
      </c>
      <c r="E67" s="36">
        <f>IF(E40="","",IFERROR(E40/(IF(COUNT('연간'!I73:L73)&lt;4,"",SUM('연간'!I73:L73))),""))</f>
        <v/>
      </c>
      <c r="F67" s="36">
        <f>IF(F40="","",IFERROR(F40/(IF(COUNT('연간'!J73:M73)&lt;4,"",SUM('연간'!J73:M73))),""))</f>
        <v/>
      </c>
      <c r="G67" s="36">
        <f>IF(G40="","",IFERROR(G40/(IF(COUNT('연간'!K73:N73)&lt;4,"",SUM('연간'!K73:N73))),""))</f>
        <v/>
      </c>
      <c r="H67" s="35">
        <f>IF(H40="","",IFERROR(H40/('연간'!T73),""))</f>
        <v/>
      </c>
      <c r="I67" s="36">
        <f>IF(I40="","",IFERROR(I40/('연간'!U73),""))</f>
        <v/>
      </c>
      <c r="J67" s="36">
        <f>IF(J40="","",IFERROR(J40/('연간'!V73),""))</f>
        <v/>
      </c>
      <c r="K67" s="36">
        <f>IF(K40="","",IFERROR(K40/('연간'!W73),""))</f>
        <v/>
      </c>
      <c r="L67" s="36">
        <f>IF(L40="","",IFERROR(L40/('연간'!X73),""))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2025.2Q</t>
        </is>
      </c>
      <c r="D70" s="5" t="inlineStr">
        <is>
          <t>2025.3Q</t>
        </is>
      </c>
      <c r="E70" s="5" t="inlineStr">
        <is>
          <t>2025.4Q</t>
        </is>
      </c>
      <c r="F70" s="5" t="inlineStr">
        <is>
          <t>2026.1Q</t>
        </is>
      </c>
      <c r="G70" s="5" t="inlineStr">
        <is>
          <t>2026.2Q</t>
        </is>
      </c>
      <c r="H70" s="5" t="inlineStr">
        <is>
          <t>2021</t>
        </is>
      </c>
      <c r="I70" s="5" t="inlineStr">
        <is>
          <t>2022</t>
        </is>
      </c>
      <c r="J70" s="5" t="inlineStr">
        <is>
          <t>2023</t>
        </is>
      </c>
      <c r="K70" s="5" t="inlineStr">
        <is>
          <t>2024</t>
        </is>
      </c>
      <c r="L70" s="5" t="inlineStr">
        <is>
          <t>2025</t>
        </is>
      </c>
    </row>
    <row r="71">
      <c r="A71" s="18" t="inlineStr">
        <is>
          <t>현금 및 예금</t>
        </is>
      </c>
      <c r="C71" s="20" t="n">
        <v>6896</v>
      </c>
      <c r="D71" s="20" t="n">
        <v>3625</v>
      </c>
      <c r="E71" s="20" t="n">
        <v>3260</v>
      </c>
      <c r="F71" s="20" t="n">
        <v>4078</v>
      </c>
      <c r="G71" s="20" t="n">
        <v>8377</v>
      </c>
      <c r="H71" s="20" t="n">
        <v>1853</v>
      </c>
      <c r="I71" s="20" t="n">
        <v>2327</v>
      </c>
      <c r="J71" s="20" t="n">
        <v>2257</v>
      </c>
      <c r="K71" s="20" t="n">
        <v>3168</v>
      </c>
      <c r="L71" s="20" t="n">
        <v>3260</v>
      </c>
    </row>
    <row r="72">
      <c r="A72" s="18" t="inlineStr">
        <is>
          <t>받을어음·매출채권</t>
        </is>
      </c>
      <c r="H72" s="20" t="n">
        <v>12155</v>
      </c>
      <c r="I72" s="20" t="n">
        <v>0</v>
      </c>
    </row>
    <row r="73">
      <c r="A73" s="18" t="inlineStr">
        <is>
          <t>받을어음·매출채권·계약자산</t>
        </is>
      </c>
      <c r="C73" s="20" t="n">
        <v>7309</v>
      </c>
      <c r="D73" s="20" t="n">
        <v>9035</v>
      </c>
      <c r="E73" s="20" t="n">
        <v>14942</v>
      </c>
      <c r="F73" s="20" t="n">
        <v>13447</v>
      </c>
      <c r="G73" s="20" t="n">
        <v>8920</v>
      </c>
      <c r="H73" s="20" t="n">
        <v>0</v>
      </c>
      <c r="I73" s="20" t="n">
        <v>13965</v>
      </c>
      <c r="J73" s="20" t="n">
        <v>13181</v>
      </c>
      <c r="K73" s="20" t="n">
        <v>13781</v>
      </c>
      <c r="L73" s="20" t="n">
        <v>14942</v>
      </c>
    </row>
    <row r="74">
      <c r="A74" s="18" t="inlineStr">
        <is>
          <t>상품·제품</t>
        </is>
      </c>
      <c r="C74" s="20" t="n">
        <v>655</v>
      </c>
      <c r="D74" s="20" t="n">
        <v>737</v>
      </c>
      <c r="E74" s="20" t="n">
        <v>797</v>
      </c>
      <c r="F74" s="20" t="n">
        <v>852</v>
      </c>
      <c r="G74" s="20" t="n">
        <v>871</v>
      </c>
      <c r="H74" s="20" t="n">
        <v>753</v>
      </c>
      <c r="I74" s="20" t="n">
        <v>535</v>
      </c>
      <c r="J74" s="20" t="n">
        <v>330</v>
      </c>
      <c r="K74" s="20" t="n">
        <v>637</v>
      </c>
      <c r="L74" s="20" t="n">
        <v>797</v>
      </c>
    </row>
    <row r="75">
      <c r="A75" s="18" t="inlineStr">
        <is>
          <t>재공품</t>
        </is>
      </c>
      <c r="C75" s="20" t="n">
        <v>1620</v>
      </c>
      <c r="D75" s="20" t="n">
        <v>1889</v>
      </c>
      <c r="E75" s="20" t="n">
        <v>1851</v>
      </c>
      <c r="F75" s="20" t="n">
        <v>1549</v>
      </c>
      <c r="G75" s="20" t="n">
        <v>1763</v>
      </c>
      <c r="H75" s="20" t="n">
        <v>1621</v>
      </c>
      <c r="I75" s="20" t="n">
        <v>1727</v>
      </c>
      <c r="J75" s="20" t="n">
        <v>1936</v>
      </c>
      <c r="K75" s="20" t="n">
        <v>1839</v>
      </c>
      <c r="L75" s="20" t="n">
        <v>1851</v>
      </c>
    </row>
    <row r="76">
      <c r="A76" s="18" t="inlineStr">
        <is>
          <t>원재료</t>
        </is>
      </c>
      <c r="C76" s="20" t="n">
        <v>419</v>
      </c>
      <c r="D76" s="20" t="n">
        <v>436</v>
      </c>
      <c r="E76" s="20" t="n">
        <v>415</v>
      </c>
      <c r="F76" s="20" t="n">
        <v>433</v>
      </c>
      <c r="G76" s="20" t="n">
        <v>496</v>
      </c>
      <c r="H76" s="20" t="n">
        <v>320</v>
      </c>
      <c r="I76" s="20" t="n">
        <v>403</v>
      </c>
      <c r="J76" s="20" t="n">
        <v>475</v>
      </c>
      <c r="K76" s="20" t="n">
        <v>419</v>
      </c>
      <c r="L76" s="20" t="n">
        <v>415</v>
      </c>
    </row>
    <row r="77">
      <c r="A77" s="18" t="inlineStr">
        <is>
          <t>기타</t>
        </is>
      </c>
      <c r="C77" s="20" t="n">
        <v>291</v>
      </c>
      <c r="D77" s="20" t="n">
        <v>300</v>
      </c>
      <c r="E77" s="20" t="n">
        <v>361</v>
      </c>
      <c r="F77" s="20" t="n">
        <v>337</v>
      </c>
      <c r="G77" s="20" t="n">
        <v>356</v>
      </c>
      <c r="H77" s="20" t="n">
        <v>252</v>
      </c>
      <c r="I77" s="20" t="n">
        <v>423</v>
      </c>
      <c r="J77" s="20" t="n">
        <v>317</v>
      </c>
      <c r="K77" s="20" t="n">
        <v>230</v>
      </c>
      <c r="L77" s="20" t="n">
        <v>361</v>
      </c>
    </row>
    <row r="78">
      <c r="A78" s="18" t="inlineStr">
        <is>
          <t>대손충당금</t>
        </is>
      </c>
      <c r="C78" s="20" t="n">
        <v>-15</v>
      </c>
      <c r="D78" s="20" t="n">
        <v>-14</v>
      </c>
      <c r="E78" s="20" t="n">
        <v>-16</v>
      </c>
      <c r="F78" s="20" t="n">
        <v>-16</v>
      </c>
      <c r="G78" s="20" t="n">
        <v>-18</v>
      </c>
      <c r="H78" s="20" t="n">
        <v>-13</v>
      </c>
      <c r="I78" s="20" t="n">
        <v>-16</v>
      </c>
      <c r="J78" s="20" t="n">
        <v>-17</v>
      </c>
      <c r="K78" s="20" t="n">
        <v>-16</v>
      </c>
      <c r="L78" s="20" t="n">
        <v>-16</v>
      </c>
    </row>
    <row r="79">
      <c r="A79" s="9" t="inlineStr">
        <is>
          <t>유동자산 합계</t>
        </is>
      </c>
      <c r="C79" s="12" t="n">
        <v>17178</v>
      </c>
      <c r="D79" s="12" t="n">
        <v>16009</v>
      </c>
      <c r="E79" s="12" t="n">
        <v>21612</v>
      </c>
      <c r="F79" s="12" t="n">
        <v>20683</v>
      </c>
      <c r="G79" s="12" t="n">
        <v>20768</v>
      </c>
      <c r="H79" s="12" t="n">
        <v>16945</v>
      </c>
      <c r="I79" s="12" t="n">
        <v>19365</v>
      </c>
      <c r="J79" s="12" t="n">
        <v>18480</v>
      </c>
      <c r="K79" s="12" t="n">
        <v>20060</v>
      </c>
      <c r="L79" s="12" t="n">
        <v>21612</v>
      </c>
    </row>
    <row r="80">
      <c r="A80" s="18" t="inlineStr">
        <is>
          <t>건물·구축물</t>
        </is>
      </c>
      <c r="E80" s="20" t="n">
        <v>9645</v>
      </c>
      <c r="H80" s="20" t="n">
        <v>8669</v>
      </c>
      <c r="I80" s="20" t="n">
        <v>8772</v>
      </c>
      <c r="J80" s="20" t="n">
        <v>9023</v>
      </c>
      <c r="K80" s="20" t="n">
        <v>9502</v>
      </c>
      <c r="L80" s="20" t="n">
        <v>9645</v>
      </c>
    </row>
    <row r="81">
      <c r="A81" s="18" t="inlineStr">
        <is>
          <t>감가상각누계액</t>
        </is>
      </c>
      <c r="E81" s="20" t="n">
        <v>-5511</v>
      </c>
      <c r="H81" s="20" t="n">
        <v>-4630</v>
      </c>
      <c r="I81" s="20" t="n">
        <v>-4843</v>
      </c>
      <c r="J81" s="20" t="n">
        <v>-5051</v>
      </c>
      <c r="K81" s="20" t="n">
        <v>-5268</v>
      </c>
      <c r="L81" s="20" t="n">
        <v>-5511</v>
      </c>
    </row>
    <row r="82">
      <c r="A82" s="18" t="inlineStr">
        <is>
          <t>건물·구축물(순액)</t>
        </is>
      </c>
      <c r="C82" s="20" t="n">
        <v>4142</v>
      </c>
      <c r="D82" s="20" t="n">
        <v>4146</v>
      </c>
      <c r="E82" s="20" t="n">
        <v>4133</v>
      </c>
      <c r="F82" s="20" t="n">
        <v>4083</v>
      </c>
      <c r="G82" s="20" t="n">
        <v>4042</v>
      </c>
      <c r="H82" s="20" t="n">
        <v>4038</v>
      </c>
      <c r="I82" s="20" t="n">
        <v>3928</v>
      </c>
      <c r="J82" s="20" t="n">
        <v>3972</v>
      </c>
      <c r="K82" s="20" t="n">
        <v>4234</v>
      </c>
      <c r="L82" s="20" t="n">
        <v>4133</v>
      </c>
    </row>
    <row r="83">
      <c r="A83" s="18" t="inlineStr">
        <is>
          <t>기계장치·운반구</t>
        </is>
      </c>
      <c r="E83" s="20" t="n">
        <v>1592</v>
      </c>
      <c r="H83" s="20" t="n">
        <v>1552</v>
      </c>
      <c r="I83" s="20" t="n">
        <v>1585</v>
      </c>
      <c r="J83" s="20" t="n">
        <v>1541</v>
      </c>
      <c r="K83" s="20" t="n">
        <v>1548</v>
      </c>
      <c r="L83" s="20" t="n">
        <v>1592</v>
      </c>
    </row>
    <row r="84">
      <c r="A84" s="18" t="inlineStr">
        <is>
          <t>감가상각누계액</t>
        </is>
      </c>
      <c r="E84" s="20" t="n">
        <v>-1485</v>
      </c>
      <c r="H84" s="20" t="n">
        <v>-1422</v>
      </c>
      <c r="I84" s="20" t="n">
        <v>-1452</v>
      </c>
      <c r="J84" s="20" t="n">
        <v>-1417</v>
      </c>
      <c r="K84" s="20" t="n">
        <v>-1436</v>
      </c>
      <c r="L84" s="20" t="n">
        <v>-1485</v>
      </c>
    </row>
    <row r="85">
      <c r="A85" s="18" t="inlineStr">
        <is>
          <t>기계장치·운반구(순액)</t>
        </is>
      </c>
      <c r="E85" s="20" t="n">
        <v>106</v>
      </c>
      <c r="H85" s="20" t="n">
        <v>130</v>
      </c>
      <c r="I85" s="20" t="n">
        <v>132</v>
      </c>
      <c r="J85" s="20" t="n">
        <v>124</v>
      </c>
      <c r="K85" s="20" t="n">
        <v>111</v>
      </c>
      <c r="L85" s="20" t="n">
        <v>106</v>
      </c>
    </row>
    <row r="86">
      <c r="A86" s="18" t="inlineStr">
        <is>
          <t>공구·기구·비품</t>
        </is>
      </c>
      <c r="E86" s="20" t="n">
        <v>1446</v>
      </c>
      <c r="H86" s="20" t="n">
        <v>1394</v>
      </c>
      <c r="I86" s="20" t="n">
        <v>1415</v>
      </c>
      <c r="J86" s="20" t="n">
        <v>1414</v>
      </c>
      <c r="K86" s="20" t="n">
        <v>1423</v>
      </c>
      <c r="L86" s="20" t="n">
        <v>1446</v>
      </c>
    </row>
    <row r="87">
      <c r="A87" s="18" t="inlineStr">
        <is>
          <t>감가상각누계액</t>
        </is>
      </c>
      <c r="E87" s="20" t="n">
        <v>-1363</v>
      </c>
      <c r="H87" s="20" t="n">
        <v>-1258</v>
      </c>
      <c r="I87" s="20" t="n">
        <v>-1318</v>
      </c>
      <c r="J87" s="20" t="n">
        <v>-1324</v>
      </c>
      <c r="K87" s="20" t="n">
        <v>-1345</v>
      </c>
      <c r="L87" s="20" t="n">
        <v>-1363</v>
      </c>
    </row>
    <row r="88">
      <c r="A88" s="18" t="inlineStr">
        <is>
          <t>공구·기구·비품(순액)</t>
        </is>
      </c>
      <c r="E88" s="20" t="n">
        <v>83</v>
      </c>
      <c r="H88" s="20" t="n">
        <v>135</v>
      </c>
      <c r="I88" s="20" t="n">
        <v>96</v>
      </c>
      <c r="J88" s="20" t="n">
        <v>90</v>
      </c>
      <c r="K88" s="20" t="n">
        <v>78</v>
      </c>
      <c r="L88" s="20" t="n">
        <v>83</v>
      </c>
    </row>
    <row r="89">
      <c r="A89" s="18" t="inlineStr">
        <is>
          <t>토지</t>
        </is>
      </c>
      <c r="E89" s="20" t="n">
        <v>1143</v>
      </c>
      <c r="H89" s="20" t="n">
        <v>827</v>
      </c>
      <c r="I89" s="20" t="n">
        <v>827</v>
      </c>
      <c r="J89" s="20" t="n">
        <v>1148</v>
      </c>
      <c r="K89" s="20" t="n">
        <v>1136</v>
      </c>
      <c r="L89" s="20" t="n">
        <v>1143</v>
      </c>
    </row>
    <row r="90">
      <c r="A90" s="18" t="inlineStr">
        <is>
          <t>리스자산</t>
        </is>
      </c>
      <c r="E90" s="20" t="n">
        <v>856</v>
      </c>
      <c r="H90" s="20" t="n">
        <v>476</v>
      </c>
      <c r="I90" s="20" t="n">
        <v>516</v>
      </c>
      <c r="J90" s="20" t="n">
        <v>450</v>
      </c>
      <c r="K90" s="20" t="n">
        <v>393</v>
      </c>
      <c r="L90" s="20" t="n">
        <v>856</v>
      </c>
    </row>
    <row r="91">
      <c r="A91" s="18" t="inlineStr">
        <is>
          <t>감가상각누계액</t>
        </is>
      </c>
      <c r="E91" s="20" t="n">
        <v>-382</v>
      </c>
      <c r="H91" s="20" t="n">
        <v>-227</v>
      </c>
      <c r="I91" s="20" t="n">
        <v>-275</v>
      </c>
      <c r="J91" s="20" t="n">
        <v>-252</v>
      </c>
      <c r="K91" s="20" t="n">
        <v>-246</v>
      </c>
      <c r="L91" s="20" t="n">
        <v>-382</v>
      </c>
    </row>
    <row r="92">
      <c r="A92" s="18" t="inlineStr">
        <is>
          <t>리스자산(순액)</t>
        </is>
      </c>
      <c r="E92" s="20" t="n">
        <v>473</v>
      </c>
      <c r="H92" s="20" t="n">
        <v>249</v>
      </c>
      <c r="I92" s="20" t="n">
        <v>241</v>
      </c>
      <c r="J92" s="20" t="n">
        <v>197</v>
      </c>
      <c r="K92" s="20" t="n">
        <v>146</v>
      </c>
      <c r="L92" s="20" t="n">
        <v>473</v>
      </c>
    </row>
    <row r="93">
      <c r="A93" s="18" t="inlineStr">
        <is>
          <t>건설중인자산</t>
        </is>
      </c>
      <c r="E93" s="20" t="n">
        <v>1504</v>
      </c>
      <c r="H93" s="20" t="n">
        <v>18</v>
      </c>
      <c r="I93" s="20" t="n">
        <v>48</v>
      </c>
      <c r="J93" s="20" t="n">
        <v>235</v>
      </c>
      <c r="K93" s="20" t="n">
        <v>65</v>
      </c>
      <c r="L93" s="20" t="n">
        <v>1504</v>
      </c>
    </row>
    <row r="94">
      <c r="A94" s="18" t="inlineStr">
        <is>
          <t>기타(순액)</t>
        </is>
      </c>
      <c r="C94" s="20" t="n">
        <v>1961</v>
      </c>
      <c r="D94" s="20" t="n">
        <v>3311</v>
      </c>
      <c r="E94" s="20" t="n">
        <v>3311</v>
      </c>
      <c r="F94" s="20" t="n">
        <v>5170</v>
      </c>
      <c r="G94" s="20" t="n">
        <v>5216</v>
      </c>
      <c r="H94" s="20" t="n">
        <v>1360</v>
      </c>
      <c r="I94" s="20" t="n">
        <v>1347</v>
      </c>
      <c r="J94" s="20" t="n">
        <v>1796</v>
      </c>
      <c r="K94" s="20" t="n">
        <v>1539</v>
      </c>
      <c r="L94" s="20" t="n">
        <v>3311</v>
      </c>
    </row>
    <row r="95">
      <c r="A95" s="18" t="inlineStr">
        <is>
          <t>유형자산 합계</t>
        </is>
      </c>
      <c r="C95" s="20" t="n">
        <v>6103</v>
      </c>
      <c r="D95" s="20" t="n">
        <v>7458</v>
      </c>
      <c r="E95" s="20" t="n">
        <v>7445</v>
      </c>
      <c r="F95" s="20" t="n">
        <v>9253</v>
      </c>
      <c r="G95" s="20" t="n">
        <v>9258</v>
      </c>
      <c r="H95" s="20" t="n">
        <v>5399</v>
      </c>
      <c r="I95" s="20" t="n">
        <v>5276</v>
      </c>
      <c r="J95" s="20" t="n">
        <v>5768</v>
      </c>
      <c r="K95" s="20" t="n">
        <v>5773</v>
      </c>
      <c r="L95" s="20" t="n">
        <v>7445</v>
      </c>
    </row>
    <row r="96">
      <c r="A96" s="18" t="inlineStr">
        <is>
          <t>무형자산</t>
        </is>
      </c>
      <c r="C96" s="20" t="n">
        <v>200</v>
      </c>
      <c r="D96" s="20" t="n">
        <v>189</v>
      </c>
      <c r="E96" s="20" t="n">
        <v>220</v>
      </c>
      <c r="F96" s="20" t="n">
        <v>249</v>
      </c>
      <c r="G96" s="20" t="n">
        <v>247</v>
      </c>
      <c r="H96" s="20" t="n">
        <v>174</v>
      </c>
      <c r="I96" s="20" t="n">
        <v>232</v>
      </c>
      <c r="J96" s="20" t="n">
        <v>226</v>
      </c>
      <c r="K96" s="20" t="n">
        <v>211</v>
      </c>
      <c r="L96" s="20" t="n">
        <v>220</v>
      </c>
    </row>
    <row r="97">
      <c r="A97" s="18" t="inlineStr">
        <is>
          <t>투자유가증권</t>
        </is>
      </c>
      <c r="C97" s="20" t="n">
        <v>4340</v>
      </c>
      <c r="D97" s="20" t="n">
        <v>4895</v>
      </c>
      <c r="E97" s="20" t="n">
        <v>5215</v>
      </c>
      <c r="F97" s="20" t="n">
        <v>5899</v>
      </c>
      <c r="G97" s="20" t="n">
        <v>5787</v>
      </c>
      <c r="H97" s="20" t="n">
        <v>3142</v>
      </c>
      <c r="I97" s="20" t="n">
        <v>3047</v>
      </c>
      <c r="J97" s="20" t="n">
        <v>4140</v>
      </c>
      <c r="K97" s="20" t="n">
        <v>4131</v>
      </c>
      <c r="L97" s="20" t="n">
        <v>5215</v>
      </c>
    </row>
    <row r="98">
      <c r="A98" s="18" t="inlineStr">
        <is>
          <t>기타</t>
        </is>
      </c>
      <c r="C98" s="20" t="n">
        <v>117</v>
      </c>
      <c r="D98" s="20" t="n">
        <v>136</v>
      </c>
      <c r="E98" s="20" t="n">
        <v>227</v>
      </c>
      <c r="F98" s="20" t="n">
        <v>178</v>
      </c>
      <c r="G98" s="20" t="n">
        <v>209</v>
      </c>
      <c r="H98" s="20" t="n">
        <v>140</v>
      </c>
      <c r="I98" s="20" t="n">
        <v>142</v>
      </c>
      <c r="J98" s="20" t="n">
        <v>145</v>
      </c>
      <c r="K98" s="20" t="n">
        <v>161</v>
      </c>
      <c r="L98" s="20" t="n">
        <v>227</v>
      </c>
    </row>
    <row r="99">
      <c r="A99" s="18" t="inlineStr">
        <is>
          <t>대손충당금</t>
        </is>
      </c>
      <c r="C99" s="20" t="n">
        <v>-6</v>
      </c>
      <c r="D99" s="20" t="n">
        <v>-5</v>
      </c>
      <c r="E99" s="20" t="n">
        <v>-5</v>
      </c>
      <c r="F99" s="20" t="n">
        <v>-5</v>
      </c>
      <c r="G99" s="20" t="n">
        <v>-5</v>
      </c>
      <c r="H99" s="20" t="n">
        <v>-8</v>
      </c>
      <c r="I99" s="20" t="n">
        <v>-8</v>
      </c>
      <c r="J99" s="20" t="n">
        <v>-6</v>
      </c>
      <c r="K99" s="20" t="n">
        <v>-6</v>
      </c>
      <c r="L99" s="20" t="n">
        <v>-5</v>
      </c>
    </row>
    <row r="100">
      <c r="A100" s="18" t="inlineStr">
        <is>
          <t>투자 및 기타자산 합계</t>
        </is>
      </c>
      <c r="C100" s="20" t="n">
        <v>4450</v>
      </c>
      <c r="D100" s="20" t="n">
        <v>5026</v>
      </c>
      <c r="E100" s="20" t="n">
        <v>5437</v>
      </c>
      <c r="F100" s="20" t="n">
        <v>6071</v>
      </c>
      <c r="G100" s="20" t="n">
        <v>5990</v>
      </c>
      <c r="H100" s="20" t="n">
        <v>3274</v>
      </c>
      <c r="I100" s="20" t="n">
        <v>3181</v>
      </c>
      <c r="J100" s="20" t="n">
        <v>4279</v>
      </c>
      <c r="K100" s="20" t="n">
        <v>4285</v>
      </c>
      <c r="L100" s="20" t="n">
        <v>5437</v>
      </c>
    </row>
    <row r="101">
      <c r="A101" s="9" t="inlineStr">
        <is>
          <t>비유동자산 합계</t>
        </is>
      </c>
      <c r="C101" s="12" t="n">
        <v>10754</v>
      </c>
      <c r="D101" s="12" t="n">
        <v>12674</v>
      </c>
      <c r="E101" s="12" t="n">
        <v>13103</v>
      </c>
      <c r="F101" s="12" t="n">
        <v>15574</v>
      </c>
      <c r="G101" s="12" t="n">
        <v>15497</v>
      </c>
      <c r="H101" s="12" t="n">
        <v>8848</v>
      </c>
      <c r="I101" s="12" t="n">
        <v>8689</v>
      </c>
      <c r="J101" s="12" t="n">
        <v>10274</v>
      </c>
      <c r="K101" s="12" t="n">
        <v>10270</v>
      </c>
      <c r="L101" s="12" t="n">
        <v>13103</v>
      </c>
    </row>
    <row r="102">
      <c r="A102" s="9" t="inlineStr">
        <is>
          <t>자산 합계</t>
        </is>
      </c>
      <c r="C102" s="12" t="n">
        <v>27933</v>
      </c>
      <c r="D102" s="12" t="n">
        <v>28684</v>
      </c>
      <c r="E102" s="12" t="n">
        <v>34715</v>
      </c>
      <c r="F102" s="12" t="n">
        <v>36257</v>
      </c>
      <c r="G102" s="12" t="n">
        <v>36266</v>
      </c>
      <c r="H102" s="12" t="n">
        <v>25793</v>
      </c>
      <c r="I102" s="12" t="n">
        <v>28055</v>
      </c>
      <c r="J102" s="12" t="n">
        <v>28755</v>
      </c>
      <c r="K102" s="12" t="n">
        <v>30331</v>
      </c>
      <c r="L102" s="12" t="n">
        <v>34715</v>
      </c>
    </row>
    <row r="103">
      <c r="A103" s="18" t="inlineStr">
        <is>
          <t>지급어음·매입채무</t>
        </is>
      </c>
      <c r="C103" s="20" t="n">
        <v>2354</v>
      </c>
      <c r="D103" s="20" t="n">
        <v>2641</v>
      </c>
      <c r="E103" s="20" t="n">
        <v>6106</v>
      </c>
      <c r="F103" s="20" t="n">
        <v>3928</v>
      </c>
      <c r="G103" s="20" t="n">
        <v>4293</v>
      </c>
      <c r="H103" s="20" t="n">
        <v>4459</v>
      </c>
      <c r="I103" s="20" t="n">
        <v>4484</v>
      </c>
      <c r="J103" s="20" t="n">
        <v>5548</v>
      </c>
      <c r="K103" s="20" t="n">
        <v>4620</v>
      </c>
      <c r="L103" s="20" t="n">
        <v>6106</v>
      </c>
    </row>
    <row r="104">
      <c r="A104" s="18" t="inlineStr">
        <is>
          <t>전자기록채무</t>
        </is>
      </c>
      <c r="C104" s="20" t="n">
        <v>1258</v>
      </c>
      <c r="D104" s="20" t="n">
        <v>1178</v>
      </c>
      <c r="E104" s="20" t="n">
        <v>1584</v>
      </c>
      <c r="F104" s="20" t="n">
        <v>1851</v>
      </c>
      <c r="G104" s="20" t="n">
        <v>1518</v>
      </c>
      <c r="H104" s="20" t="n">
        <v>1243</v>
      </c>
      <c r="I104" s="20" t="n">
        <v>1322</v>
      </c>
      <c r="J104" s="20" t="n">
        <v>1492</v>
      </c>
      <c r="K104" s="20" t="n">
        <v>1579</v>
      </c>
      <c r="L104" s="20" t="n">
        <v>1584</v>
      </c>
    </row>
    <row r="105">
      <c r="A105" s="18" t="inlineStr">
        <is>
          <t>단기차입금</t>
        </is>
      </c>
      <c r="C105" s="20" t="n">
        <v>503</v>
      </c>
      <c r="D105" s="20" t="n">
        <v>575</v>
      </c>
      <c r="E105" s="20" t="n">
        <v>655</v>
      </c>
      <c r="F105" s="20" t="n">
        <v>3262</v>
      </c>
      <c r="G105" s="20" t="n">
        <v>780</v>
      </c>
      <c r="H105" s="20" t="n">
        <v>2475</v>
      </c>
      <c r="I105" s="20" t="n">
        <v>4253</v>
      </c>
      <c r="J105" s="20" t="n">
        <v>2466</v>
      </c>
      <c r="K105" s="20" t="n">
        <v>2162</v>
      </c>
      <c r="L105" s="20" t="n">
        <v>655</v>
      </c>
    </row>
    <row r="106">
      <c r="A106" s="18" t="inlineStr">
        <is>
          <t>미지급법인세</t>
        </is>
      </c>
      <c r="C106" s="20" t="n">
        <v>547</v>
      </c>
      <c r="D106" s="20" t="n">
        <v>480</v>
      </c>
      <c r="E106" s="20" t="n">
        <v>840</v>
      </c>
      <c r="F106" s="20" t="n">
        <v>430</v>
      </c>
      <c r="G106" s="20" t="n">
        <v>650</v>
      </c>
      <c r="H106" s="20" t="n">
        <v>321</v>
      </c>
      <c r="I106" s="20" t="n">
        <v>404</v>
      </c>
      <c r="J106" s="20" t="n">
        <v>409</v>
      </c>
      <c r="K106" s="20" t="n">
        <v>587</v>
      </c>
      <c r="L106" s="20" t="n">
        <v>840</v>
      </c>
    </row>
    <row r="107">
      <c r="A107" s="18" t="inlineStr">
        <is>
          <t>계약부채</t>
        </is>
      </c>
      <c r="E107" s="20" t="n">
        <v>1529</v>
      </c>
      <c r="G107" s="20" t="n">
        <v>2924</v>
      </c>
      <c r="H107" s="20" t="n">
        <v>0</v>
      </c>
      <c r="I107" s="20" t="n">
        <v>683</v>
      </c>
      <c r="J107" s="20" t="n">
        <v>317</v>
      </c>
      <c r="K107" s="20" t="n">
        <v>381</v>
      </c>
      <c r="L107" s="20" t="n">
        <v>1529</v>
      </c>
    </row>
    <row r="108">
      <c r="A108" s="18" t="inlineStr">
        <is>
          <t>선수금</t>
        </is>
      </c>
      <c r="H108" s="20" t="n">
        <v>431</v>
      </c>
      <c r="I108" s="20" t="n">
        <v>0</v>
      </c>
    </row>
    <row r="109">
      <c r="A109" s="18" t="inlineStr">
        <is>
          <t>상여충당금</t>
        </is>
      </c>
      <c r="C109" s="20" t="n">
        <v>643</v>
      </c>
      <c r="D109" s="20" t="n">
        <v>1108</v>
      </c>
      <c r="E109" s="20" t="n">
        <v>0</v>
      </c>
      <c r="F109" s="20" t="n">
        <v>689</v>
      </c>
      <c r="G109" s="20" t="n">
        <v>768</v>
      </c>
      <c r="H109" s="20" t="n">
        <v>0</v>
      </c>
      <c r="I109" s="20" t="n">
        <v>0</v>
      </c>
      <c r="J109" s="20" t="n">
        <v>0</v>
      </c>
      <c r="K109" s="20" t="n">
        <v>0</v>
      </c>
      <c r="L109" s="20" t="n">
        <v>0</v>
      </c>
    </row>
    <row r="110">
      <c r="A110" s="18" t="inlineStr">
        <is>
          <t>Provision For Loss On Construction Contracts</t>
        </is>
      </c>
      <c r="C110" s="20" t="n">
        <v>113</v>
      </c>
      <c r="D110" s="20" t="n">
        <v>80</v>
      </c>
      <c r="E110" s="20" t="n">
        <v>72</v>
      </c>
      <c r="F110" s="20" t="n">
        <v>42</v>
      </c>
      <c r="G110" s="20" t="n">
        <v>91</v>
      </c>
      <c r="H110" s="20" t="n">
        <v>34</v>
      </c>
      <c r="I110" s="20" t="n">
        <v>1</v>
      </c>
      <c r="J110" s="20" t="n">
        <v>4</v>
      </c>
      <c r="K110" s="20" t="n">
        <v>22</v>
      </c>
      <c r="L110" s="20" t="n">
        <v>72</v>
      </c>
    </row>
    <row r="111">
      <c r="A111" s="18" t="inlineStr">
        <is>
          <t>기타</t>
        </is>
      </c>
      <c r="C111" s="20" t="n">
        <v>2674</v>
      </c>
      <c r="D111" s="20" t="n">
        <v>2298</v>
      </c>
      <c r="E111" s="20" t="n">
        <v>2583</v>
      </c>
      <c r="F111" s="20" t="n">
        <v>3197</v>
      </c>
      <c r="G111" s="20" t="n">
        <v>2154</v>
      </c>
      <c r="H111" s="20" t="n">
        <v>2286</v>
      </c>
      <c r="I111" s="20" t="n">
        <v>2016</v>
      </c>
      <c r="J111" s="20" t="n">
        <v>2349</v>
      </c>
      <c r="K111" s="20" t="n">
        <v>2220</v>
      </c>
      <c r="L111" s="20" t="n">
        <v>2583</v>
      </c>
    </row>
    <row r="112">
      <c r="A112" s="9" t="inlineStr">
        <is>
          <t>유동부채 합계</t>
        </is>
      </c>
      <c r="C112" s="12" t="n">
        <v>8096</v>
      </c>
      <c r="D112" s="12" t="n">
        <v>8362</v>
      </c>
      <c r="E112" s="12" t="n">
        <v>13373</v>
      </c>
      <c r="F112" s="12" t="n">
        <v>13402</v>
      </c>
      <c r="G112" s="12" t="n">
        <v>13181</v>
      </c>
      <c r="H112" s="12" t="n">
        <v>11252</v>
      </c>
      <c r="I112" s="12" t="n">
        <v>13167</v>
      </c>
      <c r="J112" s="12" t="n">
        <v>12271</v>
      </c>
      <c r="K112" s="12" t="n">
        <v>11574</v>
      </c>
      <c r="L112" s="12" t="n">
        <v>13373</v>
      </c>
    </row>
    <row r="113">
      <c r="A113" s="18" t="inlineStr">
        <is>
          <t>장기차입금</t>
        </is>
      </c>
      <c r="C113" s="20" t="n">
        <v>437</v>
      </c>
      <c r="D113" s="20" t="n">
        <v>380</v>
      </c>
      <c r="E113" s="20" t="n">
        <v>323</v>
      </c>
      <c r="F113" s="20" t="n">
        <v>266</v>
      </c>
      <c r="G113" s="20" t="n">
        <v>209</v>
      </c>
      <c r="H113" s="20" t="n">
        <v>1237</v>
      </c>
      <c r="I113" s="20" t="n">
        <v>1009</v>
      </c>
      <c r="J113" s="20" t="n">
        <v>780</v>
      </c>
      <c r="K113" s="20" t="n">
        <v>552</v>
      </c>
      <c r="L113" s="20" t="n">
        <v>323</v>
      </c>
    </row>
    <row r="114">
      <c r="A114" s="18" t="inlineStr">
        <is>
          <t>이연법인세부채</t>
        </is>
      </c>
      <c r="E114" s="20" t="n">
        <v>766</v>
      </c>
      <c r="H114" s="20" t="n">
        <v>119</v>
      </c>
      <c r="I114" s="20" t="n">
        <v>118</v>
      </c>
      <c r="J114" s="20" t="n">
        <v>455</v>
      </c>
      <c r="K114" s="20" t="n">
        <v>514</v>
      </c>
      <c r="L114" s="20" t="n">
        <v>766</v>
      </c>
    </row>
    <row r="115">
      <c r="A115" s="18" t="inlineStr">
        <is>
          <t>퇴직급여부채</t>
        </is>
      </c>
      <c r="C115" s="20" t="n">
        <v>1629</v>
      </c>
      <c r="D115" s="20" t="n">
        <v>1643</v>
      </c>
      <c r="E115" s="20" t="n">
        <v>1636</v>
      </c>
      <c r="F115" s="20" t="n">
        <v>1617</v>
      </c>
      <c r="G115" s="20" t="n">
        <v>1601</v>
      </c>
      <c r="H115" s="20" t="n">
        <v>1961</v>
      </c>
      <c r="I115" s="20" t="n">
        <v>1935</v>
      </c>
      <c r="J115" s="20" t="n">
        <v>1797</v>
      </c>
      <c r="K115" s="20" t="n">
        <v>1625</v>
      </c>
      <c r="L115" s="20" t="n">
        <v>1636</v>
      </c>
    </row>
    <row r="116">
      <c r="A116" s="18" t="inlineStr">
        <is>
          <t>기타</t>
        </is>
      </c>
      <c r="C116" s="20" t="n">
        <v>1019</v>
      </c>
      <c r="D116" s="20" t="n">
        <v>1098</v>
      </c>
      <c r="E116" s="20" t="n">
        <v>1292</v>
      </c>
      <c r="F116" s="20" t="n">
        <v>1704</v>
      </c>
      <c r="G116" s="20" t="n">
        <v>1657</v>
      </c>
      <c r="H116" s="20" t="n">
        <v>281</v>
      </c>
      <c r="I116" s="20" t="n">
        <v>259</v>
      </c>
      <c r="J116" s="20" t="n">
        <v>693</v>
      </c>
      <c r="K116" s="20" t="n">
        <v>181</v>
      </c>
      <c r="L116" s="20" t="n">
        <v>1292</v>
      </c>
    </row>
    <row r="117">
      <c r="A117" s="9" t="inlineStr">
        <is>
          <t>비유동부채 합계</t>
        </is>
      </c>
      <c r="C117" s="12" t="n">
        <v>3087</v>
      </c>
      <c r="D117" s="12" t="n">
        <v>3122</v>
      </c>
      <c r="E117" s="12" t="n">
        <v>3252</v>
      </c>
      <c r="F117" s="12" t="n">
        <v>3589</v>
      </c>
      <c r="G117" s="12" t="n">
        <v>3468</v>
      </c>
      <c r="H117" s="12" t="n">
        <v>3600</v>
      </c>
      <c r="I117" s="12" t="n">
        <v>3322</v>
      </c>
      <c r="J117" s="12" t="n">
        <v>3271</v>
      </c>
      <c r="K117" s="12" t="n">
        <v>2873</v>
      </c>
      <c r="L117" s="12" t="n">
        <v>3252</v>
      </c>
    </row>
    <row r="118">
      <c r="A118" s="9" t="inlineStr">
        <is>
          <t>부채 합계</t>
        </is>
      </c>
      <c r="C118" s="12" t="n">
        <v>11183</v>
      </c>
      <c r="D118" s="12" t="n">
        <v>11485</v>
      </c>
      <c r="E118" s="12" t="n">
        <v>16626</v>
      </c>
      <c r="F118" s="12" t="n">
        <v>16991</v>
      </c>
      <c r="G118" s="12" t="n">
        <v>16649</v>
      </c>
      <c r="H118" s="12" t="n">
        <v>14853</v>
      </c>
      <c r="I118" s="12" t="n">
        <v>16490</v>
      </c>
      <c r="J118" s="12" t="n">
        <v>15542</v>
      </c>
      <c r="K118" s="12" t="n">
        <v>14448</v>
      </c>
      <c r="L118" s="12" t="n">
        <v>16626</v>
      </c>
    </row>
    <row r="119">
      <c r="A119" s="18" t="inlineStr">
        <is>
          <t>자본금</t>
        </is>
      </c>
      <c r="C119" s="20" t="n">
        <v>3323</v>
      </c>
      <c r="D119" s="20" t="n">
        <v>3323</v>
      </c>
      <c r="E119" s="20" t="n">
        <v>3323</v>
      </c>
      <c r="F119" s="20" t="n">
        <v>3323</v>
      </c>
      <c r="G119" s="20" t="n">
        <v>3323</v>
      </c>
      <c r="H119" s="20" t="n">
        <v>2607</v>
      </c>
      <c r="I119" s="20" t="n">
        <v>2607</v>
      </c>
      <c r="J119" s="20" t="n">
        <v>2607</v>
      </c>
      <c r="K119" s="20" t="n">
        <v>3323</v>
      </c>
      <c r="L119" s="20" t="n">
        <v>3323</v>
      </c>
    </row>
    <row r="120">
      <c r="A120" s="18" t="inlineStr">
        <is>
          <t>자본잉여금</t>
        </is>
      </c>
      <c r="C120" s="20" t="n">
        <v>2746</v>
      </c>
      <c r="D120" s="20" t="n">
        <v>2746</v>
      </c>
      <c r="E120" s="20" t="n">
        <v>2746</v>
      </c>
      <c r="F120" s="20" t="n">
        <v>2746</v>
      </c>
      <c r="G120" s="20" t="n">
        <v>2777</v>
      </c>
      <c r="H120" s="20" t="n">
        <v>1958</v>
      </c>
      <c r="I120" s="20" t="n">
        <v>1974</v>
      </c>
      <c r="J120" s="20" t="n">
        <v>1988</v>
      </c>
      <c r="K120" s="20" t="n">
        <v>2724</v>
      </c>
      <c r="L120" s="20" t="n">
        <v>2746</v>
      </c>
    </row>
    <row r="121">
      <c r="A121" s="18" t="inlineStr">
        <is>
          <t>이익잉여금</t>
        </is>
      </c>
      <c r="C121" s="20" t="n">
        <v>8822</v>
      </c>
      <c r="D121" s="20" t="n">
        <v>8879</v>
      </c>
      <c r="E121" s="20" t="n">
        <v>9544</v>
      </c>
      <c r="F121" s="20" t="n">
        <v>10263</v>
      </c>
      <c r="G121" s="20" t="n">
        <v>10665</v>
      </c>
      <c r="H121" s="20" t="n">
        <v>5570</v>
      </c>
      <c r="I121" s="20" t="n">
        <v>6229</v>
      </c>
      <c r="J121" s="20" t="n">
        <v>7036</v>
      </c>
      <c r="K121" s="20" t="n">
        <v>8116</v>
      </c>
      <c r="L121" s="20" t="n">
        <v>9544</v>
      </c>
    </row>
    <row r="122">
      <c r="A122" s="18" t="inlineStr">
        <is>
          <t>자기주식</t>
        </is>
      </c>
      <c r="C122" s="20" t="n">
        <v>-178</v>
      </c>
      <c r="D122" s="20" t="n">
        <v>-178</v>
      </c>
      <c r="E122" s="20" t="n">
        <v>-179</v>
      </c>
      <c r="F122" s="20" t="n">
        <v>-179</v>
      </c>
      <c r="G122" s="20" t="n">
        <v>-172</v>
      </c>
      <c r="H122" s="20" t="n">
        <v>-225</v>
      </c>
      <c r="I122" s="20" t="n">
        <v>-215</v>
      </c>
      <c r="J122" s="20" t="n">
        <v>-204</v>
      </c>
      <c r="K122" s="20" t="n">
        <v>-193</v>
      </c>
      <c r="L122" s="20" t="n">
        <v>-179</v>
      </c>
    </row>
    <row r="123">
      <c r="A123" s="9" t="inlineStr">
        <is>
          <t>주주자본 합계</t>
        </is>
      </c>
      <c r="C123" s="12" t="n">
        <v>14713</v>
      </c>
      <c r="D123" s="12" t="n">
        <v>14769</v>
      </c>
      <c r="E123" s="12" t="n">
        <v>15434</v>
      </c>
      <c r="F123" s="12" t="n">
        <v>16153</v>
      </c>
      <c r="G123" s="12" t="n">
        <v>16592</v>
      </c>
      <c r="H123" s="12" t="n">
        <v>9910</v>
      </c>
      <c r="I123" s="12" t="n">
        <v>10594</v>
      </c>
      <c r="J123" s="12" t="n">
        <v>11428</v>
      </c>
      <c r="K123" s="12" t="n">
        <v>13970</v>
      </c>
      <c r="L123" s="12" t="n">
        <v>15434</v>
      </c>
    </row>
    <row r="124">
      <c r="A124" s="18" t="inlineStr">
        <is>
          <t>기타유가증권 평가차액</t>
        </is>
      </c>
      <c r="C124" s="20" t="n">
        <v>2010</v>
      </c>
      <c r="D124" s="20" t="n">
        <v>2406</v>
      </c>
      <c r="E124" s="20" t="n">
        <v>2625</v>
      </c>
      <c r="F124" s="20" t="n">
        <v>3092</v>
      </c>
      <c r="G124" s="20" t="n">
        <v>3013</v>
      </c>
      <c r="H124" s="20" t="n">
        <v>1204</v>
      </c>
      <c r="I124" s="20" t="n">
        <v>1107</v>
      </c>
      <c r="J124" s="20" t="n">
        <v>1875</v>
      </c>
      <c r="K124" s="20" t="n">
        <v>1896</v>
      </c>
      <c r="L124" s="20" t="n">
        <v>2625</v>
      </c>
    </row>
    <row r="125">
      <c r="A125" s="18" t="inlineStr">
        <is>
          <t>해외사업환산조정</t>
        </is>
      </c>
      <c r="C125" s="20" t="n">
        <v>-59</v>
      </c>
      <c r="D125" s="20" t="n">
        <v>-62</v>
      </c>
      <c r="E125" s="20" t="n">
        <v>-65</v>
      </c>
      <c r="F125" s="20" t="n">
        <v>-74</v>
      </c>
      <c r="G125" s="20" t="n">
        <v>-84</v>
      </c>
      <c r="H125" s="20" t="n">
        <v>-87</v>
      </c>
      <c r="I125" s="20" t="n">
        <v>-78</v>
      </c>
      <c r="J125" s="20" t="n">
        <v>-76</v>
      </c>
      <c r="K125" s="20" t="n">
        <v>-68</v>
      </c>
      <c r="L125" s="20" t="n">
        <v>-65</v>
      </c>
    </row>
    <row r="126">
      <c r="A126" s="18" t="inlineStr">
        <is>
          <t>퇴직급여 조정누계액</t>
        </is>
      </c>
      <c r="C126" s="20" t="n">
        <v>85</v>
      </c>
      <c r="D126" s="20" t="n">
        <v>85</v>
      </c>
      <c r="E126" s="20" t="n">
        <v>94</v>
      </c>
      <c r="F126" s="20" t="n">
        <v>94</v>
      </c>
      <c r="G126" s="20" t="n">
        <v>93</v>
      </c>
      <c r="H126" s="20" t="n">
        <v>-86</v>
      </c>
      <c r="I126" s="20" t="n">
        <v>-58</v>
      </c>
      <c r="J126" s="20" t="n">
        <v>-15</v>
      </c>
      <c r="K126" s="20" t="n">
        <v>84</v>
      </c>
      <c r="L126" s="20" t="n">
        <v>94</v>
      </c>
    </row>
    <row r="127">
      <c r="A127" s="18" t="inlineStr">
        <is>
          <t>기타포괄손익누계액 합계</t>
        </is>
      </c>
      <c r="C127" s="20" t="n">
        <v>2036</v>
      </c>
      <c r="D127" s="20" t="n">
        <v>2429</v>
      </c>
      <c r="E127" s="20" t="n">
        <v>2654</v>
      </c>
      <c r="F127" s="20" t="n">
        <v>3112</v>
      </c>
      <c r="G127" s="20" t="n">
        <v>3023</v>
      </c>
      <c r="H127" s="20" t="n">
        <v>1029</v>
      </c>
      <c r="I127" s="20" t="n">
        <v>970</v>
      </c>
      <c r="J127" s="20" t="n">
        <v>1784</v>
      </c>
      <c r="K127" s="20" t="n">
        <v>1912</v>
      </c>
      <c r="L127" s="20" t="n">
        <v>2654</v>
      </c>
    </row>
    <row r="128">
      <c r="A128" s="9" t="inlineStr">
        <is>
          <t>순자산 합계</t>
        </is>
      </c>
      <c r="C128" s="12" t="n">
        <v>16749</v>
      </c>
      <c r="D128" s="12" t="n">
        <v>17198</v>
      </c>
      <c r="E128" s="12" t="n">
        <v>18089</v>
      </c>
      <c r="F128" s="12" t="n">
        <v>19265</v>
      </c>
      <c r="G128" s="12" t="n">
        <v>19616</v>
      </c>
      <c r="H128" s="12" t="n">
        <v>10940</v>
      </c>
      <c r="I128" s="12" t="n">
        <v>11565</v>
      </c>
      <c r="J128" s="12" t="n">
        <v>13212</v>
      </c>
      <c r="K128" s="12" t="n">
        <v>15882</v>
      </c>
      <c r="L128" s="12" t="n">
        <v>18089</v>
      </c>
    </row>
    <row r="129">
      <c r="A129" s="9" t="inlineStr">
        <is>
          <t>부채·순자산 합계</t>
        </is>
      </c>
      <c r="C129" s="12" t="n">
        <v>27933</v>
      </c>
      <c r="D129" s="12" t="n">
        <v>28684</v>
      </c>
      <c r="E129" s="12" t="n">
        <v>34715</v>
      </c>
      <c r="F129" s="12" t="n">
        <v>36257</v>
      </c>
      <c r="G129" s="12" t="n">
        <v>36266</v>
      </c>
      <c r="H129" s="12" t="n">
        <v>25793</v>
      </c>
      <c r="I129" s="12" t="n">
        <v>28055</v>
      </c>
      <c r="J129" s="12" t="n">
        <v>28755</v>
      </c>
      <c r="K129" s="12" t="n">
        <v>30331</v>
      </c>
      <c r="L129" s="12" t="n">
        <v>34715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2026-07-24</t>
        </is>
      </c>
      <c r="B4" t="inlineStr">
        <is>
          <t>2026년 12월 결산기 ２분기 결산단신</t>
        </is>
      </c>
      <c r="C4" t="inlineStr">
        <is>
          <t>https://www2.jpx.co.jp/disc/66530/140120260724599132.pdf</t>
        </is>
      </c>
    </row>
    <row r="5">
      <c r="A5" t="inlineStr">
        <is>
          <t>2026-04-22</t>
        </is>
      </c>
      <c r="B5" t="inlineStr">
        <is>
          <t>2026년 12월 결산기 １분기 결산단신</t>
        </is>
      </c>
      <c r="C5" t="inlineStr">
        <is>
          <t>https://www2.jpx.co.jp/disc/66530/140120260422507921.pdf</t>
        </is>
      </c>
    </row>
    <row r="6">
      <c r="A6" t="inlineStr">
        <is>
          <t>2026-02-12</t>
        </is>
      </c>
      <c r="B6" t="inlineStr">
        <is>
          <t>2025년 12월 결산기 연간 결산단신</t>
        </is>
      </c>
      <c r="C6" t="inlineStr">
        <is>
          <t>https://www2.jpx.co.jp/disc/66530/140120260212555541.pdf</t>
        </is>
      </c>
    </row>
    <row r="7">
      <c r="A7" t="inlineStr">
        <is>
          <t>2025-10-27</t>
        </is>
      </c>
      <c r="B7" t="inlineStr">
        <is>
          <t>2025년 12월 결산기 ３분기 결산단신</t>
        </is>
      </c>
      <c r="C7" t="inlineStr">
        <is>
          <t>https://www2.jpx.co.jp/disc/66530/140120251027579314.pdf</t>
        </is>
      </c>
    </row>
    <row r="8">
      <c r="A8" t="inlineStr">
        <is>
          <t>2025-07-31</t>
        </is>
      </c>
      <c r="B8" t="inlineStr">
        <is>
          <t>2025년 12월 결산기 ２분기 결산단신</t>
        </is>
      </c>
      <c r="C8" t="inlineStr">
        <is>
          <t>https://www2.jpx.co.jp/disc/66530/140120250731525149.pdf</t>
        </is>
      </c>
    </row>
    <row r="9">
      <c r="A9" t="inlineStr">
        <is>
          <t>2025-04-23</t>
        </is>
      </c>
      <c r="B9" t="inlineStr">
        <is>
          <t>2025년 12월 결산기 １분기 결산단신</t>
        </is>
      </c>
      <c r="C9" t="inlineStr">
        <is>
          <t>https://www2.jpx.co.jp/disc/66530/140120250423520741.pdf</t>
        </is>
      </c>
    </row>
    <row r="10">
      <c r="A10" t="inlineStr">
        <is>
          <t>2024-10-29</t>
        </is>
      </c>
      <c r="B10" t="inlineStr">
        <is>
          <t>2024년 12월 결산기 ３분기 결산단신</t>
        </is>
      </c>
      <c r="C10" t="inlineStr">
        <is>
          <t>https://www2.jpx.co.jp/disc/66530/140120241029505016.pdf</t>
        </is>
      </c>
    </row>
    <row r="11">
      <c r="A11" t="inlineStr">
        <is>
          <t>2024-07-30</t>
        </is>
      </c>
      <c r="B11" t="inlineStr">
        <is>
          <t>2024년 12월 결산기 ２분기 결산단신</t>
        </is>
      </c>
      <c r="C11" t="inlineStr">
        <is>
          <t>https://www2.jpx.co.jp/disc/66530/140120240730557382.pdf</t>
        </is>
      </c>
    </row>
    <row r="12">
      <c r="A12" t="inlineStr">
        <is>
          <t>2024-04-26</t>
        </is>
      </c>
      <c r="B12" t="inlineStr">
        <is>
          <t>2024년 12월 결산기 １분기 결산단신</t>
        </is>
      </c>
      <c r="C12" t="inlineStr">
        <is>
          <t>https://www2.jpx.co.jp/disc/66530/140120240426577770.pdf</t>
        </is>
      </c>
    </row>
    <row r="13">
      <c r="A13" t="inlineStr">
        <is>
          <t>2024-02-08</t>
        </is>
      </c>
      <c r="B13" t="inlineStr">
        <is>
          <t>2023년 12월 결산기 연간 결산단신</t>
        </is>
      </c>
      <c r="C13" t="inlineStr">
        <is>
          <t>https://www2.jpx.co.jp/disc/66530/140120240207529082.pdf</t>
        </is>
      </c>
    </row>
    <row r="14">
      <c r="A14" t="inlineStr">
        <is>
          <t>2023-10-25</t>
        </is>
      </c>
      <c r="B14" t="inlineStr">
        <is>
          <t>2023년 12월 결산기 ３분기 결산단신</t>
        </is>
      </c>
      <c r="C14" t="inlineStr">
        <is>
          <t>https://www2.jpx.co.jp/disc/66530/140120231025571016.pdf</t>
        </is>
      </c>
    </row>
    <row r="15">
      <c r="A15" t="inlineStr">
        <is>
          <t>2023-07-26</t>
        </is>
      </c>
      <c r="B15" t="inlineStr">
        <is>
          <t>2023년 12월 결산기 ２분기 결산단신</t>
        </is>
      </c>
      <c r="C15" t="inlineStr">
        <is>
          <t>https://www2.jpx.co.jp/disc/66530/140120230726526983.pdf</t>
        </is>
      </c>
    </row>
    <row r="16">
      <c r="A16" t="inlineStr">
        <is>
          <t>2023-04-26</t>
        </is>
      </c>
      <c r="B16" t="inlineStr">
        <is>
          <t>2023년 12월 결산기 １분기 결산단신</t>
        </is>
      </c>
      <c r="C16" t="inlineStr">
        <is>
          <t>https://www2.jpx.co.jp/disc/66530/140120230426552925.pdf</t>
        </is>
      </c>
    </row>
    <row r="17">
      <c r="A17" t="inlineStr">
        <is>
          <t>2023-02-01</t>
        </is>
      </c>
      <c r="B17" t="inlineStr">
        <is>
          <t>2022년 12월 결산기 연간 결산단신</t>
        </is>
      </c>
      <c r="C17" t="inlineStr">
        <is>
          <t>https://www2.jpx.co.jp/disc/66530/140120230201597844.pdf</t>
        </is>
      </c>
    </row>
    <row r="18">
      <c r="A18" t="inlineStr">
        <is>
          <t>2022-10-26</t>
        </is>
      </c>
      <c r="B18" t="inlineStr">
        <is>
          <t>2022년 12월 결산기 ３분기 결산단신</t>
        </is>
      </c>
      <c r="C18" t="inlineStr">
        <is>
          <t>https://www2.jpx.co.jp/disc/66530/140120221026549471.pdf</t>
        </is>
      </c>
    </row>
    <row r="19">
      <c r="A19" t="inlineStr">
        <is>
          <t>2022-07-29</t>
        </is>
      </c>
      <c r="B19" t="inlineStr">
        <is>
          <t>2022년 12월 결산기 ２분기 결산단신</t>
        </is>
      </c>
      <c r="C19" t="inlineStr">
        <is>
          <t>https://www2.jpx.co.jp/disc/66530/140120220729507498.pdf</t>
        </is>
      </c>
    </row>
    <row r="20">
      <c r="A20" t="inlineStr">
        <is>
          <t>2022-02-09</t>
        </is>
      </c>
      <c r="B20" t="inlineStr">
        <is>
          <t>2021년 12월 결산기 연간 결산단신</t>
        </is>
      </c>
      <c r="C20" t="inlineStr">
        <is>
          <t>https://www2.jpx.co.jp/disc/66530/140120220209584822.pdf</t>
        </is>
      </c>
    </row>
    <row r="21">
      <c r="A21" t="inlineStr">
        <is>
          <t>2021-02-02</t>
        </is>
      </c>
      <c r="B21" t="inlineStr">
        <is>
          <t>2020년 12월 결산기 연간 결산단신</t>
        </is>
      </c>
      <c r="C21" t="inlineStr">
        <is>
          <t>https://www2.jpx.co.jp/disc/66530/140120210202453878.pdf</t>
        </is>
      </c>
    </row>
    <row r="22">
      <c r="A22" t="inlineStr">
        <is>
          <t>2020-01-31</t>
        </is>
      </c>
      <c r="B22" t="inlineStr">
        <is>
          <t>2019년 12월 결산기 연간 결산단신</t>
        </is>
      </c>
      <c r="C22" t="inlineStr">
        <is>
          <t>https://www2.jpx.co.jp/disc/66530/140120200131454865.pdf</t>
        </is>
      </c>
    </row>
    <row r="23">
      <c r="A23" t="inlineStr">
        <is>
          <t>2019-02-08</t>
        </is>
      </c>
      <c r="B23" t="inlineStr">
        <is>
          <t>연간 결산단신</t>
        </is>
      </c>
      <c r="C23" t="inlineStr">
        <is>
          <t>https://www2.jpx.co.jp/disc/66530/140120190208473478.pdf</t>
        </is>
      </c>
    </row>
    <row r="24">
      <c r="A24" t="inlineStr">
        <is>
          <t>2018-02-09</t>
        </is>
      </c>
      <c r="B24" t="inlineStr">
        <is>
          <t>연간 결산단신</t>
        </is>
      </c>
      <c r="C24" t="inlineStr">
        <is>
          <t>https://www2.jpx.co.jp/disc/66530/140120180208467567.pdf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2026-10-28T07:04:50Z</dcterms:created>
  <dcterms:modified xmlns:dcterms="http://purl.org/dc/terms/" xmlns:xsi="http://www.w3.org/2001/XMLSchema-instance" xsi:type="dcterms:W3CDTF">2026-10-28T07:04:50Z</dcterms:modified>
</cp:coreProperties>
</file>