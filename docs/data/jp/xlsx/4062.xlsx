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이비덴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92527</v>
      </c>
      <c r="D4" s="12" t="n">
        <v>90344</v>
      </c>
      <c r="E4" s="12" t="n">
        <v>88220</v>
      </c>
      <c r="F4" s="12" t="n">
        <v>93365</v>
      </c>
      <c r="G4" s="12" t="n">
        <v>88752</v>
      </c>
      <c r="H4" s="12" t="n">
        <v>99099</v>
      </c>
      <c r="I4" s="12" t="n">
        <v>97464</v>
      </c>
      <c r="J4" s="12" t="n">
        <v>98021</v>
      </c>
      <c r="K4" s="12" t="n">
        <v>103136</v>
      </c>
      <c r="L4" s="12" t="n">
        <v>117580</v>
      </c>
      <c r="M4" s="12" t="n">
        <v>123219</v>
      </c>
      <c r="N4" s="12" t="n">
        <v>139327</v>
      </c>
      <c r="O4" s="11" t="n">
        <v>266459</v>
      </c>
      <c r="P4" s="12" t="n">
        <v>300403</v>
      </c>
      <c r="Q4" s="12" t="n">
        <v>291125</v>
      </c>
      <c r="R4" s="12" t="n">
        <v>295999</v>
      </c>
      <c r="S4" s="12" t="n">
        <v>323461</v>
      </c>
      <c r="T4" s="12" t="n">
        <v>417549</v>
      </c>
      <c r="U4" s="12" t="n">
        <v>370511</v>
      </c>
      <c r="V4" s="12" t="n">
        <v>370511</v>
      </c>
      <c r="W4" s="12" t="n">
        <v>369436</v>
      </c>
      <c r="X4" s="12" t="n">
        <v>416201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ElectronicsReportableSegmentMember</t>
        </is>
      </c>
      <c r="B7" s="10" t="n"/>
      <c r="C7" s="19" t="n"/>
      <c r="D7" s="20" t="n"/>
      <c r="E7" s="20" t="n">
        <v>44949</v>
      </c>
      <c r="F7" s="20" t="n">
        <v>53305</v>
      </c>
      <c r="G7" s="20" t="n"/>
      <c r="H7" s="20" t="n"/>
      <c r="I7" s="20" t="n">
        <v>56285</v>
      </c>
      <c r="J7" s="20" t="n">
        <v>57262</v>
      </c>
      <c r="K7" s="20" t="n"/>
      <c r="L7" s="20" t="n"/>
      <c r="M7" s="20" t="n">
        <v>77522</v>
      </c>
      <c r="N7" s="20" t="n">
        <v>95018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CeramicsReportableSegmentMember</t>
        </is>
      </c>
      <c r="B10" s="10" t="n"/>
      <c r="C10" s="19" t="n"/>
      <c r="D10" s="20" t="n"/>
      <c r="E10" s="20" t="n">
        <v>23571</v>
      </c>
      <c r="F10" s="20" t="n">
        <v>19564</v>
      </c>
      <c r="G10" s="20" t="n"/>
      <c r="H10" s="20" t="n"/>
      <c r="I10" s="20" t="n">
        <v>19600</v>
      </c>
      <c r="J10" s="20" t="n">
        <v>20089</v>
      </c>
      <c r="K10" s="20" t="n"/>
      <c r="L10" s="20" t="n"/>
      <c r="M10" s="20" t="n">
        <v>24365</v>
      </c>
      <c r="N10" s="20" t="n">
        <v>21791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22152</v>
      </c>
      <c r="D13" s="20" t="n">
        <v>24227</v>
      </c>
      <c r="E13" s="20" t="n">
        <v>19700</v>
      </c>
      <c r="F13" s="20" t="n">
        <v>20495</v>
      </c>
      <c r="G13" s="20" t="n">
        <v>22668</v>
      </c>
      <c r="H13" s="20" t="n">
        <v>25281</v>
      </c>
      <c r="I13" s="20" t="n">
        <v>21578</v>
      </c>
      <c r="J13" s="20" t="n">
        <v>20670</v>
      </c>
      <c r="K13" s="20" t="n">
        <v>23873</v>
      </c>
      <c r="L13" s="20" t="n">
        <v>24209</v>
      </c>
      <c r="M13" s="20" t="n">
        <v>21330</v>
      </c>
      <c r="N13" s="20" t="n">
        <v>22519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83329</v>
      </c>
      <c r="W13" s="20" t="n">
        <v>88144</v>
      </c>
      <c r="X13" s="20" t="n">
        <v>90330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>
        <v>88220</v>
      </c>
      <c r="F16" s="20" t="n"/>
      <c r="G16" s="20" t="n"/>
      <c r="H16" s="20" t="n"/>
      <c r="I16" s="20" t="n">
        <v>97464</v>
      </c>
      <c r="J16" s="20" t="n"/>
      <c r="K16" s="20" t="n"/>
      <c r="L16" s="20" t="n"/>
      <c r="M16" s="20" t="n">
        <v>123219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ElectronicsReportableSegmentsMember</t>
        </is>
      </c>
      <c r="B19" s="10" t="n"/>
      <c r="C19" s="19" t="n"/>
      <c r="D19" s="20" t="n">
        <v>42518</v>
      </c>
      <c r="E19" s="20" t="n"/>
      <c r="F19" s="20" t="n"/>
      <c r="G19" s="20" t="n"/>
      <c r="H19" s="20" t="n">
        <v>51810</v>
      </c>
      <c r="I19" s="20" t="n"/>
      <c r="J19" s="20" t="n"/>
      <c r="K19" s="20" t="n"/>
      <c r="L19" s="20" t="n">
        <v>71430</v>
      </c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190708</v>
      </c>
      <c r="W19" s="20" t="n">
        <v>197243</v>
      </c>
      <c r="X19" s="20" t="n">
        <v>243355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CeramicsReportableSegmentsMember</t>
        </is>
      </c>
      <c r="B22" s="10" t="n"/>
      <c r="C22" s="19" t="n"/>
      <c r="D22" s="20" t="n">
        <v>23608</v>
      </c>
      <c r="E22" s="20" t="n"/>
      <c r="F22" s="20" t="n"/>
      <c r="G22" s="20" t="n"/>
      <c r="H22" s="20" t="n">
        <v>22040</v>
      </c>
      <c r="I22" s="20" t="n"/>
      <c r="J22" s="20" t="n"/>
      <c r="K22" s="20" t="n"/>
      <c r="L22" s="20" t="n">
        <v>22175</v>
      </c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96519</v>
      </c>
      <c r="W22" s="20" t="n">
        <v>84214</v>
      </c>
      <c r="X22" s="20" t="n">
        <v>83172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65883</v>
      </c>
      <c r="D26" s="20" t="n">
        <v>65722</v>
      </c>
      <c r="E26" s="20" t="n">
        <v>62606</v>
      </c>
      <c r="F26" s="20" t="n">
        <v>60610</v>
      </c>
      <c r="G26" s="20" t="n">
        <v>65150</v>
      </c>
      <c r="H26" s="20" t="n">
        <v>67742</v>
      </c>
      <c r="I26" s="20" t="n">
        <v>62392</v>
      </c>
      <c r="J26" s="20" t="n">
        <v>65180</v>
      </c>
      <c r="K26" s="20" t="n">
        <v>75066</v>
      </c>
      <c r="L26" s="20" t="n">
        <v>81894</v>
      </c>
      <c r="M26" s="20" t="n">
        <v>78345</v>
      </c>
      <c r="N26" s="20" t="n">
        <v>86495</v>
      </c>
      <c r="O26" s="19" t="n">
        <v>210640</v>
      </c>
      <c r="P26" s="20" t="n">
        <v>234516</v>
      </c>
      <c r="Q26" s="20" t="n">
        <v>232805</v>
      </c>
      <c r="R26" s="20" t="n">
        <v>227845</v>
      </c>
      <c r="S26" s="20" t="n">
        <v>238011</v>
      </c>
      <c r="T26" s="20" t="n">
        <v>290033</v>
      </c>
      <c r="U26" s="20" t="n">
        <v>268040</v>
      </c>
      <c r="V26" s="20" t="n">
        <v>268040</v>
      </c>
      <c r="W26" s="20" t="n">
        <v>256108</v>
      </c>
      <c r="X26" s="20" t="n">
        <v>284532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13770</v>
      </c>
      <c r="D32" s="20" t="n">
        <v>14001</v>
      </c>
      <c r="E32" s="20" t="n">
        <v>14319</v>
      </c>
      <c r="F32" s="20" t="n">
        <v>15538</v>
      </c>
      <c r="G32" s="20" t="n">
        <v>17256</v>
      </c>
      <c r="H32" s="20" t="n">
        <v>18593</v>
      </c>
      <c r="I32" s="20" t="n">
        <v>17435</v>
      </c>
      <c r="J32" s="20" t="n">
        <v>17905</v>
      </c>
      <c r="K32" s="20" t="n">
        <v>16116</v>
      </c>
      <c r="L32" s="20" t="n">
        <v>18184</v>
      </c>
      <c r="M32" s="20" t="n">
        <v>17993</v>
      </c>
      <c r="N32" s="20" t="n">
        <v>19596</v>
      </c>
      <c r="O32" s="19" t="n">
        <v>48676</v>
      </c>
      <c r="P32" s="20" t="n">
        <v>49184</v>
      </c>
      <c r="Q32" s="20" t="n">
        <v>48181</v>
      </c>
      <c r="R32" s="20" t="n">
        <v>48467</v>
      </c>
      <c r="S32" s="20" t="n">
        <v>46815</v>
      </c>
      <c r="T32" s="20" t="n">
        <v>55152</v>
      </c>
      <c r="U32" s="20" t="n">
        <v>54902</v>
      </c>
      <c r="V32" s="20" t="n">
        <v>54902</v>
      </c>
      <c r="W32" s="20" t="n">
        <v>65706</v>
      </c>
      <c r="X32" s="20" t="n">
        <v>69640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12875</v>
      </c>
      <c r="D34" s="12" t="n">
        <v>10621</v>
      </c>
      <c r="E34" s="12" t="n">
        <v>11295</v>
      </c>
      <c r="F34" s="12" t="n">
        <v>17217</v>
      </c>
      <c r="G34" s="12" t="n">
        <v>6345</v>
      </c>
      <c r="H34" s="12" t="n">
        <v>12764</v>
      </c>
      <c r="I34" s="12" t="n">
        <v>17636</v>
      </c>
      <c r="J34" s="12" t="n">
        <v>14937</v>
      </c>
      <c r="K34" s="12" t="n">
        <v>11954</v>
      </c>
      <c r="L34" s="12" t="n">
        <v>17500</v>
      </c>
      <c r="M34" s="12" t="n">
        <v>26880</v>
      </c>
      <c r="N34" s="12" t="n">
        <v>33236</v>
      </c>
      <c r="O34" s="11" t="n">
        <v>7141</v>
      </c>
      <c r="P34" s="12" t="n">
        <v>16702</v>
      </c>
      <c r="Q34" s="12" t="n">
        <v>10137</v>
      </c>
      <c r="R34" s="12" t="n">
        <v>19685</v>
      </c>
      <c r="S34" s="12" t="n">
        <v>38634</v>
      </c>
      <c r="T34" s="12" t="n">
        <v>72362</v>
      </c>
      <c r="U34" s="12" t="n">
        <v>47568</v>
      </c>
      <c r="V34" s="12" t="n">
        <v>47568</v>
      </c>
      <c r="W34" s="12" t="n">
        <v>47621</v>
      </c>
      <c r="X34" s="12" t="n">
        <v>62027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169</v>
      </c>
      <c r="D50" s="20" t="n">
        <v>1931</v>
      </c>
      <c r="E50" s="20" t="n">
        <v>866</v>
      </c>
      <c r="F50" s="20" t="n">
        <v>1791</v>
      </c>
      <c r="G50" s="20" t="n">
        <v>3723</v>
      </c>
      <c r="H50" s="20" t="n">
        <v>47838</v>
      </c>
      <c r="I50" s="20" t="n">
        <v>1302</v>
      </c>
      <c r="J50" s="20" t="n">
        <v>3719</v>
      </c>
      <c r="K50" s="20" t="n">
        <v>3279</v>
      </c>
      <c r="L50" s="20" t="n">
        <v>50981</v>
      </c>
      <c r="M50" s="20" t="n">
        <v>3</v>
      </c>
      <c r="N50" s="20" t="n">
        <v>815</v>
      </c>
      <c r="O50" s="19" t="n">
        <v>240</v>
      </c>
      <c r="P50" s="20" t="n">
        <v>3125</v>
      </c>
      <c r="Q50" s="20" t="n">
        <v>5005</v>
      </c>
      <c r="R50" s="20" t="n">
        <v>261</v>
      </c>
      <c r="S50" s="20" t="n">
        <v>293</v>
      </c>
      <c r="T50" s="20" t="n">
        <v>604</v>
      </c>
      <c r="U50" s="20" t="n">
        <v>5195</v>
      </c>
      <c r="V50" s="20" t="n">
        <v>5195</v>
      </c>
      <c r="W50" s="20" t="n">
        <v>54218</v>
      </c>
      <c r="X50" s="20" t="n">
        <v>59281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1189</v>
      </c>
      <c r="D52" s="20" t="n">
        <v>5991</v>
      </c>
      <c r="E52" s="20" t="n">
        <v>1810</v>
      </c>
      <c r="F52" s="20" t="n">
        <v>3222</v>
      </c>
      <c r="G52" s="20" t="n">
        <v>4036</v>
      </c>
      <c r="H52" s="20" t="n">
        <v>41589</v>
      </c>
      <c r="I52" s="20" t="n">
        <v>1663</v>
      </c>
      <c r="J52" s="20" t="n">
        <v>3677</v>
      </c>
      <c r="K52" s="20" t="n">
        <v>3391</v>
      </c>
      <c r="L52" s="20" t="n">
        <v>20280</v>
      </c>
      <c r="M52" s="20" t="n">
        <v>939</v>
      </c>
      <c r="N52" s="20" t="n">
        <v>1530</v>
      </c>
      <c r="O52" s="19" t="n">
        <v>63313</v>
      </c>
      <c r="P52" s="20" t="n">
        <v>2178</v>
      </c>
      <c r="Q52" s="20" t="n">
        <v>8279</v>
      </c>
      <c r="R52" s="20" t="n">
        <v>4100</v>
      </c>
      <c r="S52" s="20" t="n">
        <v>8844</v>
      </c>
      <c r="T52" s="20" t="n">
        <v>5078</v>
      </c>
      <c r="U52" s="20" t="n">
        <v>8901</v>
      </c>
      <c r="V52" s="20" t="n">
        <v>8901</v>
      </c>
      <c r="W52" s="20" t="n">
        <v>50657</v>
      </c>
      <c r="X52" s="20" t="n">
        <v>29011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970</v>
      </c>
      <c r="D54" s="20" t="n">
        <v>646</v>
      </c>
      <c r="E54" s="20" t="n">
        <v>1840</v>
      </c>
      <c r="F54" s="20" t="n">
        <v>546</v>
      </c>
      <c r="G54" s="20" t="n">
        <v>1848</v>
      </c>
      <c r="H54" s="20" t="n">
        <v>781</v>
      </c>
      <c r="I54" s="20" t="n">
        <v>1374</v>
      </c>
      <c r="J54" s="20" t="n">
        <v>1293</v>
      </c>
      <c r="K54" s="20" t="n">
        <v>868</v>
      </c>
      <c r="L54" s="20" t="n">
        <v>1224</v>
      </c>
      <c r="M54" s="20" t="n">
        <v>1876</v>
      </c>
      <c r="N54" s="20" t="n">
        <v>1515</v>
      </c>
      <c r="O54" s="19" t="n">
        <v>2427</v>
      </c>
      <c r="P54" s="20" t="n">
        <v>2193</v>
      </c>
      <c r="Q54" s="20" t="n">
        <v>3274</v>
      </c>
      <c r="R54" s="20" t="n">
        <v>2552</v>
      </c>
      <c r="S54" s="20" t="n">
        <v>2758</v>
      </c>
      <c r="T54" s="20" t="n">
        <v>4952</v>
      </c>
      <c r="U54" s="20" t="n">
        <v>4773</v>
      </c>
      <c r="V54" s="20" t="n">
        <v>4773</v>
      </c>
      <c r="W54" s="20" t="n">
        <v>5015</v>
      </c>
      <c r="X54" s="20" t="n">
        <v>4759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263</v>
      </c>
      <c r="D56" s="20" t="n">
        <v>533</v>
      </c>
      <c r="E56" s="20" t="n">
        <v>266</v>
      </c>
      <c r="F56" s="20" t="n">
        <v>1100</v>
      </c>
      <c r="G56" s="20" t="n">
        <v>1818</v>
      </c>
      <c r="H56" s="20" t="n">
        <v>1563</v>
      </c>
      <c r="I56" s="20" t="n">
        <v>1603</v>
      </c>
      <c r="J56" s="20" t="n">
        <v>1333</v>
      </c>
      <c r="K56" s="20" t="n">
        <v>1493</v>
      </c>
      <c r="L56" s="20" t="n">
        <v>1535</v>
      </c>
      <c r="M56" s="20" t="n">
        <v>1289</v>
      </c>
      <c r="N56" s="20" t="n">
        <v>1209</v>
      </c>
      <c r="O56" s="19" t="n">
        <v>7268</v>
      </c>
      <c r="P56" s="20" t="n">
        <v>1291</v>
      </c>
      <c r="Q56" s="20" t="n">
        <v>811</v>
      </c>
      <c r="R56" s="20" t="n">
        <v>874</v>
      </c>
      <c r="S56" s="20" t="n">
        <v>676</v>
      </c>
      <c r="T56" s="20" t="n">
        <v>1138</v>
      </c>
      <c r="U56" s="20" t="n">
        <v>1201</v>
      </c>
      <c r="V56" s="20" t="n">
        <v>1201</v>
      </c>
      <c r="W56" s="20" t="n">
        <v>4747</v>
      </c>
      <c r="X56" s="20" t="n">
        <v>5964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12563</v>
      </c>
      <c r="D58" s="12" t="n">
        <v>6674</v>
      </c>
      <c r="E58" s="12" t="n">
        <v>11925</v>
      </c>
      <c r="F58" s="12" t="n">
        <v>15231</v>
      </c>
      <c r="G58" s="12" t="n">
        <v>6063</v>
      </c>
      <c r="H58" s="12" t="n">
        <v>18232</v>
      </c>
      <c r="I58" s="12" t="n">
        <v>17046</v>
      </c>
      <c r="J58" s="12" t="n">
        <v>14939</v>
      </c>
      <c r="K58" s="12" t="n">
        <v>11217</v>
      </c>
      <c r="L58" s="12" t="n">
        <v>47890</v>
      </c>
      <c r="M58" s="12" t="n">
        <v>26530</v>
      </c>
      <c r="N58" s="12" t="n">
        <v>32828</v>
      </c>
      <c r="O58" s="11" t="n">
        <v>-60771</v>
      </c>
      <c r="P58" s="12" t="n">
        <v>18550</v>
      </c>
      <c r="Q58" s="12" t="n">
        <v>9326</v>
      </c>
      <c r="R58" s="12" t="n">
        <v>17525</v>
      </c>
      <c r="S58" s="12" t="n">
        <v>32165</v>
      </c>
      <c r="T58" s="12" t="n">
        <v>71702</v>
      </c>
      <c r="U58" s="12" t="n">
        <v>47435</v>
      </c>
      <c r="V58" s="12" t="n">
        <v>47435</v>
      </c>
      <c r="W58" s="12" t="n">
        <v>51451</v>
      </c>
      <c r="X58" s="12" t="n">
        <v>91092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2960</v>
      </c>
      <c r="D60" s="20" t="n">
        <v>2553</v>
      </c>
      <c r="E60" s="20" t="n">
        <v>3030</v>
      </c>
      <c r="F60" s="20" t="n">
        <v>3447</v>
      </c>
      <c r="G60" s="20" t="n">
        <v>1671</v>
      </c>
      <c r="H60" s="20" t="n">
        <v>9252</v>
      </c>
      <c r="I60" s="20" t="n">
        <v>4168</v>
      </c>
      <c r="J60" s="20" t="n">
        <v>5514</v>
      </c>
      <c r="K60" s="20" t="n">
        <v>2188</v>
      </c>
      <c r="L60" s="20" t="n">
        <v>15059</v>
      </c>
      <c r="M60" s="20" t="n">
        <v>8459</v>
      </c>
      <c r="N60" s="20" t="n">
        <v>12031</v>
      </c>
      <c r="O60" s="19" t="n">
        <v>1846</v>
      </c>
      <c r="P60" s="20" t="n">
        <v>6696</v>
      </c>
      <c r="Q60" s="20" t="n">
        <v>5753</v>
      </c>
      <c r="R60" s="20" t="n">
        <v>5987</v>
      </c>
      <c r="S60" s="20" t="n">
        <v>6246</v>
      </c>
      <c r="T60" s="20" t="n">
        <v>19288</v>
      </c>
      <c r="U60" s="20" t="n">
        <v>15685</v>
      </c>
      <c r="V60" s="20" t="n">
        <v>15685</v>
      </c>
      <c r="W60" s="20" t="n">
        <v>17400</v>
      </c>
      <c r="X60" s="20" t="n">
        <v>26929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9603</v>
      </c>
      <c r="D62" s="12" t="n">
        <v>4121</v>
      </c>
      <c r="E62" s="12" t="n">
        <v>8895</v>
      </c>
      <c r="F62" s="12" t="n">
        <v>11784</v>
      </c>
      <c r="G62" s="12" t="n">
        <v>4391</v>
      </c>
      <c r="H62" s="12" t="n">
        <v>8980</v>
      </c>
      <c r="I62" s="12" t="n">
        <v>12877</v>
      </c>
      <c r="J62" s="12" t="n">
        <v>9426</v>
      </c>
      <c r="K62" s="12" t="n">
        <v>9029</v>
      </c>
      <c r="L62" s="12" t="n">
        <v>32830</v>
      </c>
      <c r="M62" s="12" t="n">
        <v>18071</v>
      </c>
      <c r="N62" s="12" t="n">
        <v>20797</v>
      </c>
      <c r="O62" s="11" t="n">
        <v>-62618</v>
      </c>
      <c r="P62" s="12" t="n">
        <v>11854</v>
      </c>
      <c r="Q62" s="12" t="n">
        <v>3573</v>
      </c>
      <c r="R62" s="12" t="n">
        <v>11537</v>
      </c>
      <c r="S62" s="12" t="n">
        <v>25918</v>
      </c>
      <c r="T62" s="12" t="n">
        <v>52413</v>
      </c>
      <c r="U62" s="12" t="n">
        <v>31749</v>
      </c>
      <c r="V62" s="12" t="n">
        <v>31749</v>
      </c>
      <c r="W62" s="12" t="n">
        <v>34050</v>
      </c>
      <c r="X62" s="12" t="n">
        <v>64162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9503</v>
      </c>
      <c r="D64" s="12" t="n">
        <v>4095</v>
      </c>
      <c r="E64" s="12" t="n">
        <v>8816</v>
      </c>
      <c r="F64" s="12" t="n">
        <v>11711</v>
      </c>
      <c r="G64" s="12" t="n">
        <v>4274</v>
      </c>
      <c r="H64" s="12" t="n">
        <v>8903</v>
      </c>
      <c r="I64" s="12" t="n">
        <v>12728</v>
      </c>
      <c r="J64" s="12" t="n">
        <v>9341</v>
      </c>
      <c r="K64" s="12" t="n">
        <v>8931</v>
      </c>
      <c r="L64" s="12" t="n">
        <v>32713</v>
      </c>
      <c r="M64" s="12" t="n">
        <v>17918</v>
      </c>
      <c r="N64" s="12" t="n">
        <v>20656</v>
      </c>
      <c r="O64" s="11" t="n">
        <v>-62848</v>
      </c>
      <c r="P64" s="12" t="n">
        <v>11583</v>
      </c>
      <c r="Q64" s="12" t="n">
        <v>3306</v>
      </c>
      <c r="R64" s="12" t="n">
        <v>11329</v>
      </c>
      <c r="S64" s="12" t="n">
        <v>25698</v>
      </c>
      <c r="T64" s="12" t="n">
        <v>52187</v>
      </c>
      <c r="U64" s="12" t="n">
        <v>31490</v>
      </c>
      <c r="V64" s="12" t="n">
        <v>31490</v>
      </c>
      <c r="W64" s="12" t="n">
        <v>33704</v>
      </c>
      <c r="X64" s="12" t="n">
        <v>63713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(2026.10.29)</t>
        </is>
      </c>
      <c r="B68" s="27" t="n">
        <v>10040</v>
      </c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>
        <v>567387652</v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 2026.10.29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2024.3Q</t>
        </is>
      </c>
      <c r="D98" s="5" t="inlineStr">
        <is>
          <t>2024.4Q</t>
        </is>
      </c>
      <c r="E98" s="5" t="inlineStr">
        <is>
          <t>2025.1Q</t>
        </is>
      </c>
      <c r="F98" s="5" t="inlineStr">
        <is>
          <t>2025.2Q</t>
        </is>
      </c>
      <c r="G98" s="5" t="inlineStr">
        <is>
          <t>2025.3Q</t>
        </is>
      </c>
      <c r="H98" s="5" t="inlineStr">
        <is>
          <t>2025.4Q</t>
        </is>
      </c>
      <c r="I98" s="5" t="inlineStr">
        <is>
          <t>2026.1Q</t>
        </is>
      </c>
      <c r="J98" s="5" t="inlineStr">
        <is>
          <t>2026.2Q</t>
        </is>
      </c>
      <c r="K98" s="5" t="inlineStr">
        <is>
          <t>2026.3Q</t>
        </is>
      </c>
      <c r="L98" s="5" t="inlineStr">
        <is>
          <t>2026.4Q</t>
        </is>
      </c>
      <c r="M98" s="5" t="inlineStr">
        <is>
          <t>2027.1Q</t>
        </is>
      </c>
      <c r="N98" s="5" t="inlineStr">
        <is>
          <t>2027.2Q</t>
        </is>
      </c>
      <c r="O98" s="5" t="inlineStr">
        <is>
          <t>2017</t>
        </is>
      </c>
      <c r="P98" s="5" t="inlineStr">
        <is>
          <t>2018</t>
        </is>
      </c>
      <c r="Q98" s="5" t="inlineStr">
        <is>
          <t>2019</t>
        </is>
      </c>
      <c r="R98" s="5" t="inlineStr">
        <is>
          <t>2020</t>
        </is>
      </c>
      <c r="S98" s="5" t="inlineStr">
        <is>
          <t>2021</t>
        </is>
      </c>
      <c r="T98" s="5" t="inlineStr">
        <is>
          <t>2022</t>
        </is>
      </c>
      <c r="U98" s="5" t="inlineStr">
        <is>
          <t>2023</t>
        </is>
      </c>
      <c r="V98" s="5" t="inlineStr">
        <is>
          <t>2024</t>
        </is>
      </c>
      <c r="W98" s="5" t="inlineStr">
        <is>
          <t>2025</t>
        </is>
      </c>
      <c r="X98" s="5" t="inlineStr">
        <is>
          <t>2026</t>
        </is>
      </c>
      <c r="Y98" s="5" t="inlineStr">
        <is>
          <t>2027(MW)</t>
        </is>
      </c>
      <c r="Z98" s="5" t="inlineStr">
        <is>
          <t>2028(MW)</t>
        </is>
      </c>
      <c r="AA98" s="5" t="inlineStr">
        <is>
          <t>2029(MW)</t>
        </is>
      </c>
      <c r="AB98" s="5" t="inlineStr">
        <is>
          <t>2030(MW)</t>
        </is>
      </c>
      <c r="AC98" s="5" t="inlineStr">
        <is>
          <t>2031(MW)</t>
        </is>
      </c>
    </row>
    <row r="99">
      <c r="A99" s="9" t="inlineStr">
        <is>
          <t>매출액</t>
        </is>
      </c>
      <c r="C99" s="12" t="n">
        <v>92527</v>
      </c>
      <c r="D99" s="12" t="n">
        <v>90344</v>
      </c>
      <c r="E99" s="12" t="n">
        <v>88220</v>
      </c>
      <c r="F99" s="12" t="n">
        <v>93365</v>
      </c>
      <c r="G99" s="12" t="n">
        <v>88752</v>
      </c>
      <c r="H99" s="12" t="n">
        <v>99099</v>
      </c>
      <c r="I99" s="12" t="n">
        <v>97464</v>
      </c>
      <c r="J99" s="12" t="n">
        <v>98021</v>
      </c>
      <c r="K99" s="12" t="n">
        <v>103136</v>
      </c>
      <c r="L99" s="12" t="n">
        <v>117580</v>
      </c>
      <c r="M99" s="12" t="n">
        <v>123219</v>
      </c>
      <c r="N99" s="12" t="n">
        <v>139327</v>
      </c>
      <c r="U99" s="12" t="n">
        <v>53830</v>
      </c>
      <c r="V99" s="12" t="n">
        <v>90344</v>
      </c>
      <c r="W99" s="12" t="n">
        <v>99099</v>
      </c>
      <c r="X99" s="12" t="n">
        <v>117580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65883</v>
      </c>
      <c r="D101" s="20" t="n">
        <v>65722</v>
      </c>
      <c r="E101" s="20" t="n">
        <v>62606</v>
      </c>
      <c r="F101" s="20" t="n">
        <v>60610</v>
      </c>
      <c r="G101" s="20" t="n">
        <v>65150</v>
      </c>
      <c r="H101" s="20" t="n">
        <v>67742</v>
      </c>
      <c r="I101" s="20" t="n">
        <v>62392</v>
      </c>
      <c r="J101" s="20" t="n">
        <v>65180</v>
      </c>
      <c r="K101" s="20" t="n">
        <v>75066</v>
      </c>
      <c r="L101" s="20" t="n">
        <v>81894</v>
      </c>
      <c r="M101" s="20" t="n">
        <v>78345</v>
      </c>
      <c r="N101" s="20" t="n">
        <v>86495</v>
      </c>
      <c r="U101" s="20" t="n">
        <v>53963</v>
      </c>
      <c r="V101" s="20" t="n">
        <v>65722</v>
      </c>
      <c r="W101" s="20" t="n">
        <v>67742</v>
      </c>
      <c r="X101" s="20" t="n">
        <v>81894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26645</v>
      </c>
      <c r="D103" s="12" t="n">
        <v>24622</v>
      </c>
      <c r="E103" s="12" t="n">
        <v>25614</v>
      </c>
      <c r="F103" s="12" t="n">
        <v>32755</v>
      </c>
      <c r="G103" s="12" t="n">
        <v>23602</v>
      </c>
      <c r="H103" s="12" t="n">
        <v>31357</v>
      </c>
      <c r="I103" s="12" t="n">
        <v>35072</v>
      </c>
      <c r="J103" s="12" t="n">
        <v>32841</v>
      </c>
      <c r="K103" s="12" t="n">
        <v>28070</v>
      </c>
      <c r="L103" s="12" t="n">
        <v>35685</v>
      </c>
      <c r="M103" s="12" t="n">
        <v>44873</v>
      </c>
      <c r="N103" s="12" t="n">
        <v>52832</v>
      </c>
      <c r="U103" s="12" t="n">
        <v>-133</v>
      </c>
      <c r="V103" s="12" t="n">
        <v>24622</v>
      </c>
      <c r="W103" s="12" t="n">
        <v>31357</v>
      </c>
      <c r="X103" s="12" t="n">
        <v>35685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13770</v>
      </c>
      <c r="D105" s="20" t="n">
        <v>14001</v>
      </c>
      <c r="E105" s="20" t="n">
        <v>14319</v>
      </c>
      <c r="F105" s="20" t="n">
        <v>15538</v>
      </c>
      <c r="G105" s="20" t="n">
        <v>17256</v>
      </c>
      <c r="H105" s="20" t="n">
        <v>18593</v>
      </c>
      <c r="I105" s="20" t="n">
        <v>17435</v>
      </c>
      <c r="J105" s="20" t="n">
        <v>17905</v>
      </c>
      <c r="K105" s="20" t="n">
        <v>16116</v>
      </c>
      <c r="L105" s="20" t="n">
        <v>18184</v>
      </c>
      <c r="M105" s="20" t="n">
        <v>17993</v>
      </c>
      <c r="N105" s="20" t="n">
        <v>19596</v>
      </c>
      <c r="U105" s="20" t="n">
        <v>13473</v>
      </c>
      <c r="V105" s="20" t="n">
        <v>14001</v>
      </c>
      <c r="W105" s="20" t="n">
        <v>18593</v>
      </c>
      <c r="X105" s="20" t="n">
        <v>18184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12875</v>
      </c>
      <c r="D107" s="12" t="n">
        <v>10621</v>
      </c>
      <c r="E107" s="12" t="n">
        <v>11295</v>
      </c>
      <c r="F107" s="12" t="n">
        <v>17217</v>
      </c>
      <c r="G107" s="12" t="n">
        <v>6345</v>
      </c>
      <c r="H107" s="12" t="n">
        <v>12764</v>
      </c>
      <c r="I107" s="12" t="n">
        <v>17636</v>
      </c>
      <c r="J107" s="12" t="n">
        <v>14937</v>
      </c>
      <c r="K107" s="12" t="n">
        <v>11954</v>
      </c>
      <c r="L107" s="12" t="n">
        <v>17500</v>
      </c>
      <c r="M107" s="12" t="n">
        <v>26880</v>
      </c>
      <c r="N107" s="12" t="n">
        <v>33236</v>
      </c>
      <c r="U107" s="12" t="n">
        <v>-13607</v>
      </c>
      <c r="V107" s="12" t="n">
        <v>10621</v>
      </c>
      <c r="W107" s="12" t="n">
        <v>12764</v>
      </c>
      <c r="X107" s="12" t="n">
        <v>17500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이자수익</t>
        </is>
      </c>
      <c r="C110" s="20" t="n">
        <v>282</v>
      </c>
      <c r="D110" s="20" t="n">
        <v>324</v>
      </c>
      <c r="E110" s="20" t="n">
        <v>454</v>
      </c>
      <c r="F110" s="20" t="n">
        <v>497</v>
      </c>
      <c r="G110" s="20" t="n">
        <v>569</v>
      </c>
      <c r="H110" s="20" t="n">
        <v>670</v>
      </c>
      <c r="I110" s="20" t="n">
        <v>563</v>
      </c>
      <c r="J110" s="20" t="n">
        <v>689</v>
      </c>
      <c r="K110" s="20" t="n">
        <v>740</v>
      </c>
      <c r="L110" s="20" t="n">
        <v>734</v>
      </c>
      <c r="M110" s="20" t="n">
        <v>817</v>
      </c>
      <c r="N110" s="20" t="n">
        <v>1033</v>
      </c>
      <c r="U110" s="20" t="n">
        <v>632</v>
      </c>
      <c r="V110" s="20" t="n">
        <v>324</v>
      </c>
      <c r="W110" s="20" t="n">
        <v>670</v>
      </c>
      <c r="X110" s="20" t="n">
        <v>734</v>
      </c>
    </row>
    <row r="111">
      <c r="A111" s="18" t="inlineStr">
        <is>
          <t>배당금수익</t>
        </is>
      </c>
      <c r="C111" s="20" t="n">
        <v>821</v>
      </c>
      <c r="D111" s="20" t="n">
        <v>4</v>
      </c>
      <c r="E111" s="20" t="n">
        <v>1079</v>
      </c>
      <c r="F111" s="20" t="n">
        <v>4</v>
      </c>
      <c r="G111" s="20" t="n">
        <v>1078</v>
      </c>
      <c r="H111" s="20" t="n">
        <v>3</v>
      </c>
      <c r="I111" s="20" t="n">
        <v>665</v>
      </c>
      <c r="J111" s="20" t="n">
        <v>72</v>
      </c>
      <c r="K111" s="20" t="n">
        <v>292</v>
      </c>
      <c r="L111" s="20" t="n">
        <v>3</v>
      </c>
      <c r="M111" s="20" t="n">
        <v>414</v>
      </c>
      <c r="N111" s="20" t="n">
        <v>6</v>
      </c>
      <c r="U111" s="20" t="n">
        <v>145</v>
      </c>
      <c r="V111" s="20" t="n">
        <v>4</v>
      </c>
      <c r="W111" s="20" t="n">
        <v>3</v>
      </c>
      <c r="X111" s="20" t="n">
        <v>3</v>
      </c>
    </row>
    <row r="112">
      <c r="A112" s="18" t="inlineStr">
        <is>
          <t>지분법이익</t>
        </is>
      </c>
      <c r="C112" s="20" t="n">
        <v>-1</v>
      </c>
      <c r="D112" s="20" t="n">
        <v>2</v>
      </c>
      <c r="E112" s="20" t="n">
        <v>0</v>
      </c>
      <c r="F112" s="20" t="n">
        <v>1</v>
      </c>
      <c r="G112" s="20" t="n">
        <v>-1</v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0</v>
      </c>
      <c r="M112" s="20" t="n">
        <v>0</v>
      </c>
      <c r="N112" s="20" t="n">
        <v>0</v>
      </c>
      <c r="U112" s="20" t="n">
        <v>2</v>
      </c>
      <c r="V112" s="20" t="n">
        <v>2</v>
      </c>
      <c r="W112" s="20" t="n">
        <v>0</v>
      </c>
      <c r="X112" s="20" t="n">
        <v>0</v>
      </c>
    </row>
    <row r="113">
      <c r="A113" s="18" t="inlineStr">
        <is>
          <t>외환차익</t>
        </is>
      </c>
      <c r="C113" s="20" t="n">
        <v>-260</v>
      </c>
      <c r="D113" s="20" t="n">
        <v>220</v>
      </c>
      <c r="E113" s="20" t="n">
        <v>109</v>
      </c>
      <c r="F113" s="20" t="n">
        <v>-109</v>
      </c>
      <c r="G113" s="20" t="n">
        <v>0</v>
      </c>
      <c r="H113" s="20" t="n">
        <v>0</v>
      </c>
      <c r="I113" s="20" t="n">
        <v>0</v>
      </c>
      <c r="J113" s="20" t="n">
        <v>426</v>
      </c>
      <c r="K113" s="20" t="n">
        <v>-331</v>
      </c>
      <c r="L113" s="20" t="n">
        <v>225</v>
      </c>
      <c r="M113" s="20" t="n">
        <v>386</v>
      </c>
      <c r="N113" s="20" t="n">
        <v>289</v>
      </c>
      <c r="U113" s="20" t="n">
        <v>-595</v>
      </c>
      <c r="V113" s="20" t="n">
        <v>220</v>
      </c>
      <c r="W113" s="20" t="n">
        <v>0</v>
      </c>
      <c r="X113" s="20" t="n">
        <v>225</v>
      </c>
    </row>
    <row r="114">
      <c r="A114" s="18" t="inlineStr">
        <is>
          <t>기타</t>
        </is>
      </c>
      <c r="C114" s="20" t="n">
        <v>127</v>
      </c>
      <c r="D114" s="20" t="n">
        <v>97</v>
      </c>
      <c r="E114" s="20" t="n">
        <v>196</v>
      </c>
      <c r="F114" s="20" t="n">
        <v>153</v>
      </c>
      <c r="G114" s="20" t="n">
        <v>203</v>
      </c>
      <c r="H114" s="20" t="n">
        <v>108</v>
      </c>
      <c r="I114" s="20" t="n">
        <v>144</v>
      </c>
      <c r="J114" s="20" t="n">
        <v>106</v>
      </c>
      <c r="K114" s="20" t="n">
        <v>168</v>
      </c>
      <c r="L114" s="20" t="n">
        <v>261</v>
      </c>
      <c r="M114" s="20" t="n">
        <v>257</v>
      </c>
      <c r="N114" s="20" t="n">
        <v>187</v>
      </c>
      <c r="U114" s="20" t="n">
        <v>-85</v>
      </c>
      <c r="V114" s="20" t="n">
        <v>97</v>
      </c>
      <c r="W114" s="20" t="n">
        <v>108</v>
      </c>
      <c r="X114" s="20" t="n">
        <v>261</v>
      </c>
    </row>
    <row r="115">
      <c r="A115" s="18" t="inlineStr">
        <is>
          <t>영업외수익 합계</t>
        </is>
      </c>
      <c r="C115" s="20" t="n">
        <v>970</v>
      </c>
      <c r="D115" s="20" t="n">
        <v>646</v>
      </c>
      <c r="E115" s="20" t="n">
        <v>1840</v>
      </c>
      <c r="F115" s="20" t="n">
        <v>546</v>
      </c>
      <c r="G115" s="20" t="n">
        <v>1848</v>
      </c>
      <c r="H115" s="20" t="n">
        <v>781</v>
      </c>
      <c r="I115" s="20" t="n">
        <v>1374</v>
      </c>
      <c r="J115" s="20" t="n">
        <v>1293</v>
      </c>
      <c r="K115" s="20" t="n">
        <v>868</v>
      </c>
      <c r="L115" s="20" t="n">
        <v>1224</v>
      </c>
      <c r="M115" s="20" t="n">
        <v>1876</v>
      </c>
      <c r="N115" s="20" t="n">
        <v>1515</v>
      </c>
      <c r="U115" s="20" t="n">
        <v>99</v>
      </c>
      <c r="V115" s="20" t="n">
        <v>646</v>
      </c>
      <c r="W115" s="20" t="n">
        <v>781</v>
      </c>
      <c r="X115" s="20" t="n">
        <v>1224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IF(OR(G115="",C115=""),"",IF(G115*C115&lt;=0,"",IFERROR(G115/C115-1,"")))</f>
        <v/>
      </c>
      <c r="H116" s="15">
        <f>IF(OR(H115="",D115=""),"",IF(H115*D115&lt;=0,"",IFERROR(H115/D115-1,"")))</f>
        <v/>
      </c>
      <c r="I116" s="15">
        <f>IF(OR(I115="",E115=""),"",IF(I115*E115&lt;=0,"",IFERROR(I115/E115-1,"")))</f>
        <v/>
      </c>
      <c r="J116" s="15">
        <f>IF(OR(J115="",F115=""),"",IF(J115*F115&lt;=0,"",IFERROR(J115/F115-1,"")))</f>
        <v/>
      </c>
      <c r="K116" s="15">
        <f>IF(OR(K115="",G115=""),"",IF(K115*G115&lt;=0,"",IFERROR(K115/G115-1,"")))</f>
        <v/>
      </c>
      <c r="L116" s="15">
        <f>IF(OR(L115="",H115=""),"",IF(L115*H115&lt;=0,"",IFERROR(L115/H115-1,"")))</f>
        <v/>
      </c>
      <c r="M116" s="15">
        <f>IF(OR(M115="",I115=""),"",IF(M115*I115&lt;=0,"",IFERROR(M115/I115-1,"")))</f>
        <v/>
      </c>
      <c r="N116" s="15">
        <f>IF(OR(N115="",J115=""),"",IF(N115*J115&lt;=0,"",IFERROR(N115/J115-1,"")))</f>
        <v/>
      </c>
      <c r="U116" s="15">
        <f>IF(OR(U115="",T115=""),"",IF(U115*T115&lt;=0,"",IFERROR(U115/T115-1,"")))</f>
        <v/>
      </c>
      <c r="V116" s="15">
        <f>IF(OR(V115="",U115=""),"",IF(V115*U115&lt;=0,"",IFERROR(V115/U115-1,"")))</f>
        <v/>
      </c>
      <c r="W116" s="15">
        <f>IF(OR(W115="",V115=""),"",IF(W115*V115&lt;=0,"",IFERROR(W115/V115-1,"")))</f>
        <v/>
      </c>
      <c r="X116" s="15">
        <f>IF(OR(X115="",W115=""),"",IF(X115*W115&lt;=0,"",IFERROR(X115/W115-1,"")))</f>
        <v/>
      </c>
    </row>
    <row r="117">
      <c r="A117" s="18" t="inlineStr">
        <is>
          <t>이자비용</t>
        </is>
      </c>
      <c r="C117" s="20" t="n">
        <v>204</v>
      </c>
      <c r="D117" s="20" t="n">
        <v>203</v>
      </c>
      <c r="E117" s="20" t="n">
        <v>214</v>
      </c>
      <c r="F117" s="20" t="n">
        <v>239</v>
      </c>
      <c r="G117" s="20" t="n">
        <v>345</v>
      </c>
      <c r="H117" s="20" t="n">
        <v>357</v>
      </c>
      <c r="I117" s="20" t="n">
        <v>351</v>
      </c>
      <c r="J117" s="20" t="n">
        <v>347</v>
      </c>
      <c r="K117" s="20" t="n">
        <v>325</v>
      </c>
      <c r="L117" s="20" t="n">
        <v>333</v>
      </c>
      <c r="M117" s="20" t="n">
        <v>217</v>
      </c>
      <c r="N117" s="20" t="n">
        <v>211</v>
      </c>
      <c r="U117" s="20" t="n">
        <v>448</v>
      </c>
      <c r="V117" s="20" t="n">
        <v>203</v>
      </c>
      <c r="W117" s="20" t="n">
        <v>357</v>
      </c>
      <c r="X117" s="20" t="n">
        <v>333</v>
      </c>
    </row>
    <row r="118">
      <c r="A118" s="18" t="inlineStr">
        <is>
          <t>사채발행비</t>
        </is>
      </c>
      <c r="C118" s="20" t="n">
        <v>0</v>
      </c>
      <c r="D118" s="20" t="n">
        <v>131</v>
      </c>
      <c r="G118" s="20" t="n">
        <v>0</v>
      </c>
      <c r="H118" s="20" t="n">
        <v>0</v>
      </c>
      <c r="K118" s="20" t="n">
        <v>0</v>
      </c>
      <c r="L118" s="20" t="n">
        <v>0</v>
      </c>
      <c r="U118" s="20" t="n">
        <v>-66</v>
      </c>
      <c r="V118" s="20" t="n">
        <v>131</v>
      </c>
      <c r="W118" s="20" t="n">
        <v>0</v>
      </c>
      <c r="X118" s="20" t="n">
        <v>0</v>
      </c>
    </row>
    <row r="119">
      <c r="A119" s="18" t="inlineStr">
        <is>
          <t>지분법손실</t>
        </is>
      </c>
      <c r="E119" s="20" t="n">
        <v>0</v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0</v>
      </c>
      <c r="W119" s="20" t="n">
        <v>0</v>
      </c>
      <c r="X119" s="20" t="n">
        <v>0</v>
      </c>
    </row>
    <row r="120">
      <c r="A120" s="18" t="inlineStr">
        <is>
          <t>외환차손</t>
        </is>
      </c>
      <c r="C120" s="20" t="n">
        <v>0</v>
      </c>
      <c r="D120" s="20" t="n">
        <v>0</v>
      </c>
      <c r="E120" s="20" t="n">
        <v>0</v>
      </c>
      <c r="F120" s="20" t="n">
        <v>599</v>
      </c>
      <c r="G120" s="20" t="n">
        <v>727</v>
      </c>
      <c r="H120" s="20" t="n">
        <v>10</v>
      </c>
      <c r="I120" s="20" t="n">
        <v>127</v>
      </c>
      <c r="J120" s="20" t="n">
        <v>-127</v>
      </c>
      <c r="K120" s="20" t="n">
        <v>0</v>
      </c>
      <c r="L120" s="20" t="n">
        <v>0</v>
      </c>
      <c r="M120" s="20" t="n">
        <v>0</v>
      </c>
      <c r="V120" s="20" t="n">
        <v>0</v>
      </c>
      <c r="W120" s="20" t="n">
        <v>10</v>
      </c>
      <c r="X120" s="20" t="n">
        <v>0</v>
      </c>
    </row>
    <row r="121">
      <c r="A121" s="18" t="inlineStr">
        <is>
          <t>유휴자산 감가상각비</t>
        </is>
      </c>
      <c r="D121" s="20" t="n">
        <v>0</v>
      </c>
      <c r="E121" s="20" t="n">
        <v>0</v>
      </c>
      <c r="F121" s="20" t="n">
        <v>0</v>
      </c>
      <c r="G121" s="20" t="n">
        <v>690</v>
      </c>
      <c r="H121" s="20" t="n">
        <v>1053</v>
      </c>
      <c r="I121" s="20" t="n">
        <v>967</v>
      </c>
      <c r="J121" s="20" t="n">
        <v>968</v>
      </c>
      <c r="K121" s="20" t="n">
        <v>968</v>
      </c>
      <c r="L121" s="20" t="n">
        <v>967</v>
      </c>
      <c r="M121" s="20" t="n">
        <v>834</v>
      </c>
      <c r="N121" s="20" t="n">
        <v>835</v>
      </c>
      <c r="V121" s="20" t="n">
        <v>0</v>
      </c>
      <c r="W121" s="20" t="n">
        <v>1053</v>
      </c>
      <c r="X121" s="20" t="n">
        <v>967</v>
      </c>
    </row>
    <row r="122">
      <c r="A122" s="18" t="inlineStr">
        <is>
          <t>기타</t>
        </is>
      </c>
      <c r="C122" s="20" t="n">
        <v>60</v>
      </c>
      <c r="D122" s="20" t="n">
        <v>197</v>
      </c>
      <c r="E122" s="20" t="n">
        <v>51</v>
      </c>
      <c r="F122" s="20" t="n">
        <v>111</v>
      </c>
      <c r="G122" s="20" t="n">
        <v>55</v>
      </c>
      <c r="H122" s="20" t="n">
        <v>143</v>
      </c>
      <c r="I122" s="20" t="n">
        <v>157</v>
      </c>
      <c r="J122" s="20" t="n">
        <v>144</v>
      </c>
      <c r="K122" s="20" t="n">
        <v>201</v>
      </c>
      <c r="L122" s="20" t="n">
        <v>235</v>
      </c>
      <c r="M122" s="20" t="n">
        <v>236</v>
      </c>
      <c r="N122" s="20" t="n">
        <v>163</v>
      </c>
      <c r="U122" s="20" t="n">
        <v>-71</v>
      </c>
      <c r="V122" s="20" t="n">
        <v>197</v>
      </c>
      <c r="W122" s="20" t="n">
        <v>143</v>
      </c>
      <c r="X122" s="20" t="n">
        <v>235</v>
      </c>
    </row>
    <row r="123">
      <c r="A123" s="18" t="inlineStr">
        <is>
          <t>영업외비용 합계</t>
        </is>
      </c>
      <c r="C123" s="20" t="n">
        <v>263</v>
      </c>
      <c r="D123" s="20" t="n">
        <v>533</v>
      </c>
      <c r="E123" s="20" t="n">
        <v>266</v>
      </c>
      <c r="F123" s="20" t="n">
        <v>1100</v>
      </c>
      <c r="G123" s="20" t="n">
        <v>1818</v>
      </c>
      <c r="H123" s="20" t="n">
        <v>1563</v>
      </c>
      <c r="I123" s="20" t="n">
        <v>1603</v>
      </c>
      <c r="J123" s="20" t="n">
        <v>1333</v>
      </c>
      <c r="K123" s="20" t="n">
        <v>1493</v>
      </c>
      <c r="L123" s="20" t="n">
        <v>1535</v>
      </c>
      <c r="M123" s="20" t="n">
        <v>1289</v>
      </c>
      <c r="N123" s="20" t="n">
        <v>1209</v>
      </c>
      <c r="U123" s="20" t="n">
        <v>311</v>
      </c>
      <c r="V123" s="20" t="n">
        <v>533</v>
      </c>
      <c r="W123" s="20" t="n">
        <v>1563</v>
      </c>
      <c r="X123" s="20" t="n">
        <v>1535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경상이익</t>
        </is>
      </c>
      <c r="C125" s="12" t="n">
        <v>13583</v>
      </c>
      <c r="D125" s="12" t="n">
        <v>10733</v>
      </c>
      <c r="E125" s="12" t="n">
        <v>12868</v>
      </c>
      <c r="F125" s="12" t="n">
        <v>16663</v>
      </c>
      <c r="G125" s="12" t="n">
        <v>6376</v>
      </c>
      <c r="H125" s="12" t="n">
        <v>11983</v>
      </c>
      <c r="I125" s="12" t="n">
        <v>17407</v>
      </c>
      <c r="J125" s="12" t="n">
        <v>14898</v>
      </c>
      <c r="K125" s="12" t="n">
        <v>11328</v>
      </c>
      <c r="L125" s="12" t="n">
        <v>17189</v>
      </c>
      <c r="M125" s="12" t="n">
        <v>27466</v>
      </c>
      <c r="N125" s="12" t="n">
        <v>33543</v>
      </c>
      <c r="U125" s="12" t="n">
        <v>-13819</v>
      </c>
      <c r="V125" s="12" t="n">
        <v>10733</v>
      </c>
      <c r="W125" s="12" t="n">
        <v>11983</v>
      </c>
      <c r="X125" s="12" t="n">
        <v>17189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18" t="inlineStr">
        <is>
          <t>고정자산 매각이익</t>
        </is>
      </c>
      <c r="C127" s="20" t="n">
        <v>9</v>
      </c>
      <c r="D127" s="20" t="n">
        <v>12</v>
      </c>
      <c r="E127" s="20" t="n">
        <v>7</v>
      </c>
      <c r="F127" s="20" t="n">
        <v>31</v>
      </c>
      <c r="G127" s="20" t="n">
        <v>23</v>
      </c>
      <c r="H127" s="20" t="n">
        <v>10</v>
      </c>
      <c r="I127" s="20" t="n">
        <v>367</v>
      </c>
      <c r="J127" s="20" t="n">
        <v>0</v>
      </c>
      <c r="K127" s="20" t="n">
        <v>50</v>
      </c>
      <c r="L127" s="20" t="n">
        <v>17</v>
      </c>
      <c r="M127" s="20" t="n">
        <v>3</v>
      </c>
      <c r="N127" s="20" t="n">
        <v>2</v>
      </c>
      <c r="U127" s="20" t="n">
        <v>-53</v>
      </c>
      <c r="V127" s="20" t="n">
        <v>12</v>
      </c>
      <c r="W127" s="20" t="n">
        <v>10</v>
      </c>
      <c r="X127" s="20" t="n">
        <v>17</v>
      </c>
    </row>
    <row r="128">
      <c r="A128" s="18" t="inlineStr">
        <is>
          <t>투자유가증권 매각이익</t>
        </is>
      </c>
      <c r="C128" s="20" t="n">
        <v>0</v>
      </c>
      <c r="D128" s="20" t="n">
        <v>68</v>
      </c>
      <c r="E128" s="20" t="n">
        <v>0</v>
      </c>
      <c r="F128" s="20" t="n">
        <v>0</v>
      </c>
      <c r="G128" s="20" t="n">
        <v>0</v>
      </c>
      <c r="H128" s="20" t="n">
        <v>24480</v>
      </c>
      <c r="I128" s="20" t="n">
        <v>0</v>
      </c>
      <c r="J128" s="20" t="n">
        <v>0</v>
      </c>
      <c r="K128" s="20" t="n">
        <v>304</v>
      </c>
      <c r="L128" s="20" t="n">
        <v>49144</v>
      </c>
      <c r="U128" s="20" t="n">
        <v>48</v>
      </c>
      <c r="V128" s="20" t="n">
        <v>68</v>
      </c>
      <c r="W128" s="20" t="n">
        <v>24480</v>
      </c>
      <c r="X128" s="20" t="n">
        <v>49144</v>
      </c>
    </row>
    <row r="129">
      <c r="A129" s="18" t="inlineStr">
        <is>
          <t>관계회사 주식 매각이익</t>
        </is>
      </c>
      <c r="C129" s="20" t="n">
        <v>0</v>
      </c>
      <c r="D129" s="20" t="n">
        <v>0</v>
      </c>
      <c r="E129" s="20" t="n">
        <v>0</v>
      </c>
      <c r="F129" s="20" t="n">
        <v>0</v>
      </c>
      <c r="G129" s="20" t="n">
        <v>0</v>
      </c>
      <c r="H129" s="20" t="n">
        <v>0</v>
      </c>
      <c r="U129" s="20" t="n">
        <v>3067</v>
      </c>
      <c r="V129" s="20" t="n">
        <v>0</v>
      </c>
      <c r="W129" s="20" t="n">
        <v>0</v>
      </c>
    </row>
    <row r="130">
      <c r="A130" s="18" t="inlineStr">
        <is>
          <t>보험금 수익</t>
        </is>
      </c>
      <c r="C130" s="20" t="n">
        <v>0</v>
      </c>
      <c r="D130" s="20" t="n">
        <v>52</v>
      </c>
      <c r="U130" s="20" t="n">
        <v>-109</v>
      </c>
      <c r="V130" s="20" t="n">
        <v>52</v>
      </c>
    </row>
    <row r="131">
      <c r="A131" s="18" t="inlineStr">
        <is>
          <t>보조금 수입</t>
        </is>
      </c>
      <c r="C131" s="20" t="n">
        <v>136</v>
      </c>
      <c r="D131" s="20" t="n">
        <v>1745</v>
      </c>
      <c r="E131" s="20" t="n">
        <v>853</v>
      </c>
      <c r="F131" s="20" t="n">
        <v>1732</v>
      </c>
      <c r="G131" s="20" t="n">
        <v>3700</v>
      </c>
      <c r="H131" s="20" t="n">
        <v>22296</v>
      </c>
      <c r="I131" s="20" t="n">
        <v>911</v>
      </c>
      <c r="J131" s="20" t="n">
        <v>3492</v>
      </c>
      <c r="K131" s="20" t="n">
        <v>2928</v>
      </c>
      <c r="L131" s="20" t="n">
        <v>1817</v>
      </c>
      <c r="M131" s="20" t="n">
        <v>0</v>
      </c>
      <c r="N131" s="20" t="n">
        <v>813</v>
      </c>
      <c r="U131" s="20" t="n">
        <v>1881</v>
      </c>
      <c r="V131" s="20" t="n">
        <v>1745</v>
      </c>
      <c r="W131" s="20" t="n">
        <v>22296</v>
      </c>
      <c r="X131" s="20" t="n">
        <v>1817</v>
      </c>
    </row>
    <row r="132">
      <c r="A132" s="18" t="inlineStr">
        <is>
          <t>기타</t>
        </is>
      </c>
      <c r="C132" s="20" t="n">
        <v>24</v>
      </c>
      <c r="D132" s="20" t="n">
        <v>53</v>
      </c>
      <c r="E132" s="20" t="n">
        <v>6</v>
      </c>
      <c r="F132" s="20" t="n">
        <v>27</v>
      </c>
      <c r="G132" s="20" t="n">
        <v>0</v>
      </c>
      <c r="H132" s="20" t="n">
        <v>0</v>
      </c>
      <c r="I132" s="20" t="n">
        <v>24</v>
      </c>
      <c r="J132" s="20" t="n">
        <v>225</v>
      </c>
      <c r="K132" s="20" t="n">
        <v>-2</v>
      </c>
      <c r="L132" s="20" t="n">
        <v>2</v>
      </c>
      <c r="M132" s="20" t="n">
        <v>0</v>
      </c>
      <c r="N132" s="20" t="n">
        <v>0</v>
      </c>
      <c r="U132" s="20" t="n">
        <v>55</v>
      </c>
      <c r="V132" s="20" t="n">
        <v>53</v>
      </c>
      <c r="W132" s="20" t="n">
        <v>0</v>
      </c>
      <c r="X132" s="20" t="n">
        <v>2</v>
      </c>
    </row>
    <row r="133">
      <c r="A133" s="18" t="inlineStr">
        <is>
          <t>특별이익 합계</t>
        </is>
      </c>
      <c r="C133" s="20" t="n">
        <v>169</v>
      </c>
      <c r="D133" s="20" t="n">
        <v>1931</v>
      </c>
      <c r="E133" s="20" t="n">
        <v>866</v>
      </c>
      <c r="F133" s="20" t="n">
        <v>1791</v>
      </c>
      <c r="G133" s="20" t="n">
        <v>3723</v>
      </c>
      <c r="H133" s="20" t="n">
        <v>47838</v>
      </c>
      <c r="I133" s="20" t="n">
        <v>1302</v>
      </c>
      <c r="J133" s="20" t="n">
        <v>3719</v>
      </c>
      <c r="K133" s="20" t="n">
        <v>3279</v>
      </c>
      <c r="L133" s="20" t="n">
        <v>50981</v>
      </c>
      <c r="M133" s="20" t="n">
        <v>3</v>
      </c>
      <c r="N133" s="20" t="n">
        <v>815</v>
      </c>
      <c r="U133" s="20" t="n">
        <v>4889</v>
      </c>
      <c r="V133" s="20" t="n">
        <v>1931</v>
      </c>
      <c r="W133" s="20" t="n">
        <v>47838</v>
      </c>
      <c r="X133" s="20" t="n">
        <v>50981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18" t="inlineStr">
        <is>
          <t>고정자산 제각손실</t>
        </is>
      </c>
      <c r="C135" s="20" t="n">
        <v>724</v>
      </c>
      <c r="D135" s="20" t="n">
        <v>880</v>
      </c>
      <c r="E135" s="20" t="n">
        <v>426</v>
      </c>
      <c r="F135" s="20" t="n">
        <v>330</v>
      </c>
      <c r="G135" s="20" t="n">
        <v>295</v>
      </c>
      <c r="H135" s="20" t="n">
        <v>543</v>
      </c>
      <c r="I135" s="20" t="n">
        <v>152</v>
      </c>
      <c r="J135" s="20" t="n">
        <v>104</v>
      </c>
      <c r="K135" s="20" t="n">
        <v>334</v>
      </c>
      <c r="L135" s="20" t="n">
        <v>1039</v>
      </c>
      <c r="M135" s="20" t="n">
        <v>907</v>
      </c>
      <c r="N135" s="20" t="n">
        <v>699</v>
      </c>
      <c r="U135" s="20" t="n">
        <v>-427</v>
      </c>
      <c r="V135" s="20" t="n">
        <v>880</v>
      </c>
      <c r="W135" s="20" t="n">
        <v>543</v>
      </c>
      <c r="X135" s="20" t="n">
        <v>1039</v>
      </c>
    </row>
    <row r="136">
      <c r="A136" s="18" t="inlineStr">
        <is>
          <t>손상차손</t>
        </is>
      </c>
      <c r="C136" s="20" t="n">
        <v>0</v>
      </c>
      <c r="D136" s="20" t="n">
        <v>84</v>
      </c>
      <c r="E136" s="20" t="n">
        <v>0</v>
      </c>
      <c r="F136" s="20" t="n">
        <v>0</v>
      </c>
      <c r="G136" s="20" t="n">
        <v>0</v>
      </c>
      <c r="H136" s="20" t="n">
        <v>18587</v>
      </c>
      <c r="I136" s="20" t="n">
        <v>506</v>
      </c>
      <c r="J136" s="20" t="n">
        <v>0</v>
      </c>
      <c r="K136" s="20" t="n">
        <v>94</v>
      </c>
      <c r="L136" s="20" t="n">
        <v>15805</v>
      </c>
      <c r="M136" s="20" t="n">
        <v>0</v>
      </c>
      <c r="N136" s="20" t="n">
        <v>0</v>
      </c>
      <c r="U136" s="20" t="n">
        <v>478</v>
      </c>
      <c r="V136" s="20" t="n">
        <v>84</v>
      </c>
      <c r="W136" s="20" t="n">
        <v>18587</v>
      </c>
      <c r="X136" s="20" t="n">
        <v>15805</v>
      </c>
    </row>
    <row r="137">
      <c r="A137" s="18" t="inlineStr">
        <is>
          <t>고정자산 압축손실</t>
        </is>
      </c>
      <c r="C137" s="20" t="n">
        <v>136</v>
      </c>
      <c r="D137" s="20" t="n">
        <v>1745</v>
      </c>
      <c r="E137" s="20" t="n">
        <v>853</v>
      </c>
      <c r="F137" s="20" t="n">
        <v>1732</v>
      </c>
      <c r="G137" s="20" t="n">
        <v>3700</v>
      </c>
      <c r="H137" s="20" t="n">
        <v>22296</v>
      </c>
      <c r="I137" s="20" t="n">
        <v>911</v>
      </c>
      <c r="J137" s="20" t="n">
        <v>3492</v>
      </c>
      <c r="K137" s="20" t="n">
        <v>2928</v>
      </c>
      <c r="L137" s="20" t="n">
        <v>1817</v>
      </c>
      <c r="M137" s="20" t="n">
        <v>0</v>
      </c>
      <c r="N137" s="20" t="n">
        <v>813</v>
      </c>
      <c r="U137" s="20" t="n">
        <v>1881</v>
      </c>
      <c r="V137" s="20" t="n">
        <v>1745</v>
      </c>
      <c r="W137" s="20" t="n">
        <v>22296</v>
      </c>
      <c r="X137" s="20" t="n">
        <v>1817</v>
      </c>
    </row>
    <row r="138">
      <c r="A138" s="18" t="inlineStr">
        <is>
          <t>보상비 지급</t>
        </is>
      </c>
      <c r="D138" s="20" t="n">
        <v>3156</v>
      </c>
      <c r="H138" s="20" t="n">
        <v>41</v>
      </c>
      <c r="L138" s="20" t="n">
        <v>0</v>
      </c>
      <c r="V138" s="20" t="n">
        <v>3156</v>
      </c>
      <c r="W138" s="20" t="n">
        <v>41</v>
      </c>
      <c r="X138" s="20" t="n">
        <v>0</v>
      </c>
    </row>
    <row r="139">
      <c r="A139" s="18" t="inlineStr">
        <is>
          <t>보상비 지급</t>
        </is>
      </c>
      <c r="E139" s="20" t="n">
        <v>524</v>
      </c>
      <c r="F139" s="20" t="n">
        <v>1037</v>
      </c>
      <c r="I139" s="20" t="n">
        <v>40</v>
      </c>
      <c r="J139" s="20" t="n">
        <v>73</v>
      </c>
      <c r="M139" s="20" t="n">
        <v>0</v>
      </c>
      <c r="N139" s="20" t="n">
        <v>0</v>
      </c>
    </row>
    <row r="140">
      <c r="A140" s="18" t="inlineStr">
        <is>
          <t>기타</t>
        </is>
      </c>
      <c r="C140" s="20" t="n">
        <v>329</v>
      </c>
      <c r="D140" s="20" t="n">
        <v>125</v>
      </c>
      <c r="E140" s="20" t="n">
        <v>6</v>
      </c>
      <c r="F140" s="20" t="n">
        <v>122</v>
      </c>
      <c r="G140" s="20" t="n">
        <v>-17</v>
      </c>
      <c r="H140" s="20" t="n">
        <v>93</v>
      </c>
      <c r="I140" s="20" t="n">
        <v>53</v>
      </c>
      <c r="J140" s="20" t="n">
        <v>6</v>
      </c>
      <c r="K140" s="20" t="n">
        <v>35</v>
      </c>
      <c r="L140" s="20" t="n">
        <v>61</v>
      </c>
      <c r="M140" s="20" t="n">
        <v>31</v>
      </c>
      <c r="N140" s="20" t="n">
        <v>18</v>
      </c>
      <c r="U140" s="20" t="n">
        <v>533</v>
      </c>
      <c r="V140" s="20" t="n">
        <v>125</v>
      </c>
      <c r="W140" s="20" t="n">
        <v>93</v>
      </c>
      <c r="X140" s="20" t="n">
        <v>61</v>
      </c>
    </row>
    <row r="141">
      <c r="A141" s="18" t="inlineStr">
        <is>
          <t>특별손실 합계</t>
        </is>
      </c>
      <c r="C141" s="20" t="n">
        <v>1189</v>
      </c>
      <c r="D141" s="20" t="n">
        <v>5991</v>
      </c>
      <c r="E141" s="20" t="n">
        <v>1810</v>
      </c>
      <c r="F141" s="20" t="n">
        <v>3222</v>
      </c>
      <c r="G141" s="20" t="n">
        <v>4036</v>
      </c>
      <c r="H141" s="20" t="n">
        <v>41589</v>
      </c>
      <c r="I141" s="20" t="n">
        <v>1663</v>
      </c>
      <c r="J141" s="20" t="n">
        <v>3677</v>
      </c>
      <c r="K141" s="20" t="n">
        <v>3391</v>
      </c>
      <c r="L141" s="20" t="n">
        <v>20280</v>
      </c>
      <c r="M141" s="20" t="n">
        <v>939</v>
      </c>
      <c r="N141" s="20" t="n">
        <v>1530</v>
      </c>
      <c r="U141" s="20" t="n">
        <v>5623</v>
      </c>
      <c r="V141" s="20" t="n">
        <v>5991</v>
      </c>
      <c r="W141" s="20" t="n">
        <v>41589</v>
      </c>
      <c r="X141" s="20" t="n">
        <v>20280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IF(OR(G141="",C141=""),"",IF(G141*C141&lt;=0,"",IFERROR(G141/C141-1,"")))</f>
        <v/>
      </c>
      <c r="H142" s="15">
        <f>IF(OR(H141="",D141=""),"",IF(H141*D141&lt;=0,"",IFERROR(H141/D141-1,"")))</f>
        <v/>
      </c>
      <c r="I142" s="15">
        <f>IF(OR(I141="",E141=""),"",IF(I141*E141&lt;=0,"",IFERROR(I141/E141-1,"")))</f>
        <v/>
      </c>
      <c r="J142" s="15">
        <f>IF(OR(J141="",F141=""),"",IF(J141*F141&lt;=0,"",IFERROR(J141/F141-1,"")))</f>
        <v/>
      </c>
      <c r="K142" s="15">
        <f>IF(OR(K141="",G141=""),"",IF(K141*G141&lt;=0,"",IFERROR(K141/G141-1,"")))</f>
        <v/>
      </c>
      <c r="L142" s="15">
        <f>IF(OR(L141="",H141=""),"",IF(L141*H141&lt;=0,"",IFERROR(L141/H141-1,"")))</f>
        <v/>
      </c>
      <c r="M142" s="15">
        <f>IF(OR(M141="",I141=""),"",IF(M141*I141&lt;=0,"",IFERROR(M141/I141-1,"")))</f>
        <v/>
      </c>
      <c r="N142" s="15">
        <f>IF(OR(N141="",J141=""),"",IF(N141*J141&lt;=0,"",IFERROR(N141/J141-1,"")))</f>
        <v/>
      </c>
      <c r="U142" s="15">
        <f>IF(OR(U141="",T141=""),"",IF(U141*T141&lt;=0,"",IFERROR(U141/T141-1,"")))</f>
        <v/>
      </c>
      <c r="V142" s="15">
        <f>IF(OR(V141="",U141=""),"",IF(V141*U141&lt;=0,"",IFERROR(V141/U141-1,"")))</f>
        <v/>
      </c>
      <c r="W142" s="15">
        <f>IF(OR(W141="",V141=""),"",IF(W141*V141&lt;=0,"",IFERROR(W141/V141-1,"")))</f>
        <v/>
      </c>
      <c r="X142" s="15">
        <f>IF(OR(X141="",W141=""),"",IF(X141*W141&lt;=0,"",IFERROR(X141/W141-1,"")))</f>
        <v/>
      </c>
    </row>
    <row r="143">
      <c r="A143" s="9" t="inlineStr">
        <is>
          <t>법인세차감전 순이익</t>
        </is>
      </c>
      <c r="C143" s="12" t="n">
        <v>12563</v>
      </c>
      <c r="D143" s="12" t="n">
        <v>6674</v>
      </c>
      <c r="E143" s="12" t="n">
        <v>11925</v>
      </c>
      <c r="F143" s="12" t="n">
        <v>15231</v>
      </c>
      <c r="G143" s="12" t="n">
        <v>6063</v>
      </c>
      <c r="H143" s="12" t="n">
        <v>18232</v>
      </c>
      <c r="I143" s="12" t="n">
        <v>17046</v>
      </c>
      <c r="J143" s="12" t="n">
        <v>14939</v>
      </c>
      <c r="K143" s="12" t="n">
        <v>11217</v>
      </c>
      <c r="L143" s="12" t="n">
        <v>47890</v>
      </c>
      <c r="M143" s="12" t="n">
        <v>26530</v>
      </c>
      <c r="N143" s="12" t="n">
        <v>32828</v>
      </c>
      <c r="U143" s="12" t="n">
        <v>-14551</v>
      </c>
      <c r="V143" s="12" t="n">
        <v>6674</v>
      </c>
      <c r="W143" s="12" t="n">
        <v>18232</v>
      </c>
      <c r="X143" s="12" t="n">
        <v>47890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법인세 등</t>
        </is>
      </c>
      <c r="C145" s="20" t="n">
        <v>2960</v>
      </c>
      <c r="D145" s="20" t="n">
        <v>2553</v>
      </c>
      <c r="E145" s="20" t="n">
        <v>3030</v>
      </c>
      <c r="F145" s="20" t="n">
        <v>3447</v>
      </c>
      <c r="G145" s="20" t="n">
        <v>1671</v>
      </c>
      <c r="H145" s="20" t="n">
        <v>9252</v>
      </c>
      <c r="I145" s="20" t="n">
        <v>4168</v>
      </c>
      <c r="J145" s="20" t="n">
        <v>5514</v>
      </c>
      <c r="K145" s="20" t="n">
        <v>2188</v>
      </c>
      <c r="L145" s="20" t="n">
        <v>15059</v>
      </c>
      <c r="M145" s="20" t="n">
        <v>8459</v>
      </c>
      <c r="N145" s="20" t="n">
        <v>12031</v>
      </c>
      <c r="U145" s="20" t="n">
        <v>-2059</v>
      </c>
      <c r="V145" s="20" t="n">
        <v>2553</v>
      </c>
      <c r="W145" s="20" t="n">
        <v>9252</v>
      </c>
      <c r="X145" s="20" t="n">
        <v>15059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IF(OR(G145="",C145=""),"",IF(G145*C145&lt;=0,"",IFERROR(G145/C145-1,"")))</f>
        <v/>
      </c>
      <c r="H146" s="15">
        <f>IF(OR(H145="",D145=""),"",IF(H145*D145&lt;=0,"",IFERROR(H145/D145-1,"")))</f>
        <v/>
      </c>
      <c r="I146" s="15">
        <f>IF(OR(I145="",E145=""),"",IF(I145*E145&lt;=0,"",IFERROR(I145/E145-1,"")))</f>
        <v/>
      </c>
      <c r="J146" s="15">
        <f>IF(OR(J145="",F145=""),"",IF(J145*F145&lt;=0,"",IFERROR(J145/F145-1,"")))</f>
        <v/>
      </c>
      <c r="K146" s="15">
        <f>IF(OR(K145="",G145=""),"",IF(K145*G145&lt;=0,"",IFERROR(K145/G145-1,"")))</f>
        <v/>
      </c>
      <c r="L146" s="15">
        <f>IF(OR(L145="",H145=""),"",IF(L145*H145&lt;=0,"",IFERROR(L145/H145-1,"")))</f>
        <v/>
      </c>
      <c r="M146" s="15">
        <f>IF(OR(M145="",I145=""),"",IF(M145*I145&lt;=0,"",IFERROR(M145/I145-1,"")))</f>
        <v/>
      </c>
      <c r="N146" s="15">
        <f>IF(OR(N145="",J145=""),"",IF(N145*J145&lt;=0,"",IFERROR(N145/J145-1,"")))</f>
        <v/>
      </c>
      <c r="U146" s="15">
        <f>IF(OR(U145="",T145=""),"",IF(U145*T145&lt;=0,"",IFERROR(U145/T145-1,"")))</f>
        <v/>
      </c>
      <c r="V146" s="15">
        <f>IF(OR(V145="",U145=""),"",IF(V145*U145&lt;=0,"",IFERROR(V145/U145-1,"")))</f>
        <v/>
      </c>
      <c r="W146" s="15">
        <f>IF(OR(W145="",V145=""),"",IF(W145*V145&lt;=0,"",IFERROR(W145/V145-1,"")))</f>
        <v/>
      </c>
      <c r="X146" s="15">
        <f>IF(OR(X145="",W145=""),"",IF(X145*W145&lt;=0,"",IFERROR(X145/W145-1,"")))</f>
        <v/>
      </c>
    </row>
    <row r="147">
      <c r="A147" s="9" t="inlineStr">
        <is>
          <t>순이익</t>
        </is>
      </c>
      <c r="C147" s="12" t="n">
        <v>9603</v>
      </c>
      <c r="D147" s="12" t="n">
        <v>4121</v>
      </c>
      <c r="E147" s="12" t="n">
        <v>8895</v>
      </c>
      <c r="F147" s="12" t="n">
        <v>11784</v>
      </c>
      <c r="G147" s="12" t="n">
        <v>4391</v>
      </c>
      <c r="H147" s="12" t="n">
        <v>8980</v>
      </c>
      <c r="I147" s="12" t="n">
        <v>12877</v>
      </c>
      <c r="J147" s="12" t="n">
        <v>9426</v>
      </c>
      <c r="K147" s="12" t="n">
        <v>9029</v>
      </c>
      <c r="L147" s="12" t="n">
        <v>32830</v>
      </c>
      <c r="M147" s="12" t="n">
        <v>18071</v>
      </c>
      <c r="N147" s="12" t="n">
        <v>20797</v>
      </c>
      <c r="U147" s="12" t="n">
        <v>-12493</v>
      </c>
      <c r="V147" s="12" t="n">
        <v>4121</v>
      </c>
      <c r="W147" s="12" t="n">
        <v>8980</v>
      </c>
      <c r="X147" s="12" t="n">
        <v>32830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U148" s="15">
        <f>IF(OR(U147="",T147=""),"",IF(T147&lt;=0,"",IFERROR(U147/T147-1,"")))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9" t="inlineStr">
        <is>
          <t>비지배주주 순이익</t>
        </is>
      </c>
      <c r="C149" s="12" t="n">
        <v>99</v>
      </c>
      <c r="D149" s="12" t="n">
        <v>27</v>
      </c>
      <c r="E149" s="12" t="n">
        <v>78</v>
      </c>
      <c r="F149" s="12" t="n">
        <v>73</v>
      </c>
      <c r="G149" s="12" t="n">
        <v>117</v>
      </c>
      <c r="H149" s="12" t="n">
        <v>78</v>
      </c>
      <c r="I149" s="12" t="n">
        <v>148</v>
      </c>
      <c r="J149" s="12" t="n">
        <v>86</v>
      </c>
      <c r="K149" s="12" t="n">
        <v>97</v>
      </c>
      <c r="L149" s="12" t="n">
        <v>118</v>
      </c>
      <c r="M149" s="12" t="n">
        <v>152</v>
      </c>
      <c r="N149" s="12" t="n">
        <v>141</v>
      </c>
      <c r="U149" s="12" t="n">
        <v>72</v>
      </c>
      <c r="V149" s="12" t="n">
        <v>27</v>
      </c>
      <c r="W149" s="12" t="n">
        <v>78</v>
      </c>
      <c r="X149" s="12" t="n">
        <v>118</v>
      </c>
    </row>
    <row r="150">
      <c r="A150" s="9" t="inlineStr">
        <is>
          <t>지배주주 순이익</t>
        </is>
      </c>
      <c r="C150" s="12" t="n">
        <v>9503</v>
      </c>
      <c r="D150" s="12" t="n">
        <v>4095</v>
      </c>
      <c r="E150" s="12" t="n">
        <v>8816</v>
      </c>
      <c r="F150" s="12" t="n">
        <v>11711</v>
      </c>
      <c r="G150" s="12" t="n">
        <v>4274</v>
      </c>
      <c r="H150" s="12" t="n">
        <v>8903</v>
      </c>
      <c r="I150" s="12" t="n">
        <v>12728</v>
      </c>
      <c r="J150" s="12" t="n">
        <v>9341</v>
      </c>
      <c r="K150" s="12" t="n">
        <v>8931</v>
      </c>
      <c r="L150" s="12" t="n">
        <v>32713</v>
      </c>
      <c r="M150" s="12" t="n">
        <v>17918</v>
      </c>
      <c r="N150" s="12" t="n">
        <v>20656</v>
      </c>
      <c r="U150" s="12" t="n">
        <v>-12565</v>
      </c>
      <c r="V150" s="12" t="n">
        <v>4095</v>
      </c>
      <c r="W150" s="12" t="n">
        <v>8903</v>
      </c>
      <c r="X150" s="12" t="n">
        <v>32713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U151" s="15">
        <f>IF(OR(U150="",T150=""),"",IF(T150&lt;=0,"",IFERROR(U150/T150-1,"")))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3">
      <c r="A153" s="16" t="inlineStr">
        <is>
          <t>포괄손익 · 전 항목</t>
        </is>
      </c>
      <c r="B153" s="42" t="inlineStr">
        <is>
          <t>분기 = 3개월 단독</t>
        </is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</row>
    <row r="154">
      <c r="A154" s="5" t="inlineStr">
        <is>
          <t>항목</t>
        </is>
      </c>
      <c r="B154" s="5" t="inlineStr">
        <is>
          <t>참고</t>
        </is>
      </c>
      <c r="C154" s="5" t="inlineStr">
        <is>
          <t>2024.3Q</t>
        </is>
      </c>
      <c r="D154" s="5" t="inlineStr">
        <is>
          <t>2024.4Q</t>
        </is>
      </c>
      <c r="E154" s="5" t="inlineStr">
        <is>
          <t>2025.1Q</t>
        </is>
      </c>
      <c r="F154" s="5" t="inlineStr">
        <is>
          <t>2025.2Q</t>
        </is>
      </c>
      <c r="G154" s="5" t="inlineStr">
        <is>
          <t>2025.3Q</t>
        </is>
      </c>
      <c r="H154" s="5" t="inlineStr">
        <is>
          <t>2025.4Q</t>
        </is>
      </c>
      <c r="I154" s="5" t="inlineStr">
        <is>
          <t>2026.1Q</t>
        </is>
      </c>
      <c r="J154" s="5" t="inlineStr">
        <is>
          <t>2026.2Q</t>
        </is>
      </c>
      <c r="K154" s="5" t="inlineStr">
        <is>
          <t>2026.3Q</t>
        </is>
      </c>
      <c r="L154" s="5" t="inlineStr">
        <is>
          <t>2026.4Q</t>
        </is>
      </c>
      <c r="M154" s="5" t="inlineStr">
        <is>
          <t>2027.1Q</t>
        </is>
      </c>
      <c r="N154" s="5" t="inlineStr">
        <is>
          <t>2027.2Q</t>
        </is>
      </c>
      <c r="O154" s="5" t="inlineStr">
        <is>
          <t>2017</t>
        </is>
      </c>
      <c r="P154" s="5" t="inlineStr">
        <is>
          <t>2018</t>
        </is>
      </c>
      <c r="Q154" s="5" t="inlineStr">
        <is>
          <t>2019</t>
        </is>
      </c>
      <c r="R154" s="5" t="inlineStr">
        <is>
          <t>2020</t>
        </is>
      </c>
      <c r="S154" s="5" t="inlineStr">
        <is>
          <t>2021</t>
        </is>
      </c>
      <c r="T154" s="5" t="inlineStr">
        <is>
          <t>2022</t>
        </is>
      </c>
      <c r="U154" s="5" t="inlineStr">
        <is>
          <t>2023</t>
        </is>
      </c>
      <c r="V154" s="5" t="inlineStr">
        <is>
          <t>2024</t>
        </is>
      </c>
      <c r="W154" s="5" t="inlineStr">
        <is>
          <t>2025</t>
        </is>
      </c>
      <c r="X154" s="5" t="inlineStr">
        <is>
          <t>2026</t>
        </is>
      </c>
      <c r="Y154" s="5" t="inlineStr">
        <is>
          <t>2027(MW)</t>
        </is>
      </c>
      <c r="Z154" s="5" t="inlineStr">
        <is>
          <t>2028(MW)</t>
        </is>
      </c>
      <c r="AA154" s="5" t="inlineStr">
        <is>
          <t>2029(MW)</t>
        </is>
      </c>
      <c r="AB154" s="5" t="inlineStr">
        <is>
          <t>2030(MW)</t>
        </is>
      </c>
      <c r="AC154" s="5" t="inlineStr">
        <is>
          <t>2031(MW)</t>
        </is>
      </c>
    </row>
    <row r="155">
      <c r="A155" s="9" t="inlineStr">
        <is>
          <t>순이익</t>
        </is>
      </c>
      <c r="C155" s="12" t="n">
        <v>9603</v>
      </c>
      <c r="D155" s="12" t="n">
        <v>4121</v>
      </c>
      <c r="E155" s="12" t="n">
        <v>8895</v>
      </c>
      <c r="F155" s="12" t="n">
        <v>11784</v>
      </c>
      <c r="G155" s="12" t="n">
        <v>4391</v>
      </c>
      <c r="H155" s="12" t="n">
        <v>8980</v>
      </c>
      <c r="I155" s="12" t="n">
        <v>12877</v>
      </c>
      <c r="J155" s="12" t="n">
        <v>9426</v>
      </c>
      <c r="K155" s="12" t="n">
        <v>9029</v>
      </c>
      <c r="L155" s="12" t="n">
        <v>32830</v>
      </c>
      <c r="M155" s="12" t="n">
        <v>18071</v>
      </c>
      <c r="N155" s="12" t="n">
        <v>20797</v>
      </c>
      <c r="U155" s="12" t="n">
        <v>-12493</v>
      </c>
      <c r="V155" s="12" t="n">
        <v>4121</v>
      </c>
      <c r="W155" s="12" t="n">
        <v>8980</v>
      </c>
      <c r="X155" s="12" t="n">
        <v>32830</v>
      </c>
    </row>
    <row r="156">
      <c r="A156" s="18" t="inlineStr">
        <is>
          <t>기타유가증권 평가차액</t>
        </is>
      </c>
      <c r="C156" s="20" t="n">
        <v>-1629</v>
      </c>
      <c r="D156" s="20" t="n">
        <v>18577</v>
      </c>
      <c r="E156" s="20" t="n">
        <v>-5508</v>
      </c>
      <c r="F156" s="20" t="n">
        <v>-8176</v>
      </c>
      <c r="G156" s="20" t="n">
        <v>3570</v>
      </c>
      <c r="H156" s="20" t="n">
        <v>-19182</v>
      </c>
      <c r="I156" s="20" t="n">
        <v>8060</v>
      </c>
      <c r="J156" s="20" t="n">
        <v>2323</v>
      </c>
      <c r="K156" s="20" t="n">
        <v>2853</v>
      </c>
      <c r="L156" s="20" t="n">
        <v>-26197</v>
      </c>
      <c r="M156" s="20" t="n">
        <v>3707</v>
      </c>
      <c r="N156" s="20" t="n">
        <v>699</v>
      </c>
      <c r="U156" s="20" t="n">
        <v>39320</v>
      </c>
      <c r="V156" s="20" t="n">
        <v>18577</v>
      </c>
      <c r="W156" s="20" t="n">
        <v>-19182</v>
      </c>
      <c r="X156" s="20" t="n">
        <v>-26197</v>
      </c>
    </row>
    <row r="157">
      <c r="A157" s="18" t="inlineStr">
        <is>
          <t>이연헤지손익</t>
        </is>
      </c>
      <c r="C157" s="20" t="n">
        <v>0</v>
      </c>
      <c r="D157" s="20" t="n">
        <v>0</v>
      </c>
      <c r="E157" s="20" t="n">
        <v>-244</v>
      </c>
      <c r="F157" s="20" t="n">
        <v>370</v>
      </c>
      <c r="G157" s="20" t="n">
        <v>-199</v>
      </c>
      <c r="H157" s="20" t="n">
        <v>73</v>
      </c>
      <c r="I157" s="20" t="n">
        <v>104</v>
      </c>
      <c r="J157" s="20" t="n">
        <v>-79</v>
      </c>
      <c r="K157" s="20" t="n">
        <v>-95</v>
      </c>
      <c r="L157" s="20" t="n">
        <v>-98</v>
      </c>
      <c r="M157" s="20" t="n">
        <v>-5317</v>
      </c>
      <c r="N157" s="20" t="n">
        <v>5728</v>
      </c>
      <c r="V157" s="20" t="n">
        <v>0</v>
      </c>
      <c r="W157" s="20" t="n">
        <v>73</v>
      </c>
      <c r="X157" s="20" t="n">
        <v>-98</v>
      </c>
    </row>
    <row r="158">
      <c r="A158" s="18" t="inlineStr">
        <is>
          <t>해외사업환산조정</t>
        </is>
      </c>
      <c r="C158" s="20" t="n">
        <v>-7168</v>
      </c>
      <c r="D158" s="20" t="n">
        <v>10926</v>
      </c>
      <c r="E158" s="20" t="n">
        <v>12321</v>
      </c>
      <c r="F158" s="20" t="n">
        <v>-21244</v>
      </c>
      <c r="G158" s="20" t="n">
        <v>14829</v>
      </c>
      <c r="H158" s="20" t="n">
        <v>-8826</v>
      </c>
      <c r="I158" s="20" t="n">
        <v>9</v>
      </c>
      <c r="J158" s="20" t="n">
        <v>4890</v>
      </c>
      <c r="K158" s="20" t="n">
        <v>9805</v>
      </c>
      <c r="L158" s="20" t="n">
        <v>1341</v>
      </c>
      <c r="M158" s="20" t="n">
        <v>2728</v>
      </c>
      <c r="N158" s="20" t="n">
        <v>-4983</v>
      </c>
      <c r="U158" s="20" t="n">
        <v>6641</v>
      </c>
      <c r="V158" s="20" t="n">
        <v>10926</v>
      </c>
      <c r="W158" s="20" t="n">
        <v>-8826</v>
      </c>
      <c r="X158" s="20" t="n">
        <v>1341</v>
      </c>
    </row>
    <row r="159">
      <c r="A159" s="18" t="inlineStr">
        <is>
          <t>기타포괄손익 합계</t>
        </is>
      </c>
      <c r="C159" s="20" t="n">
        <v>-8796</v>
      </c>
      <c r="D159" s="20" t="n">
        <v>29503</v>
      </c>
      <c r="E159" s="20" t="n">
        <v>6568</v>
      </c>
      <c r="F159" s="20" t="n">
        <v>-29049</v>
      </c>
      <c r="G159" s="20" t="n">
        <v>18200</v>
      </c>
      <c r="H159" s="20" t="n">
        <v>-27938</v>
      </c>
      <c r="I159" s="20" t="n">
        <v>8174</v>
      </c>
      <c r="J159" s="20" t="n">
        <v>7134</v>
      </c>
      <c r="K159" s="20" t="n">
        <v>12562</v>
      </c>
      <c r="L159" s="20" t="n">
        <v>-24955</v>
      </c>
      <c r="M159" s="20" t="n">
        <v>1119</v>
      </c>
      <c r="N159" s="20" t="n">
        <v>1443</v>
      </c>
      <c r="U159" s="20" t="n">
        <v>45963</v>
      </c>
      <c r="V159" s="20" t="n">
        <v>29503</v>
      </c>
      <c r="W159" s="20" t="n">
        <v>-27938</v>
      </c>
      <c r="X159" s="20" t="n">
        <v>-24955</v>
      </c>
    </row>
    <row r="160">
      <c r="A160" s="9" t="inlineStr">
        <is>
          <t>포괄이익</t>
        </is>
      </c>
      <c r="C160" s="12" t="n">
        <v>806</v>
      </c>
      <c r="D160" s="12" t="n">
        <v>33625</v>
      </c>
      <c r="E160" s="12" t="n">
        <v>15463</v>
      </c>
      <c r="F160" s="12" t="n">
        <v>-17264</v>
      </c>
      <c r="G160" s="12" t="n">
        <v>22590</v>
      </c>
      <c r="H160" s="12" t="n">
        <v>-18958</v>
      </c>
      <c r="I160" s="12" t="n">
        <v>21052</v>
      </c>
      <c r="J160" s="12" t="n">
        <v>16560</v>
      </c>
      <c r="K160" s="12" t="n">
        <v>21590</v>
      </c>
      <c r="L160" s="12" t="n">
        <v>7875</v>
      </c>
      <c r="M160" s="12" t="n">
        <v>19190</v>
      </c>
      <c r="N160" s="12" t="n">
        <v>22240</v>
      </c>
      <c r="U160" s="12" t="n">
        <v>33470</v>
      </c>
      <c r="V160" s="12" t="n">
        <v>33625</v>
      </c>
      <c r="W160" s="12" t="n">
        <v>-18958</v>
      </c>
      <c r="X160" s="12" t="n">
        <v>7875</v>
      </c>
    </row>
    <row r="161">
      <c r="A161" s="9" t="inlineStr">
        <is>
          <t>지배주주 포괄이익</t>
        </is>
      </c>
      <c r="C161" s="12" t="n">
        <v>748</v>
      </c>
      <c r="D161" s="12" t="n">
        <v>33433</v>
      </c>
      <c r="E161" s="12" t="n">
        <v>15381</v>
      </c>
      <c r="F161" s="12" t="n">
        <v>-17265</v>
      </c>
      <c r="G161" s="12" t="n">
        <v>22482</v>
      </c>
      <c r="H161" s="12" t="n">
        <v>-19009</v>
      </c>
      <c r="I161" s="12" t="n">
        <v>20859</v>
      </c>
      <c r="J161" s="12" t="n">
        <v>16487</v>
      </c>
      <c r="K161" s="12" t="n">
        <v>21501</v>
      </c>
      <c r="L161" s="12" t="n">
        <v>7680</v>
      </c>
      <c r="M161" s="12" t="n">
        <v>19033</v>
      </c>
      <c r="N161" s="12" t="n">
        <v>22171</v>
      </c>
      <c r="U161" s="12" t="n">
        <v>33120</v>
      </c>
      <c r="V161" s="12" t="n">
        <v>33433</v>
      </c>
      <c r="W161" s="12" t="n">
        <v>-19009</v>
      </c>
      <c r="X161" s="12" t="n">
        <v>7680</v>
      </c>
    </row>
    <row r="162">
      <c r="A162" s="9" t="inlineStr">
        <is>
          <t>비지배주주 포괄이익</t>
        </is>
      </c>
      <c r="C162" s="12" t="n">
        <v>58</v>
      </c>
      <c r="D162" s="12" t="n">
        <v>193</v>
      </c>
      <c r="E162" s="12" t="n">
        <v>82</v>
      </c>
      <c r="F162" s="12" t="n">
        <v>0</v>
      </c>
      <c r="G162" s="12" t="n">
        <v>108</v>
      </c>
      <c r="H162" s="12" t="n">
        <v>52</v>
      </c>
      <c r="I162" s="12" t="n">
        <v>192</v>
      </c>
      <c r="J162" s="12" t="n">
        <v>74</v>
      </c>
      <c r="K162" s="12" t="n">
        <v>89</v>
      </c>
      <c r="L162" s="12" t="n">
        <v>195</v>
      </c>
      <c r="M162" s="12" t="n">
        <v>157</v>
      </c>
      <c r="N162" s="12" t="n">
        <v>68</v>
      </c>
      <c r="U162" s="12" t="n">
        <v>350</v>
      </c>
      <c r="V162" s="12" t="n">
        <v>193</v>
      </c>
      <c r="W162" s="12" t="n">
        <v>52</v>
      </c>
      <c r="X162" s="12" t="n">
        <v>195</v>
      </c>
    </row>
    <row r="164">
      <c r="A164" s="16" t="inlineStr">
        <is>
          <t>부문 · 전 항목</t>
        </is>
      </c>
      <c r="B164" s="42" t="inlineStr">
        <is>
          <t>부문 · 항목</t>
        </is>
      </c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</row>
    <row r="165">
      <c r="A165" s="5" t="inlineStr">
        <is>
          <t>항목</t>
        </is>
      </c>
      <c r="B165" s="5" t="inlineStr">
        <is>
          <t>참고</t>
        </is>
      </c>
      <c r="C165" s="5" t="inlineStr">
        <is>
          <t>2024.3Q</t>
        </is>
      </c>
      <c r="D165" s="5" t="inlineStr">
        <is>
          <t>2024.4Q</t>
        </is>
      </c>
      <c r="E165" s="5" t="inlineStr">
        <is>
          <t>2025.1Q</t>
        </is>
      </c>
      <c r="F165" s="5" t="inlineStr">
        <is>
          <t>2025.2Q</t>
        </is>
      </c>
      <c r="G165" s="5" t="inlineStr">
        <is>
          <t>2025.3Q</t>
        </is>
      </c>
      <c r="H165" s="5" t="inlineStr">
        <is>
          <t>2025.4Q</t>
        </is>
      </c>
      <c r="I165" s="5" t="inlineStr">
        <is>
          <t>2026.1Q</t>
        </is>
      </c>
      <c r="J165" s="5" t="inlineStr">
        <is>
          <t>2026.2Q</t>
        </is>
      </c>
      <c r="K165" s="5" t="inlineStr">
        <is>
          <t>2026.3Q</t>
        </is>
      </c>
      <c r="L165" s="5" t="inlineStr">
        <is>
          <t>2026.4Q</t>
        </is>
      </c>
      <c r="M165" s="5" t="inlineStr">
        <is>
          <t>2027.1Q</t>
        </is>
      </c>
      <c r="N165" s="5" t="inlineStr">
        <is>
          <t>2027.2Q</t>
        </is>
      </c>
      <c r="O165" s="5" t="inlineStr">
        <is>
          <t>2017</t>
        </is>
      </c>
      <c r="P165" s="5" t="inlineStr">
        <is>
          <t>2018</t>
        </is>
      </c>
      <c r="Q165" s="5" t="inlineStr">
        <is>
          <t>2019</t>
        </is>
      </c>
      <c r="R165" s="5" t="inlineStr">
        <is>
          <t>2020</t>
        </is>
      </c>
      <c r="S165" s="5" t="inlineStr">
        <is>
          <t>2021</t>
        </is>
      </c>
      <c r="T165" s="5" t="inlineStr">
        <is>
          <t>2022</t>
        </is>
      </c>
      <c r="U165" s="5" t="inlineStr">
        <is>
          <t>2023</t>
        </is>
      </c>
      <c r="V165" s="5" t="inlineStr">
        <is>
          <t>2024</t>
        </is>
      </c>
      <c r="W165" s="5" t="inlineStr">
        <is>
          <t>2025</t>
        </is>
      </c>
      <c r="X165" s="5" t="inlineStr">
        <is>
          <t>2026</t>
        </is>
      </c>
      <c r="Y165" s="5" t="inlineStr">
        <is>
          <t>2027(MW)</t>
        </is>
      </c>
      <c r="Z165" s="5" t="inlineStr">
        <is>
          <t>2028(MW)</t>
        </is>
      </c>
      <c r="AA165" s="5" t="inlineStr">
        <is>
          <t>2029(MW)</t>
        </is>
      </c>
      <c r="AB165" s="5" t="inlineStr">
        <is>
          <t>2030(MW)</t>
        </is>
      </c>
      <c r="AC165" s="5" t="inlineStr">
        <is>
          <t>2031(MW)</t>
        </is>
      </c>
    </row>
    <row r="166">
      <c r="A166" s="18" t="inlineStr">
        <is>
          <t>ElectronicsReportableSegmentMember · 외부 고객 매출</t>
        </is>
      </c>
      <c r="E166" s="20" t="n">
        <v>44949</v>
      </c>
      <c r="F166" s="20" t="n">
        <v>53305</v>
      </c>
      <c r="I166" s="20" t="n">
        <v>56285</v>
      </c>
      <c r="J166" s="20" t="n">
        <v>57262</v>
      </c>
      <c r="M166" s="20" t="n">
        <v>77522</v>
      </c>
      <c r="N166" s="20" t="n">
        <v>95018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</row>
    <row r="168">
      <c r="A168" s="18" t="inlineStr">
        <is>
          <t>CeramicsReportableSegmentMember · 외부 고객 매출</t>
        </is>
      </c>
      <c r="E168" s="20" t="n">
        <v>23571</v>
      </c>
      <c r="F168" s="20" t="n">
        <v>19564</v>
      </c>
      <c r="I168" s="20" t="n">
        <v>19600</v>
      </c>
      <c r="J168" s="20" t="n">
        <v>20089</v>
      </c>
      <c r="M168" s="20" t="n">
        <v>24365</v>
      </c>
      <c r="N168" s="20" t="n">
        <v>21791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</row>
    <row r="170">
      <c r="A170" s="18" t="inlineStr">
        <is>
          <t>보고부문 합계 · 외부 고객 매출</t>
        </is>
      </c>
      <c r="C170" s="20" t="n">
        <v>70376</v>
      </c>
      <c r="D170" s="20" t="n">
        <v>66117</v>
      </c>
      <c r="E170" s="20" t="n">
        <v>68520</v>
      </c>
      <c r="F170" s="20" t="n">
        <v>72869</v>
      </c>
      <c r="G170" s="20" t="n">
        <v>66084</v>
      </c>
      <c r="H170" s="20" t="n">
        <v>73819</v>
      </c>
      <c r="I170" s="20" t="n">
        <v>75885</v>
      </c>
      <c r="J170" s="20" t="n">
        <v>77352</v>
      </c>
      <c r="K170" s="20" t="n">
        <v>79263</v>
      </c>
      <c r="L170" s="20" t="n">
        <v>93370</v>
      </c>
      <c r="M170" s="20" t="n">
        <v>101888</v>
      </c>
      <c r="N170" s="20" t="n">
        <v>116808</v>
      </c>
      <c r="V170" s="20" t="n">
        <v>66117</v>
      </c>
      <c r="W170" s="20" t="n">
        <v>73819</v>
      </c>
      <c r="X170" s="20" t="n">
        <v>93370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기타 · 외부 고객 매출</t>
        </is>
      </c>
      <c r="C172" s="20" t="n">
        <v>22152</v>
      </c>
      <c r="D172" s="20" t="n">
        <v>24227</v>
      </c>
      <c r="E172" s="20" t="n">
        <v>19700</v>
      </c>
      <c r="F172" s="20" t="n">
        <v>20495</v>
      </c>
      <c r="G172" s="20" t="n">
        <v>22668</v>
      </c>
      <c r="H172" s="20" t="n">
        <v>25281</v>
      </c>
      <c r="I172" s="20" t="n">
        <v>21578</v>
      </c>
      <c r="J172" s="20" t="n">
        <v>20670</v>
      </c>
      <c r="K172" s="20" t="n">
        <v>23873</v>
      </c>
      <c r="L172" s="20" t="n">
        <v>24209</v>
      </c>
      <c r="M172" s="20" t="n">
        <v>21330</v>
      </c>
      <c r="N172" s="20" t="n">
        <v>22519</v>
      </c>
      <c r="V172" s="20" t="n">
        <v>24227</v>
      </c>
      <c r="W172" s="20" t="n">
        <v>25281</v>
      </c>
      <c r="X172" s="20" t="n">
        <v>24209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합계 · 외부 고객 매출</t>
        </is>
      </c>
      <c r="C174" s="20" t="n">
        <v>92527</v>
      </c>
      <c r="D174" s="20" t="n">
        <v>90344</v>
      </c>
      <c r="E174" s="20" t="n">
        <v>88220</v>
      </c>
      <c r="F174" s="20" t="n">
        <v>93365</v>
      </c>
      <c r="G174" s="20" t="n">
        <v>88752</v>
      </c>
      <c r="H174" s="20" t="n">
        <v>99099</v>
      </c>
      <c r="I174" s="20" t="n">
        <v>97464</v>
      </c>
      <c r="J174" s="20" t="n">
        <v>98021</v>
      </c>
      <c r="K174" s="20" t="n">
        <v>103136</v>
      </c>
      <c r="L174" s="20" t="n">
        <v>117580</v>
      </c>
      <c r="M174" s="20" t="n">
        <v>123219</v>
      </c>
      <c r="N174" s="20" t="n">
        <v>139327</v>
      </c>
      <c r="V174" s="20" t="n">
        <v>90344</v>
      </c>
      <c r="W174" s="20" t="n">
        <v>99099</v>
      </c>
      <c r="X174" s="20" t="n">
        <v>117580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조정액 · 외부 고객 매출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0</v>
      </c>
      <c r="N176" s="20" t="n">
        <v>0</v>
      </c>
      <c r="V176" s="20" t="n">
        <v>0</v>
      </c>
      <c r="W176" s="20" t="n">
        <v>0</v>
      </c>
      <c r="X176" s="20" t="n">
        <v>0</v>
      </c>
    </row>
    <row r="177">
      <c r="A177" s="18" t="inlineStr">
        <is>
          <t>EntityTotalMember · 외부 고객 매출</t>
        </is>
      </c>
      <c r="E177" s="20" t="n">
        <v>88220</v>
      </c>
      <c r="I177" s="20" t="n">
        <v>97464</v>
      </c>
      <c r="M177" s="20" t="n">
        <v>123219</v>
      </c>
    </row>
    <row r="178">
      <c r="A178" s="9" t="inlineStr">
        <is>
          <t>외부 고객 매출</t>
        </is>
      </c>
      <c r="C178" s="12" t="n">
        <v>92527</v>
      </c>
      <c r="D178" s="12" t="n">
        <v>90344</v>
      </c>
      <c r="E178" s="12" t="n">
        <v>88220</v>
      </c>
      <c r="F178" s="12" t="n">
        <v>93365</v>
      </c>
      <c r="G178" s="12" t="n">
        <v>88752</v>
      </c>
      <c r="H178" s="12" t="n">
        <v>99099</v>
      </c>
      <c r="V178" s="12" t="n">
        <v>90344</v>
      </c>
      <c r="W178" s="12" t="n">
        <v>99099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</row>
    <row r="180">
      <c r="A180" s="18" t="inlineStr">
        <is>
          <t>ElectronicsReportableSegmentsMember · 부문 간 내부매출·대체</t>
        </is>
      </c>
      <c r="D180" s="20" t="n">
        <v>4</v>
      </c>
      <c r="H180" s="20" t="n">
        <v>4</v>
      </c>
      <c r="L180" s="20" t="n">
        <v>27</v>
      </c>
      <c r="V180" s="20" t="n">
        <v>4</v>
      </c>
      <c r="W180" s="20" t="n">
        <v>4</v>
      </c>
      <c r="X180" s="20" t="n">
        <v>27</v>
      </c>
    </row>
    <row r="181">
      <c r="A181" s="18" t="inlineStr">
        <is>
          <t>CeramicsReportableSegmentsMember · 부문 간 내부매출·대체</t>
        </is>
      </c>
      <c r="D181" s="20" t="n">
        <v>5</v>
      </c>
      <c r="H181" s="20" t="n">
        <v>28</v>
      </c>
      <c r="L181" s="20" t="n">
        <v>208</v>
      </c>
      <c r="V181" s="20" t="n">
        <v>5</v>
      </c>
      <c r="W181" s="20" t="n">
        <v>28</v>
      </c>
      <c r="X181" s="20" t="n">
        <v>208</v>
      </c>
    </row>
    <row r="182">
      <c r="A182" s="18" t="inlineStr">
        <is>
          <t>ElectronicsReportableSegmentMember · 부문 간 내부매출·대체</t>
        </is>
      </c>
      <c r="E182" s="20" t="n">
        <v>2</v>
      </c>
      <c r="F182" s="20" t="n">
        <v>1</v>
      </c>
      <c r="I182" s="20" t="n">
        <v>0</v>
      </c>
      <c r="J182" s="20" t="n">
        <v>5</v>
      </c>
      <c r="M182" s="20" t="n">
        <v>9</v>
      </c>
      <c r="N182" s="20" t="n">
        <v>2</v>
      </c>
    </row>
    <row r="183">
      <c r="A183" s="18" t="inlineStr">
        <is>
          <t>CeramicsReportableSegmentMember · 부문 간 내부매출·대체</t>
        </is>
      </c>
      <c r="E183" s="20" t="n">
        <v>5</v>
      </c>
      <c r="F183" s="20" t="n">
        <v>8</v>
      </c>
      <c r="I183" s="20" t="n">
        <v>7</v>
      </c>
      <c r="J183" s="20" t="n">
        <v>11</v>
      </c>
      <c r="M183" s="20" t="n">
        <v>0</v>
      </c>
      <c r="N183" s="20" t="n">
        <v>0</v>
      </c>
    </row>
    <row r="184">
      <c r="A184" s="18" t="inlineStr">
        <is>
          <t>보고부문 합계 · 부문 간 내부매출·대체</t>
        </is>
      </c>
      <c r="C184" s="20" t="n">
        <v>11</v>
      </c>
      <c r="D184" s="20" t="n">
        <v>10</v>
      </c>
      <c r="E184" s="20" t="n">
        <v>8</v>
      </c>
      <c r="F184" s="20" t="n">
        <v>8</v>
      </c>
      <c r="G184" s="20" t="n">
        <v>118</v>
      </c>
      <c r="H184" s="20" t="n">
        <v>32</v>
      </c>
      <c r="I184" s="20" t="n">
        <v>7</v>
      </c>
      <c r="J184" s="20" t="n">
        <v>17</v>
      </c>
      <c r="K184" s="20" t="n">
        <v>398</v>
      </c>
      <c r="L184" s="20" t="n">
        <v>235</v>
      </c>
      <c r="M184" s="20" t="n">
        <v>9</v>
      </c>
      <c r="N184" s="20" t="n">
        <v>2</v>
      </c>
      <c r="V184" s="20" t="n">
        <v>10</v>
      </c>
      <c r="W184" s="20" t="n">
        <v>32</v>
      </c>
      <c r="X184" s="20" t="n">
        <v>235</v>
      </c>
    </row>
    <row r="185">
      <c r="A185" s="18" t="inlineStr">
        <is>
          <t>기타 · 부문 간 내부매출·대체</t>
        </is>
      </c>
      <c r="C185" s="20" t="n">
        <v>3618</v>
      </c>
      <c r="D185" s="20" t="n">
        <v>4681</v>
      </c>
      <c r="E185" s="20" t="n">
        <v>5338</v>
      </c>
      <c r="F185" s="20" t="n">
        <v>4978</v>
      </c>
      <c r="G185" s="20" t="n">
        <v>5363</v>
      </c>
      <c r="H185" s="20" t="n">
        <v>6412</v>
      </c>
      <c r="I185" s="20" t="n">
        <v>3213</v>
      </c>
      <c r="J185" s="20" t="n">
        <v>3001</v>
      </c>
      <c r="K185" s="20" t="n">
        <v>3377</v>
      </c>
      <c r="L185" s="20" t="n">
        <v>5309</v>
      </c>
      <c r="M185" s="20" t="n">
        <v>5747</v>
      </c>
      <c r="N185" s="20" t="n">
        <v>11070</v>
      </c>
      <c r="V185" s="20" t="n">
        <v>4681</v>
      </c>
      <c r="W185" s="20" t="n">
        <v>6412</v>
      </c>
      <c r="X185" s="20" t="n">
        <v>5309</v>
      </c>
    </row>
    <row r="186">
      <c r="A186" s="18" t="inlineStr">
        <is>
          <t>합계 · 부문 간 내부매출·대체</t>
        </is>
      </c>
      <c r="C186" s="20" t="n">
        <v>3629</v>
      </c>
      <c r="D186" s="20" t="n">
        <v>4690</v>
      </c>
      <c r="E186" s="20" t="n">
        <v>5346</v>
      </c>
      <c r="F186" s="20" t="n">
        <v>4987</v>
      </c>
      <c r="G186" s="20" t="n">
        <v>5480</v>
      </c>
      <c r="H186" s="20" t="n">
        <v>6444</v>
      </c>
      <c r="I186" s="20" t="n">
        <v>3221</v>
      </c>
      <c r="J186" s="20" t="n">
        <v>3017</v>
      </c>
      <c r="K186" s="20" t="n">
        <v>3775</v>
      </c>
      <c r="L186" s="20" t="n">
        <v>5545</v>
      </c>
      <c r="M186" s="20" t="n">
        <v>5757</v>
      </c>
      <c r="N186" s="20" t="n">
        <v>11071</v>
      </c>
      <c r="V186" s="20" t="n">
        <v>4690</v>
      </c>
      <c r="W186" s="20" t="n">
        <v>6444</v>
      </c>
      <c r="X186" s="20" t="n">
        <v>5545</v>
      </c>
    </row>
    <row r="187">
      <c r="A187" s="18" t="inlineStr">
        <is>
          <t>조정액 · 부문 간 내부매출·대체</t>
        </is>
      </c>
      <c r="C187" s="20" t="n">
        <v>-3629</v>
      </c>
      <c r="D187" s="20" t="n">
        <v>-4690</v>
      </c>
      <c r="E187" s="20" t="n">
        <v>-5346</v>
      </c>
      <c r="F187" s="20" t="n">
        <v>-4987</v>
      </c>
      <c r="G187" s="20" t="n">
        <v>-5480</v>
      </c>
      <c r="H187" s="20" t="n">
        <v>-6444</v>
      </c>
      <c r="I187" s="20" t="n">
        <v>-3221</v>
      </c>
      <c r="J187" s="20" t="n">
        <v>-3017</v>
      </c>
      <c r="K187" s="20" t="n">
        <v>-3775</v>
      </c>
      <c r="L187" s="20" t="n">
        <v>-5545</v>
      </c>
      <c r="M187" s="20" t="n">
        <v>-5757</v>
      </c>
      <c r="N187" s="20" t="n">
        <v>-11071</v>
      </c>
      <c r="V187" s="20" t="n">
        <v>-4690</v>
      </c>
      <c r="W187" s="20" t="n">
        <v>-6444</v>
      </c>
      <c r="X187" s="20" t="n">
        <v>-5545</v>
      </c>
    </row>
    <row r="188">
      <c r="A188" s="18" t="inlineStr">
        <is>
          <t>EntityTotalMember · 부문 간 내부매출·대체</t>
        </is>
      </c>
      <c r="E188" s="20" t="n">
        <v>0</v>
      </c>
      <c r="I188" s="20" t="n">
        <v>0</v>
      </c>
      <c r="M188" s="20" t="n">
        <v>0</v>
      </c>
    </row>
    <row r="189">
      <c r="A189" s="18" t="inlineStr">
        <is>
          <t>부문 간 내부매출·대체</t>
        </is>
      </c>
      <c r="C189" s="20" t="n">
        <v>0</v>
      </c>
      <c r="D189" s="20" t="n">
        <v>0</v>
      </c>
      <c r="E189" s="20" t="n">
        <v>0</v>
      </c>
      <c r="F189" s="20" t="n">
        <v>0</v>
      </c>
      <c r="G189" s="20" t="n">
        <v>0</v>
      </c>
      <c r="H189" s="20" t="n">
        <v>0</v>
      </c>
      <c r="V189" s="20" t="n">
        <v>0</v>
      </c>
      <c r="W189" s="20" t="n">
        <v>0</v>
      </c>
    </row>
    <row r="190">
      <c r="A190" s="18" t="inlineStr">
        <is>
          <t>ElectronicsReportableSegmentsMember · 계</t>
        </is>
      </c>
      <c r="D190" s="20" t="n">
        <v>42518</v>
      </c>
      <c r="H190" s="20" t="n">
        <v>51810</v>
      </c>
      <c r="L190" s="20" t="n">
        <v>71430</v>
      </c>
      <c r="V190" s="20" t="n">
        <v>42518</v>
      </c>
      <c r="W190" s="20" t="n">
        <v>51810</v>
      </c>
      <c r="X190" s="20" t="n">
        <v>71430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H191" s="15">
        <f>IF(OR(H190="",D190=""),"",IF(D190&lt;=0,"",IFERROR(H190/D190-1,"")))</f>
        <v/>
      </c>
      <c r="L191" s="15">
        <f>IF(OR(L190="",H190=""),"",IF(H190&lt;=0,"",IFERROR(L190/H190-1,"")))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CeramicsReportableSegmentsMember · 계</t>
        </is>
      </c>
      <c r="D192" s="20" t="n">
        <v>23608</v>
      </c>
      <c r="H192" s="20" t="n">
        <v>22040</v>
      </c>
      <c r="L192" s="20" t="n">
        <v>22175</v>
      </c>
      <c r="V192" s="20" t="n">
        <v>23608</v>
      </c>
      <c r="W192" s="20" t="n">
        <v>22040</v>
      </c>
      <c r="X192" s="20" t="n">
        <v>22175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H193" s="15">
        <f>IF(OR(H192="",D192=""),"",IF(D192&lt;=0,"",IFERROR(H192/D192-1,"")))</f>
        <v/>
      </c>
      <c r="L193" s="15">
        <f>IF(OR(L192="",H192=""),"",IF(H192&lt;=0,"",IFERROR(L192/H192-1,"")))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ElectronicsReportableSegmentMember · 계</t>
        </is>
      </c>
      <c r="E194" s="20" t="n">
        <v>44952</v>
      </c>
      <c r="F194" s="20" t="n">
        <v>53305</v>
      </c>
      <c r="I194" s="20" t="n">
        <v>56285</v>
      </c>
      <c r="J194" s="20" t="n">
        <v>57268</v>
      </c>
      <c r="M194" s="20" t="n">
        <v>77532</v>
      </c>
      <c r="N194" s="20" t="n">
        <v>95019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I195" s="15">
        <f>IF(OR(I194="",E194=""),"",IF(E194&lt;=0,"",IFERROR(I194/E194-1,"")))</f>
        <v/>
      </c>
      <c r="J195" s="15">
        <f>IF(OR(J194="",F194=""),"",IF(F194&lt;=0,"",IFERROR(J194/F194-1,"")))</f>
        <v/>
      </c>
      <c r="M195" s="15">
        <f>IF(OR(M194="",I194=""),"",IF(I194&lt;=0,"",IFERROR(M194/I194-1,"")))</f>
        <v/>
      </c>
      <c r="N195" s="15">
        <f>IF(OR(N194="",J194=""),"",IF(J194&lt;=0,"",IFERROR(N194/J194-1,"")))</f>
        <v/>
      </c>
    </row>
    <row r="196">
      <c r="A196" s="18" t="inlineStr">
        <is>
          <t>CeramicsReportableSegmentMember · 계</t>
        </is>
      </c>
      <c r="E196" s="20" t="n">
        <v>23576</v>
      </c>
      <c r="F196" s="20" t="n">
        <v>19573</v>
      </c>
      <c r="I196" s="20" t="n">
        <v>19608</v>
      </c>
      <c r="J196" s="20" t="n">
        <v>20099</v>
      </c>
      <c r="M196" s="20" t="n">
        <v>24365</v>
      </c>
      <c r="N196" s="20" t="n">
        <v>21791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I197" s="15">
        <f>IF(OR(I196="",E196=""),"",IF(E196&lt;=0,"",IFERROR(I196/E196-1,"")))</f>
        <v/>
      </c>
      <c r="J197" s="15">
        <f>IF(OR(J196="",F196=""),"",IF(F196&lt;=0,"",IFERROR(J196/F196-1,"")))</f>
        <v/>
      </c>
      <c r="M197" s="15">
        <f>IF(OR(M196="",I196=""),"",IF(I196&lt;=0,"",IFERROR(M196/I196-1,"")))</f>
        <v/>
      </c>
      <c r="N197" s="15">
        <f>IF(OR(N196="",J196=""),"",IF(J196&lt;=0,"",IFERROR(N196/J196-1,"")))</f>
        <v/>
      </c>
    </row>
    <row r="198">
      <c r="A198" s="18" t="inlineStr">
        <is>
          <t>보고부문 합계 · 계</t>
        </is>
      </c>
      <c r="C198" s="20" t="n">
        <v>70386</v>
      </c>
      <c r="D198" s="20" t="n">
        <v>66127</v>
      </c>
      <c r="E198" s="20" t="n">
        <v>68528</v>
      </c>
      <c r="F198" s="20" t="n">
        <v>72878</v>
      </c>
      <c r="G198" s="20" t="n">
        <v>66202</v>
      </c>
      <c r="H198" s="20" t="n">
        <v>73850</v>
      </c>
      <c r="I198" s="20" t="n">
        <v>75893</v>
      </c>
      <c r="J198" s="20" t="n">
        <v>77368</v>
      </c>
      <c r="K198" s="20" t="n">
        <v>79662</v>
      </c>
      <c r="L198" s="20" t="n">
        <v>93605</v>
      </c>
      <c r="M198" s="20" t="n">
        <v>101898</v>
      </c>
      <c r="N198" s="20" t="n">
        <v>116810</v>
      </c>
      <c r="V198" s="20" t="n">
        <v>66127</v>
      </c>
      <c r="W198" s="20" t="n">
        <v>73850</v>
      </c>
      <c r="X198" s="20" t="n">
        <v>93605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H199" s="15">
        <f>IF(OR(H198="",D198=""),"",IF(D198&lt;=0,"",IFERROR(H198/D198-1,"")))</f>
        <v/>
      </c>
      <c r="I199" s="15">
        <f>IF(OR(I198="",E198=""),"",IF(E198&lt;=0,"",IFERROR(I198/E198-1,"")))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L199" s="15">
        <f>IF(OR(L198="",H198=""),"",IF(H198&lt;=0,"",IFERROR(L198/H198-1,"")))</f>
        <v/>
      </c>
      <c r="M199" s="15">
        <f>IF(OR(M198="",I198=""),"",IF(I198&lt;=0,"",IFERROR(M198/I198-1,"")))</f>
        <v/>
      </c>
      <c r="N199" s="15">
        <f>IF(OR(N198="",J198=""),"",IF(J198&lt;=0,"",IFERROR(N198/J198-1,"")))</f>
        <v/>
      </c>
      <c r="V199" s="15">
        <f>IF(OR(V198="",U198=""),"",IF(U198&lt;=0,"",IFERROR(V198/U198-1,"")))</f>
        <v/>
      </c>
      <c r="W199" s="15">
        <f>IF(OR(W198="",V198=""),"",IF(V198&lt;=0,"",IFERROR(W198/V198-1,"")))</f>
        <v/>
      </c>
      <c r="X199" s="15">
        <f>IF(OR(X198="",W198=""),"",IF(W198&lt;=0,"",IFERROR(X198/W198-1,"")))</f>
        <v/>
      </c>
    </row>
    <row r="200">
      <c r="A200" s="18" t="inlineStr">
        <is>
          <t>기타 · 계</t>
        </is>
      </c>
      <c r="C200" s="20" t="n">
        <v>25771</v>
      </c>
      <c r="D200" s="20" t="n">
        <v>28908</v>
      </c>
      <c r="E200" s="20" t="n">
        <v>25038</v>
      </c>
      <c r="F200" s="20" t="n">
        <v>25474</v>
      </c>
      <c r="G200" s="20" t="n">
        <v>28031</v>
      </c>
      <c r="H200" s="20" t="n">
        <v>31693</v>
      </c>
      <c r="I200" s="20" t="n">
        <v>24792</v>
      </c>
      <c r="J200" s="20" t="n">
        <v>23671</v>
      </c>
      <c r="K200" s="20" t="n">
        <v>27249</v>
      </c>
      <c r="L200" s="20" t="n">
        <v>29518</v>
      </c>
      <c r="M200" s="20" t="n">
        <v>27078</v>
      </c>
      <c r="N200" s="20" t="n">
        <v>33588</v>
      </c>
      <c r="V200" s="20" t="n">
        <v>28908</v>
      </c>
      <c r="W200" s="20" t="n">
        <v>31693</v>
      </c>
      <c r="X200" s="20" t="n">
        <v>29518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I201" s="15">
        <f>IF(OR(I200="",E200=""),"",IF(E200&lt;=0,"",IFERROR(I200/E200-1,"")))</f>
        <v/>
      </c>
      <c r="J201" s="15">
        <f>IF(OR(J200="",F200=""),"",IF(F200&lt;=0,"",IFERROR(J200/F200-1,"")))</f>
        <v/>
      </c>
      <c r="K201" s="15">
        <f>IF(OR(K200="",G200=""),"",IF(G200&lt;=0,"",IFERROR(K200/G200-1,"")))</f>
        <v/>
      </c>
      <c r="L201" s="15">
        <f>IF(OR(L200="",H200=""),"",IF(H200&lt;=0,"",IFERROR(L200/H200-1,"")))</f>
        <v/>
      </c>
      <c r="M201" s="15">
        <f>IF(OR(M200="",I200=""),"",IF(I200&lt;=0,"",IFERROR(M200/I200-1,"")))</f>
        <v/>
      </c>
      <c r="N201" s="15">
        <f>IF(OR(N200="",J200=""),"",IF(J200&lt;=0,"",IFERROR(N200/J200-1,"")))</f>
        <v/>
      </c>
      <c r="V201" s="15">
        <f>IF(OR(V200="",U200=""),"",IF(U200&lt;=0,"",IFERROR(V200/U200-1,"")))</f>
        <v/>
      </c>
      <c r="W201" s="15">
        <f>IF(OR(W200="",V200=""),"",IF(V200&lt;=0,"",IFERROR(W200/V200-1,"")))</f>
        <v/>
      </c>
      <c r="X201" s="15">
        <f>IF(OR(X200="",W200=""),"",IF(W200&lt;=0,"",IFERROR(X200/W200-1,"")))</f>
        <v/>
      </c>
    </row>
    <row r="202">
      <c r="A202" s="18" t="inlineStr">
        <is>
          <t>합계 · 계</t>
        </is>
      </c>
      <c r="C202" s="20" t="n">
        <v>96157</v>
      </c>
      <c r="D202" s="20" t="n">
        <v>95034</v>
      </c>
      <c r="E202" s="20" t="n">
        <v>93567</v>
      </c>
      <c r="F202" s="20" t="n">
        <v>98352</v>
      </c>
      <c r="G202" s="20" t="n">
        <v>94232</v>
      </c>
      <c r="H202" s="20" t="n">
        <v>105543</v>
      </c>
      <c r="I202" s="20" t="n">
        <v>100685</v>
      </c>
      <c r="J202" s="20" t="n">
        <v>101039</v>
      </c>
      <c r="K202" s="20" t="n">
        <v>106911</v>
      </c>
      <c r="L202" s="20" t="n">
        <v>123124</v>
      </c>
      <c r="M202" s="20" t="n">
        <v>128976</v>
      </c>
      <c r="N202" s="20" t="n">
        <v>150398</v>
      </c>
      <c r="V202" s="20" t="n">
        <v>95034</v>
      </c>
      <c r="W202" s="20" t="n">
        <v>105543</v>
      </c>
      <c r="X202" s="20" t="n">
        <v>123124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조정액 · 계</t>
        </is>
      </c>
      <c r="C204" s="20" t="n">
        <v>-3629</v>
      </c>
      <c r="D204" s="20" t="n">
        <v>-4690</v>
      </c>
      <c r="E204" s="20" t="n">
        <v>-5346</v>
      </c>
      <c r="F204" s="20" t="n">
        <v>-4987</v>
      </c>
      <c r="G204" s="20" t="n">
        <v>-5480</v>
      </c>
      <c r="H204" s="20" t="n">
        <v>-6444</v>
      </c>
      <c r="I204" s="20" t="n">
        <v>-3221</v>
      </c>
      <c r="J204" s="20" t="n">
        <v>-3017</v>
      </c>
      <c r="K204" s="20" t="n">
        <v>-3775</v>
      </c>
      <c r="L204" s="20" t="n">
        <v>-5545</v>
      </c>
      <c r="M204" s="20" t="n">
        <v>-5757</v>
      </c>
      <c r="N204" s="20" t="n">
        <v>-11071</v>
      </c>
      <c r="V204" s="20" t="n">
        <v>-4690</v>
      </c>
      <c r="W204" s="20" t="n">
        <v>-6444</v>
      </c>
      <c r="X204" s="20" t="n">
        <v>-5545</v>
      </c>
    </row>
    <row r="205">
      <c r="A205" s="18" t="inlineStr">
        <is>
          <t>EntityTotalMember · 계</t>
        </is>
      </c>
      <c r="E205" s="20" t="n">
        <v>88220</v>
      </c>
      <c r="I205" s="20" t="n">
        <v>97464</v>
      </c>
      <c r="M205" s="20" t="n">
        <v>123219</v>
      </c>
    </row>
    <row r="206">
      <c r="A206" s="9" t="inlineStr">
        <is>
          <t>계</t>
        </is>
      </c>
      <c r="C206" s="12" t="n">
        <v>92527</v>
      </c>
      <c r="D206" s="12" t="n">
        <v>90344</v>
      </c>
      <c r="E206" s="12" t="n">
        <v>88220</v>
      </c>
      <c r="F206" s="12" t="n">
        <v>93365</v>
      </c>
      <c r="G206" s="12" t="n">
        <v>88752</v>
      </c>
      <c r="H206" s="12" t="n">
        <v>99099</v>
      </c>
      <c r="V206" s="12" t="n">
        <v>90344</v>
      </c>
      <c r="W206" s="12" t="n">
        <v>99099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IF(OR(G206="",C206=""),"",IF(C206&lt;=0,"",IFERROR(G206/C206-1,"")))</f>
        <v/>
      </c>
      <c r="H207" s="15">
        <f>IF(OR(H206="",D206=""),"",IF(D206&lt;=0,"",IFERROR(H206/D206-1,"")))</f>
        <v/>
      </c>
      <c r="V207" s="15">
        <f>IF(OR(V206="",U206=""),"",IF(U206&lt;=0,"",IFERROR(V206/U206-1,"")))</f>
        <v/>
      </c>
      <c r="W207" s="15">
        <f>IF(OR(W206="",V206=""),"",IF(V206&lt;=0,"",IFERROR(W206/V206-1,"")))</f>
        <v/>
      </c>
    </row>
    <row r="208">
      <c r="A208" s="18" t="inlineStr">
        <is>
          <t>ElectronicsReportableSegmentsMember · 부문 이익</t>
        </is>
      </c>
      <c r="D208" s="20" t="n">
        <v>3611</v>
      </c>
      <c r="H208" s="20" t="n">
        <v>6937</v>
      </c>
      <c r="L208" s="20" t="n">
        <v>12211</v>
      </c>
      <c r="V208" s="20" t="n">
        <v>3611</v>
      </c>
      <c r="W208" s="20" t="n">
        <v>6937</v>
      </c>
      <c r="X208" s="20" t="n">
        <v>12211</v>
      </c>
    </row>
    <row r="209">
      <c r="A209" s="43" t="inlineStr">
        <is>
          <t>OPM</t>
        </is>
      </c>
      <c r="B209" s="3" t="inlineStr">
        <is>
          <t>영업이익 ÷ 매출</t>
        </is>
      </c>
      <c r="D209" s="15">
        <f>IF(OR(D208="",D190=""),"",IF(D190&lt;=0,"",IFERROR(D208/D190,"")))</f>
        <v/>
      </c>
      <c r="H209" s="15">
        <f>IF(OR(H208="",H190=""),"",IF(H190&lt;=0,"",IFERROR(H208/H190,"")))</f>
        <v/>
      </c>
      <c r="L209" s="15">
        <f>IF(OR(L208="",L190=""),"",IF(L190&lt;=0,"",IFERROR(L208/L190,"")))</f>
        <v/>
      </c>
      <c r="V209" s="15">
        <f>IF(OR(V208="",V190=""),"",IF(V190&lt;=0,"",IFERROR(V208/V190,"")))</f>
        <v/>
      </c>
      <c r="W209" s="15">
        <f>IF(OR(W208="",W190=""),"",IF(W190&lt;=0,"",IFERROR(W208/W190,"")))</f>
        <v/>
      </c>
      <c r="X209" s="15">
        <f>IF(OR(X208="",X190=""),"",IF(X190&lt;=0,"",IFERROR(X208/X190,"")))</f>
        <v/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H210" s="15">
        <f>IF(OR(H208="",D208=""),"",IF(D208&lt;=0,"",IFERROR(H208/D208-1,"")))</f>
        <v/>
      </c>
      <c r="L210" s="15">
        <f>IF(OR(L208="",H208=""),"",IF(H208&lt;=0,"",IFERROR(L208/H208-1,"")))</f>
        <v/>
      </c>
      <c r="V210" s="15">
        <f>IF(OR(V208="",U208=""),"",IF(U208&lt;=0,"",IFERROR(V208/U208-1,"")))</f>
        <v/>
      </c>
      <c r="W210" s="15">
        <f>IF(OR(W208="",V208=""),"",IF(V208&lt;=0,"",IFERROR(W208/V208-1,"")))</f>
        <v/>
      </c>
      <c r="X210" s="15">
        <f>IF(OR(X208="",W208=""),"",IF(W208&lt;=0,"",IFERROR(X208/W208-1,"")))</f>
        <v/>
      </c>
    </row>
    <row r="211">
      <c r="A211" s="18" t="inlineStr">
        <is>
          <t>CeramicsReportableSegmentsMember · 부문 이익</t>
        </is>
      </c>
      <c r="D211" s="20" t="n">
        <v>4183</v>
      </c>
      <c r="H211" s="20" t="n">
        <v>2881</v>
      </c>
      <c r="L211" s="20" t="n">
        <v>1743</v>
      </c>
      <c r="V211" s="20" t="n">
        <v>4183</v>
      </c>
      <c r="W211" s="20" t="n">
        <v>2881</v>
      </c>
      <c r="X211" s="20" t="n">
        <v>1743</v>
      </c>
    </row>
    <row r="212">
      <c r="A212" s="43" t="inlineStr">
        <is>
          <t>OPM</t>
        </is>
      </c>
      <c r="B212" s="3" t="inlineStr">
        <is>
          <t>영업이익 ÷ 매출</t>
        </is>
      </c>
      <c r="D212" s="15">
        <f>IF(OR(D211="",D192=""),"",IF(D192&lt;=0,"",IFERROR(D211/D192,"")))</f>
        <v/>
      </c>
      <c r="H212" s="15">
        <f>IF(OR(H211="",H192=""),"",IF(H192&lt;=0,"",IFERROR(H211/H192,"")))</f>
        <v/>
      </c>
      <c r="L212" s="15">
        <f>IF(OR(L211="",L192=""),"",IF(L192&lt;=0,"",IFERROR(L211/L192,"")))</f>
        <v/>
      </c>
      <c r="V212" s="15">
        <f>IF(OR(V211="",V192=""),"",IF(V192&lt;=0,"",IFERROR(V211/V192,"")))</f>
        <v/>
      </c>
      <c r="W212" s="15">
        <f>IF(OR(W211="",W192=""),"",IF(W192&lt;=0,"",IFERROR(W211/W192,"")))</f>
        <v/>
      </c>
      <c r="X212" s="15">
        <f>IF(OR(X211="",X192=""),"",IF(X192&lt;=0,"",IFERROR(X211/X192,"")))</f>
        <v/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H213" s="15">
        <f>IF(OR(H211="",D211=""),"",IF(D211&lt;=0,"",IFERROR(H211/D211-1,"")))</f>
        <v/>
      </c>
      <c r="L213" s="15">
        <f>IF(OR(L211="",H211=""),"",IF(H211&lt;=0,"",IFERROR(L211/H211-1,"")))</f>
        <v/>
      </c>
      <c r="V213" s="15">
        <f>IF(OR(V211="",U211=""),"",IF(U211&lt;=0,"",IFERROR(V211/U211-1,"")))</f>
        <v/>
      </c>
      <c r="W213" s="15">
        <f>IF(OR(W211="",V211=""),"",IF(V211&lt;=0,"",IFERROR(W211/V211-1,"")))</f>
        <v/>
      </c>
      <c r="X213" s="15">
        <f>IF(OR(X211="",W211=""),"",IF(W211&lt;=0,"",IFERROR(X211/W211-1,"")))</f>
        <v/>
      </c>
    </row>
    <row r="214">
      <c r="A214" s="18" t="inlineStr">
        <is>
          <t>ElectronicsReportableSegmentMember · 부문 이익</t>
        </is>
      </c>
      <c r="E214" s="20" t="n">
        <v>5314</v>
      </c>
      <c r="F214" s="20" t="n">
        <v>12676</v>
      </c>
      <c r="I214" s="20" t="n">
        <v>14028</v>
      </c>
      <c r="J214" s="20" t="n">
        <v>11401</v>
      </c>
      <c r="M214" s="20" t="n">
        <v>21375</v>
      </c>
      <c r="N214" s="20" t="n">
        <v>28653</v>
      </c>
    </row>
    <row r="215">
      <c r="A215" s="43" t="inlineStr">
        <is>
          <t>OPM</t>
        </is>
      </c>
      <c r="B215" s="3" t="inlineStr">
        <is>
          <t>영업이익 ÷ 매출</t>
        </is>
      </c>
      <c r="E215" s="15">
        <f>IF(OR(E214="",E194=""),"",IF(E194&lt;=0,"",IFERROR(E214/E194,"")))</f>
        <v/>
      </c>
      <c r="F215" s="15">
        <f>IF(OR(F214="",F194=""),"",IF(F194&lt;=0,"",IFERROR(F214/F194,"")))</f>
        <v/>
      </c>
      <c r="I215" s="15">
        <f>IF(OR(I214="",I194=""),"",IF(I194&lt;=0,"",IFERROR(I214/I194,"")))</f>
        <v/>
      </c>
      <c r="J215" s="15">
        <f>IF(OR(J214="",J194=""),"",IF(J194&lt;=0,"",IFERROR(J214/J194,"")))</f>
        <v/>
      </c>
      <c r="M215" s="15">
        <f>IF(OR(M214="",M194=""),"",IF(M194&lt;=0,"",IFERROR(M214/M194,"")))</f>
        <v/>
      </c>
      <c r="N215" s="15">
        <f>IF(OR(N214="",N194=""),"",IF(N194&lt;=0,"",IFERROR(N214/N194,"")))</f>
        <v/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I216" s="15">
        <f>IF(OR(I214="",E214=""),"",IF(E214&lt;=0,"",IFERROR(I214/E214-1,"")))</f>
        <v/>
      </c>
      <c r="J216" s="15">
        <f>IF(OR(J214="",F214=""),"",IF(F214&lt;=0,"",IFERROR(J214/F214-1,"")))</f>
        <v/>
      </c>
      <c r="M216" s="15">
        <f>IF(OR(M214="",I214=""),"",IF(I214&lt;=0,"",IFERROR(M214/I214-1,"")))</f>
        <v/>
      </c>
      <c r="N216" s="15">
        <f>IF(OR(N214="",J214=""),"",IF(J214&lt;=0,"",IFERROR(N214/J214-1,"")))</f>
        <v/>
      </c>
    </row>
    <row r="217">
      <c r="A217" s="18" t="inlineStr">
        <is>
          <t>CeramicsReportableSegmentMember · 부문 이익</t>
        </is>
      </c>
      <c r="E217" s="20" t="n">
        <v>4282</v>
      </c>
      <c r="F217" s="20" t="n">
        <v>2802</v>
      </c>
      <c r="I217" s="20" t="n">
        <v>2096</v>
      </c>
      <c r="J217" s="20" t="n">
        <v>1743</v>
      </c>
      <c r="M217" s="20" t="n">
        <v>3220</v>
      </c>
      <c r="N217" s="20" t="n">
        <v>2171</v>
      </c>
    </row>
    <row r="218">
      <c r="A218" s="43" t="inlineStr">
        <is>
          <t>OPM</t>
        </is>
      </c>
      <c r="B218" s="3" t="inlineStr">
        <is>
          <t>영업이익 ÷ 매출</t>
        </is>
      </c>
      <c r="E218" s="15">
        <f>IF(OR(E217="",E196=""),"",IF(E196&lt;=0,"",IFERROR(E217/E196,"")))</f>
        <v/>
      </c>
      <c r="F218" s="15">
        <f>IF(OR(F217="",F196=""),"",IF(F196&lt;=0,"",IFERROR(F217/F196,"")))</f>
        <v/>
      </c>
      <c r="I218" s="15">
        <f>IF(OR(I217="",I196=""),"",IF(I196&lt;=0,"",IFERROR(I217/I196,"")))</f>
        <v/>
      </c>
      <c r="J218" s="15">
        <f>IF(OR(J217="",J196=""),"",IF(J196&lt;=0,"",IFERROR(J217/J196,"")))</f>
        <v/>
      </c>
      <c r="M218" s="15">
        <f>IF(OR(M217="",M196=""),"",IF(M196&lt;=0,"",IFERROR(M217/M196,"")))</f>
        <v/>
      </c>
      <c r="N218" s="15">
        <f>IF(OR(N217="",N196=""),"",IF(N196&lt;=0,"",IFERROR(N217/N196,"")))</f>
        <v/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I219" s="15">
        <f>IF(OR(I217="",E217=""),"",IF(E217&lt;=0,"",IFERROR(I217/E217-1,"")))</f>
        <v/>
      </c>
      <c r="J219" s="15">
        <f>IF(OR(J217="",F217=""),"",IF(F217&lt;=0,"",IFERROR(J217/F217-1,"")))</f>
        <v/>
      </c>
      <c r="M219" s="15">
        <f>IF(OR(M217="",I217=""),"",IF(I217&lt;=0,"",IFERROR(M217/I217-1,"")))</f>
        <v/>
      </c>
      <c r="N219" s="15">
        <f>IF(OR(N217="",J217=""),"",IF(J217&lt;=0,"",IFERROR(N217/J217-1,"")))</f>
        <v/>
      </c>
    </row>
    <row r="220">
      <c r="A220" s="18" t="inlineStr">
        <is>
          <t>보고부문 합계 · 부문 이익</t>
        </is>
      </c>
      <c r="C220" s="20" t="n">
        <v>11091</v>
      </c>
      <c r="D220" s="20" t="n">
        <v>7793</v>
      </c>
      <c r="E220" s="20" t="n">
        <v>9596</v>
      </c>
      <c r="F220" s="20" t="n">
        <v>15478</v>
      </c>
      <c r="G220" s="20" t="n">
        <v>4173</v>
      </c>
      <c r="H220" s="20" t="n">
        <v>9818</v>
      </c>
      <c r="I220" s="20" t="n">
        <v>16125</v>
      </c>
      <c r="J220" s="20" t="n">
        <v>13143</v>
      </c>
      <c r="K220" s="20" t="n">
        <v>9673</v>
      </c>
      <c r="L220" s="20" t="n">
        <v>13953</v>
      </c>
      <c r="M220" s="20" t="n">
        <v>24596</v>
      </c>
      <c r="N220" s="20" t="n">
        <v>30823</v>
      </c>
      <c r="V220" s="20" t="n">
        <v>7793</v>
      </c>
      <c r="W220" s="20" t="n">
        <v>9818</v>
      </c>
      <c r="X220" s="20" t="n">
        <v>13953</v>
      </c>
    </row>
    <row r="221">
      <c r="A221" s="43" t="inlineStr">
        <is>
          <t>OPM</t>
        </is>
      </c>
      <c r="B221" s="3" t="inlineStr">
        <is>
          <t>영업이익 ÷ 매출</t>
        </is>
      </c>
      <c r="C221" s="15">
        <f>IF(OR(C220="",C198=""),"",IF(C198&lt;=0,"",IFERROR(C220/C198,"")))</f>
        <v/>
      </c>
      <c r="D221" s="15">
        <f>IF(OR(D220="",D198=""),"",IF(D198&lt;=0,"",IFERROR(D220/D198,"")))</f>
        <v/>
      </c>
      <c r="E221" s="15">
        <f>IF(OR(E220="",E198=""),"",IF(E198&lt;=0,"",IFERROR(E220/E198,"")))</f>
        <v/>
      </c>
      <c r="F221" s="15">
        <f>IF(OR(F220="",F198=""),"",IF(F198&lt;=0,"",IFERROR(F220/F198,"")))</f>
        <v/>
      </c>
      <c r="G221" s="15">
        <f>IF(OR(G220="",G198=""),"",IF(G198&lt;=0,"",IFERROR(G220/G198,"")))</f>
        <v/>
      </c>
      <c r="H221" s="15">
        <f>IF(OR(H220="",H198=""),"",IF(H198&lt;=0,"",IFERROR(H220/H198,"")))</f>
        <v/>
      </c>
      <c r="I221" s="15">
        <f>IF(OR(I220="",I198=""),"",IF(I198&lt;=0,"",IFERROR(I220/I198,"")))</f>
        <v/>
      </c>
      <c r="J221" s="15">
        <f>IF(OR(J220="",J198=""),"",IF(J198&lt;=0,"",IFERROR(J220/J198,"")))</f>
        <v/>
      </c>
      <c r="K221" s="15">
        <f>IF(OR(K220="",K198=""),"",IF(K198&lt;=0,"",IFERROR(K220/K198,"")))</f>
        <v/>
      </c>
      <c r="L221" s="15">
        <f>IF(OR(L220="",L198=""),"",IF(L198&lt;=0,"",IFERROR(L220/L198,"")))</f>
        <v/>
      </c>
      <c r="M221" s="15">
        <f>IF(OR(M220="",M198=""),"",IF(M198&lt;=0,"",IFERROR(M220/M198,"")))</f>
        <v/>
      </c>
      <c r="N221" s="15">
        <f>IF(OR(N220="",N198=""),"",IF(N198&lt;=0,"",IFERROR(N220/N198,"")))</f>
        <v/>
      </c>
      <c r="V221" s="15">
        <f>IF(OR(V220="",V198=""),"",IF(V198&lt;=0,"",IFERROR(V220/V198,"")))</f>
        <v/>
      </c>
      <c r="W221" s="15">
        <f>IF(OR(W220="",W198=""),"",IF(W198&lt;=0,"",IFERROR(W220/W198,"")))</f>
        <v/>
      </c>
      <c r="X221" s="15">
        <f>IF(OR(X220="",X198=""),"",IF(X198&lt;=0,"",IFERROR(X220/X198,"")))</f>
        <v/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IF(OR(G220="",C220=""),"",IF(C220&lt;=0,"",IFERROR(G220/C220-1,"")))</f>
        <v/>
      </c>
      <c r="H222" s="15">
        <f>IF(OR(H220="",D220=""),"",IF(D220&lt;=0,"",IFERROR(H220/D220-1,"")))</f>
        <v/>
      </c>
      <c r="I222" s="15">
        <f>IF(OR(I220="",E220=""),"",IF(E220&lt;=0,"",IFERROR(I220/E220-1,"")))</f>
        <v/>
      </c>
      <c r="J222" s="15">
        <f>IF(OR(J220="",F220=""),"",IF(F220&lt;=0,"",IFERROR(J220/F220-1,"")))</f>
        <v/>
      </c>
      <c r="K222" s="15">
        <f>IF(OR(K220="",G220=""),"",IF(G220&lt;=0,"",IFERROR(K220/G220-1,"")))</f>
        <v/>
      </c>
      <c r="L222" s="15">
        <f>IF(OR(L220="",H220=""),"",IF(H220&lt;=0,"",IFERROR(L220/H220-1,"")))</f>
        <v/>
      </c>
      <c r="M222" s="15">
        <f>IF(OR(M220="",I220=""),"",IF(I220&lt;=0,"",IFERROR(M220/I220-1,"")))</f>
        <v/>
      </c>
      <c r="N222" s="15">
        <f>IF(OR(N220="",J220=""),"",IF(J220&lt;=0,"",IFERROR(N220/J220-1,"")))</f>
        <v/>
      </c>
      <c r="V222" s="15">
        <f>IF(OR(V220="",U220=""),"",IF(U220&lt;=0,"",IFERROR(V220/U220-1,"")))</f>
        <v/>
      </c>
      <c r="W222" s="15">
        <f>IF(OR(W220="",V220=""),"",IF(V220&lt;=0,"",IFERROR(W220/V220-1,"")))</f>
        <v/>
      </c>
      <c r="X222" s="15">
        <f>IF(OR(X220="",W220=""),"",IF(W220&lt;=0,"",IFERROR(X220/W220-1,"")))</f>
        <v/>
      </c>
    </row>
    <row r="223">
      <c r="A223" s="18" t="inlineStr">
        <is>
          <t>기타 · 부문 이익</t>
        </is>
      </c>
      <c r="C223" s="20" t="n">
        <v>1755</v>
      </c>
      <c r="D223" s="20" t="n">
        <v>2841</v>
      </c>
      <c r="E223" s="20" t="n">
        <v>1769</v>
      </c>
      <c r="F223" s="20" t="n">
        <v>1719</v>
      </c>
      <c r="G223" s="20" t="n">
        <v>2404</v>
      </c>
      <c r="H223" s="20" t="n">
        <v>2814</v>
      </c>
      <c r="I223" s="20" t="n">
        <v>1503</v>
      </c>
      <c r="J223" s="20" t="n">
        <v>1747</v>
      </c>
      <c r="K223" s="20" t="n">
        <v>2242</v>
      </c>
      <c r="L223" s="20" t="n">
        <v>3472</v>
      </c>
      <c r="M223" s="20" t="n">
        <v>2239</v>
      </c>
      <c r="N223" s="20" t="n">
        <v>2384</v>
      </c>
      <c r="V223" s="20" t="n">
        <v>2841</v>
      </c>
      <c r="W223" s="20" t="n">
        <v>2814</v>
      </c>
      <c r="X223" s="20" t="n">
        <v>3472</v>
      </c>
    </row>
    <row r="224">
      <c r="A224" s="43" t="inlineStr">
        <is>
          <t>OPM</t>
        </is>
      </c>
      <c r="B224" s="3" t="inlineStr">
        <is>
          <t>영업이익 ÷ 매출</t>
        </is>
      </c>
      <c r="C224" s="15">
        <f>IF(OR(C223="",C200=""),"",IF(C200&lt;=0,"",IFERROR(C223/C200,"")))</f>
        <v/>
      </c>
      <c r="D224" s="15">
        <f>IF(OR(D223="",D200=""),"",IF(D200&lt;=0,"",IFERROR(D223/D200,"")))</f>
        <v/>
      </c>
      <c r="E224" s="15">
        <f>IF(OR(E223="",E200=""),"",IF(E200&lt;=0,"",IFERROR(E223/E200,"")))</f>
        <v/>
      </c>
      <c r="F224" s="15">
        <f>IF(OR(F223="",F200=""),"",IF(F200&lt;=0,"",IFERROR(F223/F200,"")))</f>
        <v/>
      </c>
      <c r="G224" s="15">
        <f>IF(OR(G223="",G200=""),"",IF(G200&lt;=0,"",IFERROR(G223/G200,"")))</f>
        <v/>
      </c>
      <c r="H224" s="15">
        <f>IF(OR(H223="",H200=""),"",IF(H200&lt;=0,"",IFERROR(H223/H200,"")))</f>
        <v/>
      </c>
      <c r="I224" s="15">
        <f>IF(OR(I223="",I200=""),"",IF(I200&lt;=0,"",IFERROR(I223/I200,"")))</f>
        <v/>
      </c>
      <c r="J224" s="15">
        <f>IF(OR(J223="",J200=""),"",IF(J200&lt;=0,"",IFERROR(J223/J200,"")))</f>
        <v/>
      </c>
      <c r="K224" s="15">
        <f>IF(OR(K223="",K200=""),"",IF(K200&lt;=0,"",IFERROR(K223/K200,"")))</f>
        <v/>
      </c>
      <c r="L224" s="15">
        <f>IF(OR(L223="",L200=""),"",IF(L200&lt;=0,"",IFERROR(L223/L200,"")))</f>
        <v/>
      </c>
      <c r="M224" s="15">
        <f>IF(OR(M223="",M200=""),"",IF(M200&lt;=0,"",IFERROR(M223/M200,"")))</f>
        <v/>
      </c>
      <c r="N224" s="15">
        <f>IF(OR(N223="",N200=""),"",IF(N200&lt;=0,"",IFERROR(N223/N200,"")))</f>
        <v/>
      </c>
      <c r="V224" s="15">
        <f>IF(OR(V223="",V200=""),"",IF(V200&lt;=0,"",IFERROR(V223/V200,"")))</f>
        <v/>
      </c>
      <c r="W224" s="15">
        <f>IF(OR(W223="",W200=""),"",IF(W200&lt;=0,"",IFERROR(W223/W200,"")))</f>
        <v/>
      </c>
      <c r="X224" s="15">
        <f>IF(OR(X223="",X200=""),"",IF(X200&lt;=0,"",IFERROR(X223/X200,"")))</f>
        <v/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IF(OR(G223="",C223=""),"",IF(C223&lt;=0,"",IFERROR(G223/C223-1,"")))</f>
        <v/>
      </c>
      <c r="H225" s="15">
        <f>IF(OR(H223="",D223=""),"",IF(D223&lt;=0,"",IFERROR(H223/D223-1,"")))</f>
        <v/>
      </c>
      <c r="I225" s="15">
        <f>IF(OR(I223="",E223=""),"",IF(E223&lt;=0,"",IFERROR(I223/E223-1,"")))</f>
        <v/>
      </c>
      <c r="J225" s="15">
        <f>IF(OR(J223="",F223=""),"",IF(F223&lt;=0,"",IFERROR(J223/F223-1,"")))</f>
        <v/>
      </c>
      <c r="K225" s="15">
        <f>IF(OR(K223="",G223=""),"",IF(G223&lt;=0,"",IFERROR(K223/G223-1,"")))</f>
        <v/>
      </c>
      <c r="L225" s="15">
        <f>IF(OR(L223="",H223=""),"",IF(H223&lt;=0,"",IFERROR(L223/H223-1,"")))</f>
        <v/>
      </c>
      <c r="M225" s="15">
        <f>IF(OR(M223="",I223=""),"",IF(I223&lt;=0,"",IFERROR(M223/I223-1,"")))</f>
        <v/>
      </c>
      <c r="N225" s="15">
        <f>IF(OR(N223="",J223=""),"",IF(J223&lt;=0,"",IFERROR(N223/J223-1,"")))</f>
        <v/>
      </c>
      <c r="V225" s="15">
        <f>IF(OR(V223="",U223=""),"",IF(U223&lt;=0,"",IFERROR(V223/U223-1,"")))</f>
        <v/>
      </c>
      <c r="W225" s="15">
        <f>IF(OR(W223="",V223=""),"",IF(V223&lt;=0,"",IFERROR(W223/V223-1,"")))</f>
        <v/>
      </c>
      <c r="X225" s="15">
        <f>IF(OR(X223="",W223=""),"",IF(W223&lt;=0,"",IFERROR(X223/W223-1,"")))</f>
        <v/>
      </c>
    </row>
    <row r="226">
      <c r="A226" s="18" t="inlineStr">
        <is>
          <t>합계 · 부문 이익</t>
        </is>
      </c>
      <c r="C226" s="20" t="n">
        <v>12846</v>
      </c>
      <c r="D226" s="20" t="n">
        <v>10635</v>
      </c>
      <c r="E226" s="20" t="n">
        <v>11366</v>
      </c>
      <c r="F226" s="20" t="n">
        <v>17196</v>
      </c>
      <c r="G226" s="20" t="n">
        <v>6577</v>
      </c>
      <c r="H226" s="20" t="n">
        <v>12633</v>
      </c>
      <c r="I226" s="20" t="n">
        <v>17628</v>
      </c>
      <c r="J226" s="20" t="n">
        <v>14891</v>
      </c>
      <c r="K226" s="20" t="n">
        <v>11915</v>
      </c>
      <c r="L226" s="20" t="n">
        <v>17425</v>
      </c>
      <c r="M226" s="20" t="n">
        <v>26835</v>
      </c>
      <c r="N226" s="20" t="n">
        <v>33207</v>
      </c>
      <c r="V226" s="20" t="n">
        <v>10635</v>
      </c>
      <c r="W226" s="20" t="n">
        <v>12633</v>
      </c>
      <c r="X226" s="20" t="n">
        <v>17425</v>
      </c>
    </row>
    <row r="227">
      <c r="A227" s="43" t="inlineStr">
        <is>
          <t>OPM</t>
        </is>
      </c>
      <c r="B227" s="3" t="inlineStr">
        <is>
          <t>영업이익 ÷ 매출</t>
        </is>
      </c>
      <c r="C227" s="15">
        <f>IF(OR(C226="",C202=""),"",IF(C202&lt;=0,"",IFERROR(C226/C202,"")))</f>
        <v/>
      </c>
      <c r="D227" s="15">
        <f>IF(OR(D226="",D202=""),"",IF(D202&lt;=0,"",IFERROR(D226/D202,"")))</f>
        <v/>
      </c>
      <c r="E227" s="15">
        <f>IF(OR(E226="",E202=""),"",IF(E202&lt;=0,"",IFERROR(E226/E202,"")))</f>
        <v/>
      </c>
      <c r="F227" s="15">
        <f>IF(OR(F226="",F202=""),"",IF(F202&lt;=0,"",IFERROR(F226/F202,"")))</f>
        <v/>
      </c>
      <c r="G227" s="15">
        <f>IF(OR(G226="",G202=""),"",IF(G202&lt;=0,"",IFERROR(G226/G202,"")))</f>
        <v/>
      </c>
      <c r="H227" s="15">
        <f>IF(OR(H226="",H202=""),"",IF(H202&lt;=0,"",IFERROR(H226/H202,"")))</f>
        <v/>
      </c>
      <c r="I227" s="15">
        <f>IF(OR(I226="",I202=""),"",IF(I202&lt;=0,"",IFERROR(I226/I202,"")))</f>
        <v/>
      </c>
      <c r="J227" s="15">
        <f>IF(OR(J226="",J202=""),"",IF(J202&lt;=0,"",IFERROR(J226/J202,"")))</f>
        <v/>
      </c>
      <c r="K227" s="15">
        <f>IF(OR(K226="",K202=""),"",IF(K202&lt;=0,"",IFERROR(K226/K202,"")))</f>
        <v/>
      </c>
      <c r="L227" s="15">
        <f>IF(OR(L226="",L202=""),"",IF(L202&lt;=0,"",IFERROR(L226/L202,"")))</f>
        <v/>
      </c>
      <c r="M227" s="15">
        <f>IF(OR(M226="",M202=""),"",IF(M202&lt;=0,"",IFERROR(M226/M202,"")))</f>
        <v/>
      </c>
      <c r="N227" s="15">
        <f>IF(OR(N226="",N202=""),"",IF(N202&lt;=0,"",IFERROR(N226/N202,"")))</f>
        <v/>
      </c>
      <c r="V227" s="15">
        <f>IF(OR(V226="",V202=""),"",IF(V202&lt;=0,"",IFERROR(V226/V202,"")))</f>
        <v/>
      </c>
      <c r="W227" s="15">
        <f>IF(OR(W226="",W202=""),"",IF(W202&lt;=0,"",IFERROR(W226/W202,"")))</f>
        <v/>
      </c>
      <c r="X227" s="15">
        <f>IF(OR(X226="",X202=""),"",IF(X202&lt;=0,"",IFERROR(X226/X202,"")))</f>
        <v/>
      </c>
    </row>
    <row r="228">
      <c r="A228" s="43" t="inlineStr">
        <is>
          <t>YoY</t>
        </is>
      </c>
      <c r="B228" s="3" t="inlineStr">
        <is>
          <t>전년 같은 분기·전년 대비</t>
        </is>
      </c>
      <c r="G228" s="15">
        <f>IF(OR(G226="",C226=""),"",IF(C226&lt;=0,"",IFERROR(G226/C226-1,"")))</f>
        <v/>
      </c>
      <c r="H228" s="15">
        <f>IF(OR(H226="",D226=""),"",IF(D226&lt;=0,"",IFERROR(H226/D226-1,"")))</f>
        <v/>
      </c>
      <c r="I228" s="15">
        <f>IF(OR(I226="",E226=""),"",IF(E226&lt;=0,"",IFERROR(I226/E226-1,"")))</f>
        <v/>
      </c>
      <c r="J228" s="15">
        <f>IF(OR(J226="",F226=""),"",IF(F226&lt;=0,"",IFERROR(J226/F226-1,"")))</f>
        <v/>
      </c>
      <c r="K228" s="15">
        <f>IF(OR(K226="",G226=""),"",IF(G226&lt;=0,"",IFERROR(K226/G226-1,"")))</f>
        <v/>
      </c>
      <c r="L228" s="15">
        <f>IF(OR(L226="",H226=""),"",IF(H226&lt;=0,"",IFERROR(L226/H226-1,"")))</f>
        <v/>
      </c>
      <c r="M228" s="15">
        <f>IF(OR(M226="",I226=""),"",IF(I226&lt;=0,"",IFERROR(M226/I226-1,"")))</f>
        <v/>
      </c>
      <c r="N228" s="15">
        <f>IF(OR(N226="",J226=""),"",IF(J226&lt;=0,"",IFERROR(N226/J226-1,"")))</f>
        <v/>
      </c>
      <c r="V228" s="15">
        <f>IF(OR(V226="",U226=""),"",IF(U226&lt;=0,"",IFERROR(V226/U226-1,"")))</f>
        <v/>
      </c>
      <c r="W228" s="15">
        <f>IF(OR(W226="",V226=""),"",IF(V226&lt;=0,"",IFERROR(W226/V226-1,"")))</f>
        <v/>
      </c>
      <c r="X228" s="15">
        <f>IF(OR(X226="",W226=""),"",IF(W226&lt;=0,"",IFERROR(X226/W226-1,"")))</f>
        <v/>
      </c>
    </row>
    <row r="229">
      <c r="A229" s="18" t="inlineStr">
        <is>
          <t>조정액 · 부문 이익</t>
        </is>
      </c>
      <c r="C229" s="20" t="n">
        <v>30</v>
      </c>
      <c r="D229" s="20" t="n">
        <v>-14</v>
      </c>
      <c r="E229" s="20" t="n">
        <v>-71</v>
      </c>
      <c r="F229" s="20" t="n">
        <v>21</v>
      </c>
      <c r="G229" s="20" t="n">
        <v>-232</v>
      </c>
      <c r="H229" s="20" t="n">
        <v>131</v>
      </c>
      <c r="I229" s="20" t="n">
        <v>7</v>
      </c>
      <c r="J229" s="20" t="n">
        <v>46</v>
      </c>
      <c r="K229" s="20" t="n">
        <v>40</v>
      </c>
      <c r="L229" s="20" t="n">
        <v>75</v>
      </c>
      <c r="M229" s="20" t="n">
        <v>44</v>
      </c>
      <c r="N229" s="20" t="n">
        <v>29</v>
      </c>
      <c r="V229" s="20" t="n">
        <v>-14</v>
      </c>
      <c r="W229" s="20" t="n">
        <v>131</v>
      </c>
      <c r="X229" s="20" t="n">
        <v>75</v>
      </c>
    </row>
    <row r="230">
      <c r="A230" s="18" t="inlineStr">
        <is>
          <t>EntityTotalMember · 부문 이익</t>
        </is>
      </c>
      <c r="E230" s="20" t="n">
        <v>11295</v>
      </c>
      <c r="I230" s="20" t="n">
        <v>17636</v>
      </c>
      <c r="M230" s="20" t="n">
        <v>26880</v>
      </c>
    </row>
    <row r="231">
      <c r="A231" s="9" t="inlineStr">
        <is>
          <t>부문 이익</t>
        </is>
      </c>
      <c r="C231" s="12" t="n">
        <v>12875</v>
      </c>
      <c r="D231" s="12" t="n">
        <v>10621</v>
      </c>
      <c r="E231" s="12" t="n">
        <v>11295</v>
      </c>
      <c r="F231" s="12" t="n">
        <v>17217</v>
      </c>
      <c r="G231" s="12" t="n">
        <v>6345</v>
      </c>
      <c r="H231" s="12" t="n">
        <v>12764</v>
      </c>
      <c r="V231" s="12" t="n">
        <v>10621</v>
      </c>
      <c r="W231" s="12" t="n">
        <v>12764</v>
      </c>
    </row>
    <row r="232">
      <c r="A232" s="43" t="inlineStr">
        <is>
          <t>OPM</t>
        </is>
      </c>
      <c r="B232" s="3" t="inlineStr">
        <is>
          <t>영업이익 ÷ 매출</t>
        </is>
      </c>
      <c r="C232" s="15">
        <f>IF(OR(C231="",C178=""),"",IF(C178&lt;=0,"",IFERROR(C231/C178,"")))</f>
        <v/>
      </c>
      <c r="D232" s="15">
        <f>IF(OR(D231="",D178=""),"",IF(D178&lt;=0,"",IFERROR(D231/D178,"")))</f>
        <v/>
      </c>
      <c r="E232" s="15">
        <f>IF(OR(E231="",E178=""),"",IF(E178&lt;=0,"",IFERROR(E231/E178,"")))</f>
        <v/>
      </c>
      <c r="F232" s="15">
        <f>IF(OR(F231="",F178=""),"",IF(F178&lt;=0,"",IFERROR(F231/F178,"")))</f>
        <v/>
      </c>
      <c r="G232" s="15">
        <f>IF(OR(G231="",G178=""),"",IF(G178&lt;=0,"",IFERROR(G231/G178,"")))</f>
        <v/>
      </c>
      <c r="H232" s="15">
        <f>IF(OR(H231="",H178=""),"",IF(H178&lt;=0,"",IFERROR(H231/H178,"")))</f>
        <v/>
      </c>
      <c r="V232" s="15">
        <f>IF(OR(V231="",V178=""),"",IF(V178&lt;=0,"",IFERROR(V231/V178,"")))</f>
        <v/>
      </c>
      <c r="W232" s="15">
        <f>IF(OR(W231="",W178=""),"",IF(W178&lt;=0,"",IFERROR(W231/W178,"")))</f>
        <v/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G233" s="15">
        <f>IF(OR(G231="",C231=""),"",IF(C231&lt;=0,"",IFERROR(G231/C231-1,"")))</f>
        <v/>
      </c>
      <c r="H233" s="15">
        <f>IF(OR(H231="",D231=""),"",IF(D231&lt;=0,"",IFERROR(H231/D231-1,"")))</f>
        <v/>
      </c>
      <c r="V233" s="15">
        <f>IF(OR(V231="",U231=""),"",IF(U231&lt;=0,"",IFERROR(V231/U231-1,"")))</f>
        <v/>
      </c>
      <c r="W233" s="15">
        <f>IF(OR(W231="",V231=""),"",IF(V231&lt;=0,"",IFERROR(W231/V231-1,"")))</f>
        <v/>
      </c>
    </row>
    <row r="234">
      <c r="A234" s="18" t="inlineStr">
        <is>
          <t>ElectronicsReportableSegmentsMember · 외부 고객 매출</t>
        </is>
      </c>
      <c r="D234" s="20" t="n">
        <v>42515</v>
      </c>
      <c r="H234" s="20" t="n">
        <v>51806</v>
      </c>
      <c r="L234" s="20" t="n">
        <v>71403</v>
      </c>
      <c r="V234" s="20" t="n">
        <v>42515</v>
      </c>
      <c r="W234" s="20" t="n">
        <v>51806</v>
      </c>
      <c r="X234" s="20" t="n">
        <v>71403</v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H235" s="15">
        <f>IF(OR(H234="",D234=""),"",IF(D234&lt;=0,"",IFERROR(H234/D234-1,"")))</f>
        <v/>
      </c>
      <c r="L235" s="15">
        <f>IF(OR(L234="",H234=""),"",IF(H234&lt;=0,"",IFERROR(L234/H234-1,"")))</f>
        <v/>
      </c>
      <c r="V235" s="15">
        <f>IF(OR(V234="",U234=""),"",IF(U234&lt;=0,"",IFERROR(V234/U234-1,"")))</f>
        <v/>
      </c>
      <c r="W235" s="15">
        <f>IF(OR(W234="",V234=""),"",IF(V234&lt;=0,"",IFERROR(W234/V234-1,"")))</f>
        <v/>
      </c>
      <c r="X235" s="15">
        <f>IF(OR(X234="",W234=""),"",IF(W234&lt;=0,"",IFERROR(X234/W234-1,"")))</f>
        <v/>
      </c>
    </row>
    <row r="236">
      <c r="A236" s="18" t="inlineStr">
        <is>
          <t>CeramicsReportableSegmentsMember · 외부 고객 매출</t>
        </is>
      </c>
      <c r="D236" s="20" t="n">
        <v>23602</v>
      </c>
      <c r="H236" s="20" t="n">
        <v>22012</v>
      </c>
      <c r="L236" s="20" t="n">
        <v>21967</v>
      </c>
      <c r="V236" s="20" t="n">
        <v>23602</v>
      </c>
      <c r="W236" s="20" t="n">
        <v>22012</v>
      </c>
      <c r="X236" s="20" t="n">
        <v>21967</v>
      </c>
    </row>
    <row r="237">
      <c r="A237" s="43" t="inlineStr">
        <is>
          <t>YoY</t>
        </is>
      </c>
      <c r="B237" s="3" t="inlineStr">
        <is>
          <t>전년 같은 분기·전년 대비</t>
        </is>
      </c>
      <c r="H237" s="15">
        <f>IF(OR(H236="",D236=""),"",IF(D236&lt;=0,"",IFERROR(H236/D236-1,"")))</f>
        <v/>
      </c>
      <c r="L237" s="15">
        <f>IF(OR(L236="",H236=""),"",IF(H236&lt;=0,"",IFERROR(L236/H236-1,"")))</f>
        <v/>
      </c>
      <c r="V237" s="15">
        <f>IF(OR(V236="",U236=""),"",IF(U236&lt;=0,"",IFERROR(V236/U236-1,"")))</f>
        <v/>
      </c>
      <c r="W237" s="15">
        <f>IF(OR(W236="",V236=""),"",IF(V236&lt;=0,"",IFERROR(W236/V236-1,"")))</f>
        <v/>
      </c>
      <c r="X237" s="15">
        <f>IF(OR(X236="",W236=""),"",IF(W236&lt;=0,"",IFERROR(X236/W236-1,"")))</f>
        <v/>
      </c>
    </row>
    <row r="239">
      <c r="A239" s="16" t="inlineStr">
        <is>
          <t>현금흐름표 · 전 항목</t>
        </is>
      </c>
      <c r="B239" s="42" t="inlineStr">
        <is>
          <t>분기 = 결산기 첫날부터 누계(공시 그대로)</t>
        </is>
      </c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</row>
    <row r="240">
      <c r="A240" s="5" t="inlineStr">
        <is>
          <t>항목</t>
        </is>
      </c>
      <c r="B240" s="5" t="inlineStr">
        <is>
          <t>참고</t>
        </is>
      </c>
      <c r="C240" s="5" t="inlineStr">
        <is>
          <t>2024.3Q</t>
        </is>
      </c>
      <c r="D240" s="5" t="inlineStr">
        <is>
          <t>2024.4Q</t>
        </is>
      </c>
      <c r="E240" s="5" t="inlineStr">
        <is>
          <t>2025.1Q</t>
        </is>
      </c>
      <c r="F240" s="5" t="inlineStr">
        <is>
          <t>2025.2Q</t>
        </is>
      </c>
      <c r="G240" s="5" t="inlineStr">
        <is>
          <t>2025.3Q</t>
        </is>
      </c>
      <c r="H240" s="5" t="inlineStr">
        <is>
          <t>2025.4Q</t>
        </is>
      </c>
      <c r="I240" s="5" t="inlineStr">
        <is>
          <t>2026.1Q</t>
        </is>
      </c>
      <c r="J240" s="5" t="inlineStr">
        <is>
          <t>2026.2Q</t>
        </is>
      </c>
      <c r="K240" s="5" t="inlineStr">
        <is>
          <t>2026.3Q</t>
        </is>
      </c>
      <c r="L240" s="5" t="inlineStr">
        <is>
          <t>2026.4Q</t>
        </is>
      </c>
      <c r="M240" s="5" t="inlineStr">
        <is>
          <t>2027.1Q</t>
        </is>
      </c>
      <c r="N240" s="5" t="inlineStr">
        <is>
          <t>2027.2Q</t>
        </is>
      </c>
      <c r="O240" s="5" t="inlineStr">
        <is>
          <t>2017</t>
        </is>
      </c>
      <c r="P240" s="5" t="inlineStr">
        <is>
          <t>2018</t>
        </is>
      </c>
      <c r="Q240" s="5" t="inlineStr">
        <is>
          <t>2019</t>
        </is>
      </c>
      <c r="R240" s="5" t="inlineStr">
        <is>
          <t>2020</t>
        </is>
      </c>
      <c r="S240" s="5" t="inlineStr">
        <is>
          <t>2021</t>
        </is>
      </c>
      <c r="T240" s="5" t="inlineStr">
        <is>
          <t>2022</t>
        </is>
      </c>
      <c r="U240" s="5" t="inlineStr">
        <is>
          <t>2023</t>
        </is>
      </c>
      <c r="V240" s="5" t="inlineStr">
        <is>
          <t>2024</t>
        </is>
      </c>
      <c r="W240" s="5" t="inlineStr">
        <is>
          <t>2025</t>
        </is>
      </c>
      <c r="X240" s="5" t="inlineStr">
        <is>
          <t>2026</t>
        </is>
      </c>
      <c r="Y240" s="5" t="inlineStr">
        <is>
          <t>2027(MW)</t>
        </is>
      </c>
      <c r="Z240" s="5" t="inlineStr">
        <is>
          <t>2028(MW)</t>
        </is>
      </c>
      <c r="AA240" s="5" t="inlineStr">
        <is>
          <t>2029(MW)</t>
        </is>
      </c>
      <c r="AB240" s="5" t="inlineStr">
        <is>
          <t>2030(MW)</t>
        </is>
      </c>
      <c r="AC240" s="5" t="inlineStr">
        <is>
          <t>2031(MW)</t>
        </is>
      </c>
    </row>
    <row r="241">
      <c r="A241" s="9" t="inlineStr">
        <is>
          <t>법인세차감전 순이익</t>
        </is>
      </c>
      <c r="C241" s="12" t="n">
        <v>40761</v>
      </c>
      <c r="D241" s="12" t="n">
        <v>47435</v>
      </c>
      <c r="E241" s="12" t="n">
        <v>11925</v>
      </c>
      <c r="F241" s="12" t="n">
        <v>27156</v>
      </c>
      <c r="G241" s="12" t="n">
        <v>33219</v>
      </c>
      <c r="H241" s="12" t="n">
        <v>51451</v>
      </c>
      <c r="I241" s="12" t="n">
        <v>17046</v>
      </c>
      <c r="J241" s="12" t="n">
        <v>31985</v>
      </c>
      <c r="K241" s="12" t="n">
        <v>43202</v>
      </c>
      <c r="L241" s="12" t="n">
        <v>91092</v>
      </c>
      <c r="M241" s="12" t="n">
        <v>26530</v>
      </c>
      <c r="N241" s="12" t="n">
        <v>59358</v>
      </c>
      <c r="O241" s="12" t="n">
        <v>-60771</v>
      </c>
      <c r="P241" s="12" t="n">
        <v>18550</v>
      </c>
      <c r="Q241" s="12" t="n">
        <v>9326</v>
      </c>
      <c r="R241" s="12" t="n">
        <v>17525</v>
      </c>
      <c r="S241" s="12" t="n">
        <v>32165</v>
      </c>
      <c r="T241" s="12" t="n">
        <v>71702</v>
      </c>
      <c r="U241" s="12" t="n">
        <v>47435</v>
      </c>
      <c r="V241" s="12" t="n">
        <v>47435</v>
      </c>
      <c r="W241" s="12" t="n">
        <v>51451</v>
      </c>
      <c r="X241" s="12" t="n">
        <v>91092</v>
      </c>
    </row>
    <row r="242">
      <c r="A242" s="18" t="inlineStr">
        <is>
          <t>감가상각비</t>
        </is>
      </c>
      <c r="C242" s="20" t="n">
        <v>33573</v>
      </c>
      <c r="D242" s="20" t="n">
        <v>46032</v>
      </c>
      <c r="E242" s="20" t="n">
        <v>10198</v>
      </c>
      <c r="F242" s="20" t="n">
        <v>22900</v>
      </c>
      <c r="G242" s="20" t="n">
        <v>38178</v>
      </c>
      <c r="H242" s="20" t="n">
        <v>54205</v>
      </c>
      <c r="I242" s="20" t="n">
        <v>11667</v>
      </c>
      <c r="J242" s="20" t="n">
        <v>25429</v>
      </c>
      <c r="K242" s="20" t="n">
        <v>44494</v>
      </c>
      <c r="L242" s="20" t="n">
        <v>66236</v>
      </c>
      <c r="M242" s="20" t="n">
        <v>17588</v>
      </c>
      <c r="N242" s="20" t="n">
        <v>35877</v>
      </c>
      <c r="O242" s="20" t="n">
        <v>33147</v>
      </c>
      <c r="P242" s="20" t="n">
        <v>24566</v>
      </c>
      <c r="Q242" s="20" t="n">
        <v>25136</v>
      </c>
      <c r="R242" s="20" t="n">
        <v>24222</v>
      </c>
      <c r="S242" s="20" t="n">
        <v>35413</v>
      </c>
      <c r="T242" s="20" t="n">
        <v>54914</v>
      </c>
      <c r="U242" s="20" t="n">
        <v>46032</v>
      </c>
      <c r="V242" s="20" t="n">
        <v>46032</v>
      </c>
      <c r="W242" s="20" t="n">
        <v>54205</v>
      </c>
      <c r="X242" s="20" t="n">
        <v>66236</v>
      </c>
    </row>
    <row r="243">
      <c r="A243" s="18" t="inlineStr">
        <is>
          <t>손상차손</t>
        </is>
      </c>
      <c r="C243" s="20" t="n">
        <v>489</v>
      </c>
      <c r="D243" s="20" t="n">
        <v>573</v>
      </c>
      <c r="E243" s="20" t="n">
        <v>0</v>
      </c>
      <c r="F243" s="20" t="n">
        <v>0</v>
      </c>
      <c r="G243" s="20" t="n">
        <v>0</v>
      </c>
      <c r="H243" s="20" t="n">
        <v>18587</v>
      </c>
      <c r="I243" s="20" t="n">
        <v>506</v>
      </c>
      <c r="J243" s="20" t="n">
        <v>506</v>
      </c>
      <c r="K243" s="20" t="n">
        <v>600</v>
      </c>
      <c r="L243" s="20" t="n">
        <v>16405</v>
      </c>
      <c r="M243" s="20" t="n">
        <v>0</v>
      </c>
      <c r="N243" s="20" t="n">
        <v>0</v>
      </c>
      <c r="O243" s="20" t="n">
        <v>102</v>
      </c>
      <c r="P243" s="20" t="n">
        <v>244</v>
      </c>
      <c r="Q243" s="20" t="n">
        <v>330</v>
      </c>
      <c r="R243" s="20" t="n">
        <v>458</v>
      </c>
      <c r="S243" s="20" t="n">
        <v>4069</v>
      </c>
      <c r="T243" s="20" t="n">
        <v>843</v>
      </c>
      <c r="U243" s="20" t="n">
        <v>573</v>
      </c>
      <c r="V243" s="20" t="n">
        <v>573</v>
      </c>
      <c r="W243" s="20" t="n">
        <v>18587</v>
      </c>
      <c r="X243" s="20" t="n">
        <v>16405</v>
      </c>
    </row>
    <row r="244">
      <c r="A244" s="18" t="inlineStr">
        <is>
          <t>영업권 상각</t>
        </is>
      </c>
      <c r="O244" s="20" t="n">
        <v>905</v>
      </c>
      <c r="P244" s="20" t="n">
        <v>236</v>
      </c>
      <c r="Q244" s="20" t="n">
        <v>0</v>
      </c>
    </row>
    <row r="245">
      <c r="A245" s="18" t="inlineStr">
        <is>
          <t>상여충당금 증감</t>
        </is>
      </c>
      <c r="C245" s="20" t="n">
        <v>-2980</v>
      </c>
      <c r="D245" s="20" t="n">
        <v>-266</v>
      </c>
      <c r="E245" s="20" t="n">
        <v>-2481</v>
      </c>
      <c r="F245" s="20" t="n">
        <v>450</v>
      </c>
      <c r="G245" s="20" t="n">
        <v>-3031</v>
      </c>
      <c r="H245" s="20" t="n">
        <v>47</v>
      </c>
      <c r="I245" s="20" t="n">
        <v>-2236</v>
      </c>
      <c r="J245" s="20" t="n">
        <v>968</v>
      </c>
      <c r="K245" s="20" t="n">
        <v>-2418</v>
      </c>
      <c r="L245" s="20" t="n">
        <v>890</v>
      </c>
      <c r="M245" s="20" t="n">
        <v>-2559</v>
      </c>
      <c r="N245" s="20" t="n">
        <v>3799</v>
      </c>
      <c r="O245" s="20" t="n">
        <v>-282</v>
      </c>
      <c r="P245" s="20" t="n">
        <v>437</v>
      </c>
      <c r="Q245" s="20" t="n">
        <v>-389</v>
      </c>
      <c r="R245" s="20" t="n">
        <v>469</v>
      </c>
      <c r="S245" s="20" t="n">
        <v>893</v>
      </c>
      <c r="T245" s="20" t="n">
        <v>-246</v>
      </c>
      <c r="U245" s="20" t="n">
        <v>-266</v>
      </c>
      <c r="V245" s="20" t="n">
        <v>-266</v>
      </c>
      <c r="W245" s="20" t="n">
        <v>47</v>
      </c>
      <c r="X245" s="20" t="n">
        <v>890</v>
      </c>
    </row>
    <row r="246">
      <c r="A246" s="18" t="inlineStr">
        <is>
          <t>임원 상여충당금 증감</t>
        </is>
      </c>
      <c r="C246" s="20" t="n">
        <v>-186</v>
      </c>
      <c r="D246" s="20" t="n">
        <v>-64</v>
      </c>
      <c r="E246" s="20" t="n">
        <v>-122</v>
      </c>
      <c r="F246" s="20" t="n">
        <v>-122</v>
      </c>
      <c r="G246" s="20" t="n">
        <v>-122</v>
      </c>
      <c r="H246" s="20" t="n">
        <v>48</v>
      </c>
      <c r="I246" s="20" t="n">
        <v>-170</v>
      </c>
      <c r="J246" s="20" t="n">
        <v>-170</v>
      </c>
      <c r="K246" s="20" t="n">
        <v>-170</v>
      </c>
      <c r="L246" s="20" t="n">
        <v>2</v>
      </c>
      <c r="M246" s="20" t="n">
        <v>-172</v>
      </c>
      <c r="N246" s="20" t="n">
        <v>-172</v>
      </c>
      <c r="O246" s="20" t="n">
        <v>-77</v>
      </c>
      <c r="P246" s="20" t="n">
        <v>90</v>
      </c>
      <c r="Q246" s="20" t="n">
        <v>-1</v>
      </c>
      <c r="R246" s="20" t="n">
        <v>43</v>
      </c>
      <c r="S246" s="20" t="n">
        <v>23</v>
      </c>
      <c r="T246" s="20" t="n">
        <v>13</v>
      </c>
      <c r="U246" s="20" t="n">
        <v>-64</v>
      </c>
      <c r="V246" s="20" t="n">
        <v>-64</v>
      </c>
      <c r="W246" s="20" t="n">
        <v>48</v>
      </c>
      <c r="X246" s="20" t="n">
        <v>2</v>
      </c>
    </row>
    <row r="247">
      <c r="A247" s="18" t="inlineStr">
        <is>
          <t>대손충당금 증감</t>
        </is>
      </c>
      <c r="C247" s="20" t="n">
        <v>16</v>
      </c>
      <c r="D247" s="20" t="n">
        <v>-18</v>
      </c>
      <c r="E247" s="20" t="n">
        <v>-9</v>
      </c>
      <c r="F247" s="20" t="n">
        <v>-4</v>
      </c>
      <c r="G247" s="20" t="n">
        <v>2</v>
      </c>
      <c r="H247" s="20" t="n">
        <v>6</v>
      </c>
      <c r="I247" s="20" t="n">
        <v>229</v>
      </c>
      <c r="J247" s="20" t="n">
        <v>188</v>
      </c>
      <c r="K247" s="20" t="n">
        <v>213</v>
      </c>
      <c r="L247" s="20" t="n">
        <v>43</v>
      </c>
      <c r="M247" s="20" t="n">
        <v>10</v>
      </c>
      <c r="N247" s="20" t="n">
        <v>4</v>
      </c>
      <c r="O247" s="20" t="n">
        <v>-40</v>
      </c>
      <c r="P247" s="20" t="n">
        <v>-196</v>
      </c>
      <c r="Q247" s="20" t="n">
        <v>-10</v>
      </c>
      <c r="R247" s="20" t="n">
        <v>20</v>
      </c>
      <c r="S247" s="20" t="n">
        <v>-29</v>
      </c>
      <c r="T247" s="20" t="n">
        <v>-43</v>
      </c>
      <c r="U247" s="20" t="n">
        <v>-18</v>
      </c>
      <c r="V247" s="20" t="n">
        <v>-18</v>
      </c>
      <c r="W247" s="20" t="n">
        <v>6</v>
      </c>
      <c r="X247" s="20" t="n">
        <v>43</v>
      </c>
    </row>
    <row r="248">
      <c r="A248" s="18" t="inlineStr">
        <is>
          <t>해체·철거 충당금 증감액(△는 감소)</t>
        </is>
      </c>
      <c r="H248" s="20" t="n">
        <v>0</v>
      </c>
      <c r="L248" s="20" t="n">
        <v>1558</v>
      </c>
      <c r="W248" s="20" t="n">
        <v>0</v>
      </c>
      <c r="X248" s="20" t="n">
        <v>1558</v>
      </c>
    </row>
    <row r="249">
      <c r="A249" s="18" t="inlineStr">
        <is>
          <t>퇴직급여부채 증감</t>
        </is>
      </c>
      <c r="C249" s="20" t="n">
        <v>111</v>
      </c>
      <c r="D249" s="20" t="n">
        <v>178</v>
      </c>
      <c r="E249" s="20" t="n">
        <v>65</v>
      </c>
      <c r="F249" s="20" t="n">
        <v>4</v>
      </c>
      <c r="G249" s="20" t="n">
        <v>109</v>
      </c>
      <c r="H249" s="20" t="n">
        <v>48</v>
      </c>
      <c r="I249" s="20" t="n">
        <v>7</v>
      </c>
      <c r="J249" s="20" t="n">
        <v>54</v>
      </c>
      <c r="K249" s="20" t="n">
        <v>132</v>
      </c>
      <c r="L249" s="20" t="n">
        <v>-167</v>
      </c>
      <c r="M249" s="20" t="n">
        <v>31</v>
      </c>
      <c r="N249" s="20" t="n">
        <v>11</v>
      </c>
      <c r="O249" s="20" t="n">
        <v>4</v>
      </c>
      <c r="P249" s="20" t="n">
        <v>-3</v>
      </c>
      <c r="Q249" s="20" t="n">
        <v>55</v>
      </c>
      <c r="R249" s="20" t="n">
        <v>36</v>
      </c>
      <c r="S249" s="20" t="n">
        <v>194</v>
      </c>
      <c r="T249" s="20" t="n">
        <v>-5</v>
      </c>
      <c r="U249" s="20" t="n">
        <v>178</v>
      </c>
      <c r="V249" s="20" t="n">
        <v>178</v>
      </c>
      <c r="W249" s="20" t="n">
        <v>48</v>
      </c>
      <c r="X249" s="20" t="n">
        <v>-167</v>
      </c>
    </row>
    <row r="250">
      <c r="A250" s="18" t="inlineStr">
        <is>
          <t>이자·배당금 수익</t>
        </is>
      </c>
      <c r="C250" s="20" t="n">
        <v>-2597</v>
      </c>
      <c r="D250" s="20" t="n">
        <v>-2924</v>
      </c>
      <c r="E250" s="20" t="n">
        <v>-1533</v>
      </c>
      <c r="F250" s="20" t="n">
        <v>-2035</v>
      </c>
      <c r="G250" s="20" t="n">
        <v>-3681</v>
      </c>
      <c r="H250" s="20" t="n">
        <v>-4355</v>
      </c>
      <c r="I250" s="20" t="n">
        <v>-1229</v>
      </c>
      <c r="J250" s="20" t="n">
        <v>-1990</v>
      </c>
      <c r="K250" s="20" t="n">
        <v>-3021</v>
      </c>
      <c r="L250" s="20" t="n">
        <v>-3759</v>
      </c>
      <c r="M250" s="20" t="n">
        <v>-1231</v>
      </c>
      <c r="N250" s="20" t="n">
        <v>-2271</v>
      </c>
      <c r="O250" s="20" t="n">
        <v>-1558</v>
      </c>
      <c r="P250" s="20" t="n">
        <v>-1389</v>
      </c>
      <c r="Q250" s="20" t="n">
        <v>-1341</v>
      </c>
      <c r="R250" s="20" t="n">
        <v>-1322</v>
      </c>
      <c r="S250" s="20" t="n">
        <v>-1222</v>
      </c>
      <c r="T250" s="20" t="n">
        <v>-2506</v>
      </c>
      <c r="U250" s="20" t="n">
        <v>-2924</v>
      </c>
      <c r="V250" s="20" t="n">
        <v>-2924</v>
      </c>
      <c r="W250" s="20" t="n">
        <v>-4355</v>
      </c>
      <c r="X250" s="20" t="n">
        <v>-3759</v>
      </c>
    </row>
    <row r="251">
      <c r="A251" s="18" t="inlineStr">
        <is>
          <t>이자비용</t>
        </is>
      </c>
      <c r="C251" s="20" t="n">
        <v>507</v>
      </c>
      <c r="D251" s="20" t="n">
        <v>710</v>
      </c>
      <c r="E251" s="20" t="n">
        <v>214</v>
      </c>
      <c r="F251" s="20" t="n">
        <v>453</v>
      </c>
      <c r="G251" s="20" t="n">
        <v>798</v>
      </c>
      <c r="H251" s="20" t="n">
        <v>1155</v>
      </c>
      <c r="I251" s="20" t="n">
        <v>351</v>
      </c>
      <c r="J251" s="20" t="n">
        <v>698</v>
      </c>
      <c r="K251" s="20" t="n">
        <v>1023</v>
      </c>
      <c r="L251" s="20" t="n">
        <v>1356</v>
      </c>
      <c r="M251" s="20" t="n">
        <v>217</v>
      </c>
      <c r="N251" s="20" t="n">
        <v>428</v>
      </c>
      <c r="O251" s="20" t="n">
        <v>187</v>
      </c>
      <c r="P251" s="20" t="n">
        <v>146</v>
      </c>
      <c r="Q251" s="20" t="n">
        <v>158</v>
      </c>
      <c r="R251" s="20" t="n">
        <v>194</v>
      </c>
      <c r="S251" s="20" t="n">
        <v>258</v>
      </c>
      <c r="T251" s="20" t="n">
        <v>370</v>
      </c>
      <c r="U251" s="20" t="n">
        <v>710</v>
      </c>
      <c r="V251" s="20" t="n">
        <v>710</v>
      </c>
      <c r="W251" s="20" t="n">
        <v>1155</v>
      </c>
      <c r="X251" s="20" t="n">
        <v>1356</v>
      </c>
    </row>
    <row r="252">
      <c r="A252" s="18" t="inlineStr">
        <is>
          <t>지분법손익</t>
        </is>
      </c>
      <c r="C252" s="20" t="n">
        <v>-0</v>
      </c>
      <c r="D252" s="20" t="n">
        <v>-2</v>
      </c>
      <c r="E252" s="20" t="n">
        <v>0</v>
      </c>
      <c r="F252" s="20" t="n">
        <v>-1</v>
      </c>
      <c r="G252" s="20" t="n">
        <v>-0</v>
      </c>
      <c r="H252" s="20" t="n">
        <v>-0</v>
      </c>
      <c r="I252" s="20" t="n">
        <v>-0</v>
      </c>
      <c r="J252" s="20" t="n">
        <v>-0</v>
      </c>
      <c r="K252" s="20" t="n">
        <v>0</v>
      </c>
      <c r="L252" s="20" t="n">
        <v>0</v>
      </c>
      <c r="M252" s="20" t="n">
        <v>0</v>
      </c>
      <c r="N252" s="20" t="n">
        <v>0</v>
      </c>
      <c r="O252" s="20" t="n">
        <v>0</v>
      </c>
      <c r="P252" s="20" t="n">
        <v>-3</v>
      </c>
      <c r="Q252" s="20" t="n">
        <v>-1</v>
      </c>
      <c r="R252" s="20" t="n">
        <v>-0</v>
      </c>
      <c r="S252" s="20" t="n">
        <v>-0</v>
      </c>
      <c r="T252" s="20" t="n">
        <v>-1</v>
      </c>
      <c r="U252" s="20" t="n">
        <v>-2</v>
      </c>
      <c r="V252" s="20" t="n">
        <v>-2</v>
      </c>
      <c r="W252" s="20" t="n">
        <v>-0</v>
      </c>
      <c r="X252" s="20" t="n">
        <v>0</v>
      </c>
    </row>
    <row r="253">
      <c r="A253" s="18" t="inlineStr">
        <is>
          <t>유형자산 매각손익</t>
        </is>
      </c>
      <c r="E253" s="20" t="n">
        <v>-7</v>
      </c>
      <c r="O253" s="20" t="n">
        <v>-196</v>
      </c>
      <c r="P253" s="20" t="n">
        <v>-89</v>
      </c>
      <c r="Q253" s="20" t="n">
        <v>-50</v>
      </c>
      <c r="R253" s="20" t="n">
        <v>-6</v>
      </c>
      <c r="S253" s="20" t="n">
        <v>-75</v>
      </c>
      <c r="T253" s="20" t="n">
        <v>-81</v>
      </c>
      <c r="U253" s="20" t="n">
        <v>-25</v>
      </c>
    </row>
    <row r="254">
      <c r="A254" s="18" t="inlineStr">
        <is>
          <t>유형자산 제각손실</t>
        </is>
      </c>
      <c r="E254" s="20" t="n">
        <v>426</v>
      </c>
      <c r="O254" s="20" t="n">
        <v>1280</v>
      </c>
      <c r="P254" s="20" t="n">
        <v>1698</v>
      </c>
      <c r="Q254" s="20" t="n">
        <v>916</v>
      </c>
      <c r="R254" s="20" t="n">
        <v>2197</v>
      </c>
      <c r="S254" s="20" t="n">
        <v>2562</v>
      </c>
      <c r="T254" s="20" t="n">
        <v>3732</v>
      </c>
      <c r="U254" s="20" t="n">
        <v>2415</v>
      </c>
    </row>
    <row r="255">
      <c r="A255" s="18" t="inlineStr">
        <is>
          <t>고정자산 매각손익</t>
        </is>
      </c>
      <c r="C255" s="20" t="n">
        <v>-13</v>
      </c>
      <c r="D255" s="20" t="n">
        <v>-25</v>
      </c>
      <c r="E255" s="20" t="n">
        <v>-7</v>
      </c>
      <c r="F255" s="20" t="n">
        <v>-38</v>
      </c>
      <c r="G255" s="20" t="n">
        <v>-61</v>
      </c>
      <c r="H255" s="20" t="n">
        <v>-71</v>
      </c>
      <c r="I255" s="20" t="n">
        <v>-367</v>
      </c>
      <c r="J255" s="20" t="n">
        <v>-367</v>
      </c>
      <c r="K255" s="20" t="n">
        <v>-417</v>
      </c>
      <c r="L255" s="20" t="n">
        <v>-434</v>
      </c>
      <c r="M255" s="20" t="n">
        <v>-2</v>
      </c>
      <c r="N255" s="20" t="n">
        <v>-5</v>
      </c>
      <c r="V255" s="20" t="n">
        <v>-25</v>
      </c>
      <c r="W255" s="20" t="n">
        <v>-71</v>
      </c>
      <c r="X255" s="20" t="n">
        <v>-434</v>
      </c>
    </row>
    <row r="256">
      <c r="A256" s="18" t="inlineStr">
        <is>
          <t>고정자산 제각손실</t>
        </is>
      </c>
      <c r="C256" s="20" t="n">
        <v>1535</v>
      </c>
      <c r="D256" s="20" t="n">
        <v>2415</v>
      </c>
      <c r="E256" s="20" t="n">
        <v>426</v>
      </c>
      <c r="F256" s="20" t="n">
        <v>756</v>
      </c>
      <c r="G256" s="20" t="n">
        <v>1051</v>
      </c>
      <c r="H256" s="20" t="n">
        <v>1594</v>
      </c>
      <c r="I256" s="20" t="n">
        <v>152</v>
      </c>
      <c r="J256" s="20" t="n">
        <v>256</v>
      </c>
      <c r="K256" s="20" t="n">
        <v>590</v>
      </c>
      <c r="L256" s="20" t="n">
        <v>1629</v>
      </c>
      <c r="M256" s="20" t="n">
        <v>907</v>
      </c>
      <c r="N256" s="20" t="n">
        <v>1606</v>
      </c>
      <c r="V256" s="20" t="n">
        <v>2415</v>
      </c>
      <c r="W256" s="20" t="n">
        <v>1594</v>
      </c>
      <c r="X256" s="20" t="n">
        <v>1629</v>
      </c>
    </row>
    <row r="257">
      <c r="A257" s="18" t="inlineStr">
        <is>
          <t>투자유가증권 매각손익</t>
        </is>
      </c>
      <c r="C257" s="20" t="n">
        <v>-0</v>
      </c>
      <c r="D257" s="20" t="n">
        <v>-68</v>
      </c>
      <c r="E257" s="20" t="n">
        <v>-0</v>
      </c>
      <c r="F257" s="20" t="n">
        <v>-0</v>
      </c>
      <c r="G257" s="20" t="n">
        <v>-0</v>
      </c>
      <c r="H257" s="20" t="n">
        <v>-24480</v>
      </c>
      <c r="I257" s="20" t="n">
        <v>0</v>
      </c>
      <c r="J257" s="20" t="n">
        <v>-0</v>
      </c>
      <c r="K257" s="20" t="n">
        <v>-304</v>
      </c>
      <c r="L257" s="20" t="n">
        <v>-49448</v>
      </c>
      <c r="N257" s="20" t="n">
        <v>-0</v>
      </c>
      <c r="O257" s="20" t="n">
        <v>0</v>
      </c>
      <c r="P257" s="20" t="n">
        <v>-54</v>
      </c>
      <c r="Q257" s="20" t="n">
        <v>-4666</v>
      </c>
      <c r="R257" s="20" t="n">
        <v>24</v>
      </c>
      <c r="S257" s="20" t="n">
        <v>-64</v>
      </c>
      <c r="T257" s="20" t="n">
        <v>-295</v>
      </c>
      <c r="U257" s="20" t="n">
        <v>-68</v>
      </c>
      <c r="V257" s="20" t="n">
        <v>-68</v>
      </c>
      <c r="W257" s="20" t="n">
        <v>-24480</v>
      </c>
      <c r="X257" s="20" t="n">
        <v>-49448</v>
      </c>
    </row>
    <row r="258">
      <c r="A258" s="18" t="inlineStr">
        <is>
          <t>사업구조개혁 비용</t>
        </is>
      </c>
      <c r="O258" s="20" t="n">
        <v>59441</v>
      </c>
      <c r="P258" s="20" t="n">
        <v>0</v>
      </c>
    </row>
    <row r="259">
      <c r="A259" s="18" t="inlineStr">
        <is>
          <t>투자유가증권 평가손익</t>
        </is>
      </c>
      <c r="R259" s="20" t="n">
        <v>0</v>
      </c>
      <c r="S259" s="20" t="n">
        <v>29</v>
      </c>
      <c r="T259" s="20" t="n">
        <v>630</v>
      </c>
      <c r="U259" s="20" t="n">
        <v>0</v>
      </c>
    </row>
    <row r="260">
      <c r="A260" s="18" t="inlineStr">
        <is>
          <t>조업 중단 비용</t>
        </is>
      </c>
      <c r="Q260" s="20" t="n">
        <v>0</v>
      </c>
      <c r="R260" s="20" t="n">
        <v>91</v>
      </c>
      <c r="S260" s="20" t="n">
        <v>0</v>
      </c>
    </row>
    <row r="261">
      <c r="A261" s="18" t="inlineStr">
        <is>
          <t>관계회사 정리손실</t>
        </is>
      </c>
      <c r="P261" s="20" t="n">
        <v>0</v>
      </c>
      <c r="Q261" s="20" t="n">
        <v>5287</v>
      </c>
      <c r="R261" s="20" t="n">
        <v>458</v>
      </c>
      <c r="S261" s="20" t="n">
        <v>0</v>
      </c>
    </row>
    <row r="262">
      <c r="A262" s="18" t="inlineStr">
        <is>
          <t>관계회사 주식 매각손익</t>
        </is>
      </c>
      <c r="C262" s="20" t="n">
        <v>-3067</v>
      </c>
      <c r="D262" s="20" t="n">
        <v>-3067</v>
      </c>
      <c r="E262" s="20" t="n">
        <v>0</v>
      </c>
      <c r="F262" s="20" t="n">
        <v>0</v>
      </c>
      <c r="G262" s="20" t="n">
        <v>0</v>
      </c>
      <c r="H262" s="20" t="n">
        <v>-0</v>
      </c>
      <c r="L262" s="20" t="n">
        <v>0</v>
      </c>
      <c r="S262" s="20" t="n">
        <v>0</v>
      </c>
      <c r="T262" s="20" t="n">
        <v>0</v>
      </c>
      <c r="U262" s="20" t="n">
        <v>-3067</v>
      </c>
      <c r="V262" s="20" t="n">
        <v>-3067</v>
      </c>
      <c r="W262" s="20" t="n">
        <v>-0</v>
      </c>
      <c r="X262" s="20" t="n">
        <v>0</v>
      </c>
    </row>
    <row r="263">
      <c r="A263" s="18" t="inlineStr">
        <is>
          <t>매출채권 증감</t>
        </is>
      </c>
      <c r="C263" s="20" t="n">
        <v>-4984</v>
      </c>
      <c r="D263" s="20" t="n">
        <v>14831</v>
      </c>
      <c r="E263" s="20" t="n">
        <v>1257</v>
      </c>
      <c r="F263" s="20" t="n">
        <v>4641</v>
      </c>
      <c r="G263" s="20" t="n">
        <v>-2253</v>
      </c>
      <c r="H263" s="20" t="n">
        <v>-2337</v>
      </c>
      <c r="I263" s="20" t="n">
        <v>3592</v>
      </c>
      <c r="J263" s="20" t="n">
        <v>195</v>
      </c>
      <c r="K263" s="20" t="n">
        <v>-1302</v>
      </c>
      <c r="L263" s="20" t="n">
        <v>-10139</v>
      </c>
      <c r="M263" s="20" t="n">
        <v>-2679</v>
      </c>
      <c r="N263" s="20" t="n">
        <v>-9283</v>
      </c>
      <c r="O263" s="20" t="n">
        <v>859</v>
      </c>
      <c r="P263" s="20" t="n">
        <v>-3402</v>
      </c>
      <c r="Q263" s="20" t="n">
        <v>1197</v>
      </c>
      <c r="R263" s="20" t="n">
        <v>-9624</v>
      </c>
      <c r="S263" s="20" t="n">
        <v>-17721</v>
      </c>
      <c r="T263" s="20" t="n">
        <v>15819</v>
      </c>
      <c r="U263" s="20" t="n">
        <v>14831</v>
      </c>
      <c r="V263" s="20" t="n">
        <v>14831</v>
      </c>
      <c r="W263" s="20" t="n">
        <v>-2337</v>
      </c>
      <c r="X263" s="20" t="n">
        <v>-10139</v>
      </c>
    </row>
    <row r="264">
      <c r="A264" s="18" t="inlineStr">
        <is>
          <t>재고자산 증감</t>
        </is>
      </c>
      <c r="C264" s="20" t="n">
        <v>12136</v>
      </c>
      <c r="D264" s="20" t="n">
        <v>15881</v>
      </c>
      <c r="E264" s="20" t="n">
        <v>-760</v>
      </c>
      <c r="F264" s="20" t="n">
        <v>-5167</v>
      </c>
      <c r="G264" s="20" t="n">
        <v>-7064</v>
      </c>
      <c r="H264" s="20" t="n">
        <v>-2478</v>
      </c>
      <c r="I264" s="20" t="n">
        <v>-177</v>
      </c>
      <c r="J264" s="20" t="n">
        <v>-308</v>
      </c>
      <c r="K264" s="20" t="n">
        <v>-3647</v>
      </c>
      <c r="L264" s="20" t="n">
        <v>-1059</v>
      </c>
      <c r="M264" s="20" t="n">
        <v>-5497</v>
      </c>
      <c r="N264" s="20" t="n">
        <v>-12018</v>
      </c>
      <c r="O264" s="20" t="n">
        <v>2675</v>
      </c>
      <c r="P264" s="20" t="n">
        <v>-5843</v>
      </c>
      <c r="Q264" s="20" t="n">
        <v>-9018</v>
      </c>
      <c r="R264" s="20" t="n">
        <v>2520</v>
      </c>
      <c r="S264" s="20" t="n">
        <v>-9968</v>
      </c>
      <c r="T264" s="20" t="n">
        <v>-2344</v>
      </c>
      <c r="U264" s="20" t="n">
        <v>15881</v>
      </c>
      <c r="V264" s="20" t="n">
        <v>15881</v>
      </c>
      <c r="W264" s="20" t="n">
        <v>-2478</v>
      </c>
      <c r="X264" s="20" t="n">
        <v>-1059</v>
      </c>
    </row>
    <row r="265">
      <c r="A265" s="18" t="inlineStr">
        <is>
          <t>매입채무 증감</t>
        </is>
      </c>
      <c r="C265" s="20" t="n">
        <v>2191</v>
      </c>
      <c r="D265" s="20" t="n">
        <v>2780</v>
      </c>
      <c r="E265" s="20" t="n">
        <v>-631</v>
      </c>
      <c r="F265" s="20" t="n">
        <v>-1031</v>
      </c>
      <c r="G265" s="20" t="n">
        <v>4665</v>
      </c>
      <c r="H265" s="20" t="n">
        <v>-4941</v>
      </c>
      <c r="I265" s="20" t="n">
        <v>-2575</v>
      </c>
      <c r="J265" s="20" t="n">
        <v>-720</v>
      </c>
      <c r="K265" s="20" t="n">
        <v>5917</v>
      </c>
      <c r="L265" s="20" t="n">
        <v>4078</v>
      </c>
      <c r="M265" s="20" t="n">
        <v>4514</v>
      </c>
      <c r="N265" s="20" t="n">
        <v>11183</v>
      </c>
      <c r="O265" s="20" t="n">
        <v>-4671</v>
      </c>
      <c r="P265" s="20" t="n">
        <v>6438</v>
      </c>
      <c r="Q265" s="20" t="n">
        <v>875</v>
      </c>
      <c r="R265" s="20" t="n">
        <v>6807</v>
      </c>
      <c r="S265" s="20" t="n">
        <v>-1450</v>
      </c>
      <c r="T265" s="20" t="n">
        <v>-12029</v>
      </c>
      <c r="U265" s="20" t="n">
        <v>2780</v>
      </c>
      <c r="V265" s="20" t="n">
        <v>2780</v>
      </c>
      <c r="W265" s="20" t="n">
        <v>-4941</v>
      </c>
      <c r="X265" s="20" t="n">
        <v>4078</v>
      </c>
    </row>
    <row r="266">
      <c r="A266" s="18" t="inlineStr">
        <is>
          <t>선수금 증감</t>
        </is>
      </c>
      <c r="C266" s="20" t="n">
        <v>-7366</v>
      </c>
      <c r="D266" s="20" t="n">
        <v>49325</v>
      </c>
      <c r="E266" s="20" t="n">
        <v>-3078</v>
      </c>
      <c r="F266" s="20" t="n">
        <v>8545</v>
      </c>
      <c r="G266" s="20" t="n">
        <v>7014</v>
      </c>
      <c r="H266" s="20" t="n">
        <v>11986</v>
      </c>
      <c r="I266" s="20" t="n">
        <v>-2319</v>
      </c>
      <c r="J266" s="20" t="n">
        <v>-14507</v>
      </c>
      <c r="K266" s="20" t="n">
        <v>-15154</v>
      </c>
      <c r="L266" s="20" t="n">
        <v>-11133</v>
      </c>
      <c r="M266" s="20" t="n">
        <v>73575</v>
      </c>
      <c r="N266" s="20" t="n">
        <v>118796</v>
      </c>
      <c r="T266" s="20" t="n">
        <v>28043</v>
      </c>
      <c r="U266" s="20" t="n">
        <v>49325</v>
      </c>
      <c r="V266" s="20" t="n">
        <v>49325</v>
      </c>
      <c r="W266" s="20" t="n">
        <v>11986</v>
      </c>
      <c r="X266" s="20" t="n">
        <v>-11133</v>
      </c>
    </row>
    <row r="267">
      <c r="A267" s="18" t="inlineStr">
        <is>
          <t>미지급비용 증감</t>
        </is>
      </c>
      <c r="C267" s="20" t="n">
        <v>-126</v>
      </c>
      <c r="D267" s="20" t="n">
        <v>-440</v>
      </c>
      <c r="E267" s="20" t="n">
        <v>955</v>
      </c>
      <c r="F267" s="20" t="n">
        <v>136</v>
      </c>
      <c r="G267" s="20" t="n">
        <v>-479</v>
      </c>
      <c r="H267" s="20" t="n">
        <v>3</v>
      </c>
      <c r="I267" s="20" t="n">
        <v>908</v>
      </c>
      <c r="J267" s="20" t="n">
        <v>255</v>
      </c>
      <c r="K267" s="20" t="n">
        <v>579</v>
      </c>
      <c r="L267" s="20" t="n">
        <v>1181</v>
      </c>
      <c r="M267" s="20" t="n">
        <v>1951</v>
      </c>
      <c r="N267" s="20" t="n">
        <v>1261</v>
      </c>
      <c r="O267" s="20" t="n">
        <v>-386</v>
      </c>
      <c r="P267" s="20" t="n">
        <v>538</v>
      </c>
      <c r="Q267" s="20" t="n">
        <v>-386</v>
      </c>
      <c r="R267" s="20" t="n">
        <v>-33</v>
      </c>
      <c r="S267" s="20" t="n">
        <v>-238</v>
      </c>
      <c r="T267" s="20" t="n">
        <v>639</v>
      </c>
      <c r="U267" s="20" t="n">
        <v>-440</v>
      </c>
      <c r="V267" s="20" t="n">
        <v>-440</v>
      </c>
      <c r="W267" s="20" t="n">
        <v>3</v>
      </c>
      <c r="X267" s="20" t="n">
        <v>1181</v>
      </c>
    </row>
    <row r="268">
      <c r="A268" s="18" t="inlineStr">
        <is>
          <t>고정자산 압축손실</t>
        </is>
      </c>
      <c r="C268" s="20" t="n">
        <v>136</v>
      </c>
      <c r="D268" s="20" t="n">
        <v>1881</v>
      </c>
      <c r="E268" s="20" t="n">
        <v>853</v>
      </c>
      <c r="F268" s="20" t="n">
        <v>2585</v>
      </c>
      <c r="G268" s="20" t="n">
        <v>6285</v>
      </c>
      <c r="H268" s="20" t="n">
        <v>28581</v>
      </c>
      <c r="I268" s="20" t="n">
        <v>911</v>
      </c>
      <c r="J268" s="20" t="n">
        <v>4403</v>
      </c>
      <c r="K268" s="20" t="n">
        <v>7331</v>
      </c>
      <c r="L268" s="20" t="n">
        <v>9148</v>
      </c>
      <c r="M268" s="20" t="n">
        <v>0</v>
      </c>
      <c r="N268" s="20" t="n">
        <v>813</v>
      </c>
      <c r="T268" s="20" t="n">
        <v>0</v>
      </c>
      <c r="U268" s="20" t="n">
        <v>1881</v>
      </c>
      <c r="V268" s="20" t="n">
        <v>1881</v>
      </c>
      <c r="W268" s="20" t="n">
        <v>28581</v>
      </c>
      <c r="X268" s="20" t="n">
        <v>9148</v>
      </c>
    </row>
    <row r="269">
      <c r="A269" s="18" t="inlineStr">
        <is>
          <t>사채발행비</t>
        </is>
      </c>
      <c r="C269" s="20" t="n">
        <v>0</v>
      </c>
      <c r="F269" s="20" t="n">
        <v>151</v>
      </c>
      <c r="G269" s="20" t="n">
        <v>151</v>
      </c>
      <c r="J269" s="20" t="n">
        <v>0</v>
      </c>
      <c r="K269" s="20" t="n">
        <v>0</v>
      </c>
    </row>
    <row r="270">
      <c r="A270" s="18" t="inlineStr">
        <is>
          <t>보험금 수익</t>
        </is>
      </c>
      <c r="D270" s="20" t="n">
        <v>-52</v>
      </c>
      <c r="H270" s="20" t="n">
        <v>-1051</v>
      </c>
      <c r="L270" s="20" t="n">
        <v>0</v>
      </c>
      <c r="V270" s="20" t="n">
        <v>-52</v>
      </c>
      <c r="W270" s="20" t="n">
        <v>-1051</v>
      </c>
      <c r="X270" s="20" t="n">
        <v>0</v>
      </c>
    </row>
    <row r="271">
      <c r="A271" s="18" t="inlineStr">
        <is>
          <t>보조금 수입</t>
        </is>
      </c>
      <c r="C271" s="20" t="n">
        <v>-136</v>
      </c>
      <c r="D271" s="20" t="n">
        <v>-1881</v>
      </c>
      <c r="E271" s="20" t="n">
        <v>-853</v>
      </c>
      <c r="F271" s="20" t="n">
        <v>-2585</v>
      </c>
      <c r="G271" s="20" t="n">
        <v>-6285</v>
      </c>
      <c r="H271" s="20" t="n">
        <v>-28581</v>
      </c>
      <c r="I271" s="20" t="n">
        <v>-911</v>
      </c>
      <c r="J271" s="20" t="n">
        <v>-4403</v>
      </c>
      <c r="K271" s="20" t="n">
        <v>-7331</v>
      </c>
      <c r="L271" s="20" t="n">
        <v>-9148</v>
      </c>
      <c r="M271" s="20" t="n">
        <v>0</v>
      </c>
      <c r="N271" s="20" t="n">
        <v>-813</v>
      </c>
      <c r="T271" s="20" t="n">
        <v>0</v>
      </c>
      <c r="U271" s="20" t="n">
        <v>-1881</v>
      </c>
      <c r="V271" s="20" t="n">
        <v>-1881</v>
      </c>
      <c r="W271" s="20" t="n">
        <v>-28581</v>
      </c>
      <c r="X271" s="20" t="n">
        <v>-9148</v>
      </c>
    </row>
    <row r="272">
      <c r="A272" s="18" t="inlineStr">
        <is>
          <t>기타</t>
        </is>
      </c>
      <c r="C272" s="20" t="n">
        <v>-9331</v>
      </c>
      <c r="D272" s="20" t="n">
        <v>-6485</v>
      </c>
      <c r="E272" s="20" t="n">
        <v>-7728</v>
      </c>
      <c r="F272" s="20" t="n">
        <v>-13191</v>
      </c>
      <c r="G272" s="20" t="n">
        <v>-49</v>
      </c>
      <c r="H272" s="20" t="n">
        <v>-2875</v>
      </c>
      <c r="I272" s="20" t="n">
        <v>-3588</v>
      </c>
      <c r="J272" s="20" t="n">
        <v>3693</v>
      </c>
      <c r="K272" s="20" t="n">
        <v>18125</v>
      </c>
      <c r="L272" s="20" t="n">
        <v>11060</v>
      </c>
      <c r="M272" s="20" t="n">
        <v>3051</v>
      </c>
      <c r="N272" s="20" t="n">
        <v>4176</v>
      </c>
      <c r="O272" s="20" t="n">
        <v>382</v>
      </c>
      <c r="P272" s="20" t="n">
        <v>-12436</v>
      </c>
      <c r="Q272" s="20" t="n">
        <v>-1520</v>
      </c>
      <c r="R272" s="20" t="n">
        <v>-13072</v>
      </c>
      <c r="S272" s="20" t="n">
        <v>-1303</v>
      </c>
      <c r="T272" s="20" t="n">
        <v>-10296</v>
      </c>
      <c r="U272" s="20" t="n">
        <v>-6485</v>
      </c>
      <c r="V272" s="20" t="n">
        <v>-6485</v>
      </c>
      <c r="W272" s="20" t="n">
        <v>-2875</v>
      </c>
      <c r="X272" s="20" t="n">
        <v>11060</v>
      </c>
    </row>
    <row r="273">
      <c r="A273" s="18" t="inlineStr">
        <is>
          <t>소계</t>
        </is>
      </c>
      <c r="C273" s="20" t="n">
        <v>60668</v>
      </c>
      <c r="D273" s="20" t="n">
        <v>166748</v>
      </c>
      <c r="E273" s="20" t="n">
        <v>8690</v>
      </c>
      <c r="F273" s="20" t="n">
        <v>43604</v>
      </c>
      <c r="G273" s="20" t="n">
        <v>68447</v>
      </c>
      <c r="H273" s="20" t="n">
        <v>96542</v>
      </c>
      <c r="I273" s="20" t="n">
        <v>21796</v>
      </c>
      <c r="J273" s="20" t="n">
        <v>46167</v>
      </c>
      <c r="K273" s="20" t="n">
        <v>88442</v>
      </c>
      <c r="L273" s="20" t="n">
        <v>119393</v>
      </c>
      <c r="M273" s="20" t="n">
        <v>116236</v>
      </c>
      <c r="N273" s="20" t="n">
        <v>212753</v>
      </c>
      <c r="O273" s="20" t="n">
        <v>31001</v>
      </c>
      <c r="P273" s="20" t="n">
        <v>29528</v>
      </c>
      <c r="Q273" s="20" t="n">
        <v>25898</v>
      </c>
      <c r="R273" s="20" t="n">
        <v>31011</v>
      </c>
      <c r="S273" s="20" t="n">
        <v>43535</v>
      </c>
      <c r="T273" s="20" t="n">
        <v>148228</v>
      </c>
      <c r="U273" s="20" t="n">
        <v>166801</v>
      </c>
      <c r="V273" s="20" t="n">
        <v>166748</v>
      </c>
      <c r="W273" s="20" t="n">
        <v>96542</v>
      </c>
      <c r="X273" s="20" t="n">
        <v>119393</v>
      </c>
    </row>
    <row r="274">
      <c r="A274" s="18" t="inlineStr">
        <is>
          <t>이자·배당금 수취</t>
        </is>
      </c>
      <c r="C274" s="20" t="n">
        <v>2597</v>
      </c>
      <c r="D274" s="20" t="n">
        <v>2901</v>
      </c>
      <c r="E274" s="20" t="n">
        <v>1409</v>
      </c>
      <c r="F274" s="20" t="n">
        <v>1786</v>
      </c>
      <c r="G274" s="20" t="n">
        <v>3307</v>
      </c>
      <c r="H274" s="20" t="n">
        <v>3855</v>
      </c>
      <c r="I274" s="20" t="n">
        <v>1104</v>
      </c>
      <c r="J274" s="20" t="n">
        <v>1741</v>
      </c>
      <c r="K274" s="20" t="n">
        <v>2646</v>
      </c>
      <c r="L274" s="20" t="n">
        <v>3259</v>
      </c>
      <c r="M274" s="20" t="n">
        <v>1107</v>
      </c>
      <c r="N274" s="20" t="n">
        <v>2047</v>
      </c>
      <c r="O274" s="20" t="n">
        <v>1615</v>
      </c>
      <c r="P274" s="20" t="n">
        <v>1366</v>
      </c>
      <c r="Q274" s="20" t="n">
        <v>1370</v>
      </c>
      <c r="R274" s="20" t="n">
        <v>1323</v>
      </c>
      <c r="S274" s="20" t="n">
        <v>1222</v>
      </c>
      <c r="T274" s="20" t="n">
        <v>2506</v>
      </c>
      <c r="U274" s="20" t="n">
        <v>2901</v>
      </c>
      <c r="V274" s="20" t="n">
        <v>2901</v>
      </c>
      <c r="W274" s="20" t="n">
        <v>3855</v>
      </c>
      <c r="X274" s="20" t="n">
        <v>3259</v>
      </c>
    </row>
    <row r="275">
      <c r="A275" s="18" t="inlineStr">
        <is>
          <t>이자 지급</t>
        </is>
      </c>
      <c r="C275" s="20" t="n">
        <v>-507</v>
      </c>
      <c r="D275" s="20" t="n">
        <v>-710</v>
      </c>
      <c r="E275" s="20" t="n">
        <v>-214</v>
      </c>
      <c r="F275" s="20" t="n">
        <v>-453</v>
      </c>
      <c r="G275" s="20" t="n">
        <v>-798</v>
      </c>
      <c r="H275" s="20" t="n">
        <v>-1155</v>
      </c>
      <c r="I275" s="20" t="n">
        <v>-351</v>
      </c>
      <c r="J275" s="20" t="n">
        <v>-698</v>
      </c>
      <c r="K275" s="20" t="n">
        <v>-1023</v>
      </c>
      <c r="L275" s="20" t="n">
        <v>-1365</v>
      </c>
      <c r="M275" s="20" t="n">
        <v>-226</v>
      </c>
      <c r="N275" s="20" t="n">
        <v>-458</v>
      </c>
      <c r="O275" s="20" t="n">
        <v>-187</v>
      </c>
      <c r="P275" s="20" t="n">
        <v>-146</v>
      </c>
      <c r="Q275" s="20" t="n">
        <v>-158</v>
      </c>
      <c r="R275" s="20" t="n">
        <v>-194</v>
      </c>
      <c r="S275" s="20" t="n">
        <v>-258</v>
      </c>
      <c r="T275" s="20" t="n">
        <v>-370</v>
      </c>
      <c r="U275" s="20" t="n">
        <v>-710</v>
      </c>
      <c r="V275" s="20" t="n">
        <v>-710</v>
      </c>
      <c r="W275" s="20" t="n">
        <v>-1155</v>
      </c>
      <c r="X275" s="20" t="n">
        <v>-1365</v>
      </c>
    </row>
    <row r="276">
      <c r="A276" s="18" t="inlineStr">
        <is>
          <t>법인세 납부</t>
        </is>
      </c>
      <c r="C276" s="20" t="n">
        <v>-25479</v>
      </c>
      <c r="D276" s="20" t="n">
        <v>-25641</v>
      </c>
      <c r="E276" s="20" t="n">
        <v>-2327</v>
      </c>
      <c r="F276" s="20" t="n">
        <v>-2674</v>
      </c>
      <c r="G276" s="20" t="n">
        <v>-9059</v>
      </c>
      <c r="H276" s="20" t="n">
        <v>-9978</v>
      </c>
      <c r="I276" s="20" t="n">
        <v>-13898</v>
      </c>
      <c r="J276" s="20" t="n">
        <v>-14415</v>
      </c>
      <c r="K276" s="20" t="n">
        <v>-24206</v>
      </c>
      <c r="L276" s="20" t="n">
        <v>-23627</v>
      </c>
      <c r="M276" s="20" t="n">
        <v>-21226</v>
      </c>
      <c r="N276" s="20" t="n">
        <v>-21977</v>
      </c>
      <c r="O276" s="20" t="n">
        <v>-4225</v>
      </c>
      <c r="P276" s="20" t="n">
        <v>-3708</v>
      </c>
      <c r="Q276" s="20" t="n">
        <v>-8554</v>
      </c>
      <c r="R276" s="20" t="n">
        <v>-6043</v>
      </c>
      <c r="S276" s="20" t="n">
        <v>-5545</v>
      </c>
      <c r="T276" s="20" t="n">
        <v>-24616</v>
      </c>
      <c r="U276" s="20" t="n">
        <v>-25641</v>
      </c>
      <c r="V276" s="20" t="n">
        <v>-25641</v>
      </c>
      <c r="W276" s="20" t="n">
        <v>-9978</v>
      </c>
      <c r="X276" s="20" t="n">
        <v>-23627</v>
      </c>
    </row>
    <row r="277">
      <c r="A277" s="18" t="inlineStr">
        <is>
          <t>법인세 환급</t>
        </is>
      </c>
      <c r="O277" s="20" t="n">
        <v>609</v>
      </c>
      <c r="P277" s="20" t="n">
        <v>0</v>
      </c>
    </row>
    <row r="278">
      <c r="A278" s="18" t="inlineStr">
        <is>
          <t>보험금 수취</t>
        </is>
      </c>
      <c r="D278" s="20" t="n">
        <v>52</v>
      </c>
      <c r="H278" s="20" t="n">
        <v>1051</v>
      </c>
      <c r="L278" s="20" t="n">
        <v>0</v>
      </c>
      <c r="V278" s="20" t="n">
        <v>52</v>
      </c>
      <c r="W278" s="20" t="n">
        <v>1051</v>
      </c>
      <c r="X278" s="20" t="n">
        <v>0</v>
      </c>
    </row>
    <row r="279">
      <c r="A279" s="18" t="inlineStr">
        <is>
          <t>보조금 수취</t>
        </is>
      </c>
      <c r="C279" s="20" t="n">
        <v>136</v>
      </c>
      <c r="D279" s="20" t="n">
        <v>1881</v>
      </c>
      <c r="E279" s="20" t="n">
        <v>853</v>
      </c>
      <c r="F279" s="20" t="n">
        <v>2585</v>
      </c>
      <c r="G279" s="20" t="n">
        <v>6285</v>
      </c>
      <c r="H279" s="20" t="n">
        <v>28581</v>
      </c>
      <c r="I279" s="20" t="n">
        <v>911</v>
      </c>
      <c r="J279" s="20" t="n">
        <v>3903</v>
      </c>
      <c r="K279" s="20" t="n">
        <v>6831</v>
      </c>
      <c r="L279" s="20" t="n">
        <v>8748</v>
      </c>
      <c r="M279" s="20" t="n">
        <v>0</v>
      </c>
      <c r="N279" s="20" t="n">
        <v>813</v>
      </c>
      <c r="T279" s="20" t="n">
        <v>0</v>
      </c>
      <c r="U279" s="20" t="n">
        <v>1881</v>
      </c>
      <c r="V279" s="20" t="n">
        <v>1881</v>
      </c>
      <c r="W279" s="20" t="n">
        <v>28581</v>
      </c>
      <c r="X279" s="20" t="n">
        <v>8748</v>
      </c>
    </row>
    <row r="280">
      <c r="A280" s="9" t="inlineStr">
        <is>
          <t>영업활동 현금흐름</t>
        </is>
      </c>
      <c r="C280" s="12" t="n">
        <v>37415</v>
      </c>
      <c r="D280" s="12" t="n">
        <v>145231</v>
      </c>
      <c r="E280" s="12" t="n">
        <v>8410</v>
      </c>
      <c r="F280" s="12" t="n">
        <v>44848</v>
      </c>
      <c r="G280" s="12" t="n">
        <v>68182</v>
      </c>
      <c r="H280" s="12" t="n">
        <v>118895</v>
      </c>
      <c r="I280" s="12" t="n">
        <v>9562</v>
      </c>
      <c r="J280" s="12" t="n">
        <v>36697</v>
      </c>
      <c r="K280" s="12" t="n">
        <v>72690</v>
      </c>
      <c r="L280" s="12" t="n">
        <v>106407</v>
      </c>
      <c r="M280" s="12" t="n">
        <v>95892</v>
      </c>
      <c r="N280" s="12" t="n">
        <v>193178</v>
      </c>
      <c r="O280" s="12" t="n">
        <v>28813</v>
      </c>
      <c r="P280" s="12" t="n">
        <v>27040</v>
      </c>
      <c r="Q280" s="12" t="n">
        <v>18555</v>
      </c>
      <c r="R280" s="12" t="n">
        <v>26096</v>
      </c>
      <c r="S280" s="12" t="n">
        <v>38954</v>
      </c>
      <c r="T280" s="12" t="n">
        <v>125748</v>
      </c>
      <c r="U280" s="12" t="n">
        <v>145231</v>
      </c>
      <c r="V280" s="12" t="n">
        <v>145231</v>
      </c>
      <c r="W280" s="12" t="n">
        <v>118895</v>
      </c>
      <c r="X280" s="12" t="n">
        <v>106407</v>
      </c>
    </row>
    <row r="281">
      <c r="A281" s="18" t="inlineStr">
        <is>
          <t>유형자산 취득(설비투자)</t>
        </is>
      </c>
      <c r="C281" s="20" t="n">
        <v>-68042</v>
      </c>
      <c r="D281" s="20" t="n">
        <v>-85456</v>
      </c>
      <c r="E281" s="20" t="n">
        <v>-26067</v>
      </c>
      <c r="F281" s="20" t="n">
        <v>-108286</v>
      </c>
      <c r="G281" s="20" t="n">
        <v>-146475</v>
      </c>
      <c r="H281" s="20" t="n">
        <v>-197484</v>
      </c>
      <c r="I281" s="20" t="n">
        <v>-23271</v>
      </c>
      <c r="J281" s="20" t="n">
        <v>-59607</v>
      </c>
      <c r="K281" s="20" t="n">
        <v>-80116</v>
      </c>
      <c r="L281" s="20" t="n">
        <v>-106118</v>
      </c>
      <c r="M281" s="20" t="n">
        <v>-15747</v>
      </c>
      <c r="N281" s="20" t="n">
        <v>-48310</v>
      </c>
      <c r="O281" s="20" t="n">
        <v>-25558</v>
      </c>
      <c r="P281" s="20" t="n">
        <v>-18767</v>
      </c>
      <c r="Q281" s="20" t="n">
        <v>-23438</v>
      </c>
      <c r="R281" s="20" t="n">
        <v>-37268</v>
      </c>
      <c r="S281" s="20" t="n">
        <v>-75350</v>
      </c>
      <c r="T281" s="20" t="n">
        <v>-103233</v>
      </c>
      <c r="U281" s="20" t="n">
        <v>-85456</v>
      </c>
      <c r="V281" s="20" t="n">
        <v>-85456</v>
      </c>
      <c r="W281" s="20" t="n">
        <v>-197484</v>
      </c>
      <c r="X281" s="20" t="n">
        <v>-106118</v>
      </c>
    </row>
    <row r="282">
      <c r="A282" s="18" t="inlineStr">
        <is>
          <t>유형자산 매각</t>
        </is>
      </c>
      <c r="C282" s="20" t="n">
        <v>159</v>
      </c>
      <c r="D282" s="20" t="n">
        <v>190</v>
      </c>
      <c r="E282" s="20" t="n">
        <v>15</v>
      </c>
      <c r="F282" s="20" t="n">
        <v>129</v>
      </c>
      <c r="G282" s="20" t="n">
        <v>145</v>
      </c>
      <c r="H282" s="20" t="n">
        <v>176</v>
      </c>
      <c r="I282" s="20" t="n">
        <v>307</v>
      </c>
      <c r="J282" s="20" t="n">
        <v>396</v>
      </c>
      <c r="K282" s="20" t="n">
        <v>552</v>
      </c>
      <c r="L282" s="20" t="n">
        <v>579</v>
      </c>
      <c r="M282" s="20" t="n">
        <v>15</v>
      </c>
      <c r="N282" s="20" t="n">
        <v>912</v>
      </c>
      <c r="O282" s="20" t="n">
        <v>181</v>
      </c>
      <c r="P282" s="20" t="n">
        <v>277</v>
      </c>
      <c r="Q282" s="20" t="n">
        <v>147</v>
      </c>
      <c r="R282" s="20" t="n">
        <v>844</v>
      </c>
      <c r="S282" s="20" t="n">
        <v>637</v>
      </c>
      <c r="T282" s="20" t="n">
        <v>192</v>
      </c>
      <c r="U282" s="20" t="n">
        <v>190</v>
      </c>
      <c r="V282" s="20" t="n">
        <v>190</v>
      </c>
      <c r="W282" s="20" t="n">
        <v>176</v>
      </c>
      <c r="X282" s="20" t="n">
        <v>579</v>
      </c>
    </row>
    <row r="283">
      <c r="A283" s="18" t="inlineStr">
        <is>
          <t>무형자산 취득</t>
        </is>
      </c>
      <c r="C283" s="20" t="n">
        <v>-853</v>
      </c>
      <c r="D283" s="20" t="n">
        <v>-966</v>
      </c>
      <c r="E283" s="20" t="n">
        <v>-352</v>
      </c>
      <c r="F283" s="20" t="n">
        <v>-524</v>
      </c>
      <c r="G283" s="20" t="n">
        <v>-953</v>
      </c>
      <c r="H283" s="20" t="n">
        <v>-1040</v>
      </c>
      <c r="I283" s="20" t="n">
        <v>-231</v>
      </c>
      <c r="J283" s="20" t="n">
        <v>-840</v>
      </c>
      <c r="K283" s="20" t="n">
        <v>-882</v>
      </c>
      <c r="L283" s="20" t="n">
        <v>-1126</v>
      </c>
      <c r="M283" s="20" t="n">
        <v>-390</v>
      </c>
      <c r="N283" s="20" t="n">
        <v>-560</v>
      </c>
      <c r="O283" s="20" t="n">
        <v>-1022</v>
      </c>
      <c r="P283" s="20" t="n">
        <v>-408</v>
      </c>
      <c r="Q283" s="20" t="n">
        <v>-1174</v>
      </c>
      <c r="R283" s="20" t="n">
        <v>-1226</v>
      </c>
      <c r="S283" s="20" t="n">
        <v>-1173</v>
      </c>
      <c r="T283" s="20" t="n">
        <v>-799</v>
      </c>
      <c r="U283" s="20" t="n">
        <v>-966</v>
      </c>
      <c r="V283" s="20" t="n">
        <v>-966</v>
      </c>
      <c r="W283" s="20" t="n">
        <v>-1040</v>
      </c>
      <c r="X283" s="20" t="n">
        <v>-1126</v>
      </c>
    </row>
    <row r="284">
      <c r="A284" s="18" t="inlineStr">
        <is>
          <t>투자유가증권 취득</t>
        </is>
      </c>
      <c r="C284" s="20" t="n">
        <v>-35</v>
      </c>
      <c r="D284" s="20" t="n">
        <v>-40</v>
      </c>
      <c r="E284" s="20" t="n">
        <v>-8</v>
      </c>
      <c r="F284" s="20" t="n">
        <v>-15</v>
      </c>
      <c r="G284" s="20" t="n">
        <v>-27</v>
      </c>
      <c r="H284" s="20" t="n">
        <v>-32</v>
      </c>
      <c r="I284" s="20" t="n">
        <v>-9</v>
      </c>
      <c r="J284" s="20" t="n">
        <v>-16</v>
      </c>
      <c r="K284" s="20" t="n">
        <v>-250</v>
      </c>
      <c r="L284" s="20" t="n">
        <v>-333</v>
      </c>
      <c r="M284" s="20" t="n">
        <v>-50</v>
      </c>
      <c r="N284" s="20" t="n">
        <v>-358</v>
      </c>
      <c r="O284" s="20" t="n">
        <v>-37</v>
      </c>
      <c r="P284" s="20" t="n">
        <v>-2557</v>
      </c>
      <c r="Q284" s="20" t="n">
        <v>-280</v>
      </c>
      <c r="R284" s="20" t="n">
        <v>-26</v>
      </c>
      <c r="S284" s="20" t="n">
        <v>-6199</v>
      </c>
      <c r="T284" s="20" t="n">
        <v>-39</v>
      </c>
      <c r="U284" s="20" t="n">
        <v>-40</v>
      </c>
      <c r="V284" s="20" t="n">
        <v>-40</v>
      </c>
      <c r="W284" s="20" t="n">
        <v>-32</v>
      </c>
      <c r="X284" s="20" t="n">
        <v>-333</v>
      </c>
    </row>
    <row r="285">
      <c r="A285" s="18" t="inlineStr">
        <is>
          <t>투자유가증권 매각</t>
        </is>
      </c>
      <c r="C285" s="20" t="n">
        <v>0</v>
      </c>
      <c r="D285" s="20" t="n">
        <v>182</v>
      </c>
      <c r="E285" s="20" t="n">
        <v>0</v>
      </c>
      <c r="F285" s="20" t="n">
        <v>0</v>
      </c>
      <c r="G285" s="20" t="n">
        <v>0</v>
      </c>
      <c r="H285" s="20" t="n">
        <v>34635</v>
      </c>
      <c r="I285" s="20" t="n">
        <v>0</v>
      </c>
      <c r="J285" s="20" t="n">
        <v>0</v>
      </c>
      <c r="K285" s="20" t="n">
        <v>533</v>
      </c>
      <c r="L285" s="20" t="n">
        <v>57450</v>
      </c>
      <c r="N285" s="20" t="n">
        <v>16</v>
      </c>
      <c r="O285" s="20" t="n">
        <v>1</v>
      </c>
      <c r="P285" s="20" t="n">
        <v>165</v>
      </c>
      <c r="Q285" s="20" t="n">
        <v>6873</v>
      </c>
      <c r="R285" s="20" t="n">
        <v>177</v>
      </c>
      <c r="S285" s="20" t="n">
        <v>95</v>
      </c>
      <c r="T285" s="20" t="n">
        <v>402</v>
      </c>
      <c r="U285" s="20" t="n">
        <v>182</v>
      </c>
      <c r="V285" s="20" t="n">
        <v>182</v>
      </c>
      <c r="W285" s="20" t="n">
        <v>34635</v>
      </c>
      <c r="X285" s="20" t="n">
        <v>57450</v>
      </c>
    </row>
    <row r="286">
      <c r="A286" s="18" t="inlineStr">
        <is>
          <t>장기대여</t>
        </is>
      </c>
      <c r="O286" s="20" t="n">
        <v>-10</v>
      </c>
      <c r="P286" s="20" t="n">
        <v>-11</v>
      </c>
      <c r="Q286" s="20" t="n">
        <v>0</v>
      </c>
    </row>
    <row r="287">
      <c r="A287" s="18" t="inlineStr">
        <is>
          <t>연결범위 변경 자회사 주식 취득</t>
        </is>
      </c>
      <c r="P287" s="20" t="n">
        <v>0</v>
      </c>
      <c r="Q287" s="20" t="n">
        <v>-88</v>
      </c>
      <c r="R287" s="20" t="n">
        <v>0</v>
      </c>
      <c r="S287" s="20" t="n">
        <v>-584</v>
      </c>
      <c r="T287" s="20" t="n">
        <v>0</v>
      </c>
    </row>
    <row r="288">
      <c r="A288" s="18" t="inlineStr">
        <is>
          <t>정기예금 예입</t>
        </is>
      </c>
      <c r="H288" s="20" t="n">
        <v>0</v>
      </c>
      <c r="L288" s="20" t="n">
        <v>-2563</v>
      </c>
      <c r="W288" s="20" t="n">
        <v>0</v>
      </c>
      <c r="X288" s="20" t="n">
        <v>-2563</v>
      </c>
    </row>
    <row r="289">
      <c r="A289" s="18" t="inlineStr">
        <is>
          <t>장기대여금 회수</t>
        </is>
      </c>
      <c r="C289" s="20" t="n">
        <v>0</v>
      </c>
      <c r="D289" s="20" t="n">
        <v>0</v>
      </c>
      <c r="E289" s="20" t="n">
        <v>0</v>
      </c>
      <c r="F289" s="20" t="n">
        <v>0</v>
      </c>
      <c r="G289" s="20" t="n">
        <v>0</v>
      </c>
      <c r="H289" s="20" t="n">
        <v>0</v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0" t="n">
        <v>0</v>
      </c>
      <c r="O289" s="20" t="n">
        <v>18</v>
      </c>
      <c r="P289" s="20" t="n">
        <v>17</v>
      </c>
      <c r="Q289" s="20" t="n">
        <v>0</v>
      </c>
      <c r="R289" s="20" t="n">
        <v>0</v>
      </c>
      <c r="S289" s="20" t="n">
        <v>0</v>
      </c>
      <c r="T289" s="20" t="n">
        <v>0</v>
      </c>
      <c r="U289" s="20" t="n">
        <v>0</v>
      </c>
      <c r="V289" s="20" t="n">
        <v>0</v>
      </c>
      <c r="W289" s="20" t="n">
        <v>0</v>
      </c>
      <c r="X289" s="20" t="n">
        <v>0</v>
      </c>
    </row>
    <row r="290">
      <c r="A290" s="18" t="inlineStr">
        <is>
          <t>연결범위 변경 자회사 주식 매각(지출)</t>
        </is>
      </c>
      <c r="E290" s="20" t="n">
        <v>0</v>
      </c>
      <c r="S290" s="20" t="n">
        <v>0</v>
      </c>
      <c r="T290" s="20" t="n">
        <v>-1164</v>
      </c>
      <c r="U290" s="20" t="n">
        <v>0</v>
      </c>
    </row>
    <row r="291">
      <c r="A291" s="18" t="inlineStr">
        <is>
          <t>단기대여금 증감(△는 증가)</t>
        </is>
      </c>
      <c r="O291" s="20" t="n">
        <v>0</v>
      </c>
      <c r="P291" s="20" t="n">
        <v>0</v>
      </c>
      <c r="Q291" s="20" t="n">
        <v>0</v>
      </c>
      <c r="R291" s="20" t="n">
        <v>-1</v>
      </c>
      <c r="S291" s="20" t="n">
        <v>0</v>
      </c>
      <c r="T291" s="20" t="n">
        <v>0</v>
      </c>
    </row>
    <row r="292">
      <c r="A292" s="18" t="inlineStr">
        <is>
          <t>연결범위 변경 자회사 주식 매각</t>
        </is>
      </c>
      <c r="C292" s="20" t="n">
        <v>8686</v>
      </c>
      <c r="D292" s="20" t="n">
        <v>8686</v>
      </c>
      <c r="F292" s="20" t="n">
        <v>0</v>
      </c>
      <c r="G292" s="20" t="n">
        <v>0</v>
      </c>
      <c r="H292" s="20" t="n">
        <v>0</v>
      </c>
      <c r="T292" s="20" t="n">
        <v>0</v>
      </c>
      <c r="U292" s="20" t="n">
        <v>8686</v>
      </c>
      <c r="V292" s="20" t="n">
        <v>8686</v>
      </c>
      <c r="W292" s="20" t="n">
        <v>0</v>
      </c>
    </row>
    <row r="293">
      <c r="A293" s="18" t="inlineStr">
        <is>
          <t>기타</t>
        </is>
      </c>
      <c r="C293" s="20" t="n">
        <v>113</v>
      </c>
      <c r="D293" s="20" t="n">
        <v>129</v>
      </c>
      <c r="E293" s="20" t="n">
        <v>-269</v>
      </c>
      <c r="F293" s="20" t="n">
        <v>-365</v>
      </c>
      <c r="G293" s="20" t="n">
        <v>-808</v>
      </c>
      <c r="H293" s="20" t="n">
        <v>-437</v>
      </c>
      <c r="I293" s="20" t="n">
        <v>-90</v>
      </c>
      <c r="J293" s="20" t="n">
        <v>-131</v>
      </c>
      <c r="K293" s="20" t="n">
        <v>-250</v>
      </c>
      <c r="L293" s="20" t="n">
        <v>-304</v>
      </c>
      <c r="M293" s="20" t="n">
        <v>37</v>
      </c>
      <c r="N293" s="20" t="n">
        <v>-585</v>
      </c>
      <c r="O293" s="20" t="n">
        <v>147</v>
      </c>
      <c r="P293" s="20" t="n">
        <v>-17</v>
      </c>
      <c r="Q293" s="20" t="n">
        <v>-75</v>
      </c>
      <c r="R293" s="20" t="n">
        <v>-582</v>
      </c>
      <c r="S293" s="20" t="n">
        <v>227</v>
      </c>
      <c r="T293" s="20" t="n">
        <v>-541</v>
      </c>
      <c r="U293" s="20" t="n">
        <v>129</v>
      </c>
      <c r="V293" s="20" t="n">
        <v>129</v>
      </c>
      <c r="W293" s="20" t="n">
        <v>-437</v>
      </c>
      <c r="X293" s="20" t="n">
        <v>-304</v>
      </c>
    </row>
    <row r="294">
      <c r="A294" s="9" t="inlineStr">
        <is>
          <t>투자활동 현금흐름</t>
        </is>
      </c>
      <c r="C294" s="12" t="n">
        <v>-59972</v>
      </c>
      <c r="D294" s="12" t="n">
        <v>-77274</v>
      </c>
      <c r="E294" s="12" t="n">
        <v>-26682</v>
      </c>
      <c r="F294" s="12" t="n">
        <v>-109062</v>
      </c>
      <c r="G294" s="12" t="n">
        <v>-148118</v>
      </c>
      <c r="H294" s="12" t="n">
        <v>-164182</v>
      </c>
      <c r="I294" s="12" t="n">
        <v>-23295</v>
      </c>
      <c r="J294" s="12" t="n">
        <v>-60199</v>
      </c>
      <c r="K294" s="12" t="n">
        <v>-80414</v>
      </c>
      <c r="L294" s="12" t="n">
        <v>-52416</v>
      </c>
      <c r="M294" s="12" t="n">
        <v>-16135</v>
      </c>
      <c r="N294" s="12" t="n">
        <v>-48886</v>
      </c>
      <c r="O294" s="12" t="n">
        <v>-26280</v>
      </c>
      <c r="P294" s="12" t="n">
        <v>-21303</v>
      </c>
      <c r="Q294" s="12" t="n">
        <v>-18036</v>
      </c>
      <c r="R294" s="12" t="n">
        <v>-38083</v>
      </c>
      <c r="S294" s="12" t="n">
        <v>-82345</v>
      </c>
      <c r="T294" s="12" t="n">
        <v>-104019</v>
      </c>
      <c r="U294" s="12" t="n">
        <v>-77274</v>
      </c>
      <c r="V294" s="12" t="n">
        <v>-77274</v>
      </c>
      <c r="W294" s="12" t="n">
        <v>-164182</v>
      </c>
      <c r="X294" s="12" t="n">
        <v>-52416</v>
      </c>
    </row>
    <row r="295">
      <c r="A295" s="18" t="inlineStr">
        <is>
          <t>단기차입금 순증감</t>
        </is>
      </c>
      <c r="D295" s="20" t="n">
        <v>-30</v>
      </c>
      <c r="H295" s="20" t="n">
        <v>0</v>
      </c>
      <c r="L295" s="20" t="n">
        <v>-20000</v>
      </c>
      <c r="P295" s="20" t="n">
        <v>0</v>
      </c>
      <c r="Q295" s="20" t="n">
        <v>30</v>
      </c>
      <c r="R295" s="20" t="n">
        <v>0</v>
      </c>
      <c r="S295" s="20" t="n">
        <v>-37</v>
      </c>
      <c r="T295" s="20" t="n">
        <v>0</v>
      </c>
      <c r="U295" s="20" t="n">
        <v>-30</v>
      </c>
      <c r="V295" s="20" t="n">
        <v>-30</v>
      </c>
      <c r="W295" s="20" t="n">
        <v>0</v>
      </c>
      <c r="X295" s="20" t="n">
        <v>-20000</v>
      </c>
    </row>
    <row r="296">
      <c r="A296" s="18" t="inlineStr">
        <is>
          <t>장기차입</t>
        </is>
      </c>
      <c r="C296" s="20" t="n">
        <v>45000</v>
      </c>
      <c r="D296" s="20" t="n">
        <v>45000</v>
      </c>
      <c r="F296" s="20" t="n">
        <v>25000</v>
      </c>
      <c r="G296" s="20" t="n">
        <v>35000</v>
      </c>
      <c r="H296" s="20" t="n">
        <v>35000</v>
      </c>
      <c r="I296" s="20" t="n">
        <v>0</v>
      </c>
      <c r="J296" s="20" t="n">
        <v>0</v>
      </c>
      <c r="K296" s="20" t="n">
        <v>0</v>
      </c>
      <c r="L296" s="20" t="n">
        <v>0</v>
      </c>
      <c r="M296" s="20" t="n">
        <v>1000</v>
      </c>
      <c r="N296" s="20" t="n">
        <v>1000</v>
      </c>
      <c r="O296" s="20" t="n">
        <v>10000</v>
      </c>
      <c r="P296" s="20" t="n">
        <v>0</v>
      </c>
      <c r="Q296" s="20" t="n">
        <v>0</v>
      </c>
      <c r="R296" s="20" t="n">
        <v>70000</v>
      </c>
      <c r="S296" s="20" t="n">
        <v>10008</v>
      </c>
      <c r="T296" s="20" t="n">
        <v>70000</v>
      </c>
      <c r="U296" s="20" t="n">
        <v>45000</v>
      </c>
      <c r="V296" s="20" t="n">
        <v>45000</v>
      </c>
      <c r="W296" s="20" t="n">
        <v>35000</v>
      </c>
      <c r="X296" s="20" t="n">
        <v>0</v>
      </c>
    </row>
    <row r="297">
      <c r="A297" s="18" t="inlineStr">
        <is>
          <t>장기차입금 상환</t>
        </is>
      </c>
      <c r="C297" s="20" t="n">
        <v>-45000</v>
      </c>
      <c r="D297" s="20" t="n">
        <v>-45000</v>
      </c>
      <c r="F297" s="20" t="n">
        <v>-25000</v>
      </c>
      <c r="G297" s="20" t="n">
        <v>-35000</v>
      </c>
      <c r="H297" s="20" t="n">
        <v>-35000</v>
      </c>
      <c r="J297" s="20" t="n">
        <v>0</v>
      </c>
      <c r="K297" s="20" t="n">
        <v>0</v>
      </c>
      <c r="L297" s="20" t="n">
        <v>-90000</v>
      </c>
      <c r="O297" s="20" t="n">
        <v>-10065</v>
      </c>
      <c r="P297" s="20" t="n">
        <v>-56</v>
      </c>
      <c r="Q297" s="20" t="n">
        <v>-5</v>
      </c>
      <c r="R297" s="20" t="n">
        <v>0</v>
      </c>
      <c r="S297" s="20" t="n">
        <v>-10000</v>
      </c>
      <c r="T297" s="20" t="n">
        <v>0</v>
      </c>
      <c r="U297" s="20" t="n">
        <v>-45000</v>
      </c>
      <c r="V297" s="20" t="n">
        <v>-45000</v>
      </c>
      <c r="W297" s="20" t="n">
        <v>-35000</v>
      </c>
      <c r="X297" s="20" t="n">
        <v>-90000</v>
      </c>
    </row>
    <row r="298">
      <c r="A298" s="18" t="inlineStr">
        <is>
          <t>사채 발행</t>
        </is>
      </c>
      <c r="C298" s="20" t="n">
        <v>0</v>
      </c>
      <c r="D298" s="20" t="n">
        <v>0</v>
      </c>
      <c r="F298" s="20" t="n">
        <v>35000</v>
      </c>
      <c r="G298" s="20" t="n">
        <v>35000</v>
      </c>
      <c r="H298" s="20" t="n">
        <v>35000</v>
      </c>
      <c r="J298" s="20" t="n">
        <v>0</v>
      </c>
      <c r="K298" s="20" t="n">
        <v>0</v>
      </c>
      <c r="L298" s="20" t="n">
        <v>0</v>
      </c>
      <c r="O298" s="20" t="n">
        <v>15000</v>
      </c>
      <c r="P298" s="20" t="n">
        <v>0</v>
      </c>
      <c r="Q298" s="20" t="n">
        <v>0</v>
      </c>
      <c r="R298" s="20" t="n">
        <v>35000</v>
      </c>
      <c r="S298" s="20" t="n">
        <v>0</v>
      </c>
      <c r="T298" s="20" t="n">
        <v>50000</v>
      </c>
      <c r="U298" s="20" t="n">
        <v>0</v>
      </c>
      <c r="V298" s="20" t="n">
        <v>0</v>
      </c>
      <c r="W298" s="20" t="n">
        <v>35000</v>
      </c>
      <c r="X298" s="20" t="n">
        <v>0</v>
      </c>
    </row>
    <row r="299">
      <c r="A299" s="18" t="inlineStr">
        <is>
          <t>사채 상환</t>
        </is>
      </c>
      <c r="C299" s="20" t="n">
        <v>0</v>
      </c>
      <c r="D299" s="20" t="n">
        <v>0</v>
      </c>
      <c r="F299" s="20" t="n">
        <v>-35000</v>
      </c>
      <c r="G299" s="20" t="n">
        <v>-35000</v>
      </c>
      <c r="H299" s="20" t="n">
        <v>-35000</v>
      </c>
      <c r="J299" s="20" t="n">
        <v>-40000</v>
      </c>
      <c r="K299" s="20" t="n">
        <v>-40000</v>
      </c>
      <c r="L299" s="20" t="n">
        <v>-40000</v>
      </c>
      <c r="N299" s="20" t="n">
        <v>-15000</v>
      </c>
      <c r="O299" s="20" t="n">
        <v>-15000</v>
      </c>
      <c r="P299" s="20" t="n">
        <v>0</v>
      </c>
      <c r="Q299" s="20" t="n">
        <v>0</v>
      </c>
      <c r="R299" s="20" t="n">
        <v>-25000</v>
      </c>
      <c r="S299" s="20" t="n">
        <v>0</v>
      </c>
      <c r="T299" s="20" t="n">
        <v>-20000</v>
      </c>
      <c r="U299" s="20" t="n">
        <v>0</v>
      </c>
      <c r="V299" s="20" t="n">
        <v>0</v>
      </c>
      <c r="W299" s="20" t="n">
        <v>-35000</v>
      </c>
      <c r="X299" s="20" t="n">
        <v>-40000</v>
      </c>
    </row>
    <row r="300">
      <c r="A300" s="18" t="inlineStr">
        <is>
          <t>전환사채형 신주예약권부 사채 발행 수입</t>
        </is>
      </c>
      <c r="D300" s="20" t="n">
        <v>73500</v>
      </c>
      <c r="H300" s="20" t="n">
        <v>0</v>
      </c>
      <c r="T300" s="20" t="n">
        <v>0</v>
      </c>
      <c r="U300" s="20" t="n">
        <v>73500</v>
      </c>
      <c r="V300" s="20" t="n">
        <v>73500</v>
      </c>
      <c r="W300" s="20" t="n">
        <v>0</v>
      </c>
    </row>
    <row r="301">
      <c r="A301" s="18" t="inlineStr">
        <is>
          <t>사채 발행 관련 지출</t>
        </is>
      </c>
      <c r="C301" s="20" t="n">
        <v>0</v>
      </c>
      <c r="F301" s="20" t="n">
        <v>-151</v>
      </c>
      <c r="G301" s="20" t="n">
        <v>-151</v>
      </c>
      <c r="J301" s="20" t="n">
        <v>0</v>
      </c>
      <c r="K301" s="20" t="n">
        <v>0</v>
      </c>
    </row>
    <row r="302">
      <c r="A302" s="18" t="inlineStr">
        <is>
          <t>자기주식 취득</t>
        </is>
      </c>
      <c r="C302" s="20" t="n">
        <v>-10</v>
      </c>
      <c r="D302" s="20" t="n">
        <v>-12</v>
      </c>
      <c r="E302" s="20" t="n">
        <v>-1</v>
      </c>
      <c r="F302" s="20" t="n">
        <v>-2</v>
      </c>
      <c r="G302" s="20" t="n">
        <v>-640</v>
      </c>
      <c r="H302" s="20" t="n">
        <v>-641</v>
      </c>
      <c r="I302" s="20" t="n">
        <v>-0</v>
      </c>
      <c r="J302" s="20" t="n">
        <v>-0</v>
      </c>
      <c r="K302" s="20" t="n">
        <v>-7</v>
      </c>
      <c r="L302" s="20" t="n">
        <v>-10</v>
      </c>
      <c r="M302" s="20" t="n">
        <v>-4</v>
      </c>
      <c r="N302" s="20" t="n">
        <v>-9</v>
      </c>
      <c r="O302" s="20" t="n">
        <v>-3</v>
      </c>
      <c r="P302" s="20" t="n">
        <v>-363</v>
      </c>
      <c r="Q302" s="20" t="n">
        <v>-2</v>
      </c>
      <c r="R302" s="20" t="n">
        <v>-2</v>
      </c>
      <c r="S302" s="20" t="n">
        <v>-762</v>
      </c>
      <c r="T302" s="20" t="n">
        <v>-8</v>
      </c>
      <c r="U302" s="20" t="n">
        <v>-12</v>
      </c>
      <c r="V302" s="20" t="n">
        <v>-12</v>
      </c>
      <c r="W302" s="20" t="n">
        <v>-641</v>
      </c>
      <c r="X302" s="20" t="n">
        <v>-10</v>
      </c>
    </row>
    <row r="303">
      <c r="A303" s="18" t="inlineStr">
        <is>
          <t>자기주식 매각</t>
        </is>
      </c>
      <c r="C303" s="20" t="n">
        <v>156</v>
      </c>
      <c r="D303" s="20" t="n">
        <v>156</v>
      </c>
      <c r="E303" s="20" t="n">
        <v>110</v>
      </c>
      <c r="F303" s="20" t="n">
        <v>123</v>
      </c>
      <c r="G303" s="20" t="n">
        <v>123</v>
      </c>
      <c r="H303" s="20" t="n">
        <v>127</v>
      </c>
      <c r="I303" s="20" t="n">
        <v>44</v>
      </c>
      <c r="J303" s="20" t="n">
        <v>56</v>
      </c>
      <c r="K303" s="20" t="n">
        <v>56</v>
      </c>
      <c r="L303" s="20" t="n">
        <v>56</v>
      </c>
      <c r="M303" s="20" t="n">
        <v>40</v>
      </c>
      <c r="N303" s="20" t="n">
        <v>46</v>
      </c>
      <c r="O303" s="20" t="n">
        <v>0</v>
      </c>
      <c r="P303" s="20" t="n">
        <v>12000</v>
      </c>
      <c r="Q303" s="20" t="n">
        <v>9</v>
      </c>
      <c r="R303" s="20" t="n">
        <v>29</v>
      </c>
      <c r="S303" s="20" t="n">
        <v>52</v>
      </c>
      <c r="T303" s="20" t="n">
        <v>146</v>
      </c>
      <c r="U303" s="20" t="n">
        <v>156</v>
      </c>
      <c r="V303" s="20" t="n">
        <v>156</v>
      </c>
      <c r="W303" s="20" t="n">
        <v>127</v>
      </c>
      <c r="X303" s="20" t="n">
        <v>56</v>
      </c>
    </row>
    <row r="304">
      <c r="A304" s="18" t="inlineStr">
        <is>
          <t>배당금 지급</t>
        </is>
      </c>
      <c r="C304" s="20" t="n">
        <v>-5595</v>
      </c>
      <c r="D304" s="20" t="n">
        <v>-5595</v>
      </c>
      <c r="E304" s="20" t="n">
        <v>-2797</v>
      </c>
      <c r="F304" s="20" t="n">
        <v>-2797</v>
      </c>
      <c r="G304" s="20" t="n">
        <v>-5595</v>
      </c>
      <c r="H304" s="20" t="n">
        <v>-5595</v>
      </c>
      <c r="I304" s="20" t="n">
        <v>-2797</v>
      </c>
      <c r="J304" s="20" t="n">
        <v>-2797</v>
      </c>
      <c r="K304" s="20" t="n">
        <v>-6994</v>
      </c>
      <c r="L304" s="20" t="n">
        <v>-6994</v>
      </c>
      <c r="M304" s="20" t="n">
        <v>-4196</v>
      </c>
      <c r="N304" s="20" t="n">
        <v>-4196</v>
      </c>
      <c r="O304" s="20" t="n">
        <v>-4657</v>
      </c>
      <c r="P304" s="20" t="n">
        <v>-4760</v>
      </c>
      <c r="Q304" s="20" t="n">
        <v>-4896</v>
      </c>
      <c r="R304" s="20" t="n">
        <v>-4896</v>
      </c>
      <c r="S304" s="20" t="n">
        <v>-4896</v>
      </c>
      <c r="T304" s="20" t="n">
        <v>-6994</v>
      </c>
      <c r="U304" s="20" t="n">
        <v>-5595</v>
      </c>
      <c r="V304" s="20" t="n">
        <v>-5595</v>
      </c>
      <c r="W304" s="20" t="n">
        <v>-5595</v>
      </c>
      <c r="X304" s="20" t="n">
        <v>-6994</v>
      </c>
    </row>
    <row r="305">
      <c r="A305" s="18" t="inlineStr">
        <is>
          <t>비지배주주 배당금 지급</t>
        </is>
      </c>
      <c r="C305" s="20" t="n">
        <v>-14</v>
      </c>
      <c r="D305" s="20" t="n">
        <v>-14</v>
      </c>
      <c r="E305" s="20" t="n">
        <v>-14</v>
      </c>
      <c r="F305" s="20" t="n">
        <v>-14</v>
      </c>
      <c r="G305" s="20" t="n">
        <v>-14</v>
      </c>
      <c r="H305" s="20" t="n">
        <v>-14</v>
      </c>
      <c r="I305" s="20" t="n">
        <v>-14</v>
      </c>
      <c r="J305" s="20" t="n">
        <v>-14</v>
      </c>
      <c r="K305" s="20" t="n">
        <v>-14</v>
      </c>
      <c r="L305" s="20" t="n">
        <v>-14</v>
      </c>
      <c r="M305" s="20" t="n">
        <v>-14</v>
      </c>
      <c r="N305" s="20" t="n">
        <v>-14</v>
      </c>
      <c r="O305" s="20" t="n">
        <v>-15</v>
      </c>
      <c r="P305" s="20" t="n">
        <v>-20</v>
      </c>
      <c r="Q305" s="20" t="n">
        <v>-14</v>
      </c>
      <c r="R305" s="20" t="n">
        <v>-14</v>
      </c>
      <c r="S305" s="20" t="n">
        <v>-14</v>
      </c>
      <c r="T305" s="20" t="n">
        <v>-14</v>
      </c>
      <c r="U305" s="20" t="n">
        <v>-14</v>
      </c>
      <c r="V305" s="20" t="n">
        <v>-14</v>
      </c>
      <c r="W305" s="20" t="n">
        <v>-14</v>
      </c>
      <c r="X305" s="20" t="n">
        <v>-14</v>
      </c>
    </row>
    <row r="306">
      <c r="A306" s="18" t="inlineStr">
        <is>
          <t>리스부채 상환</t>
        </is>
      </c>
      <c r="C306" s="20" t="n">
        <v>-227</v>
      </c>
      <c r="D306" s="20" t="n">
        <v>-345</v>
      </c>
      <c r="E306" s="20" t="n">
        <v>-100</v>
      </c>
      <c r="F306" s="20" t="n">
        <v>-283</v>
      </c>
      <c r="G306" s="20" t="n">
        <v>-398</v>
      </c>
      <c r="H306" s="20" t="n">
        <v>-484</v>
      </c>
      <c r="I306" s="20" t="n">
        <v>-135</v>
      </c>
      <c r="J306" s="20" t="n">
        <v>-855</v>
      </c>
      <c r="K306" s="20" t="n">
        <v>-448</v>
      </c>
      <c r="L306" s="20" t="n">
        <v>-547</v>
      </c>
      <c r="M306" s="20" t="n">
        <v>-121</v>
      </c>
      <c r="N306" s="20" t="n">
        <v>-158</v>
      </c>
      <c r="O306" s="20" t="n">
        <v>-93</v>
      </c>
      <c r="P306" s="20" t="n">
        <v>-74</v>
      </c>
      <c r="Q306" s="20" t="n">
        <v>-45</v>
      </c>
      <c r="R306" s="20" t="n">
        <v>-565</v>
      </c>
      <c r="S306" s="20" t="n">
        <v>-586</v>
      </c>
      <c r="T306" s="20" t="n">
        <v>-542</v>
      </c>
      <c r="U306" s="20" t="n">
        <v>-345</v>
      </c>
      <c r="V306" s="20" t="n">
        <v>-345</v>
      </c>
      <c r="W306" s="20" t="n">
        <v>-484</v>
      </c>
      <c r="X306" s="20" t="n">
        <v>-547</v>
      </c>
    </row>
    <row r="307">
      <c r="A307" s="18" t="inlineStr">
        <is>
          <t>연결범위 변경 없는 자회사 주식 취득</t>
        </is>
      </c>
      <c r="C307" s="20" t="n">
        <v>0</v>
      </c>
      <c r="D307" s="20" t="n">
        <v>0</v>
      </c>
      <c r="G307" s="20" t="n">
        <v>-140</v>
      </c>
      <c r="H307" s="20" t="n">
        <v>-352</v>
      </c>
      <c r="K307" s="20" t="n">
        <v>0</v>
      </c>
      <c r="L307" s="20" t="n">
        <v>0</v>
      </c>
      <c r="V307" s="20" t="n">
        <v>0</v>
      </c>
      <c r="W307" s="20" t="n">
        <v>-352</v>
      </c>
      <c r="X307" s="20" t="n">
        <v>0</v>
      </c>
    </row>
    <row r="308">
      <c r="A308" s="18" t="inlineStr">
        <is>
          <t>기타</t>
        </is>
      </c>
      <c r="D308" s="20" t="n">
        <v>-131</v>
      </c>
      <c r="H308" s="20" t="n">
        <v>-151</v>
      </c>
      <c r="L308" s="20" t="n">
        <v>0</v>
      </c>
      <c r="O308" s="20" t="n">
        <v>-300</v>
      </c>
      <c r="P308" s="20" t="n">
        <v>0</v>
      </c>
      <c r="Q308" s="20" t="n">
        <v>0</v>
      </c>
      <c r="R308" s="20" t="n">
        <v>-66</v>
      </c>
      <c r="S308" s="20" t="n">
        <v>0</v>
      </c>
      <c r="T308" s="20" t="n">
        <v>0</v>
      </c>
      <c r="U308" s="20" t="n">
        <v>-131</v>
      </c>
      <c r="V308" s="20" t="n">
        <v>-131</v>
      </c>
      <c r="W308" s="20" t="n">
        <v>-151</v>
      </c>
      <c r="X308" s="20" t="n">
        <v>0</v>
      </c>
    </row>
    <row r="309">
      <c r="A309" s="9" t="inlineStr">
        <is>
          <t>재무활동 현금흐름</t>
        </is>
      </c>
      <c r="C309" s="12" t="n">
        <v>-5692</v>
      </c>
      <c r="D309" s="12" t="n">
        <v>67526</v>
      </c>
      <c r="E309" s="12" t="n">
        <v>-2803</v>
      </c>
      <c r="F309" s="12" t="n">
        <v>-3126</v>
      </c>
      <c r="G309" s="12" t="n">
        <v>-6817</v>
      </c>
      <c r="H309" s="12" t="n">
        <v>-7113</v>
      </c>
      <c r="I309" s="12" t="n">
        <v>-2903</v>
      </c>
      <c r="J309" s="12" t="n">
        <v>-43612</v>
      </c>
      <c r="K309" s="12" t="n">
        <v>-47408</v>
      </c>
      <c r="L309" s="12" t="n">
        <v>-157511</v>
      </c>
      <c r="M309" s="12" t="n">
        <v>-3297</v>
      </c>
      <c r="N309" s="12" t="n">
        <v>-18333</v>
      </c>
      <c r="O309" s="12" t="n">
        <v>-5135</v>
      </c>
      <c r="P309" s="12" t="n">
        <v>6724</v>
      </c>
      <c r="Q309" s="12" t="n">
        <v>-4926</v>
      </c>
      <c r="R309" s="12" t="n">
        <v>74483</v>
      </c>
      <c r="S309" s="12" t="n">
        <v>-6236</v>
      </c>
      <c r="T309" s="12" t="n">
        <v>92585</v>
      </c>
      <c r="U309" s="12" t="n">
        <v>67526</v>
      </c>
      <c r="V309" s="12" t="n">
        <v>67526</v>
      </c>
      <c r="W309" s="12" t="n">
        <v>-7113</v>
      </c>
      <c r="X309" s="12" t="n">
        <v>-157511</v>
      </c>
    </row>
    <row r="310">
      <c r="A310" s="18" t="inlineStr">
        <is>
          <t>현금성자산 환산차이</t>
        </is>
      </c>
      <c r="C310" s="20" t="n">
        <v>3240</v>
      </c>
      <c r="D310" s="20" t="n">
        <v>5680</v>
      </c>
      <c r="E310" s="20" t="n">
        <v>2787</v>
      </c>
      <c r="F310" s="20" t="n">
        <v>-2010</v>
      </c>
      <c r="G310" s="20" t="n">
        <v>1601</v>
      </c>
      <c r="H310" s="20" t="n">
        <v>-526</v>
      </c>
      <c r="I310" s="20" t="n">
        <v>207</v>
      </c>
      <c r="J310" s="20" t="n">
        <v>1934</v>
      </c>
      <c r="K310" s="20" t="n">
        <v>5200</v>
      </c>
      <c r="L310" s="20" t="n">
        <v>5771</v>
      </c>
      <c r="M310" s="20" t="n">
        <v>1138</v>
      </c>
      <c r="N310" s="20" t="n">
        <v>-1183</v>
      </c>
      <c r="O310" s="20" t="n">
        <v>-1171</v>
      </c>
      <c r="P310" s="20" t="n">
        <v>490</v>
      </c>
      <c r="Q310" s="20" t="n">
        <v>139</v>
      </c>
      <c r="R310" s="20" t="n">
        <v>-1105</v>
      </c>
      <c r="S310" s="20" t="n">
        <v>1627</v>
      </c>
      <c r="T310" s="20" t="n">
        <v>2513</v>
      </c>
      <c r="U310" s="20" t="n">
        <v>5680</v>
      </c>
      <c r="V310" s="20" t="n">
        <v>5680</v>
      </c>
      <c r="W310" s="20" t="n">
        <v>-526</v>
      </c>
      <c r="X310" s="20" t="n">
        <v>5771</v>
      </c>
    </row>
    <row r="311">
      <c r="A311" s="18" t="inlineStr">
        <is>
          <t>현금성자산 증감</t>
        </is>
      </c>
      <c r="C311" s="20" t="n">
        <v>-25007</v>
      </c>
      <c r="D311" s="20" t="n">
        <v>141164</v>
      </c>
      <c r="E311" s="20" t="n">
        <v>-18288</v>
      </c>
      <c r="F311" s="20" t="n">
        <v>-69350</v>
      </c>
      <c r="G311" s="20" t="n">
        <v>-85152</v>
      </c>
      <c r="H311" s="20" t="n">
        <v>-52927</v>
      </c>
      <c r="I311" s="20" t="n">
        <v>-16428</v>
      </c>
      <c r="J311" s="20" t="n">
        <v>-65180</v>
      </c>
      <c r="K311" s="20" t="n">
        <v>-49931</v>
      </c>
      <c r="L311" s="20" t="n">
        <v>-97747</v>
      </c>
      <c r="M311" s="20" t="n">
        <v>77596</v>
      </c>
      <c r="N311" s="20" t="n">
        <v>124775</v>
      </c>
      <c r="O311" s="20" t="n">
        <v>-3773</v>
      </c>
      <c r="P311" s="20" t="n">
        <v>12951</v>
      </c>
      <c r="Q311" s="20" t="n">
        <v>-4267</v>
      </c>
      <c r="R311" s="20" t="n">
        <v>61391</v>
      </c>
      <c r="S311" s="20" t="n">
        <v>-47999</v>
      </c>
      <c r="T311" s="20" t="n">
        <v>116827</v>
      </c>
      <c r="U311" s="20" t="n">
        <v>141164</v>
      </c>
      <c r="V311" s="20" t="n">
        <v>141164</v>
      </c>
      <c r="W311" s="20" t="n">
        <v>-52927</v>
      </c>
      <c r="X311" s="20" t="n">
        <v>-97747</v>
      </c>
    </row>
    <row r="312">
      <c r="A312" s="18" t="inlineStr">
        <is>
          <t>신규 연결 현금성자산 증가</t>
        </is>
      </c>
      <c r="O312" s="20" t="n">
        <v>0</v>
      </c>
      <c r="P312" s="20" t="n">
        <v>706</v>
      </c>
      <c r="Q312" s="20" t="n">
        <v>0</v>
      </c>
      <c r="R312" s="20" t="n">
        <v>0</v>
      </c>
    </row>
    <row r="313">
      <c r="A313" s="18" t="inlineStr">
        <is>
          <t>법인세차감전 순이익</t>
        </is>
      </c>
      <c r="P313" s="20" t="n">
        <v>18550</v>
      </c>
      <c r="Q313" s="20" t="n">
        <v>9326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이비덴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487475</v>
      </c>
      <c r="D5" s="12" t="n">
        <v>504724</v>
      </c>
      <c r="E5" s="12" t="n">
        <v>465541</v>
      </c>
      <c r="F5" s="12" t="n">
        <v>550783</v>
      </c>
      <c r="G5" s="12" t="n">
        <v>615691</v>
      </c>
      <c r="H5" s="11" t="n">
        <v>476825</v>
      </c>
      <c r="I5" s="12" t="n">
        <v>600810</v>
      </c>
      <c r="J5" s="12" t="n">
        <v>600810</v>
      </c>
      <c r="K5" s="12" t="n">
        <v>549580</v>
      </c>
      <c r="L5" s="12" t="n">
        <v>465541</v>
      </c>
    </row>
    <row r="6">
      <c r="A6" s="18" t="inlineStr">
        <is>
          <t>현금및현금성자산</t>
        </is>
      </c>
      <c r="B6" s="10" t="n"/>
      <c r="C6" s="19" t="n">
        <v>325476</v>
      </c>
      <c r="D6" s="20" t="n">
        <v>340725</v>
      </c>
      <c r="E6" s="20" t="n">
        <v>295681</v>
      </c>
      <c r="F6" s="20" t="n">
        <v>373366</v>
      </c>
      <c r="G6" s="20" t="n">
        <v>420487</v>
      </c>
      <c r="H6" s="19" t="n">
        <v>302419</v>
      </c>
      <c r="I6" s="20" t="n">
        <v>443583</v>
      </c>
      <c r="J6" s="20" t="n">
        <v>443583</v>
      </c>
      <c r="K6" s="20" t="n">
        <v>390656</v>
      </c>
      <c r="L6" s="20" t="n">
        <v>295681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65874</v>
      </c>
      <c r="D8" s="20" t="n">
        <v>68795</v>
      </c>
      <c r="E8" s="20" t="n">
        <v>79305</v>
      </c>
      <c r="F8" s="20" t="n">
        <v>82033</v>
      </c>
      <c r="G8" s="20" t="n">
        <v>87984</v>
      </c>
      <c r="H8" s="19" t="n">
        <v>75942</v>
      </c>
      <c r="I8" s="20" t="n">
        <v>60980</v>
      </c>
      <c r="J8" s="20" t="n">
        <v>60980</v>
      </c>
      <c r="K8" s="20" t="n">
        <v>65570</v>
      </c>
      <c r="L8" s="20" t="n">
        <v>79305</v>
      </c>
    </row>
    <row r="9">
      <c r="A9" s="18" t="inlineStr">
        <is>
          <t>재고자산</t>
        </is>
      </c>
      <c r="B9" s="10" t="n"/>
      <c r="C9" s="19" t="n">
        <v>68446</v>
      </c>
      <c r="D9" s="20" t="n">
        <v>73426</v>
      </c>
      <c r="E9" s="20" t="n">
        <v>70962</v>
      </c>
      <c r="F9" s="20" t="n">
        <v>76867</v>
      </c>
      <c r="G9" s="20" t="n">
        <v>82722</v>
      </c>
      <c r="H9" s="19" t="n">
        <v>79194</v>
      </c>
      <c r="I9" s="20" t="n">
        <v>65318</v>
      </c>
      <c r="J9" s="20" t="n">
        <v>65318</v>
      </c>
      <c r="K9" s="20" t="n">
        <v>67175</v>
      </c>
      <c r="L9" s="20" t="n">
        <v>70962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550463</v>
      </c>
      <c r="D11" s="12" t="n">
        <v>549393</v>
      </c>
      <c r="E11" s="12" t="n">
        <v>494883</v>
      </c>
      <c r="F11" s="12" t="n">
        <v>505922</v>
      </c>
      <c r="G11" s="12" t="n">
        <v>511914</v>
      </c>
      <c r="H11" s="11" t="n">
        <v>380682</v>
      </c>
      <c r="I11" s="12" t="n">
        <v>529180</v>
      </c>
      <c r="J11" s="12" t="n">
        <v>529180</v>
      </c>
      <c r="K11" s="12" t="n">
        <v>532103</v>
      </c>
      <c r="L11" s="12" t="n">
        <v>494883</v>
      </c>
    </row>
    <row r="12">
      <c r="A12" s="18" t="inlineStr">
        <is>
          <t>유형자산</t>
        </is>
      </c>
      <c r="B12" s="10" t="n"/>
      <c r="C12" s="19" t="n">
        <v>465165</v>
      </c>
      <c r="D12" s="20" t="n">
        <v>459875</v>
      </c>
      <c r="E12" s="20" t="n">
        <v>437704</v>
      </c>
      <c r="F12" s="20" t="n">
        <v>436577</v>
      </c>
      <c r="G12" s="20" t="n">
        <v>441850</v>
      </c>
      <c r="H12" s="19" t="n">
        <v>306967</v>
      </c>
      <c r="I12" s="20" t="n">
        <v>408777</v>
      </c>
      <c r="J12" s="20" t="n">
        <v>408777</v>
      </c>
      <c r="K12" s="20" t="n">
        <v>460054</v>
      </c>
      <c r="L12" s="20" t="n">
        <v>437704</v>
      </c>
    </row>
    <row r="13">
      <c r="A13" s="18" t="inlineStr">
        <is>
          <t>무형자산</t>
        </is>
      </c>
      <c r="B13" s="10" t="n"/>
      <c r="C13" s="19" t="n">
        <v>4617</v>
      </c>
      <c r="D13" s="20" t="n">
        <v>4529</v>
      </c>
      <c r="E13" s="20" t="n">
        <v>4418</v>
      </c>
      <c r="F13" s="20" t="n">
        <v>4685</v>
      </c>
      <c r="G13" s="20" t="n">
        <v>4592</v>
      </c>
      <c r="H13" s="19" t="n">
        <v>5179</v>
      </c>
      <c r="I13" s="20" t="n">
        <v>4590</v>
      </c>
      <c r="J13" s="20" t="n">
        <v>4590</v>
      </c>
      <c r="K13" s="20" t="n">
        <v>4349</v>
      </c>
      <c r="L13" s="20" t="n">
        <v>4418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1037938</v>
      </c>
      <c r="D16" s="12" t="n">
        <v>1054118</v>
      </c>
      <c r="E16" s="12" t="n">
        <v>960425</v>
      </c>
      <c r="F16" s="12" t="n">
        <v>1056706</v>
      </c>
      <c r="G16" s="12" t="n">
        <v>1127606</v>
      </c>
      <c r="H16" s="11" t="n">
        <v>857508</v>
      </c>
      <c r="I16" s="12" t="n">
        <v>1129991</v>
      </c>
      <c r="J16" s="12" t="n">
        <v>1129991</v>
      </c>
      <c r="K16" s="12" t="n">
        <v>1081684</v>
      </c>
      <c r="L16" s="12" t="n">
        <v>960425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261820</v>
      </c>
      <c r="D18" s="12" t="n">
        <v>259227</v>
      </c>
      <c r="E18" s="12" t="n">
        <v>221645</v>
      </c>
      <c r="F18" s="12" t="n">
        <v>301574</v>
      </c>
      <c r="G18" s="12" t="n">
        <v>360382</v>
      </c>
      <c r="H18" s="11" t="n">
        <v>223321</v>
      </c>
      <c r="I18" s="12" t="n">
        <v>358362</v>
      </c>
      <c r="J18" s="12" t="n">
        <v>358362</v>
      </c>
      <c r="K18" s="12" t="n">
        <v>327717</v>
      </c>
      <c r="L18" s="12" t="n">
        <v>221645</v>
      </c>
    </row>
    <row r="19">
      <c r="A19" s="18" t="inlineStr">
        <is>
          <t>매입채무</t>
        </is>
      </c>
      <c r="B19" s="10" t="n"/>
      <c r="C19" s="19" t="n">
        <v>29225</v>
      </c>
      <c r="D19" s="20" t="n">
        <v>34303</v>
      </c>
      <c r="E19" s="20" t="n">
        <v>33694</v>
      </c>
      <c r="F19" s="20" t="n">
        <v>37651</v>
      </c>
      <c r="G19" s="20" t="n">
        <v>41976</v>
      </c>
      <c r="H19" s="19" t="n">
        <v>28262</v>
      </c>
      <c r="I19" s="20" t="n">
        <v>31369</v>
      </c>
      <c r="J19" s="20" t="n">
        <v>31369</v>
      </c>
      <c r="K19" s="20" t="n">
        <v>28483</v>
      </c>
      <c r="L19" s="20" t="n">
        <v>33694</v>
      </c>
    </row>
    <row r="20">
      <c r="A20" s="18" t="inlineStr">
        <is>
          <t>단기차입금</t>
        </is>
      </c>
      <c r="B20" s="10" t="n"/>
      <c r="C20" s="19" t="n">
        <v>50000</v>
      </c>
      <c r="D20" s="20" t="n">
        <v>50000</v>
      </c>
      <c r="E20" s="20" t="n">
        <v>0</v>
      </c>
      <c r="F20" s="20" t="n"/>
      <c r="G20" s="20" t="n"/>
      <c r="H20" s="19" t="n">
        <v>65030</v>
      </c>
      <c r="I20" s="20" t="n">
        <v>55000</v>
      </c>
      <c r="J20" s="20" t="n">
        <v>55000</v>
      </c>
      <c r="K20" s="20" t="n">
        <v>50000</v>
      </c>
      <c r="L20" s="20" t="n">
        <v>0</v>
      </c>
    </row>
    <row r="21">
      <c r="A21" s="18" t="inlineStr">
        <is>
          <t>유동성장기부채</t>
        </is>
      </c>
      <c r="B21" s="10" t="n"/>
      <c r="C21" s="19" t="n">
        <v>15000</v>
      </c>
      <c r="D21" s="20" t="n">
        <v>15000</v>
      </c>
      <c r="E21" s="20" t="n">
        <v>15000</v>
      </c>
      <c r="F21" s="20" t="n">
        <v>15000</v>
      </c>
      <c r="G21" s="20" t="n">
        <v>10000</v>
      </c>
      <c r="H21" s="19" t="n">
        <v>0</v>
      </c>
      <c r="I21" s="20" t="n">
        <v>35000</v>
      </c>
      <c r="J21" s="20" t="n">
        <v>35000</v>
      </c>
      <c r="K21" s="20" t="n">
        <v>40000</v>
      </c>
      <c r="L21" s="20" t="n">
        <v>15000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243964</v>
      </c>
      <c r="D23" s="12" t="n">
        <v>245349</v>
      </c>
      <c r="E23" s="12" t="n">
        <v>181367</v>
      </c>
      <c r="F23" s="12" t="n">
        <v>174599</v>
      </c>
      <c r="G23" s="12" t="n">
        <v>156339</v>
      </c>
      <c r="H23" s="11" t="n">
        <v>208581</v>
      </c>
      <c r="I23" s="12" t="n">
        <v>269832</v>
      </c>
      <c r="J23" s="12" t="n">
        <v>269832</v>
      </c>
      <c r="K23" s="12" t="n">
        <v>256668</v>
      </c>
      <c r="L23" s="12" t="n">
        <v>181367</v>
      </c>
    </row>
    <row r="24">
      <c r="A24" s="18" t="inlineStr">
        <is>
          <t>장기차입금</t>
        </is>
      </c>
      <c r="B24" s="10" t="n"/>
      <c r="C24" s="19" t="n">
        <v>120000</v>
      </c>
      <c r="D24" s="20" t="n">
        <v>120000</v>
      </c>
      <c r="E24" s="20" t="n">
        <v>60000</v>
      </c>
      <c r="F24" s="20" t="n">
        <v>61000</v>
      </c>
      <c r="G24" s="20" t="n">
        <v>61000</v>
      </c>
      <c r="H24" s="19" t="n">
        <v>105000</v>
      </c>
      <c r="I24" s="20" t="n">
        <v>115000</v>
      </c>
      <c r="J24" s="20" t="n">
        <v>115000</v>
      </c>
      <c r="K24" s="20" t="n">
        <v>120000</v>
      </c>
      <c r="L24" s="20" t="n">
        <v>60000</v>
      </c>
    </row>
    <row r="25">
      <c r="A25" s="18" t="inlineStr">
        <is>
          <t>사채</t>
        </is>
      </c>
      <c r="B25" s="10" t="n"/>
      <c r="C25" s="19" t="n">
        <v>45000</v>
      </c>
      <c r="D25" s="20" t="n">
        <v>45000</v>
      </c>
      <c r="E25" s="20" t="n">
        <v>45000</v>
      </c>
      <c r="F25" s="20" t="n">
        <v>45000</v>
      </c>
      <c r="G25" s="20" t="n">
        <v>35000</v>
      </c>
      <c r="H25" s="19" t="n">
        <v>100000</v>
      </c>
      <c r="I25" s="20" t="n">
        <v>65000</v>
      </c>
      <c r="J25" s="20" t="n">
        <v>65000</v>
      </c>
      <c r="K25" s="20" t="n">
        <v>60000</v>
      </c>
      <c r="L25" s="20" t="n">
        <v>45000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505785</v>
      </c>
      <c r="D27" s="12" t="n">
        <v>504577</v>
      </c>
      <c r="E27" s="12" t="n">
        <v>403012</v>
      </c>
      <c r="F27" s="12" t="n">
        <v>476174</v>
      </c>
      <c r="G27" s="12" t="n">
        <v>516721</v>
      </c>
      <c r="H27" s="11" t="n">
        <v>431902</v>
      </c>
      <c r="I27" s="12" t="n">
        <v>628194</v>
      </c>
      <c r="J27" s="12" t="n">
        <v>628194</v>
      </c>
      <c r="K27" s="12" t="n">
        <v>584385</v>
      </c>
      <c r="L27" s="12" t="n">
        <v>403012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525098</v>
      </c>
      <c r="D31" s="12" t="n">
        <v>542397</v>
      </c>
      <c r="E31" s="12" t="n">
        <v>550073</v>
      </c>
      <c r="F31" s="12" t="n">
        <v>573049</v>
      </c>
      <c r="G31" s="12" t="n">
        <v>603334</v>
      </c>
      <c r="H31" s="11" t="n">
        <v>419239</v>
      </c>
      <c r="I31" s="12" t="n">
        <v>494944</v>
      </c>
      <c r="J31" s="12" t="n">
        <v>494944</v>
      </c>
      <c r="K31" s="12" t="n">
        <v>490495</v>
      </c>
      <c r="L31" s="12" t="n">
        <v>550073</v>
      </c>
    </row>
    <row r="32">
      <c r="A32" s="18" t="inlineStr">
        <is>
          <t>자본금</t>
        </is>
      </c>
      <c r="B32" s="10" t="n"/>
      <c r="C32" s="19" t="n">
        <v>64152</v>
      </c>
      <c r="D32" s="20" t="n">
        <v>64152</v>
      </c>
      <c r="E32" s="20" t="n">
        <v>64152</v>
      </c>
      <c r="F32" s="20" t="n">
        <v>64669</v>
      </c>
      <c r="G32" s="20" t="n">
        <v>68725</v>
      </c>
      <c r="H32" s="19" t="n">
        <v>64152</v>
      </c>
      <c r="I32" s="20" t="n">
        <v>64152</v>
      </c>
      <c r="J32" s="20" t="n">
        <v>64152</v>
      </c>
      <c r="K32" s="20" t="n">
        <v>64152</v>
      </c>
      <c r="L32" s="20" t="n">
        <v>64152</v>
      </c>
    </row>
    <row r="33">
      <c r="A33" s="18" t="inlineStr">
        <is>
          <t>이익잉여금</t>
        </is>
      </c>
      <c r="B33" s="10" t="n"/>
      <c r="C33" s="19" t="n">
        <v>303078</v>
      </c>
      <c r="D33" s="20" t="n">
        <v>307813</v>
      </c>
      <c r="E33" s="20" t="n">
        <v>340525</v>
      </c>
      <c r="F33" s="20" t="n">
        <v>354247</v>
      </c>
      <c r="G33" s="20" t="n">
        <v>374903</v>
      </c>
      <c r="H33" s="19" t="n">
        <v>229804</v>
      </c>
      <c r="I33" s="20" t="n">
        <v>255698</v>
      </c>
      <c r="J33" s="20" t="n">
        <v>255698</v>
      </c>
      <c r="K33" s="20" t="n">
        <v>283807</v>
      </c>
      <c r="L33" s="20" t="n">
        <v>340525</v>
      </c>
    </row>
    <row r="34">
      <c r="A34" s="18" t="inlineStr">
        <is>
          <t>비지배지분</t>
        </is>
      </c>
      <c r="B34" s="10" t="n"/>
      <c r="C34" s="19" t="n">
        <v>7055</v>
      </c>
      <c r="D34" s="20" t="n">
        <v>7144</v>
      </c>
      <c r="E34" s="20" t="n">
        <v>7339</v>
      </c>
      <c r="F34" s="20" t="n">
        <v>7482</v>
      </c>
      <c r="G34" s="20" t="n">
        <v>7550</v>
      </c>
      <c r="H34" s="19" t="n">
        <v>6367</v>
      </c>
      <c r="I34" s="20" t="n">
        <v>6852</v>
      </c>
      <c r="J34" s="20" t="n">
        <v>6852</v>
      </c>
      <c r="K34" s="20" t="n">
        <v>6803</v>
      </c>
      <c r="L34" s="20" t="n">
        <v>7339</v>
      </c>
    </row>
    <row r="35">
      <c r="A35" s="9" t="inlineStr">
        <is>
          <t>자본총계</t>
        </is>
      </c>
      <c r="B35" s="10" t="n"/>
      <c r="C35" s="11" t="n">
        <v>532153</v>
      </c>
      <c r="D35" s="12" t="n">
        <v>549541</v>
      </c>
      <c r="E35" s="12" t="n">
        <v>557412</v>
      </c>
      <c r="F35" s="12" t="n">
        <v>580531</v>
      </c>
      <c r="G35" s="12" t="n">
        <v>610884</v>
      </c>
      <c r="H35" s="11" t="n">
        <v>425606</v>
      </c>
      <c r="I35" s="12" t="n">
        <v>501796</v>
      </c>
      <c r="J35" s="12" t="n">
        <v>501796</v>
      </c>
      <c r="K35" s="12" t="n">
        <v>497298</v>
      </c>
      <c r="L35" s="12" t="n">
        <v>557412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110744</v>
      </c>
      <c r="D37" s="12" t="n">
        <v>123403</v>
      </c>
      <c r="E37" s="12" t="n">
        <v>106407</v>
      </c>
      <c r="F37" s="12" t="n">
        <v>192737</v>
      </c>
      <c r="G37" s="12" t="n">
        <v>262888</v>
      </c>
      <c r="H37" s="11" t="n">
        <v>125748</v>
      </c>
      <c r="I37" s="12" t="n">
        <v>145231</v>
      </c>
      <c r="J37" s="12" t="n">
        <v>145231</v>
      </c>
      <c r="K37" s="12" t="n">
        <v>118895</v>
      </c>
      <c r="L37" s="12" t="n">
        <v>106407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150161</v>
      </c>
      <c r="D38" s="20" t="n">
        <v>132094</v>
      </c>
      <c r="E38" s="20" t="n">
        <v>107244</v>
      </c>
      <c r="F38" s="20" t="n">
        <v>99879</v>
      </c>
      <c r="G38" s="20" t="n">
        <v>95667</v>
      </c>
      <c r="H38" s="19" t="n">
        <v>104032</v>
      </c>
      <c r="I38" s="20" t="n">
        <v>86422</v>
      </c>
      <c r="J38" s="20" t="n">
        <v>86422</v>
      </c>
      <c r="K38" s="20" t="n">
        <v>198524</v>
      </c>
      <c r="L38" s="20" t="n">
        <v>107244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5595</v>
      </c>
      <c r="D40" s="20" t="n">
        <v>6994</v>
      </c>
      <c r="E40" s="20" t="n">
        <v>6994</v>
      </c>
      <c r="F40" s="20" t="n">
        <v>8393</v>
      </c>
      <c r="G40" s="20" t="n">
        <v>8393</v>
      </c>
      <c r="H40" s="19" t="n">
        <v>6994</v>
      </c>
      <c r="I40" s="20" t="n">
        <v>5595</v>
      </c>
      <c r="J40" s="20" t="n">
        <v>5595</v>
      </c>
      <c r="K40" s="20" t="n">
        <v>5595</v>
      </c>
      <c r="L40" s="20" t="n">
        <v>6994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325476</v>
      </c>
      <c r="D71" s="20" t="n">
        <v>340725</v>
      </c>
      <c r="E71" s="20" t="n">
        <v>295681</v>
      </c>
      <c r="F71" s="20" t="n">
        <v>373366</v>
      </c>
      <c r="G71" s="20" t="n">
        <v>420487</v>
      </c>
      <c r="H71" s="20" t="n">
        <v>302419</v>
      </c>
      <c r="I71" s="20" t="n">
        <v>443583</v>
      </c>
      <c r="J71" s="20" t="n">
        <v>443583</v>
      </c>
      <c r="K71" s="20" t="n">
        <v>390656</v>
      </c>
      <c r="L71" s="20" t="n">
        <v>295681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65874</v>
      </c>
      <c r="D73" s="20" t="n">
        <v>68795</v>
      </c>
      <c r="E73" s="20" t="n">
        <v>79305</v>
      </c>
      <c r="F73" s="20" t="n">
        <v>82033</v>
      </c>
      <c r="G73" s="20" t="n">
        <v>87984</v>
      </c>
      <c r="H73" s="20" t="n">
        <v>75942</v>
      </c>
      <c r="I73" s="20" t="n">
        <v>60980</v>
      </c>
      <c r="J73" s="20" t="n">
        <v>60980</v>
      </c>
      <c r="K73" s="20" t="n">
        <v>65570</v>
      </c>
      <c r="L73" s="20" t="n">
        <v>79305</v>
      </c>
    </row>
    <row r="74">
      <c r="A74" s="18" t="inlineStr">
        <is>
          <t>전자기록채권</t>
        </is>
      </c>
      <c r="C74" s="20" t="n">
        <v>2720</v>
      </c>
      <c r="D74" s="20" t="n">
        <v>3571</v>
      </c>
      <c r="E74" s="20" t="n">
        <v>2799</v>
      </c>
      <c r="F74" s="20" t="n">
        <v>3409</v>
      </c>
      <c r="G74" s="20" t="n">
        <v>3593</v>
      </c>
      <c r="H74" s="20" t="n">
        <v>3563</v>
      </c>
      <c r="I74" s="20" t="n">
        <v>4431</v>
      </c>
      <c r="J74" s="20" t="n">
        <v>4431</v>
      </c>
      <c r="K74" s="20" t="n">
        <v>2650</v>
      </c>
      <c r="L74" s="20" t="n">
        <v>2799</v>
      </c>
    </row>
    <row r="75">
      <c r="A75" s="18" t="inlineStr">
        <is>
          <t>상품·제품</t>
        </is>
      </c>
      <c r="C75" s="20" t="n">
        <v>23499</v>
      </c>
      <c r="D75" s="20" t="n">
        <v>21211</v>
      </c>
      <c r="E75" s="20" t="n">
        <v>19806</v>
      </c>
      <c r="F75" s="20" t="n">
        <v>21116</v>
      </c>
      <c r="G75" s="20" t="n">
        <v>22506</v>
      </c>
      <c r="H75" s="20" t="n">
        <v>30871</v>
      </c>
      <c r="I75" s="20" t="n">
        <v>19827</v>
      </c>
      <c r="J75" s="20" t="n">
        <v>19827</v>
      </c>
      <c r="K75" s="20" t="n">
        <v>23010</v>
      </c>
      <c r="L75" s="20" t="n">
        <v>19806</v>
      </c>
    </row>
    <row r="76">
      <c r="A76" s="18" t="inlineStr">
        <is>
          <t>재공품</t>
        </is>
      </c>
      <c r="C76" s="20" t="n">
        <v>21234</v>
      </c>
      <c r="D76" s="20" t="n">
        <v>26618</v>
      </c>
      <c r="E76" s="20" t="n">
        <v>26542</v>
      </c>
      <c r="F76" s="20" t="n">
        <v>29820</v>
      </c>
      <c r="G76" s="20" t="n">
        <v>32145</v>
      </c>
      <c r="H76" s="20" t="n">
        <v>21191</v>
      </c>
      <c r="I76" s="20" t="n">
        <v>19757</v>
      </c>
      <c r="J76" s="20" t="n">
        <v>19757</v>
      </c>
      <c r="K76" s="20" t="n">
        <v>20520</v>
      </c>
      <c r="L76" s="20" t="n">
        <v>26542</v>
      </c>
    </row>
    <row r="77">
      <c r="A77" s="18" t="inlineStr">
        <is>
          <t>원재료·저장품</t>
        </is>
      </c>
      <c r="C77" s="20" t="n">
        <v>23713</v>
      </c>
      <c r="D77" s="20" t="n">
        <v>25597</v>
      </c>
      <c r="E77" s="20" t="n">
        <v>24614</v>
      </c>
      <c r="F77" s="20" t="n">
        <v>25931</v>
      </c>
      <c r="G77" s="20" t="n">
        <v>28071</v>
      </c>
      <c r="H77" s="20" t="n">
        <v>27132</v>
      </c>
      <c r="I77" s="20" t="n">
        <v>25734</v>
      </c>
      <c r="J77" s="20" t="n">
        <v>25734</v>
      </c>
      <c r="K77" s="20" t="n">
        <v>23645</v>
      </c>
      <c r="L77" s="20" t="n">
        <v>24614</v>
      </c>
    </row>
    <row r="78">
      <c r="A78" s="18" t="inlineStr">
        <is>
          <t>기타</t>
        </is>
      </c>
      <c r="C78" s="20" t="n">
        <v>25234</v>
      </c>
      <c r="D78" s="20" t="n">
        <v>18507</v>
      </c>
      <c r="E78" s="20" t="n">
        <v>17084</v>
      </c>
      <c r="F78" s="20" t="n">
        <v>15410</v>
      </c>
      <c r="G78" s="20" t="n">
        <v>21200</v>
      </c>
      <c r="H78" s="20" t="n">
        <v>15765</v>
      </c>
      <c r="I78" s="20" t="n">
        <v>26576</v>
      </c>
      <c r="J78" s="20" t="n">
        <v>26576</v>
      </c>
      <c r="K78" s="20" t="n">
        <v>23615</v>
      </c>
      <c r="L78" s="20" t="n">
        <v>17084</v>
      </c>
    </row>
    <row r="79">
      <c r="A79" s="18" t="inlineStr">
        <is>
          <t>대손충당금</t>
        </is>
      </c>
      <c r="C79" s="20" t="n">
        <v>-278</v>
      </c>
      <c r="D79" s="20" t="n">
        <v>-302</v>
      </c>
      <c r="E79" s="20" t="n">
        <v>-294</v>
      </c>
      <c r="F79" s="20" t="n">
        <v>-303</v>
      </c>
      <c r="G79" s="20" t="n">
        <v>-298</v>
      </c>
      <c r="H79" s="20" t="n">
        <v>-59</v>
      </c>
      <c r="I79" s="20" t="n">
        <v>-81</v>
      </c>
      <c r="J79" s="20" t="n">
        <v>-81</v>
      </c>
      <c r="K79" s="20" t="n">
        <v>-89</v>
      </c>
      <c r="L79" s="20" t="n">
        <v>-294</v>
      </c>
    </row>
    <row r="80">
      <c r="A80" s="9" t="inlineStr">
        <is>
          <t>유동자산 합계</t>
        </is>
      </c>
      <c r="C80" s="12" t="n">
        <v>487475</v>
      </c>
      <c r="D80" s="12" t="n">
        <v>504724</v>
      </c>
      <c r="E80" s="12" t="n">
        <v>465541</v>
      </c>
      <c r="F80" s="12" t="n">
        <v>550783</v>
      </c>
      <c r="G80" s="12" t="n">
        <v>615691</v>
      </c>
      <c r="H80" s="12" t="n">
        <v>476825</v>
      </c>
      <c r="I80" s="12" t="n">
        <v>600810</v>
      </c>
      <c r="J80" s="12" t="n">
        <v>600810</v>
      </c>
      <c r="K80" s="12" t="n">
        <v>549580</v>
      </c>
      <c r="L80" s="12" t="n">
        <v>465541</v>
      </c>
    </row>
    <row r="81">
      <c r="A81" s="18" t="inlineStr">
        <is>
          <t>건물·구축물(순액)</t>
        </is>
      </c>
      <c r="C81" s="20" t="n">
        <v>200441</v>
      </c>
      <c r="D81" s="20" t="n">
        <v>198082</v>
      </c>
      <c r="E81" s="20" t="n">
        <v>194379</v>
      </c>
      <c r="F81" s="20" t="n">
        <v>189648</v>
      </c>
      <c r="G81" s="20" t="n">
        <v>189657</v>
      </c>
      <c r="H81" s="20" t="n">
        <v>77000</v>
      </c>
      <c r="I81" s="20" t="n">
        <v>75654</v>
      </c>
      <c r="J81" s="20" t="n">
        <v>75654</v>
      </c>
      <c r="K81" s="20" t="n">
        <v>163352</v>
      </c>
      <c r="L81" s="20" t="n">
        <v>194379</v>
      </c>
    </row>
    <row r="82">
      <c r="A82" s="18" t="inlineStr">
        <is>
          <t>기계장치·운반구(순액)</t>
        </is>
      </c>
      <c r="C82" s="20" t="n">
        <v>81669</v>
      </c>
      <c r="D82" s="20" t="n">
        <v>98081</v>
      </c>
      <c r="E82" s="20" t="n">
        <v>96866</v>
      </c>
      <c r="F82" s="20" t="n">
        <v>90722</v>
      </c>
      <c r="G82" s="20" t="n">
        <v>89975</v>
      </c>
      <c r="H82" s="20" t="n">
        <v>82147</v>
      </c>
      <c r="I82" s="20" t="n">
        <v>69584</v>
      </c>
      <c r="J82" s="20" t="n">
        <v>69584</v>
      </c>
      <c r="K82" s="20" t="n">
        <v>63711</v>
      </c>
      <c r="L82" s="20" t="n">
        <v>96866</v>
      </c>
    </row>
    <row r="83">
      <c r="A83" s="18" t="inlineStr">
        <is>
          <t>토지</t>
        </is>
      </c>
      <c r="C83" s="20" t="n">
        <v>23880</v>
      </c>
      <c r="D83" s="20" t="n">
        <v>24102</v>
      </c>
      <c r="E83" s="20" t="n">
        <v>24100</v>
      </c>
      <c r="F83" s="20" t="n">
        <v>24138</v>
      </c>
      <c r="G83" s="20" t="n">
        <v>25433</v>
      </c>
      <c r="H83" s="20" t="n">
        <v>20360</v>
      </c>
      <c r="I83" s="20" t="n">
        <v>20689</v>
      </c>
      <c r="J83" s="20" t="n">
        <v>20689</v>
      </c>
      <c r="K83" s="20" t="n">
        <v>23645</v>
      </c>
      <c r="L83" s="20" t="n">
        <v>24100</v>
      </c>
    </row>
    <row r="84">
      <c r="A84" s="18" t="inlineStr">
        <is>
          <t>리스자산(순액)</t>
        </is>
      </c>
      <c r="C84" s="20" t="n">
        <v>139</v>
      </c>
      <c r="D84" s="20" t="n">
        <v>139</v>
      </c>
      <c r="E84" s="20" t="n">
        <v>117</v>
      </c>
      <c r="F84" s="20" t="n">
        <v>97</v>
      </c>
      <c r="G84" s="20" t="n">
        <v>87</v>
      </c>
      <c r="H84" s="20" t="n">
        <v>253</v>
      </c>
      <c r="I84" s="20" t="n">
        <v>250</v>
      </c>
      <c r="J84" s="20" t="n">
        <v>250</v>
      </c>
      <c r="K84" s="20" t="n">
        <v>168</v>
      </c>
      <c r="L84" s="20" t="n">
        <v>117</v>
      </c>
    </row>
    <row r="85">
      <c r="A85" s="18" t="inlineStr">
        <is>
          <t>건설중인자산</t>
        </is>
      </c>
      <c r="C85" s="20" t="n">
        <v>150178</v>
      </c>
      <c r="D85" s="20" t="n">
        <v>129759</v>
      </c>
      <c r="E85" s="20" t="n">
        <v>111793</v>
      </c>
      <c r="F85" s="20" t="n">
        <v>120847</v>
      </c>
      <c r="G85" s="20" t="n">
        <v>126192</v>
      </c>
      <c r="H85" s="20" t="n">
        <v>119038</v>
      </c>
      <c r="I85" s="20" t="n">
        <v>234909</v>
      </c>
      <c r="J85" s="20" t="n">
        <v>234909</v>
      </c>
      <c r="K85" s="20" t="n">
        <v>202019</v>
      </c>
      <c r="L85" s="20" t="n">
        <v>111793</v>
      </c>
    </row>
    <row r="86">
      <c r="A86" s="18" t="inlineStr">
        <is>
          <t>기타(순액)</t>
        </is>
      </c>
      <c r="C86" s="20" t="n">
        <v>8856</v>
      </c>
      <c r="D86" s="20" t="n">
        <v>9709</v>
      </c>
      <c r="E86" s="20" t="n">
        <v>10448</v>
      </c>
      <c r="F86" s="20" t="n">
        <v>11124</v>
      </c>
      <c r="G86" s="20" t="n">
        <v>10504</v>
      </c>
      <c r="H86" s="20" t="n">
        <v>8167</v>
      </c>
      <c r="I86" s="20" t="n">
        <v>7689</v>
      </c>
      <c r="J86" s="20" t="n">
        <v>7689</v>
      </c>
      <c r="K86" s="20" t="n">
        <v>7156</v>
      </c>
      <c r="L86" s="20" t="n">
        <v>10448</v>
      </c>
    </row>
    <row r="87">
      <c r="A87" s="18" t="inlineStr">
        <is>
          <t>유형자산 합계</t>
        </is>
      </c>
      <c r="C87" s="20" t="n">
        <v>465165</v>
      </c>
      <c r="D87" s="20" t="n">
        <v>459875</v>
      </c>
      <c r="E87" s="20" t="n">
        <v>437704</v>
      </c>
      <c r="F87" s="20" t="n">
        <v>436577</v>
      </c>
      <c r="G87" s="20" t="n">
        <v>441850</v>
      </c>
      <c r="H87" s="20" t="n">
        <v>306967</v>
      </c>
      <c r="I87" s="20" t="n">
        <v>408777</v>
      </c>
      <c r="J87" s="20" t="n">
        <v>408777</v>
      </c>
      <c r="K87" s="20" t="n">
        <v>460054</v>
      </c>
      <c r="L87" s="20" t="n">
        <v>437704</v>
      </c>
    </row>
    <row r="88">
      <c r="A88" s="18" t="inlineStr">
        <is>
          <t>무형자산</t>
        </is>
      </c>
      <c r="C88" s="20" t="n">
        <v>4617</v>
      </c>
      <c r="D88" s="20" t="n">
        <v>4529</v>
      </c>
      <c r="E88" s="20" t="n">
        <v>4418</v>
      </c>
      <c r="F88" s="20" t="n">
        <v>4685</v>
      </c>
      <c r="G88" s="20" t="n">
        <v>4592</v>
      </c>
      <c r="H88" s="20" t="n">
        <v>5179</v>
      </c>
      <c r="I88" s="20" t="n">
        <v>4590</v>
      </c>
      <c r="J88" s="20" t="n">
        <v>4590</v>
      </c>
      <c r="K88" s="20" t="n">
        <v>4349</v>
      </c>
      <c r="L88" s="20" t="n">
        <v>4418</v>
      </c>
    </row>
    <row r="89">
      <c r="A89" s="18" t="inlineStr">
        <is>
          <t>투자유가증권</t>
        </is>
      </c>
      <c r="C89" s="20" t="n">
        <v>73665</v>
      </c>
      <c r="D89" s="20" t="n">
        <v>77826</v>
      </c>
      <c r="E89" s="20" t="n">
        <v>32285</v>
      </c>
      <c r="F89" s="20" t="n">
        <v>37669</v>
      </c>
      <c r="G89" s="20" t="n">
        <v>39013</v>
      </c>
      <c r="H89" s="20" t="n">
        <v>61342</v>
      </c>
      <c r="I89" s="20" t="n">
        <v>110166</v>
      </c>
      <c r="J89" s="20" t="n">
        <v>110166</v>
      </c>
      <c r="K89" s="20" t="n">
        <v>58797</v>
      </c>
      <c r="L89" s="20" t="n">
        <v>32285</v>
      </c>
    </row>
    <row r="90">
      <c r="A90" s="18" t="inlineStr">
        <is>
          <t>장기대여금</t>
        </is>
      </c>
      <c r="C90" s="20" t="n">
        <v>7</v>
      </c>
      <c r="D90" s="20" t="n">
        <v>7</v>
      </c>
      <c r="E90" s="20" t="n">
        <v>7</v>
      </c>
      <c r="F90" s="20" t="n">
        <v>7</v>
      </c>
      <c r="G90" s="20" t="n">
        <v>7</v>
      </c>
      <c r="H90" s="20" t="n">
        <v>8</v>
      </c>
      <c r="I90" s="20" t="n">
        <v>7</v>
      </c>
      <c r="J90" s="20" t="n">
        <v>7</v>
      </c>
      <c r="K90" s="20" t="n">
        <v>7</v>
      </c>
      <c r="L90" s="20" t="n">
        <v>7</v>
      </c>
    </row>
    <row r="91">
      <c r="A91" s="18" t="inlineStr">
        <is>
          <t>이연법인세자산</t>
        </is>
      </c>
      <c r="C91" s="20" t="n">
        <v>5240</v>
      </c>
      <c r="D91" s="20" t="n">
        <v>5316</v>
      </c>
      <c r="E91" s="20" t="n">
        <v>18331</v>
      </c>
      <c r="F91" s="20" t="n">
        <v>19490</v>
      </c>
      <c r="G91" s="20" t="n">
        <v>16655</v>
      </c>
      <c r="H91" s="20" t="n">
        <v>5533</v>
      </c>
      <c r="I91" s="20" t="n">
        <v>4253</v>
      </c>
      <c r="J91" s="20" t="n">
        <v>4253</v>
      </c>
      <c r="K91" s="20" t="n">
        <v>7159</v>
      </c>
      <c r="L91" s="20" t="n">
        <v>18331</v>
      </c>
    </row>
    <row r="92">
      <c r="A92" s="18" t="inlineStr">
        <is>
          <t>기타</t>
        </is>
      </c>
      <c r="C92" s="20" t="n">
        <v>1964</v>
      </c>
      <c r="D92" s="20" t="n">
        <v>2034</v>
      </c>
      <c r="E92" s="20" t="n">
        <v>2171</v>
      </c>
      <c r="F92" s="20" t="n">
        <v>7527</v>
      </c>
      <c r="G92" s="20" t="n">
        <v>9830</v>
      </c>
      <c r="H92" s="20" t="n">
        <v>1889</v>
      </c>
      <c r="I92" s="20" t="n">
        <v>1583</v>
      </c>
      <c r="J92" s="20" t="n">
        <v>1583</v>
      </c>
      <c r="K92" s="20" t="n">
        <v>1931</v>
      </c>
      <c r="L92" s="20" t="n">
        <v>2171</v>
      </c>
    </row>
    <row r="93">
      <c r="A93" s="18" t="inlineStr">
        <is>
          <t>대손충당금</t>
        </is>
      </c>
      <c r="C93" s="20" t="n">
        <v>-196</v>
      </c>
      <c r="D93" s="20" t="n">
        <v>-196</v>
      </c>
      <c r="E93" s="20" t="n">
        <v>-35</v>
      </c>
      <c r="F93" s="20" t="n">
        <v>-36</v>
      </c>
      <c r="G93" s="20" t="n">
        <v>-34</v>
      </c>
      <c r="H93" s="20" t="n">
        <v>-238</v>
      </c>
      <c r="I93" s="20" t="n">
        <v>-197</v>
      </c>
      <c r="J93" s="20" t="n">
        <v>-197</v>
      </c>
      <c r="K93" s="20" t="n">
        <v>-195</v>
      </c>
      <c r="L93" s="20" t="n">
        <v>-35</v>
      </c>
    </row>
    <row r="94">
      <c r="A94" s="18" t="inlineStr">
        <is>
          <t>투자 및 기타자산 합계</t>
        </is>
      </c>
      <c r="C94" s="20" t="n">
        <v>80680</v>
      </c>
      <c r="D94" s="20" t="n">
        <v>84988</v>
      </c>
      <c r="E94" s="20" t="n">
        <v>52761</v>
      </c>
      <c r="F94" s="20" t="n">
        <v>64658</v>
      </c>
      <c r="G94" s="20" t="n">
        <v>65471</v>
      </c>
      <c r="H94" s="20" t="n">
        <v>68536</v>
      </c>
      <c r="I94" s="20" t="n">
        <v>115812</v>
      </c>
      <c r="J94" s="20" t="n">
        <v>115812</v>
      </c>
      <c r="K94" s="20" t="n">
        <v>67699</v>
      </c>
      <c r="L94" s="20" t="n">
        <v>52761</v>
      </c>
    </row>
    <row r="95">
      <c r="A95" s="9" t="inlineStr">
        <is>
          <t>비유동자산 합계</t>
        </is>
      </c>
      <c r="C95" s="12" t="n">
        <v>550463</v>
      </c>
      <c r="D95" s="12" t="n">
        <v>549393</v>
      </c>
      <c r="E95" s="12" t="n">
        <v>494883</v>
      </c>
      <c r="F95" s="12" t="n">
        <v>505922</v>
      </c>
      <c r="G95" s="12" t="n">
        <v>511914</v>
      </c>
      <c r="H95" s="12" t="n">
        <v>380682</v>
      </c>
      <c r="I95" s="12" t="n">
        <v>529180</v>
      </c>
      <c r="J95" s="12" t="n">
        <v>529180</v>
      </c>
      <c r="K95" s="12" t="n">
        <v>532103</v>
      </c>
      <c r="L95" s="12" t="n">
        <v>494883</v>
      </c>
    </row>
    <row r="96">
      <c r="A96" s="9" t="inlineStr">
        <is>
          <t>자산 합계</t>
        </is>
      </c>
      <c r="C96" s="12" t="n">
        <v>1037938</v>
      </c>
      <c r="D96" s="12" t="n">
        <v>1054118</v>
      </c>
      <c r="E96" s="12" t="n">
        <v>960425</v>
      </c>
      <c r="F96" s="12" t="n">
        <v>1056706</v>
      </c>
      <c r="G96" s="12" t="n">
        <v>1127606</v>
      </c>
      <c r="H96" s="12" t="n">
        <v>857508</v>
      </c>
      <c r="I96" s="12" t="n">
        <v>1129991</v>
      </c>
      <c r="J96" s="12" t="n">
        <v>1129991</v>
      </c>
      <c r="K96" s="12" t="n">
        <v>1081684</v>
      </c>
      <c r="L96" s="12" t="n">
        <v>960425</v>
      </c>
    </row>
    <row r="97">
      <c r="A97" s="18" t="inlineStr">
        <is>
          <t>지급어음·매입채무</t>
        </is>
      </c>
      <c r="C97" s="20" t="n">
        <v>29225</v>
      </c>
      <c r="D97" s="20" t="n">
        <v>34303</v>
      </c>
      <c r="E97" s="20" t="n">
        <v>33694</v>
      </c>
      <c r="F97" s="20" t="n">
        <v>37651</v>
      </c>
      <c r="G97" s="20" t="n">
        <v>41976</v>
      </c>
      <c r="H97" s="20" t="n">
        <v>28262</v>
      </c>
      <c r="I97" s="20" t="n">
        <v>31369</v>
      </c>
      <c r="J97" s="20" t="n">
        <v>31369</v>
      </c>
      <c r="K97" s="20" t="n">
        <v>28483</v>
      </c>
      <c r="L97" s="20" t="n">
        <v>33694</v>
      </c>
    </row>
    <row r="98">
      <c r="A98" s="18" t="inlineStr">
        <is>
          <t>전자기록채무</t>
        </is>
      </c>
      <c r="C98" s="20" t="n">
        <v>9217</v>
      </c>
      <c r="D98" s="20" t="n">
        <v>11407</v>
      </c>
      <c r="E98" s="20" t="n">
        <v>10449</v>
      </c>
      <c r="F98" s="20" t="n">
        <v>11230</v>
      </c>
      <c r="G98" s="20" t="n">
        <v>13085</v>
      </c>
      <c r="H98" s="20" t="n">
        <v>12169</v>
      </c>
      <c r="I98" s="20" t="n">
        <v>12506</v>
      </c>
      <c r="J98" s="20" t="n">
        <v>12506</v>
      </c>
      <c r="K98" s="20" t="n">
        <v>10278</v>
      </c>
      <c r="L98" s="20" t="n">
        <v>10449</v>
      </c>
    </row>
    <row r="99">
      <c r="A99" s="18" t="inlineStr">
        <is>
          <t>단기차입금</t>
        </is>
      </c>
      <c r="C99" s="20" t="n">
        <v>50000</v>
      </c>
      <c r="D99" s="20" t="n">
        <v>50000</v>
      </c>
      <c r="E99" s="20" t="n">
        <v>0</v>
      </c>
      <c r="H99" s="20" t="n">
        <v>65030</v>
      </c>
      <c r="I99" s="20" t="n">
        <v>55000</v>
      </c>
      <c r="J99" s="20" t="n">
        <v>55000</v>
      </c>
      <c r="K99" s="20" t="n">
        <v>50000</v>
      </c>
      <c r="L99" s="20" t="n">
        <v>0</v>
      </c>
    </row>
    <row r="100">
      <c r="A100" s="18" t="inlineStr">
        <is>
          <t>1년 내 상환 사채</t>
        </is>
      </c>
      <c r="C100" s="20" t="n">
        <v>15000</v>
      </c>
      <c r="D100" s="20" t="n">
        <v>15000</v>
      </c>
      <c r="E100" s="20" t="n">
        <v>15000</v>
      </c>
      <c r="F100" s="20" t="n">
        <v>15000</v>
      </c>
      <c r="G100" s="20" t="n">
        <v>10000</v>
      </c>
      <c r="H100" s="20" t="n">
        <v>0</v>
      </c>
      <c r="I100" s="20" t="n">
        <v>35000</v>
      </c>
      <c r="J100" s="20" t="n">
        <v>35000</v>
      </c>
      <c r="K100" s="20" t="n">
        <v>40000</v>
      </c>
      <c r="L100" s="20" t="n">
        <v>15000</v>
      </c>
    </row>
    <row r="101">
      <c r="A101" s="18" t="inlineStr">
        <is>
          <t>미지급금</t>
        </is>
      </c>
      <c r="C101" s="20" t="n">
        <v>29117</v>
      </c>
      <c r="D101" s="20" t="n">
        <v>27805</v>
      </c>
      <c r="E101" s="20" t="n">
        <v>14521</v>
      </c>
      <c r="F101" s="20" t="n">
        <v>19584</v>
      </c>
      <c r="G101" s="20" t="n">
        <v>22007</v>
      </c>
      <c r="H101" s="20" t="n">
        <v>22308</v>
      </c>
      <c r="I101" s="20" t="n">
        <v>59052</v>
      </c>
      <c r="J101" s="20" t="n">
        <v>59052</v>
      </c>
      <c r="K101" s="20" t="n">
        <v>58671</v>
      </c>
      <c r="L101" s="20" t="n">
        <v>14521</v>
      </c>
    </row>
    <row r="102">
      <c r="A102" s="18" t="inlineStr">
        <is>
          <t>미지급법인세</t>
        </is>
      </c>
      <c r="C102" s="20" t="n">
        <v>9839</v>
      </c>
      <c r="D102" s="20" t="n">
        <v>2185</v>
      </c>
      <c r="E102" s="20" t="n">
        <v>22013</v>
      </c>
      <c r="F102" s="20" t="n">
        <v>8914</v>
      </c>
      <c r="G102" s="20" t="n">
        <v>20711</v>
      </c>
      <c r="H102" s="20" t="n">
        <v>14268</v>
      </c>
      <c r="I102" s="20" t="n">
        <v>4144</v>
      </c>
      <c r="J102" s="20" t="n">
        <v>4144</v>
      </c>
      <c r="K102" s="20" t="n">
        <v>14869</v>
      </c>
      <c r="L102" s="20" t="n">
        <v>22013</v>
      </c>
    </row>
    <row r="103">
      <c r="A103" s="18" t="inlineStr">
        <is>
          <t>선수금</t>
        </is>
      </c>
      <c r="C103" s="20" t="n">
        <v>77577</v>
      </c>
      <c r="D103" s="20" t="n">
        <v>76929</v>
      </c>
      <c r="E103" s="20" t="n">
        <v>80950</v>
      </c>
      <c r="F103" s="20" t="n">
        <v>154526</v>
      </c>
      <c r="G103" s="20" t="n">
        <v>199746</v>
      </c>
      <c r="H103" s="20" t="n">
        <v>30772</v>
      </c>
      <c r="I103" s="20" t="n">
        <v>80098</v>
      </c>
      <c r="J103" s="20" t="n">
        <v>80098</v>
      </c>
      <c r="K103" s="20" t="n">
        <v>92084</v>
      </c>
      <c r="L103" s="20" t="n">
        <v>80950</v>
      </c>
    </row>
    <row r="104">
      <c r="A104" s="18" t="inlineStr">
        <is>
          <t>상여충당금</t>
        </is>
      </c>
      <c r="C104" s="20" t="n">
        <v>5886</v>
      </c>
      <c r="D104" s="20" t="n">
        <v>2499</v>
      </c>
      <c r="E104" s="20" t="n">
        <v>5809</v>
      </c>
      <c r="F104" s="20" t="n">
        <v>3249</v>
      </c>
      <c r="G104" s="20" t="n">
        <v>9608</v>
      </c>
      <c r="H104" s="20" t="n">
        <v>5138</v>
      </c>
      <c r="I104" s="20" t="n">
        <v>4871</v>
      </c>
      <c r="J104" s="20" t="n">
        <v>4871</v>
      </c>
      <c r="K104" s="20" t="n">
        <v>4918</v>
      </c>
      <c r="L104" s="20" t="n">
        <v>5809</v>
      </c>
    </row>
    <row r="105">
      <c r="A105" s="18" t="inlineStr">
        <is>
          <t>임원 상여충당금</t>
        </is>
      </c>
      <c r="C105" s="20" t="n">
        <v>0</v>
      </c>
      <c r="D105" s="20" t="n">
        <v>0</v>
      </c>
      <c r="E105" s="20" t="n">
        <v>172</v>
      </c>
      <c r="F105" s="20" t="n">
        <v>0</v>
      </c>
      <c r="G105" s="20" t="n">
        <v>0</v>
      </c>
      <c r="H105" s="20" t="n">
        <v>186</v>
      </c>
      <c r="I105" s="20" t="n">
        <v>122</v>
      </c>
      <c r="J105" s="20" t="n">
        <v>122</v>
      </c>
      <c r="K105" s="20" t="n">
        <v>170</v>
      </c>
      <c r="L105" s="20" t="n">
        <v>172</v>
      </c>
    </row>
    <row r="106">
      <c r="A106" s="18" t="inlineStr">
        <is>
          <t>관계회사 정리손실 충당금</t>
        </is>
      </c>
      <c r="H106" s="20" t="n">
        <v>176</v>
      </c>
      <c r="I106" s="20" t="n">
        <v>0</v>
      </c>
    </row>
    <row r="107">
      <c r="A107" s="18" t="inlineStr">
        <is>
          <t>설비관련 지급어음</t>
        </is>
      </c>
      <c r="H107" s="20" t="n">
        <v>1</v>
      </c>
      <c r="I107" s="20" t="n">
        <v>9</v>
      </c>
      <c r="J107" s="20" t="n">
        <v>9</v>
      </c>
      <c r="K107" s="20" t="n">
        <v>0</v>
      </c>
    </row>
    <row r="108">
      <c r="A108" s="18" t="inlineStr">
        <is>
          <t>해체철거 충당금</t>
        </is>
      </c>
      <c r="E108" s="20" t="n">
        <v>1558</v>
      </c>
      <c r="F108" s="20" t="n">
        <v>1558</v>
      </c>
      <c r="G108" s="20" t="n">
        <v>1558</v>
      </c>
      <c r="K108" s="20" t="n">
        <v>0</v>
      </c>
      <c r="L108" s="20" t="n">
        <v>1558</v>
      </c>
    </row>
    <row r="109">
      <c r="A109" s="18" t="inlineStr">
        <is>
          <t>설비 관련 전자기록채무</t>
        </is>
      </c>
      <c r="C109" s="20" t="n">
        <v>7441</v>
      </c>
      <c r="D109" s="20" t="n">
        <v>4189</v>
      </c>
      <c r="E109" s="20" t="n">
        <v>6376</v>
      </c>
      <c r="F109" s="20" t="n">
        <v>6807</v>
      </c>
      <c r="G109" s="20" t="n">
        <v>7470</v>
      </c>
      <c r="H109" s="20" t="n">
        <v>26601</v>
      </c>
      <c r="I109" s="20" t="n">
        <v>52931</v>
      </c>
      <c r="J109" s="20" t="n">
        <v>52931</v>
      </c>
      <c r="K109" s="20" t="n">
        <v>6208</v>
      </c>
      <c r="L109" s="20" t="n">
        <v>6376</v>
      </c>
    </row>
    <row r="110">
      <c r="A110" s="18" t="inlineStr">
        <is>
          <t>기타</t>
        </is>
      </c>
      <c r="C110" s="20" t="n">
        <v>28514</v>
      </c>
      <c r="D110" s="20" t="n">
        <v>34907</v>
      </c>
      <c r="E110" s="20" t="n">
        <v>31100</v>
      </c>
      <c r="F110" s="20" t="n">
        <v>43052</v>
      </c>
      <c r="G110" s="20" t="n">
        <v>34217</v>
      </c>
      <c r="H110" s="20" t="n">
        <v>18582</v>
      </c>
      <c r="I110" s="20" t="n">
        <v>23256</v>
      </c>
      <c r="J110" s="20" t="n">
        <v>23256</v>
      </c>
      <c r="K110" s="20" t="n">
        <v>22033</v>
      </c>
      <c r="L110" s="20" t="n">
        <v>31100</v>
      </c>
    </row>
    <row r="111">
      <c r="A111" s="9" t="inlineStr">
        <is>
          <t>유동부채 합계</t>
        </is>
      </c>
      <c r="C111" s="12" t="n">
        <v>261820</v>
      </c>
      <c r="D111" s="12" t="n">
        <v>259227</v>
      </c>
      <c r="E111" s="12" t="n">
        <v>221645</v>
      </c>
      <c r="F111" s="12" t="n">
        <v>301574</v>
      </c>
      <c r="G111" s="12" t="n">
        <v>360382</v>
      </c>
      <c r="H111" s="12" t="n">
        <v>223321</v>
      </c>
      <c r="I111" s="12" t="n">
        <v>358362</v>
      </c>
      <c r="J111" s="12" t="n">
        <v>358362</v>
      </c>
      <c r="K111" s="12" t="n">
        <v>327717</v>
      </c>
      <c r="L111" s="12" t="n">
        <v>221645</v>
      </c>
    </row>
    <row r="112">
      <c r="A112" s="18" t="inlineStr">
        <is>
          <t>사채</t>
        </is>
      </c>
      <c r="C112" s="20" t="n">
        <v>45000</v>
      </c>
      <c r="D112" s="20" t="n">
        <v>45000</v>
      </c>
      <c r="E112" s="20" t="n">
        <v>45000</v>
      </c>
      <c r="F112" s="20" t="n">
        <v>45000</v>
      </c>
      <c r="G112" s="20" t="n">
        <v>35000</v>
      </c>
      <c r="H112" s="20" t="n">
        <v>100000</v>
      </c>
      <c r="I112" s="20" t="n">
        <v>65000</v>
      </c>
      <c r="J112" s="20" t="n">
        <v>65000</v>
      </c>
      <c r="K112" s="20" t="n">
        <v>60000</v>
      </c>
      <c r="L112" s="20" t="n">
        <v>45000</v>
      </c>
    </row>
    <row r="113">
      <c r="A113" s="18" t="inlineStr">
        <is>
          <t>전환사채형 신주예약권부 사채</t>
        </is>
      </c>
      <c r="C113" s="20" t="n">
        <v>72726</v>
      </c>
      <c r="D113" s="20" t="n">
        <v>72601</v>
      </c>
      <c r="E113" s="20" t="n">
        <v>72476</v>
      </c>
      <c r="F113" s="20" t="n">
        <v>64248</v>
      </c>
      <c r="G113" s="20" t="n">
        <v>56036</v>
      </c>
      <c r="H113" s="20" t="n">
        <v>0</v>
      </c>
      <c r="I113" s="20" t="n">
        <v>73476</v>
      </c>
      <c r="J113" s="20" t="n">
        <v>73476</v>
      </c>
      <c r="K113" s="20" t="n">
        <v>72976</v>
      </c>
      <c r="L113" s="20" t="n">
        <v>72476</v>
      </c>
    </row>
    <row r="114">
      <c r="A114" s="18" t="inlineStr">
        <is>
          <t>장기차입금</t>
        </is>
      </c>
      <c r="C114" s="20" t="n">
        <v>120000</v>
      </c>
      <c r="D114" s="20" t="n">
        <v>120000</v>
      </c>
      <c r="E114" s="20" t="n">
        <v>60000</v>
      </c>
      <c r="F114" s="20" t="n">
        <v>61000</v>
      </c>
      <c r="G114" s="20" t="n">
        <v>61000</v>
      </c>
      <c r="H114" s="20" t="n">
        <v>105000</v>
      </c>
      <c r="I114" s="20" t="n">
        <v>115000</v>
      </c>
      <c r="J114" s="20" t="n">
        <v>115000</v>
      </c>
      <c r="K114" s="20" t="n">
        <v>120000</v>
      </c>
      <c r="L114" s="20" t="n">
        <v>60000</v>
      </c>
    </row>
    <row r="115">
      <c r="A115" s="18" t="inlineStr">
        <is>
          <t>리스부채</t>
        </is>
      </c>
      <c r="C115" s="20" t="n">
        <v>73</v>
      </c>
      <c r="D115" s="20" t="n">
        <v>68</v>
      </c>
      <c r="E115" s="20" t="n">
        <v>61</v>
      </c>
      <c r="F115" s="20" t="n">
        <v>53</v>
      </c>
      <c r="G115" s="20" t="n">
        <v>50</v>
      </c>
      <c r="H115" s="20" t="n">
        <v>167</v>
      </c>
      <c r="I115" s="20" t="n">
        <v>130</v>
      </c>
      <c r="J115" s="20" t="n">
        <v>130</v>
      </c>
      <c r="K115" s="20" t="n">
        <v>84</v>
      </c>
      <c r="L115" s="20" t="n">
        <v>61</v>
      </c>
    </row>
    <row r="116">
      <c r="A116" s="18" t="inlineStr">
        <is>
          <t>재평가 관련 이연법인세부채</t>
        </is>
      </c>
      <c r="C116" s="20" t="n">
        <v>70</v>
      </c>
      <c r="D116" s="20" t="n">
        <v>70</v>
      </c>
      <c r="E116" s="20" t="n">
        <v>70</v>
      </c>
      <c r="F116" s="20" t="n">
        <v>70</v>
      </c>
      <c r="G116" s="20" t="n">
        <v>70</v>
      </c>
      <c r="H116" s="20" t="n">
        <v>68</v>
      </c>
      <c r="I116" s="20" t="n">
        <v>68</v>
      </c>
      <c r="J116" s="20" t="n">
        <v>68</v>
      </c>
      <c r="K116" s="20" t="n">
        <v>70</v>
      </c>
      <c r="L116" s="20" t="n">
        <v>70</v>
      </c>
    </row>
    <row r="117">
      <c r="A117" s="18" t="inlineStr">
        <is>
          <t>퇴직급여부채</t>
        </is>
      </c>
      <c r="C117" s="20" t="n">
        <v>855</v>
      </c>
      <c r="D117" s="20" t="n">
        <v>932</v>
      </c>
      <c r="E117" s="20" t="n">
        <v>633</v>
      </c>
      <c r="F117" s="20" t="n">
        <v>664</v>
      </c>
      <c r="G117" s="20" t="n">
        <v>644</v>
      </c>
      <c r="H117" s="20" t="n">
        <v>573</v>
      </c>
      <c r="I117" s="20" t="n">
        <v>751</v>
      </c>
      <c r="J117" s="20" t="n">
        <v>751</v>
      </c>
      <c r="K117" s="20" t="n">
        <v>800</v>
      </c>
      <c r="L117" s="20" t="n">
        <v>633</v>
      </c>
    </row>
    <row r="118">
      <c r="A118" s="18" t="inlineStr">
        <is>
          <t>주식보상 충당금</t>
        </is>
      </c>
      <c r="H118" s="20" t="n">
        <v>493</v>
      </c>
    </row>
    <row r="119">
      <c r="A119" s="18" t="inlineStr">
        <is>
          <t>주식보상 충당금</t>
        </is>
      </c>
      <c r="C119" s="20" t="n">
        <v>604</v>
      </c>
      <c r="D119" s="20" t="n">
        <v>646</v>
      </c>
      <c r="E119" s="20" t="n">
        <v>687</v>
      </c>
      <c r="F119" s="20" t="n">
        <v>699</v>
      </c>
      <c r="G119" s="20" t="n">
        <v>727</v>
      </c>
      <c r="H119" s="20" t="n">
        <v>548</v>
      </c>
      <c r="I119" s="20" t="n">
        <v>564</v>
      </c>
      <c r="J119" s="20" t="n">
        <v>564</v>
      </c>
      <c r="K119" s="20" t="n">
        <v>582</v>
      </c>
      <c r="L119" s="20" t="n">
        <v>687</v>
      </c>
    </row>
    <row r="120">
      <c r="A120" s="18" t="inlineStr">
        <is>
          <t>이연법인세부채</t>
        </is>
      </c>
      <c r="C120" s="20" t="n">
        <v>3621</v>
      </c>
      <c r="D120" s="20" t="n">
        <v>4859</v>
      </c>
      <c r="E120" s="20" t="n">
        <v>1284</v>
      </c>
      <c r="F120" s="20" t="n">
        <v>1290</v>
      </c>
      <c r="G120" s="20" t="n">
        <v>1302</v>
      </c>
      <c r="H120" s="20" t="n">
        <v>825</v>
      </c>
      <c r="I120" s="20" t="n">
        <v>13433</v>
      </c>
      <c r="J120" s="20" t="n">
        <v>13433</v>
      </c>
      <c r="K120" s="20" t="n">
        <v>1015</v>
      </c>
      <c r="L120" s="20" t="n">
        <v>1284</v>
      </c>
    </row>
    <row r="121">
      <c r="A121" s="18" t="inlineStr">
        <is>
          <t>기타</t>
        </is>
      </c>
      <c r="C121" s="20" t="n">
        <v>1012</v>
      </c>
      <c r="D121" s="20" t="n">
        <v>1169</v>
      </c>
      <c r="E121" s="20" t="n">
        <v>1152</v>
      </c>
      <c r="F121" s="20" t="n">
        <v>1572</v>
      </c>
      <c r="G121" s="20" t="n">
        <v>1507</v>
      </c>
      <c r="H121" s="20" t="n">
        <v>1398</v>
      </c>
      <c r="I121" s="20" t="n">
        <v>1407</v>
      </c>
      <c r="J121" s="20" t="n">
        <v>1407</v>
      </c>
      <c r="K121" s="20" t="n">
        <v>1138</v>
      </c>
      <c r="L121" s="20" t="n">
        <v>1152</v>
      </c>
    </row>
    <row r="122">
      <c r="A122" s="9" t="inlineStr">
        <is>
          <t>비유동부채 합계</t>
        </is>
      </c>
      <c r="C122" s="12" t="n">
        <v>243964</v>
      </c>
      <c r="D122" s="12" t="n">
        <v>245349</v>
      </c>
      <c r="E122" s="12" t="n">
        <v>181367</v>
      </c>
      <c r="F122" s="12" t="n">
        <v>174599</v>
      </c>
      <c r="G122" s="12" t="n">
        <v>156339</v>
      </c>
      <c r="H122" s="12" t="n">
        <v>208581</v>
      </c>
      <c r="I122" s="12" t="n">
        <v>269832</v>
      </c>
      <c r="J122" s="12" t="n">
        <v>269832</v>
      </c>
      <c r="K122" s="12" t="n">
        <v>256668</v>
      </c>
      <c r="L122" s="12" t="n">
        <v>181367</v>
      </c>
    </row>
    <row r="123">
      <c r="A123" s="9" t="inlineStr">
        <is>
          <t>부채 합계</t>
        </is>
      </c>
      <c r="C123" s="12" t="n">
        <v>505785</v>
      </c>
      <c r="D123" s="12" t="n">
        <v>504577</v>
      </c>
      <c r="E123" s="12" t="n">
        <v>403012</v>
      </c>
      <c r="F123" s="12" t="n">
        <v>476174</v>
      </c>
      <c r="G123" s="12" t="n">
        <v>516721</v>
      </c>
      <c r="H123" s="12" t="n">
        <v>431902</v>
      </c>
      <c r="I123" s="12" t="n">
        <v>628194</v>
      </c>
      <c r="J123" s="12" t="n">
        <v>628194</v>
      </c>
      <c r="K123" s="12" t="n">
        <v>584385</v>
      </c>
      <c r="L123" s="12" t="n">
        <v>403012</v>
      </c>
    </row>
    <row r="124">
      <c r="A124" s="18" t="inlineStr">
        <is>
          <t>자본금</t>
        </is>
      </c>
      <c r="C124" s="20" t="n">
        <v>64152</v>
      </c>
      <c r="D124" s="20" t="n">
        <v>64152</v>
      </c>
      <c r="E124" s="20" t="n">
        <v>64152</v>
      </c>
      <c r="F124" s="20" t="n">
        <v>64669</v>
      </c>
      <c r="G124" s="20" t="n">
        <v>68725</v>
      </c>
      <c r="H124" s="20" t="n">
        <v>64152</v>
      </c>
      <c r="I124" s="20" t="n">
        <v>64152</v>
      </c>
      <c r="J124" s="20" t="n">
        <v>64152</v>
      </c>
      <c r="K124" s="20" t="n">
        <v>64152</v>
      </c>
      <c r="L124" s="20" t="n">
        <v>64152</v>
      </c>
    </row>
    <row r="125">
      <c r="A125" s="18" t="inlineStr">
        <is>
          <t>자본잉여금</t>
        </is>
      </c>
      <c r="C125" s="20" t="n">
        <v>64565</v>
      </c>
      <c r="D125" s="20" t="n">
        <v>64565</v>
      </c>
      <c r="E125" s="20" t="n">
        <v>64565</v>
      </c>
      <c r="F125" s="20" t="n">
        <v>70333</v>
      </c>
      <c r="G125" s="20" t="n">
        <v>74389</v>
      </c>
      <c r="H125" s="20" t="n">
        <v>64494</v>
      </c>
      <c r="I125" s="20" t="n">
        <v>64494</v>
      </c>
      <c r="J125" s="20" t="n">
        <v>64494</v>
      </c>
      <c r="K125" s="20" t="n">
        <v>64565</v>
      </c>
      <c r="L125" s="20" t="n">
        <v>64565</v>
      </c>
    </row>
    <row r="126">
      <c r="A126" s="18" t="inlineStr">
        <is>
          <t>이익잉여금</t>
        </is>
      </c>
      <c r="C126" s="20" t="n">
        <v>303078</v>
      </c>
      <c r="D126" s="20" t="n">
        <v>307813</v>
      </c>
      <c r="E126" s="20" t="n">
        <v>340525</v>
      </c>
      <c r="F126" s="20" t="n">
        <v>354247</v>
      </c>
      <c r="G126" s="20" t="n">
        <v>374903</v>
      </c>
      <c r="H126" s="20" t="n">
        <v>229804</v>
      </c>
      <c r="I126" s="20" t="n">
        <v>255698</v>
      </c>
      <c r="J126" s="20" t="n">
        <v>255698</v>
      </c>
      <c r="K126" s="20" t="n">
        <v>283807</v>
      </c>
      <c r="L126" s="20" t="n">
        <v>340525</v>
      </c>
    </row>
    <row r="127">
      <c r="A127" s="18" t="inlineStr">
        <is>
          <t>자기주식</t>
        </is>
      </c>
      <c r="C127" s="20" t="n">
        <v>-3442</v>
      </c>
      <c r="D127" s="20" t="n">
        <v>-3448</v>
      </c>
      <c r="E127" s="20" t="n">
        <v>-3452</v>
      </c>
      <c r="F127" s="20" t="n">
        <v>-1598</v>
      </c>
      <c r="G127" s="20" t="n">
        <v>-1596</v>
      </c>
      <c r="H127" s="20" t="n">
        <v>-3126</v>
      </c>
      <c r="I127" s="20" t="n">
        <v>-2983</v>
      </c>
      <c r="J127" s="20" t="n">
        <v>-2983</v>
      </c>
      <c r="K127" s="20" t="n">
        <v>-3497</v>
      </c>
      <c r="L127" s="20" t="n">
        <v>-3452</v>
      </c>
    </row>
    <row r="128">
      <c r="A128" s="9" t="inlineStr">
        <is>
          <t>주주자본 합계</t>
        </is>
      </c>
      <c r="C128" s="12" t="n">
        <v>428354</v>
      </c>
      <c r="D128" s="12" t="n">
        <v>433082</v>
      </c>
      <c r="E128" s="12" t="n">
        <v>465791</v>
      </c>
      <c r="F128" s="12" t="n">
        <v>487652</v>
      </c>
      <c r="G128" s="12" t="n">
        <v>516422</v>
      </c>
      <c r="H128" s="12" t="n">
        <v>355324</v>
      </c>
      <c r="I128" s="12" t="n">
        <v>381362</v>
      </c>
      <c r="J128" s="12" t="n">
        <v>381362</v>
      </c>
      <c r="K128" s="12" t="n">
        <v>409027</v>
      </c>
      <c r="L128" s="12" t="n">
        <v>465791</v>
      </c>
    </row>
    <row r="129">
      <c r="A129" s="18" t="inlineStr">
        <is>
          <t>기타유가증권 평가차액</t>
        </is>
      </c>
      <c r="C129" s="20" t="n">
        <v>39733</v>
      </c>
      <c r="D129" s="20" t="n">
        <v>42611</v>
      </c>
      <c r="E129" s="20" t="n">
        <v>16331</v>
      </c>
      <c r="F129" s="20" t="n">
        <v>20040</v>
      </c>
      <c r="G129" s="20" t="n">
        <v>20746</v>
      </c>
      <c r="H129" s="20" t="n">
        <v>24430</v>
      </c>
      <c r="I129" s="20" t="n">
        <v>58657</v>
      </c>
      <c r="J129" s="20" t="n">
        <v>58657</v>
      </c>
      <c r="K129" s="20" t="n">
        <v>29416</v>
      </c>
      <c r="L129" s="20" t="n">
        <v>16331</v>
      </c>
    </row>
    <row r="130">
      <c r="A130" s="18" t="inlineStr">
        <is>
          <t>이연헤지손익</t>
        </is>
      </c>
      <c r="C130" s="20" t="n">
        <v>25</v>
      </c>
      <c r="D130" s="20" t="n">
        <v>-70</v>
      </c>
      <c r="E130" s="20" t="n">
        <v>-168</v>
      </c>
      <c r="F130" s="20" t="n">
        <v>-5485</v>
      </c>
      <c r="G130" s="20" t="n">
        <v>242</v>
      </c>
      <c r="H130" s="20" t="n">
        <v>0</v>
      </c>
      <c r="I130" s="20" t="n">
        <v>0</v>
      </c>
      <c r="J130" s="20" t="n">
        <v>0</v>
      </c>
      <c r="K130" s="20" t="n">
        <v>0</v>
      </c>
      <c r="L130" s="20" t="n">
        <v>-168</v>
      </c>
    </row>
    <row r="131">
      <c r="A131" s="18" t="inlineStr">
        <is>
          <t>토지재평가차액금</t>
        </is>
      </c>
      <c r="C131" s="20" t="n">
        <v>158</v>
      </c>
      <c r="D131" s="20" t="n">
        <v>158</v>
      </c>
      <c r="E131" s="20" t="n">
        <v>158</v>
      </c>
      <c r="F131" s="20" t="n">
        <v>158</v>
      </c>
      <c r="G131" s="20" t="n">
        <v>158</v>
      </c>
      <c r="H131" s="20" t="n">
        <v>160</v>
      </c>
      <c r="I131" s="20" t="n">
        <v>160</v>
      </c>
      <c r="J131" s="20" t="n">
        <v>160</v>
      </c>
      <c r="K131" s="20" t="n">
        <v>158</v>
      </c>
      <c r="L131" s="20" t="n">
        <v>158</v>
      </c>
    </row>
    <row r="132">
      <c r="A132" s="18" t="inlineStr">
        <is>
          <t>해외사업환산조정</t>
        </is>
      </c>
      <c r="C132" s="20" t="n">
        <v>56827</v>
      </c>
      <c r="D132" s="20" t="n">
        <v>66614</v>
      </c>
      <c r="E132" s="20" t="n">
        <v>67959</v>
      </c>
      <c r="F132" s="20" t="n">
        <v>70683</v>
      </c>
      <c r="G132" s="20" t="n">
        <v>65764</v>
      </c>
      <c r="H132" s="20" t="n">
        <v>39323</v>
      </c>
      <c r="I132" s="20" t="n">
        <v>54763</v>
      </c>
      <c r="J132" s="20" t="n">
        <v>54763</v>
      </c>
      <c r="K132" s="20" t="n">
        <v>51892</v>
      </c>
      <c r="L132" s="20" t="n">
        <v>67959</v>
      </c>
    </row>
    <row r="133">
      <c r="A133" s="18" t="inlineStr">
        <is>
          <t>기타포괄손익누계액 합계</t>
        </is>
      </c>
      <c r="C133" s="20" t="n">
        <v>96743</v>
      </c>
      <c r="D133" s="20" t="n">
        <v>109313</v>
      </c>
      <c r="E133" s="20" t="n">
        <v>84281</v>
      </c>
      <c r="F133" s="20" t="n">
        <v>85396</v>
      </c>
      <c r="G133" s="20" t="n">
        <v>86911</v>
      </c>
      <c r="H133" s="20" t="n">
        <v>63914</v>
      </c>
      <c r="I133" s="20" t="n">
        <v>113582</v>
      </c>
      <c r="J133" s="20" t="n">
        <v>113582</v>
      </c>
      <c r="K133" s="20" t="n">
        <v>81466</v>
      </c>
      <c r="L133" s="20" t="n">
        <v>84281</v>
      </c>
    </row>
    <row r="134">
      <c r="A134" s="18" t="inlineStr">
        <is>
          <t>비지배지분</t>
        </is>
      </c>
      <c r="C134" s="20" t="n">
        <v>7055</v>
      </c>
      <c r="D134" s="20" t="n">
        <v>7144</v>
      </c>
      <c r="E134" s="20" t="n">
        <v>7339</v>
      </c>
      <c r="F134" s="20" t="n">
        <v>7482</v>
      </c>
      <c r="G134" s="20" t="n">
        <v>7550</v>
      </c>
      <c r="H134" s="20" t="n">
        <v>6367</v>
      </c>
      <c r="I134" s="20" t="n">
        <v>6852</v>
      </c>
      <c r="J134" s="20" t="n">
        <v>6852</v>
      </c>
      <c r="K134" s="20" t="n">
        <v>6803</v>
      </c>
      <c r="L134" s="20" t="n">
        <v>7339</v>
      </c>
    </row>
    <row r="135">
      <c r="A135" s="9" t="inlineStr">
        <is>
          <t>순자산 합계</t>
        </is>
      </c>
      <c r="C135" s="12" t="n">
        <v>532153</v>
      </c>
      <c r="D135" s="12" t="n">
        <v>549541</v>
      </c>
      <c r="E135" s="12" t="n">
        <v>557412</v>
      </c>
      <c r="F135" s="12" t="n">
        <v>580531</v>
      </c>
      <c r="G135" s="12" t="n">
        <v>610884</v>
      </c>
      <c r="H135" s="12" t="n">
        <v>425606</v>
      </c>
      <c r="I135" s="12" t="n">
        <v>501796</v>
      </c>
      <c r="J135" s="12" t="n">
        <v>501796</v>
      </c>
      <c r="K135" s="12" t="n">
        <v>497298</v>
      </c>
      <c r="L135" s="12" t="n">
        <v>557412</v>
      </c>
    </row>
    <row r="136">
      <c r="A136" s="9" t="inlineStr">
        <is>
          <t>부채·순자산 합계</t>
        </is>
      </c>
      <c r="C136" s="12" t="n">
        <v>1037938</v>
      </c>
      <c r="D136" s="12" t="n">
        <v>1054118</v>
      </c>
      <c r="E136" s="12" t="n">
        <v>960425</v>
      </c>
      <c r="F136" s="12" t="n">
        <v>1056706</v>
      </c>
      <c r="G136" s="12" t="n">
        <v>1127606</v>
      </c>
      <c r="H136" s="12" t="n">
        <v>857508</v>
      </c>
      <c r="I136" s="12" t="n">
        <v>1129991</v>
      </c>
      <c r="J136" s="12" t="n">
        <v>1129991</v>
      </c>
      <c r="K136" s="12" t="n">
        <v>1081684</v>
      </c>
      <c r="L136" s="12" t="n">
        <v>960425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이비덴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GUIDE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5650</v>
      </c>
      <c r="C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1330</v>
      </c>
    </row>
    <row r="8">
      <c r="A8" s="54" t="inlineStr">
        <is>
          <t>ord</t>
        </is>
      </c>
      <c r="B8" s="55" t="n">
        <v>1345</v>
      </c>
    </row>
    <row r="9">
      <c r="A9" s="54" t="inlineStr">
        <is>
          <t>순이익</t>
        </is>
      </c>
      <c r="B9" s="55" t="n">
        <v>890</v>
      </c>
    </row>
    <row r="10">
      <c r="A10" s="54" t="inlineStr">
        <is>
          <t>EPS</t>
        </is>
      </c>
      <c r="B10" s="57" t="n">
        <v>157.17</v>
      </c>
    </row>
    <row r="11">
      <c r="A11" s="54" t="inlineStr">
        <is>
          <t>dps</t>
        </is>
      </c>
      <c r="B11" s="57" t="n">
        <v>20</v>
      </c>
    </row>
    <row r="13">
      <c r="A13" s="52" t="inlineStr">
        <is>
          <t>H1G</t>
        </is>
      </c>
      <c r="B13" s="52" t="n"/>
      <c r="C13" s="52" t="n"/>
    </row>
    <row r="14">
      <c r="A14" s="53" t="inlineStr">
        <is>
          <t>항목</t>
        </is>
      </c>
      <c r="B14" s="53" t="inlineStr">
        <is>
          <t>값</t>
        </is>
      </c>
      <c r="C14" s="53" t="inlineStr">
        <is>
          <t>출처</t>
        </is>
      </c>
    </row>
    <row r="15">
      <c r="A15" s="54" t="inlineStr">
        <is>
          <t>매출</t>
        </is>
      </c>
      <c r="B15" s="55" t="n">
        <v>2535</v>
      </c>
      <c r="C15" s="56" t="inlineStr">
        <is>
          <t>2단계 보고서 자료(회사 설명회 자료·공시)</t>
        </is>
      </c>
    </row>
    <row r="16">
      <c r="A16" s="54" t="inlineStr">
        <is>
          <t>영업이익</t>
        </is>
      </c>
      <c r="B16" s="55" t="n">
        <v>545</v>
      </c>
    </row>
    <row r="17">
      <c r="A17" s="54" t="inlineStr">
        <is>
          <t>ord</t>
        </is>
      </c>
      <c r="B17" s="55" t="n">
        <v>540</v>
      </c>
    </row>
    <row r="18">
      <c r="A18" s="54" t="inlineStr">
        <is>
          <t>순이익</t>
        </is>
      </c>
      <c r="B18" s="55" t="n">
        <v>340</v>
      </c>
    </row>
    <row r="20">
      <c r="A20" s="52" t="inlineStr">
        <is>
          <t>G2</t>
        </is>
      </c>
      <c r="B20" s="52" t="n"/>
      <c r="C20" s="52" t="n"/>
    </row>
    <row r="21">
      <c r="A21" s="53" t="inlineStr">
        <is>
          <t>항목</t>
        </is>
      </c>
      <c r="B21" s="53" t="inlineStr">
        <is>
          <t>값</t>
        </is>
      </c>
      <c r="C21" s="53" t="inlineStr">
        <is>
          <t>출처</t>
        </is>
      </c>
    </row>
    <row r="22">
      <c r="A22" s="54" t="inlineStr">
        <is>
          <t>매출</t>
        </is>
      </c>
      <c r="B22" s="57" t="n">
        <v>1302.8</v>
      </c>
      <c r="C22" s="56" t="inlineStr">
        <is>
          <t>2단계 보고서 자료(회사 설명회 자료·공시)</t>
        </is>
      </c>
    </row>
    <row r="23">
      <c r="A23" s="54" t="inlineStr">
        <is>
          <t>영업이익</t>
        </is>
      </c>
      <c r="B23" s="57" t="n">
        <v>276.2</v>
      </c>
    </row>
    <row r="24">
      <c r="A24" s="54" t="inlineStr">
        <is>
          <t>ord</t>
        </is>
      </c>
      <c r="B24" s="57" t="n">
        <v>265.3</v>
      </c>
    </row>
    <row r="25">
      <c r="A25" s="54" t="inlineStr">
        <is>
          <t>순이익</t>
        </is>
      </c>
      <c r="B25" s="57" t="n">
        <v>160.8</v>
      </c>
    </row>
    <row r="27">
      <c r="A27" s="52" t="inlineStr">
        <is>
          <t>CONS FY</t>
        </is>
      </c>
      <c r="B27" s="52" t="n"/>
      <c r="C27" s="52" t="n"/>
    </row>
    <row r="28">
      <c r="A28" s="53" t="inlineStr">
        <is>
          <t>항목</t>
        </is>
      </c>
      <c r="B28" s="53" t="inlineStr">
        <is>
          <t>값</t>
        </is>
      </c>
      <c r="C28" s="53" t="inlineStr">
        <is>
          <t>출처</t>
        </is>
      </c>
    </row>
    <row r="29">
      <c r="A29" s="54" t="inlineStr">
        <is>
          <t>매출</t>
        </is>
      </c>
      <c r="B29" s="57" t="n">
        <v>5519.5</v>
      </c>
      <c r="C29" s="56" t="inlineStr">
        <is>
          <t>2단계 보고서 자료(회사 설명회 자료·공시)</t>
        </is>
      </c>
    </row>
    <row r="30">
      <c r="A30" s="54" t="inlineStr">
        <is>
          <t>EPS</t>
        </is>
      </c>
      <c r="B30" s="57" t="n">
        <v>162.56</v>
      </c>
    </row>
    <row r="31">
      <c r="A31" s="54" t="inlineStr">
        <is>
          <t>EPS 애널리스트 수</t>
        </is>
      </c>
      <c r="B31" s="55" t="n">
        <v>16</v>
      </c>
    </row>
    <row r="32">
      <c r="A32" s="54" t="inlineStr">
        <is>
          <t>매출 애널리스트 수</t>
        </is>
      </c>
      <c r="B32" s="55" t="n">
        <v>18</v>
      </c>
    </row>
    <row r="33">
      <c r="A33" s="54" t="inlineStr">
        <is>
          <t>EPS next</t>
        </is>
      </c>
      <c r="B33" s="57" t="n">
        <v>246.67</v>
      </c>
    </row>
    <row r="35">
      <c r="A35" s="52" t="inlineStr">
        <is>
          <t>CONS 2Q</t>
        </is>
      </c>
      <c r="B35" s="52" t="n"/>
      <c r="C35" s="52" t="n"/>
    </row>
    <row r="36">
      <c r="A36" s="53" t="inlineStr">
        <is>
          <t>항목</t>
        </is>
      </c>
      <c r="B36" s="53" t="inlineStr">
        <is>
          <t>값</t>
        </is>
      </c>
      <c r="C36" s="53" t="inlineStr">
        <is>
          <t>출처</t>
        </is>
      </c>
    </row>
    <row r="37">
      <c r="A37" s="54" t="inlineStr">
        <is>
          <t>매출</t>
        </is>
      </c>
      <c r="B37" s="57" t="n">
        <v>1326.5</v>
      </c>
      <c r="C37" s="56" t="inlineStr">
        <is>
          <t>2단계 보고서 자료(회사 설명회 자료·공시)</t>
        </is>
      </c>
    </row>
    <row r="38">
      <c r="A38" s="54" t="inlineStr">
        <is>
          <t>매출 애널리스트 수</t>
        </is>
      </c>
      <c r="B38" s="55" t="n">
        <v>9</v>
      </c>
    </row>
    <row r="39">
      <c r="A39" s="54" t="inlineStr">
        <is>
          <t>매출 lo</t>
        </is>
      </c>
      <c r="B39" s="57" t="n">
        <v>1252.2</v>
      </c>
    </row>
    <row r="40">
      <c r="A40" s="54" t="inlineStr">
        <is>
          <t>매출 hi</t>
        </is>
      </c>
      <c r="B40" s="57" t="n">
        <v>1392.8</v>
      </c>
    </row>
    <row r="41">
      <c r="A41" s="54" t="inlineStr">
        <is>
          <t>EPS</t>
        </is>
      </c>
      <c r="B41" s="57" t="n">
        <v>39.95</v>
      </c>
    </row>
    <row r="42">
      <c r="A42" s="54" t="inlineStr">
        <is>
          <t>EPS 애널리스트 수</t>
        </is>
      </c>
      <c r="B42" s="55" t="n">
        <v>4</v>
      </c>
    </row>
    <row r="43">
      <c r="A43" s="54" t="inlineStr">
        <is>
          <t>순이익</t>
        </is>
      </c>
      <c r="B43" s="57" t="n">
        <v>225.9</v>
      </c>
    </row>
    <row r="45">
      <c r="A45" s="52" t="inlineStr">
        <is>
          <t>ADV</t>
        </is>
      </c>
      <c r="B45" s="52" t="n"/>
      <c r="C45" s="52" t="n"/>
    </row>
    <row r="46">
      <c r="A46" s="53" t="inlineStr">
        <is>
          <t>항목</t>
        </is>
      </c>
      <c r="B46" s="53" t="inlineStr">
        <is>
          <t>값</t>
        </is>
      </c>
      <c r="C46" s="53" t="inlineStr">
        <is>
          <t>출처</t>
        </is>
      </c>
    </row>
    <row r="47">
      <c r="A47" s="54" t="inlineStr">
        <is>
          <t>2024-03</t>
        </is>
      </c>
      <c r="B47" s="57" t="n">
        <v>801</v>
      </c>
      <c r="C47" s="56" t="inlineStr">
        <is>
          <t>2단계 보고서 자료(회사 설명회 자료·공시)</t>
        </is>
      </c>
    </row>
    <row r="48">
      <c r="A48" s="54" t="inlineStr">
        <is>
          <t>2024-12</t>
        </is>
      </c>
      <c r="B48" s="57" t="n">
        <v>871.1</v>
      </c>
    </row>
    <row r="49">
      <c r="A49" s="54" t="inlineStr">
        <is>
          <t>2025-03</t>
        </is>
      </c>
      <c r="B49" s="57" t="n">
        <v>920.8</v>
      </c>
    </row>
    <row r="50">
      <c r="A50" s="54" t="inlineStr">
        <is>
          <t>2025-06</t>
        </is>
      </c>
      <c r="B50" s="57" t="n">
        <v>897.6</v>
      </c>
    </row>
    <row r="51">
      <c r="A51" s="54" t="inlineStr">
        <is>
          <t>2025-09</t>
        </is>
      </c>
      <c r="B51" s="57" t="n">
        <v>775.8</v>
      </c>
    </row>
    <row r="52">
      <c r="A52" s="54" t="inlineStr">
        <is>
          <t>2025-12</t>
        </is>
      </c>
      <c r="B52" s="57" t="n">
        <v>769.3</v>
      </c>
    </row>
    <row r="53">
      <c r="A53" s="54" t="inlineStr">
        <is>
          <t>2026-03</t>
        </is>
      </c>
      <c r="B53" s="57" t="n">
        <v>809.5</v>
      </c>
    </row>
    <row r="54">
      <c r="A54" s="54" t="inlineStr">
        <is>
          <t>2026-06</t>
        </is>
      </c>
      <c r="B54" s="57" t="n">
        <v>1545.3</v>
      </c>
    </row>
    <row r="55">
      <c r="A55" s="54" t="inlineStr">
        <is>
          <t>2026-09</t>
        </is>
      </c>
      <c r="B55" s="57" t="n">
        <v>1997.5</v>
      </c>
    </row>
    <row r="57">
      <c r="A57" s="52" t="inlineStr">
        <is>
          <t>달러</t>
        </is>
      </c>
      <c r="B57" s="52" t="n"/>
      <c r="C57" s="52" t="n"/>
    </row>
    <row r="58">
      <c r="A58" s="53" t="inlineStr">
        <is>
          <t>항목</t>
        </is>
      </c>
      <c r="B58" s="53" t="inlineStr">
        <is>
          <t>값</t>
        </is>
      </c>
      <c r="C58" s="53" t="inlineStr">
        <is>
          <t>출처</t>
        </is>
      </c>
    </row>
    <row r="59">
      <c r="A59" s="54" t="inlineStr">
        <is>
          <t>2026-Q2</t>
        </is>
      </c>
      <c r="B59" s="57" t="n">
        <v>147.4</v>
      </c>
      <c r="C59" s="56" t="inlineStr">
        <is>
          <t>2단계 보고서 자료(회사 설명회 자료·공시)</t>
        </is>
      </c>
    </row>
    <row r="60">
      <c r="A60" s="54" t="inlineStr">
        <is>
          <t>2027-Q1</t>
        </is>
      </c>
      <c r="B60" s="57" t="n">
        <v>159.4</v>
      </c>
    </row>
    <row r="61">
      <c r="A61" s="54" t="inlineStr">
        <is>
          <t>2027-Q2</t>
        </is>
      </c>
      <c r="B61" s="57" t="n">
        <v>159.3</v>
      </c>
    </row>
    <row r="63">
      <c r="A63" s="52" t="inlineStr">
        <is>
          <t>MQ</t>
        </is>
      </c>
      <c r="B63" s="52" t="n"/>
      <c r="C63" s="52" t="n"/>
    </row>
    <row r="64">
      <c r="A64" s="53" t="inlineStr">
        <is>
          <t>항목</t>
        </is>
      </c>
      <c r="B64" s="53" t="inlineStr">
        <is>
          <t>값</t>
        </is>
      </c>
      <c r="C64" s="53" t="inlineStr">
        <is>
          <t>출처</t>
        </is>
      </c>
    </row>
    <row r="65">
      <c r="A65" s="54" t="inlineStr">
        <is>
          <t>2025-Q1</t>
        </is>
      </c>
      <c r="B65" s="57" t="n">
        <v>412.3</v>
      </c>
      <c r="C65" s="56" t="inlineStr">
        <is>
          <t>2단계 보고서 자료(회사 설명회 자료·공시)</t>
        </is>
      </c>
    </row>
    <row r="66">
      <c r="A66" s="54" t="inlineStr">
        <is>
          <t>2025-Q2</t>
        </is>
      </c>
      <c r="B66" s="57" t="n">
        <v>501.4</v>
      </c>
    </row>
    <row r="67">
      <c r="A67" s="54" t="inlineStr">
        <is>
          <t>2025-Q3</t>
        </is>
      </c>
      <c r="B67" s="57" t="n">
        <v>458.6</v>
      </c>
    </row>
    <row r="68">
      <c r="A68" s="54" t="inlineStr">
        <is>
          <t>2025-Q4</t>
        </is>
      </c>
      <c r="B68" s="57" t="n">
        <v>502.4</v>
      </c>
    </row>
    <row r="69">
      <c r="A69" s="54" t="inlineStr">
        <is>
          <t>2026-Q1</t>
        </is>
      </c>
      <c r="B69" s="57" t="n">
        <v>545.6</v>
      </c>
    </row>
    <row r="70">
      <c r="A70" s="54" t="inlineStr">
        <is>
          <t>2026-Q2</t>
        </is>
      </c>
      <c r="B70" s="57" t="n">
        <v>565.5</v>
      </c>
    </row>
    <row r="71">
      <c r="A71" s="54" t="inlineStr">
        <is>
          <t>2026-Q3</t>
        </is>
      </c>
      <c r="B71" s="57" t="n">
        <v>602.8</v>
      </c>
    </row>
    <row r="72">
      <c r="A72" s="54" t="inlineStr">
        <is>
          <t>2026-Q4</t>
        </is>
      </c>
      <c r="B72" s="57" t="n">
        <v>736.3</v>
      </c>
    </row>
    <row r="73">
      <c r="A73" s="54" t="inlineStr">
        <is>
          <t>2027-Q1</t>
        </is>
      </c>
      <c r="B73" s="57" t="n">
        <v>802</v>
      </c>
    </row>
    <row r="75">
      <c r="A75" s="52" t="inlineStr">
        <is>
          <t>E2</t>
        </is>
      </c>
      <c r="B75" s="52" t="n"/>
      <c r="C75" s="52" t="n"/>
    </row>
    <row r="76">
      <c r="A76" s="53" t="inlineStr">
        <is>
          <t>항목</t>
        </is>
      </c>
      <c r="B76" s="53" t="inlineStr">
        <is>
          <t>값</t>
        </is>
      </c>
      <c r="C76" s="53" t="inlineStr">
        <is>
          <t>출처</t>
        </is>
      </c>
    </row>
    <row r="77">
      <c r="A77" s="54" t="inlineStr">
        <is>
          <t>매출</t>
        </is>
      </c>
      <c r="B77" s="55" t="n">
        <v>1320</v>
      </c>
      <c r="C77" s="56" t="inlineStr">
        <is>
          <t>2단계 보고서 자료(회사 설명회 자료·공시)</t>
        </is>
      </c>
    </row>
    <row r="78">
      <c r="A78" s="54" t="inlineStr">
        <is>
          <t>영업이익</t>
        </is>
      </c>
      <c r="B78" s="57" t="n">
        <v>301</v>
      </c>
    </row>
    <row r="79">
      <c r="A79" s="54" t="inlineStr">
        <is>
          <t>ord</t>
        </is>
      </c>
      <c r="B79" s="57" t="n">
        <v>298</v>
      </c>
    </row>
    <row r="80">
      <c r="A80" s="54" t="inlineStr">
        <is>
          <t>순이익</t>
        </is>
      </c>
      <c r="B80" s="57" t="n">
        <v>197.8</v>
      </c>
    </row>
    <row r="81">
      <c r="A81" s="54" t="inlineStr">
        <is>
          <t>EPS</t>
        </is>
      </c>
      <c r="B81" s="57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2026-10-29</t>
        </is>
      </c>
      <c r="B4" t="inlineStr">
        <is>
          <t>2027년 3월 결산기 2분기 결산단신</t>
        </is>
      </c>
      <c r="C4" t="inlineStr">
        <is>
          <t>https://www2.jpx.co.jp/disc/40620/140120261028557691.pdf</t>
        </is>
      </c>
    </row>
    <row r="5">
      <c r="A5" t="inlineStr">
        <is>
          <t>2026-08-04</t>
        </is>
      </c>
      <c r="B5" t="inlineStr">
        <is>
          <t>2027년 3월 결산기 1분기 결산단신</t>
        </is>
      </c>
      <c r="C5" t="inlineStr">
        <is>
          <t>https://www2.jpx.co.jp/disc/40620/140120260731504718.pdf</t>
        </is>
      </c>
    </row>
    <row r="6">
      <c r="A6" t="inlineStr">
        <is>
          <t>2026-05-11</t>
        </is>
      </c>
      <c r="B6" t="inlineStr">
        <is>
          <t>2026년 3월 결산기 연간 결산단신</t>
        </is>
      </c>
      <c r="C6" t="inlineStr">
        <is>
          <t>https://www2.jpx.co.jp/disc/40620/140120260505517290.pdf</t>
        </is>
      </c>
    </row>
    <row r="7">
      <c r="A7" t="inlineStr">
        <is>
          <t>2026-02-24</t>
        </is>
      </c>
      <c r="B7" t="inlineStr">
        <is>
          <t>2026년 3월 결산기 3분기 결산단신</t>
        </is>
      </c>
      <c r="C7" t="inlineStr">
        <is>
          <t>https://www2.jpx.co.jp/disc/40620/140120260220565976.pdf</t>
        </is>
      </c>
    </row>
    <row r="8">
      <c r="A8" t="inlineStr">
        <is>
          <t>2026-02-03</t>
        </is>
      </c>
      <c r="B8" t="inlineStr">
        <is>
          <t>2026년 3월 결산기 3분기 결산단신</t>
        </is>
      </c>
      <c r="C8" t="inlineStr">
        <is>
          <t>https://www2.jpx.co.jp/disc/40620/140120260202544761.pdf</t>
        </is>
      </c>
    </row>
    <row r="9">
      <c r="A9" t="inlineStr">
        <is>
          <t>2025-10-30</t>
        </is>
      </c>
      <c r="B9" t="inlineStr">
        <is>
          <t>2026년 3월 결산기 2분기 결산단신</t>
        </is>
      </c>
      <c r="C9" t="inlineStr">
        <is>
          <t>https://www2.jpx.co.jp/disc/40620/140120251029581059.pdf</t>
        </is>
      </c>
    </row>
    <row r="10">
      <c r="A10" t="inlineStr">
        <is>
          <t>2025-08-01</t>
        </is>
      </c>
      <c r="B10" t="inlineStr">
        <is>
          <t>2026년 3월 결산기 1분기 결산단신</t>
        </is>
      </c>
      <c r="C10" t="inlineStr">
        <is>
          <t>https://www2.jpx.co.jp/disc/40620/140120250731525362.pdf</t>
        </is>
      </c>
    </row>
    <row r="11">
      <c r="A11" t="inlineStr">
        <is>
          <t>2025-05-08</t>
        </is>
      </c>
      <c r="B11" t="inlineStr">
        <is>
          <t>2025년 3월 결산기 연간 결산단신</t>
        </is>
      </c>
      <c r="C11" t="inlineStr">
        <is>
          <t>https://www2.jpx.co.jp/disc/40620/140120250424522482.pdf</t>
        </is>
      </c>
    </row>
    <row r="12">
      <c r="A12" t="inlineStr">
        <is>
          <t>2025-02-04</t>
        </is>
      </c>
      <c r="B12" t="inlineStr">
        <is>
          <t>2025년 3월 결산기 3분기 결산단신</t>
        </is>
      </c>
      <c r="C12" t="inlineStr">
        <is>
          <t>https://www2.jpx.co.jp/disc/40620/140120250203561405.pdf</t>
        </is>
      </c>
    </row>
    <row r="13">
      <c r="A13" t="inlineStr">
        <is>
          <t>2024-10-31</t>
        </is>
      </c>
      <c r="B13" t="inlineStr">
        <is>
          <t>2025년 3월 결산기 2분기 결산단신</t>
        </is>
      </c>
      <c r="C13" t="inlineStr">
        <is>
          <t>https://www2.jpx.co.jp/disc/40620/140120241030505654.pdf</t>
        </is>
      </c>
    </row>
    <row r="14">
      <c r="A14" t="inlineStr">
        <is>
          <t>2024-08-02</t>
        </is>
      </c>
      <c r="B14" t="inlineStr">
        <is>
          <t>2025년 3월 결산기 1분기 결산단신</t>
        </is>
      </c>
      <c r="C14" t="inlineStr">
        <is>
          <t>https://www2.jpx.co.jp/disc/40620/140120240730557594.pdf</t>
        </is>
      </c>
    </row>
    <row r="15">
      <c r="A15" t="inlineStr">
        <is>
          <t>2024-05-01</t>
        </is>
      </c>
      <c r="B15" t="inlineStr">
        <is>
          <t>2024년 3월 결산기 연간 결산단신</t>
        </is>
      </c>
      <c r="C15" t="inlineStr">
        <is>
          <t>https://www2.jpx.co.jp/disc/40620/140120240430579860.pdf</t>
        </is>
      </c>
    </row>
    <row r="16">
      <c r="A16" t="inlineStr">
        <is>
          <t>2024-02-01</t>
        </is>
      </c>
      <c r="B16" t="inlineStr">
        <is>
          <t>2024년 3월 결산기 3분기 결산단신</t>
        </is>
      </c>
      <c r="C16" t="inlineStr">
        <is>
          <t>https://www2.jpx.co.jp/disc/40620/140120240131522430.pdf</t>
        </is>
      </c>
    </row>
    <row r="17">
      <c r="A17" t="inlineStr">
        <is>
          <t>2023-10-26</t>
        </is>
      </c>
      <c r="B17" t="inlineStr">
        <is>
          <t>2024년 3월 결산기 2분기 결산단신</t>
        </is>
      </c>
      <c r="C17" t="inlineStr">
        <is>
          <t>https://www2.jpx.co.jp/disc/40620/140120231025571219.pdf</t>
        </is>
      </c>
    </row>
    <row r="18">
      <c r="A18" t="inlineStr">
        <is>
          <t>2023-08-02</t>
        </is>
      </c>
      <c r="B18" t="inlineStr">
        <is>
          <t>2024년 3월 결산기 1분기 결산단신</t>
        </is>
      </c>
      <c r="C18" t="inlineStr">
        <is>
          <t>https://www2.jpx.co.jp/disc/40620/140120230801531093.pdf</t>
        </is>
      </c>
    </row>
    <row r="19">
      <c r="A19" t="inlineStr">
        <is>
          <t>2023-05-01</t>
        </is>
      </c>
      <c r="B19" t="inlineStr">
        <is>
          <t>2023년 3월 결산기 연간 결산단신</t>
        </is>
      </c>
      <c r="C19" t="inlineStr">
        <is>
          <t>https://www2.jpx.co.jp/disc/40620/140120230428556576.pdf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https://www2.jpx.co.jp/disc/40620/140120220425527351.pdf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https://www2.jpx.co.jp/disc/40620/140120210422498530.pdf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https://www2.jpx.co.jp/disc/40620/140120200327486065.pdf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https://www2.jpx.co.jp/disc/40620/140120190405401221.pdf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https://www2.jpx.co.jp/disc/40620/140120180412410460.pdf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2026-10-29T06:44:04Z</dcterms:created>
  <dcterms:modified xmlns:dcterms="http://purl.org/dc/terms/" xmlns:xsi="http://www.w3.org/2001/XMLSchema-instance" xsi:type="dcterms:W3CDTF">2026-10-29T06:44:04Z</dcterms:modified>
</cp:coreProperties>
</file>