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4062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93039</v>
      </c>
      <c r="D4" s="12" t="n">
        <v>92527</v>
      </c>
      <c r="E4" s="12" t="n">
        <v>90344</v>
      </c>
      <c r="F4" s="12" t="n">
        <v>88220</v>
      </c>
      <c r="G4" s="12" t="n">
        <v>93365</v>
      </c>
      <c r="H4" s="12" t="n">
        <v>88752</v>
      </c>
      <c r="I4" s="12" t="n">
        <v>99099</v>
      </c>
      <c r="J4" s="12" t="n">
        <v>97464</v>
      </c>
      <c r="K4" s="12" t="n">
        <v>98021</v>
      </c>
      <c r="L4" s="12" t="n">
        <v>103136</v>
      </c>
      <c r="M4" s="12" t="n">
        <v>117580</v>
      </c>
      <c r="N4" s="12" t="n">
        <v>123219</v>
      </c>
      <c r="O4" s="11" t="n">
        <v>266459</v>
      </c>
      <c r="P4" s="12" t="n">
        <v>300403</v>
      </c>
      <c r="Q4" s="12" t="n">
        <v>291125</v>
      </c>
      <c r="R4" s="12" t="n">
        <v>295999</v>
      </c>
      <c r="S4" s="12" t="n">
        <v>323461</v>
      </c>
      <c r="T4" s="12" t="n">
        <v>417549</v>
      </c>
      <c r="U4" s="12" t="n">
        <v>370511</v>
      </c>
      <c r="V4" s="12" t="n">
        <v>370511</v>
      </c>
      <c r="W4" s="12" t="n">
        <v>369436</v>
      </c>
      <c r="X4" s="12" t="n">
        <v>416201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ElectronicsReportableSegmentMember</t>
        </is>
      </c>
      <c r="B7" s="10" t="n"/>
      <c r="C7" s="19" t="n">
        <v>52079</v>
      </c>
      <c r="D7" s="20" t="n"/>
      <c r="E7" s="20" t="n"/>
      <c r="F7" s="20" t="n">
        <v>44949</v>
      </c>
      <c r="G7" s="20" t="n">
        <v>53305</v>
      </c>
      <c r="H7" s="20" t="n"/>
      <c r="I7" s="20" t="n"/>
      <c r="J7" s="20" t="n">
        <v>56285</v>
      </c>
      <c r="K7" s="20" t="n">
        <v>57262</v>
      </c>
      <c r="L7" s="20" t="n"/>
      <c r="M7" s="20" t="n"/>
      <c r="N7" s="20" t="n">
        <v>77522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CeramicsReportableSegmentMember</t>
        </is>
      </c>
      <c r="B10" s="10" t="n"/>
      <c r="C10" s="19" t="n">
        <v>23710</v>
      </c>
      <c r="D10" s="20" t="n"/>
      <c r="E10" s="20" t="n"/>
      <c r="F10" s="20" t="n">
        <v>23571</v>
      </c>
      <c r="G10" s="20" t="n">
        <v>19564</v>
      </c>
      <c r="H10" s="20" t="n"/>
      <c r="I10" s="20" t="n"/>
      <c r="J10" s="20" t="n">
        <v>19600</v>
      </c>
      <c r="K10" s="20" t="n">
        <v>20089</v>
      </c>
      <c r="L10" s="20" t="n"/>
      <c r="M10" s="20" t="n"/>
      <c r="N10" s="20" t="n">
        <v>24365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17250</v>
      </c>
      <c r="D13" s="20" t="n">
        <v>22152</v>
      </c>
      <c r="E13" s="20" t="n">
        <v>24227</v>
      </c>
      <c r="F13" s="20" t="n">
        <v>19700</v>
      </c>
      <c r="G13" s="20" t="n">
        <v>20495</v>
      </c>
      <c r="H13" s="20" t="n">
        <v>22668</v>
      </c>
      <c r="I13" s="20" t="n">
        <v>25281</v>
      </c>
      <c r="J13" s="20" t="n">
        <v>21578</v>
      </c>
      <c r="K13" s="20" t="n">
        <v>20670</v>
      </c>
      <c r="L13" s="20" t="n">
        <v>23873</v>
      </c>
      <c r="M13" s="20" t="n">
        <v>24209</v>
      </c>
      <c r="N13" s="20" t="n">
        <v>21330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83329</v>
      </c>
      <c r="W13" s="20" t="n">
        <v>88144</v>
      </c>
      <c r="X13" s="20" t="n">
        <v>90330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>
        <v>88220</v>
      </c>
      <c r="G16" s="20" t="n"/>
      <c r="H16" s="20" t="n"/>
      <c r="I16" s="20" t="n"/>
      <c r="J16" s="20" t="n">
        <v>97464</v>
      </c>
      <c r="K16" s="20" t="n"/>
      <c r="L16" s="20" t="n"/>
      <c r="M16" s="20" t="n"/>
      <c r="N16" s="20" t="n">
        <v>123219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ElectronicsReportableSegmentsMember</t>
        </is>
      </c>
      <c r="B19" s="10" t="n"/>
      <c r="C19" s="19" t="n"/>
      <c r="D19" s="20" t="n"/>
      <c r="E19" s="20" t="n">
        <v>42518</v>
      </c>
      <c r="F19" s="20" t="n"/>
      <c r="G19" s="20" t="n"/>
      <c r="H19" s="20" t="n"/>
      <c r="I19" s="20" t="n">
        <v>51810</v>
      </c>
      <c r="J19" s="20" t="n"/>
      <c r="K19" s="20" t="n"/>
      <c r="L19" s="20" t="n"/>
      <c r="M19" s="20" t="n">
        <v>71430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190708</v>
      </c>
      <c r="W19" s="20" t="n">
        <v>197243</v>
      </c>
      <c r="X19" s="20" t="n">
        <v>243355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CeramicsReportableSegmentsMember</t>
        </is>
      </c>
      <c r="B22" s="10" t="n"/>
      <c r="C22" s="19" t="n"/>
      <c r="D22" s="20" t="n"/>
      <c r="E22" s="20" t="n">
        <v>23608</v>
      </c>
      <c r="F22" s="20" t="n"/>
      <c r="G22" s="20" t="n"/>
      <c r="H22" s="20" t="n"/>
      <c r="I22" s="20" t="n">
        <v>22040</v>
      </c>
      <c r="J22" s="20" t="n"/>
      <c r="K22" s="20" t="n"/>
      <c r="L22" s="20" t="n"/>
      <c r="M22" s="20" t="n">
        <v>22175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96519</v>
      </c>
      <c r="W22" s="20" t="n">
        <v>84214</v>
      </c>
      <c r="X22" s="20" t="n">
        <v>83172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63280</v>
      </c>
      <c r="D26" s="20" t="n">
        <v>65883</v>
      </c>
      <c r="E26" s="20" t="n">
        <v>65722</v>
      </c>
      <c r="F26" s="20" t="n">
        <v>62606</v>
      </c>
      <c r="G26" s="20" t="n">
        <v>60610</v>
      </c>
      <c r="H26" s="20" t="n">
        <v>65150</v>
      </c>
      <c r="I26" s="20" t="n">
        <v>67742</v>
      </c>
      <c r="J26" s="20" t="n">
        <v>62392</v>
      </c>
      <c r="K26" s="20" t="n">
        <v>65180</v>
      </c>
      <c r="L26" s="20" t="n">
        <v>75066</v>
      </c>
      <c r="M26" s="20" t="n">
        <v>81894</v>
      </c>
      <c r="N26" s="20" t="n">
        <v>78345</v>
      </c>
      <c r="O26" s="19" t="n">
        <v>210640</v>
      </c>
      <c r="P26" s="20" t="n">
        <v>234516</v>
      </c>
      <c r="Q26" s="20" t="n">
        <v>232805</v>
      </c>
      <c r="R26" s="20" t="n">
        <v>227845</v>
      </c>
      <c r="S26" s="20" t="n">
        <v>238011</v>
      </c>
      <c r="T26" s="20" t="n">
        <v>290033</v>
      </c>
      <c r="U26" s="20" t="n">
        <v>268040</v>
      </c>
      <c r="V26" s="20" t="n">
        <v>268040</v>
      </c>
      <c r="W26" s="20" t="n">
        <v>256108</v>
      </c>
      <c r="X26" s="20" t="n">
        <v>284532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13867</v>
      </c>
      <c r="D30" s="20" t="n">
        <v>13770</v>
      </c>
      <c r="E30" s="20" t="n">
        <v>14001</v>
      </c>
      <c r="F30" s="20" t="n">
        <v>14319</v>
      </c>
      <c r="G30" s="20" t="n">
        <v>15538</v>
      </c>
      <c r="H30" s="20" t="n">
        <v>17256</v>
      </c>
      <c r="I30" s="20" t="n">
        <v>18593</v>
      </c>
      <c r="J30" s="20" t="n">
        <v>17435</v>
      </c>
      <c r="K30" s="20" t="n">
        <v>17905</v>
      </c>
      <c r="L30" s="20" t="n">
        <v>16116</v>
      </c>
      <c r="M30" s="20" t="n">
        <v>18184</v>
      </c>
      <c r="N30" s="20" t="n">
        <v>17993</v>
      </c>
      <c r="O30" s="19" t="n">
        <v>48676</v>
      </c>
      <c r="P30" s="20" t="n">
        <v>49184</v>
      </c>
      <c r="Q30" s="20" t="n">
        <v>48181</v>
      </c>
      <c r="R30" s="20" t="n">
        <v>48467</v>
      </c>
      <c r="S30" s="20" t="n">
        <v>46815</v>
      </c>
      <c r="T30" s="20" t="n">
        <v>55152</v>
      </c>
      <c r="U30" s="20" t="n">
        <v>54902</v>
      </c>
      <c r="V30" s="20" t="n">
        <v>54902</v>
      </c>
      <c r="W30" s="20" t="n">
        <v>65706</v>
      </c>
      <c r="X30" s="20" t="n">
        <v>69640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15891</v>
      </c>
      <c r="D31" s="12" t="n">
        <v>12875</v>
      </c>
      <c r="E31" s="12" t="n">
        <v>10621</v>
      </c>
      <c r="F31" s="12" t="n">
        <v>11295</v>
      </c>
      <c r="G31" s="12" t="n">
        <v>17217</v>
      </c>
      <c r="H31" s="12" t="n">
        <v>6345</v>
      </c>
      <c r="I31" s="12" t="n">
        <v>12764</v>
      </c>
      <c r="J31" s="12" t="n">
        <v>17636</v>
      </c>
      <c r="K31" s="12" t="n">
        <v>14937</v>
      </c>
      <c r="L31" s="12" t="n">
        <v>11954</v>
      </c>
      <c r="M31" s="12" t="n">
        <v>17500</v>
      </c>
      <c r="N31" s="12" t="n">
        <v>26880</v>
      </c>
      <c r="O31" s="11" t="n">
        <v>7141</v>
      </c>
      <c r="P31" s="12" t="n">
        <v>16702</v>
      </c>
      <c r="Q31" s="12" t="n">
        <v>10137</v>
      </c>
      <c r="R31" s="12" t="n">
        <v>19685</v>
      </c>
      <c r="S31" s="12" t="n">
        <v>38634</v>
      </c>
      <c r="T31" s="12" t="n">
        <v>72362</v>
      </c>
      <c r="U31" s="12" t="n">
        <v>47568</v>
      </c>
      <c r="V31" s="12" t="n">
        <v>47568</v>
      </c>
      <c r="W31" s="12" t="n">
        <v>47621</v>
      </c>
      <c r="X31" s="12" t="n">
        <v>62027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2</v>
      </c>
      <c r="D47" s="20" t="n">
        <v>169</v>
      </c>
      <c r="E47" s="20" t="n">
        <v>1931</v>
      </c>
      <c r="F47" s="20" t="n">
        <v>866</v>
      </c>
      <c r="G47" s="20" t="n">
        <v>1791</v>
      </c>
      <c r="H47" s="20" t="n">
        <v>3723</v>
      </c>
      <c r="I47" s="20" t="n">
        <v>47838</v>
      </c>
      <c r="J47" s="20" t="n">
        <v>1302</v>
      </c>
      <c r="K47" s="20" t="n">
        <v>3719</v>
      </c>
      <c r="L47" s="20" t="n">
        <v>3279</v>
      </c>
      <c r="M47" s="20" t="n">
        <v>50981</v>
      </c>
      <c r="N47" s="20" t="n">
        <v>3</v>
      </c>
      <c r="O47" s="19" t="n">
        <v>240</v>
      </c>
      <c r="P47" s="20" t="n">
        <v>3125</v>
      </c>
      <c r="Q47" s="20" t="n">
        <v>5005</v>
      </c>
      <c r="R47" s="20" t="n">
        <v>261</v>
      </c>
      <c r="S47" s="20" t="n">
        <v>293</v>
      </c>
      <c r="T47" s="20" t="n">
        <v>604</v>
      </c>
      <c r="U47" s="20" t="n">
        <v>5195</v>
      </c>
      <c r="V47" s="20" t="n">
        <v>5195</v>
      </c>
      <c r="W47" s="20" t="n">
        <v>54218</v>
      </c>
      <c r="X47" s="20" t="n">
        <v>59281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772</v>
      </c>
      <c r="D49" s="20" t="n">
        <v>1189</v>
      </c>
      <c r="E49" s="20" t="n">
        <v>5991</v>
      </c>
      <c r="F49" s="20" t="n">
        <v>1810</v>
      </c>
      <c r="G49" s="20" t="n">
        <v>3222</v>
      </c>
      <c r="H49" s="20" t="n">
        <v>4036</v>
      </c>
      <c r="I49" s="20" t="n">
        <v>41589</v>
      </c>
      <c r="J49" s="20" t="n">
        <v>1663</v>
      </c>
      <c r="K49" s="20" t="n">
        <v>3677</v>
      </c>
      <c r="L49" s="20" t="n">
        <v>3391</v>
      </c>
      <c r="M49" s="20" t="n">
        <v>20280</v>
      </c>
      <c r="N49" s="20" t="n">
        <v>939</v>
      </c>
      <c r="O49" s="19" t="n">
        <v>63313</v>
      </c>
      <c r="P49" s="20" t="n">
        <v>2178</v>
      </c>
      <c r="Q49" s="20" t="n">
        <v>8279</v>
      </c>
      <c r="R49" s="20" t="n">
        <v>4100</v>
      </c>
      <c r="S49" s="20" t="n">
        <v>8844</v>
      </c>
      <c r="T49" s="20" t="n">
        <v>5078</v>
      </c>
      <c r="U49" s="20" t="n">
        <v>8901</v>
      </c>
      <c r="V49" s="20" t="n">
        <v>8901</v>
      </c>
      <c r="W49" s="20" t="n">
        <v>50657</v>
      </c>
      <c r="X49" s="20" t="n">
        <v>29011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890</v>
      </c>
      <c r="D51" s="20" t="n">
        <v>970</v>
      </c>
      <c r="E51" s="20" t="n">
        <v>646</v>
      </c>
      <c r="F51" s="20" t="n">
        <v>1840</v>
      </c>
      <c r="G51" s="20" t="n">
        <v>546</v>
      </c>
      <c r="H51" s="20" t="n">
        <v>1848</v>
      </c>
      <c r="I51" s="20" t="n">
        <v>781</v>
      </c>
      <c r="J51" s="20" t="n">
        <v>1374</v>
      </c>
      <c r="K51" s="20" t="n">
        <v>1293</v>
      </c>
      <c r="L51" s="20" t="n">
        <v>868</v>
      </c>
      <c r="M51" s="20" t="n">
        <v>1224</v>
      </c>
      <c r="N51" s="20" t="n">
        <v>1876</v>
      </c>
      <c r="O51" s="19" t="n">
        <v>2427</v>
      </c>
      <c r="P51" s="20" t="n">
        <v>2193</v>
      </c>
      <c r="Q51" s="20" t="n">
        <v>3274</v>
      </c>
      <c r="R51" s="20" t="n">
        <v>2552</v>
      </c>
      <c r="S51" s="20" t="n">
        <v>2758</v>
      </c>
      <c r="T51" s="20" t="n">
        <v>4952</v>
      </c>
      <c r="U51" s="20" t="n">
        <v>4773</v>
      </c>
      <c r="V51" s="20" t="n">
        <v>4773</v>
      </c>
      <c r="W51" s="20" t="n">
        <v>5015</v>
      </c>
      <c r="X51" s="20" t="n">
        <v>4759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153</v>
      </c>
      <c r="D53" s="20" t="n">
        <v>263</v>
      </c>
      <c r="E53" s="20" t="n">
        <v>533</v>
      </c>
      <c r="F53" s="20" t="n">
        <v>266</v>
      </c>
      <c r="G53" s="20" t="n">
        <v>1100</v>
      </c>
      <c r="H53" s="20" t="n">
        <v>1818</v>
      </c>
      <c r="I53" s="20" t="n">
        <v>1563</v>
      </c>
      <c r="J53" s="20" t="n">
        <v>1603</v>
      </c>
      <c r="K53" s="20" t="n">
        <v>1333</v>
      </c>
      <c r="L53" s="20" t="n">
        <v>1493</v>
      </c>
      <c r="M53" s="20" t="n">
        <v>1535</v>
      </c>
      <c r="N53" s="20" t="n">
        <v>1289</v>
      </c>
      <c r="O53" s="19" t="n">
        <v>7268</v>
      </c>
      <c r="P53" s="20" t="n">
        <v>1291</v>
      </c>
      <c r="Q53" s="20" t="n">
        <v>811</v>
      </c>
      <c r="R53" s="20" t="n">
        <v>874</v>
      </c>
      <c r="S53" s="20" t="n">
        <v>676</v>
      </c>
      <c r="T53" s="20" t="n">
        <v>1138</v>
      </c>
      <c r="U53" s="20" t="n">
        <v>1201</v>
      </c>
      <c r="V53" s="20" t="n">
        <v>1201</v>
      </c>
      <c r="W53" s="20" t="n">
        <v>4747</v>
      </c>
      <c r="X53" s="20" t="n">
        <v>5964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15857</v>
      </c>
      <c r="D55" s="12" t="n">
        <v>12563</v>
      </c>
      <c r="E55" s="12" t="n">
        <v>6674</v>
      </c>
      <c r="F55" s="12" t="n">
        <v>11925</v>
      </c>
      <c r="G55" s="12" t="n">
        <v>15231</v>
      </c>
      <c r="H55" s="12" t="n">
        <v>6063</v>
      </c>
      <c r="I55" s="12" t="n">
        <v>18232</v>
      </c>
      <c r="J55" s="12" t="n">
        <v>17046</v>
      </c>
      <c r="K55" s="12" t="n">
        <v>14939</v>
      </c>
      <c r="L55" s="12" t="n">
        <v>11217</v>
      </c>
      <c r="M55" s="12" t="n">
        <v>47890</v>
      </c>
      <c r="N55" s="12" t="n">
        <v>26530</v>
      </c>
      <c r="O55" s="11" t="n">
        <v>-60771</v>
      </c>
      <c r="P55" s="12" t="n">
        <v>18550</v>
      </c>
      <c r="Q55" s="12" t="n">
        <v>9326</v>
      </c>
      <c r="R55" s="12" t="n">
        <v>17525</v>
      </c>
      <c r="S55" s="12" t="n">
        <v>32165</v>
      </c>
      <c r="T55" s="12" t="n">
        <v>71702</v>
      </c>
      <c r="U55" s="12" t="n">
        <v>47435</v>
      </c>
      <c r="V55" s="12" t="n">
        <v>47435</v>
      </c>
      <c r="W55" s="12" t="n">
        <v>51451</v>
      </c>
      <c r="X55" s="12" t="n">
        <v>91092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5166</v>
      </c>
      <c r="D56" s="20" t="n">
        <v>2960</v>
      </c>
      <c r="E56" s="20" t="n">
        <v>2553</v>
      </c>
      <c r="F56" s="20" t="n">
        <v>3030</v>
      </c>
      <c r="G56" s="20" t="n">
        <v>3447</v>
      </c>
      <c r="H56" s="20" t="n">
        <v>1671</v>
      </c>
      <c r="I56" s="20" t="n">
        <v>9252</v>
      </c>
      <c r="J56" s="20" t="n">
        <v>4168</v>
      </c>
      <c r="K56" s="20" t="n">
        <v>5514</v>
      </c>
      <c r="L56" s="20" t="n">
        <v>2188</v>
      </c>
      <c r="M56" s="20" t="n">
        <v>15059</v>
      </c>
      <c r="N56" s="20" t="n">
        <v>8459</v>
      </c>
      <c r="O56" s="19" t="n">
        <v>1846</v>
      </c>
      <c r="P56" s="20" t="n">
        <v>6696</v>
      </c>
      <c r="Q56" s="20" t="n">
        <v>5753</v>
      </c>
      <c r="R56" s="20" t="n">
        <v>5987</v>
      </c>
      <c r="S56" s="20" t="n">
        <v>6246</v>
      </c>
      <c r="T56" s="20" t="n">
        <v>19288</v>
      </c>
      <c r="U56" s="20" t="n">
        <v>15685</v>
      </c>
      <c r="V56" s="20" t="n">
        <v>15685</v>
      </c>
      <c r="W56" s="20" t="n">
        <v>17400</v>
      </c>
      <c r="X56" s="20" t="n">
        <v>26929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10690</v>
      </c>
      <c r="D58" s="12" t="n">
        <v>9603</v>
      </c>
      <c r="E58" s="12" t="n">
        <v>4121</v>
      </c>
      <c r="F58" s="12" t="n">
        <v>8895</v>
      </c>
      <c r="G58" s="12" t="n">
        <v>11784</v>
      </c>
      <c r="H58" s="12" t="n">
        <v>4391</v>
      </c>
      <c r="I58" s="12" t="n">
        <v>8980</v>
      </c>
      <c r="J58" s="12" t="n">
        <v>12877</v>
      </c>
      <c r="K58" s="12" t="n">
        <v>9426</v>
      </c>
      <c r="L58" s="12" t="n">
        <v>9029</v>
      </c>
      <c r="M58" s="12" t="n">
        <v>32830</v>
      </c>
      <c r="N58" s="12" t="n">
        <v>18071</v>
      </c>
      <c r="O58" s="11" t="n">
        <v>-62618</v>
      </c>
      <c r="P58" s="12" t="n">
        <v>11854</v>
      </c>
      <c r="Q58" s="12" t="n">
        <v>3573</v>
      </c>
      <c r="R58" s="12" t="n">
        <v>11537</v>
      </c>
      <c r="S58" s="12" t="n">
        <v>25918</v>
      </c>
      <c r="T58" s="12" t="n">
        <v>52413</v>
      </c>
      <c r="U58" s="12" t="n">
        <v>31749</v>
      </c>
      <c r="V58" s="12" t="n">
        <v>31749</v>
      </c>
      <c r="W58" s="12" t="n">
        <v>34050</v>
      </c>
      <c r="X58" s="12" t="n">
        <v>64162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10604</v>
      </c>
      <c r="D59" s="12" t="n">
        <v>9503</v>
      </c>
      <c r="E59" s="12" t="n">
        <v>4095</v>
      </c>
      <c r="F59" s="12" t="n">
        <v>8816</v>
      </c>
      <c r="G59" s="12" t="n">
        <v>11711</v>
      </c>
      <c r="H59" s="12" t="n">
        <v>4274</v>
      </c>
      <c r="I59" s="12" t="n">
        <v>8903</v>
      </c>
      <c r="J59" s="12" t="n">
        <v>12728</v>
      </c>
      <c r="K59" s="12" t="n">
        <v>9341</v>
      </c>
      <c r="L59" s="12" t="n">
        <v>8931</v>
      </c>
      <c r="M59" s="12" t="n">
        <v>32713</v>
      </c>
      <c r="N59" s="12" t="n">
        <v>17918</v>
      </c>
      <c r="O59" s="11" t="n">
        <v>-62848</v>
      </c>
      <c r="P59" s="12" t="n">
        <v>11583</v>
      </c>
      <c r="Q59" s="12" t="n">
        <v>3306</v>
      </c>
      <c r="R59" s="12" t="n">
        <v>11329</v>
      </c>
      <c r="S59" s="12" t="n">
        <v>25698</v>
      </c>
      <c r="T59" s="12" t="n">
        <v>52187</v>
      </c>
      <c r="U59" s="12" t="n">
        <v>31490</v>
      </c>
      <c r="V59" s="12" t="n">
        <v>31490</v>
      </c>
      <c r="W59" s="12" t="n">
        <v>33704</v>
      </c>
      <c r="X59" s="12" t="n">
        <v>63713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(2026.10.26)</t>
        </is>
      </c>
      <c r="B62" s="27" t="n">
        <v>8248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281944019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2026.10.26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93039</v>
      </c>
      <c r="D93" s="12" t="n">
        <v>92527</v>
      </c>
      <c r="E93" s="12" t="n">
        <v>90344</v>
      </c>
      <c r="F93" s="12" t="n">
        <v>88220</v>
      </c>
      <c r="G93" s="12" t="n">
        <v>93365</v>
      </c>
      <c r="H93" s="12" t="n">
        <v>88752</v>
      </c>
      <c r="I93" s="12" t="n">
        <v>99099</v>
      </c>
      <c r="J93" s="12" t="n">
        <v>97464</v>
      </c>
      <c r="K93" s="12" t="n">
        <v>98021</v>
      </c>
      <c r="L93" s="12" t="n">
        <v>103136</v>
      </c>
      <c r="M93" s="12" t="n">
        <v>117580</v>
      </c>
      <c r="N93" s="12" t="n">
        <v>123219</v>
      </c>
      <c r="T93" s="12" t="n">
        <v>118315</v>
      </c>
      <c r="U93" s="12" t="n">
        <v>53830</v>
      </c>
      <c r="V93" s="12" t="n">
        <v>90344</v>
      </c>
      <c r="W93" s="12" t="n">
        <v>99099</v>
      </c>
      <c r="X93" s="12" t="n">
        <v>117580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63280</v>
      </c>
      <c r="D95" s="20" t="n">
        <v>65883</v>
      </c>
      <c r="E95" s="20" t="n">
        <v>65722</v>
      </c>
      <c r="F95" s="20" t="n">
        <v>62606</v>
      </c>
      <c r="G95" s="20" t="n">
        <v>60610</v>
      </c>
      <c r="H95" s="20" t="n">
        <v>65150</v>
      </c>
      <c r="I95" s="20" t="n">
        <v>67742</v>
      </c>
      <c r="J95" s="20" t="n">
        <v>62392</v>
      </c>
      <c r="K95" s="20" t="n">
        <v>65180</v>
      </c>
      <c r="L95" s="20" t="n">
        <v>75066</v>
      </c>
      <c r="M95" s="20" t="n">
        <v>81894</v>
      </c>
      <c r="N95" s="20" t="n">
        <v>78345</v>
      </c>
      <c r="T95" s="20" t="n">
        <v>81322</v>
      </c>
      <c r="U95" s="20" t="n">
        <v>53963</v>
      </c>
      <c r="V95" s="20" t="n">
        <v>65722</v>
      </c>
      <c r="W95" s="20" t="n">
        <v>67742</v>
      </c>
      <c r="X95" s="20" t="n">
        <v>81894</v>
      </c>
    </row>
    <row r="96">
      <c r="A96" s="9" t="inlineStr">
        <is>
          <t>매출총이익</t>
        </is>
      </c>
      <c r="C96" s="12" t="n">
        <v>29758</v>
      </c>
      <c r="D96" s="12" t="n">
        <v>26645</v>
      </c>
      <c r="E96" s="12" t="n">
        <v>24622</v>
      </c>
      <c r="F96" s="12" t="n">
        <v>25614</v>
      </c>
      <c r="G96" s="12" t="n">
        <v>32755</v>
      </c>
      <c r="H96" s="12" t="n">
        <v>23602</v>
      </c>
      <c r="I96" s="12" t="n">
        <v>31357</v>
      </c>
      <c r="J96" s="12" t="n">
        <v>35072</v>
      </c>
      <c r="K96" s="12" t="n">
        <v>32841</v>
      </c>
      <c r="L96" s="12" t="n">
        <v>28070</v>
      </c>
      <c r="M96" s="12" t="n">
        <v>35685</v>
      </c>
      <c r="N96" s="12" t="n">
        <v>44873</v>
      </c>
      <c r="T96" s="12" t="n">
        <v>36993</v>
      </c>
      <c r="U96" s="12" t="n">
        <v>-133</v>
      </c>
      <c r="V96" s="12" t="n">
        <v>24622</v>
      </c>
      <c r="W96" s="12" t="n">
        <v>31357</v>
      </c>
      <c r="X96" s="12" t="n">
        <v>35685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판매비와 관리비</t>
        </is>
      </c>
      <c r="C98" s="20" t="n">
        <v>13867</v>
      </c>
      <c r="D98" s="20" t="n">
        <v>13770</v>
      </c>
      <c r="E98" s="20" t="n">
        <v>14001</v>
      </c>
      <c r="F98" s="20" t="n">
        <v>14319</v>
      </c>
      <c r="G98" s="20" t="n">
        <v>15538</v>
      </c>
      <c r="H98" s="20" t="n">
        <v>17256</v>
      </c>
      <c r="I98" s="20" t="n">
        <v>18593</v>
      </c>
      <c r="J98" s="20" t="n">
        <v>17435</v>
      </c>
      <c r="K98" s="20" t="n">
        <v>17905</v>
      </c>
      <c r="L98" s="20" t="n">
        <v>16116</v>
      </c>
      <c r="M98" s="20" t="n">
        <v>18184</v>
      </c>
      <c r="N98" s="20" t="n">
        <v>17993</v>
      </c>
      <c r="T98" s="20" t="n">
        <v>19059</v>
      </c>
      <c r="U98" s="20" t="n">
        <v>13473</v>
      </c>
      <c r="V98" s="20" t="n">
        <v>14001</v>
      </c>
      <c r="W98" s="20" t="n">
        <v>18593</v>
      </c>
      <c r="X98" s="20" t="n">
        <v>18184</v>
      </c>
    </row>
    <row r="99">
      <c r="A99" s="9" t="inlineStr">
        <is>
          <t>영업이익</t>
        </is>
      </c>
      <c r="C99" s="12" t="n">
        <v>15891</v>
      </c>
      <c r="D99" s="12" t="n">
        <v>12875</v>
      </c>
      <c r="E99" s="12" t="n">
        <v>10621</v>
      </c>
      <c r="F99" s="12" t="n">
        <v>11295</v>
      </c>
      <c r="G99" s="12" t="n">
        <v>17217</v>
      </c>
      <c r="H99" s="12" t="n">
        <v>6345</v>
      </c>
      <c r="I99" s="12" t="n">
        <v>12764</v>
      </c>
      <c r="J99" s="12" t="n">
        <v>17636</v>
      </c>
      <c r="K99" s="12" t="n">
        <v>14937</v>
      </c>
      <c r="L99" s="12" t="n">
        <v>11954</v>
      </c>
      <c r="M99" s="12" t="n">
        <v>17500</v>
      </c>
      <c r="N99" s="12" t="n">
        <v>26880</v>
      </c>
      <c r="T99" s="12" t="n">
        <v>17933</v>
      </c>
      <c r="U99" s="12" t="n">
        <v>-13607</v>
      </c>
      <c r="V99" s="12" t="n">
        <v>10621</v>
      </c>
      <c r="W99" s="12" t="n">
        <v>12764</v>
      </c>
      <c r="X99" s="12" t="n">
        <v>17500</v>
      </c>
    </row>
    <row r="100">
      <c r="A100" s="43" t="inlineStr">
        <is>
          <t>OPM</t>
        </is>
      </c>
      <c r="B100" s="3" t="inlineStr">
        <is>
          <t>영업이익 ÷ 매출</t>
        </is>
      </c>
      <c r="C100" s="15">
        <f>IF(OR(C99="",C93=""),"",IF(C93&lt;=0,"",IFERROR(C99/C93,"")))</f>
        <v/>
      </c>
      <c r="D100" s="15">
        <f>IF(OR(D99="",D93=""),"",IF(D93&lt;=0,"",IFERROR(D99/D93,"")))</f>
        <v/>
      </c>
      <c r="E100" s="15">
        <f>IF(OR(E99="",E93=""),"",IF(E93&lt;=0,"",IFERROR(E99/E93,"")))</f>
        <v/>
      </c>
      <c r="F100" s="15">
        <f>IF(OR(F99="",F93=""),"",IF(F93&lt;=0,"",IFERROR(F99/F93,"")))</f>
        <v/>
      </c>
      <c r="G100" s="15">
        <f>IF(OR(G99="",G93=""),"",IF(G93&lt;=0,"",IFERROR(G99/G93,"")))</f>
        <v/>
      </c>
      <c r="H100" s="15">
        <f>IF(OR(H99="",H93=""),"",IF(H93&lt;=0,"",IFERROR(H99/H93,"")))</f>
        <v/>
      </c>
      <c r="I100" s="15">
        <f>IF(OR(I99="",I93=""),"",IF(I93&lt;=0,"",IFERROR(I99/I93,"")))</f>
        <v/>
      </c>
      <c r="J100" s="15">
        <f>IF(OR(J99="",J93=""),"",IF(J93&lt;=0,"",IFERROR(J99/J93,"")))</f>
        <v/>
      </c>
      <c r="K100" s="15">
        <f>IF(OR(K99="",K93=""),"",IF(K93&lt;=0,"",IFERROR(K99/K93,"")))</f>
        <v/>
      </c>
      <c r="L100" s="15">
        <f>IF(OR(L99="",L93=""),"",IF(L93&lt;=0,"",IFERROR(L99/L93,"")))</f>
        <v/>
      </c>
      <c r="M100" s="15">
        <f>IF(OR(M99="",M93=""),"",IF(M93&lt;=0,"",IFERROR(M99/M93,"")))</f>
        <v/>
      </c>
      <c r="N100" s="15">
        <f>IF(OR(N99="",N93=""),"",IF(N93&lt;=0,"",IFERROR(N99/N93,"")))</f>
        <v/>
      </c>
      <c r="T100" s="15">
        <f>IF(OR(T99="",T93=""),"",IF(T93&lt;=0,"",IFERROR(T99/T93,"")))</f>
        <v/>
      </c>
      <c r="U100" s="15">
        <f>IF(OR(U99="",U93=""),"",IF(U93&lt;=0,"",IFERROR(U99/U93,"")))</f>
        <v/>
      </c>
      <c r="V100" s="15">
        <f>IF(OR(V99="",V93=""),"",IF(V93&lt;=0,"",IFERROR(V99/V93,"")))</f>
        <v/>
      </c>
      <c r="W100" s="15">
        <f>IF(OR(W99="",W93=""),"",IF(W93&lt;=0,"",IFERROR(W99/W93,"")))</f>
        <v/>
      </c>
      <c r="X100" s="15">
        <f>IF(OR(X99="",X93=""),"",IF(X93&lt;=0,"",IFERROR(X99/X93,"")))</f>
        <v/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IF(OR(G99="",C99=""),"",IF(C99&lt;=0,"",IFERROR(G99/C99-1,"")))</f>
        <v/>
      </c>
      <c r="H101" s="15">
        <f>IF(OR(H99="",D99=""),"",IF(D99&lt;=0,"",IFERROR(H99/D99-1,"")))</f>
        <v/>
      </c>
      <c r="I101" s="15">
        <f>IF(OR(I99="",E99=""),"",IF(E99&lt;=0,"",IFERROR(I99/E99-1,"")))</f>
        <v/>
      </c>
      <c r="J101" s="15">
        <f>IF(OR(J99="",F99=""),"",IF(F99&lt;=0,"",IFERROR(J99/F99-1,"")))</f>
        <v/>
      </c>
      <c r="K101" s="15">
        <f>IF(OR(K99="",G99=""),"",IF(G99&lt;=0,"",IFERROR(K99/G99-1,"")))</f>
        <v/>
      </c>
      <c r="L101" s="15">
        <f>IF(OR(L99="",H99=""),"",IF(H99&lt;=0,"",IFERROR(L99/H99-1,"")))</f>
        <v/>
      </c>
      <c r="M101" s="15">
        <f>IF(OR(M99="",I99=""),"",IF(I99&lt;=0,"",IFERROR(M99/I99-1,"")))</f>
        <v/>
      </c>
      <c r="N101" s="15">
        <f>IF(OR(N99="",J99=""),"",IF(J99&lt;=0,"",IFERROR(N99/J99-1,"")))</f>
        <v/>
      </c>
      <c r="T101" s="15">
        <f>IF(OR(T99="",S99=""),"",IF(S99&lt;=0,"",IFERROR(T99/S99-1,"")))</f>
        <v/>
      </c>
      <c r="U101" s="15">
        <f>IF(OR(U99="",T99=""),"",IF(T99&lt;=0,"",IFERROR(U99/T99-1,"")))</f>
        <v/>
      </c>
      <c r="V101" s="15">
        <f>IF(OR(V99="",U99=""),"",IF(U99&lt;=0,"",IFERROR(V99/U99-1,"")))</f>
        <v/>
      </c>
      <c r="W101" s="15">
        <f>IF(OR(W99="",V99=""),"",IF(V99&lt;=0,"",IFERROR(W99/V99-1,"")))</f>
        <v/>
      </c>
      <c r="X101" s="15">
        <f>IF(OR(X99="",W99=""),"",IF(W99&lt;=0,"",IFERROR(X99/W99-1,"")))</f>
        <v/>
      </c>
    </row>
    <row r="102">
      <c r="A102" s="18" t="inlineStr">
        <is>
          <t>이자수익</t>
        </is>
      </c>
      <c r="C102" s="20" t="n">
        <v>316</v>
      </c>
      <c r="D102" s="20" t="n">
        <v>282</v>
      </c>
      <c r="E102" s="20" t="n">
        <v>324</v>
      </c>
      <c r="F102" s="20" t="n">
        <v>454</v>
      </c>
      <c r="G102" s="20" t="n">
        <v>497</v>
      </c>
      <c r="H102" s="20" t="n">
        <v>569</v>
      </c>
      <c r="I102" s="20" t="n">
        <v>670</v>
      </c>
      <c r="J102" s="20" t="n">
        <v>563</v>
      </c>
      <c r="K102" s="20" t="n">
        <v>689</v>
      </c>
      <c r="L102" s="20" t="n">
        <v>740</v>
      </c>
      <c r="M102" s="20" t="n">
        <v>734</v>
      </c>
      <c r="N102" s="20" t="n">
        <v>817</v>
      </c>
      <c r="T102" s="20" t="n">
        <v>886</v>
      </c>
      <c r="U102" s="20" t="n">
        <v>632</v>
      </c>
      <c r="V102" s="20" t="n">
        <v>324</v>
      </c>
      <c r="W102" s="20" t="n">
        <v>670</v>
      </c>
      <c r="X102" s="20" t="n">
        <v>734</v>
      </c>
    </row>
    <row r="103">
      <c r="A103" s="18" t="inlineStr">
        <is>
          <t>배당금수익</t>
        </is>
      </c>
      <c r="C103" s="20" t="n">
        <v>6</v>
      </c>
      <c r="D103" s="20" t="n">
        <v>821</v>
      </c>
      <c r="E103" s="20" t="n">
        <v>4</v>
      </c>
      <c r="F103" s="20" t="n">
        <v>1079</v>
      </c>
      <c r="G103" s="20" t="n">
        <v>4</v>
      </c>
      <c r="H103" s="20" t="n">
        <v>1078</v>
      </c>
      <c r="I103" s="20" t="n">
        <v>3</v>
      </c>
      <c r="J103" s="20" t="n">
        <v>665</v>
      </c>
      <c r="K103" s="20" t="n">
        <v>72</v>
      </c>
      <c r="L103" s="20" t="n">
        <v>292</v>
      </c>
      <c r="M103" s="20" t="n">
        <v>3</v>
      </c>
      <c r="N103" s="20" t="n">
        <v>414</v>
      </c>
      <c r="T103" s="20" t="n">
        <v>268</v>
      </c>
      <c r="U103" s="20" t="n">
        <v>145</v>
      </c>
      <c r="V103" s="20" t="n">
        <v>4</v>
      </c>
      <c r="W103" s="20" t="n">
        <v>3</v>
      </c>
      <c r="X103" s="20" t="n">
        <v>3</v>
      </c>
    </row>
    <row r="104">
      <c r="A104" s="18" t="inlineStr">
        <is>
          <t>지분법이익</t>
        </is>
      </c>
      <c r="C104" s="20" t="n">
        <v>1</v>
      </c>
      <c r="D104" s="20" t="n">
        <v>-1</v>
      </c>
      <c r="E104" s="20" t="n">
        <v>2</v>
      </c>
      <c r="F104" s="20" t="n">
        <v>0</v>
      </c>
      <c r="G104" s="20" t="n">
        <v>1</v>
      </c>
      <c r="H104" s="20" t="n">
        <v>-1</v>
      </c>
      <c r="I104" s="20" t="n">
        <v>0</v>
      </c>
      <c r="J104" s="20" t="n">
        <v>0</v>
      </c>
      <c r="K104" s="20" t="n">
        <v>0</v>
      </c>
      <c r="L104" s="20" t="n">
        <v>0</v>
      </c>
      <c r="M104" s="20" t="n">
        <v>0</v>
      </c>
      <c r="N104" s="20" t="n">
        <v>0</v>
      </c>
      <c r="T104" s="20" t="n">
        <v>-1</v>
      </c>
      <c r="U104" s="20" t="n">
        <v>2</v>
      </c>
      <c r="V104" s="20" t="n">
        <v>2</v>
      </c>
      <c r="W104" s="20" t="n">
        <v>0</v>
      </c>
      <c r="X104" s="20" t="n">
        <v>0</v>
      </c>
    </row>
    <row r="105">
      <c r="A105" s="18" t="inlineStr">
        <is>
          <t>외환차익</t>
        </is>
      </c>
      <c r="C105" s="20" t="n">
        <v>361</v>
      </c>
      <c r="D105" s="20" t="n">
        <v>-260</v>
      </c>
      <c r="E105" s="20" t="n">
        <v>220</v>
      </c>
      <c r="F105" s="20" t="n">
        <v>109</v>
      </c>
      <c r="G105" s="20" t="n">
        <v>-109</v>
      </c>
      <c r="H105" s="20" t="n">
        <v>0</v>
      </c>
      <c r="I105" s="20" t="n">
        <v>0</v>
      </c>
      <c r="J105" s="20" t="n">
        <v>0</v>
      </c>
      <c r="K105" s="20" t="n">
        <v>426</v>
      </c>
      <c r="L105" s="20" t="n">
        <v>-331</v>
      </c>
      <c r="M105" s="20" t="n">
        <v>225</v>
      </c>
      <c r="N105" s="20" t="n">
        <v>386</v>
      </c>
      <c r="T105" s="20" t="n">
        <v>-33</v>
      </c>
      <c r="U105" s="20" t="n">
        <v>-595</v>
      </c>
      <c r="V105" s="20" t="n">
        <v>220</v>
      </c>
      <c r="W105" s="20" t="n">
        <v>0</v>
      </c>
      <c r="X105" s="20" t="n">
        <v>225</v>
      </c>
    </row>
    <row r="106">
      <c r="A106" s="18" t="inlineStr">
        <is>
          <t>기타</t>
        </is>
      </c>
      <c r="C106" s="20" t="n">
        <v>205</v>
      </c>
      <c r="D106" s="20" t="n">
        <v>127</v>
      </c>
      <c r="E106" s="20" t="n">
        <v>97</v>
      </c>
      <c r="F106" s="20" t="n">
        <v>196</v>
      </c>
      <c r="G106" s="20" t="n">
        <v>153</v>
      </c>
      <c r="H106" s="20" t="n">
        <v>203</v>
      </c>
      <c r="I106" s="20" t="n">
        <v>108</v>
      </c>
      <c r="J106" s="20" t="n">
        <v>144</v>
      </c>
      <c r="K106" s="20" t="n">
        <v>106</v>
      </c>
      <c r="L106" s="20" t="n">
        <v>168</v>
      </c>
      <c r="M106" s="20" t="n">
        <v>261</v>
      </c>
      <c r="N106" s="20" t="n">
        <v>257</v>
      </c>
      <c r="T106" s="20" t="n">
        <v>-78</v>
      </c>
      <c r="U106" s="20" t="n">
        <v>-85</v>
      </c>
      <c r="V106" s="20" t="n">
        <v>97</v>
      </c>
      <c r="W106" s="20" t="n">
        <v>108</v>
      </c>
      <c r="X106" s="20" t="n">
        <v>261</v>
      </c>
    </row>
    <row r="107">
      <c r="A107" s="18" t="inlineStr">
        <is>
          <t>영업외수익 합계</t>
        </is>
      </c>
      <c r="C107" s="20" t="n">
        <v>890</v>
      </c>
      <c r="D107" s="20" t="n">
        <v>970</v>
      </c>
      <c r="E107" s="20" t="n">
        <v>646</v>
      </c>
      <c r="F107" s="20" t="n">
        <v>1840</v>
      </c>
      <c r="G107" s="20" t="n">
        <v>546</v>
      </c>
      <c r="H107" s="20" t="n">
        <v>1848</v>
      </c>
      <c r="I107" s="20" t="n">
        <v>781</v>
      </c>
      <c r="J107" s="20" t="n">
        <v>1374</v>
      </c>
      <c r="K107" s="20" t="n">
        <v>1293</v>
      </c>
      <c r="L107" s="20" t="n">
        <v>868</v>
      </c>
      <c r="M107" s="20" t="n">
        <v>1224</v>
      </c>
      <c r="N107" s="20" t="n">
        <v>1876</v>
      </c>
      <c r="T107" s="20" t="n">
        <v>1042</v>
      </c>
      <c r="U107" s="20" t="n">
        <v>99</v>
      </c>
      <c r="V107" s="20" t="n">
        <v>646</v>
      </c>
      <c r="W107" s="20" t="n">
        <v>781</v>
      </c>
      <c r="X107" s="20" t="n">
        <v>1224</v>
      </c>
    </row>
    <row r="108">
      <c r="A108" s="18" t="inlineStr">
        <is>
          <t>이자비용</t>
        </is>
      </c>
      <c r="C108" s="20" t="n">
        <v>159</v>
      </c>
      <c r="D108" s="20" t="n">
        <v>204</v>
      </c>
      <c r="E108" s="20" t="n">
        <v>203</v>
      </c>
      <c r="F108" s="20" t="n">
        <v>214</v>
      </c>
      <c r="G108" s="20" t="n">
        <v>239</v>
      </c>
      <c r="H108" s="20" t="n">
        <v>345</v>
      </c>
      <c r="I108" s="20" t="n">
        <v>357</v>
      </c>
      <c r="J108" s="20" t="n">
        <v>351</v>
      </c>
      <c r="K108" s="20" t="n">
        <v>347</v>
      </c>
      <c r="L108" s="20" t="n">
        <v>325</v>
      </c>
      <c r="M108" s="20" t="n">
        <v>333</v>
      </c>
      <c r="N108" s="20" t="n">
        <v>217</v>
      </c>
      <c r="T108" s="20" t="n">
        <v>177</v>
      </c>
      <c r="U108" s="20" t="n">
        <v>448</v>
      </c>
      <c r="V108" s="20" t="n">
        <v>203</v>
      </c>
      <c r="W108" s="20" t="n">
        <v>357</v>
      </c>
      <c r="X108" s="20" t="n">
        <v>333</v>
      </c>
    </row>
    <row r="109">
      <c r="A109" s="18" t="inlineStr">
        <is>
          <t>사채발행비</t>
        </is>
      </c>
      <c r="D109" s="20" t="n">
        <v>0</v>
      </c>
      <c r="E109" s="20" t="n">
        <v>131</v>
      </c>
      <c r="H109" s="20" t="n">
        <v>0</v>
      </c>
      <c r="I109" s="20" t="n">
        <v>0</v>
      </c>
      <c r="L109" s="20" t="n">
        <v>0</v>
      </c>
      <c r="M109" s="20" t="n">
        <v>0</v>
      </c>
      <c r="T109" s="20" t="n">
        <v>197</v>
      </c>
      <c r="U109" s="20" t="n">
        <v>-66</v>
      </c>
      <c r="V109" s="20" t="n">
        <v>131</v>
      </c>
      <c r="W109" s="20" t="n">
        <v>0</v>
      </c>
      <c r="X109" s="20" t="n">
        <v>0</v>
      </c>
    </row>
    <row r="110">
      <c r="A110" s="18" t="inlineStr">
        <is>
          <t>지분법손실</t>
        </is>
      </c>
      <c r="F110" s="20" t="n">
        <v>0</v>
      </c>
      <c r="I110" s="20" t="n">
        <v>0</v>
      </c>
      <c r="J110" s="20" t="n">
        <v>0</v>
      </c>
      <c r="M110" s="20" t="n">
        <v>0</v>
      </c>
      <c r="N110" s="20" t="n">
        <v>0</v>
      </c>
      <c r="W110" s="20" t="n">
        <v>0</v>
      </c>
      <c r="X110" s="20" t="n">
        <v>0</v>
      </c>
    </row>
    <row r="111">
      <c r="A111" s="18" t="inlineStr">
        <is>
          <t>외환차손</t>
        </is>
      </c>
      <c r="D111" s="20" t="n">
        <v>0</v>
      </c>
      <c r="E111" s="20" t="n">
        <v>0</v>
      </c>
      <c r="F111" s="20" t="n">
        <v>0</v>
      </c>
      <c r="G111" s="20" t="n">
        <v>599</v>
      </c>
      <c r="H111" s="20" t="n">
        <v>727</v>
      </c>
      <c r="I111" s="20" t="n">
        <v>10</v>
      </c>
      <c r="J111" s="20" t="n">
        <v>127</v>
      </c>
      <c r="K111" s="20" t="n">
        <v>-127</v>
      </c>
      <c r="L111" s="20" t="n">
        <v>0</v>
      </c>
      <c r="M111" s="20" t="n">
        <v>0</v>
      </c>
      <c r="N111" s="20" t="n">
        <v>0</v>
      </c>
      <c r="V111" s="20" t="n">
        <v>0</v>
      </c>
      <c r="W111" s="20" t="n">
        <v>10</v>
      </c>
      <c r="X111" s="20" t="n">
        <v>0</v>
      </c>
    </row>
    <row r="112">
      <c r="A112" s="18" t="inlineStr">
        <is>
          <t>유휴자산 감가상각비</t>
        </is>
      </c>
      <c r="E112" s="20" t="n">
        <v>0</v>
      </c>
      <c r="F112" s="20" t="n">
        <v>0</v>
      </c>
      <c r="G112" s="20" t="n">
        <v>0</v>
      </c>
      <c r="H112" s="20" t="n">
        <v>690</v>
      </c>
      <c r="I112" s="20" t="n">
        <v>1053</v>
      </c>
      <c r="J112" s="20" t="n">
        <v>967</v>
      </c>
      <c r="K112" s="20" t="n">
        <v>968</v>
      </c>
      <c r="L112" s="20" t="n">
        <v>968</v>
      </c>
      <c r="M112" s="20" t="n">
        <v>967</v>
      </c>
      <c r="N112" s="20" t="n">
        <v>834</v>
      </c>
      <c r="V112" s="20" t="n">
        <v>0</v>
      </c>
      <c r="W112" s="20" t="n">
        <v>1053</v>
      </c>
      <c r="X112" s="20" t="n">
        <v>967</v>
      </c>
    </row>
    <row r="113">
      <c r="A113" s="18" t="inlineStr">
        <is>
          <t>기타</t>
        </is>
      </c>
      <c r="C113" s="20" t="n">
        <v>-6</v>
      </c>
      <c r="D113" s="20" t="n">
        <v>60</v>
      </c>
      <c r="E113" s="20" t="n">
        <v>197</v>
      </c>
      <c r="F113" s="20" t="n">
        <v>51</v>
      </c>
      <c r="G113" s="20" t="n">
        <v>111</v>
      </c>
      <c r="H113" s="20" t="n">
        <v>55</v>
      </c>
      <c r="I113" s="20" t="n">
        <v>143</v>
      </c>
      <c r="J113" s="20" t="n">
        <v>157</v>
      </c>
      <c r="K113" s="20" t="n">
        <v>144</v>
      </c>
      <c r="L113" s="20" t="n">
        <v>201</v>
      </c>
      <c r="M113" s="20" t="n">
        <v>235</v>
      </c>
      <c r="N113" s="20" t="n">
        <v>236</v>
      </c>
      <c r="T113" s="20" t="n">
        <v>-117</v>
      </c>
      <c r="U113" s="20" t="n">
        <v>-71</v>
      </c>
      <c r="V113" s="20" t="n">
        <v>197</v>
      </c>
      <c r="W113" s="20" t="n">
        <v>143</v>
      </c>
      <c r="X113" s="20" t="n">
        <v>235</v>
      </c>
    </row>
    <row r="114">
      <c r="A114" s="18" t="inlineStr">
        <is>
          <t>영업외비용 합계</t>
        </is>
      </c>
      <c r="C114" s="20" t="n">
        <v>153</v>
      </c>
      <c r="D114" s="20" t="n">
        <v>263</v>
      </c>
      <c r="E114" s="20" t="n">
        <v>533</v>
      </c>
      <c r="F114" s="20" t="n">
        <v>266</v>
      </c>
      <c r="G114" s="20" t="n">
        <v>1100</v>
      </c>
      <c r="H114" s="20" t="n">
        <v>1818</v>
      </c>
      <c r="I114" s="20" t="n">
        <v>1563</v>
      </c>
      <c r="J114" s="20" t="n">
        <v>1603</v>
      </c>
      <c r="K114" s="20" t="n">
        <v>1333</v>
      </c>
      <c r="L114" s="20" t="n">
        <v>1493</v>
      </c>
      <c r="M114" s="20" t="n">
        <v>1535</v>
      </c>
      <c r="N114" s="20" t="n">
        <v>1289</v>
      </c>
      <c r="T114" s="20" t="n">
        <v>258</v>
      </c>
      <c r="U114" s="20" t="n">
        <v>311</v>
      </c>
      <c r="V114" s="20" t="n">
        <v>533</v>
      </c>
      <c r="W114" s="20" t="n">
        <v>1563</v>
      </c>
      <c r="X114" s="20" t="n">
        <v>1535</v>
      </c>
    </row>
    <row r="115">
      <c r="A115" s="9" t="inlineStr">
        <is>
          <t>경상이익</t>
        </is>
      </c>
      <c r="C115" s="12" t="n">
        <v>16627</v>
      </c>
      <c r="D115" s="12" t="n">
        <v>13583</v>
      </c>
      <c r="E115" s="12" t="n">
        <v>10733</v>
      </c>
      <c r="F115" s="12" t="n">
        <v>12868</v>
      </c>
      <c r="G115" s="12" t="n">
        <v>16663</v>
      </c>
      <c r="H115" s="12" t="n">
        <v>6376</v>
      </c>
      <c r="I115" s="12" t="n">
        <v>11983</v>
      </c>
      <c r="J115" s="12" t="n">
        <v>17407</v>
      </c>
      <c r="K115" s="12" t="n">
        <v>14898</v>
      </c>
      <c r="L115" s="12" t="n">
        <v>11328</v>
      </c>
      <c r="M115" s="12" t="n">
        <v>17189</v>
      </c>
      <c r="N115" s="12" t="n">
        <v>27466</v>
      </c>
      <c r="T115" s="12" t="n">
        <v>18717</v>
      </c>
      <c r="U115" s="12" t="n">
        <v>-13819</v>
      </c>
      <c r="V115" s="12" t="n">
        <v>10733</v>
      </c>
      <c r="W115" s="12" t="n">
        <v>11983</v>
      </c>
      <c r="X115" s="12" t="n">
        <v>17189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T116" s="15">
        <f>IF(OR(T115="",S115=""),"",IF(S115&lt;=0,"",IFERROR(T115/S115-1,"")))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18" t="inlineStr">
        <is>
          <t>고정자산 매각이익</t>
        </is>
      </c>
      <c r="C117" s="20" t="n">
        <v>2</v>
      </c>
      <c r="D117" s="20" t="n">
        <v>9</v>
      </c>
      <c r="E117" s="20" t="n">
        <v>12</v>
      </c>
      <c r="F117" s="20" t="n">
        <v>7</v>
      </c>
      <c r="G117" s="20" t="n">
        <v>31</v>
      </c>
      <c r="H117" s="20" t="n">
        <v>23</v>
      </c>
      <c r="I117" s="20" t="n">
        <v>10</v>
      </c>
      <c r="J117" s="20" t="n">
        <v>367</v>
      </c>
      <c r="K117" s="20" t="n">
        <v>0</v>
      </c>
      <c r="L117" s="20" t="n">
        <v>50</v>
      </c>
      <c r="M117" s="20" t="n">
        <v>17</v>
      </c>
      <c r="N117" s="20" t="n">
        <v>3</v>
      </c>
      <c r="T117" s="20" t="n">
        <v>-22</v>
      </c>
      <c r="U117" s="20" t="n">
        <v>-53</v>
      </c>
      <c r="V117" s="20" t="n">
        <v>12</v>
      </c>
      <c r="W117" s="20" t="n">
        <v>10</v>
      </c>
      <c r="X117" s="20" t="n">
        <v>17</v>
      </c>
    </row>
    <row r="118">
      <c r="A118" s="18" t="inlineStr">
        <is>
          <t>투자유가증권 매각이익</t>
        </is>
      </c>
      <c r="C118" s="20" t="n">
        <v>0</v>
      </c>
      <c r="D118" s="20" t="n">
        <v>0</v>
      </c>
      <c r="E118" s="20" t="n">
        <v>68</v>
      </c>
      <c r="F118" s="20" t="n">
        <v>0</v>
      </c>
      <c r="G118" s="20" t="n">
        <v>0</v>
      </c>
      <c r="H118" s="20" t="n">
        <v>0</v>
      </c>
      <c r="I118" s="20" t="n">
        <v>24480</v>
      </c>
      <c r="J118" s="20" t="n">
        <v>0</v>
      </c>
      <c r="K118" s="20" t="n">
        <v>0</v>
      </c>
      <c r="L118" s="20" t="n">
        <v>304</v>
      </c>
      <c r="M118" s="20" t="n">
        <v>49144</v>
      </c>
      <c r="T118" s="20" t="n">
        <v>208</v>
      </c>
      <c r="U118" s="20" t="n">
        <v>48</v>
      </c>
      <c r="V118" s="20" t="n">
        <v>68</v>
      </c>
      <c r="W118" s="20" t="n">
        <v>24480</v>
      </c>
      <c r="X118" s="20" t="n">
        <v>49144</v>
      </c>
    </row>
    <row r="119">
      <c r="A119" s="18" t="inlineStr">
        <is>
          <t>관계회사 주식 매각이익</t>
        </is>
      </c>
      <c r="C119" s="20" t="n">
        <v>0</v>
      </c>
      <c r="D119" s="20" t="n">
        <v>0</v>
      </c>
      <c r="E119" s="20" t="n">
        <v>0</v>
      </c>
      <c r="F119" s="20" t="n">
        <v>0</v>
      </c>
      <c r="G119" s="20" t="n">
        <v>0</v>
      </c>
      <c r="H119" s="20" t="n">
        <v>0</v>
      </c>
      <c r="I119" s="20" t="n">
        <v>0</v>
      </c>
      <c r="U119" s="20" t="n">
        <v>3067</v>
      </c>
      <c r="V119" s="20" t="n">
        <v>0</v>
      </c>
      <c r="W119" s="20" t="n">
        <v>0</v>
      </c>
    </row>
    <row r="120">
      <c r="A120" s="18" t="inlineStr">
        <is>
          <t>보험금 수익</t>
        </is>
      </c>
      <c r="D120" s="20" t="n">
        <v>0</v>
      </c>
      <c r="E120" s="20" t="n">
        <v>52</v>
      </c>
      <c r="T120" s="20" t="n">
        <v>64</v>
      </c>
      <c r="U120" s="20" t="n">
        <v>-109</v>
      </c>
      <c r="V120" s="20" t="n">
        <v>52</v>
      </c>
    </row>
    <row r="121">
      <c r="A121" s="18" t="inlineStr">
        <is>
          <t>보조금 수입</t>
        </is>
      </c>
      <c r="C121" s="20" t="n">
        <v>0</v>
      </c>
      <c r="D121" s="20" t="n">
        <v>136</v>
      </c>
      <c r="E121" s="20" t="n">
        <v>1745</v>
      </c>
      <c r="F121" s="20" t="n">
        <v>853</v>
      </c>
      <c r="G121" s="20" t="n">
        <v>1732</v>
      </c>
      <c r="H121" s="20" t="n">
        <v>3700</v>
      </c>
      <c r="I121" s="20" t="n">
        <v>22296</v>
      </c>
      <c r="J121" s="20" t="n">
        <v>911</v>
      </c>
      <c r="K121" s="20" t="n">
        <v>3492</v>
      </c>
      <c r="L121" s="20" t="n">
        <v>2928</v>
      </c>
      <c r="M121" s="20" t="n">
        <v>1817</v>
      </c>
      <c r="N121" s="20" t="n">
        <v>0</v>
      </c>
      <c r="U121" s="20" t="n">
        <v>1881</v>
      </c>
      <c r="V121" s="20" t="n">
        <v>1745</v>
      </c>
      <c r="W121" s="20" t="n">
        <v>22296</v>
      </c>
      <c r="X121" s="20" t="n">
        <v>1817</v>
      </c>
    </row>
    <row r="122">
      <c r="A122" s="18" t="inlineStr">
        <is>
          <t>기타</t>
        </is>
      </c>
      <c r="C122" s="20" t="n">
        <v>0</v>
      </c>
      <c r="D122" s="20" t="n">
        <v>24</v>
      </c>
      <c r="E122" s="20" t="n">
        <v>53</v>
      </c>
      <c r="F122" s="20" t="n">
        <v>6</v>
      </c>
      <c r="G122" s="20" t="n">
        <v>27</v>
      </c>
      <c r="H122" s="20" t="n">
        <v>0</v>
      </c>
      <c r="I122" s="20" t="n">
        <v>0</v>
      </c>
      <c r="J122" s="20" t="n">
        <v>24</v>
      </c>
      <c r="K122" s="20" t="n">
        <v>225</v>
      </c>
      <c r="L122" s="20" t="n">
        <v>-2</v>
      </c>
      <c r="M122" s="20" t="n">
        <v>2</v>
      </c>
      <c r="N122" s="20" t="n">
        <v>0</v>
      </c>
      <c r="T122" s="20" t="n">
        <v>-15</v>
      </c>
      <c r="U122" s="20" t="n">
        <v>55</v>
      </c>
      <c r="V122" s="20" t="n">
        <v>53</v>
      </c>
      <c r="W122" s="20" t="n">
        <v>0</v>
      </c>
      <c r="X122" s="20" t="n">
        <v>2</v>
      </c>
    </row>
    <row r="123">
      <c r="A123" s="18" t="inlineStr">
        <is>
          <t>특별이익 합계</t>
        </is>
      </c>
      <c r="C123" s="20" t="n">
        <v>2</v>
      </c>
      <c r="D123" s="20" t="n">
        <v>169</v>
      </c>
      <c r="E123" s="20" t="n">
        <v>1931</v>
      </c>
      <c r="F123" s="20" t="n">
        <v>866</v>
      </c>
      <c r="G123" s="20" t="n">
        <v>1791</v>
      </c>
      <c r="H123" s="20" t="n">
        <v>3723</v>
      </c>
      <c r="I123" s="20" t="n">
        <v>47838</v>
      </c>
      <c r="J123" s="20" t="n">
        <v>1302</v>
      </c>
      <c r="K123" s="20" t="n">
        <v>3719</v>
      </c>
      <c r="L123" s="20" t="n">
        <v>3279</v>
      </c>
      <c r="M123" s="20" t="n">
        <v>50981</v>
      </c>
      <c r="N123" s="20" t="n">
        <v>3</v>
      </c>
      <c r="T123" s="20" t="n">
        <v>297</v>
      </c>
      <c r="U123" s="20" t="n">
        <v>4889</v>
      </c>
      <c r="V123" s="20" t="n">
        <v>1931</v>
      </c>
      <c r="W123" s="20" t="n">
        <v>47838</v>
      </c>
      <c r="X123" s="20" t="n">
        <v>50981</v>
      </c>
    </row>
    <row r="124">
      <c r="A124" s="18" t="inlineStr">
        <is>
          <t>고정자산 제각손실</t>
        </is>
      </c>
      <c r="C124" s="20" t="n">
        <v>447</v>
      </c>
      <c r="D124" s="20" t="n">
        <v>724</v>
      </c>
      <c r="E124" s="20" t="n">
        <v>880</v>
      </c>
      <c r="F124" s="20" t="n">
        <v>426</v>
      </c>
      <c r="G124" s="20" t="n">
        <v>330</v>
      </c>
      <c r="H124" s="20" t="n">
        <v>295</v>
      </c>
      <c r="I124" s="20" t="n">
        <v>543</v>
      </c>
      <c r="J124" s="20" t="n">
        <v>152</v>
      </c>
      <c r="K124" s="20" t="n">
        <v>104</v>
      </c>
      <c r="L124" s="20" t="n">
        <v>334</v>
      </c>
      <c r="M124" s="20" t="n">
        <v>1039</v>
      </c>
      <c r="N124" s="20" t="n">
        <v>907</v>
      </c>
      <c r="T124" s="20" t="n">
        <v>-746</v>
      </c>
      <c r="U124" s="20" t="n">
        <v>-427</v>
      </c>
      <c r="V124" s="20" t="n">
        <v>880</v>
      </c>
      <c r="W124" s="20" t="n">
        <v>543</v>
      </c>
      <c r="X124" s="20" t="n">
        <v>1039</v>
      </c>
    </row>
    <row r="125">
      <c r="A125" s="18" t="inlineStr">
        <is>
          <t>손상차손</t>
        </is>
      </c>
      <c r="C125" s="20" t="n">
        <v>0</v>
      </c>
      <c r="D125" s="20" t="n">
        <v>0</v>
      </c>
      <c r="E125" s="20" t="n">
        <v>84</v>
      </c>
      <c r="F125" s="20" t="n">
        <v>0</v>
      </c>
      <c r="G125" s="20" t="n">
        <v>0</v>
      </c>
      <c r="H125" s="20" t="n">
        <v>0</v>
      </c>
      <c r="I125" s="20" t="n">
        <v>18587</v>
      </c>
      <c r="J125" s="20" t="n">
        <v>506</v>
      </c>
      <c r="K125" s="20" t="n">
        <v>0</v>
      </c>
      <c r="L125" s="20" t="n">
        <v>94</v>
      </c>
      <c r="M125" s="20" t="n">
        <v>15805</v>
      </c>
      <c r="N125" s="20" t="n">
        <v>0</v>
      </c>
      <c r="T125" s="20" t="n">
        <v>-187</v>
      </c>
      <c r="U125" s="20" t="n">
        <v>478</v>
      </c>
      <c r="V125" s="20" t="n">
        <v>84</v>
      </c>
      <c r="W125" s="20" t="n">
        <v>18587</v>
      </c>
      <c r="X125" s="20" t="n">
        <v>15805</v>
      </c>
    </row>
    <row r="126">
      <c r="A126" s="18" t="inlineStr">
        <is>
          <t>고정자산 압축손실</t>
        </is>
      </c>
      <c r="C126" s="20" t="n">
        <v>0</v>
      </c>
      <c r="D126" s="20" t="n">
        <v>136</v>
      </c>
      <c r="E126" s="20" t="n">
        <v>1745</v>
      </c>
      <c r="F126" s="20" t="n">
        <v>853</v>
      </c>
      <c r="G126" s="20" t="n">
        <v>1732</v>
      </c>
      <c r="H126" s="20" t="n">
        <v>3700</v>
      </c>
      <c r="I126" s="20" t="n">
        <v>22296</v>
      </c>
      <c r="J126" s="20" t="n">
        <v>911</v>
      </c>
      <c r="K126" s="20" t="n">
        <v>3492</v>
      </c>
      <c r="L126" s="20" t="n">
        <v>2928</v>
      </c>
      <c r="M126" s="20" t="n">
        <v>1817</v>
      </c>
      <c r="N126" s="20" t="n">
        <v>0</v>
      </c>
      <c r="U126" s="20" t="n">
        <v>1881</v>
      </c>
      <c r="V126" s="20" t="n">
        <v>1745</v>
      </c>
      <c r="W126" s="20" t="n">
        <v>22296</v>
      </c>
      <c r="X126" s="20" t="n">
        <v>1817</v>
      </c>
    </row>
    <row r="127">
      <c r="A127" s="18" t="inlineStr">
        <is>
          <t>보상비 지급</t>
        </is>
      </c>
      <c r="E127" s="20" t="n">
        <v>3156</v>
      </c>
      <c r="I127" s="20" t="n">
        <v>41</v>
      </c>
      <c r="M127" s="20" t="n">
        <v>0</v>
      </c>
      <c r="V127" s="20" t="n">
        <v>3156</v>
      </c>
      <c r="W127" s="20" t="n">
        <v>41</v>
      </c>
      <c r="X127" s="20" t="n">
        <v>0</v>
      </c>
    </row>
    <row r="128">
      <c r="A128" s="18" t="inlineStr">
        <is>
          <t>보상비 지급</t>
        </is>
      </c>
      <c r="C128" s="20" t="n">
        <v>0</v>
      </c>
      <c r="F128" s="20" t="n">
        <v>524</v>
      </c>
      <c r="G128" s="20" t="n">
        <v>1037</v>
      </c>
      <c r="J128" s="20" t="n">
        <v>40</v>
      </c>
      <c r="K128" s="20" t="n">
        <v>73</v>
      </c>
      <c r="N128" s="20" t="n">
        <v>0</v>
      </c>
    </row>
    <row r="129">
      <c r="A129" s="18" t="inlineStr">
        <is>
          <t>기타</t>
        </is>
      </c>
      <c r="C129" s="20" t="n">
        <v>325</v>
      </c>
      <c r="D129" s="20" t="n">
        <v>329</v>
      </c>
      <c r="E129" s="20" t="n">
        <v>125</v>
      </c>
      <c r="F129" s="20" t="n">
        <v>6</v>
      </c>
      <c r="G129" s="20" t="n">
        <v>122</v>
      </c>
      <c r="H129" s="20" t="n">
        <v>-17</v>
      </c>
      <c r="I129" s="20" t="n">
        <v>93</v>
      </c>
      <c r="J129" s="20" t="n">
        <v>53</v>
      </c>
      <c r="K129" s="20" t="n">
        <v>6</v>
      </c>
      <c r="L129" s="20" t="n">
        <v>35</v>
      </c>
      <c r="M129" s="20" t="n">
        <v>61</v>
      </c>
      <c r="N129" s="20" t="n">
        <v>31</v>
      </c>
      <c r="T129" s="20" t="n">
        <v>234</v>
      </c>
      <c r="U129" s="20" t="n">
        <v>533</v>
      </c>
      <c r="V129" s="20" t="n">
        <v>125</v>
      </c>
      <c r="W129" s="20" t="n">
        <v>93</v>
      </c>
      <c r="X129" s="20" t="n">
        <v>61</v>
      </c>
    </row>
    <row r="130">
      <c r="A130" s="18" t="inlineStr">
        <is>
          <t>특별손실 합계</t>
        </is>
      </c>
      <c r="C130" s="20" t="n">
        <v>772</v>
      </c>
      <c r="D130" s="20" t="n">
        <v>1189</v>
      </c>
      <c r="E130" s="20" t="n">
        <v>5991</v>
      </c>
      <c r="F130" s="20" t="n">
        <v>1810</v>
      </c>
      <c r="G130" s="20" t="n">
        <v>3222</v>
      </c>
      <c r="H130" s="20" t="n">
        <v>4036</v>
      </c>
      <c r="I130" s="20" t="n">
        <v>41589</v>
      </c>
      <c r="J130" s="20" t="n">
        <v>1663</v>
      </c>
      <c r="K130" s="20" t="n">
        <v>3677</v>
      </c>
      <c r="L130" s="20" t="n">
        <v>3391</v>
      </c>
      <c r="M130" s="20" t="n">
        <v>20280</v>
      </c>
      <c r="N130" s="20" t="n">
        <v>939</v>
      </c>
      <c r="T130" s="20" t="n">
        <v>-699</v>
      </c>
      <c r="U130" s="20" t="n">
        <v>5623</v>
      </c>
      <c r="V130" s="20" t="n">
        <v>5991</v>
      </c>
      <c r="W130" s="20" t="n">
        <v>41589</v>
      </c>
      <c r="X130" s="20" t="n">
        <v>20280</v>
      </c>
    </row>
    <row r="131">
      <c r="A131" s="9" t="inlineStr">
        <is>
          <t>법인세차감전 순이익</t>
        </is>
      </c>
      <c r="C131" s="12" t="n">
        <v>15857</v>
      </c>
      <c r="D131" s="12" t="n">
        <v>12563</v>
      </c>
      <c r="E131" s="12" t="n">
        <v>6674</v>
      </c>
      <c r="F131" s="12" t="n">
        <v>11925</v>
      </c>
      <c r="G131" s="12" t="n">
        <v>15231</v>
      </c>
      <c r="H131" s="12" t="n">
        <v>6063</v>
      </c>
      <c r="I131" s="12" t="n">
        <v>18232</v>
      </c>
      <c r="J131" s="12" t="n">
        <v>17046</v>
      </c>
      <c r="K131" s="12" t="n">
        <v>14939</v>
      </c>
      <c r="L131" s="12" t="n">
        <v>11217</v>
      </c>
      <c r="M131" s="12" t="n">
        <v>47890</v>
      </c>
      <c r="N131" s="12" t="n">
        <v>26530</v>
      </c>
      <c r="T131" s="12" t="n">
        <v>19714</v>
      </c>
      <c r="U131" s="12" t="n">
        <v>-14551</v>
      </c>
      <c r="V131" s="12" t="n">
        <v>6674</v>
      </c>
      <c r="W131" s="12" t="n">
        <v>18232</v>
      </c>
      <c r="X131" s="12" t="n">
        <v>47890</v>
      </c>
    </row>
    <row r="132">
      <c r="A132" s="18" t="inlineStr">
        <is>
          <t>법인세 등</t>
        </is>
      </c>
      <c r="C132" s="20" t="n">
        <v>5166</v>
      </c>
      <c r="D132" s="20" t="n">
        <v>2960</v>
      </c>
      <c r="E132" s="20" t="n">
        <v>2553</v>
      </c>
      <c r="F132" s="20" t="n">
        <v>3030</v>
      </c>
      <c r="G132" s="20" t="n">
        <v>3447</v>
      </c>
      <c r="H132" s="20" t="n">
        <v>1671</v>
      </c>
      <c r="I132" s="20" t="n">
        <v>9252</v>
      </c>
      <c r="J132" s="20" t="n">
        <v>4168</v>
      </c>
      <c r="K132" s="20" t="n">
        <v>5514</v>
      </c>
      <c r="L132" s="20" t="n">
        <v>2188</v>
      </c>
      <c r="M132" s="20" t="n">
        <v>15059</v>
      </c>
      <c r="N132" s="20" t="n">
        <v>8459</v>
      </c>
      <c r="T132" s="20" t="n">
        <v>5001</v>
      </c>
      <c r="U132" s="20" t="n">
        <v>-2059</v>
      </c>
      <c r="V132" s="20" t="n">
        <v>2553</v>
      </c>
      <c r="W132" s="20" t="n">
        <v>9252</v>
      </c>
      <c r="X132" s="20" t="n">
        <v>15059</v>
      </c>
    </row>
    <row r="133">
      <c r="A133" s="9" t="inlineStr">
        <is>
          <t>순이익</t>
        </is>
      </c>
      <c r="C133" s="12" t="n">
        <v>10690</v>
      </c>
      <c r="D133" s="12" t="n">
        <v>9603</v>
      </c>
      <c r="E133" s="12" t="n">
        <v>4121</v>
      </c>
      <c r="F133" s="12" t="n">
        <v>8895</v>
      </c>
      <c r="G133" s="12" t="n">
        <v>11784</v>
      </c>
      <c r="H133" s="12" t="n">
        <v>4391</v>
      </c>
      <c r="I133" s="12" t="n">
        <v>8980</v>
      </c>
      <c r="J133" s="12" t="n">
        <v>12877</v>
      </c>
      <c r="K133" s="12" t="n">
        <v>9426</v>
      </c>
      <c r="L133" s="12" t="n">
        <v>9029</v>
      </c>
      <c r="M133" s="12" t="n">
        <v>32830</v>
      </c>
      <c r="N133" s="12" t="n">
        <v>18071</v>
      </c>
      <c r="T133" s="12" t="n">
        <v>14713</v>
      </c>
      <c r="U133" s="12" t="n">
        <v>-12493</v>
      </c>
      <c r="V133" s="12" t="n">
        <v>4121</v>
      </c>
      <c r="W133" s="12" t="n">
        <v>8980</v>
      </c>
      <c r="X133" s="12" t="n">
        <v>32830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9" t="inlineStr">
        <is>
          <t>비지배주주 순이익</t>
        </is>
      </c>
      <c r="C135" s="12" t="n">
        <v>87</v>
      </c>
      <c r="D135" s="12" t="n">
        <v>99</v>
      </c>
      <c r="E135" s="12" t="n">
        <v>27</v>
      </c>
      <c r="F135" s="12" t="n">
        <v>78</v>
      </c>
      <c r="G135" s="12" t="n">
        <v>73</v>
      </c>
      <c r="H135" s="12" t="n">
        <v>117</v>
      </c>
      <c r="I135" s="12" t="n">
        <v>78</v>
      </c>
      <c r="J135" s="12" t="n">
        <v>148</v>
      </c>
      <c r="K135" s="12" t="n">
        <v>86</v>
      </c>
      <c r="L135" s="12" t="n">
        <v>97</v>
      </c>
      <c r="M135" s="12" t="n">
        <v>118</v>
      </c>
      <c r="N135" s="12" t="n">
        <v>152</v>
      </c>
      <c r="T135" s="12" t="n">
        <v>-32</v>
      </c>
      <c r="U135" s="12" t="n">
        <v>72</v>
      </c>
      <c r="V135" s="12" t="n">
        <v>27</v>
      </c>
      <c r="W135" s="12" t="n">
        <v>78</v>
      </c>
      <c r="X135" s="12" t="n">
        <v>118</v>
      </c>
    </row>
    <row r="136">
      <c r="A136" s="9" t="inlineStr">
        <is>
          <t>지배주주 순이익</t>
        </is>
      </c>
      <c r="C136" s="12" t="n">
        <v>10604</v>
      </c>
      <c r="D136" s="12" t="n">
        <v>9503</v>
      </c>
      <c r="E136" s="12" t="n">
        <v>4095</v>
      </c>
      <c r="F136" s="12" t="n">
        <v>8816</v>
      </c>
      <c r="G136" s="12" t="n">
        <v>11711</v>
      </c>
      <c r="H136" s="12" t="n">
        <v>4274</v>
      </c>
      <c r="I136" s="12" t="n">
        <v>8903</v>
      </c>
      <c r="J136" s="12" t="n">
        <v>12728</v>
      </c>
      <c r="K136" s="12" t="n">
        <v>9341</v>
      </c>
      <c r="L136" s="12" t="n">
        <v>8931</v>
      </c>
      <c r="M136" s="12" t="n">
        <v>32713</v>
      </c>
      <c r="N136" s="12" t="n">
        <v>17918</v>
      </c>
      <c r="T136" s="12" t="n">
        <v>14745</v>
      </c>
      <c r="U136" s="12" t="n">
        <v>-12565</v>
      </c>
      <c r="V136" s="12" t="n">
        <v>4095</v>
      </c>
      <c r="W136" s="12" t="n">
        <v>8903</v>
      </c>
      <c r="X136" s="12" t="n">
        <v>32713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T137" s="15">
        <f>IF(OR(T136="",S136=""),"",IF(S136&lt;=0,"",IFERROR(T136/S136-1,"")))</f>
        <v/>
      </c>
      <c r="U137" s="15">
        <f>IF(OR(U136="",T136=""),"",IF(T136&lt;=0,"",IFERROR(U136/T136-1,"")))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9">
      <c r="A139" s="16" t="inlineStr">
        <is>
          <t>포괄손익 · 전 항목</t>
        </is>
      </c>
      <c r="B139" s="42" t="inlineStr">
        <is>
          <t>분기 = 3개월 단독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2024.2Q</t>
        </is>
      </c>
      <c r="D140" s="5" t="inlineStr">
        <is>
          <t>2024.3Q</t>
        </is>
      </c>
      <c r="E140" s="5" t="inlineStr">
        <is>
          <t>2024.4Q</t>
        </is>
      </c>
      <c r="F140" s="5" t="inlineStr">
        <is>
          <t>2025.1Q</t>
        </is>
      </c>
      <c r="G140" s="5" t="inlineStr">
        <is>
          <t>2025.2Q</t>
        </is>
      </c>
      <c r="H140" s="5" t="inlineStr">
        <is>
          <t>2025.3Q</t>
        </is>
      </c>
      <c r="I140" s="5" t="inlineStr">
        <is>
          <t>2025.4Q</t>
        </is>
      </c>
      <c r="J140" s="5" t="inlineStr">
        <is>
          <t>2026.1Q</t>
        </is>
      </c>
      <c r="K140" s="5" t="inlineStr">
        <is>
          <t>2026.2Q</t>
        </is>
      </c>
      <c r="L140" s="5" t="inlineStr">
        <is>
          <t>2026.3Q</t>
        </is>
      </c>
      <c r="M140" s="5" t="inlineStr">
        <is>
          <t>2026.4Q</t>
        </is>
      </c>
      <c r="N140" s="5" t="inlineStr">
        <is>
          <t>2027.1Q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순이익</t>
        </is>
      </c>
      <c r="C141" s="12" t="n">
        <v>10690</v>
      </c>
      <c r="D141" s="12" t="n">
        <v>9603</v>
      </c>
      <c r="E141" s="12" t="n">
        <v>4121</v>
      </c>
      <c r="F141" s="12" t="n">
        <v>8895</v>
      </c>
      <c r="G141" s="12" t="n">
        <v>11784</v>
      </c>
      <c r="H141" s="12" t="n">
        <v>4391</v>
      </c>
      <c r="I141" s="12" t="n">
        <v>8980</v>
      </c>
      <c r="J141" s="12" t="n">
        <v>12877</v>
      </c>
      <c r="K141" s="12" t="n">
        <v>9426</v>
      </c>
      <c r="L141" s="12" t="n">
        <v>9029</v>
      </c>
      <c r="M141" s="12" t="n">
        <v>32830</v>
      </c>
      <c r="N141" s="12" t="n">
        <v>18071</v>
      </c>
      <c r="T141" s="12" t="n">
        <v>14713</v>
      </c>
      <c r="U141" s="12" t="n">
        <v>-12493</v>
      </c>
      <c r="V141" s="12" t="n">
        <v>4121</v>
      </c>
      <c r="W141" s="12" t="n">
        <v>8980</v>
      </c>
      <c r="X141" s="12" t="n">
        <v>32830</v>
      </c>
    </row>
    <row r="142">
      <c r="A142" s="18" t="inlineStr">
        <is>
          <t>기타유가증권 평가차액</t>
        </is>
      </c>
      <c r="C142" s="20" t="n">
        <v>5080</v>
      </c>
      <c r="D142" s="20" t="n">
        <v>-1629</v>
      </c>
      <c r="E142" s="20" t="n">
        <v>18577</v>
      </c>
      <c r="F142" s="20" t="n">
        <v>-5508</v>
      </c>
      <c r="G142" s="20" t="n">
        <v>-8176</v>
      </c>
      <c r="H142" s="20" t="n">
        <v>3570</v>
      </c>
      <c r="I142" s="20" t="n">
        <v>-19182</v>
      </c>
      <c r="J142" s="20" t="n">
        <v>8060</v>
      </c>
      <c r="K142" s="20" t="n">
        <v>2323</v>
      </c>
      <c r="L142" s="20" t="n">
        <v>2853</v>
      </c>
      <c r="M142" s="20" t="n">
        <v>-26197</v>
      </c>
      <c r="N142" s="20" t="n">
        <v>3707</v>
      </c>
      <c r="T142" s="20" t="n">
        <v>-4113</v>
      </c>
      <c r="U142" s="20" t="n">
        <v>39320</v>
      </c>
      <c r="V142" s="20" t="n">
        <v>18577</v>
      </c>
      <c r="W142" s="20" t="n">
        <v>-19182</v>
      </c>
      <c r="X142" s="20" t="n">
        <v>-26197</v>
      </c>
    </row>
    <row r="143">
      <c r="A143" s="18" t="inlineStr">
        <is>
          <t>이연헤지손익</t>
        </is>
      </c>
      <c r="C143" s="20" t="n">
        <v>0</v>
      </c>
      <c r="D143" s="20" t="n">
        <v>0</v>
      </c>
      <c r="E143" s="20" t="n">
        <v>0</v>
      </c>
      <c r="F143" s="20" t="n">
        <v>-244</v>
      </c>
      <c r="G143" s="20" t="n">
        <v>370</v>
      </c>
      <c r="H143" s="20" t="n">
        <v>-199</v>
      </c>
      <c r="I143" s="20" t="n">
        <v>73</v>
      </c>
      <c r="J143" s="20" t="n">
        <v>104</v>
      </c>
      <c r="K143" s="20" t="n">
        <v>-79</v>
      </c>
      <c r="L143" s="20" t="n">
        <v>-95</v>
      </c>
      <c r="M143" s="20" t="n">
        <v>-98</v>
      </c>
      <c r="N143" s="20" t="n">
        <v>-5317</v>
      </c>
      <c r="V143" s="20" t="n">
        <v>0</v>
      </c>
      <c r="W143" s="20" t="n">
        <v>73</v>
      </c>
      <c r="X143" s="20" t="n">
        <v>-98</v>
      </c>
    </row>
    <row r="144">
      <c r="A144" s="18" t="inlineStr">
        <is>
          <t>해외사업환산조정</t>
        </is>
      </c>
      <c r="C144" s="20" t="n">
        <v>4359</v>
      </c>
      <c r="D144" s="20" t="n">
        <v>-7168</v>
      </c>
      <c r="E144" s="20" t="n">
        <v>10926</v>
      </c>
      <c r="F144" s="20" t="n">
        <v>12321</v>
      </c>
      <c r="G144" s="20" t="n">
        <v>-21244</v>
      </c>
      <c r="H144" s="20" t="n">
        <v>14829</v>
      </c>
      <c r="I144" s="20" t="n">
        <v>-8826</v>
      </c>
      <c r="J144" s="20" t="n">
        <v>9</v>
      </c>
      <c r="K144" s="20" t="n">
        <v>4890</v>
      </c>
      <c r="L144" s="20" t="n">
        <v>9805</v>
      </c>
      <c r="M144" s="20" t="n">
        <v>1341</v>
      </c>
      <c r="N144" s="20" t="n">
        <v>2728</v>
      </c>
      <c r="T144" s="20" t="n">
        <v>6284</v>
      </c>
      <c r="U144" s="20" t="n">
        <v>6641</v>
      </c>
      <c r="V144" s="20" t="n">
        <v>10926</v>
      </c>
      <c r="W144" s="20" t="n">
        <v>-8826</v>
      </c>
      <c r="X144" s="20" t="n">
        <v>1341</v>
      </c>
    </row>
    <row r="145">
      <c r="A145" s="18" t="inlineStr">
        <is>
          <t>기타포괄손익 합계</t>
        </is>
      </c>
      <c r="C145" s="20" t="n">
        <v>9439</v>
      </c>
      <c r="D145" s="20" t="n">
        <v>-8796</v>
      </c>
      <c r="E145" s="20" t="n">
        <v>29503</v>
      </c>
      <c r="F145" s="20" t="n">
        <v>6568</v>
      </c>
      <c r="G145" s="20" t="n">
        <v>-29049</v>
      </c>
      <c r="H145" s="20" t="n">
        <v>18200</v>
      </c>
      <c r="I145" s="20" t="n">
        <v>-27938</v>
      </c>
      <c r="J145" s="20" t="n">
        <v>8174</v>
      </c>
      <c r="K145" s="20" t="n">
        <v>7134</v>
      </c>
      <c r="L145" s="20" t="n">
        <v>12562</v>
      </c>
      <c r="M145" s="20" t="n">
        <v>-24955</v>
      </c>
      <c r="N145" s="20" t="n">
        <v>1119</v>
      </c>
      <c r="T145" s="20" t="n">
        <v>2169</v>
      </c>
      <c r="U145" s="20" t="n">
        <v>45963</v>
      </c>
      <c r="V145" s="20" t="n">
        <v>29503</v>
      </c>
      <c r="W145" s="20" t="n">
        <v>-27938</v>
      </c>
      <c r="X145" s="20" t="n">
        <v>-24955</v>
      </c>
    </row>
    <row r="146">
      <c r="A146" s="9" t="inlineStr">
        <is>
          <t>포괄이익</t>
        </is>
      </c>
      <c r="C146" s="12" t="n">
        <v>20129</v>
      </c>
      <c r="D146" s="12" t="n">
        <v>806</v>
      </c>
      <c r="E146" s="12" t="n">
        <v>33625</v>
      </c>
      <c r="F146" s="12" t="n">
        <v>15463</v>
      </c>
      <c r="G146" s="12" t="n">
        <v>-17264</v>
      </c>
      <c r="H146" s="12" t="n">
        <v>22590</v>
      </c>
      <c r="I146" s="12" t="n">
        <v>-18958</v>
      </c>
      <c r="J146" s="12" t="n">
        <v>21052</v>
      </c>
      <c r="K146" s="12" t="n">
        <v>16560</v>
      </c>
      <c r="L146" s="12" t="n">
        <v>21590</v>
      </c>
      <c r="M146" s="12" t="n">
        <v>7875</v>
      </c>
      <c r="N146" s="12" t="n">
        <v>19190</v>
      </c>
      <c r="T146" s="12" t="n">
        <v>16883</v>
      </c>
      <c r="U146" s="12" t="n">
        <v>33470</v>
      </c>
      <c r="V146" s="12" t="n">
        <v>33625</v>
      </c>
      <c r="W146" s="12" t="n">
        <v>-18958</v>
      </c>
      <c r="X146" s="12" t="n">
        <v>7875</v>
      </c>
    </row>
    <row r="147">
      <c r="A147" s="9" t="inlineStr">
        <is>
          <t>지배주주 포괄이익</t>
        </is>
      </c>
      <c r="C147" s="12" t="n">
        <v>20039</v>
      </c>
      <c r="D147" s="12" t="n">
        <v>748</v>
      </c>
      <c r="E147" s="12" t="n">
        <v>33433</v>
      </c>
      <c r="F147" s="12" t="n">
        <v>15381</v>
      </c>
      <c r="G147" s="12" t="n">
        <v>-17265</v>
      </c>
      <c r="H147" s="12" t="n">
        <v>22482</v>
      </c>
      <c r="I147" s="12" t="n">
        <v>-19009</v>
      </c>
      <c r="J147" s="12" t="n">
        <v>20859</v>
      </c>
      <c r="K147" s="12" t="n">
        <v>16487</v>
      </c>
      <c r="L147" s="12" t="n">
        <v>21501</v>
      </c>
      <c r="M147" s="12" t="n">
        <v>7680</v>
      </c>
      <c r="N147" s="12" t="n">
        <v>19033</v>
      </c>
      <c r="T147" s="12" t="n">
        <v>16924</v>
      </c>
      <c r="U147" s="12" t="n">
        <v>33120</v>
      </c>
      <c r="V147" s="12" t="n">
        <v>33433</v>
      </c>
      <c r="W147" s="12" t="n">
        <v>-19009</v>
      </c>
      <c r="X147" s="12" t="n">
        <v>7680</v>
      </c>
    </row>
    <row r="148">
      <c r="A148" s="9" t="inlineStr">
        <is>
          <t>비지배주주 포괄이익</t>
        </is>
      </c>
      <c r="C148" s="12" t="n">
        <v>90</v>
      </c>
      <c r="D148" s="12" t="n">
        <v>58</v>
      </c>
      <c r="E148" s="12" t="n">
        <v>193</v>
      </c>
      <c r="F148" s="12" t="n">
        <v>82</v>
      </c>
      <c r="G148" s="12" t="n">
        <v>0</v>
      </c>
      <c r="H148" s="12" t="n">
        <v>108</v>
      </c>
      <c r="I148" s="12" t="n">
        <v>52</v>
      </c>
      <c r="J148" s="12" t="n">
        <v>192</v>
      </c>
      <c r="K148" s="12" t="n">
        <v>74</v>
      </c>
      <c r="L148" s="12" t="n">
        <v>89</v>
      </c>
      <c r="M148" s="12" t="n">
        <v>195</v>
      </c>
      <c r="N148" s="12" t="n">
        <v>157</v>
      </c>
      <c r="T148" s="12" t="n">
        <v>-42</v>
      </c>
      <c r="U148" s="12" t="n">
        <v>350</v>
      </c>
      <c r="V148" s="12" t="n">
        <v>193</v>
      </c>
      <c r="W148" s="12" t="n">
        <v>52</v>
      </c>
      <c r="X148" s="12" t="n">
        <v>195</v>
      </c>
    </row>
    <row r="150">
      <c r="A150" s="16" t="inlineStr">
        <is>
          <t>부문 · 전 항목</t>
        </is>
      </c>
      <c r="B150" s="42" t="inlineStr">
        <is>
          <t>부문 · 항목</t>
        </is>
      </c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</row>
    <row r="151">
      <c r="A151" s="5" t="inlineStr">
        <is>
          <t>항목</t>
        </is>
      </c>
      <c r="B151" s="5" t="inlineStr">
        <is>
          <t>참고</t>
        </is>
      </c>
      <c r="C151" s="5" t="inlineStr">
        <is>
          <t>2024.2Q</t>
        </is>
      </c>
      <c r="D151" s="5" t="inlineStr">
        <is>
          <t>2024.3Q</t>
        </is>
      </c>
      <c r="E151" s="5" t="inlineStr">
        <is>
          <t>2024.4Q</t>
        </is>
      </c>
      <c r="F151" s="5" t="inlineStr">
        <is>
          <t>2025.1Q</t>
        </is>
      </c>
      <c r="G151" s="5" t="inlineStr">
        <is>
          <t>2025.2Q</t>
        </is>
      </c>
      <c r="H151" s="5" t="inlineStr">
        <is>
          <t>2025.3Q</t>
        </is>
      </c>
      <c r="I151" s="5" t="inlineStr">
        <is>
          <t>2025.4Q</t>
        </is>
      </c>
      <c r="J151" s="5" t="inlineStr">
        <is>
          <t>2026.1Q</t>
        </is>
      </c>
      <c r="K151" s="5" t="inlineStr">
        <is>
          <t>2026.2Q</t>
        </is>
      </c>
      <c r="L151" s="5" t="inlineStr">
        <is>
          <t>2026.3Q</t>
        </is>
      </c>
      <c r="M151" s="5" t="inlineStr">
        <is>
          <t>2026.4Q</t>
        </is>
      </c>
      <c r="N151" s="5" t="inlineStr">
        <is>
          <t>2027.1Q</t>
        </is>
      </c>
      <c r="O151" s="5" t="inlineStr">
        <is>
          <t>2017</t>
        </is>
      </c>
      <c r="P151" s="5" t="inlineStr">
        <is>
          <t>2018</t>
        </is>
      </c>
      <c r="Q151" s="5" t="inlineStr">
        <is>
          <t>2019</t>
        </is>
      </c>
      <c r="R151" s="5" t="inlineStr">
        <is>
          <t>2020</t>
        </is>
      </c>
      <c r="S151" s="5" t="inlineStr">
        <is>
          <t>2021</t>
        </is>
      </c>
      <c r="T151" s="5" t="inlineStr">
        <is>
          <t>2022</t>
        </is>
      </c>
      <c r="U151" s="5" t="inlineStr">
        <is>
          <t>2023</t>
        </is>
      </c>
      <c r="V151" s="5" t="inlineStr">
        <is>
          <t>2024</t>
        </is>
      </c>
      <c r="W151" s="5" t="inlineStr">
        <is>
          <t>2025</t>
        </is>
      </c>
      <c r="X151" s="5" t="inlineStr">
        <is>
          <t>2026</t>
        </is>
      </c>
      <c r="Y151" s="5" t="inlineStr">
        <is>
          <t>2027(MW)</t>
        </is>
      </c>
      <c r="Z151" s="5" t="inlineStr">
        <is>
          <t>2028(MW)</t>
        </is>
      </c>
      <c r="AA151" s="5" t="inlineStr">
        <is>
          <t>2029(MW)</t>
        </is>
      </c>
      <c r="AB151" s="5" t="inlineStr">
        <is>
          <t>2030(MW)</t>
        </is>
      </c>
      <c r="AC151" s="5" t="inlineStr">
        <is>
          <t>2031(MW)</t>
        </is>
      </c>
    </row>
    <row r="152">
      <c r="A152" s="18" t="inlineStr">
        <is>
          <t>ElectronicsReportableSegmentMember · 외부 고객 매출</t>
        </is>
      </c>
      <c r="C152" s="20" t="n">
        <v>52079</v>
      </c>
      <c r="F152" s="20" t="n">
        <v>44949</v>
      </c>
      <c r="G152" s="20" t="n">
        <v>53305</v>
      </c>
      <c r="J152" s="20" t="n">
        <v>56285</v>
      </c>
      <c r="K152" s="20" t="n">
        <v>57262</v>
      </c>
      <c r="N152" s="20" t="n">
        <v>77522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N153" s="15">
        <f>IF(OR(N152="",J152=""),"",IF(J152&lt;=0,"",IFERROR(N152/J152-1,"")))</f>
        <v/>
      </c>
    </row>
    <row r="154">
      <c r="A154" s="18" t="inlineStr">
        <is>
          <t>CeramicsReportableSegmentMember · 외부 고객 매출</t>
        </is>
      </c>
      <c r="C154" s="20" t="n">
        <v>23710</v>
      </c>
      <c r="F154" s="20" t="n">
        <v>23571</v>
      </c>
      <c r="G154" s="20" t="n">
        <v>19564</v>
      </c>
      <c r="J154" s="20" t="n">
        <v>19600</v>
      </c>
      <c r="K154" s="20" t="n">
        <v>20089</v>
      </c>
      <c r="N154" s="20" t="n">
        <v>24365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N155" s="15">
        <f>IF(OR(N154="",J154=""),"",IF(J154&lt;=0,"",IFERROR(N154/J154-1,"")))</f>
        <v/>
      </c>
    </row>
    <row r="156">
      <c r="A156" s="18" t="inlineStr">
        <is>
          <t>보고부문 합계 · 외부 고객 매출</t>
        </is>
      </c>
      <c r="C156" s="20" t="n">
        <v>75788</v>
      </c>
      <c r="D156" s="20" t="n">
        <v>70376</v>
      </c>
      <c r="E156" s="20" t="n">
        <v>66117</v>
      </c>
      <c r="F156" s="20" t="n">
        <v>68520</v>
      </c>
      <c r="G156" s="20" t="n">
        <v>72869</v>
      </c>
      <c r="H156" s="20" t="n">
        <v>66084</v>
      </c>
      <c r="I156" s="20" t="n">
        <v>73819</v>
      </c>
      <c r="J156" s="20" t="n">
        <v>75885</v>
      </c>
      <c r="K156" s="20" t="n">
        <v>77352</v>
      </c>
      <c r="L156" s="20" t="n">
        <v>79263</v>
      </c>
      <c r="M156" s="20" t="n">
        <v>93370</v>
      </c>
      <c r="N156" s="20" t="n">
        <v>101888</v>
      </c>
      <c r="V156" s="20" t="n">
        <v>66117</v>
      </c>
      <c r="W156" s="20" t="n">
        <v>73819</v>
      </c>
      <c r="X156" s="20" t="n">
        <v>93370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기타 · 외부 고객 매출</t>
        </is>
      </c>
      <c r="C158" s="20" t="n">
        <v>17250</v>
      </c>
      <c r="D158" s="20" t="n">
        <v>22152</v>
      </c>
      <c r="E158" s="20" t="n">
        <v>24227</v>
      </c>
      <c r="F158" s="20" t="n">
        <v>19700</v>
      </c>
      <c r="G158" s="20" t="n">
        <v>20495</v>
      </c>
      <c r="H158" s="20" t="n">
        <v>22668</v>
      </c>
      <c r="I158" s="20" t="n">
        <v>25281</v>
      </c>
      <c r="J158" s="20" t="n">
        <v>21578</v>
      </c>
      <c r="K158" s="20" t="n">
        <v>20670</v>
      </c>
      <c r="L158" s="20" t="n">
        <v>23873</v>
      </c>
      <c r="M158" s="20" t="n">
        <v>24209</v>
      </c>
      <c r="N158" s="20" t="n">
        <v>21330</v>
      </c>
      <c r="V158" s="20" t="n">
        <v>24227</v>
      </c>
      <c r="W158" s="20" t="n">
        <v>25281</v>
      </c>
      <c r="X158" s="20" t="n">
        <v>24209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합계 · 외부 고객 매출</t>
        </is>
      </c>
      <c r="C160" s="20" t="n">
        <v>93039</v>
      </c>
      <c r="D160" s="20" t="n">
        <v>92527</v>
      </c>
      <c r="E160" s="20" t="n">
        <v>90344</v>
      </c>
      <c r="F160" s="20" t="n">
        <v>88220</v>
      </c>
      <c r="G160" s="20" t="n">
        <v>93365</v>
      </c>
      <c r="H160" s="20" t="n">
        <v>88752</v>
      </c>
      <c r="I160" s="20" t="n">
        <v>99099</v>
      </c>
      <c r="J160" s="20" t="n">
        <v>97464</v>
      </c>
      <c r="K160" s="20" t="n">
        <v>98021</v>
      </c>
      <c r="L160" s="20" t="n">
        <v>103136</v>
      </c>
      <c r="M160" s="20" t="n">
        <v>117580</v>
      </c>
      <c r="N160" s="20" t="n">
        <v>123219</v>
      </c>
      <c r="V160" s="20" t="n">
        <v>90344</v>
      </c>
      <c r="W160" s="20" t="n">
        <v>99099</v>
      </c>
      <c r="X160" s="20" t="n">
        <v>117580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조정액 · 외부 고객 매출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L162" s="20" t="n">
        <v>0</v>
      </c>
      <c r="M162" s="20" t="n">
        <v>0</v>
      </c>
      <c r="N162" s="20" t="n">
        <v>0</v>
      </c>
      <c r="V162" s="20" t="n">
        <v>0</v>
      </c>
      <c r="W162" s="20" t="n">
        <v>0</v>
      </c>
      <c r="X162" s="20" t="n">
        <v>0</v>
      </c>
    </row>
    <row r="163">
      <c r="A163" s="9" t="inlineStr">
        <is>
          <t>외부 고객 매출</t>
        </is>
      </c>
      <c r="C163" s="12" t="n">
        <v>93039</v>
      </c>
      <c r="D163" s="12" t="n">
        <v>92527</v>
      </c>
      <c r="E163" s="12" t="n">
        <v>90344</v>
      </c>
      <c r="F163" s="12" t="n">
        <v>88220</v>
      </c>
      <c r="G163" s="12" t="n">
        <v>93365</v>
      </c>
      <c r="H163" s="12" t="n">
        <v>88752</v>
      </c>
      <c r="I163" s="12" t="n">
        <v>99099</v>
      </c>
      <c r="V163" s="12" t="n">
        <v>90344</v>
      </c>
      <c r="W163" s="12" t="n">
        <v>99099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</row>
    <row r="165">
      <c r="A165" s="18" t="inlineStr">
        <is>
          <t>ElectronicsReportableSegmentsMember · 부문 간 내부매출·대체</t>
        </is>
      </c>
      <c r="E165" s="20" t="n">
        <v>4</v>
      </c>
      <c r="I165" s="20" t="n">
        <v>4</v>
      </c>
      <c r="M165" s="20" t="n">
        <v>27</v>
      </c>
      <c r="V165" s="20" t="n">
        <v>4</v>
      </c>
      <c r="W165" s="20" t="n">
        <v>4</v>
      </c>
      <c r="X165" s="20" t="n">
        <v>27</v>
      </c>
    </row>
    <row r="166">
      <c r="A166" s="18" t="inlineStr">
        <is>
          <t>CeramicsReportableSegmentsMember · 부문 간 내부매출·대체</t>
        </is>
      </c>
      <c r="E166" s="20" t="n">
        <v>5</v>
      </c>
      <c r="I166" s="20" t="n">
        <v>28</v>
      </c>
      <c r="M166" s="20" t="n">
        <v>208</v>
      </c>
      <c r="V166" s="20" t="n">
        <v>5</v>
      </c>
      <c r="W166" s="20" t="n">
        <v>28</v>
      </c>
      <c r="X166" s="20" t="n">
        <v>208</v>
      </c>
    </row>
    <row r="167">
      <c r="A167" s="18" t="inlineStr">
        <is>
          <t>EntityTotalMember · 외부 고객 매출</t>
        </is>
      </c>
      <c r="F167" s="20" t="n">
        <v>88220</v>
      </c>
      <c r="J167" s="20" t="n">
        <v>97464</v>
      </c>
      <c r="N167" s="20" t="n">
        <v>123219</v>
      </c>
    </row>
    <row r="168">
      <c r="A168" s="18" t="inlineStr">
        <is>
          <t>ElectronicsReportableSegmentMember · 부문 간 내부매출·대체</t>
        </is>
      </c>
      <c r="C168" s="20" t="n">
        <v>1</v>
      </c>
      <c r="F168" s="20" t="n">
        <v>2</v>
      </c>
      <c r="G168" s="20" t="n">
        <v>1</v>
      </c>
      <c r="J168" s="20" t="n">
        <v>0</v>
      </c>
      <c r="K168" s="20" t="n">
        <v>5</v>
      </c>
      <c r="N168" s="20" t="n">
        <v>9</v>
      </c>
    </row>
    <row r="169">
      <c r="A169" s="18" t="inlineStr">
        <is>
          <t>CeramicsReportableSegmentMember · 부문 간 내부매출·대체</t>
        </is>
      </c>
      <c r="C169" s="20" t="n">
        <v>7</v>
      </c>
      <c r="F169" s="20" t="n">
        <v>5</v>
      </c>
      <c r="G169" s="20" t="n">
        <v>8</v>
      </c>
      <c r="J169" s="20" t="n">
        <v>7</v>
      </c>
      <c r="K169" s="20" t="n">
        <v>11</v>
      </c>
      <c r="N169" s="20" t="n">
        <v>0</v>
      </c>
    </row>
    <row r="170">
      <c r="A170" s="18" t="inlineStr">
        <is>
          <t>보고부문 합계 · 부문 간 내부매출·대체</t>
        </is>
      </c>
      <c r="C170" s="20" t="n">
        <v>8</v>
      </c>
      <c r="D170" s="20" t="n">
        <v>11</v>
      </c>
      <c r="E170" s="20" t="n">
        <v>10</v>
      </c>
      <c r="F170" s="20" t="n">
        <v>8</v>
      </c>
      <c r="G170" s="20" t="n">
        <v>8</v>
      </c>
      <c r="H170" s="20" t="n">
        <v>118</v>
      </c>
      <c r="I170" s="20" t="n">
        <v>32</v>
      </c>
      <c r="J170" s="20" t="n">
        <v>7</v>
      </c>
      <c r="K170" s="20" t="n">
        <v>17</v>
      </c>
      <c r="L170" s="20" t="n">
        <v>398</v>
      </c>
      <c r="M170" s="20" t="n">
        <v>235</v>
      </c>
      <c r="N170" s="20" t="n">
        <v>9</v>
      </c>
      <c r="V170" s="20" t="n">
        <v>10</v>
      </c>
      <c r="W170" s="20" t="n">
        <v>32</v>
      </c>
      <c r="X170" s="20" t="n">
        <v>235</v>
      </c>
    </row>
    <row r="171">
      <c r="A171" s="18" t="inlineStr">
        <is>
          <t>기타 · 부문 간 내부매출·대체</t>
        </is>
      </c>
      <c r="C171" s="20" t="n">
        <v>4124</v>
      </c>
      <c r="D171" s="20" t="n">
        <v>3618</v>
      </c>
      <c r="E171" s="20" t="n">
        <v>4681</v>
      </c>
      <c r="F171" s="20" t="n">
        <v>5338</v>
      </c>
      <c r="G171" s="20" t="n">
        <v>4978</v>
      </c>
      <c r="H171" s="20" t="n">
        <v>5363</v>
      </c>
      <c r="I171" s="20" t="n">
        <v>6412</v>
      </c>
      <c r="J171" s="20" t="n">
        <v>3213</v>
      </c>
      <c r="K171" s="20" t="n">
        <v>3001</v>
      </c>
      <c r="L171" s="20" t="n">
        <v>3377</v>
      </c>
      <c r="M171" s="20" t="n">
        <v>5309</v>
      </c>
      <c r="N171" s="20" t="n">
        <v>5747</v>
      </c>
      <c r="V171" s="20" t="n">
        <v>4681</v>
      </c>
      <c r="W171" s="20" t="n">
        <v>6412</v>
      </c>
      <c r="X171" s="20" t="n">
        <v>5309</v>
      </c>
    </row>
    <row r="172">
      <c r="A172" s="18" t="inlineStr">
        <is>
          <t>합계 · 부문 간 내부매출·대체</t>
        </is>
      </c>
      <c r="C172" s="20" t="n">
        <v>4132</v>
      </c>
      <c r="D172" s="20" t="n">
        <v>3629</v>
      </c>
      <c r="E172" s="20" t="n">
        <v>4690</v>
      </c>
      <c r="F172" s="20" t="n">
        <v>5346</v>
      </c>
      <c r="G172" s="20" t="n">
        <v>4987</v>
      </c>
      <c r="H172" s="20" t="n">
        <v>5480</v>
      </c>
      <c r="I172" s="20" t="n">
        <v>6444</v>
      </c>
      <c r="J172" s="20" t="n">
        <v>3221</v>
      </c>
      <c r="K172" s="20" t="n">
        <v>3017</v>
      </c>
      <c r="L172" s="20" t="n">
        <v>3775</v>
      </c>
      <c r="M172" s="20" t="n">
        <v>5545</v>
      </c>
      <c r="N172" s="20" t="n">
        <v>5757</v>
      </c>
      <c r="V172" s="20" t="n">
        <v>4690</v>
      </c>
      <c r="W172" s="20" t="n">
        <v>6444</v>
      </c>
      <c r="X172" s="20" t="n">
        <v>5545</v>
      </c>
    </row>
    <row r="173">
      <c r="A173" s="18" t="inlineStr">
        <is>
          <t>조정액 · 부문 간 내부매출·대체</t>
        </is>
      </c>
      <c r="C173" s="20" t="n">
        <v>-4132</v>
      </c>
      <c r="D173" s="20" t="n">
        <v>-3629</v>
      </c>
      <c r="E173" s="20" t="n">
        <v>-4690</v>
      </c>
      <c r="F173" s="20" t="n">
        <v>-5346</v>
      </c>
      <c r="G173" s="20" t="n">
        <v>-4987</v>
      </c>
      <c r="H173" s="20" t="n">
        <v>-5480</v>
      </c>
      <c r="I173" s="20" t="n">
        <v>-6444</v>
      </c>
      <c r="J173" s="20" t="n">
        <v>-3221</v>
      </c>
      <c r="K173" s="20" t="n">
        <v>-3017</v>
      </c>
      <c r="L173" s="20" t="n">
        <v>-3775</v>
      </c>
      <c r="M173" s="20" t="n">
        <v>-5545</v>
      </c>
      <c r="N173" s="20" t="n">
        <v>-5757</v>
      </c>
      <c r="V173" s="20" t="n">
        <v>-4690</v>
      </c>
      <c r="W173" s="20" t="n">
        <v>-6444</v>
      </c>
      <c r="X173" s="20" t="n">
        <v>-5545</v>
      </c>
    </row>
    <row r="174">
      <c r="A174" s="18" t="inlineStr">
        <is>
          <t>부문 간 내부매출·대체</t>
        </is>
      </c>
      <c r="C174" s="20" t="n">
        <v>0</v>
      </c>
      <c r="D174" s="20" t="n">
        <v>0</v>
      </c>
      <c r="E174" s="20" t="n">
        <v>0</v>
      </c>
      <c r="F174" s="20" t="n">
        <v>0</v>
      </c>
      <c r="G174" s="20" t="n">
        <v>0</v>
      </c>
      <c r="H174" s="20" t="n">
        <v>0</v>
      </c>
      <c r="I174" s="20" t="n">
        <v>0</v>
      </c>
      <c r="V174" s="20" t="n">
        <v>0</v>
      </c>
      <c r="W174" s="20" t="n">
        <v>0</v>
      </c>
    </row>
    <row r="175">
      <c r="A175" s="18" t="inlineStr">
        <is>
          <t>ElectronicsReportableSegmentsMember · 계</t>
        </is>
      </c>
      <c r="E175" s="20" t="n">
        <v>42518</v>
      </c>
      <c r="I175" s="20" t="n">
        <v>51810</v>
      </c>
      <c r="M175" s="20" t="n">
        <v>71430</v>
      </c>
      <c r="V175" s="20" t="n">
        <v>42518</v>
      </c>
      <c r="W175" s="20" t="n">
        <v>51810</v>
      </c>
      <c r="X175" s="20" t="n">
        <v>71430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I176" s="15">
        <f>IF(OR(I175="",E175=""),"",IF(E175&lt;=0,"",IFERROR(I175/E175-1,"")))</f>
        <v/>
      </c>
      <c r="M176" s="15">
        <f>IF(OR(M175="",I175=""),"",IF(I175&lt;=0,"",IFERROR(M175/I175-1,"")))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CeramicsReportableSegmentsMember · 계</t>
        </is>
      </c>
      <c r="E177" s="20" t="n">
        <v>23608</v>
      </c>
      <c r="I177" s="20" t="n">
        <v>22040</v>
      </c>
      <c r="M177" s="20" t="n">
        <v>22175</v>
      </c>
      <c r="V177" s="20" t="n">
        <v>23608</v>
      </c>
      <c r="W177" s="20" t="n">
        <v>22040</v>
      </c>
      <c r="X177" s="20" t="n">
        <v>22175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I178" s="15">
        <f>IF(OR(I177="",E177=""),"",IF(E177&lt;=0,"",IFERROR(I177/E177-1,"")))</f>
        <v/>
      </c>
      <c r="M178" s="15">
        <f>IF(OR(M177="",I177=""),"",IF(I177&lt;=0,"",IFERROR(M177/I177-1,"")))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EntityTotalMember · 부문 간 내부매출·대체</t>
        </is>
      </c>
      <c r="F179" s="20" t="n">
        <v>0</v>
      </c>
      <c r="J179" s="20" t="n">
        <v>0</v>
      </c>
      <c r="N179" s="20" t="n">
        <v>0</v>
      </c>
    </row>
    <row r="180">
      <c r="A180" s="18" t="inlineStr">
        <is>
          <t>ElectronicsReportableSegmentMember · 계</t>
        </is>
      </c>
      <c r="C180" s="20" t="n">
        <v>52081</v>
      </c>
      <c r="F180" s="20" t="n">
        <v>44952</v>
      </c>
      <c r="G180" s="20" t="n">
        <v>53305</v>
      </c>
      <c r="J180" s="20" t="n">
        <v>56285</v>
      </c>
      <c r="K180" s="20" t="n">
        <v>57268</v>
      </c>
      <c r="N180" s="20" t="n">
        <v>77532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N181" s="15">
        <f>IF(OR(N180="",J180=""),"",IF(J180&lt;=0,"",IFERROR(N180/J180-1,"")))</f>
        <v/>
      </c>
    </row>
    <row r="182">
      <c r="A182" s="18" t="inlineStr">
        <is>
          <t>CeramicsReportableSegmentMember · 계</t>
        </is>
      </c>
      <c r="C182" s="20" t="n">
        <v>23716</v>
      </c>
      <c r="F182" s="20" t="n">
        <v>23576</v>
      </c>
      <c r="G182" s="20" t="n">
        <v>19573</v>
      </c>
      <c r="J182" s="20" t="n">
        <v>19608</v>
      </c>
      <c r="K182" s="20" t="n">
        <v>20099</v>
      </c>
      <c r="N182" s="20" t="n">
        <v>24365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N183" s="15">
        <f>IF(OR(N182="",J182=""),"",IF(J182&lt;=0,"",IFERROR(N182/J182-1,"")))</f>
        <v/>
      </c>
    </row>
    <row r="184">
      <c r="A184" s="18" t="inlineStr">
        <is>
          <t>보고부문 합계 · 계</t>
        </is>
      </c>
      <c r="C184" s="20" t="n">
        <v>75797</v>
      </c>
      <c r="D184" s="20" t="n">
        <v>70386</v>
      </c>
      <c r="E184" s="20" t="n">
        <v>66127</v>
      </c>
      <c r="F184" s="20" t="n">
        <v>68528</v>
      </c>
      <c r="G184" s="20" t="n">
        <v>72878</v>
      </c>
      <c r="H184" s="20" t="n">
        <v>66202</v>
      </c>
      <c r="I184" s="20" t="n">
        <v>73850</v>
      </c>
      <c r="J184" s="20" t="n">
        <v>75893</v>
      </c>
      <c r="K184" s="20" t="n">
        <v>77368</v>
      </c>
      <c r="L184" s="20" t="n">
        <v>79662</v>
      </c>
      <c r="M184" s="20" t="n">
        <v>93605</v>
      </c>
      <c r="N184" s="20" t="n">
        <v>101898</v>
      </c>
      <c r="V184" s="20" t="n">
        <v>66127</v>
      </c>
      <c r="W184" s="20" t="n">
        <v>73850</v>
      </c>
      <c r="X184" s="20" t="n">
        <v>93605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기타 · 계</t>
        </is>
      </c>
      <c r="C186" s="20" t="n">
        <v>21373</v>
      </c>
      <c r="D186" s="20" t="n">
        <v>25771</v>
      </c>
      <c r="E186" s="20" t="n">
        <v>28908</v>
      </c>
      <c r="F186" s="20" t="n">
        <v>25038</v>
      </c>
      <c r="G186" s="20" t="n">
        <v>25474</v>
      </c>
      <c r="H186" s="20" t="n">
        <v>28031</v>
      </c>
      <c r="I186" s="20" t="n">
        <v>31693</v>
      </c>
      <c r="J186" s="20" t="n">
        <v>24792</v>
      </c>
      <c r="K186" s="20" t="n">
        <v>23671</v>
      </c>
      <c r="L186" s="20" t="n">
        <v>27249</v>
      </c>
      <c r="M186" s="20" t="n">
        <v>29518</v>
      </c>
      <c r="N186" s="20" t="n">
        <v>27078</v>
      </c>
      <c r="V186" s="20" t="n">
        <v>28908</v>
      </c>
      <c r="W186" s="20" t="n">
        <v>31693</v>
      </c>
      <c r="X186" s="20" t="n">
        <v>29518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합계 · 계</t>
        </is>
      </c>
      <c r="C188" s="20" t="n">
        <v>97170</v>
      </c>
      <c r="D188" s="20" t="n">
        <v>96157</v>
      </c>
      <c r="E188" s="20" t="n">
        <v>95034</v>
      </c>
      <c r="F188" s="20" t="n">
        <v>93567</v>
      </c>
      <c r="G188" s="20" t="n">
        <v>98352</v>
      </c>
      <c r="H188" s="20" t="n">
        <v>94232</v>
      </c>
      <c r="I188" s="20" t="n">
        <v>105543</v>
      </c>
      <c r="J188" s="20" t="n">
        <v>100685</v>
      </c>
      <c r="K188" s="20" t="n">
        <v>101039</v>
      </c>
      <c r="L188" s="20" t="n">
        <v>106911</v>
      </c>
      <c r="M188" s="20" t="n">
        <v>123124</v>
      </c>
      <c r="N188" s="20" t="n">
        <v>128976</v>
      </c>
      <c r="V188" s="20" t="n">
        <v>95034</v>
      </c>
      <c r="W188" s="20" t="n">
        <v>105543</v>
      </c>
      <c r="X188" s="20" t="n">
        <v>123124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0">
      <c r="A190" s="18" t="inlineStr">
        <is>
          <t>조정액 · 계</t>
        </is>
      </c>
      <c r="C190" s="20" t="n">
        <v>-4132</v>
      </c>
      <c r="D190" s="20" t="n">
        <v>-3629</v>
      </c>
      <c r="E190" s="20" t="n">
        <v>-4690</v>
      </c>
      <c r="F190" s="20" t="n">
        <v>-5346</v>
      </c>
      <c r="G190" s="20" t="n">
        <v>-4987</v>
      </c>
      <c r="H190" s="20" t="n">
        <v>-5480</v>
      </c>
      <c r="I190" s="20" t="n">
        <v>-6444</v>
      </c>
      <c r="J190" s="20" t="n">
        <v>-3221</v>
      </c>
      <c r="K190" s="20" t="n">
        <v>-3017</v>
      </c>
      <c r="L190" s="20" t="n">
        <v>-3775</v>
      </c>
      <c r="M190" s="20" t="n">
        <v>-5545</v>
      </c>
      <c r="N190" s="20" t="n">
        <v>-5757</v>
      </c>
      <c r="V190" s="20" t="n">
        <v>-4690</v>
      </c>
      <c r="W190" s="20" t="n">
        <v>-6444</v>
      </c>
      <c r="X190" s="20" t="n">
        <v>-5545</v>
      </c>
    </row>
    <row r="191">
      <c r="A191" s="9" t="inlineStr">
        <is>
          <t>계</t>
        </is>
      </c>
      <c r="C191" s="12" t="n">
        <v>93039</v>
      </c>
      <c r="D191" s="12" t="n">
        <v>92527</v>
      </c>
      <c r="E191" s="12" t="n">
        <v>90344</v>
      </c>
      <c r="F191" s="12" t="n">
        <v>88220</v>
      </c>
      <c r="G191" s="12" t="n">
        <v>93365</v>
      </c>
      <c r="H191" s="12" t="n">
        <v>88752</v>
      </c>
      <c r="I191" s="12" t="n">
        <v>99099</v>
      </c>
      <c r="V191" s="12" t="n">
        <v>90344</v>
      </c>
      <c r="W191" s="12" t="n">
        <v>99099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</row>
    <row r="193">
      <c r="A193" s="18" t="inlineStr">
        <is>
          <t>ElectronicsReportableSegmentsMember · 부문 이익</t>
        </is>
      </c>
      <c r="E193" s="20" t="n">
        <v>3611</v>
      </c>
      <c r="I193" s="20" t="n">
        <v>6937</v>
      </c>
      <c r="M193" s="20" t="n">
        <v>12211</v>
      </c>
      <c r="V193" s="20" t="n">
        <v>3611</v>
      </c>
      <c r="W193" s="20" t="n">
        <v>6937</v>
      </c>
      <c r="X193" s="20" t="n">
        <v>12211</v>
      </c>
    </row>
    <row r="194">
      <c r="A194" s="43" t="inlineStr">
        <is>
          <t>OPM</t>
        </is>
      </c>
      <c r="B194" s="3" t="inlineStr">
        <is>
          <t>영업이익 ÷ 매출</t>
        </is>
      </c>
      <c r="E194" s="15">
        <f>IF(OR(E193="",E175=""),"",IF(E175&lt;=0,"",IFERROR(E193/E175,"")))</f>
        <v/>
      </c>
      <c r="I194" s="15">
        <f>IF(OR(I193="",I175=""),"",IF(I175&lt;=0,"",IFERROR(I193/I175,"")))</f>
        <v/>
      </c>
      <c r="M194" s="15">
        <f>IF(OR(M193="",M175=""),"",IF(M175&lt;=0,"",IFERROR(M193/M175,"")))</f>
        <v/>
      </c>
      <c r="V194" s="15">
        <f>IF(OR(V193="",V175=""),"",IF(V175&lt;=0,"",IFERROR(V193/V175,"")))</f>
        <v/>
      </c>
      <c r="W194" s="15">
        <f>IF(OR(W193="",W175=""),"",IF(W175&lt;=0,"",IFERROR(W193/W175,"")))</f>
        <v/>
      </c>
      <c r="X194" s="15">
        <f>IF(OR(X193="",X175=""),"",IF(X175&lt;=0,"",IFERROR(X193/X175,"")))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I195" s="15">
        <f>IF(OR(I193="",E193=""),"",IF(E193&lt;=0,"",IFERROR(I193/E193-1,"")))</f>
        <v/>
      </c>
      <c r="M195" s="15">
        <f>IF(OR(M193="",I193=""),"",IF(I193&lt;=0,"",IFERROR(M193/I193-1,"")))</f>
        <v/>
      </c>
      <c r="V195" s="15">
        <f>IF(OR(V193="",U193=""),"",IF(U193&lt;=0,"",IFERROR(V193/U193-1,"")))</f>
        <v/>
      </c>
      <c r="W195" s="15">
        <f>IF(OR(W193="",V193=""),"",IF(V193&lt;=0,"",IFERROR(W193/V193-1,"")))</f>
        <v/>
      </c>
      <c r="X195" s="15">
        <f>IF(OR(X193="",W193=""),"",IF(W193&lt;=0,"",IFERROR(X193/W193-1,"")))</f>
        <v/>
      </c>
    </row>
    <row r="196">
      <c r="A196" s="18" t="inlineStr">
        <is>
          <t>CeramicsReportableSegmentsMember · 부문 이익</t>
        </is>
      </c>
      <c r="E196" s="20" t="n">
        <v>4183</v>
      </c>
      <c r="I196" s="20" t="n">
        <v>2881</v>
      </c>
      <c r="M196" s="20" t="n">
        <v>1743</v>
      </c>
      <c r="V196" s="20" t="n">
        <v>4183</v>
      </c>
      <c r="W196" s="20" t="n">
        <v>2881</v>
      </c>
      <c r="X196" s="20" t="n">
        <v>1743</v>
      </c>
    </row>
    <row r="197">
      <c r="A197" s="43" t="inlineStr">
        <is>
          <t>OPM</t>
        </is>
      </c>
      <c r="B197" s="3" t="inlineStr">
        <is>
          <t>영업이익 ÷ 매출</t>
        </is>
      </c>
      <c r="E197" s="15">
        <f>IF(OR(E196="",E177=""),"",IF(E177&lt;=0,"",IFERROR(E196/E177,"")))</f>
        <v/>
      </c>
      <c r="I197" s="15">
        <f>IF(OR(I196="",I177=""),"",IF(I177&lt;=0,"",IFERROR(I196/I177,"")))</f>
        <v/>
      </c>
      <c r="M197" s="15">
        <f>IF(OR(M196="",M177=""),"",IF(M177&lt;=0,"",IFERROR(M196/M177,"")))</f>
        <v/>
      </c>
      <c r="V197" s="15">
        <f>IF(OR(V196="",V177=""),"",IF(V177&lt;=0,"",IFERROR(V196/V177,"")))</f>
        <v/>
      </c>
      <c r="W197" s="15">
        <f>IF(OR(W196="",W177=""),"",IF(W177&lt;=0,"",IFERROR(W196/W177,"")))</f>
        <v/>
      </c>
      <c r="X197" s="15">
        <f>IF(OR(X196="",X177=""),"",IF(X177&lt;=0,"",IFERROR(X196/X177,"")))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I198" s="15">
        <f>IF(OR(I196="",E196=""),"",IF(E196&lt;=0,"",IFERROR(I196/E196-1,"")))</f>
        <v/>
      </c>
      <c r="M198" s="15">
        <f>IF(OR(M196="",I196=""),"",IF(I196&lt;=0,"",IFERROR(M196/I196-1,"")))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199">
      <c r="A199" s="18" t="inlineStr">
        <is>
          <t>EntityTotalMember · 계</t>
        </is>
      </c>
      <c r="F199" s="20" t="n">
        <v>88220</v>
      </c>
      <c r="J199" s="20" t="n">
        <v>97464</v>
      </c>
      <c r="N199" s="20" t="n">
        <v>123219</v>
      </c>
    </row>
    <row r="200">
      <c r="A200" s="18" t="inlineStr">
        <is>
          <t>ElectronicsReportableSegmentMember · 부문 이익</t>
        </is>
      </c>
      <c r="C200" s="20" t="n">
        <v>11540</v>
      </c>
      <c r="F200" s="20" t="n">
        <v>5314</v>
      </c>
      <c r="G200" s="20" t="n">
        <v>12676</v>
      </c>
      <c r="J200" s="20" t="n">
        <v>14028</v>
      </c>
      <c r="K200" s="20" t="n">
        <v>11401</v>
      </c>
      <c r="N200" s="20" t="n">
        <v>21375</v>
      </c>
    </row>
    <row r="201">
      <c r="A201" s="43" t="inlineStr">
        <is>
          <t>OPM</t>
        </is>
      </c>
      <c r="B201" s="3" t="inlineStr">
        <is>
          <t>영업이익 ÷ 매출</t>
        </is>
      </c>
      <c r="C201" s="15">
        <f>IF(OR(C200="",C180=""),"",IF(C180&lt;=0,"",IFERROR(C200/C180,"")))</f>
        <v/>
      </c>
      <c r="F201" s="15">
        <f>IF(OR(F200="",F180=""),"",IF(F180&lt;=0,"",IFERROR(F200/F180,"")))</f>
        <v/>
      </c>
      <c r="G201" s="15">
        <f>IF(OR(G200="",G180=""),"",IF(G180&lt;=0,"",IFERROR(G200/G180,"")))</f>
        <v/>
      </c>
      <c r="J201" s="15">
        <f>IF(OR(J200="",J180=""),"",IF(J180&lt;=0,"",IFERROR(J200/J180,"")))</f>
        <v/>
      </c>
      <c r="K201" s="15">
        <f>IF(OR(K200="",K180=""),"",IF(K180&lt;=0,"",IFERROR(K200/K180,"")))</f>
        <v/>
      </c>
      <c r="N201" s="15">
        <f>IF(OR(N200="",N180=""),"",IF(N180&lt;=0,"",IFERROR(N200/N180,"")))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IF(OR(G200="",C200=""),"",IF(C200&lt;=0,"",IFERROR(G200/C200-1,"")))</f>
        <v/>
      </c>
      <c r="J202" s="15">
        <f>IF(OR(J200="",F200=""),"",IF(F200&lt;=0,"",IFERROR(J200/F200-1,"")))</f>
        <v/>
      </c>
      <c r="K202" s="15">
        <f>IF(OR(K200="",G200=""),"",IF(G200&lt;=0,"",IFERROR(K200/G200-1,"")))</f>
        <v/>
      </c>
      <c r="N202" s="15">
        <f>IF(OR(N200="",J200=""),"",IF(J200&lt;=0,"",IFERROR(N200/J200-1,"")))</f>
        <v/>
      </c>
    </row>
    <row r="203">
      <c r="A203" s="18" t="inlineStr">
        <is>
          <t>CeramicsReportableSegmentMember · 부문 이익</t>
        </is>
      </c>
      <c r="C203" s="20" t="n">
        <v>2919</v>
      </c>
      <c r="F203" s="20" t="n">
        <v>4282</v>
      </c>
      <c r="G203" s="20" t="n">
        <v>2802</v>
      </c>
      <c r="J203" s="20" t="n">
        <v>2096</v>
      </c>
      <c r="K203" s="20" t="n">
        <v>1743</v>
      </c>
      <c r="N203" s="20" t="n">
        <v>3220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IF(OR(C203="",C182=""),"",IF(C182&lt;=0,"",IFERROR(C203/C182,"")))</f>
        <v/>
      </c>
      <c r="F204" s="15">
        <f>IF(OR(F203="",F182=""),"",IF(F182&lt;=0,"",IFERROR(F203/F182,"")))</f>
        <v/>
      </c>
      <c r="G204" s="15">
        <f>IF(OR(G203="",G182=""),"",IF(G182&lt;=0,"",IFERROR(G203/G182,"")))</f>
        <v/>
      </c>
      <c r="J204" s="15">
        <f>IF(OR(J203="",J182=""),"",IF(J182&lt;=0,"",IFERROR(J203/J182,"")))</f>
        <v/>
      </c>
      <c r="K204" s="15">
        <f>IF(OR(K203="",K182=""),"",IF(K182&lt;=0,"",IFERROR(K203/K182,"")))</f>
        <v/>
      </c>
      <c r="N204" s="15">
        <f>IF(OR(N203="",N182=""),"",IF(N182&lt;=0,"",IFERROR(N203/N182,"")))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J205" s="15">
        <f>IF(OR(J203="",F203=""),"",IF(F203&lt;=0,"",IFERROR(J203/F203-1,"")))</f>
        <v/>
      </c>
      <c r="K205" s="15">
        <f>IF(OR(K203="",G203=""),"",IF(G203&lt;=0,"",IFERROR(K203/G203-1,"")))</f>
        <v/>
      </c>
      <c r="N205" s="15">
        <f>IF(OR(N203="",J203=""),"",IF(J203&lt;=0,"",IFERROR(N203/J203-1,"")))</f>
        <v/>
      </c>
    </row>
    <row r="206">
      <c r="A206" s="18" t="inlineStr">
        <is>
          <t>보고부문 합계 · 부문 이익</t>
        </is>
      </c>
      <c r="C206" s="20" t="n">
        <v>14459</v>
      </c>
      <c r="D206" s="20" t="n">
        <v>11091</v>
      </c>
      <c r="E206" s="20" t="n">
        <v>7793</v>
      </c>
      <c r="F206" s="20" t="n">
        <v>9596</v>
      </c>
      <c r="G206" s="20" t="n">
        <v>15478</v>
      </c>
      <c r="H206" s="20" t="n">
        <v>4173</v>
      </c>
      <c r="I206" s="20" t="n">
        <v>9818</v>
      </c>
      <c r="J206" s="20" t="n">
        <v>16125</v>
      </c>
      <c r="K206" s="20" t="n">
        <v>13143</v>
      </c>
      <c r="L206" s="20" t="n">
        <v>9673</v>
      </c>
      <c r="M206" s="20" t="n">
        <v>13953</v>
      </c>
      <c r="N206" s="20" t="n">
        <v>24596</v>
      </c>
      <c r="V206" s="20" t="n">
        <v>7793</v>
      </c>
      <c r="W206" s="20" t="n">
        <v>9818</v>
      </c>
      <c r="X206" s="20" t="n">
        <v>13953</v>
      </c>
    </row>
    <row r="207">
      <c r="A207" s="43" t="inlineStr">
        <is>
          <t>OPM</t>
        </is>
      </c>
      <c r="B207" s="3" t="inlineStr">
        <is>
          <t>영업이익 ÷ 매출</t>
        </is>
      </c>
      <c r="C207" s="15">
        <f>IF(OR(C206="",C184=""),"",IF(C184&lt;=0,"",IFERROR(C206/C184,"")))</f>
        <v/>
      </c>
      <c r="D207" s="15">
        <f>IF(OR(D206="",D184=""),"",IF(D184&lt;=0,"",IFERROR(D206/D184,"")))</f>
        <v/>
      </c>
      <c r="E207" s="15">
        <f>IF(OR(E206="",E184=""),"",IF(E184&lt;=0,"",IFERROR(E206/E184,"")))</f>
        <v/>
      </c>
      <c r="F207" s="15">
        <f>IF(OR(F206="",F184=""),"",IF(F184&lt;=0,"",IFERROR(F206/F184,"")))</f>
        <v/>
      </c>
      <c r="G207" s="15">
        <f>IF(OR(G206="",G184=""),"",IF(G184&lt;=0,"",IFERROR(G206/G184,"")))</f>
        <v/>
      </c>
      <c r="H207" s="15">
        <f>IF(OR(H206="",H184=""),"",IF(H184&lt;=0,"",IFERROR(H206/H184,"")))</f>
        <v/>
      </c>
      <c r="I207" s="15">
        <f>IF(OR(I206="",I184=""),"",IF(I184&lt;=0,"",IFERROR(I206/I184,"")))</f>
        <v/>
      </c>
      <c r="J207" s="15">
        <f>IF(OR(J206="",J184=""),"",IF(J184&lt;=0,"",IFERROR(J206/J184,"")))</f>
        <v/>
      </c>
      <c r="K207" s="15">
        <f>IF(OR(K206="",K184=""),"",IF(K184&lt;=0,"",IFERROR(K206/K184,"")))</f>
        <v/>
      </c>
      <c r="L207" s="15">
        <f>IF(OR(L206="",L184=""),"",IF(L184&lt;=0,"",IFERROR(L206/L184,"")))</f>
        <v/>
      </c>
      <c r="M207" s="15">
        <f>IF(OR(M206="",M184=""),"",IF(M184&lt;=0,"",IFERROR(M206/M184,"")))</f>
        <v/>
      </c>
      <c r="N207" s="15">
        <f>IF(OR(N206="",N184=""),"",IF(N184&lt;=0,"",IFERROR(N206/N184,"")))</f>
        <v/>
      </c>
      <c r="V207" s="15">
        <f>IF(OR(V206="",V184=""),"",IF(V184&lt;=0,"",IFERROR(V206/V184,"")))</f>
        <v/>
      </c>
      <c r="W207" s="15">
        <f>IF(OR(W206="",W184=""),"",IF(W184&lt;=0,"",IFERROR(W206/W184,"")))</f>
        <v/>
      </c>
      <c r="X207" s="15">
        <f>IF(OR(X206="",X184=""),"",IF(X184&lt;=0,"",IFERROR(X206/X184,"")))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K208" s="15">
        <f>IF(OR(K206="",G206=""),"",IF(G206&lt;=0,"",IFERROR(K206/G206-1,"")))</f>
        <v/>
      </c>
      <c r="L208" s="15">
        <f>IF(OR(L206="",H206=""),"",IF(H206&lt;=0,"",IFERROR(L206/H206-1,"")))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  <c r="V208" s="15">
        <f>IF(OR(V206="",U206=""),"",IF(U206&lt;=0,"",IFERROR(V206/U206-1,"")))</f>
        <v/>
      </c>
      <c r="W208" s="15">
        <f>IF(OR(W206="",V206=""),"",IF(V206&lt;=0,"",IFERROR(W206/V206-1,"")))</f>
        <v/>
      </c>
      <c r="X208" s="15">
        <f>IF(OR(X206="",W206=""),"",IF(W206&lt;=0,"",IFERROR(X206/W206-1,"")))</f>
        <v/>
      </c>
    </row>
    <row r="209">
      <c r="A209" s="18" t="inlineStr">
        <is>
          <t>기타 · 부문 이익</t>
        </is>
      </c>
      <c r="C209" s="20" t="n">
        <v>1537</v>
      </c>
      <c r="D209" s="20" t="n">
        <v>1755</v>
      </c>
      <c r="E209" s="20" t="n">
        <v>2841</v>
      </c>
      <c r="F209" s="20" t="n">
        <v>1769</v>
      </c>
      <c r="G209" s="20" t="n">
        <v>1719</v>
      </c>
      <c r="H209" s="20" t="n">
        <v>2404</v>
      </c>
      <c r="I209" s="20" t="n">
        <v>2814</v>
      </c>
      <c r="J209" s="20" t="n">
        <v>1503</v>
      </c>
      <c r="K209" s="20" t="n">
        <v>1747</v>
      </c>
      <c r="L209" s="20" t="n">
        <v>2242</v>
      </c>
      <c r="M209" s="20" t="n">
        <v>3472</v>
      </c>
      <c r="N209" s="20" t="n">
        <v>2239</v>
      </c>
      <c r="V209" s="20" t="n">
        <v>2841</v>
      </c>
      <c r="W209" s="20" t="n">
        <v>2814</v>
      </c>
      <c r="X209" s="20" t="n">
        <v>3472</v>
      </c>
    </row>
    <row r="210">
      <c r="A210" s="43" t="inlineStr">
        <is>
          <t>OPM</t>
        </is>
      </c>
      <c r="B210" s="3" t="inlineStr">
        <is>
          <t>영업이익 ÷ 매출</t>
        </is>
      </c>
      <c r="C210" s="15">
        <f>IF(OR(C209="",C186=""),"",IF(C186&lt;=0,"",IFERROR(C209/C186,"")))</f>
        <v/>
      </c>
      <c r="D210" s="15">
        <f>IF(OR(D209="",D186=""),"",IF(D186&lt;=0,"",IFERROR(D209/D186,"")))</f>
        <v/>
      </c>
      <c r="E210" s="15">
        <f>IF(OR(E209="",E186=""),"",IF(E186&lt;=0,"",IFERROR(E209/E186,"")))</f>
        <v/>
      </c>
      <c r="F210" s="15">
        <f>IF(OR(F209="",F186=""),"",IF(F186&lt;=0,"",IFERROR(F209/F186,"")))</f>
        <v/>
      </c>
      <c r="G210" s="15">
        <f>IF(OR(G209="",G186=""),"",IF(G186&lt;=0,"",IFERROR(G209/G186,"")))</f>
        <v/>
      </c>
      <c r="H210" s="15">
        <f>IF(OR(H209="",H186=""),"",IF(H186&lt;=0,"",IFERROR(H209/H186,"")))</f>
        <v/>
      </c>
      <c r="I210" s="15">
        <f>IF(OR(I209="",I186=""),"",IF(I186&lt;=0,"",IFERROR(I209/I186,"")))</f>
        <v/>
      </c>
      <c r="J210" s="15">
        <f>IF(OR(J209="",J186=""),"",IF(J186&lt;=0,"",IFERROR(J209/J186,"")))</f>
        <v/>
      </c>
      <c r="K210" s="15">
        <f>IF(OR(K209="",K186=""),"",IF(K186&lt;=0,"",IFERROR(K209/K186,"")))</f>
        <v/>
      </c>
      <c r="L210" s="15">
        <f>IF(OR(L209="",L186=""),"",IF(L186&lt;=0,"",IFERROR(L209/L186,"")))</f>
        <v/>
      </c>
      <c r="M210" s="15">
        <f>IF(OR(M209="",M186=""),"",IF(M186&lt;=0,"",IFERROR(M209/M186,"")))</f>
        <v/>
      </c>
      <c r="N210" s="15">
        <f>IF(OR(N209="",N186=""),"",IF(N186&lt;=0,"",IFERROR(N209/N186,"")))</f>
        <v/>
      </c>
      <c r="V210" s="15">
        <f>IF(OR(V209="",V186=""),"",IF(V186&lt;=0,"",IFERROR(V209/V186,"")))</f>
        <v/>
      </c>
      <c r="W210" s="15">
        <f>IF(OR(W209="",W186=""),"",IF(W186&lt;=0,"",IFERROR(W209/W186,"")))</f>
        <v/>
      </c>
      <c r="X210" s="15">
        <f>IF(OR(X209="",X186=""),"",IF(X186&lt;=0,"",IFERROR(X209/X186,"")))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IF(OR(G209="",C209=""),"",IF(C209&lt;=0,"",IFERROR(G209/C209-1,"")))</f>
        <v/>
      </c>
      <c r="H211" s="15">
        <f>IF(OR(H209="",D209=""),"",IF(D209&lt;=0,"",IFERROR(H209/D209-1,"")))</f>
        <v/>
      </c>
      <c r="I211" s="15">
        <f>IF(OR(I209="",E209=""),"",IF(E209&lt;=0,"",IFERROR(I209/E209-1,"")))</f>
        <v/>
      </c>
      <c r="J211" s="15">
        <f>IF(OR(J209="",F209=""),"",IF(F209&lt;=0,"",IFERROR(J209/F209-1,"")))</f>
        <v/>
      </c>
      <c r="K211" s="15">
        <f>IF(OR(K209="",G209=""),"",IF(G209&lt;=0,"",IFERROR(K209/G209-1,"")))</f>
        <v/>
      </c>
      <c r="L211" s="15">
        <f>IF(OR(L209="",H209=""),"",IF(H209&lt;=0,"",IFERROR(L209/H209-1,"")))</f>
        <v/>
      </c>
      <c r="M211" s="15">
        <f>IF(OR(M209="",I209=""),"",IF(I209&lt;=0,"",IFERROR(M209/I209-1,"")))</f>
        <v/>
      </c>
      <c r="N211" s="15">
        <f>IF(OR(N209="",J209=""),"",IF(J209&lt;=0,"",IFERROR(N209/J209-1,"")))</f>
        <v/>
      </c>
      <c r="V211" s="15">
        <f>IF(OR(V209="",U209=""),"",IF(U209&lt;=0,"",IFERROR(V209/U209-1,"")))</f>
        <v/>
      </c>
      <c r="W211" s="15">
        <f>IF(OR(W209="",V209=""),"",IF(V209&lt;=0,"",IFERROR(W209/V209-1,"")))</f>
        <v/>
      </c>
      <c r="X211" s="15">
        <f>IF(OR(X209="",W209=""),"",IF(W209&lt;=0,"",IFERROR(X209/W209-1,"")))</f>
        <v/>
      </c>
    </row>
    <row r="212">
      <c r="A212" s="18" t="inlineStr">
        <is>
          <t>합계 · 부문 이익</t>
        </is>
      </c>
      <c r="C212" s="20" t="n">
        <v>15996</v>
      </c>
      <c r="D212" s="20" t="n">
        <v>12846</v>
      </c>
      <c r="E212" s="20" t="n">
        <v>10635</v>
      </c>
      <c r="F212" s="20" t="n">
        <v>11366</v>
      </c>
      <c r="G212" s="20" t="n">
        <v>17196</v>
      </c>
      <c r="H212" s="20" t="n">
        <v>6577</v>
      </c>
      <c r="I212" s="20" t="n">
        <v>12633</v>
      </c>
      <c r="J212" s="20" t="n">
        <v>17628</v>
      </c>
      <c r="K212" s="20" t="n">
        <v>14891</v>
      </c>
      <c r="L212" s="20" t="n">
        <v>11915</v>
      </c>
      <c r="M212" s="20" t="n">
        <v>17425</v>
      </c>
      <c r="N212" s="20" t="n">
        <v>26835</v>
      </c>
      <c r="V212" s="20" t="n">
        <v>10635</v>
      </c>
      <c r="W212" s="20" t="n">
        <v>12633</v>
      </c>
      <c r="X212" s="20" t="n">
        <v>17425</v>
      </c>
    </row>
    <row r="213">
      <c r="A213" s="43" t="inlineStr">
        <is>
          <t>OPM</t>
        </is>
      </c>
      <c r="B213" s="3" t="inlineStr">
        <is>
          <t>영업이익 ÷ 매출</t>
        </is>
      </c>
      <c r="C213" s="15">
        <f>IF(OR(C212="",C188=""),"",IF(C188&lt;=0,"",IFERROR(C212/C188,"")))</f>
        <v/>
      </c>
      <c r="D213" s="15">
        <f>IF(OR(D212="",D188=""),"",IF(D188&lt;=0,"",IFERROR(D212/D188,"")))</f>
        <v/>
      </c>
      <c r="E213" s="15">
        <f>IF(OR(E212="",E188=""),"",IF(E188&lt;=0,"",IFERROR(E212/E188,"")))</f>
        <v/>
      </c>
      <c r="F213" s="15">
        <f>IF(OR(F212="",F188=""),"",IF(F188&lt;=0,"",IFERROR(F212/F188,"")))</f>
        <v/>
      </c>
      <c r="G213" s="15">
        <f>IF(OR(G212="",G188=""),"",IF(G188&lt;=0,"",IFERROR(G212/G188,"")))</f>
        <v/>
      </c>
      <c r="H213" s="15">
        <f>IF(OR(H212="",H188=""),"",IF(H188&lt;=0,"",IFERROR(H212/H188,"")))</f>
        <v/>
      </c>
      <c r="I213" s="15">
        <f>IF(OR(I212="",I188=""),"",IF(I188&lt;=0,"",IFERROR(I212/I188,"")))</f>
        <v/>
      </c>
      <c r="J213" s="15">
        <f>IF(OR(J212="",J188=""),"",IF(J188&lt;=0,"",IFERROR(J212/J188,"")))</f>
        <v/>
      </c>
      <c r="K213" s="15">
        <f>IF(OR(K212="",K188=""),"",IF(K188&lt;=0,"",IFERROR(K212/K188,"")))</f>
        <v/>
      </c>
      <c r="L213" s="15">
        <f>IF(OR(L212="",L188=""),"",IF(L188&lt;=0,"",IFERROR(L212/L188,"")))</f>
        <v/>
      </c>
      <c r="M213" s="15">
        <f>IF(OR(M212="",M188=""),"",IF(M188&lt;=0,"",IFERROR(M212/M188,"")))</f>
        <v/>
      </c>
      <c r="N213" s="15">
        <f>IF(OR(N212="",N188=""),"",IF(N188&lt;=0,"",IFERROR(N212/N188,"")))</f>
        <v/>
      </c>
      <c r="V213" s="15">
        <f>IF(OR(V212="",V188=""),"",IF(V188&lt;=0,"",IFERROR(V212/V188,"")))</f>
        <v/>
      </c>
      <c r="W213" s="15">
        <f>IF(OR(W212="",W188=""),"",IF(W188&lt;=0,"",IFERROR(W212/W188,"")))</f>
        <v/>
      </c>
      <c r="X213" s="15">
        <f>IF(OR(X212="",X188=""),"",IF(X188&lt;=0,"",IFERROR(X212/X188,"")))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H214" s="15">
        <f>IF(OR(H212="",D212=""),"",IF(D212&lt;=0,"",IFERROR(H212/D212-1,"")))</f>
        <v/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K214" s="15">
        <f>IF(OR(K212="",G212=""),"",IF(G212&lt;=0,"",IFERROR(K212/G212-1,"")))</f>
        <v/>
      </c>
      <c r="L214" s="15">
        <f>IF(OR(L212="",H212=""),"",IF(H212&lt;=0,"",IFERROR(L212/H212-1,"")))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  <c r="V214" s="15">
        <f>IF(OR(V212="",U212=""),"",IF(U212&lt;=0,"",IFERROR(V212/U212-1,"")))</f>
        <v/>
      </c>
      <c r="W214" s="15">
        <f>IF(OR(W212="",V212=""),"",IF(V212&lt;=0,"",IFERROR(W212/V212-1,"")))</f>
        <v/>
      </c>
      <c r="X214" s="15">
        <f>IF(OR(X212="",W212=""),"",IF(W212&lt;=0,"",IFERROR(X212/W212-1,"")))</f>
        <v/>
      </c>
    </row>
    <row r="215">
      <c r="A215" s="18" t="inlineStr">
        <is>
          <t>조정액 · 부문 이익</t>
        </is>
      </c>
      <c r="C215" s="20" t="n">
        <v>-106</v>
      </c>
      <c r="D215" s="20" t="n">
        <v>30</v>
      </c>
      <c r="E215" s="20" t="n">
        <v>-14</v>
      </c>
      <c r="F215" s="20" t="n">
        <v>-71</v>
      </c>
      <c r="G215" s="20" t="n">
        <v>21</v>
      </c>
      <c r="H215" s="20" t="n">
        <v>-232</v>
      </c>
      <c r="I215" s="20" t="n">
        <v>131</v>
      </c>
      <c r="J215" s="20" t="n">
        <v>7</v>
      </c>
      <c r="K215" s="20" t="n">
        <v>46</v>
      </c>
      <c r="L215" s="20" t="n">
        <v>40</v>
      </c>
      <c r="M215" s="20" t="n">
        <v>75</v>
      </c>
      <c r="N215" s="20" t="n">
        <v>44</v>
      </c>
      <c r="V215" s="20" t="n">
        <v>-14</v>
      </c>
      <c r="W215" s="20" t="n">
        <v>131</v>
      </c>
      <c r="X215" s="20" t="n">
        <v>75</v>
      </c>
    </row>
    <row r="216">
      <c r="A216" s="9" t="inlineStr">
        <is>
          <t>부문 이익</t>
        </is>
      </c>
      <c r="C216" s="12" t="n">
        <v>15891</v>
      </c>
      <c r="D216" s="12" t="n">
        <v>12875</v>
      </c>
      <c r="E216" s="12" t="n">
        <v>10621</v>
      </c>
      <c r="F216" s="12" t="n">
        <v>11295</v>
      </c>
      <c r="G216" s="12" t="n">
        <v>17217</v>
      </c>
      <c r="H216" s="12" t="n">
        <v>6345</v>
      </c>
      <c r="I216" s="12" t="n">
        <v>12764</v>
      </c>
      <c r="V216" s="12" t="n">
        <v>10621</v>
      </c>
      <c r="W216" s="12" t="n">
        <v>12764</v>
      </c>
    </row>
    <row r="217">
      <c r="A217" s="43" t="inlineStr">
        <is>
          <t>OPM</t>
        </is>
      </c>
      <c r="B217" s="3" t="inlineStr">
        <is>
          <t>영업이익 ÷ 매출</t>
        </is>
      </c>
      <c r="C217" s="15">
        <f>IF(OR(C216="",C163=""),"",IF(C163&lt;=0,"",IFERROR(C216/C163,"")))</f>
        <v/>
      </c>
      <c r="D217" s="15">
        <f>IF(OR(D216="",D163=""),"",IF(D163&lt;=0,"",IFERROR(D216/D163,"")))</f>
        <v/>
      </c>
      <c r="E217" s="15">
        <f>IF(OR(E216="",E163=""),"",IF(E163&lt;=0,"",IFERROR(E216/E163,"")))</f>
        <v/>
      </c>
      <c r="F217" s="15">
        <f>IF(OR(F216="",F163=""),"",IF(F163&lt;=0,"",IFERROR(F216/F163,"")))</f>
        <v/>
      </c>
      <c r="G217" s="15">
        <f>IF(OR(G216="",G163=""),"",IF(G163&lt;=0,"",IFERROR(G216/G163,"")))</f>
        <v/>
      </c>
      <c r="H217" s="15">
        <f>IF(OR(H216="",H163=""),"",IF(H163&lt;=0,"",IFERROR(H216/H163,"")))</f>
        <v/>
      </c>
      <c r="I217" s="15">
        <f>IF(OR(I216="",I163=""),"",IF(I163&lt;=0,"",IFERROR(I216/I163,"")))</f>
        <v/>
      </c>
      <c r="V217" s="15">
        <f>IF(OR(V216="",V163=""),"",IF(V163&lt;=0,"",IFERROR(V216/V163,"")))</f>
        <v/>
      </c>
      <c r="W217" s="15">
        <f>IF(OR(W216="",W163=""),"",IF(W163&lt;=0,"",IFERROR(W216/W163,"")))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G218" s="15">
        <f>IF(OR(G216="",C216=""),"",IF(C216&lt;=0,"",IFERROR(G216/C216-1,"")))</f>
        <v/>
      </c>
      <c r="H218" s="15">
        <f>IF(OR(H216="",D216=""),"",IF(D216&lt;=0,"",IFERROR(H216/D216-1,"")))</f>
        <v/>
      </c>
      <c r="I218" s="15">
        <f>IF(OR(I216="",E216=""),"",IF(E216&lt;=0,"",IFERROR(I216/E216-1,"")))</f>
        <v/>
      </c>
      <c r="V218" s="15">
        <f>IF(OR(V216="",U216=""),"",IF(U216&lt;=0,"",IFERROR(V216/U216-1,"")))</f>
        <v/>
      </c>
      <c r="W218" s="15">
        <f>IF(OR(W216="",V216=""),"",IF(V216&lt;=0,"",IFERROR(W216/V216-1,"")))</f>
        <v/>
      </c>
    </row>
    <row r="219">
      <c r="A219" s="18" t="inlineStr">
        <is>
          <t>EntityTotalMember · 부문 이익</t>
        </is>
      </c>
      <c r="F219" s="20" t="n">
        <v>11295</v>
      </c>
      <c r="J219" s="20" t="n">
        <v>17636</v>
      </c>
      <c r="N219" s="20" t="n">
        <v>26880</v>
      </c>
    </row>
    <row r="220">
      <c r="A220" s="18" t="inlineStr">
        <is>
          <t>ElectronicsReportableSegmentsMember · 외부 고객 매출</t>
        </is>
      </c>
      <c r="E220" s="20" t="n">
        <v>42515</v>
      </c>
      <c r="I220" s="20" t="n">
        <v>51806</v>
      </c>
      <c r="M220" s="20" t="n">
        <v>71403</v>
      </c>
      <c r="V220" s="20" t="n">
        <v>42515</v>
      </c>
      <c r="W220" s="20" t="n">
        <v>51806</v>
      </c>
      <c r="X220" s="20" t="n">
        <v>71403</v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I221" s="15">
        <f>IF(OR(I220="",E220=""),"",IF(E220&lt;=0,"",IFERROR(I220/E220-1,"")))</f>
        <v/>
      </c>
      <c r="M221" s="15">
        <f>IF(OR(M220="",I220=""),"",IF(I220&lt;=0,"",IFERROR(M220/I220-1,"")))</f>
        <v/>
      </c>
      <c r="V221" s="15">
        <f>IF(OR(V220="",U220=""),"",IF(U220&lt;=0,"",IFERROR(V220/U220-1,"")))</f>
        <v/>
      </c>
      <c r="W221" s="15">
        <f>IF(OR(W220="",V220=""),"",IF(V220&lt;=0,"",IFERROR(W220/V220-1,"")))</f>
        <v/>
      </c>
      <c r="X221" s="15">
        <f>IF(OR(X220="",W220=""),"",IF(W220&lt;=0,"",IFERROR(X220/W220-1,"")))</f>
        <v/>
      </c>
    </row>
    <row r="222">
      <c r="A222" s="18" t="inlineStr">
        <is>
          <t>CeramicsReportableSegmentsMember · 외부 고객 매출</t>
        </is>
      </c>
      <c r="E222" s="20" t="n">
        <v>23602</v>
      </c>
      <c r="I222" s="20" t="n">
        <v>22012</v>
      </c>
      <c r="M222" s="20" t="n">
        <v>21967</v>
      </c>
      <c r="V222" s="20" t="n">
        <v>23602</v>
      </c>
      <c r="W222" s="20" t="n">
        <v>22012</v>
      </c>
      <c r="X222" s="20" t="n">
        <v>21967</v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I223" s="15">
        <f>IF(OR(I222="",E222=""),"",IF(E222&lt;=0,"",IFERROR(I222/E222-1,"")))</f>
        <v/>
      </c>
      <c r="M223" s="15">
        <f>IF(OR(M222="",I222=""),"",IF(I222&lt;=0,"",IFERROR(M222/I222-1,"")))</f>
        <v/>
      </c>
      <c r="V223" s="15">
        <f>IF(OR(V222="",U222=""),"",IF(U222&lt;=0,"",IFERROR(V222/U222-1,"")))</f>
        <v/>
      </c>
      <c r="W223" s="15">
        <f>IF(OR(W222="",V222=""),"",IF(V222&lt;=0,"",IFERROR(W222/V222-1,"")))</f>
        <v/>
      </c>
      <c r="X223" s="15">
        <f>IF(OR(X222="",W222=""),"",IF(W222&lt;=0,"",IFERROR(X222/W222-1,"")))</f>
        <v/>
      </c>
    </row>
    <row r="225">
      <c r="A225" s="16" t="inlineStr">
        <is>
          <t>현금흐름표 · 전 항목</t>
        </is>
      </c>
      <c r="B225" s="42" t="inlineStr">
        <is>
          <t>분기 = 결산기 첫날부터 누계(공시 그대로)</t>
        </is>
      </c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</row>
    <row r="226">
      <c r="A226" s="5" t="inlineStr">
        <is>
          <t>항목</t>
        </is>
      </c>
      <c r="B226" s="5" t="inlineStr">
        <is>
          <t>참고</t>
        </is>
      </c>
      <c r="C226" s="5" t="inlineStr">
        <is>
          <t>2024.2Q</t>
        </is>
      </c>
      <c r="D226" s="5" t="inlineStr">
        <is>
          <t>2024.3Q</t>
        </is>
      </c>
      <c r="E226" s="5" t="inlineStr">
        <is>
          <t>2024.4Q</t>
        </is>
      </c>
      <c r="F226" s="5" t="inlineStr">
        <is>
          <t>2025.1Q</t>
        </is>
      </c>
      <c r="G226" s="5" t="inlineStr">
        <is>
          <t>2025.2Q</t>
        </is>
      </c>
      <c r="H226" s="5" t="inlineStr">
        <is>
          <t>2025.3Q</t>
        </is>
      </c>
      <c r="I226" s="5" t="inlineStr">
        <is>
          <t>2025.4Q</t>
        </is>
      </c>
      <c r="J226" s="5" t="inlineStr">
        <is>
          <t>2026.1Q</t>
        </is>
      </c>
      <c r="K226" s="5" t="inlineStr">
        <is>
          <t>2026.2Q</t>
        </is>
      </c>
      <c r="L226" s="5" t="inlineStr">
        <is>
          <t>2026.3Q</t>
        </is>
      </c>
      <c r="M226" s="5" t="inlineStr">
        <is>
          <t>2026.4Q</t>
        </is>
      </c>
      <c r="N226" s="5" t="inlineStr">
        <is>
          <t>2027.1Q</t>
        </is>
      </c>
      <c r="O226" s="5" t="inlineStr">
        <is>
          <t>2017</t>
        </is>
      </c>
      <c r="P226" s="5" t="inlineStr">
        <is>
          <t>2018</t>
        </is>
      </c>
      <c r="Q226" s="5" t="inlineStr">
        <is>
          <t>2019</t>
        </is>
      </c>
      <c r="R226" s="5" t="inlineStr">
        <is>
          <t>2020</t>
        </is>
      </c>
      <c r="S226" s="5" t="inlineStr">
        <is>
          <t>2021</t>
        </is>
      </c>
      <c r="T226" s="5" t="inlineStr">
        <is>
          <t>2022</t>
        </is>
      </c>
      <c r="U226" s="5" t="inlineStr">
        <is>
          <t>2023</t>
        </is>
      </c>
      <c r="V226" s="5" t="inlineStr">
        <is>
          <t>2024</t>
        </is>
      </c>
      <c r="W226" s="5" t="inlineStr">
        <is>
          <t>2025</t>
        </is>
      </c>
      <c r="X226" s="5" t="inlineStr">
        <is>
          <t>2026</t>
        </is>
      </c>
      <c r="Y226" s="5" t="inlineStr">
        <is>
          <t>2027(MW)</t>
        </is>
      </c>
      <c r="Z226" s="5" t="inlineStr">
        <is>
          <t>2028(MW)</t>
        </is>
      </c>
      <c r="AA226" s="5" t="inlineStr">
        <is>
          <t>2029(MW)</t>
        </is>
      </c>
      <c r="AB226" s="5" t="inlineStr">
        <is>
          <t>2030(MW)</t>
        </is>
      </c>
      <c r="AC226" s="5" t="inlineStr">
        <is>
          <t>2031(MW)</t>
        </is>
      </c>
    </row>
    <row r="227">
      <c r="A227" s="9" t="inlineStr">
        <is>
          <t>법인세차감전 순이익</t>
        </is>
      </c>
      <c r="C227" s="12" t="n">
        <v>28198</v>
      </c>
      <c r="D227" s="12" t="n">
        <v>40761</v>
      </c>
      <c r="E227" s="12" t="n">
        <v>47435</v>
      </c>
      <c r="F227" s="12" t="n">
        <v>11925</v>
      </c>
      <c r="G227" s="12" t="n">
        <v>27156</v>
      </c>
      <c r="H227" s="12" t="n">
        <v>33219</v>
      </c>
      <c r="I227" s="12" t="n">
        <v>51451</v>
      </c>
      <c r="J227" s="12" t="n">
        <v>17046</v>
      </c>
      <c r="K227" s="12" t="n">
        <v>31985</v>
      </c>
      <c r="L227" s="12" t="n">
        <v>43202</v>
      </c>
      <c r="M227" s="12" t="n">
        <v>91092</v>
      </c>
      <c r="N227" s="12" t="n">
        <v>26530</v>
      </c>
      <c r="O227" s="12" t="n">
        <v>-60771</v>
      </c>
      <c r="P227" s="12" t="n">
        <v>18550</v>
      </c>
      <c r="Q227" s="12" t="n">
        <v>9326</v>
      </c>
      <c r="R227" s="12" t="n">
        <v>17525</v>
      </c>
      <c r="S227" s="12" t="n">
        <v>32165</v>
      </c>
      <c r="T227" s="12" t="n">
        <v>71702</v>
      </c>
      <c r="U227" s="12" t="n">
        <v>47435</v>
      </c>
      <c r="V227" s="12" t="n">
        <v>47435</v>
      </c>
      <c r="W227" s="12" t="n">
        <v>51451</v>
      </c>
      <c r="X227" s="12" t="n">
        <v>91092</v>
      </c>
    </row>
    <row r="228">
      <c r="A228" s="18" t="inlineStr">
        <is>
          <t>감가상각비</t>
        </is>
      </c>
      <c r="C228" s="20" t="n">
        <v>21596</v>
      </c>
      <c r="D228" s="20" t="n">
        <v>33573</v>
      </c>
      <c r="E228" s="20" t="n">
        <v>46032</v>
      </c>
      <c r="F228" s="20" t="n">
        <v>10198</v>
      </c>
      <c r="G228" s="20" t="n">
        <v>22900</v>
      </c>
      <c r="H228" s="20" t="n">
        <v>38178</v>
      </c>
      <c r="I228" s="20" t="n">
        <v>54205</v>
      </c>
      <c r="J228" s="20" t="n">
        <v>11667</v>
      </c>
      <c r="K228" s="20" t="n">
        <v>25429</v>
      </c>
      <c r="L228" s="20" t="n">
        <v>44494</v>
      </c>
      <c r="M228" s="20" t="n">
        <v>66236</v>
      </c>
      <c r="N228" s="20" t="n">
        <v>17588</v>
      </c>
      <c r="O228" s="20" t="n">
        <v>33147</v>
      </c>
      <c r="P228" s="20" t="n">
        <v>24566</v>
      </c>
      <c r="Q228" s="20" t="n">
        <v>25136</v>
      </c>
      <c r="R228" s="20" t="n">
        <v>24222</v>
      </c>
      <c r="S228" s="20" t="n">
        <v>35413</v>
      </c>
      <c r="T228" s="20" t="n">
        <v>54914</v>
      </c>
      <c r="U228" s="20" t="n">
        <v>46032</v>
      </c>
      <c r="V228" s="20" t="n">
        <v>46032</v>
      </c>
      <c r="W228" s="20" t="n">
        <v>54205</v>
      </c>
      <c r="X228" s="20" t="n">
        <v>66236</v>
      </c>
    </row>
    <row r="229">
      <c r="A229" s="18" t="inlineStr">
        <is>
          <t>손상차손</t>
        </is>
      </c>
      <c r="C229" s="20" t="n">
        <v>489</v>
      </c>
      <c r="D229" s="20" t="n">
        <v>489</v>
      </c>
      <c r="E229" s="20" t="n">
        <v>573</v>
      </c>
      <c r="F229" s="20" t="n">
        <v>0</v>
      </c>
      <c r="G229" s="20" t="n">
        <v>0</v>
      </c>
      <c r="H229" s="20" t="n">
        <v>0</v>
      </c>
      <c r="I229" s="20" t="n">
        <v>18587</v>
      </c>
      <c r="J229" s="20" t="n">
        <v>506</v>
      </c>
      <c r="K229" s="20" t="n">
        <v>506</v>
      </c>
      <c r="L229" s="20" t="n">
        <v>600</v>
      </c>
      <c r="M229" s="20" t="n">
        <v>16405</v>
      </c>
      <c r="N229" s="20" t="n">
        <v>0</v>
      </c>
      <c r="O229" s="20" t="n">
        <v>102</v>
      </c>
      <c r="P229" s="20" t="n">
        <v>244</v>
      </c>
      <c r="Q229" s="20" t="n">
        <v>330</v>
      </c>
      <c r="R229" s="20" t="n">
        <v>458</v>
      </c>
      <c r="S229" s="20" t="n">
        <v>4069</v>
      </c>
      <c r="T229" s="20" t="n">
        <v>843</v>
      </c>
      <c r="U229" s="20" t="n">
        <v>573</v>
      </c>
      <c r="V229" s="20" t="n">
        <v>573</v>
      </c>
      <c r="W229" s="20" t="n">
        <v>18587</v>
      </c>
      <c r="X229" s="20" t="n">
        <v>16405</v>
      </c>
    </row>
    <row r="230">
      <c r="A230" s="18" t="inlineStr">
        <is>
          <t>영업권 상각</t>
        </is>
      </c>
      <c r="O230" s="20" t="n">
        <v>905</v>
      </c>
      <c r="P230" s="20" t="n">
        <v>236</v>
      </c>
      <c r="Q230" s="20" t="n">
        <v>0</v>
      </c>
    </row>
    <row r="231">
      <c r="A231" s="18" t="inlineStr">
        <is>
          <t>상여충당금 증감</t>
        </is>
      </c>
      <c r="C231" s="20" t="n">
        <v>-34</v>
      </c>
      <c r="D231" s="20" t="n">
        <v>-2980</v>
      </c>
      <c r="E231" s="20" t="n">
        <v>-266</v>
      </c>
      <c r="F231" s="20" t="n">
        <v>-2481</v>
      </c>
      <c r="G231" s="20" t="n">
        <v>450</v>
      </c>
      <c r="H231" s="20" t="n">
        <v>-3031</v>
      </c>
      <c r="I231" s="20" t="n">
        <v>47</v>
      </c>
      <c r="J231" s="20" t="n">
        <v>-2236</v>
      </c>
      <c r="K231" s="20" t="n">
        <v>968</v>
      </c>
      <c r="L231" s="20" t="n">
        <v>-2418</v>
      </c>
      <c r="M231" s="20" t="n">
        <v>890</v>
      </c>
      <c r="N231" s="20" t="n">
        <v>-2559</v>
      </c>
      <c r="O231" s="20" t="n">
        <v>-282</v>
      </c>
      <c r="P231" s="20" t="n">
        <v>437</v>
      </c>
      <c r="Q231" s="20" t="n">
        <v>-389</v>
      </c>
      <c r="R231" s="20" t="n">
        <v>469</v>
      </c>
      <c r="S231" s="20" t="n">
        <v>893</v>
      </c>
      <c r="T231" s="20" t="n">
        <v>-246</v>
      </c>
      <c r="U231" s="20" t="n">
        <v>-266</v>
      </c>
      <c r="V231" s="20" t="n">
        <v>-266</v>
      </c>
      <c r="W231" s="20" t="n">
        <v>47</v>
      </c>
      <c r="X231" s="20" t="n">
        <v>890</v>
      </c>
    </row>
    <row r="232">
      <c r="A232" s="18" t="inlineStr">
        <is>
          <t>임원 상여충당금 증감</t>
        </is>
      </c>
      <c r="C232" s="20" t="n">
        <v>-186</v>
      </c>
      <c r="D232" s="20" t="n">
        <v>-186</v>
      </c>
      <c r="E232" s="20" t="n">
        <v>-64</v>
      </c>
      <c r="F232" s="20" t="n">
        <v>-122</v>
      </c>
      <c r="G232" s="20" t="n">
        <v>-122</v>
      </c>
      <c r="H232" s="20" t="n">
        <v>-122</v>
      </c>
      <c r="I232" s="20" t="n">
        <v>48</v>
      </c>
      <c r="J232" s="20" t="n">
        <v>-170</v>
      </c>
      <c r="K232" s="20" t="n">
        <v>-170</v>
      </c>
      <c r="L232" s="20" t="n">
        <v>-170</v>
      </c>
      <c r="M232" s="20" t="n">
        <v>2</v>
      </c>
      <c r="N232" s="20" t="n">
        <v>-172</v>
      </c>
      <c r="O232" s="20" t="n">
        <v>-77</v>
      </c>
      <c r="P232" s="20" t="n">
        <v>90</v>
      </c>
      <c r="Q232" s="20" t="n">
        <v>-1</v>
      </c>
      <c r="R232" s="20" t="n">
        <v>43</v>
      </c>
      <c r="S232" s="20" t="n">
        <v>23</v>
      </c>
      <c r="T232" s="20" t="n">
        <v>13</v>
      </c>
      <c r="U232" s="20" t="n">
        <v>-64</v>
      </c>
      <c r="V232" s="20" t="n">
        <v>-64</v>
      </c>
      <c r="W232" s="20" t="n">
        <v>48</v>
      </c>
      <c r="X232" s="20" t="n">
        <v>2</v>
      </c>
    </row>
    <row r="233">
      <c r="A233" s="18" t="inlineStr">
        <is>
          <t>대손충당금 증감</t>
        </is>
      </c>
      <c r="C233" s="20" t="n">
        <v>11</v>
      </c>
      <c r="D233" s="20" t="n">
        <v>16</v>
      </c>
      <c r="E233" s="20" t="n">
        <v>-18</v>
      </c>
      <c r="F233" s="20" t="n">
        <v>-9</v>
      </c>
      <c r="G233" s="20" t="n">
        <v>-4</v>
      </c>
      <c r="H233" s="20" t="n">
        <v>2</v>
      </c>
      <c r="I233" s="20" t="n">
        <v>6</v>
      </c>
      <c r="J233" s="20" t="n">
        <v>229</v>
      </c>
      <c r="K233" s="20" t="n">
        <v>188</v>
      </c>
      <c r="L233" s="20" t="n">
        <v>213</v>
      </c>
      <c r="M233" s="20" t="n">
        <v>43</v>
      </c>
      <c r="N233" s="20" t="n">
        <v>10</v>
      </c>
      <c r="O233" s="20" t="n">
        <v>-40</v>
      </c>
      <c r="P233" s="20" t="n">
        <v>-196</v>
      </c>
      <c r="Q233" s="20" t="n">
        <v>-10</v>
      </c>
      <c r="R233" s="20" t="n">
        <v>20</v>
      </c>
      <c r="S233" s="20" t="n">
        <v>-29</v>
      </c>
      <c r="T233" s="20" t="n">
        <v>-43</v>
      </c>
      <c r="U233" s="20" t="n">
        <v>-18</v>
      </c>
      <c r="V233" s="20" t="n">
        <v>-18</v>
      </c>
      <c r="W233" s="20" t="n">
        <v>6</v>
      </c>
      <c r="X233" s="20" t="n">
        <v>43</v>
      </c>
    </row>
    <row r="234">
      <c r="A234" s="18" t="inlineStr">
        <is>
          <t>Increase Decrease In Provision For Dismantlement Ope CF</t>
        </is>
      </c>
      <c r="I234" s="20" t="n">
        <v>0</v>
      </c>
      <c r="M234" s="20" t="n">
        <v>1558</v>
      </c>
      <c r="W234" s="20" t="n">
        <v>0</v>
      </c>
      <c r="X234" s="20" t="n">
        <v>1558</v>
      </c>
    </row>
    <row r="235">
      <c r="A235" s="18" t="inlineStr">
        <is>
          <t>퇴직급여부채 증감</t>
        </is>
      </c>
      <c r="C235" s="20" t="n">
        <v>115</v>
      </c>
      <c r="D235" s="20" t="n">
        <v>111</v>
      </c>
      <c r="E235" s="20" t="n">
        <v>178</v>
      </c>
      <c r="F235" s="20" t="n">
        <v>65</v>
      </c>
      <c r="G235" s="20" t="n">
        <v>4</v>
      </c>
      <c r="H235" s="20" t="n">
        <v>109</v>
      </c>
      <c r="I235" s="20" t="n">
        <v>48</v>
      </c>
      <c r="J235" s="20" t="n">
        <v>7</v>
      </c>
      <c r="K235" s="20" t="n">
        <v>54</v>
      </c>
      <c r="L235" s="20" t="n">
        <v>132</v>
      </c>
      <c r="M235" s="20" t="n">
        <v>-167</v>
      </c>
      <c r="N235" s="20" t="n">
        <v>31</v>
      </c>
      <c r="O235" s="20" t="n">
        <v>4</v>
      </c>
      <c r="P235" s="20" t="n">
        <v>-3</v>
      </c>
      <c r="Q235" s="20" t="n">
        <v>55</v>
      </c>
      <c r="R235" s="20" t="n">
        <v>36</v>
      </c>
      <c r="S235" s="20" t="n">
        <v>194</v>
      </c>
      <c r="T235" s="20" t="n">
        <v>-5</v>
      </c>
      <c r="U235" s="20" t="n">
        <v>178</v>
      </c>
      <c r="V235" s="20" t="n">
        <v>178</v>
      </c>
      <c r="W235" s="20" t="n">
        <v>48</v>
      </c>
      <c r="X235" s="20" t="n">
        <v>-167</v>
      </c>
    </row>
    <row r="236">
      <c r="A236" s="18" t="inlineStr">
        <is>
          <t>이자·배당금 수익</t>
        </is>
      </c>
      <c r="C236" s="20" t="n">
        <v>-1493</v>
      </c>
      <c r="D236" s="20" t="n">
        <v>-2597</v>
      </c>
      <c r="E236" s="20" t="n">
        <v>-2924</v>
      </c>
      <c r="F236" s="20" t="n">
        <v>-1533</v>
      </c>
      <c r="G236" s="20" t="n">
        <v>-2035</v>
      </c>
      <c r="H236" s="20" t="n">
        <v>-3681</v>
      </c>
      <c r="I236" s="20" t="n">
        <v>-4355</v>
      </c>
      <c r="J236" s="20" t="n">
        <v>-1229</v>
      </c>
      <c r="K236" s="20" t="n">
        <v>-1990</v>
      </c>
      <c r="L236" s="20" t="n">
        <v>-3021</v>
      </c>
      <c r="M236" s="20" t="n">
        <v>-3759</v>
      </c>
      <c r="N236" s="20" t="n">
        <v>-1231</v>
      </c>
      <c r="O236" s="20" t="n">
        <v>-1558</v>
      </c>
      <c r="P236" s="20" t="n">
        <v>-1389</v>
      </c>
      <c r="Q236" s="20" t="n">
        <v>-1341</v>
      </c>
      <c r="R236" s="20" t="n">
        <v>-1322</v>
      </c>
      <c r="S236" s="20" t="n">
        <v>-1222</v>
      </c>
      <c r="T236" s="20" t="n">
        <v>-2506</v>
      </c>
      <c r="U236" s="20" t="n">
        <v>-2924</v>
      </c>
      <c r="V236" s="20" t="n">
        <v>-2924</v>
      </c>
      <c r="W236" s="20" t="n">
        <v>-4355</v>
      </c>
      <c r="X236" s="20" t="n">
        <v>-3759</v>
      </c>
    </row>
    <row r="237">
      <c r="A237" s="18" t="inlineStr">
        <is>
          <t>이자비용</t>
        </is>
      </c>
      <c r="C237" s="20" t="n">
        <v>303</v>
      </c>
      <c r="D237" s="20" t="n">
        <v>507</v>
      </c>
      <c r="E237" s="20" t="n">
        <v>710</v>
      </c>
      <c r="F237" s="20" t="n">
        <v>214</v>
      </c>
      <c r="G237" s="20" t="n">
        <v>453</v>
      </c>
      <c r="H237" s="20" t="n">
        <v>798</v>
      </c>
      <c r="I237" s="20" t="n">
        <v>1155</v>
      </c>
      <c r="J237" s="20" t="n">
        <v>351</v>
      </c>
      <c r="K237" s="20" t="n">
        <v>698</v>
      </c>
      <c r="L237" s="20" t="n">
        <v>1023</v>
      </c>
      <c r="M237" s="20" t="n">
        <v>1356</v>
      </c>
      <c r="N237" s="20" t="n">
        <v>217</v>
      </c>
      <c r="O237" s="20" t="n">
        <v>187</v>
      </c>
      <c r="P237" s="20" t="n">
        <v>146</v>
      </c>
      <c r="Q237" s="20" t="n">
        <v>158</v>
      </c>
      <c r="R237" s="20" t="n">
        <v>194</v>
      </c>
      <c r="S237" s="20" t="n">
        <v>258</v>
      </c>
      <c r="T237" s="20" t="n">
        <v>370</v>
      </c>
      <c r="U237" s="20" t="n">
        <v>710</v>
      </c>
      <c r="V237" s="20" t="n">
        <v>710</v>
      </c>
      <c r="W237" s="20" t="n">
        <v>1155</v>
      </c>
      <c r="X237" s="20" t="n">
        <v>1356</v>
      </c>
    </row>
    <row r="238">
      <c r="A238" s="18" t="inlineStr">
        <is>
          <t>지분법손익</t>
        </is>
      </c>
      <c r="C238" s="20" t="n">
        <v>-1</v>
      </c>
      <c r="D238" s="20" t="n">
        <v>-0</v>
      </c>
      <c r="E238" s="20" t="n">
        <v>-2</v>
      </c>
      <c r="F238" s="20" t="n">
        <v>0</v>
      </c>
      <c r="G238" s="20" t="n">
        <v>-1</v>
      </c>
      <c r="H238" s="20" t="n">
        <v>-0</v>
      </c>
      <c r="I238" s="20" t="n">
        <v>-0</v>
      </c>
      <c r="J238" s="20" t="n">
        <v>-0</v>
      </c>
      <c r="K238" s="20" t="n">
        <v>-0</v>
      </c>
      <c r="L238" s="20" t="n">
        <v>0</v>
      </c>
      <c r="M238" s="20" t="n">
        <v>0</v>
      </c>
      <c r="N238" s="20" t="n">
        <v>0</v>
      </c>
      <c r="O238" s="20" t="n">
        <v>0</v>
      </c>
      <c r="P238" s="20" t="n">
        <v>-3</v>
      </c>
      <c r="Q238" s="20" t="n">
        <v>-1</v>
      </c>
      <c r="R238" s="20" t="n">
        <v>-0</v>
      </c>
      <c r="S238" s="20" t="n">
        <v>-0</v>
      </c>
      <c r="T238" s="20" t="n">
        <v>-1</v>
      </c>
      <c r="U238" s="20" t="n">
        <v>-2</v>
      </c>
      <c r="V238" s="20" t="n">
        <v>-2</v>
      </c>
      <c r="W238" s="20" t="n">
        <v>-0</v>
      </c>
      <c r="X238" s="20" t="n">
        <v>0</v>
      </c>
    </row>
    <row r="239">
      <c r="A239" s="18" t="inlineStr">
        <is>
          <t>유형자산 매각손익</t>
        </is>
      </c>
      <c r="F239" s="20" t="n">
        <v>-7</v>
      </c>
      <c r="O239" s="20" t="n">
        <v>-196</v>
      </c>
      <c r="P239" s="20" t="n">
        <v>-89</v>
      </c>
      <c r="Q239" s="20" t="n">
        <v>-50</v>
      </c>
      <c r="R239" s="20" t="n">
        <v>-6</v>
      </c>
      <c r="S239" s="20" t="n">
        <v>-75</v>
      </c>
      <c r="T239" s="20" t="n">
        <v>-81</v>
      </c>
      <c r="U239" s="20" t="n">
        <v>-25</v>
      </c>
    </row>
    <row r="240">
      <c r="A240" s="18" t="inlineStr">
        <is>
          <t>유형자산 제각손실</t>
        </is>
      </c>
      <c r="F240" s="20" t="n">
        <v>426</v>
      </c>
      <c r="O240" s="20" t="n">
        <v>1280</v>
      </c>
      <c r="P240" s="20" t="n">
        <v>1698</v>
      </c>
      <c r="Q240" s="20" t="n">
        <v>916</v>
      </c>
      <c r="R240" s="20" t="n">
        <v>2197</v>
      </c>
      <c r="S240" s="20" t="n">
        <v>2562</v>
      </c>
      <c r="T240" s="20" t="n">
        <v>3732</v>
      </c>
      <c r="U240" s="20" t="n">
        <v>2415</v>
      </c>
    </row>
    <row r="241">
      <c r="A241" s="18" t="inlineStr">
        <is>
          <t>고정자산 매각손익</t>
        </is>
      </c>
      <c r="C241" s="20" t="n">
        <v>-4</v>
      </c>
      <c r="D241" s="20" t="n">
        <v>-13</v>
      </c>
      <c r="E241" s="20" t="n">
        <v>-25</v>
      </c>
      <c r="F241" s="20" t="n">
        <v>-7</v>
      </c>
      <c r="G241" s="20" t="n">
        <v>-38</v>
      </c>
      <c r="H241" s="20" t="n">
        <v>-61</v>
      </c>
      <c r="I241" s="20" t="n">
        <v>-71</v>
      </c>
      <c r="J241" s="20" t="n">
        <v>-367</v>
      </c>
      <c r="K241" s="20" t="n">
        <v>-367</v>
      </c>
      <c r="L241" s="20" t="n">
        <v>-417</v>
      </c>
      <c r="M241" s="20" t="n">
        <v>-434</v>
      </c>
      <c r="N241" s="20" t="n">
        <v>-2</v>
      </c>
      <c r="V241" s="20" t="n">
        <v>-25</v>
      </c>
      <c r="W241" s="20" t="n">
        <v>-71</v>
      </c>
      <c r="X241" s="20" t="n">
        <v>-434</v>
      </c>
    </row>
    <row r="242">
      <c r="A242" s="18" t="inlineStr">
        <is>
          <t>고정자산 제각손실</t>
        </is>
      </c>
      <c r="C242" s="20" t="n">
        <v>811</v>
      </c>
      <c r="D242" s="20" t="n">
        <v>1535</v>
      </c>
      <c r="E242" s="20" t="n">
        <v>2415</v>
      </c>
      <c r="F242" s="20" t="n">
        <v>426</v>
      </c>
      <c r="G242" s="20" t="n">
        <v>756</v>
      </c>
      <c r="H242" s="20" t="n">
        <v>1051</v>
      </c>
      <c r="I242" s="20" t="n">
        <v>1594</v>
      </c>
      <c r="J242" s="20" t="n">
        <v>152</v>
      </c>
      <c r="K242" s="20" t="n">
        <v>256</v>
      </c>
      <c r="L242" s="20" t="n">
        <v>590</v>
      </c>
      <c r="M242" s="20" t="n">
        <v>1629</v>
      </c>
      <c r="N242" s="20" t="n">
        <v>907</v>
      </c>
      <c r="V242" s="20" t="n">
        <v>2415</v>
      </c>
      <c r="W242" s="20" t="n">
        <v>1594</v>
      </c>
      <c r="X242" s="20" t="n">
        <v>1629</v>
      </c>
    </row>
    <row r="243">
      <c r="A243" s="18" t="inlineStr">
        <is>
          <t>투자유가증권 매각손익</t>
        </is>
      </c>
      <c r="C243" s="20" t="n">
        <v>-0</v>
      </c>
      <c r="D243" s="20" t="n">
        <v>-0</v>
      </c>
      <c r="E243" s="20" t="n">
        <v>-68</v>
      </c>
      <c r="F243" s="20" t="n">
        <v>-0</v>
      </c>
      <c r="G243" s="20" t="n">
        <v>-0</v>
      </c>
      <c r="H243" s="20" t="n">
        <v>-0</v>
      </c>
      <c r="I243" s="20" t="n">
        <v>-24480</v>
      </c>
      <c r="J243" s="20" t="n">
        <v>0</v>
      </c>
      <c r="K243" s="20" t="n">
        <v>-0</v>
      </c>
      <c r="L243" s="20" t="n">
        <v>-304</v>
      </c>
      <c r="M243" s="20" t="n">
        <v>-49448</v>
      </c>
      <c r="O243" s="20" t="n">
        <v>0</v>
      </c>
      <c r="P243" s="20" t="n">
        <v>-54</v>
      </c>
      <c r="Q243" s="20" t="n">
        <v>-4666</v>
      </c>
      <c r="R243" s="20" t="n">
        <v>24</v>
      </c>
      <c r="S243" s="20" t="n">
        <v>-64</v>
      </c>
      <c r="T243" s="20" t="n">
        <v>-295</v>
      </c>
      <c r="U243" s="20" t="n">
        <v>-68</v>
      </c>
      <c r="V243" s="20" t="n">
        <v>-68</v>
      </c>
      <c r="W243" s="20" t="n">
        <v>-24480</v>
      </c>
      <c r="X243" s="20" t="n">
        <v>-49448</v>
      </c>
    </row>
    <row r="244">
      <c r="A244" s="18" t="inlineStr">
        <is>
          <t>사업구조개혁 비용</t>
        </is>
      </c>
      <c r="O244" s="20" t="n">
        <v>59441</v>
      </c>
      <c r="P244" s="20" t="n">
        <v>0</v>
      </c>
    </row>
    <row r="245">
      <c r="A245" s="18" t="inlineStr">
        <is>
          <t>투자유가증권 평가손익</t>
        </is>
      </c>
      <c r="R245" s="20" t="n">
        <v>0</v>
      </c>
      <c r="S245" s="20" t="n">
        <v>29</v>
      </c>
      <c r="T245" s="20" t="n">
        <v>630</v>
      </c>
      <c r="U245" s="20" t="n">
        <v>0</v>
      </c>
    </row>
    <row r="246">
      <c r="A246" s="18" t="inlineStr">
        <is>
          <t>Loss On Mothballing Of Operation Ope CF</t>
        </is>
      </c>
      <c r="Q246" s="20" t="n">
        <v>0</v>
      </c>
      <c r="R246" s="20" t="n">
        <v>91</v>
      </c>
      <c r="S246" s="20" t="n">
        <v>0</v>
      </c>
    </row>
    <row r="247">
      <c r="A247" s="18" t="inlineStr">
        <is>
          <t>관계회사 정리손실</t>
        </is>
      </c>
      <c r="P247" s="20" t="n">
        <v>0</v>
      </c>
      <c r="Q247" s="20" t="n">
        <v>5287</v>
      </c>
      <c r="R247" s="20" t="n">
        <v>458</v>
      </c>
      <c r="S247" s="20" t="n">
        <v>0</v>
      </c>
    </row>
    <row r="248">
      <c r="A248" s="18" t="inlineStr">
        <is>
          <t>관계회사 주식 매각손익</t>
        </is>
      </c>
      <c r="C248" s="20" t="n">
        <v>-3067</v>
      </c>
      <c r="D248" s="20" t="n">
        <v>-3067</v>
      </c>
      <c r="E248" s="20" t="n">
        <v>-3067</v>
      </c>
      <c r="F248" s="20" t="n">
        <v>0</v>
      </c>
      <c r="G248" s="20" t="n">
        <v>0</v>
      </c>
      <c r="H248" s="20" t="n">
        <v>0</v>
      </c>
      <c r="I248" s="20" t="n">
        <v>-0</v>
      </c>
      <c r="M248" s="20" t="n">
        <v>0</v>
      </c>
      <c r="S248" s="20" t="n">
        <v>0</v>
      </c>
      <c r="T248" s="20" t="n">
        <v>0</v>
      </c>
      <c r="U248" s="20" t="n">
        <v>-3067</v>
      </c>
      <c r="V248" s="20" t="n">
        <v>-3067</v>
      </c>
      <c r="W248" s="20" t="n">
        <v>-0</v>
      </c>
      <c r="X248" s="20" t="n">
        <v>0</v>
      </c>
    </row>
    <row r="249">
      <c r="A249" s="18" t="inlineStr">
        <is>
          <t>매출채권 증감</t>
        </is>
      </c>
      <c r="C249" s="20" t="n">
        <v>-1642</v>
      </c>
      <c r="D249" s="20" t="n">
        <v>-4984</v>
      </c>
      <c r="E249" s="20" t="n">
        <v>14831</v>
      </c>
      <c r="F249" s="20" t="n">
        <v>1257</v>
      </c>
      <c r="G249" s="20" t="n">
        <v>4641</v>
      </c>
      <c r="H249" s="20" t="n">
        <v>-2253</v>
      </c>
      <c r="I249" s="20" t="n">
        <v>-2337</v>
      </c>
      <c r="J249" s="20" t="n">
        <v>3592</v>
      </c>
      <c r="K249" s="20" t="n">
        <v>195</v>
      </c>
      <c r="L249" s="20" t="n">
        <v>-1302</v>
      </c>
      <c r="M249" s="20" t="n">
        <v>-10139</v>
      </c>
      <c r="N249" s="20" t="n">
        <v>-2679</v>
      </c>
      <c r="O249" s="20" t="n">
        <v>859</v>
      </c>
      <c r="P249" s="20" t="n">
        <v>-3402</v>
      </c>
      <c r="Q249" s="20" t="n">
        <v>1197</v>
      </c>
      <c r="R249" s="20" t="n">
        <v>-9624</v>
      </c>
      <c r="S249" s="20" t="n">
        <v>-17721</v>
      </c>
      <c r="T249" s="20" t="n">
        <v>15819</v>
      </c>
      <c r="U249" s="20" t="n">
        <v>14831</v>
      </c>
      <c r="V249" s="20" t="n">
        <v>14831</v>
      </c>
      <c r="W249" s="20" t="n">
        <v>-2337</v>
      </c>
      <c r="X249" s="20" t="n">
        <v>-10139</v>
      </c>
    </row>
    <row r="250">
      <c r="A250" s="18" t="inlineStr">
        <is>
          <t>재고자산 증감</t>
        </is>
      </c>
      <c r="C250" s="20" t="n">
        <v>14632</v>
      </c>
      <c r="D250" s="20" t="n">
        <v>12136</v>
      </c>
      <c r="E250" s="20" t="n">
        <v>15881</v>
      </c>
      <c r="F250" s="20" t="n">
        <v>-760</v>
      </c>
      <c r="G250" s="20" t="n">
        <v>-5167</v>
      </c>
      <c r="H250" s="20" t="n">
        <v>-7064</v>
      </c>
      <c r="I250" s="20" t="n">
        <v>-2478</v>
      </c>
      <c r="J250" s="20" t="n">
        <v>-177</v>
      </c>
      <c r="K250" s="20" t="n">
        <v>-308</v>
      </c>
      <c r="L250" s="20" t="n">
        <v>-3647</v>
      </c>
      <c r="M250" s="20" t="n">
        <v>-1059</v>
      </c>
      <c r="N250" s="20" t="n">
        <v>-5497</v>
      </c>
      <c r="O250" s="20" t="n">
        <v>2675</v>
      </c>
      <c r="P250" s="20" t="n">
        <v>-5843</v>
      </c>
      <c r="Q250" s="20" t="n">
        <v>-9018</v>
      </c>
      <c r="R250" s="20" t="n">
        <v>2520</v>
      </c>
      <c r="S250" s="20" t="n">
        <v>-9968</v>
      </c>
      <c r="T250" s="20" t="n">
        <v>-2344</v>
      </c>
      <c r="U250" s="20" t="n">
        <v>15881</v>
      </c>
      <c r="V250" s="20" t="n">
        <v>15881</v>
      </c>
      <c r="W250" s="20" t="n">
        <v>-2478</v>
      </c>
      <c r="X250" s="20" t="n">
        <v>-1059</v>
      </c>
    </row>
    <row r="251">
      <c r="A251" s="18" t="inlineStr">
        <is>
          <t>매입채무 증감</t>
        </is>
      </c>
      <c r="C251" s="20" t="n">
        <v>-1804</v>
      </c>
      <c r="D251" s="20" t="n">
        <v>2191</v>
      </c>
      <c r="E251" s="20" t="n">
        <v>2780</v>
      </c>
      <c r="F251" s="20" t="n">
        <v>-631</v>
      </c>
      <c r="G251" s="20" t="n">
        <v>-1031</v>
      </c>
      <c r="H251" s="20" t="n">
        <v>4665</v>
      </c>
      <c r="I251" s="20" t="n">
        <v>-4941</v>
      </c>
      <c r="J251" s="20" t="n">
        <v>-2575</v>
      </c>
      <c r="K251" s="20" t="n">
        <v>-720</v>
      </c>
      <c r="L251" s="20" t="n">
        <v>5917</v>
      </c>
      <c r="M251" s="20" t="n">
        <v>4078</v>
      </c>
      <c r="N251" s="20" t="n">
        <v>4514</v>
      </c>
      <c r="O251" s="20" t="n">
        <v>-4671</v>
      </c>
      <c r="P251" s="20" t="n">
        <v>6438</v>
      </c>
      <c r="Q251" s="20" t="n">
        <v>875</v>
      </c>
      <c r="R251" s="20" t="n">
        <v>6807</v>
      </c>
      <c r="S251" s="20" t="n">
        <v>-1450</v>
      </c>
      <c r="T251" s="20" t="n">
        <v>-12029</v>
      </c>
      <c r="U251" s="20" t="n">
        <v>2780</v>
      </c>
      <c r="V251" s="20" t="n">
        <v>2780</v>
      </c>
      <c r="W251" s="20" t="n">
        <v>-4941</v>
      </c>
      <c r="X251" s="20" t="n">
        <v>4078</v>
      </c>
    </row>
    <row r="252">
      <c r="A252" s="18" t="inlineStr">
        <is>
          <t>선수금 증감</t>
        </is>
      </c>
      <c r="C252" s="20" t="n">
        <v>-4537</v>
      </c>
      <c r="D252" s="20" t="n">
        <v>-7366</v>
      </c>
      <c r="E252" s="20" t="n">
        <v>49325</v>
      </c>
      <c r="F252" s="20" t="n">
        <v>-3078</v>
      </c>
      <c r="G252" s="20" t="n">
        <v>8545</v>
      </c>
      <c r="H252" s="20" t="n">
        <v>7014</v>
      </c>
      <c r="I252" s="20" t="n">
        <v>11986</v>
      </c>
      <c r="J252" s="20" t="n">
        <v>-2319</v>
      </c>
      <c r="K252" s="20" t="n">
        <v>-14507</v>
      </c>
      <c r="L252" s="20" t="n">
        <v>-15154</v>
      </c>
      <c r="M252" s="20" t="n">
        <v>-11133</v>
      </c>
      <c r="N252" s="20" t="n">
        <v>73575</v>
      </c>
      <c r="T252" s="20" t="n">
        <v>28043</v>
      </c>
      <c r="U252" s="20" t="n">
        <v>49325</v>
      </c>
      <c r="V252" s="20" t="n">
        <v>49325</v>
      </c>
      <c r="W252" s="20" t="n">
        <v>11986</v>
      </c>
      <c r="X252" s="20" t="n">
        <v>-11133</v>
      </c>
    </row>
    <row r="253">
      <c r="A253" s="18" t="inlineStr">
        <is>
          <t>미지급비용 증감</t>
        </is>
      </c>
      <c r="C253" s="20" t="n">
        <v>419</v>
      </c>
      <c r="D253" s="20" t="n">
        <v>-126</v>
      </c>
      <c r="E253" s="20" t="n">
        <v>-440</v>
      </c>
      <c r="F253" s="20" t="n">
        <v>955</v>
      </c>
      <c r="G253" s="20" t="n">
        <v>136</v>
      </c>
      <c r="H253" s="20" t="n">
        <v>-479</v>
      </c>
      <c r="I253" s="20" t="n">
        <v>3</v>
      </c>
      <c r="J253" s="20" t="n">
        <v>908</v>
      </c>
      <c r="K253" s="20" t="n">
        <v>255</v>
      </c>
      <c r="L253" s="20" t="n">
        <v>579</v>
      </c>
      <c r="M253" s="20" t="n">
        <v>1181</v>
      </c>
      <c r="N253" s="20" t="n">
        <v>1951</v>
      </c>
      <c r="O253" s="20" t="n">
        <v>-386</v>
      </c>
      <c r="P253" s="20" t="n">
        <v>538</v>
      </c>
      <c r="Q253" s="20" t="n">
        <v>-386</v>
      </c>
      <c r="R253" s="20" t="n">
        <v>-33</v>
      </c>
      <c r="S253" s="20" t="n">
        <v>-238</v>
      </c>
      <c r="T253" s="20" t="n">
        <v>639</v>
      </c>
      <c r="U253" s="20" t="n">
        <v>-440</v>
      </c>
      <c r="V253" s="20" t="n">
        <v>-440</v>
      </c>
      <c r="W253" s="20" t="n">
        <v>3</v>
      </c>
      <c r="X253" s="20" t="n">
        <v>1181</v>
      </c>
    </row>
    <row r="254">
      <c r="A254" s="18" t="inlineStr">
        <is>
          <t>고정자산 압축손실</t>
        </is>
      </c>
      <c r="C254" s="20" t="n">
        <v>0</v>
      </c>
      <c r="D254" s="20" t="n">
        <v>136</v>
      </c>
      <c r="E254" s="20" t="n">
        <v>1881</v>
      </c>
      <c r="F254" s="20" t="n">
        <v>853</v>
      </c>
      <c r="G254" s="20" t="n">
        <v>2585</v>
      </c>
      <c r="H254" s="20" t="n">
        <v>6285</v>
      </c>
      <c r="I254" s="20" t="n">
        <v>28581</v>
      </c>
      <c r="J254" s="20" t="n">
        <v>911</v>
      </c>
      <c r="K254" s="20" t="n">
        <v>4403</v>
      </c>
      <c r="L254" s="20" t="n">
        <v>7331</v>
      </c>
      <c r="M254" s="20" t="n">
        <v>9148</v>
      </c>
      <c r="N254" s="20" t="n">
        <v>0</v>
      </c>
      <c r="T254" s="20" t="n">
        <v>0</v>
      </c>
      <c r="U254" s="20" t="n">
        <v>1881</v>
      </c>
      <c r="V254" s="20" t="n">
        <v>1881</v>
      </c>
      <c r="W254" s="20" t="n">
        <v>28581</v>
      </c>
      <c r="X254" s="20" t="n">
        <v>9148</v>
      </c>
    </row>
    <row r="255">
      <c r="A255" s="18" t="inlineStr">
        <is>
          <t>사채발행비</t>
        </is>
      </c>
      <c r="C255" s="20" t="n">
        <v>0</v>
      </c>
      <c r="D255" s="20" t="n">
        <v>0</v>
      </c>
      <c r="G255" s="20" t="n">
        <v>151</v>
      </c>
      <c r="H255" s="20" t="n">
        <v>151</v>
      </c>
      <c r="K255" s="20" t="n">
        <v>0</v>
      </c>
      <c r="L255" s="20" t="n">
        <v>0</v>
      </c>
    </row>
    <row r="256">
      <c r="A256" s="18" t="inlineStr">
        <is>
          <t>보험금 수익</t>
        </is>
      </c>
      <c r="E256" s="20" t="n">
        <v>-52</v>
      </c>
      <c r="I256" s="20" t="n">
        <v>-1051</v>
      </c>
      <c r="M256" s="20" t="n">
        <v>0</v>
      </c>
      <c r="V256" s="20" t="n">
        <v>-52</v>
      </c>
      <c r="W256" s="20" t="n">
        <v>-1051</v>
      </c>
      <c r="X256" s="20" t="n">
        <v>0</v>
      </c>
    </row>
    <row r="257">
      <c r="A257" s="18" t="inlineStr">
        <is>
          <t>보조금 수입</t>
        </is>
      </c>
      <c r="C257" s="20" t="n">
        <v>0</v>
      </c>
      <c r="D257" s="20" t="n">
        <v>-136</v>
      </c>
      <c r="E257" s="20" t="n">
        <v>-1881</v>
      </c>
      <c r="F257" s="20" t="n">
        <v>-853</v>
      </c>
      <c r="G257" s="20" t="n">
        <v>-2585</v>
      </c>
      <c r="H257" s="20" t="n">
        <v>-6285</v>
      </c>
      <c r="I257" s="20" t="n">
        <v>-28581</v>
      </c>
      <c r="J257" s="20" t="n">
        <v>-911</v>
      </c>
      <c r="K257" s="20" t="n">
        <v>-4403</v>
      </c>
      <c r="L257" s="20" t="n">
        <v>-7331</v>
      </c>
      <c r="M257" s="20" t="n">
        <v>-9148</v>
      </c>
      <c r="N257" s="20" t="n">
        <v>0</v>
      </c>
      <c r="T257" s="20" t="n">
        <v>0</v>
      </c>
      <c r="U257" s="20" t="n">
        <v>-1881</v>
      </c>
      <c r="V257" s="20" t="n">
        <v>-1881</v>
      </c>
      <c r="W257" s="20" t="n">
        <v>-28581</v>
      </c>
      <c r="X257" s="20" t="n">
        <v>-9148</v>
      </c>
    </row>
    <row r="258">
      <c r="A258" s="18" t="inlineStr">
        <is>
          <t>기타</t>
        </is>
      </c>
      <c r="C258" s="20" t="n">
        <v>-5919</v>
      </c>
      <c r="D258" s="20" t="n">
        <v>-9331</v>
      </c>
      <c r="E258" s="20" t="n">
        <v>-6485</v>
      </c>
      <c r="F258" s="20" t="n">
        <v>-7728</v>
      </c>
      <c r="G258" s="20" t="n">
        <v>-13191</v>
      </c>
      <c r="H258" s="20" t="n">
        <v>-49</v>
      </c>
      <c r="I258" s="20" t="n">
        <v>-2875</v>
      </c>
      <c r="J258" s="20" t="n">
        <v>-3588</v>
      </c>
      <c r="K258" s="20" t="n">
        <v>3693</v>
      </c>
      <c r="L258" s="20" t="n">
        <v>18125</v>
      </c>
      <c r="M258" s="20" t="n">
        <v>11060</v>
      </c>
      <c r="N258" s="20" t="n">
        <v>3051</v>
      </c>
      <c r="O258" s="20" t="n">
        <v>382</v>
      </c>
      <c r="P258" s="20" t="n">
        <v>-12436</v>
      </c>
      <c r="Q258" s="20" t="n">
        <v>-1520</v>
      </c>
      <c r="R258" s="20" t="n">
        <v>-13072</v>
      </c>
      <c r="S258" s="20" t="n">
        <v>-1303</v>
      </c>
      <c r="T258" s="20" t="n">
        <v>-10296</v>
      </c>
      <c r="U258" s="20" t="n">
        <v>-6485</v>
      </c>
      <c r="V258" s="20" t="n">
        <v>-6485</v>
      </c>
      <c r="W258" s="20" t="n">
        <v>-2875</v>
      </c>
      <c r="X258" s="20" t="n">
        <v>11060</v>
      </c>
    </row>
    <row r="259">
      <c r="A259" s="18" t="inlineStr">
        <is>
          <t>소계</t>
        </is>
      </c>
      <c r="C259" s="20" t="n">
        <v>47888</v>
      </c>
      <c r="D259" s="20" t="n">
        <v>60668</v>
      </c>
      <c r="E259" s="20" t="n">
        <v>166748</v>
      </c>
      <c r="F259" s="20" t="n">
        <v>8690</v>
      </c>
      <c r="G259" s="20" t="n">
        <v>43604</v>
      </c>
      <c r="H259" s="20" t="n">
        <v>68447</v>
      </c>
      <c r="I259" s="20" t="n">
        <v>96542</v>
      </c>
      <c r="J259" s="20" t="n">
        <v>21796</v>
      </c>
      <c r="K259" s="20" t="n">
        <v>46167</v>
      </c>
      <c r="L259" s="20" t="n">
        <v>88442</v>
      </c>
      <c r="M259" s="20" t="n">
        <v>119393</v>
      </c>
      <c r="N259" s="20" t="n">
        <v>116236</v>
      </c>
      <c r="O259" s="20" t="n">
        <v>31001</v>
      </c>
      <c r="P259" s="20" t="n">
        <v>29528</v>
      </c>
      <c r="Q259" s="20" t="n">
        <v>25898</v>
      </c>
      <c r="R259" s="20" t="n">
        <v>31011</v>
      </c>
      <c r="S259" s="20" t="n">
        <v>43535</v>
      </c>
      <c r="T259" s="20" t="n">
        <v>148228</v>
      </c>
      <c r="U259" s="20" t="n">
        <v>166801</v>
      </c>
      <c r="V259" s="20" t="n">
        <v>166748</v>
      </c>
      <c r="W259" s="20" t="n">
        <v>96542</v>
      </c>
      <c r="X259" s="20" t="n">
        <v>119393</v>
      </c>
    </row>
    <row r="260">
      <c r="A260" s="18" t="inlineStr">
        <is>
          <t>이자·배당금 수취</t>
        </is>
      </c>
      <c r="C260" s="20" t="n">
        <v>1493</v>
      </c>
      <c r="D260" s="20" t="n">
        <v>2597</v>
      </c>
      <c r="E260" s="20" t="n">
        <v>2901</v>
      </c>
      <c r="F260" s="20" t="n">
        <v>1409</v>
      </c>
      <c r="G260" s="20" t="n">
        <v>1786</v>
      </c>
      <c r="H260" s="20" t="n">
        <v>3307</v>
      </c>
      <c r="I260" s="20" t="n">
        <v>3855</v>
      </c>
      <c r="J260" s="20" t="n">
        <v>1104</v>
      </c>
      <c r="K260" s="20" t="n">
        <v>1741</v>
      </c>
      <c r="L260" s="20" t="n">
        <v>2646</v>
      </c>
      <c r="M260" s="20" t="n">
        <v>3259</v>
      </c>
      <c r="N260" s="20" t="n">
        <v>1107</v>
      </c>
      <c r="O260" s="20" t="n">
        <v>1615</v>
      </c>
      <c r="P260" s="20" t="n">
        <v>1366</v>
      </c>
      <c r="Q260" s="20" t="n">
        <v>1370</v>
      </c>
      <c r="R260" s="20" t="n">
        <v>1323</v>
      </c>
      <c r="S260" s="20" t="n">
        <v>1222</v>
      </c>
      <c r="T260" s="20" t="n">
        <v>2506</v>
      </c>
      <c r="U260" s="20" t="n">
        <v>2901</v>
      </c>
      <c r="V260" s="20" t="n">
        <v>2901</v>
      </c>
      <c r="W260" s="20" t="n">
        <v>3855</v>
      </c>
      <c r="X260" s="20" t="n">
        <v>3259</v>
      </c>
    </row>
    <row r="261">
      <c r="A261" s="18" t="inlineStr">
        <is>
          <t>이자 지급</t>
        </is>
      </c>
      <c r="C261" s="20" t="n">
        <v>-303</v>
      </c>
      <c r="D261" s="20" t="n">
        <v>-507</v>
      </c>
      <c r="E261" s="20" t="n">
        <v>-710</v>
      </c>
      <c r="F261" s="20" t="n">
        <v>-214</v>
      </c>
      <c r="G261" s="20" t="n">
        <v>-453</v>
      </c>
      <c r="H261" s="20" t="n">
        <v>-798</v>
      </c>
      <c r="I261" s="20" t="n">
        <v>-1155</v>
      </c>
      <c r="J261" s="20" t="n">
        <v>-351</v>
      </c>
      <c r="K261" s="20" t="n">
        <v>-698</v>
      </c>
      <c r="L261" s="20" t="n">
        <v>-1023</v>
      </c>
      <c r="M261" s="20" t="n">
        <v>-1365</v>
      </c>
      <c r="N261" s="20" t="n">
        <v>-226</v>
      </c>
      <c r="O261" s="20" t="n">
        <v>-187</v>
      </c>
      <c r="P261" s="20" t="n">
        <v>-146</v>
      </c>
      <c r="Q261" s="20" t="n">
        <v>-158</v>
      </c>
      <c r="R261" s="20" t="n">
        <v>-194</v>
      </c>
      <c r="S261" s="20" t="n">
        <v>-258</v>
      </c>
      <c r="T261" s="20" t="n">
        <v>-370</v>
      </c>
      <c r="U261" s="20" t="n">
        <v>-710</v>
      </c>
      <c r="V261" s="20" t="n">
        <v>-710</v>
      </c>
      <c r="W261" s="20" t="n">
        <v>-1155</v>
      </c>
      <c r="X261" s="20" t="n">
        <v>-1365</v>
      </c>
    </row>
    <row r="262">
      <c r="A262" s="18" t="inlineStr">
        <is>
          <t>법인세 납부</t>
        </is>
      </c>
      <c r="C262" s="20" t="n">
        <v>-14752</v>
      </c>
      <c r="D262" s="20" t="n">
        <v>-25479</v>
      </c>
      <c r="E262" s="20" t="n">
        <v>-25641</v>
      </c>
      <c r="F262" s="20" t="n">
        <v>-2327</v>
      </c>
      <c r="G262" s="20" t="n">
        <v>-2674</v>
      </c>
      <c r="H262" s="20" t="n">
        <v>-9059</v>
      </c>
      <c r="I262" s="20" t="n">
        <v>-9978</v>
      </c>
      <c r="J262" s="20" t="n">
        <v>-13898</v>
      </c>
      <c r="K262" s="20" t="n">
        <v>-14415</v>
      </c>
      <c r="L262" s="20" t="n">
        <v>-24206</v>
      </c>
      <c r="M262" s="20" t="n">
        <v>-23627</v>
      </c>
      <c r="N262" s="20" t="n">
        <v>-21226</v>
      </c>
      <c r="O262" s="20" t="n">
        <v>-4225</v>
      </c>
      <c r="P262" s="20" t="n">
        <v>-3708</v>
      </c>
      <c r="Q262" s="20" t="n">
        <v>-8554</v>
      </c>
      <c r="R262" s="20" t="n">
        <v>-6043</v>
      </c>
      <c r="S262" s="20" t="n">
        <v>-5545</v>
      </c>
      <c r="T262" s="20" t="n">
        <v>-24616</v>
      </c>
      <c r="U262" s="20" t="n">
        <v>-25641</v>
      </c>
      <c r="V262" s="20" t="n">
        <v>-25641</v>
      </c>
      <c r="W262" s="20" t="n">
        <v>-9978</v>
      </c>
      <c r="X262" s="20" t="n">
        <v>-23627</v>
      </c>
    </row>
    <row r="263">
      <c r="A263" s="18" t="inlineStr">
        <is>
          <t>법인세 환급</t>
        </is>
      </c>
      <c r="O263" s="20" t="n">
        <v>609</v>
      </c>
      <c r="P263" s="20" t="n">
        <v>0</v>
      </c>
    </row>
    <row r="264">
      <c r="A264" s="18" t="inlineStr">
        <is>
          <t>보험금 수취</t>
        </is>
      </c>
      <c r="E264" s="20" t="n">
        <v>52</v>
      </c>
      <c r="I264" s="20" t="n">
        <v>1051</v>
      </c>
      <c r="M264" s="20" t="n">
        <v>0</v>
      </c>
      <c r="V264" s="20" t="n">
        <v>52</v>
      </c>
      <c r="W264" s="20" t="n">
        <v>1051</v>
      </c>
      <c r="X264" s="20" t="n">
        <v>0</v>
      </c>
    </row>
    <row r="265">
      <c r="A265" s="18" t="inlineStr">
        <is>
          <t>보조금 수취</t>
        </is>
      </c>
      <c r="C265" s="20" t="n">
        <v>0</v>
      </c>
      <c r="D265" s="20" t="n">
        <v>136</v>
      </c>
      <c r="E265" s="20" t="n">
        <v>1881</v>
      </c>
      <c r="F265" s="20" t="n">
        <v>853</v>
      </c>
      <c r="G265" s="20" t="n">
        <v>2585</v>
      </c>
      <c r="H265" s="20" t="n">
        <v>6285</v>
      </c>
      <c r="I265" s="20" t="n">
        <v>28581</v>
      </c>
      <c r="J265" s="20" t="n">
        <v>911</v>
      </c>
      <c r="K265" s="20" t="n">
        <v>3903</v>
      </c>
      <c r="L265" s="20" t="n">
        <v>6831</v>
      </c>
      <c r="M265" s="20" t="n">
        <v>8748</v>
      </c>
      <c r="N265" s="20" t="n">
        <v>0</v>
      </c>
      <c r="T265" s="20" t="n">
        <v>0</v>
      </c>
      <c r="U265" s="20" t="n">
        <v>1881</v>
      </c>
      <c r="V265" s="20" t="n">
        <v>1881</v>
      </c>
      <c r="W265" s="20" t="n">
        <v>28581</v>
      </c>
      <c r="X265" s="20" t="n">
        <v>8748</v>
      </c>
    </row>
    <row r="266">
      <c r="A266" s="9" t="inlineStr">
        <is>
          <t>영업활동 현금흐름</t>
        </is>
      </c>
      <c r="C266" s="12" t="n">
        <v>34325</v>
      </c>
      <c r="D266" s="12" t="n">
        <v>37415</v>
      </c>
      <c r="E266" s="12" t="n">
        <v>145231</v>
      </c>
      <c r="F266" s="12" t="n">
        <v>8410</v>
      </c>
      <c r="G266" s="12" t="n">
        <v>44848</v>
      </c>
      <c r="H266" s="12" t="n">
        <v>68182</v>
      </c>
      <c r="I266" s="12" t="n">
        <v>118895</v>
      </c>
      <c r="J266" s="12" t="n">
        <v>9562</v>
      </c>
      <c r="K266" s="12" t="n">
        <v>36697</v>
      </c>
      <c r="L266" s="12" t="n">
        <v>72690</v>
      </c>
      <c r="M266" s="12" t="n">
        <v>106407</v>
      </c>
      <c r="N266" s="12" t="n">
        <v>95892</v>
      </c>
      <c r="O266" s="12" t="n">
        <v>28813</v>
      </c>
      <c r="P266" s="12" t="n">
        <v>27040</v>
      </c>
      <c r="Q266" s="12" t="n">
        <v>18555</v>
      </c>
      <c r="R266" s="12" t="n">
        <v>26096</v>
      </c>
      <c r="S266" s="12" t="n">
        <v>38954</v>
      </c>
      <c r="T266" s="12" t="n">
        <v>125748</v>
      </c>
      <c r="U266" s="12" t="n">
        <v>145231</v>
      </c>
      <c r="V266" s="12" t="n">
        <v>145231</v>
      </c>
      <c r="W266" s="12" t="n">
        <v>118895</v>
      </c>
      <c r="X266" s="12" t="n">
        <v>106407</v>
      </c>
    </row>
    <row r="267">
      <c r="A267" s="18" t="inlineStr">
        <is>
          <t>유형자산 취득(설비투자)</t>
        </is>
      </c>
      <c r="C267" s="20" t="n">
        <v>-50187</v>
      </c>
      <c r="D267" s="20" t="n">
        <v>-68042</v>
      </c>
      <c r="E267" s="20" t="n">
        <v>-85456</v>
      </c>
      <c r="F267" s="20" t="n">
        <v>-26067</v>
      </c>
      <c r="G267" s="20" t="n">
        <v>-108286</v>
      </c>
      <c r="H267" s="20" t="n">
        <v>-146475</v>
      </c>
      <c r="I267" s="20" t="n">
        <v>-197484</v>
      </c>
      <c r="J267" s="20" t="n">
        <v>-23271</v>
      </c>
      <c r="K267" s="20" t="n">
        <v>-59607</v>
      </c>
      <c r="L267" s="20" t="n">
        <v>-80116</v>
      </c>
      <c r="M267" s="20" t="n">
        <v>-106118</v>
      </c>
      <c r="N267" s="20" t="n">
        <v>-15747</v>
      </c>
      <c r="O267" s="20" t="n">
        <v>-25558</v>
      </c>
      <c r="P267" s="20" t="n">
        <v>-18767</v>
      </c>
      <c r="Q267" s="20" t="n">
        <v>-23438</v>
      </c>
      <c r="R267" s="20" t="n">
        <v>-37268</v>
      </c>
      <c r="S267" s="20" t="n">
        <v>-75350</v>
      </c>
      <c r="T267" s="20" t="n">
        <v>-103233</v>
      </c>
      <c r="U267" s="20" t="n">
        <v>-85456</v>
      </c>
      <c r="V267" s="20" t="n">
        <v>-85456</v>
      </c>
      <c r="W267" s="20" t="n">
        <v>-197484</v>
      </c>
      <c r="X267" s="20" t="n">
        <v>-106118</v>
      </c>
    </row>
    <row r="268">
      <c r="A268" s="18" t="inlineStr">
        <is>
          <t>유형자산 매각</t>
        </is>
      </c>
      <c r="C268" s="20" t="n">
        <v>137</v>
      </c>
      <c r="D268" s="20" t="n">
        <v>159</v>
      </c>
      <c r="E268" s="20" t="n">
        <v>190</v>
      </c>
      <c r="F268" s="20" t="n">
        <v>15</v>
      </c>
      <c r="G268" s="20" t="n">
        <v>129</v>
      </c>
      <c r="H268" s="20" t="n">
        <v>145</v>
      </c>
      <c r="I268" s="20" t="n">
        <v>176</v>
      </c>
      <c r="J268" s="20" t="n">
        <v>307</v>
      </c>
      <c r="K268" s="20" t="n">
        <v>396</v>
      </c>
      <c r="L268" s="20" t="n">
        <v>552</v>
      </c>
      <c r="M268" s="20" t="n">
        <v>579</v>
      </c>
      <c r="N268" s="20" t="n">
        <v>15</v>
      </c>
      <c r="O268" s="20" t="n">
        <v>181</v>
      </c>
      <c r="P268" s="20" t="n">
        <v>277</v>
      </c>
      <c r="Q268" s="20" t="n">
        <v>147</v>
      </c>
      <c r="R268" s="20" t="n">
        <v>844</v>
      </c>
      <c r="S268" s="20" t="n">
        <v>637</v>
      </c>
      <c r="T268" s="20" t="n">
        <v>192</v>
      </c>
      <c r="U268" s="20" t="n">
        <v>190</v>
      </c>
      <c r="V268" s="20" t="n">
        <v>190</v>
      </c>
      <c r="W268" s="20" t="n">
        <v>176</v>
      </c>
      <c r="X268" s="20" t="n">
        <v>579</v>
      </c>
    </row>
    <row r="269">
      <c r="A269" s="18" t="inlineStr">
        <is>
          <t>무형자산 취득</t>
        </is>
      </c>
      <c r="C269" s="20" t="n">
        <v>-576</v>
      </c>
      <c r="D269" s="20" t="n">
        <v>-853</v>
      </c>
      <c r="E269" s="20" t="n">
        <v>-966</v>
      </c>
      <c r="F269" s="20" t="n">
        <v>-352</v>
      </c>
      <c r="G269" s="20" t="n">
        <v>-524</v>
      </c>
      <c r="H269" s="20" t="n">
        <v>-953</v>
      </c>
      <c r="I269" s="20" t="n">
        <v>-1040</v>
      </c>
      <c r="J269" s="20" t="n">
        <v>-231</v>
      </c>
      <c r="K269" s="20" t="n">
        <v>-840</v>
      </c>
      <c r="L269" s="20" t="n">
        <v>-882</v>
      </c>
      <c r="M269" s="20" t="n">
        <v>-1126</v>
      </c>
      <c r="N269" s="20" t="n">
        <v>-390</v>
      </c>
      <c r="O269" s="20" t="n">
        <v>-1022</v>
      </c>
      <c r="P269" s="20" t="n">
        <v>-408</v>
      </c>
      <c r="Q269" s="20" t="n">
        <v>-1174</v>
      </c>
      <c r="R269" s="20" t="n">
        <v>-1226</v>
      </c>
      <c r="S269" s="20" t="n">
        <v>-1173</v>
      </c>
      <c r="T269" s="20" t="n">
        <v>-799</v>
      </c>
      <c r="U269" s="20" t="n">
        <v>-966</v>
      </c>
      <c r="V269" s="20" t="n">
        <v>-966</v>
      </c>
      <c r="W269" s="20" t="n">
        <v>-1040</v>
      </c>
      <c r="X269" s="20" t="n">
        <v>-1126</v>
      </c>
    </row>
    <row r="270">
      <c r="A270" s="18" t="inlineStr">
        <is>
          <t>투자유가증권 취득</t>
        </is>
      </c>
      <c r="C270" s="20" t="n">
        <v>-20</v>
      </c>
      <c r="D270" s="20" t="n">
        <v>-35</v>
      </c>
      <c r="E270" s="20" t="n">
        <v>-40</v>
      </c>
      <c r="F270" s="20" t="n">
        <v>-8</v>
      </c>
      <c r="G270" s="20" t="n">
        <v>-15</v>
      </c>
      <c r="H270" s="20" t="n">
        <v>-27</v>
      </c>
      <c r="I270" s="20" t="n">
        <v>-32</v>
      </c>
      <c r="J270" s="20" t="n">
        <v>-9</v>
      </c>
      <c r="K270" s="20" t="n">
        <v>-16</v>
      </c>
      <c r="L270" s="20" t="n">
        <v>-250</v>
      </c>
      <c r="M270" s="20" t="n">
        <v>-333</v>
      </c>
      <c r="N270" s="20" t="n">
        <v>-50</v>
      </c>
      <c r="O270" s="20" t="n">
        <v>-37</v>
      </c>
      <c r="P270" s="20" t="n">
        <v>-2557</v>
      </c>
      <c r="Q270" s="20" t="n">
        <v>-280</v>
      </c>
      <c r="R270" s="20" t="n">
        <v>-26</v>
      </c>
      <c r="S270" s="20" t="n">
        <v>-6199</v>
      </c>
      <c r="T270" s="20" t="n">
        <v>-39</v>
      </c>
      <c r="U270" s="20" t="n">
        <v>-40</v>
      </c>
      <c r="V270" s="20" t="n">
        <v>-40</v>
      </c>
      <c r="W270" s="20" t="n">
        <v>-32</v>
      </c>
      <c r="X270" s="20" t="n">
        <v>-333</v>
      </c>
    </row>
    <row r="271">
      <c r="A271" s="18" t="inlineStr">
        <is>
          <t>투자유가증권 매각</t>
        </is>
      </c>
      <c r="C271" s="20" t="n">
        <v>0</v>
      </c>
      <c r="D271" s="20" t="n">
        <v>0</v>
      </c>
      <c r="E271" s="20" t="n">
        <v>182</v>
      </c>
      <c r="F271" s="20" t="n">
        <v>0</v>
      </c>
      <c r="G271" s="20" t="n">
        <v>0</v>
      </c>
      <c r="H271" s="20" t="n">
        <v>0</v>
      </c>
      <c r="I271" s="20" t="n">
        <v>34635</v>
      </c>
      <c r="J271" s="20" t="n">
        <v>0</v>
      </c>
      <c r="K271" s="20" t="n">
        <v>0</v>
      </c>
      <c r="L271" s="20" t="n">
        <v>533</v>
      </c>
      <c r="M271" s="20" t="n">
        <v>57450</v>
      </c>
      <c r="O271" s="20" t="n">
        <v>1</v>
      </c>
      <c r="P271" s="20" t="n">
        <v>165</v>
      </c>
      <c r="Q271" s="20" t="n">
        <v>6873</v>
      </c>
      <c r="R271" s="20" t="n">
        <v>177</v>
      </c>
      <c r="S271" s="20" t="n">
        <v>95</v>
      </c>
      <c r="T271" s="20" t="n">
        <v>402</v>
      </c>
      <c r="U271" s="20" t="n">
        <v>182</v>
      </c>
      <c r="V271" s="20" t="n">
        <v>182</v>
      </c>
      <c r="W271" s="20" t="n">
        <v>34635</v>
      </c>
      <c r="X271" s="20" t="n">
        <v>57450</v>
      </c>
    </row>
    <row r="272">
      <c r="A272" s="18" t="inlineStr">
        <is>
          <t>장기대여</t>
        </is>
      </c>
      <c r="O272" s="20" t="n">
        <v>-10</v>
      </c>
      <c r="P272" s="20" t="n">
        <v>-11</v>
      </c>
      <c r="Q272" s="20" t="n">
        <v>0</v>
      </c>
    </row>
    <row r="273">
      <c r="A273" s="18" t="inlineStr">
        <is>
          <t>연결범위 변경 자회사 주식 취득</t>
        </is>
      </c>
      <c r="P273" s="20" t="n">
        <v>0</v>
      </c>
      <c r="Q273" s="20" t="n">
        <v>-88</v>
      </c>
      <c r="R273" s="20" t="n">
        <v>0</v>
      </c>
      <c r="S273" s="20" t="n">
        <v>-584</v>
      </c>
      <c r="T273" s="20" t="n">
        <v>0</v>
      </c>
    </row>
    <row r="274">
      <c r="A274" s="18" t="inlineStr">
        <is>
          <t>정기예금 예입</t>
        </is>
      </c>
      <c r="I274" s="20" t="n">
        <v>0</v>
      </c>
      <c r="M274" s="20" t="n">
        <v>-2563</v>
      </c>
      <c r="W274" s="20" t="n">
        <v>0</v>
      </c>
      <c r="X274" s="20" t="n">
        <v>-2563</v>
      </c>
    </row>
    <row r="275">
      <c r="A275" s="18" t="inlineStr">
        <is>
          <t>장기대여금 회수</t>
        </is>
      </c>
      <c r="C275" s="20" t="n">
        <v>0</v>
      </c>
      <c r="D275" s="20" t="n">
        <v>0</v>
      </c>
      <c r="E275" s="20" t="n">
        <v>0</v>
      </c>
      <c r="F275" s="20" t="n">
        <v>0</v>
      </c>
      <c r="G275" s="20" t="n">
        <v>0</v>
      </c>
      <c r="H275" s="20" t="n">
        <v>0</v>
      </c>
      <c r="I275" s="20" t="n">
        <v>0</v>
      </c>
      <c r="J275" s="20" t="n">
        <v>0</v>
      </c>
      <c r="K275" s="20" t="n">
        <v>0</v>
      </c>
      <c r="L275" s="20" t="n">
        <v>0</v>
      </c>
      <c r="M275" s="20" t="n">
        <v>0</v>
      </c>
      <c r="N275" s="20" t="n">
        <v>0</v>
      </c>
      <c r="O275" s="20" t="n">
        <v>18</v>
      </c>
      <c r="P275" s="20" t="n">
        <v>17</v>
      </c>
      <c r="Q275" s="20" t="n">
        <v>0</v>
      </c>
      <c r="R275" s="20" t="n">
        <v>0</v>
      </c>
      <c r="S275" s="20" t="n">
        <v>0</v>
      </c>
      <c r="T275" s="20" t="n">
        <v>0</v>
      </c>
      <c r="U275" s="20" t="n">
        <v>0</v>
      </c>
      <c r="V275" s="20" t="n">
        <v>0</v>
      </c>
      <c r="W275" s="20" t="n">
        <v>0</v>
      </c>
      <c r="X275" s="20" t="n">
        <v>0</v>
      </c>
    </row>
    <row r="276">
      <c r="A276" s="18" t="inlineStr">
        <is>
          <t>연결범위 변경 자회사 주식 매각(지출)</t>
        </is>
      </c>
      <c r="F276" s="20" t="n">
        <v>0</v>
      </c>
      <c r="S276" s="20" t="n">
        <v>0</v>
      </c>
      <c r="T276" s="20" t="n">
        <v>-1164</v>
      </c>
      <c r="U276" s="20" t="n">
        <v>0</v>
      </c>
    </row>
    <row r="277">
      <c r="A277" s="18" t="inlineStr">
        <is>
          <t>Decrease Increase In Short Term Loans Receivable Inv CF</t>
        </is>
      </c>
      <c r="O277" s="20" t="n">
        <v>0</v>
      </c>
      <c r="P277" s="20" t="n">
        <v>0</v>
      </c>
      <c r="Q277" s="20" t="n">
        <v>0</v>
      </c>
      <c r="R277" s="20" t="n">
        <v>-1</v>
      </c>
      <c r="S277" s="20" t="n">
        <v>0</v>
      </c>
      <c r="T277" s="20" t="n">
        <v>0</v>
      </c>
    </row>
    <row r="278">
      <c r="A278" s="18" t="inlineStr">
        <is>
          <t>연결범위 변경 자회사 주식 매각</t>
        </is>
      </c>
      <c r="C278" s="20" t="n">
        <v>8686</v>
      </c>
      <c r="D278" s="20" t="n">
        <v>8686</v>
      </c>
      <c r="E278" s="20" t="n">
        <v>8686</v>
      </c>
      <c r="G278" s="20" t="n">
        <v>0</v>
      </c>
      <c r="H278" s="20" t="n">
        <v>0</v>
      </c>
      <c r="I278" s="20" t="n">
        <v>0</v>
      </c>
      <c r="T278" s="20" t="n">
        <v>0</v>
      </c>
      <c r="U278" s="20" t="n">
        <v>8686</v>
      </c>
      <c r="V278" s="20" t="n">
        <v>8686</v>
      </c>
      <c r="W278" s="20" t="n">
        <v>0</v>
      </c>
    </row>
    <row r="279">
      <c r="A279" s="18" t="inlineStr">
        <is>
          <t>기타</t>
        </is>
      </c>
      <c r="C279" s="20" t="n">
        <v>13</v>
      </c>
      <c r="D279" s="20" t="n">
        <v>113</v>
      </c>
      <c r="E279" s="20" t="n">
        <v>129</v>
      </c>
      <c r="F279" s="20" t="n">
        <v>-269</v>
      </c>
      <c r="G279" s="20" t="n">
        <v>-365</v>
      </c>
      <c r="H279" s="20" t="n">
        <v>-808</v>
      </c>
      <c r="I279" s="20" t="n">
        <v>-437</v>
      </c>
      <c r="J279" s="20" t="n">
        <v>-90</v>
      </c>
      <c r="K279" s="20" t="n">
        <v>-131</v>
      </c>
      <c r="L279" s="20" t="n">
        <v>-250</v>
      </c>
      <c r="M279" s="20" t="n">
        <v>-304</v>
      </c>
      <c r="N279" s="20" t="n">
        <v>37</v>
      </c>
      <c r="O279" s="20" t="n">
        <v>147</v>
      </c>
      <c r="P279" s="20" t="n">
        <v>-17</v>
      </c>
      <c r="Q279" s="20" t="n">
        <v>-75</v>
      </c>
      <c r="R279" s="20" t="n">
        <v>-582</v>
      </c>
      <c r="S279" s="20" t="n">
        <v>227</v>
      </c>
      <c r="T279" s="20" t="n">
        <v>-541</v>
      </c>
      <c r="U279" s="20" t="n">
        <v>129</v>
      </c>
      <c r="V279" s="20" t="n">
        <v>129</v>
      </c>
      <c r="W279" s="20" t="n">
        <v>-437</v>
      </c>
      <c r="X279" s="20" t="n">
        <v>-304</v>
      </c>
    </row>
    <row r="280">
      <c r="A280" s="9" t="inlineStr">
        <is>
          <t>투자활동 현금흐름</t>
        </is>
      </c>
      <c r="C280" s="12" t="n">
        <v>-41946</v>
      </c>
      <c r="D280" s="12" t="n">
        <v>-59972</v>
      </c>
      <c r="E280" s="12" t="n">
        <v>-77274</v>
      </c>
      <c r="F280" s="12" t="n">
        <v>-26682</v>
      </c>
      <c r="G280" s="12" t="n">
        <v>-109062</v>
      </c>
      <c r="H280" s="12" t="n">
        <v>-148118</v>
      </c>
      <c r="I280" s="12" t="n">
        <v>-164182</v>
      </c>
      <c r="J280" s="12" t="n">
        <v>-23295</v>
      </c>
      <c r="K280" s="12" t="n">
        <v>-60199</v>
      </c>
      <c r="L280" s="12" t="n">
        <v>-80414</v>
      </c>
      <c r="M280" s="12" t="n">
        <v>-52416</v>
      </c>
      <c r="N280" s="12" t="n">
        <v>-16135</v>
      </c>
      <c r="O280" s="12" t="n">
        <v>-26280</v>
      </c>
      <c r="P280" s="12" t="n">
        <v>-21303</v>
      </c>
      <c r="Q280" s="12" t="n">
        <v>-18036</v>
      </c>
      <c r="R280" s="12" t="n">
        <v>-38083</v>
      </c>
      <c r="S280" s="12" t="n">
        <v>-82345</v>
      </c>
      <c r="T280" s="12" t="n">
        <v>-104019</v>
      </c>
      <c r="U280" s="12" t="n">
        <v>-77274</v>
      </c>
      <c r="V280" s="12" t="n">
        <v>-77274</v>
      </c>
      <c r="W280" s="12" t="n">
        <v>-164182</v>
      </c>
      <c r="X280" s="12" t="n">
        <v>-52416</v>
      </c>
    </row>
    <row r="281">
      <c r="A281" s="18" t="inlineStr">
        <is>
          <t>단기차입금 순증감</t>
        </is>
      </c>
      <c r="E281" s="20" t="n">
        <v>-30</v>
      </c>
      <c r="I281" s="20" t="n">
        <v>0</v>
      </c>
      <c r="M281" s="20" t="n">
        <v>-20000</v>
      </c>
      <c r="P281" s="20" t="n">
        <v>0</v>
      </c>
      <c r="Q281" s="20" t="n">
        <v>30</v>
      </c>
      <c r="R281" s="20" t="n">
        <v>0</v>
      </c>
      <c r="S281" s="20" t="n">
        <v>-37</v>
      </c>
      <c r="T281" s="20" t="n">
        <v>0</v>
      </c>
      <c r="U281" s="20" t="n">
        <v>-30</v>
      </c>
      <c r="V281" s="20" t="n">
        <v>-30</v>
      </c>
      <c r="W281" s="20" t="n">
        <v>0</v>
      </c>
      <c r="X281" s="20" t="n">
        <v>-20000</v>
      </c>
    </row>
    <row r="282">
      <c r="A282" s="18" t="inlineStr">
        <is>
          <t>장기차입</t>
        </is>
      </c>
      <c r="C282" s="20" t="n">
        <v>45000</v>
      </c>
      <c r="D282" s="20" t="n">
        <v>45000</v>
      </c>
      <c r="E282" s="20" t="n">
        <v>45000</v>
      </c>
      <c r="G282" s="20" t="n">
        <v>25000</v>
      </c>
      <c r="H282" s="20" t="n">
        <v>35000</v>
      </c>
      <c r="I282" s="20" t="n">
        <v>35000</v>
      </c>
      <c r="J282" s="20" t="n">
        <v>0</v>
      </c>
      <c r="K282" s="20" t="n">
        <v>0</v>
      </c>
      <c r="L282" s="20" t="n">
        <v>0</v>
      </c>
      <c r="M282" s="20" t="n">
        <v>0</v>
      </c>
      <c r="N282" s="20" t="n">
        <v>1000</v>
      </c>
      <c r="O282" s="20" t="n">
        <v>10000</v>
      </c>
      <c r="P282" s="20" t="n">
        <v>0</v>
      </c>
      <c r="Q282" s="20" t="n">
        <v>0</v>
      </c>
      <c r="R282" s="20" t="n">
        <v>70000</v>
      </c>
      <c r="S282" s="20" t="n">
        <v>10008</v>
      </c>
      <c r="T282" s="20" t="n">
        <v>70000</v>
      </c>
      <c r="U282" s="20" t="n">
        <v>45000</v>
      </c>
      <c r="V282" s="20" t="n">
        <v>45000</v>
      </c>
      <c r="W282" s="20" t="n">
        <v>35000</v>
      </c>
      <c r="X282" s="20" t="n">
        <v>0</v>
      </c>
    </row>
    <row r="283">
      <c r="A283" s="18" t="inlineStr">
        <is>
          <t>장기차입금 상환</t>
        </is>
      </c>
      <c r="C283" s="20" t="n">
        <v>-45000</v>
      </c>
      <c r="D283" s="20" t="n">
        <v>-45000</v>
      </c>
      <c r="E283" s="20" t="n">
        <v>-45000</v>
      </c>
      <c r="G283" s="20" t="n">
        <v>-25000</v>
      </c>
      <c r="H283" s="20" t="n">
        <v>-35000</v>
      </c>
      <c r="I283" s="20" t="n">
        <v>-35000</v>
      </c>
      <c r="K283" s="20" t="n">
        <v>0</v>
      </c>
      <c r="L283" s="20" t="n">
        <v>0</v>
      </c>
      <c r="M283" s="20" t="n">
        <v>-90000</v>
      </c>
      <c r="O283" s="20" t="n">
        <v>-10065</v>
      </c>
      <c r="P283" s="20" t="n">
        <v>-56</v>
      </c>
      <c r="Q283" s="20" t="n">
        <v>-5</v>
      </c>
      <c r="R283" s="20" t="n">
        <v>0</v>
      </c>
      <c r="S283" s="20" t="n">
        <v>-10000</v>
      </c>
      <c r="T283" s="20" t="n">
        <v>0</v>
      </c>
      <c r="U283" s="20" t="n">
        <v>-45000</v>
      </c>
      <c r="V283" s="20" t="n">
        <v>-45000</v>
      </c>
      <c r="W283" s="20" t="n">
        <v>-35000</v>
      </c>
      <c r="X283" s="20" t="n">
        <v>-90000</v>
      </c>
    </row>
    <row r="284">
      <c r="A284" s="18" t="inlineStr">
        <is>
          <t>사채 발행</t>
        </is>
      </c>
      <c r="C284" s="20" t="n">
        <v>0</v>
      </c>
      <c r="D284" s="20" t="n">
        <v>0</v>
      </c>
      <c r="E284" s="20" t="n">
        <v>0</v>
      </c>
      <c r="G284" s="20" t="n">
        <v>35000</v>
      </c>
      <c r="H284" s="20" t="n">
        <v>35000</v>
      </c>
      <c r="I284" s="20" t="n">
        <v>35000</v>
      </c>
      <c r="K284" s="20" t="n">
        <v>0</v>
      </c>
      <c r="L284" s="20" t="n">
        <v>0</v>
      </c>
      <c r="M284" s="20" t="n">
        <v>0</v>
      </c>
      <c r="O284" s="20" t="n">
        <v>15000</v>
      </c>
      <c r="P284" s="20" t="n">
        <v>0</v>
      </c>
      <c r="Q284" s="20" t="n">
        <v>0</v>
      </c>
      <c r="R284" s="20" t="n">
        <v>35000</v>
      </c>
      <c r="S284" s="20" t="n">
        <v>0</v>
      </c>
      <c r="T284" s="20" t="n">
        <v>50000</v>
      </c>
      <c r="U284" s="20" t="n">
        <v>0</v>
      </c>
      <c r="V284" s="20" t="n">
        <v>0</v>
      </c>
      <c r="W284" s="20" t="n">
        <v>35000</v>
      </c>
      <c r="X284" s="20" t="n">
        <v>0</v>
      </c>
    </row>
    <row r="285">
      <c r="A285" s="18" t="inlineStr">
        <is>
          <t>사채 상환</t>
        </is>
      </c>
      <c r="C285" s="20" t="n">
        <v>0</v>
      </c>
      <c r="D285" s="20" t="n">
        <v>0</v>
      </c>
      <c r="E285" s="20" t="n">
        <v>0</v>
      </c>
      <c r="G285" s="20" t="n">
        <v>-35000</v>
      </c>
      <c r="H285" s="20" t="n">
        <v>-35000</v>
      </c>
      <c r="I285" s="20" t="n">
        <v>-35000</v>
      </c>
      <c r="K285" s="20" t="n">
        <v>-40000</v>
      </c>
      <c r="L285" s="20" t="n">
        <v>-40000</v>
      </c>
      <c r="M285" s="20" t="n">
        <v>-40000</v>
      </c>
      <c r="O285" s="20" t="n">
        <v>-15000</v>
      </c>
      <c r="P285" s="20" t="n">
        <v>0</v>
      </c>
      <c r="Q285" s="20" t="n">
        <v>0</v>
      </c>
      <c r="R285" s="20" t="n">
        <v>-25000</v>
      </c>
      <c r="S285" s="20" t="n">
        <v>0</v>
      </c>
      <c r="T285" s="20" t="n">
        <v>-20000</v>
      </c>
      <c r="U285" s="20" t="n">
        <v>0</v>
      </c>
      <c r="V285" s="20" t="n">
        <v>0</v>
      </c>
      <c r="W285" s="20" t="n">
        <v>-35000</v>
      </c>
      <c r="X285" s="20" t="n">
        <v>-40000</v>
      </c>
    </row>
    <row r="286">
      <c r="A286" s="18" t="inlineStr">
        <is>
          <t>전환사채형 신주예약권부 사채 발행 수입</t>
        </is>
      </c>
      <c r="E286" s="20" t="n">
        <v>73500</v>
      </c>
      <c r="I286" s="20" t="n">
        <v>0</v>
      </c>
      <c r="T286" s="20" t="n">
        <v>0</v>
      </c>
      <c r="U286" s="20" t="n">
        <v>73500</v>
      </c>
      <c r="V286" s="20" t="n">
        <v>73500</v>
      </c>
      <c r="W286" s="20" t="n">
        <v>0</v>
      </c>
    </row>
    <row r="287">
      <c r="A287" s="18" t="inlineStr">
        <is>
          <t>Payments For Issuance Of Bonds Fin CF</t>
        </is>
      </c>
      <c r="C287" s="20" t="n">
        <v>0</v>
      </c>
      <c r="D287" s="20" t="n">
        <v>0</v>
      </c>
      <c r="G287" s="20" t="n">
        <v>-151</v>
      </c>
      <c r="H287" s="20" t="n">
        <v>-151</v>
      </c>
      <c r="K287" s="20" t="n">
        <v>0</v>
      </c>
      <c r="L287" s="20" t="n">
        <v>0</v>
      </c>
    </row>
    <row r="288">
      <c r="A288" s="18" t="inlineStr">
        <is>
          <t>자기주식 취득</t>
        </is>
      </c>
      <c r="C288" s="20" t="n">
        <v>-7</v>
      </c>
      <c r="D288" s="20" t="n">
        <v>-10</v>
      </c>
      <c r="E288" s="20" t="n">
        <v>-12</v>
      </c>
      <c r="F288" s="20" t="n">
        <v>-1</v>
      </c>
      <c r="G288" s="20" t="n">
        <v>-2</v>
      </c>
      <c r="H288" s="20" t="n">
        <v>-640</v>
      </c>
      <c r="I288" s="20" t="n">
        <v>-641</v>
      </c>
      <c r="J288" s="20" t="n">
        <v>-0</v>
      </c>
      <c r="K288" s="20" t="n">
        <v>-0</v>
      </c>
      <c r="L288" s="20" t="n">
        <v>-7</v>
      </c>
      <c r="M288" s="20" t="n">
        <v>-10</v>
      </c>
      <c r="N288" s="20" t="n">
        <v>-4</v>
      </c>
      <c r="O288" s="20" t="n">
        <v>-3</v>
      </c>
      <c r="P288" s="20" t="n">
        <v>-363</v>
      </c>
      <c r="Q288" s="20" t="n">
        <v>-2</v>
      </c>
      <c r="R288" s="20" t="n">
        <v>-2</v>
      </c>
      <c r="S288" s="20" t="n">
        <v>-762</v>
      </c>
      <c r="T288" s="20" t="n">
        <v>-8</v>
      </c>
      <c r="U288" s="20" t="n">
        <v>-12</v>
      </c>
      <c r="V288" s="20" t="n">
        <v>-12</v>
      </c>
      <c r="W288" s="20" t="n">
        <v>-641</v>
      </c>
      <c r="X288" s="20" t="n">
        <v>-10</v>
      </c>
    </row>
    <row r="289">
      <c r="A289" s="18" t="inlineStr">
        <is>
          <t>자기주식 매각</t>
        </is>
      </c>
      <c r="C289" s="20" t="n">
        <v>154</v>
      </c>
      <c r="D289" s="20" t="n">
        <v>156</v>
      </c>
      <c r="E289" s="20" t="n">
        <v>156</v>
      </c>
      <c r="F289" s="20" t="n">
        <v>110</v>
      </c>
      <c r="G289" s="20" t="n">
        <v>123</v>
      </c>
      <c r="H289" s="20" t="n">
        <v>123</v>
      </c>
      <c r="I289" s="20" t="n">
        <v>127</v>
      </c>
      <c r="J289" s="20" t="n">
        <v>44</v>
      </c>
      <c r="K289" s="20" t="n">
        <v>56</v>
      </c>
      <c r="L289" s="20" t="n">
        <v>56</v>
      </c>
      <c r="M289" s="20" t="n">
        <v>56</v>
      </c>
      <c r="N289" s="20" t="n">
        <v>40</v>
      </c>
      <c r="O289" s="20" t="n">
        <v>0</v>
      </c>
      <c r="P289" s="20" t="n">
        <v>12000</v>
      </c>
      <c r="Q289" s="20" t="n">
        <v>9</v>
      </c>
      <c r="R289" s="20" t="n">
        <v>29</v>
      </c>
      <c r="S289" s="20" t="n">
        <v>52</v>
      </c>
      <c r="T289" s="20" t="n">
        <v>146</v>
      </c>
      <c r="U289" s="20" t="n">
        <v>156</v>
      </c>
      <c r="V289" s="20" t="n">
        <v>156</v>
      </c>
      <c r="W289" s="20" t="n">
        <v>127</v>
      </c>
      <c r="X289" s="20" t="n">
        <v>56</v>
      </c>
    </row>
    <row r="290">
      <c r="A290" s="18" t="inlineStr">
        <is>
          <t>배당금 지급</t>
        </is>
      </c>
      <c r="C290" s="20" t="n">
        <v>-2797</v>
      </c>
      <c r="D290" s="20" t="n">
        <v>-5595</v>
      </c>
      <c r="E290" s="20" t="n">
        <v>-5595</v>
      </c>
      <c r="F290" s="20" t="n">
        <v>-2797</v>
      </c>
      <c r="G290" s="20" t="n">
        <v>-2797</v>
      </c>
      <c r="H290" s="20" t="n">
        <v>-5595</v>
      </c>
      <c r="I290" s="20" t="n">
        <v>-5595</v>
      </c>
      <c r="J290" s="20" t="n">
        <v>-2797</v>
      </c>
      <c r="K290" s="20" t="n">
        <v>-2797</v>
      </c>
      <c r="L290" s="20" t="n">
        <v>-6994</v>
      </c>
      <c r="M290" s="20" t="n">
        <v>-6994</v>
      </c>
      <c r="N290" s="20" t="n">
        <v>-4196</v>
      </c>
      <c r="O290" s="20" t="n">
        <v>-4657</v>
      </c>
      <c r="P290" s="20" t="n">
        <v>-4760</v>
      </c>
      <c r="Q290" s="20" t="n">
        <v>-4896</v>
      </c>
      <c r="R290" s="20" t="n">
        <v>-4896</v>
      </c>
      <c r="S290" s="20" t="n">
        <v>-4896</v>
      </c>
      <c r="T290" s="20" t="n">
        <v>-6994</v>
      </c>
      <c r="U290" s="20" t="n">
        <v>-5595</v>
      </c>
      <c r="V290" s="20" t="n">
        <v>-5595</v>
      </c>
      <c r="W290" s="20" t="n">
        <v>-5595</v>
      </c>
      <c r="X290" s="20" t="n">
        <v>-6994</v>
      </c>
    </row>
    <row r="291">
      <c r="A291" s="18" t="inlineStr">
        <is>
          <t>비지배주주 배당금 지급</t>
        </is>
      </c>
      <c r="C291" s="20" t="n">
        <v>-14</v>
      </c>
      <c r="D291" s="20" t="n">
        <v>-14</v>
      </c>
      <c r="E291" s="20" t="n">
        <v>-14</v>
      </c>
      <c r="F291" s="20" t="n">
        <v>-14</v>
      </c>
      <c r="G291" s="20" t="n">
        <v>-14</v>
      </c>
      <c r="H291" s="20" t="n">
        <v>-14</v>
      </c>
      <c r="I291" s="20" t="n">
        <v>-14</v>
      </c>
      <c r="J291" s="20" t="n">
        <v>-14</v>
      </c>
      <c r="K291" s="20" t="n">
        <v>-14</v>
      </c>
      <c r="L291" s="20" t="n">
        <v>-14</v>
      </c>
      <c r="M291" s="20" t="n">
        <v>-14</v>
      </c>
      <c r="N291" s="20" t="n">
        <v>-14</v>
      </c>
      <c r="O291" s="20" t="n">
        <v>-15</v>
      </c>
      <c r="P291" s="20" t="n">
        <v>-20</v>
      </c>
      <c r="Q291" s="20" t="n">
        <v>-14</v>
      </c>
      <c r="R291" s="20" t="n">
        <v>-14</v>
      </c>
      <c r="S291" s="20" t="n">
        <v>-14</v>
      </c>
      <c r="T291" s="20" t="n">
        <v>-14</v>
      </c>
      <c r="U291" s="20" t="n">
        <v>-14</v>
      </c>
      <c r="V291" s="20" t="n">
        <v>-14</v>
      </c>
      <c r="W291" s="20" t="n">
        <v>-14</v>
      </c>
      <c r="X291" s="20" t="n">
        <v>-14</v>
      </c>
    </row>
    <row r="292">
      <c r="A292" s="18" t="inlineStr">
        <is>
          <t>리스부채 상환</t>
        </is>
      </c>
      <c r="C292" s="20" t="n">
        <v>-106</v>
      </c>
      <c r="D292" s="20" t="n">
        <v>-227</v>
      </c>
      <c r="E292" s="20" t="n">
        <v>-345</v>
      </c>
      <c r="F292" s="20" t="n">
        <v>-100</v>
      </c>
      <c r="G292" s="20" t="n">
        <v>-283</v>
      </c>
      <c r="H292" s="20" t="n">
        <v>-398</v>
      </c>
      <c r="I292" s="20" t="n">
        <v>-484</v>
      </c>
      <c r="J292" s="20" t="n">
        <v>-135</v>
      </c>
      <c r="K292" s="20" t="n">
        <v>-855</v>
      </c>
      <c r="L292" s="20" t="n">
        <v>-448</v>
      </c>
      <c r="M292" s="20" t="n">
        <v>-547</v>
      </c>
      <c r="N292" s="20" t="n">
        <v>-121</v>
      </c>
      <c r="O292" s="20" t="n">
        <v>-93</v>
      </c>
      <c r="P292" s="20" t="n">
        <v>-74</v>
      </c>
      <c r="Q292" s="20" t="n">
        <v>-45</v>
      </c>
      <c r="R292" s="20" t="n">
        <v>-565</v>
      </c>
      <c r="S292" s="20" t="n">
        <v>-586</v>
      </c>
      <c r="T292" s="20" t="n">
        <v>-542</v>
      </c>
      <c r="U292" s="20" t="n">
        <v>-345</v>
      </c>
      <c r="V292" s="20" t="n">
        <v>-345</v>
      </c>
      <c r="W292" s="20" t="n">
        <v>-484</v>
      </c>
      <c r="X292" s="20" t="n">
        <v>-547</v>
      </c>
    </row>
    <row r="293">
      <c r="A293" s="18" t="inlineStr">
        <is>
          <t>연결범위 변경 없는 자회사 주식 취득</t>
        </is>
      </c>
      <c r="D293" s="20" t="n">
        <v>0</v>
      </c>
      <c r="E293" s="20" t="n">
        <v>0</v>
      </c>
      <c r="H293" s="20" t="n">
        <v>-140</v>
      </c>
      <c r="I293" s="20" t="n">
        <v>-352</v>
      </c>
      <c r="L293" s="20" t="n">
        <v>0</v>
      </c>
      <c r="M293" s="20" t="n">
        <v>0</v>
      </c>
      <c r="V293" s="20" t="n">
        <v>0</v>
      </c>
      <c r="W293" s="20" t="n">
        <v>-352</v>
      </c>
      <c r="X293" s="20" t="n">
        <v>0</v>
      </c>
    </row>
    <row r="294">
      <c r="A294" s="18" t="inlineStr">
        <is>
          <t>기타</t>
        </is>
      </c>
      <c r="E294" s="20" t="n">
        <v>-131</v>
      </c>
      <c r="I294" s="20" t="n">
        <v>-151</v>
      </c>
      <c r="M294" s="20" t="n">
        <v>0</v>
      </c>
      <c r="O294" s="20" t="n">
        <v>-300</v>
      </c>
      <c r="P294" s="20" t="n">
        <v>0</v>
      </c>
      <c r="Q294" s="20" t="n">
        <v>0</v>
      </c>
      <c r="R294" s="20" t="n">
        <v>-66</v>
      </c>
      <c r="S294" s="20" t="n">
        <v>0</v>
      </c>
      <c r="T294" s="20" t="n">
        <v>0</v>
      </c>
      <c r="U294" s="20" t="n">
        <v>-131</v>
      </c>
      <c r="V294" s="20" t="n">
        <v>-131</v>
      </c>
      <c r="W294" s="20" t="n">
        <v>-151</v>
      </c>
      <c r="X294" s="20" t="n">
        <v>0</v>
      </c>
    </row>
    <row r="295">
      <c r="A295" s="9" t="inlineStr">
        <is>
          <t>재무활동 현금흐름</t>
        </is>
      </c>
      <c r="C295" s="12" t="n">
        <v>-2773</v>
      </c>
      <c r="D295" s="12" t="n">
        <v>-5692</v>
      </c>
      <c r="E295" s="12" t="n">
        <v>67526</v>
      </c>
      <c r="F295" s="12" t="n">
        <v>-2803</v>
      </c>
      <c r="G295" s="12" t="n">
        <v>-3126</v>
      </c>
      <c r="H295" s="12" t="n">
        <v>-6817</v>
      </c>
      <c r="I295" s="12" t="n">
        <v>-7113</v>
      </c>
      <c r="J295" s="12" t="n">
        <v>-2903</v>
      </c>
      <c r="K295" s="12" t="n">
        <v>-43612</v>
      </c>
      <c r="L295" s="12" t="n">
        <v>-47408</v>
      </c>
      <c r="M295" s="12" t="n">
        <v>-157511</v>
      </c>
      <c r="N295" s="12" t="n">
        <v>-3297</v>
      </c>
      <c r="O295" s="12" t="n">
        <v>-5135</v>
      </c>
      <c r="P295" s="12" t="n">
        <v>6724</v>
      </c>
      <c r="Q295" s="12" t="n">
        <v>-4926</v>
      </c>
      <c r="R295" s="12" t="n">
        <v>74483</v>
      </c>
      <c r="S295" s="12" t="n">
        <v>-6236</v>
      </c>
      <c r="T295" s="12" t="n">
        <v>92585</v>
      </c>
      <c r="U295" s="12" t="n">
        <v>67526</v>
      </c>
      <c r="V295" s="12" t="n">
        <v>67526</v>
      </c>
      <c r="W295" s="12" t="n">
        <v>-7113</v>
      </c>
      <c r="X295" s="12" t="n">
        <v>-157511</v>
      </c>
    </row>
    <row r="296">
      <c r="A296" s="18" t="inlineStr">
        <is>
          <t>현금성자산 환산차이</t>
        </is>
      </c>
      <c r="C296" s="20" t="n">
        <v>4565</v>
      </c>
      <c r="D296" s="20" t="n">
        <v>3240</v>
      </c>
      <c r="E296" s="20" t="n">
        <v>5680</v>
      </c>
      <c r="F296" s="20" t="n">
        <v>2787</v>
      </c>
      <c r="G296" s="20" t="n">
        <v>-2010</v>
      </c>
      <c r="H296" s="20" t="n">
        <v>1601</v>
      </c>
      <c r="I296" s="20" t="n">
        <v>-526</v>
      </c>
      <c r="J296" s="20" t="n">
        <v>207</v>
      </c>
      <c r="K296" s="20" t="n">
        <v>1934</v>
      </c>
      <c r="L296" s="20" t="n">
        <v>5200</v>
      </c>
      <c r="M296" s="20" t="n">
        <v>5771</v>
      </c>
      <c r="N296" s="20" t="n">
        <v>1138</v>
      </c>
      <c r="O296" s="20" t="n">
        <v>-1171</v>
      </c>
      <c r="P296" s="20" t="n">
        <v>490</v>
      </c>
      <c r="Q296" s="20" t="n">
        <v>139</v>
      </c>
      <c r="R296" s="20" t="n">
        <v>-1105</v>
      </c>
      <c r="S296" s="20" t="n">
        <v>1627</v>
      </c>
      <c r="T296" s="20" t="n">
        <v>2513</v>
      </c>
      <c r="U296" s="20" t="n">
        <v>5680</v>
      </c>
      <c r="V296" s="20" t="n">
        <v>5680</v>
      </c>
      <c r="W296" s="20" t="n">
        <v>-526</v>
      </c>
      <c r="X296" s="20" t="n">
        <v>5771</v>
      </c>
    </row>
    <row r="297">
      <c r="A297" s="18" t="inlineStr">
        <is>
          <t>현금성자산 증감</t>
        </is>
      </c>
      <c r="C297" s="20" t="n">
        <v>-5828</v>
      </c>
      <c r="D297" s="20" t="n">
        <v>-25007</v>
      </c>
      <c r="E297" s="20" t="n">
        <v>141164</v>
      </c>
      <c r="F297" s="20" t="n">
        <v>-18288</v>
      </c>
      <c r="G297" s="20" t="n">
        <v>-69350</v>
      </c>
      <c r="H297" s="20" t="n">
        <v>-85152</v>
      </c>
      <c r="I297" s="20" t="n">
        <v>-52927</v>
      </c>
      <c r="J297" s="20" t="n">
        <v>-16428</v>
      </c>
      <c r="K297" s="20" t="n">
        <v>-65180</v>
      </c>
      <c r="L297" s="20" t="n">
        <v>-49931</v>
      </c>
      <c r="M297" s="20" t="n">
        <v>-97747</v>
      </c>
      <c r="N297" s="20" t="n">
        <v>77596</v>
      </c>
      <c r="O297" s="20" t="n">
        <v>-3773</v>
      </c>
      <c r="P297" s="20" t="n">
        <v>12951</v>
      </c>
      <c r="Q297" s="20" t="n">
        <v>-4267</v>
      </c>
      <c r="R297" s="20" t="n">
        <v>61391</v>
      </c>
      <c r="S297" s="20" t="n">
        <v>-47999</v>
      </c>
      <c r="T297" s="20" t="n">
        <v>116827</v>
      </c>
      <c r="U297" s="20" t="n">
        <v>141164</v>
      </c>
      <c r="V297" s="20" t="n">
        <v>141164</v>
      </c>
      <c r="W297" s="20" t="n">
        <v>-52927</v>
      </c>
      <c r="X297" s="20" t="n">
        <v>-97747</v>
      </c>
    </row>
    <row r="298">
      <c r="A298" s="18" t="inlineStr">
        <is>
          <t>신규 연결 현금성자산 증가</t>
        </is>
      </c>
      <c r="O298" s="20" t="n">
        <v>0</v>
      </c>
      <c r="P298" s="20" t="n">
        <v>706</v>
      </c>
      <c r="Q298" s="20" t="n">
        <v>0</v>
      </c>
      <c r="R298" s="20" t="n">
        <v>0</v>
      </c>
    </row>
    <row r="299">
      <c r="A299" s="18" t="inlineStr">
        <is>
          <t>법인세차감전 순이익</t>
        </is>
      </c>
      <c r="P299" s="20" t="n">
        <v>18550</v>
      </c>
      <c r="Q299" s="20" t="n">
        <v>9326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4062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532378</v>
      </c>
      <c r="D5" s="12" t="n">
        <v>487475</v>
      </c>
      <c r="E5" s="12" t="n">
        <v>504724</v>
      </c>
      <c r="F5" s="12" t="n">
        <v>465541</v>
      </c>
      <c r="G5" s="12" t="n">
        <v>550783</v>
      </c>
      <c r="H5" s="11" t="n">
        <v>476825</v>
      </c>
      <c r="I5" s="12" t="n">
        <v>600810</v>
      </c>
      <c r="J5" s="12" t="n">
        <v>600810</v>
      </c>
      <c r="K5" s="12" t="n">
        <v>549580</v>
      </c>
      <c r="L5" s="12" t="n">
        <v>465541</v>
      </c>
    </row>
    <row r="6">
      <c r="A6" s="18" t="inlineStr">
        <is>
          <t>현금및현금성자산</t>
        </is>
      </c>
      <c r="B6" s="10" t="n"/>
      <c r="C6" s="19" t="n">
        <v>374228</v>
      </c>
      <c r="D6" s="20" t="n">
        <v>325476</v>
      </c>
      <c r="E6" s="20" t="n">
        <v>340725</v>
      </c>
      <c r="F6" s="20" t="n">
        <v>295681</v>
      </c>
      <c r="G6" s="20" t="n">
        <v>373366</v>
      </c>
      <c r="H6" s="19" t="n">
        <v>302419</v>
      </c>
      <c r="I6" s="20" t="n">
        <v>443583</v>
      </c>
      <c r="J6" s="20" t="n">
        <v>443583</v>
      </c>
      <c r="K6" s="20" t="n">
        <v>390656</v>
      </c>
      <c r="L6" s="20" t="n">
        <v>295681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62474</v>
      </c>
      <c r="D8" s="20" t="n">
        <v>65874</v>
      </c>
      <c r="E8" s="20" t="n">
        <v>68795</v>
      </c>
      <c r="F8" s="20" t="n">
        <v>79305</v>
      </c>
      <c r="G8" s="20" t="n">
        <v>82033</v>
      </c>
      <c r="H8" s="19" t="n">
        <v>75942</v>
      </c>
      <c r="I8" s="20" t="n">
        <v>60980</v>
      </c>
      <c r="J8" s="20" t="n">
        <v>60980</v>
      </c>
      <c r="K8" s="20" t="n">
        <v>65570</v>
      </c>
      <c r="L8" s="20" t="n">
        <v>79305</v>
      </c>
    </row>
    <row r="9">
      <c r="A9" s="18" t="inlineStr">
        <is>
          <t>재고자산</t>
        </is>
      </c>
      <c r="B9" s="10" t="n"/>
      <c r="C9" s="19" t="n">
        <v>67552</v>
      </c>
      <c r="D9" s="20" t="n">
        <v>68446</v>
      </c>
      <c r="E9" s="20" t="n">
        <v>73426</v>
      </c>
      <c r="F9" s="20" t="n">
        <v>70962</v>
      </c>
      <c r="G9" s="20" t="n">
        <v>76867</v>
      </c>
      <c r="H9" s="19" t="n">
        <v>79194</v>
      </c>
      <c r="I9" s="20" t="n">
        <v>65318</v>
      </c>
      <c r="J9" s="20" t="n">
        <v>65318</v>
      </c>
      <c r="K9" s="20" t="n">
        <v>67175</v>
      </c>
      <c r="L9" s="20" t="n">
        <v>70962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547300</v>
      </c>
      <c r="D11" s="12" t="n">
        <v>550463</v>
      </c>
      <c r="E11" s="12" t="n">
        <v>549393</v>
      </c>
      <c r="F11" s="12" t="n">
        <v>494883</v>
      </c>
      <c r="G11" s="12" t="n">
        <v>505922</v>
      </c>
      <c r="H11" s="11" t="n">
        <v>380682</v>
      </c>
      <c r="I11" s="12" t="n">
        <v>529180</v>
      </c>
      <c r="J11" s="12" t="n">
        <v>529180</v>
      </c>
      <c r="K11" s="12" t="n">
        <v>532103</v>
      </c>
      <c r="L11" s="12" t="n">
        <v>494883</v>
      </c>
    </row>
    <row r="12">
      <c r="A12" s="18" t="inlineStr">
        <is>
          <t>유형자산</t>
        </is>
      </c>
      <c r="B12" s="10" t="n"/>
      <c r="C12" s="19" t="n">
        <v>465519</v>
      </c>
      <c r="D12" s="20" t="n">
        <v>465165</v>
      </c>
      <c r="E12" s="20" t="n">
        <v>459875</v>
      </c>
      <c r="F12" s="20" t="n">
        <v>437704</v>
      </c>
      <c r="G12" s="20" t="n">
        <v>436577</v>
      </c>
      <c r="H12" s="19" t="n">
        <v>306967</v>
      </c>
      <c r="I12" s="20" t="n">
        <v>408777</v>
      </c>
      <c r="J12" s="20" t="n">
        <v>408777</v>
      </c>
      <c r="K12" s="20" t="n">
        <v>460054</v>
      </c>
      <c r="L12" s="20" t="n">
        <v>437704</v>
      </c>
    </row>
    <row r="13">
      <c r="A13" s="18" t="inlineStr">
        <is>
          <t>무형자산</t>
        </is>
      </c>
      <c r="B13" s="10" t="n"/>
      <c r="C13" s="19" t="n">
        <v>4269</v>
      </c>
      <c r="D13" s="20" t="n">
        <v>4617</v>
      </c>
      <c r="E13" s="20" t="n">
        <v>4529</v>
      </c>
      <c r="F13" s="20" t="n">
        <v>4418</v>
      </c>
      <c r="G13" s="20" t="n">
        <v>4685</v>
      </c>
      <c r="H13" s="19" t="n">
        <v>5179</v>
      </c>
      <c r="I13" s="20" t="n">
        <v>4590</v>
      </c>
      <c r="J13" s="20" t="n">
        <v>4590</v>
      </c>
      <c r="K13" s="20" t="n">
        <v>4349</v>
      </c>
      <c r="L13" s="20" t="n">
        <v>4418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1079679</v>
      </c>
      <c r="D16" s="12" t="n">
        <v>1037938</v>
      </c>
      <c r="E16" s="12" t="n">
        <v>1054118</v>
      </c>
      <c r="F16" s="12" t="n">
        <v>960425</v>
      </c>
      <c r="G16" s="12" t="n">
        <v>1056706</v>
      </c>
      <c r="H16" s="11" t="n">
        <v>857508</v>
      </c>
      <c r="I16" s="12" t="n">
        <v>1129991</v>
      </c>
      <c r="J16" s="12" t="n">
        <v>1129991</v>
      </c>
      <c r="K16" s="12" t="n">
        <v>1081684</v>
      </c>
      <c r="L16" s="12" t="n">
        <v>960425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305896</v>
      </c>
      <c r="D18" s="12" t="n">
        <v>261820</v>
      </c>
      <c r="E18" s="12" t="n">
        <v>259227</v>
      </c>
      <c r="F18" s="12" t="n">
        <v>221645</v>
      </c>
      <c r="G18" s="12" t="n">
        <v>301574</v>
      </c>
      <c r="H18" s="11" t="n">
        <v>223321</v>
      </c>
      <c r="I18" s="12" t="n">
        <v>358362</v>
      </c>
      <c r="J18" s="12" t="n">
        <v>358362</v>
      </c>
      <c r="K18" s="12" t="n">
        <v>327717</v>
      </c>
      <c r="L18" s="12" t="n">
        <v>221645</v>
      </c>
    </row>
    <row r="19">
      <c r="A19" s="18" t="inlineStr">
        <is>
          <t>매입채무</t>
        </is>
      </c>
      <c r="B19" s="10" t="n"/>
      <c r="C19" s="19" t="n">
        <v>27110</v>
      </c>
      <c r="D19" s="20" t="n">
        <v>29225</v>
      </c>
      <c r="E19" s="20" t="n">
        <v>34303</v>
      </c>
      <c r="F19" s="20" t="n">
        <v>33694</v>
      </c>
      <c r="G19" s="20" t="n">
        <v>37651</v>
      </c>
      <c r="H19" s="19" t="n">
        <v>28262</v>
      </c>
      <c r="I19" s="20" t="n">
        <v>31369</v>
      </c>
      <c r="J19" s="20" t="n">
        <v>31369</v>
      </c>
      <c r="K19" s="20" t="n">
        <v>28483</v>
      </c>
      <c r="L19" s="20" t="n">
        <v>33694</v>
      </c>
    </row>
    <row r="20">
      <c r="A20" s="18" t="inlineStr">
        <is>
          <t>단기차입금</t>
        </is>
      </c>
      <c r="B20" s="10" t="n"/>
      <c r="C20" s="19" t="n">
        <v>50000</v>
      </c>
      <c r="D20" s="20" t="n">
        <v>50000</v>
      </c>
      <c r="E20" s="20" t="n">
        <v>50000</v>
      </c>
      <c r="F20" s="20" t="n">
        <v>0</v>
      </c>
      <c r="G20" s="20" t="n"/>
      <c r="H20" s="19" t="n">
        <v>65030</v>
      </c>
      <c r="I20" s="20" t="n">
        <v>55000</v>
      </c>
      <c r="J20" s="20" t="n">
        <v>55000</v>
      </c>
      <c r="K20" s="20" t="n">
        <v>50000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>
        <v>40000</v>
      </c>
      <c r="D21" s="20" t="n">
        <v>15000</v>
      </c>
      <c r="E21" s="20" t="n">
        <v>15000</v>
      </c>
      <c r="F21" s="20" t="n">
        <v>15000</v>
      </c>
      <c r="G21" s="20" t="n">
        <v>15000</v>
      </c>
      <c r="H21" s="19" t="n">
        <v>0</v>
      </c>
      <c r="I21" s="20" t="n">
        <v>35000</v>
      </c>
      <c r="J21" s="20" t="n">
        <v>35000</v>
      </c>
      <c r="K21" s="20" t="n">
        <v>40000</v>
      </c>
      <c r="L21" s="20" t="n">
        <v>15000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258199</v>
      </c>
      <c r="D23" s="12" t="n">
        <v>243964</v>
      </c>
      <c r="E23" s="12" t="n">
        <v>245349</v>
      </c>
      <c r="F23" s="12" t="n">
        <v>181367</v>
      </c>
      <c r="G23" s="12" t="n">
        <v>174599</v>
      </c>
      <c r="H23" s="11" t="n">
        <v>208581</v>
      </c>
      <c r="I23" s="12" t="n">
        <v>269832</v>
      </c>
      <c r="J23" s="12" t="n">
        <v>269832</v>
      </c>
      <c r="K23" s="12" t="n">
        <v>256668</v>
      </c>
      <c r="L23" s="12" t="n">
        <v>181367</v>
      </c>
    </row>
    <row r="24">
      <c r="A24" s="18" t="inlineStr">
        <is>
          <t>장기차입금</t>
        </is>
      </c>
      <c r="B24" s="10" t="n"/>
      <c r="C24" s="19" t="n">
        <v>120000</v>
      </c>
      <c r="D24" s="20" t="n">
        <v>120000</v>
      </c>
      <c r="E24" s="20" t="n">
        <v>120000</v>
      </c>
      <c r="F24" s="20" t="n">
        <v>60000</v>
      </c>
      <c r="G24" s="20" t="n">
        <v>61000</v>
      </c>
      <c r="H24" s="19" t="n">
        <v>105000</v>
      </c>
      <c r="I24" s="20" t="n">
        <v>115000</v>
      </c>
      <c r="J24" s="20" t="n">
        <v>115000</v>
      </c>
      <c r="K24" s="20" t="n">
        <v>120000</v>
      </c>
      <c r="L24" s="20" t="n">
        <v>60000</v>
      </c>
    </row>
    <row r="25">
      <c r="A25" s="18" t="inlineStr">
        <is>
          <t>사채</t>
        </is>
      </c>
      <c r="B25" s="10" t="n"/>
      <c r="C25" s="19" t="n">
        <v>60000</v>
      </c>
      <c r="D25" s="20" t="n">
        <v>45000</v>
      </c>
      <c r="E25" s="20" t="n">
        <v>45000</v>
      </c>
      <c r="F25" s="20" t="n">
        <v>45000</v>
      </c>
      <c r="G25" s="20" t="n">
        <v>45000</v>
      </c>
      <c r="H25" s="19" t="n">
        <v>100000</v>
      </c>
      <c r="I25" s="20" t="n">
        <v>65000</v>
      </c>
      <c r="J25" s="20" t="n">
        <v>65000</v>
      </c>
      <c r="K25" s="20" t="n">
        <v>60000</v>
      </c>
      <c r="L25" s="20" t="n">
        <v>45000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564096</v>
      </c>
      <c r="D27" s="12" t="n">
        <v>505785</v>
      </c>
      <c r="E27" s="12" t="n">
        <v>504577</v>
      </c>
      <c r="F27" s="12" t="n">
        <v>403012</v>
      </c>
      <c r="G27" s="12" t="n">
        <v>476174</v>
      </c>
      <c r="H27" s="11" t="n">
        <v>431902</v>
      </c>
      <c r="I27" s="12" t="n">
        <v>628194</v>
      </c>
      <c r="J27" s="12" t="n">
        <v>628194</v>
      </c>
      <c r="K27" s="12" t="n">
        <v>584385</v>
      </c>
      <c r="L27" s="12" t="n">
        <v>403012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508601</v>
      </c>
      <c r="D31" s="12" t="n">
        <v>525098</v>
      </c>
      <c r="E31" s="12" t="n">
        <v>542397</v>
      </c>
      <c r="F31" s="12" t="n">
        <v>550073</v>
      </c>
      <c r="G31" s="12" t="n">
        <v>573049</v>
      </c>
      <c r="H31" s="11" t="n">
        <v>419239</v>
      </c>
      <c r="I31" s="12" t="n">
        <v>494944</v>
      </c>
      <c r="J31" s="12" t="n">
        <v>494944</v>
      </c>
      <c r="K31" s="12" t="n">
        <v>490495</v>
      </c>
      <c r="L31" s="12" t="n">
        <v>550073</v>
      </c>
    </row>
    <row r="32">
      <c r="A32" s="18" t="inlineStr">
        <is>
          <t>자본금</t>
        </is>
      </c>
      <c r="B32" s="10" t="n"/>
      <c r="C32" s="19" t="n">
        <v>64152</v>
      </c>
      <c r="D32" s="20" t="n">
        <v>64152</v>
      </c>
      <c r="E32" s="20" t="n">
        <v>64152</v>
      </c>
      <c r="F32" s="20" t="n">
        <v>64152</v>
      </c>
      <c r="G32" s="20" t="n">
        <v>64669</v>
      </c>
      <c r="H32" s="19" t="n">
        <v>64152</v>
      </c>
      <c r="I32" s="20" t="n">
        <v>64152</v>
      </c>
      <c r="J32" s="20" t="n">
        <v>64152</v>
      </c>
      <c r="K32" s="20" t="n">
        <v>64152</v>
      </c>
      <c r="L32" s="20" t="n">
        <v>64152</v>
      </c>
    </row>
    <row r="33">
      <c r="A33" s="18" t="inlineStr">
        <is>
          <t>이익잉여금</t>
        </is>
      </c>
      <c r="B33" s="10" t="n"/>
      <c r="C33" s="19" t="n">
        <v>293738</v>
      </c>
      <c r="D33" s="20" t="n">
        <v>303078</v>
      </c>
      <c r="E33" s="20" t="n">
        <v>307813</v>
      </c>
      <c r="F33" s="20" t="n">
        <v>340525</v>
      </c>
      <c r="G33" s="20" t="n">
        <v>354247</v>
      </c>
      <c r="H33" s="19" t="n">
        <v>229804</v>
      </c>
      <c r="I33" s="20" t="n">
        <v>255698</v>
      </c>
      <c r="J33" s="20" t="n">
        <v>255698</v>
      </c>
      <c r="K33" s="20" t="n">
        <v>283807</v>
      </c>
      <c r="L33" s="20" t="n">
        <v>340525</v>
      </c>
    </row>
    <row r="34">
      <c r="A34" s="18" t="inlineStr">
        <is>
          <t>비지배지분</t>
        </is>
      </c>
      <c r="B34" s="10" t="n"/>
      <c r="C34" s="19" t="n">
        <v>6981</v>
      </c>
      <c r="D34" s="20" t="n">
        <v>7055</v>
      </c>
      <c r="E34" s="20" t="n">
        <v>7144</v>
      </c>
      <c r="F34" s="20" t="n">
        <v>7339</v>
      </c>
      <c r="G34" s="20" t="n">
        <v>7482</v>
      </c>
      <c r="H34" s="19" t="n">
        <v>6367</v>
      </c>
      <c r="I34" s="20" t="n">
        <v>6852</v>
      </c>
      <c r="J34" s="20" t="n">
        <v>6852</v>
      </c>
      <c r="K34" s="20" t="n">
        <v>6803</v>
      </c>
      <c r="L34" s="20" t="n">
        <v>7339</v>
      </c>
    </row>
    <row r="35">
      <c r="A35" s="9" t="inlineStr">
        <is>
          <t>자본총계</t>
        </is>
      </c>
      <c r="B35" s="10" t="n"/>
      <c r="C35" s="11" t="n">
        <v>515582</v>
      </c>
      <c r="D35" s="12" t="n">
        <v>532153</v>
      </c>
      <c r="E35" s="12" t="n">
        <v>549541</v>
      </c>
      <c r="F35" s="12" t="n">
        <v>557412</v>
      </c>
      <c r="G35" s="12" t="n">
        <v>580531</v>
      </c>
      <c r="H35" s="11" t="n">
        <v>425606</v>
      </c>
      <c r="I35" s="12" t="n">
        <v>501796</v>
      </c>
      <c r="J35" s="12" t="n">
        <v>501796</v>
      </c>
      <c r="K35" s="12" t="n">
        <v>497298</v>
      </c>
      <c r="L35" s="12" t="n">
        <v>557412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120047</v>
      </c>
      <c r="D37" s="12" t="n">
        <v>110744</v>
      </c>
      <c r="E37" s="12" t="n">
        <v>123403</v>
      </c>
      <c r="F37" s="12" t="n">
        <v>106407</v>
      </c>
      <c r="G37" s="12" t="n">
        <v>192737</v>
      </c>
      <c r="H37" s="11" t="n">
        <v>125748</v>
      </c>
      <c r="I37" s="12" t="n">
        <v>145231</v>
      </c>
      <c r="J37" s="12" t="n">
        <v>145231</v>
      </c>
      <c r="K37" s="12" t="n">
        <v>118895</v>
      </c>
      <c r="L37" s="12" t="n">
        <v>106407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195607</v>
      </c>
      <c r="D38" s="20" t="n">
        <v>150161</v>
      </c>
      <c r="E38" s="20" t="n">
        <v>132094</v>
      </c>
      <c r="F38" s="20" t="n">
        <v>107244</v>
      </c>
      <c r="G38" s="20" t="n">
        <v>99879</v>
      </c>
      <c r="H38" s="19" t="n">
        <v>104032</v>
      </c>
      <c r="I38" s="20" t="n">
        <v>86422</v>
      </c>
      <c r="J38" s="20" t="n">
        <v>86422</v>
      </c>
      <c r="K38" s="20" t="n">
        <v>198524</v>
      </c>
      <c r="L38" s="20" t="n">
        <v>107244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5595</v>
      </c>
      <c r="D40" s="20" t="n">
        <v>5595</v>
      </c>
      <c r="E40" s="20" t="n">
        <v>6994</v>
      </c>
      <c r="F40" s="20" t="n">
        <v>6994</v>
      </c>
      <c r="G40" s="20" t="n">
        <v>8393</v>
      </c>
      <c r="H40" s="19" t="n">
        <v>6994</v>
      </c>
      <c r="I40" s="20" t="n">
        <v>5595</v>
      </c>
      <c r="J40" s="20" t="n">
        <v>5595</v>
      </c>
      <c r="K40" s="20" t="n">
        <v>5595</v>
      </c>
      <c r="L40" s="20" t="n">
        <v>6994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IFERROR(IF((IF(COUNT('연간'!G59:J59)&lt;4,"",SUM('연간'!G59:J59)))&lt;=0,"적자",C28/(IF(COUNT('연간'!G59:J59)&lt;4,"",SUM('연간'!G59:J59)))),"")</f>
        <v/>
      </c>
      <c r="D49" s="47">
        <f>IFERROR(IF((IF(COUNT('연간'!H59:K59)&lt;4,"",SUM('연간'!H59:K59)))&lt;=0,"적자",D28/(IF(COUNT('연간'!H59:K59)&lt;4,"",SUM('연간'!H59:K59)))),"")</f>
        <v/>
      </c>
      <c r="E49" s="47">
        <f>IFERROR(IF((IF(COUNT('연간'!I59:L59)&lt;4,"",SUM('연간'!I59:L59)))&lt;=0,"적자",E28/(IF(COUNT('연간'!I59:L59)&lt;4,"",SUM('연간'!I59:L59)))),"")</f>
        <v/>
      </c>
      <c r="F49" s="47">
        <f>IFERROR(IF((IF(COUNT('연간'!J59:M59)&lt;4,"",SUM('연간'!J59:M59)))&lt;=0,"적자",F28/(IF(COUNT('연간'!J59:M59)&lt;4,"",SUM('연간'!J59:M59)))),"")</f>
        <v/>
      </c>
      <c r="G49" s="47">
        <f>IFERROR(IF((IF(COUNT('연간'!K59:N59)&lt;4,"",SUM('연간'!K59:N59)))&lt;=0,"적자",G28/(IF(COUNT('연간'!K59:N59)&lt;4,"",SUM('연간'!K59:N59)))),"")</f>
        <v/>
      </c>
      <c r="H49" s="46">
        <f>IFERROR(IF(('연간'!T59)&lt;=0,"적자",H28/('연간'!T59)),"")</f>
        <v/>
      </c>
      <c r="I49" s="47">
        <f>IFERROR(IF(('연간'!U59)&lt;=0,"적자",I28/('연간'!U59)),"")</f>
        <v/>
      </c>
      <c r="J49" s="47">
        <f>IFERROR(IF(('연간'!V59)&lt;=0,"적자",J28/('연간'!V59)),"")</f>
        <v/>
      </c>
      <c r="K49" s="47">
        <f>IFERROR(IF(('연간'!W59)&lt;=0,"적자",K28/('연간'!W59)),"")</f>
        <v/>
      </c>
      <c r="L49" s="47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374228</v>
      </c>
      <c r="D71" s="20" t="n">
        <v>325476</v>
      </c>
      <c r="E71" s="20" t="n">
        <v>340725</v>
      </c>
      <c r="F71" s="20" t="n">
        <v>295681</v>
      </c>
      <c r="G71" s="20" t="n">
        <v>373366</v>
      </c>
      <c r="H71" s="20" t="n">
        <v>302419</v>
      </c>
      <c r="I71" s="20" t="n">
        <v>443583</v>
      </c>
      <c r="J71" s="20" t="n">
        <v>443583</v>
      </c>
      <c r="K71" s="20" t="n">
        <v>390656</v>
      </c>
      <c r="L71" s="20" t="n">
        <v>295681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62474</v>
      </c>
      <c r="D73" s="20" t="n">
        <v>65874</v>
      </c>
      <c r="E73" s="20" t="n">
        <v>68795</v>
      </c>
      <c r="F73" s="20" t="n">
        <v>79305</v>
      </c>
      <c r="G73" s="20" t="n">
        <v>82033</v>
      </c>
      <c r="H73" s="20" t="n">
        <v>75942</v>
      </c>
      <c r="I73" s="20" t="n">
        <v>60980</v>
      </c>
      <c r="J73" s="20" t="n">
        <v>60980</v>
      </c>
      <c r="K73" s="20" t="n">
        <v>65570</v>
      </c>
      <c r="L73" s="20" t="n">
        <v>79305</v>
      </c>
    </row>
    <row r="74">
      <c r="A74" s="18" t="inlineStr">
        <is>
          <t>전자기록채권</t>
        </is>
      </c>
      <c r="C74" s="20" t="n">
        <v>2675</v>
      </c>
      <c r="D74" s="20" t="n">
        <v>2720</v>
      </c>
      <c r="E74" s="20" t="n">
        <v>3571</v>
      </c>
      <c r="F74" s="20" t="n">
        <v>2799</v>
      </c>
      <c r="G74" s="20" t="n">
        <v>3409</v>
      </c>
      <c r="H74" s="20" t="n">
        <v>3563</v>
      </c>
      <c r="I74" s="20" t="n">
        <v>4431</v>
      </c>
      <c r="J74" s="20" t="n">
        <v>4431</v>
      </c>
      <c r="K74" s="20" t="n">
        <v>2650</v>
      </c>
      <c r="L74" s="20" t="n">
        <v>2799</v>
      </c>
    </row>
    <row r="75">
      <c r="A75" s="18" t="inlineStr">
        <is>
          <t>상품·제품</t>
        </is>
      </c>
      <c r="C75" s="20" t="n">
        <v>25127</v>
      </c>
      <c r="D75" s="20" t="n">
        <v>23499</v>
      </c>
      <c r="E75" s="20" t="n">
        <v>21211</v>
      </c>
      <c r="F75" s="20" t="n">
        <v>19806</v>
      </c>
      <c r="G75" s="20" t="n">
        <v>21116</v>
      </c>
      <c r="H75" s="20" t="n">
        <v>30871</v>
      </c>
      <c r="I75" s="20" t="n">
        <v>19827</v>
      </c>
      <c r="J75" s="20" t="n">
        <v>19827</v>
      </c>
      <c r="K75" s="20" t="n">
        <v>23010</v>
      </c>
      <c r="L75" s="20" t="n">
        <v>19806</v>
      </c>
    </row>
    <row r="76">
      <c r="A76" s="18" t="inlineStr">
        <is>
          <t>재공품</t>
        </is>
      </c>
      <c r="C76" s="20" t="n">
        <v>19322</v>
      </c>
      <c r="D76" s="20" t="n">
        <v>21234</v>
      </c>
      <c r="E76" s="20" t="n">
        <v>26618</v>
      </c>
      <c r="F76" s="20" t="n">
        <v>26542</v>
      </c>
      <c r="G76" s="20" t="n">
        <v>29820</v>
      </c>
      <c r="H76" s="20" t="n">
        <v>21191</v>
      </c>
      <c r="I76" s="20" t="n">
        <v>19757</v>
      </c>
      <c r="J76" s="20" t="n">
        <v>19757</v>
      </c>
      <c r="K76" s="20" t="n">
        <v>20520</v>
      </c>
      <c r="L76" s="20" t="n">
        <v>26542</v>
      </c>
    </row>
    <row r="77">
      <c r="A77" s="18" t="inlineStr">
        <is>
          <t>원재료·저장품</t>
        </is>
      </c>
      <c r="C77" s="20" t="n">
        <v>23103</v>
      </c>
      <c r="D77" s="20" t="n">
        <v>23713</v>
      </c>
      <c r="E77" s="20" t="n">
        <v>25597</v>
      </c>
      <c r="F77" s="20" t="n">
        <v>24614</v>
      </c>
      <c r="G77" s="20" t="n">
        <v>25931</v>
      </c>
      <c r="H77" s="20" t="n">
        <v>27132</v>
      </c>
      <c r="I77" s="20" t="n">
        <v>25734</v>
      </c>
      <c r="J77" s="20" t="n">
        <v>25734</v>
      </c>
      <c r="K77" s="20" t="n">
        <v>23645</v>
      </c>
      <c r="L77" s="20" t="n">
        <v>24614</v>
      </c>
    </row>
    <row r="78">
      <c r="A78" s="18" t="inlineStr">
        <is>
          <t>기타</t>
        </is>
      </c>
      <c r="C78" s="20" t="n">
        <v>25764</v>
      </c>
      <c r="D78" s="20" t="n">
        <v>25234</v>
      </c>
      <c r="E78" s="20" t="n">
        <v>18507</v>
      </c>
      <c r="F78" s="20" t="n">
        <v>17084</v>
      </c>
      <c r="G78" s="20" t="n">
        <v>15410</v>
      </c>
      <c r="H78" s="20" t="n">
        <v>15765</v>
      </c>
      <c r="I78" s="20" t="n">
        <v>26576</v>
      </c>
      <c r="J78" s="20" t="n">
        <v>26576</v>
      </c>
      <c r="K78" s="20" t="n">
        <v>23615</v>
      </c>
      <c r="L78" s="20" t="n">
        <v>17084</v>
      </c>
    </row>
    <row r="79">
      <c r="A79" s="18" t="inlineStr">
        <is>
          <t>대손충당금</t>
        </is>
      </c>
      <c r="C79" s="20" t="n">
        <v>-318</v>
      </c>
      <c r="D79" s="20" t="n">
        <v>-278</v>
      </c>
      <c r="E79" s="20" t="n">
        <v>-302</v>
      </c>
      <c r="F79" s="20" t="n">
        <v>-294</v>
      </c>
      <c r="G79" s="20" t="n">
        <v>-303</v>
      </c>
      <c r="H79" s="20" t="n">
        <v>-59</v>
      </c>
      <c r="I79" s="20" t="n">
        <v>-81</v>
      </c>
      <c r="J79" s="20" t="n">
        <v>-81</v>
      </c>
      <c r="K79" s="20" t="n">
        <v>-89</v>
      </c>
      <c r="L79" s="20" t="n">
        <v>-294</v>
      </c>
    </row>
    <row r="80">
      <c r="A80" s="9" t="inlineStr">
        <is>
          <t>유동자산 합계</t>
        </is>
      </c>
      <c r="C80" s="12" t="n">
        <v>532378</v>
      </c>
      <c r="D80" s="12" t="n">
        <v>487475</v>
      </c>
      <c r="E80" s="12" t="n">
        <v>504724</v>
      </c>
      <c r="F80" s="12" t="n">
        <v>465541</v>
      </c>
      <c r="G80" s="12" t="n">
        <v>550783</v>
      </c>
      <c r="H80" s="12" t="n">
        <v>476825</v>
      </c>
      <c r="I80" s="12" t="n">
        <v>600810</v>
      </c>
      <c r="J80" s="12" t="n">
        <v>600810</v>
      </c>
      <c r="K80" s="12" t="n">
        <v>549580</v>
      </c>
      <c r="L80" s="12" t="n">
        <v>465541</v>
      </c>
    </row>
    <row r="81">
      <c r="A81" s="18" t="inlineStr">
        <is>
          <t>건물·구축물(순액)</t>
        </is>
      </c>
      <c r="C81" s="20" t="n">
        <v>166065</v>
      </c>
      <c r="D81" s="20" t="n">
        <v>200441</v>
      </c>
      <c r="E81" s="20" t="n">
        <v>198082</v>
      </c>
      <c r="F81" s="20" t="n">
        <v>194379</v>
      </c>
      <c r="G81" s="20" t="n">
        <v>189648</v>
      </c>
      <c r="H81" s="20" t="n">
        <v>77000</v>
      </c>
      <c r="I81" s="20" t="n">
        <v>75654</v>
      </c>
      <c r="J81" s="20" t="n">
        <v>75654</v>
      </c>
      <c r="K81" s="20" t="n">
        <v>163352</v>
      </c>
      <c r="L81" s="20" t="n">
        <v>194379</v>
      </c>
    </row>
    <row r="82">
      <c r="A82" s="18" t="inlineStr">
        <is>
          <t>기계장치·운반구(순액)</t>
        </is>
      </c>
      <c r="C82" s="20" t="n">
        <v>63231</v>
      </c>
      <c r="D82" s="20" t="n">
        <v>81669</v>
      </c>
      <c r="E82" s="20" t="n">
        <v>98081</v>
      </c>
      <c r="F82" s="20" t="n">
        <v>96866</v>
      </c>
      <c r="G82" s="20" t="n">
        <v>90722</v>
      </c>
      <c r="H82" s="20" t="n">
        <v>82147</v>
      </c>
      <c r="I82" s="20" t="n">
        <v>69584</v>
      </c>
      <c r="J82" s="20" t="n">
        <v>69584</v>
      </c>
      <c r="K82" s="20" t="n">
        <v>63711</v>
      </c>
      <c r="L82" s="20" t="n">
        <v>96866</v>
      </c>
    </row>
    <row r="83">
      <c r="A83" s="18" t="inlineStr">
        <is>
          <t>토지</t>
        </is>
      </c>
      <c r="C83" s="20" t="n">
        <v>23711</v>
      </c>
      <c r="D83" s="20" t="n">
        <v>23880</v>
      </c>
      <c r="E83" s="20" t="n">
        <v>24102</v>
      </c>
      <c r="F83" s="20" t="n">
        <v>24100</v>
      </c>
      <c r="G83" s="20" t="n">
        <v>24138</v>
      </c>
      <c r="H83" s="20" t="n">
        <v>20360</v>
      </c>
      <c r="I83" s="20" t="n">
        <v>20689</v>
      </c>
      <c r="J83" s="20" t="n">
        <v>20689</v>
      </c>
      <c r="K83" s="20" t="n">
        <v>23645</v>
      </c>
      <c r="L83" s="20" t="n">
        <v>24100</v>
      </c>
    </row>
    <row r="84">
      <c r="A84" s="18" t="inlineStr">
        <is>
          <t>리스자산(순액)</t>
        </is>
      </c>
      <c r="C84" s="20" t="n">
        <v>145</v>
      </c>
      <c r="D84" s="20" t="n">
        <v>139</v>
      </c>
      <c r="E84" s="20" t="n">
        <v>139</v>
      </c>
      <c r="F84" s="20" t="n">
        <v>117</v>
      </c>
      <c r="G84" s="20" t="n">
        <v>97</v>
      </c>
      <c r="H84" s="20" t="n">
        <v>253</v>
      </c>
      <c r="I84" s="20" t="n">
        <v>250</v>
      </c>
      <c r="J84" s="20" t="n">
        <v>250</v>
      </c>
      <c r="K84" s="20" t="n">
        <v>168</v>
      </c>
      <c r="L84" s="20" t="n">
        <v>117</v>
      </c>
    </row>
    <row r="85">
      <c r="A85" s="18" t="inlineStr">
        <is>
          <t>건설중인자산</t>
        </is>
      </c>
      <c r="C85" s="20" t="n">
        <v>205029</v>
      </c>
      <c r="D85" s="20" t="n">
        <v>150178</v>
      </c>
      <c r="E85" s="20" t="n">
        <v>129759</v>
      </c>
      <c r="F85" s="20" t="n">
        <v>111793</v>
      </c>
      <c r="G85" s="20" t="n">
        <v>120847</v>
      </c>
      <c r="H85" s="20" t="n">
        <v>119038</v>
      </c>
      <c r="I85" s="20" t="n">
        <v>234909</v>
      </c>
      <c r="J85" s="20" t="n">
        <v>234909</v>
      </c>
      <c r="K85" s="20" t="n">
        <v>202019</v>
      </c>
      <c r="L85" s="20" t="n">
        <v>111793</v>
      </c>
    </row>
    <row r="86">
      <c r="A86" s="18" t="inlineStr">
        <is>
          <t>기타(순액)</t>
        </is>
      </c>
      <c r="C86" s="20" t="n">
        <v>7336</v>
      </c>
      <c r="D86" s="20" t="n">
        <v>8856</v>
      </c>
      <c r="E86" s="20" t="n">
        <v>9709</v>
      </c>
      <c r="F86" s="20" t="n">
        <v>10448</v>
      </c>
      <c r="G86" s="20" t="n">
        <v>11124</v>
      </c>
      <c r="H86" s="20" t="n">
        <v>8167</v>
      </c>
      <c r="I86" s="20" t="n">
        <v>7689</v>
      </c>
      <c r="J86" s="20" t="n">
        <v>7689</v>
      </c>
      <c r="K86" s="20" t="n">
        <v>7156</v>
      </c>
      <c r="L86" s="20" t="n">
        <v>10448</v>
      </c>
    </row>
    <row r="87">
      <c r="A87" s="18" t="inlineStr">
        <is>
          <t>유형자산 합계</t>
        </is>
      </c>
      <c r="C87" s="20" t="n">
        <v>465519</v>
      </c>
      <c r="D87" s="20" t="n">
        <v>465165</v>
      </c>
      <c r="E87" s="20" t="n">
        <v>459875</v>
      </c>
      <c r="F87" s="20" t="n">
        <v>437704</v>
      </c>
      <c r="G87" s="20" t="n">
        <v>436577</v>
      </c>
      <c r="H87" s="20" t="n">
        <v>306967</v>
      </c>
      <c r="I87" s="20" t="n">
        <v>408777</v>
      </c>
      <c r="J87" s="20" t="n">
        <v>408777</v>
      </c>
      <c r="K87" s="20" t="n">
        <v>460054</v>
      </c>
      <c r="L87" s="20" t="n">
        <v>437704</v>
      </c>
    </row>
    <row r="88">
      <c r="A88" s="18" t="inlineStr">
        <is>
          <t>무형자산</t>
        </is>
      </c>
      <c r="C88" s="20" t="n">
        <v>4269</v>
      </c>
      <c r="D88" s="20" t="n">
        <v>4617</v>
      </c>
      <c r="E88" s="20" t="n">
        <v>4529</v>
      </c>
      <c r="F88" s="20" t="n">
        <v>4418</v>
      </c>
      <c r="G88" s="20" t="n">
        <v>4685</v>
      </c>
      <c r="H88" s="20" t="n">
        <v>5179</v>
      </c>
      <c r="I88" s="20" t="n">
        <v>4590</v>
      </c>
      <c r="J88" s="20" t="n">
        <v>4590</v>
      </c>
      <c r="K88" s="20" t="n">
        <v>4349</v>
      </c>
      <c r="L88" s="20" t="n">
        <v>4418</v>
      </c>
    </row>
    <row r="89">
      <c r="A89" s="18" t="inlineStr">
        <is>
          <t>투자유가증권</t>
        </is>
      </c>
      <c r="C89" s="20" t="n">
        <v>70452</v>
      </c>
      <c r="D89" s="20" t="n">
        <v>73665</v>
      </c>
      <c r="E89" s="20" t="n">
        <v>77826</v>
      </c>
      <c r="F89" s="20" t="n">
        <v>32285</v>
      </c>
      <c r="G89" s="20" t="n">
        <v>37669</v>
      </c>
      <c r="H89" s="20" t="n">
        <v>61342</v>
      </c>
      <c r="I89" s="20" t="n">
        <v>110166</v>
      </c>
      <c r="J89" s="20" t="n">
        <v>110166</v>
      </c>
      <c r="K89" s="20" t="n">
        <v>58797</v>
      </c>
      <c r="L89" s="20" t="n">
        <v>32285</v>
      </c>
    </row>
    <row r="90">
      <c r="A90" s="18" t="inlineStr">
        <is>
          <t>장기대여금</t>
        </is>
      </c>
      <c r="C90" s="20" t="n">
        <v>7</v>
      </c>
      <c r="D90" s="20" t="n">
        <v>7</v>
      </c>
      <c r="E90" s="20" t="n">
        <v>7</v>
      </c>
      <c r="F90" s="20" t="n">
        <v>7</v>
      </c>
      <c r="G90" s="20" t="n">
        <v>7</v>
      </c>
      <c r="H90" s="20" t="n">
        <v>8</v>
      </c>
      <c r="I90" s="20" t="n">
        <v>7</v>
      </c>
      <c r="J90" s="20" t="n">
        <v>7</v>
      </c>
      <c r="K90" s="20" t="n">
        <v>7</v>
      </c>
      <c r="L90" s="20" t="n">
        <v>7</v>
      </c>
    </row>
    <row r="91">
      <c r="A91" s="18" t="inlineStr">
        <is>
          <t>이연법인세자산</t>
        </is>
      </c>
      <c r="C91" s="20" t="n">
        <v>5271</v>
      </c>
      <c r="D91" s="20" t="n">
        <v>5240</v>
      </c>
      <c r="E91" s="20" t="n">
        <v>5316</v>
      </c>
      <c r="F91" s="20" t="n">
        <v>18331</v>
      </c>
      <c r="G91" s="20" t="n">
        <v>19490</v>
      </c>
      <c r="H91" s="20" t="n">
        <v>5533</v>
      </c>
      <c r="I91" s="20" t="n">
        <v>4253</v>
      </c>
      <c r="J91" s="20" t="n">
        <v>4253</v>
      </c>
      <c r="K91" s="20" t="n">
        <v>7159</v>
      </c>
      <c r="L91" s="20" t="n">
        <v>18331</v>
      </c>
    </row>
    <row r="92">
      <c r="A92" s="18" t="inlineStr">
        <is>
          <t>기타</t>
        </is>
      </c>
      <c r="C92" s="20" t="n">
        <v>1977</v>
      </c>
      <c r="D92" s="20" t="n">
        <v>1964</v>
      </c>
      <c r="E92" s="20" t="n">
        <v>2034</v>
      </c>
      <c r="F92" s="20" t="n">
        <v>2171</v>
      </c>
      <c r="G92" s="20" t="n">
        <v>7527</v>
      </c>
      <c r="H92" s="20" t="n">
        <v>1889</v>
      </c>
      <c r="I92" s="20" t="n">
        <v>1583</v>
      </c>
      <c r="J92" s="20" t="n">
        <v>1583</v>
      </c>
      <c r="K92" s="20" t="n">
        <v>1931</v>
      </c>
      <c r="L92" s="20" t="n">
        <v>2171</v>
      </c>
    </row>
    <row r="93">
      <c r="A93" s="18" t="inlineStr">
        <is>
          <t>대손충당금</t>
        </is>
      </c>
      <c r="C93" s="20" t="n">
        <v>-196</v>
      </c>
      <c r="D93" s="20" t="n">
        <v>-196</v>
      </c>
      <c r="E93" s="20" t="n">
        <v>-196</v>
      </c>
      <c r="F93" s="20" t="n">
        <v>-35</v>
      </c>
      <c r="G93" s="20" t="n">
        <v>-36</v>
      </c>
      <c r="H93" s="20" t="n">
        <v>-238</v>
      </c>
      <c r="I93" s="20" t="n">
        <v>-197</v>
      </c>
      <c r="J93" s="20" t="n">
        <v>-197</v>
      </c>
      <c r="K93" s="20" t="n">
        <v>-195</v>
      </c>
      <c r="L93" s="20" t="n">
        <v>-35</v>
      </c>
    </row>
    <row r="94">
      <c r="A94" s="18" t="inlineStr">
        <is>
          <t>투자 및 기타자산 합계</t>
        </is>
      </c>
      <c r="C94" s="20" t="n">
        <v>77512</v>
      </c>
      <c r="D94" s="20" t="n">
        <v>80680</v>
      </c>
      <c r="E94" s="20" t="n">
        <v>84988</v>
      </c>
      <c r="F94" s="20" t="n">
        <v>52761</v>
      </c>
      <c r="G94" s="20" t="n">
        <v>64658</v>
      </c>
      <c r="H94" s="20" t="n">
        <v>68536</v>
      </c>
      <c r="I94" s="20" t="n">
        <v>115812</v>
      </c>
      <c r="J94" s="20" t="n">
        <v>115812</v>
      </c>
      <c r="K94" s="20" t="n">
        <v>67699</v>
      </c>
      <c r="L94" s="20" t="n">
        <v>52761</v>
      </c>
    </row>
    <row r="95">
      <c r="A95" s="9" t="inlineStr">
        <is>
          <t>비유동자산 합계</t>
        </is>
      </c>
      <c r="C95" s="12" t="n">
        <v>547300</v>
      </c>
      <c r="D95" s="12" t="n">
        <v>550463</v>
      </c>
      <c r="E95" s="12" t="n">
        <v>549393</v>
      </c>
      <c r="F95" s="12" t="n">
        <v>494883</v>
      </c>
      <c r="G95" s="12" t="n">
        <v>505922</v>
      </c>
      <c r="H95" s="12" t="n">
        <v>380682</v>
      </c>
      <c r="I95" s="12" t="n">
        <v>529180</v>
      </c>
      <c r="J95" s="12" t="n">
        <v>529180</v>
      </c>
      <c r="K95" s="12" t="n">
        <v>532103</v>
      </c>
      <c r="L95" s="12" t="n">
        <v>494883</v>
      </c>
    </row>
    <row r="96">
      <c r="A96" s="9" t="inlineStr">
        <is>
          <t>자산 합계</t>
        </is>
      </c>
      <c r="C96" s="12" t="n">
        <v>1079679</v>
      </c>
      <c r="D96" s="12" t="n">
        <v>1037938</v>
      </c>
      <c r="E96" s="12" t="n">
        <v>1054118</v>
      </c>
      <c r="F96" s="12" t="n">
        <v>960425</v>
      </c>
      <c r="G96" s="12" t="n">
        <v>1056706</v>
      </c>
      <c r="H96" s="12" t="n">
        <v>857508</v>
      </c>
      <c r="I96" s="12" t="n">
        <v>1129991</v>
      </c>
      <c r="J96" s="12" t="n">
        <v>1129991</v>
      </c>
      <c r="K96" s="12" t="n">
        <v>1081684</v>
      </c>
      <c r="L96" s="12" t="n">
        <v>960425</v>
      </c>
    </row>
    <row r="97">
      <c r="A97" s="18" t="inlineStr">
        <is>
          <t>지급어음·매입채무</t>
        </is>
      </c>
      <c r="C97" s="20" t="n">
        <v>27110</v>
      </c>
      <c r="D97" s="20" t="n">
        <v>29225</v>
      </c>
      <c r="E97" s="20" t="n">
        <v>34303</v>
      </c>
      <c r="F97" s="20" t="n">
        <v>33694</v>
      </c>
      <c r="G97" s="20" t="n">
        <v>37651</v>
      </c>
      <c r="H97" s="20" t="n">
        <v>28262</v>
      </c>
      <c r="I97" s="20" t="n">
        <v>31369</v>
      </c>
      <c r="J97" s="20" t="n">
        <v>31369</v>
      </c>
      <c r="K97" s="20" t="n">
        <v>28483</v>
      </c>
      <c r="L97" s="20" t="n">
        <v>33694</v>
      </c>
    </row>
    <row r="98">
      <c r="A98" s="18" t="inlineStr">
        <is>
          <t>전자기록채무</t>
        </is>
      </c>
      <c r="C98" s="20" t="n">
        <v>9127</v>
      </c>
      <c r="D98" s="20" t="n">
        <v>9217</v>
      </c>
      <c r="E98" s="20" t="n">
        <v>11407</v>
      </c>
      <c r="F98" s="20" t="n">
        <v>10449</v>
      </c>
      <c r="G98" s="20" t="n">
        <v>11230</v>
      </c>
      <c r="H98" s="20" t="n">
        <v>12169</v>
      </c>
      <c r="I98" s="20" t="n">
        <v>12506</v>
      </c>
      <c r="J98" s="20" t="n">
        <v>12506</v>
      </c>
      <c r="K98" s="20" t="n">
        <v>10278</v>
      </c>
      <c r="L98" s="20" t="n">
        <v>10449</v>
      </c>
    </row>
    <row r="99">
      <c r="A99" s="18" t="inlineStr">
        <is>
          <t>단기차입금</t>
        </is>
      </c>
      <c r="C99" s="20" t="n">
        <v>50000</v>
      </c>
      <c r="D99" s="20" t="n">
        <v>50000</v>
      </c>
      <c r="E99" s="20" t="n">
        <v>50000</v>
      </c>
      <c r="F99" s="20" t="n">
        <v>0</v>
      </c>
      <c r="H99" s="20" t="n">
        <v>65030</v>
      </c>
      <c r="I99" s="20" t="n">
        <v>55000</v>
      </c>
      <c r="J99" s="20" t="n">
        <v>55000</v>
      </c>
      <c r="K99" s="20" t="n">
        <v>50000</v>
      </c>
      <c r="L99" s="20" t="n">
        <v>0</v>
      </c>
    </row>
    <row r="100">
      <c r="A100" s="18" t="inlineStr">
        <is>
          <t>1년 내 상환 사채</t>
        </is>
      </c>
      <c r="C100" s="20" t="n">
        <v>40000</v>
      </c>
      <c r="D100" s="20" t="n">
        <v>15000</v>
      </c>
      <c r="E100" s="20" t="n">
        <v>15000</v>
      </c>
      <c r="F100" s="20" t="n">
        <v>15000</v>
      </c>
      <c r="G100" s="20" t="n">
        <v>15000</v>
      </c>
      <c r="H100" s="20" t="n">
        <v>0</v>
      </c>
      <c r="I100" s="20" t="n">
        <v>35000</v>
      </c>
      <c r="J100" s="20" t="n">
        <v>35000</v>
      </c>
      <c r="K100" s="20" t="n">
        <v>40000</v>
      </c>
      <c r="L100" s="20" t="n">
        <v>15000</v>
      </c>
    </row>
    <row r="101">
      <c r="A101" s="18" t="inlineStr">
        <is>
          <t>미지급금</t>
        </is>
      </c>
      <c r="C101" s="20" t="n">
        <v>50733</v>
      </c>
      <c r="D101" s="20" t="n">
        <v>29117</v>
      </c>
      <c r="E101" s="20" t="n">
        <v>27805</v>
      </c>
      <c r="F101" s="20" t="n">
        <v>14521</v>
      </c>
      <c r="G101" s="20" t="n">
        <v>19584</v>
      </c>
      <c r="H101" s="20" t="n">
        <v>22308</v>
      </c>
      <c r="I101" s="20" t="n">
        <v>59052</v>
      </c>
      <c r="J101" s="20" t="n">
        <v>59052</v>
      </c>
      <c r="K101" s="20" t="n">
        <v>58671</v>
      </c>
      <c r="L101" s="20" t="n">
        <v>14521</v>
      </c>
    </row>
    <row r="102">
      <c r="A102" s="18" t="inlineStr">
        <is>
          <t>미지급법인세</t>
        </is>
      </c>
      <c r="C102" s="20" t="n">
        <v>4601</v>
      </c>
      <c r="D102" s="20" t="n">
        <v>9839</v>
      </c>
      <c r="E102" s="20" t="n">
        <v>2185</v>
      </c>
      <c r="F102" s="20" t="n">
        <v>22013</v>
      </c>
      <c r="G102" s="20" t="n">
        <v>8914</v>
      </c>
      <c r="H102" s="20" t="n">
        <v>14268</v>
      </c>
      <c r="I102" s="20" t="n">
        <v>4144</v>
      </c>
      <c r="J102" s="20" t="n">
        <v>4144</v>
      </c>
      <c r="K102" s="20" t="n">
        <v>14869</v>
      </c>
      <c r="L102" s="20" t="n">
        <v>22013</v>
      </c>
    </row>
    <row r="103">
      <c r="A103" s="18" t="inlineStr">
        <is>
          <t>선수금</t>
        </is>
      </c>
      <c r="C103" s="20" t="n">
        <v>89764</v>
      </c>
      <c r="D103" s="20" t="n">
        <v>77577</v>
      </c>
      <c r="E103" s="20" t="n">
        <v>76929</v>
      </c>
      <c r="F103" s="20" t="n">
        <v>80950</v>
      </c>
      <c r="G103" s="20" t="n">
        <v>154526</v>
      </c>
      <c r="H103" s="20" t="n">
        <v>30772</v>
      </c>
      <c r="I103" s="20" t="n">
        <v>80098</v>
      </c>
      <c r="J103" s="20" t="n">
        <v>80098</v>
      </c>
      <c r="K103" s="20" t="n">
        <v>92084</v>
      </c>
      <c r="L103" s="20" t="n">
        <v>80950</v>
      </c>
    </row>
    <row r="104">
      <c r="A104" s="18" t="inlineStr">
        <is>
          <t>상여충당금</t>
        </is>
      </c>
      <c r="C104" s="20" t="n">
        <v>2682</v>
      </c>
      <c r="D104" s="20" t="n">
        <v>5886</v>
      </c>
      <c r="E104" s="20" t="n">
        <v>2499</v>
      </c>
      <c r="F104" s="20" t="n">
        <v>5809</v>
      </c>
      <c r="G104" s="20" t="n">
        <v>3249</v>
      </c>
      <c r="H104" s="20" t="n">
        <v>5138</v>
      </c>
      <c r="I104" s="20" t="n">
        <v>4871</v>
      </c>
      <c r="J104" s="20" t="n">
        <v>4871</v>
      </c>
      <c r="K104" s="20" t="n">
        <v>4918</v>
      </c>
      <c r="L104" s="20" t="n">
        <v>5809</v>
      </c>
    </row>
    <row r="105">
      <c r="A105" s="18" t="inlineStr">
        <is>
          <t>임원 상여충당금</t>
        </is>
      </c>
      <c r="C105" s="20" t="n">
        <v>0</v>
      </c>
      <c r="D105" s="20" t="n">
        <v>0</v>
      </c>
      <c r="E105" s="20" t="n">
        <v>0</v>
      </c>
      <c r="F105" s="20" t="n">
        <v>172</v>
      </c>
      <c r="G105" s="20" t="n">
        <v>0</v>
      </c>
      <c r="H105" s="20" t="n">
        <v>186</v>
      </c>
      <c r="I105" s="20" t="n">
        <v>122</v>
      </c>
      <c r="J105" s="20" t="n">
        <v>122</v>
      </c>
      <c r="K105" s="20" t="n">
        <v>170</v>
      </c>
      <c r="L105" s="20" t="n">
        <v>172</v>
      </c>
    </row>
    <row r="106">
      <c r="A106" s="18" t="inlineStr">
        <is>
          <t>관계회사 정리손실 충당금</t>
        </is>
      </c>
      <c r="H106" s="20" t="n">
        <v>176</v>
      </c>
      <c r="I106" s="20" t="n">
        <v>0</v>
      </c>
    </row>
    <row r="107">
      <c r="A107" s="18" t="inlineStr">
        <is>
          <t>설비관련 지급어음</t>
        </is>
      </c>
      <c r="H107" s="20" t="n">
        <v>1</v>
      </c>
      <c r="I107" s="20" t="n">
        <v>9</v>
      </c>
      <c r="J107" s="20" t="n">
        <v>9</v>
      </c>
      <c r="K107" s="20" t="n">
        <v>0</v>
      </c>
    </row>
    <row r="108">
      <c r="A108" s="18" t="inlineStr">
        <is>
          <t>해체철거 충당금</t>
        </is>
      </c>
      <c r="F108" s="20" t="n">
        <v>1558</v>
      </c>
      <c r="G108" s="20" t="n">
        <v>1558</v>
      </c>
      <c r="K108" s="20" t="n">
        <v>0</v>
      </c>
      <c r="L108" s="20" t="n">
        <v>1558</v>
      </c>
    </row>
    <row r="109">
      <c r="A109" s="18" t="inlineStr">
        <is>
          <t>Electronically Recorded Obligations Facilities CL</t>
        </is>
      </c>
      <c r="C109" s="20" t="n">
        <v>9838</v>
      </c>
      <c r="D109" s="20" t="n">
        <v>7441</v>
      </c>
      <c r="E109" s="20" t="n">
        <v>4189</v>
      </c>
      <c r="F109" s="20" t="n">
        <v>6376</v>
      </c>
      <c r="G109" s="20" t="n">
        <v>6807</v>
      </c>
      <c r="H109" s="20" t="n">
        <v>26601</v>
      </c>
      <c r="I109" s="20" t="n">
        <v>52931</v>
      </c>
      <c r="J109" s="20" t="n">
        <v>52931</v>
      </c>
      <c r="K109" s="20" t="n">
        <v>6208</v>
      </c>
      <c r="L109" s="20" t="n">
        <v>6376</v>
      </c>
    </row>
    <row r="110">
      <c r="A110" s="18" t="inlineStr">
        <is>
          <t>기타</t>
        </is>
      </c>
      <c r="C110" s="20" t="n">
        <v>22040</v>
      </c>
      <c r="D110" s="20" t="n">
        <v>28514</v>
      </c>
      <c r="E110" s="20" t="n">
        <v>34907</v>
      </c>
      <c r="F110" s="20" t="n">
        <v>31100</v>
      </c>
      <c r="G110" s="20" t="n">
        <v>43052</v>
      </c>
      <c r="H110" s="20" t="n">
        <v>18582</v>
      </c>
      <c r="I110" s="20" t="n">
        <v>23256</v>
      </c>
      <c r="J110" s="20" t="n">
        <v>23256</v>
      </c>
      <c r="K110" s="20" t="n">
        <v>22033</v>
      </c>
      <c r="L110" s="20" t="n">
        <v>31100</v>
      </c>
    </row>
    <row r="111">
      <c r="A111" s="9" t="inlineStr">
        <is>
          <t>유동부채 합계</t>
        </is>
      </c>
      <c r="C111" s="12" t="n">
        <v>305896</v>
      </c>
      <c r="D111" s="12" t="n">
        <v>261820</v>
      </c>
      <c r="E111" s="12" t="n">
        <v>259227</v>
      </c>
      <c r="F111" s="12" t="n">
        <v>221645</v>
      </c>
      <c r="G111" s="12" t="n">
        <v>301574</v>
      </c>
      <c r="H111" s="12" t="n">
        <v>223321</v>
      </c>
      <c r="I111" s="12" t="n">
        <v>358362</v>
      </c>
      <c r="J111" s="12" t="n">
        <v>358362</v>
      </c>
      <c r="K111" s="12" t="n">
        <v>327717</v>
      </c>
      <c r="L111" s="12" t="n">
        <v>221645</v>
      </c>
    </row>
    <row r="112">
      <c r="A112" s="18" t="inlineStr">
        <is>
          <t>사채</t>
        </is>
      </c>
      <c r="C112" s="20" t="n">
        <v>60000</v>
      </c>
      <c r="D112" s="20" t="n">
        <v>45000</v>
      </c>
      <c r="E112" s="20" t="n">
        <v>45000</v>
      </c>
      <c r="F112" s="20" t="n">
        <v>45000</v>
      </c>
      <c r="G112" s="20" t="n">
        <v>45000</v>
      </c>
      <c r="H112" s="20" t="n">
        <v>100000</v>
      </c>
      <c r="I112" s="20" t="n">
        <v>65000</v>
      </c>
      <c r="J112" s="20" t="n">
        <v>65000</v>
      </c>
      <c r="K112" s="20" t="n">
        <v>60000</v>
      </c>
      <c r="L112" s="20" t="n">
        <v>45000</v>
      </c>
    </row>
    <row r="113">
      <c r="A113" s="18" t="inlineStr">
        <is>
          <t>전환사채형 신주예약권부 사채</t>
        </is>
      </c>
      <c r="C113" s="20" t="n">
        <v>72851</v>
      </c>
      <c r="D113" s="20" t="n">
        <v>72726</v>
      </c>
      <c r="E113" s="20" t="n">
        <v>72601</v>
      </c>
      <c r="F113" s="20" t="n">
        <v>72476</v>
      </c>
      <c r="G113" s="20" t="n">
        <v>64248</v>
      </c>
      <c r="H113" s="20" t="n">
        <v>0</v>
      </c>
      <c r="I113" s="20" t="n">
        <v>73476</v>
      </c>
      <c r="J113" s="20" t="n">
        <v>73476</v>
      </c>
      <c r="K113" s="20" t="n">
        <v>72976</v>
      </c>
      <c r="L113" s="20" t="n">
        <v>72476</v>
      </c>
    </row>
    <row r="114">
      <c r="A114" s="18" t="inlineStr">
        <is>
          <t>장기차입금</t>
        </is>
      </c>
      <c r="C114" s="20" t="n">
        <v>120000</v>
      </c>
      <c r="D114" s="20" t="n">
        <v>120000</v>
      </c>
      <c r="E114" s="20" t="n">
        <v>120000</v>
      </c>
      <c r="F114" s="20" t="n">
        <v>60000</v>
      </c>
      <c r="G114" s="20" t="n">
        <v>61000</v>
      </c>
      <c r="H114" s="20" t="n">
        <v>105000</v>
      </c>
      <c r="I114" s="20" t="n">
        <v>115000</v>
      </c>
      <c r="J114" s="20" t="n">
        <v>115000</v>
      </c>
      <c r="K114" s="20" t="n">
        <v>120000</v>
      </c>
      <c r="L114" s="20" t="n">
        <v>60000</v>
      </c>
    </row>
    <row r="115">
      <c r="A115" s="18" t="inlineStr">
        <is>
          <t>리스부채</t>
        </is>
      </c>
      <c r="C115" s="20" t="n">
        <v>79</v>
      </c>
      <c r="D115" s="20" t="n">
        <v>73</v>
      </c>
      <c r="E115" s="20" t="n">
        <v>68</v>
      </c>
      <c r="F115" s="20" t="n">
        <v>61</v>
      </c>
      <c r="G115" s="20" t="n">
        <v>53</v>
      </c>
      <c r="H115" s="20" t="n">
        <v>167</v>
      </c>
      <c r="I115" s="20" t="n">
        <v>130</v>
      </c>
      <c r="J115" s="20" t="n">
        <v>130</v>
      </c>
      <c r="K115" s="20" t="n">
        <v>84</v>
      </c>
      <c r="L115" s="20" t="n">
        <v>61</v>
      </c>
    </row>
    <row r="116">
      <c r="A116" s="18" t="inlineStr">
        <is>
          <t>재평가 관련 이연법인세부채</t>
        </is>
      </c>
      <c r="C116" s="20" t="n">
        <v>70</v>
      </c>
      <c r="D116" s="20" t="n">
        <v>70</v>
      </c>
      <c r="E116" s="20" t="n">
        <v>70</v>
      </c>
      <c r="F116" s="20" t="n">
        <v>70</v>
      </c>
      <c r="G116" s="20" t="n">
        <v>70</v>
      </c>
      <c r="H116" s="20" t="n">
        <v>68</v>
      </c>
      <c r="I116" s="20" t="n">
        <v>68</v>
      </c>
      <c r="J116" s="20" t="n">
        <v>68</v>
      </c>
      <c r="K116" s="20" t="n">
        <v>70</v>
      </c>
      <c r="L116" s="20" t="n">
        <v>70</v>
      </c>
    </row>
    <row r="117">
      <c r="A117" s="18" t="inlineStr">
        <is>
          <t>퇴직급여부채</t>
        </is>
      </c>
      <c r="C117" s="20" t="n">
        <v>808</v>
      </c>
      <c r="D117" s="20" t="n">
        <v>855</v>
      </c>
      <c r="E117" s="20" t="n">
        <v>932</v>
      </c>
      <c r="F117" s="20" t="n">
        <v>633</v>
      </c>
      <c r="G117" s="20" t="n">
        <v>664</v>
      </c>
      <c r="H117" s="20" t="n">
        <v>573</v>
      </c>
      <c r="I117" s="20" t="n">
        <v>751</v>
      </c>
      <c r="J117" s="20" t="n">
        <v>751</v>
      </c>
      <c r="K117" s="20" t="n">
        <v>800</v>
      </c>
      <c r="L117" s="20" t="n">
        <v>633</v>
      </c>
    </row>
    <row r="118">
      <c r="A118" s="18" t="inlineStr">
        <is>
          <t>주식보상 충당금</t>
        </is>
      </c>
      <c r="H118" s="20" t="n">
        <v>493</v>
      </c>
    </row>
    <row r="119">
      <c r="A119" s="18" t="inlineStr">
        <is>
          <t>주식보상 충당금</t>
        </is>
      </c>
      <c r="C119" s="20" t="n">
        <v>580</v>
      </c>
      <c r="D119" s="20" t="n">
        <v>604</v>
      </c>
      <c r="E119" s="20" t="n">
        <v>646</v>
      </c>
      <c r="F119" s="20" t="n">
        <v>687</v>
      </c>
      <c r="G119" s="20" t="n">
        <v>699</v>
      </c>
      <c r="H119" s="20" t="n">
        <v>548</v>
      </c>
      <c r="I119" s="20" t="n">
        <v>564</v>
      </c>
      <c r="J119" s="20" t="n">
        <v>564</v>
      </c>
      <c r="K119" s="20" t="n">
        <v>582</v>
      </c>
      <c r="L119" s="20" t="n">
        <v>687</v>
      </c>
    </row>
    <row r="120">
      <c r="A120" s="18" t="inlineStr">
        <is>
          <t>이연법인세부채</t>
        </is>
      </c>
      <c r="C120" s="20" t="n">
        <v>2749</v>
      </c>
      <c r="D120" s="20" t="n">
        <v>3621</v>
      </c>
      <c r="E120" s="20" t="n">
        <v>4859</v>
      </c>
      <c r="F120" s="20" t="n">
        <v>1284</v>
      </c>
      <c r="G120" s="20" t="n">
        <v>1290</v>
      </c>
      <c r="H120" s="20" t="n">
        <v>825</v>
      </c>
      <c r="I120" s="20" t="n">
        <v>13433</v>
      </c>
      <c r="J120" s="20" t="n">
        <v>13433</v>
      </c>
      <c r="K120" s="20" t="n">
        <v>1015</v>
      </c>
      <c r="L120" s="20" t="n">
        <v>1284</v>
      </c>
    </row>
    <row r="121">
      <c r="A121" s="18" t="inlineStr">
        <is>
          <t>기타</t>
        </is>
      </c>
      <c r="C121" s="20" t="n">
        <v>1059</v>
      </c>
      <c r="D121" s="20" t="n">
        <v>1012</v>
      </c>
      <c r="E121" s="20" t="n">
        <v>1169</v>
      </c>
      <c r="F121" s="20" t="n">
        <v>1152</v>
      </c>
      <c r="G121" s="20" t="n">
        <v>1572</v>
      </c>
      <c r="H121" s="20" t="n">
        <v>1398</v>
      </c>
      <c r="I121" s="20" t="n">
        <v>1407</v>
      </c>
      <c r="J121" s="20" t="n">
        <v>1407</v>
      </c>
      <c r="K121" s="20" t="n">
        <v>1138</v>
      </c>
      <c r="L121" s="20" t="n">
        <v>1152</v>
      </c>
    </row>
    <row r="122">
      <c r="A122" s="9" t="inlineStr">
        <is>
          <t>비유동부채 합계</t>
        </is>
      </c>
      <c r="C122" s="12" t="n">
        <v>258199</v>
      </c>
      <c r="D122" s="12" t="n">
        <v>243964</v>
      </c>
      <c r="E122" s="12" t="n">
        <v>245349</v>
      </c>
      <c r="F122" s="12" t="n">
        <v>181367</v>
      </c>
      <c r="G122" s="12" t="n">
        <v>174599</v>
      </c>
      <c r="H122" s="12" t="n">
        <v>208581</v>
      </c>
      <c r="I122" s="12" t="n">
        <v>269832</v>
      </c>
      <c r="J122" s="12" t="n">
        <v>269832</v>
      </c>
      <c r="K122" s="12" t="n">
        <v>256668</v>
      </c>
      <c r="L122" s="12" t="n">
        <v>181367</v>
      </c>
    </row>
    <row r="123">
      <c r="A123" s="9" t="inlineStr">
        <is>
          <t>부채 합계</t>
        </is>
      </c>
      <c r="C123" s="12" t="n">
        <v>564096</v>
      </c>
      <c r="D123" s="12" t="n">
        <v>505785</v>
      </c>
      <c r="E123" s="12" t="n">
        <v>504577</v>
      </c>
      <c r="F123" s="12" t="n">
        <v>403012</v>
      </c>
      <c r="G123" s="12" t="n">
        <v>476174</v>
      </c>
      <c r="H123" s="12" t="n">
        <v>431902</v>
      </c>
      <c r="I123" s="12" t="n">
        <v>628194</v>
      </c>
      <c r="J123" s="12" t="n">
        <v>628194</v>
      </c>
      <c r="K123" s="12" t="n">
        <v>584385</v>
      </c>
      <c r="L123" s="12" t="n">
        <v>403012</v>
      </c>
    </row>
    <row r="124">
      <c r="A124" s="18" t="inlineStr">
        <is>
          <t>자본금</t>
        </is>
      </c>
      <c r="C124" s="20" t="n">
        <v>64152</v>
      </c>
      <c r="D124" s="20" t="n">
        <v>64152</v>
      </c>
      <c r="E124" s="20" t="n">
        <v>64152</v>
      </c>
      <c r="F124" s="20" t="n">
        <v>64152</v>
      </c>
      <c r="G124" s="20" t="n">
        <v>64669</v>
      </c>
      <c r="H124" s="20" t="n">
        <v>64152</v>
      </c>
      <c r="I124" s="20" t="n">
        <v>64152</v>
      </c>
      <c r="J124" s="20" t="n">
        <v>64152</v>
      </c>
      <c r="K124" s="20" t="n">
        <v>64152</v>
      </c>
      <c r="L124" s="20" t="n">
        <v>64152</v>
      </c>
    </row>
    <row r="125">
      <c r="A125" s="18" t="inlineStr">
        <is>
          <t>자본잉여금</t>
        </is>
      </c>
      <c r="C125" s="20" t="n">
        <v>64565</v>
      </c>
      <c r="D125" s="20" t="n">
        <v>64565</v>
      </c>
      <c r="E125" s="20" t="n">
        <v>64565</v>
      </c>
      <c r="F125" s="20" t="n">
        <v>64565</v>
      </c>
      <c r="G125" s="20" t="n">
        <v>70333</v>
      </c>
      <c r="H125" s="20" t="n">
        <v>64494</v>
      </c>
      <c r="I125" s="20" t="n">
        <v>64494</v>
      </c>
      <c r="J125" s="20" t="n">
        <v>64494</v>
      </c>
      <c r="K125" s="20" t="n">
        <v>64565</v>
      </c>
      <c r="L125" s="20" t="n">
        <v>64565</v>
      </c>
    </row>
    <row r="126">
      <c r="A126" s="18" t="inlineStr">
        <is>
          <t>이익잉여금</t>
        </is>
      </c>
      <c r="C126" s="20" t="n">
        <v>293738</v>
      </c>
      <c r="D126" s="20" t="n">
        <v>303078</v>
      </c>
      <c r="E126" s="20" t="n">
        <v>307813</v>
      </c>
      <c r="F126" s="20" t="n">
        <v>340525</v>
      </c>
      <c r="G126" s="20" t="n">
        <v>354247</v>
      </c>
      <c r="H126" s="20" t="n">
        <v>229804</v>
      </c>
      <c r="I126" s="20" t="n">
        <v>255698</v>
      </c>
      <c r="J126" s="20" t="n">
        <v>255698</v>
      </c>
      <c r="K126" s="20" t="n">
        <v>283807</v>
      </c>
      <c r="L126" s="20" t="n">
        <v>340525</v>
      </c>
    </row>
    <row r="127">
      <c r="A127" s="18" t="inlineStr">
        <is>
          <t>자기주식</t>
        </is>
      </c>
      <c r="C127" s="20" t="n">
        <v>-3453</v>
      </c>
      <c r="D127" s="20" t="n">
        <v>-3442</v>
      </c>
      <c r="E127" s="20" t="n">
        <v>-3448</v>
      </c>
      <c r="F127" s="20" t="n">
        <v>-3452</v>
      </c>
      <c r="G127" s="20" t="n">
        <v>-1598</v>
      </c>
      <c r="H127" s="20" t="n">
        <v>-3126</v>
      </c>
      <c r="I127" s="20" t="n">
        <v>-2983</v>
      </c>
      <c r="J127" s="20" t="n">
        <v>-2983</v>
      </c>
      <c r="K127" s="20" t="n">
        <v>-3497</v>
      </c>
      <c r="L127" s="20" t="n">
        <v>-3452</v>
      </c>
    </row>
    <row r="128">
      <c r="A128" s="9" t="inlineStr">
        <is>
          <t>주주자본 합계</t>
        </is>
      </c>
      <c r="C128" s="12" t="n">
        <v>419003</v>
      </c>
      <c r="D128" s="12" t="n">
        <v>428354</v>
      </c>
      <c r="E128" s="12" t="n">
        <v>433082</v>
      </c>
      <c r="F128" s="12" t="n">
        <v>465791</v>
      </c>
      <c r="G128" s="12" t="n">
        <v>487652</v>
      </c>
      <c r="H128" s="12" t="n">
        <v>355324</v>
      </c>
      <c r="I128" s="12" t="n">
        <v>381362</v>
      </c>
      <c r="J128" s="12" t="n">
        <v>381362</v>
      </c>
      <c r="K128" s="12" t="n">
        <v>409027</v>
      </c>
      <c r="L128" s="12" t="n">
        <v>465791</v>
      </c>
    </row>
    <row r="129">
      <c r="A129" s="18" t="inlineStr">
        <is>
          <t>기타유가증권 평가차액</t>
        </is>
      </c>
      <c r="C129" s="20" t="n">
        <v>37423</v>
      </c>
      <c r="D129" s="20" t="n">
        <v>39733</v>
      </c>
      <c r="E129" s="20" t="n">
        <v>42611</v>
      </c>
      <c r="F129" s="20" t="n">
        <v>16331</v>
      </c>
      <c r="G129" s="20" t="n">
        <v>20040</v>
      </c>
      <c r="H129" s="20" t="n">
        <v>24430</v>
      </c>
      <c r="I129" s="20" t="n">
        <v>58657</v>
      </c>
      <c r="J129" s="20" t="n">
        <v>58657</v>
      </c>
      <c r="K129" s="20" t="n">
        <v>29416</v>
      </c>
      <c r="L129" s="20" t="n">
        <v>16331</v>
      </c>
    </row>
    <row r="130">
      <c r="A130" s="18" t="inlineStr">
        <is>
          <t>이연헤지손익</t>
        </is>
      </c>
      <c r="C130" s="20" t="n">
        <v>104</v>
      </c>
      <c r="D130" s="20" t="n">
        <v>25</v>
      </c>
      <c r="E130" s="20" t="n">
        <v>-70</v>
      </c>
      <c r="F130" s="20" t="n">
        <v>-168</v>
      </c>
      <c r="G130" s="20" t="n">
        <v>-5485</v>
      </c>
      <c r="H130" s="20" t="n">
        <v>0</v>
      </c>
      <c r="I130" s="20" t="n">
        <v>0</v>
      </c>
      <c r="J130" s="20" t="n">
        <v>0</v>
      </c>
      <c r="K130" s="20" t="n">
        <v>0</v>
      </c>
      <c r="L130" s="20" t="n">
        <v>-168</v>
      </c>
    </row>
    <row r="131">
      <c r="A131" s="18" t="inlineStr">
        <is>
          <t>토지재평가차액금</t>
        </is>
      </c>
      <c r="C131" s="20" t="n">
        <v>158</v>
      </c>
      <c r="D131" s="20" t="n">
        <v>158</v>
      </c>
      <c r="E131" s="20" t="n">
        <v>158</v>
      </c>
      <c r="F131" s="20" t="n">
        <v>158</v>
      </c>
      <c r="G131" s="20" t="n">
        <v>158</v>
      </c>
      <c r="H131" s="20" t="n">
        <v>160</v>
      </c>
      <c r="I131" s="20" t="n">
        <v>160</v>
      </c>
      <c r="J131" s="20" t="n">
        <v>160</v>
      </c>
      <c r="K131" s="20" t="n">
        <v>158</v>
      </c>
      <c r="L131" s="20" t="n">
        <v>158</v>
      </c>
    </row>
    <row r="132">
      <c r="A132" s="18" t="inlineStr">
        <is>
          <t>해외사업환산조정</t>
        </is>
      </c>
      <c r="C132" s="20" t="n">
        <v>51911</v>
      </c>
      <c r="D132" s="20" t="n">
        <v>56827</v>
      </c>
      <c r="E132" s="20" t="n">
        <v>66614</v>
      </c>
      <c r="F132" s="20" t="n">
        <v>67959</v>
      </c>
      <c r="G132" s="20" t="n">
        <v>70683</v>
      </c>
      <c r="H132" s="20" t="n">
        <v>39323</v>
      </c>
      <c r="I132" s="20" t="n">
        <v>54763</v>
      </c>
      <c r="J132" s="20" t="n">
        <v>54763</v>
      </c>
      <c r="K132" s="20" t="n">
        <v>51892</v>
      </c>
      <c r="L132" s="20" t="n">
        <v>67959</v>
      </c>
    </row>
    <row r="133">
      <c r="A133" s="18" t="inlineStr">
        <is>
          <t>기타포괄손익누계액 합계</t>
        </is>
      </c>
      <c r="C133" s="20" t="n">
        <v>89597</v>
      </c>
      <c r="D133" s="20" t="n">
        <v>96743</v>
      </c>
      <c r="E133" s="20" t="n">
        <v>109313</v>
      </c>
      <c r="F133" s="20" t="n">
        <v>84281</v>
      </c>
      <c r="G133" s="20" t="n">
        <v>85396</v>
      </c>
      <c r="H133" s="20" t="n">
        <v>63914</v>
      </c>
      <c r="I133" s="20" t="n">
        <v>113582</v>
      </c>
      <c r="J133" s="20" t="n">
        <v>113582</v>
      </c>
      <c r="K133" s="20" t="n">
        <v>81466</v>
      </c>
      <c r="L133" s="20" t="n">
        <v>84281</v>
      </c>
    </row>
    <row r="134">
      <c r="A134" s="18" t="inlineStr">
        <is>
          <t>비지배지분</t>
        </is>
      </c>
      <c r="C134" s="20" t="n">
        <v>6981</v>
      </c>
      <c r="D134" s="20" t="n">
        <v>7055</v>
      </c>
      <c r="E134" s="20" t="n">
        <v>7144</v>
      </c>
      <c r="F134" s="20" t="n">
        <v>7339</v>
      </c>
      <c r="G134" s="20" t="n">
        <v>7482</v>
      </c>
      <c r="H134" s="20" t="n">
        <v>6367</v>
      </c>
      <c r="I134" s="20" t="n">
        <v>6852</v>
      </c>
      <c r="J134" s="20" t="n">
        <v>6852</v>
      </c>
      <c r="K134" s="20" t="n">
        <v>6803</v>
      </c>
      <c r="L134" s="20" t="n">
        <v>7339</v>
      </c>
    </row>
    <row r="135">
      <c r="A135" s="9" t="inlineStr">
        <is>
          <t>순자산 합계</t>
        </is>
      </c>
      <c r="C135" s="12" t="n">
        <v>515582</v>
      </c>
      <c r="D135" s="12" t="n">
        <v>532153</v>
      </c>
      <c r="E135" s="12" t="n">
        <v>549541</v>
      </c>
      <c r="F135" s="12" t="n">
        <v>557412</v>
      </c>
      <c r="G135" s="12" t="n">
        <v>580531</v>
      </c>
      <c r="H135" s="12" t="n">
        <v>425606</v>
      </c>
      <c r="I135" s="12" t="n">
        <v>501796</v>
      </c>
      <c r="J135" s="12" t="n">
        <v>501796</v>
      </c>
      <c r="K135" s="12" t="n">
        <v>497298</v>
      </c>
      <c r="L135" s="12" t="n">
        <v>557412</v>
      </c>
    </row>
    <row r="136">
      <c r="A136" s="9" t="inlineStr">
        <is>
          <t>부채·순자산 합계</t>
        </is>
      </c>
      <c r="C136" s="12" t="n">
        <v>1079679</v>
      </c>
      <c r="D136" s="12" t="n">
        <v>1037938</v>
      </c>
      <c r="E136" s="12" t="n">
        <v>1054118</v>
      </c>
      <c r="F136" s="12" t="n">
        <v>960425</v>
      </c>
      <c r="G136" s="12" t="n">
        <v>1056706</v>
      </c>
      <c r="H136" s="12" t="n">
        <v>857508</v>
      </c>
      <c r="I136" s="12" t="n">
        <v>1129991</v>
      </c>
      <c r="J136" s="12" t="n">
        <v>1129991</v>
      </c>
      <c r="K136" s="12" t="n">
        <v>1081684</v>
      </c>
      <c r="L136" s="12" t="n">
        <v>960425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2026-08-04</t>
        </is>
      </c>
      <c r="B4" t="inlineStr">
        <is>
          <t>2027년 3월 결산기 1분기 결산단신</t>
        </is>
      </c>
      <c r="C4" t="inlineStr">
        <is>
          <t>https://www2.jpx.co.jp/disc/40620/140120260731504718.pdf</t>
        </is>
      </c>
    </row>
    <row r="5">
      <c r="A5" t="inlineStr">
        <is>
          <t>2026-05-11</t>
        </is>
      </c>
      <c r="B5" t="inlineStr">
        <is>
          <t>2026년 3월 결산기 연간 결산단신</t>
        </is>
      </c>
      <c r="C5" t="inlineStr">
        <is>
          <t>https://www2.jpx.co.jp/disc/40620/140120260505517290.pdf</t>
        </is>
      </c>
    </row>
    <row r="6">
      <c r="A6" t="inlineStr">
        <is>
          <t>2026-02-24</t>
        </is>
      </c>
      <c r="B6" t="inlineStr">
        <is>
          <t>2026년 3월 결산기 3분기 결산단신</t>
        </is>
      </c>
      <c r="C6" t="inlineStr">
        <is>
          <t>https://www2.jpx.co.jp/disc/40620/140120260220565976.pdf</t>
        </is>
      </c>
    </row>
    <row r="7">
      <c r="A7" t="inlineStr">
        <is>
          <t>2026-02-03</t>
        </is>
      </c>
      <c r="B7" t="inlineStr">
        <is>
          <t>2026년 3월 결산기 3분기 결산단신</t>
        </is>
      </c>
      <c r="C7" t="inlineStr">
        <is>
          <t>https://www2.jpx.co.jp/disc/40620/140120260202544761.pdf</t>
        </is>
      </c>
    </row>
    <row r="8">
      <c r="A8" t="inlineStr">
        <is>
          <t>2025-10-30</t>
        </is>
      </c>
      <c r="B8" t="inlineStr">
        <is>
          <t>2026년 3월 결산기 2분기 결산단신</t>
        </is>
      </c>
      <c r="C8" t="inlineStr">
        <is>
          <t>https://www2.jpx.co.jp/disc/40620/140120251029581059.pdf</t>
        </is>
      </c>
    </row>
    <row r="9">
      <c r="A9" t="inlineStr">
        <is>
          <t>2025-08-01</t>
        </is>
      </c>
      <c r="B9" t="inlineStr">
        <is>
          <t>2026년 3월 결산기 1분기 결산단신</t>
        </is>
      </c>
      <c r="C9" t="inlineStr">
        <is>
          <t>https://www2.jpx.co.jp/disc/40620/140120250731525362.pdf</t>
        </is>
      </c>
    </row>
    <row r="10">
      <c r="A10" t="inlineStr">
        <is>
          <t>2025-05-08</t>
        </is>
      </c>
      <c r="B10" t="inlineStr">
        <is>
          <t>2025년 3월 결산기 연간 결산단신</t>
        </is>
      </c>
      <c r="C10" t="inlineStr">
        <is>
          <t>https://www2.jpx.co.jp/disc/40620/140120250424522482.pdf</t>
        </is>
      </c>
    </row>
    <row r="11">
      <c r="A11" t="inlineStr">
        <is>
          <t>2025-02-04</t>
        </is>
      </c>
      <c r="B11" t="inlineStr">
        <is>
          <t>2025년 3월 결산기 3분기 결산단신</t>
        </is>
      </c>
      <c r="C11" t="inlineStr">
        <is>
          <t>https://www2.jpx.co.jp/disc/40620/140120250203561405.pdf</t>
        </is>
      </c>
    </row>
    <row r="12">
      <c r="A12" t="inlineStr">
        <is>
          <t>2024-10-31</t>
        </is>
      </c>
      <c r="B12" t="inlineStr">
        <is>
          <t>2025년 3월 결산기 2분기 결산단신</t>
        </is>
      </c>
      <c r="C12" t="inlineStr">
        <is>
          <t>https://www2.jpx.co.jp/disc/40620/140120241030505654.pdf</t>
        </is>
      </c>
    </row>
    <row r="13">
      <c r="A13" t="inlineStr">
        <is>
          <t>2024-08-02</t>
        </is>
      </c>
      <c r="B13" t="inlineStr">
        <is>
          <t>2025년 3월 결산기 1분기 결산단신</t>
        </is>
      </c>
      <c r="C13" t="inlineStr">
        <is>
          <t>https://www2.jpx.co.jp/disc/40620/140120240730557594.pdf</t>
        </is>
      </c>
    </row>
    <row r="14">
      <c r="A14" t="inlineStr">
        <is>
          <t>2024-05-01</t>
        </is>
      </c>
      <c r="B14" t="inlineStr">
        <is>
          <t>2024년 3월 결산기 연간 결산단신</t>
        </is>
      </c>
      <c r="C14" t="inlineStr">
        <is>
          <t>https://www2.jpx.co.jp/disc/40620/140120240430579860.pdf</t>
        </is>
      </c>
    </row>
    <row r="15">
      <c r="A15" t="inlineStr">
        <is>
          <t>2024-02-01</t>
        </is>
      </c>
      <c r="B15" t="inlineStr">
        <is>
          <t>2024년 3월 결산기 3분기 결산단신</t>
        </is>
      </c>
      <c r="C15" t="inlineStr">
        <is>
          <t>https://www2.jpx.co.jp/disc/40620/140120240131522430.pdf</t>
        </is>
      </c>
    </row>
    <row r="16">
      <c r="A16" t="inlineStr">
        <is>
          <t>2023-10-26</t>
        </is>
      </c>
      <c r="B16" t="inlineStr">
        <is>
          <t>2024년 3월 결산기 2분기 결산단신</t>
        </is>
      </c>
      <c r="C16" t="inlineStr">
        <is>
          <t>https://www2.jpx.co.jp/disc/40620/140120231025571219.pdf</t>
        </is>
      </c>
    </row>
    <row r="17">
      <c r="A17" t="inlineStr">
        <is>
          <t>2023-08-02</t>
        </is>
      </c>
      <c r="B17" t="inlineStr">
        <is>
          <t>2024년 3월 결산기 1분기 결산단신</t>
        </is>
      </c>
      <c r="C17" t="inlineStr">
        <is>
          <t>https://www2.jpx.co.jp/disc/40620/140120230801531093.pdf</t>
        </is>
      </c>
    </row>
    <row r="18">
      <c r="A18" t="inlineStr">
        <is>
          <t>2023-05-01</t>
        </is>
      </c>
      <c r="B18" t="inlineStr">
        <is>
          <t>2023년 3월 결산기 연간 결산단신</t>
        </is>
      </c>
      <c r="C18" t="inlineStr">
        <is>
          <t>https://www2.jpx.co.jp/disc/40620/140120230428556576.pdf</t>
        </is>
      </c>
    </row>
    <row r="19">
      <c r="A19" t="inlineStr">
        <is>
          <t>2023-02-02</t>
        </is>
      </c>
      <c r="B19" t="inlineStr">
        <is>
          <t>2023년 3월 결산기 3분기 결산단신</t>
        </is>
      </c>
      <c r="C19" t="inlineStr">
        <is>
          <t>https://www2.jpx.co.jp/disc/40620/140120230201598311.pdf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https://www2.jpx.co.jp/disc/40620/140120220425527351.pdf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https://www2.jpx.co.jp/disc/40620/140120210422498530.pdf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https://www2.jpx.co.jp/disc/40620/140120200327486065.pdf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https://www2.jpx.co.jp/disc/40620/140120190405401221.pdf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https://www2.jpx.co.jp/disc/40620/140120180412410460.pdf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2026-10-26T10:54:02Z</dcterms:created>
  <dcterms:modified xmlns:dcterms="http://purl.org/dc/terms/" xmlns:xsi="http://www.w3.org/2001/XMLSchema-instance" xsi:type="dcterms:W3CDTF">2026-10-26T10:54:02Z</dcterms:modified>
</cp:coreProperties>
</file>