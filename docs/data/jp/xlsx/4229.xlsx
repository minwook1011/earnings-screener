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28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47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4229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7595</v>
      </c>
      <c r="D4" s="12" t="n">
        <v>7097</v>
      </c>
      <c r="E4" s="12" t="n">
        <v>7634</v>
      </c>
      <c r="F4" s="12" t="n">
        <v>7548</v>
      </c>
      <c r="G4" s="12" t="n">
        <v>7520</v>
      </c>
      <c r="H4" s="12" t="n">
        <v>7843</v>
      </c>
      <c r="I4" s="12" t="n">
        <v>7724</v>
      </c>
      <c r="J4" s="12" t="n">
        <v>7841</v>
      </c>
      <c r="K4" s="12" t="n">
        <v>7956</v>
      </c>
      <c r="L4" s="12" t="n">
        <v>7786</v>
      </c>
      <c r="M4" s="12" t="n">
        <v>8435</v>
      </c>
      <c r="N4" s="12" t="n">
        <v>8934</v>
      </c>
      <c r="O4" s="11" t="n">
        <v>25363</v>
      </c>
      <c r="P4" s="12" t="n">
        <v>26393</v>
      </c>
      <c r="Q4" s="12" t="n">
        <v>27636</v>
      </c>
      <c r="R4" s="12" t="n">
        <v>26983</v>
      </c>
      <c r="S4" s="12" t="n">
        <v>25194</v>
      </c>
      <c r="T4" s="12" t="n">
        <v>29406</v>
      </c>
      <c r="U4" s="12" t="n">
        <v>31390</v>
      </c>
      <c r="V4" s="12" t="n">
        <v>30310</v>
      </c>
      <c r="W4" s="12" t="n">
        <v>30545</v>
      </c>
      <c r="X4" s="12" t="n">
        <v>31307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ChemicalsReportableSegmentsMember</t>
        </is>
      </c>
      <c r="B7" s="10" t="n"/>
      <c r="C7" s="19" t="n">
        <v>6355</v>
      </c>
      <c r="D7" s="20" t="n">
        <v>5851</v>
      </c>
      <c r="E7" s="20" t="n">
        <v>6107</v>
      </c>
      <c r="F7" s="20" t="n">
        <v>6269</v>
      </c>
      <c r="G7" s="20" t="n">
        <v>6378</v>
      </c>
      <c r="H7" s="20" t="n">
        <v>6705</v>
      </c>
      <c r="I7" s="20" t="n">
        <v>6360</v>
      </c>
      <c r="J7" s="20" t="n">
        <v>6648</v>
      </c>
      <c r="K7" s="20" t="n">
        <v>6878</v>
      </c>
      <c r="L7" s="20" t="n">
        <v>6610</v>
      </c>
      <c r="M7" s="20" t="n">
        <v>7072</v>
      </c>
      <c r="N7" s="20" t="n">
        <v>7726</v>
      </c>
      <c r="O7" s="19" t="n"/>
      <c r="P7" s="20" t="n"/>
      <c r="Q7" s="20" t="n"/>
      <c r="R7" s="20" t="n"/>
      <c r="S7" s="20" t="n"/>
      <c r="T7" s="20" t="n"/>
      <c r="U7" s="20" t="n"/>
      <c r="V7" s="20" t="n">
        <v>24796</v>
      </c>
      <c r="W7" s="20" t="n">
        <v>25459</v>
      </c>
      <c r="X7" s="20" t="n">
        <v>26496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GroceryReportableSegmentsMember</t>
        </is>
      </c>
      <c r="B10" s="10" t="n"/>
      <c r="C10" s="19" t="n">
        <v>1179</v>
      </c>
      <c r="D10" s="20" t="n">
        <v>1183</v>
      </c>
      <c r="E10" s="20" t="n">
        <v>1466</v>
      </c>
      <c r="F10" s="20" t="n">
        <v>1218</v>
      </c>
      <c r="G10" s="20" t="n">
        <v>1079</v>
      </c>
      <c r="H10" s="20" t="n">
        <v>1077</v>
      </c>
      <c r="I10" s="20" t="n">
        <v>1302</v>
      </c>
      <c r="J10" s="20" t="n">
        <v>1130</v>
      </c>
      <c r="K10" s="20" t="n">
        <v>1017</v>
      </c>
      <c r="L10" s="20" t="n">
        <v>1115</v>
      </c>
      <c r="M10" s="20" t="n">
        <v>1300</v>
      </c>
      <c r="N10" s="20" t="n">
        <v>1147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5265</v>
      </c>
      <c r="W10" s="20" t="n">
        <v>4840</v>
      </c>
      <c r="X10" s="20" t="n">
        <v>4564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RealEstateUtilizationReportableSegmentsMember</t>
        </is>
      </c>
      <c r="B13" s="10" t="n"/>
      <c r="C13" s="19" t="n">
        <v>62</v>
      </c>
      <c r="D13" s="20" t="n">
        <v>62</v>
      </c>
      <c r="E13" s="20" t="n">
        <v>60</v>
      </c>
      <c r="F13" s="20" t="n">
        <v>62</v>
      </c>
      <c r="G13" s="20" t="n">
        <v>61</v>
      </c>
      <c r="H13" s="20" t="n">
        <v>62</v>
      </c>
      <c r="I13" s="20" t="n">
        <v>62</v>
      </c>
      <c r="J13" s="20" t="n">
        <v>61</v>
      </c>
      <c r="K13" s="20" t="n">
        <v>62</v>
      </c>
      <c r="L13" s="20" t="n">
        <v>62</v>
      </c>
      <c r="M13" s="20" t="n">
        <v>61</v>
      </c>
      <c r="N13" s="20" t="n">
        <v>62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247</v>
      </c>
      <c r="W13" s="20" t="n">
        <v>245</v>
      </c>
      <c r="X13" s="20" t="n">
        <v>247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>
        <v>7634</v>
      </c>
      <c r="F16" s="20" t="n"/>
      <c r="G16" s="20" t="n"/>
      <c r="H16" s="20" t="n"/>
      <c r="I16" s="20" t="n">
        <v>7724</v>
      </c>
      <c r="J16" s="20" t="n"/>
      <c r="K16" s="20" t="n"/>
      <c r="L16" s="20" t="n"/>
      <c r="M16" s="20" t="n">
        <v>8435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5785</v>
      </c>
      <c r="D20" s="20" t="n">
        <v>5693</v>
      </c>
      <c r="E20" s="20" t="n">
        <v>5924</v>
      </c>
      <c r="F20" s="20" t="n">
        <v>5947</v>
      </c>
      <c r="G20" s="20" t="n">
        <v>5989</v>
      </c>
      <c r="H20" s="20" t="n">
        <v>6159</v>
      </c>
      <c r="I20" s="20" t="n">
        <v>5993</v>
      </c>
      <c r="J20" s="20" t="n">
        <v>5987</v>
      </c>
      <c r="K20" s="20" t="n">
        <v>6001</v>
      </c>
      <c r="L20" s="20" t="n">
        <v>6262</v>
      </c>
      <c r="M20" s="20" t="n">
        <v>6249</v>
      </c>
      <c r="N20" s="20" t="n">
        <v>6582</v>
      </c>
      <c r="O20" s="19" t="n">
        <v>19052</v>
      </c>
      <c r="P20" s="20" t="n">
        <v>20311</v>
      </c>
      <c r="Q20" s="20" t="n">
        <v>22393</v>
      </c>
      <c r="R20" s="20" t="n">
        <v>21155</v>
      </c>
      <c r="S20" s="20" t="n">
        <v>19169</v>
      </c>
      <c r="T20" s="20" t="n">
        <v>22704</v>
      </c>
      <c r="U20" s="20" t="n">
        <v>25483</v>
      </c>
      <c r="V20" s="20" t="n">
        <v>23432</v>
      </c>
      <c r="W20" s="20" t="n">
        <v>24019</v>
      </c>
      <c r="X20" s="20" t="n">
        <v>24243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1012</v>
      </c>
      <c r="D26" s="20" t="n">
        <v>1079</v>
      </c>
      <c r="E26" s="20" t="n">
        <v>1016</v>
      </c>
      <c r="F26" s="20" t="n">
        <v>1060</v>
      </c>
      <c r="G26" s="20" t="n">
        <v>1071</v>
      </c>
      <c r="H26" s="20" t="n">
        <v>1085</v>
      </c>
      <c r="I26" s="20" t="n">
        <v>1079</v>
      </c>
      <c r="J26" s="20" t="n">
        <v>1106</v>
      </c>
      <c r="K26" s="20" t="n">
        <v>1127</v>
      </c>
      <c r="L26" s="20" t="n">
        <v>1184</v>
      </c>
      <c r="M26" s="20" t="n">
        <v>1152</v>
      </c>
      <c r="N26" s="20" t="n">
        <v>1213</v>
      </c>
      <c r="O26" s="19" t="n">
        <v>3585</v>
      </c>
      <c r="P26" s="20" t="n">
        <v>3621</v>
      </c>
      <c r="Q26" s="20" t="n">
        <v>3627</v>
      </c>
      <c r="R26" s="20" t="n">
        <v>3891</v>
      </c>
      <c r="S26" s="20" t="n">
        <v>3808</v>
      </c>
      <c r="T26" s="20" t="n">
        <v>4211</v>
      </c>
      <c r="U26" s="20" t="n">
        <v>4247</v>
      </c>
      <c r="V26" s="20" t="n">
        <v>4148</v>
      </c>
      <c r="W26" s="20" t="n">
        <v>4232</v>
      </c>
      <c r="X26" s="20" t="n">
        <v>4496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799</v>
      </c>
      <c r="D28" s="12" t="n">
        <v>324</v>
      </c>
      <c r="E28" s="12" t="n">
        <v>692</v>
      </c>
      <c r="F28" s="12" t="n">
        <v>543</v>
      </c>
      <c r="G28" s="12" t="n">
        <v>459</v>
      </c>
      <c r="H28" s="12" t="n">
        <v>599</v>
      </c>
      <c r="I28" s="12" t="n">
        <v>651</v>
      </c>
      <c r="J28" s="12" t="n">
        <v>747</v>
      </c>
      <c r="K28" s="12" t="n">
        <v>829</v>
      </c>
      <c r="L28" s="12" t="n">
        <v>340</v>
      </c>
      <c r="M28" s="12" t="n">
        <v>1033</v>
      </c>
      <c r="N28" s="12" t="n">
        <v>1139</v>
      </c>
      <c r="O28" s="11" t="n">
        <v>2725</v>
      </c>
      <c r="P28" s="12" t="n">
        <v>2459</v>
      </c>
      <c r="Q28" s="12" t="n">
        <v>1614</v>
      </c>
      <c r="R28" s="12" t="n">
        <v>1936</v>
      </c>
      <c r="S28" s="12" t="n">
        <v>2217</v>
      </c>
      <c r="T28" s="12" t="n">
        <v>2489</v>
      </c>
      <c r="U28" s="12" t="n">
        <v>1659</v>
      </c>
      <c r="V28" s="12" t="n">
        <v>2729</v>
      </c>
      <c r="W28" s="12" t="n">
        <v>2293</v>
      </c>
      <c r="X28" s="12" t="n">
        <v>2567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1</v>
      </c>
      <c r="D44" s="20" t="n">
        <v>103</v>
      </c>
      <c r="E44" s="20" t="n">
        <v>0</v>
      </c>
      <c r="F44" s="20" t="n">
        <v>10</v>
      </c>
      <c r="G44" s="20" t="n">
        <v>0</v>
      </c>
      <c r="H44" s="20" t="n">
        <v>20</v>
      </c>
      <c r="I44" s="20" t="n">
        <v>0</v>
      </c>
      <c r="J44" s="20" t="n">
        <v>4</v>
      </c>
      <c r="K44" s="20" t="n">
        <v>0</v>
      </c>
      <c r="L44" s="20" t="n">
        <v>11</v>
      </c>
      <c r="M44" s="20" t="n">
        <v>12</v>
      </c>
      <c r="N44" s="20" t="n">
        <v>0</v>
      </c>
      <c r="O44" s="19" t="n">
        <v>129</v>
      </c>
      <c r="P44" s="20" t="n">
        <v>107</v>
      </c>
      <c r="Q44" s="20" t="n">
        <v>3</v>
      </c>
      <c r="R44" s="20" t="n">
        <v>168</v>
      </c>
      <c r="S44" s="20" t="n">
        <v>0</v>
      </c>
      <c r="T44" s="20" t="n">
        <v>3</v>
      </c>
      <c r="U44" s="20" t="n">
        <v>0</v>
      </c>
      <c r="V44" s="20" t="n">
        <v>104</v>
      </c>
      <c r="W44" s="20" t="n">
        <v>30</v>
      </c>
      <c r="X44" s="20" t="n">
        <v>15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16</v>
      </c>
      <c r="D46" s="20" t="n">
        <v>271</v>
      </c>
      <c r="E46" s="20" t="n">
        <v>13</v>
      </c>
      <c r="F46" s="20" t="n">
        <v>7</v>
      </c>
      <c r="G46" s="20" t="n">
        <v>5</v>
      </c>
      <c r="H46" s="20" t="n">
        <v>9</v>
      </c>
      <c r="I46" s="20" t="n">
        <v>9</v>
      </c>
      <c r="J46" s="20" t="n">
        <v>19</v>
      </c>
      <c r="K46" s="20" t="n">
        <v>17</v>
      </c>
      <c r="L46" s="20" t="n">
        <v>14</v>
      </c>
      <c r="M46" s="20" t="n">
        <v>386</v>
      </c>
      <c r="N46" s="20" t="n">
        <v>70</v>
      </c>
      <c r="O46" s="19" t="n">
        <v>469</v>
      </c>
      <c r="P46" s="20" t="n">
        <v>272</v>
      </c>
      <c r="Q46" s="20" t="n">
        <v>170</v>
      </c>
      <c r="R46" s="20" t="n">
        <v>359</v>
      </c>
      <c r="S46" s="20" t="n">
        <v>104</v>
      </c>
      <c r="T46" s="20" t="n">
        <v>103</v>
      </c>
      <c r="U46" s="20" t="n">
        <v>295</v>
      </c>
      <c r="V46" s="20" t="n">
        <v>303</v>
      </c>
      <c r="W46" s="20" t="n">
        <v>34</v>
      </c>
      <c r="X46" s="20" t="n">
        <v>59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57</v>
      </c>
      <c r="D48" s="20" t="n">
        <v>157</v>
      </c>
      <c r="E48" s="20" t="n">
        <v>122</v>
      </c>
      <c r="F48" s="20" t="n">
        <v>90</v>
      </c>
      <c r="G48" s="20" t="n">
        <v>88</v>
      </c>
      <c r="H48" s="20" t="n">
        <v>147</v>
      </c>
      <c r="I48" s="20" t="n">
        <v>81</v>
      </c>
      <c r="J48" s="20" t="n">
        <v>141</v>
      </c>
      <c r="K48" s="20" t="n">
        <v>82</v>
      </c>
      <c r="L48" s="20" t="n">
        <v>202</v>
      </c>
      <c r="M48" s="20" t="n">
        <v>109</v>
      </c>
      <c r="N48" s="20" t="n">
        <v>170</v>
      </c>
      <c r="O48" s="19" t="n">
        <v>243</v>
      </c>
      <c r="P48" s="20" t="n">
        <v>273</v>
      </c>
      <c r="Q48" s="20" t="n">
        <v>276</v>
      </c>
      <c r="R48" s="20" t="n">
        <v>250</v>
      </c>
      <c r="S48" s="20" t="n">
        <v>237</v>
      </c>
      <c r="T48" s="20" t="n">
        <v>342</v>
      </c>
      <c r="U48" s="20" t="n">
        <v>295</v>
      </c>
      <c r="V48" s="20" t="n">
        <v>456</v>
      </c>
      <c r="W48" s="20" t="n">
        <v>447</v>
      </c>
      <c r="X48" s="20" t="n">
        <v>506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6</v>
      </c>
      <c r="D50" s="20" t="n">
        <v>6</v>
      </c>
      <c r="E50" s="20" t="n">
        <v>5</v>
      </c>
      <c r="F50" s="20" t="n">
        <v>6</v>
      </c>
      <c r="G50" s="20" t="n">
        <v>6</v>
      </c>
      <c r="H50" s="20" t="n">
        <v>7</v>
      </c>
      <c r="I50" s="20" t="n">
        <v>5</v>
      </c>
      <c r="J50" s="20" t="n">
        <v>105</v>
      </c>
      <c r="K50" s="20" t="n">
        <v>-63</v>
      </c>
      <c r="L50" s="20" t="n">
        <v>66</v>
      </c>
      <c r="M50" s="20" t="n">
        <v>5</v>
      </c>
      <c r="N50" s="20" t="n">
        <v>50</v>
      </c>
      <c r="O50" s="19" t="n">
        <v>44</v>
      </c>
      <c r="P50" s="20" t="n">
        <v>24</v>
      </c>
      <c r="Q50" s="20" t="n">
        <v>55</v>
      </c>
      <c r="R50" s="20" t="n">
        <v>45</v>
      </c>
      <c r="S50" s="20" t="n">
        <v>4</v>
      </c>
      <c r="T50" s="20" t="n">
        <v>16</v>
      </c>
      <c r="U50" s="20" t="n">
        <v>15</v>
      </c>
      <c r="V50" s="20" t="n">
        <v>24</v>
      </c>
      <c r="W50" s="20" t="n">
        <v>24</v>
      </c>
      <c r="X50" s="20" t="n">
        <v>113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835</v>
      </c>
      <c r="D52" s="12" t="n">
        <v>307</v>
      </c>
      <c r="E52" s="12" t="n">
        <v>796</v>
      </c>
      <c r="F52" s="12" t="n">
        <v>630</v>
      </c>
      <c r="G52" s="12" t="n">
        <v>537</v>
      </c>
      <c r="H52" s="12" t="n">
        <v>748</v>
      </c>
      <c r="I52" s="12" t="n">
        <v>718</v>
      </c>
      <c r="J52" s="12" t="n">
        <v>768</v>
      </c>
      <c r="K52" s="12" t="n">
        <v>958</v>
      </c>
      <c r="L52" s="12" t="n">
        <v>472</v>
      </c>
      <c r="M52" s="12" t="n">
        <v>764</v>
      </c>
      <c r="N52" s="12" t="n">
        <v>1187</v>
      </c>
      <c r="O52" s="11" t="n">
        <v>2583</v>
      </c>
      <c r="P52" s="12" t="n">
        <v>2543</v>
      </c>
      <c r="Q52" s="12" t="n">
        <v>1668</v>
      </c>
      <c r="R52" s="12" t="n">
        <v>1950</v>
      </c>
      <c r="S52" s="12" t="n">
        <v>2346</v>
      </c>
      <c r="T52" s="12" t="n">
        <v>2716</v>
      </c>
      <c r="U52" s="12" t="n">
        <v>1644</v>
      </c>
      <c r="V52" s="12" t="n">
        <v>2962</v>
      </c>
      <c r="W52" s="12" t="n">
        <v>2711</v>
      </c>
      <c r="X52" s="12" t="n">
        <v>2916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214</v>
      </c>
      <c r="D54" s="20" t="n">
        <v>88</v>
      </c>
      <c r="E54" s="20" t="n">
        <v>232</v>
      </c>
      <c r="F54" s="20" t="n">
        <v>145</v>
      </c>
      <c r="G54" s="20" t="n">
        <v>113</v>
      </c>
      <c r="H54" s="20" t="n">
        <v>166</v>
      </c>
      <c r="I54" s="20" t="n">
        <v>199</v>
      </c>
      <c r="J54" s="20" t="n">
        <v>207</v>
      </c>
      <c r="K54" s="20" t="n">
        <v>180</v>
      </c>
      <c r="L54" s="20" t="n">
        <v>151</v>
      </c>
      <c r="M54" s="20" t="n">
        <v>338</v>
      </c>
      <c r="N54" s="20" t="n">
        <v>289</v>
      </c>
      <c r="O54" s="19" t="n">
        <v>573</v>
      </c>
      <c r="P54" s="20" t="n">
        <v>847</v>
      </c>
      <c r="Q54" s="20" t="n">
        <v>393</v>
      </c>
      <c r="R54" s="20" t="n">
        <v>465</v>
      </c>
      <c r="S54" s="20" t="n">
        <v>623</v>
      </c>
      <c r="T54" s="20" t="n">
        <v>764</v>
      </c>
      <c r="U54" s="20" t="n">
        <v>497</v>
      </c>
      <c r="V54" s="20" t="n">
        <v>770</v>
      </c>
      <c r="W54" s="20" t="n">
        <v>656</v>
      </c>
      <c r="X54" s="20" t="n">
        <v>737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620</v>
      </c>
      <c r="D56" s="12" t="n">
        <v>220</v>
      </c>
      <c r="E56" s="12" t="n">
        <v>564</v>
      </c>
      <c r="F56" s="12" t="n">
        <v>485</v>
      </c>
      <c r="G56" s="12" t="n">
        <v>423</v>
      </c>
      <c r="H56" s="12" t="n">
        <v>583</v>
      </c>
      <c r="I56" s="12" t="n">
        <v>518</v>
      </c>
      <c r="J56" s="12" t="n">
        <v>561</v>
      </c>
      <c r="K56" s="12" t="n">
        <v>779</v>
      </c>
      <c r="L56" s="12" t="n">
        <v>321</v>
      </c>
      <c r="M56" s="12" t="n">
        <v>425</v>
      </c>
      <c r="N56" s="12" t="n">
        <v>899</v>
      </c>
      <c r="O56" s="11" t="n">
        <v>2009</v>
      </c>
      <c r="P56" s="12" t="n">
        <v>1695</v>
      </c>
      <c r="Q56" s="12" t="n">
        <v>1275</v>
      </c>
      <c r="R56" s="12" t="n">
        <v>1485</v>
      </c>
      <c r="S56" s="12" t="n">
        <v>1723</v>
      </c>
      <c r="T56" s="12" t="n">
        <v>1951</v>
      </c>
      <c r="U56" s="12" t="n">
        <v>1146</v>
      </c>
      <c r="V56" s="12" t="n">
        <v>2192</v>
      </c>
      <c r="W56" s="12" t="n">
        <v>2055</v>
      </c>
      <c r="X56" s="12" t="n">
        <v>2179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574</v>
      </c>
      <c r="D58" s="12" t="n">
        <v>197</v>
      </c>
      <c r="E58" s="12" t="n">
        <v>530</v>
      </c>
      <c r="F58" s="12" t="n">
        <v>457</v>
      </c>
      <c r="G58" s="12" t="n">
        <v>407</v>
      </c>
      <c r="H58" s="12" t="n">
        <v>526</v>
      </c>
      <c r="I58" s="12" t="n">
        <v>463</v>
      </c>
      <c r="J58" s="12" t="n">
        <v>510</v>
      </c>
      <c r="K58" s="12" t="n">
        <v>721</v>
      </c>
      <c r="L58" s="12" t="n">
        <v>279</v>
      </c>
      <c r="M58" s="12" t="n">
        <v>379</v>
      </c>
      <c r="N58" s="12" t="n">
        <v>867</v>
      </c>
      <c r="O58" s="11" t="n">
        <v>1856</v>
      </c>
      <c r="P58" s="12" t="n">
        <v>1583</v>
      </c>
      <c r="Q58" s="12" t="n">
        <v>1176</v>
      </c>
      <c r="R58" s="12" t="n">
        <v>1370</v>
      </c>
      <c r="S58" s="12" t="n">
        <v>1607</v>
      </c>
      <c r="T58" s="12" t="n">
        <v>1929</v>
      </c>
      <c r="U58" s="12" t="n">
        <v>1201</v>
      </c>
      <c r="V58" s="12" t="n">
        <v>2040</v>
      </c>
      <c r="W58" s="12" t="n">
        <v>1920</v>
      </c>
      <c r="X58" s="12" t="n">
        <v>1973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2024.3Q</t>
        </is>
      </c>
      <c r="D92" s="5" t="inlineStr">
        <is>
          <t>2024.4Q</t>
        </is>
      </c>
      <c r="E92" s="5" t="inlineStr">
        <is>
          <t>2025.1Q</t>
        </is>
      </c>
      <c r="F92" s="5" t="inlineStr">
        <is>
          <t>2025.2Q</t>
        </is>
      </c>
      <c r="G92" s="5" t="inlineStr">
        <is>
          <t>2025.3Q</t>
        </is>
      </c>
      <c r="H92" s="5" t="inlineStr">
        <is>
          <t>2025.4Q</t>
        </is>
      </c>
      <c r="I92" s="5" t="inlineStr">
        <is>
          <t>2026.1Q</t>
        </is>
      </c>
      <c r="J92" s="5" t="inlineStr">
        <is>
          <t>2026.2Q</t>
        </is>
      </c>
      <c r="K92" s="5" t="inlineStr">
        <is>
          <t>2026.3Q</t>
        </is>
      </c>
      <c r="L92" s="5" t="inlineStr">
        <is>
          <t>2026.4Q</t>
        </is>
      </c>
      <c r="M92" s="5" t="inlineStr">
        <is>
          <t>2027.1Q</t>
        </is>
      </c>
      <c r="N92" s="5" t="inlineStr">
        <is>
          <t>2027.2Q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7595</v>
      </c>
      <c r="D93" s="12" t="n">
        <v>7097</v>
      </c>
      <c r="E93" s="12" t="n">
        <v>7634</v>
      </c>
      <c r="F93" s="12" t="n">
        <v>7548</v>
      </c>
      <c r="G93" s="12" t="n">
        <v>7520</v>
      </c>
      <c r="H93" s="12" t="n">
        <v>7843</v>
      </c>
      <c r="I93" s="12" t="n">
        <v>7724</v>
      </c>
      <c r="J93" s="12" t="n">
        <v>7841</v>
      </c>
      <c r="K93" s="12" t="n">
        <v>7956</v>
      </c>
      <c r="L93" s="12" t="n">
        <v>7786</v>
      </c>
      <c r="M93" s="12" t="n">
        <v>8435</v>
      </c>
      <c r="N93" s="12" t="n">
        <v>8934</v>
      </c>
      <c r="T93" s="12" t="n">
        <v>7664</v>
      </c>
      <c r="U93" s="12" t="n">
        <v>7402</v>
      </c>
      <c r="V93" s="12" t="n">
        <v>7097</v>
      </c>
      <c r="W93" s="12" t="n">
        <v>7843</v>
      </c>
      <c r="X93" s="12" t="n">
        <v>7786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5785</v>
      </c>
      <c r="D95" s="20" t="n">
        <v>5693</v>
      </c>
      <c r="E95" s="20" t="n">
        <v>5924</v>
      </c>
      <c r="F95" s="20" t="n">
        <v>5947</v>
      </c>
      <c r="G95" s="20" t="n">
        <v>5989</v>
      </c>
      <c r="H95" s="20" t="n">
        <v>6159</v>
      </c>
      <c r="I95" s="20" t="n">
        <v>5993</v>
      </c>
      <c r="J95" s="20" t="n">
        <v>5987</v>
      </c>
      <c r="K95" s="20" t="n">
        <v>6001</v>
      </c>
      <c r="L95" s="20" t="n">
        <v>6262</v>
      </c>
      <c r="M95" s="20" t="n">
        <v>6249</v>
      </c>
      <c r="N95" s="20" t="n">
        <v>6582</v>
      </c>
      <c r="T95" s="20" t="n">
        <v>6155</v>
      </c>
      <c r="U95" s="20" t="n">
        <v>6081</v>
      </c>
      <c r="V95" s="20" t="n">
        <v>5693</v>
      </c>
      <c r="W95" s="20" t="n">
        <v>6159</v>
      </c>
      <c r="X95" s="20" t="n">
        <v>6262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1810</v>
      </c>
      <c r="D97" s="12" t="n">
        <v>1403</v>
      </c>
      <c r="E97" s="12" t="n">
        <v>1709</v>
      </c>
      <c r="F97" s="12" t="n">
        <v>1602</v>
      </c>
      <c r="G97" s="12" t="n">
        <v>1531</v>
      </c>
      <c r="H97" s="12" t="n">
        <v>1683</v>
      </c>
      <c r="I97" s="12" t="n">
        <v>1731</v>
      </c>
      <c r="J97" s="12" t="n">
        <v>1853</v>
      </c>
      <c r="K97" s="12" t="n">
        <v>1955</v>
      </c>
      <c r="L97" s="12" t="n">
        <v>1525</v>
      </c>
      <c r="M97" s="12" t="n">
        <v>2186</v>
      </c>
      <c r="N97" s="12" t="n">
        <v>2352</v>
      </c>
      <c r="T97" s="12" t="n">
        <v>1509</v>
      </c>
      <c r="U97" s="12" t="n">
        <v>1322</v>
      </c>
      <c r="V97" s="12" t="n">
        <v>1403</v>
      </c>
      <c r="W97" s="12" t="n">
        <v>1683</v>
      </c>
      <c r="X97" s="12" t="n">
        <v>1525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1012</v>
      </c>
      <c r="D99" s="20" t="n">
        <v>1079</v>
      </c>
      <c r="E99" s="20" t="n">
        <v>1016</v>
      </c>
      <c r="F99" s="20" t="n">
        <v>1060</v>
      </c>
      <c r="G99" s="20" t="n">
        <v>1071</v>
      </c>
      <c r="H99" s="20" t="n">
        <v>1085</v>
      </c>
      <c r="I99" s="20" t="n">
        <v>1079</v>
      </c>
      <c r="J99" s="20" t="n">
        <v>1106</v>
      </c>
      <c r="K99" s="20" t="n">
        <v>1127</v>
      </c>
      <c r="L99" s="20" t="n">
        <v>1184</v>
      </c>
      <c r="M99" s="20" t="n">
        <v>1152</v>
      </c>
      <c r="N99" s="20" t="n">
        <v>1213</v>
      </c>
      <c r="T99" s="20" t="n">
        <v>1112</v>
      </c>
      <c r="U99" s="20" t="n">
        <v>1099</v>
      </c>
      <c r="V99" s="20" t="n">
        <v>1079</v>
      </c>
      <c r="W99" s="20" t="n">
        <v>1085</v>
      </c>
      <c r="X99" s="20" t="n">
        <v>1184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799</v>
      </c>
      <c r="D101" s="12" t="n">
        <v>324</v>
      </c>
      <c r="E101" s="12" t="n">
        <v>692</v>
      </c>
      <c r="F101" s="12" t="n">
        <v>543</v>
      </c>
      <c r="G101" s="12" t="n">
        <v>459</v>
      </c>
      <c r="H101" s="12" t="n">
        <v>599</v>
      </c>
      <c r="I101" s="12" t="n">
        <v>651</v>
      </c>
      <c r="J101" s="12" t="n">
        <v>747</v>
      </c>
      <c r="K101" s="12" t="n">
        <v>829</v>
      </c>
      <c r="L101" s="12" t="n">
        <v>340</v>
      </c>
      <c r="M101" s="12" t="n">
        <v>1033</v>
      </c>
      <c r="N101" s="12" t="n">
        <v>1139</v>
      </c>
      <c r="T101" s="12" t="n">
        <v>396</v>
      </c>
      <c r="U101" s="12" t="n">
        <v>222</v>
      </c>
      <c r="V101" s="12" t="n">
        <v>324</v>
      </c>
      <c r="W101" s="12" t="n">
        <v>599</v>
      </c>
      <c r="X101" s="12" t="n">
        <v>340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21</v>
      </c>
      <c r="D104" s="20" t="n">
        <v>27</v>
      </c>
      <c r="E104" s="20" t="n">
        <v>24</v>
      </c>
      <c r="F104" s="20" t="n">
        <v>25</v>
      </c>
      <c r="G104" s="20" t="n">
        <v>26</v>
      </c>
      <c r="H104" s="20" t="n">
        <v>33</v>
      </c>
      <c r="I104" s="20" t="n">
        <v>28</v>
      </c>
      <c r="J104" s="20" t="n">
        <v>29</v>
      </c>
      <c r="K104" s="20" t="n">
        <v>21</v>
      </c>
      <c r="L104" s="20" t="n">
        <v>30</v>
      </c>
      <c r="M104" s="20" t="n">
        <v>24</v>
      </c>
      <c r="N104" s="20" t="n">
        <v>26</v>
      </c>
      <c r="T104" s="20" t="n">
        <v>8</v>
      </c>
      <c r="U104" s="20" t="n">
        <v>17</v>
      </c>
      <c r="V104" s="20" t="n">
        <v>27</v>
      </c>
      <c r="W104" s="20" t="n">
        <v>33</v>
      </c>
      <c r="X104" s="20" t="n">
        <v>30</v>
      </c>
    </row>
    <row r="105">
      <c r="A105" s="18" t="inlineStr">
        <is>
          <t>배당금수익</t>
        </is>
      </c>
      <c r="C105" s="20" t="n">
        <v>17</v>
      </c>
      <c r="D105" s="20" t="n">
        <v>78</v>
      </c>
      <c r="E105" s="20" t="n">
        <v>27</v>
      </c>
      <c r="F105" s="20" t="n">
        <v>88</v>
      </c>
      <c r="G105" s="20" t="n">
        <v>23</v>
      </c>
      <c r="H105" s="20" t="n">
        <v>107</v>
      </c>
      <c r="I105" s="20" t="n">
        <v>38</v>
      </c>
      <c r="J105" s="20" t="n">
        <v>105</v>
      </c>
      <c r="K105" s="20" t="n">
        <v>29</v>
      </c>
      <c r="L105" s="20" t="n">
        <v>123</v>
      </c>
      <c r="M105" s="20" t="n">
        <v>38</v>
      </c>
      <c r="N105" s="20" t="n">
        <v>133</v>
      </c>
      <c r="T105" s="20" t="n">
        <v>69</v>
      </c>
      <c r="U105" s="20" t="n">
        <v>65</v>
      </c>
      <c r="V105" s="20" t="n">
        <v>78</v>
      </c>
      <c r="W105" s="20" t="n">
        <v>107</v>
      </c>
      <c r="X105" s="20" t="n">
        <v>123</v>
      </c>
    </row>
    <row r="106">
      <c r="A106" s="18" t="inlineStr">
        <is>
          <t>보상금 수취</t>
        </is>
      </c>
      <c r="T106" s="20" t="n">
        <v>0</v>
      </c>
      <c r="U106" s="20" t="n">
        <v>0</v>
      </c>
    </row>
    <row r="107">
      <c r="A107" s="18" t="inlineStr">
        <is>
          <t>외환차익</t>
        </is>
      </c>
      <c r="C107" s="20" t="n">
        <v>-10</v>
      </c>
      <c r="D107" s="20" t="n">
        <v>18</v>
      </c>
      <c r="E107" s="20" t="n">
        <v>51</v>
      </c>
      <c r="F107" s="20" t="n">
        <v>-35</v>
      </c>
      <c r="G107" s="20" t="n">
        <v>28</v>
      </c>
      <c r="I107" s="20" t="n">
        <v>4</v>
      </c>
      <c r="J107" s="20" t="n">
        <v>-4</v>
      </c>
      <c r="K107" s="20" t="n">
        <v>0</v>
      </c>
      <c r="M107" s="20" t="n">
        <v>31</v>
      </c>
      <c r="U107" s="20" t="n">
        <v>3</v>
      </c>
      <c r="V107" s="20" t="n">
        <v>18</v>
      </c>
    </row>
    <row r="108">
      <c r="A108" s="18" t="inlineStr">
        <is>
          <t>기타</t>
        </is>
      </c>
      <c r="C108" s="20" t="n">
        <v>29</v>
      </c>
      <c r="D108" s="20" t="n">
        <v>108</v>
      </c>
      <c r="E108" s="20" t="n">
        <v>71</v>
      </c>
      <c r="F108" s="20" t="n">
        <v>-41</v>
      </c>
      <c r="G108" s="20" t="n">
        <v>12</v>
      </c>
      <c r="H108" s="20" t="n">
        <v>51</v>
      </c>
      <c r="I108" s="20" t="n">
        <v>9</v>
      </c>
      <c r="J108" s="20" t="n">
        <v>12</v>
      </c>
      <c r="K108" s="20" t="n">
        <v>32</v>
      </c>
      <c r="L108" s="20" t="n">
        <v>50</v>
      </c>
      <c r="M108" s="20" t="n">
        <v>14</v>
      </c>
      <c r="N108" s="20" t="n">
        <v>43</v>
      </c>
      <c r="T108" s="20" t="n">
        <v>48</v>
      </c>
      <c r="U108" s="20" t="n">
        <v>20</v>
      </c>
      <c r="V108" s="20" t="n">
        <v>108</v>
      </c>
      <c r="W108" s="20" t="n">
        <v>51</v>
      </c>
      <c r="X108" s="20" t="n">
        <v>50</v>
      </c>
    </row>
    <row r="109">
      <c r="A109" s="18" t="inlineStr">
        <is>
          <t>영업외수익 합계</t>
        </is>
      </c>
      <c r="C109" s="20" t="n">
        <v>57</v>
      </c>
      <c r="D109" s="20" t="n">
        <v>157</v>
      </c>
      <c r="E109" s="20" t="n">
        <v>122</v>
      </c>
      <c r="F109" s="20" t="n">
        <v>90</v>
      </c>
      <c r="G109" s="20" t="n">
        <v>88</v>
      </c>
      <c r="H109" s="20" t="n">
        <v>147</v>
      </c>
      <c r="I109" s="20" t="n">
        <v>81</v>
      </c>
      <c r="J109" s="20" t="n">
        <v>141</v>
      </c>
      <c r="K109" s="20" t="n">
        <v>82</v>
      </c>
      <c r="L109" s="20" t="n">
        <v>202</v>
      </c>
      <c r="M109" s="20" t="n">
        <v>109</v>
      </c>
      <c r="N109" s="20" t="n">
        <v>170</v>
      </c>
      <c r="T109" s="20" t="n">
        <v>125</v>
      </c>
      <c r="U109" s="20" t="n">
        <v>105</v>
      </c>
      <c r="V109" s="20" t="n">
        <v>157</v>
      </c>
      <c r="W109" s="20" t="n">
        <v>147</v>
      </c>
      <c r="X109" s="20" t="n">
        <v>202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이자비용</t>
        </is>
      </c>
      <c r="C111" s="20" t="n">
        <v>4</v>
      </c>
      <c r="D111" s="20" t="n">
        <v>3</v>
      </c>
      <c r="E111" s="20" t="n">
        <v>3</v>
      </c>
      <c r="F111" s="20" t="n">
        <v>4</v>
      </c>
      <c r="G111" s="20" t="n">
        <v>3</v>
      </c>
      <c r="H111" s="20" t="n">
        <v>4</v>
      </c>
      <c r="I111" s="20" t="n">
        <v>3</v>
      </c>
      <c r="J111" s="20" t="n">
        <v>4</v>
      </c>
      <c r="K111" s="20" t="n">
        <v>3</v>
      </c>
      <c r="L111" s="20" t="n">
        <v>4</v>
      </c>
      <c r="M111" s="20" t="n">
        <v>3</v>
      </c>
      <c r="N111" s="20" t="n">
        <v>3</v>
      </c>
      <c r="T111" s="20" t="n">
        <v>3</v>
      </c>
      <c r="U111" s="20" t="n">
        <v>3</v>
      </c>
      <c r="V111" s="20" t="n">
        <v>3</v>
      </c>
      <c r="W111" s="20" t="n">
        <v>4</v>
      </c>
      <c r="X111" s="20" t="n">
        <v>4</v>
      </c>
    </row>
    <row r="112">
      <c r="A112" s="18" t="inlineStr">
        <is>
          <t>외환차손</t>
        </is>
      </c>
      <c r="G112" s="20" t="n">
        <v>0</v>
      </c>
      <c r="H112" s="20" t="n">
        <v>0</v>
      </c>
      <c r="K112" s="20" t="n">
        <v>-68</v>
      </c>
      <c r="L112" s="20" t="n">
        <v>48</v>
      </c>
      <c r="W112" s="20" t="n">
        <v>0</v>
      </c>
      <c r="X112" s="20" t="n">
        <v>48</v>
      </c>
    </row>
    <row r="113">
      <c r="A113" s="18" t="inlineStr">
        <is>
          <t>기타</t>
        </is>
      </c>
      <c r="C113" s="20" t="n">
        <v>3</v>
      </c>
      <c r="D113" s="20" t="n">
        <v>2</v>
      </c>
      <c r="E113" s="20" t="n">
        <v>1</v>
      </c>
      <c r="F113" s="20" t="n">
        <v>3</v>
      </c>
      <c r="G113" s="20" t="n">
        <v>2</v>
      </c>
      <c r="H113" s="20" t="n">
        <v>3</v>
      </c>
      <c r="I113" s="20" t="n">
        <v>1</v>
      </c>
      <c r="J113" s="20" t="n">
        <v>1</v>
      </c>
      <c r="K113" s="20" t="n">
        <v>1</v>
      </c>
      <c r="L113" s="20" t="n">
        <v>1</v>
      </c>
      <c r="M113" s="20" t="n">
        <v>1</v>
      </c>
      <c r="N113" s="20" t="n">
        <v>5</v>
      </c>
      <c r="T113" s="20" t="n">
        <v>0</v>
      </c>
      <c r="U113" s="20" t="n">
        <v>0</v>
      </c>
      <c r="V113" s="20" t="n">
        <v>2</v>
      </c>
      <c r="W113" s="20" t="n">
        <v>3</v>
      </c>
      <c r="X113" s="20" t="n">
        <v>1</v>
      </c>
    </row>
    <row r="114">
      <c r="A114" s="18" t="inlineStr">
        <is>
          <t>영업외비용 합계</t>
        </is>
      </c>
      <c r="C114" s="20" t="n">
        <v>6</v>
      </c>
      <c r="D114" s="20" t="n">
        <v>6</v>
      </c>
      <c r="E114" s="20" t="n">
        <v>5</v>
      </c>
      <c r="F114" s="20" t="n">
        <v>6</v>
      </c>
      <c r="G114" s="20" t="n">
        <v>6</v>
      </c>
      <c r="H114" s="20" t="n">
        <v>7</v>
      </c>
      <c r="I114" s="20" t="n">
        <v>5</v>
      </c>
      <c r="J114" s="20" t="n">
        <v>105</v>
      </c>
      <c r="K114" s="20" t="n">
        <v>-63</v>
      </c>
      <c r="L114" s="20" t="n">
        <v>66</v>
      </c>
      <c r="M114" s="20" t="n">
        <v>5</v>
      </c>
      <c r="N114" s="20" t="n">
        <v>50</v>
      </c>
      <c r="T114" s="20" t="n">
        <v>4</v>
      </c>
      <c r="U114" s="20" t="n">
        <v>4</v>
      </c>
      <c r="V114" s="20" t="n">
        <v>6</v>
      </c>
      <c r="W114" s="20" t="n">
        <v>7</v>
      </c>
      <c r="X114" s="20" t="n">
        <v>66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9" t="inlineStr">
        <is>
          <t>경상이익</t>
        </is>
      </c>
      <c r="C116" s="12" t="n">
        <v>849</v>
      </c>
      <c r="D116" s="12" t="n">
        <v>476</v>
      </c>
      <c r="E116" s="12" t="n">
        <v>810</v>
      </c>
      <c r="F116" s="12" t="n">
        <v>626</v>
      </c>
      <c r="G116" s="12" t="n">
        <v>542</v>
      </c>
      <c r="H116" s="12" t="n">
        <v>738</v>
      </c>
      <c r="I116" s="12" t="n">
        <v>727</v>
      </c>
      <c r="J116" s="12" t="n">
        <v>783</v>
      </c>
      <c r="K116" s="12" t="n">
        <v>975</v>
      </c>
      <c r="L116" s="12" t="n">
        <v>474</v>
      </c>
      <c r="M116" s="12" t="n">
        <v>1138</v>
      </c>
      <c r="N116" s="12" t="n">
        <v>1257</v>
      </c>
      <c r="T116" s="12" t="n">
        <v>517</v>
      </c>
      <c r="U116" s="12" t="n">
        <v>324</v>
      </c>
      <c r="V116" s="12" t="n">
        <v>476</v>
      </c>
      <c r="W116" s="12" t="n">
        <v>738</v>
      </c>
      <c r="X116" s="12" t="n">
        <v>474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보험 차익</t>
        </is>
      </c>
      <c r="I118" s="20" t="n">
        <v>0</v>
      </c>
      <c r="J118" s="20" t="n">
        <v>4</v>
      </c>
      <c r="M118" s="20" t="n">
        <v>12</v>
      </c>
      <c r="N118" s="20" t="n">
        <v>0</v>
      </c>
    </row>
    <row r="119">
      <c r="A119" s="18" t="inlineStr">
        <is>
          <t>기타</t>
        </is>
      </c>
      <c r="C119" s="20" t="n">
        <v>1</v>
      </c>
      <c r="D119" s="20" t="n">
        <v>2</v>
      </c>
      <c r="E119" s="20" t="n">
        <v>0</v>
      </c>
      <c r="F119" s="20" t="n">
        <v>10</v>
      </c>
      <c r="G119" s="20" t="n">
        <v>0</v>
      </c>
      <c r="H119" s="20" t="n">
        <v>-10</v>
      </c>
      <c r="I119" s="20" t="n">
        <v>0</v>
      </c>
      <c r="J119" s="20" t="n">
        <v>0</v>
      </c>
      <c r="K119" s="20" t="n">
        <v>4</v>
      </c>
      <c r="L119" s="20" t="n">
        <v>-4</v>
      </c>
      <c r="M119" s="20" t="n">
        <v>0</v>
      </c>
      <c r="N119" s="20" t="n">
        <v>0</v>
      </c>
      <c r="T119" s="20" t="n">
        <v>2</v>
      </c>
      <c r="U119" s="20" t="n">
        <v>0</v>
      </c>
      <c r="V119" s="20" t="n">
        <v>2</v>
      </c>
      <c r="W119" s="20" t="n">
        <v>-10</v>
      </c>
      <c r="X119" s="20" t="n">
        <v>-4</v>
      </c>
    </row>
    <row r="120">
      <c r="A120" s="18" t="inlineStr">
        <is>
          <t>특별이익 합계</t>
        </is>
      </c>
      <c r="C120" s="20" t="n">
        <v>1</v>
      </c>
      <c r="D120" s="20" t="n">
        <v>103</v>
      </c>
      <c r="E120" s="20" t="n">
        <v>0</v>
      </c>
      <c r="F120" s="20" t="n">
        <v>10</v>
      </c>
      <c r="G120" s="20" t="n">
        <v>0</v>
      </c>
      <c r="H120" s="20" t="n">
        <v>20</v>
      </c>
      <c r="I120" s="20" t="n">
        <v>0</v>
      </c>
      <c r="J120" s="20" t="n">
        <v>4</v>
      </c>
      <c r="K120" s="20" t="n">
        <v>0</v>
      </c>
      <c r="L120" s="20" t="n">
        <v>11</v>
      </c>
      <c r="M120" s="20" t="n">
        <v>12</v>
      </c>
      <c r="N120" s="20" t="n">
        <v>0</v>
      </c>
      <c r="T120" s="20" t="n">
        <v>2</v>
      </c>
      <c r="U120" s="20" t="n">
        <v>0</v>
      </c>
      <c r="V120" s="20" t="n">
        <v>103</v>
      </c>
      <c r="W120" s="20" t="n">
        <v>20</v>
      </c>
      <c r="X120" s="20" t="n">
        <v>11</v>
      </c>
    </row>
    <row r="121">
      <c r="A121" s="43" t="inlineStr">
        <is>
          <t>YoY</t>
        </is>
      </c>
      <c r="B121" s="3" t="inlineStr">
        <is>
          <t>전년 같은 분기·전년 대비</t>
        </is>
      </c>
      <c r="G121" s="15">
        <f>IF(OR(G120="",C120=""),"",IF(G120*C120&lt;=0,"",IFERROR(G120/C120-1,"")))</f>
        <v/>
      </c>
      <c r="H121" s="15">
        <f>IF(OR(H120="",D120=""),"",IF(H120*D120&lt;=0,"",IFERROR(H120/D120-1,"")))</f>
        <v/>
      </c>
      <c r="I121" s="15">
        <f>IF(OR(I120="",E120=""),"",IF(I120*E120&lt;=0,"",IFERROR(I120/E120-1,"")))</f>
        <v/>
      </c>
      <c r="J121" s="15">
        <f>IF(OR(J120="",F120=""),"",IF(J120*F120&lt;=0,"",IFERROR(J120/F120-1,"")))</f>
        <v/>
      </c>
      <c r="K121" s="15">
        <f>IF(OR(K120="",G120=""),"",IF(K120*G120&lt;=0,"",IFERROR(K120/G120-1,"")))</f>
        <v/>
      </c>
      <c r="L121" s="15">
        <f>IF(OR(L120="",H120=""),"",IF(L120*H120&lt;=0,"",IFERROR(L120/H120-1,"")))</f>
        <v/>
      </c>
      <c r="M121" s="15">
        <f>IF(OR(M120="",I120=""),"",IF(M120*I120&lt;=0,"",IFERROR(M120/I120-1,"")))</f>
        <v/>
      </c>
      <c r="N121" s="15">
        <f>IF(OR(N120="",J120=""),"",IF(N120*J120&lt;=0,"",IFERROR(N120/J120-1,"")))</f>
        <v/>
      </c>
      <c r="T121" s="15">
        <f>IF(OR(T120="",S120=""),"",IF(T120*S120&lt;=0,"",IFERROR(T120/S120-1,"")))</f>
        <v/>
      </c>
      <c r="U121" s="15">
        <f>IF(OR(U120="",T120=""),"",IF(U120*T120&lt;=0,"",IFERROR(U120/T120-1,"")))</f>
        <v/>
      </c>
      <c r="V121" s="15">
        <f>IF(OR(V120="",U120=""),"",IF(V120*U120&lt;=0,"",IFERROR(V120/U120-1,"")))</f>
        <v/>
      </c>
      <c r="W121" s="15">
        <f>IF(OR(W120="",V120=""),"",IF(W120*V120&lt;=0,"",IFERROR(W120/V120-1,"")))</f>
        <v/>
      </c>
      <c r="X121" s="15">
        <f>IF(OR(X120="",W120=""),"",IF(X120*W120&lt;=0,"",IFERROR(X120/W120-1,"")))</f>
        <v/>
      </c>
    </row>
    <row r="122">
      <c r="A122" s="18" t="inlineStr">
        <is>
          <t>손상차손</t>
        </is>
      </c>
      <c r="I122" s="20" t="n">
        <v>0</v>
      </c>
      <c r="J122" s="20" t="n">
        <v>0</v>
      </c>
      <c r="M122" s="20" t="n">
        <v>128</v>
      </c>
      <c r="N122" s="20" t="n">
        <v>32</v>
      </c>
    </row>
    <row r="123">
      <c r="A123" s="18" t="inlineStr">
        <is>
          <t>대손충당금 전입</t>
        </is>
      </c>
      <c r="T123" s="20" t="n">
        <v>-4</v>
      </c>
      <c r="U123" s="20" t="n">
        <v>0</v>
      </c>
    </row>
    <row r="124">
      <c r="A124" s="18" t="inlineStr">
        <is>
          <t>고정자산 처분손실</t>
        </is>
      </c>
      <c r="C124" s="20" t="n">
        <v>16</v>
      </c>
      <c r="D124" s="20" t="n">
        <v>51</v>
      </c>
      <c r="E124" s="20" t="n">
        <v>13</v>
      </c>
      <c r="F124" s="20" t="n">
        <v>7</v>
      </c>
      <c r="G124" s="20" t="n">
        <v>5</v>
      </c>
      <c r="H124" s="20" t="n">
        <v>9</v>
      </c>
      <c r="I124" s="20" t="n">
        <v>9</v>
      </c>
      <c r="J124" s="20" t="n">
        <v>19</v>
      </c>
      <c r="K124" s="20" t="n">
        <v>17</v>
      </c>
      <c r="L124" s="20" t="n">
        <v>14</v>
      </c>
      <c r="M124" s="20" t="n">
        <v>2</v>
      </c>
      <c r="N124" s="20" t="n">
        <v>7</v>
      </c>
      <c r="T124" s="20" t="n">
        <v>25</v>
      </c>
      <c r="U124" s="20" t="n">
        <v>9</v>
      </c>
      <c r="V124" s="20" t="n">
        <v>51</v>
      </c>
      <c r="W124" s="20" t="n">
        <v>9</v>
      </c>
      <c r="X124" s="20" t="n">
        <v>14</v>
      </c>
    </row>
    <row r="125">
      <c r="A125" s="18" t="inlineStr">
        <is>
          <t>사업 철수 손실</t>
        </is>
      </c>
      <c r="I125" s="20" t="n">
        <v>0</v>
      </c>
      <c r="J125" s="20" t="n">
        <v>0</v>
      </c>
      <c r="M125" s="20" t="n">
        <v>256</v>
      </c>
      <c r="N125" s="20" t="n">
        <v>30</v>
      </c>
    </row>
    <row r="126">
      <c r="A126" s="18" t="inlineStr">
        <is>
          <t>특별손실 합계</t>
        </is>
      </c>
      <c r="C126" s="20" t="n">
        <v>16</v>
      </c>
      <c r="D126" s="20" t="n">
        <v>271</v>
      </c>
      <c r="E126" s="20" t="n">
        <v>13</v>
      </c>
      <c r="F126" s="20" t="n">
        <v>7</v>
      </c>
      <c r="G126" s="20" t="n">
        <v>5</v>
      </c>
      <c r="H126" s="20" t="n">
        <v>9</v>
      </c>
      <c r="I126" s="20" t="n">
        <v>9</v>
      </c>
      <c r="J126" s="20" t="n">
        <v>19</v>
      </c>
      <c r="K126" s="20" t="n">
        <v>17</v>
      </c>
      <c r="L126" s="20" t="n">
        <v>14</v>
      </c>
      <c r="M126" s="20" t="n">
        <v>386</v>
      </c>
      <c r="N126" s="20" t="n">
        <v>70</v>
      </c>
      <c r="T126" s="20" t="n">
        <v>62</v>
      </c>
      <c r="U126" s="20" t="n">
        <v>211</v>
      </c>
      <c r="V126" s="20" t="n">
        <v>271</v>
      </c>
      <c r="W126" s="20" t="n">
        <v>9</v>
      </c>
      <c r="X126" s="20" t="n">
        <v>14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법인세차감전 순이익</t>
        </is>
      </c>
      <c r="C128" s="12" t="n">
        <v>835</v>
      </c>
      <c r="D128" s="12" t="n">
        <v>307</v>
      </c>
      <c r="E128" s="12" t="n">
        <v>796</v>
      </c>
      <c r="F128" s="12" t="n">
        <v>630</v>
      </c>
      <c r="G128" s="12" t="n">
        <v>537</v>
      </c>
      <c r="H128" s="12" t="n">
        <v>748</v>
      </c>
      <c r="I128" s="12" t="n">
        <v>718</v>
      </c>
      <c r="J128" s="12" t="n">
        <v>768</v>
      </c>
      <c r="K128" s="12" t="n">
        <v>958</v>
      </c>
      <c r="L128" s="12" t="n">
        <v>472</v>
      </c>
      <c r="M128" s="12" t="n">
        <v>764</v>
      </c>
      <c r="N128" s="12" t="n">
        <v>1187</v>
      </c>
      <c r="T128" s="12" t="n">
        <v>458</v>
      </c>
      <c r="U128" s="12" t="n">
        <v>113</v>
      </c>
      <c r="V128" s="12" t="n">
        <v>307</v>
      </c>
      <c r="W128" s="12" t="n">
        <v>748</v>
      </c>
      <c r="X128" s="12" t="n">
        <v>472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법인세·주민세·사업세</t>
        </is>
      </c>
      <c r="C130" s="20" t="n">
        <v>116</v>
      </c>
      <c r="D130" s="20" t="n">
        <v>197</v>
      </c>
      <c r="E130" s="20" t="n">
        <v>85</v>
      </c>
      <c r="F130" s="20" t="n">
        <v>219</v>
      </c>
      <c r="G130" s="20" t="n">
        <v>51</v>
      </c>
      <c r="H130" s="20" t="n">
        <v>246</v>
      </c>
      <c r="I130" s="20" t="n">
        <v>90</v>
      </c>
      <c r="J130" s="20" t="n">
        <v>227</v>
      </c>
      <c r="K130" s="20" t="n">
        <v>165</v>
      </c>
      <c r="L130" s="20" t="n">
        <v>213</v>
      </c>
      <c r="M130" s="20" t="n">
        <v>249</v>
      </c>
      <c r="N130" s="20" t="n">
        <v>397</v>
      </c>
      <c r="T130" s="20" t="n">
        <v>235</v>
      </c>
      <c r="U130" s="20" t="n">
        <v>178</v>
      </c>
      <c r="V130" s="20" t="n">
        <v>197</v>
      </c>
      <c r="W130" s="20" t="n">
        <v>246</v>
      </c>
      <c r="X130" s="20" t="n">
        <v>213</v>
      </c>
    </row>
    <row r="131">
      <c r="A131" s="18" t="inlineStr">
        <is>
          <t>법인세 조정액</t>
        </is>
      </c>
      <c r="C131" s="20" t="n">
        <v>98</v>
      </c>
      <c r="D131" s="20" t="n">
        <v>-109</v>
      </c>
      <c r="E131" s="20" t="n">
        <v>147</v>
      </c>
      <c r="F131" s="20" t="n">
        <v>-75</v>
      </c>
      <c r="G131" s="20" t="n">
        <v>63</v>
      </c>
      <c r="H131" s="20" t="n">
        <v>-81</v>
      </c>
      <c r="I131" s="20" t="n">
        <v>108</v>
      </c>
      <c r="J131" s="20" t="n">
        <v>-20</v>
      </c>
      <c r="K131" s="20" t="n">
        <v>16</v>
      </c>
      <c r="L131" s="20" t="n">
        <v>-62</v>
      </c>
      <c r="M131" s="20" t="n">
        <v>89</v>
      </c>
      <c r="N131" s="20" t="n">
        <v>-108</v>
      </c>
      <c r="T131" s="20" t="n">
        <v>-102</v>
      </c>
      <c r="U131" s="20" t="n">
        <v>-129</v>
      </c>
      <c r="V131" s="20" t="n">
        <v>-109</v>
      </c>
      <c r="W131" s="20" t="n">
        <v>-81</v>
      </c>
      <c r="X131" s="20" t="n">
        <v>-62</v>
      </c>
    </row>
    <row r="132">
      <c r="A132" s="18" t="inlineStr">
        <is>
          <t>법인세 등 합계</t>
        </is>
      </c>
      <c r="C132" s="20" t="n">
        <v>214</v>
      </c>
      <c r="D132" s="20" t="n">
        <v>88</v>
      </c>
      <c r="E132" s="20" t="n">
        <v>232</v>
      </c>
      <c r="F132" s="20" t="n">
        <v>145</v>
      </c>
      <c r="G132" s="20" t="n">
        <v>113</v>
      </c>
      <c r="H132" s="20" t="n">
        <v>166</v>
      </c>
      <c r="I132" s="20" t="n">
        <v>199</v>
      </c>
      <c r="J132" s="20" t="n">
        <v>207</v>
      </c>
      <c r="K132" s="20" t="n">
        <v>180</v>
      </c>
      <c r="L132" s="20" t="n">
        <v>151</v>
      </c>
      <c r="M132" s="20" t="n">
        <v>338</v>
      </c>
      <c r="N132" s="20" t="n">
        <v>289</v>
      </c>
      <c r="T132" s="20" t="n">
        <v>132</v>
      </c>
      <c r="U132" s="20" t="n">
        <v>48</v>
      </c>
      <c r="V132" s="20" t="n">
        <v>88</v>
      </c>
      <c r="W132" s="20" t="n">
        <v>166</v>
      </c>
      <c r="X132" s="20" t="n">
        <v>151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순이익</t>
        </is>
      </c>
      <c r="C134" s="12" t="n">
        <v>620</v>
      </c>
      <c r="D134" s="12" t="n">
        <v>220</v>
      </c>
      <c r="E134" s="12" t="n">
        <v>564</v>
      </c>
      <c r="F134" s="12" t="n">
        <v>485</v>
      </c>
      <c r="G134" s="12" t="n">
        <v>423</v>
      </c>
      <c r="H134" s="12" t="n">
        <v>583</v>
      </c>
      <c r="I134" s="12" t="n">
        <v>518</v>
      </c>
      <c r="J134" s="12" t="n">
        <v>561</v>
      </c>
      <c r="K134" s="12" t="n">
        <v>779</v>
      </c>
      <c r="L134" s="12" t="n">
        <v>321</v>
      </c>
      <c r="M134" s="12" t="n">
        <v>425</v>
      </c>
      <c r="N134" s="12" t="n">
        <v>899</v>
      </c>
      <c r="T134" s="12" t="n">
        <v>325</v>
      </c>
      <c r="U134" s="12" t="n">
        <v>65</v>
      </c>
      <c r="V134" s="12" t="n">
        <v>220</v>
      </c>
      <c r="W134" s="12" t="n">
        <v>583</v>
      </c>
      <c r="X134" s="12" t="n">
        <v>321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9" t="inlineStr">
        <is>
          <t>비지배주주 순이익</t>
        </is>
      </c>
      <c r="C136" s="12" t="n">
        <v>46</v>
      </c>
      <c r="D136" s="12" t="n">
        <v>23</v>
      </c>
      <c r="E136" s="12" t="n">
        <v>34</v>
      </c>
      <c r="F136" s="12" t="n">
        <v>27</v>
      </c>
      <c r="G136" s="12" t="n">
        <v>16</v>
      </c>
      <c r="H136" s="12" t="n">
        <v>57</v>
      </c>
      <c r="I136" s="12" t="n">
        <v>55</v>
      </c>
      <c r="J136" s="12" t="n">
        <v>51</v>
      </c>
      <c r="K136" s="12" t="n">
        <v>57</v>
      </c>
      <c r="L136" s="12" t="n">
        <v>42</v>
      </c>
      <c r="M136" s="12" t="n">
        <v>45</v>
      </c>
      <c r="N136" s="12" t="n">
        <v>32</v>
      </c>
      <c r="T136" s="12" t="n">
        <v>-19</v>
      </c>
      <c r="U136" s="12" t="n">
        <v>-17</v>
      </c>
      <c r="V136" s="12" t="n">
        <v>23</v>
      </c>
      <c r="W136" s="12" t="n">
        <v>57</v>
      </c>
      <c r="X136" s="12" t="n">
        <v>42</v>
      </c>
    </row>
    <row r="137">
      <c r="A137" s="9" t="inlineStr">
        <is>
          <t>지배주주 순이익</t>
        </is>
      </c>
      <c r="C137" s="12" t="n">
        <v>574</v>
      </c>
      <c r="D137" s="12" t="n">
        <v>197</v>
      </c>
      <c r="E137" s="12" t="n">
        <v>530</v>
      </c>
      <c r="F137" s="12" t="n">
        <v>457</v>
      </c>
      <c r="G137" s="12" t="n">
        <v>407</v>
      </c>
      <c r="H137" s="12" t="n">
        <v>526</v>
      </c>
      <c r="I137" s="12" t="n">
        <v>463</v>
      </c>
      <c r="J137" s="12" t="n">
        <v>510</v>
      </c>
      <c r="K137" s="12" t="n">
        <v>721</v>
      </c>
      <c r="L137" s="12" t="n">
        <v>279</v>
      </c>
      <c r="M137" s="12" t="n">
        <v>379</v>
      </c>
      <c r="N137" s="12" t="n">
        <v>867</v>
      </c>
      <c r="T137" s="12" t="n">
        <v>345</v>
      </c>
      <c r="U137" s="12" t="n">
        <v>82</v>
      </c>
      <c r="V137" s="12" t="n">
        <v>197</v>
      </c>
      <c r="W137" s="12" t="n">
        <v>526</v>
      </c>
      <c r="X137" s="12" t="n">
        <v>279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40">
      <c r="A140" s="16" t="inlineStr">
        <is>
          <t>포괄손익 · 전 항목</t>
        </is>
      </c>
      <c r="B140" s="42" t="inlineStr">
        <is>
          <t>분기 = 3개월 단독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2024.3Q</t>
        </is>
      </c>
      <c r="D141" s="5" t="inlineStr">
        <is>
          <t>2024.4Q</t>
        </is>
      </c>
      <c r="E141" s="5" t="inlineStr">
        <is>
          <t>2025.1Q</t>
        </is>
      </c>
      <c r="F141" s="5" t="inlineStr">
        <is>
          <t>2025.2Q</t>
        </is>
      </c>
      <c r="G141" s="5" t="inlineStr">
        <is>
          <t>2025.3Q</t>
        </is>
      </c>
      <c r="H141" s="5" t="inlineStr">
        <is>
          <t>2025.4Q</t>
        </is>
      </c>
      <c r="I141" s="5" t="inlineStr">
        <is>
          <t>2026.1Q</t>
        </is>
      </c>
      <c r="J141" s="5" t="inlineStr">
        <is>
          <t>2026.2Q</t>
        </is>
      </c>
      <c r="K141" s="5" t="inlineStr">
        <is>
          <t>2026.3Q</t>
        </is>
      </c>
      <c r="L141" s="5" t="inlineStr">
        <is>
          <t>2026.4Q</t>
        </is>
      </c>
      <c r="M141" s="5" t="inlineStr">
        <is>
          <t>2027.1Q</t>
        </is>
      </c>
      <c r="N141" s="5" t="inlineStr">
        <is>
          <t>2027.2Q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순이익</t>
        </is>
      </c>
      <c r="C142" s="12" t="n">
        <v>620</v>
      </c>
      <c r="D142" s="12" t="n">
        <v>220</v>
      </c>
      <c r="E142" s="12" t="n">
        <v>564</v>
      </c>
      <c r="F142" s="12" t="n">
        <v>485</v>
      </c>
      <c r="G142" s="12" t="n">
        <v>423</v>
      </c>
      <c r="H142" s="12" t="n">
        <v>583</v>
      </c>
      <c r="I142" s="12" t="n">
        <v>518</v>
      </c>
      <c r="J142" s="12" t="n">
        <v>561</v>
      </c>
      <c r="K142" s="12" t="n">
        <v>779</v>
      </c>
      <c r="L142" s="12" t="n">
        <v>321</v>
      </c>
      <c r="M142" s="12" t="n">
        <v>425</v>
      </c>
      <c r="N142" s="12" t="n">
        <v>899</v>
      </c>
      <c r="T142" s="12" t="n">
        <v>325</v>
      </c>
      <c r="U142" s="12" t="n">
        <v>65</v>
      </c>
      <c r="V142" s="12" t="n">
        <v>220</v>
      </c>
      <c r="W142" s="12" t="n">
        <v>583</v>
      </c>
      <c r="X142" s="12" t="n">
        <v>321</v>
      </c>
    </row>
    <row r="143">
      <c r="A143" s="18" t="inlineStr">
        <is>
          <t>기타유가증권 평가차액</t>
        </is>
      </c>
      <c r="C143" s="20" t="n">
        <v>104</v>
      </c>
      <c r="D143" s="20" t="n">
        <v>1209</v>
      </c>
      <c r="E143" s="20" t="n">
        <v>287</v>
      </c>
      <c r="F143" s="20" t="n">
        <v>-913</v>
      </c>
      <c r="G143" s="20" t="n">
        <v>478</v>
      </c>
      <c r="H143" s="20" t="n">
        <v>-221</v>
      </c>
      <c r="I143" s="20" t="n">
        <v>370</v>
      </c>
      <c r="J143" s="20" t="n">
        <v>1056</v>
      </c>
      <c r="K143" s="20" t="n">
        <v>822</v>
      </c>
      <c r="L143" s="20" t="n">
        <v>1128</v>
      </c>
      <c r="M143" s="20" t="n">
        <v>2667</v>
      </c>
      <c r="N143" s="20" t="n">
        <v>-565</v>
      </c>
      <c r="T143" s="20" t="n">
        <v>67</v>
      </c>
      <c r="U143" s="20" t="n">
        <v>317</v>
      </c>
      <c r="V143" s="20" t="n">
        <v>1209</v>
      </c>
      <c r="W143" s="20" t="n">
        <v>-221</v>
      </c>
      <c r="X143" s="20" t="n">
        <v>1128</v>
      </c>
    </row>
    <row r="144">
      <c r="A144" s="18" t="inlineStr">
        <is>
          <t>해외사업환산조정</t>
        </is>
      </c>
      <c r="C144" s="20" t="n">
        <v>7</v>
      </c>
      <c r="D144" s="20" t="n">
        <v>54</v>
      </c>
      <c r="E144" s="20" t="n">
        <v>71</v>
      </c>
      <c r="F144" s="20" t="n">
        <v>148</v>
      </c>
      <c r="G144" s="20" t="n">
        <v>50</v>
      </c>
      <c r="H144" s="20" t="n">
        <v>240</v>
      </c>
      <c r="I144" s="20" t="n">
        <v>-288</v>
      </c>
      <c r="J144" s="20" t="n">
        <v>18</v>
      </c>
      <c r="K144" s="20" t="n">
        <v>189</v>
      </c>
      <c r="L144" s="20" t="n">
        <v>355</v>
      </c>
      <c r="M144" s="20" t="n">
        <v>-104</v>
      </c>
      <c r="N144" s="20" t="n">
        <v>2</v>
      </c>
      <c r="T144" s="20" t="n">
        <v>139</v>
      </c>
      <c r="U144" s="20" t="n">
        <v>-28</v>
      </c>
      <c r="V144" s="20" t="n">
        <v>54</v>
      </c>
      <c r="W144" s="20" t="n">
        <v>240</v>
      </c>
      <c r="X144" s="20" t="n">
        <v>355</v>
      </c>
    </row>
    <row r="145">
      <c r="A145" s="18" t="inlineStr">
        <is>
          <t>퇴직급여 조정액</t>
        </is>
      </c>
      <c r="C145" s="20" t="n">
        <v>-5</v>
      </c>
      <c r="D145" s="20" t="n">
        <v>80</v>
      </c>
      <c r="E145" s="20" t="n">
        <v>-10</v>
      </c>
      <c r="F145" s="20" t="n">
        <v>-11</v>
      </c>
      <c r="G145" s="20" t="n">
        <v>-11</v>
      </c>
      <c r="H145" s="20" t="n">
        <v>67</v>
      </c>
      <c r="I145" s="20" t="n">
        <v>-13</v>
      </c>
      <c r="J145" s="20" t="n">
        <v>-13</v>
      </c>
      <c r="K145" s="20" t="n">
        <v>-16</v>
      </c>
      <c r="L145" s="20" t="n">
        <v>87</v>
      </c>
      <c r="M145" s="20" t="n">
        <v>-18</v>
      </c>
      <c r="N145" s="20" t="n">
        <v>-18</v>
      </c>
      <c r="T145" s="20" t="n">
        <v>31</v>
      </c>
      <c r="U145" s="20" t="n">
        <v>56</v>
      </c>
      <c r="V145" s="20" t="n">
        <v>80</v>
      </c>
      <c r="W145" s="20" t="n">
        <v>67</v>
      </c>
      <c r="X145" s="20" t="n">
        <v>87</v>
      </c>
    </row>
    <row r="146">
      <c r="A146" s="18" t="inlineStr">
        <is>
          <t>기타포괄손익 합계</t>
        </is>
      </c>
      <c r="C146" s="20" t="n">
        <v>106</v>
      </c>
      <c r="D146" s="20" t="n">
        <v>1344</v>
      </c>
      <c r="E146" s="20" t="n">
        <v>347</v>
      </c>
      <c r="F146" s="20" t="n">
        <v>-775</v>
      </c>
      <c r="G146" s="20" t="n">
        <v>516</v>
      </c>
      <c r="H146" s="20" t="n">
        <v>87</v>
      </c>
      <c r="I146" s="20" t="n">
        <v>68</v>
      </c>
      <c r="J146" s="20" t="n">
        <v>1060</v>
      </c>
      <c r="K146" s="20" t="n">
        <v>996</v>
      </c>
      <c r="L146" s="20" t="n">
        <v>1572</v>
      </c>
      <c r="M146" s="20" t="n">
        <v>2545</v>
      </c>
      <c r="N146" s="20" t="n">
        <v>-582</v>
      </c>
      <c r="T146" s="20" t="n">
        <v>239</v>
      </c>
      <c r="U146" s="20" t="n">
        <v>347</v>
      </c>
      <c r="V146" s="20" t="n">
        <v>1344</v>
      </c>
      <c r="W146" s="20" t="n">
        <v>87</v>
      </c>
      <c r="X146" s="20" t="n">
        <v>1572</v>
      </c>
    </row>
    <row r="147">
      <c r="A147" s="9" t="inlineStr">
        <is>
          <t>포괄이익</t>
        </is>
      </c>
      <c r="C147" s="12" t="n">
        <v>726</v>
      </c>
      <c r="D147" s="12" t="n">
        <v>1565</v>
      </c>
      <c r="E147" s="12" t="n">
        <v>911</v>
      </c>
      <c r="F147" s="12" t="n">
        <v>-291</v>
      </c>
      <c r="G147" s="12" t="n">
        <v>941</v>
      </c>
      <c r="H147" s="12" t="n">
        <v>669</v>
      </c>
      <c r="I147" s="12" t="n">
        <v>587</v>
      </c>
      <c r="J147" s="12" t="n">
        <v>1621</v>
      </c>
      <c r="K147" s="12" t="n">
        <v>1775</v>
      </c>
      <c r="L147" s="12" t="n">
        <v>1893</v>
      </c>
      <c r="M147" s="12" t="n">
        <v>2970</v>
      </c>
      <c r="N147" s="12" t="n">
        <v>317</v>
      </c>
      <c r="T147" s="12" t="n">
        <v>564</v>
      </c>
      <c r="U147" s="12" t="n">
        <v>412</v>
      </c>
      <c r="V147" s="12" t="n">
        <v>1565</v>
      </c>
      <c r="W147" s="12" t="n">
        <v>669</v>
      </c>
      <c r="X147" s="12" t="n">
        <v>1893</v>
      </c>
    </row>
    <row r="148">
      <c r="A148" s="9" t="inlineStr">
        <is>
          <t>지배주주 포괄이익</t>
        </is>
      </c>
      <c r="C148" s="12" t="n">
        <v>678</v>
      </c>
      <c r="D148" s="12" t="n">
        <v>1517</v>
      </c>
      <c r="E148" s="12" t="n">
        <v>857</v>
      </c>
      <c r="F148" s="12" t="n">
        <v>-378</v>
      </c>
      <c r="G148" s="12" t="n">
        <v>897</v>
      </c>
      <c r="H148" s="12" t="n">
        <v>522</v>
      </c>
      <c r="I148" s="12" t="n">
        <v>639</v>
      </c>
      <c r="J148" s="12" t="n">
        <v>1559</v>
      </c>
      <c r="K148" s="12" t="n">
        <v>1647</v>
      </c>
      <c r="L148" s="12" t="n">
        <v>1712</v>
      </c>
      <c r="M148" s="12" t="n">
        <v>2968</v>
      </c>
      <c r="N148" s="12" t="n">
        <v>283</v>
      </c>
      <c r="T148" s="12" t="n">
        <v>532</v>
      </c>
      <c r="U148" s="12" t="n">
        <v>437</v>
      </c>
      <c r="V148" s="12" t="n">
        <v>1517</v>
      </c>
      <c r="W148" s="12" t="n">
        <v>522</v>
      </c>
      <c r="X148" s="12" t="n">
        <v>1712</v>
      </c>
    </row>
    <row r="149">
      <c r="A149" s="9" t="inlineStr">
        <is>
          <t>비지배주주 포괄이익</t>
        </is>
      </c>
      <c r="C149" s="12" t="n">
        <v>48</v>
      </c>
      <c r="D149" s="12" t="n">
        <v>47</v>
      </c>
      <c r="E149" s="12" t="n">
        <v>54</v>
      </c>
      <c r="F149" s="12" t="n">
        <v>86</v>
      </c>
      <c r="G149" s="12" t="n">
        <v>44</v>
      </c>
      <c r="H149" s="12" t="n">
        <v>147</v>
      </c>
      <c r="I149" s="12" t="n">
        <v>-52</v>
      </c>
      <c r="J149" s="12" t="n">
        <v>62</v>
      </c>
      <c r="K149" s="12" t="n">
        <v>127</v>
      </c>
      <c r="L149" s="12" t="n">
        <v>181</v>
      </c>
      <c r="M149" s="12" t="n">
        <v>2</v>
      </c>
      <c r="N149" s="12" t="n">
        <v>34</v>
      </c>
      <c r="T149" s="12" t="n">
        <v>31</v>
      </c>
      <c r="U149" s="12" t="n">
        <v>-25</v>
      </c>
      <c r="V149" s="12" t="n">
        <v>47</v>
      </c>
      <c r="W149" s="12" t="n">
        <v>147</v>
      </c>
      <c r="X149" s="12" t="n">
        <v>181</v>
      </c>
    </row>
    <row r="151">
      <c r="A151" s="16" t="inlineStr">
        <is>
          <t>부문 · 전 항목</t>
        </is>
      </c>
      <c r="B151" s="42" t="inlineStr">
        <is>
          <t>부문 · 항목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2024.3Q</t>
        </is>
      </c>
      <c r="D152" s="5" t="inlineStr">
        <is>
          <t>2024.4Q</t>
        </is>
      </c>
      <c r="E152" s="5" t="inlineStr">
        <is>
          <t>2025.1Q</t>
        </is>
      </c>
      <c r="F152" s="5" t="inlineStr">
        <is>
          <t>2025.2Q</t>
        </is>
      </c>
      <c r="G152" s="5" t="inlineStr">
        <is>
          <t>2025.3Q</t>
        </is>
      </c>
      <c r="H152" s="5" t="inlineStr">
        <is>
          <t>2025.4Q</t>
        </is>
      </c>
      <c r="I152" s="5" t="inlineStr">
        <is>
          <t>2026.1Q</t>
        </is>
      </c>
      <c r="J152" s="5" t="inlineStr">
        <is>
          <t>2026.2Q</t>
        </is>
      </c>
      <c r="K152" s="5" t="inlineStr">
        <is>
          <t>2026.3Q</t>
        </is>
      </c>
      <c r="L152" s="5" t="inlineStr">
        <is>
          <t>2026.4Q</t>
        </is>
      </c>
      <c r="M152" s="5" t="inlineStr">
        <is>
          <t>2027.1Q</t>
        </is>
      </c>
      <c r="N152" s="5" t="inlineStr">
        <is>
          <t>2027.2Q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18" t="inlineStr">
        <is>
          <t>ChemicalsReportableSegmentsMember · 외부 고객 매출</t>
        </is>
      </c>
      <c r="C153" s="20" t="n">
        <v>6355</v>
      </c>
      <c r="D153" s="20" t="n">
        <v>5851</v>
      </c>
      <c r="E153" s="20" t="n">
        <v>6107</v>
      </c>
      <c r="F153" s="20" t="n">
        <v>6269</v>
      </c>
      <c r="G153" s="20" t="n">
        <v>6378</v>
      </c>
      <c r="H153" s="20" t="n">
        <v>6705</v>
      </c>
      <c r="I153" s="20" t="n">
        <v>6360</v>
      </c>
      <c r="J153" s="20" t="n">
        <v>6648</v>
      </c>
      <c r="K153" s="20" t="n">
        <v>6878</v>
      </c>
      <c r="L153" s="20" t="n">
        <v>6610</v>
      </c>
      <c r="M153" s="20" t="n">
        <v>7072</v>
      </c>
      <c r="N153" s="20" t="n">
        <v>7726</v>
      </c>
      <c r="V153" s="20" t="n">
        <v>5851</v>
      </c>
      <c r="W153" s="20" t="n">
        <v>6705</v>
      </c>
      <c r="X153" s="20" t="n">
        <v>6610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GroceryReportableSegmentsMember · 외부 고객 매출</t>
        </is>
      </c>
      <c r="C155" s="20" t="n">
        <v>1179</v>
      </c>
      <c r="D155" s="20" t="n">
        <v>1183</v>
      </c>
      <c r="E155" s="20" t="n">
        <v>1466</v>
      </c>
      <c r="F155" s="20" t="n">
        <v>1218</v>
      </c>
      <c r="G155" s="20" t="n">
        <v>1079</v>
      </c>
      <c r="H155" s="20" t="n">
        <v>1077</v>
      </c>
      <c r="I155" s="20" t="n">
        <v>1302</v>
      </c>
      <c r="J155" s="20" t="n">
        <v>1130</v>
      </c>
      <c r="K155" s="20" t="n">
        <v>1017</v>
      </c>
      <c r="L155" s="20" t="n">
        <v>1115</v>
      </c>
      <c r="M155" s="20" t="n">
        <v>1300</v>
      </c>
      <c r="N155" s="20" t="n">
        <v>1147</v>
      </c>
      <c r="V155" s="20" t="n">
        <v>1183</v>
      </c>
      <c r="W155" s="20" t="n">
        <v>1077</v>
      </c>
      <c r="X155" s="20" t="n">
        <v>1115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RealEstateUtilizationReportableSegmentsMember · 외부 고객 매출</t>
        </is>
      </c>
      <c r="C157" s="20" t="n">
        <v>62</v>
      </c>
      <c r="D157" s="20" t="n">
        <v>62</v>
      </c>
      <c r="E157" s="20" t="n">
        <v>60</v>
      </c>
      <c r="F157" s="20" t="n">
        <v>62</v>
      </c>
      <c r="G157" s="20" t="n">
        <v>61</v>
      </c>
      <c r="H157" s="20" t="n">
        <v>62</v>
      </c>
      <c r="I157" s="20" t="n">
        <v>62</v>
      </c>
      <c r="J157" s="20" t="n">
        <v>61</v>
      </c>
      <c r="K157" s="20" t="n">
        <v>62</v>
      </c>
      <c r="L157" s="20" t="n">
        <v>62</v>
      </c>
      <c r="M157" s="20" t="n">
        <v>61</v>
      </c>
      <c r="N157" s="20" t="n">
        <v>62</v>
      </c>
      <c r="V157" s="20" t="n">
        <v>62</v>
      </c>
      <c r="W157" s="20" t="n">
        <v>62</v>
      </c>
      <c r="X157" s="20" t="n">
        <v>62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EntityTotalMember · 외부 고객 매출</t>
        </is>
      </c>
      <c r="E159" s="20" t="n">
        <v>7634</v>
      </c>
      <c r="I159" s="20" t="n">
        <v>7724</v>
      </c>
      <c r="M159" s="20" t="n">
        <v>8435</v>
      </c>
    </row>
    <row r="160">
      <c r="A160" s="9" t="inlineStr">
        <is>
          <t>외부 고객 매출</t>
        </is>
      </c>
      <c r="D160" s="12" t="n">
        <v>7097</v>
      </c>
      <c r="E160" s="12" t="n">
        <v>7634</v>
      </c>
      <c r="H160" s="12" t="n">
        <v>7843</v>
      </c>
      <c r="V160" s="12" t="n">
        <v>7097</v>
      </c>
      <c r="W160" s="12" t="n">
        <v>7843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H161" s="15">
        <f>IF(OR(H160="",D160=""),"",IF(D160&lt;=0,"",IFERROR(H160/D160-1,"")))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</row>
    <row r="162">
      <c r="A162" s="18" t="inlineStr">
        <is>
          <t>ChemicalsReportableSegmentsMember · 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18" t="inlineStr">
        <is>
          <t>GroceryReportableSegmentsMember · 부문 간 내부매출·대체</t>
        </is>
      </c>
      <c r="C163" s="20" t="n">
        <v>0</v>
      </c>
      <c r="D163" s="20" t="n">
        <v>0</v>
      </c>
      <c r="E163" s="20" t="n">
        <v>0</v>
      </c>
      <c r="F163" s="20" t="n">
        <v>0</v>
      </c>
      <c r="G163" s="20" t="n">
        <v>0</v>
      </c>
      <c r="H163" s="20" t="n">
        <v>0</v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0" t="n">
        <v>0</v>
      </c>
      <c r="V163" s="20" t="n">
        <v>0</v>
      </c>
      <c r="W163" s="20" t="n">
        <v>0</v>
      </c>
      <c r="X163" s="20" t="n">
        <v>0</v>
      </c>
    </row>
    <row r="164">
      <c r="A164" s="18" t="inlineStr">
        <is>
          <t>RealEstateUtilizationReportableSegmentsMember · 부문 간 내부매출·대체</t>
        </is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0" t="n">
        <v>0</v>
      </c>
      <c r="L164" s="20" t="n">
        <v>0</v>
      </c>
      <c r="M164" s="20" t="n">
        <v>0</v>
      </c>
      <c r="N164" s="20" t="n">
        <v>0</v>
      </c>
      <c r="V164" s="20" t="n">
        <v>0</v>
      </c>
      <c r="W164" s="20" t="n">
        <v>0</v>
      </c>
      <c r="X164" s="20" t="n">
        <v>0</v>
      </c>
    </row>
    <row r="165">
      <c r="A165" s="18" t="inlineStr">
        <is>
          <t>EntityTotalMember · 부문 간 내부매출·대체</t>
        </is>
      </c>
      <c r="E165" s="20" t="n">
        <v>0</v>
      </c>
      <c r="I165" s="20" t="n">
        <v>0</v>
      </c>
      <c r="M165" s="20" t="n">
        <v>0</v>
      </c>
    </row>
    <row r="166">
      <c r="A166" s="18" t="inlineStr">
        <is>
          <t>부문 간 내부매출·대체</t>
        </is>
      </c>
      <c r="D166" s="20" t="n">
        <v>0</v>
      </c>
      <c r="E166" s="20" t="n">
        <v>0</v>
      </c>
      <c r="H166" s="20" t="n">
        <v>0</v>
      </c>
      <c r="V166" s="20" t="n">
        <v>0</v>
      </c>
      <c r="W166" s="20" t="n">
        <v>0</v>
      </c>
    </row>
    <row r="167">
      <c r="A167" s="18" t="inlineStr">
        <is>
          <t>ChemicalsReportableSegmentsMember · 계</t>
        </is>
      </c>
      <c r="C167" s="20" t="n">
        <v>6355</v>
      </c>
      <c r="D167" s="20" t="n">
        <v>5851</v>
      </c>
      <c r="E167" s="20" t="n">
        <v>6107</v>
      </c>
      <c r="F167" s="20" t="n">
        <v>6269</v>
      </c>
      <c r="G167" s="20" t="n">
        <v>6378</v>
      </c>
      <c r="H167" s="20" t="n">
        <v>6705</v>
      </c>
      <c r="I167" s="20" t="n">
        <v>6360</v>
      </c>
      <c r="J167" s="20" t="n">
        <v>6648</v>
      </c>
      <c r="K167" s="20" t="n">
        <v>6878</v>
      </c>
      <c r="L167" s="20" t="n">
        <v>6610</v>
      </c>
      <c r="M167" s="20" t="n">
        <v>7072</v>
      </c>
      <c r="N167" s="20" t="n">
        <v>7726</v>
      </c>
      <c r="V167" s="20" t="n">
        <v>5851</v>
      </c>
      <c r="W167" s="20" t="n">
        <v>6705</v>
      </c>
      <c r="X167" s="20" t="n">
        <v>6610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GroceryReportableSegmentsMember · 계</t>
        </is>
      </c>
      <c r="C169" s="20" t="n">
        <v>1179</v>
      </c>
      <c r="D169" s="20" t="n">
        <v>1183</v>
      </c>
      <c r="E169" s="20" t="n">
        <v>1466</v>
      </c>
      <c r="F169" s="20" t="n">
        <v>1218</v>
      </c>
      <c r="G169" s="20" t="n">
        <v>1079</v>
      </c>
      <c r="H169" s="20" t="n">
        <v>1077</v>
      </c>
      <c r="I169" s="20" t="n">
        <v>1302</v>
      </c>
      <c r="J169" s="20" t="n">
        <v>1130</v>
      </c>
      <c r="K169" s="20" t="n">
        <v>1017</v>
      </c>
      <c r="L169" s="20" t="n">
        <v>1115</v>
      </c>
      <c r="M169" s="20" t="n">
        <v>1300</v>
      </c>
      <c r="N169" s="20" t="n">
        <v>1147</v>
      </c>
      <c r="V169" s="20" t="n">
        <v>1183</v>
      </c>
      <c r="W169" s="20" t="n">
        <v>1077</v>
      </c>
      <c r="X169" s="20" t="n">
        <v>1115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RealEstateUtilizationReportableSegmentsMember · 계</t>
        </is>
      </c>
      <c r="C171" s="20" t="n">
        <v>62</v>
      </c>
      <c r="D171" s="20" t="n">
        <v>62</v>
      </c>
      <c r="E171" s="20" t="n">
        <v>60</v>
      </c>
      <c r="F171" s="20" t="n">
        <v>62</v>
      </c>
      <c r="G171" s="20" t="n">
        <v>61</v>
      </c>
      <c r="H171" s="20" t="n">
        <v>62</v>
      </c>
      <c r="I171" s="20" t="n">
        <v>62</v>
      </c>
      <c r="J171" s="20" t="n">
        <v>61</v>
      </c>
      <c r="K171" s="20" t="n">
        <v>62</v>
      </c>
      <c r="L171" s="20" t="n">
        <v>62</v>
      </c>
      <c r="M171" s="20" t="n">
        <v>61</v>
      </c>
      <c r="N171" s="20" t="n">
        <v>62</v>
      </c>
      <c r="V171" s="20" t="n">
        <v>62</v>
      </c>
      <c r="W171" s="20" t="n">
        <v>62</v>
      </c>
      <c r="X171" s="20" t="n">
        <v>62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EntityTotalMember · 계</t>
        </is>
      </c>
      <c r="E173" s="20" t="n">
        <v>7634</v>
      </c>
      <c r="I173" s="20" t="n">
        <v>7724</v>
      </c>
      <c r="M173" s="20" t="n">
        <v>8435</v>
      </c>
    </row>
    <row r="174">
      <c r="A174" s="9" t="inlineStr">
        <is>
          <t>계</t>
        </is>
      </c>
      <c r="D174" s="12" t="n">
        <v>7097</v>
      </c>
      <c r="E174" s="12" t="n">
        <v>7634</v>
      </c>
      <c r="H174" s="12" t="n">
        <v>7843</v>
      </c>
      <c r="V174" s="12" t="n">
        <v>7097</v>
      </c>
      <c r="W174" s="12" t="n">
        <v>7843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H175" s="15">
        <f>IF(OR(H174="",D174=""),"",IF(D174&lt;=0,"",IFERROR(H174/D174-1,"")))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ChemicalsReportableSegmentsMember · 부문 이익</t>
        </is>
      </c>
      <c r="C176" s="20" t="n">
        <v>810</v>
      </c>
      <c r="D176" s="20" t="n">
        <v>346</v>
      </c>
      <c r="E176" s="20" t="n">
        <v>580</v>
      </c>
      <c r="F176" s="20" t="n">
        <v>466</v>
      </c>
      <c r="G176" s="20" t="n">
        <v>457</v>
      </c>
      <c r="H176" s="20" t="n">
        <v>595</v>
      </c>
      <c r="I176" s="20" t="n">
        <v>539</v>
      </c>
      <c r="J176" s="20" t="n">
        <v>665</v>
      </c>
      <c r="K176" s="20" t="n">
        <v>831</v>
      </c>
      <c r="L176" s="20" t="n">
        <v>341</v>
      </c>
      <c r="M176" s="20" t="n">
        <v>940</v>
      </c>
      <c r="N176" s="20" t="n">
        <v>1049</v>
      </c>
      <c r="V176" s="20" t="n">
        <v>346</v>
      </c>
      <c r="W176" s="20" t="n">
        <v>595</v>
      </c>
      <c r="X176" s="20" t="n">
        <v>341</v>
      </c>
    </row>
    <row r="177">
      <c r="A177" s="43" t="inlineStr">
        <is>
          <t>OPM</t>
        </is>
      </c>
      <c r="B177" s="3" t="inlineStr">
        <is>
          <t>영업이익 ÷ 매출</t>
        </is>
      </c>
      <c r="C177" s="15">
        <f>IF(OR(C176="",C167=""),"",IF(C167&lt;=0,"",IFERROR(C176/C167,"")))</f>
        <v/>
      </c>
      <c r="D177" s="15">
        <f>IF(OR(D176="",D167=""),"",IF(D167&lt;=0,"",IFERROR(D176/D167,"")))</f>
        <v/>
      </c>
      <c r="E177" s="15">
        <f>IF(OR(E176="",E167=""),"",IF(E167&lt;=0,"",IFERROR(E176/E167,"")))</f>
        <v/>
      </c>
      <c r="F177" s="15">
        <f>IF(OR(F176="",F167=""),"",IF(F167&lt;=0,"",IFERROR(F176/F167,"")))</f>
        <v/>
      </c>
      <c r="G177" s="15">
        <f>IF(OR(G176="",G167=""),"",IF(G167&lt;=0,"",IFERROR(G176/G167,"")))</f>
        <v/>
      </c>
      <c r="H177" s="15">
        <f>IF(OR(H176="",H167=""),"",IF(H167&lt;=0,"",IFERROR(H176/H167,"")))</f>
        <v/>
      </c>
      <c r="I177" s="15">
        <f>IF(OR(I176="",I167=""),"",IF(I167&lt;=0,"",IFERROR(I176/I167,"")))</f>
        <v/>
      </c>
      <c r="J177" s="15">
        <f>IF(OR(J176="",J167=""),"",IF(J167&lt;=0,"",IFERROR(J176/J167,"")))</f>
        <v/>
      </c>
      <c r="K177" s="15">
        <f>IF(OR(K176="",K167=""),"",IF(K167&lt;=0,"",IFERROR(K176/K167,"")))</f>
        <v/>
      </c>
      <c r="L177" s="15">
        <f>IF(OR(L176="",L167=""),"",IF(L167&lt;=0,"",IFERROR(L176/L167,"")))</f>
        <v/>
      </c>
      <c r="M177" s="15">
        <f>IF(OR(M176="",M167=""),"",IF(M167&lt;=0,"",IFERROR(M176/M167,"")))</f>
        <v/>
      </c>
      <c r="N177" s="15">
        <f>IF(OR(N176="",N167=""),"",IF(N167&lt;=0,"",IFERROR(N176/N167,"")))</f>
        <v/>
      </c>
      <c r="V177" s="15">
        <f>IF(OR(V176="",V167=""),"",IF(V167&lt;=0,"",IFERROR(V176/V167,"")))</f>
        <v/>
      </c>
      <c r="W177" s="15">
        <f>IF(OR(W176="",W167=""),"",IF(W167&lt;=0,"",IFERROR(W176/W167,"")))</f>
        <v/>
      </c>
      <c r="X177" s="15">
        <f>IF(OR(X176="",X167=""),"",IF(X167&lt;=0,"",IFERROR(X176/X167,"")))</f>
        <v/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IF(OR(G176="",C176=""),"",IF(C176&lt;=0,"",IFERROR(G176/C176-1,"")))</f>
        <v/>
      </c>
      <c r="H178" s="15">
        <f>IF(OR(H176="",D176=""),"",IF(D176&lt;=0,"",IFERROR(H176/D176-1,"")))</f>
        <v/>
      </c>
      <c r="I178" s="15">
        <f>IF(OR(I176="",E176=""),"",IF(E176&lt;=0,"",IFERROR(I176/E176-1,"")))</f>
        <v/>
      </c>
      <c r="J178" s="15">
        <f>IF(OR(J176="",F176=""),"",IF(F176&lt;=0,"",IFERROR(J176/F176-1,"")))</f>
        <v/>
      </c>
      <c r="K178" s="15">
        <f>IF(OR(K176="",G176=""),"",IF(G176&lt;=0,"",IFERROR(K176/G176-1,"")))</f>
        <v/>
      </c>
      <c r="L178" s="15">
        <f>IF(OR(L176="",H176=""),"",IF(H176&lt;=0,"",IFERROR(L176/H176-1,"")))</f>
        <v/>
      </c>
      <c r="M178" s="15">
        <f>IF(OR(M176="",I176=""),"",IF(I176&lt;=0,"",IFERROR(M176/I176-1,"")))</f>
        <v/>
      </c>
      <c r="N178" s="15">
        <f>IF(OR(N176="",J176=""),"",IF(J176&lt;=0,"",IFERROR(N176/J176-1,"")))</f>
        <v/>
      </c>
      <c r="V178" s="15">
        <f>IF(OR(V176="",U176=""),"",IF(U176&lt;=0,"",IFERROR(V176/U176-1,"")))</f>
        <v/>
      </c>
      <c r="W178" s="15">
        <f>IF(OR(W176="",V176=""),"",IF(V176&lt;=0,"",IFERROR(W176/V176-1,"")))</f>
        <v/>
      </c>
      <c r="X178" s="15">
        <f>IF(OR(X176="",W176=""),"",IF(W176&lt;=0,"",IFERROR(X176/W176-1,"")))</f>
        <v/>
      </c>
    </row>
    <row r="179">
      <c r="A179" s="18" t="inlineStr">
        <is>
          <t>GroceryReportableSegmentsMember · 부문 이익</t>
        </is>
      </c>
      <c r="C179" s="20" t="n">
        <v>-51</v>
      </c>
      <c r="D179" s="20" t="n">
        <v>-60</v>
      </c>
      <c r="E179" s="20" t="n">
        <v>72</v>
      </c>
      <c r="F179" s="20" t="n">
        <v>38</v>
      </c>
      <c r="G179" s="20" t="n">
        <v>-39</v>
      </c>
      <c r="H179" s="20" t="n">
        <v>-37</v>
      </c>
      <c r="I179" s="20" t="n">
        <v>70</v>
      </c>
      <c r="J179" s="20" t="n">
        <v>44</v>
      </c>
      <c r="K179" s="20" t="n">
        <v>-41</v>
      </c>
      <c r="L179" s="20" t="n">
        <v>-38</v>
      </c>
      <c r="M179" s="20" t="n">
        <v>57</v>
      </c>
      <c r="N179" s="20" t="n">
        <v>50</v>
      </c>
      <c r="V179" s="20" t="n">
        <v>-60</v>
      </c>
      <c r="W179" s="20" t="n">
        <v>-37</v>
      </c>
      <c r="X179" s="20" t="n">
        <v>-38</v>
      </c>
    </row>
    <row r="180">
      <c r="A180" s="43" t="inlineStr">
        <is>
          <t>OPM</t>
        </is>
      </c>
      <c r="B180" s="3" t="inlineStr">
        <is>
          <t>영업이익 ÷ 매출</t>
        </is>
      </c>
      <c r="C180" s="15">
        <f>IF(OR(C179="",C169=""),"",IF(C169&lt;=0,"",IFERROR(C179/C169,"")))</f>
        <v/>
      </c>
      <c r="D180" s="15">
        <f>IF(OR(D179="",D169=""),"",IF(D169&lt;=0,"",IFERROR(D179/D169,"")))</f>
        <v/>
      </c>
      <c r="E180" s="15">
        <f>IF(OR(E179="",E169=""),"",IF(E169&lt;=0,"",IFERROR(E179/E169,"")))</f>
        <v/>
      </c>
      <c r="F180" s="15">
        <f>IF(OR(F179="",F169=""),"",IF(F169&lt;=0,"",IFERROR(F179/F169,"")))</f>
        <v/>
      </c>
      <c r="G180" s="15">
        <f>IF(OR(G179="",G169=""),"",IF(G169&lt;=0,"",IFERROR(G179/G169,"")))</f>
        <v/>
      </c>
      <c r="H180" s="15">
        <f>IF(OR(H179="",H169=""),"",IF(H169&lt;=0,"",IFERROR(H179/H169,"")))</f>
        <v/>
      </c>
      <c r="I180" s="15">
        <f>IF(OR(I179="",I169=""),"",IF(I169&lt;=0,"",IFERROR(I179/I169,"")))</f>
        <v/>
      </c>
      <c r="J180" s="15">
        <f>IF(OR(J179="",J169=""),"",IF(J169&lt;=0,"",IFERROR(J179/J169,"")))</f>
        <v/>
      </c>
      <c r="K180" s="15">
        <f>IF(OR(K179="",K169=""),"",IF(K169&lt;=0,"",IFERROR(K179/K169,"")))</f>
        <v/>
      </c>
      <c r="L180" s="15">
        <f>IF(OR(L179="",L169=""),"",IF(L169&lt;=0,"",IFERROR(L179/L169,"")))</f>
        <v/>
      </c>
      <c r="M180" s="15">
        <f>IF(OR(M179="",M169=""),"",IF(M169&lt;=0,"",IFERROR(M179/M169,"")))</f>
        <v/>
      </c>
      <c r="N180" s="15">
        <f>IF(OR(N179="",N169=""),"",IF(N169&lt;=0,"",IFERROR(N179/N169,"")))</f>
        <v/>
      </c>
      <c r="V180" s="15">
        <f>IF(OR(V179="",V169=""),"",IF(V169&lt;=0,"",IFERROR(V179/V169,"")))</f>
        <v/>
      </c>
      <c r="W180" s="15">
        <f>IF(OR(W179="",W169=""),"",IF(W169&lt;=0,"",IFERROR(W179/W169,"")))</f>
        <v/>
      </c>
      <c r="X180" s="15">
        <f>IF(OR(X179="",X169=""),"",IF(X169&lt;=0,"",IFERROR(X179/X169,"")))</f>
        <v/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IF(OR(G179="",C179=""),"",IF(C179&lt;=0,"",IFERROR(G179/C179-1,"")))</f>
        <v/>
      </c>
      <c r="H181" s="15">
        <f>IF(OR(H179="",D179=""),"",IF(D179&lt;=0,"",IFERROR(H179/D179-1,"")))</f>
        <v/>
      </c>
      <c r="I181" s="15">
        <f>IF(OR(I179="",E179=""),"",IF(E179&lt;=0,"",IFERROR(I179/E179-1,"")))</f>
        <v/>
      </c>
      <c r="J181" s="15">
        <f>IF(OR(J179="",F179=""),"",IF(F179&lt;=0,"",IFERROR(J179/F179-1,"")))</f>
        <v/>
      </c>
      <c r="K181" s="15">
        <f>IF(OR(K179="",G179=""),"",IF(G179&lt;=0,"",IFERROR(K179/G179-1,"")))</f>
        <v/>
      </c>
      <c r="L181" s="15">
        <f>IF(OR(L179="",H179=""),"",IF(H179&lt;=0,"",IFERROR(L179/H179-1,"")))</f>
        <v/>
      </c>
      <c r="M181" s="15">
        <f>IF(OR(M179="",I179=""),"",IF(I179&lt;=0,"",IFERROR(M179/I179-1,"")))</f>
        <v/>
      </c>
      <c r="N181" s="15">
        <f>IF(OR(N179="",J179=""),"",IF(J179&lt;=0,"",IFERROR(N179/J179-1,"")))</f>
        <v/>
      </c>
      <c r="V181" s="15">
        <f>IF(OR(V179="",U179=""),"",IF(U179&lt;=0,"",IFERROR(V179/U179-1,"")))</f>
        <v/>
      </c>
      <c r="W181" s="15">
        <f>IF(OR(W179="",V179=""),"",IF(V179&lt;=0,"",IFERROR(W179/V179-1,"")))</f>
        <v/>
      </c>
      <c r="X181" s="15">
        <f>IF(OR(X179="",W179=""),"",IF(W179&lt;=0,"",IFERROR(X179/W179-1,"")))</f>
        <v/>
      </c>
    </row>
    <row r="182">
      <c r="A182" s="18" t="inlineStr">
        <is>
          <t>RealEstateUtilizationReportableSegmentsMember · 부문 이익</t>
        </is>
      </c>
      <c r="C182" s="20" t="n">
        <v>39</v>
      </c>
      <c r="D182" s="20" t="n">
        <v>38</v>
      </c>
      <c r="E182" s="20" t="n">
        <v>39</v>
      </c>
      <c r="F182" s="20" t="n">
        <v>39</v>
      </c>
      <c r="G182" s="20" t="n">
        <v>41</v>
      </c>
      <c r="H182" s="20" t="n">
        <v>41</v>
      </c>
      <c r="I182" s="20" t="n">
        <v>41</v>
      </c>
      <c r="J182" s="20" t="n">
        <v>39</v>
      </c>
      <c r="K182" s="20" t="n">
        <v>38</v>
      </c>
      <c r="L182" s="20" t="n">
        <v>37</v>
      </c>
      <c r="M182" s="20" t="n">
        <v>36</v>
      </c>
      <c r="N182" s="20" t="n">
        <v>39</v>
      </c>
      <c r="V182" s="20" t="n">
        <v>38</v>
      </c>
      <c r="W182" s="20" t="n">
        <v>41</v>
      </c>
      <c r="X182" s="20" t="n">
        <v>37</v>
      </c>
    </row>
    <row r="183">
      <c r="A183" s="43" t="inlineStr">
        <is>
          <t>OPM</t>
        </is>
      </c>
      <c r="B183" s="3" t="inlineStr">
        <is>
          <t>영업이익 ÷ 매출</t>
        </is>
      </c>
      <c r="C183" s="15">
        <f>IF(OR(C182="",C171=""),"",IF(C171&lt;=0,"",IFERROR(C182/C171,"")))</f>
        <v/>
      </c>
      <c r="D183" s="15">
        <f>IF(OR(D182="",D171=""),"",IF(D171&lt;=0,"",IFERROR(D182/D171,"")))</f>
        <v/>
      </c>
      <c r="E183" s="15">
        <f>IF(OR(E182="",E171=""),"",IF(E171&lt;=0,"",IFERROR(E182/E171,"")))</f>
        <v/>
      </c>
      <c r="F183" s="15">
        <f>IF(OR(F182="",F171=""),"",IF(F171&lt;=0,"",IFERROR(F182/F171,"")))</f>
        <v/>
      </c>
      <c r="G183" s="15">
        <f>IF(OR(G182="",G171=""),"",IF(G171&lt;=0,"",IFERROR(G182/G171,"")))</f>
        <v/>
      </c>
      <c r="H183" s="15">
        <f>IF(OR(H182="",H171=""),"",IF(H171&lt;=0,"",IFERROR(H182/H171,"")))</f>
        <v/>
      </c>
      <c r="I183" s="15">
        <f>IF(OR(I182="",I171=""),"",IF(I171&lt;=0,"",IFERROR(I182/I171,"")))</f>
        <v/>
      </c>
      <c r="J183" s="15">
        <f>IF(OR(J182="",J171=""),"",IF(J171&lt;=0,"",IFERROR(J182/J171,"")))</f>
        <v/>
      </c>
      <c r="K183" s="15">
        <f>IF(OR(K182="",K171=""),"",IF(K171&lt;=0,"",IFERROR(K182/K171,"")))</f>
        <v/>
      </c>
      <c r="L183" s="15">
        <f>IF(OR(L182="",L171=""),"",IF(L171&lt;=0,"",IFERROR(L182/L171,"")))</f>
        <v/>
      </c>
      <c r="M183" s="15">
        <f>IF(OR(M182="",M171=""),"",IF(M171&lt;=0,"",IFERROR(M182/M171,"")))</f>
        <v/>
      </c>
      <c r="N183" s="15">
        <f>IF(OR(N182="",N171=""),"",IF(N171&lt;=0,"",IFERROR(N182/N171,"")))</f>
        <v/>
      </c>
      <c r="V183" s="15">
        <f>IF(OR(V182="",V171=""),"",IF(V171&lt;=0,"",IFERROR(V182/V171,"")))</f>
        <v/>
      </c>
      <c r="W183" s="15">
        <f>IF(OR(W182="",W171=""),"",IF(W171&lt;=0,"",IFERROR(W182/W171,"")))</f>
        <v/>
      </c>
      <c r="X183" s="15">
        <f>IF(OR(X182="",X171=""),"",IF(X171&lt;=0,"",IFERROR(X182/X171,"")))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IF(OR(G182="",C182=""),"",IF(C182&lt;=0,"",IFERROR(G182/C182-1,"")))</f>
        <v/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J184" s="15">
        <f>IF(OR(J182="",F182=""),"",IF(F182&lt;=0,"",IFERROR(J182/F182-1,"")))</f>
        <v/>
      </c>
      <c r="K184" s="15">
        <f>IF(OR(K182="",G182=""),"",IF(G182&lt;=0,"",IFERROR(K182/G182-1,"")))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N184" s="15">
        <f>IF(OR(N182="",J182=""),"",IF(J182&lt;=0,"",IFERROR(N182/J182-1,"")))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EntityTotalMember · 부문 이익</t>
        </is>
      </c>
      <c r="E185" s="20" t="n">
        <v>692</v>
      </c>
      <c r="I185" s="20" t="n">
        <v>651</v>
      </c>
      <c r="M185" s="20" t="n">
        <v>1033</v>
      </c>
    </row>
    <row r="186">
      <c r="A186" s="9" t="inlineStr">
        <is>
          <t>부문 이익</t>
        </is>
      </c>
      <c r="D186" s="12" t="n">
        <v>324</v>
      </c>
      <c r="E186" s="12" t="n">
        <v>692</v>
      </c>
      <c r="H186" s="12" t="n">
        <v>599</v>
      </c>
      <c r="V186" s="12" t="n">
        <v>324</v>
      </c>
      <c r="W186" s="12" t="n">
        <v>599</v>
      </c>
    </row>
    <row r="187">
      <c r="A187" s="43" t="inlineStr">
        <is>
          <t>OPM</t>
        </is>
      </c>
      <c r="B187" s="3" t="inlineStr">
        <is>
          <t>영업이익 ÷ 매출</t>
        </is>
      </c>
      <c r="D187" s="15">
        <f>IF(OR(D186="",D160=""),"",IF(D160&lt;=0,"",IFERROR(D186/D160,"")))</f>
        <v/>
      </c>
      <c r="E187" s="15">
        <f>IF(OR(E186="",E160=""),"",IF(E160&lt;=0,"",IFERROR(E186/E160,"")))</f>
        <v/>
      </c>
      <c r="H187" s="15">
        <f>IF(OR(H186="",H160=""),"",IF(H160&lt;=0,"",IFERROR(H186/H160,"")))</f>
        <v/>
      </c>
      <c r="V187" s="15">
        <f>IF(OR(V186="",V160=""),"",IF(V160&lt;=0,"",IFERROR(V186/V160,"")))</f>
        <v/>
      </c>
      <c r="W187" s="15">
        <f>IF(OR(W186="",W160=""),"",IF(W160&lt;=0,"",IFERROR(W186/W160,"")))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H188" s="15">
        <f>IF(OR(H186="",D186=""),"",IF(D186&lt;=0,"",IFERROR(H186/D186-1,"")))</f>
        <v/>
      </c>
      <c r="V188" s="15">
        <f>IF(OR(V186="",U186=""),"",IF(U186&lt;=0,"",IFERROR(V186/U186-1,"")))</f>
        <v/>
      </c>
      <c r="W188" s="15">
        <f>IF(OR(W186="",V186=""),"",IF(V186&lt;=0,"",IFERROR(W186/V186-1,"")))</f>
        <v/>
      </c>
    </row>
    <row r="190">
      <c r="A190" s="16" t="inlineStr">
        <is>
          <t>현금흐름표 · 전 항목</t>
        </is>
      </c>
      <c r="B190" s="42" t="inlineStr">
        <is>
          <t>분기 = 결산기 첫날부터 누계(공시 그대로)</t>
        </is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</row>
    <row r="191">
      <c r="A191" s="5" t="inlineStr">
        <is>
          <t>항목</t>
        </is>
      </c>
      <c r="B191" s="5" t="inlineStr">
        <is>
          <t>참고</t>
        </is>
      </c>
      <c r="C191" s="5" t="inlineStr">
        <is>
          <t>2024.3Q</t>
        </is>
      </c>
      <c r="D191" s="5" t="inlineStr">
        <is>
          <t>2024.4Q</t>
        </is>
      </c>
      <c r="E191" s="5" t="inlineStr">
        <is>
          <t>2025.1Q</t>
        </is>
      </c>
      <c r="F191" s="5" t="inlineStr">
        <is>
          <t>2025.2Q</t>
        </is>
      </c>
      <c r="G191" s="5" t="inlineStr">
        <is>
          <t>2025.3Q</t>
        </is>
      </c>
      <c r="H191" s="5" t="inlineStr">
        <is>
          <t>2025.4Q</t>
        </is>
      </c>
      <c r="I191" s="5" t="inlineStr">
        <is>
          <t>2026.1Q</t>
        </is>
      </c>
      <c r="J191" s="5" t="inlineStr">
        <is>
          <t>2026.2Q</t>
        </is>
      </c>
      <c r="K191" s="5" t="inlineStr">
        <is>
          <t>2026.3Q</t>
        </is>
      </c>
      <c r="L191" s="5" t="inlineStr">
        <is>
          <t>2026.4Q</t>
        </is>
      </c>
      <c r="M191" s="5" t="inlineStr">
        <is>
          <t>2027.1Q</t>
        </is>
      </c>
      <c r="N191" s="5" t="inlineStr">
        <is>
          <t>2027.2Q</t>
        </is>
      </c>
      <c r="O191" s="5" t="inlineStr">
        <is>
          <t>2017</t>
        </is>
      </c>
      <c r="P191" s="5" t="inlineStr">
        <is>
          <t>2018</t>
        </is>
      </c>
      <c r="Q191" s="5" t="inlineStr">
        <is>
          <t>2019</t>
        </is>
      </c>
      <c r="R191" s="5" t="inlineStr">
        <is>
          <t>2020</t>
        </is>
      </c>
      <c r="S191" s="5" t="inlineStr">
        <is>
          <t>2021</t>
        </is>
      </c>
      <c r="T191" s="5" t="inlineStr">
        <is>
          <t>2022</t>
        </is>
      </c>
      <c r="U191" s="5" t="inlineStr">
        <is>
          <t>2023</t>
        </is>
      </c>
      <c r="V191" s="5" t="inlineStr">
        <is>
          <t>2024</t>
        </is>
      </c>
      <c r="W191" s="5" t="inlineStr">
        <is>
          <t>2025</t>
        </is>
      </c>
      <c r="X191" s="5" t="inlineStr">
        <is>
          <t>2026</t>
        </is>
      </c>
      <c r="Y191" s="5" t="inlineStr">
        <is>
          <t>2027(MW)</t>
        </is>
      </c>
      <c r="Z191" s="5" t="inlineStr">
        <is>
          <t>2028(MW)</t>
        </is>
      </c>
      <c r="AA191" s="5" t="inlineStr">
        <is>
          <t>2029(MW)</t>
        </is>
      </c>
      <c r="AB191" s="5" t="inlineStr">
        <is>
          <t>2030(MW)</t>
        </is>
      </c>
      <c r="AC191" s="5" t="inlineStr">
        <is>
          <t>2031(MW)</t>
        </is>
      </c>
    </row>
    <row r="192">
      <c r="A192" s="9" t="inlineStr">
        <is>
          <t>법인세차감전 순이익</t>
        </is>
      </c>
      <c r="D192" s="12" t="n">
        <v>2962</v>
      </c>
      <c r="H192" s="12" t="n">
        <v>2711</v>
      </c>
      <c r="L192" s="12" t="n">
        <v>2916</v>
      </c>
      <c r="O192" s="12" t="n">
        <v>2583</v>
      </c>
      <c r="P192" s="12" t="n">
        <v>2543</v>
      </c>
      <c r="Q192" s="12" t="n">
        <v>1668</v>
      </c>
      <c r="R192" s="12" t="n">
        <v>1950</v>
      </c>
      <c r="S192" s="12" t="n">
        <v>2346</v>
      </c>
      <c r="T192" s="12" t="n">
        <v>2716</v>
      </c>
      <c r="U192" s="12" t="n">
        <v>1644</v>
      </c>
      <c r="V192" s="12" t="n">
        <v>2962</v>
      </c>
      <c r="W192" s="12" t="n">
        <v>2711</v>
      </c>
      <c r="X192" s="12" t="n">
        <v>2916</v>
      </c>
    </row>
    <row r="193">
      <c r="A193" s="18" t="inlineStr">
        <is>
          <t>감가상각비</t>
        </is>
      </c>
      <c r="D193" s="20" t="n">
        <v>1604</v>
      </c>
      <c r="H193" s="20" t="n">
        <v>1692</v>
      </c>
      <c r="L193" s="20" t="n">
        <v>1831</v>
      </c>
      <c r="O193" s="20" t="n">
        <v>1202</v>
      </c>
      <c r="P193" s="20" t="n">
        <v>1303</v>
      </c>
      <c r="Q193" s="20" t="n">
        <v>1435</v>
      </c>
      <c r="R193" s="20" t="n">
        <v>1616</v>
      </c>
      <c r="S193" s="20" t="n">
        <v>1521</v>
      </c>
      <c r="T193" s="20" t="n">
        <v>1471</v>
      </c>
      <c r="U193" s="20" t="n">
        <v>1605</v>
      </c>
      <c r="V193" s="20" t="n">
        <v>1604</v>
      </c>
      <c r="W193" s="20" t="n">
        <v>1692</v>
      </c>
      <c r="X193" s="20" t="n">
        <v>1831</v>
      </c>
    </row>
    <row r="194">
      <c r="A194" s="18" t="inlineStr">
        <is>
          <t>손상차손</t>
        </is>
      </c>
      <c r="D194" s="20" t="n">
        <v>199</v>
      </c>
      <c r="H194" s="20" t="n">
        <v>0</v>
      </c>
      <c r="O194" s="20" t="n">
        <v>0</v>
      </c>
      <c r="P194" s="20" t="n">
        <v>229</v>
      </c>
      <c r="Q194" s="20" t="n">
        <v>99</v>
      </c>
      <c r="R194" s="20" t="n">
        <v>125</v>
      </c>
      <c r="S194" s="20" t="n">
        <v>90</v>
      </c>
      <c r="T194" s="20" t="n">
        <v>0</v>
      </c>
      <c r="U194" s="20" t="n">
        <v>202</v>
      </c>
      <c r="V194" s="20" t="n">
        <v>199</v>
      </c>
      <c r="W194" s="20" t="n">
        <v>0</v>
      </c>
    </row>
    <row r="195">
      <c r="A195" s="18" t="inlineStr">
        <is>
          <t>영업권 상각</t>
        </is>
      </c>
      <c r="D195" s="20" t="n">
        <v>37</v>
      </c>
      <c r="H195" s="20" t="n">
        <v>0</v>
      </c>
      <c r="P195" s="20" t="n">
        <v>0</v>
      </c>
      <c r="Q195" s="20" t="n">
        <v>111</v>
      </c>
      <c r="R195" s="20" t="n">
        <v>148</v>
      </c>
      <c r="S195" s="20" t="n">
        <v>148</v>
      </c>
      <c r="T195" s="20" t="n">
        <v>148</v>
      </c>
      <c r="U195" s="20" t="n">
        <v>148</v>
      </c>
      <c r="V195" s="20" t="n">
        <v>37</v>
      </c>
      <c r="W195" s="20" t="n">
        <v>0</v>
      </c>
    </row>
    <row r="196">
      <c r="A196" s="18" t="inlineStr">
        <is>
          <t>퇴직급여부채 증감</t>
        </is>
      </c>
      <c r="D196" s="20" t="n">
        <v>-269</v>
      </c>
      <c r="H196" s="20" t="n">
        <v>13</v>
      </c>
      <c r="L196" s="20" t="n">
        <v>13</v>
      </c>
      <c r="O196" s="20" t="n">
        <v>411</v>
      </c>
      <c r="P196" s="20" t="n">
        <v>-8</v>
      </c>
      <c r="Q196" s="20" t="n">
        <v>36</v>
      </c>
      <c r="R196" s="20" t="n">
        <v>-201</v>
      </c>
      <c r="S196" s="20" t="n">
        <v>-31</v>
      </c>
      <c r="T196" s="20" t="n">
        <v>-545</v>
      </c>
      <c r="U196" s="20" t="n">
        <v>-608</v>
      </c>
      <c r="V196" s="20" t="n">
        <v>-269</v>
      </c>
      <c r="W196" s="20" t="n">
        <v>13</v>
      </c>
      <c r="X196" s="20" t="n">
        <v>13</v>
      </c>
    </row>
    <row r="197">
      <c r="A197" s="18" t="inlineStr">
        <is>
          <t>투자유가증권 평가손익</t>
        </is>
      </c>
      <c r="S197" s="20" t="n">
        <v>0</v>
      </c>
      <c r="T197" s="20" t="n">
        <v>39</v>
      </c>
      <c r="U197" s="20" t="n">
        <v>0</v>
      </c>
    </row>
    <row r="198">
      <c r="A198" s="18" t="inlineStr">
        <is>
          <t>이자·배당금 수익</t>
        </is>
      </c>
      <c r="D198" s="20" t="n">
        <v>-274</v>
      </c>
      <c r="H198" s="20" t="n">
        <v>-353</v>
      </c>
      <c r="L198" s="20" t="n">
        <v>-403</v>
      </c>
      <c r="O198" s="20" t="n">
        <v>-157</v>
      </c>
      <c r="P198" s="20" t="n">
        <v>-169</v>
      </c>
      <c r="Q198" s="20" t="n">
        <v>-193</v>
      </c>
      <c r="R198" s="20" t="n">
        <v>-194</v>
      </c>
      <c r="S198" s="20" t="n">
        <v>-178</v>
      </c>
      <c r="T198" s="20" t="n">
        <v>-192</v>
      </c>
      <c r="U198" s="20" t="n">
        <v>-213</v>
      </c>
      <c r="V198" s="20" t="n">
        <v>-274</v>
      </c>
      <c r="W198" s="20" t="n">
        <v>-353</v>
      </c>
      <c r="X198" s="20" t="n">
        <v>-403</v>
      </c>
    </row>
    <row r="199">
      <c r="A199" s="18" t="inlineStr">
        <is>
          <t>이자비용</t>
        </is>
      </c>
      <c r="D199" s="20" t="n">
        <v>13</v>
      </c>
      <c r="H199" s="20" t="n">
        <v>14</v>
      </c>
      <c r="L199" s="20" t="n">
        <v>14</v>
      </c>
      <c r="O199" s="20" t="n">
        <v>14</v>
      </c>
      <c r="P199" s="20" t="n">
        <v>6</v>
      </c>
      <c r="Q199" s="20" t="n">
        <v>4</v>
      </c>
      <c r="R199" s="20" t="n">
        <v>2</v>
      </c>
      <c r="S199" s="20" t="n">
        <v>0</v>
      </c>
      <c r="T199" s="20" t="n">
        <v>11</v>
      </c>
      <c r="U199" s="20" t="n">
        <v>12</v>
      </c>
      <c r="V199" s="20" t="n">
        <v>13</v>
      </c>
      <c r="W199" s="20" t="n">
        <v>14</v>
      </c>
      <c r="X199" s="20" t="n">
        <v>14</v>
      </c>
    </row>
    <row r="200">
      <c r="A200" s="18" t="inlineStr">
        <is>
          <t>투자유가증권 매각손익</t>
        </is>
      </c>
      <c r="O200" s="20" t="n">
        <v>-0</v>
      </c>
      <c r="P200" s="20" t="n">
        <v>-94</v>
      </c>
    </row>
    <row r="201">
      <c r="A201" s="18" t="inlineStr">
        <is>
          <t>화해금 수령</t>
        </is>
      </c>
      <c r="O201" s="20" t="n">
        <v>-128</v>
      </c>
      <c r="P201" s="20" t="n">
        <v>0</v>
      </c>
    </row>
    <row r="202">
      <c r="A202" s="18" t="inlineStr">
        <is>
          <t>매출채권 증감</t>
        </is>
      </c>
      <c r="D202" s="20" t="n">
        <v>97</v>
      </c>
      <c r="H202" s="20" t="n">
        <v>554</v>
      </c>
      <c r="L202" s="20" t="n">
        <v>277</v>
      </c>
      <c r="O202" s="20" t="n">
        <v>-42</v>
      </c>
      <c r="P202" s="20" t="n">
        <v>-1198</v>
      </c>
      <c r="Q202" s="20" t="n">
        <v>-314</v>
      </c>
      <c r="R202" s="20" t="n">
        <v>949</v>
      </c>
      <c r="S202" s="20" t="n">
        <v>-88</v>
      </c>
      <c r="T202" s="20" t="n">
        <v>-1051</v>
      </c>
      <c r="U202" s="20" t="n">
        <v>23</v>
      </c>
      <c r="V202" s="20" t="n">
        <v>97</v>
      </c>
      <c r="W202" s="20" t="n">
        <v>554</v>
      </c>
      <c r="X202" s="20" t="n">
        <v>277</v>
      </c>
    </row>
    <row r="203">
      <c r="A203" s="18" t="inlineStr">
        <is>
          <t>재고자산 증감</t>
        </is>
      </c>
      <c r="D203" s="20" t="n">
        <v>-11</v>
      </c>
      <c r="H203" s="20" t="n">
        <v>177</v>
      </c>
      <c r="L203" s="20" t="n">
        <v>423</v>
      </c>
      <c r="O203" s="20" t="n">
        <v>31</v>
      </c>
      <c r="P203" s="20" t="n">
        <v>-650</v>
      </c>
      <c r="Q203" s="20" t="n">
        <v>-57</v>
      </c>
      <c r="R203" s="20" t="n">
        <v>-116</v>
      </c>
      <c r="S203" s="20" t="n">
        <v>51</v>
      </c>
      <c r="T203" s="20" t="n">
        <v>-710</v>
      </c>
      <c r="U203" s="20" t="n">
        <v>-992</v>
      </c>
      <c r="V203" s="20" t="n">
        <v>-11</v>
      </c>
      <c r="W203" s="20" t="n">
        <v>177</v>
      </c>
      <c r="X203" s="20" t="n">
        <v>423</v>
      </c>
    </row>
    <row r="204">
      <c r="A204" s="18" t="inlineStr">
        <is>
          <t>매입채무 증감</t>
        </is>
      </c>
      <c r="D204" s="20" t="n">
        <v>-203</v>
      </c>
      <c r="H204" s="20" t="n">
        <v>27</v>
      </c>
      <c r="L204" s="20" t="n">
        <v>-322</v>
      </c>
      <c r="O204" s="20" t="n">
        <v>75</v>
      </c>
      <c r="P204" s="20" t="n">
        <v>828</v>
      </c>
      <c r="Q204" s="20" t="n">
        <v>-26</v>
      </c>
      <c r="R204" s="20" t="n">
        <v>-324</v>
      </c>
      <c r="S204" s="20" t="n">
        <v>127</v>
      </c>
      <c r="T204" s="20" t="n">
        <v>1090</v>
      </c>
      <c r="U204" s="20" t="n">
        <v>-381</v>
      </c>
      <c r="V204" s="20" t="n">
        <v>-203</v>
      </c>
      <c r="W204" s="20" t="n">
        <v>27</v>
      </c>
      <c r="X204" s="20" t="n">
        <v>-322</v>
      </c>
    </row>
    <row r="205">
      <c r="A205" s="18" t="inlineStr">
        <is>
          <t>기타</t>
        </is>
      </c>
      <c r="D205" s="20" t="n">
        <v>-454</v>
      </c>
      <c r="H205" s="20" t="n">
        <v>-193</v>
      </c>
      <c r="L205" s="20" t="n">
        <v>126</v>
      </c>
      <c r="O205" s="20" t="n">
        <v>258</v>
      </c>
      <c r="P205" s="20" t="n">
        <v>-328</v>
      </c>
      <c r="Q205" s="20" t="n">
        <v>-77</v>
      </c>
      <c r="R205" s="20" t="n">
        <v>449</v>
      </c>
      <c r="S205" s="20" t="n">
        <v>-156</v>
      </c>
      <c r="T205" s="20" t="n">
        <v>14</v>
      </c>
      <c r="U205" s="20" t="n">
        <v>222</v>
      </c>
      <c r="V205" s="20" t="n">
        <v>-454</v>
      </c>
      <c r="W205" s="20" t="n">
        <v>-193</v>
      </c>
      <c r="X205" s="20" t="n">
        <v>126</v>
      </c>
    </row>
    <row r="206">
      <c r="A206" s="18" t="inlineStr">
        <is>
          <t>소계</t>
        </is>
      </c>
      <c r="D206" s="20" t="n">
        <v>3701</v>
      </c>
      <c r="H206" s="20" t="n">
        <v>4643</v>
      </c>
      <c r="L206" s="20" t="n">
        <v>4877</v>
      </c>
      <c r="O206" s="20" t="n">
        <v>4248</v>
      </c>
      <c r="P206" s="20" t="n">
        <v>2555</v>
      </c>
      <c r="Q206" s="20" t="n">
        <v>2685</v>
      </c>
      <c r="R206" s="20" t="n">
        <v>4405</v>
      </c>
      <c r="S206" s="20" t="n">
        <v>3830</v>
      </c>
      <c r="T206" s="20" t="n">
        <v>2992</v>
      </c>
      <c r="U206" s="20" t="n">
        <v>1661</v>
      </c>
      <c r="V206" s="20" t="n">
        <v>3701</v>
      </c>
      <c r="W206" s="20" t="n">
        <v>4643</v>
      </c>
      <c r="X206" s="20" t="n">
        <v>4877</v>
      </c>
    </row>
    <row r="207">
      <c r="A207" s="18" t="inlineStr">
        <is>
          <t>이자·배당금 수취</t>
        </is>
      </c>
      <c r="D207" s="20" t="n">
        <v>259</v>
      </c>
      <c r="H207" s="20" t="n">
        <v>325</v>
      </c>
      <c r="L207" s="20" t="n">
        <v>394</v>
      </c>
      <c r="O207" s="20" t="n">
        <v>162</v>
      </c>
      <c r="P207" s="20" t="n">
        <v>174</v>
      </c>
      <c r="Q207" s="20" t="n">
        <v>188</v>
      </c>
      <c r="R207" s="20" t="n">
        <v>196</v>
      </c>
      <c r="S207" s="20" t="n">
        <v>187</v>
      </c>
      <c r="T207" s="20" t="n">
        <v>182</v>
      </c>
      <c r="U207" s="20" t="n">
        <v>210</v>
      </c>
      <c r="V207" s="20" t="n">
        <v>259</v>
      </c>
      <c r="W207" s="20" t="n">
        <v>325</v>
      </c>
      <c r="X207" s="20" t="n">
        <v>394</v>
      </c>
    </row>
    <row r="208">
      <c r="A208" s="18" t="inlineStr">
        <is>
          <t>이자 지급</t>
        </is>
      </c>
      <c r="D208" s="20" t="n">
        <v>-13</v>
      </c>
      <c r="H208" s="20" t="n">
        <v>-14</v>
      </c>
      <c r="L208" s="20" t="n">
        <v>-14</v>
      </c>
      <c r="O208" s="20" t="n">
        <v>-16</v>
      </c>
      <c r="P208" s="20" t="n">
        <v>-7</v>
      </c>
      <c r="Q208" s="20" t="n">
        <v>-4</v>
      </c>
      <c r="R208" s="20" t="n">
        <v>-2</v>
      </c>
      <c r="S208" s="20" t="n">
        <v>-0</v>
      </c>
      <c r="T208" s="20" t="n">
        <v>-11</v>
      </c>
      <c r="U208" s="20" t="n">
        <v>-12</v>
      </c>
      <c r="V208" s="20" t="n">
        <v>-13</v>
      </c>
      <c r="W208" s="20" t="n">
        <v>-14</v>
      </c>
      <c r="X208" s="20" t="n">
        <v>-14</v>
      </c>
    </row>
    <row r="209">
      <c r="A209" s="18" t="inlineStr">
        <is>
          <t>화해금 수취액</t>
        </is>
      </c>
      <c r="O209" s="20" t="n">
        <v>128</v>
      </c>
      <c r="P209" s="20" t="n">
        <v>0</v>
      </c>
    </row>
    <row r="210">
      <c r="A210" s="18" t="inlineStr">
        <is>
          <t>법인세 납부</t>
        </is>
      </c>
      <c r="D210" s="20" t="n">
        <v>-308</v>
      </c>
      <c r="H210" s="20" t="n">
        <v>-623</v>
      </c>
      <c r="L210" s="20" t="n">
        <v>-674</v>
      </c>
      <c r="O210" s="20" t="n">
        <v>-363</v>
      </c>
      <c r="P210" s="20" t="n">
        <v>-949</v>
      </c>
      <c r="Q210" s="20" t="n">
        <v>-641</v>
      </c>
      <c r="R210" s="20" t="n">
        <v>-263</v>
      </c>
      <c r="S210" s="20" t="n">
        <v>-449</v>
      </c>
      <c r="T210" s="20" t="n">
        <v>-715</v>
      </c>
      <c r="U210" s="20" t="n">
        <v>-658</v>
      </c>
      <c r="V210" s="20" t="n">
        <v>-308</v>
      </c>
      <c r="W210" s="20" t="n">
        <v>-623</v>
      </c>
      <c r="X210" s="20" t="n">
        <v>-674</v>
      </c>
    </row>
    <row r="211">
      <c r="A211" s="9" t="inlineStr">
        <is>
          <t>영업활동 현금흐름</t>
        </is>
      </c>
      <c r="D211" s="12" t="n">
        <v>3638</v>
      </c>
      <c r="H211" s="12" t="n">
        <v>4330</v>
      </c>
      <c r="L211" s="12" t="n">
        <v>4582</v>
      </c>
      <c r="O211" s="12" t="n">
        <v>4158</v>
      </c>
      <c r="P211" s="12" t="n">
        <v>1773</v>
      </c>
      <c r="Q211" s="12" t="n">
        <v>2227</v>
      </c>
      <c r="R211" s="12" t="n">
        <v>4336</v>
      </c>
      <c r="S211" s="12" t="n">
        <v>3567</v>
      </c>
      <c r="T211" s="12" t="n">
        <v>2447</v>
      </c>
      <c r="U211" s="12" t="n">
        <v>1200</v>
      </c>
      <c r="V211" s="12" t="n">
        <v>3638</v>
      </c>
      <c r="W211" s="12" t="n">
        <v>4330</v>
      </c>
      <c r="X211" s="12" t="n">
        <v>4582</v>
      </c>
    </row>
    <row r="212">
      <c r="A212" s="18" t="inlineStr">
        <is>
          <t>정기예금 증감</t>
        </is>
      </c>
      <c r="D212" s="20" t="n">
        <v>0</v>
      </c>
      <c r="H212" s="20" t="n">
        <v>107</v>
      </c>
      <c r="L212" s="20" t="n">
        <v>500</v>
      </c>
      <c r="O212" s="20" t="n">
        <v>-2100</v>
      </c>
      <c r="P212" s="20" t="n">
        <v>-1900</v>
      </c>
      <c r="Q212" s="20" t="n">
        <v>3500</v>
      </c>
      <c r="R212" s="20" t="n">
        <v>200</v>
      </c>
      <c r="S212" s="20" t="n">
        <v>0</v>
      </c>
      <c r="T212" s="20" t="n">
        <v>0</v>
      </c>
      <c r="U212" s="20" t="n">
        <v>-99</v>
      </c>
      <c r="V212" s="20" t="n">
        <v>0</v>
      </c>
      <c r="W212" s="20" t="n">
        <v>107</v>
      </c>
      <c r="X212" s="20" t="n">
        <v>500</v>
      </c>
    </row>
    <row r="213">
      <c r="A213" s="18" t="inlineStr">
        <is>
          <t>유가증권 취득</t>
        </is>
      </c>
      <c r="D213" s="20" t="n">
        <v>-469</v>
      </c>
      <c r="H213" s="20" t="n">
        <v>-700</v>
      </c>
      <c r="L213" s="20" t="n">
        <v>0</v>
      </c>
      <c r="O213" s="20" t="n">
        <v>-599</v>
      </c>
      <c r="P213" s="20" t="n">
        <v>-1000</v>
      </c>
      <c r="Q213" s="20" t="n">
        <v>-1299</v>
      </c>
      <c r="R213" s="20" t="n">
        <v>-1299</v>
      </c>
      <c r="S213" s="20" t="n">
        <v>-2100</v>
      </c>
      <c r="T213" s="20" t="n">
        <v>-1601</v>
      </c>
      <c r="U213" s="20" t="n">
        <v>-1200</v>
      </c>
      <c r="V213" s="20" t="n">
        <v>-469</v>
      </c>
      <c r="W213" s="20" t="n">
        <v>-700</v>
      </c>
      <c r="X213" s="20" t="n">
        <v>0</v>
      </c>
    </row>
    <row r="214">
      <c r="A214" s="18" t="inlineStr">
        <is>
          <t>유가증권 상환 수입</t>
        </is>
      </c>
      <c r="D214" s="20" t="n">
        <v>1369</v>
      </c>
      <c r="O214" s="20" t="n">
        <v>500</v>
      </c>
      <c r="P214" s="20" t="n">
        <v>1800</v>
      </c>
      <c r="Q214" s="20" t="n">
        <v>1200</v>
      </c>
      <c r="R214" s="20" t="n">
        <v>2400</v>
      </c>
      <c r="S214" s="20" t="n">
        <v>2100</v>
      </c>
      <c r="T214" s="20" t="n">
        <v>2800</v>
      </c>
      <c r="U214" s="20" t="n">
        <v>1700</v>
      </c>
      <c r="V214" s="20" t="n">
        <v>1369</v>
      </c>
    </row>
    <row r="215">
      <c r="A215" s="18" t="inlineStr">
        <is>
          <t>유가증권 매각·상환 수입</t>
        </is>
      </c>
      <c r="D215" s="20" t="n">
        <v>1369</v>
      </c>
      <c r="H215" s="20" t="n">
        <v>717</v>
      </c>
      <c r="L215" s="20" t="n">
        <v>1400</v>
      </c>
      <c r="V215" s="20" t="n">
        <v>1369</v>
      </c>
      <c r="W215" s="20" t="n">
        <v>717</v>
      </c>
      <c r="X215" s="20" t="n">
        <v>1400</v>
      </c>
    </row>
    <row r="216">
      <c r="A216" s="18" t="inlineStr">
        <is>
          <t>유형자산 취득(설비투자)</t>
        </is>
      </c>
      <c r="D216" s="20" t="n">
        <v>-1817</v>
      </c>
      <c r="H216" s="20" t="n">
        <v>-2951</v>
      </c>
      <c r="L216" s="20" t="n">
        <v>-5173</v>
      </c>
      <c r="O216" s="20" t="n">
        <v>-1382</v>
      </c>
      <c r="P216" s="20" t="n">
        <v>-1993</v>
      </c>
      <c r="Q216" s="20" t="n">
        <v>-2566</v>
      </c>
      <c r="R216" s="20" t="n">
        <v>-1490</v>
      </c>
      <c r="S216" s="20" t="n">
        <v>-1277</v>
      </c>
      <c r="T216" s="20" t="n">
        <v>-1163</v>
      </c>
      <c r="U216" s="20" t="n">
        <v>-1733</v>
      </c>
      <c r="V216" s="20" t="n">
        <v>-1817</v>
      </c>
      <c r="W216" s="20" t="n">
        <v>-2951</v>
      </c>
      <c r="X216" s="20" t="n">
        <v>-5173</v>
      </c>
    </row>
    <row r="217">
      <c r="A217" s="18" t="inlineStr">
        <is>
          <t>투자유가증권 취득</t>
        </is>
      </c>
      <c r="D217" s="20" t="n">
        <v>-1904</v>
      </c>
      <c r="H217" s="20" t="n">
        <v>-1806</v>
      </c>
      <c r="L217" s="20" t="n">
        <v>-698</v>
      </c>
      <c r="O217" s="20" t="n">
        <v>-2404</v>
      </c>
      <c r="P217" s="20" t="n">
        <v>-1409</v>
      </c>
      <c r="Q217" s="20" t="n">
        <v>-905</v>
      </c>
      <c r="R217" s="20" t="n">
        <v>-1103</v>
      </c>
      <c r="S217" s="20" t="n">
        <v>-0</v>
      </c>
      <c r="T217" s="20" t="n">
        <v>-2613</v>
      </c>
      <c r="U217" s="20" t="n">
        <v>-2002</v>
      </c>
      <c r="V217" s="20" t="n">
        <v>-1904</v>
      </c>
      <c r="W217" s="20" t="n">
        <v>-1806</v>
      </c>
      <c r="X217" s="20" t="n">
        <v>-698</v>
      </c>
    </row>
    <row r="218">
      <c r="A218" s="18" t="inlineStr">
        <is>
          <t>투자유가증권 매각·상환 수입</t>
        </is>
      </c>
      <c r="D218" s="20" t="n">
        <v>750</v>
      </c>
      <c r="H218" s="20" t="n">
        <v>1844</v>
      </c>
      <c r="L218" s="20" t="n">
        <v>1300</v>
      </c>
      <c r="O218" s="20" t="n">
        <v>704</v>
      </c>
      <c r="P218" s="20" t="n">
        <v>551</v>
      </c>
      <c r="Q218" s="20" t="n">
        <v>801</v>
      </c>
      <c r="R218" s="20" t="n">
        <v>582</v>
      </c>
      <c r="S218" s="20" t="n">
        <v>500</v>
      </c>
      <c r="T218" s="20" t="n">
        <v>1652</v>
      </c>
      <c r="U218" s="20" t="n">
        <v>900</v>
      </c>
      <c r="V218" s="20" t="n">
        <v>750</v>
      </c>
      <c r="W218" s="20" t="n">
        <v>1844</v>
      </c>
      <c r="X218" s="20" t="n">
        <v>1300</v>
      </c>
    </row>
    <row r="219">
      <c r="A219" s="18" t="inlineStr">
        <is>
          <t>사업양수 지출</t>
        </is>
      </c>
      <c r="P219" s="20" t="n">
        <v>0</v>
      </c>
      <c r="Q219" s="20" t="n">
        <v>-987</v>
      </c>
      <c r="R219" s="20" t="n">
        <v>0</v>
      </c>
    </row>
    <row r="220">
      <c r="A220" s="18" t="inlineStr">
        <is>
          <t>기타</t>
        </is>
      </c>
      <c r="D220" s="20" t="n">
        <v>-91</v>
      </c>
      <c r="H220" s="20" t="n">
        <v>-17</v>
      </c>
      <c r="L220" s="20" t="n">
        <v>-89</v>
      </c>
      <c r="O220" s="20" t="n">
        <v>-19</v>
      </c>
      <c r="P220" s="20" t="n">
        <v>-7</v>
      </c>
      <c r="Q220" s="20" t="n">
        <v>3</v>
      </c>
      <c r="R220" s="20" t="n">
        <v>-36</v>
      </c>
      <c r="S220" s="20" t="n">
        <v>-27</v>
      </c>
      <c r="T220" s="20" t="n">
        <v>-18</v>
      </c>
      <c r="U220" s="20" t="n">
        <v>-29</v>
      </c>
      <c r="V220" s="20" t="n">
        <v>-91</v>
      </c>
      <c r="W220" s="20" t="n">
        <v>-17</v>
      </c>
      <c r="X220" s="20" t="n">
        <v>-89</v>
      </c>
    </row>
    <row r="221">
      <c r="A221" s="9" t="inlineStr">
        <is>
          <t>투자활동 현금흐름</t>
        </is>
      </c>
      <c r="D221" s="12" t="n">
        <v>-2162</v>
      </c>
      <c r="H221" s="12" t="n">
        <v>-2806</v>
      </c>
      <c r="L221" s="12" t="n">
        <v>-2760</v>
      </c>
      <c r="O221" s="12" t="n">
        <v>-5300</v>
      </c>
      <c r="P221" s="12" t="n">
        <v>-3959</v>
      </c>
      <c r="Q221" s="12" t="n">
        <v>-254</v>
      </c>
      <c r="R221" s="12" t="n">
        <v>-748</v>
      </c>
      <c r="S221" s="12" t="n">
        <v>-806</v>
      </c>
      <c r="T221" s="12" t="n">
        <v>-942</v>
      </c>
      <c r="U221" s="12" t="n">
        <v>-2465</v>
      </c>
      <c r="V221" s="12" t="n">
        <v>-2162</v>
      </c>
      <c r="W221" s="12" t="n">
        <v>-2806</v>
      </c>
      <c r="X221" s="12" t="n">
        <v>-2760</v>
      </c>
    </row>
    <row r="222">
      <c r="A222" s="18" t="inlineStr">
        <is>
          <t>장기차입금 상환</t>
        </is>
      </c>
      <c r="O222" s="20" t="n">
        <v>-784</v>
      </c>
      <c r="P222" s="20" t="n">
        <v>-654</v>
      </c>
      <c r="Q222" s="20" t="n">
        <v>-600</v>
      </c>
      <c r="R222" s="20" t="n">
        <v>-600</v>
      </c>
      <c r="S222" s="20" t="n">
        <v>-450</v>
      </c>
      <c r="T222" s="20" t="n">
        <v>0</v>
      </c>
    </row>
    <row r="223">
      <c r="A223" s="18" t="inlineStr">
        <is>
          <t>비지배주주 납입</t>
        </is>
      </c>
      <c r="D223" s="20" t="n">
        <v>0</v>
      </c>
      <c r="O223" s="20" t="n">
        <v>0</v>
      </c>
      <c r="P223" s="20" t="n">
        <v>24</v>
      </c>
      <c r="Q223" s="20" t="n">
        <v>84</v>
      </c>
      <c r="R223" s="20" t="n">
        <v>0</v>
      </c>
      <c r="T223" s="20" t="n">
        <v>0</v>
      </c>
      <c r="U223" s="20" t="n">
        <v>21</v>
      </c>
      <c r="V223" s="20" t="n">
        <v>0</v>
      </c>
    </row>
    <row r="224">
      <c r="A224" s="18" t="inlineStr">
        <is>
          <t>자기주식 순증감액(△는 증가)</t>
        </is>
      </c>
      <c r="D224" s="20" t="n">
        <v>-2</v>
      </c>
      <c r="H224" s="20" t="n">
        <v>-2</v>
      </c>
      <c r="L224" s="20" t="n">
        <v>-2</v>
      </c>
      <c r="O224" s="20" t="n">
        <v>-438</v>
      </c>
      <c r="P224" s="20" t="n">
        <v>-42</v>
      </c>
      <c r="Q224" s="20" t="n">
        <v>-10</v>
      </c>
      <c r="R224" s="20" t="n">
        <v>-501</v>
      </c>
      <c r="S224" s="20" t="n">
        <v>-251</v>
      </c>
      <c r="T224" s="20" t="n">
        <v>-1</v>
      </c>
      <c r="U224" s="20" t="n">
        <v>-1</v>
      </c>
      <c r="V224" s="20" t="n">
        <v>-2</v>
      </c>
      <c r="W224" s="20" t="n">
        <v>-2</v>
      </c>
      <c r="X224" s="20" t="n">
        <v>-2</v>
      </c>
    </row>
    <row r="225">
      <c r="A225" s="18" t="inlineStr">
        <is>
          <t>배당금 지급</t>
        </is>
      </c>
      <c r="D225" s="20" t="n">
        <v>-596</v>
      </c>
      <c r="H225" s="20" t="n">
        <v>-694</v>
      </c>
      <c r="L225" s="20" t="n">
        <v>-661</v>
      </c>
      <c r="O225" s="20" t="n">
        <v>-488</v>
      </c>
      <c r="P225" s="20" t="n">
        <v>-553</v>
      </c>
      <c r="Q225" s="20" t="n">
        <v>-552</v>
      </c>
      <c r="R225" s="20" t="n">
        <v>-553</v>
      </c>
      <c r="S225" s="20" t="n">
        <v>-532</v>
      </c>
      <c r="T225" s="20" t="n">
        <v>-594</v>
      </c>
      <c r="U225" s="20" t="n">
        <v>-561</v>
      </c>
      <c r="V225" s="20" t="n">
        <v>-596</v>
      </c>
      <c r="W225" s="20" t="n">
        <v>-694</v>
      </c>
      <c r="X225" s="20" t="n">
        <v>-661</v>
      </c>
    </row>
    <row r="226">
      <c r="A226" s="18" t="inlineStr">
        <is>
          <t>비지배주주 배당금 지급</t>
        </is>
      </c>
      <c r="D226" s="20" t="n">
        <v>-90</v>
      </c>
      <c r="H226" s="20" t="n">
        <v>-96</v>
      </c>
      <c r="L226" s="20" t="n">
        <v>-98</v>
      </c>
      <c r="O226" s="20" t="n">
        <v>-71</v>
      </c>
      <c r="P226" s="20" t="n">
        <v>-72</v>
      </c>
      <c r="Q226" s="20" t="n">
        <v>-78</v>
      </c>
      <c r="R226" s="20" t="n">
        <v>-80</v>
      </c>
      <c r="S226" s="20" t="n">
        <v>-76</v>
      </c>
      <c r="T226" s="20" t="n">
        <v>-79</v>
      </c>
      <c r="U226" s="20" t="n">
        <v>-87</v>
      </c>
      <c r="V226" s="20" t="n">
        <v>-90</v>
      </c>
      <c r="W226" s="20" t="n">
        <v>-96</v>
      </c>
      <c r="X226" s="20" t="n">
        <v>-98</v>
      </c>
    </row>
    <row r="227">
      <c r="A227" s="18" t="inlineStr">
        <is>
          <t>기타</t>
        </is>
      </c>
      <c r="S227" s="20" t="n">
        <v>0</v>
      </c>
      <c r="T227" s="20" t="n">
        <v>-70</v>
      </c>
      <c r="U227" s="20" t="n">
        <v>-58</v>
      </c>
    </row>
    <row r="228">
      <c r="A228" s="18" t="inlineStr">
        <is>
          <t>리스부채 상환</t>
        </is>
      </c>
      <c r="D228" s="20" t="n">
        <v>-85</v>
      </c>
      <c r="H228" s="20" t="n">
        <v>-83</v>
      </c>
      <c r="L228" s="20" t="n">
        <v>-63</v>
      </c>
      <c r="U228" s="20" t="n">
        <v>-58</v>
      </c>
      <c r="V228" s="20" t="n">
        <v>-85</v>
      </c>
      <c r="W228" s="20" t="n">
        <v>-83</v>
      </c>
      <c r="X228" s="20" t="n">
        <v>-63</v>
      </c>
    </row>
    <row r="229">
      <c r="A229" s="9" t="inlineStr">
        <is>
          <t>재무활동 현금흐름</t>
        </is>
      </c>
      <c r="D229" s="12" t="n">
        <v>-774</v>
      </c>
      <c r="H229" s="12" t="n">
        <v>-875</v>
      </c>
      <c r="L229" s="12" t="n">
        <v>-825</v>
      </c>
      <c r="O229" s="12" t="n">
        <v>-1782</v>
      </c>
      <c r="P229" s="12" t="n">
        <v>-1300</v>
      </c>
      <c r="Q229" s="12" t="n">
        <v>-1157</v>
      </c>
      <c r="R229" s="12" t="n">
        <v>-1735</v>
      </c>
      <c r="S229" s="12" t="n">
        <v>-1310</v>
      </c>
      <c r="T229" s="12" t="n">
        <v>-746</v>
      </c>
      <c r="U229" s="12" t="n">
        <v>-687</v>
      </c>
      <c r="V229" s="12" t="n">
        <v>-774</v>
      </c>
      <c r="W229" s="12" t="n">
        <v>-875</v>
      </c>
      <c r="X229" s="12" t="n">
        <v>-825</v>
      </c>
    </row>
    <row r="230">
      <c r="A230" s="18" t="inlineStr">
        <is>
          <t>현금성자산 환산차이</t>
        </is>
      </c>
      <c r="D230" s="20" t="n">
        <v>159</v>
      </c>
      <c r="H230" s="20" t="n">
        <v>274</v>
      </c>
      <c r="L230" s="20" t="n">
        <v>148</v>
      </c>
      <c r="O230" s="20" t="n">
        <v>-74</v>
      </c>
      <c r="P230" s="20" t="n">
        <v>21</v>
      </c>
      <c r="Q230" s="20" t="n">
        <v>-33</v>
      </c>
      <c r="R230" s="20" t="n">
        <v>71</v>
      </c>
      <c r="S230" s="20" t="n">
        <v>-111</v>
      </c>
      <c r="T230" s="20" t="n">
        <v>-5</v>
      </c>
      <c r="U230" s="20" t="n">
        <v>124</v>
      </c>
      <c r="V230" s="20" t="n">
        <v>159</v>
      </c>
      <c r="W230" s="20" t="n">
        <v>274</v>
      </c>
      <c r="X230" s="20" t="n">
        <v>148</v>
      </c>
    </row>
    <row r="231">
      <c r="A231" s="18" t="inlineStr">
        <is>
          <t>현금성자산 증감</t>
        </is>
      </c>
      <c r="D231" s="20" t="n">
        <v>860</v>
      </c>
      <c r="H231" s="20" t="n">
        <v>923</v>
      </c>
      <c r="L231" s="20" t="n">
        <v>1144</v>
      </c>
      <c r="O231" s="20" t="n">
        <v>-2999</v>
      </c>
      <c r="P231" s="20" t="n">
        <v>-3464</v>
      </c>
      <c r="Q231" s="20" t="n">
        <v>781</v>
      </c>
      <c r="R231" s="20" t="n">
        <v>1924</v>
      </c>
      <c r="S231" s="20" t="n">
        <v>1340</v>
      </c>
      <c r="T231" s="20" t="n">
        <v>753</v>
      </c>
      <c r="U231" s="20" t="n">
        <v>-1826</v>
      </c>
      <c r="V231" s="20" t="n">
        <v>860</v>
      </c>
      <c r="W231" s="20" t="n">
        <v>923</v>
      </c>
      <c r="X231" s="20" t="n">
        <v>1144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4229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24721</v>
      </c>
      <c r="D5" s="12" t="n">
        <v>24898</v>
      </c>
      <c r="E5" s="12" t="n">
        <v>25359</v>
      </c>
      <c r="F5" s="12" t="n">
        <v>26184</v>
      </c>
      <c r="G5" s="12" t="n">
        <v>27433</v>
      </c>
      <c r="H5" s="11" t="n">
        <v>24338</v>
      </c>
      <c r="I5" s="12" t="n">
        <v>23977</v>
      </c>
      <c r="J5" s="12" t="n">
        <v>24346</v>
      </c>
      <c r="K5" s="12" t="n">
        <v>25285</v>
      </c>
      <c r="L5" s="12" t="n">
        <v>25359</v>
      </c>
    </row>
    <row r="6">
      <c r="A6" s="18" t="inlineStr">
        <is>
          <t>현금및현금성자산</t>
        </is>
      </c>
      <c r="B6" s="10" t="n"/>
      <c r="C6" s="19" t="n">
        <v>9181</v>
      </c>
      <c r="D6" s="20" t="n">
        <v>9037</v>
      </c>
      <c r="E6" s="20" t="n">
        <v>10196</v>
      </c>
      <c r="F6" s="20" t="n">
        <v>10706</v>
      </c>
      <c r="G6" s="20" t="n">
        <v>10789</v>
      </c>
      <c r="H6" s="19" t="n">
        <v>6994</v>
      </c>
      <c r="I6" s="20" t="n">
        <v>7760</v>
      </c>
      <c r="J6" s="20" t="n">
        <v>8634</v>
      </c>
      <c r="K6" s="20" t="n">
        <v>9251</v>
      </c>
      <c r="L6" s="20" t="n">
        <v>10196</v>
      </c>
    </row>
    <row r="7">
      <c r="A7" s="18" t="inlineStr">
        <is>
          <t>단기금융상품</t>
        </is>
      </c>
      <c r="B7" s="10" t="n"/>
      <c r="C7" s="19" t="n">
        <v>1595</v>
      </c>
      <c r="D7" s="20" t="n">
        <v>1692</v>
      </c>
      <c r="E7" s="20" t="n">
        <v>1492</v>
      </c>
      <c r="F7" s="20" t="n">
        <v>1096</v>
      </c>
      <c r="G7" s="20" t="n">
        <v>1292</v>
      </c>
      <c r="H7" s="19" t="n">
        <v>3700</v>
      </c>
      <c r="I7" s="20" t="n">
        <v>1500</v>
      </c>
      <c r="J7" s="20" t="n">
        <v>917</v>
      </c>
      <c r="K7" s="20" t="n">
        <v>1698</v>
      </c>
      <c r="L7" s="20" t="n">
        <v>1492</v>
      </c>
    </row>
    <row r="8">
      <c r="A8" s="18" t="inlineStr">
        <is>
          <t>매출채권</t>
        </is>
      </c>
      <c r="B8" s="10" t="n"/>
      <c r="C8" s="19" t="n">
        <v>7010</v>
      </c>
      <c r="D8" s="20" t="n">
        <v>7270</v>
      </c>
      <c r="E8" s="20" t="n">
        <v>6841</v>
      </c>
      <c r="F8" s="20" t="n">
        <v>7286</v>
      </c>
      <c r="G8" s="20" t="n">
        <v>7580</v>
      </c>
      <c r="H8" s="19" t="n">
        <v>7746</v>
      </c>
      <c r="I8" s="20" t="n">
        <v>7580</v>
      </c>
      <c r="J8" s="20" t="n">
        <v>7367</v>
      </c>
      <c r="K8" s="20" t="n">
        <v>7091</v>
      </c>
      <c r="L8" s="20" t="n">
        <v>6841</v>
      </c>
    </row>
    <row r="9">
      <c r="A9" s="18" t="inlineStr">
        <is>
          <t>재고자산</t>
        </is>
      </c>
      <c r="B9" s="10" t="n"/>
      <c r="C9" s="19" t="n">
        <v>5477</v>
      </c>
      <c r="D9" s="20" t="n">
        <v>5332</v>
      </c>
      <c r="E9" s="20" t="n">
        <v>5356</v>
      </c>
      <c r="F9" s="20" t="n">
        <v>5619</v>
      </c>
      <c r="G9" s="20" t="n">
        <v>5936</v>
      </c>
      <c r="H9" s="19" t="n">
        <v>4722</v>
      </c>
      <c r="I9" s="20" t="n">
        <v>5787</v>
      </c>
      <c r="J9" s="20" t="n">
        <v>5862</v>
      </c>
      <c r="K9" s="20" t="n">
        <v>5755</v>
      </c>
      <c r="L9" s="20" t="n">
        <v>5356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39393</v>
      </c>
      <c r="D11" s="12" t="n">
        <v>40292</v>
      </c>
      <c r="E11" s="12" t="n">
        <v>42653</v>
      </c>
      <c r="F11" s="12" t="n">
        <v>46385</v>
      </c>
      <c r="G11" s="12" t="n">
        <v>45633</v>
      </c>
      <c r="H11" s="11" t="n">
        <v>30341</v>
      </c>
      <c r="I11" s="12" t="n">
        <v>30623</v>
      </c>
      <c r="J11" s="12" t="n">
        <v>36664</v>
      </c>
      <c r="K11" s="12" t="n">
        <v>37732</v>
      </c>
      <c r="L11" s="12" t="n">
        <v>42653</v>
      </c>
    </row>
    <row r="12">
      <c r="A12" s="18" t="inlineStr">
        <is>
          <t>유형자산</t>
        </is>
      </c>
      <c r="B12" s="10" t="n"/>
      <c r="C12" s="19" t="n">
        <v>23555</v>
      </c>
      <c r="D12" s="20" t="n">
        <v>23915</v>
      </c>
      <c r="E12" s="20" t="n">
        <v>24120</v>
      </c>
      <c r="F12" s="20" t="n">
        <v>23860</v>
      </c>
      <c r="G12" s="20" t="n">
        <v>23769</v>
      </c>
      <c r="H12" s="19" t="n">
        <v>19164</v>
      </c>
      <c r="I12" s="20" t="n">
        <v>19004</v>
      </c>
      <c r="J12" s="20" t="n">
        <v>20436</v>
      </c>
      <c r="K12" s="20" t="n">
        <v>22494</v>
      </c>
      <c r="L12" s="20" t="n">
        <v>24120</v>
      </c>
    </row>
    <row r="13">
      <c r="A13" s="18" t="inlineStr">
        <is>
          <t>무형자산</t>
        </is>
      </c>
      <c r="B13" s="10" t="n"/>
      <c r="C13" s="19" t="n">
        <v>194</v>
      </c>
      <c r="D13" s="20" t="n">
        <v>188</v>
      </c>
      <c r="E13" s="20" t="n">
        <v>204</v>
      </c>
      <c r="F13" s="20" t="n">
        <v>268</v>
      </c>
      <c r="G13" s="20" t="n">
        <v>287</v>
      </c>
      <c r="H13" s="19" t="n">
        <v>259</v>
      </c>
      <c r="I13" s="20" t="n">
        <v>118</v>
      </c>
      <c r="J13" s="20" t="n">
        <v>140</v>
      </c>
      <c r="K13" s="20" t="n">
        <v>153</v>
      </c>
      <c r="L13" s="20" t="n">
        <v>204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64115</v>
      </c>
      <c r="D16" s="12" t="n">
        <v>65191</v>
      </c>
      <c r="E16" s="12" t="n">
        <v>68012</v>
      </c>
      <c r="F16" s="12" t="n">
        <v>72570</v>
      </c>
      <c r="G16" s="12" t="n">
        <v>73067</v>
      </c>
      <c r="H16" s="11" t="n">
        <v>54680</v>
      </c>
      <c r="I16" s="12" t="n">
        <v>54600</v>
      </c>
      <c r="J16" s="12" t="n">
        <v>61010</v>
      </c>
      <c r="K16" s="12" t="n">
        <v>63018</v>
      </c>
      <c r="L16" s="12" t="n">
        <v>68012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7085</v>
      </c>
      <c r="D18" s="12" t="n">
        <v>6287</v>
      </c>
      <c r="E18" s="12" t="n">
        <v>6657</v>
      </c>
      <c r="F18" s="12" t="n">
        <v>7172</v>
      </c>
      <c r="G18" s="12" t="n">
        <v>7696</v>
      </c>
      <c r="H18" s="11" t="n">
        <v>7499</v>
      </c>
      <c r="I18" s="12" t="n">
        <v>6554</v>
      </c>
      <c r="J18" s="12" t="n">
        <v>7914</v>
      </c>
      <c r="K18" s="12" t="n">
        <v>8438</v>
      </c>
      <c r="L18" s="12" t="n">
        <v>6657</v>
      </c>
    </row>
    <row r="19">
      <c r="A19" s="18" t="inlineStr">
        <is>
          <t>매입채무</t>
        </is>
      </c>
      <c r="B19" s="10" t="n"/>
      <c r="C19" s="19" t="n">
        <v>4148</v>
      </c>
      <c r="D19" s="20" t="n">
        <v>4035</v>
      </c>
      <c r="E19" s="20" t="n">
        <v>4077</v>
      </c>
      <c r="F19" s="20" t="n">
        <v>4851</v>
      </c>
      <c r="G19" s="20" t="n">
        <v>5099</v>
      </c>
      <c r="H19" s="19" t="n">
        <v>4811</v>
      </c>
      <c r="I19" s="20" t="n">
        <v>4470</v>
      </c>
      <c r="J19" s="20" t="n">
        <v>4306</v>
      </c>
      <c r="K19" s="20" t="n">
        <v>4385</v>
      </c>
      <c r="L19" s="20" t="n">
        <v>4077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3511</v>
      </c>
      <c r="D23" s="12" t="n">
        <v>3942</v>
      </c>
      <c r="E23" s="12" t="n">
        <v>4502</v>
      </c>
      <c r="F23" s="12" t="n">
        <v>6020</v>
      </c>
      <c r="G23" s="12" t="n">
        <v>5664</v>
      </c>
      <c r="H23" s="11" t="n">
        <v>2280</v>
      </c>
      <c r="I23" s="12" t="n">
        <v>1938</v>
      </c>
      <c r="J23" s="12" t="n">
        <v>2814</v>
      </c>
      <c r="K23" s="12" t="n">
        <v>2848</v>
      </c>
      <c r="L23" s="12" t="n">
        <v>4502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10596</v>
      </c>
      <c r="D27" s="12" t="n">
        <v>10230</v>
      </c>
      <c r="E27" s="12" t="n">
        <v>11159</v>
      </c>
      <c r="F27" s="12" t="n">
        <v>13192</v>
      </c>
      <c r="G27" s="12" t="n">
        <v>13361</v>
      </c>
      <c r="H27" s="11" t="n">
        <v>9780</v>
      </c>
      <c r="I27" s="12" t="n">
        <v>8493</v>
      </c>
      <c r="J27" s="12" t="n">
        <v>10729</v>
      </c>
      <c r="K27" s="12" t="n">
        <v>11287</v>
      </c>
      <c r="L27" s="12" t="n">
        <v>11159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51621</v>
      </c>
      <c r="D31" s="12" t="n">
        <v>52937</v>
      </c>
      <c r="E31" s="12" t="n">
        <v>54647</v>
      </c>
      <c r="F31" s="12" t="n">
        <v>57282</v>
      </c>
      <c r="G31" s="12" t="n">
        <v>57577</v>
      </c>
      <c r="H31" s="11" t="n">
        <v>43419</v>
      </c>
      <c r="I31" s="12" t="n">
        <v>44560</v>
      </c>
      <c r="J31" s="12" t="n">
        <v>48531</v>
      </c>
      <c r="K31" s="12" t="n">
        <v>49746</v>
      </c>
      <c r="L31" s="12" t="n">
        <v>54647</v>
      </c>
    </row>
    <row r="32">
      <c r="A32" s="18" t="inlineStr">
        <is>
          <t>자본금</t>
        </is>
      </c>
      <c r="B32" s="10" t="n"/>
      <c r="C32" s="19" t="n">
        <v>5000</v>
      </c>
      <c r="D32" s="20" t="n">
        <v>5000</v>
      </c>
      <c r="E32" s="20" t="n">
        <v>5000</v>
      </c>
      <c r="F32" s="20" t="n">
        <v>5000</v>
      </c>
      <c r="G32" s="20" t="n">
        <v>5000</v>
      </c>
      <c r="H32" s="19" t="n">
        <v>5000</v>
      </c>
      <c r="I32" s="20" t="n">
        <v>5000</v>
      </c>
      <c r="J32" s="20" t="n">
        <v>5000</v>
      </c>
      <c r="K32" s="20" t="n">
        <v>5000</v>
      </c>
      <c r="L32" s="20" t="n">
        <v>5000</v>
      </c>
    </row>
    <row r="33">
      <c r="A33" s="18" t="inlineStr">
        <is>
          <t>이익잉여금</t>
        </is>
      </c>
      <c r="B33" s="10" t="n"/>
      <c r="C33" s="19" t="n">
        <v>21279</v>
      </c>
      <c r="D33" s="20" t="n">
        <v>21668</v>
      </c>
      <c r="E33" s="20" t="n">
        <v>21948</v>
      </c>
      <c r="F33" s="20" t="n">
        <v>21996</v>
      </c>
      <c r="G33" s="20" t="n">
        <v>22862</v>
      </c>
      <c r="H33" s="19" t="n">
        <v>17331</v>
      </c>
      <c r="I33" s="20" t="n">
        <v>17969</v>
      </c>
      <c r="J33" s="20" t="n">
        <v>19413</v>
      </c>
      <c r="K33" s="20" t="n">
        <v>20637</v>
      </c>
      <c r="L33" s="20" t="n">
        <v>21948</v>
      </c>
    </row>
    <row r="34">
      <c r="A34" s="18" t="inlineStr">
        <is>
          <t>비지배지분</t>
        </is>
      </c>
      <c r="B34" s="10" t="n"/>
      <c r="C34" s="19" t="n">
        <v>1897</v>
      </c>
      <c r="D34" s="20" t="n">
        <v>2024</v>
      </c>
      <c r="E34" s="20" t="n">
        <v>2206</v>
      </c>
      <c r="F34" s="20" t="n">
        <v>2095</v>
      </c>
      <c r="G34" s="20" t="n">
        <v>2129</v>
      </c>
      <c r="H34" s="19" t="n">
        <v>1480</v>
      </c>
      <c r="I34" s="20" t="n">
        <v>1547</v>
      </c>
      <c r="J34" s="20" t="n">
        <v>1750</v>
      </c>
      <c r="K34" s="20" t="n">
        <v>1985</v>
      </c>
      <c r="L34" s="20" t="n">
        <v>2206</v>
      </c>
    </row>
    <row r="35">
      <c r="A35" s="9" t="inlineStr">
        <is>
          <t>자본총계</t>
        </is>
      </c>
      <c r="B35" s="10" t="n"/>
      <c r="C35" s="11" t="n">
        <v>53518</v>
      </c>
      <c r="D35" s="12" t="n">
        <v>54961</v>
      </c>
      <c r="E35" s="12" t="n">
        <v>56853</v>
      </c>
      <c r="F35" s="12" t="n">
        <v>59377</v>
      </c>
      <c r="G35" s="12" t="n">
        <v>59706</v>
      </c>
      <c r="H35" s="11" t="n">
        <v>44899</v>
      </c>
      <c r="I35" s="12" t="n">
        <v>46107</v>
      </c>
      <c r="J35" s="12" t="n">
        <v>50281</v>
      </c>
      <c r="K35" s="12" t="n">
        <v>51731</v>
      </c>
      <c r="L35" s="12" t="n">
        <v>56853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4582</v>
      </c>
      <c r="F37" s="12" t="n"/>
      <c r="G37" s="12" t="n"/>
      <c r="H37" s="11" t="n">
        <v>2447</v>
      </c>
      <c r="I37" s="12" t="n">
        <v>1200</v>
      </c>
      <c r="J37" s="12" t="n">
        <v>3638</v>
      </c>
      <c r="K37" s="12" t="n">
        <v>4330</v>
      </c>
      <c r="L37" s="12" t="n">
        <v>4582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5173</v>
      </c>
      <c r="F38" s="20" t="n"/>
      <c r="G38" s="20" t="n"/>
      <c r="H38" s="19" t="n">
        <v>1163</v>
      </c>
      <c r="I38" s="20" t="n">
        <v>1733</v>
      </c>
      <c r="J38" s="20" t="n">
        <v>1817</v>
      </c>
      <c r="K38" s="20" t="n">
        <v>2951</v>
      </c>
      <c r="L38" s="20" t="n">
        <v>5173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661</v>
      </c>
      <c r="F40" s="20" t="n"/>
      <c r="G40" s="20" t="n"/>
      <c r="H40" s="19" t="n">
        <v>594</v>
      </c>
      <c r="I40" s="20" t="n">
        <v>561</v>
      </c>
      <c r="J40" s="20" t="n">
        <v>596</v>
      </c>
      <c r="K40" s="20" t="n">
        <v>694</v>
      </c>
      <c r="L40" s="20" t="n">
        <v>661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9181</v>
      </c>
      <c r="D71" s="20" t="n">
        <v>9037</v>
      </c>
      <c r="E71" s="20" t="n">
        <v>10196</v>
      </c>
      <c r="F71" s="20" t="n">
        <v>10706</v>
      </c>
      <c r="G71" s="20" t="n">
        <v>10789</v>
      </c>
      <c r="H71" s="20" t="n">
        <v>6994</v>
      </c>
      <c r="I71" s="20" t="n">
        <v>7760</v>
      </c>
      <c r="J71" s="20" t="n">
        <v>8634</v>
      </c>
      <c r="K71" s="20" t="n">
        <v>9251</v>
      </c>
      <c r="L71" s="20" t="n">
        <v>10196</v>
      </c>
    </row>
    <row r="72">
      <c r="A72" s="18" t="inlineStr">
        <is>
          <t>받을어음·매출채권</t>
        </is>
      </c>
      <c r="C72" s="20" t="n">
        <v>7010</v>
      </c>
      <c r="D72" s="20" t="n">
        <v>7270</v>
      </c>
      <c r="E72" s="20" t="n">
        <v>6841</v>
      </c>
      <c r="F72" s="20" t="n">
        <v>7286</v>
      </c>
      <c r="G72" s="20" t="n">
        <v>7580</v>
      </c>
      <c r="H72" s="20" t="n">
        <v>7746</v>
      </c>
      <c r="I72" s="20" t="n">
        <v>7580</v>
      </c>
      <c r="J72" s="20" t="n">
        <v>7367</v>
      </c>
      <c r="K72" s="20" t="n">
        <v>7091</v>
      </c>
      <c r="L72" s="20" t="n">
        <v>6841</v>
      </c>
    </row>
    <row r="73">
      <c r="A73" s="18" t="inlineStr">
        <is>
          <t>전자기록채권</t>
        </is>
      </c>
      <c r="C73" s="20" t="n">
        <v>1190</v>
      </c>
      <c r="D73" s="20" t="n">
        <v>1362</v>
      </c>
      <c r="E73" s="20" t="n">
        <v>1214</v>
      </c>
      <c r="F73" s="20" t="n">
        <v>1264</v>
      </c>
      <c r="G73" s="20" t="n">
        <v>1410</v>
      </c>
      <c r="H73" s="20" t="n">
        <v>877</v>
      </c>
      <c r="I73" s="20" t="n">
        <v>1128</v>
      </c>
      <c r="J73" s="20" t="n">
        <v>1334</v>
      </c>
      <c r="K73" s="20" t="n">
        <v>1174</v>
      </c>
      <c r="L73" s="20" t="n">
        <v>1214</v>
      </c>
    </row>
    <row r="74">
      <c r="A74" s="18" t="inlineStr">
        <is>
          <t>유가증권</t>
        </is>
      </c>
      <c r="C74" s="20" t="n">
        <v>1595</v>
      </c>
      <c r="D74" s="20" t="n">
        <v>1692</v>
      </c>
      <c r="E74" s="20" t="n">
        <v>1492</v>
      </c>
      <c r="F74" s="20" t="n">
        <v>1096</v>
      </c>
      <c r="G74" s="20" t="n">
        <v>1292</v>
      </c>
      <c r="H74" s="20" t="n">
        <v>3700</v>
      </c>
      <c r="I74" s="20" t="n">
        <v>1500</v>
      </c>
      <c r="J74" s="20" t="n">
        <v>917</v>
      </c>
      <c r="K74" s="20" t="n">
        <v>1698</v>
      </c>
      <c r="L74" s="20" t="n">
        <v>1492</v>
      </c>
    </row>
    <row r="75">
      <c r="A75" s="18" t="inlineStr">
        <is>
          <t>상품·제품</t>
        </is>
      </c>
      <c r="C75" s="20" t="n">
        <v>2464</v>
      </c>
      <c r="D75" s="20" t="n">
        <v>2483</v>
      </c>
      <c r="E75" s="20" t="n">
        <v>2331</v>
      </c>
      <c r="F75" s="20" t="n">
        <v>2470</v>
      </c>
      <c r="G75" s="20" t="n">
        <v>2451</v>
      </c>
      <c r="H75" s="20" t="n">
        <v>2376</v>
      </c>
      <c r="I75" s="20" t="n">
        <v>2735</v>
      </c>
      <c r="J75" s="20" t="n">
        <v>2612</v>
      </c>
      <c r="K75" s="20" t="n">
        <v>2500</v>
      </c>
      <c r="L75" s="20" t="n">
        <v>2331</v>
      </c>
    </row>
    <row r="76">
      <c r="A76" s="18" t="inlineStr">
        <is>
          <t>재공품</t>
        </is>
      </c>
      <c r="C76" s="20" t="n">
        <v>1036</v>
      </c>
      <c r="D76" s="20" t="n">
        <v>928</v>
      </c>
      <c r="E76" s="20" t="n">
        <v>1047</v>
      </c>
      <c r="F76" s="20" t="n">
        <v>1094</v>
      </c>
      <c r="G76" s="20" t="n">
        <v>1422</v>
      </c>
      <c r="H76" s="20" t="n">
        <v>798</v>
      </c>
      <c r="I76" s="20" t="n">
        <v>901</v>
      </c>
      <c r="J76" s="20" t="n">
        <v>943</v>
      </c>
      <c r="K76" s="20" t="n">
        <v>876</v>
      </c>
      <c r="L76" s="20" t="n">
        <v>1047</v>
      </c>
    </row>
    <row r="77">
      <c r="A77" s="18" t="inlineStr">
        <is>
          <t>원재료·저장품</t>
        </is>
      </c>
      <c r="C77" s="20" t="n">
        <v>1977</v>
      </c>
      <c r="D77" s="20" t="n">
        <v>1921</v>
      </c>
      <c r="E77" s="20" t="n">
        <v>1978</v>
      </c>
      <c r="F77" s="20" t="n">
        <v>2055</v>
      </c>
      <c r="G77" s="20" t="n">
        <v>2063</v>
      </c>
      <c r="H77" s="20" t="n">
        <v>1548</v>
      </c>
      <c r="I77" s="20" t="n">
        <v>2151</v>
      </c>
      <c r="J77" s="20" t="n">
        <v>2307</v>
      </c>
      <c r="K77" s="20" t="n">
        <v>2379</v>
      </c>
      <c r="L77" s="20" t="n">
        <v>1978</v>
      </c>
    </row>
    <row r="78">
      <c r="A78" s="18" t="inlineStr">
        <is>
          <t>기타</t>
        </is>
      </c>
      <c r="C78" s="20" t="n">
        <v>265</v>
      </c>
      <c r="D78" s="20" t="n">
        <v>203</v>
      </c>
      <c r="E78" s="20" t="n">
        <v>261</v>
      </c>
      <c r="F78" s="20" t="n">
        <v>212</v>
      </c>
      <c r="G78" s="20" t="n">
        <v>425</v>
      </c>
      <c r="H78" s="20" t="n">
        <v>299</v>
      </c>
      <c r="I78" s="20" t="n">
        <v>219</v>
      </c>
      <c r="J78" s="20" t="n">
        <v>229</v>
      </c>
      <c r="K78" s="20" t="n">
        <v>314</v>
      </c>
      <c r="L78" s="20" t="n">
        <v>261</v>
      </c>
    </row>
    <row r="79">
      <c r="A79" s="18" t="inlineStr">
        <is>
          <t>대손충당금</t>
        </is>
      </c>
      <c r="C79" s="20" t="n">
        <v>-1</v>
      </c>
      <c r="D79" s="20" t="n">
        <v>-1</v>
      </c>
      <c r="E79" s="20" t="n">
        <v>-4</v>
      </c>
      <c r="F79" s="20" t="n">
        <v>-1</v>
      </c>
      <c r="G79" s="20" t="n">
        <v>-1</v>
      </c>
      <c r="H79" s="20" t="n">
        <v>-3</v>
      </c>
      <c r="I79" s="20" t="n">
        <v>-0</v>
      </c>
      <c r="J79" s="20" t="n">
        <v>-1</v>
      </c>
      <c r="K79" s="20" t="n">
        <v>-1</v>
      </c>
      <c r="L79" s="20" t="n">
        <v>-4</v>
      </c>
    </row>
    <row r="80">
      <c r="A80" s="9" t="inlineStr">
        <is>
          <t>유동자산 합계</t>
        </is>
      </c>
      <c r="C80" s="12" t="n">
        <v>24721</v>
      </c>
      <c r="D80" s="12" t="n">
        <v>24898</v>
      </c>
      <c r="E80" s="12" t="n">
        <v>25359</v>
      </c>
      <c r="F80" s="12" t="n">
        <v>26184</v>
      </c>
      <c r="G80" s="12" t="n">
        <v>27433</v>
      </c>
      <c r="H80" s="12" t="n">
        <v>24338</v>
      </c>
      <c r="I80" s="12" t="n">
        <v>23977</v>
      </c>
      <c r="J80" s="12" t="n">
        <v>24346</v>
      </c>
      <c r="K80" s="12" t="n">
        <v>25285</v>
      </c>
      <c r="L80" s="12" t="n">
        <v>25359</v>
      </c>
    </row>
    <row r="81">
      <c r="A81" s="18" t="inlineStr">
        <is>
          <t>건물·구축물</t>
        </is>
      </c>
      <c r="C81" s="20" t="n">
        <v>24574</v>
      </c>
      <c r="D81" s="20" t="n">
        <v>24923</v>
      </c>
      <c r="E81" s="20" t="n">
        <v>25008</v>
      </c>
      <c r="F81" s="20" t="n">
        <v>25020</v>
      </c>
      <c r="G81" s="20" t="n">
        <v>25049</v>
      </c>
      <c r="H81" s="20" t="n">
        <v>23052</v>
      </c>
      <c r="I81" s="20" t="n">
        <v>23201</v>
      </c>
      <c r="J81" s="20" t="n">
        <v>23573</v>
      </c>
      <c r="K81" s="20" t="n">
        <v>24386</v>
      </c>
      <c r="L81" s="20" t="n">
        <v>25008</v>
      </c>
    </row>
    <row r="82">
      <c r="A82" s="18" t="inlineStr">
        <is>
          <t>감가상각누계액 및 손상차손누계액</t>
        </is>
      </c>
      <c r="C82" s="20" t="n">
        <v>-18310</v>
      </c>
      <c r="D82" s="20" t="n">
        <v>-18449</v>
      </c>
      <c r="E82" s="20" t="n">
        <v>-18581</v>
      </c>
      <c r="F82" s="20" t="n">
        <v>-18691</v>
      </c>
      <c r="G82" s="20" t="n">
        <v>-18798</v>
      </c>
      <c r="H82" s="20" t="n">
        <v>-16924</v>
      </c>
      <c r="I82" s="20" t="n">
        <v>-17292</v>
      </c>
      <c r="J82" s="20" t="n">
        <v>-17668</v>
      </c>
      <c r="K82" s="20" t="n">
        <v>-18124</v>
      </c>
      <c r="L82" s="20" t="n">
        <v>-18581</v>
      </c>
    </row>
    <row r="83">
      <c r="A83" s="18" t="inlineStr">
        <is>
          <t>건물·구축물(순액)</t>
        </is>
      </c>
      <c r="C83" s="20" t="n">
        <v>6264</v>
      </c>
      <c r="D83" s="20" t="n">
        <v>6473</v>
      </c>
      <c r="E83" s="20" t="n">
        <v>6427</v>
      </c>
      <c r="F83" s="20" t="n">
        <v>6329</v>
      </c>
      <c r="G83" s="20" t="n">
        <v>6250</v>
      </c>
      <c r="H83" s="20" t="n">
        <v>6127</v>
      </c>
      <c r="I83" s="20" t="n">
        <v>5908</v>
      </c>
      <c r="J83" s="20" t="n">
        <v>5904</v>
      </c>
      <c r="K83" s="20" t="n">
        <v>6262</v>
      </c>
      <c r="L83" s="20" t="n">
        <v>6427</v>
      </c>
    </row>
    <row r="84">
      <c r="A84" s="18" t="inlineStr">
        <is>
          <t>기계장치·운반구</t>
        </is>
      </c>
      <c r="C84" s="20" t="n">
        <v>36646</v>
      </c>
      <c r="D84" s="20" t="n">
        <v>38179</v>
      </c>
      <c r="E84" s="20" t="n">
        <v>38743</v>
      </c>
      <c r="F84" s="20" t="n">
        <v>38721</v>
      </c>
      <c r="G84" s="20" t="n">
        <v>39016</v>
      </c>
      <c r="H84" s="20" t="n">
        <v>33193</v>
      </c>
      <c r="I84" s="20" t="n">
        <v>34063</v>
      </c>
      <c r="J84" s="20" t="n">
        <v>34987</v>
      </c>
      <c r="K84" s="20" t="n">
        <v>36810</v>
      </c>
      <c r="L84" s="20" t="n">
        <v>38743</v>
      </c>
    </row>
    <row r="85">
      <c r="A85" s="18" t="inlineStr">
        <is>
          <t>감가상각누계액 및 손상차손누계액</t>
        </is>
      </c>
      <c r="C85" s="20" t="n">
        <v>-33418</v>
      </c>
      <c r="D85" s="20" t="n">
        <v>-33826</v>
      </c>
      <c r="E85" s="20" t="n">
        <v>-34289</v>
      </c>
      <c r="F85" s="20" t="n">
        <v>-34568</v>
      </c>
      <c r="G85" s="20" t="n">
        <v>-34842</v>
      </c>
      <c r="H85" s="20" t="n">
        <v>-29889</v>
      </c>
      <c r="I85" s="20" t="n">
        <v>-31079</v>
      </c>
      <c r="J85" s="20" t="n">
        <v>-32057</v>
      </c>
      <c r="K85" s="20" t="n">
        <v>-33301</v>
      </c>
      <c r="L85" s="20" t="n">
        <v>-34289</v>
      </c>
    </row>
    <row r="86">
      <c r="A86" s="18" t="inlineStr">
        <is>
          <t>기계장치·운반구(순액)</t>
        </is>
      </c>
      <c r="C86" s="20" t="n">
        <v>3228</v>
      </c>
      <c r="D86" s="20" t="n">
        <v>4353</v>
      </c>
      <c r="E86" s="20" t="n">
        <v>4454</v>
      </c>
      <c r="F86" s="20" t="n">
        <v>4152</v>
      </c>
      <c r="G86" s="20" t="n">
        <v>4173</v>
      </c>
      <c r="H86" s="20" t="n">
        <v>3304</v>
      </c>
      <c r="I86" s="20" t="n">
        <v>2984</v>
      </c>
      <c r="J86" s="20" t="n">
        <v>2929</v>
      </c>
      <c r="K86" s="20" t="n">
        <v>3508</v>
      </c>
      <c r="L86" s="20" t="n">
        <v>4454</v>
      </c>
    </row>
    <row r="87">
      <c r="A87" s="18" t="inlineStr">
        <is>
          <t>토지</t>
        </is>
      </c>
      <c r="C87" s="20" t="n">
        <v>7976</v>
      </c>
      <c r="D87" s="20" t="n">
        <v>7986</v>
      </c>
      <c r="E87" s="20" t="n">
        <v>7989</v>
      </c>
      <c r="F87" s="20" t="n">
        <v>7989</v>
      </c>
      <c r="G87" s="20" t="n">
        <v>7989</v>
      </c>
      <c r="H87" s="20" t="n">
        <v>7969</v>
      </c>
      <c r="I87" s="20" t="n">
        <v>7971</v>
      </c>
      <c r="J87" s="20" t="n">
        <v>7974</v>
      </c>
      <c r="K87" s="20" t="n">
        <v>7961</v>
      </c>
      <c r="L87" s="20" t="n">
        <v>7989</v>
      </c>
    </row>
    <row r="88">
      <c r="A88" s="18" t="inlineStr">
        <is>
          <t>리스자산</t>
        </is>
      </c>
      <c r="C88" s="20" t="n">
        <v>880</v>
      </c>
      <c r="D88" s="20" t="n">
        <v>923</v>
      </c>
      <c r="E88" s="20" t="n">
        <v>895</v>
      </c>
      <c r="F88" s="20" t="n">
        <v>876</v>
      </c>
      <c r="G88" s="20" t="n">
        <v>879</v>
      </c>
      <c r="H88" s="20" t="n">
        <v>765</v>
      </c>
      <c r="I88" s="20" t="n">
        <v>841</v>
      </c>
      <c r="J88" s="20" t="n">
        <v>949</v>
      </c>
      <c r="K88" s="20" t="n">
        <v>924</v>
      </c>
      <c r="L88" s="20" t="n">
        <v>895</v>
      </c>
    </row>
    <row r="89">
      <c r="A89" s="18" t="inlineStr">
        <is>
          <t>감가상각누계액 및 손상차손누계액</t>
        </is>
      </c>
      <c r="C89" s="20" t="n">
        <v>-219</v>
      </c>
      <c r="D89" s="20" t="n">
        <v>-241</v>
      </c>
      <c r="E89" s="20" t="n">
        <v>-272</v>
      </c>
      <c r="F89" s="20" t="n">
        <v>-274</v>
      </c>
      <c r="G89" s="20" t="n">
        <v>-288</v>
      </c>
      <c r="H89" s="20" t="n">
        <v>-104</v>
      </c>
      <c r="I89" s="20" t="n">
        <v>-161</v>
      </c>
      <c r="J89" s="20" t="n">
        <v>-242</v>
      </c>
      <c r="K89" s="20" t="n">
        <v>-215</v>
      </c>
      <c r="L89" s="20" t="n">
        <v>-272</v>
      </c>
    </row>
    <row r="90">
      <c r="A90" s="18" t="inlineStr">
        <is>
          <t>리스자산(순액)</t>
        </is>
      </c>
      <c r="C90" s="20" t="n">
        <v>660</v>
      </c>
      <c r="D90" s="20" t="n">
        <v>681</v>
      </c>
      <c r="E90" s="20" t="n">
        <v>623</v>
      </c>
      <c r="F90" s="20" t="n">
        <v>601</v>
      </c>
      <c r="G90" s="20" t="n">
        <v>590</v>
      </c>
      <c r="H90" s="20" t="n">
        <v>660</v>
      </c>
      <c r="I90" s="20" t="n">
        <v>679</v>
      </c>
      <c r="J90" s="20" t="n">
        <v>707</v>
      </c>
      <c r="K90" s="20" t="n">
        <v>708</v>
      </c>
      <c r="L90" s="20" t="n">
        <v>623</v>
      </c>
    </row>
    <row r="91">
      <c r="A91" s="18" t="inlineStr">
        <is>
          <t>건설중인자산</t>
        </is>
      </c>
      <c r="C91" s="20" t="n">
        <v>4958</v>
      </c>
      <c r="D91" s="20" t="n">
        <v>3953</v>
      </c>
      <c r="E91" s="20" t="n">
        <v>4105</v>
      </c>
      <c r="F91" s="20" t="n">
        <v>4300</v>
      </c>
      <c r="G91" s="20" t="n">
        <v>4286</v>
      </c>
      <c r="H91" s="20" t="n">
        <v>682</v>
      </c>
      <c r="I91" s="20" t="n">
        <v>1095</v>
      </c>
      <c r="J91" s="20" t="n">
        <v>2524</v>
      </c>
      <c r="K91" s="20" t="n">
        <v>3595</v>
      </c>
      <c r="L91" s="20" t="n">
        <v>4105</v>
      </c>
    </row>
    <row r="92">
      <c r="A92" s="18" t="inlineStr">
        <is>
          <t>기타</t>
        </is>
      </c>
      <c r="C92" s="20" t="n">
        <v>3519</v>
      </c>
      <c r="D92" s="20" t="n">
        <v>3566</v>
      </c>
      <c r="E92" s="20" t="n">
        <v>3663</v>
      </c>
      <c r="F92" s="20" t="n">
        <v>3673</v>
      </c>
      <c r="G92" s="20" t="n">
        <v>3683</v>
      </c>
      <c r="H92" s="20" t="n">
        <v>3098</v>
      </c>
      <c r="I92" s="20" t="n">
        <v>3184</v>
      </c>
      <c r="J92" s="20" t="n">
        <v>3336</v>
      </c>
      <c r="K92" s="20" t="n">
        <v>3494</v>
      </c>
      <c r="L92" s="20" t="n">
        <v>3663</v>
      </c>
    </row>
    <row r="93">
      <c r="A93" s="18" t="inlineStr">
        <is>
          <t>감가상각누계액 및 손상차손누계액</t>
        </is>
      </c>
      <c r="C93" s="20" t="n">
        <v>-3053</v>
      </c>
      <c r="D93" s="20" t="n">
        <v>-3099</v>
      </c>
      <c r="E93" s="20" t="n">
        <v>-3142</v>
      </c>
      <c r="F93" s="20" t="n">
        <v>-3185</v>
      </c>
      <c r="G93" s="20" t="n">
        <v>-3205</v>
      </c>
      <c r="H93" s="20" t="n">
        <v>-2680</v>
      </c>
      <c r="I93" s="20" t="n">
        <v>-2820</v>
      </c>
      <c r="J93" s="20" t="n">
        <v>-2940</v>
      </c>
      <c r="K93" s="20" t="n">
        <v>-3036</v>
      </c>
      <c r="L93" s="20" t="n">
        <v>-3142</v>
      </c>
    </row>
    <row r="94">
      <c r="A94" s="18" t="inlineStr">
        <is>
          <t>기타(순액)</t>
        </is>
      </c>
      <c r="C94" s="20" t="n">
        <v>466</v>
      </c>
      <c r="D94" s="20" t="n">
        <v>466</v>
      </c>
      <c r="E94" s="20" t="n">
        <v>520</v>
      </c>
      <c r="F94" s="20" t="n">
        <v>488</v>
      </c>
      <c r="G94" s="20" t="n">
        <v>477</v>
      </c>
      <c r="H94" s="20" t="n">
        <v>418</v>
      </c>
      <c r="I94" s="20" t="n">
        <v>364</v>
      </c>
      <c r="J94" s="20" t="n">
        <v>396</v>
      </c>
      <c r="K94" s="20" t="n">
        <v>457</v>
      </c>
      <c r="L94" s="20" t="n">
        <v>520</v>
      </c>
    </row>
    <row r="95">
      <c r="A95" s="18" t="inlineStr">
        <is>
          <t>유형자산 합계</t>
        </is>
      </c>
      <c r="C95" s="20" t="n">
        <v>23555</v>
      </c>
      <c r="D95" s="20" t="n">
        <v>23915</v>
      </c>
      <c r="E95" s="20" t="n">
        <v>24120</v>
      </c>
      <c r="F95" s="20" t="n">
        <v>23860</v>
      </c>
      <c r="G95" s="20" t="n">
        <v>23769</v>
      </c>
      <c r="H95" s="20" t="n">
        <v>19164</v>
      </c>
      <c r="I95" s="20" t="n">
        <v>19004</v>
      </c>
      <c r="J95" s="20" t="n">
        <v>20436</v>
      </c>
      <c r="K95" s="20" t="n">
        <v>22494</v>
      </c>
      <c r="L95" s="20" t="n">
        <v>24120</v>
      </c>
    </row>
    <row r="96">
      <c r="A96" s="18" t="inlineStr">
        <is>
          <t>영업권</t>
        </is>
      </c>
      <c r="H96" s="20" t="n">
        <v>185</v>
      </c>
      <c r="I96" s="20" t="n">
        <v>37</v>
      </c>
      <c r="J96" s="20" t="n">
        <v>0</v>
      </c>
    </row>
    <row r="97">
      <c r="A97" s="18" t="inlineStr">
        <is>
          <t>기타</t>
        </is>
      </c>
      <c r="C97" s="20" t="n">
        <v>194</v>
      </c>
      <c r="D97" s="20" t="n">
        <v>188</v>
      </c>
      <c r="E97" s="20" t="n">
        <v>204</v>
      </c>
      <c r="F97" s="20" t="n">
        <v>268</v>
      </c>
      <c r="G97" s="20" t="n">
        <v>287</v>
      </c>
      <c r="H97" s="20" t="n">
        <v>74</v>
      </c>
      <c r="I97" s="20" t="n">
        <v>81</v>
      </c>
      <c r="J97" s="20" t="n">
        <v>140</v>
      </c>
      <c r="K97" s="20" t="n">
        <v>153</v>
      </c>
      <c r="L97" s="20" t="n">
        <v>204</v>
      </c>
    </row>
    <row r="98">
      <c r="A98" s="18" t="inlineStr">
        <is>
          <t>무형자산 합계</t>
        </is>
      </c>
      <c r="C98" s="20" t="n">
        <v>194</v>
      </c>
      <c r="D98" s="20" t="n">
        <v>188</v>
      </c>
      <c r="E98" s="20" t="n">
        <v>204</v>
      </c>
      <c r="F98" s="20" t="n">
        <v>268</v>
      </c>
      <c r="G98" s="20" t="n">
        <v>287</v>
      </c>
      <c r="H98" s="20" t="n">
        <v>259</v>
      </c>
      <c r="I98" s="20" t="n">
        <v>118</v>
      </c>
      <c r="J98" s="20" t="n">
        <v>140</v>
      </c>
      <c r="K98" s="20" t="n">
        <v>153</v>
      </c>
      <c r="L98" s="20" t="n">
        <v>204</v>
      </c>
    </row>
    <row r="99">
      <c r="A99" s="18" t="inlineStr">
        <is>
          <t>투자유가증권</t>
        </is>
      </c>
      <c r="C99" s="20" t="n">
        <v>13688</v>
      </c>
      <c r="D99" s="20" t="n">
        <v>14291</v>
      </c>
      <c r="E99" s="20" t="n">
        <v>16035</v>
      </c>
      <c r="F99" s="20" t="n">
        <v>19913</v>
      </c>
      <c r="G99" s="20" t="n">
        <v>19257</v>
      </c>
      <c r="H99" s="20" t="n">
        <v>9718</v>
      </c>
      <c r="I99" s="20" t="n">
        <v>10340</v>
      </c>
      <c r="J99" s="20" t="n">
        <v>14303</v>
      </c>
      <c r="K99" s="20" t="n">
        <v>13211</v>
      </c>
      <c r="L99" s="20" t="n">
        <v>16035</v>
      </c>
    </row>
    <row r="100">
      <c r="A100" s="18" t="inlineStr">
        <is>
          <t>퇴직급여자산</t>
        </is>
      </c>
      <c r="C100" s="20" t="n">
        <v>528</v>
      </c>
      <c r="D100" s="20" t="n">
        <v>507</v>
      </c>
      <c r="E100" s="20" t="n">
        <v>639</v>
      </c>
      <c r="F100" s="20" t="n">
        <v>705</v>
      </c>
      <c r="G100" s="20" t="n">
        <v>687</v>
      </c>
      <c r="I100" s="20" t="n">
        <v>0</v>
      </c>
      <c r="J100" s="20" t="n">
        <v>375</v>
      </c>
      <c r="K100" s="20" t="n">
        <v>488</v>
      </c>
      <c r="L100" s="20" t="n">
        <v>639</v>
      </c>
    </row>
    <row r="101">
      <c r="A101" s="18" t="inlineStr">
        <is>
          <t>이연법인세자산</t>
        </is>
      </c>
      <c r="E101" s="20" t="n">
        <v>63</v>
      </c>
      <c r="H101" s="20" t="n">
        <v>18</v>
      </c>
      <c r="I101" s="20" t="n">
        <v>71</v>
      </c>
      <c r="J101" s="20" t="n">
        <v>43</v>
      </c>
      <c r="K101" s="20" t="n">
        <v>49</v>
      </c>
      <c r="L101" s="20" t="n">
        <v>63</v>
      </c>
    </row>
    <row r="102">
      <c r="A102" s="18" t="inlineStr">
        <is>
          <t>기타</t>
        </is>
      </c>
      <c r="C102" s="20" t="n">
        <v>1503</v>
      </c>
      <c r="D102" s="20" t="n">
        <v>1466</v>
      </c>
      <c r="E102" s="20" t="n">
        <v>1728</v>
      </c>
      <c r="F102" s="20" t="n">
        <v>1713</v>
      </c>
      <c r="G102" s="20" t="n">
        <v>1705</v>
      </c>
      <c r="H102" s="20" t="n">
        <v>1273</v>
      </c>
      <c r="I102" s="20" t="n">
        <v>1175</v>
      </c>
      <c r="J102" s="20" t="n">
        <v>1446</v>
      </c>
      <c r="K102" s="20" t="n">
        <v>1413</v>
      </c>
      <c r="L102" s="20" t="n">
        <v>1728</v>
      </c>
    </row>
    <row r="103">
      <c r="A103" s="18" t="inlineStr">
        <is>
          <t>대손충당금</t>
        </is>
      </c>
      <c r="C103" s="20" t="n">
        <v>-77</v>
      </c>
      <c r="D103" s="20" t="n">
        <v>-77</v>
      </c>
      <c r="E103" s="20" t="n">
        <v>-75</v>
      </c>
      <c r="F103" s="20" t="n">
        <v>-75</v>
      </c>
      <c r="G103" s="20" t="n">
        <v>-74</v>
      </c>
      <c r="H103" s="20" t="n">
        <v>-93</v>
      </c>
      <c r="I103" s="20" t="n">
        <v>-87</v>
      </c>
      <c r="J103" s="20" t="n">
        <v>-82</v>
      </c>
      <c r="K103" s="20" t="n">
        <v>-78</v>
      </c>
      <c r="L103" s="20" t="n">
        <v>-75</v>
      </c>
    </row>
    <row r="104">
      <c r="A104" s="18" t="inlineStr">
        <is>
          <t>투자 및 기타자산 합계</t>
        </is>
      </c>
      <c r="C104" s="20" t="n">
        <v>15643</v>
      </c>
      <c r="D104" s="20" t="n">
        <v>16189</v>
      </c>
      <c r="E104" s="20" t="n">
        <v>18327</v>
      </c>
      <c r="F104" s="20" t="n">
        <v>22257</v>
      </c>
      <c r="G104" s="20" t="n">
        <v>21576</v>
      </c>
      <c r="H104" s="20" t="n">
        <v>10917</v>
      </c>
      <c r="I104" s="20" t="n">
        <v>11500</v>
      </c>
      <c r="J104" s="20" t="n">
        <v>16086</v>
      </c>
      <c r="K104" s="20" t="n">
        <v>15084</v>
      </c>
      <c r="L104" s="20" t="n">
        <v>18327</v>
      </c>
    </row>
    <row r="105">
      <c r="A105" s="9" t="inlineStr">
        <is>
          <t>비유동자산 합계</t>
        </is>
      </c>
      <c r="C105" s="12" t="n">
        <v>39393</v>
      </c>
      <c r="D105" s="12" t="n">
        <v>40292</v>
      </c>
      <c r="E105" s="12" t="n">
        <v>42653</v>
      </c>
      <c r="F105" s="12" t="n">
        <v>46385</v>
      </c>
      <c r="G105" s="12" t="n">
        <v>45633</v>
      </c>
      <c r="H105" s="12" t="n">
        <v>30341</v>
      </c>
      <c r="I105" s="12" t="n">
        <v>30623</v>
      </c>
      <c r="J105" s="12" t="n">
        <v>36664</v>
      </c>
      <c r="K105" s="12" t="n">
        <v>37732</v>
      </c>
      <c r="L105" s="12" t="n">
        <v>42653</v>
      </c>
    </row>
    <row r="106">
      <c r="A106" s="9" t="inlineStr">
        <is>
          <t>자산 합계</t>
        </is>
      </c>
      <c r="C106" s="12" t="n">
        <v>64115</v>
      </c>
      <c r="D106" s="12" t="n">
        <v>65191</v>
      </c>
      <c r="E106" s="12" t="n">
        <v>68012</v>
      </c>
      <c r="F106" s="12" t="n">
        <v>72570</v>
      </c>
      <c r="G106" s="12" t="n">
        <v>73067</v>
      </c>
      <c r="H106" s="12" t="n">
        <v>54680</v>
      </c>
      <c r="I106" s="12" t="n">
        <v>54600</v>
      </c>
      <c r="J106" s="12" t="n">
        <v>61010</v>
      </c>
      <c r="K106" s="12" t="n">
        <v>63018</v>
      </c>
      <c r="L106" s="12" t="n">
        <v>68012</v>
      </c>
    </row>
    <row r="107">
      <c r="A107" s="18" t="inlineStr">
        <is>
          <t>매입채무</t>
        </is>
      </c>
      <c r="C107" s="20" t="n">
        <v>4148</v>
      </c>
      <c r="D107" s="20" t="n">
        <v>4035</v>
      </c>
      <c r="E107" s="20" t="n">
        <v>4077</v>
      </c>
      <c r="F107" s="20" t="n">
        <v>4851</v>
      </c>
      <c r="G107" s="20" t="n">
        <v>5099</v>
      </c>
      <c r="H107" s="20" t="n">
        <v>4811</v>
      </c>
      <c r="I107" s="20" t="n">
        <v>4470</v>
      </c>
      <c r="J107" s="20" t="n">
        <v>4306</v>
      </c>
      <c r="K107" s="20" t="n">
        <v>4385</v>
      </c>
      <c r="L107" s="20" t="n">
        <v>4077</v>
      </c>
    </row>
    <row r="108">
      <c r="A108" s="18" t="inlineStr">
        <is>
          <t>미지급금</t>
        </is>
      </c>
      <c r="C108" s="20" t="n">
        <v>2020</v>
      </c>
      <c r="D108" s="20" t="n">
        <v>1469</v>
      </c>
      <c r="E108" s="20" t="n">
        <v>1597</v>
      </c>
      <c r="F108" s="20" t="n">
        <v>1341</v>
      </c>
      <c r="G108" s="20" t="n">
        <v>1027</v>
      </c>
      <c r="H108" s="20" t="n">
        <v>1739</v>
      </c>
      <c r="I108" s="20" t="n">
        <v>1386</v>
      </c>
      <c r="J108" s="20" t="n">
        <v>2606</v>
      </c>
      <c r="K108" s="20" t="n">
        <v>3146</v>
      </c>
      <c r="L108" s="20" t="n">
        <v>1597</v>
      </c>
    </row>
    <row r="109">
      <c r="A109" s="18" t="inlineStr">
        <is>
          <t>미지급법인세</t>
        </is>
      </c>
      <c r="C109" s="20" t="n">
        <v>338</v>
      </c>
      <c r="D109" s="20" t="n">
        <v>149</v>
      </c>
      <c r="E109" s="20" t="n">
        <v>400</v>
      </c>
      <c r="F109" s="20" t="n">
        <v>268</v>
      </c>
      <c r="G109" s="20" t="n">
        <v>670</v>
      </c>
      <c r="H109" s="20" t="n">
        <v>404</v>
      </c>
      <c r="I109" s="20" t="n">
        <v>134</v>
      </c>
      <c r="J109" s="20" t="n">
        <v>395</v>
      </c>
      <c r="K109" s="20" t="n">
        <v>370</v>
      </c>
      <c r="L109" s="20" t="n">
        <v>400</v>
      </c>
    </row>
    <row r="110">
      <c r="A110" s="18" t="inlineStr">
        <is>
          <t>상여충당금</t>
        </is>
      </c>
      <c r="C110" s="20" t="n">
        <v>356</v>
      </c>
      <c r="D110" s="20" t="n">
        <v>238</v>
      </c>
      <c r="E110" s="20" t="n">
        <v>400</v>
      </c>
      <c r="F110" s="20" t="n">
        <v>225</v>
      </c>
      <c r="G110" s="20" t="n">
        <v>505</v>
      </c>
      <c r="H110" s="20" t="n">
        <v>397</v>
      </c>
      <c r="I110" s="20" t="n">
        <v>398</v>
      </c>
      <c r="J110" s="20" t="n">
        <v>386</v>
      </c>
      <c r="K110" s="20" t="n">
        <v>386</v>
      </c>
      <c r="L110" s="20" t="n">
        <v>400</v>
      </c>
    </row>
    <row r="111">
      <c r="A111" s="18" t="inlineStr">
        <is>
          <t>기타</t>
        </is>
      </c>
      <c r="C111" s="20" t="n">
        <v>221</v>
      </c>
      <c r="D111" s="20" t="n">
        <v>394</v>
      </c>
      <c r="E111" s="20" t="n">
        <v>181</v>
      </c>
      <c r="F111" s="20" t="n">
        <v>485</v>
      </c>
      <c r="G111" s="20" t="n">
        <v>394</v>
      </c>
      <c r="H111" s="20" t="n">
        <v>147</v>
      </c>
      <c r="I111" s="20" t="n">
        <v>165</v>
      </c>
      <c r="J111" s="20" t="n">
        <v>219</v>
      </c>
      <c r="K111" s="20" t="n">
        <v>148</v>
      </c>
      <c r="L111" s="20" t="n">
        <v>181</v>
      </c>
    </row>
    <row r="112">
      <c r="A112" s="9" t="inlineStr">
        <is>
          <t>유동부채 합계</t>
        </is>
      </c>
      <c r="C112" s="12" t="n">
        <v>7085</v>
      </c>
      <c r="D112" s="12" t="n">
        <v>6287</v>
      </c>
      <c r="E112" s="12" t="n">
        <v>6657</v>
      </c>
      <c r="F112" s="12" t="n">
        <v>7172</v>
      </c>
      <c r="G112" s="12" t="n">
        <v>7696</v>
      </c>
      <c r="H112" s="12" t="n">
        <v>7499</v>
      </c>
      <c r="I112" s="12" t="n">
        <v>6554</v>
      </c>
      <c r="J112" s="12" t="n">
        <v>7914</v>
      </c>
      <c r="K112" s="12" t="n">
        <v>8438</v>
      </c>
      <c r="L112" s="12" t="n">
        <v>6657</v>
      </c>
    </row>
    <row r="113">
      <c r="A113" s="18" t="inlineStr">
        <is>
          <t>리스부채</t>
        </is>
      </c>
      <c r="C113" s="20" t="n">
        <v>670</v>
      </c>
      <c r="D113" s="20" t="n">
        <v>704</v>
      </c>
      <c r="E113" s="20" t="n">
        <v>665</v>
      </c>
      <c r="F113" s="20" t="n">
        <v>606</v>
      </c>
      <c r="G113" s="20" t="n">
        <v>612</v>
      </c>
      <c r="H113" s="20" t="n">
        <v>633</v>
      </c>
      <c r="I113" s="20" t="n">
        <v>662</v>
      </c>
      <c r="J113" s="20" t="n">
        <v>690</v>
      </c>
      <c r="K113" s="20" t="n">
        <v>735</v>
      </c>
      <c r="L113" s="20" t="n">
        <v>665</v>
      </c>
    </row>
    <row r="114">
      <c r="A114" s="18" t="inlineStr">
        <is>
          <t>이연법인세부채</t>
        </is>
      </c>
      <c r="E114" s="20" t="n">
        <v>3142</v>
      </c>
      <c r="H114" s="20" t="n">
        <v>221</v>
      </c>
      <c r="I114" s="20" t="n">
        <v>449</v>
      </c>
      <c r="J114" s="20" t="n">
        <v>1559</v>
      </c>
      <c r="K114" s="20" t="n">
        <v>1527</v>
      </c>
      <c r="L114" s="20" t="n">
        <v>3142</v>
      </c>
    </row>
    <row r="115">
      <c r="A115" s="18" t="inlineStr">
        <is>
          <t>환경대책 충당금</t>
        </is>
      </c>
      <c r="C115" s="20" t="n">
        <v>5</v>
      </c>
      <c r="D115" s="20" t="n">
        <v>5</v>
      </c>
      <c r="E115" s="20" t="n">
        <v>5</v>
      </c>
      <c r="F115" s="20" t="n">
        <v>5</v>
      </c>
      <c r="G115" s="20" t="n">
        <v>5</v>
      </c>
      <c r="H115" s="20" t="n">
        <v>5</v>
      </c>
      <c r="I115" s="20" t="n">
        <v>5</v>
      </c>
      <c r="J115" s="20" t="n">
        <v>5</v>
      </c>
      <c r="K115" s="20" t="n">
        <v>5</v>
      </c>
      <c r="L115" s="20" t="n">
        <v>5</v>
      </c>
    </row>
    <row r="116">
      <c r="A116" s="18" t="inlineStr">
        <is>
          <t>고정자산 철거 충당금</t>
        </is>
      </c>
      <c r="C116" s="20" t="n">
        <v>22</v>
      </c>
      <c r="D116" s="20" t="n">
        <v>22</v>
      </c>
      <c r="E116" s="20" t="n">
        <v>22</v>
      </c>
      <c r="F116" s="20" t="n">
        <v>22</v>
      </c>
      <c r="G116" s="20" t="n">
        <v>22</v>
      </c>
      <c r="H116" s="20" t="n">
        <v>22</v>
      </c>
      <c r="I116" s="20" t="n">
        <v>22</v>
      </c>
      <c r="J116" s="20" t="n">
        <v>22</v>
      </c>
      <c r="K116" s="20" t="n">
        <v>22</v>
      </c>
      <c r="L116" s="20" t="n">
        <v>22</v>
      </c>
    </row>
    <row r="117">
      <c r="A117" s="18" t="inlineStr">
        <is>
          <t>사업 철수 손실 충당금</t>
        </is>
      </c>
      <c r="E117" s="20" t="n">
        <v>0</v>
      </c>
      <c r="F117" s="20" t="n">
        <v>256</v>
      </c>
      <c r="G117" s="20" t="n">
        <v>286</v>
      </c>
      <c r="L117" s="20" t="n">
        <v>0</v>
      </c>
    </row>
    <row r="118">
      <c r="A118" s="18" t="inlineStr">
        <is>
          <t>퇴직급여부채</t>
        </is>
      </c>
      <c r="C118" s="20" t="n">
        <v>124</v>
      </c>
      <c r="D118" s="20" t="n">
        <v>132</v>
      </c>
      <c r="E118" s="20" t="n">
        <v>147</v>
      </c>
      <c r="F118" s="20" t="n">
        <v>147</v>
      </c>
      <c r="G118" s="20" t="n">
        <v>150</v>
      </c>
      <c r="H118" s="20" t="n">
        <v>962</v>
      </c>
      <c r="I118" s="20" t="n">
        <v>361</v>
      </c>
      <c r="J118" s="20" t="n">
        <v>99</v>
      </c>
      <c r="K118" s="20" t="n">
        <v>125</v>
      </c>
      <c r="L118" s="20" t="n">
        <v>147</v>
      </c>
    </row>
    <row r="119">
      <c r="A119" s="18" t="inlineStr">
        <is>
          <t>기타</t>
        </is>
      </c>
      <c r="C119" s="20" t="n">
        <v>2687</v>
      </c>
      <c r="D119" s="20" t="n">
        <v>3078</v>
      </c>
      <c r="E119" s="20" t="n">
        <v>3661</v>
      </c>
      <c r="F119" s="20" t="n">
        <v>4981</v>
      </c>
      <c r="G119" s="20" t="n">
        <v>4587</v>
      </c>
      <c r="H119" s="20" t="n">
        <v>434</v>
      </c>
      <c r="I119" s="20" t="n">
        <v>436</v>
      </c>
      <c r="J119" s="20" t="n">
        <v>437</v>
      </c>
      <c r="K119" s="20" t="n">
        <v>432</v>
      </c>
      <c r="L119" s="20" t="n">
        <v>3661</v>
      </c>
    </row>
    <row r="120">
      <c r="A120" s="9" t="inlineStr">
        <is>
          <t>비유동부채 합계</t>
        </is>
      </c>
      <c r="C120" s="12" t="n">
        <v>3511</v>
      </c>
      <c r="D120" s="12" t="n">
        <v>3942</v>
      </c>
      <c r="E120" s="12" t="n">
        <v>4502</v>
      </c>
      <c r="F120" s="12" t="n">
        <v>6020</v>
      </c>
      <c r="G120" s="12" t="n">
        <v>5664</v>
      </c>
      <c r="H120" s="12" t="n">
        <v>2280</v>
      </c>
      <c r="I120" s="12" t="n">
        <v>1938</v>
      </c>
      <c r="J120" s="12" t="n">
        <v>2814</v>
      </c>
      <c r="K120" s="12" t="n">
        <v>2848</v>
      </c>
      <c r="L120" s="12" t="n">
        <v>4502</v>
      </c>
    </row>
    <row r="121">
      <c r="A121" s="9" t="inlineStr">
        <is>
          <t>부채 합계</t>
        </is>
      </c>
      <c r="C121" s="12" t="n">
        <v>10596</v>
      </c>
      <c r="D121" s="12" t="n">
        <v>10230</v>
      </c>
      <c r="E121" s="12" t="n">
        <v>11159</v>
      </c>
      <c r="F121" s="12" t="n">
        <v>13192</v>
      </c>
      <c r="G121" s="12" t="n">
        <v>13361</v>
      </c>
      <c r="H121" s="12" t="n">
        <v>9780</v>
      </c>
      <c r="I121" s="12" t="n">
        <v>8493</v>
      </c>
      <c r="J121" s="12" t="n">
        <v>10729</v>
      </c>
      <c r="K121" s="12" t="n">
        <v>11287</v>
      </c>
      <c r="L121" s="12" t="n">
        <v>11159</v>
      </c>
    </row>
    <row r="122">
      <c r="A122" s="18" t="inlineStr">
        <is>
          <t>자본금</t>
        </is>
      </c>
      <c r="C122" s="20" t="n">
        <v>5000</v>
      </c>
      <c r="D122" s="20" t="n">
        <v>5000</v>
      </c>
      <c r="E122" s="20" t="n">
        <v>5000</v>
      </c>
      <c r="F122" s="20" t="n">
        <v>5000</v>
      </c>
      <c r="G122" s="20" t="n">
        <v>5000</v>
      </c>
      <c r="H122" s="20" t="n">
        <v>5000</v>
      </c>
      <c r="I122" s="20" t="n">
        <v>5000</v>
      </c>
      <c r="J122" s="20" t="n">
        <v>5000</v>
      </c>
      <c r="K122" s="20" t="n">
        <v>5000</v>
      </c>
      <c r="L122" s="20" t="n">
        <v>5000</v>
      </c>
    </row>
    <row r="123">
      <c r="A123" s="18" t="inlineStr">
        <is>
          <t>자본잉여금</t>
        </is>
      </c>
      <c r="C123" s="20" t="n">
        <v>25650</v>
      </c>
      <c r="D123" s="20" t="n">
        <v>25650</v>
      </c>
      <c r="E123" s="20" t="n">
        <v>25650</v>
      </c>
      <c r="F123" s="20" t="n">
        <v>25650</v>
      </c>
      <c r="G123" s="20" t="n">
        <v>25656</v>
      </c>
      <c r="H123" s="20" t="n">
        <v>25690</v>
      </c>
      <c r="I123" s="20" t="n">
        <v>25647</v>
      </c>
      <c r="J123" s="20" t="n">
        <v>25647</v>
      </c>
      <c r="K123" s="20" t="n">
        <v>25650</v>
      </c>
      <c r="L123" s="20" t="n">
        <v>25650</v>
      </c>
    </row>
    <row r="124">
      <c r="A124" s="18" t="inlineStr">
        <is>
          <t>이익잉여금</t>
        </is>
      </c>
      <c r="C124" s="20" t="n">
        <v>21279</v>
      </c>
      <c r="D124" s="20" t="n">
        <v>21668</v>
      </c>
      <c r="E124" s="20" t="n">
        <v>21948</v>
      </c>
      <c r="F124" s="20" t="n">
        <v>21996</v>
      </c>
      <c r="G124" s="20" t="n">
        <v>22862</v>
      </c>
      <c r="H124" s="20" t="n">
        <v>17331</v>
      </c>
      <c r="I124" s="20" t="n">
        <v>17969</v>
      </c>
      <c r="J124" s="20" t="n">
        <v>19413</v>
      </c>
      <c r="K124" s="20" t="n">
        <v>20637</v>
      </c>
      <c r="L124" s="20" t="n">
        <v>21948</v>
      </c>
    </row>
    <row r="125">
      <c r="A125" s="18" t="inlineStr">
        <is>
          <t>자기주식</t>
        </is>
      </c>
      <c r="C125" s="20" t="n">
        <v>-6207</v>
      </c>
      <c r="D125" s="20" t="n">
        <v>-6208</v>
      </c>
      <c r="E125" s="20" t="n">
        <v>-6208</v>
      </c>
      <c r="F125" s="20" t="n">
        <v>-6209</v>
      </c>
      <c r="G125" s="20" t="n">
        <v>-6204</v>
      </c>
      <c r="H125" s="20" t="n">
        <v>-6228</v>
      </c>
      <c r="I125" s="20" t="n">
        <v>-6229</v>
      </c>
      <c r="J125" s="20" t="n">
        <v>-6225</v>
      </c>
      <c r="K125" s="20" t="n">
        <v>-6215</v>
      </c>
      <c r="L125" s="20" t="n">
        <v>-6208</v>
      </c>
    </row>
    <row r="126">
      <c r="A126" s="9" t="inlineStr">
        <is>
          <t>주주자본 합계</t>
        </is>
      </c>
      <c r="C126" s="12" t="n">
        <v>45722</v>
      </c>
      <c r="D126" s="12" t="n">
        <v>46111</v>
      </c>
      <c r="E126" s="12" t="n">
        <v>46389</v>
      </c>
      <c r="F126" s="12" t="n">
        <v>46437</v>
      </c>
      <c r="G126" s="12" t="n">
        <v>47315</v>
      </c>
      <c r="H126" s="12" t="n">
        <v>41793</v>
      </c>
      <c r="I126" s="12" t="n">
        <v>42386</v>
      </c>
      <c r="J126" s="12" t="n">
        <v>43835</v>
      </c>
      <c r="K126" s="12" t="n">
        <v>45072</v>
      </c>
      <c r="L126" s="12" t="n">
        <v>46389</v>
      </c>
    </row>
    <row r="127">
      <c r="A127" s="18" t="inlineStr">
        <is>
          <t>기타유가증권 평가차액</t>
        </is>
      </c>
      <c r="C127" s="20" t="n">
        <v>5035</v>
      </c>
      <c r="D127" s="20" t="n">
        <v>5858</v>
      </c>
      <c r="E127" s="20" t="n">
        <v>6985</v>
      </c>
      <c r="F127" s="20" t="n">
        <v>9652</v>
      </c>
      <c r="G127" s="20" t="n">
        <v>9087</v>
      </c>
      <c r="H127" s="20" t="n">
        <v>1500</v>
      </c>
      <c r="I127" s="20" t="n">
        <v>1759</v>
      </c>
      <c r="J127" s="20" t="n">
        <v>3979</v>
      </c>
      <c r="K127" s="20" t="n">
        <v>3609</v>
      </c>
      <c r="L127" s="20" t="n">
        <v>6985</v>
      </c>
    </row>
    <row r="128">
      <c r="A128" s="18" t="inlineStr">
        <is>
          <t>해외사업환산조정</t>
        </is>
      </c>
      <c r="C128" s="20" t="n">
        <v>694</v>
      </c>
      <c r="D128" s="20" t="n">
        <v>812</v>
      </c>
      <c r="E128" s="20" t="n">
        <v>1028</v>
      </c>
      <c r="F128" s="20" t="n">
        <v>967</v>
      </c>
      <c r="G128" s="20" t="n">
        <v>968</v>
      </c>
      <c r="H128" s="20" t="n">
        <v>81</v>
      </c>
      <c r="I128" s="20" t="n">
        <v>319</v>
      </c>
      <c r="J128" s="20" t="n">
        <v>555</v>
      </c>
      <c r="K128" s="20" t="n">
        <v>868</v>
      </c>
      <c r="L128" s="20" t="n">
        <v>1028</v>
      </c>
    </row>
    <row r="129">
      <c r="A129" s="18" t="inlineStr">
        <is>
          <t>퇴직급여 조정누계액</t>
        </is>
      </c>
      <c r="C129" s="20" t="n">
        <v>169</v>
      </c>
      <c r="D129" s="20" t="n">
        <v>153</v>
      </c>
      <c r="E129" s="20" t="n">
        <v>243</v>
      </c>
      <c r="F129" s="20" t="n">
        <v>224</v>
      </c>
      <c r="G129" s="20" t="n">
        <v>206</v>
      </c>
      <c r="H129" s="20" t="n">
        <v>44</v>
      </c>
      <c r="I129" s="20" t="n">
        <v>94</v>
      </c>
      <c r="J129" s="20" t="n">
        <v>160</v>
      </c>
      <c r="K129" s="20" t="n">
        <v>195</v>
      </c>
      <c r="L129" s="20" t="n">
        <v>243</v>
      </c>
    </row>
    <row r="130">
      <c r="A130" s="18" t="inlineStr">
        <is>
          <t>기타포괄손익누계액 합계</t>
        </is>
      </c>
      <c r="C130" s="20" t="n">
        <v>5898</v>
      </c>
      <c r="D130" s="20" t="n">
        <v>6824</v>
      </c>
      <c r="E130" s="20" t="n">
        <v>8257</v>
      </c>
      <c r="F130" s="20" t="n">
        <v>10845</v>
      </c>
      <c r="G130" s="20" t="n">
        <v>10261</v>
      </c>
      <c r="H130" s="20" t="n">
        <v>1625</v>
      </c>
      <c r="I130" s="20" t="n">
        <v>2173</v>
      </c>
      <c r="J130" s="20" t="n">
        <v>4695</v>
      </c>
      <c r="K130" s="20" t="n">
        <v>4673</v>
      </c>
      <c r="L130" s="20" t="n">
        <v>8257</v>
      </c>
    </row>
    <row r="131">
      <c r="A131" s="18" t="inlineStr">
        <is>
          <t>비지배지분</t>
        </is>
      </c>
      <c r="C131" s="20" t="n">
        <v>1897</v>
      </c>
      <c r="D131" s="20" t="n">
        <v>2024</v>
      </c>
      <c r="E131" s="20" t="n">
        <v>2206</v>
      </c>
      <c r="F131" s="20" t="n">
        <v>2095</v>
      </c>
      <c r="G131" s="20" t="n">
        <v>2129</v>
      </c>
      <c r="H131" s="20" t="n">
        <v>1480</v>
      </c>
      <c r="I131" s="20" t="n">
        <v>1547</v>
      </c>
      <c r="J131" s="20" t="n">
        <v>1750</v>
      </c>
      <c r="K131" s="20" t="n">
        <v>1985</v>
      </c>
      <c r="L131" s="20" t="n">
        <v>2206</v>
      </c>
    </row>
    <row r="132">
      <c r="A132" s="9" t="inlineStr">
        <is>
          <t>순자산 합계</t>
        </is>
      </c>
      <c r="C132" s="12" t="n">
        <v>53518</v>
      </c>
      <c r="D132" s="12" t="n">
        <v>54961</v>
      </c>
      <c r="E132" s="12" t="n">
        <v>56853</v>
      </c>
      <c r="F132" s="12" t="n">
        <v>59377</v>
      </c>
      <c r="G132" s="12" t="n">
        <v>59706</v>
      </c>
      <c r="H132" s="12" t="n">
        <v>44899</v>
      </c>
      <c r="I132" s="12" t="n">
        <v>46107</v>
      </c>
      <c r="J132" s="12" t="n">
        <v>50281</v>
      </c>
      <c r="K132" s="12" t="n">
        <v>51731</v>
      </c>
      <c r="L132" s="12" t="n">
        <v>56853</v>
      </c>
    </row>
    <row r="133">
      <c r="A133" s="9" t="inlineStr">
        <is>
          <t>부채·순자산 합계</t>
        </is>
      </c>
      <c r="C133" s="12" t="n">
        <v>64115</v>
      </c>
      <c r="D133" s="12" t="n">
        <v>65191</v>
      </c>
      <c r="E133" s="12" t="n">
        <v>68012</v>
      </c>
      <c r="F133" s="12" t="n">
        <v>72570</v>
      </c>
      <c r="G133" s="12" t="n">
        <v>73067</v>
      </c>
      <c r="H133" s="12" t="n">
        <v>54680</v>
      </c>
      <c r="I133" s="12" t="n">
        <v>54600</v>
      </c>
      <c r="J133" s="12" t="n">
        <v>61010</v>
      </c>
      <c r="K133" s="12" t="n">
        <v>63018</v>
      </c>
      <c r="L133" s="12" t="n">
        <v>68012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4229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2Q standalone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89.3</v>
      </c>
      <c r="G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23.5</v>
      </c>
    </row>
    <row r="8">
      <c r="A8" s="54" t="inlineStr">
        <is>
          <t>sga</t>
        </is>
      </c>
      <c r="B8" s="55" t="n">
        <v>12.1</v>
      </c>
    </row>
    <row r="9">
      <c r="A9" s="54" t="inlineStr">
        <is>
          <t>영업이익</t>
        </is>
      </c>
      <c r="B9" s="55" t="n">
        <v>11.4</v>
      </c>
    </row>
    <row r="10">
      <c r="A10" s="54" t="inlineStr">
        <is>
          <t>ordinary</t>
        </is>
      </c>
      <c r="B10" s="55" t="n">
        <v>12.6</v>
      </c>
    </row>
    <row r="11">
      <c r="A11" s="54" t="inlineStr">
        <is>
          <t>pbt</t>
        </is>
      </c>
      <c r="B11" s="55" t="n">
        <v>11.9</v>
      </c>
    </row>
    <row r="12">
      <c r="A12" s="54" t="inlineStr">
        <is>
          <t>순이익</t>
        </is>
      </c>
      <c r="B12" s="55" t="n">
        <v>8.699999999999999</v>
      </c>
    </row>
    <row r="14">
      <c r="A14" s="52" t="inlineStr">
        <is>
          <t>this results · 상반기</t>
        </is>
      </c>
      <c r="B14" s="52" t="n"/>
      <c r="C14" s="52" t="n"/>
      <c r="D14" s="52" t="n"/>
      <c r="E14" s="52" t="n"/>
      <c r="F14" s="52" t="n"/>
      <c r="G14" s="52" t="n"/>
    </row>
    <row r="15">
      <c r="A15" s="53" t="inlineStr">
        <is>
          <t>항목</t>
        </is>
      </c>
      <c r="B15" s="53" t="inlineStr">
        <is>
          <t>값</t>
        </is>
      </c>
      <c r="G15" s="53" t="inlineStr">
        <is>
          <t>출처</t>
        </is>
      </c>
    </row>
    <row r="16">
      <c r="A16" s="54" t="inlineStr">
        <is>
          <t>매출</t>
        </is>
      </c>
      <c r="B16" s="55" t="n">
        <v>173.69</v>
      </c>
      <c r="G16" s="56" t="inlineStr">
        <is>
          <t>2단계 보고서 자료(회사 설명회 자료·공시)</t>
        </is>
      </c>
    </row>
    <row r="17">
      <c r="A17" s="54" t="inlineStr">
        <is>
          <t>매출 YoY</t>
        </is>
      </c>
      <c r="B17" s="55" t="n">
        <v>11.6</v>
      </c>
    </row>
    <row r="18">
      <c r="A18" s="54" t="inlineStr">
        <is>
          <t>cogs</t>
        </is>
      </c>
      <c r="B18" s="55" t="n">
        <v>128.31</v>
      </c>
    </row>
    <row r="19">
      <c r="A19" s="54" t="inlineStr">
        <is>
          <t>gp</t>
        </is>
      </c>
      <c r="B19" s="55" t="n">
        <v>45.38</v>
      </c>
    </row>
    <row r="20">
      <c r="A20" s="54" t="inlineStr">
        <is>
          <t>sga</t>
        </is>
      </c>
      <c r="B20" s="55" t="n">
        <v>23.65</v>
      </c>
    </row>
    <row r="21">
      <c r="A21" s="54" t="inlineStr">
        <is>
          <t>영업이익</t>
        </is>
      </c>
      <c r="B21" s="55" t="n">
        <v>21.72</v>
      </c>
    </row>
    <row r="22">
      <c r="A22" s="54" t="inlineStr">
        <is>
          <t>영업이익 YoY</t>
        </is>
      </c>
      <c r="B22" s="55" t="n">
        <v>55.3</v>
      </c>
    </row>
    <row r="23">
      <c r="A23" s="54" t="inlineStr">
        <is>
          <t>ordinary</t>
        </is>
      </c>
      <c r="B23" s="55" t="n">
        <v>23.95</v>
      </c>
    </row>
    <row r="24">
      <c r="A24" s="54" t="inlineStr">
        <is>
          <t>ord YoY</t>
        </is>
      </c>
      <c r="B24" s="55" t="n">
        <v>58.6</v>
      </c>
    </row>
    <row r="25">
      <c r="A25" s="54" t="inlineStr">
        <is>
          <t>순이익</t>
        </is>
      </c>
      <c r="B25" s="55" t="n">
        <v>12.46</v>
      </c>
    </row>
    <row r="26">
      <c r="A26" s="54" t="inlineStr">
        <is>
          <t>순이익 YoY</t>
        </is>
      </c>
      <c r="B26" s="55" t="n">
        <v>28</v>
      </c>
    </row>
    <row r="27">
      <c r="A27" s="54" t="inlineStr">
        <is>
          <t>EPS</t>
        </is>
      </c>
      <c r="B27" s="55" t="n">
        <v>187.81</v>
      </c>
    </row>
    <row r="29">
      <c r="A29" s="52" t="inlineStr">
        <is>
          <t>this results · implied 2H</t>
        </is>
      </c>
      <c r="B29" s="52" t="n"/>
      <c r="C29" s="52" t="n"/>
      <c r="D29" s="52" t="n"/>
      <c r="E29" s="52" t="n"/>
      <c r="F29" s="52" t="n"/>
      <c r="G29" s="52" t="n"/>
    </row>
    <row r="30">
      <c r="A30" s="53" t="inlineStr">
        <is>
          <t>항목</t>
        </is>
      </c>
      <c r="B30" s="53" t="inlineStr">
        <is>
          <t>값</t>
        </is>
      </c>
      <c r="G30" s="53" t="inlineStr">
        <is>
          <t>출처</t>
        </is>
      </c>
    </row>
    <row r="31">
      <c r="A31" s="54" t="inlineStr">
        <is>
          <t>매출</t>
        </is>
      </c>
      <c r="B31" s="55" t="n">
        <v>169.3</v>
      </c>
      <c r="G31" s="56" t="inlineStr">
        <is>
          <t>2단계 보고서 자료(회사 설명회 자료·공시)</t>
        </is>
      </c>
    </row>
    <row r="32">
      <c r="A32" s="54" t="inlineStr">
        <is>
          <t>영업이익</t>
        </is>
      </c>
      <c r="B32" s="55" t="n">
        <v>8.300000000000001</v>
      </c>
    </row>
    <row r="33">
      <c r="A33" s="54" t="inlineStr">
        <is>
          <t>순이익</t>
        </is>
      </c>
      <c r="B33" s="55" t="n">
        <v>8.5</v>
      </c>
    </row>
    <row r="35">
      <c r="A35" s="52" t="inlineStr">
        <is>
          <t>this results · dps</t>
        </is>
      </c>
      <c r="B35" s="52" t="n"/>
      <c r="C35" s="52" t="n"/>
      <c r="D35" s="52" t="n"/>
      <c r="E35" s="52" t="n"/>
      <c r="F35" s="52" t="n"/>
      <c r="G35" s="52" t="n"/>
    </row>
    <row r="36">
      <c r="A36" s="53" t="inlineStr">
        <is>
          <t>항목</t>
        </is>
      </c>
      <c r="B36" s="53" t="inlineStr">
        <is>
          <t>값</t>
        </is>
      </c>
      <c r="G36" s="53" t="inlineStr">
        <is>
          <t>출처</t>
        </is>
      </c>
    </row>
    <row r="37">
      <c r="A37" s="54" t="inlineStr">
        <is>
          <t>FY26</t>
        </is>
      </c>
      <c r="B37" s="57" t="n">
        <v>100</v>
      </c>
      <c r="G37" s="56" t="inlineStr">
        <is>
          <t>2단계 보고서 자료(회사 설명회 자료·공시)</t>
        </is>
      </c>
    </row>
    <row r="38">
      <c r="A38" s="54" t="inlineStr">
        <is>
          <t>FY27 guide</t>
        </is>
      </c>
      <c r="B38" s="57" t="n">
        <v>120</v>
      </c>
    </row>
    <row r="39">
      <c r="A39" s="54" t="inlineStr">
        <is>
          <t>interim</t>
        </is>
      </c>
      <c r="B39" s="57" t="n">
        <v>65</v>
      </c>
    </row>
    <row r="41">
      <c r="A41" s="52" t="inlineStr">
        <is>
          <t>this results · bs 2026 09</t>
        </is>
      </c>
      <c r="B41" s="52" t="n"/>
      <c r="C41" s="52" t="n"/>
      <c r="D41" s="52" t="n"/>
      <c r="E41" s="52" t="n"/>
      <c r="F41" s="52" t="n"/>
      <c r="G41" s="52" t="n"/>
    </row>
    <row r="42">
      <c r="A42" s="53" t="inlineStr">
        <is>
          <t>항목</t>
        </is>
      </c>
      <c r="B42" s="53" t="inlineStr">
        <is>
          <t>값</t>
        </is>
      </c>
      <c r="G42" s="53" t="inlineStr">
        <is>
          <t>출처</t>
        </is>
      </c>
    </row>
    <row r="43">
      <c r="A43" s="54" t="inlineStr">
        <is>
          <t>합계 assets</t>
        </is>
      </c>
      <c r="B43" s="55" t="n">
        <v>730.67</v>
      </c>
      <c r="G43" s="56" t="inlineStr">
        <is>
          <t>2단계 보고서 자료(회사 설명회 자료·공시)</t>
        </is>
      </c>
    </row>
    <row r="44">
      <c r="A44" s="54" t="inlineStr">
        <is>
          <t>net assets</t>
        </is>
      </c>
      <c r="B44" s="55" t="n">
        <v>597.0599999999999</v>
      </c>
    </row>
    <row r="45">
      <c r="A45" s="54" t="inlineStr">
        <is>
          <t>equity ratio</t>
        </is>
      </c>
      <c r="B45" s="55" t="n">
        <v>78.8</v>
      </c>
    </row>
    <row r="46">
      <c r="A46" s="54" t="inlineStr">
        <is>
          <t>cash</t>
        </is>
      </c>
      <c r="B46" s="55" t="n">
        <v>107.89</v>
      </c>
    </row>
    <row r="47">
      <c r="A47" s="54" t="inlineStr">
        <is>
          <t>securities</t>
        </is>
      </c>
      <c r="B47" s="55" t="n">
        <v>12.92</v>
      </c>
    </row>
    <row r="48">
      <c r="A48" s="54" t="inlineStr">
        <is>
          <t>inv securities</t>
        </is>
      </c>
      <c r="B48" s="55" t="n">
        <v>192.57</v>
      </c>
    </row>
    <row r="49">
      <c r="A49" s="54" t="inlineStr">
        <is>
          <t>cip</t>
        </is>
      </c>
      <c r="B49" s="55" t="n">
        <v>42.86</v>
      </c>
    </row>
    <row r="50">
      <c r="A50" s="54" t="inlineStr">
        <is>
          <t>receivables</t>
        </is>
      </c>
      <c r="B50" s="55" t="n">
        <v>89.89999999999999</v>
      </c>
    </row>
    <row r="51">
      <c r="A51" s="54" t="inlineStr">
        <is>
          <t>inventory</t>
        </is>
      </c>
      <c r="B51" s="55" t="n">
        <v>59.36</v>
      </c>
    </row>
    <row r="52">
      <c r="A52" s="54" t="inlineStr">
        <is>
          <t>payables</t>
        </is>
      </c>
      <c r="B52" s="55" t="n">
        <v>50.99</v>
      </c>
    </row>
    <row r="54">
      <c r="A54" s="52" t="inlineStr">
        <is>
          <t>this results · shares</t>
        </is>
      </c>
      <c r="B54" s="52" t="n"/>
      <c r="C54" s="52" t="n"/>
      <c r="D54" s="52" t="n"/>
      <c r="E54" s="52" t="n"/>
      <c r="F54" s="52" t="n"/>
      <c r="G54" s="52" t="n"/>
    </row>
    <row r="55">
      <c r="A55" s="53" t="inlineStr">
        <is>
          <t>항목</t>
        </is>
      </c>
      <c r="B55" s="53" t="inlineStr">
        <is>
          <t>값</t>
        </is>
      </c>
      <c r="G55" s="53" t="inlineStr">
        <is>
          <t>출처</t>
        </is>
      </c>
    </row>
    <row r="56">
      <c r="A56" s="54" t="inlineStr">
        <is>
          <t>issued</t>
        </is>
      </c>
      <c r="B56" s="57" t="n">
        <v>8998308</v>
      </c>
      <c r="G56" s="56" t="inlineStr">
        <is>
          <t>2단계 보고서 자료(회사 설명회 자료·공시)</t>
        </is>
      </c>
    </row>
    <row r="57">
      <c r="A57" s="54" t="inlineStr">
        <is>
          <t>treasury</t>
        </is>
      </c>
      <c r="B57" s="57" t="n">
        <v>2360128</v>
      </c>
    </row>
    <row r="58">
      <c r="A58" s="54" t="inlineStr">
        <is>
          <t>outstanding</t>
        </is>
      </c>
      <c r="B58" s="57" t="n">
        <v>6638180</v>
      </c>
    </row>
    <row r="60">
      <c r="A60" s="52" t="inlineStr">
        <is>
          <t>bs annual</t>
        </is>
      </c>
      <c r="B60" s="52" t="n"/>
      <c r="C60" s="52" t="n"/>
      <c r="D60" s="52" t="n"/>
      <c r="E60" s="52" t="n"/>
      <c r="F60" s="52" t="n"/>
      <c r="G60" s="52" t="n"/>
    </row>
    <row r="61">
      <c r="A61" s="53" t="inlineStr">
        <is>
          <t>항목</t>
        </is>
      </c>
      <c r="B61" s="53" t="inlineStr">
        <is>
          <t>2022</t>
        </is>
      </c>
      <c r="C61" s="53" t="inlineStr">
        <is>
          <t>2023</t>
        </is>
      </c>
      <c r="D61" s="53" t="inlineStr">
        <is>
          <t>2024</t>
        </is>
      </c>
      <c r="E61" s="53" t="inlineStr">
        <is>
          <t>2025</t>
        </is>
      </c>
      <c r="F61" s="53" t="inlineStr">
        <is>
          <t>2026</t>
        </is>
      </c>
      <c r="G61" s="53" t="inlineStr">
        <is>
          <t>출처</t>
        </is>
      </c>
    </row>
    <row r="62">
      <c r="A62" s="54" t="inlineStr">
        <is>
          <t>labels</t>
        </is>
      </c>
      <c r="B62" s="57" t="n">
        <v>2022</v>
      </c>
      <c r="C62" s="57" t="n">
        <v>2023</v>
      </c>
      <c r="D62" s="57" t="n">
        <v>2024</v>
      </c>
      <c r="E62" s="57" t="n">
        <v>2025</v>
      </c>
      <c r="F62" s="57" t="n">
        <v>2026</v>
      </c>
      <c r="G62" s="56" t="inlineStr">
        <is>
          <t>2단계 보고서 자료(회사 설명회 자료·공시)</t>
        </is>
      </c>
    </row>
    <row r="63">
      <c r="A63" s="54" t="inlineStr">
        <is>
          <t>current assets</t>
        </is>
      </c>
      <c r="B63" s="55" t="n">
        <v>243.4</v>
      </c>
      <c r="C63" s="55" t="n">
        <v>239.8</v>
      </c>
      <c r="D63" s="55" t="n">
        <v>243.5</v>
      </c>
      <c r="E63" s="55" t="n">
        <v>252.8</v>
      </c>
      <c r="F63" s="55" t="n">
        <v>253.6</v>
      </c>
    </row>
    <row r="64">
      <c r="A64" s="54" t="inlineStr">
        <is>
          <t>cash</t>
        </is>
      </c>
      <c r="B64" s="55" t="n">
        <v>69.90000000000001</v>
      </c>
      <c r="C64" s="55" t="n">
        <v>77.59999999999999</v>
      </c>
      <c r="D64" s="55" t="n">
        <v>86.3</v>
      </c>
      <c r="E64" s="55" t="n">
        <v>92.5</v>
      </c>
      <c r="F64" s="55" t="n">
        <v>102</v>
      </c>
    </row>
    <row r="65">
      <c r="A65" s="54" t="inlineStr">
        <is>
          <t>st fin</t>
        </is>
      </c>
      <c r="B65" s="55" t="n">
        <v>37</v>
      </c>
      <c r="C65" s="55" t="n">
        <v>15</v>
      </c>
      <c r="D65" s="55" t="n">
        <v>9.199999999999999</v>
      </c>
      <c r="E65" s="55" t="n">
        <v>17</v>
      </c>
      <c r="F65" s="55" t="n">
        <v>14.9</v>
      </c>
    </row>
    <row r="66">
      <c r="A66" s="54" t="inlineStr">
        <is>
          <t>receivables</t>
        </is>
      </c>
      <c r="B66" s="55" t="n">
        <v>77.5</v>
      </c>
      <c r="C66" s="55" t="n">
        <v>75.8</v>
      </c>
      <c r="D66" s="55" t="n">
        <v>73.7</v>
      </c>
      <c r="E66" s="55" t="n">
        <v>70.90000000000001</v>
      </c>
      <c r="F66" s="55" t="n">
        <v>68.40000000000001</v>
      </c>
    </row>
    <row r="67">
      <c r="A67" s="54" t="inlineStr">
        <is>
          <t>inventory</t>
        </is>
      </c>
      <c r="B67" s="55" t="n">
        <v>47.2</v>
      </c>
      <c r="C67" s="55" t="n">
        <v>57.9</v>
      </c>
      <c r="D67" s="55" t="n">
        <v>58.6</v>
      </c>
      <c r="E67" s="55" t="n">
        <v>57.5</v>
      </c>
      <c r="F67" s="55" t="n">
        <v>53.6</v>
      </c>
    </row>
    <row r="68">
      <c r="A68" s="54" t="inlineStr">
        <is>
          <t>noncurrent assets</t>
        </is>
      </c>
      <c r="B68" s="55" t="n">
        <v>303.4</v>
      </c>
      <c r="C68" s="55" t="n">
        <v>306.2</v>
      </c>
      <c r="D68" s="55" t="n">
        <v>366.6</v>
      </c>
      <c r="E68" s="55" t="n">
        <v>377.3</v>
      </c>
      <c r="F68" s="55" t="n">
        <v>426.5</v>
      </c>
    </row>
    <row r="69">
      <c r="A69" s="54" t="inlineStr">
        <is>
          <t>ppe</t>
        </is>
      </c>
      <c r="B69" s="55" t="n">
        <v>191.6</v>
      </c>
      <c r="C69" s="55" t="n">
        <v>190</v>
      </c>
      <c r="D69" s="55" t="n">
        <v>204.4</v>
      </c>
      <c r="E69" s="55" t="n">
        <v>224.9</v>
      </c>
      <c r="F69" s="55" t="n">
        <v>241.2</v>
      </c>
    </row>
    <row r="70">
      <c r="A70" s="54" t="inlineStr">
        <is>
          <t>intangibles</t>
        </is>
      </c>
      <c r="B70" s="55" t="n">
        <v>2.6</v>
      </c>
      <c r="C70" s="55" t="n">
        <v>1.2</v>
      </c>
      <c r="D70" s="55" t="n">
        <v>1.4</v>
      </c>
      <c r="E70" s="55" t="n">
        <v>1.5</v>
      </c>
      <c r="F70" s="55" t="n">
        <v>2</v>
      </c>
    </row>
    <row r="71">
      <c r="A71" s="54" t="inlineStr">
        <is>
          <t>inv property</t>
        </is>
      </c>
      <c r="B71" s="58" t="n"/>
      <c r="C71" s="58" t="n"/>
      <c r="D71" s="58" t="n"/>
      <c r="E71" s="58" t="n"/>
      <c r="F71" s="58" t="n"/>
    </row>
    <row r="72">
      <c r="A72" s="54" t="inlineStr">
        <is>
          <t>합계 assets</t>
        </is>
      </c>
      <c r="B72" s="55" t="n">
        <v>546.8</v>
      </c>
      <c r="C72" s="55" t="n">
        <v>546</v>
      </c>
      <c r="D72" s="55" t="n">
        <v>610.1</v>
      </c>
      <c r="E72" s="55" t="n">
        <v>630.2</v>
      </c>
      <c r="F72" s="55" t="n">
        <v>680.1</v>
      </c>
    </row>
    <row r="73">
      <c r="A73" s="54" t="inlineStr">
        <is>
          <t>current liab</t>
        </is>
      </c>
      <c r="B73" s="55" t="n">
        <v>75</v>
      </c>
      <c r="C73" s="55" t="n">
        <v>65.5</v>
      </c>
      <c r="D73" s="55" t="n">
        <v>79.09999999999999</v>
      </c>
      <c r="E73" s="55" t="n">
        <v>84.40000000000001</v>
      </c>
      <c r="F73" s="55" t="n">
        <v>66.59999999999999</v>
      </c>
    </row>
    <row r="74">
      <c r="A74" s="54" t="inlineStr">
        <is>
          <t>payables</t>
        </is>
      </c>
      <c r="B74" s="55" t="n">
        <v>48.1</v>
      </c>
      <c r="C74" s="55" t="n">
        <v>44.7</v>
      </c>
      <c r="D74" s="55" t="n">
        <v>43.1</v>
      </c>
      <c r="E74" s="55" t="n">
        <v>43.9</v>
      </c>
      <c r="F74" s="55" t="n">
        <v>40.8</v>
      </c>
    </row>
    <row r="75">
      <c r="A75" s="54" t="inlineStr">
        <is>
          <t>st debt</t>
        </is>
      </c>
      <c r="B75" s="58" t="n"/>
      <c r="C75" s="58" t="n"/>
      <c r="D75" s="58" t="n"/>
      <c r="E75" s="58" t="n"/>
      <c r="F75" s="58" t="n"/>
    </row>
    <row r="76">
      <c r="A76" s="54" t="inlineStr">
        <is>
          <t>noncurrent liab</t>
        </is>
      </c>
      <c r="B76" s="55" t="n">
        <v>22.8</v>
      </c>
      <c r="C76" s="55" t="n">
        <v>19.4</v>
      </c>
      <c r="D76" s="55" t="n">
        <v>28.1</v>
      </c>
      <c r="E76" s="55" t="n">
        <v>28.5</v>
      </c>
      <c r="F76" s="55" t="n">
        <v>45</v>
      </c>
    </row>
    <row r="77">
      <c r="A77" s="54" t="inlineStr">
        <is>
          <t>lt debt</t>
        </is>
      </c>
      <c r="B77" s="58" t="n"/>
      <c r="C77" s="58" t="n"/>
      <c r="D77" s="58" t="n"/>
      <c r="E77" s="58" t="n"/>
      <c r="F77" s="58" t="n"/>
    </row>
    <row r="78">
      <c r="A78" s="54" t="inlineStr">
        <is>
          <t>bonds</t>
        </is>
      </c>
      <c r="B78" s="58" t="n"/>
      <c r="C78" s="58" t="n"/>
      <c r="D78" s="58" t="n"/>
      <c r="E78" s="58" t="n"/>
      <c r="F78" s="58" t="n"/>
    </row>
    <row r="79">
      <c r="A79" s="54" t="inlineStr">
        <is>
          <t>합계 liab</t>
        </is>
      </c>
      <c r="B79" s="55" t="n">
        <v>97.8</v>
      </c>
      <c r="C79" s="55" t="n">
        <v>84.90000000000001</v>
      </c>
      <c r="D79" s="55" t="n">
        <v>107.3</v>
      </c>
      <c r="E79" s="55" t="n">
        <v>112.9</v>
      </c>
      <c r="F79" s="55" t="n">
        <v>111.6</v>
      </c>
    </row>
    <row r="80">
      <c r="A80" s="54" t="inlineStr">
        <is>
          <t>capital stock</t>
        </is>
      </c>
      <c r="B80" s="55" t="n">
        <v>50</v>
      </c>
      <c r="C80" s="55" t="n">
        <v>50</v>
      </c>
      <c r="D80" s="55" t="n">
        <v>50</v>
      </c>
      <c r="E80" s="55" t="n">
        <v>50</v>
      </c>
      <c r="F80" s="55" t="n">
        <v>50</v>
      </c>
    </row>
    <row r="81">
      <c r="A81" s="54" t="inlineStr">
        <is>
          <t>retained</t>
        </is>
      </c>
      <c r="B81" s="55" t="n">
        <v>173.3</v>
      </c>
      <c r="C81" s="55" t="n">
        <v>179.7</v>
      </c>
      <c r="D81" s="55" t="n">
        <v>194.1</v>
      </c>
      <c r="E81" s="55" t="n">
        <v>206.4</v>
      </c>
      <c r="F81" s="55" t="n">
        <v>219.5</v>
      </c>
    </row>
    <row r="82">
      <c r="A82" s="54" t="inlineStr">
        <is>
          <t>nci</t>
        </is>
      </c>
      <c r="B82" s="55" t="n">
        <v>14.8</v>
      </c>
      <c r="C82" s="55" t="n">
        <v>15.5</v>
      </c>
      <c r="D82" s="55" t="n">
        <v>17.5</v>
      </c>
      <c r="E82" s="55" t="n">
        <v>19.9</v>
      </c>
      <c r="F82" s="55" t="n">
        <v>22.1</v>
      </c>
    </row>
    <row r="83">
      <c r="A83" s="54" t="inlineStr">
        <is>
          <t>합계 equity</t>
        </is>
      </c>
      <c r="B83" s="55" t="n">
        <v>449</v>
      </c>
      <c r="C83" s="55" t="n">
        <v>461.1</v>
      </c>
      <c r="D83" s="55" t="n">
        <v>502.8</v>
      </c>
      <c r="E83" s="55" t="n">
        <v>517.3</v>
      </c>
      <c r="F83" s="55" t="n">
        <v>568.5</v>
      </c>
    </row>
    <row r="84">
      <c r="A84" s="54" t="inlineStr">
        <is>
          <t>current ltd</t>
        </is>
      </c>
      <c r="B84" s="58" t="n"/>
      <c r="C84" s="58" t="n"/>
      <c r="D84" s="58" t="n"/>
      <c r="E84" s="58" t="n"/>
      <c r="F84" s="58" t="n"/>
    </row>
    <row r="85">
      <c r="A85" s="54" t="inlineStr">
        <is>
          <t>equity owner</t>
        </is>
      </c>
      <c r="B85" s="55" t="n">
        <v>434.2</v>
      </c>
      <c r="C85" s="55" t="n">
        <v>445.6</v>
      </c>
      <c r="D85" s="55" t="n">
        <v>485.3</v>
      </c>
      <c r="E85" s="55" t="n">
        <v>497.5</v>
      </c>
      <c r="F85" s="55" t="n">
        <v>546.5</v>
      </c>
    </row>
    <row r="87">
      <c r="A87" s="52" t="inlineStr">
        <is>
          <t>cf annual</t>
        </is>
      </c>
      <c r="B87" s="52" t="n"/>
      <c r="C87" s="52" t="n"/>
      <c r="D87" s="52" t="n"/>
      <c r="E87" s="52" t="n"/>
      <c r="F87" s="52" t="n"/>
      <c r="G87" s="52" t="n"/>
    </row>
    <row r="88">
      <c r="A88" s="53" t="inlineStr">
        <is>
          <t>항목</t>
        </is>
      </c>
      <c r="B88" s="53" t="inlineStr">
        <is>
          <t>2022</t>
        </is>
      </c>
      <c r="C88" s="53" t="inlineStr">
        <is>
          <t>2023</t>
        </is>
      </c>
      <c r="D88" s="53" t="inlineStr">
        <is>
          <t>2024</t>
        </is>
      </c>
      <c r="E88" s="53" t="inlineStr">
        <is>
          <t>2025</t>
        </is>
      </c>
      <c r="F88" s="53" t="inlineStr">
        <is>
          <t>2026</t>
        </is>
      </c>
      <c r="G88" s="53" t="inlineStr">
        <is>
          <t>출처</t>
        </is>
      </c>
    </row>
    <row r="89">
      <c r="A89" s="54" t="inlineStr">
        <is>
          <t>labels</t>
        </is>
      </c>
      <c r="B89" s="57" t="n">
        <v>2022</v>
      </c>
      <c r="C89" s="57" t="n">
        <v>2023</v>
      </c>
      <c r="D89" s="57" t="n">
        <v>2024</v>
      </c>
      <c r="E89" s="57" t="n">
        <v>2025</v>
      </c>
      <c r="F89" s="57" t="n">
        <v>2026</v>
      </c>
      <c r="G89" s="56" t="inlineStr">
        <is>
          <t>2단계 보고서 자료(회사 설명회 자료·공시)</t>
        </is>
      </c>
    </row>
    <row r="90">
      <c r="A90" s="54" t="inlineStr">
        <is>
          <t>ocf</t>
        </is>
      </c>
      <c r="B90" s="55" t="n">
        <v>24.5</v>
      </c>
      <c r="C90" s="55" t="n">
        <v>12</v>
      </c>
      <c r="D90" s="55" t="n">
        <v>36.4</v>
      </c>
      <c r="E90" s="55" t="n">
        <v>43.3</v>
      </c>
      <c r="F90" s="55" t="n">
        <v>45.8</v>
      </c>
    </row>
    <row r="91">
      <c r="A91" s="54" t="inlineStr">
        <is>
          <t>설비투자</t>
        </is>
      </c>
      <c r="B91" s="55" t="n">
        <v>11.6</v>
      </c>
      <c r="C91" s="55" t="n">
        <v>17.3</v>
      </c>
      <c r="D91" s="55" t="n">
        <v>18.2</v>
      </c>
      <c r="E91" s="55" t="n">
        <v>29.5</v>
      </c>
      <c r="F91" s="55" t="n">
        <v>51.7</v>
      </c>
    </row>
    <row r="92">
      <c r="A92" s="54" t="inlineStr">
        <is>
          <t>dividends</t>
        </is>
      </c>
      <c r="B92" s="55" t="n">
        <v>5.9</v>
      </c>
      <c r="C92" s="55" t="n">
        <v>5.6</v>
      </c>
      <c r="D92" s="55" t="n">
        <v>6</v>
      </c>
      <c r="E92" s="55" t="n">
        <v>6.9</v>
      </c>
      <c r="F92" s="55" t="n">
        <v>6.6</v>
      </c>
    </row>
    <row r="94">
      <c r="A94" s="52" t="inlineStr">
        <is>
          <t>reactions</t>
        </is>
      </c>
      <c r="B94" s="52" t="n"/>
      <c r="C94" s="52" t="n"/>
      <c r="D94" s="52" t="n"/>
      <c r="E94" s="52" t="n"/>
      <c r="F94" s="52" t="n"/>
      <c r="G94" s="52" t="n"/>
    </row>
    <row r="95">
      <c r="A95" s="53" t="inlineStr">
        <is>
          <t>항목</t>
        </is>
      </c>
      <c r="B95" s="53" t="inlineStr">
        <is>
          <t>기준일</t>
        </is>
      </c>
      <c r="C95" s="53" t="inlineStr">
        <is>
          <t>다음날</t>
        </is>
      </c>
      <c r="D95" s="53" t="inlineStr">
        <is>
          <t>등락%</t>
        </is>
      </c>
      <c r="G95" s="53" t="inlineStr">
        <is>
          <t>출처</t>
        </is>
      </c>
    </row>
    <row r="96">
      <c r="A96" s="54" t="inlineStr">
        <is>
          <t>2025-01-31</t>
        </is>
      </c>
      <c r="B96" s="58" t="inlineStr">
        <is>
          <t>2025-01-31</t>
        </is>
      </c>
      <c r="C96" s="58" t="inlineStr">
        <is>
          <t>2025-02-03</t>
        </is>
      </c>
      <c r="D96" s="55" t="n">
        <v>-3.4</v>
      </c>
      <c r="G96" s="56" t="inlineStr">
        <is>
          <t>2단계 보고서 자료(회사 설명회 자료·공시)</t>
        </is>
      </c>
    </row>
    <row r="97">
      <c r="A97" s="54" t="inlineStr">
        <is>
          <t>2025-05-15</t>
        </is>
      </c>
      <c r="B97" s="58" t="inlineStr">
        <is>
          <t>2025-05-15</t>
        </is>
      </c>
      <c r="C97" s="58" t="inlineStr">
        <is>
          <t>2025-05-16</t>
        </is>
      </c>
      <c r="D97" s="55" t="n">
        <v>-1</v>
      </c>
    </row>
    <row r="98">
      <c r="A98" s="54" t="inlineStr">
        <is>
          <t>2025-07-31</t>
        </is>
      </c>
      <c r="B98" s="58" t="inlineStr">
        <is>
          <t>2025-07-31</t>
        </is>
      </c>
      <c r="C98" s="58" t="inlineStr">
        <is>
          <t>2025-08-01</t>
        </is>
      </c>
      <c r="D98" s="55" t="n">
        <v>0.8</v>
      </c>
    </row>
    <row r="99">
      <c r="A99" s="54" t="inlineStr">
        <is>
          <t>2025-10-29</t>
        </is>
      </c>
      <c r="B99" s="58" t="inlineStr">
        <is>
          <t>2025-10-29</t>
        </is>
      </c>
      <c r="C99" s="58" t="inlineStr">
        <is>
          <t>2025-10-30</t>
        </is>
      </c>
      <c r="D99" s="55" t="n">
        <v>-4.8</v>
      </c>
    </row>
    <row r="100">
      <c r="A100" s="54" t="inlineStr">
        <is>
          <t>2026-01-30</t>
        </is>
      </c>
      <c r="B100" s="58" t="inlineStr">
        <is>
          <t>2026-01-30</t>
        </is>
      </c>
      <c r="C100" s="58" t="inlineStr">
        <is>
          <t>2026-02-02</t>
        </is>
      </c>
      <c r="D100" s="55" t="n">
        <v>-3.1</v>
      </c>
    </row>
    <row r="101">
      <c r="A101" s="54" t="inlineStr">
        <is>
          <t>2026-05-14</t>
        </is>
      </c>
      <c r="B101" s="58" t="inlineStr">
        <is>
          <t>2026-05-14</t>
        </is>
      </c>
      <c r="C101" s="58" t="inlineStr">
        <is>
          <t>2026-05-15</t>
        </is>
      </c>
      <c r="D101" s="55" t="n">
        <v>-16.8</v>
      </c>
    </row>
    <row r="102">
      <c r="A102" s="54" t="inlineStr">
        <is>
          <t>2026-07-30</t>
        </is>
      </c>
      <c r="B102" s="58" t="inlineStr">
        <is>
          <t>2026-07-30</t>
        </is>
      </c>
      <c r="C102" s="58" t="inlineStr">
        <is>
          <t>2026-07-31</t>
        </is>
      </c>
      <c r="D102" s="55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https://www2.jpx.co.jp/disc/42290/140120261027557114.pdf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https://www2.jpx.co.jp/disc/42290/140120260728500993.pdf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https://www2.jpx.co.jp/disc/42290/140120260513529526.pdf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https://www2.jpx.co.jp/disc/42290/140120260128539826.pdf</t>
        </is>
      </c>
    </row>
    <row r="8">
      <c r="A8" t="inlineStr">
        <is>
          <t>2025-10-29</t>
        </is>
      </c>
      <c r="B8" t="inlineStr">
        <is>
          <t>2026년 3월 결산기 ２분기 결산단신</t>
        </is>
      </c>
      <c r="C8" t="inlineStr">
        <is>
          <t>https://www2.jpx.co.jp/disc/42290/140120251028580362.pdf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https://www2.jpx.co.jp/disc/42290/140120250729522788.pdf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https://www2.jpx.co.jp/disc/42290/140120250513547283.pdf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https://www2.jpx.co.jp/disc/42290/140120250130557814.pdf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https://www2.jpx.co.jp/disc/42290/140120241028503906.pdf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https://www2.jpx.co.jp/disc/42290/140120240724553934.pdf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https://www2.jpx.co.jp/disc/42290/140120240513591812.pdf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https://www2.jpx.co.jp/disc/42290/140120240130521669.pdf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https://www2.jpx.co.jp/disc/42290/140120231030574931.pdf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https://www2.jpx.co.jp/disc/42290/140120230728529742.pdf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https://www2.jpx.co.jp/disc/42290/140120230512570927.pdf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https://www2.jpx.co.jp/disc/42290/140120230130596349.pdf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https://www2.jpx.co.jp/disc/42290/140120220512543055.pdf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https://www2.jpx.co.jp/disc/42290/140120210510409794.pdf</t>
        </is>
      </c>
    </row>
    <row r="22">
      <c r="A22" t="inlineStr">
        <is>
          <t>2020-05-15</t>
        </is>
      </c>
      <c r="B22" t="inlineStr">
        <is>
          <t>2020년 3월 결산기 연간 결산단신</t>
        </is>
      </c>
      <c r="C22" t="inlineStr">
        <is>
          <t>https://www2.jpx.co.jp/disc/42290/140120200515415212.pdf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https://www2.jpx.co.jp/disc/42290/140120190514426346.pdf</t>
        </is>
      </c>
    </row>
    <row r="24">
      <c r="A24" t="inlineStr">
        <is>
          <t>2018-05-15</t>
        </is>
      </c>
      <c r="B24" t="inlineStr">
        <is>
          <t>연간 결산단신</t>
        </is>
      </c>
      <c r="C24" t="inlineStr">
        <is>
          <t>https://www2.jpx.co.jp/disc/42290/140120180514437160.pdf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4229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62.1</v>
      </c>
      <c r="D5" s="65" t="n">
        <v>66.7</v>
      </c>
      <c r="E5" s="65" t="n">
        <v>63.8</v>
      </c>
      <c r="F5" s="65" t="n">
        <v>66.5</v>
      </c>
      <c r="G5" s="65" t="n">
        <v>66.90000000000001</v>
      </c>
      <c r="H5" s="65" t="n">
        <v>68.3</v>
      </c>
      <c r="I5" s="65" t="n">
        <v>69</v>
      </c>
      <c r="J5" s="65" t="n">
        <v>71.59999999999999</v>
      </c>
      <c r="K5" s="65" t="n">
        <v>67.5</v>
      </c>
      <c r="L5" s="65" t="n">
        <v>67.5</v>
      </c>
      <c r="M5" s="65" t="n">
        <v>68.8</v>
      </c>
      <c r="N5" s="65" t="n">
        <v>67.40000000000001</v>
      </c>
      <c r="O5" s="65" t="n">
        <v>66.09999999999999</v>
      </c>
      <c r="P5" s="65" t="n">
        <v>63.2</v>
      </c>
      <c r="Q5" s="65" t="n">
        <v>59.3</v>
      </c>
      <c r="R5" s="65" t="n">
        <v>60.6</v>
      </c>
      <c r="S5" s="65" t="n">
        <v>68.8</v>
      </c>
      <c r="T5" s="65" t="n">
        <v>70.90000000000001</v>
      </c>
      <c r="U5" s="65" t="n">
        <v>72.5</v>
      </c>
      <c r="V5" s="65" t="n">
        <v>74</v>
      </c>
      <c r="W5" s="65" t="n">
        <v>76.59999999999999</v>
      </c>
      <c r="X5" s="65" t="n">
        <v>78.59999999999999</v>
      </c>
      <c r="Y5" s="65" t="n">
        <v>79.5</v>
      </c>
      <c r="Z5" s="65" t="n">
        <v>81.8</v>
      </c>
      <c r="AA5" s="65" t="n">
        <v>74</v>
      </c>
      <c r="AB5" s="65" t="n">
        <v>79.5</v>
      </c>
      <c r="AC5" s="65" t="n">
        <v>76.7</v>
      </c>
      <c r="AD5" s="65" t="n">
        <v>76</v>
      </c>
      <c r="AE5" s="65" t="n">
        <v>71</v>
      </c>
      <c r="AF5" s="65" t="n">
        <v>76.3</v>
      </c>
      <c r="AG5" s="65" t="n">
        <v>75.5</v>
      </c>
      <c r="AH5" s="65" t="n">
        <v>75.2</v>
      </c>
      <c r="AI5" s="65" t="n">
        <v>78.40000000000001</v>
      </c>
      <c r="AJ5" s="65" t="n">
        <v>77.2</v>
      </c>
      <c r="AK5" s="65" t="n">
        <v>78.40000000000001</v>
      </c>
      <c r="AL5" s="65" t="n">
        <v>79.59999999999999</v>
      </c>
      <c r="AM5" s="65" t="n">
        <v>77.90000000000001</v>
      </c>
      <c r="AN5" s="65" t="n">
        <v>84.3</v>
      </c>
      <c r="AO5" s="65" t="n">
        <v>89.3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7.7</v>
      </c>
      <c r="H6" s="66" t="n">
        <v>2.4</v>
      </c>
      <c r="I6" s="66" t="n">
        <v>8.199999999999999</v>
      </c>
      <c r="J6" s="66" t="n">
        <v>7.7</v>
      </c>
      <c r="K6" s="66" t="n">
        <v>0.9</v>
      </c>
      <c r="L6" s="66" t="n">
        <v>-1.2</v>
      </c>
      <c r="M6" s="66" t="n">
        <v>-0.3</v>
      </c>
      <c r="N6" s="66" t="n">
        <v>-5.9</v>
      </c>
      <c r="O6" s="66" t="n">
        <v>-2.1</v>
      </c>
      <c r="P6" s="66" t="n">
        <v>-6.4</v>
      </c>
      <c r="Q6" s="66" t="n">
        <v>-13.8</v>
      </c>
      <c r="R6" s="66" t="n">
        <v>-10.1</v>
      </c>
      <c r="S6" s="66" t="n">
        <v>4.1</v>
      </c>
      <c r="T6" s="66" t="n">
        <v>12.2</v>
      </c>
      <c r="U6" s="66" t="n">
        <v>22.3</v>
      </c>
      <c r="V6" s="66" t="n">
        <v>22.1</v>
      </c>
      <c r="W6" s="66" t="n">
        <v>11.3</v>
      </c>
      <c r="X6" s="66" t="n">
        <v>10.9</v>
      </c>
      <c r="Y6" s="66" t="n">
        <v>9.699999999999999</v>
      </c>
      <c r="Z6" s="66" t="n">
        <v>10.5</v>
      </c>
      <c r="AA6" s="66" t="n">
        <v>-3.4</v>
      </c>
      <c r="AB6" s="66" t="n">
        <v>1.1</v>
      </c>
      <c r="AC6" s="66" t="n">
        <v>-3.5</v>
      </c>
      <c r="AD6" s="66" t="n">
        <v>-7.1</v>
      </c>
      <c r="AE6" s="66" t="n">
        <v>-4.1</v>
      </c>
      <c r="AF6" s="66" t="n">
        <v>-4</v>
      </c>
      <c r="AG6" s="66" t="n">
        <v>-1.6</v>
      </c>
      <c r="AH6" s="66" t="n">
        <v>-1.1</v>
      </c>
      <c r="AI6" s="66" t="n">
        <v>10.4</v>
      </c>
      <c r="AJ6" s="66" t="n">
        <v>1.2</v>
      </c>
      <c r="AK6" s="66" t="n">
        <v>3.8</v>
      </c>
      <c r="AL6" s="66" t="n">
        <v>5.9</v>
      </c>
      <c r="AM6" s="66" t="n">
        <v>-0.6</v>
      </c>
      <c r="AN6" s="66" t="n">
        <v>9.199999999999999</v>
      </c>
      <c r="AO6" s="66" t="n">
        <v>13.9</v>
      </c>
    </row>
    <row r="7">
      <c r="A7" s="64" t="inlineStr">
        <is>
          <t>영업이익</t>
        </is>
      </c>
      <c r="B7" s="65" t="n"/>
      <c r="C7" s="65" t="n">
        <v>5</v>
      </c>
      <c r="D7" s="65" t="n">
        <v>7</v>
      </c>
      <c r="E7" s="65" t="n">
        <v>5.5</v>
      </c>
      <c r="F7" s="65" t="n">
        <v>7.3</v>
      </c>
      <c r="G7" s="65" t="n">
        <v>4.8</v>
      </c>
      <c r="H7" s="65" t="n">
        <v>4.9</v>
      </c>
      <c r="I7" s="65" t="n">
        <v>4.1</v>
      </c>
      <c r="J7" s="65" t="n">
        <v>4.8</v>
      </c>
      <c r="K7" s="65" t="n">
        <v>2.2</v>
      </c>
      <c r="L7" s="65" t="n">
        <v>5.5</v>
      </c>
      <c r="M7" s="65" t="n">
        <v>5.1</v>
      </c>
      <c r="N7" s="65" t="n">
        <v>4.9</v>
      </c>
      <c r="O7" s="65" t="n">
        <v>3.8</v>
      </c>
      <c r="P7" s="65" t="n">
        <v>4.6</v>
      </c>
      <c r="Q7" s="65" t="n">
        <v>5.1</v>
      </c>
      <c r="R7" s="65" t="n">
        <v>4.8</v>
      </c>
      <c r="S7" s="65" t="n">
        <v>7.7</v>
      </c>
      <c r="T7" s="65" t="n">
        <v>7.8</v>
      </c>
      <c r="U7" s="65" t="n">
        <v>6.1</v>
      </c>
      <c r="V7" s="65" t="n">
        <v>7.1</v>
      </c>
      <c r="W7" s="65" t="n">
        <v>4</v>
      </c>
      <c r="X7" s="65" t="n">
        <v>4.4</v>
      </c>
      <c r="Y7" s="65" t="n">
        <v>4.5</v>
      </c>
      <c r="Z7" s="65" t="n">
        <v>5.4</v>
      </c>
      <c r="AA7" s="65" t="n">
        <v>2.2</v>
      </c>
      <c r="AB7" s="65" t="n">
        <v>8.4</v>
      </c>
      <c r="AC7" s="65" t="n">
        <v>7.7</v>
      </c>
      <c r="AD7" s="65" t="n">
        <v>8</v>
      </c>
      <c r="AE7" s="65" t="n">
        <v>3.2</v>
      </c>
      <c r="AF7" s="65" t="n">
        <v>6.9</v>
      </c>
      <c r="AG7" s="65" t="n">
        <v>5.4</v>
      </c>
      <c r="AH7" s="65" t="n">
        <v>4.6</v>
      </c>
      <c r="AI7" s="65" t="n">
        <v>6</v>
      </c>
      <c r="AJ7" s="65" t="n">
        <v>6.5</v>
      </c>
      <c r="AK7" s="65" t="n">
        <v>7.5</v>
      </c>
      <c r="AL7" s="65" t="n">
        <v>8.300000000000001</v>
      </c>
      <c r="AM7" s="65" t="n">
        <v>3.4</v>
      </c>
      <c r="AN7" s="65" t="n">
        <v>10.3</v>
      </c>
      <c r="AO7" s="65" t="n">
        <v>11.4</v>
      </c>
    </row>
    <row r="8">
      <c r="A8" s="64" t="inlineStr">
        <is>
          <t>영업이익률</t>
        </is>
      </c>
      <c r="B8" s="66" t="n"/>
      <c r="C8" s="66" t="n">
        <v>8.1</v>
      </c>
      <c r="D8" s="66" t="n">
        <v>10.5</v>
      </c>
      <c r="E8" s="66" t="n">
        <v>8.6</v>
      </c>
      <c r="F8" s="66" t="n">
        <v>11</v>
      </c>
      <c r="G8" s="66" t="n">
        <v>7.2</v>
      </c>
      <c r="H8" s="66" t="n">
        <v>7.2</v>
      </c>
      <c r="I8" s="66" t="n">
        <v>5.9</v>
      </c>
      <c r="J8" s="66" t="n">
        <v>6.7</v>
      </c>
      <c r="K8" s="66" t="n">
        <v>3.3</v>
      </c>
      <c r="L8" s="66" t="n">
        <v>8.1</v>
      </c>
      <c r="M8" s="66" t="n">
        <v>7.4</v>
      </c>
      <c r="N8" s="66" t="n">
        <v>7.3</v>
      </c>
      <c r="O8" s="66" t="n">
        <v>5.7</v>
      </c>
      <c r="P8" s="66" t="n">
        <v>7.3</v>
      </c>
      <c r="Q8" s="66" t="n">
        <v>8.6</v>
      </c>
      <c r="R8" s="66" t="n">
        <v>7.9</v>
      </c>
      <c r="S8" s="66" t="n">
        <v>11.2</v>
      </c>
      <c r="T8" s="66" t="n">
        <v>11</v>
      </c>
      <c r="U8" s="66" t="n">
        <v>8.4</v>
      </c>
      <c r="V8" s="66" t="n">
        <v>9.6</v>
      </c>
      <c r="W8" s="66" t="n">
        <v>5.2</v>
      </c>
      <c r="X8" s="66" t="n">
        <v>5.6</v>
      </c>
      <c r="Y8" s="66" t="n">
        <v>5.7</v>
      </c>
      <c r="Z8" s="66" t="n">
        <v>6.6</v>
      </c>
      <c r="AA8" s="66" t="n">
        <v>3</v>
      </c>
      <c r="AB8" s="66" t="n">
        <v>10.6</v>
      </c>
      <c r="AC8" s="66" t="n">
        <v>10</v>
      </c>
      <c r="AD8" s="66" t="n">
        <v>10.5</v>
      </c>
      <c r="AE8" s="66" t="n">
        <v>4.5</v>
      </c>
      <c r="AF8" s="66" t="n">
        <v>9</v>
      </c>
      <c r="AG8" s="66" t="n">
        <v>7.2</v>
      </c>
      <c r="AH8" s="66" t="n">
        <v>6.1</v>
      </c>
      <c r="AI8" s="66" t="n">
        <v>7.7</v>
      </c>
      <c r="AJ8" s="66" t="n">
        <v>8.4</v>
      </c>
      <c r="AK8" s="66" t="n">
        <v>9.6</v>
      </c>
      <c r="AL8" s="66" t="n">
        <v>10.4</v>
      </c>
      <c r="AM8" s="66" t="n">
        <v>4.4</v>
      </c>
      <c r="AN8" s="66" t="n">
        <v>12.2</v>
      </c>
      <c r="AO8" s="66" t="n">
        <v>12.8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-4</v>
      </c>
      <c r="H9" s="66" t="n">
        <v>-30</v>
      </c>
      <c r="I9" s="66" t="n">
        <v>-25.5</v>
      </c>
      <c r="J9" s="66" t="n">
        <v>-34.2</v>
      </c>
      <c r="K9" s="66" t="n">
        <v>-54.2</v>
      </c>
      <c r="L9" s="66" t="n">
        <v>12.2</v>
      </c>
      <c r="M9" s="66" t="n">
        <v>24.4</v>
      </c>
      <c r="N9" s="66" t="n">
        <v>2.1</v>
      </c>
      <c r="O9" s="66" t="n">
        <v>72.7</v>
      </c>
      <c r="P9" s="66" t="n">
        <v>-16.4</v>
      </c>
      <c r="Q9" s="66" t="n">
        <v>0</v>
      </c>
      <c r="R9" s="66" t="n">
        <v>-2</v>
      </c>
      <c r="S9" s="66" t="n">
        <v>102.6</v>
      </c>
      <c r="T9" s="66" t="n">
        <v>69.59999999999999</v>
      </c>
      <c r="U9" s="66" t="n">
        <v>19.6</v>
      </c>
      <c r="V9" s="66" t="n">
        <v>47.9</v>
      </c>
      <c r="W9" s="66" t="n">
        <v>-48.1</v>
      </c>
      <c r="X9" s="66" t="n">
        <v>-43.6</v>
      </c>
      <c r="Y9" s="66" t="n">
        <v>-26.2</v>
      </c>
      <c r="Z9" s="66" t="n">
        <v>-23.9</v>
      </c>
      <c r="AA9" s="66" t="n">
        <v>-45</v>
      </c>
      <c r="AB9" s="66" t="n">
        <v>90.90000000000001</v>
      </c>
      <c r="AC9" s="66" t="n">
        <v>71.09999999999999</v>
      </c>
      <c r="AD9" s="66" t="n">
        <v>48.1</v>
      </c>
      <c r="AE9" s="66" t="n">
        <v>45.5</v>
      </c>
      <c r="AF9" s="66" t="n">
        <v>-17.9</v>
      </c>
      <c r="AG9" s="66" t="n">
        <v>-29.9</v>
      </c>
      <c r="AH9" s="66" t="n">
        <v>-42.5</v>
      </c>
      <c r="AI9" s="66" t="n">
        <v>87.5</v>
      </c>
      <c r="AJ9" s="66" t="n">
        <v>-5.8</v>
      </c>
      <c r="AK9" s="66" t="n">
        <v>38.9</v>
      </c>
      <c r="AL9" s="66" t="n">
        <v>80.40000000000001</v>
      </c>
      <c r="AM9" s="66" t="n">
        <v>-43.3</v>
      </c>
      <c r="AN9" s="66" t="n">
        <v>58.5</v>
      </c>
      <c r="AO9" s="66" t="n">
        <v>52</v>
      </c>
    </row>
    <row r="10">
      <c r="A10" s="64" t="inlineStr">
        <is>
          <t>유동자산</t>
        </is>
      </c>
      <c r="B10" s="65" t="n"/>
      <c r="C10" s="65" t="n">
        <v>220.8</v>
      </c>
      <c r="D10" s="65" t="n"/>
      <c r="E10" s="65" t="n"/>
      <c r="F10" s="65" t="n">
        <v>217</v>
      </c>
      <c r="G10" s="65" t="n">
        <v>216.7</v>
      </c>
      <c r="H10" s="65" t="n">
        <v>211.2</v>
      </c>
      <c r="I10" s="65" t="n">
        <v>200.9</v>
      </c>
      <c r="J10" s="65" t="n">
        <v>204.1</v>
      </c>
      <c r="K10" s="65" t="n">
        <v>200.4</v>
      </c>
      <c r="L10" s="65" t="n">
        <v>197.1</v>
      </c>
      <c r="M10" s="65" t="n">
        <v>196.6</v>
      </c>
      <c r="N10" s="65" t="n">
        <v>209.3</v>
      </c>
      <c r="O10" s="65" t="n">
        <v>214.4</v>
      </c>
      <c r="P10" s="65" t="n">
        <v>203.8</v>
      </c>
      <c r="Q10" s="65" t="n">
        <v>209</v>
      </c>
      <c r="R10" s="65" t="n">
        <v>211.5</v>
      </c>
      <c r="S10" s="65" t="n">
        <v>229.4</v>
      </c>
      <c r="T10" s="65" t="n">
        <v>231.2</v>
      </c>
      <c r="U10" s="65" t="n">
        <v>234.8</v>
      </c>
      <c r="V10" s="65" t="n">
        <v>235.1</v>
      </c>
      <c r="W10" s="65" t="n">
        <v>243.4</v>
      </c>
      <c r="X10" s="65" t="n">
        <v>232.3</v>
      </c>
      <c r="Y10" s="65" t="n">
        <v>237.7</v>
      </c>
      <c r="Z10" s="65" t="n">
        <v>240.9</v>
      </c>
      <c r="AA10" s="65" t="n">
        <v>239.8</v>
      </c>
      <c r="AB10" s="65" t="n">
        <v>240.3</v>
      </c>
      <c r="AC10" s="65" t="n">
        <v>248.9</v>
      </c>
      <c r="AD10" s="65" t="n">
        <v>247</v>
      </c>
      <c r="AE10" s="65" t="n">
        <v>243.5</v>
      </c>
      <c r="AF10" s="65" t="n">
        <v>240.8</v>
      </c>
      <c r="AG10" s="65" t="n">
        <v>240.4</v>
      </c>
      <c r="AH10" s="65" t="n">
        <v>248.4</v>
      </c>
      <c r="AI10" s="65" t="n">
        <v>252.8</v>
      </c>
      <c r="AJ10" s="65" t="n">
        <v>252.7</v>
      </c>
      <c r="AK10" s="65" t="n">
        <v>247.2</v>
      </c>
      <c r="AL10" s="65" t="n">
        <v>249</v>
      </c>
      <c r="AM10" s="65" t="n">
        <v>253.6</v>
      </c>
      <c r="AN10" s="65" t="n">
        <v>261.8</v>
      </c>
      <c r="AO10" s="65" t="n">
        <v>274.3</v>
      </c>
    </row>
    <row r="11">
      <c r="A11" s="64" t="inlineStr">
        <is>
          <t>유동부채</t>
        </is>
      </c>
      <c r="B11" s="65" t="n"/>
      <c r="C11" s="65" t="n">
        <v>67.59999999999999</v>
      </c>
      <c r="D11" s="65" t="n"/>
      <c r="E11" s="65" t="n"/>
      <c r="F11" s="65" t="n">
        <v>64.59999999999999</v>
      </c>
      <c r="G11" s="65" t="n">
        <v>68.90000000000001</v>
      </c>
      <c r="H11" s="65" t="n">
        <v>68.09999999999999</v>
      </c>
      <c r="I11" s="65" t="n">
        <v>65.8</v>
      </c>
      <c r="J11" s="65" t="n">
        <v>69.2</v>
      </c>
      <c r="K11" s="65" t="n">
        <v>65.3</v>
      </c>
      <c r="L11" s="65" t="n">
        <v>65.5</v>
      </c>
      <c r="M11" s="65" t="n">
        <v>62</v>
      </c>
      <c r="N11" s="65" t="n">
        <v>63.6</v>
      </c>
      <c r="O11" s="65" t="n">
        <v>64.09999999999999</v>
      </c>
      <c r="P11" s="65" t="n">
        <v>50.8</v>
      </c>
      <c r="Q11" s="65" t="n">
        <v>48.5</v>
      </c>
      <c r="R11" s="65" t="n">
        <v>49.7</v>
      </c>
      <c r="S11" s="65" t="n">
        <v>60.6</v>
      </c>
      <c r="T11" s="65" t="n">
        <v>60.1</v>
      </c>
      <c r="U11" s="65" t="n">
        <v>58.6</v>
      </c>
      <c r="V11" s="65" t="n">
        <v>62.9</v>
      </c>
      <c r="W11" s="65" t="n">
        <v>75</v>
      </c>
      <c r="X11" s="65" t="n">
        <v>73.5</v>
      </c>
      <c r="Y11" s="65" t="n">
        <v>73.90000000000001</v>
      </c>
      <c r="Z11" s="65" t="n">
        <v>72.3</v>
      </c>
      <c r="AA11" s="65" t="n">
        <v>65.5</v>
      </c>
      <c r="AB11" s="65" t="n">
        <v>70.8</v>
      </c>
      <c r="AC11" s="65" t="n">
        <v>73.90000000000001</v>
      </c>
      <c r="AD11" s="65" t="n">
        <v>76.8</v>
      </c>
      <c r="AE11" s="65" t="n">
        <v>79.09999999999999</v>
      </c>
      <c r="AF11" s="65" t="n">
        <v>70.40000000000001</v>
      </c>
      <c r="AG11" s="65" t="n">
        <v>69.09999999999999</v>
      </c>
      <c r="AH11" s="65" t="n">
        <v>78.09999999999999</v>
      </c>
      <c r="AI11" s="65" t="n">
        <v>84.40000000000001</v>
      </c>
      <c r="AJ11" s="65" t="n">
        <v>83.09999999999999</v>
      </c>
      <c r="AK11" s="65" t="n">
        <v>70.8</v>
      </c>
      <c r="AL11" s="65" t="n">
        <v>62.9</v>
      </c>
      <c r="AM11" s="65" t="n">
        <v>66.59999999999999</v>
      </c>
      <c r="AN11" s="65" t="n">
        <v>71.7</v>
      </c>
      <c r="AO11" s="65" t="n">
        <v>77</v>
      </c>
    </row>
    <row r="12">
      <c r="A12" s="64" t="inlineStr">
        <is>
          <t>부채총계</t>
        </is>
      </c>
      <c r="B12" s="65" t="n"/>
      <c r="C12" s="65" t="n">
        <v>107.6</v>
      </c>
      <c r="D12" s="65" t="n"/>
      <c r="E12" s="65" t="n"/>
      <c r="F12" s="65" t="n">
        <v>103.2</v>
      </c>
      <c r="G12" s="65" t="n">
        <v>102.5</v>
      </c>
      <c r="H12" s="65" t="n">
        <v>100</v>
      </c>
      <c r="I12" s="65" t="n">
        <v>96</v>
      </c>
      <c r="J12" s="65" t="n">
        <v>98</v>
      </c>
      <c r="K12" s="65" t="n">
        <v>93</v>
      </c>
      <c r="L12" s="65" t="n">
        <v>91.59999999999999</v>
      </c>
      <c r="M12" s="65" t="n">
        <v>85.2</v>
      </c>
      <c r="N12" s="65" t="n">
        <v>85.3</v>
      </c>
      <c r="O12" s="65" t="n">
        <v>86</v>
      </c>
      <c r="P12" s="65" t="n">
        <v>72.7</v>
      </c>
      <c r="Q12" s="65" t="n">
        <v>70.40000000000001</v>
      </c>
      <c r="R12" s="65" t="n">
        <v>72.3</v>
      </c>
      <c r="S12" s="65" t="n">
        <v>82.3</v>
      </c>
      <c r="T12" s="65" t="n">
        <v>84.09999999999999</v>
      </c>
      <c r="U12" s="65" t="n">
        <v>82.5</v>
      </c>
      <c r="V12" s="65" t="n">
        <v>86.59999999999999</v>
      </c>
      <c r="W12" s="65" t="n">
        <v>97.8</v>
      </c>
      <c r="X12" s="65" t="n">
        <v>91.40000000000001</v>
      </c>
      <c r="Y12" s="65" t="n">
        <v>92.09999999999999</v>
      </c>
      <c r="Z12" s="65" t="n">
        <v>91.40000000000001</v>
      </c>
      <c r="AA12" s="65" t="n">
        <v>84.90000000000001</v>
      </c>
      <c r="AB12" s="65" t="n">
        <v>92.5</v>
      </c>
      <c r="AC12" s="65" t="n">
        <v>96.09999999999999</v>
      </c>
      <c r="AD12" s="65" t="n">
        <v>100.2</v>
      </c>
      <c r="AE12" s="65" t="n">
        <v>107.3</v>
      </c>
      <c r="AF12" s="65" t="n">
        <v>100.8</v>
      </c>
      <c r="AG12" s="65" t="n">
        <v>95.09999999999999</v>
      </c>
      <c r="AH12" s="65" t="n">
        <v>106.9</v>
      </c>
      <c r="AI12" s="65" t="n">
        <v>112.9</v>
      </c>
      <c r="AJ12" s="65" t="n">
        <v>113.5</v>
      </c>
      <c r="AK12" s="65" t="n">
        <v>106</v>
      </c>
      <c r="AL12" s="65" t="n">
        <v>102.3</v>
      </c>
      <c r="AM12" s="65" t="n">
        <v>111.6</v>
      </c>
      <c r="AN12" s="65" t="n">
        <v>131.9</v>
      </c>
      <c r="AO12" s="65" t="n">
        <v>133.6</v>
      </c>
    </row>
    <row r="13">
      <c r="A13" s="64" t="inlineStr">
        <is>
          <t>자기자본</t>
        </is>
      </c>
      <c r="B13" s="66" t="n"/>
      <c r="C13" s="66" t="n">
        <v>404.5</v>
      </c>
      <c r="D13" s="66" t="n"/>
      <c r="E13" s="66" t="n"/>
      <c r="F13" s="66" t="n">
        <v>421.5</v>
      </c>
      <c r="G13" s="66" t="n">
        <v>419.5</v>
      </c>
      <c r="H13" s="66" t="n">
        <v>418.7</v>
      </c>
      <c r="I13" s="66" t="n">
        <v>421.8</v>
      </c>
      <c r="J13" s="66" t="n">
        <v>416.9</v>
      </c>
      <c r="K13" s="66" t="n">
        <v>417.5</v>
      </c>
      <c r="L13" s="66" t="n">
        <v>417.8</v>
      </c>
      <c r="M13" s="66" t="n">
        <v>423.2</v>
      </c>
      <c r="N13" s="66" t="n">
        <v>424.4</v>
      </c>
      <c r="O13" s="66" t="n">
        <v>420.2</v>
      </c>
      <c r="P13" s="66" t="n">
        <v>417.9</v>
      </c>
      <c r="Q13" s="66" t="n">
        <v>424.9</v>
      </c>
      <c r="R13" s="66" t="n">
        <v>428.5</v>
      </c>
      <c r="S13" s="66" t="n">
        <v>437.5</v>
      </c>
      <c r="T13" s="66" t="n">
        <v>440.1</v>
      </c>
      <c r="U13" s="66" t="n">
        <v>444.2</v>
      </c>
      <c r="V13" s="66" t="n">
        <v>443.4</v>
      </c>
      <c r="W13" s="66" t="n">
        <v>449</v>
      </c>
      <c r="X13" s="66" t="n">
        <v>450.5</v>
      </c>
      <c r="Y13" s="66" t="n">
        <v>455</v>
      </c>
      <c r="Z13" s="66" t="n">
        <v>456.9</v>
      </c>
      <c r="AA13" s="66" t="n">
        <v>461.1</v>
      </c>
      <c r="AB13" s="66" t="n">
        <v>471.6</v>
      </c>
      <c r="AC13" s="66" t="n">
        <v>482.9</v>
      </c>
      <c r="AD13" s="66" t="n">
        <v>487.2</v>
      </c>
      <c r="AE13" s="66" t="n">
        <v>502.8</v>
      </c>
      <c r="AF13" s="66" t="n">
        <v>507.3</v>
      </c>
      <c r="AG13" s="66" t="n">
        <v>504.5</v>
      </c>
      <c r="AH13" s="66" t="n">
        <v>510.6</v>
      </c>
      <c r="AI13" s="66" t="n">
        <v>517.3</v>
      </c>
      <c r="AJ13" s="66" t="n">
        <v>518.9</v>
      </c>
      <c r="AK13" s="66" t="n">
        <v>535.2</v>
      </c>
      <c r="AL13" s="66" t="n">
        <v>549.6</v>
      </c>
      <c r="AM13" s="66" t="n">
        <v>568.5</v>
      </c>
      <c r="AN13" s="66" t="n">
        <v>593.8</v>
      </c>
      <c r="AO13" s="66" t="n">
        <v>597.1</v>
      </c>
    </row>
    <row r="14">
      <c r="A14" s="64" t="inlineStr">
        <is>
          <t>유동비율</t>
        </is>
      </c>
      <c r="B14" s="66" t="n"/>
      <c r="C14" s="66" t="n">
        <v>326.6</v>
      </c>
      <c r="D14" s="66" t="n"/>
      <c r="E14" s="66" t="n"/>
      <c r="F14" s="66" t="n">
        <v>335.9</v>
      </c>
      <c r="G14" s="66" t="n">
        <v>314.5</v>
      </c>
      <c r="H14" s="66" t="n">
        <v>310.1</v>
      </c>
      <c r="I14" s="66" t="n">
        <v>305.3</v>
      </c>
      <c r="J14" s="66" t="n">
        <v>294.9</v>
      </c>
      <c r="K14" s="66" t="n">
        <v>306.9</v>
      </c>
      <c r="L14" s="66" t="n">
        <v>300.9</v>
      </c>
      <c r="M14" s="66" t="n">
        <v>317.1</v>
      </c>
      <c r="N14" s="66" t="n">
        <v>329.1</v>
      </c>
      <c r="O14" s="66" t="n">
        <v>334.5</v>
      </c>
      <c r="P14" s="66" t="n">
        <v>401.2</v>
      </c>
      <c r="Q14" s="66" t="n">
        <v>430.9</v>
      </c>
      <c r="R14" s="66" t="n">
        <v>425.6</v>
      </c>
      <c r="S14" s="66" t="n">
        <v>378.5</v>
      </c>
      <c r="T14" s="66" t="n">
        <v>384.7</v>
      </c>
      <c r="U14" s="66" t="n">
        <v>400.7</v>
      </c>
      <c r="V14" s="66" t="n">
        <v>373.8</v>
      </c>
      <c r="W14" s="66" t="n">
        <v>324.5</v>
      </c>
      <c r="X14" s="66" t="n">
        <v>316.1</v>
      </c>
      <c r="Y14" s="66" t="n">
        <v>321.7</v>
      </c>
      <c r="Z14" s="66" t="n">
        <v>333.2</v>
      </c>
      <c r="AA14" s="66" t="n">
        <v>366.1</v>
      </c>
      <c r="AB14" s="66" t="n">
        <v>339.4</v>
      </c>
      <c r="AC14" s="66" t="n">
        <v>336.8</v>
      </c>
      <c r="AD14" s="66" t="n">
        <v>321.6</v>
      </c>
      <c r="AE14" s="66" t="n">
        <v>307.8</v>
      </c>
      <c r="AF14" s="66" t="n">
        <v>342</v>
      </c>
      <c r="AG14" s="66" t="n">
        <v>347.9</v>
      </c>
      <c r="AH14" s="66" t="n">
        <v>318.1</v>
      </c>
      <c r="AI14" s="66" t="n">
        <v>299.5</v>
      </c>
      <c r="AJ14" s="66" t="n">
        <v>304.1</v>
      </c>
      <c r="AK14" s="66" t="n">
        <v>349.2</v>
      </c>
      <c r="AL14" s="66" t="n">
        <v>395.9</v>
      </c>
      <c r="AM14" s="66" t="n">
        <v>380.8</v>
      </c>
      <c r="AN14" s="66" t="n">
        <v>365.1</v>
      </c>
      <c r="AO14" s="66" t="n">
        <v>356.2</v>
      </c>
    </row>
    <row r="15">
      <c r="A15" s="64" t="inlineStr">
        <is>
          <t>부채비율</t>
        </is>
      </c>
      <c r="B15" s="66" t="n"/>
      <c r="C15" s="66" t="n">
        <v>26.6</v>
      </c>
      <c r="D15" s="66" t="n"/>
      <c r="E15" s="66" t="n"/>
      <c r="F15" s="66" t="n">
        <v>24.5</v>
      </c>
      <c r="G15" s="66" t="n">
        <v>24.4</v>
      </c>
      <c r="H15" s="66" t="n">
        <v>23.9</v>
      </c>
      <c r="I15" s="66" t="n">
        <v>22.8</v>
      </c>
      <c r="J15" s="66" t="n">
        <v>23.5</v>
      </c>
      <c r="K15" s="66" t="n">
        <v>22.3</v>
      </c>
      <c r="L15" s="66" t="n">
        <v>21.9</v>
      </c>
      <c r="M15" s="66" t="n">
        <v>20.1</v>
      </c>
      <c r="N15" s="66" t="n">
        <v>20.1</v>
      </c>
      <c r="O15" s="66" t="n">
        <v>20.5</v>
      </c>
      <c r="P15" s="66" t="n">
        <v>17.4</v>
      </c>
      <c r="Q15" s="66" t="n">
        <v>16.6</v>
      </c>
      <c r="R15" s="66" t="n">
        <v>16.9</v>
      </c>
      <c r="S15" s="66" t="n">
        <v>18.8</v>
      </c>
      <c r="T15" s="66" t="n">
        <v>19.1</v>
      </c>
      <c r="U15" s="66" t="n">
        <v>18.6</v>
      </c>
      <c r="V15" s="66" t="n">
        <v>19.5</v>
      </c>
      <c r="W15" s="66" t="n">
        <v>21.8</v>
      </c>
      <c r="X15" s="66" t="n">
        <v>20.3</v>
      </c>
      <c r="Y15" s="66" t="n">
        <v>20.2</v>
      </c>
      <c r="Z15" s="66" t="n">
        <v>20</v>
      </c>
      <c r="AA15" s="66" t="n">
        <v>18.4</v>
      </c>
      <c r="AB15" s="66" t="n">
        <v>19.6</v>
      </c>
      <c r="AC15" s="66" t="n">
        <v>19.9</v>
      </c>
      <c r="AD15" s="66" t="n">
        <v>20.6</v>
      </c>
      <c r="AE15" s="66" t="n">
        <v>21.3</v>
      </c>
      <c r="AF15" s="66" t="n">
        <v>19.9</v>
      </c>
      <c r="AG15" s="66" t="n">
        <v>18.9</v>
      </c>
      <c r="AH15" s="66" t="n">
        <v>20.9</v>
      </c>
      <c r="AI15" s="66" t="n">
        <v>21.8</v>
      </c>
      <c r="AJ15" s="66" t="n">
        <v>21.9</v>
      </c>
      <c r="AK15" s="66" t="n">
        <v>19.8</v>
      </c>
      <c r="AL15" s="66" t="n">
        <v>18.6</v>
      </c>
      <c r="AM15" s="66" t="n">
        <v>19.6</v>
      </c>
      <c r="AN15" s="66" t="n">
        <v>22.2</v>
      </c>
      <c r="AO15" s="66" t="n">
        <v>22.4</v>
      </c>
    </row>
    <row r="16">
      <c r="A16" s="64" t="inlineStr">
        <is>
          <t>순차입금/자기자본</t>
        </is>
      </c>
      <c r="B16" s="66" t="n"/>
      <c r="C16" s="66" t="n">
        <v>-18.4</v>
      </c>
      <c r="D16" s="66" t="n"/>
      <c r="E16" s="66" t="n"/>
      <c r="F16" s="66" t="n">
        <v>-16</v>
      </c>
      <c r="G16" s="66" t="n">
        <v>-14.4</v>
      </c>
      <c r="H16" s="66" t="n">
        <v>-13.1</v>
      </c>
      <c r="I16" s="66" t="n">
        <v>-10.7</v>
      </c>
      <c r="J16" s="66" t="n">
        <v>-10.3</v>
      </c>
      <c r="K16" s="66" t="n">
        <v>-10.6</v>
      </c>
      <c r="L16" s="66" t="n">
        <v>-11</v>
      </c>
      <c r="M16" s="66" t="n">
        <v>-12.4</v>
      </c>
      <c r="N16" s="66" t="n">
        <v>-11.4</v>
      </c>
      <c r="O16" s="66" t="n">
        <v>-14.2</v>
      </c>
      <c r="P16" s="66" t="n">
        <v>-14.1</v>
      </c>
      <c r="Q16" s="66" t="n">
        <v>-16.5</v>
      </c>
      <c r="R16" s="66" t="n">
        <v>-17</v>
      </c>
      <c r="S16" s="66" t="n">
        <v>-15.3</v>
      </c>
      <c r="T16" s="66" t="n">
        <v>-15.2</v>
      </c>
      <c r="U16" s="66" t="n">
        <v>-17.6</v>
      </c>
      <c r="V16" s="66" t="n">
        <v>-14.4</v>
      </c>
      <c r="W16" s="66" t="n">
        <v>-14.2</v>
      </c>
      <c r="X16" s="66" t="n">
        <v>-12.7</v>
      </c>
      <c r="Y16" s="66" t="n">
        <v>-14.5</v>
      </c>
      <c r="Z16" s="66" t="n">
        <v>-11.8</v>
      </c>
      <c r="AA16" s="66" t="n">
        <v>-15.4</v>
      </c>
      <c r="AB16" s="66" t="n">
        <v>-15.9</v>
      </c>
      <c r="AC16" s="66" t="n">
        <v>-17.5</v>
      </c>
      <c r="AD16" s="66" t="n">
        <v>-16.2</v>
      </c>
      <c r="AE16" s="66" t="n">
        <v>-15.8</v>
      </c>
      <c r="AF16" s="66" t="n">
        <v>-14.9</v>
      </c>
      <c r="AG16" s="66" t="n">
        <v>-17.4</v>
      </c>
      <c r="AH16" s="66" t="n">
        <v>-17</v>
      </c>
      <c r="AI16" s="66" t="n">
        <v>-16.5</v>
      </c>
      <c r="AJ16" s="66" t="n">
        <v>-17.4</v>
      </c>
      <c r="AK16" s="66" t="n">
        <v>-15.9</v>
      </c>
      <c r="AL16" s="66" t="n">
        <v>-15.2</v>
      </c>
      <c r="AM16" s="66" t="n">
        <v>-16.8</v>
      </c>
      <c r="AN16" s="66" t="n">
        <v>-17</v>
      </c>
      <c r="AO16" s="66" t="n">
        <v>-17</v>
      </c>
    </row>
    <row r="17">
      <c r="A17" s="64" t="inlineStr">
        <is>
          <t>재고자산</t>
        </is>
      </c>
      <c r="B17" s="65" t="n"/>
      <c r="C17" s="65" t="n">
        <v>29.7</v>
      </c>
      <c r="D17" s="65" t="n"/>
      <c r="E17" s="65" t="n"/>
      <c r="F17" s="65" t="n">
        <v>35.7</v>
      </c>
      <c r="G17" s="65" t="n">
        <v>36.4</v>
      </c>
      <c r="H17" s="65" t="n">
        <v>38.6</v>
      </c>
      <c r="I17" s="65" t="n">
        <v>39.1</v>
      </c>
      <c r="J17" s="65" t="n">
        <v>42.6</v>
      </c>
      <c r="K17" s="65" t="n">
        <v>39.5</v>
      </c>
      <c r="L17" s="65" t="n">
        <v>42.1</v>
      </c>
      <c r="M17" s="65" t="n">
        <v>42.4</v>
      </c>
      <c r="N17" s="65" t="n">
        <v>42.5</v>
      </c>
      <c r="O17" s="65" t="n">
        <v>40.8</v>
      </c>
      <c r="P17" s="65" t="n">
        <v>41.9</v>
      </c>
      <c r="Q17" s="65" t="n">
        <v>41.3</v>
      </c>
      <c r="R17" s="65" t="n">
        <v>39.9</v>
      </c>
      <c r="S17" s="65" t="n">
        <v>40.1</v>
      </c>
      <c r="T17" s="65" t="n">
        <v>43.6</v>
      </c>
      <c r="U17" s="65" t="n">
        <v>43.1</v>
      </c>
      <c r="V17" s="65" t="n">
        <v>45.6</v>
      </c>
      <c r="W17" s="65" t="n">
        <v>47.3</v>
      </c>
      <c r="X17" s="65" t="n">
        <v>50.1</v>
      </c>
      <c r="Y17" s="65" t="n">
        <v>53.5</v>
      </c>
      <c r="Z17" s="65" t="n">
        <v>57.6</v>
      </c>
      <c r="AA17" s="65" t="n">
        <v>57.9</v>
      </c>
      <c r="AB17" s="65" t="n">
        <v>56.1</v>
      </c>
      <c r="AC17" s="65" t="n">
        <v>57.6</v>
      </c>
      <c r="AD17" s="65" t="n">
        <v>58.3</v>
      </c>
      <c r="AE17" s="65" t="n">
        <v>58.6</v>
      </c>
      <c r="AF17" s="65" t="n">
        <v>56.8</v>
      </c>
      <c r="AG17" s="65" t="n">
        <v>54.7</v>
      </c>
      <c r="AH17" s="65" t="n">
        <v>57.1</v>
      </c>
      <c r="AI17" s="65" t="n">
        <v>57.6</v>
      </c>
      <c r="AJ17" s="65" t="n">
        <v>55.7</v>
      </c>
      <c r="AK17" s="65" t="n">
        <v>54.8</v>
      </c>
      <c r="AL17" s="65" t="n">
        <v>53.3</v>
      </c>
      <c r="AM17" s="65" t="n">
        <v>53.6</v>
      </c>
      <c r="AN17" s="65" t="n">
        <v>56.2</v>
      </c>
      <c r="AO17" s="65" t="n">
        <v>59.3</v>
      </c>
    </row>
    <row r="18">
      <c r="A18" s="64" t="inlineStr">
        <is>
          <t>재고자산 회전일수</t>
        </is>
      </c>
      <c r="B18" s="65" t="n"/>
      <c r="C18" s="65" t="n">
        <v>57</v>
      </c>
      <c r="D18" s="65" t="n"/>
      <c r="E18" s="65" t="n"/>
      <c r="F18" s="65" t="n">
        <v>65</v>
      </c>
      <c r="G18" s="65" t="n">
        <v>63</v>
      </c>
      <c r="H18" s="65" t="n">
        <v>64</v>
      </c>
      <c r="I18" s="65" t="n">
        <v>64</v>
      </c>
      <c r="J18" s="65" t="n">
        <v>67</v>
      </c>
      <c r="K18" s="65" t="n">
        <v>64</v>
      </c>
      <c r="L18" s="65" t="n">
        <v>73</v>
      </c>
      <c r="M18" s="65" t="n">
        <v>72</v>
      </c>
      <c r="N18" s="65" t="n">
        <v>73</v>
      </c>
      <c r="O18" s="65" t="n">
        <v>71</v>
      </c>
      <c r="P18" s="65" t="n">
        <v>78</v>
      </c>
      <c r="Q18" s="65" t="n">
        <v>83</v>
      </c>
      <c r="R18" s="65" t="n">
        <v>78</v>
      </c>
      <c r="S18" s="65" t="n">
        <v>72</v>
      </c>
      <c r="T18" s="65" t="n">
        <v>75</v>
      </c>
      <c r="U18" s="65" t="n">
        <v>70</v>
      </c>
      <c r="V18" s="65" t="n">
        <v>73</v>
      </c>
      <c r="W18" s="65" t="n">
        <v>70</v>
      </c>
      <c r="X18" s="65" t="n">
        <v>71</v>
      </c>
      <c r="Y18" s="65" t="n">
        <v>76</v>
      </c>
      <c r="Z18" s="65" t="n">
        <v>80</v>
      </c>
      <c r="AA18" s="65" t="n">
        <v>87</v>
      </c>
      <c r="AB18" s="65" t="n">
        <v>84</v>
      </c>
      <c r="AC18" s="65" t="n">
        <v>90</v>
      </c>
      <c r="AD18" s="65" t="n">
        <v>92</v>
      </c>
      <c r="AE18" s="65" t="n">
        <v>94</v>
      </c>
      <c r="AF18" s="65" t="n">
        <v>87</v>
      </c>
      <c r="AG18" s="65" t="n">
        <v>84</v>
      </c>
      <c r="AH18" s="65" t="n">
        <v>87</v>
      </c>
      <c r="AI18" s="65" t="n">
        <v>85</v>
      </c>
      <c r="AJ18" s="65" t="n">
        <v>85</v>
      </c>
      <c r="AK18" s="65" t="n">
        <v>83</v>
      </c>
      <c r="AL18" s="65" t="n">
        <v>81</v>
      </c>
      <c r="AM18" s="65" t="n">
        <v>78</v>
      </c>
      <c r="AN18" s="65" t="n">
        <v>82</v>
      </c>
      <c r="AO18" s="65" t="n">
        <v>82</v>
      </c>
    </row>
    <row r="19">
      <c r="A19" s="64" t="inlineStr">
        <is>
          <t>매출채권 회전일수</t>
        </is>
      </c>
      <c r="B19" s="65" t="n"/>
      <c r="C19" s="65" t="n">
        <v>101</v>
      </c>
      <c r="D19" s="65" t="n"/>
      <c r="E19" s="65" t="n"/>
      <c r="F19" s="65" t="n">
        <v>106</v>
      </c>
      <c r="G19" s="65" t="n">
        <v>110</v>
      </c>
      <c r="H19" s="65" t="n">
        <v>109</v>
      </c>
      <c r="I19" s="65" t="n">
        <v>107</v>
      </c>
      <c r="J19" s="65" t="n">
        <v>106</v>
      </c>
      <c r="K19" s="65" t="n">
        <v>114</v>
      </c>
      <c r="L19" s="65" t="n">
        <v>108</v>
      </c>
      <c r="M19" s="65" t="n">
        <v>99</v>
      </c>
      <c r="N19" s="65" t="n">
        <v>106</v>
      </c>
      <c r="O19" s="65" t="n">
        <v>104</v>
      </c>
      <c r="P19" s="65" t="n">
        <v>103</v>
      </c>
      <c r="Q19" s="65" t="n">
        <v>102</v>
      </c>
      <c r="R19" s="65" t="n">
        <v>108</v>
      </c>
      <c r="S19" s="65" t="n">
        <v>100</v>
      </c>
      <c r="T19" s="65" t="n">
        <v>102</v>
      </c>
      <c r="U19" s="65" t="n">
        <v>101</v>
      </c>
      <c r="V19" s="65" t="n">
        <v>106</v>
      </c>
      <c r="W19" s="65" t="n">
        <v>92</v>
      </c>
      <c r="X19" s="65" t="n">
        <v>102</v>
      </c>
      <c r="Y19" s="65" t="n">
        <v>102</v>
      </c>
      <c r="Z19" s="65" t="n">
        <v>111</v>
      </c>
      <c r="AA19" s="65" t="n">
        <v>93</v>
      </c>
      <c r="AB19" s="65" t="n">
        <v>85</v>
      </c>
      <c r="AC19" s="65" t="n">
        <v>92</v>
      </c>
      <c r="AD19" s="65" t="n">
        <v>89</v>
      </c>
      <c r="AE19" s="65" t="n">
        <v>94</v>
      </c>
      <c r="AF19" s="65" t="n">
        <v>86</v>
      </c>
      <c r="AG19" s="65" t="n">
        <v>81</v>
      </c>
      <c r="AH19" s="65" t="n">
        <v>87</v>
      </c>
      <c r="AI19" s="65" t="n">
        <v>82</v>
      </c>
      <c r="AJ19" s="65" t="n">
        <v>84</v>
      </c>
      <c r="AK19" s="65" t="n">
        <v>81</v>
      </c>
      <c r="AL19" s="65" t="n">
        <v>83</v>
      </c>
      <c r="AM19" s="65" t="n">
        <v>80</v>
      </c>
      <c r="AN19" s="65" t="n">
        <v>79</v>
      </c>
      <c r="AO19" s="65" t="n">
        <v>77</v>
      </c>
    </row>
    <row r="20">
      <c r="A20" s="64" t="inlineStr">
        <is>
          <t>매입채무 회전일수</t>
        </is>
      </c>
      <c r="B20" s="65" t="n"/>
      <c r="C20" s="65" t="n">
        <v>59</v>
      </c>
      <c r="D20" s="65" t="n"/>
      <c r="E20" s="65" t="n"/>
      <c r="F20" s="65" t="n">
        <v>72</v>
      </c>
      <c r="G20" s="65" t="n">
        <v>68</v>
      </c>
      <c r="H20" s="65" t="n">
        <v>64</v>
      </c>
      <c r="I20" s="65" t="n">
        <v>61</v>
      </c>
      <c r="J20" s="65" t="n">
        <v>66</v>
      </c>
      <c r="K20" s="65" t="n">
        <v>64</v>
      </c>
      <c r="L20" s="65" t="n">
        <v>67</v>
      </c>
      <c r="M20" s="65" t="n">
        <v>60</v>
      </c>
      <c r="N20" s="65" t="n">
        <v>63</v>
      </c>
      <c r="O20" s="65" t="n">
        <v>63</v>
      </c>
      <c r="P20" s="65" t="n">
        <v>60</v>
      </c>
      <c r="Q20" s="65" t="n">
        <v>61</v>
      </c>
      <c r="R20" s="65" t="n">
        <v>62</v>
      </c>
      <c r="S20" s="65" t="n">
        <v>67</v>
      </c>
      <c r="T20" s="65" t="n">
        <v>71</v>
      </c>
      <c r="U20" s="65" t="n">
        <v>65</v>
      </c>
      <c r="V20" s="65" t="n">
        <v>71</v>
      </c>
      <c r="W20" s="65" t="n">
        <v>71</v>
      </c>
      <c r="X20" s="65" t="n">
        <v>74</v>
      </c>
      <c r="Y20" s="65" t="n">
        <v>70</v>
      </c>
      <c r="Z20" s="65" t="n">
        <v>74</v>
      </c>
      <c r="AA20" s="65" t="n">
        <v>67</v>
      </c>
      <c r="AB20" s="65" t="n">
        <v>68</v>
      </c>
      <c r="AC20" s="65" t="n">
        <v>75</v>
      </c>
      <c r="AD20" s="65" t="n">
        <v>73</v>
      </c>
      <c r="AE20" s="65" t="n">
        <v>69</v>
      </c>
      <c r="AF20" s="65" t="n">
        <v>67</v>
      </c>
      <c r="AG20" s="65" t="n">
        <v>63</v>
      </c>
      <c r="AH20" s="65" t="n">
        <v>70</v>
      </c>
      <c r="AI20" s="65" t="n">
        <v>65</v>
      </c>
      <c r="AJ20" s="65" t="n">
        <v>65</v>
      </c>
      <c r="AK20" s="65" t="n">
        <v>63</v>
      </c>
      <c r="AL20" s="65" t="n">
        <v>61</v>
      </c>
      <c r="AM20" s="65" t="n">
        <v>59</v>
      </c>
      <c r="AN20" s="65" t="n">
        <v>71</v>
      </c>
      <c r="AO20" s="65" t="n">
        <v>71</v>
      </c>
    </row>
    <row r="21">
      <c r="A21" s="64" t="inlineStr">
        <is>
          <t>현금전환주기(CCC)</t>
        </is>
      </c>
      <c r="B21" s="65" t="n"/>
      <c r="C21" s="65" t="n">
        <v>99</v>
      </c>
      <c r="D21" s="65" t="n"/>
      <c r="E21" s="65" t="n"/>
      <c r="F21" s="65" t="n">
        <v>99</v>
      </c>
      <c r="G21" s="65" t="n">
        <v>105</v>
      </c>
      <c r="H21" s="65" t="n">
        <v>109</v>
      </c>
      <c r="I21" s="65" t="n">
        <v>110</v>
      </c>
      <c r="J21" s="65" t="n">
        <v>107</v>
      </c>
      <c r="K21" s="65" t="n">
        <v>114</v>
      </c>
      <c r="L21" s="65" t="n">
        <v>114</v>
      </c>
      <c r="M21" s="65" t="n">
        <v>111</v>
      </c>
      <c r="N21" s="65" t="n">
        <v>116</v>
      </c>
      <c r="O21" s="65" t="n">
        <v>112</v>
      </c>
      <c r="P21" s="65" t="n">
        <v>121</v>
      </c>
      <c r="Q21" s="65" t="n">
        <v>124</v>
      </c>
      <c r="R21" s="65" t="n">
        <v>124</v>
      </c>
      <c r="S21" s="65" t="n">
        <v>105</v>
      </c>
      <c r="T21" s="65" t="n">
        <v>106</v>
      </c>
      <c r="U21" s="65" t="n">
        <v>106</v>
      </c>
      <c r="V21" s="65" t="n">
        <v>108</v>
      </c>
      <c r="W21" s="65" t="n">
        <v>91</v>
      </c>
      <c r="X21" s="65" t="n">
        <v>99</v>
      </c>
      <c r="Y21" s="65" t="n">
        <v>108</v>
      </c>
      <c r="Z21" s="65" t="n">
        <v>117</v>
      </c>
      <c r="AA21" s="65" t="n">
        <v>113</v>
      </c>
      <c r="AB21" s="65" t="n">
        <v>101</v>
      </c>
      <c r="AC21" s="65" t="n">
        <v>107</v>
      </c>
      <c r="AD21" s="65" t="n">
        <v>108</v>
      </c>
      <c r="AE21" s="65" t="n">
        <v>119</v>
      </c>
      <c r="AF21" s="65" t="n">
        <v>106</v>
      </c>
      <c r="AG21" s="65" t="n">
        <v>102</v>
      </c>
      <c r="AH21" s="65" t="n">
        <v>104</v>
      </c>
      <c r="AI21" s="65" t="n">
        <v>102</v>
      </c>
      <c r="AJ21" s="65" t="n">
        <v>104</v>
      </c>
      <c r="AK21" s="65" t="n">
        <v>101</v>
      </c>
      <c r="AL21" s="65" t="n">
        <v>103</v>
      </c>
      <c r="AM21" s="65" t="n">
        <v>99</v>
      </c>
      <c r="AN21" s="65" t="n">
        <v>90</v>
      </c>
      <c r="AO21" s="65" t="n">
        <v>88</v>
      </c>
    </row>
    <row r="22">
      <c r="A22" s="64" t="inlineStr">
        <is>
          <t>총 차입금</t>
        </is>
      </c>
      <c r="B22" s="65" t="n"/>
      <c r="C22" s="65" t="n">
        <v>23</v>
      </c>
      <c r="D22" s="65" t="n"/>
      <c r="E22" s="65" t="n"/>
      <c r="F22" s="65" t="n">
        <v>18</v>
      </c>
      <c r="G22" s="65" t="n">
        <v>16.5</v>
      </c>
      <c r="H22" s="65" t="n">
        <v>15</v>
      </c>
      <c r="I22" s="65" t="n">
        <v>13.5</v>
      </c>
      <c r="J22" s="65" t="n">
        <v>12</v>
      </c>
      <c r="K22" s="65" t="n">
        <v>10.5</v>
      </c>
      <c r="L22" s="65" t="n">
        <v>9</v>
      </c>
      <c r="M22" s="65" t="n">
        <v>7.5</v>
      </c>
      <c r="N22" s="65" t="n">
        <v>6</v>
      </c>
      <c r="O22" s="65" t="n">
        <v>4.5</v>
      </c>
      <c r="P22" s="65" t="n">
        <v>3</v>
      </c>
      <c r="Q22" s="65" t="n">
        <v>1.5</v>
      </c>
      <c r="R22" s="65" t="n">
        <v>0</v>
      </c>
      <c r="S22" s="65" t="n">
        <v>0.6</v>
      </c>
      <c r="T22" s="65" t="n">
        <v>0</v>
      </c>
      <c r="U22" s="65" t="n">
        <v>0</v>
      </c>
      <c r="V22" s="65" t="n">
        <v>0</v>
      </c>
      <c r="W22" s="65" t="n">
        <v>6.3</v>
      </c>
      <c r="X22" s="65" t="n">
        <v>6.5</v>
      </c>
      <c r="Y22" s="65" t="n">
        <v>6.7</v>
      </c>
      <c r="Z22" s="65" t="n">
        <v>6.6</v>
      </c>
      <c r="AA22" s="65" t="n">
        <v>6.6</v>
      </c>
      <c r="AB22" s="65" t="n">
        <v>6.6</v>
      </c>
      <c r="AC22" s="65" t="n">
        <v>6.8</v>
      </c>
      <c r="AD22" s="65" t="n">
        <v>6.8</v>
      </c>
      <c r="AE22" s="65" t="n">
        <v>6.9</v>
      </c>
      <c r="AF22" s="65" t="n">
        <v>6.6</v>
      </c>
      <c r="AG22" s="65" t="n">
        <v>6.9</v>
      </c>
      <c r="AH22" s="65" t="n">
        <v>7</v>
      </c>
      <c r="AI22" s="65" t="n">
        <v>7.3</v>
      </c>
      <c r="AJ22" s="65" t="n">
        <v>6.6</v>
      </c>
      <c r="AK22" s="65" t="n">
        <v>6.7</v>
      </c>
      <c r="AL22" s="65" t="n">
        <v>7</v>
      </c>
      <c r="AM22" s="65" t="n">
        <v>6.7</v>
      </c>
      <c r="AN22" s="65" t="n">
        <v>6.1</v>
      </c>
      <c r="AO22" s="65" t="n">
        <v>6.1</v>
      </c>
    </row>
    <row r="23">
      <c r="A23" s="64" t="inlineStr">
        <is>
          <t>현금</t>
        </is>
      </c>
      <c r="B23" s="65" t="n"/>
      <c r="C23" s="65" t="n">
        <v>97.59999999999999</v>
      </c>
      <c r="D23" s="65" t="n"/>
      <c r="E23" s="65" t="n"/>
      <c r="F23" s="65" t="n">
        <v>85.3</v>
      </c>
      <c r="G23" s="65" t="n">
        <v>76.90000000000001</v>
      </c>
      <c r="H23" s="65" t="n">
        <v>69.90000000000001</v>
      </c>
      <c r="I23" s="65" t="n">
        <v>58.8</v>
      </c>
      <c r="J23" s="65" t="n">
        <v>55</v>
      </c>
      <c r="K23" s="65" t="n">
        <v>54.8</v>
      </c>
      <c r="L23" s="65" t="n">
        <v>54.8</v>
      </c>
      <c r="M23" s="65" t="n">
        <v>60</v>
      </c>
      <c r="N23" s="65" t="n">
        <v>54.3</v>
      </c>
      <c r="O23" s="65" t="n">
        <v>64</v>
      </c>
      <c r="P23" s="65" t="n">
        <v>62</v>
      </c>
      <c r="Q23" s="65" t="n">
        <v>71.59999999999999</v>
      </c>
      <c r="R23" s="65" t="n">
        <v>72.8</v>
      </c>
      <c r="S23" s="65" t="n">
        <v>67.40000000000001</v>
      </c>
      <c r="T23" s="65" t="n">
        <v>66.8</v>
      </c>
      <c r="U23" s="65" t="n">
        <v>78.40000000000001</v>
      </c>
      <c r="V23" s="65" t="n">
        <v>64</v>
      </c>
      <c r="W23" s="65" t="n">
        <v>69.90000000000001</v>
      </c>
      <c r="X23" s="65" t="n">
        <v>63.5</v>
      </c>
      <c r="Y23" s="65" t="n">
        <v>72.8</v>
      </c>
      <c r="Z23" s="65" t="n">
        <v>60.5</v>
      </c>
      <c r="AA23" s="65" t="n">
        <v>77.59999999999999</v>
      </c>
      <c r="AB23" s="65" t="n">
        <v>81.59999999999999</v>
      </c>
      <c r="AC23" s="65" t="n">
        <v>91.3</v>
      </c>
      <c r="AD23" s="65" t="n">
        <v>85.90000000000001</v>
      </c>
      <c r="AE23" s="65" t="n">
        <v>86.3</v>
      </c>
      <c r="AF23" s="65" t="n">
        <v>82</v>
      </c>
      <c r="AG23" s="65" t="n">
        <v>94.8</v>
      </c>
      <c r="AH23" s="65" t="n">
        <v>93.90000000000001</v>
      </c>
      <c r="AI23" s="65" t="n">
        <v>92.5</v>
      </c>
      <c r="AJ23" s="65" t="n">
        <v>96.8</v>
      </c>
      <c r="AK23" s="65" t="n">
        <v>91.8</v>
      </c>
      <c r="AL23" s="65" t="n">
        <v>90.40000000000001</v>
      </c>
      <c r="AM23" s="65" t="n">
        <v>102</v>
      </c>
      <c r="AN23" s="65" t="n">
        <v>107.1</v>
      </c>
      <c r="AO23" s="65" t="n">
        <v>107.9</v>
      </c>
    </row>
    <row r="24">
      <c r="A24" s="64" t="inlineStr">
        <is>
          <t>부문별 매출 · ChemicalsReportableSegmentsMember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63.5</v>
      </c>
      <c r="AC24" s="65" t="n">
        <v>62.5</v>
      </c>
      <c r="AD24" s="65" t="n">
        <v>63.5</v>
      </c>
      <c r="AE24" s="65" t="n">
        <v>58.5</v>
      </c>
      <c r="AF24" s="65" t="n">
        <v>61.1</v>
      </c>
      <c r="AG24" s="65" t="n">
        <v>62.7</v>
      </c>
      <c r="AH24" s="65" t="n">
        <v>63.8</v>
      </c>
      <c r="AI24" s="65" t="n">
        <v>67</v>
      </c>
      <c r="AJ24" s="65" t="n">
        <v>63.6</v>
      </c>
      <c r="AK24" s="65" t="n">
        <v>66.5</v>
      </c>
      <c r="AL24" s="65" t="n">
        <v>68.8</v>
      </c>
      <c r="AM24" s="65" t="n">
        <v>66.09999999999999</v>
      </c>
      <c r="AN24" s="65" t="n">
        <v>70.7</v>
      </c>
      <c r="AO24" s="65" t="n">
        <v>77.3</v>
      </c>
      <c r="AP24" s="61" t="inlineStr">
        <is>
          <t>결산단신 부문 정보(외부 고객 매출)</t>
        </is>
      </c>
    </row>
    <row r="25">
      <c r="A25" s="64" t="inlineStr">
        <is>
          <t>부문별 매출 · GroceryReportableSegmentsMember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15.4</v>
      </c>
      <c r="AC25" s="65" t="n">
        <v>13.6</v>
      </c>
      <c r="AD25" s="65" t="n">
        <v>11.8</v>
      </c>
      <c r="AE25" s="65" t="n">
        <v>11.8</v>
      </c>
      <c r="AF25" s="65" t="n">
        <v>14.7</v>
      </c>
      <c r="AG25" s="65" t="n">
        <v>12.2</v>
      </c>
      <c r="AH25" s="65" t="n">
        <v>10.8</v>
      </c>
      <c r="AI25" s="65" t="n">
        <v>10.8</v>
      </c>
      <c r="AJ25" s="65" t="n">
        <v>13</v>
      </c>
      <c r="AK25" s="65" t="n">
        <v>11.3</v>
      </c>
      <c r="AL25" s="65" t="n">
        <v>10.2</v>
      </c>
      <c r="AM25" s="65" t="n">
        <v>11.2</v>
      </c>
      <c r="AN25" s="65" t="n">
        <v>13</v>
      </c>
      <c r="AO25" s="65" t="n">
        <v>11.5</v>
      </c>
      <c r="AP25" s="61" t="inlineStr">
        <is>
          <t>결산단신 부문 정보(외부 고객 매출)</t>
        </is>
      </c>
    </row>
    <row r="26">
      <c r="A26" s="64" t="inlineStr">
        <is>
          <t>부문별 매출 · RealEstateUtilizationReportableSegmentsMember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0.6</v>
      </c>
      <c r="AC26" s="65" t="n">
        <v>0.6</v>
      </c>
      <c r="AD26" s="65" t="n">
        <v>0.6</v>
      </c>
      <c r="AE26" s="65" t="n">
        <v>0.6</v>
      </c>
      <c r="AF26" s="65" t="n">
        <v>0.6</v>
      </c>
      <c r="AG26" s="65" t="n">
        <v>0.6</v>
      </c>
      <c r="AH26" s="65" t="n">
        <v>0.6</v>
      </c>
      <c r="AI26" s="65" t="n">
        <v>0.6</v>
      </c>
      <c r="AJ26" s="65" t="n">
        <v>0.6</v>
      </c>
      <c r="AK26" s="65" t="n">
        <v>0.6</v>
      </c>
      <c r="AL26" s="65" t="n">
        <v>0.6</v>
      </c>
      <c r="AM26" s="65" t="n">
        <v>0.6</v>
      </c>
      <c r="AN26" s="65" t="n">
        <v>0.6</v>
      </c>
      <c r="AO26" s="65" t="n">
        <v>0.6</v>
      </c>
      <c r="AP26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2026-10-30T11:40:41Z</dcterms:created>
  <dcterms:modified xmlns:dcterms="http://purl.org/dc/terms/" xmlns:xsi="http://www.w3.org/2001/XMLSchema-instance" xsi:type="dcterms:W3CDTF">2026-10-30T11:41:01Z</dcterms:modified>
</cp:coreProperties>
</file>