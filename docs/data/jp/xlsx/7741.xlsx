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1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18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446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7741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IFRS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/>
      <c r="D4" s="12" t="n"/>
      <c r="E4" s="12" t="n">
        <v>214657</v>
      </c>
      <c r="F4" s="12" t="n">
        <v>213773</v>
      </c>
      <c r="G4" s="12" t="n"/>
      <c r="H4" s="12" t="n"/>
      <c r="I4" s="12" t="n">
        <v>234494</v>
      </c>
      <c r="J4" s="12" t="n">
        <v>220405</v>
      </c>
      <c r="K4" s="12" t="n"/>
      <c r="L4" s="12" t="n"/>
      <c r="M4" s="12" t="n">
        <v>260153</v>
      </c>
      <c r="N4" s="12" t="n">
        <v>255742</v>
      </c>
      <c r="O4" s="11" t="n"/>
      <c r="P4" s="12" t="n">
        <v>535612</v>
      </c>
      <c r="Q4" s="12" t="n">
        <v>565810</v>
      </c>
      <c r="R4" s="12" t="n">
        <v>576546</v>
      </c>
      <c r="S4" s="12" t="n">
        <v>547921</v>
      </c>
      <c r="T4" s="12" t="n">
        <v>661466</v>
      </c>
      <c r="U4" s="12" t="n">
        <v>723582</v>
      </c>
      <c r="V4" s="12" t="n">
        <v>762610</v>
      </c>
      <c r="W4" s="12" t="n">
        <v>866032</v>
      </c>
      <c r="X4" s="12" t="n">
        <v>947749</v>
      </c>
      <c r="Y4" s="11">
        <f>IF(COUNT(Y7,Y10,Y13,Y16,Y19)=0,"",SUM(Y7,Y10,Y13,Y16,Y19))</f>
        <v/>
      </c>
      <c r="Z4" s="12">
        <f>IF(COUNT(Z7,Z10,Z13,Z16,Z19)=0,"",SUM(Z7,Z10,Z13,Z16,Z19))</f>
        <v/>
      </c>
      <c r="AA4" s="12">
        <f>IF(COUNT(AA7,AA10,AA13,AA16,AA19)=0,"",SUM(AA7,AA10,AA13,AA16,AA19))</f>
        <v/>
      </c>
      <c r="AB4" s="12">
        <f>IF(COUNT(AB7,AB10,AB13,AB16,AB19)=0,"",SUM(AB7,AB10,AB13,AB16,AB19))</f>
        <v/>
      </c>
      <c r="AC4" s="12">
        <f>IF(COUNT(AC7,AC10,AC13,AC16,AC19)=0,"",SUM(AC7,AC10,AC13,AC16,AC19))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라이프케어</t>
        </is>
      </c>
      <c r="B7" s="10" t="n"/>
      <c r="C7" s="19" t="n">
        <v>133513</v>
      </c>
      <c r="D7" s="20" t="n">
        <v>137027</v>
      </c>
      <c r="E7" s="20" t="n">
        <v>134960</v>
      </c>
      <c r="F7" s="20" t="n">
        <v>136282</v>
      </c>
      <c r="G7" s="20" t="n">
        <v>139406</v>
      </c>
      <c r="H7" s="20" t="n">
        <v>140264</v>
      </c>
      <c r="I7" s="20" t="n">
        <v>137233</v>
      </c>
      <c r="J7" s="20" t="n">
        <v>146904</v>
      </c>
      <c r="K7" s="20" t="n">
        <v>151480</v>
      </c>
      <c r="L7" s="20" t="n">
        <v>155063</v>
      </c>
      <c r="M7" s="20" t="n">
        <v>154788</v>
      </c>
      <c r="N7" s="20" t="n">
        <v>153366</v>
      </c>
      <c r="O7" s="19" t="n"/>
      <c r="P7" s="20" t="n"/>
      <c r="Q7" s="20" t="n"/>
      <c r="R7" s="20" t="n"/>
      <c r="S7" s="20" t="n"/>
      <c r="T7" s="20" t="n"/>
      <c r="U7" s="20" t="n"/>
      <c r="V7" s="20" t="n">
        <v>530024</v>
      </c>
      <c r="W7" s="20" t="n">
        <v>550912</v>
      </c>
      <c r="X7" s="20" t="n">
        <v>590680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정보·통신</t>
        </is>
      </c>
      <c r="B10" s="10" t="n"/>
      <c r="C10" s="19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19" t="n"/>
      <c r="P10" s="20" t="n"/>
      <c r="Q10" s="20" t="n"/>
      <c r="R10" s="20" t="n"/>
      <c r="S10" s="20" t="n"/>
      <c r="T10" s="20" t="n"/>
      <c r="U10" s="20" t="n"/>
      <c r="V10" s="20" t="n">
        <v>228328</v>
      </c>
      <c r="W10" s="20" t="n">
        <v>311097</v>
      </c>
      <c r="X10" s="20" t="n">
        <v>354751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OtherReportableSegmentsMember</t>
        </is>
      </c>
      <c r="B13" s="10" t="n"/>
      <c r="C13" s="19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19" t="n"/>
      <c r="P13" s="20" t="n"/>
      <c r="Q13" s="20" t="n"/>
      <c r="R13" s="20" t="n"/>
      <c r="S13" s="20" t="n"/>
      <c r="T13" s="20" t="n"/>
      <c r="U13" s="20" t="n"/>
      <c r="V13" s="20" t="n">
        <v>4259</v>
      </c>
      <c r="W13" s="20" t="n">
        <v>4022</v>
      </c>
      <c r="X13" s="20" t="n">
        <v>2318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정보·통신</t>
        </is>
      </c>
      <c r="B16" s="10" t="n"/>
      <c r="C16" s="19" t="n">
        <v>60305</v>
      </c>
      <c r="D16" s="20" t="n"/>
      <c r="E16" s="20" t="n">
        <v>77852</v>
      </c>
      <c r="F16" s="20" t="n">
        <v>77360</v>
      </c>
      <c r="G16" s="20" t="n">
        <v>80409</v>
      </c>
      <c r="H16" s="20" t="n"/>
      <c r="I16" s="20" t="n">
        <v>82246</v>
      </c>
      <c r="J16" s="20" t="n">
        <v>86547</v>
      </c>
      <c r="K16" s="20" t="n">
        <v>92891</v>
      </c>
      <c r="L16" s="20" t="n"/>
      <c r="M16" s="20" t="n">
        <v>100954</v>
      </c>
      <c r="N16" s="20" t="n">
        <v>106787</v>
      </c>
      <c r="O16" s="19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기타</t>
        </is>
      </c>
      <c r="B19" s="10" t="n"/>
      <c r="C19" s="19" t="n">
        <v>980</v>
      </c>
      <c r="D19" s="20" t="n"/>
      <c r="E19" s="20" t="n">
        <v>961</v>
      </c>
      <c r="F19" s="20" t="n">
        <v>1015</v>
      </c>
      <c r="G19" s="20" t="n">
        <v>1030</v>
      </c>
      <c r="H19" s="20" t="n"/>
      <c r="I19" s="20" t="n">
        <v>927</v>
      </c>
      <c r="J19" s="20" t="n">
        <v>1043</v>
      </c>
      <c r="K19" s="20" t="n">
        <v>348</v>
      </c>
      <c r="L19" s="20" t="n"/>
      <c r="M19" s="20" t="n">
        <v>0</v>
      </c>
      <c r="N19" s="20" t="n">
        <v>0</v>
      </c>
      <c r="O19" s="19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6" t="inlineStr">
        <is>
          <t>매출원가</t>
        </is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7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7" t="n"/>
      <c r="Z22" s="16" t="n"/>
      <c r="AA22" s="16" t="n"/>
      <c r="AB22" s="16" t="n"/>
      <c r="AC22" s="16" t="n"/>
    </row>
    <row r="23">
      <c r="A23" s="18" t="inlineStr">
        <is>
          <t>전체 매출원가</t>
        </is>
      </c>
      <c r="B23" s="10" t="n"/>
      <c r="C23" s="19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19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19" t="n"/>
      <c r="Z23" s="20" t="n"/>
      <c r="AA23" s="20" t="n"/>
      <c r="AB23" s="20" t="n"/>
      <c r="AC23" s="20" t="n"/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IF(OR(G23="",C23=""),"",IF(C23&lt;=0,"",IFERROR(G23/C23-1,"")))</f>
        <v/>
      </c>
      <c r="H24" s="15">
        <f>IF(OR(H23="",D23=""),"",IF(D23&lt;=0,"",IFERROR(H23/D23-1,"")))</f>
        <v/>
      </c>
      <c r="I24" s="15">
        <f>IF(OR(I23="",E23=""),"",IF(E23&lt;=0,"",IFERROR(I23/E23-1,"")))</f>
        <v/>
      </c>
      <c r="J24" s="15">
        <f>IF(OR(J23="",F23=""),"",IF(F23&lt;=0,"",IFERROR(J23/F23-1,"")))</f>
        <v/>
      </c>
      <c r="K24" s="15">
        <f>IF(OR(K23="",G23=""),"",IF(G23&lt;=0,"",IFERROR(K23/G23-1,"")))</f>
        <v/>
      </c>
      <c r="L24" s="15">
        <f>IF(OR(L23="",H23=""),"",IF(H23&lt;=0,"",IFERROR(L23/H23-1,"")))</f>
        <v/>
      </c>
      <c r="M24" s="15">
        <f>IF(OR(M23="",I23=""),"",IF(I23&lt;=0,"",IFERROR(M23/I23-1,"")))</f>
        <v/>
      </c>
      <c r="N24" s="15">
        <f>IF(OR(N23="",J23=""),"",IF(J23&lt;=0,"",IFERROR(N23/J23-1,"")))</f>
        <v/>
      </c>
      <c r="O24" s="14" t="n"/>
      <c r="P24" s="15">
        <f>IF(OR(P23="",O23=""),"",IF(O23&lt;=0,"",IFERROR(P23/O23-1,"")))</f>
        <v/>
      </c>
      <c r="Q24" s="15">
        <f>IF(OR(Q23="",P23=""),"",IF(P23&lt;=0,"",IFERROR(Q23/P23-1,"")))</f>
        <v/>
      </c>
      <c r="R24" s="15">
        <f>IF(OR(R23="",Q23=""),"",IF(Q23&lt;=0,"",IFERROR(R23/Q23-1,"")))</f>
        <v/>
      </c>
      <c r="S24" s="15">
        <f>IF(OR(S23="",R23=""),"",IF(R23&lt;=0,"",IFERROR(S23/R23-1,"")))</f>
        <v/>
      </c>
      <c r="T24" s="15">
        <f>IF(OR(T23="",S23=""),"",IF(S23&lt;=0,"",IFERROR(T23/S23-1,"")))</f>
        <v/>
      </c>
      <c r="U24" s="15">
        <f>IF(OR(U23="",T23=""),"",IF(T23&lt;=0,"",IFERROR(U23/T23-1,"")))</f>
        <v/>
      </c>
      <c r="V24" s="15">
        <f>IF(OR(V23="",U23=""),"",IF(U23&lt;=0,"",IFERROR(V23/U23-1,"")))</f>
        <v/>
      </c>
      <c r="W24" s="15">
        <f>IF(OR(W23="",V23=""),"",IF(V23&lt;=0,"",IFERROR(W23/V23-1,"")))</f>
        <v/>
      </c>
      <c r="X24" s="15">
        <f>IF(OR(X23="",W23=""),"",IF(W23&lt;=0,"",IFERROR(X23/W23-1,"")))</f>
        <v/>
      </c>
      <c r="Y24" s="14">
        <f>IF(OR(Y23="",X23=""),"",IF(X23&lt;=0,"",IFERROR(Y23/X23-1,"")))</f>
        <v/>
      </c>
      <c r="Z24" s="15">
        <f>IF(OR(Z23="",Y23=""),"",IF(Y23&lt;=0,"",IFERROR(Z23/Y23-1,"")))</f>
        <v/>
      </c>
      <c r="AA24" s="15">
        <f>IF(OR(AA23="",Z23=""),"",IF(Z23&lt;=0,"",IFERROR(AA23/Z23-1,"")))</f>
        <v/>
      </c>
      <c r="AB24" s="15">
        <f>IF(OR(AB23="",AA23=""),"",IF(AA23&lt;=0,"",IFERROR(AB23/AA23-1,"")))</f>
        <v/>
      </c>
      <c r="AC24" s="15">
        <f>IF(OR(AC23="",AB23=""),"",IF(AB23&lt;=0,"",IFERROR(AC23/AB23-1,"")))</f>
        <v/>
      </c>
    </row>
    <row r="25">
      <c r="A25" s="18" t="inlineStr">
        <is>
          <t>매출총이익</t>
        </is>
      </c>
      <c r="B25" s="10" t="n"/>
      <c r="C25" s="19">
        <f>IF(OR(C4="",C23=""),"",IFERROR(C4-C23,""))</f>
        <v/>
      </c>
      <c r="D25" s="20">
        <f>IF(OR(D4="",D23=""),"",IFERROR(D4-D23,""))</f>
        <v/>
      </c>
      <c r="E25" s="20">
        <f>IF(OR(E4="",E23=""),"",IFERROR(E4-E23,""))</f>
        <v/>
      </c>
      <c r="F25" s="20">
        <f>IF(OR(F4="",F23=""),"",IFERROR(F4-F23,""))</f>
        <v/>
      </c>
      <c r="G25" s="20">
        <f>IF(OR(G4="",G23=""),"",IFERROR(G4-G23,""))</f>
        <v/>
      </c>
      <c r="H25" s="20">
        <f>IF(OR(H4="",H23=""),"",IFERROR(H4-H23,""))</f>
        <v/>
      </c>
      <c r="I25" s="20">
        <f>IF(OR(I4="",I23=""),"",IFERROR(I4-I23,""))</f>
        <v/>
      </c>
      <c r="J25" s="20">
        <f>IF(OR(J4="",J23=""),"",IFERROR(J4-J23,""))</f>
        <v/>
      </c>
      <c r="K25" s="20">
        <f>IF(OR(K4="",K23=""),"",IFERROR(K4-K23,""))</f>
        <v/>
      </c>
      <c r="L25" s="20">
        <f>IF(OR(L4="",L23=""),"",IFERROR(L4-L23,""))</f>
        <v/>
      </c>
      <c r="M25" s="20">
        <f>IF(OR(M4="",M23=""),"",IFERROR(M4-M23,""))</f>
        <v/>
      </c>
      <c r="N25" s="20">
        <f>IF(OR(N4="",N23=""),"",IFERROR(N4-N23,""))</f>
        <v/>
      </c>
      <c r="O25" s="19">
        <f>IF(OR(O4="",O23=""),"",IFERROR(O4-O23,""))</f>
        <v/>
      </c>
      <c r="P25" s="20">
        <f>IF(OR(P4="",P23=""),"",IFERROR(P4-P23,""))</f>
        <v/>
      </c>
      <c r="Q25" s="20">
        <f>IF(OR(Q4="",Q23=""),"",IFERROR(Q4-Q23,""))</f>
        <v/>
      </c>
      <c r="R25" s="20">
        <f>IF(OR(R4="",R23=""),"",IFERROR(R4-R23,""))</f>
        <v/>
      </c>
      <c r="S25" s="20">
        <f>IF(OR(S4="",S23=""),"",IFERROR(S4-S23,""))</f>
        <v/>
      </c>
      <c r="T25" s="20">
        <f>IF(OR(T4="",T23=""),"",IFERROR(T4-T23,""))</f>
        <v/>
      </c>
      <c r="U25" s="20">
        <f>IF(OR(U4="",U23=""),"",IFERROR(U4-U23,""))</f>
        <v/>
      </c>
      <c r="V25" s="20">
        <f>IF(OR(V4="",V23=""),"",IFERROR(V4-V23,""))</f>
        <v/>
      </c>
      <c r="W25" s="20">
        <f>IF(OR(W4="",W23=""),"",IFERROR(W4-W23,""))</f>
        <v/>
      </c>
      <c r="X25" s="20">
        <f>IF(OR(X4="",X23=""),"",IFERROR(X4-X23,""))</f>
        <v/>
      </c>
      <c r="Y25" s="19" t="n"/>
      <c r="Z25" s="20" t="n"/>
      <c r="AA25" s="20" t="n"/>
      <c r="AB25" s="20" t="n"/>
      <c r="AC25" s="20" t="n"/>
    </row>
    <row r="26">
      <c r="A26" s="13" t="inlineStr">
        <is>
          <t>GPM</t>
        </is>
      </c>
      <c r="B26" s="10" t="n"/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14">
        <f>IF(OR(Y25="",Y4=""),"",IFERROR(Y25/Y4,""))</f>
        <v/>
      </c>
      <c r="Z26" s="15">
        <f>IF(OR(Z25="",Z4=""),"",IFERROR(Z25/Z4,""))</f>
        <v/>
      </c>
      <c r="AA26" s="15">
        <f>IF(OR(AA25="",AA4=""),"",IFERROR(AA25/AA4,""))</f>
        <v/>
      </c>
      <c r="AB26" s="15">
        <f>IF(OR(AB25="",AB4=""),"",IFERROR(AB25/AB4,""))</f>
        <v/>
      </c>
      <c r="AC26" s="15">
        <f>IF(OR(AC25="",AC4=""),"",IFERROR(AC25/AC4,""))</f>
        <v/>
      </c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IF(OR(G25="",C25=""),"",IF(C25&lt;=0,"",IFERROR(G25/C25-1,"")))</f>
        <v/>
      </c>
      <c r="H27" s="15">
        <f>IF(OR(H25="",D25=""),"",IF(D25&lt;=0,"",IFERROR(H25/D25-1,"")))</f>
        <v/>
      </c>
      <c r="I27" s="15">
        <f>IF(OR(I25="",E25=""),"",IF(E25&lt;=0,"",IFERROR(I25/E25-1,"")))</f>
        <v/>
      </c>
      <c r="J27" s="15">
        <f>IF(OR(J25="",F25=""),"",IF(F25&lt;=0,"",IFERROR(J25/F25-1,"")))</f>
        <v/>
      </c>
      <c r="K27" s="15">
        <f>IF(OR(K25="",G25=""),"",IF(G25&lt;=0,"",IFERROR(K25/G25-1,"")))</f>
        <v/>
      </c>
      <c r="L27" s="15">
        <f>IF(OR(L25="",H25=""),"",IF(H25&lt;=0,"",IFERROR(L25/H25-1,"")))</f>
        <v/>
      </c>
      <c r="M27" s="15">
        <f>IF(OR(M25="",I25=""),"",IF(I25&lt;=0,"",IFERROR(M25/I25-1,"")))</f>
        <v/>
      </c>
      <c r="N27" s="15">
        <f>IF(OR(N25="",J25=""),"",IF(J25&lt;=0,"",IFERROR(N25/J25-1,"")))</f>
        <v/>
      </c>
      <c r="O27" s="14" t="n"/>
      <c r="P27" s="15">
        <f>IF(OR(P25="",O25=""),"",IF(O25&lt;=0,"",IFERROR(P25/O25-1,"")))</f>
        <v/>
      </c>
      <c r="Q27" s="15">
        <f>IF(OR(Q25="",P25=""),"",IF(P25&lt;=0,"",IFERROR(Q25/P25-1,"")))</f>
        <v/>
      </c>
      <c r="R27" s="15">
        <f>IF(OR(R25="",Q25=""),"",IF(Q25&lt;=0,"",IFERROR(R25/Q25-1,"")))</f>
        <v/>
      </c>
      <c r="S27" s="15">
        <f>IF(OR(S25="",R25=""),"",IF(R25&lt;=0,"",IFERROR(S25/R25-1,"")))</f>
        <v/>
      </c>
      <c r="T27" s="15">
        <f>IF(OR(T25="",S25=""),"",IF(S25&lt;=0,"",IFERROR(T25/S25-1,"")))</f>
        <v/>
      </c>
      <c r="U27" s="15">
        <f>IF(OR(U25="",T25=""),"",IF(T25&lt;=0,"",IFERROR(U25/T25-1,"")))</f>
        <v/>
      </c>
      <c r="V27" s="15">
        <f>IF(OR(V25="",U25=""),"",IF(U25&lt;=0,"",IFERROR(V25/U25-1,"")))</f>
        <v/>
      </c>
      <c r="W27" s="15">
        <f>IF(OR(W25="",V25=""),"",IF(V25&lt;=0,"",IFERROR(W25/V25-1,"")))</f>
        <v/>
      </c>
      <c r="X27" s="15">
        <f>IF(OR(X25="",W25=""),"",IF(W25&lt;=0,"",IFERROR(X25/W25-1,"")))</f>
        <v/>
      </c>
      <c r="Y27" s="14">
        <f>IF(OR(Y25="",X25=""),"",IF(X25&lt;=0,"",IFERROR(Y25/X25-1,"")))</f>
        <v/>
      </c>
      <c r="Z27" s="15">
        <f>IF(OR(Z25="",Y25=""),"",IF(Y25&lt;=0,"",IFERROR(Z25/Y25-1,"")))</f>
        <v/>
      </c>
      <c r="AA27" s="15">
        <f>IF(OR(AA25="",Z25=""),"",IF(Z25&lt;=0,"",IFERROR(AA25/Z25-1,"")))</f>
        <v/>
      </c>
      <c r="AB27" s="15">
        <f>IF(OR(AB25="",AA25=""),"",IF(AA25&lt;=0,"",IFERROR(AB25/AA25-1,"")))</f>
        <v/>
      </c>
      <c r="AC27" s="15">
        <f>IF(OR(AC25="",AB25=""),"",IF(AB25&lt;=0,"",IFERROR(AC25/AB25-1,"")))</f>
        <v/>
      </c>
    </row>
    <row r="28">
      <c r="A28" s="23" t="inlineStr">
        <is>
          <t>판매관리비</t>
        </is>
      </c>
      <c r="B28" s="23" t="n"/>
      <c r="C28" s="24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4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4" t="n"/>
      <c r="Z28" s="23" t="n"/>
      <c r="AA28" s="23" t="n"/>
      <c r="AB28" s="23" t="n"/>
      <c r="AC28" s="23" t="n"/>
    </row>
    <row r="29">
      <c r="A29" s="18" t="inlineStr">
        <is>
          <t>전체 판관비</t>
        </is>
      </c>
      <c r="B29" s="10" t="n"/>
      <c r="C29" s="19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19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19" t="n"/>
      <c r="Z29" s="20" t="n"/>
      <c r="AA29" s="20" t="n"/>
      <c r="AB29" s="20" t="n"/>
      <c r="AC29" s="20" t="n"/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IF(OR(G29="",C29=""),"",IF(C29&lt;=0,"",IFERROR(G29/C29-1,"")))</f>
        <v/>
      </c>
      <c r="H30" s="15">
        <f>IF(OR(H29="",D29=""),"",IF(D29&lt;=0,"",IFERROR(H29/D29-1,"")))</f>
        <v/>
      </c>
      <c r="I30" s="15">
        <f>IF(OR(I29="",E29=""),"",IF(E29&lt;=0,"",IFERROR(I29/E29-1,"")))</f>
        <v/>
      </c>
      <c r="J30" s="15">
        <f>IF(OR(J29="",F29=""),"",IF(F29&lt;=0,"",IFERROR(J29/F29-1,"")))</f>
        <v/>
      </c>
      <c r="K30" s="15">
        <f>IF(OR(K29="",G29=""),"",IF(G29&lt;=0,"",IFERROR(K29/G29-1,"")))</f>
        <v/>
      </c>
      <c r="L30" s="15">
        <f>IF(OR(L29="",H29=""),"",IF(H29&lt;=0,"",IFERROR(L29/H29-1,"")))</f>
        <v/>
      </c>
      <c r="M30" s="15">
        <f>IF(OR(M29="",I29=""),"",IF(I29&lt;=0,"",IFERROR(M29/I29-1,"")))</f>
        <v/>
      </c>
      <c r="N30" s="15">
        <f>IF(OR(N29="",J29=""),"",IF(J29&lt;=0,"",IFERROR(N29/J29-1,"")))</f>
        <v/>
      </c>
      <c r="O30" s="14" t="n"/>
      <c r="P30" s="15">
        <f>IF(OR(P29="",O29=""),"",IF(O29&lt;=0,"",IFERROR(P29/O29-1,"")))</f>
        <v/>
      </c>
      <c r="Q30" s="15">
        <f>IF(OR(Q29="",P29=""),"",IF(P29&lt;=0,"",IFERROR(Q29/P29-1,"")))</f>
        <v/>
      </c>
      <c r="R30" s="15">
        <f>IF(OR(R29="",Q29=""),"",IF(Q29&lt;=0,"",IFERROR(R29/Q29-1,"")))</f>
        <v/>
      </c>
      <c r="S30" s="15">
        <f>IF(OR(S29="",R29=""),"",IF(R29&lt;=0,"",IFERROR(S29/R29-1,"")))</f>
        <v/>
      </c>
      <c r="T30" s="15">
        <f>IF(OR(T29="",S29=""),"",IF(S29&lt;=0,"",IFERROR(T29/S29-1,"")))</f>
        <v/>
      </c>
      <c r="U30" s="15">
        <f>IF(OR(U29="",T29=""),"",IF(T29&lt;=0,"",IFERROR(U29/T29-1,"")))</f>
        <v/>
      </c>
      <c r="V30" s="15">
        <f>IF(OR(V29="",U29=""),"",IF(U29&lt;=0,"",IFERROR(V29/U29-1,"")))</f>
        <v/>
      </c>
      <c r="W30" s="15">
        <f>IF(OR(W29="",V29=""),"",IF(V29&lt;=0,"",IFERROR(W29/V29-1,"")))</f>
        <v/>
      </c>
      <c r="X30" s="15">
        <f>IF(OR(X29="",W29=""),"",IF(W29&lt;=0,"",IFERROR(X29/W29-1,"")))</f>
        <v/>
      </c>
      <c r="Y30" s="14">
        <f>IF(OR(Y29="",X29=""),"",IF(X29&lt;=0,"",IFERROR(Y29/X29-1,"")))</f>
        <v/>
      </c>
      <c r="Z30" s="15">
        <f>IF(OR(Z29="",Y29=""),"",IF(Y29&lt;=0,"",IFERROR(Z29/Y29-1,"")))</f>
        <v/>
      </c>
      <c r="AA30" s="15">
        <f>IF(OR(AA29="",Z29=""),"",IF(Z29&lt;=0,"",IFERROR(AA29/Z29-1,"")))</f>
        <v/>
      </c>
      <c r="AB30" s="15">
        <f>IF(OR(AB29="",AA29=""),"",IF(AA29&lt;=0,"",IFERROR(AB29/AA29-1,"")))</f>
        <v/>
      </c>
      <c r="AC30" s="15">
        <f>IF(OR(AC29="",AB29=""),"",IF(AB29&lt;=0,"",IFERROR(AC29/AB29-1,"")))</f>
        <v/>
      </c>
    </row>
    <row r="31">
      <c r="A31" s="9" t="inlineStr">
        <is>
          <t>영업이익</t>
        </is>
      </c>
      <c r="B31" s="10" t="inlineStr">
        <is>
          <t>MW = 매출 × OPM</t>
        </is>
      </c>
      <c r="C31" s="11" t="n"/>
      <c r="D31" s="12" t="n"/>
      <c r="E31" s="12" t="n"/>
      <c r="F31" s="12" t="n"/>
      <c r="G31" s="12" t="n"/>
      <c r="H31" s="12" t="n"/>
      <c r="I31" s="12" t="n">
        <v>68185</v>
      </c>
      <c r="J31" s="12" t="n">
        <v>63559</v>
      </c>
      <c r="K31" s="12" t="n"/>
      <c r="L31" s="12" t="n"/>
      <c r="M31" s="12" t="n">
        <v>90805</v>
      </c>
      <c r="N31" s="12" t="n">
        <v>82626</v>
      </c>
      <c r="O31" s="11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1">
        <f>IF(OR(Y4="",Y32=""),"",IFERROR(Y4*Y32,""))</f>
        <v/>
      </c>
      <c r="Z31" s="12">
        <f>IF(OR(Z4="",Z32=""),"",IFERROR(Z4*Z32,""))</f>
        <v/>
      </c>
      <c r="AA31" s="12">
        <f>IF(OR(AA4="",AA32=""),"",IFERROR(AA4*AA32,""))</f>
        <v/>
      </c>
      <c r="AB31" s="12">
        <f>IF(OR(AB4="",AB32=""),"",IFERROR(AB4*AB32,""))</f>
        <v/>
      </c>
      <c r="AC31" s="12">
        <f>IF(OR(AC4="",AC32=""),"",IFERROR(AC4*AC32,""))</f>
        <v/>
      </c>
    </row>
    <row r="32">
      <c r="A32" s="13" t="inlineStr">
        <is>
          <t>OPM</t>
        </is>
      </c>
      <c r="B32" s="10" t="inlineStr">
        <is>
          <t>MW 입력</t>
        </is>
      </c>
      <c r="C32" s="14">
        <f>IF(OR(C31="",C4=""),"",IFERROR(C31/C4,""))</f>
        <v/>
      </c>
      <c r="D32" s="15">
        <f>IF(OR(D31="",D4=""),"",IFERROR(D31/D4,""))</f>
        <v/>
      </c>
      <c r="E32" s="15">
        <f>IF(OR(E31="",E4=""),"",IFERROR(E31/E4,""))</f>
        <v/>
      </c>
      <c r="F32" s="15">
        <f>IF(OR(F31="",F4=""),"",IFERROR(F31/F4,""))</f>
        <v/>
      </c>
      <c r="G32" s="15">
        <f>IF(OR(G31="",G4=""),"",IFERROR(G31/G4,""))</f>
        <v/>
      </c>
      <c r="H32" s="15">
        <f>IF(OR(H31="",H4=""),"",IFERROR(H31/H4,""))</f>
        <v/>
      </c>
      <c r="I32" s="15">
        <f>IF(OR(I31="",I4=""),"",IFERROR(I31/I4,""))</f>
        <v/>
      </c>
      <c r="J32" s="15">
        <f>IF(OR(J31="",J4=""),"",IFERROR(J31/J4,""))</f>
        <v/>
      </c>
      <c r="K32" s="15">
        <f>IF(OR(K31="",K4=""),"",IFERROR(K31/K4,""))</f>
        <v/>
      </c>
      <c r="L32" s="15">
        <f>IF(OR(L31="",L4=""),"",IFERROR(L31/L4,""))</f>
        <v/>
      </c>
      <c r="M32" s="15">
        <f>IF(OR(M31="",M4=""),"",IFERROR(M31/M4,""))</f>
        <v/>
      </c>
      <c r="N32" s="15">
        <f>IF(OR(N31="",N4=""),"",IFERROR(N31/N4,""))</f>
        <v/>
      </c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25" t="n"/>
      <c r="Z32" s="26" t="n"/>
      <c r="AA32" s="26" t="n"/>
      <c r="AB32" s="26" t="n"/>
      <c r="AC32" s="26" t="n"/>
    </row>
    <row r="33">
      <c r="A33" s="13" t="inlineStr">
        <is>
          <t>증가율</t>
        </is>
      </c>
      <c r="B33" s="10" t="n"/>
      <c r="C33" s="14" t="n"/>
      <c r="D33" s="15" t="n"/>
      <c r="E33" s="15" t="n"/>
      <c r="F33" s="15" t="n"/>
      <c r="G33" s="15">
        <f>IF(OR(G31="",C31=""),"",IFERROR(G31/C31-1,""))</f>
        <v/>
      </c>
      <c r="H33" s="15">
        <f>IF(OR(H31="",D31=""),"",IFERROR(H31/D31-1,""))</f>
        <v/>
      </c>
      <c r="I33" s="15">
        <f>IF(OR(I31="",E31=""),"",IFERROR(I31/E31-1,""))</f>
        <v/>
      </c>
      <c r="J33" s="15">
        <f>IF(OR(J31="",F31=""),"",IFERROR(J31/F31-1,""))</f>
        <v/>
      </c>
      <c r="K33" s="15">
        <f>IF(OR(K31="",G31=""),"",IFERROR(K31/G31-1,""))</f>
        <v/>
      </c>
      <c r="L33" s="15">
        <f>IF(OR(L31="",H31=""),"",IFERROR(L31/H31-1,""))</f>
        <v/>
      </c>
      <c r="M33" s="15">
        <f>IF(OR(M31="",I31=""),"",IFERROR(M31/I31-1,""))</f>
        <v/>
      </c>
      <c r="N33" s="15">
        <f>IF(OR(N31="",J31=""),"",IFERROR(N31/J31-1,""))</f>
        <v/>
      </c>
      <c r="O33" s="14" t="n"/>
      <c r="P33" s="15">
        <f>IF(OR(P31="",O31=""),"",IFERROR(P31/O31-1,""))</f>
        <v/>
      </c>
      <c r="Q33" s="15">
        <f>IF(OR(Q31="",P31=""),"",IFERROR(Q31/P31-1,""))</f>
        <v/>
      </c>
      <c r="R33" s="15">
        <f>IF(OR(R31="",Q31=""),"",IFERROR(R31/Q31-1,""))</f>
        <v/>
      </c>
      <c r="S33" s="15">
        <f>IF(OR(S31="",R31=""),"",IFERROR(S31/R31-1,""))</f>
        <v/>
      </c>
      <c r="T33" s="15">
        <f>IF(OR(T31="",S31=""),"",IFERROR(T31/S31-1,""))</f>
        <v/>
      </c>
      <c r="U33" s="15">
        <f>IF(OR(U31="",T31=""),"",IFERROR(U31/T31-1,""))</f>
        <v/>
      </c>
      <c r="V33" s="15">
        <f>IF(OR(V31="",U31=""),"",IFERROR(V31/U31-1,""))</f>
        <v/>
      </c>
      <c r="W33" s="15">
        <f>IF(OR(W31="",V31=""),"",IFERROR(W31/V31-1,""))</f>
        <v/>
      </c>
      <c r="X33" s="15">
        <f>IF(OR(X31="",W31=""),"",IFERROR(X31/W31-1,""))</f>
        <v/>
      </c>
      <c r="Y33" s="14">
        <f>IF(OR(Y31="",X31=""),"",IFERROR(Y31/X31-1,""))</f>
        <v/>
      </c>
      <c r="Z33" s="15">
        <f>IF(OR(Z31="",Y31=""),"",IFERROR(Z31/Y31-1,""))</f>
        <v/>
      </c>
      <c r="AA33" s="15">
        <f>IF(OR(AA31="",Z31=""),"",IFERROR(AA31/Z31-1,""))</f>
        <v/>
      </c>
      <c r="AB33" s="15">
        <f>IF(OR(AB31="",AA31=""),"",IFERROR(AB31/AA31-1,""))</f>
        <v/>
      </c>
      <c r="AC33" s="15">
        <f>IF(OR(AC31="",AB31=""),"",IFERROR(AC31/AB31-1,""))</f>
        <v/>
      </c>
    </row>
    <row r="34">
      <c r="A34" s="16" t="inlineStr">
        <is>
          <t>비용의 성격별 분류</t>
        </is>
      </c>
      <c r="B34" s="16" t="inlineStr">
        <is>
          <t>참고 데이터</t>
        </is>
      </c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7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7" t="n"/>
      <c r="Z34" s="16" t="n"/>
      <c r="AA34" s="16" t="n"/>
      <c r="AB34" s="16" t="n"/>
      <c r="AC34" s="16" t="n"/>
    </row>
    <row r="35">
      <c r="A35" s="9" t="inlineStr">
        <is>
          <t>총 판관비</t>
        </is>
      </c>
      <c r="B35" s="10" t="n"/>
      <c r="C35" s="11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1">
        <f>IF(O29="","",O29)</f>
        <v/>
      </c>
      <c r="P35" s="12">
        <f>IF(P29="","",P29)</f>
        <v/>
      </c>
      <c r="Q35" s="12">
        <f>IF(Q29="","",Q29)</f>
        <v/>
      </c>
      <c r="R35" s="12">
        <f>IF(R29="","",R29)</f>
        <v/>
      </c>
      <c r="S35" s="12">
        <f>IF(S29="","",S29)</f>
        <v/>
      </c>
      <c r="T35" s="12">
        <f>IF(T29="","",T29)</f>
        <v/>
      </c>
      <c r="U35" s="12">
        <f>IF(U29="","",U29)</f>
        <v/>
      </c>
      <c r="V35" s="12">
        <f>IF(V29="","",V29)</f>
        <v/>
      </c>
      <c r="W35" s="12">
        <f>IF(W29="","",W29)</f>
        <v/>
      </c>
      <c r="X35" s="12">
        <f>IF(X29="","",X29)</f>
        <v/>
      </c>
      <c r="Y35" s="11" t="n"/>
      <c r="Z35" s="12" t="n"/>
      <c r="AA35" s="12" t="n"/>
      <c r="AB35" s="12" t="n"/>
      <c r="AC35" s="12" t="n"/>
    </row>
    <row r="36">
      <c r="A36" s="18" t="inlineStr">
        <is>
          <t>급여</t>
        </is>
      </c>
      <c r="B36" s="10" t="inlineStr">
        <is>
          <t>고정비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감가상각비</t>
        </is>
      </c>
      <c r="B38" s="10" t="inlineStr">
        <is>
          <t>고정비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8" t="inlineStr">
        <is>
          <t>지급수수료</t>
        </is>
      </c>
      <c r="B40" s="10" t="inlineStr">
        <is>
          <t>고정비</t>
        </is>
      </c>
      <c r="C40" s="19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19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19" t="n"/>
      <c r="Z40" s="20" t="n"/>
      <c r="AA40" s="20" t="n"/>
      <c r="AB40" s="20" t="n"/>
      <c r="AC40" s="20" t="n"/>
    </row>
    <row r="41">
      <c r="A41" s="13" t="inlineStr">
        <is>
          <t>% of Sales</t>
        </is>
      </c>
      <c r="B41" s="10" t="n"/>
      <c r="C41" s="14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4">
        <f>IF(OR(O40="",O4=""),"",IFERROR(O40/O4,""))</f>
        <v/>
      </c>
      <c r="P41" s="15">
        <f>IF(OR(P40="",P4=""),"",IFERROR(P40/P4,""))</f>
        <v/>
      </c>
      <c r="Q41" s="15">
        <f>IF(OR(Q40="",Q4=""),"",IFERROR(Q40/Q4,""))</f>
        <v/>
      </c>
      <c r="R41" s="15">
        <f>IF(OR(R40="",R4=""),"",IFERROR(R40/R4,""))</f>
        <v/>
      </c>
      <c r="S41" s="15">
        <f>IF(OR(S40="",S4=""),"",IFERROR(S40/S4,""))</f>
        <v/>
      </c>
      <c r="T41" s="15">
        <f>IF(OR(T40="",T4=""),"",IFERROR(T40/T4,""))</f>
        <v/>
      </c>
      <c r="U41" s="15">
        <f>IF(OR(U40="",U4=""),"",IFERROR(U40/U4,""))</f>
        <v/>
      </c>
      <c r="V41" s="15">
        <f>IF(OR(V40="",V4=""),"",IFERROR(V40/V4,""))</f>
        <v/>
      </c>
      <c r="W41" s="15">
        <f>IF(OR(W40="",W4=""),"",IFERROR(W40/W4,""))</f>
        <v/>
      </c>
      <c r="X41" s="15">
        <f>IF(OR(X40="",X4=""),"",IFERROR(X40/X4,""))</f>
        <v/>
      </c>
      <c r="Y41" s="14" t="n"/>
      <c r="Z41" s="15" t="n"/>
      <c r="AA41" s="15" t="n"/>
      <c r="AB41" s="15" t="n"/>
      <c r="AC41" s="15" t="n"/>
    </row>
    <row r="42">
      <c r="A42" s="18" t="inlineStr">
        <is>
          <t>연구개발비</t>
        </is>
      </c>
      <c r="B42" s="10" t="inlineStr">
        <is>
          <t>변동비</t>
        </is>
      </c>
      <c r="C42" s="19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19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19" t="n"/>
      <c r="Z42" s="20" t="n"/>
      <c r="AA42" s="20" t="n"/>
      <c r="AB42" s="20" t="n"/>
      <c r="AC42" s="20" t="n"/>
    </row>
    <row r="43">
      <c r="A43" s="13" t="inlineStr">
        <is>
          <t>% of Sales</t>
        </is>
      </c>
      <c r="B43" s="10" t="n"/>
      <c r="C43" s="14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4">
        <f>IF(OR(O42="",O4=""),"",IFERROR(O42/O4,""))</f>
        <v/>
      </c>
      <c r="P43" s="15">
        <f>IF(OR(P42="",P4=""),"",IFERROR(P42/P4,""))</f>
        <v/>
      </c>
      <c r="Q43" s="15">
        <f>IF(OR(Q42="",Q4=""),"",IFERROR(Q42/Q4,""))</f>
        <v/>
      </c>
      <c r="R43" s="15">
        <f>IF(OR(R42="",R4=""),"",IFERROR(R42/R4,""))</f>
        <v/>
      </c>
      <c r="S43" s="15">
        <f>IF(OR(S42="",S4=""),"",IFERROR(S42/S4,""))</f>
        <v/>
      </c>
      <c r="T43" s="15">
        <f>IF(OR(T42="",T4=""),"",IFERROR(T42/T4,""))</f>
        <v/>
      </c>
      <c r="U43" s="15">
        <f>IF(OR(U42="",U4=""),"",IFERROR(U42/U4,""))</f>
        <v/>
      </c>
      <c r="V43" s="15">
        <f>IF(OR(V42="",V4=""),"",IFERROR(V42/V4,""))</f>
        <v/>
      </c>
      <c r="W43" s="15">
        <f>IF(OR(W42="",W4=""),"",IFERROR(W42/W4,""))</f>
        <v/>
      </c>
      <c r="X43" s="15">
        <f>IF(OR(X42="",X4=""),"",IFERROR(X42/X4,""))</f>
        <v/>
      </c>
      <c r="Y43" s="14" t="n"/>
      <c r="Z43" s="15" t="n"/>
      <c r="AA43" s="15" t="n"/>
      <c r="AB43" s="15" t="n"/>
      <c r="AC43" s="15" t="n"/>
    </row>
    <row r="44">
      <c r="A44" s="18" t="inlineStr">
        <is>
          <t>기타비용</t>
        </is>
      </c>
      <c r="B44" s="10" t="inlineStr">
        <is>
          <t>변동비</t>
        </is>
      </c>
      <c r="C44" s="19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19">
        <f>IF(OR(O35="",O36="",O38="",O40="",O42=""),"",IFERROR(O35-O36-O38-O40-O42,""))</f>
        <v/>
      </c>
      <c r="P44" s="20">
        <f>IF(OR(P35="",P36="",P38="",P40="",P42=""),"",IFERROR(P35-P36-P38-P40-P42,""))</f>
        <v/>
      </c>
      <c r="Q44" s="20">
        <f>IF(OR(Q35="",Q36="",Q38="",Q40="",Q42=""),"",IFERROR(Q35-Q36-Q38-Q40-Q42,""))</f>
        <v/>
      </c>
      <c r="R44" s="20">
        <f>IF(OR(R35="",R36="",R38="",R40="",R42=""),"",IFERROR(R35-R36-R38-R40-R42,""))</f>
        <v/>
      </c>
      <c r="S44" s="20">
        <f>IF(OR(S35="",S36="",S38="",S40="",S42=""),"",IFERROR(S35-S36-S38-S40-S42,""))</f>
        <v/>
      </c>
      <c r="T44" s="20">
        <f>IF(OR(T35="",T36="",T38="",T40="",T42=""),"",IFERROR(T35-T36-T38-T40-T42,""))</f>
        <v/>
      </c>
      <c r="U44" s="20">
        <f>IF(OR(U35="",U36="",U38="",U40="",U42=""),"",IFERROR(U35-U36-U38-U40-U42,""))</f>
        <v/>
      </c>
      <c r="V44" s="20">
        <f>IF(OR(V35="",V36="",V38="",V40="",V42=""),"",IFERROR(V35-V36-V38-V40-V42,""))</f>
        <v/>
      </c>
      <c r="W44" s="20">
        <f>IF(OR(W35="",W36="",W38="",W40="",W42=""),"",IFERROR(W35-W36-W38-W40-W42,""))</f>
        <v/>
      </c>
      <c r="X44" s="20">
        <f>IF(OR(X35="",X36="",X38="",X40="",X42=""),"",IFERROR(X35-X36-X38-X40-X42,""))</f>
        <v/>
      </c>
      <c r="Y44" s="19" t="n"/>
      <c r="Z44" s="20" t="n"/>
      <c r="AA44" s="20" t="n"/>
      <c r="AB44" s="20" t="n"/>
      <c r="AC44" s="20" t="n"/>
    </row>
    <row r="45">
      <c r="A45" s="13" t="inlineStr">
        <is>
          <t>% of Sales</t>
        </is>
      </c>
      <c r="B45" s="10" t="n"/>
      <c r="C45" s="14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14" t="n"/>
      <c r="Z45" s="15" t="n"/>
      <c r="AA45" s="15" t="n"/>
      <c r="AB45" s="15" t="n"/>
      <c r="AC45" s="15" t="n"/>
    </row>
    <row r="46">
      <c r="A46" s="16" t="inlineStr">
        <is>
          <t>당기순이익 추정</t>
        </is>
      </c>
      <c r="B46" s="16" t="n"/>
      <c r="C46" s="17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7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7" t="n"/>
      <c r="Z46" s="16" t="n"/>
      <c r="AA46" s="16" t="n"/>
      <c r="AB46" s="16" t="n"/>
      <c r="AC46" s="16" t="n"/>
    </row>
    <row r="47">
      <c r="A47" s="18" t="inlineStr">
        <is>
          <t>기타이익</t>
        </is>
      </c>
      <c r="B47" s="10" t="n"/>
      <c r="C47" s="19" t="n"/>
      <c r="D47" s="20" t="n"/>
      <c r="E47" s="20" t="n">
        <v>248</v>
      </c>
      <c r="F47" s="20" t="n">
        <v>390</v>
      </c>
      <c r="G47" s="20" t="n"/>
      <c r="H47" s="20" t="n"/>
      <c r="I47" s="20" t="n">
        <v>618</v>
      </c>
      <c r="J47" s="20" t="n">
        <v>476</v>
      </c>
      <c r="K47" s="20" t="n"/>
      <c r="L47" s="20" t="n"/>
      <c r="M47" s="20" t="n"/>
      <c r="N47" s="20" t="n"/>
      <c r="O47" s="19" t="n"/>
      <c r="P47" s="20" t="n">
        <v>3999</v>
      </c>
      <c r="Q47" s="20" t="n">
        <v>3775</v>
      </c>
      <c r="R47" s="20" t="n">
        <v>2463</v>
      </c>
      <c r="S47" s="20" t="n">
        <v>8139</v>
      </c>
      <c r="T47" s="20" t="n">
        <v>7141</v>
      </c>
      <c r="U47" s="20" t="n">
        <v>2764</v>
      </c>
      <c r="V47" s="20" t="n">
        <v>13328</v>
      </c>
      <c r="W47" s="20" t="n">
        <v>2955</v>
      </c>
      <c r="X47" s="20" t="n">
        <v>34213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inlineStr">
        <is>
          <t>MW = 최근 3년 평균</t>
        </is>
      </c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18" t="inlineStr">
        <is>
          <t>기타손실</t>
        </is>
      </c>
      <c r="B49" s="10" t="n"/>
      <c r="C49" s="19" t="n"/>
      <c r="D49" s="20" t="n"/>
      <c r="E49" s="20" t="n">
        <v>38760</v>
      </c>
      <c r="F49" s="20" t="n">
        <v>39298</v>
      </c>
      <c r="G49" s="20" t="n"/>
      <c r="H49" s="20" t="n"/>
      <c r="I49" s="20" t="n">
        <v>42304</v>
      </c>
      <c r="J49" s="20" t="n">
        <v>39350</v>
      </c>
      <c r="K49" s="20" t="n"/>
      <c r="L49" s="20" t="n"/>
      <c r="M49" s="20" t="n"/>
      <c r="N49" s="20" t="n"/>
      <c r="O49" s="19" t="n"/>
      <c r="P49" s="20" t="n">
        <v>118543</v>
      </c>
      <c r="Q49" s="20" t="n">
        <v>128010</v>
      </c>
      <c r="R49" s="20" t="n">
        <v>117768</v>
      </c>
      <c r="S49" s="20" t="n">
        <v>104646</v>
      </c>
      <c r="T49" s="20" t="n">
        <v>118228</v>
      </c>
      <c r="U49" s="20" t="n">
        <v>138213</v>
      </c>
      <c r="V49" s="20" t="n">
        <v>146092</v>
      </c>
      <c r="W49" s="20" t="n">
        <v>156987</v>
      </c>
      <c r="X49" s="20" t="n">
        <v>167014</v>
      </c>
      <c r="Y49" s="19">
        <f>IF(OR(Y4="",Y50=""),"",IFERROR(Y4*Y50,""))</f>
        <v/>
      </c>
      <c r="Z49" s="20">
        <f>IF(OR(Z4="",Z50=""),"",IFERROR(Z4*Z50,""))</f>
        <v/>
      </c>
      <c r="AA49" s="20">
        <f>IF(OR(AA4="",AA50=""),"",IFERROR(AA4*AA50,""))</f>
        <v/>
      </c>
      <c r="AB49" s="20">
        <f>IF(OR(AB4="",AB50=""),"",IFERROR(AB4*AB50,""))</f>
        <v/>
      </c>
      <c r="AC49" s="20">
        <f>IF(OR(AC4="",AC50=""),"",IFERROR(AC4*AC50,""))</f>
        <v/>
      </c>
    </row>
    <row r="50">
      <c r="A50" s="13" t="inlineStr">
        <is>
          <t>% of Sales</t>
        </is>
      </c>
      <c r="B50" s="10" t="n"/>
      <c r="C50" s="14">
        <f>IF(OR(C49="",C4=""),"",IFERROR(C49/C4,""))</f>
        <v/>
      </c>
      <c r="D50" s="15">
        <f>IF(OR(D49="",D4=""),"",IFERROR(D49/D4,""))</f>
        <v/>
      </c>
      <c r="E50" s="15">
        <f>IF(OR(E49="",E4=""),"",IFERROR(E49/E4,""))</f>
        <v/>
      </c>
      <c r="F50" s="15">
        <f>IF(OR(F49="",F4=""),"",IFERROR(F49/F4,""))</f>
        <v/>
      </c>
      <c r="G50" s="15">
        <f>IF(OR(G49="",G4=""),"",IFERROR(G49/G4,""))</f>
        <v/>
      </c>
      <c r="H50" s="15">
        <f>IF(OR(H49="",H4=""),"",IFERROR(H49/H4,""))</f>
        <v/>
      </c>
      <c r="I50" s="15">
        <f>IF(OR(I49="",I4=""),"",IFERROR(I49/I4,""))</f>
        <v/>
      </c>
      <c r="J50" s="15">
        <f>IF(OR(J49="",J4=""),"",IFERROR(J49/J4,""))</f>
        <v/>
      </c>
      <c r="K50" s="15">
        <f>IF(OR(K49="",K4=""),"",IFERROR(K49/K4,""))</f>
        <v/>
      </c>
      <c r="L50" s="15">
        <f>IF(OR(L49="",L4=""),"",IFERROR(L49/L4,""))</f>
        <v/>
      </c>
      <c r="M50" s="15">
        <f>IF(OR(M49="",M4=""),"",IFERROR(M49/M4,""))</f>
        <v/>
      </c>
      <c r="N50" s="15">
        <f>IF(OR(N49="",N4=""),"",IFERROR(N49/N4,""))</f>
        <v/>
      </c>
      <c r="O50" s="14">
        <f>IF(OR(O49="",O4=""),"",IFERROR(O49/O4,""))</f>
        <v/>
      </c>
      <c r="P50" s="15">
        <f>IF(OR(P49="",P4=""),"",IFERROR(P49/P4,""))</f>
        <v/>
      </c>
      <c r="Q50" s="15">
        <f>IF(OR(Q49="",Q4=""),"",IFERROR(Q49/Q4,""))</f>
        <v/>
      </c>
      <c r="R50" s="15">
        <f>IF(OR(R49="",R4=""),"",IFERROR(R49/R4,""))</f>
        <v/>
      </c>
      <c r="S50" s="15">
        <f>IF(OR(S49="",S4=""),"",IFERROR(S49/S4,""))</f>
        <v/>
      </c>
      <c r="T50" s="15">
        <f>IF(OR(T49="",T4=""),"",IFERROR(T49/T4,""))</f>
        <v/>
      </c>
      <c r="U50" s="15">
        <f>IF(OR(U49="",U4=""),"",IFERROR(U49/U4,""))</f>
        <v/>
      </c>
      <c r="V50" s="15">
        <f>IF(OR(V49="",V4=""),"",IFERROR(V49/V4,""))</f>
        <v/>
      </c>
      <c r="W50" s="15">
        <f>IF(OR(W49="",W4=""),"",IFERROR(W49/W4,""))</f>
        <v/>
      </c>
      <c r="X50" s="15">
        <f>IF(OR(X49="",X4=""),"",IFERROR(X49/X4,""))</f>
        <v/>
      </c>
      <c r="Y50" s="25">
        <f>IFERROR(AVERAGE(V50,W50,X50),"")</f>
        <v/>
      </c>
      <c r="Z50" s="26">
        <f>Y50</f>
        <v/>
      </c>
      <c r="AA50" s="26">
        <f>Z50</f>
        <v/>
      </c>
      <c r="AB50" s="26">
        <f>AA50</f>
        <v/>
      </c>
      <c r="AC50" s="26">
        <f>AB50</f>
        <v/>
      </c>
    </row>
    <row r="51">
      <c r="A51" s="18" t="inlineStr">
        <is>
          <t>금융수익</t>
        </is>
      </c>
      <c r="B51" s="10" t="n"/>
      <c r="C51" s="19" t="n"/>
      <c r="D51" s="20" t="n"/>
      <c r="E51" s="20" t="n">
        <v>4125</v>
      </c>
      <c r="F51" s="20" t="n">
        <v>4662</v>
      </c>
      <c r="G51" s="20" t="n"/>
      <c r="H51" s="20" t="n"/>
      <c r="I51" s="20" t="n">
        <v>3342</v>
      </c>
      <c r="J51" s="20" t="n">
        <v>3561</v>
      </c>
      <c r="K51" s="20" t="n"/>
      <c r="L51" s="20" t="n"/>
      <c r="M51" s="20" t="n"/>
      <c r="N51" s="20" t="n"/>
      <c r="O51" s="19" t="n"/>
      <c r="P51" s="20" t="n">
        <v>1562</v>
      </c>
      <c r="Q51" s="20" t="n">
        <v>2773</v>
      </c>
      <c r="R51" s="20" t="n">
        <v>3461</v>
      </c>
      <c r="S51" s="20" t="n">
        <v>2204</v>
      </c>
      <c r="T51" s="20" t="n">
        <v>1718</v>
      </c>
      <c r="U51" s="20" t="n">
        <v>7666</v>
      </c>
      <c r="V51" s="20" t="n">
        <v>16279</v>
      </c>
      <c r="W51" s="20" t="n">
        <v>16440</v>
      </c>
      <c r="X51" s="20" t="n">
        <v>13316</v>
      </c>
      <c r="Y51" s="19">
        <f>IF(OR(Y4="",Y52=""),"",IFERROR(Y4*Y52,""))</f>
        <v/>
      </c>
      <c r="Z51" s="20">
        <f>IF(OR(Z4="",Z52=""),"",IFERROR(Z4*Z52,""))</f>
        <v/>
      </c>
      <c r="AA51" s="20">
        <f>IF(OR(AA4="",AA52=""),"",IFERROR(AA4*AA52,""))</f>
        <v/>
      </c>
      <c r="AB51" s="20">
        <f>IF(OR(AB4="",AB52=""),"",IFERROR(AB4*AB52,""))</f>
        <v/>
      </c>
      <c r="AC51" s="20">
        <f>IF(OR(AC4="",AC52=""),"",IFERROR(AC4*AC52,""))</f>
        <v/>
      </c>
    </row>
    <row r="52">
      <c r="A52" s="13" t="inlineStr">
        <is>
          <t>% of Sales</t>
        </is>
      </c>
      <c r="B52" s="10" t="n"/>
      <c r="C52" s="14">
        <f>IF(OR(C51="",C4=""),"",IFERROR(C51/C4,""))</f>
        <v/>
      </c>
      <c r="D52" s="15">
        <f>IF(OR(D51="",D4=""),"",IFERROR(D51/D4,""))</f>
        <v/>
      </c>
      <c r="E52" s="15">
        <f>IF(OR(E51="",E4=""),"",IFERROR(E51/E4,""))</f>
        <v/>
      </c>
      <c r="F52" s="15">
        <f>IF(OR(F51="",F4=""),"",IFERROR(F51/F4,""))</f>
        <v/>
      </c>
      <c r="G52" s="15">
        <f>IF(OR(G51="",G4=""),"",IFERROR(G51/G4,""))</f>
        <v/>
      </c>
      <c r="H52" s="15">
        <f>IF(OR(H51="",H4=""),"",IFERROR(H51/H4,""))</f>
        <v/>
      </c>
      <c r="I52" s="15">
        <f>IF(OR(I51="",I4=""),"",IFERROR(I51/I4,""))</f>
        <v/>
      </c>
      <c r="J52" s="15">
        <f>IF(OR(J51="",J4=""),"",IFERROR(J51/J4,""))</f>
        <v/>
      </c>
      <c r="K52" s="15">
        <f>IF(OR(K51="",K4=""),"",IFERROR(K51/K4,""))</f>
        <v/>
      </c>
      <c r="L52" s="15">
        <f>IF(OR(L51="",L4=""),"",IFERROR(L51/L4,""))</f>
        <v/>
      </c>
      <c r="M52" s="15">
        <f>IF(OR(M51="",M4=""),"",IFERROR(M51/M4,""))</f>
        <v/>
      </c>
      <c r="N52" s="15">
        <f>IF(OR(N51="",N4=""),"",IFERROR(N51/N4,""))</f>
        <v/>
      </c>
      <c r="O52" s="14">
        <f>IF(OR(O51="",O4=""),"",IFERROR(O51/O4,""))</f>
        <v/>
      </c>
      <c r="P52" s="15">
        <f>IF(OR(P51="",P4=""),"",IFERROR(P51/P4,""))</f>
        <v/>
      </c>
      <c r="Q52" s="15">
        <f>IF(OR(Q51="",Q4=""),"",IFERROR(Q51/Q4,""))</f>
        <v/>
      </c>
      <c r="R52" s="15">
        <f>IF(OR(R51="",R4=""),"",IFERROR(R51/R4,""))</f>
        <v/>
      </c>
      <c r="S52" s="15">
        <f>IF(OR(S51="",S4=""),"",IFERROR(S51/S4,""))</f>
        <v/>
      </c>
      <c r="T52" s="15">
        <f>IF(OR(T51="",T4=""),"",IFERROR(T51/T4,""))</f>
        <v/>
      </c>
      <c r="U52" s="15">
        <f>IF(OR(U51="",U4=""),"",IFERROR(U51/U4,""))</f>
        <v/>
      </c>
      <c r="V52" s="15">
        <f>IF(OR(V51="",V4=""),"",IFERROR(V51/V4,""))</f>
        <v/>
      </c>
      <c r="W52" s="15">
        <f>IF(OR(W51="",W4=""),"",IFERROR(W51/W4,""))</f>
        <v/>
      </c>
      <c r="X52" s="15">
        <f>IF(OR(X51="",X4=""),"",IFERROR(X51/X4,""))</f>
        <v/>
      </c>
      <c r="Y52" s="25">
        <f>IFERROR(AVERAGE(V52,W52,X52),"")</f>
        <v/>
      </c>
      <c r="Z52" s="26">
        <f>Y52</f>
        <v/>
      </c>
      <c r="AA52" s="26">
        <f>Z52</f>
        <v/>
      </c>
      <c r="AB52" s="26">
        <f>AA52</f>
        <v/>
      </c>
      <c r="AC52" s="26">
        <f>AB52</f>
        <v/>
      </c>
    </row>
    <row r="53">
      <c r="A53" s="18" t="inlineStr">
        <is>
          <t>금융원가</t>
        </is>
      </c>
      <c r="B53" s="10" t="n"/>
      <c r="C53" s="19" t="n"/>
      <c r="D53" s="20" t="n"/>
      <c r="E53" s="20" t="n">
        <v>335</v>
      </c>
      <c r="F53" s="20" t="n">
        <v>331</v>
      </c>
      <c r="G53" s="20" t="n"/>
      <c r="H53" s="20" t="n"/>
      <c r="I53" s="20" t="n">
        <v>500</v>
      </c>
      <c r="J53" s="20" t="n">
        <v>488</v>
      </c>
      <c r="K53" s="20" t="n"/>
      <c r="L53" s="20" t="n"/>
      <c r="M53" s="20" t="n"/>
      <c r="N53" s="20" t="n"/>
      <c r="O53" s="19" t="n"/>
      <c r="P53" s="20" t="n">
        <v>771</v>
      </c>
      <c r="Q53" s="20" t="n">
        <v>391</v>
      </c>
      <c r="R53" s="20" t="n">
        <v>791</v>
      </c>
      <c r="S53" s="20" t="n">
        <v>2010</v>
      </c>
      <c r="T53" s="20" t="n">
        <v>1664</v>
      </c>
      <c r="U53" s="20" t="n">
        <v>1816</v>
      </c>
      <c r="V53" s="20" t="n">
        <v>1925</v>
      </c>
      <c r="W53" s="20" t="n">
        <v>1459</v>
      </c>
      <c r="X53" s="20" t="n">
        <v>1991</v>
      </c>
      <c r="Y53" s="19">
        <f>IF(OR(Y4="",Y54=""),"",IFERROR(Y4*Y54,""))</f>
        <v/>
      </c>
      <c r="Z53" s="20">
        <f>IF(OR(Z4="",Z54=""),"",IFERROR(Z4*Z54,""))</f>
        <v/>
      </c>
      <c r="AA53" s="20">
        <f>IF(OR(AA4="",AA54=""),"",IFERROR(AA4*AA54,""))</f>
        <v/>
      </c>
      <c r="AB53" s="20">
        <f>IF(OR(AB4="",AB54=""),"",IFERROR(AB4*AB54,""))</f>
        <v/>
      </c>
      <c r="AC53" s="20">
        <f>IF(OR(AC4="",AC54=""),"",IFERROR(AC4*AC54,""))</f>
        <v/>
      </c>
    </row>
    <row r="54">
      <c r="A54" s="13" t="inlineStr">
        <is>
          <t>% of Sales</t>
        </is>
      </c>
      <c r="B54" s="10" t="n"/>
      <c r="C54" s="14">
        <f>IF(OR(C53="",C4=""),"",IFERROR(C53/C4,""))</f>
        <v/>
      </c>
      <c r="D54" s="15">
        <f>IF(OR(D53="",D4=""),"",IFERROR(D53/D4,""))</f>
        <v/>
      </c>
      <c r="E54" s="15">
        <f>IF(OR(E53="",E4=""),"",IFERROR(E53/E4,""))</f>
        <v/>
      </c>
      <c r="F54" s="15">
        <f>IF(OR(F53="",F4=""),"",IFERROR(F53/F4,""))</f>
        <v/>
      </c>
      <c r="G54" s="15">
        <f>IF(OR(G53="",G4=""),"",IFERROR(G53/G4,""))</f>
        <v/>
      </c>
      <c r="H54" s="15">
        <f>IF(OR(H53="",H4=""),"",IFERROR(H53/H4,""))</f>
        <v/>
      </c>
      <c r="I54" s="15">
        <f>IF(OR(I53="",I4=""),"",IFERROR(I53/I4,""))</f>
        <v/>
      </c>
      <c r="J54" s="15">
        <f>IF(OR(J53="",J4=""),"",IFERROR(J53/J4,""))</f>
        <v/>
      </c>
      <c r="K54" s="15">
        <f>IF(OR(K53="",K4=""),"",IFERROR(K53/K4,""))</f>
        <v/>
      </c>
      <c r="L54" s="15">
        <f>IF(OR(L53="",L4=""),"",IFERROR(L53/L4,""))</f>
        <v/>
      </c>
      <c r="M54" s="15">
        <f>IF(OR(M53="",M4=""),"",IFERROR(M53/M4,""))</f>
        <v/>
      </c>
      <c r="N54" s="15">
        <f>IF(OR(N53="",N4=""),"",IFERROR(N53/N4,""))</f>
        <v/>
      </c>
      <c r="O54" s="14">
        <f>IF(OR(O53="",O4=""),"",IFERROR(O53/O4,""))</f>
        <v/>
      </c>
      <c r="P54" s="15">
        <f>IF(OR(P53="",P4=""),"",IFERROR(P53/P4,""))</f>
        <v/>
      </c>
      <c r="Q54" s="15">
        <f>IF(OR(Q53="",Q4=""),"",IFERROR(Q53/Q4,""))</f>
        <v/>
      </c>
      <c r="R54" s="15">
        <f>IF(OR(R53="",R4=""),"",IFERROR(R53/R4,""))</f>
        <v/>
      </c>
      <c r="S54" s="15">
        <f>IF(OR(S53="",S4=""),"",IFERROR(S53/S4,""))</f>
        <v/>
      </c>
      <c r="T54" s="15">
        <f>IF(OR(T53="",T4=""),"",IFERROR(T53/T4,""))</f>
        <v/>
      </c>
      <c r="U54" s="15">
        <f>IF(OR(U53="",U4=""),"",IFERROR(U53/U4,""))</f>
        <v/>
      </c>
      <c r="V54" s="15">
        <f>IF(OR(V53="",V4=""),"",IFERROR(V53/V4,""))</f>
        <v/>
      </c>
      <c r="W54" s="15">
        <f>IF(OR(W53="",W4=""),"",IFERROR(W53/W4,""))</f>
        <v/>
      </c>
      <c r="X54" s="15">
        <f>IF(OR(X53="",X4=""),"",IFERROR(X53/X4,""))</f>
        <v/>
      </c>
      <c r="Y54" s="25">
        <f>IFERROR(AVERAGE(V54,W54,X54),"")</f>
        <v/>
      </c>
      <c r="Z54" s="26">
        <f>Y54</f>
        <v/>
      </c>
      <c r="AA54" s="26">
        <f>Z54</f>
        <v/>
      </c>
      <c r="AB54" s="26">
        <f>AA54</f>
        <v/>
      </c>
      <c r="AC54" s="26">
        <f>AB54</f>
        <v/>
      </c>
    </row>
    <row r="55">
      <c r="A55" s="9" t="inlineStr">
        <is>
          <t>법인세비용차감전순이익(손실)</t>
        </is>
      </c>
      <c r="B55" s="10" t="n"/>
      <c r="C55" s="11" t="n"/>
      <c r="D55" s="12" t="n"/>
      <c r="E55" s="12" t="n">
        <v>62841</v>
      </c>
      <c r="F55" s="12" t="n">
        <v>64190</v>
      </c>
      <c r="G55" s="12" t="n"/>
      <c r="H55" s="12" t="n"/>
      <c r="I55" s="12" t="n">
        <v>71930</v>
      </c>
      <c r="J55" s="12" t="n">
        <v>67364</v>
      </c>
      <c r="K55" s="12" t="n"/>
      <c r="L55" s="12" t="n"/>
      <c r="M55" s="12" t="n">
        <v>91591</v>
      </c>
      <c r="N55" s="12" t="n">
        <v>85995</v>
      </c>
      <c r="O55" s="11" t="n"/>
      <c r="P55" s="12" t="n">
        <v>124248</v>
      </c>
      <c r="Q55" s="12" t="n">
        <v>144657</v>
      </c>
      <c r="R55" s="12" t="n">
        <v>147268</v>
      </c>
      <c r="S55" s="12" t="n">
        <v>159218</v>
      </c>
      <c r="T55" s="12" t="n">
        <v>210706</v>
      </c>
      <c r="U55" s="12" t="n">
        <v>215832</v>
      </c>
      <c r="V55" s="12" t="n">
        <v>236564</v>
      </c>
      <c r="W55" s="12" t="n">
        <v>259965</v>
      </c>
      <c r="X55" s="12" t="n">
        <v>327668</v>
      </c>
      <c r="Y55" s="11">
        <f>IF(OR(Y31=""),"",IFERROR(Y31+N(Y47)-N(Y49)+N(Y51)-N(Y53),""))</f>
        <v/>
      </c>
      <c r="Z55" s="12">
        <f>IF(OR(Z31=""),"",IFERROR(Z31+N(Z47)-N(Z49)+N(Z51)-N(Z53),""))</f>
        <v/>
      </c>
      <c r="AA55" s="12">
        <f>IF(OR(AA31=""),"",IFERROR(AA31+N(AA47)-N(AA49)+N(AA51)-N(AA53),""))</f>
        <v/>
      </c>
      <c r="AB55" s="12">
        <f>IF(OR(AB31=""),"",IFERROR(AB31+N(AB47)-N(AB49)+N(AB51)-N(AB53),""))</f>
        <v/>
      </c>
      <c r="AC55" s="12">
        <f>IF(OR(AC31=""),"",IFERROR(AC31+N(AC47)-N(AC49)+N(AC51)-N(AC53),""))</f>
        <v/>
      </c>
    </row>
    <row r="56">
      <c r="A56" s="13" t="inlineStr">
        <is>
          <t>YoY</t>
        </is>
      </c>
      <c r="B56" s="10" t="n"/>
      <c r="C56" s="14" t="n"/>
      <c r="D56" s="15" t="n"/>
      <c r="E56" s="15" t="n"/>
      <c r="F56" s="15" t="n"/>
      <c r="G56" s="15">
        <f>IF(OR(G55="",C55=""),"",IF(C55&lt;=0,"",IFERROR(G55/C55-1,"")))</f>
        <v/>
      </c>
      <c r="H56" s="15">
        <f>IF(OR(H55="",D55=""),"",IF(D55&lt;=0,"",IFERROR(H55/D55-1,"")))</f>
        <v/>
      </c>
      <c r="I56" s="15">
        <f>IF(OR(I55="",E55=""),"",IF(E55&lt;=0,"",IFERROR(I55/E55-1,"")))</f>
        <v/>
      </c>
      <c r="J56" s="15">
        <f>IF(OR(J55="",F55=""),"",IF(F55&lt;=0,"",IFERROR(J55/F55-1,"")))</f>
        <v/>
      </c>
      <c r="K56" s="15">
        <f>IF(OR(K55="",G55=""),"",IF(G55&lt;=0,"",IFERROR(K55/G55-1,"")))</f>
        <v/>
      </c>
      <c r="L56" s="15">
        <f>IF(OR(L55="",H55=""),"",IF(H55&lt;=0,"",IFERROR(L55/H55-1,"")))</f>
        <v/>
      </c>
      <c r="M56" s="15">
        <f>IF(OR(M55="",I55=""),"",IF(I55&lt;=0,"",IFERROR(M55/I55-1,"")))</f>
        <v/>
      </c>
      <c r="N56" s="15">
        <f>IF(OR(N55="",J55=""),"",IF(J55&lt;=0,"",IFERROR(N55/J55-1,"")))</f>
        <v/>
      </c>
      <c r="O56" s="14" t="n"/>
      <c r="P56" s="15">
        <f>IF(OR(P55="",O55=""),"",IF(O55&lt;=0,"",IFERROR(P55/O55-1,"")))</f>
        <v/>
      </c>
      <c r="Q56" s="15">
        <f>IF(OR(Q55="",P55=""),"",IF(P55&lt;=0,"",IFERROR(Q55/P55-1,"")))</f>
        <v/>
      </c>
      <c r="R56" s="15">
        <f>IF(OR(R55="",Q55=""),"",IF(Q55&lt;=0,"",IFERROR(R55/Q55-1,"")))</f>
        <v/>
      </c>
      <c r="S56" s="15">
        <f>IF(OR(S55="",R55=""),"",IF(R55&lt;=0,"",IFERROR(S55/R55-1,"")))</f>
        <v/>
      </c>
      <c r="T56" s="15">
        <f>IF(OR(T55="",S55=""),"",IF(S55&lt;=0,"",IFERROR(T55/S55-1,"")))</f>
        <v/>
      </c>
      <c r="U56" s="15">
        <f>IF(OR(U55="",T55=""),"",IF(T55&lt;=0,"",IFERROR(U55/T55-1,"")))</f>
        <v/>
      </c>
      <c r="V56" s="15">
        <f>IF(OR(V55="",U55=""),"",IF(U55&lt;=0,"",IFERROR(V55/U55-1,"")))</f>
        <v/>
      </c>
      <c r="W56" s="15">
        <f>IF(OR(W55="",V55=""),"",IF(V55&lt;=0,"",IFERROR(W55/V55-1,"")))</f>
        <v/>
      </c>
      <c r="X56" s="15">
        <f>IF(OR(X55="",W55=""),"",IF(W55&lt;=0,"",IFERROR(X55/W55-1,"")))</f>
        <v/>
      </c>
      <c r="Y56" s="14">
        <f>IF(OR(Y55="",X55=""),"",IF(X55&lt;=0,"",IFERROR(Y55/X55-1,"")))</f>
        <v/>
      </c>
      <c r="Z56" s="15">
        <f>IF(OR(Z55="",Y55=""),"",IF(Y55&lt;=0,"",IFERROR(Z55/Y55-1,"")))</f>
        <v/>
      </c>
      <c r="AA56" s="15">
        <f>IF(OR(AA55="",Z55=""),"",IF(Z55&lt;=0,"",IFERROR(AA55/Z55-1,"")))</f>
        <v/>
      </c>
      <c r="AB56" s="15">
        <f>IF(OR(AB55="",AA55=""),"",IF(AA55&lt;=0,"",IFERROR(AB55/AA55-1,"")))</f>
        <v/>
      </c>
      <c r="AC56" s="15">
        <f>IF(OR(AC55="",AB55=""),"",IF(AB55&lt;=0,"",IFERROR(AC55/AB55-1,"")))</f>
        <v/>
      </c>
    </row>
    <row r="57">
      <c r="A57" s="18" t="inlineStr">
        <is>
          <t>법인세비용(수익)</t>
        </is>
      </c>
      <c r="B57" s="10" t="n"/>
      <c r="C57" s="19" t="n"/>
      <c r="D57" s="20" t="n"/>
      <c r="E57" s="20" t="n">
        <v>9944</v>
      </c>
      <c r="F57" s="20" t="n">
        <v>17131</v>
      </c>
      <c r="G57" s="20" t="n"/>
      <c r="H57" s="20" t="n"/>
      <c r="I57" s="20" t="n">
        <v>16968</v>
      </c>
      <c r="J57" s="20" t="n">
        <v>15962</v>
      </c>
      <c r="K57" s="20" t="n"/>
      <c r="L57" s="20" t="n"/>
      <c r="M57" s="20" t="n">
        <v>20985</v>
      </c>
      <c r="N57" s="20" t="n">
        <v>20160</v>
      </c>
      <c r="O57" s="19" t="n"/>
      <c r="P57" s="20" t="n">
        <v>25026</v>
      </c>
      <c r="Q57" s="20" t="n">
        <v>22584</v>
      </c>
      <c r="R57" s="20" t="n">
        <v>32681</v>
      </c>
      <c r="S57" s="20" t="n">
        <v>33997</v>
      </c>
      <c r="T57" s="20" t="n">
        <v>45384</v>
      </c>
      <c r="U57" s="20" t="n">
        <v>47044</v>
      </c>
      <c r="V57" s="20" t="n">
        <v>53998</v>
      </c>
      <c r="W57" s="20" t="n">
        <v>58215</v>
      </c>
      <c r="X57" s="20" t="n">
        <v>76216</v>
      </c>
      <c r="Y57" s="19">
        <f>IF(OR(Y55="",Y58=""),"",IFERROR(MAX(Y55,0)*Y58,""))</f>
        <v/>
      </c>
      <c r="Z57" s="20">
        <f>IF(OR(Z55="",Z58=""),"",IFERROR(MAX(Z55,0)*Z58,""))</f>
        <v/>
      </c>
      <c r="AA57" s="20">
        <f>IF(OR(AA55="",AA58=""),"",IFERROR(MAX(AA55,0)*AA58,""))</f>
        <v/>
      </c>
      <c r="AB57" s="20">
        <f>IF(OR(AB55="",AB58=""),"",IFERROR(MAX(AB55,0)*AB58,""))</f>
        <v/>
      </c>
      <c r="AC57" s="20">
        <f>IF(OR(AC55="",AC58=""),"",IFERROR(MAX(AC55,0)*AC58,""))</f>
        <v/>
      </c>
    </row>
    <row r="58">
      <c r="A58" s="13" t="inlineStr">
        <is>
          <t>법인세율</t>
        </is>
      </c>
      <c r="B58" s="10" t="inlineStr">
        <is>
          <t>MW 기본 30%</t>
        </is>
      </c>
      <c r="C58" s="14">
        <f>IF(OR(C57="",C55=""),"",IFERROR(C57/C55,""))</f>
        <v/>
      </c>
      <c r="D58" s="15">
        <f>IF(OR(D57="",D55=""),"",IFERROR(D57/D55,""))</f>
        <v/>
      </c>
      <c r="E58" s="15">
        <f>IF(OR(E57="",E55=""),"",IFERROR(E57/E55,""))</f>
        <v/>
      </c>
      <c r="F58" s="15">
        <f>IF(OR(F57="",F55=""),"",IFERROR(F57/F55,""))</f>
        <v/>
      </c>
      <c r="G58" s="15">
        <f>IF(OR(G57="",G55=""),"",IFERROR(G57/G55,""))</f>
        <v/>
      </c>
      <c r="H58" s="15">
        <f>IF(OR(H57="",H55=""),"",IFERROR(H57/H55,""))</f>
        <v/>
      </c>
      <c r="I58" s="15">
        <f>IF(OR(I57="",I55=""),"",IFERROR(I57/I55,""))</f>
        <v/>
      </c>
      <c r="J58" s="15">
        <f>IF(OR(J57="",J55=""),"",IFERROR(J57/J55,""))</f>
        <v/>
      </c>
      <c r="K58" s="15">
        <f>IF(OR(K57="",K55=""),"",IFERROR(K57/K55,""))</f>
        <v/>
      </c>
      <c r="L58" s="15">
        <f>IF(OR(L57="",L55=""),"",IFERROR(L57/L55,""))</f>
        <v/>
      </c>
      <c r="M58" s="15">
        <f>IF(OR(M57="",M55=""),"",IFERROR(M57/M55,""))</f>
        <v/>
      </c>
      <c r="N58" s="15">
        <f>IF(OR(N57="",N55=""),"",IFERROR(N57/N55,""))</f>
        <v/>
      </c>
      <c r="O58" s="14">
        <f>IF(OR(O57="",O55=""),"",IFERROR(O57/O55,""))</f>
        <v/>
      </c>
      <c r="P58" s="15">
        <f>IF(OR(P57="",P55=""),"",IFERROR(P57/P55,""))</f>
        <v/>
      </c>
      <c r="Q58" s="15">
        <f>IF(OR(Q57="",Q55=""),"",IFERROR(Q57/Q55,""))</f>
        <v/>
      </c>
      <c r="R58" s="15">
        <f>IF(OR(R57="",R55=""),"",IFERROR(R57/R55,""))</f>
        <v/>
      </c>
      <c r="S58" s="15">
        <f>IF(OR(S57="",S55=""),"",IFERROR(S57/S55,""))</f>
        <v/>
      </c>
      <c r="T58" s="15">
        <f>IF(OR(T57="",T55=""),"",IFERROR(T57/T55,""))</f>
        <v/>
      </c>
      <c r="U58" s="15">
        <f>IF(OR(U57="",U55=""),"",IFERROR(U57/U55,""))</f>
        <v/>
      </c>
      <c r="V58" s="15">
        <f>IF(OR(V57="",V55=""),"",IFERROR(V57/V55,""))</f>
        <v/>
      </c>
      <c r="W58" s="15">
        <f>IF(OR(W57="",W55=""),"",IFERROR(W57/W55,""))</f>
        <v/>
      </c>
      <c r="X58" s="15">
        <f>IF(OR(X57="",X55=""),"",IFERROR(X57/X55,""))</f>
        <v/>
      </c>
      <c r="Y58" s="25" t="n">
        <v>0.3</v>
      </c>
      <c r="Z58" s="26" t="n">
        <v>0.3</v>
      </c>
      <c r="AA58" s="26" t="n">
        <v>0.3</v>
      </c>
      <c r="AB58" s="26" t="n">
        <v>0.3</v>
      </c>
      <c r="AC58" s="26" t="n">
        <v>0.3</v>
      </c>
    </row>
    <row r="59">
      <c r="A59" s="9" t="inlineStr">
        <is>
          <t>당기순이익(손실)</t>
        </is>
      </c>
      <c r="B59" s="10" t="n"/>
      <c r="C59" s="11" t="n"/>
      <c r="D59" s="12" t="n"/>
      <c r="E59" s="12" t="n">
        <v>52898</v>
      </c>
      <c r="F59" s="12" t="n">
        <v>47058</v>
      </c>
      <c r="G59" s="12" t="n"/>
      <c r="H59" s="12" t="n"/>
      <c r="I59" s="12" t="n">
        <v>54963</v>
      </c>
      <c r="J59" s="12" t="n">
        <v>51400</v>
      </c>
      <c r="K59" s="12" t="n"/>
      <c r="L59" s="12" t="n"/>
      <c r="M59" s="12" t="n">
        <v>70606</v>
      </c>
      <c r="N59" s="12" t="n">
        <v>65834</v>
      </c>
      <c r="O59" s="11" t="n"/>
      <c r="P59" s="12" t="n">
        <v>99222</v>
      </c>
      <c r="Q59" s="12" t="n">
        <v>122072</v>
      </c>
      <c r="R59" s="12" t="n">
        <v>114587</v>
      </c>
      <c r="S59" s="12" t="n">
        <v>125221</v>
      </c>
      <c r="T59" s="12" t="n">
        <v>165322</v>
      </c>
      <c r="U59" s="12" t="n">
        <v>168788</v>
      </c>
      <c r="V59" s="12" t="n">
        <v>182566</v>
      </c>
      <c r="W59" s="12" t="n">
        <v>201750</v>
      </c>
      <c r="X59" s="12" t="n">
        <v>251451</v>
      </c>
      <c r="Y59" s="11">
        <f>IF(OR(Y55=""),"",IFERROR(Y55-Y57,""))</f>
        <v/>
      </c>
      <c r="Z59" s="12">
        <f>IF(OR(Z55=""),"",IFERROR(Z55-Z57,""))</f>
        <v/>
      </c>
      <c r="AA59" s="12">
        <f>IF(OR(AA55=""),"",IFERROR(AA55-AA57,""))</f>
        <v/>
      </c>
      <c r="AB59" s="12">
        <f>IF(OR(AB55=""),"",IFERROR(AB55-AB57,""))</f>
        <v/>
      </c>
      <c r="AC59" s="12">
        <f>IF(OR(AC55=""),"",IFERROR(AC55-AC57,""))</f>
        <v/>
      </c>
    </row>
    <row r="60">
      <c r="A60" s="13" t="inlineStr">
        <is>
          <t>YoY</t>
        </is>
      </c>
      <c r="B60" s="10" t="n"/>
      <c r="C60" s="14" t="n"/>
      <c r="D60" s="15" t="n"/>
      <c r="E60" s="15" t="n"/>
      <c r="F60" s="15" t="n"/>
      <c r="G60" s="15">
        <f>IF(OR(G59="",C59=""),"",IF(C59&lt;=0,"",IFERROR(G59/C59-1,"")))</f>
        <v/>
      </c>
      <c r="H60" s="15">
        <f>IF(OR(H59="",D59=""),"",IF(D59&lt;=0,"",IFERROR(H59/D59-1,"")))</f>
        <v/>
      </c>
      <c r="I60" s="15">
        <f>IF(OR(I59="",E59=""),"",IF(E59&lt;=0,"",IFERROR(I59/E59-1,"")))</f>
        <v/>
      </c>
      <c r="J60" s="15">
        <f>IF(OR(J59="",F59=""),"",IF(F59&lt;=0,"",IFERROR(J59/F59-1,"")))</f>
        <v/>
      </c>
      <c r="K60" s="15">
        <f>IF(OR(K59="",G59=""),"",IF(G59&lt;=0,"",IFERROR(K59/G59-1,"")))</f>
        <v/>
      </c>
      <c r="L60" s="15">
        <f>IF(OR(L59="",H59=""),"",IF(H59&lt;=0,"",IFERROR(L59/H59-1,"")))</f>
        <v/>
      </c>
      <c r="M60" s="15">
        <f>IF(OR(M59="",I59=""),"",IF(I59&lt;=0,"",IFERROR(M59/I59-1,"")))</f>
        <v/>
      </c>
      <c r="N60" s="15">
        <f>IF(OR(N59="",J59=""),"",IF(J59&lt;=0,"",IFERROR(N59/J59-1,"")))</f>
        <v/>
      </c>
      <c r="O60" s="14" t="n"/>
      <c r="P60" s="15">
        <f>IF(OR(P59="",O59=""),"",IF(O59&lt;=0,"",IFERROR(P59/O59-1,"")))</f>
        <v/>
      </c>
      <c r="Q60" s="15">
        <f>IF(OR(Q59="",P59=""),"",IF(P59&lt;=0,"",IFERROR(Q59/P59-1,"")))</f>
        <v/>
      </c>
      <c r="R60" s="15">
        <f>IF(OR(R59="",Q59=""),"",IF(Q59&lt;=0,"",IFERROR(R59/Q59-1,"")))</f>
        <v/>
      </c>
      <c r="S60" s="15">
        <f>IF(OR(S59="",R59=""),"",IF(R59&lt;=0,"",IFERROR(S59/R59-1,"")))</f>
        <v/>
      </c>
      <c r="T60" s="15">
        <f>IF(OR(T59="",S59=""),"",IF(S59&lt;=0,"",IFERROR(T59/S59-1,"")))</f>
        <v/>
      </c>
      <c r="U60" s="15">
        <f>IF(OR(U59="",T59=""),"",IF(T59&lt;=0,"",IFERROR(U59/T59-1,"")))</f>
        <v/>
      </c>
      <c r="V60" s="15">
        <f>IF(OR(V59="",U59=""),"",IF(U59&lt;=0,"",IFERROR(V59/U59-1,"")))</f>
        <v/>
      </c>
      <c r="W60" s="15">
        <f>IF(OR(W59="",V59=""),"",IF(V59&lt;=0,"",IFERROR(W59/V59-1,"")))</f>
        <v/>
      </c>
      <c r="X60" s="15">
        <f>IF(OR(X59="",W59=""),"",IF(W59&lt;=0,"",IFERROR(X59/W59-1,"")))</f>
        <v/>
      </c>
      <c r="Y60" s="14">
        <f>IF(OR(Y59="",X59=""),"",IF(X59&lt;=0,"",IFERROR(Y59/X59-1,"")))</f>
        <v/>
      </c>
      <c r="Z60" s="15">
        <f>IF(OR(Z59="",Y59=""),"",IF(Y59&lt;=0,"",IFERROR(Z59/Y59-1,"")))</f>
        <v/>
      </c>
      <c r="AA60" s="15">
        <f>IF(OR(AA59="",Z59=""),"",IF(Z59&lt;=0,"",IFERROR(AA59/Z59-1,"")))</f>
        <v/>
      </c>
      <c r="AB60" s="15">
        <f>IF(OR(AB59="",AA59=""),"",IF(AA59&lt;=0,"",IFERROR(AB59/AA59-1,"")))</f>
        <v/>
      </c>
      <c r="AC60" s="15">
        <f>IF(OR(AC59="",AB59=""),"",IF(AB59&lt;=0,"",IFERROR(AC59/AB59-1,"")))</f>
        <v/>
      </c>
    </row>
    <row r="61">
      <c r="A61" s="9" t="inlineStr">
        <is>
          <t>지배주주 순이익</t>
        </is>
      </c>
      <c r="B61" s="10" t="n"/>
      <c r="C61" s="11" t="n"/>
      <c r="D61" s="12" t="n"/>
      <c r="E61" s="12" t="n">
        <v>52933</v>
      </c>
      <c r="F61" s="12" t="n">
        <v>47158</v>
      </c>
      <c r="G61" s="12" t="n"/>
      <c r="H61" s="12" t="n"/>
      <c r="I61" s="12" t="n">
        <v>55428</v>
      </c>
      <c r="J61" s="12" t="n">
        <v>51840</v>
      </c>
      <c r="K61" s="12" t="n"/>
      <c r="L61" s="12" t="n"/>
      <c r="M61" s="12" t="n">
        <v>70709</v>
      </c>
      <c r="N61" s="12" t="n">
        <v>65791</v>
      </c>
      <c r="O61" s="11" t="n"/>
      <c r="P61" s="12" t="n">
        <v>99494</v>
      </c>
      <c r="Q61" s="12" t="n">
        <v>122103</v>
      </c>
      <c r="R61" s="12" t="n">
        <v>114406</v>
      </c>
      <c r="S61" s="12" t="n">
        <v>125446</v>
      </c>
      <c r="T61" s="12" t="n">
        <v>164507</v>
      </c>
      <c r="U61" s="12" t="n">
        <v>168638</v>
      </c>
      <c r="V61" s="12" t="n">
        <v>181377</v>
      </c>
      <c r="W61" s="12" t="n">
        <v>202101</v>
      </c>
      <c r="X61" s="12" t="n">
        <v>253085</v>
      </c>
      <c r="Y61" s="11">
        <f>IF(OR(Y59="",Y62=""),"",IFERROR(Y59*Y62,""))</f>
        <v/>
      </c>
      <c r="Z61" s="12">
        <f>IF(OR(Z59="",Z62=""),"",IFERROR(Z59*Z62,""))</f>
        <v/>
      </c>
      <c r="AA61" s="12">
        <f>IF(OR(AA59="",AA62=""),"",IFERROR(AA59*AA62,""))</f>
        <v/>
      </c>
      <c r="AB61" s="12">
        <f>IF(OR(AB59="",AB62=""),"",IFERROR(AB59*AB62,""))</f>
        <v/>
      </c>
      <c r="AC61" s="12">
        <f>IF(OR(AC59="",AC62=""),"",IFERROR(AC59*AC62,""))</f>
        <v/>
      </c>
    </row>
    <row r="62">
      <c r="A62" s="13" t="inlineStr">
        <is>
          <t>지배주주 순이익률</t>
        </is>
      </c>
      <c r="B62" s="10" t="inlineStr">
        <is>
          <t>MW 기본 100%</t>
        </is>
      </c>
      <c r="C62" s="14">
        <f>IF(OR(C61="",C59=""),"",IFERROR(C61/C59,""))</f>
        <v/>
      </c>
      <c r="D62" s="15">
        <f>IF(OR(D61="",D59=""),"",IFERROR(D61/D59,""))</f>
        <v/>
      </c>
      <c r="E62" s="15">
        <f>IF(OR(E61="",E59=""),"",IFERROR(E61/E59,""))</f>
        <v/>
      </c>
      <c r="F62" s="15">
        <f>IF(OR(F61="",F59=""),"",IFERROR(F61/F59,""))</f>
        <v/>
      </c>
      <c r="G62" s="15">
        <f>IF(OR(G61="",G59=""),"",IFERROR(G61/G59,""))</f>
        <v/>
      </c>
      <c r="H62" s="15">
        <f>IF(OR(H61="",H59=""),"",IFERROR(H61/H59,""))</f>
        <v/>
      </c>
      <c r="I62" s="15">
        <f>IF(OR(I61="",I59=""),"",IFERROR(I61/I59,""))</f>
        <v/>
      </c>
      <c r="J62" s="15">
        <f>IF(OR(J61="",J59=""),"",IFERROR(J61/J59,""))</f>
        <v/>
      </c>
      <c r="K62" s="15">
        <f>IF(OR(K61="",K59=""),"",IFERROR(K61/K59,""))</f>
        <v/>
      </c>
      <c r="L62" s="15">
        <f>IF(OR(L61="",L59=""),"",IFERROR(L61/L59,""))</f>
        <v/>
      </c>
      <c r="M62" s="15">
        <f>IF(OR(M61="",M59=""),"",IFERROR(M61/M59,""))</f>
        <v/>
      </c>
      <c r="N62" s="15">
        <f>IF(OR(N61="",N59=""),"",IFERROR(N61/N59,""))</f>
        <v/>
      </c>
      <c r="O62" s="14">
        <f>IF(OR(O61="",O59=""),"",IFERROR(O61/O59,""))</f>
        <v/>
      </c>
      <c r="P62" s="15">
        <f>IF(OR(P61="",P59=""),"",IFERROR(P61/P59,""))</f>
        <v/>
      </c>
      <c r="Q62" s="15">
        <f>IF(OR(Q61="",Q59=""),"",IFERROR(Q61/Q59,""))</f>
        <v/>
      </c>
      <c r="R62" s="15">
        <f>IF(OR(R61="",R59=""),"",IFERROR(R61/R59,""))</f>
        <v/>
      </c>
      <c r="S62" s="15">
        <f>IF(OR(S61="",S59=""),"",IFERROR(S61/S59,""))</f>
        <v/>
      </c>
      <c r="T62" s="15">
        <f>IF(OR(T61="",T59=""),"",IFERROR(T61/T59,""))</f>
        <v/>
      </c>
      <c r="U62" s="15">
        <f>IF(OR(U61="",U59=""),"",IFERROR(U61/U59,""))</f>
        <v/>
      </c>
      <c r="V62" s="15">
        <f>IF(OR(V61="",V59=""),"",IFERROR(V61/V59,""))</f>
        <v/>
      </c>
      <c r="W62" s="15">
        <f>IF(OR(W61="",W59=""),"",IFERROR(W61/W59,""))</f>
        <v/>
      </c>
      <c r="X62" s="15">
        <f>IF(OR(X61="",X59=""),"",IFERROR(X61/X59,""))</f>
        <v/>
      </c>
      <c r="Y62" s="25" t="n">
        <v>1</v>
      </c>
      <c r="Z62" s="26" t="n">
        <v>1</v>
      </c>
      <c r="AA62" s="26" t="n">
        <v>1</v>
      </c>
      <c r="AB62" s="26" t="n">
        <v>1</v>
      </c>
      <c r="AC62" s="26" t="n">
        <v>1</v>
      </c>
    </row>
    <row r="63">
      <c r="A63" s="13" t="inlineStr">
        <is>
          <t>지배주주 순이익 YoY</t>
        </is>
      </c>
      <c r="B63" s="10" t="n"/>
      <c r="C63" s="14" t="n"/>
      <c r="D63" s="15" t="n"/>
      <c r="E63" s="15" t="n"/>
      <c r="F63" s="15" t="n"/>
      <c r="G63" s="15">
        <f>IF(OR(G61="",C61=""),"",IF(C61&lt;=0,"",IFERROR(G61/C61-1,"")))</f>
        <v/>
      </c>
      <c r="H63" s="15">
        <f>IF(OR(H61="",D61=""),"",IF(D61&lt;=0,"",IFERROR(H61/D61-1,"")))</f>
        <v/>
      </c>
      <c r="I63" s="15">
        <f>IF(OR(I61="",E61=""),"",IF(E61&lt;=0,"",IFERROR(I61/E61-1,"")))</f>
        <v/>
      </c>
      <c r="J63" s="15">
        <f>IF(OR(J61="",F61=""),"",IF(F61&lt;=0,"",IFERROR(J61/F61-1,"")))</f>
        <v/>
      </c>
      <c r="K63" s="15">
        <f>IF(OR(K61="",G61=""),"",IF(G61&lt;=0,"",IFERROR(K61/G61-1,"")))</f>
        <v/>
      </c>
      <c r="L63" s="15">
        <f>IF(OR(L61="",H61=""),"",IF(H61&lt;=0,"",IFERROR(L61/H61-1,"")))</f>
        <v/>
      </c>
      <c r="M63" s="15">
        <f>IF(OR(M61="",I61=""),"",IF(I61&lt;=0,"",IFERROR(M61/I61-1,"")))</f>
        <v/>
      </c>
      <c r="N63" s="15">
        <f>IF(OR(N61="",J61=""),"",IF(J61&lt;=0,"",IFERROR(N61/J61-1,"")))</f>
        <v/>
      </c>
      <c r="O63" s="14" t="n"/>
      <c r="P63" s="15">
        <f>IF(OR(P61="",O61=""),"",IF(O61&lt;=0,"",IFERROR(P61/O61-1,"")))</f>
        <v/>
      </c>
      <c r="Q63" s="15">
        <f>IF(OR(Q61="",P61=""),"",IF(P61&lt;=0,"",IFERROR(Q61/P61-1,"")))</f>
        <v/>
      </c>
      <c r="R63" s="15">
        <f>IF(OR(R61="",Q61=""),"",IF(Q61&lt;=0,"",IFERROR(R61/Q61-1,"")))</f>
        <v/>
      </c>
      <c r="S63" s="15">
        <f>IF(OR(S61="",R61=""),"",IF(R61&lt;=0,"",IFERROR(S61/R61-1,"")))</f>
        <v/>
      </c>
      <c r="T63" s="15">
        <f>IF(OR(T61="",S61=""),"",IF(S61&lt;=0,"",IFERROR(T61/S61-1,"")))</f>
        <v/>
      </c>
      <c r="U63" s="15">
        <f>IF(OR(U61="",T61=""),"",IF(T61&lt;=0,"",IFERROR(U61/T61-1,"")))</f>
        <v/>
      </c>
      <c r="V63" s="15">
        <f>IF(OR(V61="",U61=""),"",IF(U61&lt;=0,"",IFERROR(V61/U61-1,"")))</f>
        <v/>
      </c>
      <c r="W63" s="15">
        <f>IF(OR(W61="",V61=""),"",IF(V61&lt;=0,"",IFERROR(W61/V61-1,"")))</f>
        <v/>
      </c>
      <c r="X63" s="15">
        <f>IF(OR(X61="",W61=""),"",IF(W61&lt;=0,"",IFERROR(X61/W61-1,"")))</f>
        <v/>
      </c>
      <c r="Y63" s="14">
        <f>IF(OR(Y61="",X61=""),"",IF(X61&lt;=0,"",IFERROR(Y61/X61-1,"")))</f>
        <v/>
      </c>
      <c r="Z63" s="15">
        <f>IF(OR(Z61="",Y61=""),"",IF(Y61&lt;=0,"",IFERROR(Z61/Y61-1,"")))</f>
        <v/>
      </c>
      <c r="AA63" s="15">
        <f>IF(OR(AA61="",Z61=""),"",IF(Z61&lt;=0,"",IFERROR(AA61/Z61-1,"")))</f>
        <v/>
      </c>
      <c r="AB63" s="15">
        <f>IF(OR(AB61="",AA61=""),"",IF(AA61&lt;=0,"",IFERROR(AB61/AA61-1,"")))</f>
        <v/>
      </c>
      <c r="AC63" s="15">
        <f>IF(OR(AC61="",AB61=""),"",IF(AB61&lt;=0,"",IFERROR(AC61/AB61-1,"")))</f>
        <v/>
      </c>
    </row>
    <row r="64">
      <c r="A64" s="16" t="inlineStr">
        <is>
          <t>목표주가 산출</t>
        </is>
      </c>
      <c r="B64" s="16" t="n"/>
      <c r="C64" s="17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7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7" t="n"/>
      <c r="Z64" s="16" t="n"/>
      <c r="AA64" s="16" t="n"/>
      <c r="AB64" s="16" t="n"/>
      <c r="AC64" s="16" t="n"/>
    </row>
    <row r="65">
      <c r="A65" s="18" t="inlineStr">
        <is>
          <t>현재 주가 ()</t>
        </is>
      </c>
      <c r="B65" s="27" t="n"/>
      <c r="C65" s="28" t="n"/>
      <c r="D65" s="29" t="n"/>
      <c r="E65" s="29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8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29" t="n"/>
      <c r="Y65" s="28" t="n"/>
      <c r="Z65" s="29" t="n"/>
      <c r="AA65" s="29" t="n"/>
      <c r="AB65" s="29" t="n"/>
      <c r="AC65" s="29" t="n"/>
    </row>
    <row r="66">
      <c r="A66" s="18" t="inlineStr">
        <is>
          <t>발행주식수 (보통주)</t>
        </is>
      </c>
      <c r="B66" s="27" t="n"/>
      <c r="C66" s="28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8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8" t="n"/>
      <c r="Z66" s="29" t="n"/>
      <c r="AA66" s="29" t="n"/>
      <c r="AB66" s="29" t="n"/>
      <c r="AC66" s="29" t="n"/>
    </row>
    <row r="67">
      <c r="A67" s="18" t="inlineStr">
        <is>
          <t>시가총액 (백만엔)</t>
        </is>
      </c>
      <c r="B67" s="12">
        <f>IF(OR(B65="",B66=""),"",B65*B66/1000000.0)</f>
        <v/>
      </c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19" t="n"/>
      <c r="Z67" s="20" t="n"/>
      <c r="AA67" s="20" t="n"/>
      <c r="AB67" s="20" t="n"/>
      <c r="AC67" s="20" t="n"/>
    </row>
    <row r="68">
      <c r="A68" s="13" t="inlineStr">
        <is>
          <t>OPM</t>
        </is>
      </c>
      <c r="B68" s="10" t="n"/>
      <c r="C68" s="14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4">
        <f>IF(O32="","",O32)</f>
        <v/>
      </c>
      <c r="P68" s="15">
        <f>IF(P32="","",P32)</f>
        <v/>
      </c>
      <c r="Q68" s="15">
        <f>IF(Q32="","",Q32)</f>
        <v/>
      </c>
      <c r="R68" s="15">
        <f>IF(R32="","",R32)</f>
        <v/>
      </c>
      <c r="S68" s="15">
        <f>IF(S32="","",S32)</f>
        <v/>
      </c>
      <c r="T68" s="15">
        <f>IF(T32="","",T32)</f>
        <v/>
      </c>
      <c r="U68" s="15">
        <f>IF(U32="","",U32)</f>
        <v/>
      </c>
      <c r="V68" s="15">
        <f>IF(V32="","",V32)</f>
        <v/>
      </c>
      <c r="W68" s="15">
        <f>IF(W32="","",W32)</f>
        <v/>
      </c>
      <c r="X68" s="15">
        <f>IF(X32="","",X32)</f>
        <v/>
      </c>
      <c r="Y68" s="14">
        <f>IF(Y32="","",Y32)</f>
        <v/>
      </c>
      <c r="Z68" s="15">
        <f>IF(Z32="","",Z32)</f>
        <v/>
      </c>
      <c r="AA68" s="15">
        <f>IF(AA32="","",AA32)</f>
        <v/>
      </c>
      <c r="AB68" s="15">
        <f>IF(AB32="","",AB32)</f>
        <v/>
      </c>
      <c r="AC68" s="15">
        <f>IF(AC32="","",AC32)</f>
        <v/>
      </c>
    </row>
    <row r="69">
      <c r="A69" s="13" t="inlineStr">
        <is>
          <t>지배주주 순이익 증가율</t>
        </is>
      </c>
      <c r="B69" s="10" t="n"/>
      <c r="C69" s="14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4" t="n"/>
      <c r="P69" s="15">
        <f>IF(OR(P61="",O61=""),"",IFERROR(P61/O61-1,""))</f>
        <v/>
      </c>
      <c r="Q69" s="15">
        <f>IF(OR(Q61="",P61=""),"",IFERROR(Q61/P61-1,""))</f>
        <v/>
      </c>
      <c r="R69" s="15">
        <f>IF(OR(R61="",Q61=""),"",IFERROR(R61/Q61-1,""))</f>
        <v/>
      </c>
      <c r="S69" s="15">
        <f>IF(OR(S61="",R61=""),"",IFERROR(S61/R61-1,""))</f>
        <v/>
      </c>
      <c r="T69" s="15">
        <f>IF(OR(T61="",S61=""),"",IFERROR(T61/S61-1,""))</f>
        <v/>
      </c>
      <c r="U69" s="15">
        <f>IF(OR(U61="",T61=""),"",IFERROR(U61/T61-1,""))</f>
        <v/>
      </c>
      <c r="V69" s="15">
        <f>IF(OR(V61="",U61=""),"",IFERROR(V61/U61-1,""))</f>
        <v/>
      </c>
      <c r="W69" s="15">
        <f>IF(OR(W61="",V61=""),"",IFERROR(W61/V61-1,""))</f>
        <v/>
      </c>
      <c r="X69" s="15">
        <f>IF(OR(X61="",W61=""),"",IFERROR(X61/W61-1,""))</f>
        <v/>
      </c>
      <c r="Y69" s="14">
        <f>IF(OR(Y61="",X61=""),"",IFERROR(Y61/X61-1,""))</f>
        <v/>
      </c>
      <c r="Z69" s="15">
        <f>IF(OR(Z61="",Y61=""),"",IFERROR(Z61/Y61-1,""))</f>
        <v/>
      </c>
      <c r="AA69" s="15">
        <f>IF(OR(AA61="",Z61=""),"",IFERROR(AA61/Z61-1,""))</f>
        <v/>
      </c>
      <c r="AB69" s="15">
        <f>IF(OR(AB61="",AA61=""),"",IFERROR(AB61/AA61-1,""))</f>
        <v/>
      </c>
      <c r="AC69" s="15">
        <f>IF(OR(AC61="",AB61=""),"",IFERROR(AC61/AB61-1,""))</f>
        <v/>
      </c>
    </row>
    <row r="70">
      <c r="A70" s="18" t="inlineStr">
        <is>
          <t>P/E (현재 주가)</t>
        </is>
      </c>
      <c r="B70" s="10" t="inlineStr">
        <is>
          <t>시총 ÷ 지배순이익</t>
        </is>
      </c>
      <c r="C70" s="30" t="n"/>
      <c r="D70" s="31" t="n"/>
      <c r="E70" s="31" t="n"/>
      <c r="F70" s="31" t="n"/>
      <c r="G70" s="31" t="n"/>
      <c r="H70" s="31" t="n"/>
      <c r="I70" s="31" t="n"/>
      <c r="J70" s="31" t="n"/>
      <c r="K70" s="31" t="n"/>
      <c r="L70" s="31" t="n"/>
      <c r="M70" s="31" t="n"/>
      <c r="N70" s="31" t="n"/>
      <c r="O70" s="30" t="n"/>
      <c r="P70" s="31" t="n"/>
      <c r="Q70" s="31" t="n"/>
      <c r="R70" s="31" t="n"/>
      <c r="S70" s="31" t="n"/>
      <c r="T70" s="31" t="n"/>
      <c r="U70" s="31" t="n"/>
      <c r="V70" s="31" t="n"/>
      <c r="W70" s="31" t="n"/>
      <c r="X70" s="31">
        <f>IF(OR($B$67="",X61=""),"",IFERROR($B$67/X61,""))</f>
        <v/>
      </c>
      <c r="Y70" s="30">
        <f>IF(OR($B$67="",Y61=""),"",IFERROR($B$67/Y61,""))</f>
        <v/>
      </c>
      <c r="Z70" s="31">
        <f>IF(OR($B$67="",Z61=""),"",IFERROR($B$67/Z61,""))</f>
        <v/>
      </c>
      <c r="AA70" s="31">
        <f>IF(OR($B$67="",AA61=""),"",IFERROR($B$67/AA61,""))</f>
        <v/>
      </c>
      <c r="AB70" s="31">
        <f>IF(OR($B$67="",AB61=""),"",IFERROR($B$67/AB61,""))</f>
        <v/>
      </c>
      <c r="AC70" s="31">
        <f>IF(OR($B$67="",AC61=""),"",IFERROR($B$67/AC61,""))</f>
        <v/>
      </c>
    </row>
    <row r="71">
      <c r="A71" s="18" t="inlineStr">
        <is>
          <t>Target P/E</t>
        </is>
      </c>
      <c r="B71" s="10" t="inlineStr">
        <is>
          <t>직접 입력</t>
        </is>
      </c>
      <c r="C71" s="30" t="n"/>
      <c r="D71" s="31" t="n"/>
      <c r="E71" s="31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30" t="n"/>
      <c r="P71" s="31" t="n"/>
      <c r="Q71" s="31" t="n"/>
      <c r="R71" s="31" t="n"/>
      <c r="S71" s="31" t="n"/>
      <c r="T71" s="31" t="n"/>
      <c r="U71" s="31" t="n"/>
      <c r="V71" s="31" t="n"/>
      <c r="W71" s="31" t="n"/>
      <c r="X71" s="31" t="n"/>
      <c r="Y71" s="32" t="n"/>
      <c r="Z71" s="33" t="n"/>
      <c r="AA71" s="33" t="n"/>
      <c r="AB71" s="33" t="n"/>
      <c r="AC71" s="33" t="n"/>
    </row>
    <row r="72">
      <c r="A72" s="18" t="inlineStr">
        <is>
          <t>EPS</t>
        </is>
      </c>
      <c r="B72" s="10" t="inlineStr">
        <is>
          <t>지배순이익 ÷ 주식수</t>
        </is>
      </c>
      <c r="C72" s="28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8">
        <f>IF(OR(O61="",$B$66=""),"",IFERROR(O61*1000000.0/$B$66,""))</f>
        <v/>
      </c>
      <c r="P72" s="29">
        <f>IF(OR(P61="",$B$66=""),"",IFERROR(P61*1000000.0/$B$66,""))</f>
        <v/>
      </c>
      <c r="Q72" s="29">
        <f>IF(OR(Q61="",$B$66=""),"",IFERROR(Q61*1000000.0/$B$66,""))</f>
        <v/>
      </c>
      <c r="R72" s="29">
        <f>IF(OR(R61="",$B$66=""),"",IFERROR(R61*1000000.0/$B$66,""))</f>
        <v/>
      </c>
      <c r="S72" s="29">
        <f>IF(OR(S61="",$B$66=""),"",IFERROR(S61*1000000.0/$B$66,""))</f>
        <v/>
      </c>
      <c r="T72" s="29">
        <f>IF(OR(T61="",$B$66=""),"",IFERROR(T61*1000000.0/$B$66,""))</f>
        <v/>
      </c>
      <c r="U72" s="29">
        <f>IF(OR(U61="",$B$66=""),"",IFERROR(U61*1000000.0/$B$66,""))</f>
        <v/>
      </c>
      <c r="V72" s="29">
        <f>IF(OR(V61="",$B$66=""),"",IFERROR(V61*1000000.0/$B$66,""))</f>
        <v/>
      </c>
      <c r="W72" s="29">
        <f>IF(OR(W61="",$B$66=""),"",IFERROR(W61*1000000.0/$B$66,""))</f>
        <v/>
      </c>
      <c r="X72" s="29">
        <f>IF(OR(X61="",$B$66=""),"",IFERROR(X61*1000000.0/$B$66,""))</f>
        <v/>
      </c>
      <c r="Y72" s="28">
        <f>IF(OR(Y61="",$B$66=""),"",IFERROR(Y61*1000000.0/$B$66,""))</f>
        <v/>
      </c>
      <c r="Z72" s="29">
        <f>IF(OR(Z61="",$B$66=""),"",IFERROR(Z61*1000000.0/$B$66,""))</f>
        <v/>
      </c>
      <c r="AA72" s="29">
        <f>IF(OR(AA61="",$B$66=""),"",IFERROR(AA61*1000000.0/$B$66,""))</f>
        <v/>
      </c>
      <c r="AB72" s="29">
        <f>IF(OR(AB61="",$B$66=""),"",IFERROR(AB61*1000000.0/$B$66,""))</f>
        <v/>
      </c>
      <c r="AC72" s="29">
        <f>IF(OR(AC61="",$B$66=""),"",IFERROR(AC61*1000000.0/$B$66,""))</f>
        <v/>
      </c>
    </row>
    <row r="73">
      <c r="A73" s="9" t="inlineStr">
        <is>
          <t>목표주가</t>
        </is>
      </c>
      <c r="B73" s="10" t="n"/>
      <c r="C73" s="34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34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34">
        <f>IF(OR(Y72="",Y71=""),"",IFERROR(Y72*Y71,""))</f>
        <v/>
      </c>
      <c r="Z73" s="27">
        <f>IF(OR(Z72="",Z71=""),"",IFERROR(Z72*Z71,""))</f>
        <v/>
      </c>
      <c r="AA73" s="27">
        <f>IF(OR(AA72="",AA71=""),"",IFERROR(AA72*AA71,""))</f>
        <v/>
      </c>
      <c r="AB73" s="27">
        <f>IF(OR(AB72="",AB71=""),"",IFERROR(AB72*AB71,""))</f>
        <v/>
      </c>
      <c r="AC73" s="27">
        <f>IF(OR(AC72="",AC71=""),"",IFERROR(AC72*AC71,""))</f>
        <v/>
      </c>
    </row>
    <row r="74">
      <c r="A74" s="18" t="inlineStr">
        <is>
          <t>상승여력</t>
        </is>
      </c>
      <c r="B74" s="10" t="n"/>
      <c r="C74" s="35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5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7">
        <f>IF(OR(Y73="",$B$65=""),"",IFERROR(Y73/$B$65-1,""))</f>
        <v/>
      </c>
      <c r="Z74" s="38">
        <f>IF(OR(Z73="",$B$65=""),"",IFERROR(Z73/$B$65-1,""))</f>
        <v/>
      </c>
      <c r="AA74" s="38">
        <f>IF(OR(AA73="",$B$65=""),"",IFERROR(AA73/$B$65-1,""))</f>
        <v/>
      </c>
      <c r="AB74" s="38">
        <f>IF(OR(AB73="",$B$65=""),"",IFERROR(AB73/$B$65-1,""))</f>
        <v/>
      </c>
      <c r="AC74" s="38">
        <f>IF(OR(AC73="",$B$65=""),"",IFERROR(AC73/$B$65-1,""))</f>
        <v/>
      </c>
    </row>
    <row r="75">
      <c r="A75" s="16" t="inlineStr">
        <is>
          <t>자산가치 산출</t>
        </is>
      </c>
      <c r="B75" s="16" t="inlineStr">
        <is>
          <t>최신 분기 BS</t>
        </is>
      </c>
      <c r="C75" s="17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7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7" t="n"/>
      <c r="Z75" s="16" t="n"/>
      <c r="AA75" s="16" t="n"/>
      <c r="AB75" s="16" t="n"/>
      <c r="AC75" s="16" t="n"/>
    </row>
    <row r="76">
      <c r="A76" s="18" t="inlineStr">
        <is>
          <t>현금및현금성자산</t>
        </is>
      </c>
      <c r="B76" s="10" t="n"/>
      <c r="C76" s="19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19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>
        <f>'재무상태표'!G6</f>
        <v/>
      </c>
      <c r="Y76" s="19">
        <f>'재무상태표'!G6</f>
        <v/>
      </c>
      <c r="Z76" s="20">
        <f>'재무상태표'!G6</f>
        <v/>
      </c>
      <c r="AA76" s="20">
        <f>'재무상태표'!G6</f>
        <v/>
      </c>
      <c r="AB76" s="20">
        <f>'재무상태표'!G6</f>
        <v/>
      </c>
      <c r="AC76" s="20">
        <f>'재무상태표'!G6</f>
        <v/>
      </c>
    </row>
    <row r="77">
      <c r="A77" s="18" t="inlineStr">
        <is>
          <t>단기금융상품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>
        <f>'재무상태표'!G7</f>
        <v/>
      </c>
      <c r="Y77" s="19">
        <f>'재무상태표'!G7</f>
        <v/>
      </c>
      <c r="Z77" s="20">
        <f>'재무상태표'!G7</f>
        <v/>
      </c>
      <c r="AA77" s="20">
        <f>'재무상태표'!G7</f>
        <v/>
      </c>
      <c r="AB77" s="20">
        <f>'재무상태표'!G7</f>
        <v/>
      </c>
      <c r="AC77" s="20">
        <f>'재무상태표'!G7</f>
        <v/>
      </c>
    </row>
    <row r="78">
      <c r="A78" s="18" t="inlineStr">
        <is>
          <t>투자부동산</t>
        </is>
      </c>
      <c r="B78" s="10" t="n"/>
      <c r="C78" s="19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19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>
        <f>'재무상태표'!G14</f>
        <v/>
      </c>
      <c r="Y78" s="19">
        <f>'재무상태표'!G14</f>
        <v/>
      </c>
      <c r="Z78" s="20">
        <f>'재무상태표'!G14</f>
        <v/>
      </c>
      <c r="AA78" s="20">
        <f>'재무상태표'!G14</f>
        <v/>
      </c>
      <c r="AB78" s="20">
        <f>'재무상태표'!G14</f>
        <v/>
      </c>
      <c r="AC78" s="20">
        <f>'재무상태표'!G14</f>
        <v/>
      </c>
    </row>
    <row r="79">
      <c r="A79" s="18" t="inlineStr">
        <is>
          <t>지배자본</t>
        </is>
      </c>
      <c r="B79" s="10" t="n"/>
      <c r="C79" s="19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19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>
        <f>'재무상태표'!G31</f>
        <v/>
      </c>
      <c r="Y79" s="19">
        <f>'재무상태표'!G31</f>
        <v/>
      </c>
      <c r="Z79" s="20">
        <f>'재무상태표'!G31</f>
        <v/>
      </c>
      <c r="AA79" s="20">
        <f>'재무상태표'!G31</f>
        <v/>
      </c>
      <c r="AB79" s="20">
        <f>'재무상태표'!G31</f>
        <v/>
      </c>
      <c r="AC79" s="20">
        <f>'재무상태표'!G31</f>
        <v/>
      </c>
    </row>
    <row r="80">
      <c r="A80" s="18" t="inlineStr">
        <is>
          <t>부채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>
        <f>'재무상태표'!G27</f>
        <v/>
      </c>
      <c r="Y80" s="19">
        <f>'재무상태표'!G27</f>
        <v/>
      </c>
      <c r="Z80" s="20">
        <f>'재무상태표'!G27</f>
        <v/>
      </c>
      <c r="AA80" s="20">
        <f>'재무상태표'!G27</f>
        <v/>
      </c>
      <c r="AB80" s="20">
        <f>'재무상태표'!G27</f>
        <v/>
      </c>
      <c r="AC80" s="20">
        <f>'재무상태표'!G27</f>
        <v/>
      </c>
    </row>
    <row r="81">
      <c r="A81" s="13" t="inlineStr">
        <is>
          <t>부채비율</t>
        </is>
      </c>
      <c r="B81" s="10" t="n"/>
      <c r="C81" s="14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4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>
        <f>IF(OR(X80="",X79=""),"",IFERROR(X80/X79,""))</f>
        <v/>
      </c>
      <c r="Y81" s="14">
        <f>IF(OR(Y80="",Y79=""),"",IFERROR(Y80/Y79,""))</f>
        <v/>
      </c>
      <c r="Z81" s="15">
        <f>IF(OR(Z80="",Z79=""),"",IFERROR(Z80/Z79,""))</f>
        <v/>
      </c>
      <c r="AA81" s="15">
        <f>IF(OR(AA80="",AA79=""),"",IFERROR(AA80/AA79,""))</f>
        <v/>
      </c>
      <c r="AB81" s="15">
        <f>IF(OR(AB80="",AB79=""),"",IFERROR(AB80/AB79,""))</f>
        <v/>
      </c>
      <c r="AC81" s="15">
        <f>IF(OR(AC80="",AC79=""),"",IFERROR(AC80/AC79,""))</f>
        <v/>
      </c>
    </row>
    <row r="82">
      <c r="A82" s="9" t="inlineStr">
        <is>
          <t>자산가치</t>
        </is>
      </c>
      <c r="B82" s="10" t="inlineStr">
        <is>
          <t>현금+단기금융+투자부동산</t>
        </is>
      </c>
      <c r="C82" s="11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1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>
        <f>SUM(X76,X77,X78)</f>
        <v/>
      </c>
      <c r="Y82" s="11">
        <f>SUM(Y76,Y77,Y78)</f>
        <v/>
      </c>
      <c r="Z82" s="12">
        <f>SUM(Z76,Z77,Z78)</f>
        <v/>
      </c>
      <c r="AA82" s="12">
        <f>SUM(AA76,AA77,AA78)</f>
        <v/>
      </c>
      <c r="AB82" s="12">
        <f>SUM(AB76,AB77,AB78)</f>
        <v/>
      </c>
      <c r="AC82" s="12">
        <f>SUM(AC76,AC77,AC78)</f>
        <v/>
      </c>
    </row>
    <row r="83">
      <c r="A83" s="16" t="inlineStr">
        <is>
          <t>기업가치 산출</t>
        </is>
      </c>
      <c r="B83" s="16" t="n"/>
      <c r="C83" s="17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7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7" t="n"/>
      <c r="Z83" s="16" t="n"/>
      <c r="AA83" s="16" t="n"/>
      <c r="AB83" s="16" t="n"/>
      <c r="AC83" s="16" t="n"/>
    </row>
    <row r="84">
      <c r="A84" s="18" t="inlineStr">
        <is>
          <t>목표 시가총액 (P/E)</t>
        </is>
      </c>
      <c r="B84" s="10" t="inlineStr">
        <is>
          <t>지배순이익 × Target P/E</t>
        </is>
      </c>
      <c r="C84" s="19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19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 t="n"/>
      <c r="Y84" s="19">
        <f>IF(OR(Y61="",Y71=""),"",IFERROR(Y61*Y71,""))</f>
        <v/>
      </c>
      <c r="Z84" s="20">
        <f>IF(OR(Z61="",Z71=""),"",IFERROR(Z61*Z71,""))</f>
        <v/>
      </c>
      <c r="AA84" s="20">
        <f>IF(OR(AA61="",AA71=""),"",IFERROR(AA61*AA71,""))</f>
        <v/>
      </c>
      <c r="AB84" s="20">
        <f>IF(OR(AB61="",AB71=""),"",IFERROR(AB61*AB71,""))</f>
        <v/>
      </c>
      <c r="AC84" s="20">
        <f>IF(OR(AC61="",AC71=""),"",IFERROR(AC61*AC71,""))</f>
        <v/>
      </c>
    </row>
    <row r="85">
      <c r="A85" s="9" t="inlineStr">
        <is>
          <t>기업가치</t>
        </is>
      </c>
      <c r="B85" s="10" t="inlineStr">
        <is>
          <t>목표시총 + 자산가치</t>
        </is>
      </c>
      <c r="C85" s="11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1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1">
        <f>IF(OR(Y84=""),"",IFERROR(Y84+Y82,""))</f>
        <v/>
      </c>
      <c r="Z85" s="12">
        <f>IF(OR(Z84=""),"",IFERROR(Z84+Z82,""))</f>
        <v/>
      </c>
      <c r="AA85" s="12">
        <f>IF(OR(AA84=""),"",IFERROR(AA84+AA82,""))</f>
        <v/>
      </c>
      <c r="AB85" s="12">
        <f>IF(OR(AB84=""),"",IFERROR(AB84+AB82,""))</f>
        <v/>
      </c>
      <c r="AC85" s="12">
        <f>IF(OR(AC84=""),"",IFERROR(AC84+AC82,""))</f>
        <v/>
      </c>
    </row>
    <row r="86">
      <c r="A86" s="18" t="inlineStr">
        <is>
          <t>현재 시가총액</t>
        </is>
      </c>
      <c r="B86" s="10" t="n"/>
      <c r="C86" s="19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19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 t="n"/>
      <c r="Y86" s="19">
        <f>$B$67</f>
        <v/>
      </c>
      <c r="Z86" s="20">
        <f>$B$67</f>
        <v/>
      </c>
      <c r="AA86" s="20">
        <f>$B$67</f>
        <v/>
      </c>
      <c r="AB86" s="20">
        <f>$B$67</f>
        <v/>
      </c>
      <c r="AC86" s="20">
        <f>$B$67</f>
        <v/>
      </c>
    </row>
    <row r="87">
      <c r="A87" s="18" t="inlineStr">
        <is>
          <t>상승여력</t>
        </is>
      </c>
      <c r="B87" s="10" t="n"/>
      <c r="C87" s="35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5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7">
        <f>IF(OR(Y85="",Y86=""),"",IFERROR(Y85/Y86-1,""))</f>
        <v/>
      </c>
      <c r="Z87" s="38">
        <f>IF(OR(Z85="",Z86=""),"",IFERROR(Z85/Z86-1,""))</f>
        <v/>
      </c>
      <c r="AA87" s="38">
        <f>IF(OR(AA85="",AA86=""),"",IFERROR(AA85/AA86-1,""))</f>
        <v/>
      </c>
      <c r="AB87" s="38">
        <f>IF(OR(AB85="",AB86=""),"",IFERROR(AB85/AB86-1,""))</f>
        <v/>
      </c>
      <c r="AC87" s="38">
        <f>IF(OR(AC85="",AC86=""),"",IFERROR(AC85/AC86-1,""))</f>
        <v/>
      </c>
    </row>
    <row r="88">
      <c r="C88" s="39" t="n"/>
      <c r="O88" s="39" t="n"/>
      <c r="Y88" s="39" t="n"/>
    </row>
    <row r="89">
      <c r="A89" s="40" t="inlineStr">
        <is>
          <t>출처</t>
        </is>
      </c>
      <c r="C89" s="39" t="n"/>
      <c r="O89" s="39" t="n"/>
      <c r="Y89" s="39" t="n"/>
    </row>
    <row r="90">
      <c r="A90" s="41" t="inlineStr">
        <is>
          <t>결산단신 XBRL(TDnet·JPX 보관소) — 쓴 문서는 '출처' 시트</t>
        </is>
      </c>
      <c r="C90" s="39" t="n"/>
      <c r="O90" s="39" t="n"/>
      <c r="Y90" s="39" t="n"/>
    </row>
    <row r="91">
      <c r="A91" s="41" t="inlineStr">
        <is>
          <t>분기 = 누계에서 앞 분기를 뺀 3개월 값</t>
        </is>
      </c>
      <c r="C91" s="39" t="n"/>
      <c r="O91" s="39" t="n"/>
      <c r="Y91" s="39" t="n"/>
    </row>
    <row r="92">
      <c r="A92" s="41" t="inlineStr">
        <is>
          <t>주가: 야후 파이낸스 일봉</t>
        </is>
      </c>
      <c r="C92" s="39" t="n"/>
      <c r="O92" s="39" t="n"/>
      <c r="Y92" s="39" t="n"/>
    </row>
    <row r="94">
      <c r="A94" s="16" t="inlineStr">
        <is>
          <t>손익계산서 · 전 항목</t>
        </is>
      </c>
      <c r="B94" s="42" t="inlineStr">
        <is>
          <t>분기 = 3개월 단독</t>
        </is>
      </c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</row>
    <row r="95">
      <c r="A95" s="5" t="inlineStr">
        <is>
          <t>항목</t>
        </is>
      </c>
      <c r="B95" s="5" t="inlineStr">
        <is>
          <t>참고</t>
        </is>
      </c>
      <c r="C95" s="5" t="inlineStr">
        <is>
          <t>2024.3Q</t>
        </is>
      </c>
      <c r="D95" s="5" t="inlineStr">
        <is>
          <t>2024.4Q</t>
        </is>
      </c>
      <c r="E95" s="5" t="inlineStr">
        <is>
          <t>2025.1Q</t>
        </is>
      </c>
      <c r="F95" s="5" t="inlineStr">
        <is>
          <t>2025.2Q</t>
        </is>
      </c>
      <c r="G95" s="5" t="inlineStr">
        <is>
          <t>2025.3Q</t>
        </is>
      </c>
      <c r="H95" s="5" t="inlineStr">
        <is>
          <t>2025.4Q</t>
        </is>
      </c>
      <c r="I95" s="5" t="inlineStr">
        <is>
          <t>2026.1Q</t>
        </is>
      </c>
      <c r="J95" s="5" t="inlineStr">
        <is>
          <t>2026.2Q</t>
        </is>
      </c>
      <c r="K95" s="5" t="inlineStr">
        <is>
          <t>2026.3Q</t>
        </is>
      </c>
      <c r="L95" s="5" t="inlineStr">
        <is>
          <t>2026.4Q</t>
        </is>
      </c>
      <c r="M95" s="5" t="inlineStr">
        <is>
          <t>2027.1Q</t>
        </is>
      </c>
      <c r="N95" s="5" t="inlineStr">
        <is>
          <t>2027.2Q</t>
        </is>
      </c>
      <c r="O95" s="5" t="inlineStr">
        <is>
          <t>2017</t>
        </is>
      </c>
      <c r="P95" s="5" t="inlineStr">
        <is>
          <t>2018</t>
        </is>
      </c>
      <c r="Q95" s="5" t="inlineStr">
        <is>
          <t>2019</t>
        </is>
      </c>
      <c r="R95" s="5" t="inlineStr">
        <is>
          <t>2020</t>
        </is>
      </c>
      <c r="S95" s="5" t="inlineStr">
        <is>
          <t>2021</t>
        </is>
      </c>
      <c r="T95" s="5" t="inlineStr">
        <is>
          <t>2022</t>
        </is>
      </c>
      <c r="U95" s="5" t="inlineStr">
        <is>
          <t>2023</t>
        </is>
      </c>
      <c r="V95" s="5" t="inlineStr">
        <is>
          <t>2024</t>
        </is>
      </c>
      <c r="W95" s="5" t="inlineStr">
        <is>
          <t>2025</t>
        </is>
      </c>
      <c r="X95" s="5" t="inlineStr">
        <is>
          <t>2026</t>
        </is>
      </c>
      <c r="Y95" s="5" t="inlineStr">
        <is>
          <t>2027(MW)</t>
        </is>
      </c>
      <c r="Z95" s="5" t="inlineStr">
        <is>
          <t>2028(MW)</t>
        </is>
      </c>
      <c r="AA95" s="5" t="inlineStr">
        <is>
          <t>2029(MW)</t>
        </is>
      </c>
      <c r="AB95" s="5" t="inlineStr">
        <is>
          <t>2030(MW)</t>
        </is>
      </c>
      <c r="AC95" s="5" t="inlineStr">
        <is>
          <t>2031(MW)</t>
        </is>
      </c>
    </row>
    <row r="96">
      <c r="A96" s="9" t="inlineStr">
        <is>
          <t>매출수익</t>
        </is>
      </c>
      <c r="E96" s="12" t="n">
        <v>214657</v>
      </c>
      <c r="F96" s="12" t="n">
        <v>213773</v>
      </c>
      <c r="I96" s="12" t="n">
        <v>234494</v>
      </c>
      <c r="J96" s="12" t="n">
        <v>220405</v>
      </c>
      <c r="M96" s="12" t="n">
        <v>260153</v>
      </c>
      <c r="N96" s="12" t="n">
        <v>255742</v>
      </c>
    </row>
    <row r="97">
      <c r="A97" s="43" t="inlineStr">
        <is>
          <t>YoY</t>
        </is>
      </c>
      <c r="B97" s="3" t="inlineStr">
        <is>
          <t>전년 같은 분기·전년 대비</t>
        </is>
      </c>
      <c r="I97" s="15">
        <f>IF(OR(I96="",E96=""),"",IF(E96&lt;=0,"",IFERROR(I96/E96-1,"")))</f>
        <v/>
      </c>
      <c r="J97" s="15">
        <f>IF(OR(J96="",F96=""),"",IF(F96&lt;=0,"",IFERROR(J96/F96-1,"")))</f>
        <v/>
      </c>
      <c r="M97" s="15">
        <f>IF(OR(M96="",I96=""),"",IF(I96&lt;=0,"",IFERROR(M96/I96-1,"")))</f>
        <v/>
      </c>
      <c r="N97" s="15">
        <f>IF(OR(N96="",J96=""),"",IF(J96&lt;=0,"",IFERROR(N96/J96-1,"")))</f>
        <v/>
      </c>
    </row>
    <row r="98">
      <c r="A98" s="18" t="inlineStr">
        <is>
          <t>금융수익</t>
        </is>
      </c>
      <c r="E98" s="20" t="n">
        <v>4125</v>
      </c>
      <c r="F98" s="20" t="n">
        <v>4662</v>
      </c>
      <c r="I98" s="20" t="n">
        <v>3342</v>
      </c>
      <c r="J98" s="20" t="n">
        <v>3561</v>
      </c>
    </row>
    <row r="99">
      <c r="A99" s="43" t="inlineStr">
        <is>
          <t>YoY</t>
        </is>
      </c>
      <c r="B99" s="3" t="inlineStr">
        <is>
          <t>전년 같은 분기·전년 대비</t>
        </is>
      </c>
      <c r="I99" s="15">
        <f>IF(OR(I98="",E98=""),"",IF(I98*E98&lt;=0,"",IFERROR(I98/E98-1,"")))</f>
        <v/>
      </c>
      <c r="J99" s="15">
        <f>IF(OR(J98="",F98=""),"",IF(J98*F98&lt;=0,"",IFERROR(J98/F98-1,"")))</f>
        <v/>
      </c>
    </row>
    <row r="100">
      <c r="A100" s="18" t="inlineStr">
        <is>
          <t>기타수익</t>
        </is>
      </c>
      <c r="E100" s="20" t="n">
        <v>248</v>
      </c>
      <c r="F100" s="20" t="n">
        <v>390</v>
      </c>
      <c r="I100" s="20" t="n">
        <v>618</v>
      </c>
      <c r="J100" s="20" t="n">
        <v>476</v>
      </c>
    </row>
    <row r="101">
      <c r="A101" s="9" t="inlineStr">
        <is>
          <t>수익 합계</t>
        </is>
      </c>
      <c r="E101" s="12" t="n">
        <v>219105</v>
      </c>
      <c r="F101" s="12" t="n">
        <v>218918</v>
      </c>
      <c r="I101" s="12" t="n">
        <v>238587</v>
      </c>
      <c r="J101" s="12" t="n">
        <v>224563</v>
      </c>
    </row>
    <row r="102">
      <c r="A102" s="43" t="inlineStr">
        <is>
          <t>YoY</t>
        </is>
      </c>
      <c r="B102" s="3" t="inlineStr">
        <is>
          <t>전년 같은 분기·전년 대비</t>
        </is>
      </c>
      <c r="I102" s="15">
        <f>IF(OR(I101="",E101=""),"",IF(E101&lt;=0,"",IFERROR(I101/E101-1,"")))</f>
        <v/>
      </c>
      <c r="J102" s="15">
        <f>IF(OR(J101="",F101=""),"",IF(F101&lt;=0,"",IFERROR(J101/F101-1,"")))</f>
        <v/>
      </c>
    </row>
    <row r="103">
      <c r="A103" s="18" t="inlineStr">
        <is>
          <t>상품·제품·재공품 증감</t>
        </is>
      </c>
      <c r="E103" s="20" t="n">
        <v>-1938</v>
      </c>
      <c r="F103" s="20" t="n">
        <v>3101</v>
      </c>
      <c r="I103" s="20" t="n">
        <v>685</v>
      </c>
      <c r="J103" s="20" t="n">
        <v>456</v>
      </c>
    </row>
    <row r="104">
      <c r="A104" s="18" t="inlineStr">
        <is>
          <t>기타 영업수익</t>
        </is>
      </c>
      <c r="I104" s="20" t="n">
        <v>618</v>
      </c>
      <c r="J104" s="20" t="n">
        <v>476</v>
      </c>
      <c r="M104" s="20" t="n">
        <v>2518</v>
      </c>
      <c r="N104" s="20" t="n">
        <v>1032</v>
      </c>
    </row>
    <row r="105">
      <c r="A105" s="18" t="inlineStr">
        <is>
          <t>영업수익 합계</t>
        </is>
      </c>
      <c r="I105" s="20" t="n">
        <v>235112</v>
      </c>
      <c r="J105" s="20" t="n">
        <v>220882</v>
      </c>
      <c r="M105" s="20" t="n">
        <v>262671</v>
      </c>
      <c r="N105" s="20" t="n">
        <v>256774</v>
      </c>
    </row>
    <row r="106">
      <c r="A106" s="18" t="inlineStr">
        <is>
          <t>상품·제품·재공품 증감</t>
        </is>
      </c>
      <c r="I106" s="20" t="n">
        <v>685</v>
      </c>
      <c r="J106" s="20" t="n">
        <v>456</v>
      </c>
      <c r="M106" s="20" t="n">
        <v>-1976</v>
      </c>
      <c r="N106" s="20" t="n">
        <v>-1492</v>
      </c>
    </row>
    <row r="107">
      <c r="A107" s="18" t="inlineStr">
        <is>
          <t>원재료·소모품 사용액</t>
        </is>
      </c>
      <c r="E107" s="20" t="n">
        <v>31791</v>
      </c>
      <c r="F107" s="20" t="n">
        <v>28972</v>
      </c>
      <c r="I107" s="20" t="n">
        <v>32022</v>
      </c>
      <c r="J107" s="20" t="n">
        <v>30077</v>
      </c>
      <c r="M107" s="20" t="n">
        <v>37372</v>
      </c>
      <c r="N107" s="20" t="n">
        <v>36862</v>
      </c>
    </row>
    <row r="108">
      <c r="A108" s="18" t="inlineStr">
        <is>
          <t>인건비</t>
        </is>
      </c>
      <c r="E108" s="20" t="n">
        <v>52429</v>
      </c>
      <c r="F108" s="20" t="n">
        <v>53173</v>
      </c>
      <c r="I108" s="20" t="n">
        <v>58058</v>
      </c>
      <c r="J108" s="20" t="n">
        <v>53398</v>
      </c>
      <c r="M108" s="20" t="n">
        <v>56841</v>
      </c>
      <c r="N108" s="20" t="n">
        <v>59936</v>
      </c>
    </row>
    <row r="109">
      <c r="A109" s="18" t="inlineStr">
        <is>
          <t>감가상각비 및 상각비</t>
        </is>
      </c>
      <c r="E109" s="20" t="n">
        <v>11795</v>
      </c>
      <c r="F109" s="20" t="n">
        <v>11667</v>
      </c>
      <c r="I109" s="20" t="n">
        <v>13986</v>
      </c>
      <c r="J109" s="20" t="n">
        <v>12644</v>
      </c>
      <c r="M109" s="20" t="n">
        <v>16728</v>
      </c>
      <c r="N109" s="20" t="n">
        <v>16008</v>
      </c>
    </row>
    <row r="110">
      <c r="A110" s="18" t="inlineStr">
        <is>
          <t>외주가공비</t>
        </is>
      </c>
      <c r="E110" s="20" t="n">
        <v>978</v>
      </c>
      <c r="F110" s="20" t="n">
        <v>1057</v>
      </c>
      <c r="I110" s="20" t="n">
        <v>1275</v>
      </c>
      <c r="J110" s="20" t="n">
        <v>1299</v>
      </c>
      <c r="M110" s="20" t="n">
        <v>1433</v>
      </c>
      <c r="N110" s="20" t="n">
        <v>1421</v>
      </c>
    </row>
    <row r="111">
      <c r="A111" s="18" t="inlineStr">
        <is>
          <t>광고선전비·판촉비</t>
        </is>
      </c>
      <c r="E111" s="20" t="n">
        <v>5028</v>
      </c>
      <c r="F111" s="20" t="n">
        <v>6291</v>
      </c>
      <c r="I111" s="20" t="n">
        <v>4357</v>
      </c>
      <c r="J111" s="20" t="n">
        <v>4552</v>
      </c>
      <c r="M111" s="20" t="n">
        <v>4770</v>
      </c>
      <c r="N111" s="20" t="n">
        <v>5097</v>
      </c>
    </row>
    <row r="112">
      <c r="A112" s="18" t="inlineStr">
        <is>
          <t>지급수수료</t>
        </is>
      </c>
      <c r="E112" s="20" t="n">
        <v>13263</v>
      </c>
      <c r="F112" s="20" t="n">
        <v>12830</v>
      </c>
      <c r="I112" s="20" t="n">
        <v>13815</v>
      </c>
      <c r="J112" s="20" t="n">
        <v>12735</v>
      </c>
      <c r="M112" s="20" t="n">
        <v>13897</v>
      </c>
      <c r="N112" s="20" t="n">
        <v>14783</v>
      </c>
    </row>
    <row r="113">
      <c r="A113" s="18" t="inlineStr">
        <is>
          <t>손상차손</t>
        </is>
      </c>
      <c r="E113" s="20" t="n">
        <v>0</v>
      </c>
      <c r="F113" s="20" t="n">
        <v>0</v>
      </c>
      <c r="I113" s="20" t="n">
        <v>178</v>
      </c>
      <c r="J113" s="20" t="n">
        <v>1911</v>
      </c>
      <c r="M113" s="20" t="n">
        <v>0</v>
      </c>
      <c r="N113" s="20" t="n">
        <v>0</v>
      </c>
    </row>
    <row r="114">
      <c r="A114" s="18" t="inlineStr">
        <is>
          <t>금융비용</t>
        </is>
      </c>
      <c r="E114" s="20" t="n">
        <v>335</v>
      </c>
      <c r="F114" s="20" t="n">
        <v>331</v>
      </c>
      <c r="I114" s="20" t="n">
        <v>500</v>
      </c>
      <c r="J114" s="20" t="n">
        <v>488</v>
      </c>
    </row>
    <row r="115">
      <c r="A115" s="43" t="inlineStr">
        <is>
          <t>YoY</t>
        </is>
      </c>
      <c r="B115" s="3" t="inlineStr">
        <is>
          <t>전년 같은 분기·전년 대비</t>
        </is>
      </c>
      <c r="I115" s="15">
        <f>IF(OR(I114="",E114=""),"",IF(I114*E114&lt;=0,"",IFERROR(I114/E114-1,"")))</f>
        <v/>
      </c>
      <c r="J115" s="15">
        <f>IF(OR(J114="",F114=""),"",IF(J114*F114&lt;=0,"",IFERROR(J114/F114-1,"")))</f>
        <v/>
      </c>
    </row>
    <row r="116">
      <c r="A116" s="18" t="inlineStr">
        <is>
          <t>외환차손익</t>
        </is>
      </c>
      <c r="E116" s="20" t="n">
        <v>3823</v>
      </c>
      <c r="F116" s="20" t="n">
        <v>-1992</v>
      </c>
      <c r="I116" s="20" t="n">
        <v>-523</v>
      </c>
      <c r="J116" s="20" t="n">
        <v>289</v>
      </c>
    </row>
    <row r="117">
      <c r="A117" s="18" t="inlineStr">
        <is>
          <t>기타비용</t>
        </is>
      </c>
      <c r="E117" s="20" t="n">
        <v>38760</v>
      </c>
      <c r="F117" s="20" t="n">
        <v>39298</v>
      </c>
      <c r="I117" s="20" t="n">
        <v>42304</v>
      </c>
      <c r="J117" s="20" t="n">
        <v>39350</v>
      </c>
    </row>
    <row r="118">
      <c r="A118" s="18" t="inlineStr">
        <is>
          <t>비용 합계</t>
        </is>
      </c>
      <c r="E118" s="20" t="n">
        <v>156264</v>
      </c>
      <c r="F118" s="20" t="n">
        <v>154728</v>
      </c>
      <c r="I118" s="20" t="n">
        <v>166657</v>
      </c>
      <c r="J118" s="20" t="n">
        <v>157199</v>
      </c>
    </row>
    <row r="119">
      <c r="A119" s="18" t="inlineStr">
        <is>
          <t>외환차손익</t>
        </is>
      </c>
      <c r="I119" s="20" t="n">
        <v>247</v>
      </c>
      <c r="J119" s="20" t="n">
        <v>901</v>
      </c>
      <c r="M119" s="20" t="n">
        <v>770</v>
      </c>
      <c r="N119" s="20" t="n">
        <v>542</v>
      </c>
    </row>
    <row r="120">
      <c r="A120" s="18" t="inlineStr">
        <is>
          <t>기타 영업비용</t>
        </is>
      </c>
      <c r="I120" s="20" t="n">
        <v>42304</v>
      </c>
      <c r="J120" s="20" t="n">
        <v>39350</v>
      </c>
      <c r="M120" s="20" t="n">
        <v>42032</v>
      </c>
      <c r="N120" s="20" t="n">
        <v>40991</v>
      </c>
    </row>
    <row r="121">
      <c r="A121" s="18" t="inlineStr">
        <is>
          <t>영업비용 합계</t>
        </is>
      </c>
      <c r="I121" s="20" t="n">
        <v>166927</v>
      </c>
      <c r="J121" s="20" t="n">
        <v>157323</v>
      </c>
      <c r="M121" s="20" t="n">
        <v>171867</v>
      </c>
      <c r="N121" s="20" t="n">
        <v>174147</v>
      </c>
    </row>
    <row r="122">
      <c r="A122" s="18" t="inlineStr">
        <is>
          <t>영업이익</t>
        </is>
      </c>
      <c r="I122" s="20" t="n">
        <v>68185</v>
      </c>
      <c r="J122" s="20" t="n">
        <v>63559</v>
      </c>
      <c r="M122" s="20" t="n">
        <v>90805</v>
      </c>
      <c r="N122" s="20" t="n">
        <v>82626</v>
      </c>
    </row>
    <row r="123">
      <c r="A123" s="43" t="inlineStr">
        <is>
          <t>OPM</t>
        </is>
      </c>
      <c r="B123" s="3" t="inlineStr">
        <is>
          <t>영업이익 ÷ 매출</t>
        </is>
      </c>
      <c r="I123" s="15">
        <f>IF(OR(I122="",I96=""),"",IF(I96&lt;=0,"",IFERROR(I122/I96,"")))</f>
        <v/>
      </c>
      <c r="J123" s="15">
        <f>IF(OR(J122="",J96=""),"",IF(J96&lt;=0,"",IFERROR(J122/J96,"")))</f>
        <v/>
      </c>
      <c r="M123" s="15">
        <f>IF(OR(M122="",M96=""),"",IF(M96&lt;=0,"",IFERROR(M122/M96,"")))</f>
        <v/>
      </c>
      <c r="N123" s="15">
        <f>IF(OR(N122="",N96=""),"",IF(N96&lt;=0,"",IFERROR(N122/N96,"")))</f>
        <v/>
      </c>
    </row>
    <row r="124">
      <c r="A124" s="43" t="inlineStr">
        <is>
          <t>YoY</t>
        </is>
      </c>
      <c r="B124" s="3" t="inlineStr">
        <is>
          <t>전년 같은 분기·전년 대비</t>
        </is>
      </c>
      <c r="I124" s="15">
        <f>IF(OR(I122="",E122=""),"",IF(E122&lt;=0,"",IFERROR(I122/E122-1,"")))</f>
        <v/>
      </c>
      <c r="J124" s="15">
        <f>IF(OR(J122="",F122=""),"",IF(F122&lt;=0,"",IFERROR(J122/F122-1,"")))</f>
        <v/>
      </c>
      <c r="M124" s="15">
        <f>IF(OR(M122="",I122=""),"",IF(I122&lt;=0,"",IFERROR(M122/I122-1,"")))</f>
        <v/>
      </c>
      <c r="N124" s="15">
        <f>IF(OR(N122="",J122=""),"",IF(J122&lt;=0,"",IFERROR(N122/J122-1,"")))</f>
        <v/>
      </c>
    </row>
    <row r="125">
      <c r="A125" s="18" t="inlineStr">
        <is>
          <t>지분법 손익</t>
        </is>
      </c>
      <c r="E125" s="20" t="n">
        <v>74</v>
      </c>
      <c r="F125" s="20" t="n">
        <v>93</v>
      </c>
      <c r="I125" s="20" t="n">
        <v>134</v>
      </c>
      <c r="J125" s="20" t="n">
        <v>119</v>
      </c>
      <c r="M125" s="20" t="n">
        <v>124</v>
      </c>
      <c r="N125" s="20" t="n">
        <v>237</v>
      </c>
    </row>
    <row r="126">
      <c r="A126" s="18" t="inlineStr">
        <is>
          <t>이자수익</t>
        </is>
      </c>
      <c r="I126" s="20" t="n">
        <v>3341</v>
      </c>
      <c r="J126" s="20" t="n">
        <v>3415</v>
      </c>
      <c r="M126" s="20" t="n">
        <v>2571</v>
      </c>
      <c r="N126" s="20" t="n">
        <v>2760</v>
      </c>
    </row>
    <row r="127">
      <c r="A127" s="18" t="inlineStr">
        <is>
          <t>배당수익</t>
        </is>
      </c>
      <c r="I127" s="20" t="n">
        <v>1</v>
      </c>
      <c r="J127" s="20" t="n">
        <v>146</v>
      </c>
      <c r="M127" s="20" t="n">
        <v>1</v>
      </c>
      <c r="N127" s="20" t="n">
        <v>15</v>
      </c>
    </row>
    <row r="128">
      <c r="A128" s="18" t="inlineStr">
        <is>
          <t>외환차손익</t>
        </is>
      </c>
      <c r="I128" s="20" t="n">
        <v>654</v>
      </c>
      <c r="J128" s="20" t="n">
        <v>730</v>
      </c>
      <c r="M128" s="20" t="n">
        <v>-1359</v>
      </c>
      <c r="N128" s="20" t="n">
        <v>544</v>
      </c>
    </row>
    <row r="129">
      <c r="A129" s="18" t="inlineStr">
        <is>
          <t>기타 투자비용</t>
        </is>
      </c>
      <c r="I129" s="20" t="n">
        <v>106</v>
      </c>
      <c r="J129" s="20" t="n">
        <v>0</v>
      </c>
      <c r="M129" s="20" t="n">
        <v>0</v>
      </c>
      <c r="N129" s="20" t="n">
        <v>0</v>
      </c>
    </row>
    <row r="130">
      <c r="A130" s="9" t="inlineStr">
        <is>
          <t>금융·법인세 차감 전 중간이익</t>
        </is>
      </c>
      <c r="I130" s="12" t="n">
        <v>72209</v>
      </c>
      <c r="J130" s="12" t="n">
        <v>67969</v>
      </c>
      <c r="M130" s="12" t="n">
        <v>92141</v>
      </c>
      <c r="N130" s="12" t="n">
        <v>86182</v>
      </c>
    </row>
    <row r="131">
      <c r="A131" s="18" t="inlineStr">
        <is>
          <t>이자비용</t>
        </is>
      </c>
      <c r="I131" s="20" t="n">
        <v>394</v>
      </c>
      <c r="J131" s="20" t="n">
        <v>488</v>
      </c>
      <c r="M131" s="20" t="n">
        <v>451</v>
      </c>
      <c r="N131" s="20" t="n">
        <v>463</v>
      </c>
    </row>
    <row r="132">
      <c r="A132" s="18" t="inlineStr">
        <is>
          <t>외환차손익</t>
        </is>
      </c>
      <c r="I132" s="20" t="n">
        <v>116</v>
      </c>
      <c r="J132" s="20" t="n">
        <v>-118</v>
      </c>
      <c r="M132" s="20" t="n">
        <v>-99</v>
      </c>
      <c r="N132" s="20" t="n">
        <v>276</v>
      </c>
    </row>
    <row r="133">
      <c r="A133" s="9" t="inlineStr">
        <is>
          <t>법인세비용차감전 중간이익</t>
        </is>
      </c>
      <c r="E133" s="12" t="n">
        <v>62841</v>
      </c>
      <c r="F133" s="12" t="n">
        <v>64190</v>
      </c>
      <c r="I133" s="12" t="n">
        <v>71930</v>
      </c>
      <c r="J133" s="12" t="n">
        <v>67364</v>
      </c>
      <c r="M133" s="12" t="n">
        <v>91591</v>
      </c>
      <c r="N133" s="12" t="n">
        <v>85995</v>
      </c>
    </row>
    <row r="134">
      <c r="A134" s="18" t="inlineStr">
        <is>
          <t>법인소득세</t>
        </is>
      </c>
      <c r="E134" s="20" t="n">
        <v>9944</v>
      </c>
      <c r="F134" s="20" t="n">
        <v>17131</v>
      </c>
      <c r="I134" s="20" t="n">
        <v>16968</v>
      </c>
      <c r="J134" s="20" t="n">
        <v>15962</v>
      </c>
      <c r="M134" s="20" t="n">
        <v>20985</v>
      </c>
      <c r="N134" s="20" t="n">
        <v>20160</v>
      </c>
    </row>
    <row r="135">
      <c r="A135" s="43" t="inlineStr">
        <is>
          <t>YoY</t>
        </is>
      </c>
      <c r="B135" s="3" t="inlineStr">
        <is>
          <t>전년 같은 분기·전년 대비</t>
        </is>
      </c>
      <c r="I135" s="15">
        <f>IF(OR(I134="",E134=""),"",IF(I134*E134&lt;=0,"",IFERROR(I134/E134-1,"")))</f>
        <v/>
      </c>
      <c r="J135" s="15">
        <f>IF(OR(J134="",F134=""),"",IF(J134*F134&lt;=0,"",IFERROR(J134/F134-1,"")))</f>
        <v/>
      </c>
      <c r="M135" s="15">
        <f>IF(OR(M134="",I134=""),"",IF(M134*I134&lt;=0,"",IFERROR(M134/I134-1,"")))</f>
        <v/>
      </c>
      <c r="N135" s="15">
        <f>IF(OR(N134="",J134=""),"",IF(N134*J134&lt;=0,"",IFERROR(N134/J134-1,"")))</f>
        <v/>
      </c>
    </row>
    <row r="136">
      <c r="A136" s="9" t="inlineStr">
        <is>
          <t>중간이익</t>
        </is>
      </c>
      <c r="E136" s="12" t="n">
        <v>52898</v>
      </c>
      <c r="F136" s="12" t="n">
        <v>47058</v>
      </c>
      <c r="I136" s="12" t="n">
        <v>54963</v>
      </c>
      <c r="J136" s="12" t="n">
        <v>51400</v>
      </c>
      <c r="M136" s="12" t="n">
        <v>70606</v>
      </c>
      <c r="N136" s="12" t="n">
        <v>65834</v>
      </c>
    </row>
    <row r="137">
      <c r="A137" s="43" t="inlineStr">
        <is>
          <t>YoY</t>
        </is>
      </c>
      <c r="B137" s="3" t="inlineStr">
        <is>
          <t>전년 같은 분기·전년 대비</t>
        </is>
      </c>
      <c r="I137" s="15">
        <f>IF(OR(I136="",E136=""),"",IF(E136&lt;=0,"",IFERROR(I136/E136-1,"")))</f>
        <v/>
      </c>
      <c r="J137" s="15">
        <f>IF(OR(J136="",F136=""),"",IF(F136&lt;=0,"",IFERROR(J136/F136-1,"")))</f>
        <v/>
      </c>
      <c r="M137" s="15">
        <f>IF(OR(M136="",I136=""),"",IF(I136&lt;=0,"",IFERROR(M136/I136-1,"")))</f>
        <v/>
      </c>
      <c r="N137" s="15">
        <f>IF(OR(N136="",J136=""),"",IF(J136&lt;=0,"",IFERROR(N136/J136-1,"")))</f>
        <v/>
      </c>
    </row>
    <row r="138">
      <c r="A138" s="18" t="inlineStr">
        <is>
          <t>기타포괄손익-공정가치 측정 금융자산</t>
        </is>
      </c>
      <c r="E138" s="20" t="n">
        <v>-396</v>
      </c>
      <c r="I138" s="20" t="n">
        <v>325</v>
      </c>
    </row>
    <row r="139">
      <c r="A139" s="9" t="inlineStr">
        <is>
          <t>지배기업 소유주</t>
        </is>
      </c>
      <c r="E139" s="12" t="n">
        <v>-20168</v>
      </c>
      <c r="F139" s="12" t="n">
        <v>91261</v>
      </c>
      <c r="I139" s="12" t="n">
        <v>77604</v>
      </c>
      <c r="J139" s="12" t="n">
        <v>42181</v>
      </c>
      <c r="M139" s="12" t="n">
        <v>47095</v>
      </c>
      <c r="N139" s="12" t="n">
        <v>80146</v>
      </c>
    </row>
    <row r="140">
      <c r="A140" s="9" t="inlineStr">
        <is>
          <t>비지배지분</t>
        </is>
      </c>
      <c r="E140" s="12" t="n">
        <v>-1290</v>
      </c>
      <c r="F140" s="12" t="n">
        <v>801</v>
      </c>
      <c r="I140" s="12" t="n">
        <v>-66</v>
      </c>
      <c r="J140" s="12" t="n">
        <v>-627</v>
      </c>
      <c r="M140" s="12" t="n">
        <v>-383</v>
      </c>
      <c r="N140" s="12" t="n">
        <v>429</v>
      </c>
    </row>
    <row r="141">
      <c r="A141" s="18" t="inlineStr">
        <is>
          <t>기타포괄손익-공정가치 측정 금융자산</t>
        </is>
      </c>
      <c r="E141" s="20" t="n">
        <v>-396</v>
      </c>
      <c r="F141" s="20" t="n">
        <v>172</v>
      </c>
      <c r="I141" s="20" t="n">
        <v>325</v>
      </c>
      <c r="J141" s="20" t="n">
        <v>1783</v>
      </c>
      <c r="M141" s="20" t="n">
        <v>-78</v>
      </c>
      <c r="N141" s="20" t="n">
        <v>64</v>
      </c>
    </row>
    <row r="142">
      <c r="A142" s="18" t="inlineStr">
        <is>
          <t>확정급여부채(자산) 순액 재측정</t>
        </is>
      </c>
      <c r="E142" s="20" t="n">
        <v>0</v>
      </c>
      <c r="F142" s="20" t="n">
        <v>0</v>
      </c>
      <c r="I142" s="20" t="n">
        <v>2</v>
      </c>
      <c r="J142" s="20" t="n">
        <v>5</v>
      </c>
      <c r="M142" s="20" t="n">
        <v>0</v>
      </c>
      <c r="N142" s="20" t="n">
        <v>-1</v>
      </c>
    </row>
    <row r="143">
      <c r="A143" s="18" t="inlineStr">
        <is>
          <t>기타포괄손익 관련 법인세</t>
        </is>
      </c>
      <c r="E143" s="20" t="n">
        <v>33</v>
      </c>
      <c r="F143" s="20" t="n">
        <v>-6</v>
      </c>
      <c r="I143" s="20" t="n">
        <v>64</v>
      </c>
      <c r="J143" s="20" t="n">
        <v>-586</v>
      </c>
      <c r="M143" s="20" t="n">
        <v>11</v>
      </c>
      <c r="N143" s="20" t="n">
        <v>-11</v>
      </c>
    </row>
    <row r="144">
      <c r="A144" s="18" t="inlineStr">
        <is>
          <t>당기손익으로 재분류되지 않는 항목 합계</t>
        </is>
      </c>
      <c r="E144" s="20" t="n">
        <v>-363</v>
      </c>
      <c r="F144" s="20" t="n">
        <v>167</v>
      </c>
      <c r="I144" s="20" t="n">
        <v>391</v>
      </c>
      <c r="J144" s="20" t="n">
        <v>1202</v>
      </c>
      <c r="M144" s="20" t="n">
        <v>-67</v>
      </c>
      <c r="N144" s="20" t="n">
        <v>52</v>
      </c>
    </row>
    <row r="145">
      <c r="A145" s="18" t="inlineStr">
        <is>
          <t>해외사업 환산손익</t>
        </is>
      </c>
      <c r="E145" s="20" t="n">
        <v>-75848</v>
      </c>
      <c r="F145" s="20" t="n">
        <v>44830</v>
      </c>
      <c r="I145" s="20" t="n">
        <v>22066</v>
      </c>
      <c r="J145" s="20" t="n">
        <v>-11041</v>
      </c>
      <c r="M145" s="20" t="n">
        <v>-23754</v>
      </c>
      <c r="N145" s="20" t="n">
        <v>14645</v>
      </c>
    </row>
    <row r="146">
      <c r="A146" s="18" t="inlineStr">
        <is>
          <t>지분법 관계회사 기타포괄손익 지분</t>
        </is>
      </c>
      <c r="E146" s="20" t="n">
        <v>1825</v>
      </c>
      <c r="F146" s="20" t="n">
        <v>17</v>
      </c>
      <c r="I146" s="20" t="n">
        <v>78</v>
      </c>
      <c r="J146" s="20" t="n">
        <v>-4</v>
      </c>
      <c r="M146" s="20" t="n">
        <v>-65</v>
      </c>
      <c r="N146" s="20" t="n">
        <v>45</v>
      </c>
    </row>
    <row r="147">
      <c r="A147" s="18" t="inlineStr">
        <is>
          <t>기타포괄손익 관련 법인세</t>
        </is>
      </c>
      <c r="E147" s="20" t="n">
        <v>29</v>
      </c>
      <c r="F147" s="20" t="n">
        <v>-9</v>
      </c>
      <c r="I147" s="20" t="n">
        <v>40</v>
      </c>
      <c r="J147" s="20" t="n">
        <v>-4</v>
      </c>
      <c r="M147" s="20" t="n">
        <v>-9</v>
      </c>
      <c r="N147" s="20" t="n">
        <v>-1</v>
      </c>
    </row>
    <row r="148">
      <c r="A148" s="18" t="inlineStr">
        <is>
          <t>당기손익으로 재분류될 수 있는 항목 합계</t>
        </is>
      </c>
      <c r="E148" s="20" t="n">
        <v>-73994</v>
      </c>
      <c r="F148" s="20" t="n">
        <v>44838</v>
      </c>
      <c r="I148" s="20" t="n">
        <v>22184</v>
      </c>
      <c r="J148" s="20" t="n">
        <v>-11049</v>
      </c>
      <c r="M148" s="20" t="n">
        <v>-23827</v>
      </c>
      <c r="N148" s="20" t="n">
        <v>14688</v>
      </c>
    </row>
    <row r="149">
      <c r="A149" s="18" t="inlineStr">
        <is>
          <t>기타포괄손익 합계</t>
        </is>
      </c>
      <c r="E149" s="20" t="n">
        <v>-74356</v>
      </c>
      <c r="F149" s="20" t="n">
        <v>45004</v>
      </c>
      <c r="I149" s="20" t="n">
        <v>22575</v>
      </c>
      <c r="J149" s="20" t="n">
        <v>-9847</v>
      </c>
      <c r="M149" s="20" t="n">
        <v>-23894</v>
      </c>
      <c r="N149" s="20" t="n">
        <v>14740</v>
      </c>
    </row>
    <row r="150">
      <c r="A150" s="9" t="inlineStr">
        <is>
          <t>포괄이익</t>
        </is>
      </c>
      <c r="E150" s="12" t="n">
        <v>-21458</v>
      </c>
      <c r="F150" s="12" t="n">
        <v>92062</v>
      </c>
      <c r="I150" s="12" t="n">
        <v>77537</v>
      </c>
      <c r="J150" s="12" t="n">
        <v>41555</v>
      </c>
      <c r="M150" s="12" t="n">
        <v>46712</v>
      </c>
      <c r="N150" s="12" t="n">
        <v>80575</v>
      </c>
    </row>
    <row r="151">
      <c r="A151" s="18" t="inlineStr">
        <is>
          <t>기본 주당 중간이익</t>
        </is>
      </c>
      <c r="E151" s="20" t="n">
        <v>0.00015202</v>
      </c>
      <c r="F151" s="20" t="n">
        <v>0.00013462</v>
      </c>
      <c r="I151" s="20" t="n">
        <v>0.00016196</v>
      </c>
      <c r="J151" s="20" t="n">
        <v>0.00015123</v>
      </c>
      <c r="M151" s="20" t="n">
        <v>0.00021185</v>
      </c>
      <c r="N151" s="20" t="n">
        <v>0.00019659</v>
      </c>
    </row>
    <row r="152">
      <c r="A152" s="18" t="inlineStr">
        <is>
          <t>희석 주당 중간이익</t>
        </is>
      </c>
      <c r="E152" s="20" t="n">
        <v>0.00015197</v>
      </c>
      <c r="F152" s="20" t="n">
        <v>0.00013457</v>
      </c>
      <c r="I152" s="20" t="n">
        <v>0.00016193</v>
      </c>
      <c r="J152" s="20" t="n">
        <v>0.00015121</v>
      </c>
      <c r="M152" s="20" t="n">
        <v>0.00021183</v>
      </c>
      <c r="N152" s="20" t="n">
        <v>0.00019657</v>
      </c>
    </row>
    <row r="153">
      <c r="A153" s="9" t="inlineStr">
        <is>
          <t>지배기업 소유주</t>
        </is>
      </c>
      <c r="E153" s="12" t="n">
        <v>52933</v>
      </c>
      <c r="F153" s="12" t="n">
        <v>47158</v>
      </c>
      <c r="I153" s="12" t="n">
        <v>55428</v>
      </c>
      <c r="J153" s="12" t="n">
        <v>51840</v>
      </c>
      <c r="M153" s="12" t="n">
        <v>70709</v>
      </c>
      <c r="N153" s="12" t="n">
        <v>65791</v>
      </c>
    </row>
    <row r="154">
      <c r="A154" s="43" t="inlineStr">
        <is>
          <t>YoY</t>
        </is>
      </c>
      <c r="B154" s="3" t="inlineStr">
        <is>
          <t>전년 같은 분기·전년 대비</t>
        </is>
      </c>
      <c r="I154" s="15">
        <f>IF(OR(I153="",E153=""),"",IF(E153&lt;=0,"",IFERROR(I153/E153-1,"")))</f>
        <v/>
      </c>
      <c r="J154" s="15">
        <f>IF(OR(J153="",F153=""),"",IF(F153&lt;=0,"",IFERROR(J153/F153-1,"")))</f>
        <v/>
      </c>
      <c r="M154" s="15">
        <f>IF(OR(M153="",I153=""),"",IF(I153&lt;=0,"",IFERROR(M153/I153-1,"")))</f>
        <v/>
      </c>
      <c r="N154" s="15">
        <f>IF(OR(N153="",J153=""),"",IF(J153&lt;=0,"",IFERROR(N153/J153-1,"")))</f>
        <v/>
      </c>
    </row>
    <row r="155">
      <c r="A155" s="9" t="inlineStr">
        <is>
          <t>비지배지분</t>
        </is>
      </c>
      <c r="E155" s="12" t="n">
        <v>-35</v>
      </c>
      <c r="F155" s="12" t="n">
        <v>-99</v>
      </c>
      <c r="I155" s="12" t="n">
        <v>-466</v>
      </c>
      <c r="J155" s="12" t="n">
        <v>-439</v>
      </c>
      <c r="M155" s="12" t="n">
        <v>-103</v>
      </c>
      <c r="N155" s="12" t="n">
        <v>43</v>
      </c>
    </row>
    <row r="157">
      <c r="A157" s="16" t="inlineStr">
        <is>
          <t>포괄손익 · 전 항목</t>
        </is>
      </c>
      <c r="B157" s="42" t="inlineStr">
        <is>
          <t>분기 = 3개월 단독</t>
        </is>
      </c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  <c r="AA157" s="16" t="n"/>
      <c r="AB157" s="16" t="n"/>
      <c r="AC157" s="16" t="n"/>
    </row>
    <row r="158">
      <c r="A158" s="5" t="inlineStr">
        <is>
          <t>항목</t>
        </is>
      </c>
      <c r="B158" s="5" t="inlineStr">
        <is>
          <t>참고</t>
        </is>
      </c>
      <c r="C158" s="5" t="inlineStr">
        <is>
          <t>2024.3Q</t>
        </is>
      </c>
      <c r="D158" s="5" t="inlineStr">
        <is>
          <t>2024.4Q</t>
        </is>
      </c>
      <c r="E158" s="5" t="inlineStr">
        <is>
          <t>2025.1Q</t>
        </is>
      </c>
      <c r="F158" s="5" t="inlineStr">
        <is>
          <t>2025.2Q</t>
        </is>
      </c>
      <c r="G158" s="5" t="inlineStr">
        <is>
          <t>2025.3Q</t>
        </is>
      </c>
      <c r="H158" s="5" t="inlineStr">
        <is>
          <t>2025.4Q</t>
        </is>
      </c>
      <c r="I158" s="5" t="inlineStr">
        <is>
          <t>2026.1Q</t>
        </is>
      </c>
      <c r="J158" s="5" t="inlineStr">
        <is>
          <t>2026.2Q</t>
        </is>
      </c>
      <c r="K158" s="5" t="inlineStr">
        <is>
          <t>2026.3Q</t>
        </is>
      </c>
      <c r="L158" s="5" t="inlineStr">
        <is>
          <t>2026.4Q</t>
        </is>
      </c>
      <c r="M158" s="5" t="inlineStr">
        <is>
          <t>2027.1Q</t>
        </is>
      </c>
      <c r="N158" s="5" t="inlineStr">
        <is>
          <t>2027.2Q</t>
        </is>
      </c>
      <c r="O158" s="5" t="inlineStr">
        <is>
          <t>2017</t>
        </is>
      </c>
      <c r="P158" s="5" t="inlineStr">
        <is>
          <t>2018</t>
        </is>
      </c>
      <c r="Q158" s="5" t="inlineStr">
        <is>
          <t>2019</t>
        </is>
      </c>
      <c r="R158" s="5" t="inlineStr">
        <is>
          <t>2020</t>
        </is>
      </c>
      <c r="S158" s="5" t="inlineStr">
        <is>
          <t>2021</t>
        </is>
      </c>
      <c r="T158" s="5" t="inlineStr">
        <is>
          <t>2022</t>
        </is>
      </c>
      <c r="U158" s="5" t="inlineStr">
        <is>
          <t>2023</t>
        </is>
      </c>
      <c r="V158" s="5" t="inlineStr">
        <is>
          <t>2024</t>
        </is>
      </c>
      <c r="W158" s="5" t="inlineStr">
        <is>
          <t>2025</t>
        </is>
      </c>
      <c r="X158" s="5" t="inlineStr">
        <is>
          <t>2026</t>
        </is>
      </c>
      <c r="Y158" s="5" t="inlineStr">
        <is>
          <t>2027(MW)</t>
        </is>
      </c>
      <c r="Z158" s="5" t="inlineStr">
        <is>
          <t>2028(MW)</t>
        </is>
      </c>
      <c r="AA158" s="5" t="inlineStr">
        <is>
          <t>2029(MW)</t>
        </is>
      </c>
      <c r="AB158" s="5" t="inlineStr">
        <is>
          <t>2030(MW)</t>
        </is>
      </c>
      <c r="AC158" s="5" t="inlineStr">
        <is>
          <t>2031(MW)</t>
        </is>
      </c>
    </row>
    <row r="159">
      <c r="A159" s="9" t="inlineStr">
        <is>
          <t>매출수익</t>
        </is>
      </c>
      <c r="C159" s="12" t="n">
        <v>194798</v>
      </c>
      <c r="E159" s="12" t="n">
        <v>220845</v>
      </c>
      <c r="I159" s="12" t="n">
        <v>220406</v>
      </c>
      <c r="M159" s="12" t="n">
        <v>255742</v>
      </c>
    </row>
    <row r="160">
      <c r="A160" s="18" t="inlineStr">
        <is>
          <t>금융수익</t>
        </is>
      </c>
      <c r="C160" s="20" t="n">
        <v>4409</v>
      </c>
      <c r="E160" s="20" t="n">
        <v>4146</v>
      </c>
      <c r="I160" s="20" t="n">
        <v>3288</v>
      </c>
    </row>
    <row r="161">
      <c r="A161" s="18" t="inlineStr">
        <is>
          <t>기타 영업수익</t>
        </is>
      </c>
      <c r="I161" s="20" t="n">
        <v>476</v>
      </c>
      <c r="M161" s="20" t="n">
        <v>1032</v>
      </c>
    </row>
    <row r="162">
      <c r="A162" s="18" t="inlineStr">
        <is>
          <t>영업수익 합계</t>
        </is>
      </c>
      <c r="I162" s="20" t="n">
        <v>220882</v>
      </c>
      <c r="M162" s="20" t="n">
        <v>256773</v>
      </c>
    </row>
    <row r="163">
      <c r="A163" s="18" t="inlineStr">
        <is>
          <t>상품·제품·재공품 증감</t>
        </is>
      </c>
      <c r="I163" s="20" t="n">
        <v>456</v>
      </c>
      <c r="M163" s="20" t="n">
        <v>-1492</v>
      </c>
    </row>
    <row r="164">
      <c r="A164" s="18" t="inlineStr">
        <is>
          <t>원재료·소모품 사용액</t>
        </is>
      </c>
      <c r="C164" s="20" t="n">
        <v>27129</v>
      </c>
      <c r="E164" s="20" t="n">
        <v>31625</v>
      </c>
      <c r="I164" s="20" t="n">
        <v>30076</v>
      </c>
      <c r="M164" s="20" t="n">
        <v>36862</v>
      </c>
    </row>
    <row r="165">
      <c r="A165" s="18" t="inlineStr">
        <is>
          <t>인건비</t>
        </is>
      </c>
      <c r="C165" s="20" t="n">
        <v>46460</v>
      </c>
      <c r="E165" s="20" t="n">
        <v>53476</v>
      </c>
      <c r="I165" s="20" t="n">
        <v>53398</v>
      </c>
      <c r="M165" s="20" t="n">
        <v>59935</v>
      </c>
    </row>
    <row r="166">
      <c r="A166" s="18" t="inlineStr">
        <is>
          <t>감가상각비 및 상각비</t>
        </is>
      </c>
      <c r="C166" s="20" t="n">
        <v>11410</v>
      </c>
      <c r="E166" s="20" t="n">
        <v>12438</v>
      </c>
      <c r="I166" s="20" t="n">
        <v>12643</v>
      </c>
      <c r="M166" s="20" t="n">
        <v>16008</v>
      </c>
    </row>
    <row r="167">
      <c r="A167" s="18" t="inlineStr">
        <is>
          <t>외주가공비</t>
        </is>
      </c>
      <c r="C167" s="20" t="n">
        <v>1097</v>
      </c>
      <c r="E167" s="20" t="n">
        <v>1145</v>
      </c>
      <c r="I167" s="20" t="n">
        <v>1300</v>
      </c>
      <c r="M167" s="20" t="n">
        <v>1420</v>
      </c>
    </row>
    <row r="168">
      <c r="A168" s="18" t="inlineStr">
        <is>
          <t>광고선전비·판촉비</t>
        </is>
      </c>
      <c r="C168" s="20" t="n">
        <v>4611</v>
      </c>
      <c r="E168" s="20" t="n">
        <v>4860</v>
      </c>
      <c r="I168" s="20" t="n">
        <v>4552</v>
      </c>
      <c r="M168" s="20" t="n">
        <v>5097</v>
      </c>
    </row>
    <row r="169">
      <c r="A169" s="18" t="inlineStr">
        <is>
          <t>지급수수료</t>
        </is>
      </c>
      <c r="C169" s="20" t="n">
        <v>12246</v>
      </c>
      <c r="E169" s="20" t="n">
        <v>14237</v>
      </c>
      <c r="I169" s="20" t="n">
        <v>12735</v>
      </c>
      <c r="M169" s="20" t="n">
        <v>14783</v>
      </c>
    </row>
    <row r="170">
      <c r="A170" s="18" t="inlineStr">
        <is>
          <t>손상차손</t>
        </is>
      </c>
      <c r="C170" s="20" t="n">
        <v>879</v>
      </c>
      <c r="E170" s="20" t="n">
        <v>4763</v>
      </c>
      <c r="I170" s="20" t="n">
        <v>1910</v>
      </c>
      <c r="M170" s="20" t="n">
        <v>0</v>
      </c>
    </row>
    <row r="171">
      <c r="A171" s="18" t="inlineStr">
        <is>
          <t>금융비용</t>
        </is>
      </c>
      <c r="C171" s="20" t="n">
        <v>448</v>
      </c>
      <c r="E171" s="20" t="n">
        <v>366</v>
      </c>
      <c r="I171" s="20" t="n">
        <v>497</v>
      </c>
    </row>
    <row r="172">
      <c r="A172" s="18" t="inlineStr">
        <is>
          <t>외환차손익</t>
        </is>
      </c>
      <c r="C172" s="20" t="n">
        <v>11379</v>
      </c>
      <c r="E172" s="20" t="n">
        <v>-643</v>
      </c>
      <c r="I172" s="20" t="n">
        <v>-3779</v>
      </c>
    </row>
    <row r="173">
      <c r="A173" s="18" t="inlineStr">
        <is>
          <t>기타비용</t>
        </is>
      </c>
      <c r="C173" s="20" t="n">
        <v>36536</v>
      </c>
      <c r="E173" s="20" t="n">
        <v>41084</v>
      </c>
      <c r="I173" s="20" t="n">
        <v>43873</v>
      </c>
    </row>
    <row r="174">
      <c r="A174" s="18" t="inlineStr">
        <is>
          <t>비용 합계</t>
        </is>
      </c>
      <c r="C174" s="20" t="n">
        <v>150937</v>
      </c>
      <c r="E174" s="20" t="n">
        <v>160397</v>
      </c>
      <c r="I174" s="20" t="n">
        <v>169056</v>
      </c>
    </row>
    <row r="175">
      <c r="A175" s="18" t="inlineStr">
        <is>
          <t>외환차손익</t>
        </is>
      </c>
      <c r="I175" s="20" t="n">
        <v>901</v>
      </c>
      <c r="M175" s="20" t="n">
        <v>543</v>
      </c>
    </row>
    <row r="176">
      <c r="A176" s="18" t="inlineStr">
        <is>
          <t>기타 영업비용</t>
        </is>
      </c>
      <c r="I176" s="20" t="n">
        <v>39350</v>
      </c>
      <c r="M176" s="20" t="n">
        <v>40991</v>
      </c>
    </row>
    <row r="177">
      <c r="A177" s="18" t="inlineStr">
        <is>
          <t>영업비용 합계</t>
        </is>
      </c>
      <c r="I177" s="20" t="n">
        <v>157323</v>
      </c>
      <c r="M177" s="20" t="n">
        <v>174147</v>
      </c>
    </row>
    <row r="178">
      <c r="A178" s="18" t="inlineStr">
        <is>
          <t>영업이익</t>
        </is>
      </c>
      <c r="I178" s="20" t="n">
        <v>63559</v>
      </c>
      <c r="M178" s="20" t="n">
        <v>82626</v>
      </c>
    </row>
    <row r="179">
      <c r="A179" s="18" t="inlineStr">
        <is>
          <t>지분법 손익</t>
        </is>
      </c>
      <c r="C179" s="20" t="n">
        <v>67</v>
      </c>
      <c r="E179" s="20" t="n">
        <v>105</v>
      </c>
      <c r="I179" s="20" t="n">
        <v>119</v>
      </c>
      <c r="M179" s="20" t="n">
        <v>238</v>
      </c>
    </row>
    <row r="180">
      <c r="A180" s="18" t="inlineStr">
        <is>
          <t>기타수익</t>
        </is>
      </c>
      <c r="C180" s="20" t="n">
        <v>1351</v>
      </c>
      <c r="E180" s="20" t="n">
        <v>524</v>
      </c>
      <c r="I180" s="20" t="n">
        <v>31707</v>
      </c>
    </row>
    <row r="181">
      <c r="A181" s="9" t="inlineStr">
        <is>
          <t>수익 합계</t>
        </is>
      </c>
      <c r="C181" s="12" t="n">
        <v>200625</v>
      </c>
      <c r="E181" s="12" t="n">
        <v>225620</v>
      </c>
      <c r="I181" s="12" t="n">
        <v>279857</v>
      </c>
    </row>
    <row r="182">
      <c r="A182" s="18" t="inlineStr">
        <is>
          <t>상품·제품·재공품 증감</t>
        </is>
      </c>
      <c r="C182" s="20" t="n">
        <v>-1259</v>
      </c>
      <c r="E182" s="20" t="n">
        <v>-2954</v>
      </c>
      <c r="I182" s="20" t="n">
        <v>-880</v>
      </c>
    </row>
    <row r="183">
      <c r="A183" s="18" t="inlineStr">
        <is>
          <t>이자수익</t>
        </is>
      </c>
      <c r="I183" s="20" t="n">
        <v>3416</v>
      </c>
      <c r="M183" s="20" t="n">
        <v>2760</v>
      </c>
    </row>
    <row r="184">
      <c r="A184" s="18" t="inlineStr">
        <is>
          <t>배당수익</t>
        </is>
      </c>
      <c r="I184" s="20" t="n">
        <v>146</v>
      </c>
      <c r="M184" s="20" t="n">
        <v>15</v>
      </c>
    </row>
    <row r="185">
      <c r="A185" s="18" t="inlineStr">
        <is>
          <t>외환차손익</t>
        </is>
      </c>
      <c r="I185" s="20" t="n">
        <v>730</v>
      </c>
      <c r="M185" s="20" t="n">
        <v>544</v>
      </c>
    </row>
    <row r="186">
      <c r="A186" s="9" t="inlineStr">
        <is>
          <t>금융·법인세 차감 전 분기이익</t>
        </is>
      </c>
      <c r="I186" s="12" t="n">
        <v>67969</v>
      </c>
      <c r="M186" s="12" t="n">
        <v>86182</v>
      </c>
    </row>
    <row r="187">
      <c r="A187" s="18" t="inlineStr">
        <is>
          <t>이자비용</t>
        </is>
      </c>
      <c r="I187" s="20" t="n">
        <v>488</v>
      </c>
      <c r="M187" s="20" t="n">
        <v>463</v>
      </c>
    </row>
    <row r="188">
      <c r="A188" s="18" t="inlineStr">
        <is>
          <t>외환차손익</t>
        </is>
      </c>
      <c r="I188" s="20" t="n">
        <v>-117</v>
      </c>
      <c r="M188" s="20" t="n">
        <v>276</v>
      </c>
    </row>
    <row r="189">
      <c r="A189" s="9" t="inlineStr">
        <is>
          <t>법인세비용차감전 중간이익</t>
        </is>
      </c>
      <c r="C189" s="12" t="n">
        <v>49689</v>
      </c>
      <c r="E189" s="12" t="n">
        <v>65224</v>
      </c>
      <c r="I189" s="12" t="n">
        <v>67363</v>
      </c>
      <c r="M189" s="12" t="n">
        <v>85994</v>
      </c>
    </row>
    <row r="190">
      <c r="A190" s="18" t="inlineStr">
        <is>
          <t>법인소득세</t>
        </is>
      </c>
      <c r="C190" s="20" t="n">
        <v>10704</v>
      </c>
      <c r="E190" s="20" t="n">
        <v>14484</v>
      </c>
      <c r="I190" s="20" t="n">
        <v>15963</v>
      </c>
      <c r="M190" s="20" t="n">
        <v>20160</v>
      </c>
    </row>
    <row r="191">
      <c r="A191" s="9" t="inlineStr">
        <is>
          <t>중간이익</t>
        </is>
      </c>
      <c r="C191" s="12" t="n">
        <v>38984</v>
      </c>
      <c r="E191" s="12" t="n">
        <v>50740</v>
      </c>
      <c r="I191" s="12" t="n">
        <v>51401</v>
      </c>
      <c r="M191" s="12" t="n">
        <v>65835</v>
      </c>
    </row>
    <row r="192">
      <c r="A192" s="18" t="inlineStr">
        <is>
          <t>기타포괄손익-공정가치 측정 금융자산</t>
        </is>
      </c>
      <c r="E192" s="20" t="n">
        <v>-7674</v>
      </c>
      <c r="I192" s="20" t="n">
        <v>2110</v>
      </c>
    </row>
    <row r="193">
      <c r="A193" s="9" t="inlineStr">
        <is>
          <t>지배기업 소유주</t>
        </is>
      </c>
      <c r="C193" s="12" t="n">
        <v>22170</v>
      </c>
      <c r="E193" s="12" t="n">
        <v>106160</v>
      </c>
      <c r="I193" s="12" t="n">
        <v>42181</v>
      </c>
      <c r="M193" s="12" t="n">
        <v>80146</v>
      </c>
    </row>
    <row r="194">
      <c r="A194" s="9" t="inlineStr">
        <is>
          <t>비지배지분</t>
        </is>
      </c>
      <c r="C194" s="12" t="n">
        <v>53</v>
      </c>
      <c r="E194" s="12" t="n">
        <v>1149</v>
      </c>
      <c r="I194" s="12" t="n">
        <v>-627</v>
      </c>
      <c r="M194" s="12" t="n">
        <v>429</v>
      </c>
    </row>
    <row r="195">
      <c r="A195" s="18" t="inlineStr">
        <is>
          <t>기타포괄손익-공정가치 측정 금융자산</t>
        </is>
      </c>
      <c r="C195" s="20" t="n">
        <v>16</v>
      </c>
      <c r="E195" s="20" t="n">
        <v>172</v>
      </c>
      <c r="I195" s="20" t="n">
        <v>1783</v>
      </c>
      <c r="M195" s="20" t="n">
        <v>64</v>
      </c>
    </row>
    <row r="196">
      <c r="A196" s="18" t="inlineStr">
        <is>
          <t>확정급여부채(자산) 순액 재측정</t>
        </is>
      </c>
      <c r="C196" s="20" t="n">
        <v>0</v>
      </c>
      <c r="E196" s="20" t="n">
        <v>-1</v>
      </c>
      <c r="I196" s="20" t="n">
        <v>5</v>
      </c>
      <c r="M196" s="20" t="n">
        <v>-1</v>
      </c>
    </row>
    <row r="197">
      <c r="A197" s="18" t="inlineStr">
        <is>
          <t>기타포괄손익 관련 법인세</t>
        </is>
      </c>
      <c r="C197" s="20" t="n">
        <v>-23</v>
      </c>
      <c r="E197" s="20" t="n">
        <v>2414</v>
      </c>
      <c r="I197" s="20" t="n">
        <v>-586</v>
      </c>
      <c r="M197" s="20" t="n">
        <v>-11</v>
      </c>
    </row>
    <row r="198">
      <c r="A198" s="18" t="inlineStr">
        <is>
          <t>당기손익으로 재분류되지 않는 항목 합계</t>
        </is>
      </c>
      <c r="C198" s="20" t="n">
        <v>-7</v>
      </c>
      <c r="E198" s="20" t="n">
        <v>-5261</v>
      </c>
      <c r="I198" s="20" t="n">
        <v>1202</v>
      </c>
      <c r="M198" s="20" t="n">
        <v>52</v>
      </c>
    </row>
    <row r="199">
      <c r="A199" s="18" t="inlineStr">
        <is>
          <t>해외사업 환산손익</t>
        </is>
      </c>
      <c r="C199" s="20" t="n">
        <v>-16697</v>
      </c>
      <c r="E199" s="20" t="n">
        <v>61811</v>
      </c>
      <c r="I199" s="20" t="n">
        <v>-11041</v>
      </c>
      <c r="M199" s="20" t="n">
        <v>14645</v>
      </c>
    </row>
    <row r="200">
      <c r="A200" s="18" t="inlineStr">
        <is>
          <t>지분법 관계회사 기타포괄손익 지분</t>
        </is>
      </c>
      <c r="C200" s="20" t="n">
        <v>-28</v>
      </c>
      <c r="E200" s="20" t="n">
        <v>25</v>
      </c>
      <c r="I200" s="20" t="n">
        <v>-4</v>
      </c>
      <c r="M200" s="20" t="n">
        <v>45</v>
      </c>
    </row>
    <row r="201">
      <c r="A201" s="18" t="inlineStr">
        <is>
          <t>기타포괄손익 관련 법인세</t>
        </is>
      </c>
      <c r="C201" s="20" t="n">
        <v>-30</v>
      </c>
      <c r="E201" s="20" t="n">
        <v>-6</v>
      </c>
      <c r="I201" s="20" t="n">
        <v>-3</v>
      </c>
      <c r="M201" s="20" t="n">
        <v>-1</v>
      </c>
    </row>
    <row r="202">
      <c r="A202" s="18" t="inlineStr">
        <is>
          <t>당기손익으로 재분류될 수 있는 항목 합계</t>
        </is>
      </c>
      <c r="C202" s="20" t="n">
        <v>-16754</v>
      </c>
      <c r="E202" s="20" t="n">
        <v>61829</v>
      </c>
      <c r="I202" s="20" t="n">
        <v>-11049</v>
      </c>
      <c r="M202" s="20" t="n">
        <v>14688</v>
      </c>
    </row>
    <row r="203">
      <c r="A203" s="18" t="inlineStr">
        <is>
          <t>기타포괄손익 합계</t>
        </is>
      </c>
      <c r="C203" s="20" t="n">
        <v>-16761</v>
      </c>
      <c r="E203" s="20" t="n">
        <v>56569</v>
      </c>
      <c r="I203" s="20" t="n">
        <v>-9846</v>
      </c>
      <c r="M203" s="20" t="n">
        <v>14740</v>
      </c>
    </row>
    <row r="204">
      <c r="A204" s="9" t="inlineStr">
        <is>
          <t>포괄이익</t>
        </is>
      </c>
      <c r="C204" s="12" t="n">
        <v>22224</v>
      </c>
      <c r="E204" s="12" t="n">
        <v>107308</v>
      </c>
      <c r="I204" s="12" t="n">
        <v>41554</v>
      </c>
      <c r="M204" s="12" t="n">
        <v>80575</v>
      </c>
    </row>
    <row r="205">
      <c r="A205" s="18" t="inlineStr">
        <is>
          <t>기본 주당 분기이익</t>
        </is>
      </c>
      <c r="C205" s="20" t="n">
        <v>0.00011032</v>
      </c>
      <c r="E205" s="20" t="n">
        <v>0.00014535</v>
      </c>
      <c r="I205" s="20" t="n">
        <v>0.00015124</v>
      </c>
      <c r="M205" s="20" t="n">
        <v>0.00019661</v>
      </c>
    </row>
    <row r="206">
      <c r="A206" s="18" t="inlineStr">
        <is>
          <t>희석 주당 분기이익</t>
        </is>
      </c>
      <c r="C206" s="20" t="n">
        <v>0.00011028</v>
      </c>
      <c r="E206" s="20" t="n">
        <v>0.00014532</v>
      </c>
      <c r="I206" s="20" t="n">
        <v>0.00015122</v>
      </c>
      <c r="M206" s="20" t="n">
        <v>0.00019658</v>
      </c>
    </row>
    <row r="207">
      <c r="A207" s="9" t="inlineStr">
        <is>
          <t>지배기업 소유주</t>
        </is>
      </c>
      <c r="C207" s="12" t="n">
        <v>38653</v>
      </c>
      <c r="E207" s="12" t="n">
        <v>50481</v>
      </c>
      <c r="I207" s="12" t="n">
        <v>51840</v>
      </c>
      <c r="M207" s="12" t="n">
        <v>65791</v>
      </c>
    </row>
    <row r="208">
      <c r="A208" s="9" t="inlineStr">
        <is>
          <t>비지배지분</t>
        </is>
      </c>
      <c r="C208" s="12" t="n">
        <v>332</v>
      </c>
      <c r="E208" s="12" t="n">
        <v>259</v>
      </c>
      <c r="I208" s="12" t="n">
        <v>-439</v>
      </c>
      <c r="M208" s="12" t="n">
        <v>43</v>
      </c>
    </row>
    <row r="210">
      <c r="A210" s="16" t="inlineStr">
        <is>
          <t>부문 · 전 항목</t>
        </is>
      </c>
      <c r="B210" s="42" t="inlineStr">
        <is>
          <t>부문 · 항목</t>
        </is>
      </c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  <c r="Z210" s="16" t="n"/>
      <c r="AA210" s="16" t="n"/>
      <c r="AB210" s="16" t="n"/>
      <c r="AC210" s="16" t="n"/>
    </row>
    <row r="211">
      <c r="A211" s="5" t="inlineStr">
        <is>
          <t>항목</t>
        </is>
      </c>
      <c r="B211" s="5" t="inlineStr">
        <is>
          <t>참고</t>
        </is>
      </c>
      <c r="C211" s="5" t="inlineStr">
        <is>
          <t>2024.3Q</t>
        </is>
      </c>
      <c r="D211" s="5" t="inlineStr">
        <is>
          <t>2024.4Q</t>
        </is>
      </c>
      <c r="E211" s="5" t="inlineStr">
        <is>
          <t>2025.1Q</t>
        </is>
      </c>
      <c r="F211" s="5" t="inlineStr">
        <is>
          <t>2025.2Q</t>
        </is>
      </c>
      <c r="G211" s="5" t="inlineStr">
        <is>
          <t>2025.3Q</t>
        </is>
      </c>
      <c r="H211" s="5" t="inlineStr">
        <is>
          <t>2025.4Q</t>
        </is>
      </c>
      <c r="I211" s="5" t="inlineStr">
        <is>
          <t>2026.1Q</t>
        </is>
      </c>
      <c r="J211" s="5" t="inlineStr">
        <is>
          <t>2026.2Q</t>
        </is>
      </c>
      <c r="K211" s="5" t="inlineStr">
        <is>
          <t>2026.3Q</t>
        </is>
      </c>
      <c r="L211" s="5" t="inlineStr">
        <is>
          <t>2026.4Q</t>
        </is>
      </c>
      <c r="M211" s="5" t="inlineStr">
        <is>
          <t>2027.1Q</t>
        </is>
      </c>
      <c r="N211" s="5" t="inlineStr">
        <is>
          <t>2027.2Q</t>
        </is>
      </c>
      <c r="O211" s="5" t="inlineStr">
        <is>
          <t>2017</t>
        </is>
      </c>
      <c r="P211" s="5" t="inlineStr">
        <is>
          <t>2018</t>
        </is>
      </c>
      <c r="Q211" s="5" t="inlineStr">
        <is>
          <t>2019</t>
        </is>
      </c>
      <c r="R211" s="5" t="inlineStr">
        <is>
          <t>2020</t>
        </is>
      </c>
      <c r="S211" s="5" t="inlineStr">
        <is>
          <t>2021</t>
        </is>
      </c>
      <c r="T211" s="5" t="inlineStr">
        <is>
          <t>2022</t>
        </is>
      </c>
      <c r="U211" s="5" t="inlineStr">
        <is>
          <t>2023</t>
        </is>
      </c>
      <c r="V211" s="5" t="inlineStr">
        <is>
          <t>2024</t>
        </is>
      </c>
      <c r="W211" s="5" t="inlineStr">
        <is>
          <t>2025</t>
        </is>
      </c>
      <c r="X211" s="5" t="inlineStr">
        <is>
          <t>2026</t>
        </is>
      </c>
      <c r="Y211" s="5" t="inlineStr">
        <is>
          <t>2027(MW)</t>
        </is>
      </c>
      <c r="Z211" s="5" t="inlineStr">
        <is>
          <t>2028(MW)</t>
        </is>
      </c>
      <c r="AA211" s="5" t="inlineStr">
        <is>
          <t>2029(MW)</t>
        </is>
      </c>
      <c r="AB211" s="5" t="inlineStr">
        <is>
          <t>2030(MW)</t>
        </is>
      </c>
      <c r="AC211" s="5" t="inlineStr">
        <is>
          <t>2031(MW)</t>
        </is>
      </c>
    </row>
    <row r="212">
      <c r="A212" s="18" t="inlineStr">
        <is>
          <t>라이프케어 · 외부 고객 매출수익</t>
        </is>
      </c>
      <c r="C212" s="20" t="n">
        <v>133513</v>
      </c>
      <c r="D212" s="20" t="n">
        <v>137027</v>
      </c>
      <c r="E212" s="20" t="n">
        <v>134960</v>
      </c>
      <c r="F212" s="20" t="n">
        <v>136282</v>
      </c>
      <c r="G212" s="20" t="n">
        <v>139406</v>
      </c>
      <c r="H212" s="20" t="n">
        <v>140264</v>
      </c>
      <c r="I212" s="20" t="n">
        <v>137233</v>
      </c>
      <c r="J212" s="20" t="n">
        <v>146904</v>
      </c>
      <c r="K212" s="20" t="n">
        <v>151480</v>
      </c>
      <c r="L212" s="20" t="n">
        <v>155063</v>
      </c>
      <c r="M212" s="20" t="n">
        <v>154788</v>
      </c>
      <c r="N212" s="20" t="n">
        <v>153366</v>
      </c>
      <c r="V212" s="20" t="n">
        <v>137027</v>
      </c>
      <c r="W212" s="20" t="n">
        <v>140264</v>
      </c>
      <c r="X212" s="20" t="n">
        <v>155063</v>
      </c>
    </row>
    <row r="213">
      <c r="A213" s="43" t="inlineStr">
        <is>
          <t>YoY</t>
        </is>
      </c>
      <c r="B213" s="3" t="inlineStr">
        <is>
          <t>전년 같은 분기·전년 대비</t>
        </is>
      </c>
      <c r="G213" s="15">
        <f>IF(OR(G212="",C212=""),"",IF(C212&lt;=0,"",IFERROR(G212/C212-1,"")))</f>
        <v/>
      </c>
      <c r="H213" s="15">
        <f>IF(OR(H212="",D212=""),"",IF(D212&lt;=0,"",IFERROR(H212/D212-1,"")))</f>
        <v/>
      </c>
      <c r="I213" s="15">
        <f>IF(OR(I212="",E212=""),"",IF(E212&lt;=0,"",IFERROR(I212/E212-1,"")))</f>
        <v/>
      </c>
      <c r="J213" s="15">
        <f>IF(OR(J212="",F212=""),"",IF(F212&lt;=0,"",IFERROR(J212/F212-1,"")))</f>
        <v/>
      </c>
      <c r="K213" s="15">
        <f>IF(OR(K212="",G212=""),"",IF(G212&lt;=0,"",IFERROR(K212/G212-1,"")))</f>
        <v/>
      </c>
      <c r="L213" s="15">
        <f>IF(OR(L212="",H212=""),"",IF(H212&lt;=0,"",IFERROR(L212/H212-1,"")))</f>
        <v/>
      </c>
      <c r="M213" s="15">
        <f>IF(OR(M212="",I212=""),"",IF(I212&lt;=0,"",IFERROR(M212/I212-1,"")))</f>
        <v/>
      </c>
      <c r="N213" s="15">
        <f>IF(OR(N212="",J212=""),"",IF(J212&lt;=0,"",IFERROR(N212/J212-1,"")))</f>
        <v/>
      </c>
      <c r="V213" s="15">
        <f>IF(OR(V212="",U212=""),"",IF(U212&lt;=0,"",IFERROR(V212/U212-1,"")))</f>
        <v/>
      </c>
      <c r="W213" s="15">
        <f>IF(OR(W212="",V212=""),"",IF(V212&lt;=0,"",IFERROR(W212/V212-1,"")))</f>
        <v/>
      </c>
      <c r="X213" s="15">
        <f>IF(OR(X212="",W212=""),"",IF(W212&lt;=0,"",IFERROR(X212/W212-1,"")))</f>
        <v/>
      </c>
    </row>
    <row r="214">
      <c r="A214" s="18" t="inlineStr">
        <is>
          <t>정보·통신 · 외부 고객 매출수익</t>
        </is>
      </c>
      <c r="C214" s="20" t="n">
        <v>60305</v>
      </c>
      <c r="E214" s="20" t="n">
        <v>77852</v>
      </c>
      <c r="F214" s="20" t="n">
        <v>77360</v>
      </c>
      <c r="G214" s="20" t="n">
        <v>80409</v>
      </c>
      <c r="I214" s="20" t="n">
        <v>82246</v>
      </c>
      <c r="J214" s="20" t="n">
        <v>86547</v>
      </c>
      <c r="K214" s="20" t="n">
        <v>92891</v>
      </c>
      <c r="M214" s="20" t="n">
        <v>100954</v>
      </c>
      <c r="N214" s="20" t="n">
        <v>106787</v>
      </c>
    </row>
    <row r="215">
      <c r="A215" s="43" t="inlineStr">
        <is>
          <t>YoY</t>
        </is>
      </c>
      <c r="B215" s="3" t="inlineStr">
        <is>
          <t>전년 같은 분기·전년 대비</t>
        </is>
      </c>
      <c r="G215" s="15">
        <f>IF(OR(G214="",C214=""),"",IF(C214&lt;=0,"",IFERROR(G214/C214-1,"")))</f>
        <v/>
      </c>
      <c r="I215" s="15">
        <f>IF(OR(I214="",E214=""),"",IF(E214&lt;=0,"",IFERROR(I214/E214-1,"")))</f>
        <v/>
      </c>
      <c r="J215" s="15">
        <f>IF(OR(J214="",F214=""),"",IF(F214&lt;=0,"",IFERROR(J214/F214-1,"")))</f>
        <v/>
      </c>
      <c r="K215" s="15">
        <f>IF(OR(K214="",G214=""),"",IF(G214&lt;=0,"",IFERROR(K214/G214-1,"")))</f>
        <v/>
      </c>
      <c r="M215" s="15">
        <f>IF(OR(M214="",I214=""),"",IF(I214&lt;=0,"",IFERROR(M214/I214-1,"")))</f>
        <v/>
      </c>
      <c r="N215" s="15">
        <f>IF(OR(N214="",J214=""),"",IF(J214&lt;=0,"",IFERROR(N214/J214-1,"")))</f>
        <v/>
      </c>
    </row>
    <row r="216">
      <c r="A216" s="18" t="inlineStr">
        <is>
          <t>기타 · 외부 고객 매출수익</t>
        </is>
      </c>
      <c r="C216" s="20" t="n">
        <v>980</v>
      </c>
      <c r="E216" s="20" t="n">
        <v>961</v>
      </c>
      <c r="F216" s="20" t="n">
        <v>1015</v>
      </c>
      <c r="G216" s="20" t="n">
        <v>1030</v>
      </c>
      <c r="I216" s="20" t="n">
        <v>927</v>
      </c>
      <c r="J216" s="20" t="n">
        <v>1043</v>
      </c>
      <c r="K216" s="20" t="n">
        <v>348</v>
      </c>
      <c r="M216" s="20" t="n">
        <v>0</v>
      </c>
      <c r="N216" s="20" t="n">
        <v>0</v>
      </c>
    </row>
    <row r="217">
      <c r="A217" s="43" t="inlineStr">
        <is>
          <t>YoY</t>
        </is>
      </c>
      <c r="B217" s="3" t="inlineStr">
        <is>
          <t>전년 같은 분기·전년 대비</t>
        </is>
      </c>
      <c r="G217" s="15">
        <f>IF(OR(G216="",C216=""),"",IF(C216&lt;=0,"",IFERROR(G216/C216-1,"")))</f>
        <v/>
      </c>
      <c r="I217" s="15">
        <f>IF(OR(I216="",E216=""),"",IF(E216&lt;=0,"",IFERROR(I216/E216-1,"")))</f>
        <v/>
      </c>
      <c r="J217" s="15">
        <f>IF(OR(J216="",F216=""),"",IF(F216&lt;=0,"",IFERROR(J216/F216-1,"")))</f>
        <v/>
      </c>
      <c r="K217" s="15">
        <f>IF(OR(K216="",G216=""),"",IF(G216&lt;=0,"",IFERROR(K216/G216-1,"")))</f>
        <v/>
      </c>
      <c r="M217" s="15">
        <f>IF(OR(M216="",I216=""),"",IF(I216&lt;=0,"",IFERROR(M216/I216-1,"")))</f>
        <v/>
      </c>
      <c r="N217" s="15">
        <f>IF(OR(N216="",J216=""),"",IF(J216&lt;=0,"",IFERROR(N216/J216-1,"")))</f>
        <v/>
      </c>
    </row>
    <row r="218">
      <c r="A218" s="18" t="inlineStr">
        <is>
          <t>보고부문 합계 · 외부 고객 매출수익</t>
        </is>
      </c>
      <c r="C218" s="20" t="n">
        <v>194798</v>
      </c>
      <c r="E218" s="20" t="n">
        <v>213773</v>
      </c>
      <c r="F218" s="20" t="n">
        <v>214657</v>
      </c>
      <c r="G218" s="20" t="n">
        <v>220846</v>
      </c>
      <c r="I218" s="20" t="n">
        <v>220406</v>
      </c>
      <c r="J218" s="20" t="n">
        <v>234493</v>
      </c>
      <c r="K218" s="20" t="n">
        <v>244720</v>
      </c>
      <c r="M218" s="20" t="n">
        <v>255742</v>
      </c>
      <c r="N218" s="20" t="n">
        <v>260153</v>
      </c>
    </row>
    <row r="219">
      <c r="A219" s="43" t="inlineStr">
        <is>
          <t>YoY</t>
        </is>
      </c>
      <c r="B219" s="3" t="inlineStr">
        <is>
          <t>전년 같은 분기·전년 대비</t>
        </is>
      </c>
      <c r="G219" s="15">
        <f>IF(OR(G218="",C218=""),"",IF(C218&lt;=0,"",IFERROR(G218/C218-1,"")))</f>
        <v/>
      </c>
      <c r="I219" s="15">
        <f>IF(OR(I218="",E218=""),"",IF(E218&lt;=0,"",IFERROR(I218/E218-1,"")))</f>
        <v/>
      </c>
      <c r="J219" s="15">
        <f>IF(OR(J218="",F218=""),"",IF(F218&lt;=0,"",IFERROR(J218/F218-1,"")))</f>
        <v/>
      </c>
      <c r="K219" s="15">
        <f>IF(OR(K218="",G218=""),"",IF(G218&lt;=0,"",IFERROR(K218/G218-1,"")))</f>
        <v/>
      </c>
      <c r="M219" s="15">
        <f>IF(OR(M218="",I218=""),"",IF(I218&lt;=0,"",IFERROR(M218/I218-1,"")))</f>
        <v/>
      </c>
      <c r="N219" s="15">
        <f>IF(OR(N218="",J218=""),"",IF(J218&lt;=0,"",IFERROR(N218/J218-1,"")))</f>
        <v/>
      </c>
    </row>
    <row r="220">
      <c r="A220" s="18" t="inlineStr">
        <is>
          <t>조정액 · 외부 고객 매출수익</t>
        </is>
      </c>
      <c r="C220" s="20" t="n">
        <v>0</v>
      </c>
      <c r="D220" s="20" t="n">
        <v>0</v>
      </c>
      <c r="E220" s="20" t="n">
        <v>0</v>
      </c>
      <c r="F220" s="20" t="n">
        <v>0</v>
      </c>
      <c r="G220" s="20" t="n">
        <v>0</v>
      </c>
      <c r="H220" s="20" t="n">
        <v>0</v>
      </c>
      <c r="I220" s="20" t="n">
        <v>0</v>
      </c>
      <c r="J220" s="20" t="n">
        <v>0</v>
      </c>
      <c r="K220" s="20" t="n">
        <v>0</v>
      </c>
      <c r="L220" s="20" t="n">
        <v>0</v>
      </c>
      <c r="M220" s="20" t="n">
        <v>0</v>
      </c>
      <c r="N220" s="20" t="n">
        <v>0</v>
      </c>
      <c r="V220" s="20" t="n">
        <v>0</v>
      </c>
      <c r="W220" s="20" t="n">
        <v>0</v>
      </c>
      <c r="X220" s="20" t="n">
        <v>0</v>
      </c>
    </row>
    <row r="221">
      <c r="A221" s="9" t="inlineStr">
        <is>
          <t>외부 고객 매출수익</t>
        </is>
      </c>
      <c r="C221" s="12" t="n">
        <v>194798</v>
      </c>
      <c r="D221" s="12" t="n">
        <v>196823</v>
      </c>
      <c r="E221" s="12" t="n">
        <v>213773</v>
      </c>
      <c r="F221" s="12" t="n">
        <v>214657</v>
      </c>
      <c r="G221" s="12" t="n">
        <v>220846</v>
      </c>
      <c r="H221" s="12" t="n">
        <v>216756</v>
      </c>
      <c r="I221" s="12" t="n">
        <v>220406</v>
      </c>
      <c r="J221" s="12" t="n">
        <v>234493</v>
      </c>
      <c r="K221" s="12" t="n">
        <v>244720</v>
      </c>
      <c r="L221" s="12" t="n">
        <v>248130</v>
      </c>
      <c r="M221" s="12" t="n">
        <v>255742</v>
      </c>
      <c r="N221" s="12" t="n">
        <v>260153</v>
      </c>
      <c r="V221" s="12" t="n">
        <v>196823</v>
      </c>
      <c r="W221" s="12" t="n">
        <v>216756</v>
      </c>
      <c r="X221" s="12" t="n">
        <v>248130</v>
      </c>
    </row>
    <row r="222">
      <c r="A222" s="43" t="inlineStr">
        <is>
          <t>YoY</t>
        </is>
      </c>
      <c r="B222" s="3" t="inlineStr">
        <is>
          <t>전년 같은 분기·전년 대비</t>
        </is>
      </c>
      <c r="G222" s="15">
        <f>IF(OR(G221="",C221=""),"",IF(C221&lt;=0,"",IFERROR(G221/C221-1,"")))</f>
        <v/>
      </c>
      <c r="H222" s="15">
        <f>IF(OR(H221="",D221=""),"",IF(D221&lt;=0,"",IFERROR(H221/D221-1,"")))</f>
        <v/>
      </c>
      <c r="I222" s="15">
        <f>IF(OR(I221="",E221=""),"",IF(E221&lt;=0,"",IFERROR(I221/E221-1,"")))</f>
        <v/>
      </c>
      <c r="J222" s="15">
        <f>IF(OR(J221="",F221=""),"",IF(F221&lt;=0,"",IFERROR(J221/F221-1,"")))</f>
        <v/>
      </c>
      <c r="K222" s="15">
        <f>IF(OR(K221="",G221=""),"",IF(G221&lt;=0,"",IFERROR(K221/G221-1,"")))</f>
        <v/>
      </c>
      <c r="L222" s="15">
        <f>IF(OR(L221="",H221=""),"",IF(H221&lt;=0,"",IFERROR(L221/H221-1,"")))</f>
        <v/>
      </c>
      <c r="M222" s="15">
        <f>IF(OR(M221="",I221=""),"",IF(I221&lt;=0,"",IFERROR(M221/I221-1,"")))</f>
        <v/>
      </c>
      <c r="N222" s="15">
        <f>IF(OR(N221="",J221=""),"",IF(J221&lt;=0,"",IFERROR(N221/J221-1,"")))</f>
        <v/>
      </c>
      <c r="V222" s="15">
        <f>IF(OR(V221="",U221=""),"",IF(U221&lt;=0,"",IFERROR(V221/U221-1,"")))</f>
        <v/>
      </c>
      <c r="W222" s="15">
        <f>IF(OR(W221="",V221=""),"",IF(V221&lt;=0,"",IFERROR(W221/V221-1,"")))</f>
        <v/>
      </c>
      <c r="X222" s="15">
        <f>IF(OR(X221="",W221=""),"",IF(W221&lt;=0,"",IFERROR(X221/W221-1,"")))</f>
        <v/>
      </c>
    </row>
    <row r="223">
      <c r="A223" s="18" t="inlineStr">
        <is>
          <t>라이프케어 · 부문 간 매출수익</t>
        </is>
      </c>
      <c r="C223" s="20" t="n">
        <v>2</v>
      </c>
      <c r="D223" s="20" t="n">
        <v>0</v>
      </c>
      <c r="E223" s="20" t="n">
        <v>1</v>
      </c>
      <c r="F223" s="20" t="n">
        <v>1</v>
      </c>
      <c r="G223" s="20" t="n">
        <v>1</v>
      </c>
      <c r="H223" s="20" t="n">
        <v>2</v>
      </c>
      <c r="I223" s="20" t="n">
        <v>2</v>
      </c>
      <c r="J223" s="20" t="n">
        <v>0</v>
      </c>
      <c r="K223" s="20" t="n">
        <v>20</v>
      </c>
      <c r="L223" s="20" t="n">
        <v>-18</v>
      </c>
      <c r="M223" s="20" t="n">
        <v>4</v>
      </c>
      <c r="N223" s="20" t="n">
        <v>6</v>
      </c>
      <c r="V223" s="20" t="n">
        <v>0</v>
      </c>
      <c r="W223" s="20" t="n">
        <v>2</v>
      </c>
      <c r="X223" s="20" t="n">
        <v>-18</v>
      </c>
    </row>
    <row r="224">
      <c r="A224" s="18" t="inlineStr">
        <is>
          <t>정보·통신 · 부문 간 매출수익</t>
        </is>
      </c>
      <c r="C224" s="20" t="n">
        <v>157</v>
      </c>
      <c r="E224" s="20" t="n">
        <v>123</v>
      </c>
      <c r="F224" s="20" t="n">
        <v>105</v>
      </c>
      <c r="G224" s="20" t="n">
        <v>117</v>
      </c>
      <c r="I224" s="20" t="n">
        <v>109</v>
      </c>
      <c r="J224" s="20" t="n">
        <v>102</v>
      </c>
      <c r="K224" s="20" t="n">
        <v>138</v>
      </c>
      <c r="M224" s="20" t="n">
        <v>42</v>
      </c>
      <c r="N224" s="20" t="n">
        <v>15</v>
      </c>
    </row>
    <row r="225">
      <c r="A225" s="18" t="inlineStr">
        <is>
          <t>기타 · 부문 간 매출수익</t>
        </is>
      </c>
      <c r="C225" s="20" t="n">
        <v>0</v>
      </c>
      <c r="E225" s="20" t="n">
        <v>0</v>
      </c>
      <c r="F225" s="20" t="n">
        <v>0</v>
      </c>
      <c r="G225" s="20" t="n">
        <v>0</v>
      </c>
      <c r="I225" s="20" t="n">
        <v>0</v>
      </c>
      <c r="J225" s="20" t="n">
        <v>0</v>
      </c>
      <c r="K225" s="20" t="n">
        <v>0</v>
      </c>
      <c r="M225" s="20" t="n">
        <v>0</v>
      </c>
      <c r="N225" s="20" t="n">
        <v>0</v>
      </c>
    </row>
    <row r="226">
      <c r="A226" s="18" t="inlineStr">
        <is>
          <t>보고부문 합계 · 부문 간 매출수익</t>
        </is>
      </c>
      <c r="C226" s="20" t="n">
        <v>159</v>
      </c>
      <c r="E226" s="20" t="n">
        <v>124</v>
      </c>
      <c r="F226" s="20" t="n">
        <v>107</v>
      </c>
      <c r="G226" s="20" t="n">
        <v>117</v>
      </c>
      <c r="I226" s="20" t="n">
        <v>111</v>
      </c>
      <c r="J226" s="20" t="n">
        <v>102</v>
      </c>
      <c r="K226" s="20" t="n">
        <v>158</v>
      </c>
      <c r="M226" s="20" t="n">
        <v>46</v>
      </c>
      <c r="N226" s="20" t="n">
        <v>21</v>
      </c>
    </row>
    <row r="227">
      <c r="A227" s="18" t="inlineStr">
        <is>
          <t>조정액 · 부문 간 매출수익</t>
        </is>
      </c>
      <c r="C227" s="20" t="n">
        <v>-159</v>
      </c>
      <c r="D227" s="20" t="n">
        <v>-193</v>
      </c>
      <c r="E227" s="20" t="n">
        <v>-124</v>
      </c>
      <c r="F227" s="20" t="n">
        <v>-107</v>
      </c>
      <c r="G227" s="20" t="n">
        <v>-117</v>
      </c>
      <c r="H227" s="20" t="n">
        <v>-135</v>
      </c>
      <c r="I227" s="20" t="n">
        <v>-111</v>
      </c>
      <c r="J227" s="20" t="n">
        <v>-102</v>
      </c>
      <c r="K227" s="20" t="n">
        <v>-158</v>
      </c>
      <c r="L227" s="20" t="n">
        <v>-92</v>
      </c>
      <c r="M227" s="20" t="n">
        <v>-46</v>
      </c>
      <c r="N227" s="20" t="n">
        <v>-21</v>
      </c>
      <c r="V227" s="20" t="n">
        <v>-193</v>
      </c>
      <c r="W227" s="20" t="n">
        <v>-135</v>
      </c>
      <c r="X227" s="20" t="n">
        <v>-92</v>
      </c>
    </row>
    <row r="228">
      <c r="A228" s="18" t="inlineStr">
        <is>
          <t>부문 간 매출수익</t>
        </is>
      </c>
      <c r="C228" s="20" t="n">
        <v>0</v>
      </c>
      <c r="D228" s="20" t="n">
        <v>0</v>
      </c>
      <c r="E228" s="20" t="n">
        <v>0</v>
      </c>
      <c r="F228" s="20" t="n">
        <v>0</v>
      </c>
      <c r="G228" s="20" t="n">
        <v>0</v>
      </c>
      <c r="H228" s="20" t="n">
        <v>0</v>
      </c>
      <c r="I228" s="20" t="n">
        <v>0</v>
      </c>
      <c r="J228" s="20" t="n">
        <v>0</v>
      </c>
      <c r="K228" s="20" t="n">
        <v>0</v>
      </c>
      <c r="L228" s="20" t="n">
        <v>0</v>
      </c>
      <c r="M228" s="20" t="n">
        <v>0</v>
      </c>
      <c r="N228" s="20" t="n">
        <v>0</v>
      </c>
      <c r="V228" s="20" t="n">
        <v>0</v>
      </c>
      <c r="W228" s="20" t="n">
        <v>0</v>
      </c>
      <c r="X228" s="20" t="n">
        <v>0</v>
      </c>
    </row>
    <row r="229">
      <c r="A229" s="18" t="inlineStr">
        <is>
          <t>라이프케어 · 계</t>
        </is>
      </c>
      <c r="C229" s="20" t="n">
        <v>133514</v>
      </c>
      <c r="D229" s="20" t="n">
        <v>137028</v>
      </c>
      <c r="E229" s="20" t="n">
        <v>134961</v>
      </c>
      <c r="F229" s="20" t="n">
        <v>136284</v>
      </c>
      <c r="G229" s="20" t="n">
        <v>139407</v>
      </c>
      <c r="H229" s="20" t="n">
        <v>140265</v>
      </c>
      <c r="I229" s="20" t="n">
        <v>137235</v>
      </c>
      <c r="J229" s="20" t="n">
        <v>146904</v>
      </c>
      <c r="K229" s="20" t="n">
        <v>151500</v>
      </c>
      <c r="L229" s="20" t="n">
        <v>155044</v>
      </c>
      <c r="M229" s="20" t="n">
        <v>154792</v>
      </c>
      <c r="N229" s="20" t="n">
        <v>153372</v>
      </c>
      <c r="V229" s="20" t="n">
        <v>137028</v>
      </c>
      <c r="W229" s="20" t="n">
        <v>140265</v>
      </c>
      <c r="X229" s="20" t="n">
        <v>155044</v>
      </c>
    </row>
    <row r="230">
      <c r="A230" s="43" t="inlineStr">
        <is>
          <t>YoY</t>
        </is>
      </c>
      <c r="B230" s="3" t="inlineStr">
        <is>
          <t>전년 같은 분기·전년 대비</t>
        </is>
      </c>
      <c r="G230" s="15">
        <f>IF(OR(G229="",C229=""),"",IF(C229&lt;=0,"",IFERROR(G229/C229-1,"")))</f>
        <v/>
      </c>
      <c r="H230" s="15">
        <f>IF(OR(H229="",D229=""),"",IF(D229&lt;=0,"",IFERROR(H229/D229-1,"")))</f>
        <v/>
      </c>
      <c r="I230" s="15">
        <f>IF(OR(I229="",E229=""),"",IF(E229&lt;=0,"",IFERROR(I229/E229-1,"")))</f>
        <v/>
      </c>
      <c r="J230" s="15">
        <f>IF(OR(J229="",F229=""),"",IF(F229&lt;=0,"",IFERROR(J229/F229-1,"")))</f>
        <v/>
      </c>
      <c r="K230" s="15">
        <f>IF(OR(K229="",G229=""),"",IF(G229&lt;=0,"",IFERROR(K229/G229-1,"")))</f>
        <v/>
      </c>
      <c r="L230" s="15">
        <f>IF(OR(L229="",H229=""),"",IF(H229&lt;=0,"",IFERROR(L229/H229-1,"")))</f>
        <v/>
      </c>
      <c r="M230" s="15">
        <f>IF(OR(M229="",I229=""),"",IF(I229&lt;=0,"",IFERROR(M229/I229-1,"")))</f>
        <v/>
      </c>
      <c r="N230" s="15">
        <f>IF(OR(N229="",J229=""),"",IF(J229&lt;=0,"",IFERROR(N229/J229-1,"")))</f>
        <v/>
      </c>
      <c r="V230" s="15">
        <f>IF(OR(V229="",U229=""),"",IF(U229&lt;=0,"",IFERROR(V229/U229-1,"")))</f>
        <v/>
      </c>
      <c r="W230" s="15">
        <f>IF(OR(W229="",V229=""),"",IF(V229&lt;=0,"",IFERROR(W229/V229-1,"")))</f>
        <v/>
      </c>
      <c r="X230" s="15">
        <f>IF(OR(X229="",W229=""),"",IF(W229&lt;=0,"",IFERROR(X229/W229-1,"")))</f>
        <v/>
      </c>
    </row>
    <row r="231">
      <c r="A231" s="18" t="inlineStr">
        <is>
          <t>정보·통신 · 계</t>
        </is>
      </c>
      <c r="C231" s="20" t="n">
        <v>60463</v>
      </c>
      <c r="E231" s="20" t="n">
        <v>77975</v>
      </c>
      <c r="F231" s="20" t="n">
        <v>77466</v>
      </c>
      <c r="G231" s="20" t="n">
        <v>80525</v>
      </c>
      <c r="I231" s="20" t="n">
        <v>82354</v>
      </c>
      <c r="J231" s="20" t="n">
        <v>86650</v>
      </c>
      <c r="K231" s="20" t="n">
        <v>93029</v>
      </c>
      <c r="M231" s="20" t="n">
        <v>100996</v>
      </c>
      <c r="N231" s="20" t="n">
        <v>106802</v>
      </c>
    </row>
    <row r="232">
      <c r="A232" s="43" t="inlineStr">
        <is>
          <t>YoY</t>
        </is>
      </c>
      <c r="B232" s="3" t="inlineStr">
        <is>
          <t>전년 같은 분기·전년 대비</t>
        </is>
      </c>
      <c r="G232" s="15">
        <f>IF(OR(G231="",C231=""),"",IF(C231&lt;=0,"",IFERROR(G231/C231-1,"")))</f>
        <v/>
      </c>
      <c r="I232" s="15">
        <f>IF(OR(I231="",E231=""),"",IF(E231&lt;=0,"",IFERROR(I231/E231-1,"")))</f>
        <v/>
      </c>
      <c r="J232" s="15">
        <f>IF(OR(J231="",F231=""),"",IF(F231&lt;=0,"",IFERROR(J231/F231-1,"")))</f>
        <v/>
      </c>
      <c r="K232" s="15">
        <f>IF(OR(K231="",G231=""),"",IF(G231&lt;=0,"",IFERROR(K231/G231-1,"")))</f>
        <v/>
      </c>
      <c r="M232" s="15">
        <f>IF(OR(M231="",I231=""),"",IF(I231&lt;=0,"",IFERROR(M231/I231-1,"")))</f>
        <v/>
      </c>
      <c r="N232" s="15">
        <f>IF(OR(N231="",J231=""),"",IF(J231&lt;=0,"",IFERROR(N231/J231-1,"")))</f>
        <v/>
      </c>
    </row>
    <row r="233">
      <c r="A233" s="18" t="inlineStr">
        <is>
          <t>기타 · 계</t>
        </is>
      </c>
      <c r="C233" s="20" t="n">
        <v>980</v>
      </c>
      <c r="E233" s="20" t="n">
        <v>961</v>
      </c>
      <c r="F233" s="20" t="n">
        <v>1015</v>
      </c>
      <c r="G233" s="20" t="n">
        <v>1030</v>
      </c>
      <c r="I233" s="20" t="n">
        <v>927</v>
      </c>
      <c r="J233" s="20" t="n">
        <v>1043</v>
      </c>
      <c r="K233" s="20" t="n">
        <v>348</v>
      </c>
      <c r="M233" s="20" t="n">
        <v>0</v>
      </c>
      <c r="N233" s="20" t="n">
        <v>0</v>
      </c>
    </row>
    <row r="234">
      <c r="A234" s="43" t="inlineStr">
        <is>
          <t>YoY</t>
        </is>
      </c>
      <c r="B234" s="3" t="inlineStr">
        <is>
          <t>전년 같은 분기·전년 대비</t>
        </is>
      </c>
      <c r="G234" s="15">
        <f>IF(OR(G233="",C233=""),"",IF(C233&lt;=0,"",IFERROR(G233/C233-1,"")))</f>
        <v/>
      </c>
      <c r="I234" s="15">
        <f>IF(OR(I233="",E233=""),"",IF(E233&lt;=0,"",IFERROR(I233/E233-1,"")))</f>
        <v/>
      </c>
      <c r="J234" s="15">
        <f>IF(OR(J233="",F233=""),"",IF(F233&lt;=0,"",IFERROR(J233/F233-1,"")))</f>
        <v/>
      </c>
      <c r="K234" s="15">
        <f>IF(OR(K233="",G233=""),"",IF(G233&lt;=0,"",IFERROR(K233/G233-1,"")))</f>
        <v/>
      </c>
      <c r="M234" s="15">
        <f>IF(OR(M233="",I233=""),"",IF(I233&lt;=0,"",IFERROR(M233/I233-1,"")))</f>
        <v/>
      </c>
      <c r="N234" s="15">
        <f>IF(OR(N233="",J233=""),"",IF(J233&lt;=0,"",IFERROR(N233/J233-1,"")))</f>
        <v/>
      </c>
    </row>
    <row r="235">
      <c r="A235" s="18" t="inlineStr">
        <is>
          <t>보고부문 합계 · 계</t>
        </is>
      </c>
      <c r="C235" s="20" t="n">
        <v>194957</v>
      </c>
      <c r="E235" s="20" t="n">
        <v>213897</v>
      </c>
      <c r="F235" s="20" t="n">
        <v>214764</v>
      </c>
      <c r="G235" s="20" t="n">
        <v>220963</v>
      </c>
      <c r="I235" s="20" t="n">
        <v>220516</v>
      </c>
      <c r="J235" s="20" t="n">
        <v>234596</v>
      </c>
      <c r="K235" s="20" t="n">
        <v>244878</v>
      </c>
      <c r="M235" s="20" t="n">
        <v>255788</v>
      </c>
      <c r="N235" s="20" t="n">
        <v>260174</v>
      </c>
    </row>
    <row r="236">
      <c r="A236" s="43" t="inlineStr">
        <is>
          <t>YoY</t>
        </is>
      </c>
      <c r="B236" s="3" t="inlineStr">
        <is>
          <t>전년 같은 분기·전년 대비</t>
        </is>
      </c>
      <c r="G236" s="15">
        <f>IF(OR(G235="",C235=""),"",IF(C235&lt;=0,"",IFERROR(G235/C235-1,"")))</f>
        <v/>
      </c>
      <c r="I236" s="15">
        <f>IF(OR(I235="",E235=""),"",IF(E235&lt;=0,"",IFERROR(I235/E235-1,"")))</f>
        <v/>
      </c>
      <c r="J236" s="15">
        <f>IF(OR(J235="",F235=""),"",IF(F235&lt;=0,"",IFERROR(J235/F235-1,"")))</f>
        <v/>
      </c>
      <c r="K236" s="15">
        <f>IF(OR(K235="",G235=""),"",IF(G235&lt;=0,"",IFERROR(K235/G235-1,"")))</f>
        <v/>
      </c>
      <c r="M236" s="15">
        <f>IF(OR(M235="",I235=""),"",IF(I235&lt;=0,"",IFERROR(M235/I235-1,"")))</f>
        <v/>
      </c>
      <c r="N236" s="15">
        <f>IF(OR(N235="",J235=""),"",IF(J235&lt;=0,"",IFERROR(N235/J235-1,"")))</f>
        <v/>
      </c>
    </row>
    <row r="237">
      <c r="A237" s="18" t="inlineStr">
        <is>
          <t>조정액 · 계</t>
        </is>
      </c>
      <c r="C237" s="20" t="n">
        <v>-159</v>
      </c>
      <c r="D237" s="20" t="n">
        <v>-193</v>
      </c>
      <c r="E237" s="20" t="n">
        <v>-124</v>
      </c>
      <c r="F237" s="20" t="n">
        <v>-107</v>
      </c>
      <c r="G237" s="20" t="n">
        <v>-117</v>
      </c>
      <c r="H237" s="20" t="n">
        <v>-135</v>
      </c>
      <c r="I237" s="20" t="n">
        <v>-111</v>
      </c>
      <c r="J237" s="20" t="n">
        <v>-102</v>
      </c>
      <c r="K237" s="20" t="n">
        <v>-158</v>
      </c>
      <c r="L237" s="20" t="n">
        <v>-92</v>
      </c>
      <c r="M237" s="20" t="n">
        <v>-46</v>
      </c>
      <c r="N237" s="20" t="n">
        <v>-21</v>
      </c>
      <c r="V237" s="20" t="n">
        <v>-193</v>
      </c>
      <c r="W237" s="20" t="n">
        <v>-135</v>
      </c>
      <c r="X237" s="20" t="n">
        <v>-92</v>
      </c>
    </row>
    <row r="238">
      <c r="A238" s="9" t="inlineStr">
        <is>
          <t>계</t>
        </is>
      </c>
      <c r="C238" s="12" t="n">
        <v>194798</v>
      </c>
      <c r="D238" s="12" t="n">
        <v>196823</v>
      </c>
      <c r="E238" s="12" t="n">
        <v>213773</v>
      </c>
      <c r="F238" s="12" t="n">
        <v>214657</v>
      </c>
      <c r="G238" s="12" t="n">
        <v>220846</v>
      </c>
      <c r="H238" s="12" t="n">
        <v>216756</v>
      </c>
      <c r="I238" s="12" t="n">
        <v>220406</v>
      </c>
      <c r="J238" s="12" t="n">
        <v>234493</v>
      </c>
      <c r="K238" s="12" t="n">
        <v>244720</v>
      </c>
      <c r="L238" s="12" t="n">
        <v>248130</v>
      </c>
      <c r="M238" s="12" t="n">
        <v>255742</v>
      </c>
      <c r="N238" s="12" t="n">
        <v>260153</v>
      </c>
      <c r="V238" s="12" t="n">
        <v>196823</v>
      </c>
      <c r="W238" s="12" t="n">
        <v>216756</v>
      </c>
      <c r="X238" s="12" t="n">
        <v>248130</v>
      </c>
    </row>
    <row r="239">
      <c r="A239" s="43" t="inlineStr">
        <is>
          <t>YoY</t>
        </is>
      </c>
      <c r="B239" s="3" t="inlineStr">
        <is>
          <t>전년 같은 분기·전년 대비</t>
        </is>
      </c>
      <c r="G239" s="15">
        <f>IF(OR(G238="",C238=""),"",IF(C238&lt;=0,"",IFERROR(G238/C238-1,"")))</f>
        <v/>
      </c>
      <c r="H239" s="15">
        <f>IF(OR(H238="",D238=""),"",IF(D238&lt;=0,"",IFERROR(H238/D238-1,"")))</f>
        <v/>
      </c>
      <c r="I239" s="15">
        <f>IF(OR(I238="",E238=""),"",IF(E238&lt;=0,"",IFERROR(I238/E238-1,"")))</f>
        <v/>
      </c>
      <c r="J239" s="15">
        <f>IF(OR(J238="",F238=""),"",IF(F238&lt;=0,"",IFERROR(J238/F238-1,"")))</f>
        <v/>
      </c>
      <c r="K239" s="15">
        <f>IF(OR(K238="",G238=""),"",IF(G238&lt;=0,"",IFERROR(K238/G238-1,"")))</f>
        <v/>
      </c>
      <c r="L239" s="15">
        <f>IF(OR(L238="",H238=""),"",IF(H238&lt;=0,"",IFERROR(L238/H238-1,"")))</f>
        <v/>
      </c>
      <c r="M239" s="15">
        <f>IF(OR(M238="",I238=""),"",IF(I238&lt;=0,"",IFERROR(M238/I238-1,"")))</f>
        <v/>
      </c>
      <c r="N239" s="15">
        <f>IF(OR(N238="",J238=""),"",IF(J238&lt;=0,"",IFERROR(N238/J238-1,"")))</f>
        <v/>
      </c>
      <c r="V239" s="15">
        <f>IF(OR(V238="",U238=""),"",IF(U238&lt;=0,"",IFERROR(V238/U238-1,"")))</f>
        <v/>
      </c>
      <c r="W239" s="15">
        <f>IF(OR(W238="",V238=""),"",IF(V238&lt;=0,"",IFERROR(W238/V238-1,"")))</f>
        <v/>
      </c>
      <c r="X239" s="15">
        <f>IF(OR(X238="",W238=""),"",IF(W238&lt;=0,"",IFERROR(X238/W238-1,"")))</f>
        <v/>
      </c>
    </row>
    <row r="240">
      <c r="A240" s="18" t="inlineStr">
        <is>
          <t>라이프케어 · 부문 이익(통상 영업활동 이익)</t>
        </is>
      </c>
      <c r="I240" s="20" t="n">
        <v>24257</v>
      </c>
      <c r="J240" s="20" t="n">
        <v>25894</v>
      </c>
      <c r="M240" s="20" t="n">
        <v>29984</v>
      </c>
      <c r="N240" s="20" t="n">
        <v>32585</v>
      </c>
    </row>
    <row r="241">
      <c r="A241" s="43" t="inlineStr">
        <is>
          <t>OPM</t>
        </is>
      </c>
      <c r="B241" s="3" t="inlineStr">
        <is>
          <t>영업이익 ÷ 매출</t>
        </is>
      </c>
      <c r="I241" s="15">
        <f>IF(OR(I240="",I229=""),"",IF(I229&lt;=0,"",IFERROR(I240/I229,"")))</f>
        <v/>
      </c>
      <c r="J241" s="15">
        <f>IF(OR(J240="",J229=""),"",IF(J229&lt;=0,"",IFERROR(J240/J229,"")))</f>
        <v/>
      </c>
      <c r="M241" s="15">
        <f>IF(OR(M240="",M229=""),"",IF(M229&lt;=0,"",IFERROR(M240/M229,"")))</f>
        <v/>
      </c>
      <c r="N241" s="15">
        <f>IF(OR(N240="",N229=""),"",IF(N229&lt;=0,"",IFERROR(N240/N229,"")))</f>
        <v/>
      </c>
    </row>
    <row r="242">
      <c r="A242" s="43" t="inlineStr">
        <is>
          <t>YoY</t>
        </is>
      </c>
      <c r="B242" s="3" t="inlineStr">
        <is>
          <t>전년 같은 분기·전년 대비</t>
        </is>
      </c>
      <c r="I242" s="15">
        <f>IF(OR(I240="",E240=""),"",IF(E240&lt;=0,"",IFERROR(I240/E240-1,"")))</f>
        <v/>
      </c>
      <c r="J242" s="15">
        <f>IF(OR(J240="",F240=""),"",IF(F240&lt;=0,"",IFERROR(J240/F240-1,"")))</f>
        <v/>
      </c>
      <c r="M242" s="15">
        <f>IF(OR(M240="",I240=""),"",IF(I240&lt;=0,"",IFERROR(M240/I240-1,"")))</f>
        <v/>
      </c>
      <c r="N242" s="15">
        <f>IF(OR(N240="",J240=""),"",IF(J240&lt;=0,"",IFERROR(N240/J240-1,"")))</f>
        <v/>
      </c>
    </row>
    <row r="243">
      <c r="A243" s="18" t="inlineStr">
        <is>
          <t>정보·통신 · 부문 이익(통상 영업활동 이익)</t>
        </is>
      </c>
      <c r="I243" s="20" t="n">
        <v>43530</v>
      </c>
      <c r="J243" s="20" t="n">
        <v>45974</v>
      </c>
      <c r="M243" s="20" t="n">
        <v>55615</v>
      </c>
      <c r="N243" s="20" t="n">
        <v>58836</v>
      </c>
    </row>
    <row r="244">
      <c r="A244" s="43" t="inlineStr">
        <is>
          <t>OPM</t>
        </is>
      </c>
      <c r="B244" s="3" t="inlineStr">
        <is>
          <t>영업이익 ÷ 매출</t>
        </is>
      </c>
      <c r="I244" s="15">
        <f>IF(OR(I243="",I231=""),"",IF(I231&lt;=0,"",IFERROR(I243/I231,"")))</f>
        <v/>
      </c>
      <c r="J244" s="15">
        <f>IF(OR(J243="",J231=""),"",IF(J231&lt;=0,"",IFERROR(J243/J231,"")))</f>
        <v/>
      </c>
      <c r="M244" s="15">
        <f>IF(OR(M243="",M231=""),"",IF(M231&lt;=0,"",IFERROR(M243/M231,"")))</f>
        <v/>
      </c>
      <c r="N244" s="15">
        <f>IF(OR(N243="",N231=""),"",IF(N231&lt;=0,"",IFERROR(N243/N231,"")))</f>
        <v/>
      </c>
    </row>
    <row r="245">
      <c r="A245" s="43" t="inlineStr">
        <is>
          <t>YoY</t>
        </is>
      </c>
      <c r="B245" s="3" t="inlineStr">
        <is>
          <t>전년 같은 분기·전년 대비</t>
        </is>
      </c>
      <c r="I245" s="15">
        <f>IF(OR(I243="",E243=""),"",IF(E243&lt;=0,"",IFERROR(I243/E243-1,"")))</f>
        <v/>
      </c>
      <c r="J245" s="15">
        <f>IF(OR(J243="",F243=""),"",IF(F243&lt;=0,"",IFERROR(J243/F243-1,"")))</f>
        <v/>
      </c>
      <c r="M245" s="15">
        <f>IF(OR(M243="",I243=""),"",IF(I243&lt;=0,"",IFERROR(M243/I243-1,"")))</f>
        <v/>
      </c>
      <c r="N245" s="15">
        <f>IF(OR(N243="",J243=""),"",IF(J243&lt;=0,"",IFERROR(N243/J243-1,"")))</f>
        <v/>
      </c>
    </row>
    <row r="246">
      <c r="A246" s="18" t="inlineStr">
        <is>
          <t>기타 · 부문 이익(통상 영업활동 이익)</t>
        </is>
      </c>
      <c r="I246" s="20" t="n">
        <v>71</v>
      </c>
      <c r="J246" s="20" t="n">
        <v>170</v>
      </c>
      <c r="M246" s="20" t="n">
        <v>0</v>
      </c>
      <c r="N246" s="20" t="n">
        <v>0</v>
      </c>
    </row>
    <row r="247">
      <c r="A247" s="43" t="inlineStr">
        <is>
          <t>OPM</t>
        </is>
      </c>
      <c r="B247" s="3" t="inlineStr">
        <is>
          <t>영업이익 ÷ 매출</t>
        </is>
      </c>
      <c r="I247" s="15">
        <f>IF(OR(I246="",I233=""),"",IF(I233&lt;=0,"",IFERROR(I246/I233,"")))</f>
        <v/>
      </c>
      <c r="J247" s="15">
        <f>IF(OR(J246="",J233=""),"",IF(J233&lt;=0,"",IFERROR(J246/J233,"")))</f>
        <v/>
      </c>
      <c r="M247" s="15">
        <f>IF(OR(M246="",M233=""),"",IF(M233&lt;=0,"",IFERROR(M246/M233,"")))</f>
        <v/>
      </c>
      <c r="N247" s="15">
        <f>IF(OR(N246="",N233=""),"",IF(N233&lt;=0,"",IFERROR(N246/N233,"")))</f>
        <v/>
      </c>
    </row>
    <row r="248">
      <c r="A248" s="43" t="inlineStr">
        <is>
          <t>YoY</t>
        </is>
      </c>
      <c r="B248" s="3" t="inlineStr">
        <is>
          <t>전년 같은 분기·전년 대비</t>
        </is>
      </c>
      <c r="I248" s="15">
        <f>IF(OR(I246="",E246=""),"",IF(E246&lt;=0,"",IFERROR(I246/E246-1,"")))</f>
        <v/>
      </c>
      <c r="J248" s="15">
        <f>IF(OR(J246="",F246=""),"",IF(F246&lt;=0,"",IFERROR(J246/F246-1,"")))</f>
        <v/>
      </c>
      <c r="M248" s="15">
        <f>IF(OR(M246="",I246=""),"",IF(I246&lt;=0,"",IFERROR(M246/I246-1,"")))</f>
        <v/>
      </c>
      <c r="N248" s="15">
        <f>IF(OR(N246="",J246=""),"",IF(J246&lt;=0,"",IFERROR(N246/J246-1,"")))</f>
        <v/>
      </c>
    </row>
    <row r="249">
      <c r="A249" s="18" t="inlineStr">
        <is>
          <t>보고부문 합계 · 부문 이익(통상 영업활동 이익)</t>
        </is>
      </c>
      <c r="I249" s="20" t="n">
        <v>67858</v>
      </c>
      <c r="J249" s="20" t="n">
        <v>72038</v>
      </c>
      <c r="M249" s="20" t="n">
        <v>85599</v>
      </c>
      <c r="N249" s="20" t="n">
        <v>91420</v>
      </c>
    </row>
    <row r="250">
      <c r="A250" s="43" t="inlineStr">
        <is>
          <t>OPM</t>
        </is>
      </c>
      <c r="B250" s="3" t="inlineStr">
        <is>
          <t>영업이익 ÷ 매출</t>
        </is>
      </c>
      <c r="I250" s="15">
        <f>IF(OR(I249="",I235=""),"",IF(I235&lt;=0,"",IFERROR(I249/I235,"")))</f>
        <v/>
      </c>
      <c r="J250" s="15">
        <f>IF(OR(J249="",J235=""),"",IF(J235&lt;=0,"",IFERROR(J249/J235,"")))</f>
        <v/>
      </c>
      <c r="M250" s="15">
        <f>IF(OR(M249="",M235=""),"",IF(M235&lt;=0,"",IFERROR(M249/M235,"")))</f>
        <v/>
      </c>
      <c r="N250" s="15">
        <f>IF(OR(N249="",N235=""),"",IF(N235&lt;=0,"",IFERROR(N249/N235,"")))</f>
        <v/>
      </c>
    </row>
    <row r="251">
      <c r="A251" s="43" t="inlineStr">
        <is>
          <t>YoY</t>
        </is>
      </c>
      <c r="B251" s="3" t="inlineStr">
        <is>
          <t>전년 같은 분기·전년 대비</t>
        </is>
      </c>
      <c r="I251" s="15">
        <f>IF(OR(I249="",E249=""),"",IF(E249&lt;=0,"",IFERROR(I249/E249-1,"")))</f>
        <v/>
      </c>
      <c r="J251" s="15">
        <f>IF(OR(J249="",F249=""),"",IF(F249&lt;=0,"",IFERROR(J249/F249-1,"")))</f>
        <v/>
      </c>
      <c r="M251" s="15">
        <f>IF(OR(M249="",I249=""),"",IF(I249&lt;=0,"",IFERROR(M249/I249-1,"")))</f>
        <v/>
      </c>
      <c r="N251" s="15">
        <f>IF(OR(N249="",J249=""),"",IF(J249&lt;=0,"",IFERROR(N249/J249-1,"")))</f>
        <v/>
      </c>
    </row>
    <row r="252">
      <c r="A252" s="18" t="inlineStr">
        <is>
          <t>조정액 · 부문 이익(통상 영업활동 이익)</t>
        </is>
      </c>
      <c r="I252" s="20" t="n">
        <v>-1668</v>
      </c>
      <c r="J252" s="20" t="n">
        <v>-1817</v>
      </c>
      <c r="M252" s="20" t="n">
        <v>-3231</v>
      </c>
      <c r="N252" s="20" t="n">
        <v>-2067</v>
      </c>
    </row>
    <row r="253">
      <c r="A253" s="18" t="inlineStr">
        <is>
          <t>부문 이익(통상 영업활동 이익)</t>
        </is>
      </c>
      <c r="I253" s="20" t="n">
        <v>66189</v>
      </c>
      <c r="J253" s="20" t="n">
        <v>70222</v>
      </c>
      <c r="M253" s="20" t="n">
        <v>82367</v>
      </c>
      <c r="N253" s="20" t="n">
        <v>89354</v>
      </c>
    </row>
    <row r="254">
      <c r="A254" s="18" t="inlineStr">
        <is>
          <t>라이프케어 · 외환차손익(영업)</t>
        </is>
      </c>
      <c r="I254" s="20" t="n">
        <v>-482</v>
      </c>
      <c r="J254" s="20" t="n">
        <v>97</v>
      </c>
      <c r="M254" s="20" t="n">
        <v>-138</v>
      </c>
      <c r="N254" s="20" t="n">
        <v>-292</v>
      </c>
    </row>
    <row r="255">
      <c r="A255" s="18" t="inlineStr">
        <is>
          <t>정보·통신 · 외환차손익(영업)</t>
        </is>
      </c>
      <c r="I255" s="20" t="n">
        <v>-463</v>
      </c>
      <c r="J255" s="20" t="n">
        <v>339</v>
      </c>
      <c r="M255" s="20" t="n">
        <v>-413</v>
      </c>
      <c r="N255" s="20" t="n">
        <v>-480</v>
      </c>
    </row>
    <row r="256">
      <c r="A256" s="18" t="inlineStr">
        <is>
          <t>기타 · 외환차손익(영업)</t>
        </is>
      </c>
      <c r="I256" s="20" t="n">
        <v>-6</v>
      </c>
      <c r="J256" s="20" t="n">
        <v>-10</v>
      </c>
      <c r="M256" s="20" t="n">
        <v>0</v>
      </c>
      <c r="N256" s="20" t="n">
        <v>0</v>
      </c>
    </row>
    <row r="257">
      <c r="A257" s="18" t="inlineStr">
        <is>
          <t>보고부문 합계 · 외환차손익(영업)</t>
        </is>
      </c>
      <c r="I257" s="20" t="n">
        <v>-952</v>
      </c>
      <c r="J257" s="20" t="n">
        <v>427</v>
      </c>
      <c r="M257" s="20" t="n">
        <v>-552</v>
      </c>
      <c r="N257" s="20" t="n">
        <v>-771</v>
      </c>
    </row>
    <row r="258">
      <c r="A258" s="18" t="inlineStr">
        <is>
          <t>조정액 · 외환차손익(영업)</t>
        </is>
      </c>
      <c r="I258" s="20" t="n">
        <v>50</v>
      </c>
      <c r="J258" s="20" t="n">
        <v>-673</v>
      </c>
      <c r="M258" s="20" t="n">
        <v>9</v>
      </c>
      <c r="N258" s="20" t="n">
        <v>1</v>
      </c>
    </row>
    <row r="259">
      <c r="A259" s="18" t="inlineStr">
        <is>
          <t>외환차손익(영업)</t>
        </is>
      </c>
      <c r="I259" s="20" t="n">
        <v>-901</v>
      </c>
      <c r="J259" s="20" t="n">
        <v>-247</v>
      </c>
      <c r="M259" s="20" t="n">
        <v>-543</v>
      </c>
      <c r="N259" s="20" t="n">
        <v>-769</v>
      </c>
    </row>
    <row r="260">
      <c r="A260" s="18" t="inlineStr">
        <is>
          <t>라이프케어 · 손상차손</t>
        </is>
      </c>
      <c r="I260" s="20" t="n">
        <v>1910</v>
      </c>
      <c r="J260" s="20" t="n">
        <v>179</v>
      </c>
      <c r="M260" s="20" t="n">
        <v>0</v>
      </c>
      <c r="N260" s="20" t="n">
        <v>0</v>
      </c>
    </row>
    <row r="261">
      <c r="A261" s="18" t="inlineStr">
        <is>
          <t>정보·통신 · 손상차손</t>
        </is>
      </c>
      <c r="I261" s="20" t="n">
        <v>0</v>
      </c>
      <c r="J261" s="20" t="n">
        <v>0</v>
      </c>
      <c r="M261" s="20" t="n">
        <v>0</v>
      </c>
      <c r="N261" s="20" t="n">
        <v>0</v>
      </c>
    </row>
    <row r="262">
      <c r="A262" s="18" t="inlineStr">
        <is>
          <t>기타 · 손상차손</t>
        </is>
      </c>
      <c r="I262" s="20" t="n">
        <v>0</v>
      </c>
      <c r="J262" s="20" t="n">
        <v>0</v>
      </c>
      <c r="M262" s="20" t="n">
        <v>0</v>
      </c>
      <c r="N262" s="20" t="n">
        <v>0</v>
      </c>
    </row>
    <row r="263">
      <c r="A263" s="18" t="inlineStr">
        <is>
          <t>보고부문 합계 · 손상차손</t>
        </is>
      </c>
      <c r="I263" s="20" t="n">
        <v>1910</v>
      </c>
      <c r="J263" s="20" t="n">
        <v>179</v>
      </c>
      <c r="M263" s="20" t="n">
        <v>0</v>
      </c>
      <c r="N263" s="20" t="n">
        <v>0</v>
      </c>
    </row>
    <row r="264">
      <c r="A264" s="18" t="inlineStr">
        <is>
          <t>조정액 · 손상차손</t>
        </is>
      </c>
      <c r="I264" s="20" t="n">
        <v>0</v>
      </c>
      <c r="J264" s="20" t="n">
        <v>0</v>
      </c>
      <c r="M264" s="20" t="n">
        <v>0</v>
      </c>
      <c r="N264" s="20" t="n">
        <v>0</v>
      </c>
    </row>
    <row r="265">
      <c r="A265" s="18" t="inlineStr">
        <is>
          <t>손상차손</t>
        </is>
      </c>
      <c r="I265" s="20" t="n">
        <v>1910</v>
      </c>
      <c r="J265" s="20" t="n">
        <v>179</v>
      </c>
      <c r="M265" s="20" t="n">
        <v>0</v>
      </c>
      <c r="N265" s="20" t="n">
        <v>0</v>
      </c>
    </row>
    <row r="266">
      <c r="A266" s="18" t="inlineStr">
        <is>
          <t>라이프케어 · 기타 비경상 손익</t>
        </is>
      </c>
      <c r="I266" s="20" t="n">
        <v>-134</v>
      </c>
      <c r="J266" s="20" t="n">
        <v>-1999</v>
      </c>
      <c r="M266" s="20" t="n">
        <v>1</v>
      </c>
      <c r="N266" s="20" t="n">
        <v>1781</v>
      </c>
    </row>
    <row r="267">
      <c r="A267" s="43" t="inlineStr">
        <is>
          <t>OPM</t>
        </is>
      </c>
      <c r="B267" s="3" t="inlineStr">
        <is>
          <t>영업이익 ÷ 매출</t>
        </is>
      </c>
      <c r="I267" s="15">
        <f>IF(OR(I266="",I229=""),"",IF(I229&lt;=0,"",IFERROR(I266/I229,"")))</f>
        <v/>
      </c>
      <c r="J267" s="15">
        <f>IF(OR(J266="",J229=""),"",IF(J229&lt;=0,"",IFERROR(J266/J229,"")))</f>
        <v/>
      </c>
      <c r="M267" s="15">
        <f>IF(OR(M266="",M229=""),"",IF(M229&lt;=0,"",IFERROR(M266/M229,"")))</f>
        <v/>
      </c>
      <c r="N267" s="15">
        <f>IF(OR(N266="",N229=""),"",IF(N229&lt;=0,"",IFERROR(N266/N229,"")))</f>
        <v/>
      </c>
    </row>
    <row r="268">
      <c r="A268" s="43" t="inlineStr">
        <is>
          <t>YoY</t>
        </is>
      </c>
      <c r="B268" s="3" t="inlineStr">
        <is>
          <t>전년 같은 분기·전년 대비</t>
        </is>
      </c>
      <c r="I268" s="15">
        <f>IF(OR(I266="",E266=""),"",IF(E266&lt;=0,"",IFERROR(I266/E266-1,"")))</f>
        <v/>
      </c>
      <c r="J268" s="15">
        <f>IF(OR(J266="",F266=""),"",IF(F266&lt;=0,"",IFERROR(J266/F266-1,"")))</f>
        <v/>
      </c>
      <c r="M268" s="15">
        <f>IF(OR(M266="",I266=""),"",IF(I266&lt;=0,"",IFERROR(M266/I266-1,"")))</f>
        <v/>
      </c>
      <c r="N268" s="15">
        <f>IF(OR(N266="",J266=""),"",IF(J266&lt;=0,"",IFERROR(N266/J266-1,"")))</f>
        <v/>
      </c>
    </row>
    <row r="269">
      <c r="A269" s="18" t="inlineStr">
        <is>
          <t>정보·통신 · 기타 비경상 손익</t>
        </is>
      </c>
      <c r="I269" s="20" t="n">
        <v>220</v>
      </c>
      <c r="J269" s="20" t="n">
        <v>319</v>
      </c>
      <c r="M269" s="20" t="n">
        <v>866</v>
      </c>
      <c r="N269" s="20" t="n">
        <v>555</v>
      </c>
    </row>
    <row r="270">
      <c r="A270" s="43" t="inlineStr">
        <is>
          <t>OPM</t>
        </is>
      </c>
      <c r="B270" s="3" t="inlineStr">
        <is>
          <t>영업이익 ÷ 매출</t>
        </is>
      </c>
      <c r="I270" s="15">
        <f>IF(OR(I269="",I231=""),"",IF(I231&lt;=0,"",IFERROR(I269/I231,"")))</f>
        <v/>
      </c>
      <c r="J270" s="15">
        <f>IF(OR(J269="",J231=""),"",IF(J231&lt;=0,"",IFERROR(J269/J231,"")))</f>
        <v/>
      </c>
      <c r="M270" s="15">
        <f>IF(OR(M269="",M231=""),"",IF(M231&lt;=0,"",IFERROR(M269/M231,"")))</f>
        <v/>
      </c>
      <c r="N270" s="15">
        <f>IF(OR(N269="",N231=""),"",IF(N231&lt;=0,"",IFERROR(N269/N231,"")))</f>
        <v/>
      </c>
    </row>
    <row r="271">
      <c r="A271" s="43" t="inlineStr">
        <is>
          <t>YoY</t>
        </is>
      </c>
      <c r="B271" s="3" t="inlineStr">
        <is>
          <t>전년 같은 분기·전년 대비</t>
        </is>
      </c>
      <c r="I271" s="15">
        <f>IF(OR(I269="",E269=""),"",IF(E269&lt;=0,"",IFERROR(I269/E269-1,"")))</f>
        <v/>
      </c>
      <c r="J271" s="15">
        <f>IF(OR(J269="",F269=""),"",IF(F269&lt;=0,"",IFERROR(J269/F269-1,"")))</f>
        <v/>
      </c>
      <c r="M271" s="15">
        <f>IF(OR(M269="",I269=""),"",IF(I269&lt;=0,"",IFERROR(M269/I269-1,"")))</f>
        <v/>
      </c>
      <c r="N271" s="15">
        <f>IF(OR(N269="",J269=""),"",IF(J269&lt;=0,"",IFERROR(N269/J269-1,"")))</f>
        <v/>
      </c>
    </row>
    <row r="272">
      <c r="A272" s="18" t="inlineStr">
        <is>
          <t>기타 · 기타 비경상 손익</t>
        </is>
      </c>
      <c r="I272" s="20" t="n">
        <v>0</v>
      </c>
      <c r="J272" s="20" t="n">
        <v>0</v>
      </c>
      <c r="M272" s="20" t="n">
        <v>0</v>
      </c>
      <c r="N272" s="20" t="n">
        <v>0</v>
      </c>
    </row>
    <row r="273">
      <c r="A273" s="43" t="inlineStr">
        <is>
          <t>OPM</t>
        </is>
      </c>
      <c r="B273" s="3" t="inlineStr">
        <is>
          <t>영업이익 ÷ 매출</t>
        </is>
      </c>
      <c r="I273" s="15">
        <f>IF(OR(I272="",I233=""),"",IF(I233&lt;=0,"",IFERROR(I272/I233,"")))</f>
        <v/>
      </c>
      <c r="J273" s="15">
        <f>IF(OR(J272="",J233=""),"",IF(J233&lt;=0,"",IFERROR(J272/J233,"")))</f>
        <v/>
      </c>
      <c r="M273" s="15">
        <f>IF(OR(M272="",M233=""),"",IF(M233&lt;=0,"",IFERROR(M272/M233,"")))</f>
        <v/>
      </c>
      <c r="N273" s="15">
        <f>IF(OR(N272="",N233=""),"",IF(N233&lt;=0,"",IFERROR(N272/N233,"")))</f>
        <v/>
      </c>
    </row>
    <row r="274">
      <c r="A274" s="43" t="inlineStr">
        <is>
          <t>YoY</t>
        </is>
      </c>
      <c r="B274" s="3" t="inlineStr">
        <is>
          <t>전년 같은 분기·전년 대비</t>
        </is>
      </c>
      <c r="I274" s="15">
        <f>IF(OR(I272="",E272=""),"",IF(E272&lt;=0,"",IFERROR(I272/E272-1,"")))</f>
        <v/>
      </c>
      <c r="J274" s="15">
        <f>IF(OR(J272="",F272=""),"",IF(F272&lt;=0,"",IFERROR(J272/F272-1,"")))</f>
        <v/>
      </c>
      <c r="M274" s="15">
        <f>IF(OR(M272="",I272=""),"",IF(I272&lt;=0,"",IFERROR(M272/I272-1,"")))</f>
        <v/>
      </c>
      <c r="N274" s="15">
        <f>IF(OR(N272="",J272=""),"",IF(J272&lt;=0,"",IFERROR(N272/J272-1,"")))</f>
        <v/>
      </c>
    </row>
    <row r="275">
      <c r="A275" s="18" t="inlineStr">
        <is>
          <t>보고부문 합계 · 기타 비경상 손익</t>
        </is>
      </c>
      <c r="I275" s="20" t="n">
        <v>85</v>
      </c>
      <c r="J275" s="20" t="n">
        <v>-1679</v>
      </c>
      <c r="M275" s="20" t="n">
        <v>867</v>
      </c>
      <c r="N275" s="20" t="n">
        <v>2335</v>
      </c>
    </row>
    <row r="276">
      <c r="A276" s="43" t="inlineStr">
        <is>
          <t>OPM</t>
        </is>
      </c>
      <c r="B276" s="3" t="inlineStr">
        <is>
          <t>영업이익 ÷ 매출</t>
        </is>
      </c>
      <c r="I276" s="15">
        <f>IF(OR(I275="",I235=""),"",IF(I235&lt;=0,"",IFERROR(I275/I235,"")))</f>
        <v/>
      </c>
      <c r="J276" s="15">
        <f>IF(OR(J275="",J235=""),"",IF(J235&lt;=0,"",IFERROR(J275/J235,"")))</f>
        <v/>
      </c>
      <c r="M276" s="15">
        <f>IF(OR(M275="",M235=""),"",IF(M235&lt;=0,"",IFERROR(M275/M235,"")))</f>
        <v/>
      </c>
      <c r="N276" s="15">
        <f>IF(OR(N275="",N235=""),"",IF(N235&lt;=0,"",IFERROR(N275/N235,"")))</f>
        <v/>
      </c>
    </row>
    <row r="277">
      <c r="A277" s="43" t="inlineStr">
        <is>
          <t>YoY</t>
        </is>
      </c>
      <c r="B277" s="3" t="inlineStr">
        <is>
          <t>전년 같은 분기·전년 대비</t>
        </is>
      </c>
      <c r="I277" s="15">
        <f>IF(OR(I275="",E275=""),"",IF(E275&lt;=0,"",IFERROR(I275/E275-1,"")))</f>
        <v/>
      </c>
      <c r="J277" s="15">
        <f>IF(OR(J275="",F275=""),"",IF(F275&lt;=0,"",IFERROR(J275/F275-1,"")))</f>
        <v/>
      </c>
      <c r="M277" s="15">
        <f>IF(OR(M275="",I275=""),"",IF(I275&lt;=0,"",IFERROR(M275/I275-1,"")))</f>
        <v/>
      </c>
      <c r="N277" s="15">
        <f>IF(OR(N275="",J275=""),"",IF(J275&lt;=0,"",IFERROR(N275/J275-1,"")))</f>
        <v/>
      </c>
    </row>
    <row r="278">
      <c r="A278" s="18" t="inlineStr">
        <is>
          <t>조정액 · 기타 비경상 손익</t>
        </is>
      </c>
      <c r="I278" s="20" t="n">
        <v>96</v>
      </c>
      <c r="J278" s="20" t="n">
        <v>67</v>
      </c>
      <c r="M278" s="20" t="n">
        <v>-65</v>
      </c>
      <c r="N278" s="20" t="n">
        <v>-116</v>
      </c>
    </row>
    <row r="279">
      <c r="A279" s="18" t="inlineStr">
        <is>
          <t>기타 비경상 손익</t>
        </is>
      </c>
      <c r="I279" s="20" t="n">
        <v>181</v>
      </c>
      <c r="J279" s="20" t="n">
        <v>-1612</v>
      </c>
      <c r="M279" s="20" t="n">
        <v>801</v>
      </c>
      <c r="N279" s="20" t="n">
        <v>2221</v>
      </c>
    </row>
    <row r="280">
      <c r="A280" s="18" t="inlineStr">
        <is>
          <t>라이프케어 · 영업이익</t>
        </is>
      </c>
      <c r="I280" s="20" t="n">
        <v>21730</v>
      </c>
      <c r="J280" s="20" t="n">
        <v>23814</v>
      </c>
      <c r="M280" s="20" t="n">
        <v>29846</v>
      </c>
      <c r="N280" s="20" t="n">
        <v>34074</v>
      </c>
    </row>
    <row r="281">
      <c r="A281" s="43" t="inlineStr">
        <is>
          <t>OPM</t>
        </is>
      </c>
      <c r="B281" s="3" t="inlineStr">
        <is>
          <t>영업이익 ÷ 매출</t>
        </is>
      </c>
      <c r="I281" s="15">
        <f>IF(OR(I280="",I229=""),"",IF(I229&lt;=0,"",IFERROR(I280/I229,"")))</f>
        <v/>
      </c>
      <c r="J281" s="15">
        <f>IF(OR(J280="",J229=""),"",IF(J229&lt;=0,"",IFERROR(J280/J229,"")))</f>
        <v/>
      </c>
      <c r="M281" s="15">
        <f>IF(OR(M280="",M229=""),"",IF(M229&lt;=0,"",IFERROR(M280/M229,"")))</f>
        <v/>
      </c>
      <c r="N281" s="15">
        <f>IF(OR(N280="",N229=""),"",IF(N229&lt;=0,"",IFERROR(N280/N229,"")))</f>
        <v/>
      </c>
    </row>
    <row r="282">
      <c r="A282" s="43" t="inlineStr">
        <is>
          <t>YoY</t>
        </is>
      </c>
      <c r="B282" s="3" t="inlineStr">
        <is>
          <t>전년 같은 분기·전년 대비</t>
        </is>
      </c>
      <c r="I282" s="15">
        <f>IF(OR(I280="",E280=""),"",IF(E280&lt;=0,"",IFERROR(I280/E280-1,"")))</f>
        <v/>
      </c>
      <c r="J282" s="15">
        <f>IF(OR(J280="",F280=""),"",IF(F280&lt;=0,"",IFERROR(J280/F280-1,"")))</f>
        <v/>
      </c>
      <c r="M282" s="15">
        <f>IF(OR(M280="",I280=""),"",IF(I280&lt;=0,"",IFERROR(M280/I280-1,"")))</f>
        <v/>
      </c>
      <c r="N282" s="15">
        <f>IF(OR(N280="",J280=""),"",IF(J280&lt;=0,"",IFERROR(N280/J280-1,"")))</f>
        <v/>
      </c>
    </row>
    <row r="283">
      <c r="A283" s="18" t="inlineStr">
        <is>
          <t>정보·통신 · 영업이익</t>
        </is>
      </c>
      <c r="I283" s="20" t="n">
        <v>43286</v>
      </c>
      <c r="J283" s="20" t="n">
        <v>46633</v>
      </c>
      <c r="M283" s="20" t="n">
        <v>56068</v>
      </c>
      <c r="N283" s="20" t="n">
        <v>58911</v>
      </c>
    </row>
    <row r="284">
      <c r="A284" s="43" t="inlineStr">
        <is>
          <t>OPM</t>
        </is>
      </c>
      <c r="B284" s="3" t="inlineStr">
        <is>
          <t>영업이익 ÷ 매출</t>
        </is>
      </c>
      <c r="I284" s="15">
        <f>IF(OR(I283="",I231=""),"",IF(I231&lt;=0,"",IFERROR(I283/I231,"")))</f>
        <v/>
      </c>
      <c r="J284" s="15">
        <f>IF(OR(J283="",J231=""),"",IF(J231&lt;=0,"",IFERROR(J283/J231,"")))</f>
        <v/>
      </c>
      <c r="M284" s="15">
        <f>IF(OR(M283="",M231=""),"",IF(M231&lt;=0,"",IFERROR(M283/M231,"")))</f>
        <v/>
      </c>
      <c r="N284" s="15">
        <f>IF(OR(N283="",N231=""),"",IF(N231&lt;=0,"",IFERROR(N283/N231,"")))</f>
        <v/>
      </c>
    </row>
    <row r="285">
      <c r="A285" s="43" t="inlineStr">
        <is>
          <t>YoY</t>
        </is>
      </c>
      <c r="B285" s="3" t="inlineStr">
        <is>
          <t>전년 같은 분기·전년 대비</t>
        </is>
      </c>
      <c r="I285" s="15">
        <f>IF(OR(I283="",E283=""),"",IF(E283&lt;=0,"",IFERROR(I283/E283-1,"")))</f>
        <v/>
      </c>
      <c r="J285" s="15">
        <f>IF(OR(J283="",F283=""),"",IF(F283&lt;=0,"",IFERROR(J283/F283-1,"")))</f>
        <v/>
      </c>
      <c r="M285" s="15">
        <f>IF(OR(M283="",I283=""),"",IF(I283&lt;=0,"",IFERROR(M283/I283-1,"")))</f>
        <v/>
      </c>
      <c r="N285" s="15">
        <f>IF(OR(N283="",J283=""),"",IF(J283&lt;=0,"",IFERROR(N283/J283-1,"")))</f>
        <v/>
      </c>
    </row>
    <row r="286">
      <c r="A286" s="18" t="inlineStr">
        <is>
          <t>기타 · 영업이익</t>
        </is>
      </c>
      <c r="I286" s="20" t="n">
        <v>64</v>
      </c>
      <c r="J286" s="20" t="n">
        <v>161</v>
      </c>
      <c r="M286" s="20" t="n">
        <v>0</v>
      </c>
      <c r="N286" s="20" t="n">
        <v>0</v>
      </c>
    </row>
    <row r="287">
      <c r="A287" s="43" t="inlineStr">
        <is>
          <t>OPM</t>
        </is>
      </c>
      <c r="B287" s="3" t="inlineStr">
        <is>
          <t>영업이익 ÷ 매출</t>
        </is>
      </c>
      <c r="I287" s="15">
        <f>IF(OR(I286="",I233=""),"",IF(I233&lt;=0,"",IFERROR(I286/I233,"")))</f>
        <v/>
      </c>
      <c r="J287" s="15">
        <f>IF(OR(J286="",J233=""),"",IF(J233&lt;=0,"",IFERROR(J286/J233,"")))</f>
        <v/>
      </c>
      <c r="M287" s="15">
        <f>IF(OR(M286="",M233=""),"",IF(M233&lt;=0,"",IFERROR(M286/M233,"")))</f>
        <v/>
      </c>
      <c r="N287" s="15">
        <f>IF(OR(N286="",N233=""),"",IF(N233&lt;=0,"",IFERROR(N286/N233,"")))</f>
        <v/>
      </c>
    </row>
    <row r="288">
      <c r="A288" s="43" t="inlineStr">
        <is>
          <t>YoY</t>
        </is>
      </c>
      <c r="B288" s="3" t="inlineStr">
        <is>
          <t>전년 같은 분기·전년 대비</t>
        </is>
      </c>
      <c r="I288" s="15">
        <f>IF(OR(I286="",E286=""),"",IF(E286&lt;=0,"",IFERROR(I286/E286-1,"")))</f>
        <v/>
      </c>
      <c r="J288" s="15">
        <f>IF(OR(J286="",F286=""),"",IF(F286&lt;=0,"",IFERROR(J286/F286-1,"")))</f>
        <v/>
      </c>
      <c r="M288" s="15">
        <f>IF(OR(M286="",I286=""),"",IF(I286&lt;=0,"",IFERROR(M286/I286-1,"")))</f>
        <v/>
      </c>
      <c r="N288" s="15">
        <f>IF(OR(N286="",J286=""),"",IF(J286&lt;=0,"",IFERROR(N286/J286-1,"")))</f>
        <v/>
      </c>
    </row>
    <row r="289">
      <c r="A289" s="18" t="inlineStr">
        <is>
          <t>보고부문 합계 · 영업이익</t>
        </is>
      </c>
      <c r="I289" s="20" t="n">
        <v>65081</v>
      </c>
      <c r="J289" s="20" t="n">
        <v>70607</v>
      </c>
      <c r="M289" s="20" t="n">
        <v>85914</v>
      </c>
      <c r="N289" s="20" t="n">
        <v>92985</v>
      </c>
    </row>
    <row r="290">
      <c r="A290" s="43" t="inlineStr">
        <is>
          <t>OPM</t>
        </is>
      </c>
      <c r="B290" s="3" t="inlineStr">
        <is>
          <t>영업이익 ÷ 매출</t>
        </is>
      </c>
      <c r="I290" s="15">
        <f>IF(OR(I289="",I235=""),"",IF(I235&lt;=0,"",IFERROR(I289/I235,"")))</f>
        <v/>
      </c>
      <c r="J290" s="15">
        <f>IF(OR(J289="",J235=""),"",IF(J235&lt;=0,"",IFERROR(J289/J235,"")))</f>
        <v/>
      </c>
      <c r="M290" s="15">
        <f>IF(OR(M289="",M235=""),"",IF(M235&lt;=0,"",IFERROR(M289/M235,"")))</f>
        <v/>
      </c>
      <c r="N290" s="15">
        <f>IF(OR(N289="",N235=""),"",IF(N235&lt;=0,"",IFERROR(N289/N235,"")))</f>
        <v/>
      </c>
    </row>
    <row r="291">
      <c r="A291" s="43" t="inlineStr">
        <is>
          <t>YoY</t>
        </is>
      </c>
      <c r="B291" s="3" t="inlineStr">
        <is>
          <t>전년 같은 분기·전년 대비</t>
        </is>
      </c>
      <c r="I291" s="15">
        <f>IF(OR(I289="",E289=""),"",IF(E289&lt;=0,"",IFERROR(I289/E289-1,"")))</f>
        <v/>
      </c>
      <c r="J291" s="15">
        <f>IF(OR(J289="",F289=""),"",IF(F289&lt;=0,"",IFERROR(J289/F289-1,"")))</f>
        <v/>
      </c>
      <c r="M291" s="15">
        <f>IF(OR(M289="",I289=""),"",IF(I289&lt;=0,"",IFERROR(M289/I289-1,"")))</f>
        <v/>
      </c>
      <c r="N291" s="15">
        <f>IF(OR(N289="",J289=""),"",IF(J289&lt;=0,"",IFERROR(N289/J289-1,"")))</f>
        <v/>
      </c>
    </row>
    <row r="292">
      <c r="A292" s="18" t="inlineStr">
        <is>
          <t>조정액 · 영업이익</t>
        </is>
      </c>
      <c r="I292" s="20" t="n">
        <v>-1522</v>
      </c>
      <c r="J292" s="20" t="n">
        <v>-2422</v>
      </c>
      <c r="M292" s="20" t="n">
        <v>-3288</v>
      </c>
      <c r="N292" s="20" t="n">
        <v>-2180</v>
      </c>
    </row>
    <row r="293">
      <c r="A293" s="18" t="inlineStr">
        <is>
          <t>영업이익</t>
        </is>
      </c>
      <c r="I293" s="20" t="n">
        <v>63559</v>
      </c>
      <c r="J293" s="20" t="n">
        <v>68185</v>
      </c>
      <c r="M293" s="20" t="n">
        <v>82626</v>
      </c>
      <c r="N293" s="20" t="n">
        <v>90805</v>
      </c>
    </row>
    <row r="294">
      <c r="A294" s="43" t="inlineStr">
        <is>
          <t>OPM</t>
        </is>
      </c>
      <c r="B294" s="3" t="inlineStr">
        <is>
          <t>영업이익 ÷ 매출</t>
        </is>
      </c>
      <c r="I294" s="15">
        <f>IF(OR(I293="",I221=""),"",IF(I221&lt;=0,"",IFERROR(I293/I221,"")))</f>
        <v/>
      </c>
      <c r="J294" s="15">
        <f>IF(OR(J293="",J221=""),"",IF(J221&lt;=0,"",IFERROR(J293/J221,"")))</f>
        <v/>
      </c>
      <c r="M294" s="15">
        <f>IF(OR(M293="",M221=""),"",IF(M221&lt;=0,"",IFERROR(M293/M221,"")))</f>
        <v/>
      </c>
      <c r="N294" s="15">
        <f>IF(OR(N293="",N221=""),"",IF(N221&lt;=0,"",IFERROR(N293/N221,"")))</f>
        <v/>
      </c>
    </row>
    <row r="295">
      <c r="A295" s="43" t="inlineStr">
        <is>
          <t>YoY</t>
        </is>
      </c>
      <c r="B295" s="3" t="inlineStr">
        <is>
          <t>전년 같은 분기·전년 대비</t>
        </is>
      </c>
      <c r="I295" s="15">
        <f>IF(OR(I293="",E293=""),"",IF(E293&lt;=0,"",IFERROR(I293/E293-1,"")))</f>
        <v/>
      </c>
      <c r="J295" s="15">
        <f>IF(OR(J293="",F293=""),"",IF(F293&lt;=0,"",IFERROR(J293/F293-1,"")))</f>
        <v/>
      </c>
      <c r="M295" s="15">
        <f>IF(OR(M293="",I293=""),"",IF(I293&lt;=0,"",IFERROR(M293/I293-1,"")))</f>
        <v/>
      </c>
      <c r="N295" s="15">
        <f>IF(OR(N293="",J293=""),"",IF(J293&lt;=0,"",IFERROR(N293/J293-1,"")))</f>
        <v/>
      </c>
    </row>
    <row r="296">
      <c r="A296" s="18" t="inlineStr">
        <is>
          <t>라이프케어 · 지분법 손익</t>
        </is>
      </c>
      <c r="I296" s="20" t="n">
        <v>0</v>
      </c>
      <c r="J296" s="20" t="n">
        <v>0</v>
      </c>
      <c r="M296" s="20" t="n">
        <v>0</v>
      </c>
      <c r="N296" s="20" t="n">
        <v>0</v>
      </c>
    </row>
    <row r="297">
      <c r="A297" s="43" t="inlineStr">
        <is>
          <t>OPM</t>
        </is>
      </c>
      <c r="B297" s="3" t="inlineStr">
        <is>
          <t>영업이익 ÷ 매출</t>
        </is>
      </c>
      <c r="I297" s="15">
        <f>IF(OR(I296="",I229=""),"",IF(I229&lt;=0,"",IFERROR(I296/I229,"")))</f>
        <v/>
      </c>
      <c r="J297" s="15">
        <f>IF(OR(J296="",J229=""),"",IF(J229&lt;=0,"",IFERROR(J296/J229,"")))</f>
        <v/>
      </c>
      <c r="M297" s="15">
        <f>IF(OR(M296="",M229=""),"",IF(M229&lt;=0,"",IFERROR(M296/M229,"")))</f>
        <v/>
      </c>
      <c r="N297" s="15">
        <f>IF(OR(N296="",N229=""),"",IF(N229&lt;=0,"",IFERROR(N296/N229,"")))</f>
        <v/>
      </c>
    </row>
    <row r="298">
      <c r="A298" s="43" t="inlineStr">
        <is>
          <t>YoY</t>
        </is>
      </c>
      <c r="B298" s="3" t="inlineStr">
        <is>
          <t>전년 같은 분기·전년 대비</t>
        </is>
      </c>
      <c r="I298" s="15">
        <f>IF(OR(I296="",E296=""),"",IF(E296&lt;=0,"",IFERROR(I296/E296-1,"")))</f>
        <v/>
      </c>
      <c r="J298" s="15">
        <f>IF(OR(J296="",F296=""),"",IF(F296&lt;=0,"",IFERROR(J296/F296-1,"")))</f>
        <v/>
      </c>
      <c r="M298" s="15">
        <f>IF(OR(M296="",I296=""),"",IF(I296&lt;=0,"",IFERROR(M296/I296-1,"")))</f>
        <v/>
      </c>
      <c r="N298" s="15">
        <f>IF(OR(N296="",J296=""),"",IF(J296&lt;=0,"",IFERROR(N296/J296-1,"")))</f>
        <v/>
      </c>
    </row>
    <row r="299">
      <c r="A299" s="18" t="inlineStr">
        <is>
          <t>정보·통신 · 지분법 손익</t>
        </is>
      </c>
      <c r="I299" s="20" t="n">
        <v>0</v>
      </c>
      <c r="J299" s="20" t="n">
        <v>0</v>
      </c>
      <c r="M299" s="20" t="n">
        <v>0</v>
      </c>
      <c r="N299" s="20" t="n">
        <v>0</v>
      </c>
    </row>
    <row r="300">
      <c r="A300" s="43" t="inlineStr">
        <is>
          <t>OPM</t>
        </is>
      </c>
      <c r="B300" s="3" t="inlineStr">
        <is>
          <t>영업이익 ÷ 매출</t>
        </is>
      </c>
      <c r="I300" s="15">
        <f>IF(OR(I299="",I231=""),"",IF(I231&lt;=0,"",IFERROR(I299/I231,"")))</f>
        <v/>
      </c>
      <c r="J300" s="15">
        <f>IF(OR(J299="",J231=""),"",IF(J231&lt;=0,"",IFERROR(J299/J231,"")))</f>
        <v/>
      </c>
      <c r="M300" s="15">
        <f>IF(OR(M299="",M231=""),"",IF(M231&lt;=0,"",IFERROR(M299/M231,"")))</f>
        <v/>
      </c>
      <c r="N300" s="15">
        <f>IF(OR(N299="",N231=""),"",IF(N231&lt;=0,"",IFERROR(N299/N231,"")))</f>
        <v/>
      </c>
    </row>
    <row r="301">
      <c r="A301" s="43" t="inlineStr">
        <is>
          <t>YoY</t>
        </is>
      </c>
      <c r="B301" s="3" t="inlineStr">
        <is>
          <t>전년 같은 분기·전년 대비</t>
        </is>
      </c>
      <c r="I301" s="15">
        <f>IF(OR(I299="",E299=""),"",IF(E299&lt;=0,"",IFERROR(I299/E299-1,"")))</f>
        <v/>
      </c>
      <c r="J301" s="15">
        <f>IF(OR(J299="",F299=""),"",IF(F299&lt;=0,"",IFERROR(J299/F299-1,"")))</f>
        <v/>
      </c>
      <c r="M301" s="15">
        <f>IF(OR(M299="",I299=""),"",IF(I299&lt;=0,"",IFERROR(M299/I299-1,"")))</f>
        <v/>
      </c>
      <c r="N301" s="15">
        <f>IF(OR(N299="",J299=""),"",IF(J299&lt;=0,"",IFERROR(N299/J299-1,"")))</f>
        <v/>
      </c>
    </row>
    <row r="302">
      <c r="A302" s="18" t="inlineStr">
        <is>
          <t>기타 · 지분법 손익</t>
        </is>
      </c>
      <c r="I302" s="20" t="n">
        <v>0</v>
      </c>
      <c r="J302" s="20" t="n">
        <v>0</v>
      </c>
      <c r="M302" s="20" t="n">
        <v>0</v>
      </c>
      <c r="N302" s="20" t="n">
        <v>0</v>
      </c>
    </row>
    <row r="303">
      <c r="A303" s="43" t="inlineStr">
        <is>
          <t>OPM</t>
        </is>
      </c>
      <c r="B303" s="3" t="inlineStr">
        <is>
          <t>영업이익 ÷ 매출</t>
        </is>
      </c>
      <c r="I303" s="15">
        <f>IF(OR(I302="",I233=""),"",IF(I233&lt;=0,"",IFERROR(I302/I233,"")))</f>
        <v/>
      </c>
      <c r="J303" s="15">
        <f>IF(OR(J302="",J233=""),"",IF(J233&lt;=0,"",IFERROR(J302/J233,"")))</f>
        <v/>
      </c>
      <c r="M303" s="15">
        <f>IF(OR(M302="",M233=""),"",IF(M233&lt;=0,"",IFERROR(M302/M233,"")))</f>
        <v/>
      </c>
      <c r="N303" s="15">
        <f>IF(OR(N302="",N233=""),"",IF(N233&lt;=0,"",IFERROR(N302/N233,"")))</f>
        <v/>
      </c>
    </row>
    <row r="304">
      <c r="A304" s="43" t="inlineStr">
        <is>
          <t>YoY</t>
        </is>
      </c>
      <c r="B304" s="3" t="inlineStr">
        <is>
          <t>전년 같은 분기·전년 대비</t>
        </is>
      </c>
      <c r="I304" s="15">
        <f>IF(OR(I302="",E302=""),"",IF(E302&lt;=0,"",IFERROR(I302/E302-1,"")))</f>
        <v/>
      </c>
      <c r="J304" s="15">
        <f>IF(OR(J302="",F302=""),"",IF(F302&lt;=0,"",IFERROR(J302/F302-1,"")))</f>
        <v/>
      </c>
      <c r="M304" s="15">
        <f>IF(OR(M302="",I302=""),"",IF(I302&lt;=0,"",IFERROR(M302/I302-1,"")))</f>
        <v/>
      </c>
      <c r="N304" s="15">
        <f>IF(OR(N302="",J302=""),"",IF(J302&lt;=0,"",IFERROR(N302/J302-1,"")))</f>
        <v/>
      </c>
    </row>
    <row r="305">
      <c r="A305" s="18" t="inlineStr">
        <is>
          <t>보고부문 합계 · 지분법 손익</t>
        </is>
      </c>
      <c r="I305" s="20" t="n">
        <v>0</v>
      </c>
      <c r="J305" s="20" t="n">
        <v>0</v>
      </c>
      <c r="M305" s="20" t="n">
        <v>0</v>
      </c>
      <c r="N305" s="20" t="n">
        <v>0</v>
      </c>
    </row>
    <row r="306">
      <c r="A306" s="43" t="inlineStr">
        <is>
          <t>OPM</t>
        </is>
      </c>
      <c r="B306" s="3" t="inlineStr">
        <is>
          <t>영업이익 ÷ 매출</t>
        </is>
      </c>
      <c r="I306" s="15">
        <f>IF(OR(I305="",I235=""),"",IF(I235&lt;=0,"",IFERROR(I305/I235,"")))</f>
        <v/>
      </c>
      <c r="J306" s="15">
        <f>IF(OR(J305="",J235=""),"",IF(J235&lt;=0,"",IFERROR(J305/J235,"")))</f>
        <v/>
      </c>
      <c r="M306" s="15">
        <f>IF(OR(M305="",M235=""),"",IF(M235&lt;=0,"",IFERROR(M305/M235,"")))</f>
        <v/>
      </c>
      <c r="N306" s="15">
        <f>IF(OR(N305="",N235=""),"",IF(N235&lt;=0,"",IFERROR(N305/N235,"")))</f>
        <v/>
      </c>
    </row>
    <row r="307">
      <c r="A307" s="43" t="inlineStr">
        <is>
          <t>YoY</t>
        </is>
      </c>
      <c r="B307" s="3" t="inlineStr">
        <is>
          <t>전년 같은 분기·전년 대비</t>
        </is>
      </c>
      <c r="I307" s="15">
        <f>IF(OR(I305="",E305=""),"",IF(E305&lt;=0,"",IFERROR(I305/E305-1,"")))</f>
        <v/>
      </c>
      <c r="J307" s="15">
        <f>IF(OR(J305="",F305=""),"",IF(F305&lt;=0,"",IFERROR(J305/F305-1,"")))</f>
        <v/>
      </c>
      <c r="M307" s="15">
        <f>IF(OR(M305="",I305=""),"",IF(I305&lt;=0,"",IFERROR(M305/I305-1,"")))</f>
        <v/>
      </c>
      <c r="N307" s="15">
        <f>IF(OR(N305="",J305=""),"",IF(J305&lt;=0,"",IFERROR(N305/J305-1,"")))</f>
        <v/>
      </c>
    </row>
    <row r="308">
      <c r="A308" s="18" t="inlineStr">
        <is>
          <t>조정액 · 지분법 손익</t>
        </is>
      </c>
      <c r="I308" s="20" t="n">
        <v>0</v>
      </c>
      <c r="J308" s="20" t="n">
        <v>0</v>
      </c>
      <c r="M308" s="20" t="n">
        <v>0</v>
      </c>
      <c r="N308" s="20" t="n">
        <v>0</v>
      </c>
    </row>
    <row r="309">
      <c r="A309" s="18" t="inlineStr">
        <is>
          <t>지분법 손익</t>
        </is>
      </c>
      <c r="I309" s="20" t="n">
        <v>119</v>
      </c>
      <c r="J309" s="20" t="n">
        <v>134</v>
      </c>
      <c r="M309" s="20" t="n">
        <v>238</v>
      </c>
      <c r="N309" s="20" t="n">
        <v>123</v>
      </c>
    </row>
    <row r="310">
      <c r="A310" s="18" t="inlineStr">
        <is>
          <t>라이프케어 · 이자수익</t>
        </is>
      </c>
      <c r="I310" s="20" t="n">
        <v>0</v>
      </c>
      <c r="J310" s="20" t="n">
        <v>0</v>
      </c>
      <c r="M310" s="20" t="n">
        <v>0</v>
      </c>
      <c r="N310" s="20" t="n">
        <v>0</v>
      </c>
    </row>
    <row r="311">
      <c r="A311" s="18" t="inlineStr">
        <is>
          <t>정보·통신 · 이자수익</t>
        </is>
      </c>
      <c r="I311" s="20" t="n">
        <v>0</v>
      </c>
      <c r="J311" s="20" t="n">
        <v>0</v>
      </c>
      <c r="M311" s="20" t="n">
        <v>0</v>
      </c>
      <c r="N311" s="20" t="n">
        <v>0</v>
      </c>
    </row>
    <row r="312">
      <c r="A312" s="18" t="inlineStr">
        <is>
          <t>기타 · 이자수익</t>
        </is>
      </c>
      <c r="I312" s="20" t="n">
        <v>0</v>
      </c>
      <c r="J312" s="20" t="n">
        <v>0</v>
      </c>
      <c r="M312" s="20" t="n">
        <v>0</v>
      </c>
      <c r="N312" s="20" t="n">
        <v>0</v>
      </c>
    </row>
    <row r="313">
      <c r="A313" s="18" t="inlineStr">
        <is>
          <t>보고부문 합계 · 이자수익</t>
        </is>
      </c>
      <c r="I313" s="20" t="n">
        <v>0</v>
      </c>
      <c r="J313" s="20" t="n">
        <v>0</v>
      </c>
      <c r="M313" s="20" t="n">
        <v>0</v>
      </c>
      <c r="N313" s="20" t="n">
        <v>0</v>
      </c>
    </row>
    <row r="314">
      <c r="A314" s="18" t="inlineStr">
        <is>
          <t>조정액 · 이자수익</t>
        </is>
      </c>
      <c r="I314" s="20" t="n">
        <v>0</v>
      </c>
      <c r="J314" s="20" t="n">
        <v>0</v>
      </c>
      <c r="M314" s="20" t="n">
        <v>0</v>
      </c>
      <c r="N314" s="20" t="n">
        <v>0</v>
      </c>
    </row>
    <row r="315">
      <c r="A315" s="18" t="inlineStr">
        <is>
          <t>이자수익</t>
        </is>
      </c>
      <c r="I315" s="20" t="n">
        <v>3416</v>
      </c>
      <c r="J315" s="20" t="n">
        <v>3340</v>
      </c>
      <c r="M315" s="20" t="n">
        <v>2760</v>
      </c>
      <c r="N315" s="20" t="n">
        <v>2571</v>
      </c>
    </row>
    <row r="316">
      <c r="A316" s="18" t="inlineStr">
        <is>
          <t>라이프케어 · 배당수익</t>
        </is>
      </c>
      <c r="I316" s="20" t="n">
        <v>0</v>
      </c>
      <c r="J316" s="20" t="n">
        <v>0</v>
      </c>
      <c r="M316" s="20" t="n">
        <v>0</v>
      </c>
      <c r="N316" s="20" t="n">
        <v>0</v>
      </c>
    </row>
    <row r="317">
      <c r="A317" s="18" t="inlineStr">
        <is>
          <t>정보·통신 · 배당수익</t>
        </is>
      </c>
      <c r="I317" s="20" t="n">
        <v>0</v>
      </c>
      <c r="J317" s="20" t="n">
        <v>0</v>
      </c>
      <c r="M317" s="20" t="n">
        <v>0</v>
      </c>
      <c r="N317" s="20" t="n">
        <v>0</v>
      </c>
    </row>
    <row r="318">
      <c r="A318" s="18" t="inlineStr">
        <is>
          <t>기타 · 배당수익</t>
        </is>
      </c>
      <c r="I318" s="20" t="n">
        <v>0</v>
      </c>
      <c r="J318" s="20" t="n">
        <v>0</v>
      </c>
      <c r="M318" s="20" t="n">
        <v>0</v>
      </c>
      <c r="N318" s="20" t="n">
        <v>0</v>
      </c>
    </row>
    <row r="319">
      <c r="A319" s="18" t="inlineStr">
        <is>
          <t>보고부문 합계 · 배당수익</t>
        </is>
      </c>
      <c r="I319" s="20" t="n">
        <v>0</v>
      </c>
      <c r="J319" s="20" t="n">
        <v>0</v>
      </c>
      <c r="M319" s="20" t="n">
        <v>0</v>
      </c>
      <c r="N319" s="20" t="n">
        <v>0</v>
      </c>
    </row>
    <row r="320">
      <c r="A320" s="18" t="inlineStr">
        <is>
          <t>조정액 · 배당수익</t>
        </is>
      </c>
      <c r="I320" s="20" t="n">
        <v>0</v>
      </c>
      <c r="J320" s="20" t="n">
        <v>0</v>
      </c>
      <c r="M320" s="20" t="n">
        <v>0</v>
      </c>
      <c r="N320" s="20" t="n">
        <v>0</v>
      </c>
    </row>
    <row r="321">
      <c r="A321" s="18" t="inlineStr">
        <is>
          <t>배당수익</t>
        </is>
      </c>
      <c r="I321" s="20" t="n">
        <v>146</v>
      </c>
      <c r="J321" s="20" t="n">
        <v>1</v>
      </c>
      <c r="M321" s="20" t="n">
        <v>15</v>
      </c>
      <c r="N321" s="20" t="n">
        <v>1</v>
      </c>
    </row>
    <row r="322">
      <c r="A322" s="18" t="inlineStr">
        <is>
          <t>라이프케어 · 외환차손익(투자)</t>
        </is>
      </c>
      <c r="I322" s="20" t="n">
        <v>0</v>
      </c>
      <c r="J322" s="20" t="n">
        <v>0</v>
      </c>
      <c r="M322" s="20" t="n">
        <v>0</v>
      </c>
      <c r="N322" s="20" t="n">
        <v>0</v>
      </c>
    </row>
    <row r="323">
      <c r="A323" s="18" t="inlineStr">
        <is>
          <t>정보·통신 · 외환차손익(투자)</t>
        </is>
      </c>
      <c r="I323" s="20" t="n">
        <v>0</v>
      </c>
      <c r="J323" s="20" t="n">
        <v>0</v>
      </c>
      <c r="M323" s="20" t="n">
        <v>0</v>
      </c>
      <c r="N323" s="20" t="n">
        <v>0</v>
      </c>
    </row>
    <row r="324">
      <c r="A324" s="18" t="inlineStr">
        <is>
          <t>기타 · 외환차손익(투자)</t>
        </is>
      </c>
      <c r="I324" s="20" t="n">
        <v>0</v>
      </c>
      <c r="J324" s="20" t="n">
        <v>0</v>
      </c>
      <c r="M324" s="20" t="n">
        <v>0</v>
      </c>
      <c r="N324" s="20" t="n">
        <v>0</v>
      </c>
    </row>
    <row r="325">
      <c r="A325" s="18" t="inlineStr">
        <is>
          <t>보고부문 합계 · 외환차손익(투자)</t>
        </is>
      </c>
      <c r="I325" s="20" t="n">
        <v>0</v>
      </c>
      <c r="J325" s="20" t="n">
        <v>0</v>
      </c>
      <c r="M325" s="20" t="n">
        <v>0</v>
      </c>
      <c r="N325" s="20" t="n">
        <v>0</v>
      </c>
    </row>
    <row r="326">
      <c r="A326" s="18" t="inlineStr">
        <is>
          <t>조정액 · 외환차손익(투자)</t>
        </is>
      </c>
      <c r="I326" s="20" t="n">
        <v>0</v>
      </c>
      <c r="J326" s="20" t="n">
        <v>0</v>
      </c>
      <c r="M326" s="20" t="n">
        <v>0</v>
      </c>
      <c r="N326" s="20" t="n">
        <v>0</v>
      </c>
    </row>
    <row r="327">
      <c r="A327" s="18" t="inlineStr">
        <is>
          <t>외환차손익(투자)</t>
        </is>
      </c>
      <c r="I327" s="20" t="n">
        <v>730</v>
      </c>
      <c r="J327" s="20" t="n">
        <v>654</v>
      </c>
      <c r="M327" s="20" t="n">
        <v>544</v>
      </c>
      <c r="N327" s="20" t="n">
        <v>-1359</v>
      </c>
    </row>
    <row r="328">
      <c r="A328" s="18" t="inlineStr">
        <is>
          <t>라이프케어 · 금융·법인세 차감 전 중간이익</t>
        </is>
      </c>
      <c r="I328" s="20" t="n">
        <v>0</v>
      </c>
      <c r="J328" s="20" t="n">
        <v>0</v>
      </c>
      <c r="M328" s="20" t="n">
        <v>0</v>
      </c>
      <c r="N328" s="20" t="n">
        <v>0</v>
      </c>
    </row>
    <row r="329">
      <c r="A329" s="43" t="inlineStr">
        <is>
          <t>OPM</t>
        </is>
      </c>
      <c r="B329" s="3" t="inlineStr">
        <is>
          <t>영업이익 ÷ 매출</t>
        </is>
      </c>
      <c r="I329" s="15">
        <f>IF(OR(I328="",I229=""),"",IF(I229&lt;=0,"",IFERROR(I328/I229,"")))</f>
        <v/>
      </c>
      <c r="J329" s="15">
        <f>IF(OR(J328="",J229=""),"",IF(J229&lt;=0,"",IFERROR(J328/J229,"")))</f>
        <v/>
      </c>
      <c r="M329" s="15">
        <f>IF(OR(M328="",M229=""),"",IF(M229&lt;=0,"",IFERROR(M328/M229,"")))</f>
        <v/>
      </c>
      <c r="N329" s="15">
        <f>IF(OR(N328="",N229=""),"",IF(N229&lt;=0,"",IFERROR(N328/N229,"")))</f>
        <v/>
      </c>
    </row>
    <row r="330">
      <c r="A330" s="43" t="inlineStr">
        <is>
          <t>YoY</t>
        </is>
      </c>
      <c r="B330" s="3" t="inlineStr">
        <is>
          <t>전년 같은 분기·전년 대비</t>
        </is>
      </c>
      <c r="I330" s="15">
        <f>IF(OR(I328="",E328=""),"",IF(E328&lt;=0,"",IFERROR(I328/E328-1,"")))</f>
        <v/>
      </c>
      <c r="J330" s="15">
        <f>IF(OR(J328="",F328=""),"",IF(F328&lt;=0,"",IFERROR(J328/F328-1,"")))</f>
        <v/>
      </c>
      <c r="M330" s="15">
        <f>IF(OR(M328="",I328=""),"",IF(I328&lt;=0,"",IFERROR(M328/I328-1,"")))</f>
        <v/>
      </c>
      <c r="N330" s="15">
        <f>IF(OR(N328="",J328=""),"",IF(J328&lt;=0,"",IFERROR(N328/J328-1,"")))</f>
        <v/>
      </c>
    </row>
    <row r="331">
      <c r="A331" s="18" t="inlineStr">
        <is>
          <t>정보·통신 · 금융·법인세 차감 전 중간이익</t>
        </is>
      </c>
      <c r="I331" s="20" t="n">
        <v>0</v>
      </c>
      <c r="J331" s="20" t="n">
        <v>0</v>
      </c>
      <c r="M331" s="20" t="n">
        <v>0</v>
      </c>
      <c r="N331" s="20" t="n">
        <v>0</v>
      </c>
    </row>
    <row r="332">
      <c r="A332" s="43" t="inlineStr">
        <is>
          <t>OPM</t>
        </is>
      </c>
      <c r="B332" s="3" t="inlineStr">
        <is>
          <t>영업이익 ÷ 매출</t>
        </is>
      </c>
      <c r="I332" s="15">
        <f>IF(OR(I331="",I231=""),"",IF(I231&lt;=0,"",IFERROR(I331/I231,"")))</f>
        <v/>
      </c>
      <c r="J332" s="15">
        <f>IF(OR(J331="",J231=""),"",IF(J231&lt;=0,"",IFERROR(J331/J231,"")))</f>
        <v/>
      </c>
      <c r="M332" s="15">
        <f>IF(OR(M331="",M231=""),"",IF(M231&lt;=0,"",IFERROR(M331/M231,"")))</f>
        <v/>
      </c>
      <c r="N332" s="15">
        <f>IF(OR(N331="",N231=""),"",IF(N231&lt;=0,"",IFERROR(N331/N231,"")))</f>
        <v/>
      </c>
    </row>
    <row r="333">
      <c r="A333" s="43" t="inlineStr">
        <is>
          <t>YoY</t>
        </is>
      </c>
      <c r="B333" s="3" t="inlineStr">
        <is>
          <t>전년 같은 분기·전년 대비</t>
        </is>
      </c>
      <c r="I333" s="15">
        <f>IF(OR(I331="",E331=""),"",IF(E331&lt;=0,"",IFERROR(I331/E331-1,"")))</f>
        <v/>
      </c>
      <c r="J333" s="15">
        <f>IF(OR(J331="",F331=""),"",IF(F331&lt;=0,"",IFERROR(J331/F331-1,"")))</f>
        <v/>
      </c>
      <c r="M333" s="15">
        <f>IF(OR(M331="",I331=""),"",IF(I331&lt;=0,"",IFERROR(M331/I331-1,"")))</f>
        <v/>
      </c>
      <c r="N333" s="15">
        <f>IF(OR(N331="",J331=""),"",IF(J331&lt;=0,"",IFERROR(N331/J331-1,"")))</f>
        <v/>
      </c>
    </row>
    <row r="334">
      <c r="A334" s="18" t="inlineStr">
        <is>
          <t>기타 · 금융·법인세 차감 전 중간이익</t>
        </is>
      </c>
      <c r="I334" s="20" t="n">
        <v>0</v>
      </c>
      <c r="J334" s="20" t="n">
        <v>0</v>
      </c>
      <c r="M334" s="20" t="n">
        <v>0</v>
      </c>
      <c r="N334" s="20" t="n">
        <v>0</v>
      </c>
    </row>
    <row r="335">
      <c r="A335" s="43" t="inlineStr">
        <is>
          <t>OPM</t>
        </is>
      </c>
      <c r="B335" s="3" t="inlineStr">
        <is>
          <t>영업이익 ÷ 매출</t>
        </is>
      </c>
      <c r="I335" s="15">
        <f>IF(OR(I334="",I233=""),"",IF(I233&lt;=0,"",IFERROR(I334/I233,"")))</f>
        <v/>
      </c>
      <c r="J335" s="15">
        <f>IF(OR(J334="",J233=""),"",IF(J233&lt;=0,"",IFERROR(J334/J233,"")))</f>
        <v/>
      </c>
      <c r="M335" s="15">
        <f>IF(OR(M334="",M233=""),"",IF(M233&lt;=0,"",IFERROR(M334/M233,"")))</f>
        <v/>
      </c>
      <c r="N335" s="15">
        <f>IF(OR(N334="",N233=""),"",IF(N233&lt;=0,"",IFERROR(N334/N233,"")))</f>
        <v/>
      </c>
    </row>
    <row r="336">
      <c r="A336" s="43" t="inlineStr">
        <is>
          <t>YoY</t>
        </is>
      </c>
      <c r="B336" s="3" t="inlineStr">
        <is>
          <t>전년 같은 분기·전년 대비</t>
        </is>
      </c>
      <c r="I336" s="15">
        <f>IF(OR(I334="",E334=""),"",IF(E334&lt;=0,"",IFERROR(I334/E334-1,"")))</f>
        <v/>
      </c>
      <c r="J336" s="15">
        <f>IF(OR(J334="",F334=""),"",IF(F334&lt;=0,"",IFERROR(J334/F334-1,"")))</f>
        <v/>
      </c>
      <c r="M336" s="15">
        <f>IF(OR(M334="",I334=""),"",IF(I334&lt;=0,"",IFERROR(M334/I334-1,"")))</f>
        <v/>
      </c>
      <c r="N336" s="15">
        <f>IF(OR(N334="",J334=""),"",IF(J334&lt;=0,"",IFERROR(N334/J334-1,"")))</f>
        <v/>
      </c>
    </row>
    <row r="337">
      <c r="A337" s="18" t="inlineStr">
        <is>
          <t>보고부문 합계 · 금융·법인세 차감 전 중간이익</t>
        </is>
      </c>
      <c r="I337" s="20" t="n">
        <v>0</v>
      </c>
      <c r="J337" s="20" t="n">
        <v>0</v>
      </c>
      <c r="M337" s="20" t="n">
        <v>0</v>
      </c>
      <c r="N337" s="20" t="n">
        <v>0</v>
      </c>
    </row>
    <row r="338">
      <c r="A338" s="43" t="inlineStr">
        <is>
          <t>OPM</t>
        </is>
      </c>
      <c r="B338" s="3" t="inlineStr">
        <is>
          <t>영업이익 ÷ 매출</t>
        </is>
      </c>
      <c r="I338" s="15">
        <f>IF(OR(I337="",I235=""),"",IF(I235&lt;=0,"",IFERROR(I337/I235,"")))</f>
        <v/>
      </c>
      <c r="J338" s="15">
        <f>IF(OR(J337="",J235=""),"",IF(J235&lt;=0,"",IFERROR(J337/J235,"")))</f>
        <v/>
      </c>
      <c r="M338" s="15">
        <f>IF(OR(M337="",M235=""),"",IF(M235&lt;=0,"",IFERROR(M337/M235,"")))</f>
        <v/>
      </c>
      <c r="N338" s="15">
        <f>IF(OR(N337="",N235=""),"",IF(N235&lt;=0,"",IFERROR(N337/N235,"")))</f>
        <v/>
      </c>
    </row>
    <row r="339">
      <c r="A339" s="43" t="inlineStr">
        <is>
          <t>YoY</t>
        </is>
      </c>
      <c r="B339" s="3" t="inlineStr">
        <is>
          <t>전년 같은 분기·전년 대비</t>
        </is>
      </c>
      <c r="I339" s="15">
        <f>IF(OR(I337="",E337=""),"",IF(E337&lt;=0,"",IFERROR(I337/E337-1,"")))</f>
        <v/>
      </c>
      <c r="J339" s="15">
        <f>IF(OR(J337="",F337=""),"",IF(F337&lt;=0,"",IFERROR(J337/F337-1,"")))</f>
        <v/>
      </c>
      <c r="M339" s="15">
        <f>IF(OR(M337="",I337=""),"",IF(I337&lt;=0,"",IFERROR(M337/I337-1,"")))</f>
        <v/>
      </c>
      <c r="N339" s="15">
        <f>IF(OR(N337="",J337=""),"",IF(J337&lt;=0,"",IFERROR(N337/J337-1,"")))</f>
        <v/>
      </c>
    </row>
    <row r="340">
      <c r="A340" s="18" t="inlineStr">
        <is>
          <t>조정액 · 금융·법인세 차감 전 중간이익</t>
        </is>
      </c>
      <c r="I340" s="20" t="n">
        <v>0</v>
      </c>
      <c r="J340" s="20" t="n">
        <v>0</v>
      </c>
      <c r="M340" s="20" t="n">
        <v>0</v>
      </c>
      <c r="N340" s="20" t="n">
        <v>0</v>
      </c>
    </row>
    <row r="341">
      <c r="A341" s="9" t="inlineStr">
        <is>
          <t>금융·법인세 차감 전 중간이익</t>
        </is>
      </c>
      <c r="I341" s="12" t="n">
        <v>67969</v>
      </c>
      <c r="J341" s="12" t="n">
        <v>72209</v>
      </c>
      <c r="M341" s="12" t="n">
        <v>86182</v>
      </c>
      <c r="N341" s="12" t="n">
        <v>92141</v>
      </c>
    </row>
    <row r="342">
      <c r="A342" s="18" t="inlineStr">
        <is>
          <t>라이프케어 · 이자비용</t>
        </is>
      </c>
      <c r="I342" s="20" t="n">
        <v>0</v>
      </c>
      <c r="J342" s="20" t="n">
        <v>0</v>
      </c>
      <c r="M342" s="20" t="n">
        <v>0</v>
      </c>
      <c r="N342" s="20" t="n">
        <v>0</v>
      </c>
    </row>
    <row r="343">
      <c r="A343" s="18" t="inlineStr">
        <is>
          <t>정보·통신 · 이자비용</t>
        </is>
      </c>
      <c r="I343" s="20" t="n">
        <v>0</v>
      </c>
      <c r="J343" s="20" t="n">
        <v>0</v>
      </c>
      <c r="M343" s="20" t="n">
        <v>0</v>
      </c>
      <c r="N343" s="20" t="n">
        <v>0</v>
      </c>
    </row>
    <row r="344">
      <c r="A344" s="18" t="inlineStr">
        <is>
          <t>기타 · 이자비용</t>
        </is>
      </c>
      <c r="I344" s="20" t="n">
        <v>0</v>
      </c>
      <c r="J344" s="20" t="n">
        <v>0</v>
      </c>
      <c r="M344" s="20" t="n">
        <v>0</v>
      </c>
      <c r="N344" s="20" t="n">
        <v>0</v>
      </c>
    </row>
    <row r="345">
      <c r="A345" s="18" t="inlineStr">
        <is>
          <t>보고부문 합계 · 이자비용</t>
        </is>
      </c>
      <c r="I345" s="20" t="n">
        <v>0</v>
      </c>
      <c r="J345" s="20" t="n">
        <v>0</v>
      </c>
      <c r="M345" s="20" t="n">
        <v>0</v>
      </c>
      <c r="N345" s="20" t="n">
        <v>0</v>
      </c>
    </row>
    <row r="346">
      <c r="A346" s="18" t="inlineStr">
        <is>
          <t>조정액 · 이자비용</t>
        </is>
      </c>
      <c r="I346" s="20" t="n">
        <v>0</v>
      </c>
      <c r="J346" s="20" t="n">
        <v>0</v>
      </c>
      <c r="M346" s="20" t="n">
        <v>0</v>
      </c>
      <c r="N346" s="20" t="n">
        <v>0</v>
      </c>
    </row>
    <row r="347">
      <c r="A347" s="18" t="inlineStr">
        <is>
          <t>이자비용</t>
        </is>
      </c>
      <c r="I347" s="20" t="n">
        <v>488</v>
      </c>
      <c r="J347" s="20" t="n">
        <v>394</v>
      </c>
      <c r="M347" s="20" t="n">
        <v>463</v>
      </c>
      <c r="N347" s="20" t="n">
        <v>451</v>
      </c>
    </row>
    <row r="348">
      <c r="A348" s="18" t="inlineStr">
        <is>
          <t>라이프케어 · 외환차손익(재무)</t>
        </is>
      </c>
      <c r="I348" s="20" t="n">
        <v>0</v>
      </c>
      <c r="J348" s="20" t="n">
        <v>0</v>
      </c>
      <c r="M348" s="20" t="n">
        <v>0</v>
      </c>
      <c r="N348" s="20" t="n">
        <v>0</v>
      </c>
    </row>
    <row r="349">
      <c r="A349" s="18" t="inlineStr">
        <is>
          <t>정보·통신 · 외환차손익(재무)</t>
        </is>
      </c>
      <c r="I349" s="20" t="n">
        <v>0</v>
      </c>
      <c r="J349" s="20" t="n">
        <v>0</v>
      </c>
      <c r="M349" s="20" t="n">
        <v>0</v>
      </c>
      <c r="N349" s="20" t="n">
        <v>0</v>
      </c>
    </row>
    <row r="350">
      <c r="A350" s="18" t="inlineStr">
        <is>
          <t>기타 · 외환차손익(재무)</t>
        </is>
      </c>
      <c r="I350" s="20" t="n">
        <v>0</v>
      </c>
      <c r="J350" s="20" t="n">
        <v>0</v>
      </c>
      <c r="M350" s="20" t="n">
        <v>0</v>
      </c>
      <c r="N350" s="20" t="n">
        <v>0</v>
      </c>
    </row>
    <row r="351">
      <c r="A351" s="18" t="inlineStr">
        <is>
          <t>보고부문 합계 · 외환차손익(재무)</t>
        </is>
      </c>
      <c r="I351" s="20" t="n">
        <v>0</v>
      </c>
      <c r="J351" s="20" t="n">
        <v>0</v>
      </c>
      <c r="M351" s="20" t="n">
        <v>0</v>
      </c>
      <c r="N351" s="20" t="n">
        <v>0</v>
      </c>
    </row>
    <row r="352">
      <c r="A352" s="18" t="inlineStr">
        <is>
          <t>조정액 · 외환차손익(재무)</t>
        </is>
      </c>
      <c r="I352" s="20" t="n">
        <v>0</v>
      </c>
      <c r="J352" s="20" t="n">
        <v>0</v>
      </c>
      <c r="M352" s="20" t="n">
        <v>0</v>
      </c>
      <c r="N352" s="20" t="n">
        <v>0</v>
      </c>
    </row>
    <row r="353">
      <c r="A353" s="18" t="inlineStr">
        <is>
          <t>외환차손익(재무)</t>
        </is>
      </c>
      <c r="I353" s="20" t="n">
        <v>-117</v>
      </c>
      <c r="J353" s="20" t="n">
        <v>115</v>
      </c>
      <c r="M353" s="20" t="n">
        <v>276</v>
      </c>
      <c r="N353" s="20" t="n">
        <v>-99</v>
      </c>
    </row>
    <row r="354">
      <c r="A354" s="18" t="inlineStr">
        <is>
          <t>라이프케어 · 법인세비용차감전 중간이익</t>
        </is>
      </c>
      <c r="C354" s="20" t="n">
        <v>20320</v>
      </c>
      <c r="D354" s="20" t="n">
        <v>39151</v>
      </c>
      <c r="E354" s="20" t="n">
        <v>17779</v>
      </c>
      <c r="F354" s="20" t="n">
        <v>24934</v>
      </c>
      <c r="G354" s="20" t="n">
        <v>19036</v>
      </c>
      <c r="H354" s="20" t="n">
        <v>28619</v>
      </c>
      <c r="I354" s="20" t="n">
        <v>0</v>
      </c>
      <c r="J354" s="20" t="n">
        <v>0</v>
      </c>
      <c r="K354" s="20" t="n">
        <v>102479</v>
      </c>
      <c r="L354" s="20" t="n">
        <v>27052</v>
      </c>
      <c r="M354" s="20" t="n">
        <v>0</v>
      </c>
      <c r="N354" s="20" t="n">
        <v>0</v>
      </c>
      <c r="V354" s="20" t="n">
        <v>39151</v>
      </c>
      <c r="W354" s="20" t="n">
        <v>28619</v>
      </c>
      <c r="X354" s="20" t="n">
        <v>27052</v>
      </c>
    </row>
    <row r="355">
      <c r="A355" s="43" t="inlineStr">
        <is>
          <t>OPM</t>
        </is>
      </c>
      <c r="B355" s="3" t="inlineStr">
        <is>
          <t>영업이익 ÷ 매출</t>
        </is>
      </c>
      <c r="C355" s="15">
        <f>IF(OR(C354="",C229=""),"",IF(C229&lt;=0,"",IFERROR(C354/C229,"")))</f>
        <v/>
      </c>
      <c r="D355" s="15">
        <f>IF(OR(D354="",D229=""),"",IF(D229&lt;=0,"",IFERROR(D354/D229,"")))</f>
        <v/>
      </c>
      <c r="E355" s="15">
        <f>IF(OR(E354="",E229=""),"",IF(E229&lt;=0,"",IFERROR(E354/E229,"")))</f>
        <v/>
      </c>
      <c r="F355" s="15">
        <f>IF(OR(F354="",F229=""),"",IF(F229&lt;=0,"",IFERROR(F354/F229,"")))</f>
        <v/>
      </c>
      <c r="G355" s="15">
        <f>IF(OR(G354="",G229=""),"",IF(G229&lt;=0,"",IFERROR(G354/G229,"")))</f>
        <v/>
      </c>
      <c r="H355" s="15">
        <f>IF(OR(H354="",H229=""),"",IF(H229&lt;=0,"",IFERROR(H354/H229,"")))</f>
        <v/>
      </c>
      <c r="I355" s="15">
        <f>IF(OR(I354="",I229=""),"",IF(I229&lt;=0,"",IFERROR(I354/I229,"")))</f>
        <v/>
      </c>
      <c r="J355" s="15">
        <f>IF(OR(J354="",J229=""),"",IF(J229&lt;=0,"",IFERROR(J354/J229,"")))</f>
        <v/>
      </c>
      <c r="K355" s="15">
        <f>IF(OR(K354="",K229=""),"",IF(K229&lt;=0,"",IFERROR(K354/K229,"")))</f>
        <v/>
      </c>
      <c r="L355" s="15">
        <f>IF(OR(L354="",L229=""),"",IF(L229&lt;=0,"",IFERROR(L354/L229,"")))</f>
        <v/>
      </c>
      <c r="M355" s="15">
        <f>IF(OR(M354="",M229=""),"",IF(M229&lt;=0,"",IFERROR(M354/M229,"")))</f>
        <v/>
      </c>
      <c r="N355" s="15">
        <f>IF(OR(N354="",N229=""),"",IF(N229&lt;=0,"",IFERROR(N354/N229,"")))</f>
        <v/>
      </c>
      <c r="V355" s="15">
        <f>IF(OR(V354="",V229=""),"",IF(V229&lt;=0,"",IFERROR(V354/V229,"")))</f>
        <v/>
      </c>
      <c r="W355" s="15">
        <f>IF(OR(W354="",W229=""),"",IF(W229&lt;=0,"",IFERROR(W354/W229,"")))</f>
        <v/>
      </c>
      <c r="X355" s="15">
        <f>IF(OR(X354="",X229=""),"",IF(X229&lt;=0,"",IFERROR(X354/X229,"")))</f>
        <v/>
      </c>
    </row>
    <row r="356">
      <c r="A356" s="43" t="inlineStr">
        <is>
          <t>YoY</t>
        </is>
      </c>
      <c r="B356" s="3" t="inlineStr">
        <is>
          <t>전년 같은 분기·전년 대비</t>
        </is>
      </c>
      <c r="G356" s="15">
        <f>IF(OR(G354="",C354=""),"",IF(C354&lt;=0,"",IFERROR(G354/C354-1,"")))</f>
        <v/>
      </c>
      <c r="H356" s="15">
        <f>IF(OR(H354="",D354=""),"",IF(D354&lt;=0,"",IFERROR(H354/D354-1,"")))</f>
        <v/>
      </c>
      <c r="I356" s="15">
        <f>IF(OR(I354="",E354=""),"",IF(E354&lt;=0,"",IFERROR(I354/E354-1,"")))</f>
        <v/>
      </c>
      <c r="J356" s="15">
        <f>IF(OR(J354="",F354=""),"",IF(F354&lt;=0,"",IFERROR(J354/F354-1,"")))</f>
        <v/>
      </c>
      <c r="K356" s="15">
        <f>IF(OR(K354="",G354=""),"",IF(G354&lt;=0,"",IFERROR(K354/G354-1,"")))</f>
        <v/>
      </c>
      <c r="L356" s="15">
        <f>IF(OR(L354="",H354=""),"",IF(H354&lt;=0,"",IFERROR(L354/H354-1,"")))</f>
        <v/>
      </c>
      <c r="M356" s="15">
        <f>IF(OR(M354="",I354=""),"",IF(I354&lt;=0,"",IFERROR(M354/I354-1,"")))</f>
        <v/>
      </c>
      <c r="N356" s="15">
        <f>IF(OR(N354="",J354=""),"",IF(J354&lt;=0,"",IFERROR(N354/J354-1,"")))</f>
        <v/>
      </c>
      <c r="V356" s="15">
        <f>IF(OR(V354="",U354=""),"",IF(U354&lt;=0,"",IFERROR(V354/U354-1,"")))</f>
        <v/>
      </c>
      <c r="W356" s="15">
        <f>IF(OR(W354="",V354=""),"",IF(V354&lt;=0,"",IFERROR(W354/V354-1,"")))</f>
        <v/>
      </c>
      <c r="X356" s="15">
        <f>IF(OR(X354="",W354=""),"",IF(W354&lt;=0,"",IFERROR(X354/W354-1,"")))</f>
        <v/>
      </c>
    </row>
    <row r="357">
      <c r="A357" s="18" t="inlineStr">
        <is>
          <t>정보·통신 · 법인세비용차감전 중간이익</t>
        </is>
      </c>
      <c r="C357" s="20" t="n">
        <v>29534</v>
      </c>
      <c r="E357" s="20" t="n">
        <v>44094</v>
      </c>
      <c r="F357" s="20" t="n">
        <v>41854</v>
      </c>
      <c r="G357" s="20" t="n">
        <v>45031</v>
      </c>
      <c r="I357" s="20" t="n">
        <v>0</v>
      </c>
      <c r="J357" s="20" t="n">
        <v>0</v>
      </c>
      <c r="K357" s="20" t="n">
        <v>141938</v>
      </c>
      <c r="M357" s="20" t="n">
        <v>0</v>
      </c>
      <c r="N357" s="20" t="n">
        <v>0</v>
      </c>
    </row>
    <row r="358">
      <c r="A358" s="43" t="inlineStr">
        <is>
          <t>OPM</t>
        </is>
      </c>
      <c r="B358" s="3" t="inlineStr">
        <is>
          <t>영업이익 ÷ 매출</t>
        </is>
      </c>
      <c r="C358" s="15">
        <f>IF(OR(C357="",C231=""),"",IF(C231&lt;=0,"",IFERROR(C357/C231,"")))</f>
        <v/>
      </c>
      <c r="E358" s="15">
        <f>IF(OR(E357="",E231=""),"",IF(E231&lt;=0,"",IFERROR(E357/E231,"")))</f>
        <v/>
      </c>
      <c r="F358" s="15">
        <f>IF(OR(F357="",F231=""),"",IF(F231&lt;=0,"",IFERROR(F357/F231,"")))</f>
        <v/>
      </c>
      <c r="G358" s="15">
        <f>IF(OR(G357="",G231=""),"",IF(G231&lt;=0,"",IFERROR(G357/G231,"")))</f>
        <v/>
      </c>
      <c r="I358" s="15">
        <f>IF(OR(I357="",I231=""),"",IF(I231&lt;=0,"",IFERROR(I357/I231,"")))</f>
        <v/>
      </c>
      <c r="J358" s="15">
        <f>IF(OR(J357="",J231=""),"",IF(J231&lt;=0,"",IFERROR(J357/J231,"")))</f>
        <v/>
      </c>
      <c r="K358" s="15">
        <f>IF(OR(K357="",K231=""),"",IF(K231&lt;=0,"",IFERROR(K357/K231,"")))</f>
        <v/>
      </c>
      <c r="M358" s="15">
        <f>IF(OR(M357="",M231=""),"",IF(M231&lt;=0,"",IFERROR(M357/M231,"")))</f>
        <v/>
      </c>
      <c r="N358" s="15">
        <f>IF(OR(N357="",N231=""),"",IF(N231&lt;=0,"",IFERROR(N357/N231,"")))</f>
        <v/>
      </c>
    </row>
    <row r="359">
      <c r="A359" s="43" t="inlineStr">
        <is>
          <t>YoY</t>
        </is>
      </c>
      <c r="B359" s="3" t="inlineStr">
        <is>
          <t>전년 같은 분기·전년 대비</t>
        </is>
      </c>
      <c r="G359" s="15">
        <f>IF(OR(G357="",C357=""),"",IF(C357&lt;=0,"",IFERROR(G357/C357-1,"")))</f>
        <v/>
      </c>
      <c r="I359" s="15">
        <f>IF(OR(I357="",E357=""),"",IF(E357&lt;=0,"",IFERROR(I357/E357-1,"")))</f>
        <v/>
      </c>
      <c r="J359" s="15">
        <f>IF(OR(J357="",F357=""),"",IF(F357&lt;=0,"",IFERROR(J357/F357-1,"")))</f>
        <v/>
      </c>
      <c r="K359" s="15">
        <f>IF(OR(K357="",G357=""),"",IF(G357&lt;=0,"",IFERROR(K357/G357-1,"")))</f>
        <v/>
      </c>
      <c r="M359" s="15">
        <f>IF(OR(M357="",I357=""),"",IF(I357&lt;=0,"",IFERROR(M357/I357-1,"")))</f>
        <v/>
      </c>
      <c r="N359" s="15">
        <f>IF(OR(N357="",J357=""),"",IF(J357&lt;=0,"",IFERROR(N357/J357-1,"")))</f>
        <v/>
      </c>
    </row>
    <row r="360">
      <c r="A360" s="18" t="inlineStr">
        <is>
          <t>기타 · 법인세비용차감전 중간이익</t>
        </is>
      </c>
      <c r="C360" s="20" t="n">
        <v>25</v>
      </c>
      <c r="E360" s="20" t="n">
        <v>-11</v>
      </c>
      <c r="F360" s="20" t="n">
        <v>234</v>
      </c>
      <c r="G360" s="20" t="n">
        <v>207</v>
      </c>
      <c r="I360" s="20" t="n">
        <v>0</v>
      </c>
      <c r="J360" s="20" t="n">
        <v>0</v>
      </c>
      <c r="K360" s="20" t="n">
        <v>4321</v>
      </c>
      <c r="M360" s="20" t="n">
        <v>0</v>
      </c>
      <c r="N360" s="20" t="n">
        <v>0</v>
      </c>
    </row>
    <row r="361">
      <c r="A361" s="43" t="inlineStr">
        <is>
          <t>OPM</t>
        </is>
      </c>
      <c r="B361" s="3" t="inlineStr">
        <is>
          <t>영업이익 ÷ 매출</t>
        </is>
      </c>
      <c r="C361" s="15">
        <f>IF(OR(C360="",C233=""),"",IF(C233&lt;=0,"",IFERROR(C360/C233,"")))</f>
        <v/>
      </c>
      <c r="E361" s="15">
        <f>IF(OR(E360="",E233=""),"",IF(E233&lt;=0,"",IFERROR(E360/E233,"")))</f>
        <v/>
      </c>
      <c r="F361" s="15">
        <f>IF(OR(F360="",F233=""),"",IF(F233&lt;=0,"",IFERROR(F360/F233,"")))</f>
        <v/>
      </c>
      <c r="G361" s="15">
        <f>IF(OR(G360="",G233=""),"",IF(G233&lt;=0,"",IFERROR(G360/G233,"")))</f>
        <v/>
      </c>
      <c r="I361" s="15">
        <f>IF(OR(I360="",I233=""),"",IF(I233&lt;=0,"",IFERROR(I360/I233,"")))</f>
        <v/>
      </c>
      <c r="J361" s="15">
        <f>IF(OR(J360="",J233=""),"",IF(J233&lt;=0,"",IFERROR(J360/J233,"")))</f>
        <v/>
      </c>
      <c r="K361" s="15">
        <f>IF(OR(K360="",K233=""),"",IF(K233&lt;=0,"",IFERROR(K360/K233,"")))</f>
        <v/>
      </c>
      <c r="M361" s="15">
        <f>IF(OR(M360="",M233=""),"",IF(M233&lt;=0,"",IFERROR(M360/M233,"")))</f>
        <v/>
      </c>
      <c r="N361" s="15">
        <f>IF(OR(N360="",N233=""),"",IF(N233&lt;=0,"",IFERROR(N360/N233,"")))</f>
        <v/>
      </c>
    </row>
    <row r="362">
      <c r="A362" s="43" t="inlineStr">
        <is>
          <t>YoY</t>
        </is>
      </c>
      <c r="B362" s="3" t="inlineStr">
        <is>
          <t>전년 같은 분기·전년 대비</t>
        </is>
      </c>
      <c r="G362" s="15">
        <f>IF(OR(G360="",C360=""),"",IF(C360&lt;=0,"",IFERROR(G360/C360-1,"")))</f>
        <v/>
      </c>
      <c r="I362" s="15">
        <f>IF(OR(I360="",E360=""),"",IF(E360&lt;=0,"",IFERROR(I360/E360-1,"")))</f>
        <v/>
      </c>
      <c r="J362" s="15">
        <f>IF(OR(J360="",F360=""),"",IF(F360&lt;=0,"",IFERROR(J360/F360-1,"")))</f>
        <v/>
      </c>
      <c r="K362" s="15">
        <f>IF(OR(K360="",G360=""),"",IF(G360&lt;=0,"",IFERROR(K360/G360-1,"")))</f>
        <v/>
      </c>
      <c r="M362" s="15">
        <f>IF(OR(M360="",I360=""),"",IF(I360&lt;=0,"",IFERROR(M360/I360-1,"")))</f>
        <v/>
      </c>
      <c r="N362" s="15">
        <f>IF(OR(N360="",J360=""),"",IF(J360&lt;=0,"",IFERROR(N360/J360-1,"")))</f>
        <v/>
      </c>
    </row>
    <row r="363">
      <c r="A363" s="18" t="inlineStr">
        <is>
          <t>보고부문 합계 · 법인세비용차감전 중간이익</t>
        </is>
      </c>
      <c r="C363" s="20" t="n">
        <v>49881</v>
      </c>
      <c r="E363" s="20" t="n">
        <v>61862</v>
      </c>
      <c r="F363" s="20" t="n">
        <v>67023</v>
      </c>
      <c r="G363" s="20" t="n">
        <v>64273</v>
      </c>
      <c r="I363" s="20" t="n">
        <v>0</v>
      </c>
      <c r="J363" s="20" t="n">
        <v>0</v>
      </c>
      <c r="K363" s="20" t="n">
        <v>248738</v>
      </c>
      <c r="M363" s="20" t="n">
        <v>0</v>
      </c>
      <c r="N363" s="20" t="n">
        <v>0</v>
      </c>
    </row>
    <row r="364">
      <c r="A364" s="43" t="inlineStr">
        <is>
          <t>OPM</t>
        </is>
      </c>
      <c r="B364" s="3" t="inlineStr">
        <is>
          <t>영업이익 ÷ 매출</t>
        </is>
      </c>
      <c r="C364" s="15">
        <f>IF(OR(C363="",C235=""),"",IF(C235&lt;=0,"",IFERROR(C363/C235,"")))</f>
        <v/>
      </c>
      <c r="E364" s="15">
        <f>IF(OR(E363="",E235=""),"",IF(E235&lt;=0,"",IFERROR(E363/E235,"")))</f>
        <v/>
      </c>
      <c r="F364" s="15">
        <f>IF(OR(F363="",F235=""),"",IF(F235&lt;=0,"",IFERROR(F363/F235,"")))</f>
        <v/>
      </c>
      <c r="G364" s="15">
        <f>IF(OR(G363="",G235=""),"",IF(G235&lt;=0,"",IFERROR(G363/G235,"")))</f>
        <v/>
      </c>
      <c r="I364" s="15">
        <f>IF(OR(I363="",I235=""),"",IF(I235&lt;=0,"",IFERROR(I363/I235,"")))</f>
        <v/>
      </c>
      <c r="J364" s="15">
        <f>IF(OR(J363="",J235=""),"",IF(J235&lt;=0,"",IFERROR(J363/J235,"")))</f>
        <v/>
      </c>
      <c r="K364" s="15">
        <f>IF(OR(K363="",K235=""),"",IF(K235&lt;=0,"",IFERROR(K363/K235,"")))</f>
        <v/>
      </c>
      <c r="M364" s="15">
        <f>IF(OR(M363="",M235=""),"",IF(M235&lt;=0,"",IFERROR(M363/M235,"")))</f>
        <v/>
      </c>
      <c r="N364" s="15">
        <f>IF(OR(N363="",N235=""),"",IF(N235&lt;=0,"",IFERROR(N363/N235,"")))</f>
        <v/>
      </c>
    </row>
    <row r="365">
      <c r="A365" s="43" t="inlineStr">
        <is>
          <t>YoY</t>
        </is>
      </c>
      <c r="B365" s="3" t="inlineStr">
        <is>
          <t>전년 같은 분기·전년 대비</t>
        </is>
      </c>
      <c r="G365" s="15">
        <f>IF(OR(G363="",C363=""),"",IF(C363&lt;=0,"",IFERROR(G363/C363-1,"")))</f>
        <v/>
      </c>
      <c r="I365" s="15">
        <f>IF(OR(I363="",E363=""),"",IF(E363&lt;=0,"",IFERROR(I363/E363-1,"")))</f>
        <v/>
      </c>
      <c r="J365" s="15">
        <f>IF(OR(J363="",F363=""),"",IF(F363&lt;=0,"",IFERROR(J363/F363-1,"")))</f>
        <v/>
      </c>
      <c r="K365" s="15">
        <f>IF(OR(K363="",G363=""),"",IF(G363&lt;=0,"",IFERROR(K363/G363-1,"")))</f>
        <v/>
      </c>
      <c r="M365" s="15">
        <f>IF(OR(M363="",I363=""),"",IF(I363&lt;=0,"",IFERROR(M363/I363-1,"")))</f>
        <v/>
      </c>
      <c r="N365" s="15">
        <f>IF(OR(N363="",J363=""),"",IF(J363&lt;=0,"",IFERROR(N363/J363-1,"")))</f>
        <v/>
      </c>
    </row>
    <row r="366">
      <c r="A366" s="18" t="inlineStr">
        <is>
          <t>조정액 · 법인세비용차감전 중간이익</t>
        </is>
      </c>
      <c r="C366" s="20" t="n">
        <v>-191</v>
      </c>
      <c r="D366" s="20" t="n">
        <v>1434</v>
      </c>
      <c r="E366" s="20" t="n">
        <v>2328</v>
      </c>
      <c r="F366" s="20" t="n">
        <v>-4181</v>
      </c>
      <c r="G366" s="20" t="n">
        <v>950</v>
      </c>
      <c r="H366" s="20" t="n">
        <v>-485</v>
      </c>
      <c r="I366" s="20" t="n">
        <v>0</v>
      </c>
      <c r="J366" s="20" t="n">
        <v>0</v>
      </c>
      <c r="K366" s="20" t="n">
        <v>1357</v>
      </c>
      <c r="L366" s="20" t="n">
        <v>134</v>
      </c>
      <c r="M366" s="20" t="n">
        <v>0</v>
      </c>
      <c r="N366" s="20" t="n">
        <v>0</v>
      </c>
      <c r="V366" s="20" t="n">
        <v>1434</v>
      </c>
      <c r="W366" s="20" t="n">
        <v>-485</v>
      </c>
      <c r="X366" s="20" t="n">
        <v>134</v>
      </c>
    </row>
    <row r="367">
      <c r="A367" s="9" t="inlineStr">
        <is>
          <t>법인세비용차감전 중간이익</t>
        </is>
      </c>
      <c r="C367" s="12" t="n">
        <v>49689</v>
      </c>
      <c r="D367" s="12" t="n">
        <v>72093</v>
      </c>
      <c r="E367" s="12" t="n">
        <v>64190</v>
      </c>
      <c r="F367" s="12" t="n">
        <v>62841</v>
      </c>
      <c r="G367" s="12" t="n">
        <v>65224</v>
      </c>
      <c r="H367" s="12" t="n">
        <v>67710</v>
      </c>
      <c r="I367" s="12" t="n">
        <v>67363</v>
      </c>
      <c r="J367" s="12" t="n">
        <v>71931</v>
      </c>
      <c r="K367" s="12" t="n">
        <v>110801</v>
      </c>
      <c r="L367" s="12" t="n">
        <v>77573</v>
      </c>
      <c r="M367" s="12" t="n">
        <v>85994</v>
      </c>
      <c r="N367" s="12" t="n">
        <v>91592</v>
      </c>
      <c r="V367" s="12" t="n">
        <v>72093</v>
      </c>
      <c r="W367" s="12" t="n">
        <v>67710</v>
      </c>
      <c r="X367" s="12" t="n">
        <v>77573</v>
      </c>
    </row>
    <row r="369">
      <c r="A369" s="16" t="inlineStr">
        <is>
          <t>현금흐름표 · 전 항목</t>
        </is>
      </c>
      <c r="B369" s="42" t="inlineStr">
        <is>
          <t>분기 = 결산기 첫날부터 누계(공시 그대로)</t>
        </is>
      </c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  <c r="S369" s="16" t="n"/>
      <c r="T369" s="16" t="n"/>
      <c r="U369" s="16" t="n"/>
      <c r="V369" s="16" t="n"/>
      <c r="W369" s="16" t="n"/>
      <c r="X369" s="16" t="n"/>
      <c r="Y369" s="16" t="n"/>
      <c r="Z369" s="16" t="n"/>
      <c r="AA369" s="16" t="n"/>
      <c r="AB369" s="16" t="n"/>
      <c r="AC369" s="16" t="n"/>
    </row>
    <row r="370">
      <c r="A370" s="5" t="inlineStr">
        <is>
          <t>항목</t>
        </is>
      </c>
      <c r="B370" s="5" t="inlineStr">
        <is>
          <t>참고</t>
        </is>
      </c>
      <c r="C370" s="5" t="inlineStr">
        <is>
          <t>2024.3Q</t>
        </is>
      </c>
      <c r="D370" s="5" t="inlineStr">
        <is>
          <t>2024.4Q</t>
        </is>
      </c>
      <c r="E370" s="5" t="inlineStr">
        <is>
          <t>2025.1Q</t>
        </is>
      </c>
      <c r="F370" s="5" t="inlineStr">
        <is>
          <t>2025.2Q</t>
        </is>
      </c>
      <c r="G370" s="5" t="inlineStr">
        <is>
          <t>2025.3Q</t>
        </is>
      </c>
      <c r="H370" s="5" t="inlineStr">
        <is>
          <t>2025.4Q</t>
        </is>
      </c>
      <c r="I370" s="5" t="inlineStr">
        <is>
          <t>2026.1Q</t>
        </is>
      </c>
      <c r="J370" s="5" t="inlineStr">
        <is>
          <t>2026.2Q</t>
        </is>
      </c>
      <c r="K370" s="5" t="inlineStr">
        <is>
          <t>2026.3Q</t>
        </is>
      </c>
      <c r="L370" s="5" t="inlineStr">
        <is>
          <t>2026.4Q</t>
        </is>
      </c>
      <c r="M370" s="5" t="inlineStr">
        <is>
          <t>2027.1Q</t>
        </is>
      </c>
      <c r="N370" s="5" t="inlineStr">
        <is>
          <t>2027.2Q</t>
        </is>
      </c>
      <c r="O370" s="5" t="inlineStr">
        <is>
          <t>2017</t>
        </is>
      </c>
      <c r="P370" s="5" t="inlineStr">
        <is>
          <t>2018</t>
        </is>
      </c>
      <c r="Q370" s="5" t="inlineStr">
        <is>
          <t>2019</t>
        </is>
      </c>
      <c r="R370" s="5" t="inlineStr">
        <is>
          <t>2020</t>
        </is>
      </c>
      <c r="S370" s="5" t="inlineStr">
        <is>
          <t>2021</t>
        </is>
      </c>
      <c r="T370" s="5" t="inlineStr">
        <is>
          <t>2022</t>
        </is>
      </c>
      <c r="U370" s="5" t="inlineStr">
        <is>
          <t>2023</t>
        </is>
      </c>
      <c r="V370" s="5" t="inlineStr">
        <is>
          <t>2024</t>
        </is>
      </c>
      <c r="W370" s="5" t="inlineStr">
        <is>
          <t>2025</t>
        </is>
      </c>
      <c r="X370" s="5" t="inlineStr">
        <is>
          <t>2026</t>
        </is>
      </c>
      <c r="Y370" s="5" t="inlineStr">
        <is>
          <t>2027(MW)</t>
        </is>
      </c>
      <c r="Z370" s="5" t="inlineStr">
        <is>
          <t>2028(MW)</t>
        </is>
      </c>
      <c r="AA370" s="5" t="inlineStr">
        <is>
          <t>2029(MW)</t>
        </is>
      </c>
      <c r="AB370" s="5" t="inlineStr">
        <is>
          <t>2030(MW)</t>
        </is>
      </c>
      <c r="AC370" s="5" t="inlineStr">
        <is>
          <t>2031(MW)</t>
        </is>
      </c>
    </row>
    <row r="371">
      <c r="A371" s="18" t="inlineStr">
        <is>
          <t>영업이익</t>
        </is>
      </c>
      <c r="I371" s="20" t="n">
        <v>63559</v>
      </c>
      <c r="J371" s="20" t="n">
        <v>131744</v>
      </c>
      <c r="M371" s="20" t="n">
        <v>82626</v>
      </c>
      <c r="N371" s="20" t="n">
        <v>173431</v>
      </c>
    </row>
    <row r="372">
      <c r="A372" s="18" t="inlineStr">
        <is>
          <t>감가상각비 및 상각비</t>
        </is>
      </c>
      <c r="C372" s="20" t="n">
        <v>35620</v>
      </c>
      <c r="D372" s="20" t="n">
        <v>47215</v>
      </c>
      <c r="E372" s="20" t="n">
        <v>11667</v>
      </c>
      <c r="F372" s="20" t="n">
        <v>23462</v>
      </c>
      <c r="G372" s="20" t="n">
        <v>35900</v>
      </c>
      <c r="H372" s="20" t="n">
        <v>48577</v>
      </c>
      <c r="I372" s="20" t="n">
        <v>12643</v>
      </c>
      <c r="J372" s="20" t="n">
        <v>26630</v>
      </c>
      <c r="K372" s="20" t="n">
        <v>41760</v>
      </c>
      <c r="L372" s="20" t="n">
        <v>58218</v>
      </c>
      <c r="M372" s="20" t="n">
        <v>16008</v>
      </c>
      <c r="N372" s="20" t="n">
        <v>32736</v>
      </c>
      <c r="P372" s="20" t="n">
        <v>28711</v>
      </c>
      <c r="Q372" s="20" t="n">
        <v>26416</v>
      </c>
      <c r="R372" s="20" t="n">
        <v>34374</v>
      </c>
      <c r="S372" s="20" t="n">
        <v>36336</v>
      </c>
      <c r="T372" s="20" t="n">
        <v>43019</v>
      </c>
      <c r="U372" s="20" t="n">
        <v>49615</v>
      </c>
      <c r="V372" s="20" t="n">
        <v>47215</v>
      </c>
      <c r="W372" s="20" t="n">
        <v>48577</v>
      </c>
      <c r="X372" s="20" t="n">
        <v>58218</v>
      </c>
    </row>
    <row r="373">
      <c r="A373" s="18" t="inlineStr">
        <is>
          <t>손상차손(또는 환입)</t>
        </is>
      </c>
      <c r="C373" s="20" t="n">
        <v>8831</v>
      </c>
      <c r="D373" s="20" t="n">
        <v>8831</v>
      </c>
      <c r="E373" s="20" t="n">
        <v>0</v>
      </c>
      <c r="F373" s="20" t="n">
        <v>0</v>
      </c>
      <c r="G373" s="20" t="n">
        <v>4763</v>
      </c>
      <c r="H373" s="20" t="n">
        <v>6143</v>
      </c>
      <c r="I373" s="20" t="n">
        <v>1910</v>
      </c>
      <c r="J373" s="20" t="n">
        <v>2089</v>
      </c>
      <c r="K373" s="20" t="n">
        <v>2602</v>
      </c>
      <c r="L373" s="20" t="n">
        <v>4924</v>
      </c>
      <c r="M373" s="20" t="n">
        <v>0</v>
      </c>
      <c r="N373" s="20" t="n">
        <v>0</v>
      </c>
      <c r="P373" s="20" t="n">
        <v>5798</v>
      </c>
      <c r="Q373" s="20" t="n">
        <v>1099</v>
      </c>
      <c r="R373" s="20" t="n">
        <v>300</v>
      </c>
      <c r="S373" s="20" t="n">
        <v>8166</v>
      </c>
      <c r="T373" s="20" t="n">
        <v>1078</v>
      </c>
      <c r="U373" s="20" t="n">
        <v>1082</v>
      </c>
      <c r="V373" s="20" t="n">
        <v>8831</v>
      </c>
      <c r="W373" s="20" t="n">
        <v>6143</v>
      </c>
      <c r="X373" s="20" t="n">
        <v>4924</v>
      </c>
    </row>
    <row r="374">
      <c r="A374" s="18" t="inlineStr">
        <is>
          <t>금융수익</t>
        </is>
      </c>
      <c r="C374" s="20" t="n">
        <v>-11586</v>
      </c>
      <c r="D374" s="20" t="n">
        <v>-16279</v>
      </c>
      <c r="E374" s="20" t="n">
        <v>-4662</v>
      </c>
      <c r="F374" s="20" t="n">
        <v>-8787</v>
      </c>
      <c r="G374" s="20" t="n">
        <v>-12933</v>
      </c>
      <c r="H374" s="20" t="n">
        <v>-16440</v>
      </c>
      <c r="I374" s="20" t="n">
        <v>-3561</v>
      </c>
      <c r="J374" s="20" t="n">
        <v>-6903</v>
      </c>
      <c r="K374" s="20" t="n">
        <v>-10191</v>
      </c>
      <c r="L374" s="20" t="n">
        <v>-13316</v>
      </c>
      <c r="P374" s="20" t="n">
        <v>-1562</v>
      </c>
      <c r="Q374" s="20" t="n">
        <v>-2773</v>
      </c>
      <c r="R374" s="20" t="n">
        <v>-3461</v>
      </c>
      <c r="S374" s="20" t="n">
        <v>-2204</v>
      </c>
      <c r="T374" s="20" t="n">
        <v>-1718</v>
      </c>
      <c r="U374" s="20" t="n">
        <v>-7666</v>
      </c>
      <c r="V374" s="20" t="n">
        <v>-16279</v>
      </c>
      <c r="W374" s="20" t="n">
        <v>-16440</v>
      </c>
      <c r="X374" s="20" t="n">
        <v>-13316</v>
      </c>
    </row>
    <row r="375">
      <c r="A375" s="18" t="inlineStr">
        <is>
          <t>금융비용</t>
        </is>
      </c>
      <c r="C375" s="20" t="n">
        <v>1454</v>
      </c>
      <c r="D375" s="20" t="n">
        <v>1925</v>
      </c>
      <c r="E375" s="20" t="n">
        <v>331</v>
      </c>
      <c r="F375" s="20" t="n">
        <v>666</v>
      </c>
      <c r="G375" s="20" t="n">
        <v>1032</v>
      </c>
      <c r="H375" s="20" t="n">
        <v>1459</v>
      </c>
      <c r="I375" s="20" t="n">
        <v>488</v>
      </c>
      <c r="J375" s="20" t="n">
        <v>988</v>
      </c>
      <c r="K375" s="20" t="n">
        <v>1485</v>
      </c>
      <c r="L375" s="20" t="n">
        <v>1991</v>
      </c>
      <c r="P375" s="20" t="n">
        <v>771</v>
      </c>
      <c r="Q375" s="20" t="n">
        <v>391</v>
      </c>
      <c r="R375" s="20" t="n">
        <v>791</v>
      </c>
      <c r="S375" s="20" t="n">
        <v>2010</v>
      </c>
      <c r="T375" s="20" t="n">
        <v>1664</v>
      </c>
      <c r="U375" s="20" t="n">
        <v>1816</v>
      </c>
      <c r="V375" s="20" t="n">
        <v>1925</v>
      </c>
      <c r="W375" s="20" t="n">
        <v>1459</v>
      </c>
      <c r="X375" s="20" t="n">
        <v>1991</v>
      </c>
    </row>
    <row r="376">
      <c r="A376" s="18" t="inlineStr">
        <is>
          <t>지분법손실</t>
        </is>
      </c>
      <c r="C376" s="20" t="n">
        <v>-318</v>
      </c>
      <c r="D376" s="20" t="n">
        <v>-411</v>
      </c>
      <c r="E376" s="20" t="n">
        <v>-93</v>
      </c>
      <c r="F376" s="20" t="n">
        <v>-167</v>
      </c>
      <c r="G376" s="20" t="n">
        <v>-272</v>
      </c>
      <c r="H376" s="20" t="n">
        <v>-388</v>
      </c>
      <c r="I376" s="20" t="n">
        <v>-119</v>
      </c>
      <c r="J376" s="20" t="n">
        <v>-253</v>
      </c>
      <c r="K376" s="20" t="n">
        <v>-396</v>
      </c>
      <c r="L376" s="20" t="n">
        <v>-566</v>
      </c>
      <c r="P376" s="20" t="n">
        <v>44</v>
      </c>
      <c r="Q376" s="20" t="n">
        <v>1113</v>
      </c>
      <c r="R376" s="20" t="n">
        <v>1652</v>
      </c>
      <c r="S376" s="20" t="n">
        <v>369</v>
      </c>
      <c r="T376" s="20" t="n">
        <v>45</v>
      </c>
      <c r="U376" s="20" t="n">
        <v>-83</v>
      </c>
      <c r="V376" s="20" t="n">
        <v>-411</v>
      </c>
      <c r="W376" s="20" t="n">
        <v>-388</v>
      </c>
      <c r="X376" s="20" t="n">
        <v>-566</v>
      </c>
    </row>
    <row r="377">
      <c r="A377" s="18" t="inlineStr">
        <is>
          <t>유형자산 처분손익(△이익)</t>
        </is>
      </c>
      <c r="C377" s="20" t="n">
        <v>-991</v>
      </c>
      <c r="D377" s="20" t="n">
        <v>-1375</v>
      </c>
      <c r="E377" s="20" t="n">
        <v>-33</v>
      </c>
      <c r="F377" s="20" t="n">
        <v>-64</v>
      </c>
      <c r="G377" s="20" t="n">
        <v>-65</v>
      </c>
      <c r="H377" s="20" t="n">
        <v>-87</v>
      </c>
      <c r="I377" s="20" t="n">
        <v>-112</v>
      </c>
      <c r="J377" s="20" t="n">
        <v>-175</v>
      </c>
      <c r="K377" s="20" t="n">
        <v>-228</v>
      </c>
      <c r="L377" s="20" t="n">
        <v>-161</v>
      </c>
      <c r="M377" s="20" t="n">
        <v>-64</v>
      </c>
      <c r="N377" s="20" t="n">
        <v>-80</v>
      </c>
      <c r="P377" s="20" t="n">
        <v>-438</v>
      </c>
      <c r="Q377" s="20" t="n">
        <v>-492</v>
      </c>
      <c r="R377" s="20" t="n">
        <v>-258</v>
      </c>
      <c r="S377" s="20" t="n">
        <v>-1266</v>
      </c>
      <c r="T377" s="20" t="n">
        <v>-704</v>
      </c>
      <c r="U377" s="20" t="n">
        <v>-468</v>
      </c>
      <c r="V377" s="20" t="n">
        <v>-1375</v>
      </c>
      <c r="W377" s="20" t="n">
        <v>-87</v>
      </c>
      <c r="X377" s="20" t="n">
        <v>-161</v>
      </c>
    </row>
    <row r="378">
      <c r="A378" s="18" t="inlineStr">
        <is>
          <t>유형자산 제각손실</t>
        </is>
      </c>
      <c r="P378" s="20" t="n">
        <v>432</v>
      </c>
      <c r="Q378" s="20" t="n">
        <v>609</v>
      </c>
    </row>
    <row r="379">
      <c r="A379" s="18" t="inlineStr">
        <is>
          <t>사업 양도 이익</t>
        </is>
      </c>
      <c r="P379" s="20" t="n">
        <v>0</v>
      </c>
      <c r="Q379" s="20" t="n">
        <v>-3</v>
      </c>
    </row>
    <row r="380">
      <c r="A380" s="18" t="inlineStr">
        <is>
          <t>유형자산 제각손실</t>
        </is>
      </c>
      <c r="D380" s="20" t="n">
        <v>260</v>
      </c>
      <c r="H380" s="20" t="n">
        <v>856</v>
      </c>
      <c r="L380" s="20" t="n">
        <v>382</v>
      </c>
      <c r="R380" s="20" t="n">
        <v>375</v>
      </c>
      <c r="S380" s="20" t="n">
        <v>147</v>
      </c>
      <c r="T380" s="20" t="n">
        <v>120</v>
      </c>
      <c r="U380" s="20" t="n">
        <v>127</v>
      </c>
      <c r="V380" s="20" t="n">
        <v>260</v>
      </c>
      <c r="W380" s="20" t="n">
        <v>856</v>
      </c>
      <c r="X380" s="20" t="n">
        <v>382</v>
      </c>
    </row>
    <row r="381">
      <c r="A381" s="18" t="inlineStr">
        <is>
          <t>사업 양도 이익</t>
        </is>
      </c>
      <c r="S381" s="20" t="n">
        <v>0</v>
      </c>
      <c r="T381" s="20" t="n">
        <v>-1656</v>
      </c>
      <c r="U381" s="20" t="n">
        <v>0</v>
      </c>
    </row>
    <row r="382">
      <c r="A382" s="18" t="inlineStr">
        <is>
          <t>외환차손익(△이익)</t>
        </is>
      </c>
      <c r="C382" s="20" t="n">
        <v>191</v>
      </c>
      <c r="D382" s="20" t="n">
        <v>-8127</v>
      </c>
      <c r="E382" s="20" t="n">
        <v>-1330</v>
      </c>
      <c r="F382" s="20" t="n">
        <v>518</v>
      </c>
      <c r="G382" s="20" t="n">
        <v>551</v>
      </c>
      <c r="H382" s="20" t="n">
        <v>504</v>
      </c>
      <c r="I382" s="20" t="n">
        <v>-821</v>
      </c>
      <c r="J382" s="20" t="n">
        <v>-1290</v>
      </c>
      <c r="K382" s="20" t="n">
        <v>-3341</v>
      </c>
      <c r="L382" s="20" t="n">
        <v>-2209</v>
      </c>
      <c r="P382" s="20" t="n">
        <v>-1447</v>
      </c>
      <c r="Q382" s="20" t="n">
        <v>342</v>
      </c>
      <c r="R382" s="20" t="n">
        <v>-567</v>
      </c>
      <c r="S382" s="20" t="n">
        <v>-357</v>
      </c>
      <c r="T382" s="20" t="n">
        <v>-4882</v>
      </c>
      <c r="U382" s="20" t="n">
        <v>-157</v>
      </c>
      <c r="V382" s="20" t="n">
        <v>-8127</v>
      </c>
      <c r="W382" s="20" t="n">
        <v>504</v>
      </c>
      <c r="X382" s="20" t="n">
        <v>-2209</v>
      </c>
    </row>
    <row r="383">
      <c r="A383" s="18" t="inlineStr">
        <is>
          <t>유형자산 제각손실</t>
        </is>
      </c>
      <c r="C383" s="20" t="n">
        <v>133</v>
      </c>
      <c r="E383" s="20" t="n">
        <v>514</v>
      </c>
      <c r="F383" s="20" t="n">
        <v>536</v>
      </c>
      <c r="G383" s="20" t="n">
        <v>577</v>
      </c>
      <c r="I383" s="20" t="n">
        <v>108</v>
      </c>
      <c r="J383" s="20" t="n">
        <v>137</v>
      </c>
      <c r="K383" s="20" t="n">
        <v>275</v>
      </c>
      <c r="M383" s="20" t="n">
        <v>25</v>
      </c>
      <c r="N383" s="20" t="n">
        <v>47</v>
      </c>
    </row>
    <row r="384">
      <c r="A384" s="18" t="inlineStr">
        <is>
          <t>기타</t>
        </is>
      </c>
      <c r="C384" s="20" t="n">
        <v>559</v>
      </c>
      <c r="D384" s="20" t="n">
        <v>-4923</v>
      </c>
      <c r="E384" s="20" t="n">
        <v>2607</v>
      </c>
      <c r="F384" s="20" t="n">
        <v>6099</v>
      </c>
      <c r="G384" s="20" t="n">
        <v>8265</v>
      </c>
      <c r="H384" s="20" t="n">
        <v>2233</v>
      </c>
      <c r="I384" s="20" t="n">
        <v>-2507</v>
      </c>
      <c r="J384" s="20" t="n">
        <v>1581</v>
      </c>
      <c r="K384" s="20" t="n">
        <v>-29363</v>
      </c>
      <c r="L384" s="20" t="n">
        <v>-28776</v>
      </c>
      <c r="M384" s="20" t="n">
        <v>2703</v>
      </c>
      <c r="N384" s="20" t="n">
        <v>-636</v>
      </c>
      <c r="P384" s="20" t="n">
        <v>4631</v>
      </c>
      <c r="Q384" s="20" t="n">
        <v>7936</v>
      </c>
      <c r="R384" s="20" t="n">
        <v>-4265</v>
      </c>
      <c r="S384" s="20" t="n">
        <v>-4957</v>
      </c>
      <c r="T384" s="20" t="n">
        <v>-2001</v>
      </c>
      <c r="U384" s="20" t="n">
        <v>5122</v>
      </c>
      <c r="V384" s="20" t="n">
        <v>-4923</v>
      </c>
      <c r="W384" s="20" t="n">
        <v>2233</v>
      </c>
      <c r="X384" s="20" t="n">
        <v>-28776</v>
      </c>
    </row>
    <row r="385">
      <c r="A385" s="18" t="inlineStr">
        <is>
          <t>영업활동 현금흐름(운전자본 증감 조정 전)</t>
        </is>
      </c>
      <c r="P385" s="20" t="n">
        <v>161189</v>
      </c>
      <c r="Q385" s="20" t="n">
        <v>179294</v>
      </c>
    </row>
    <row r="386">
      <c r="A386" s="18" t="inlineStr">
        <is>
          <t>영업활동 현금흐름(운전자본 증감 조정 전)</t>
        </is>
      </c>
      <c r="D386" s="20" t="n">
        <v>263680</v>
      </c>
      <c r="H386" s="20" t="n">
        <v>302822</v>
      </c>
      <c r="L386" s="20" t="n">
        <v>348156</v>
      </c>
      <c r="R386" s="20" t="n">
        <v>176209</v>
      </c>
      <c r="S386" s="20" t="n">
        <v>197463</v>
      </c>
      <c r="T386" s="20" t="n">
        <v>245671</v>
      </c>
      <c r="U386" s="20" t="n">
        <v>265221</v>
      </c>
      <c r="V386" s="20" t="n">
        <v>263680</v>
      </c>
      <c r="W386" s="20" t="n">
        <v>302822</v>
      </c>
      <c r="X386" s="20" t="n">
        <v>348156</v>
      </c>
    </row>
    <row r="387">
      <c r="A387" s="18" t="inlineStr">
        <is>
          <t>영업활동 현금흐름(운전자본 증감 조정 전)</t>
        </is>
      </c>
      <c r="C387" s="20" t="n">
        <v>198362</v>
      </c>
      <c r="E387" s="20" t="n">
        <v>73190</v>
      </c>
      <c r="F387" s="20" t="n">
        <v>149295</v>
      </c>
      <c r="G387" s="20" t="n">
        <v>230072</v>
      </c>
      <c r="I387" s="20" t="n">
        <v>75602</v>
      </c>
      <c r="J387" s="20" t="n">
        <v>162006</v>
      </c>
      <c r="K387" s="20" t="n">
        <v>252699</v>
      </c>
      <c r="M387" s="20" t="n">
        <v>101298</v>
      </c>
      <c r="N387" s="20" t="n">
        <v>205497</v>
      </c>
    </row>
    <row r="388">
      <c r="A388" s="18" t="inlineStr">
        <is>
          <t>재고자산 감소(△증가)</t>
        </is>
      </c>
      <c r="C388" s="20" t="n">
        <v>-6277</v>
      </c>
      <c r="D388" s="20" t="n">
        <v>-5283</v>
      </c>
      <c r="E388" s="20" t="n">
        <v>309</v>
      </c>
      <c r="F388" s="20" t="n">
        <v>-5527</v>
      </c>
      <c r="G388" s="20" t="n">
        <v>-9227</v>
      </c>
      <c r="H388" s="20" t="n">
        <v>-9082</v>
      </c>
      <c r="I388" s="20" t="n">
        <v>383</v>
      </c>
      <c r="J388" s="20" t="n">
        <v>628</v>
      </c>
      <c r="K388" s="20" t="n">
        <v>-879</v>
      </c>
      <c r="L388" s="20" t="n">
        <v>2025</v>
      </c>
      <c r="M388" s="20" t="n">
        <v>-1980</v>
      </c>
      <c r="N388" s="20" t="n">
        <v>-4865</v>
      </c>
      <c r="P388" s="20" t="n">
        <v>1763</v>
      </c>
      <c r="Q388" s="20" t="n">
        <v>-6128</v>
      </c>
      <c r="R388" s="20" t="n">
        <v>-2300</v>
      </c>
      <c r="S388" s="20" t="n">
        <v>4017</v>
      </c>
      <c r="T388" s="20" t="n">
        <v>-7092</v>
      </c>
      <c r="U388" s="20" t="n">
        <v>-9216</v>
      </c>
      <c r="V388" s="20" t="n">
        <v>-5283</v>
      </c>
      <c r="W388" s="20" t="n">
        <v>-9082</v>
      </c>
      <c r="X388" s="20" t="n">
        <v>2025</v>
      </c>
    </row>
    <row r="389">
      <c r="A389" s="18" t="inlineStr">
        <is>
          <t>매출채권 및 기타채권 감소(△증가)</t>
        </is>
      </c>
      <c r="C389" s="20" t="n">
        <v>1903</v>
      </c>
      <c r="D389" s="20" t="n">
        <v>800</v>
      </c>
      <c r="E389" s="20" t="n">
        <v>-9834</v>
      </c>
      <c r="F389" s="20" t="n">
        <v>-11276</v>
      </c>
      <c r="G389" s="20" t="n">
        <v>-12165</v>
      </c>
      <c r="H389" s="20" t="n">
        <v>-26521</v>
      </c>
      <c r="I389" s="20" t="n">
        <v>1601</v>
      </c>
      <c r="J389" s="20" t="n">
        <v>-7437</v>
      </c>
      <c r="K389" s="20" t="n">
        <v>-13604</v>
      </c>
      <c r="L389" s="20" t="n">
        <v>-18622</v>
      </c>
      <c r="M389" s="20" t="n">
        <v>1285</v>
      </c>
      <c r="N389" s="20" t="n">
        <v>-1030</v>
      </c>
      <c r="P389" s="20" t="n">
        <v>-6562</v>
      </c>
      <c r="Q389" s="20" t="n">
        <v>-3066</v>
      </c>
      <c r="R389" s="20" t="n">
        <v>4186</v>
      </c>
      <c r="S389" s="20" t="n">
        <v>-9788</v>
      </c>
      <c r="T389" s="20" t="n">
        <v>-8696</v>
      </c>
      <c r="U389" s="20" t="n">
        <v>-2967</v>
      </c>
      <c r="V389" s="20" t="n">
        <v>800</v>
      </c>
      <c r="W389" s="20" t="n">
        <v>-26521</v>
      </c>
      <c r="X389" s="20" t="n">
        <v>-18622</v>
      </c>
    </row>
    <row r="390">
      <c r="A390" s="18" t="inlineStr">
        <is>
          <t>매입채무 및 기타채무 증가(△감소)</t>
        </is>
      </c>
      <c r="C390" s="20" t="n">
        <v>1522</v>
      </c>
      <c r="D390" s="20" t="n">
        <v>3553</v>
      </c>
      <c r="E390" s="20" t="n">
        <v>2569</v>
      </c>
      <c r="F390" s="20" t="n">
        <v>6649</v>
      </c>
      <c r="G390" s="20" t="n">
        <v>5505</v>
      </c>
      <c r="H390" s="20" t="n">
        <v>1932</v>
      </c>
      <c r="I390" s="20" t="n">
        <v>2265</v>
      </c>
      <c r="J390" s="20" t="n">
        <v>2662</v>
      </c>
      <c r="K390" s="20" t="n">
        <v>2403</v>
      </c>
      <c r="L390" s="20" t="n">
        <v>-2489</v>
      </c>
      <c r="M390" s="20" t="n">
        <v>2861</v>
      </c>
      <c r="N390" s="20" t="n">
        <v>4728</v>
      </c>
      <c r="P390" s="20" t="n">
        <v>4052</v>
      </c>
      <c r="Q390" s="20" t="n">
        <v>4985</v>
      </c>
      <c r="R390" s="20" t="n">
        <v>5152</v>
      </c>
      <c r="S390" s="20" t="n">
        <v>-6352</v>
      </c>
      <c r="T390" s="20" t="n">
        <v>5700</v>
      </c>
      <c r="U390" s="20" t="n">
        <v>-6507</v>
      </c>
      <c r="V390" s="20" t="n">
        <v>3553</v>
      </c>
      <c r="W390" s="20" t="n">
        <v>1932</v>
      </c>
      <c r="X390" s="20" t="n">
        <v>-2489</v>
      </c>
    </row>
    <row r="391">
      <c r="A391" s="18" t="inlineStr">
        <is>
          <t>퇴직급여부채·충당금 증가(△감소)</t>
        </is>
      </c>
      <c r="P391" s="20" t="n">
        <v>-234</v>
      </c>
      <c r="Q391" s="20" t="n">
        <v>428</v>
      </c>
    </row>
    <row r="392">
      <c r="A392" s="18" t="inlineStr">
        <is>
          <t>퇴직급여부채·충당금 증가(△감소)</t>
        </is>
      </c>
      <c r="D392" s="20" t="n">
        <v>-375</v>
      </c>
      <c r="H392" s="20" t="n">
        <v>69</v>
      </c>
      <c r="L392" s="20" t="n">
        <v>-23</v>
      </c>
      <c r="R392" s="20" t="n">
        <v>433</v>
      </c>
      <c r="S392" s="20" t="n">
        <v>-69</v>
      </c>
      <c r="T392" s="20" t="n">
        <v>702</v>
      </c>
      <c r="U392" s="20" t="n">
        <v>-88</v>
      </c>
      <c r="V392" s="20" t="n">
        <v>-375</v>
      </c>
      <c r="W392" s="20" t="n">
        <v>69</v>
      </c>
      <c r="X392" s="20" t="n">
        <v>-23</v>
      </c>
    </row>
    <row r="393">
      <c r="A393" s="18" t="inlineStr">
        <is>
          <t>퇴직급여부채·충당금 증가(△감소)</t>
        </is>
      </c>
      <c r="C393" s="20" t="n">
        <v>1</v>
      </c>
      <c r="E393" s="20" t="n">
        <v>8</v>
      </c>
      <c r="F393" s="20" t="n">
        <v>8</v>
      </c>
      <c r="G393" s="20" t="n">
        <v>114</v>
      </c>
      <c r="I393" s="20" t="n">
        <v>126</v>
      </c>
      <c r="J393" s="20" t="n">
        <v>30</v>
      </c>
      <c r="K393" s="20" t="n">
        <v>-125</v>
      </c>
      <c r="M393" s="20" t="n">
        <v>55</v>
      </c>
      <c r="N393" s="20" t="n">
        <v>38</v>
      </c>
    </row>
    <row r="394">
      <c r="A394" s="18" t="inlineStr">
        <is>
          <t>소계</t>
        </is>
      </c>
      <c r="C394" s="20" t="n">
        <v>195511</v>
      </c>
      <c r="D394" s="20" t="n">
        <v>262375</v>
      </c>
      <c r="E394" s="20" t="n">
        <v>66242</v>
      </c>
      <c r="F394" s="20" t="n">
        <v>139148</v>
      </c>
      <c r="G394" s="20" t="n">
        <v>214300</v>
      </c>
      <c r="H394" s="20" t="n">
        <v>269220</v>
      </c>
      <c r="I394" s="20" t="n">
        <v>79977</v>
      </c>
      <c r="J394" s="20" t="n">
        <v>157888</v>
      </c>
      <c r="K394" s="20" t="n">
        <v>240494</v>
      </c>
      <c r="L394" s="20" t="n">
        <v>329047</v>
      </c>
      <c r="M394" s="20" t="n">
        <v>103519</v>
      </c>
      <c r="N394" s="20" t="n">
        <v>204370</v>
      </c>
      <c r="P394" s="20" t="n">
        <v>160209</v>
      </c>
      <c r="Q394" s="20" t="n">
        <v>175512</v>
      </c>
      <c r="R394" s="20" t="n">
        <v>183680</v>
      </c>
      <c r="S394" s="20" t="n">
        <v>185270</v>
      </c>
      <c r="T394" s="20" t="n">
        <v>236284</v>
      </c>
      <c r="U394" s="20" t="n">
        <v>246443</v>
      </c>
      <c r="V394" s="20" t="n">
        <v>262375</v>
      </c>
      <c r="W394" s="20" t="n">
        <v>269220</v>
      </c>
      <c r="X394" s="20" t="n">
        <v>329047</v>
      </c>
    </row>
    <row r="395">
      <c r="A395" s="18" t="inlineStr">
        <is>
          <t>이자 수취</t>
        </is>
      </c>
      <c r="C395" s="20" t="n">
        <v>9464</v>
      </c>
      <c r="D395" s="20" t="n">
        <v>12779</v>
      </c>
      <c r="E395" s="20" t="n">
        <v>5979</v>
      </c>
      <c r="F395" s="20" t="n">
        <v>12628</v>
      </c>
      <c r="G395" s="20" t="n">
        <v>16170</v>
      </c>
      <c r="H395" s="20" t="n">
        <v>19707</v>
      </c>
      <c r="I395" s="20" t="n">
        <v>3611</v>
      </c>
      <c r="J395" s="20" t="n">
        <v>6843</v>
      </c>
      <c r="K395" s="20" t="n">
        <v>10292</v>
      </c>
      <c r="L395" s="20" t="n">
        <v>13547</v>
      </c>
      <c r="P395" s="20" t="n">
        <v>1499</v>
      </c>
      <c r="Q395" s="20" t="n">
        <v>2435</v>
      </c>
      <c r="R395" s="20" t="n">
        <v>3201</v>
      </c>
      <c r="S395" s="20" t="n">
        <v>1286</v>
      </c>
      <c r="T395" s="20" t="n">
        <v>955</v>
      </c>
      <c r="U395" s="20" t="n">
        <v>5928</v>
      </c>
      <c r="V395" s="20" t="n">
        <v>12779</v>
      </c>
      <c r="W395" s="20" t="n">
        <v>19707</v>
      </c>
      <c r="X395" s="20" t="n">
        <v>13547</v>
      </c>
    </row>
    <row r="396">
      <c r="A396" s="18" t="inlineStr">
        <is>
          <t>배당금 수취액</t>
        </is>
      </c>
      <c r="C396" s="20" t="n">
        <v>113</v>
      </c>
      <c r="D396" s="20" t="n">
        <v>118</v>
      </c>
      <c r="E396" s="20" t="n">
        <v>11</v>
      </c>
      <c r="F396" s="20" t="n">
        <v>12</v>
      </c>
      <c r="G396" s="20" t="n">
        <v>12</v>
      </c>
      <c r="H396" s="20" t="n">
        <v>12</v>
      </c>
      <c r="I396" s="20" t="n">
        <v>136</v>
      </c>
      <c r="J396" s="20" t="n">
        <v>147</v>
      </c>
      <c r="K396" s="20" t="n">
        <v>402</v>
      </c>
      <c r="L396" s="20" t="n">
        <v>402</v>
      </c>
      <c r="P396" s="20" t="n">
        <v>8</v>
      </c>
      <c r="Q396" s="20" t="n">
        <v>5</v>
      </c>
      <c r="R396" s="20" t="n">
        <v>14</v>
      </c>
      <c r="S396" s="20" t="n">
        <v>8</v>
      </c>
      <c r="T396" s="20" t="n">
        <v>42</v>
      </c>
      <c r="U396" s="20" t="n">
        <v>63</v>
      </c>
      <c r="V396" s="20" t="n">
        <v>118</v>
      </c>
      <c r="W396" s="20" t="n">
        <v>12</v>
      </c>
      <c r="X396" s="20" t="n">
        <v>402</v>
      </c>
    </row>
    <row r="397">
      <c r="A397" s="18" t="inlineStr">
        <is>
          <t>이자 지급</t>
        </is>
      </c>
      <c r="C397" s="20" t="n">
        <v>-468</v>
      </c>
      <c r="D397" s="20" t="n">
        <v>-718</v>
      </c>
      <c r="E397" s="20" t="n">
        <v>-215</v>
      </c>
      <c r="F397" s="20" t="n">
        <v>-442</v>
      </c>
      <c r="G397" s="20" t="n">
        <v>-690</v>
      </c>
      <c r="H397" s="20" t="n">
        <v>-985</v>
      </c>
      <c r="I397" s="20" t="n">
        <v>-229</v>
      </c>
      <c r="J397" s="20" t="n">
        <v>-503</v>
      </c>
      <c r="K397" s="20" t="n">
        <v>-794</v>
      </c>
      <c r="L397" s="20" t="n">
        <v>-1315</v>
      </c>
      <c r="P397" s="20" t="n">
        <v>-456</v>
      </c>
      <c r="Q397" s="20" t="n">
        <v>-261</v>
      </c>
      <c r="R397" s="20" t="n">
        <v>-511</v>
      </c>
      <c r="S397" s="20" t="n">
        <v>-580</v>
      </c>
      <c r="T397" s="20" t="n">
        <v>-366</v>
      </c>
      <c r="U397" s="20" t="n">
        <v>-524</v>
      </c>
      <c r="V397" s="20" t="n">
        <v>-718</v>
      </c>
      <c r="W397" s="20" t="n">
        <v>-985</v>
      </c>
      <c r="X397" s="20" t="n">
        <v>-1315</v>
      </c>
    </row>
    <row r="398">
      <c r="A398" s="18" t="inlineStr">
        <is>
          <t>법인세 납부</t>
        </is>
      </c>
      <c r="C398" s="20" t="n">
        <v>-48533</v>
      </c>
      <c r="D398" s="20" t="n">
        <v>-52697</v>
      </c>
      <c r="E398" s="20" t="n">
        <v>-19465</v>
      </c>
      <c r="F398" s="20" t="n">
        <v>-30649</v>
      </c>
      <c r="G398" s="20" t="n">
        <v>-50352</v>
      </c>
      <c r="H398" s="20" t="n">
        <v>-56058</v>
      </c>
      <c r="I398" s="20" t="n">
        <v>-24619</v>
      </c>
      <c r="J398" s="20" t="n">
        <v>-32622</v>
      </c>
      <c r="K398" s="20" t="n">
        <v>-54371</v>
      </c>
      <c r="L398" s="20" t="n">
        <v>-66366</v>
      </c>
      <c r="M398" s="20" t="n">
        <v>-33768</v>
      </c>
      <c r="N398" s="20" t="n">
        <v>-46512</v>
      </c>
      <c r="P398" s="20" t="n">
        <v>-26425</v>
      </c>
      <c r="Q398" s="20" t="n">
        <v>-31637</v>
      </c>
      <c r="R398" s="20" t="n">
        <v>-23169</v>
      </c>
      <c r="S398" s="20" t="n">
        <v>-34875</v>
      </c>
      <c r="T398" s="20" t="n">
        <v>-47291</v>
      </c>
      <c r="U398" s="20" t="n">
        <v>-51304</v>
      </c>
      <c r="V398" s="20" t="n">
        <v>-52697</v>
      </c>
      <c r="W398" s="20" t="n">
        <v>-56058</v>
      </c>
      <c r="X398" s="20" t="n">
        <v>-66366</v>
      </c>
    </row>
    <row r="399">
      <c r="A399" s="18" t="inlineStr">
        <is>
          <t>법인세 환급</t>
        </is>
      </c>
      <c r="C399" s="20" t="n">
        <v>782</v>
      </c>
      <c r="D399" s="20" t="n">
        <v>945</v>
      </c>
      <c r="E399" s="20" t="n">
        <v>361</v>
      </c>
      <c r="F399" s="20" t="n">
        <v>1883</v>
      </c>
      <c r="G399" s="20" t="n">
        <v>2848</v>
      </c>
      <c r="H399" s="20" t="n">
        <v>3216</v>
      </c>
      <c r="I399" s="20" t="n">
        <v>1869</v>
      </c>
      <c r="J399" s="20" t="n">
        <v>2760</v>
      </c>
      <c r="K399" s="20" t="n">
        <v>2760</v>
      </c>
      <c r="L399" s="20" t="n">
        <v>3130</v>
      </c>
      <c r="M399" s="20" t="n">
        <v>248</v>
      </c>
      <c r="N399" s="20" t="n">
        <v>331</v>
      </c>
      <c r="P399" s="20" t="n">
        <v>664</v>
      </c>
      <c r="Q399" s="20" t="n">
        <v>533</v>
      </c>
      <c r="R399" s="20" t="n">
        <v>152</v>
      </c>
      <c r="S399" s="20" t="n">
        <v>703</v>
      </c>
      <c r="T399" s="20" t="n">
        <v>431</v>
      </c>
      <c r="U399" s="20" t="n">
        <v>1224</v>
      </c>
      <c r="V399" s="20" t="n">
        <v>945</v>
      </c>
      <c r="W399" s="20" t="n">
        <v>3216</v>
      </c>
      <c r="X399" s="20" t="n">
        <v>3130</v>
      </c>
    </row>
    <row r="400">
      <c r="A400" s="9" t="inlineStr">
        <is>
          <t>영업활동 현금흐름</t>
        </is>
      </c>
      <c r="C400" s="12" t="n">
        <v>156871</v>
      </c>
      <c r="D400" s="12" t="n">
        <v>222802</v>
      </c>
      <c r="E400" s="12" t="n">
        <v>52914</v>
      </c>
      <c r="F400" s="12" t="n">
        <v>122579</v>
      </c>
      <c r="G400" s="12" t="n">
        <v>182287</v>
      </c>
      <c r="H400" s="12" t="n">
        <v>235113</v>
      </c>
      <c r="I400" s="12" t="n">
        <v>57227</v>
      </c>
      <c r="J400" s="12" t="n">
        <v>128025</v>
      </c>
      <c r="K400" s="12" t="n">
        <v>198783</v>
      </c>
      <c r="L400" s="12" t="n">
        <v>278446</v>
      </c>
      <c r="M400" s="12" t="n">
        <v>70000</v>
      </c>
      <c r="N400" s="12" t="n">
        <v>158189</v>
      </c>
      <c r="P400" s="12" t="n">
        <v>135499</v>
      </c>
      <c r="Q400" s="12" t="n">
        <v>146588</v>
      </c>
      <c r="R400" s="12" t="n">
        <v>163366</v>
      </c>
      <c r="S400" s="12" t="n">
        <v>151812</v>
      </c>
      <c r="T400" s="12" t="n">
        <v>190055</v>
      </c>
      <c r="U400" s="12" t="n">
        <v>201829</v>
      </c>
      <c r="V400" s="12" t="n">
        <v>222802</v>
      </c>
      <c r="W400" s="12" t="n">
        <v>235113</v>
      </c>
      <c r="X400" s="12" t="n">
        <v>278446</v>
      </c>
    </row>
    <row r="401">
      <c r="A401" s="18" t="inlineStr">
        <is>
          <t>정기예금 인출</t>
        </is>
      </c>
      <c r="C401" s="20" t="n">
        <v>4229</v>
      </c>
      <c r="D401" s="20" t="n">
        <v>4521</v>
      </c>
      <c r="E401" s="20" t="n">
        <v>7445</v>
      </c>
      <c r="F401" s="20" t="n">
        <v>7446</v>
      </c>
      <c r="G401" s="20" t="n">
        <v>8560</v>
      </c>
      <c r="H401" s="20" t="n">
        <v>8636</v>
      </c>
      <c r="I401" s="20" t="n">
        <v>0</v>
      </c>
      <c r="J401" s="20" t="n">
        <v>0</v>
      </c>
      <c r="K401" s="20" t="n">
        <v>2213</v>
      </c>
      <c r="L401" s="20" t="n">
        <v>2213</v>
      </c>
      <c r="M401" s="20" t="n">
        <v>1771</v>
      </c>
      <c r="N401" s="20" t="n">
        <v>1771</v>
      </c>
      <c r="P401" s="20" t="n">
        <v>11025</v>
      </c>
      <c r="Q401" s="20" t="n">
        <v>21815</v>
      </c>
      <c r="R401" s="20" t="n">
        <v>2804</v>
      </c>
      <c r="S401" s="20" t="n">
        <v>560</v>
      </c>
      <c r="T401" s="20" t="n">
        <v>212</v>
      </c>
      <c r="U401" s="20" t="n">
        <v>3946</v>
      </c>
      <c r="V401" s="20" t="n">
        <v>4521</v>
      </c>
      <c r="W401" s="20" t="n">
        <v>8636</v>
      </c>
      <c r="X401" s="20" t="n">
        <v>2213</v>
      </c>
    </row>
    <row r="402">
      <c r="A402" s="18" t="inlineStr">
        <is>
          <t>정기예금 예입</t>
        </is>
      </c>
      <c r="C402" s="20" t="n">
        <v>-2624</v>
      </c>
      <c r="D402" s="20" t="n">
        <v>-2624</v>
      </c>
      <c r="E402" s="20" t="n">
        <v>-1373</v>
      </c>
      <c r="F402" s="20" t="n">
        <v>-1448</v>
      </c>
      <c r="G402" s="20" t="n">
        <v>-2488</v>
      </c>
      <c r="H402" s="20" t="n">
        <v>-2488</v>
      </c>
      <c r="I402" s="20" t="n">
        <v>0</v>
      </c>
      <c r="J402" s="20" t="n">
        <v>-207</v>
      </c>
      <c r="K402" s="20" t="n">
        <v>-1851</v>
      </c>
      <c r="L402" s="20" t="n">
        <v>-1851</v>
      </c>
      <c r="M402" s="20" t="n">
        <v>-716</v>
      </c>
      <c r="N402" s="20" t="n">
        <v>-832</v>
      </c>
      <c r="P402" s="20" t="n">
        <v>-6186</v>
      </c>
      <c r="Q402" s="20" t="n">
        <v>-18223</v>
      </c>
      <c r="R402" s="20" t="n">
        <v>-2367</v>
      </c>
      <c r="S402" s="20" t="n">
        <v>-12</v>
      </c>
      <c r="T402" s="20" t="n">
        <v>-217</v>
      </c>
      <c r="U402" s="20" t="n">
        <v>-12632</v>
      </c>
      <c r="V402" s="20" t="n">
        <v>-2624</v>
      </c>
      <c r="W402" s="20" t="n">
        <v>-2488</v>
      </c>
      <c r="X402" s="20" t="n">
        <v>-1851</v>
      </c>
    </row>
    <row r="403">
      <c r="A403" s="18" t="inlineStr">
        <is>
          <t>유형자산 매각</t>
        </is>
      </c>
      <c r="C403" s="20" t="n">
        <v>1380</v>
      </c>
      <c r="D403" s="20" t="n">
        <v>1986</v>
      </c>
      <c r="E403" s="20" t="n">
        <v>72</v>
      </c>
      <c r="F403" s="20" t="n">
        <v>108</v>
      </c>
      <c r="G403" s="20" t="n">
        <v>220</v>
      </c>
      <c r="H403" s="20" t="n">
        <v>253</v>
      </c>
      <c r="I403" s="20" t="n">
        <v>186</v>
      </c>
      <c r="J403" s="20" t="n">
        <v>279</v>
      </c>
      <c r="K403" s="20" t="n">
        <v>318</v>
      </c>
      <c r="L403" s="20" t="n">
        <v>474</v>
      </c>
      <c r="M403" s="20" t="n">
        <v>127</v>
      </c>
      <c r="N403" s="20" t="n">
        <v>160</v>
      </c>
      <c r="P403" s="20" t="n">
        <v>559</v>
      </c>
      <c r="Q403" s="20" t="n">
        <v>2340</v>
      </c>
      <c r="R403" s="20" t="n">
        <v>472</v>
      </c>
      <c r="S403" s="20" t="n">
        <v>2077</v>
      </c>
      <c r="T403" s="20" t="n">
        <v>1469</v>
      </c>
      <c r="U403" s="20" t="n">
        <v>2639</v>
      </c>
      <c r="V403" s="20" t="n">
        <v>1986</v>
      </c>
      <c r="W403" s="20" t="n">
        <v>253</v>
      </c>
      <c r="X403" s="20" t="n">
        <v>474</v>
      </c>
    </row>
    <row r="404">
      <c r="A404" s="18" t="inlineStr">
        <is>
          <t>유형자산 취득(설비투자)</t>
        </is>
      </c>
      <c r="C404" s="20" t="n">
        <v>-27794</v>
      </c>
      <c r="D404" s="20" t="n">
        <v>-41074</v>
      </c>
      <c r="E404" s="20" t="n">
        <v>-11364</v>
      </c>
      <c r="F404" s="20" t="n">
        <v>-23349</v>
      </c>
      <c r="G404" s="20" t="n">
        <v>-35455</v>
      </c>
      <c r="H404" s="20" t="n">
        <v>-47922</v>
      </c>
      <c r="I404" s="20" t="n">
        <v>-13537</v>
      </c>
      <c r="J404" s="20" t="n">
        <v>-28042</v>
      </c>
      <c r="K404" s="20" t="n">
        <v>-42132</v>
      </c>
      <c r="L404" s="20" t="n">
        <v>-56581</v>
      </c>
      <c r="M404" s="20" t="n">
        <v>-11308</v>
      </c>
      <c r="N404" s="20" t="n">
        <v>-28728</v>
      </c>
      <c r="P404" s="20" t="n">
        <v>-17974</v>
      </c>
      <c r="Q404" s="20" t="n">
        <v>-26672</v>
      </c>
      <c r="R404" s="20" t="n">
        <v>-45177</v>
      </c>
      <c r="S404" s="20" t="n">
        <v>-31246</v>
      </c>
      <c r="T404" s="20" t="n">
        <v>-28872</v>
      </c>
      <c r="U404" s="20" t="n">
        <v>-33473</v>
      </c>
      <c r="V404" s="20" t="n">
        <v>-41074</v>
      </c>
      <c r="W404" s="20" t="n">
        <v>-47922</v>
      </c>
      <c r="X404" s="20" t="n">
        <v>-56581</v>
      </c>
    </row>
    <row r="405">
      <c r="A405" s="18" t="inlineStr">
        <is>
          <t>정부보조금 수입</t>
        </is>
      </c>
      <c r="D405" s="20" t="n">
        <v>2843</v>
      </c>
      <c r="U405" s="20" t="n">
        <v>0</v>
      </c>
      <c r="V405" s="20" t="n">
        <v>2843</v>
      </c>
    </row>
    <row r="406">
      <c r="A406" s="18" t="inlineStr">
        <is>
          <t>정부보조금 수입</t>
        </is>
      </c>
      <c r="C406" s="20" t="n">
        <v>2843</v>
      </c>
      <c r="D406" s="20" t="n">
        <v>2843</v>
      </c>
      <c r="E406" s="20" t="n">
        <v>0</v>
      </c>
      <c r="F406" s="20" t="n">
        <v>0</v>
      </c>
      <c r="G406" s="20" t="n">
        <v>0</v>
      </c>
      <c r="H406" s="20" t="n">
        <v>0</v>
      </c>
      <c r="V406" s="20" t="n">
        <v>2843</v>
      </c>
      <c r="W406" s="20" t="n">
        <v>0</v>
      </c>
    </row>
    <row r="407">
      <c r="A407" s="18" t="inlineStr">
        <is>
          <t>자회사 매각 관련 선수금</t>
        </is>
      </c>
      <c r="E407" s="20" t="n">
        <v>0</v>
      </c>
    </row>
    <row r="408">
      <c r="A408" s="18" t="inlineStr">
        <is>
          <t>투자 매각 수입</t>
        </is>
      </c>
      <c r="F408" s="20" t="n">
        <v>0</v>
      </c>
      <c r="G408" s="20" t="n">
        <v>275</v>
      </c>
      <c r="J408" s="20" t="n">
        <v>40772</v>
      </c>
      <c r="K408" s="20" t="n">
        <v>40799</v>
      </c>
    </row>
    <row r="409">
      <c r="A409" s="18" t="inlineStr">
        <is>
          <t>투자 매각 수입</t>
        </is>
      </c>
      <c r="D409" s="20" t="n">
        <v>65</v>
      </c>
      <c r="H409" s="20" t="n">
        <v>275</v>
      </c>
      <c r="L409" s="20" t="n">
        <v>41135</v>
      </c>
      <c r="P409" s="20" t="n">
        <v>959</v>
      </c>
      <c r="Q409" s="20" t="n">
        <v>10</v>
      </c>
      <c r="R409" s="20" t="n">
        <v>1948</v>
      </c>
      <c r="S409" s="20" t="n">
        <v>665</v>
      </c>
      <c r="T409" s="20" t="n">
        <v>219</v>
      </c>
      <c r="U409" s="20" t="n">
        <v>86</v>
      </c>
      <c r="V409" s="20" t="n">
        <v>65</v>
      </c>
      <c r="W409" s="20" t="n">
        <v>275</v>
      </c>
      <c r="X409" s="20" t="n">
        <v>41135</v>
      </c>
    </row>
    <row r="410">
      <c r="A410" s="18" t="inlineStr">
        <is>
          <t>투자 매각 수입</t>
        </is>
      </c>
      <c r="C410" s="20" t="n">
        <v>65</v>
      </c>
      <c r="G410" s="20" t="n">
        <v>275</v>
      </c>
      <c r="J410" s="20" t="n">
        <v>40772</v>
      </c>
      <c r="N410" s="20" t="n">
        <v>0</v>
      </c>
    </row>
    <row r="411">
      <c r="A411" s="18" t="inlineStr">
        <is>
          <t>투자 취득 지출</t>
        </is>
      </c>
      <c r="C411" s="20" t="n">
        <v>-90</v>
      </c>
      <c r="D411" s="20" t="n">
        <v>-90</v>
      </c>
      <c r="F411" s="20" t="n">
        <v>0</v>
      </c>
      <c r="G411" s="20" t="n">
        <v>0</v>
      </c>
      <c r="H411" s="20" t="n">
        <v>0</v>
      </c>
      <c r="J411" s="20" t="n">
        <v>-91</v>
      </c>
      <c r="K411" s="20" t="n">
        <v>-91</v>
      </c>
      <c r="L411" s="20" t="n">
        <v>-91</v>
      </c>
      <c r="N411" s="20" t="n">
        <v>0</v>
      </c>
      <c r="P411" s="20" t="n">
        <v>-1333</v>
      </c>
      <c r="Q411" s="20" t="n">
        <v>-27777</v>
      </c>
      <c r="R411" s="20" t="n">
        <v>-1562</v>
      </c>
      <c r="S411" s="20" t="n">
        <v>-163</v>
      </c>
      <c r="T411" s="20" t="n">
        <v>-195</v>
      </c>
      <c r="U411" s="20" t="n">
        <v>-108</v>
      </c>
      <c r="V411" s="20" t="n">
        <v>-90</v>
      </c>
      <c r="W411" s="20" t="n">
        <v>0</v>
      </c>
      <c r="X411" s="20" t="n">
        <v>-91</v>
      </c>
    </row>
    <row r="412">
      <c r="A412" s="18" t="inlineStr">
        <is>
          <t>자회사 매각 수입</t>
        </is>
      </c>
      <c r="C412" s="20" t="n">
        <v>3306</v>
      </c>
      <c r="D412" s="20" t="n">
        <v>3306</v>
      </c>
      <c r="F412" s="20" t="n">
        <v>0</v>
      </c>
      <c r="G412" s="20" t="n">
        <v>0</v>
      </c>
      <c r="H412" s="20" t="n">
        <v>0</v>
      </c>
      <c r="J412" s="20" t="n">
        <v>0</v>
      </c>
      <c r="K412" s="20" t="n">
        <v>5947</v>
      </c>
      <c r="L412" s="20" t="n">
        <v>5947</v>
      </c>
      <c r="P412" s="20" t="n">
        <v>5</v>
      </c>
      <c r="Q412" s="20" t="n">
        <v>260</v>
      </c>
      <c r="S412" s="20" t="n">
        <v>0</v>
      </c>
      <c r="T412" s="20" t="n">
        <v>2040</v>
      </c>
      <c r="U412" s="20" t="n">
        <v>-340</v>
      </c>
      <c r="V412" s="20" t="n">
        <v>3306</v>
      </c>
      <c r="W412" s="20" t="n">
        <v>0</v>
      </c>
      <c r="X412" s="20" t="n">
        <v>5947</v>
      </c>
    </row>
    <row r="413">
      <c r="A413" s="18" t="inlineStr">
        <is>
          <t>자회사 취득 지출</t>
        </is>
      </c>
      <c r="C413" s="20" t="n">
        <v>-3241</v>
      </c>
      <c r="D413" s="20" t="n">
        <v>-3241</v>
      </c>
      <c r="E413" s="20" t="n">
        <v>0</v>
      </c>
      <c r="F413" s="20" t="n">
        <v>0</v>
      </c>
      <c r="G413" s="20" t="n">
        <v>-392</v>
      </c>
      <c r="H413" s="20" t="n">
        <v>-495</v>
      </c>
      <c r="I413" s="20" t="n">
        <v>-1637</v>
      </c>
      <c r="J413" s="20" t="n">
        <v>-1637</v>
      </c>
      <c r="K413" s="20" t="n">
        <v>-1637</v>
      </c>
      <c r="L413" s="20" t="n">
        <v>-1723</v>
      </c>
      <c r="M413" s="20" t="n">
        <v>0</v>
      </c>
      <c r="N413" s="20" t="n">
        <v>0</v>
      </c>
      <c r="P413" s="20" t="n">
        <v>-54018</v>
      </c>
      <c r="Q413" s="20" t="n">
        <v>-19742</v>
      </c>
      <c r="R413" s="20" t="n">
        <v>-969</v>
      </c>
      <c r="S413" s="20" t="n">
        <v>-335</v>
      </c>
      <c r="T413" s="20" t="n">
        <v>-120</v>
      </c>
      <c r="U413" s="20" t="n">
        <v>-4747</v>
      </c>
      <c r="V413" s="20" t="n">
        <v>-3241</v>
      </c>
      <c r="W413" s="20" t="n">
        <v>-495</v>
      </c>
      <c r="X413" s="20" t="n">
        <v>-1723</v>
      </c>
    </row>
    <row r="414">
      <c r="A414" s="18" t="inlineStr">
        <is>
          <t>합병 교부금 지출</t>
        </is>
      </c>
      <c r="P414" s="20" t="n">
        <v>-2</v>
      </c>
      <c r="Q414" s="20" t="n">
        <v>0</v>
      </c>
    </row>
    <row r="415">
      <c r="A415" s="18" t="inlineStr">
        <is>
          <t>사업양도 수입</t>
        </is>
      </c>
      <c r="G415" s="20" t="n">
        <v>0</v>
      </c>
      <c r="H415" s="20" t="n">
        <v>0</v>
      </c>
      <c r="K415" s="20" t="n">
        <v>2976</v>
      </c>
      <c r="L415" s="20" t="n">
        <v>3304</v>
      </c>
      <c r="P415" s="20" t="n">
        <v>0</v>
      </c>
      <c r="Q415" s="20" t="n">
        <v>4</v>
      </c>
      <c r="S415" s="20" t="n">
        <v>0</v>
      </c>
      <c r="T415" s="20" t="n">
        <v>1588</v>
      </c>
      <c r="U415" s="20" t="n">
        <v>0</v>
      </c>
      <c r="W415" s="20" t="n">
        <v>0</v>
      </c>
      <c r="X415" s="20" t="n">
        <v>3304</v>
      </c>
    </row>
    <row r="416">
      <c r="A416" s="18" t="inlineStr">
        <is>
          <t>사업양수 지출</t>
        </is>
      </c>
      <c r="C416" s="20" t="n">
        <v>-330</v>
      </c>
      <c r="D416" s="20" t="n">
        <v>-335</v>
      </c>
      <c r="E416" s="20" t="n">
        <v>0</v>
      </c>
      <c r="F416" s="20" t="n">
        <v>-113</v>
      </c>
      <c r="G416" s="20" t="n">
        <v>-168</v>
      </c>
      <c r="H416" s="20" t="n">
        <v>-243</v>
      </c>
      <c r="I416" s="20" t="n">
        <v>0</v>
      </c>
      <c r="J416" s="20" t="n">
        <v>0</v>
      </c>
      <c r="K416" s="20" t="n">
        <v>-66</v>
      </c>
      <c r="L416" s="20" t="n">
        <v>-66</v>
      </c>
      <c r="M416" s="20" t="n">
        <v>-10</v>
      </c>
      <c r="N416" s="20" t="n">
        <v>-20</v>
      </c>
      <c r="P416" s="20" t="n">
        <v>-251</v>
      </c>
      <c r="Q416" s="20" t="n">
        <v>-421</v>
      </c>
      <c r="R416" s="20" t="n">
        <v>-542</v>
      </c>
      <c r="S416" s="20" t="n">
        <v>-800</v>
      </c>
      <c r="T416" s="20" t="n">
        <v>-2102</v>
      </c>
      <c r="U416" s="20" t="n">
        <v>-757</v>
      </c>
      <c r="V416" s="20" t="n">
        <v>-335</v>
      </c>
      <c r="W416" s="20" t="n">
        <v>-243</v>
      </c>
      <c r="X416" s="20" t="n">
        <v>-66</v>
      </c>
    </row>
    <row r="417">
      <c r="A417" s="18" t="inlineStr">
        <is>
          <t>기타 수입</t>
        </is>
      </c>
      <c r="P417" s="20" t="n">
        <v>759</v>
      </c>
      <c r="Q417" s="20" t="n">
        <v>427</v>
      </c>
    </row>
    <row r="418">
      <c r="A418" s="18" t="inlineStr">
        <is>
          <t>기타 지출</t>
        </is>
      </c>
      <c r="P418" s="20" t="n">
        <v>-2076</v>
      </c>
      <c r="Q418" s="20" t="n">
        <v>-2164</v>
      </c>
    </row>
    <row r="419">
      <c r="A419" s="18" t="inlineStr">
        <is>
          <t>관계회사 대여금 회수 수입</t>
        </is>
      </c>
      <c r="F419" s="20" t="n">
        <v>5097</v>
      </c>
    </row>
    <row r="420">
      <c r="A420" s="18" t="inlineStr">
        <is>
          <t>관계회사 대여금 회수 관련 선수금</t>
        </is>
      </c>
      <c r="F420" s="20" t="n">
        <v>5535</v>
      </c>
    </row>
    <row r="421">
      <c r="A421" s="18" t="inlineStr">
        <is>
          <t>관계회사 대여금 회수 수입</t>
        </is>
      </c>
      <c r="C421" s="20" t="n">
        <v>0</v>
      </c>
      <c r="D421" s="20" t="n">
        <v>0</v>
      </c>
      <c r="F421" s="20" t="n">
        <v>5097</v>
      </c>
      <c r="G421" s="20" t="n">
        <v>9611</v>
      </c>
      <c r="H421" s="20" t="n">
        <v>10129</v>
      </c>
      <c r="J421" s="20" t="n">
        <v>0</v>
      </c>
      <c r="K421" s="20" t="n">
        <v>0</v>
      </c>
      <c r="L421" s="20" t="n">
        <v>0</v>
      </c>
      <c r="V421" s="20" t="n">
        <v>0</v>
      </c>
      <c r="W421" s="20" t="n">
        <v>10129</v>
      </c>
      <c r="X421" s="20" t="n">
        <v>0</v>
      </c>
    </row>
    <row r="422">
      <c r="A422" s="18" t="inlineStr">
        <is>
          <t>관계회사 대여금 회수 관련 선수금</t>
        </is>
      </c>
      <c r="C422" s="20" t="n">
        <v>0</v>
      </c>
      <c r="F422" s="20" t="n">
        <v>5535</v>
      </c>
      <c r="G422" s="20" t="n">
        <v>570</v>
      </c>
      <c r="J422" s="20" t="n">
        <v>0</v>
      </c>
      <c r="K422" s="20" t="n">
        <v>0</v>
      </c>
    </row>
    <row r="423">
      <c r="A423" s="18" t="inlineStr">
        <is>
          <t>이자 수취</t>
        </is>
      </c>
      <c r="I423" s="20" t="n">
        <v>3611</v>
      </c>
      <c r="J423" s="20" t="n">
        <v>6843</v>
      </c>
      <c r="M423" s="20" t="n">
        <v>3125</v>
      </c>
      <c r="N423" s="20" t="n">
        <v>5449</v>
      </c>
    </row>
    <row r="424">
      <c r="A424" s="18" t="inlineStr">
        <is>
          <t>배당금 수취액</t>
        </is>
      </c>
      <c r="I424" s="20" t="n">
        <v>136</v>
      </c>
      <c r="J424" s="20" t="n">
        <v>147</v>
      </c>
      <c r="M424" s="20" t="n">
        <v>15</v>
      </c>
      <c r="N424" s="20" t="n">
        <v>41</v>
      </c>
    </row>
    <row r="425">
      <c r="A425" s="18" t="inlineStr">
        <is>
          <t>기타 수입</t>
        </is>
      </c>
      <c r="C425" s="20" t="n">
        <v>290</v>
      </c>
      <c r="D425" s="20" t="n">
        <v>370</v>
      </c>
      <c r="E425" s="20" t="n">
        <v>199</v>
      </c>
      <c r="F425" s="20" t="n">
        <v>279</v>
      </c>
      <c r="G425" s="20" t="n">
        <v>461</v>
      </c>
      <c r="H425" s="20" t="n">
        <v>699</v>
      </c>
      <c r="I425" s="20" t="n">
        <v>203</v>
      </c>
      <c r="J425" s="20" t="n">
        <v>875</v>
      </c>
      <c r="K425" s="20" t="n">
        <v>999</v>
      </c>
      <c r="L425" s="20" t="n">
        <v>1190</v>
      </c>
      <c r="M425" s="20" t="n">
        <v>121</v>
      </c>
      <c r="N425" s="20" t="n">
        <v>189</v>
      </c>
      <c r="R425" s="20" t="n">
        <v>226</v>
      </c>
      <c r="S425" s="20" t="n">
        <v>2300</v>
      </c>
      <c r="T425" s="20" t="n">
        <v>277</v>
      </c>
      <c r="U425" s="20" t="n">
        <v>279</v>
      </c>
      <c r="V425" s="20" t="n">
        <v>370</v>
      </c>
      <c r="W425" s="20" t="n">
        <v>699</v>
      </c>
      <c r="X425" s="20" t="n">
        <v>1190</v>
      </c>
    </row>
    <row r="426">
      <c r="A426" s="18" t="inlineStr">
        <is>
          <t>기타 지출</t>
        </is>
      </c>
      <c r="C426" s="20" t="n">
        <v>-893</v>
      </c>
      <c r="D426" s="20" t="n">
        <v>-1536</v>
      </c>
      <c r="E426" s="20" t="n">
        <v>-311</v>
      </c>
      <c r="F426" s="20" t="n">
        <v>-800</v>
      </c>
      <c r="G426" s="20" t="n">
        <v>-1540</v>
      </c>
      <c r="H426" s="20" t="n">
        <v>-2035</v>
      </c>
      <c r="I426" s="20" t="n">
        <v>-699</v>
      </c>
      <c r="J426" s="20" t="n">
        <v>-924</v>
      </c>
      <c r="K426" s="20" t="n">
        <v>-1209</v>
      </c>
      <c r="L426" s="20" t="n">
        <v>-1537</v>
      </c>
      <c r="M426" s="20" t="n">
        <v>-231</v>
      </c>
      <c r="N426" s="20" t="n">
        <v>-515</v>
      </c>
      <c r="R426" s="20" t="n">
        <v>-2217</v>
      </c>
      <c r="S426" s="20" t="n">
        <v>-2837</v>
      </c>
      <c r="T426" s="20" t="n">
        <v>-3597</v>
      </c>
      <c r="U426" s="20" t="n">
        <v>-2390</v>
      </c>
      <c r="V426" s="20" t="n">
        <v>-1536</v>
      </c>
      <c r="W426" s="20" t="n">
        <v>-2035</v>
      </c>
      <c r="X426" s="20" t="n">
        <v>-1537</v>
      </c>
    </row>
    <row r="427">
      <c r="A427" s="9" t="inlineStr">
        <is>
          <t>투자활동 현금흐름</t>
        </is>
      </c>
      <c r="C427" s="12" t="n">
        <v>-22860</v>
      </c>
      <c r="D427" s="12" t="n">
        <v>-35808</v>
      </c>
      <c r="E427" s="12" t="n">
        <v>-5333</v>
      </c>
      <c r="F427" s="12" t="n">
        <v>-7246</v>
      </c>
      <c r="G427" s="12" t="n">
        <v>-20348</v>
      </c>
      <c r="H427" s="12" t="n">
        <v>-33192</v>
      </c>
      <c r="I427" s="12" t="n">
        <v>-11738</v>
      </c>
      <c r="J427" s="12" t="n">
        <v>18013</v>
      </c>
      <c r="K427" s="12" t="n">
        <v>6266</v>
      </c>
      <c r="L427" s="12" t="n">
        <v>-7586</v>
      </c>
      <c r="M427" s="12" t="n">
        <v>-7106</v>
      </c>
      <c r="N427" s="12" t="n">
        <v>-22484</v>
      </c>
      <c r="P427" s="12" t="n">
        <v>-68533</v>
      </c>
      <c r="Q427" s="12" t="n">
        <v>-70144</v>
      </c>
      <c r="R427" s="12" t="n">
        <v>-47384</v>
      </c>
      <c r="S427" s="12" t="n">
        <v>-29790</v>
      </c>
      <c r="T427" s="12" t="n">
        <v>-29298</v>
      </c>
      <c r="U427" s="12" t="n">
        <v>-47496</v>
      </c>
      <c r="V427" s="12" t="n">
        <v>-35808</v>
      </c>
      <c r="W427" s="12" t="n">
        <v>-33192</v>
      </c>
      <c r="X427" s="12" t="n">
        <v>-7586</v>
      </c>
    </row>
    <row r="428">
      <c r="A428" s="18" t="inlineStr">
        <is>
          <t>이자 지급</t>
        </is>
      </c>
      <c r="I428" s="20" t="n">
        <v>-229</v>
      </c>
      <c r="J428" s="20" t="n">
        <v>-503</v>
      </c>
      <c r="M428" s="20" t="n">
        <v>-375</v>
      </c>
      <c r="N428" s="20" t="n">
        <v>-852</v>
      </c>
    </row>
    <row r="429">
      <c r="A429" s="18" t="inlineStr">
        <is>
          <t>배당금 지급</t>
        </is>
      </c>
      <c r="C429" s="20" t="n">
        <v>-38764</v>
      </c>
      <c r="D429" s="20" t="n">
        <v>-38778</v>
      </c>
      <c r="E429" s="20" t="n">
        <v>-22707</v>
      </c>
      <c r="F429" s="20" t="n">
        <v>-22764</v>
      </c>
      <c r="G429" s="20" t="n">
        <v>-38402</v>
      </c>
      <c r="H429" s="20" t="n">
        <v>-38417</v>
      </c>
      <c r="I429" s="20" t="n">
        <v>-39325</v>
      </c>
      <c r="J429" s="20" t="n">
        <v>-39387</v>
      </c>
      <c r="K429" s="20" t="n">
        <v>-81876</v>
      </c>
      <c r="L429" s="20" t="n">
        <v>-81903</v>
      </c>
      <c r="M429" s="20" t="n">
        <v>-56912</v>
      </c>
      <c r="N429" s="20" t="n">
        <v>-57000</v>
      </c>
      <c r="P429" s="20" t="n">
        <v>-29042</v>
      </c>
      <c r="Q429" s="20" t="n">
        <v>-34141</v>
      </c>
      <c r="R429" s="20" t="n">
        <v>-34042</v>
      </c>
      <c r="S429" s="20" t="n">
        <v>-33720</v>
      </c>
      <c r="T429" s="20" t="n">
        <v>-33201</v>
      </c>
      <c r="U429" s="20" t="n">
        <v>-39794</v>
      </c>
      <c r="V429" s="20" t="n">
        <v>-38778</v>
      </c>
      <c r="W429" s="20" t="n">
        <v>-38417</v>
      </c>
      <c r="X429" s="20" t="n">
        <v>-81903</v>
      </c>
    </row>
    <row r="430">
      <c r="A430" s="18" t="inlineStr">
        <is>
          <t>비지배지분 배당금 지급액</t>
        </is>
      </c>
      <c r="D430" s="20" t="n">
        <v>0</v>
      </c>
      <c r="I430" s="20" t="n">
        <v>0</v>
      </c>
      <c r="J430" s="20" t="n">
        <v>0</v>
      </c>
      <c r="M430" s="20" t="n">
        <v>-0</v>
      </c>
      <c r="N430" s="20" t="n">
        <v>-0</v>
      </c>
      <c r="P430" s="20" t="n">
        <v>-34</v>
      </c>
      <c r="Q430" s="20" t="n">
        <v>-30</v>
      </c>
      <c r="S430" s="20" t="n">
        <v>0</v>
      </c>
      <c r="T430" s="20" t="n">
        <v>-89</v>
      </c>
      <c r="U430" s="20" t="n">
        <v>-171</v>
      </c>
      <c r="V430" s="20" t="n">
        <v>0</v>
      </c>
    </row>
    <row r="431">
      <c r="A431" s="18" t="inlineStr">
        <is>
          <t>단기차입금 순증감</t>
        </is>
      </c>
      <c r="C431" s="20" t="n">
        <v>-100</v>
      </c>
      <c r="D431" s="20" t="n">
        <v>-200</v>
      </c>
      <c r="F431" s="20" t="n">
        <v>-100</v>
      </c>
      <c r="G431" s="20" t="n">
        <v>-100</v>
      </c>
      <c r="H431" s="20" t="n">
        <v>-201</v>
      </c>
      <c r="J431" s="20" t="n">
        <v>-55</v>
      </c>
      <c r="K431" s="20" t="n">
        <v>-55</v>
      </c>
      <c r="L431" s="20" t="n">
        <v>-55</v>
      </c>
      <c r="N431" s="20" t="n">
        <v>0</v>
      </c>
      <c r="R431" s="20" t="n">
        <v>-775</v>
      </c>
      <c r="S431" s="20" t="n">
        <v>-27</v>
      </c>
      <c r="T431" s="20" t="n">
        <v>-200</v>
      </c>
      <c r="U431" s="20" t="n">
        <v>-200</v>
      </c>
      <c r="V431" s="20" t="n">
        <v>-200</v>
      </c>
      <c r="W431" s="20" t="n">
        <v>-201</v>
      </c>
      <c r="X431" s="20" t="n">
        <v>-55</v>
      </c>
    </row>
    <row r="432">
      <c r="A432" s="18" t="inlineStr">
        <is>
          <t>장기차입</t>
        </is>
      </c>
      <c r="C432" s="20" t="n">
        <v>0</v>
      </c>
      <c r="D432" s="20" t="n">
        <v>734</v>
      </c>
      <c r="E432" s="20" t="n">
        <v>2170</v>
      </c>
      <c r="F432" s="20" t="n">
        <v>4126</v>
      </c>
      <c r="G432" s="20" t="n">
        <v>7179</v>
      </c>
      <c r="H432" s="20" t="n">
        <v>9802</v>
      </c>
      <c r="I432" s="20" t="n">
        <v>2961</v>
      </c>
      <c r="J432" s="20" t="n">
        <v>5031</v>
      </c>
      <c r="K432" s="20" t="n">
        <v>5468</v>
      </c>
      <c r="L432" s="20" t="n">
        <v>5540</v>
      </c>
      <c r="M432" s="20" t="n">
        <v>1</v>
      </c>
      <c r="N432" s="20" t="n">
        <v>205</v>
      </c>
      <c r="R432" s="20" t="n">
        <v>0</v>
      </c>
      <c r="S432" s="20" t="n">
        <v>738</v>
      </c>
      <c r="T432" s="20" t="n">
        <v>0</v>
      </c>
      <c r="U432" s="20" t="n">
        <v>0</v>
      </c>
      <c r="V432" s="20" t="n">
        <v>734</v>
      </c>
      <c r="W432" s="20" t="n">
        <v>9802</v>
      </c>
      <c r="X432" s="20" t="n">
        <v>5540</v>
      </c>
    </row>
    <row r="433">
      <c r="A433" s="18" t="inlineStr">
        <is>
          <t>장기차입금 상환</t>
        </is>
      </c>
      <c r="C433" s="20" t="n">
        <v>-451</v>
      </c>
      <c r="D433" s="20" t="n">
        <v>-555</v>
      </c>
      <c r="E433" s="20" t="n">
        <v>-219</v>
      </c>
      <c r="F433" s="20" t="n">
        <v>-219</v>
      </c>
      <c r="G433" s="20" t="n">
        <v>-219</v>
      </c>
      <c r="H433" s="20" t="n">
        <v>-343</v>
      </c>
      <c r="I433" s="20" t="n">
        <v>-184</v>
      </c>
      <c r="J433" s="20" t="n">
        <v>-311</v>
      </c>
      <c r="K433" s="20" t="n">
        <v>-1367</v>
      </c>
      <c r="L433" s="20" t="n">
        <v>-2337</v>
      </c>
      <c r="M433" s="20" t="n">
        <v>-374</v>
      </c>
      <c r="N433" s="20" t="n">
        <v>-2267</v>
      </c>
      <c r="P433" s="20" t="n">
        <v>-339</v>
      </c>
      <c r="Q433" s="20" t="n">
        <v>-271</v>
      </c>
      <c r="R433" s="20" t="n">
        <v>-134</v>
      </c>
      <c r="S433" s="20" t="n">
        <v>-20</v>
      </c>
      <c r="T433" s="20" t="n">
        <v>-23</v>
      </c>
      <c r="U433" s="20" t="n">
        <v>-169</v>
      </c>
      <c r="V433" s="20" t="n">
        <v>-555</v>
      </c>
      <c r="W433" s="20" t="n">
        <v>-343</v>
      </c>
      <c r="X433" s="20" t="n">
        <v>-2337</v>
      </c>
    </row>
    <row r="434">
      <c r="A434" s="18" t="inlineStr">
        <is>
          <t>사채 상환</t>
        </is>
      </c>
      <c r="P434" s="20" t="n">
        <v>-35021</v>
      </c>
      <c r="Q434" s="20" t="n">
        <v>-14</v>
      </c>
    </row>
    <row r="435">
      <c r="A435" s="18" t="inlineStr">
        <is>
          <t>리스부채 상환 지출</t>
        </is>
      </c>
      <c r="C435" s="20" t="n">
        <v>-6698</v>
      </c>
      <c r="D435" s="20" t="n">
        <v>-8873</v>
      </c>
      <c r="E435" s="20" t="n">
        <v>-2128</v>
      </c>
      <c r="F435" s="20" t="n">
        <v>-4416</v>
      </c>
      <c r="G435" s="20" t="n">
        <v>-6763</v>
      </c>
      <c r="H435" s="20" t="n">
        <v>-9068</v>
      </c>
      <c r="I435" s="20" t="n">
        <v>-2189</v>
      </c>
      <c r="J435" s="20" t="n">
        <v>-4701</v>
      </c>
      <c r="K435" s="20" t="n">
        <v>-7235</v>
      </c>
      <c r="L435" s="20" t="n">
        <v>-9700</v>
      </c>
      <c r="M435" s="20" t="n">
        <v>-2554</v>
      </c>
      <c r="N435" s="20" t="n">
        <v>-5216</v>
      </c>
      <c r="R435" s="20" t="n">
        <v>-7547</v>
      </c>
      <c r="S435" s="20" t="n">
        <v>-7273</v>
      </c>
      <c r="T435" s="20" t="n">
        <v>-8217</v>
      </c>
      <c r="U435" s="20" t="n">
        <v>-8618</v>
      </c>
      <c r="V435" s="20" t="n">
        <v>-8873</v>
      </c>
      <c r="W435" s="20" t="n">
        <v>-9068</v>
      </c>
      <c r="X435" s="20" t="n">
        <v>-9700</v>
      </c>
    </row>
    <row r="436">
      <c r="A436" s="18" t="inlineStr">
        <is>
          <t>자기주식 매각</t>
        </is>
      </c>
      <c r="D436" s="20" t="n">
        <v>0</v>
      </c>
      <c r="H436" s="20" t="n">
        <v>0</v>
      </c>
      <c r="L436" s="20" t="n">
        <v>1</v>
      </c>
      <c r="P436" s="20" t="n">
        <v>0</v>
      </c>
      <c r="Q436" s="20" t="n">
        <v>0</v>
      </c>
      <c r="S436" s="20" t="n">
        <v>0</v>
      </c>
      <c r="T436" s="20" t="n">
        <v>0</v>
      </c>
      <c r="U436" s="20" t="n">
        <v>1</v>
      </c>
      <c r="V436" s="20" t="n">
        <v>0</v>
      </c>
      <c r="W436" s="20" t="n">
        <v>0</v>
      </c>
      <c r="X436" s="20" t="n">
        <v>1</v>
      </c>
    </row>
    <row r="437">
      <c r="A437" s="18" t="inlineStr">
        <is>
          <t>자기주식 취득</t>
        </is>
      </c>
      <c r="C437" s="20" t="n">
        <v>-56050</v>
      </c>
      <c r="D437" s="20" t="n">
        <v>-56052</v>
      </c>
      <c r="E437" s="20" t="n">
        <v>-24996</v>
      </c>
      <c r="F437" s="20" t="n">
        <v>-50002</v>
      </c>
      <c r="G437" s="20" t="n">
        <v>-87356</v>
      </c>
      <c r="H437" s="20" t="n">
        <v>-150012</v>
      </c>
      <c r="I437" s="20" t="n">
        <v>-1</v>
      </c>
      <c r="J437" s="20" t="n">
        <v>-48550</v>
      </c>
      <c r="K437" s="20" t="n">
        <v>-100012</v>
      </c>
      <c r="L437" s="20" t="n">
        <v>-171970</v>
      </c>
      <c r="M437" s="20" t="n">
        <v>-28052</v>
      </c>
      <c r="N437" s="20" t="n">
        <v>-78057</v>
      </c>
      <c r="P437" s="20" t="n">
        <v>-55034</v>
      </c>
      <c r="Q437" s="20" t="n">
        <v>-2</v>
      </c>
      <c r="R437" s="20" t="n">
        <v>-44283</v>
      </c>
      <c r="S437" s="20" t="n">
        <v>-76675</v>
      </c>
      <c r="T437" s="20" t="n">
        <v>-65764</v>
      </c>
      <c r="U437" s="20" t="n">
        <v>-153973</v>
      </c>
      <c r="V437" s="20" t="n">
        <v>-56052</v>
      </c>
      <c r="W437" s="20" t="n">
        <v>-150012</v>
      </c>
      <c r="X437" s="20" t="n">
        <v>-171970</v>
      </c>
    </row>
    <row r="438">
      <c r="A438" s="18" t="inlineStr">
        <is>
          <t>스톡옵션 행사 수입</t>
        </is>
      </c>
      <c r="C438" s="20" t="n">
        <v>364</v>
      </c>
      <c r="D438" s="20" t="n">
        <v>386</v>
      </c>
      <c r="E438" s="20" t="n">
        <v>208</v>
      </c>
      <c r="F438" s="20" t="n">
        <v>255</v>
      </c>
      <c r="G438" s="20" t="n">
        <v>417</v>
      </c>
      <c r="H438" s="20" t="n">
        <v>518</v>
      </c>
      <c r="I438" s="20" t="n">
        <v>12</v>
      </c>
      <c r="J438" s="20" t="n">
        <v>63</v>
      </c>
      <c r="K438" s="20" t="n">
        <v>171</v>
      </c>
      <c r="L438" s="20" t="n">
        <v>294</v>
      </c>
      <c r="M438" s="20" t="n">
        <v>25</v>
      </c>
      <c r="N438" s="20" t="n">
        <v>83</v>
      </c>
      <c r="P438" s="20" t="n">
        <v>2240</v>
      </c>
      <c r="Q438" s="20" t="n">
        <v>1600</v>
      </c>
      <c r="R438" s="20" t="n">
        <v>1277</v>
      </c>
      <c r="S438" s="20" t="n">
        <v>1304</v>
      </c>
      <c r="T438" s="20" t="n">
        <v>607</v>
      </c>
      <c r="U438" s="20" t="n">
        <v>769</v>
      </c>
      <c r="V438" s="20" t="n">
        <v>386</v>
      </c>
      <c r="W438" s="20" t="n">
        <v>518</v>
      </c>
      <c r="X438" s="20" t="n">
        <v>294</v>
      </c>
    </row>
    <row r="439">
      <c r="A439" s="18" t="inlineStr">
        <is>
          <t>비지배지분 납입 수입</t>
        </is>
      </c>
      <c r="D439" s="20" t="n">
        <v>0</v>
      </c>
      <c r="P439" s="20" t="n">
        <v>45</v>
      </c>
      <c r="Q439" s="20" t="n">
        <v>67</v>
      </c>
      <c r="R439" s="20" t="n">
        <v>187</v>
      </c>
      <c r="S439" s="20" t="n">
        <v>0</v>
      </c>
      <c r="T439" s="20" t="n">
        <v>164</v>
      </c>
      <c r="U439" s="20" t="n">
        <v>7772</v>
      </c>
      <c r="V439" s="20" t="n">
        <v>0</v>
      </c>
    </row>
    <row r="440">
      <c r="A440" s="18" t="inlineStr">
        <is>
          <t>비지배지분 환급 지출</t>
        </is>
      </c>
      <c r="T440" s="20" t="n">
        <v>0</v>
      </c>
      <c r="U440" s="20" t="n">
        <v>-208</v>
      </c>
    </row>
    <row r="441">
      <c r="A441" s="18" t="inlineStr">
        <is>
          <t>비지배지분 환급 지출</t>
        </is>
      </c>
      <c r="D441" s="20" t="n">
        <v>0</v>
      </c>
      <c r="U441" s="20" t="n">
        <v>-208</v>
      </c>
      <c r="V441" s="20" t="n">
        <v>0</v>
      </c>
    </row>
    <row r="442">
      <c r="A442" s="18" t="inlineStr">
        <is>
          <t>비지배지분으로부터 자회사 지분 취득 지출</t>
        </is>
      </c>
      <c r="C442" s="20" t="n">
        <v>-7555</v>
      </c>
      <c r="D442" s="20" t="n">
        <v>-7555</v>
      </c>
      <c r="F442" s="20" t="n">
        <v>-2456</v>
      </c>
      <c r="G442" s="20" t="n">
        <v>-2632</v>
      </c>
      <c r="H442" s="20" t="n">
        <v>-2632</v>
      </c>
      <c r="J442" s="20" t="n">
        <v>0</v>
      </c>
      <c r="K442" s="20" t="n">
        <v>-1128</v>
      </c>
      <c r="L442" s="20" t="n">
        <v>-1128</v>
      </c>
      <c r="P442" s="20" t="n">
        <v>-148</v>
      </c>
      <c r="Q442" s="20" t="n">
        <v>0</v>
      </c>
      <c r="R442" s="20" t="n">
        <v>-149</v>
      </c>
      <c r="S442" s="20" t="n">
        <v>0</v>
      </c>
      <c r="U442" s="20" t="n">
        <v>0</v>
      </c>
      <c r="V442" s="20" t="n">
        <v>-7555</v>
      </c>
      <c r="W442" s="20" t="n">
        <v>-2632</v>
      </c>
      <c r="X442" s="20" t="n">
        <v>-1128</v>
      </c>
    </row>
    <row r="443">
      <c r="A443" s="9" t="inlineStr">
        <is>
          <t>재무활동 현금흐름</t>
        </is>
      </c>
      <c r="C443" s="12" t="n">
        <v>-109254</v>
      </c>
      <c r="D443" s="12" t="n">
        <v>-110892</v>
      </c>
      <c r="E443" s="12" t="n">
        <v>-47673</v>
      </c>
      <c r="F443" s="12" t="n">
        <v>-75577</v>
      </c>
      <c r="G443" s="12" t="n">
        <v>-127877</v>
      </c>
      <c r="H443" s="12" t="n">
        <v>-190352</v>
      </c>
      <c r="I443" s="12" t="n">
        <v>-38957</v>
      </c>
      <c r="J443" s="12" t="n">
        <v>-88412</v>
      </c>
      <c r="K443" s="12" t="n">
        <v>-186034</v>
      </c>
      <c r="L443" s="12" t="n">
        <v>-261259</v>
      </c>
      <c r="M443" s="12" t="n">
        <v>-88241</v>
      </c>
      <c r="N443" s="12" t="n">
        <v>-143105</v>
      </c>
      <c r="P443" s="12" t="n">
        <v>-117333</v>
      </c>
      <c r="Q443" s="12" t="n">
        <v>-32792</v>
      </c>
      <c r="R443" s="12" t="n">
        <v>-85468</v>
      </c>
      <c r="S443" s="12" t="n">
        <v>-115673</v>
      </c>
      <c r="T443" s="12" t="n">
        <v>-106722</v>
      </c>
      <c r="U443" s="12" t="n">
        <v>-194593</v>
      </c>
      <c r="V443" s="12" t="n">
        <v>-110892</v>
      </c>
      <c r="W443" s="12" t="n">
        <v>-190352</v>
      </c>
      <c r="X443" s="12" t="n">
        <v>-261259</v>
      </c>
    </row>
    <row r="444">
      <c r="A444" s="18" t="inlineStr">
        <is>
          <t>현금및현금성자산 증가(△감소)</t>
        </is>
      </c>
      <c r="C444" s="20" t="n">
        <v>24757</v>
      </c>
      <c r="D444" s="20" t="n">
        <v>76102</v>
      </c>
      <c r="E444" s="20" t="n">
        <v>-92</v>
      </c>
      <c r="F444" s="20" t="n">
        <v>39757</v>
      </c>
      <c r="G444" s="20" t="n">
        <v>34063</v>
      </c>
      <c r="H444" s="20" t="n">
        <v>11569</v>
      </c>
      <c r="I444" s="20" t="n">
        <v>6533</v>
      </c>
      <c r="J444" s="20" t="n">
        <v>57626</v>
      </c>
      <c r="K444" s="20" t="n">
        <v>19015</v>
      </c>
      <c r="L444" s="20" t="n">
        <v>9601</v>
      </c>
      <c r="M444" s="20" t="n">
        <v>-25347</v>
      </c>
      <c r="N444" s="20" t="n">
        <v>-7399</v>
      </c>
      <c r="P444" s="20" t="n">
        <v>-50367</v>
      </c>
      <c r="Q444" s="20" t="n">
        <v>43652</v>
      </c>
      <c r="R444" s="20" t="n">
        <v>30514</v>
      </c>
      <c r="S444" s="20" t="n">
        <v>6349</v>
      </c>
      <c r="T444" s="20" t="n">
        <v>54034</v>
      </c>
      <c r="U444" s="20" t="n">
        <v>-40259</v>
      </c>
      <c r="V444" s="20" t="n">
        <v>76102</v>
      </c>
      <c r="W444" s="20" t="n">
        <v>11569</v>
      </c>
      <c r="X444" s="20" t="n">
        <v>9601</v>
      </c>
    </row>
    <row r="445">
      <c r="A445" s="18" t="inlineStr">
        <is>
          <t>현금및현금성자산 환율변동 효과</t>
        </is>
      </c>
      <c r="C445" s="20" t="n">
        <v>19903</v>
      </c>
      <c r="D445" s="20" t="n">
        <v>43172</v>
      </c>
      <c r="E445" s="20" t="n">
        <v>27913</v>
      </c>
      <c r="F445" s="20" t="n">
        <v>-18505</v>
      </c>
      <c r="G445" s="20" t="n">
        <v>20056</v>
      </c>
      <c r="H445" s="20" t="n">
        <v>-2764</v>
      </c>
      <c r="I445" s="20" t="n">
        <v>-6864</v>
      </c>
      <c r="J445" s="20" t="n">
        <v>4800</v>
      </c>
      <c r="K445" s="20" t="n">
        <v>27601</v>
      </c>
      <c r="L445" s="20" t="n">
        <v>30524</v>
      </c>
      <c r="M445" s="20" t="n">
        <v>6748</v>
      </c>
      <c r="N445" s="20" t="n">
        <v>-4752</v>
      </c>
      <c r="P445" s="20" t="n">
        <v>-649</v>
      </c>
      <c r="Q445" s="20" t="n">
        <v>3910</v>
      </c>
      <c r="R445" s="20" t="n">
        <v>-5930</v>
      </c>
      <c r="S445" s="20" t="n">
        <v>10566</v>
      </c>
      <c r="T445" s="20" t="n">
        <v>30473</v>
      </c>
      <c r="U445" s="20" t="n">
        <v>26743</v>
      </c>
      <c r="V445" s="20" t="n">
        <v>43172</v>
      </c>
      <c r="W445" s="20" t="n">
        <v>-2764</v>
      </c>
      <c r="X445" s="20" t="n">
        <v>30524</v>
      </c>
    </row>
    <row r="446">
      <c r="A446" s="9" t="inlineStr">
        <is>
          <t>법인세비용차감전 당기이익</t>
        </is>
      </c>
      <c r="C446" s="12" t="n">
        <v>164471</v>
      </c>
      <c r="D446" s="12" t="n">
        <v>236564</v>
      </c>
      <c r="E446" s="12" t="n">
        <v>64190</v>
      </c>
      <c r="F446" s="12" t="n">
        <v>127031</v>
      </c>
      <c r="G446" s="12" t="n">
        <v>192255</v>
      </c>
      <c r="H446" s="12" t="n">
        <v>259965</v>
      </c>
      <c r="I446" s="12" t="n">
        <v>67363</v>
      </c>
      <c r="J446" s="12" t="n">
        <v>139294</v>
      </c>
      <c r="K446" s="12" t="n">
        <v>250095</v>
      </c>
      <c r="L446" s="12" t="n">
        <v>327668</v>
      </c>
      <c r="P446" s="12" t="n">
        <v>124248</v>
      </c>
      <c r="Q446" s="12" t="n">
        <v>144657</v>
      </c>
      <c r="R446" s="12" t="n">
        <v>147268</v>
      </c>
      <c r="S446" s="12" t="n">
        <v>159218</v>
      </c>
      <c r="T446" s="12" t="n">
        <v>210706</v>
      </c>
      <c r="U446" s="12" t="n">
        <v>215832</v>
      </c>
      <c r="V446" s="12" t="n">
        <v>236564</v>
      </c>
      <c r="W446" s="12" t="n">
        <v>259965</v>
      </c>
      <c r="X446" s="12" t="n">
        <v>327668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15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7741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959706</v>
      </c>
      <c r="D5" s="12" t="n"/>
      <c r="E5" s="12" t="n">
        <v>960752</v>
      </c>
      <c r="F5" s="12" t="n">
        <v>960752</v>
      </c>
      <c r="G5" s="12" t="n">
        <v>955887</v>
      </c>
      <c r="H5" s="11" t="n">
        <v>682965</v>
      </c>
      <c r="I5" s="12" t="n">
        <v>710155</v>
      </c>
      <c r="J5" s="12" t="n">
        <v>856635</v>
      </c>
      <c r="K5" s="12" t="n">
        <v>879731</v>
      </c>
      <c r="L5" s="12" t="n">
        <v>960752</v>
      </c>
    </row>
    <row r="6">
      <c r="A6" s="18" t="inlineStr">
        <is>
          <t>현금및현금성자산</t>
        </is>
      </c>
      <c r="B6" s="10" t="n"/>
      <c r="C6" s="19" t="n">
        <v>596394</v>
      </c>
      <c r="D6" s="20" t="n"/>
      <c r="E6" s="20" t="n">
        <v>574092</v>
      </c>
      <c r="F6" s="20" t="n">
        <v>574092</v>
      </c>
      <c r="G6" s="20" t="n">
        <v>561941</v>
      </c>
      <c r="H6" s="19" t="n">
        <v>419404</v>
      </c>
      <c r="I6" s="20" t="n">
        <v>405888</v>
      </c>
      <c r="J6" s="20" t="n">
        <v>525162</v>
      </c>
      <c r="K6" s="20" t="n">
        <v>533967</v>
      </c>
      <c r="L6" s="20" t="n">
        <v>574092</v>
      </c>
    </row>
    <row r="7">
      <c r="A7" s="18" t="inlineStr">
        <is>
          <t>단기금융상품</t>
        </is>
      </c>
      <c r="B7" s="10" t="n"/>
      <c r="C7" s="19" t="n">
        <v>4803</v>
      </c>
      <c r="D7" s="20" t="n"/>
      <c r="E7" s="20" t="n">
        <v>4751</v>
      </c>
      <c r="F7" s="20" t="n">
        <v>4751</v>
      </c>
      <c r="G7" s="20" t="n">
        <v>3697</v>
      </c>
      <c r="H7" s="19" t="n">
        <v>7223</v>
      </c>
      <c r="I7" s="20" t="n">
        <v>20379</v>
      </c>
      <c r="J7" s="20" t="n">
        <v>19237</v>
      </c>
      <c r="K7" s="20" t="n">
        <v>4567</v>
      </c>
      <c r="L7" s="20" t="n">
        <v>4751</v>
      </c>
    </row>
    <row r="8">
      <c r="A8" s="18" t="inlineStr">
        <is>
          <t>매출채권</t>
        </is>
      </c>
      <c r="B8" s="10" t="n"/>
      <c r="C8" s="19" t="n"/>
      <c r="D8" s="20" t="n"/>
      <c r="E8" s="20" t="n"/>
      <c r="F8" s="20" t="n"/>
      <c r="G8" s="20" t="n"/>
      <c r="H8" s="19" t="n"/>
      <c r="I8" s="20" t="n"/>
      <c r="J8" s="20" t="n"/>
      <c r="K8" s="20" t="n"/>
      <c r="L8" s="20" t="n"/>
    </row>
    <row r="9">
      <c r="A9" s="18" t="inlineStr">
        <is>
          <t>재고자산</t>
        </is>
      </c>
      <c r="B9" s="10" t="n"/>
      <c r="C9" s="19" t="n">
        <v>125726</v>
      </c>
      <c r="D9" s="20" t="n"/>
      <c r="E9" s="20" t="n">
        <v>132482</v>
      </c>
      <c r="F9" s="20" t="n">
        <v>132482</v>
      </c>
      <c r="G9" s="20" t="n">
        <v>135771</v>
      </c>
      <c r="H9" s="19" t="n">
        <v>91441</v>
      </c>
      <c r="I9" s="20" t="n">
        <v>105150</v>
      </c>
      <c r="J9" s="20" t="n">
        <v>119076</v>
      </c>
      <c r="K9" s="20" t="n">
        <v>124550</v>
      </c>
      <c r="L9" s="20" t="n">
        <v>132482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323723</v>
      </c>
      <c r="D11" s="12" t="n"/>
      <c r="E11" s="12" t="n">
        <v>340145</v>
      </c>
      <c r="F11" s="12" t="n">
        <v>340145</v>
      </c>
      <c r="G11" s="12" t="n">
        <v>345290</v>
      </c>
      <c r="H11" s="11" t="n">
        <v>309874</v>
      </c>
      <c r="I11" s="12" t="n">
        <v>318171</v>
      </c>
      <c r="J11" s="12" t="n">
        <v>346988</v>
      </c>
      <c r="K11" s="12" t="n">
        <v>354547</v>
      </c>
      <c r="L11" s="12" t="n">
        <v>340145</v>
      </c>
    </row>
    <row r="12">
      <c r="A12" s="18" t="inlineStr">
        <is>
          <t>유형자산</t>
        </is>
      </c>
      <c r="B12" s="10" t="n"/>
      <c r="C12" s="19" t="n">
        <v>219543</v>
      </c>
      <c r="D12" s="20" t="n"/>
      <c r="E12" s="20" t="n">
        <v>235653</v>
      </c>
      <c r="F12" s="20" t="n">
        <v>235653</v>
      </c>
      <c r="G12" s="20" t="n">
        <v>240221</v>
      </c>
      <c r="H12" s="19" t="n">
        <v>169665</v>
      </c>
      <c r="I12" s="20" t="n">
        <v>178648</v>
      </c>
      <c r="J12" s="20" t="n">
        <v>198225</v>
      </c>
      <c r="K12" s="20" t="n">
        <v>210890</v>
      </c>
      <c r="L12" s="20" t="n">
        <v>235653</v>
      </c>
    </row>
    <row r="13">
      <c r="A13" s="18" t="inlineStr">
        <is>
          <t>무형자산</t>
        </is>
      </c>
      <c r="B13" s="10" t="n"/>
      <c r="C13" s="19" t="n">
        <v>21363</v>
      </c>
      <c r="D13" s="20" t="n"/>
      <c r="E13" s="20" t="n">
        <v>21578</v>
      </c>
      <c r="F13" s="20" t="n">
        <v>21578</v>
      </c>
      <c r="G13" s="20" t="n">
        <v>19085</v>
      </c>
      <c r="H13" s="19" t="n">
        <v>35768</v>
      </c>
      <c r="I13" s="20" t="n">
        <v>35732</v>
      </c>
      <c r="J13" s="20" t="n">
        <v>34042</v>
      </c>
      <c r="K13" s="20" t="n">
        <v>24637</v>
      </c>
      <c r="L13" s="20" t="n">
        <v>21578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1283429</v>
      </c>
      <c r="D16" s="12" t="n"/>
      <c r="E16" s="12" t="n">
        <v>1300897</v>
      </c>
      <c r="F16" s="12" t="n">
        <v>1300897</v>
      </c>
      <c r="G16" s="12" t="n">
        <v>1301176</v>
      </c>
      <c r="H16" s="11" t="n">
        <v>992839</v>
      </c>
      <c r="I16" s="12" t="n">
        <v>1028326</v>
      </c>
      <c r="J16" s="12" t="n">
        <v>1203623</v>
      </c>
      <c r="K16" s="12" t="n">
        <v>1234278</v>
      </c>
      <c r="L16" s="12" t="n">
        <v>1300897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193198</v>
      </c>
      <c r="D18" s="12" t="n"/>
      <c r="E18" s="12" t="n">
        <v>199674</v>
      </c>
      <c r="F18" s="12" t="n">
        <v>199674</v>
      </c>
      <c r="G18" s="12" t="n">
        <v>204012</v>
      </c>
      <c r="H18" s="11" t="n">
        <v>147380</v>
      </c>
      <c r="I18" s="12" t="n">
        <v>156099</v>
      </c>
      <c r="J18" s="12" t="n">
        <v>168972</v>
      </c>
      <c r="K18" s="12" t="n">
        <v>179508</v>
      </c>
      <c r="L18" s="12" t="n">
        <v>199674</v>
      </c>
    </row>
    <row r="19">
      <c r="A19" s="18" t="inlineStr">
        <is>
          <t>매입채무</t>
        </is>
      </c>
      <c r="B19" s="10" t="n"/>
      <c r="C19" s="19" t="n"/>
      <c r="D19" s="20" t="n"/>
      <c r="E19" s="20" t="n"/>
      <c r="F19" s="20" t="n"/>
      <c r="G19" s="20" t="n"/>
      <c r="H19" s="19" t="n"/>
      <c r="I19" s="20" t="n"/>
      <c r="J19" s="20" t="n"/>
      <c r="K19" s="20" t="n"/>
      <c r="L19" s="20" t="n"/>
    </row>
    <row r="20">
      <c r="A20" s="18" t="inlineStr">
        <is>
          <t>단기차입금</t>
        </is>
      </c>
      <c r="B20" s="10" t="n"/>
      <c r="C20" s="19" t="n"/>
      <c r="D20" s="20" t="n"/>
      <c r="E20" s="20" t="n"/>
      <c r="F20" s="20" t="n"/>
      <c r="G20" s="20" t="n"/>
      <c r="H20" s="19" t="n"/>
      <c r="I20" s="20" t="n"/>
      <c r="J20" s="20" t="n"/>
      <c r="K20" s="20" t="n"/>
      <c r="L20" s="20" t="n"/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/>
      <c r="I21" s="20" t="n"/>
      <c r="J21" s="20" t="n"/>
      <c r="K21" s="20" t="n"/>
      <c r="L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87285</v>
      </c>
      <c r="D23" s="12" t="n"/>
      <c r="E23" s="12" t="n">
        <v>66218</v>
      </c>
      <c r="F23" s="12" t="n">
        <v>66218</v>
      </c>
      <c r="G23" s="12" t="n">
        <v>69673</v>
      </c>
      <c r="H23" s="11" t="n">
        <v>56404</v>
      </c>
      <c r="I23" s="12" t="n">
        <v>57623</v>
      </c>
      <c r="J23" s="12" t="n">
        <v>72387</v>
      </c>
      <c r="K23" s="12" t="n">
        <v>83141</v>
      </c>
      <c r="L23" s="12" t="n">
        <v>66218</v>
      </c>
    </row>
    <row r="24">
      <c r="A24" s="18" t="inlineStr">
        <is>
          <t>장기차입금</t>
        </is>
      </c>
      <c r="B24" s="10" t="n"/>
      <c r="C24" s="19" t="n"/>
      <c r="D24" s="20" t="n"/>
      <c r="E24" s="20" t="n"/>
      <c r="F24" s="20" t="n"/>
      <c r="G24" s="20" t="n"/>
      <c r="H24" s="19" t="n"/>
      <c r="I24" s="20" t="n"/>
      <c r="J24" s="20" t="n"/>
      <c r="K24" s="20" t="n"/>
      <c r="L24" s="20" t="n"/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280483</v>
      </c>
      <c r="D27" s="12" t="n"/>
      <c r="E27" s="12" t="n">
        <v>265893</v>
      </c>
      <c r="F27" s="12" t="n">
        <v>265893</v>
      </c>
      <c r="G27" s="12" t="n">
        <v>273684</v>
      </c>
      <c r="H27" s="11" t="n">
        <v>203783</v>
      </c>
      <c r="I27" s="12" t="n">
        <v>213722</v>
      </c>
      <c r="J27" s="12" t="n">
        <v>241359</v>
      </c>
      <c r="K27" s="12" t="n">
        <v>262649</v>
      </c>
      <c r="L27" s="12" t="n">
        <v>265893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1006033</v>
      </c>
      <c r="D31" s="12" t="n"/>
      <c r="E31" s="12" t="n">
        <v>1020460</v>
      </c>
      <c r="F31" s="12" t="n">
        <v>1020460</v>
      </c>
      <c r="G31" s="12" t="n">
        <v>1012859</v>
      </c>
      <c r="H31" s="11" t="n">
        <v>803851</v>
      </c>
      <c r="I31" s="12" t="n">
        <v>818321</v>
      </c>
      <c r="J31" s="12" t="n">
        <v>967758</v>
      </c>
      <c r="K31" s="12" t="n">
        <v>974023</v>
      </c>
      <c r="L31" s="12" t="n">
        <v>1020460</v>
      </c>
    </row>
    <row r="32">
      <c r="A32" s="18" t="inlineStr">
        <is>
          <t>자본금</t>
        </is>
      </c>
      <c r="B32" s="10" t="n"/>
      <c r="C32" s="19" t="n">
        <v>6264</v>
      </c>
      <c r="D32" s="20" t="n"/>
      <c r="E32" s="20" t="n">
        <v>6264</v>
      </c>
      <c r="F32" s="20" t="n">
        <v>6264</v>
      </c>
      <c r="G32" s="20" t="n">
        <v>6264</v>
      </c>
      <c r="H32" s="19" t="n">
        <v>6264</v>
      </c>
      <c r="I32" s="20" t="n">
        <v>6264</v>
      </c>
      <c r="J32" s="20" t="n">
        <v>6264</v>
      </c>
      <c r="K32" s="20" t="n">
        <v>6264</v>
      </c>
      <c r="L32" s="20" t="n">
        <v>6264</v>
      </c>
    </row>
    <row r="33">
      <c r="A33" s="18" t="inlineStr">
        <is>
          <t>이익잉여금</t>
        </is>
      </c>
      <c r="B33" s="10" t="n"/>
      <c r="C33" s="19" t="n">
        <v>897978</v>
      </c>
      <c r="D33" s="20" t="n"/>
      <c r="E33" s="20" t="n">
        <v>902401</v>
      </c>
      <c r="F33" s="20" t="n">
        <v>902401</v>
      </c>
      <c r="G33" s="20" t="n">
        <v>883948</v>
      </c>
      <c r="H33" s="19" t="n">
        <v>802815</v>
      </c>
      <c r="I33" s="20" t="n">
        <v>752999</v>
      </c>
      <c r="J33" s="20" t="n">
        <v>805997</v>
      </c>
      <c r="K33" s="20" t="n">
        <v>871357</v>
      </c>
      <c r="L33" s="20" t="n">
        <v>902401</v>
      </c>
    </row>
    <row r="34">
      <c r="A34" s="18" t="inlineStr">
        <is>
          <t>비지배지분</t>
        </is>
      </c>
      <c r="B34" s="10" t="n"/>
      <c r="C34" s="19" t="n">
        <v>-3087</v>
      </c>
      <c r="D34" s="20" t="n"/>
      <c r="E34" s="20" t="n">
        <v>14544</v>
      </c>
      <c r="F34" s="20" t="n">
        <v>14544</v>
      </c>
      <c r="G34" s="20" t="n">
        <v>14633</v>
      </c>
      <c r="H34" s="19" t="n">
        <v>-14795</v>
      </c>
      <c r="I34" s="20" t="n">
        <v>-3717</v>
      </c>
      <c r="J34" s="20" t="n">
        <v>-5494</v>
      </c>
      <c r="K34" s="20" t="n">
        <v>-2394</v>
      </c>
      <c r="L34" s="20" t="n">
        <v>14544</v>
      </c>
    </row>
    <row r="35">
      <c r="A35" s="9" t="inlineStr">
        <is>
          <t>자본총계</t>
        </is>
      </c>
      <c r="B35" s="10" t="n"/>
      <c r="C35" s="11" t="n">
        <v>1002946</v>
      </c>
      <c r="D35" s="12" t="n"/>
      <c r="E35" s="12" t="n">
        <v>1035004</v>
      </c>
      <c r="F35" s="12" t="n">
        <v>1035004</v>
      </c>
      <c r="G35" s="12" t="n">
        <v>1027492</v>
      </c>
      <c r="H35" s="11" t="n">
        <v>789056</v>
      </c>
      <c r="I35" s="12" t="n">
        <v>814604</v>
      </c>
      <c r="J35" s="12" t="n">
        <v>962264</v>
      </c>
      <c r="K35" s="12" t="n">
        <v>971629</v>
      </c>
      <c r="L35" s="12" t="n">
        <v>1035004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239426</v>
      </c>
      <c r="D37" s="12" t="n">
        <v>240559</v>
      </c>
      <c r="E37" s="12" t="n">
        <v>251609</v>
      </c>
      <c r="F37" s="12" t="n">
        <v>278446</v>
      </c>
      <c r="G37" s="12" t="n">
        <v>291219</v>
      </c>
      <c r="H37" s="11" t="n">
        <v>190055</v>
      </c>
      <c r="I37" s="12" t="n">
        <v>201829</v>
      </c>
      <c r="J37" s="12" t="n">
        <v>222802</v>
      </c>
      <c r="K37" s="12" t="n">
        <v>235113</v>
      </c>
      <c r="L37" s="12" t="n">
        <v>278446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50095</v>
      </c>
      <c r="D38" s="20" t="n">
        <v>52615</v>
      </c>
      <c r="E38" s="20" t="n">
        <v>54599</v>
      </c>
      <c r="F38" s="20" t="n">
        <v>56581</v>
      </c>
      <c r="G38" s="20" t="n">
        <v>54352</v>
      </c>
      <c r="H38" s="19" t="n">
        <v>28872</v>
      </c>
      <c r="I38" s="20" t="n">
        <v>33473</v>
      </c>
      <c r="J38" s="20" t="n">
        <v>41074</v>
      </c>
      <c r="K38" s="20" t="n">
        <v>47922</v>
      </c>
      <c r="L38" s="20" t="n">
        <v>56581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55035</v>
      </c>
      <c r="D40" s="20" t="n">
        <v>55040</v>
      </c>
      <c r="E40" s="20" t="n">
        <v>81891</v>
      </c>
      <c r="F40" s="20" t="n">
        <v>81903</v>
      </c>
      <c r="G40" s="20" t="n">
        <v>99490</v>
      </c>
      <c r="H40" s="19" t="n">
        <v>33201</v>
      </c>
      <c r="I40" s="20" t="n">
        <v>39794</v>
      </c>
      <c r="J40" s="20" t="n">
        <v>38778</v>
      </c>
      <c r="K40" s="20" t="n">
        <v>38417</v>
      </c>
      <c r="L40" s="20" t="n">
        <v>81903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IFERROR((IF(COUNT('연간'!F31:I31)&lt;4,"",SUM('연간'!F31:I31)))/(IF(COUNT('연간'!F53:I53)&lt;4,"",SUM('연간'!F53:I53))),"")</f>
        <v/>
      </c>
      <c r="D48" s="31">
        <f>IFERROR((IF(COUNT('연간'!G31:J31)&lt;4,"",SUM('연간'!G31:J31)))/(IF(COUNT('연간'!G53:J53)&lt;4,"",SUM('연간'!G53:J53))),"")</f>
        <v/>
      </c>
      <c r="E48" s="31">
        <f>IFERROR((IF(COUNT('연간'!H31:K31)&lt;4,"",SUM('연간'!H31:K31)))/(IF(COUNT('연간'!H53:K53)&lt;4,"",SUM('연간'!H53:K53))),"")</f>
        <v/>
      </c>
      <c r="F48" s="31">
        <f>IFERROR((IF(COUNT('연간'!I31:L31)&lt;4,"",SUM('연간'!I31:L31)))/(IF(COUNT('연간'!I53:L53)&lt;4,"",SUM('연간'!I53:L53))),"")</f>
        <v/>
      </c>
      <c r="G48" s="31">
        <f>IFERROR((IF(COUNT('연간'!J31:M31)&lt;4,"",SUM('연간'!J31:M31)))/(IF(COUNT('연간'!J53:M53)&lt;4,"",SUM('연간'!J53:M53))),"")</f>
        <v/>
      </c>
      <c r="H48" s="30">
        <f>IFERROR(('연간'!T31)/('연간'!T53),"")</f>
        <v/>
      </c>
      <c r="I48" s="31">
        <f>IFERROR(('연간'!U31)/('연간'!U53),"")</f>
        <v/>
      </c>
      <c r="J48" s="31">
        <f>IFERROR(('연간'!V31)/('연간'!V53),"")</f>
        <v/>
      </c>
      <c r="K48" s="31">
        <f>IFERROR(('연간'!W31)/('연간'!W53),"")</f>
        <v/>
      </c>
      <c r="L48" s="31">
        <f>IFERROR(('연간'!X31)/('연간'!X53),"")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IFERROR(IF((IF(COUNT('연간'!F61:I61)&lt;4,"",SUM('연간'!F61:I61)))&lt;=0,"적자",C28/(IF(COUNT('연간'!F61:I61)&lt;4,"",SUM('연간'!F61:I61)))),"")</f>
        <v/>
      </c>
      <c r="D49" s="47">
        <f>IFERROR(IF((IF(COUNT('연간'!G61:J61)&lt;4,"",SUM('연간'!G61:J61)))&lt;=0,"적자",D28/(IF(COUNT('연간'!G61:J61)&lt;4,"",SUM('연간'!G61:J61)))),"")</f>
        <v/>
      </c>
      <c r="E49" s="47">
        <f>IFERROR(IF((IF(COUNT('연간'!H61:K61)&lt;4,"",SUM('연간'!H61:K61)))&lt;=0,"적자",E28/(IF(COUNT('연간'!H61:K61)&lt;4,"",SUM('연간'!H61:K61)))),"")</f>
        <v/>
      </c>
      <c r="F49" s="47">
        <f>IFERROR(IF((IF(COUNT('연간'!I61:L61)&lt;4,"",SUM('연간'!I61:L61)))&lt;=0,"적자",F28/(IF(COUNT('연간'!I61:L61)&lt;4,"",SUM('연간'!I61:L61)))),"")</f>
        <v/>
      </c>
      <c r="G49" s="47">
        <f>IFERROR(IF((IF(COUNT('연간'!J61:M61)&lt;4,"",SUM('연간'!J61:M61)))&lt;=0,"적자",G28/(IF(COUNT('연간'!J61:M61)&lt;4,"",SUM('연간'!J61:M61)))),"")</f>
        <v/>
      </c>
      <c r="H49" s="46">
        <f>IFERROR(IF(('연간'!T61)&lt;=0,"적자",H28/('연간'!T61)),"")</f>
        <v/>
      </c>
      <c r="I49" s="47">
        <f>IFERROR(IF(('연간'!U61)&lt;=0,"적자",I28/('연간'!U61)),"")</f>
        <v/>
      </c>
      <c r="J49" s="47">
        <f>IFERROR(IF(('연간'!V61)&lt;=0,"적자",J28/('연간'!V61)),"")</f>
        <v/>
      </c>
      <c r="K49" s="47">
        <f>IFERROR(IF(('연간'!W61)&lt;=0,"적자",K28/('연간'!W61)),"")</f>
        <v/>
      </c>
      <c r="L49" s="47">
        <f>IFERROR(IF(('연간'!X61)&lt;=0,"적자",L28/('연간'!X61)),"")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IFERROR((IF(COUNT('연간'!F61:I61)&lt;4,"",SUM('연간'!F61:I61)))/C31,"")</f>
        <v/>
      </c>
      <c r="D51" s="36">
        <f>IFERROR((IF(COUNT('연간'!G61:J61)&lt;4,"",SUM('연간'!G61:J61)))/D31,"")</f>
        <v/>
      </c>
      <c r="E51" s="36">
        <f>IFERROR((IF(COUNT('연간'!H61:K61)&lt;4,"",SUM('연간'!H61:K61)))/E31,"")</f>
        <v/>
      </c>
      <c r="F51" s="36">
        <f>IFERROR((IF(COUNT('연간'!I61:L61)&lt;4,"",SUM('연간'!I61:L61)))/F31,"")</f>
        <v/>
      </c>
      <c r="G51" s="36">
        <f>IFERROR((IF(COUNT('연간'!J61:M61)&lt;4,"",SUM('연간'!J61:M61)))/G31,"")</f>
        <v/>
      </c>
      <c r="H51" s="35">
        <f>IFERROR(('연간'!T61)/H31,"")</f>
        <v/>
      </c>
      <c r="I51" s="36">
        <f>IFERROR(('연간'!U61)/I31,"")</f>
        <v/>
      </c>
      <c r="J51" s="36">
        <f>IFERROR(('연간'!V61)/J31,"")</f>
        <v/>
      </c>
      <c r="K51" s="36">
        <f>IFERROR(('연간'!W61)/K31,"")</f>
        <v/>
      </c>
      <c r="L51" s="36">
        <f>IFERROR(('연간'!X61)/L31,"")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IFERROR((IF(COUNT('연간'!F59:I59)&lt;4,"",SUM('연간'!F59:I59)))/C16,"")</f>
        <v/>
      </c>
      <c r="D52" s="36">
        <f>IFERROR((IF(COUNT('연간'!G59:J59)&lt;4,"",SUM('연간'!G59:J59)))/D16,"")</f>
        <v/>
      </c>
      <c r="E52" s="36">
        <f>IFERROR((IF(COUNT('연간'!H59:K59)&lt;4,"",SUM('연간'!H59:K59)))/E16,"")</f>
        <v/>
      </c>
      <c r="F52" s="36">
        <f>IFERROR((IF(COUNT('연간'!I59:L59)&lt;4,"",SUM('연간'!I59:L59)))/F16,"")</f>
        <v/>
      </c>
      <c r="G52" s="36">
        <f>IFERROR((IF(COUNT('연간'!J59:M59)&lt;4,"",SUM('연간'!J59:M59)))/G16,"")</f>
        <v/>
      </c>
      <c r="H52" s="35">
        <f>IFERROR(('연간'!T59)/H16,"")</f>
        <v/>
      </c>
      <c r="I52" s="36">
        <f>IFERROR(('연간'!U59)/I16,"")</f>
        <v/>
      </c>
      <c r="J52" s="36">
        <f>IFERROR(('연간'!V59)/J16,"")</f>
        <v/>
      </c>
      <c r="K52" s="36">
        <f>IFERROR(('연간'!W59)/K16,"")</f>
        <v/>
      </c>
      <c r="L52" s="36">
        <f>IFERROR(('연간'!X59)/L16,"")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IFERROR((IF(COUNT('연간'!F31:I31)&lt;4,"",SUM('연간'!F31:I31)))*(1-0.3)/(C35+C29),"")</f>
        <v/>
      </c>
      <c r="D53" s="36">
        <f>IFERROR((IF(COUNT('연간'!G31:J31)&lt;4,"",SUM('연간'!G31:J31)))*(1-0.3)/(D35+D29),"")</f>
        <v/>
      </c>
      <c r="E53" s="36">
        <f>IFERROR((IF(COUNT('연간'!H31:K31)&lt;4,"",SUM('연간'!H31:K31)))*(1-0.3)/(E35+E29),"")</f>
        <v/>
      </c>
      <c r="F53" s="36">
        <f>IFERROR((IF(COUNT('연간'!I31:L31)&lt;4,"",SUM('연간'!I31:L31)))*(1-0.3)/(F35+F29),"")</f>
        <v/>
      </c>
      <c r="G53" s="36">
        <f>IFERROR((IF(COUNT('연간'!J31:M31)&lt;4,"",SUM('연간'!J31:M31)))*(1-0.3)/(G35+G29),"")</f>
        <v/>
      </c>
      <c r="H53" s="35">
        <f>IFERROR(('연간'!T31)*(1-0.3)/(H35+H29),"")</f>
        <v/>
      </c>
      <c r="I53" s="36">
        <f>IFERROR(('연간'!U31)*(1-0.3)/(I35+I29),"")</f>
        <v/>
      </c>
      <c r="J53" s="36">
        <f>IFERROR(('연간'!V31)*(1-0.3)/(J35+J29),"")</f>
        <v/>
      </c>
      <c r="K53" s="36">
        <f>IFERROR(('연간'!W31)*(1-0.3)/(K35+K29),"")</f>
        <v/>
      </c>
      <c r="L53" s="36">
        <f>IFERROR(('연간'!X31)*(1-0.3)/(L35+L29),"")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IFERROR((IF(COUNT('연간'!F25:I25)&lt;4,"",SUM('연간'!F25:I25)))/(IF(COUNT('연간'!F4:I4)&lt;4,"",SUM('연간'!F4:I4))),"")</f>
        <v/>
      </c>
      <c r="D54" s="36">
        <f>IFERROR((IF(COUNT('연간'!G25:J25)&lt;4,"",SUM('연간'!G25:J25)))/(IF(COUNT('연간'!G4:J4)&lt;4,"",SUM('연간'!G4:J4))),"")</f>
        <v/>
      </c>
      <c r="E54" s="36">
        <f>IFERROR((IF(COUNT('연간'!H25:K25)&lt;4,"",SUM('연간'!H25:K25)))/(IF(COUNT('연간'!H4:K4)&lt;4,"",SUM('연간'!H4:K4))),"")</f>
        <v/>
      </c>
      <c r="F54" s="36">
        <f>IFERROR((IF(COUNT('연간'!I25:L25)&lt;4,"",SUM('연간'!I25:L25)))/(IF(COUNT('연간'!I4:L4)&lt;4,"",SUM('연간'!I4:L4))),"")</f>
        <v/>
      </c>
      <c r="G54" s="36">
        <f>IFERROR((IF(COUNT('연간'!J25:M25)&lt;4,"",SUM('연간'!J25:M25)))/(IF(COUNT('연간'!J4:M4)&lt;4,"",SUM('연간'!J4:M4))),"")</f>
        <v/>
      </c>
      <c r="H54" s="35">
        <f>IFERROR(('연간'!T25)/('연간'!T4),"")</f>
        <v/>
      </c>
      <c r="I54" s="36">
        <f>IFERROR(('연간'!U25)/('연간'!U4),"")</f>
        <v/>
      </c>
      <c r="J54" s="36">
        <f>IFERROR(('연간'!V25)/('연간'!V4),"")</f>
        <v/>
      </c>
      <c r="K54" s="36">
        <f>IFERROR(('연간'!W25)/('연간'!W4),"")</f>
        <v/>
      </c>
      <c r="L54" s="36">
        <f>IFERROR(('연간'!X25)/('연간'!X4),"")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IFERROR((IF(COUNT('연간'!F31:I31)&lt;4,"",SUM('연간'!F31:I31)))/(IF(COUNT('연간'!F4:I4)&lt;4,"",SUM('연간'!F4:I4))),"")</f>
        <v/>
      </c>
      <c r="D55" s="36">
        <f>IFERROR((IF(COUNT('연간'!G31:J31)&lt;4,"",SUM('연간'!G31:J31)))/(IF(COUNT('연간'!G4:J4)&lt;4,"",SUM('연간'!G4:J4))),"")</f>
        <v/>
      </c>
      <c r="E55" s="36">
        <f>IFERROR((IF(COUNT('연간'!H31:K31)&lt;4,"",SUM('연간'!H31:K31)))/(IF(COUNT('연간'!H4:K4)&lt;4,"",SUM('연간'!H4:K4))),"")</f>
        <v/>
      </c>
      <c r="F55" s="36">
        <f>IFERROR((IF(COUNT('연간'!I31:L31)&lt;4,"",SUM('연간'!I31:L31)))/(IF(COUNT('연간'!I4:L4)&lt;4,"",SUM('연간'!I4:L4))),"")</f>
        <v/>
      </c>
      <c r="G55" s="36">
        <f>IFERROR((IF(COUNT('연간'!J31:M31)&lt;4,"",SUM('연간'!J31:M31)))/(IF(COUNT('연간'!J4:M4)&lt;4,"",SUM('연간'!J4:M4))),"")</f>
        <v/>
      </c>
      <c r="H55" s="35">
        <f>IFERROR(('연간'!T31)/('연간'!T4),"")</f>
        <v/>
      </c>
      <c r="I55" s="36">
        <f>IFERROR(('연간'!U31)/('연간'!U4),"")</f>
        <v/>
      </c>
      <c r="J55" s="36">
        <f>IFERROR(('연간'!V31)/('연간'!V4),"")</f>
        <v/>
      </c>
      <c r="K55" s="36">
        <f>IFERROR(('연간'!W31)/('연간'!W4),"")</f>
        <v/>
      </c>
      <c r="L55" s="36">
        <f>IFERROR(('연간'!X31)/('연간'!X4),"")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IFERROR((IF(COUNT('연간'!F59:I59)&lt;4,"",SUM('연간'!F59:I59)))/(IF(COUNT('연간'!F4:I4)&lt;4,"",SUM('연간'!F4:I4))),"")</f>
        <v/>
      </c>
      <c r="D56" s="36">
        <f>IFERROR((IF(COUNT('연간'!G59:J59)&lt;4,"",SUM('연간'!G59:J59)))/(IF(COUNT('연간'!G4:J4)&lt;4,"",SUM('연간'!G4:J4))),"")</f>
        <v/>
      </c>
      <c r="E56" s="36">
        <f>IFERROR((IF(COUNT('연간'!H59:K59)&lt;4,"",SUM('연간'!H59:K59)))/(IF(COUNT('연간'!H4:K4)&lt;4,"",SUM('연간'!H4:K4))),"")</f>
        <v/>
      </c>
      <c r="F56" s="36">
        <f>IFERROR((IF(COUNT('연간'!I59:L59)&lt;4,"",SUM('연간'!I59:L59)))/(IF(COUNT('연간'!I4:L4)&lt;4,"",SUM('연간'!I4:L4))),"")</f>
        <v/>
      </c>
      <c r="G56" s="36">
        <f>IFERROR((IF(COUNT('연간'!J59:M59)&lt;4,"",SUM('연간'!J59:M59)))/(IF(COUNT('연간'!J4:M4)&lt;4,"",SUM('연간'!J4:M4))),"")</f>
        <v/>
      </c>
      <c r="H56" s="35">
        <f>IFERROR(('연간'!T59)/('연간'!T4),"")</f>
        <v/>
      </c>
      <c r="I56" s="36">
        <f>IFERROR(('연간'!U59)/('연간'!U4),"")</f>
        <v/>
      </c>
      <c r="J56" s="36">
        <f>IFERROR(('연간'!V59)/('연간'!V4),"")</f>
        <v/>
      </c>
      <c r="K56" s="36">
        <f>IFERROR(('연간'!W59)/('연간'!W4),"")</f>
        <v/>
      </c>
      <c r="L56" s="36">
        <f>IFERROR(('연간'!X59)/('연간'!X4),"")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IFERROR((IF(COUNT('연간'!F4:I4)&lt;4,"",SUM('연간'!F4:I4)))/C16,"")</f>
        <v/>
      </c>
      <c r="D58" s="31">
        <f>IFERROR((IF(COUNT('연간'!G4:J4)&lt;4,"",SUM('연간'!G4:J4)))/D16,"")</f>
        <v/>
      </c>
      <c r="E58" s="31">
        <f>IFERROR((IF(COUNT('연간'!H4:K4)&lt;4,"",SUM('연간'!H4:K4)))/E16,"")</f>
        <v/>
      </c>
      <c r="F58" s="31">
        <f>IFERROR((IF(COUNT('연간'!I4:L4)&lt;4,"",SUM('연간'!I4:L4)))/F16,"")</f>
        <v/>
      </c>
      <c r="G58" s="31">
        <f>IFERROR((IF(COUNT('연간'!J4:M4)&lt;4,"",SUM('연간'!J4:M4)))/G16,"")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IFERROR(C8/(IF(COUNT('연간'!F4:I4)&lt;4,"",SUM('연간'!F4:I4)))*365,"")</f>
        <v/>
      </c>
      <c r="D59" s="49">
        <f>IFERROR(D8/(IF(COUNT('연간'!G4:J4)&lt;4,"",SUM('연간'!G4:J4)))*365,"")</f>
        <v/>
      </c>
      <c r="E59" s="49">
        <f>IFERROR(E8/(IF(COUNT('연간'!H4:K4)&lt;4,"",SUM('연간'!H4:K4)))*365,"")</f>
        <v/>
      </c>
      <c r="F59" s="49">
        <f>IFERROR(F8/(IF(COUNT('연간'!I4:L4)&lt;4,"",SUM('연간'!I4:L4)))*365,"")</f>
        <v/>
      </c>
      <c r="G59" s="49">
        <f>IFERROR(G8/(IF(COUNT('연간'!J4:M4)&lt;4,"",SUM('연간'!J4:M4)))*365,"")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IFERROR(C9/(IF(COUNT('연간'!F23:I23)&lt;4,"",SUM('연간'!F23:I23)))*365,"")</f>
        <v/>
      </c>
      <c r="D60" s="49">
        <f>IFERROR(D9/(IF(COUNT('연간'!G23:J23)&lt;4,"",SUM('연간'!G23:J23)))*365,"")</f>
        <v/>
      </c>
      <c r="E60" s="49">
        <f>IFERROR(E9/(IF(COUNT('연간'!H23:K23)&lt;4,"",SUM('연간'!H23:K23)))*365,"")</f>
        <v/>
      </c>
      <c r="F60" s="49">
        <f>IFERROR(F9/(IF(COUNT('연간'!I23:L23)&lt;4,"",SUM('연간'!I23:L23)))*365,"")</f>
        <v/>
      </c>
      <c r="G60" s="49">
        <f>IFERROR(G9/(IF(COUNT('연간'!J23:M23)&lt;4,"",SUM('연간'!J23:M23)))*365,"")</f>
        <v/>
      </c>
      <c r="H60" s="48">
        <f>IFERROR(H9/('연간'!T23)*365,"")</f>
        <v/>
      </c>
      <c r="I60" s="49">
        <f>IFERROR(I9/('연간'!U23)*365,"")</f>
        <v/>
      </c>
      <c r="J60" s="49">
        <f>IFERROR(J9/('연간'!V23)*365,"")</f>
        <v/>
      </c>
      <c r="K60" s="49">
        <f>IFERROR(K9/('연간'!W23)*365,"")</f>
        <v/>
      </c>
      <c r="L60" s="49">
        <f>IFERROR(L9/('연간'!X23)*365,"")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IFERROR(C19/(IF(COUNT('연간'!F23:I23)&lt;4,"",SUM('연간'!F23:I23)))*365,"")</f>
        <v/>
      </c>
      <c r="D61" s="49">
        <f>IFERROR(D19/(IF(COUNT('연간'!G23:J23)&lt;4,"",SUM('연간'!G23:J23)))*365,"")</f>
        <v/>
      </c>
      <c r="E61" s="49">
        <f>IFERROR(E19/(IF(COUNT('연간'!H23:K23)&lt;4,"",SUM('연간'!H23:K23)))*365,"")</f>
        <v/>
      </c>
      <c r="F61" s="49">
        <f>IFERROR(F19/(IF(COUNT('연간'!I23:L23)&lt;4,"",SUM('연간'!I23:L23)))*365,"")</f>
        <v/>
      </c>
      <c r="G61" s="49">
        <f>IFERROR(G19/(IF(COUNT('연간'!J23:M23)&lt;4,"",SUM('연간'!J23:M23)))*365,"")</f>
        <v/>
      </c>
      <c r="H61" s="48">
        <f>IFERROR(H19/('연간'!T23)*365,"")</f>
        <v/>
      </c>
      <c r="I61" s="49">
        <f>IFERROR(I19/('연간'!U23)*365,"")</f>
        <v/>
      </c>
      <c r="J61" s="49">
        <f>IFERROR(J19/('연간'!V23)*365,"")</f>
        <v/>
      </c>
      <c r="K61" s="49">
        <f>IFERROR(K19/('연간'!W23)*365,"")</f>
        <v/>
      </c>
      <c r="L61" s="49">
        <f>IFERROR(L19/('연간'!X23)*365,"")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IF(C37="","",IFERROR(C37/(IF(COUNT('연간'!F59:I59)&lt;4,"",SUM('연간'!F59:I59))),""))</f>
        <v/>
      </c>
      <c r="D64" s="31">
        <f>IF(D37="","",IFERROR(D37/(IF(COUNT('연간'!G59:J59)&lt;4,"",SUM('연간'!G59:J59))),""))</f>
        <v/>
      </c>
      <c r="E64" s="31">
        <f>IF(E37="","",IFERROR(E37/(IF(COUNT('연간'!H59:K59)&lt;4,"",SUM('연간'!H59:K59))),""))</f>
        <v/>
      </c>
      <c r="F64" s="31">
        <f>IF(F37="","",IFERROR(F37/(IF(COUNT('연간'!I59:L59)&lt;4,"",SUM('연간'!I59:L59))),""))</f>
        <v/>
      </c>
      <c r="G64" s="31">
        <f>IF(G37="","",IFERROR(G37/(IF(COUNT('연간'!J59:M59)&lt;4,"",SUM('연간'!J59:M59))),""))</f>
        <v/>
      </c>
      <c r="H64" s="30">
        <f>IF(H37="","",IFERROR(H37/('연간'!T59),""))</f>
        <v/>
      </c>
      <c r="I64" s="31">
        <f>IF(I37="","",IFERROR(I37/('연간'!U59),""))</f>
        <v/>
      </c>
      <c r="J64" s="31">
        <f>IF(J37="","",IFERROR(J37/('연간'!V59),""))</f>
        <v/>
      </c>
      <c r="K64" s="31">
        <f>IF(K37="","",IFERROR(K37/('연간'!W59),""))</f>
        <v/>
      </c>
      <c r="L64" s="31">
        <f>IF(L37="","",IFERROR(L37/('연간'!X59),""))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IF(C39="","",IFERROR(C39/(IF(COUNT('연간'!F4:I4)&lt;4,"",SUM('연간'!F4:I4))),""))</f>
        <v/>
      </c>
      <c r="D65" s="36">
        <f>IF(D39="","",IFERROR(D39/(IF(COUNT('연간'!G4:J4)&lt;4,"",SUM('연간'!G4:J4))),""))</f>
        <v/>
      </c>
      <c r="E65" s="36">
        <f>IF(E39="","",IFERROR(E39/(IF(COUNT('연간'!H4:K4)&lt;4,"",SUM('연간'!H4:K4))),""))</f>
        <v/>
      </c>
      <c r="F65" s="36">
        <f>IF(F39="","",IFERROR(F39/(IF(COUNT('연간'!I4:L4)&lt;4,"",SUM('연간'!I4:L4))),""))</f>
        <v/>
      </c>
      <c r="G65" s="36">
        <f>IF(G39="","",IFERROR(G39/(IF(COUNT('연간'!J4:M4)&lt;4,"",SUM('연간'!J4:M4))),""))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IF(C38="","",IFERROR(C38/(IF(COUNT('연간'!F4:I4)&lt;4,"",SUM('연간'!F4:I4))),""))</f>
        <v/>
      </c>
      <c r="D66" s="36">
        <f>IF(D38="","",IFERROR(D38/(IF(COUNT('연간'!G4:J4)&lt;4,"",SUM('연간'!G4:J4))),""))</f>
        <v/>
      </c>
      <c r="E66" s="36">
        <f>IF(E38="","",IFERROR(E38/(IF(COUNT('연간'!H4:K4)&lt;4,"",SUM('연간'!H4:K4))),""))</f>
        <v/>
      </c>
      <c r="F66" s="36">
        <f>IF(F38="","",IFERROR(F38/(IF(COUNT('연간'!I4:L4)&lt;4,"",SUM('연간'!I4:L4))),""))</f>
        <v/>
      </c>
      <c r="G66" s="36">
        <f>IF(G38="","",IFERROR(G38/(IF(COUNT('연간'!J4:M4)&lt;4,"",SUM('연간'!J4:M4))),""))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IF(C40="","",IFERROR(C40/(IF(COUNT('연간'!F61:I61)&lt;4,"",SUM('연간'!F61:I61))),""))</f>
        <v/>
      </c>
      <c r="D67" s="36">
        <f>IF(D40="","",IFERROR(D40/(IF(COUNT('연간'!G61:J61)&lt;4,"",SUM('연간'!G61:J61))),""))</f>
        <v/>
      </c>
      <c r="E67" s="36">
        <f>IF(E40="","",IFERROR(E40/(IF(COUNT('연간'!H61:K61)&lt;4,"",SUM('연간'!H61:K61))),""))</f>
        <v/>
      </c>
      <c r="F67" s="36">
        <f>IF(F40="","",IFERROR(F40/(IF(COUNT('연간'!I61:L61)&lt;4,"",SUM('연간'!I61:L61))),""))</f>
        <v/>
      </c>
      <c r="G67" s="36">
        <f>IF(G40="","",IFERROR(G40/(IF(COUNT('연간'!J61:M61)&lt;4,"",SUM('연간'!J61:M61))),""))</f>
        <v/>
      </c>
      <c r="H67" s="35">
        <f>IF(H40="","",IFERROR(H40/('연간'!T61),""))</f>
        <v/>
      </c>
      <c r="I67" s="36">
        <f>IF(I40="","",IFERROR(I40/('연간'!U61),""))</f>
        <v/>
      </c>
      <c r="J67" s="36">
        <f>IF(J40="","",IFERROR(J40/('연간'!V61),""))</f>
        <v/>
      </c>
      <c r="K67" s="36">
        <f>IF(K40="","",IFERROR(K40/('연간'!W61),""))</f>
        <v/>
      </c>
      <c r="L67" s="36">
        <f>IF(L40="","",IFERROR(L40/('연간'!X61),""))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유형자산(순액)</t>
        </is>
      </c>
      <c r="C71" s="20" t="n">
        <v>219543</v>
      </c>
      <c r="E71" s="20" t="n">
        <v>235653</v>
      </c>
      <c r="F71" s="20" t="n">
        <v>235653</v>
      </c>
      <c r="G71" s="20" t="n">
        <v>240221</v>
      </c>
      <c r="H71" s="20" t="n">
        <v>169665</v>
      </c>
      <c r="I71" s="20" t="n">
        <v>178648</v>
      </c>
      <c r="J71" s="20" t="n">
        <v>198225</v>
      </c>
      <c r="K71" s="20" t="n">
        <v>210890</v>
      </c>
      <c r="L71" s="20" t="n">
        <v>235653</v>
      </c>
    </row>
    <row r="72">
      <c r="A72" s="18" t="inlineStr">
        <is>
          <t>영업권</t>
        </is>
      </c>
      <c r="C72" s="20" t="n">
        <v>52729</v>
      </c>
      <c r="E72" s="20" t="n">
        <v>54405</v>
      </c>
      <c r="F72" s="20" t="n">
        <v>54405</v>
      </c>
      <c r="G72" s="20" t="n">
        <v>54081</v>
      </c>
      <c r="H72" s="20" t="n">
        <v>39648</v>
      </c>
      <c r="I72" s="20" t="n">
        <v>46818</v>
      </c>
      <c r="J72" s="20" t="n">
        <v>52742</v>
      </c>
      <c r="K72" s="20" t="n">
        <v>52174</v>
      </c>
      <c r="L72" s="20" t="n">
        <v>54405</v>
      </c>
    </row>
    <row r="73">
      <c r="A73" s="18" t="inlineStr">
        <is>
          <t>무형자산</t>
        </is>
      </c>
      <c r="C73" s="20" t="n">
        <v>21363</v>
      </c>
      <c r="E73" s="20" t="n">
        <v>21578</v>
      </c>
      <c r="F73" s="20" t="n">
        <v>21578</v>
      </c>
      <c r="G73" s="20" t="n">
        <v>19085</v>
      </c>
      <c r="H73" s="20" t="n">
        <v>35768</v>
      </c>
      <c r="I73" s="20" t="n">
        <v>35732</v>
      </c>
      <c r="J73" s="20" t="n">
        <v>34042</v>
      </c>
      <c r="K73" s="20" t="n">
        <v>24637</v>
      </c>
      <c r="L73" s="20" t="n">
        <v>21578</v>
      </c>
    </row>
    <row r="74">
      <c r="A74" s="18" t="inlineStr">
        <is>
          <t>지분법 투자</t>
        </is>
      </c>
      <c r="C74" s="20" t="n">
        <v>2075</v>
      </c>
      <c r="E74" s="20" t="n">
        <v>2285</v>
      </c>
      <c r="F74" s="20" t="n">
        <v>2285</v>
      </c>
      <c r="G74" s="20" t="n">
        <v>2596</v>
      </c>
      <c r="H74" s="20" t="n">
        <v>930</v>
      </c>
      <c r="I74" s="20" t="n">
        <v>971</v>
      </c>
      <c r="J74" s="20" t="n">
        <v>1487</v>
      </c>
      <c r="K74" s="20" t="n">
        <v>1657</v>
      </c>
      <c r="L74" s="20" t="n">
        <v>2285</v>
      </c>
    </row>
    <row r="75">
      <c r="A75" s="18" t="inlineStr">
        <is>
          <t>장기금융자산</t>
        </is>
      </c>
      <c r="C75" s="20" t="n">
        <v>12557</v>
      </c>
      <c r="E75" s="20" t="n">
        <v>11557</v>
      </c>
      <c r="F75" s="20" t="n">
        <v>11557</v>
      </c>
      <c r="G75" s="20" t="n">
        <v>11405</v>
      </c>
      <c r="H75" s="20" t="n">
        <v>54078</v>
      </c>
      <c r="I75" s="20" t="n">
        <v>45303</v>
      </c>
      <c r="J75" s="20" t="n">
        <v>48401</v>
      </c>
      <c r="K75" s="20" t="n">
        <v>51384</v>
      </c>
      <c r="L75" s="20" t="n">
        <v>11557</v>
      </c>
    </row>
    <row r="76">
      <c r="A76" s="18" t="inlineStr">
        <is>
          <t>기타비유동자산</t>
        </is>
      </c>
      <c r="C76" s="20" t="n">
        <v>709</v>
      </c>
      <c r="E76" s="20" t="n">
        <v>648</v>
      </c>
      <c r="F76" s="20" t="n">
        <v>648</v>
      </c>
      <c r="G76" s="20" t="n">
        <v>644</v>
      </c>
      <c r="H76" s="20" t="n">
        <v>688</v>
      </c>
      <c r="I76" s="20" t="n">
        <v>747</v>
      </c>
      <c r="J76" s="20" t="n">
        <v>463</v>
      </c>
      <c r="K76" s="20" t="n">
        <v>664</v>
      </c>
      <c r="L76" s="20" t="n">
        <v>648</v>
      </c>
    </row>
    <row r="77">
      <c r="A77" s="18" t="inlineStr">
        <is>
          <t>이연법인세자산</t>
        </is>
      </c>
      <c r="C77" s="20" t="n">
        <v>14747</v>
      </c>
      <c r="E77" s="20" t="n">
        <v>14019</v>
      </c>
      <c r="F77" s="20" t="n">
        <v>14019</v>
      </c>
      <c r="G77" s="20" t="n">
        <v>17258</v>
      </c>
      <c r="H77" s="20" t="n">
        <v>9098</v>
      </c>
      <c r="I77" s="20" t="n">
        <v>9953</v>
      </c>
      <c r="J77" s="20" t="n">
        <v>11628</v>
      </c>
      <c r="K77" s="20" t="n">
        <v>13141</v>
      </c>
      <c r="L77" s="20" t="n">
        <v>14019</v>
      </c>
    </row>
    <row r="78">
      <c r="A78" s="18" t="inlineStr">
        <is>
          <t>비유동자산 합계</t>
        </is>
      </c>
      <c r="C78" s="20" t="n">
        <v>323723</v>
      </c>
      <c r="E78" s="20" t="n">
        <v>340145</v>
      </c>
      <c r="F78" s="20" t="n">
        <v>340145</v>
      </c>
      <c r="G78" s="20" t="n">
        <v>345290</v>
      </c>
      <c r="H78" s="20" t="n">
        <v>309874</v>
      </c>
      <c r="I78" s="20" t="n">
        <v>318171</v>
      </c>
      <c r="J78" s="20" t="n">
        <v>346988</v>
      </c>
      <c r="K78" s="20" t="n">
        <v>354547</v>
      </c>
      <c r="L78" s="20" t="n">
        <v>340145</v>
      </c>
    </row>
    <row r="79">
      <c r="A79" s="18" t="inlineStr">
        <is>
          <t>재고자산</t>
        </is>
      </c>
      <c r="C79" s="20" t="n">
        <v>125726</v>
      </c>
      <c r="E79" s="20" t="n">
        <v>132482</v>
      </c>
      <c r="F79" s="20" t="n">
        <v>132482</v>
      </c>
      <c r="G79" s="20" t="n">
        <v>135771</v>
      </c>
      <c r="H79" s="20" t="n">
        <v>91441</v>
      </c>
      <c r="I79" s="20" t="n">
        <v>105150</v>
      </c>
      <c r="J79" s="20" t="n">
        <v>119076</v>
      </c>
      <c r="K79" s="20" t="n">
        <v>124550</v>
      </c>
      <c r="L79" s="20" t="n">
        <v>132482</v>
      </c>
    </row>
    <row r="80">
      <c r="A80" s="18" t="inlineStr">
        <is>
          <t>매출채권 및 기타채권</t>
        </is>
      </c>
      <c r="C80" s="20" t="n">
        <v>187727</v>
      </c>
      <c r="E80" s="20" t="n">
        <v>209613</v>
      </c>
      <c r="F80" s="20" t="n">
        <v>209613</v>
      </c>
      <c r="G80" s="20" t="n">
        <v>210209</v>
      </c>
      <c r="H80" s="20" t="n">
        <v>134174</v>
      </c>
      <c r="I80" s="20" t="n">
        <v>143194</v>
      </c>
      <c r="J80" s="20" t="n">
        <v>152606</v>
      </c>
      <c r="K80" s="20" t="n">
        <v>177145</v>
      </c>
      <c r="L80" s="20" t="n">
        <v>209613</v>
      </c>
    </row>
    <row r="81">
      <c r="A81" s="18" t="inlineStr">
        <is>
          <t>기타 단기 금융자산</t>
        </is>
      </c>
      <c r="C81" s="20" t="n">
        <v>4803</v>
      </c>
      <c r="E81" s="20" t="n">
        <v>4751</v>
      </c>
      <c r="F81" s="20" t="n">
        <v>4751</v>
      </c>
      <c r="G81" s="20" t="n">
        <v>3697</v>
      </c>
      <c r="H81" s="20" t="n">
        <v>7223</v>
      </c>
      <c r="I81" s="20" t="n">
        <v>20379</v>
      </c>
      <c r="J81" s="20" t="n">
        <v>19237</v>
      </c>
      <c r="K81" s="20" t="n">
        <v>4567</v>
      </c>
      <c r="L81" s="20" t="n">
        <v>4751</v>
      </c>
    </row>
    <row r="82">
      <c r="A82" s="18" t="inlineStr">
        <is>
          <t>미수법인세</t>
        </is>
      </c>
      <c r="C82" s="20" t="n">
        <v>3167</v>
      </c>
      <c r="E82" s="20" t="n">
        <v>2396</v>
      </c>
      <c r="F82" s="20" t="n">
        <v>2396</v>
      </c>
      <c r="G82" s="20" t="n">
        <v>2765</v>
      </c>
      <c r="H82" s="20" t="n">
        <v>2526</v>
      </c>
      <c r="I82" s="20" t="n">
        <v>3798</v>
      </c>
      <c r="J82" s="20" t="n">
        <v>4298</v>
      </c>
      <c r="K82" s="20" t="n">
        <v>4348</v>
      </c>
      <c r="L82" s="20" t="n">
        <v>2396</v>
      </c>
    </row>
    <row r="83">
      <c r="A83" s="18" t="inlineStr">
        <is>
          <t>기타유동자산</t>
        </is>
      </c>
      <c r="C83" s="20" t="n">
        <v>36964</v>
      </c>
      <c r="E83" s="20" t="n">
        <v>37416</v>
      </c>
      <c r="F83" s="20" t="n">
        <v>37416</v>
      </c>
      <c r="G83" s="20" t="n">
        <v>41504</v>
      </c>
      <c r="H83" s="20" t="n">
        <v>28197</v>
      </c>
      <c r="I83" s="20" t="n">
        <v>30622</v>
      </c>
      <c r="J83" s="20" t="n">
        <v>35973</v>
      </c>
      <c r="K83" s="20" t="n">
        <v>35153</v>
      </c>
      <c r="L83" s="20" t="n">
        <v>37416</v>
      </c>
    </row>
    <row r="84">
      <c r="A84" s="18" t="inlineStr">
        <is>
          <t>현금및현금성자산</t>
        </is>
      </c>
      <c r="C84" s="20" t="n">
        <v>596394</v>
      </c>
      <c r="E84" s="20" t="n">
        <v>574092</v>
      </c>
      <c r="F84" s="20" t="n">
        <v>574092</v>
      </c>
      <c r="G84" s="20" t="n">
        <v>561941</v>
      </c>
      <c r="H84" s="20" t="n">
        <v>419404</v>
      </c>
      <c r="I84" s="20" t="n">
        <v>405888</v>
      </c>
      <c r="J84" s="20" t="n">
        <v>525162</v>
      </c>
      <c r="K84" s="20" t="n">
        <v>533967</v>
      </c>
      <c r="L84" s="20" t="n">
        <v>574092</v>
      </c>
    </row>
    <row r="85">
      <c r="A85" s="9" t="inlineStr">
        <is>
          <t>유동자산 소계</t>
        </is>
      </c>
      <c r="C85" s="12" t="n">
        <v>954780</v>
      </c>
      <c r="H85" s="12" t="n">
        <v>682965</v>
      </c>
      <c r="I85" s="12" t="n">
        <v>709031</v>
      </c>
      <c r="J85" s="12" t="n">
        <v>856352</v>
      </c>
      <c r="K85" s="12" t="n">
        <v>879731</v>
      </c>
    </row>
    <row r="86">
      <c r="A86" s="18" t="inlineStr">
        <is>
          <t>매각예정 자산</t>
        </is>
      </c>
      <c r="C86" s="20" t="n">
        <v>4926</v>
      </c>
      <c r="H86" s="20" t="n">
        <v>0</v>
      </c>
      <c r="I86" s="20" t="n">
        <v>1124</v>
      </c>
      <c r="J86" s="20" t="n">
        <v>282</v>
      </c>
      <c r="K86" s="20" t="n">
        <v>0</v>
      </c>
    </row>
    <row r="87">
      <c r="A87" s="9" t="inlineStr">
        <is>
          <t>유동자산 합계</t>
        </is>
      </c>
      <c r="C87" s="12" t="n">
        <v>959706</v>
      </c>
      <c r="E87" s="12" t="n">
        <v>960752</v>
      </c>
      <c r="F87" s="12" t="n">
        <v>960752</v>
      </c>
      <c r="G87" s="12" t="n">
        <v>955887</v>
      </c>
      <c r="H87" s="12" t="n">
        <v>682965</v>
      </c>
      <c r="I87" s="12" t="n">
        <v>710155</v>
      </c>
      <c r="J87" s="12" t="n">
        <v>856635</v>
      </c>
      <c r="K87" s="12" t="n">
        <v>879731</v>
      </c>
      <c r="L87" s="12" t="n">
        <v>960752</v>
      </c>
    </row>
    <row r="88">
      <c r="A88" s="18" t="inlineStr">
        <is>
          <t>자산 합계</t>
        </is>
      </c>
      <c r="C88" s="20" t="n">
        <v>1283429</v>
      </c>
      <c r="E88" s="20" t="n">
        <v>1300897</v>
      </c>
      <c r="F88" s="20" t="n">
        <v>1300897</v>
      </c>
      <c r="G88" s="20" t="n">
        <v>1301176</v>
      </c>
      <c r="H88" s="20" t="n">
        <v>992839</v>
      </c>
      <c r="I88" s="20" t="n">
        <v>1028326</v>
      </c>
      <c r="J88" s="20" t="n">
        <v>1203623</v>
      </c>
      <c r="K88" s="20" t="n">
        <v>1234278</v>
      </c>
      <c r="L88" s="20" t="n">
        <v>1300897</v>
      </c>
    </row>
    <row r="89">
      <c r="A89" s="18" t="inlineStr">
        <is>
          <t>자본금</t>
        </is>
      </c>
      <c r="C89" s="20" t="n">
        <v>6264</v>
      </c>
      <c r="E89" s="20" t="n">
        <v>6264</v>
      </c>
      <c r="F89" s="20" t="n">
        <v>6264</v>
      </c>
      <c r="G89" s="20" t="n">
        <v>6264</v>
      </c>
      <c r="H89" s="20" t="n">
        <v>6264</v>
      </c>
      <c r="I89" s="20" t="n">
        <v>6264</v>
      </c>
      <c r="J89" s="20" t="n">
        <v>6264</v>
      </c>
      <c r="K89" s="20" t="n">
        <v>6264</v>
      </c>
      <c r="L89" s="20" t="n">
        <v>6264</v>
      </c>
    </row>
    <row r="90">
      <c r="A90" s="18" t="inlineStr">
        <is>
          <t>자본잉여금</t>
        </is>
      </c>
      <c r="C90" s="20" t="n">
        <v>15899</v>
      </c>
      <c r="E90" s="20" t="n">
        <v>15899</v>
      </c>
      <c r="F90" s="20" t="n">
        <v>15899</v>
      </c>
      <c r="G90" s="20" t="n">
        <v>15899</v>
      </c>
      <c r="H90" s="20" t="n">
        <v>15899</v>
      </c>
      <c r="I90" s="20" t="n">
        <v>15899</v>
      </c>
      <c r="J90" s="20" t="n">
        <v>15899</v>
      </c>
      <c r="K90" s="20" t="n">
        <v>15899</v>
      </c>
      <c r="L90" s="20" t="n">
        <v>15899</v>
      </c>
    </row>
    <row r="91">
      <c r="A91" s="18" t="inlineStr">
        <is>
          <t>자기주식</t>
        </is>
      </c>
      <c r="C91" s="20" t="n">
        <v>-54924</v>
      </c>
      <c r="E91" s="20" t="n">
        <v>-78759</v>
      </c>
      <c r="F91" s="20" t="n">
        <v>-78759</v>
      </c>
      <c r="G91" s="20" t="n">
        <v>-58211</v>
      </c>
      <c r="H91" s="20" t="n">
        <v>-68310</v>
      </c>
      <c r="I91" s="20" t="n">
        <v>-41374</v>
      </c>
      <c r="J91" s="20" t="n">
        <v>-6874</v>
      </c>
      <c r="K91" s="20" t="n">
        <v>-57595</v>
      </c>
      <c r="L91" s="20" t="n">
        <v>-78759</v>
      </c>
    </row>
    <row r="92">
      <c r="A92" s="18" t="inlineStr">
        <is>
          <t>기타 자본잉여금</t>
        </is>
      </c>
      <c r="C92" s="20" t="n">
        <v>-21707</v>
      </c>
      <c r="E92" s="20" t="n">
        <v>-39061</v>
      </c>
      <c r="F92" s="20" t="n">
        <v>-39061</v>
      </c>
      <c r="G92" s="20" t="n">
        <v>-39498</v>
      </c>
      <c r="H92" s="20" t="n">
        <v>-11570</v>
      </c>
      <c r="I92" s="20" t="n">
        <v>-12800</v>
      </c>
      <c r="J92" s="20" t="n">
        <v>-17009</v>
      </c>
      <c r="K92" s="20" t="n">
        <v>-21496</v>
      </c>
      <c r="L92" s="20" t="n">
        <v>-39061</v>
      </c>
    </row>
    <row r="93">
      <c r="A93" s="18" t="inlineStr">
        <is>
          <t>이익잉여금</t>
        </is>
      </c>
      <c r="C93" s="20" t="n">
        <v>897978</v>
      </c>
      <c r="E93" s="20" t="n">
        <v>902401</v>
      </c>
      <c r="F93" s="20" t="n">
        <v>902401</v>
      </c>
      <c r="G93" s="20" t="n">
        <v>883948</v>
      </c>
      <c r="H93" s="20" t="n">
        <v>802815</v>
      </c>
      <c r="I93" s="20" t="n">
        <v>752999</v>
      </c>
      <c r="J93" s="20" t="n">
        <v>805997</v>
      </c>
      <c r="K93" s="20" t="n">
        <v>871357</v>
      </c>
      <c r="L93" s="20" t="n">
        <v>902401</v>
      </c>
    </row>
    <row r="94">
      <c r="A94" s="18" t="inlineStr">
        <is>
          <t>기타포괄손익누계액</t>
        </is>
      </c>
      <c r="C94" s="20" t="n">
        <v>162523</v>
      </c>
      <c r="E94" s="20" t="n">
        <v>213716</v>
      </c>
      <c r="F94" s="20" t="n">
        <v>213716</v>
      </c>
      <c r="G94" s="20" t="n">
        <v>204457</v>
      </c>
      <c r="H94" s="20" t="n">
        <v>58753</v>
      </c>
      <c r="I94" s="20" t="n">
        <v>97334</v>
      </c>
      <c r="J94" s="20" t="n">
        <v>163482</v>
      </c>
      <c r="K94" s="20" t="n">
        <v>159594</v>
      </c>
      <c r="L94" s="20" t="n">
        <v>213716</v>
      </c>
    </row>
    <row r="95">
      <c r="A95" s="18" t="inlineStr">
        <is>
          <t>지배기업 소유주 지분</t>
        </is>
      </c>
      <c r="C95" s="20" t="n">
        <v>1006033</v>
      </c>
      <c r="E95" s="20" t="n">
        <v>1020460</v>
      </c>
      <c r="F95" s="20" t="n">
        <v>1020460</v>
      </c>
      <c r="G95" s="20" t="n">
        <v>1012859</v>
      </c>
      <c r="H95" s="20" t="n">
        <v>803851</v>
      </c>
      <c r="I95" s="20" t="n">
        <v>818321</v>
      </c>
      <c r="J95" s="20" t="n">
        <v>967758</v>
      </c>
      <c r="K95" s="20" t="n">
        <v>974023</v>
      </c>
      <c r="L95" s="20" t="n">
        <v>1020460</v>
      </c>
    </row>
    <row r="96">
      <c r="A96" s="18" t="inlineStr">
        <is>
          <t>비지배지분</t>
        </is>
      </c>
      <c r="C96" s="20" t="n">
        <v>-3087</v>
      </c>
      <c r="E96" s="20" t="n">
        <v>14544</v>
      </c>
      <c r="F96" s="20" t="n">
        <v>14544</v>
      </c>
      <c r="G96" s="20" t="n">
        <v>14633</v>
      </c>
      <c r="H96" s="20" t="n">
        <v>-14795</v>
      </c>
      <c r="I96" s="20" t="n">
        <v>-3717</v>
      </c>
      <c r="J96" s="20" t="n">
        <v>-5494</v>
      </c>
      <c r="K96" s="20" t="n">
        <v>-2394</v>
      </c>
      <c r="L96" s="20" t="n">
        <v>14544</v>
      </c>
    </row>
    <row r="97">
      <c r="A97" s="18" t="inlineStr">
        <is>
          <t>자본 합계</t>
        </is>
      </c>
      <c r="C97" s="20" t="n">
        <v>1002946</v>
      </c>
      <c r="E97" s="20" t="n">
        <v>1035004</v>
      </c>
      <c r="F97" s="20" t="n">
        <v>1035004</v>
      </c>
      <c r="G97" s="20" t="n">
        <v>1027492</v>
      </c>
      <c r="H97" s="20" t="n">
        <v>789056</v>
      </c>
      <c r="I97" s="20" t="n">
        <v>814604</v>
      </c>
      <c r="J97" s="20" t="n">
        <v>962264</v>
      </c>
      <c r="K97" s="20" t="n">
        <v>971629</v>
      </c>
      <c r="L97" s="20" t="n">
        <v>1035004</v>
      </c>
    </row>
    <row r="98">
      <c r="A98" s="18" t="inlineStr">
        <is>
          <t>장기 이자부부채</t>
        </is>
      </c>
      <c r="C98" s="20" t="n">
        <v>30615</v>
      </c>
      <c r="E98" s="20" t="n">
        <v>31517</v>
      </c>
      <c r="F98" s="20" t="n">
        <v>31517</v>
      </c>
      <c r="G98" s="20" t="n">
        <v>31487</v>
      </c>
      <c r="H98" s="20" t="n">
        <v>13763</v>
      </c>
      <c r="I98" s="20" t="n">
        <v>15997</v>
      </c>
      <c r="J98" s="20" t="n">
        <v>20590</v>
      </c>
      <c r="K98" s="20" t="n">
        <v>28007</v>
      </c>
      <c r="L98" s="20" t="n">
        <v>31517</v>
      </c>
    </row>
    <row r="99">
      <c r="A99" s="18" t="inlineStr">
        <is>
          <t>기타 장기 금융부채</t>
        </is>
      </c>
      <c r="C99" s="20" t="n">
        <v>24015</v>
      </c>
      <c r="E99" s="20" t="n">
        <v>614</v>
      </c>
      <c r="F99" s="20" t="n">
        <v>614</v>
      </c>
      <c r="G99" s="20" t="n">
        <v>252</v>
      </c>
      <c r="H99" s="20" t="n">
        <v>23863</v>
      </c>
      <c r="I99" s="20" t="n">
        <v>21523</v>
      </c>
      <c r="J99" s="20" t="n">
        <v>24801</v>
      </c>
      <c r="K99" s="20" t="n">
        <v>23793</v>
      </c>
      <c r="L99" s="20" t="n">
        <v>614</v>
      </c>
    </row>
    <row r="100">
      <c r="A100" s="18" t="inlineStr">
        <is>
          <t>퇴직급여부채</t>
        </is>
      </c>
      <c r="C100" s="20" t="n">
        <v>5404</v>
      </c>
      <c r="E100" s="20" t="n">
        <v>5411</v>
      </c>
      <c r="F100" s="20" t="n">
        <v>5411</v>
      </c>
      <c r="G100" s="20" t="n">
        <v>5445</v>
      </c>
      <c r="H100" s="20" t="n">
        <v>3766</v>
      </c>
      <c r="I100" s="20" t="n">
        <v>4028</v>
      </c>
      <c r="J100" s="20" t="n">
        <v>4315</v>
      </c>
      <c r="K100" s="20" t="n">
        <v>5179</v>
      </c>
      <c r="L100" s="20" t="n">
        <v>5411</v>
      </c>
    </row>
    <row r="101">
      <c r="A101" s="18" t="inlineStr">
        <is>
          <t>충당금</t>
        </is>
      </c>
      <c r="C101" s="20" t="n">
        <v>3284</v>
      </c>
      <c r="E101" s="20" t="n">
        <v>3821</v>
      </c>
      <c r="F101" s="20" t="n">
        <v>3821</v>
      </c>
      <c r="G101" s="20" t="n">
        <v>3783</v>
      </c>
      <c r="H101" s="20" t="n">
        <v>2671</v>
      </c>
      <c r="I101" s="20" t="n">
        <v>3153</v>
      </c>
      <c r="J101" s="20" t="n">
        <v>3265</v>
      </c>
      <c r="K101" s="20" t="n">
        <v>3256</v>
      </c>
      <c r="L101" s="20" t="n">
        <v>3821</v>
      </c>
    </row>
    <row r="102">
      <c r="A102" s="18" t="inlineStr">
        <is>
          <t>기타비유동부채</t>
        </is>
      </c>
      <c r="C102" s="20" t="n">
        <v>13282</v>
      </c>
      <c r="E102" s="20" t="n">
        <v>15681</v>
      </c>
      <c r="F102" s="20" t="n">
        <v>15681</v>
      </c>
      <c r="G102" s="20" t="n">
        <v>18397</v>
      </c>
      <c r="H102" s="20" t="n">
        <v>2262</v>
      </c>
      <c r="I102" s="20" t="n">
        <v>2820</v>
      </c>
      <c r="J102" s="20" t="n">
        <v>6034</v>
      </c>
      <c r="K102" s="20" t="n">
        <v>9894</v>
      </c>
      <c r="L102" s="20" t="n">
        <v>15681</v>
      </c>
    </row>
    <row r="103">
      <c r="A103" s="18" t="inlineStr">
        <is>
          <t>이연법인세부채</t>
        </is>
      </c>
      <c r="C103" s="20" t="n">
        <v>10686</v>
      </c>
      <c r="E103" s="20" t="n">
        <v>9174</v>
      </c>
      <c r="F103" s="20" t="n">
        <v>9174</v>
      </c>
      <c r="G103" s="20" t="n">
        <v>10310</v>
      </c>
      <c r="H103" s="20" t="n">
        <v>10079</v>
      </c>
      <c r="I103" s="20" t="n">
        <v>10102</v>
      </c>
      <c r="J103" s="20" t="n">
        <v>13382</v>
      </c>
      <c r="K103" s="20" t="n">
        <v>13012</v>
      </c>
      <c r="L103" s="20" t="n">
        <v>9174</v>
      </c>
    </row>
    <row r="104">
      <c r="A104" s="18" t="inlineStr">
        <is>
          <t>비유동부채 합계</t>
        </is>
      </c>
      <c r="C104" s="20" t="n">
        <v>87285</v>
      </c>
      <c r="E104" s="20" t="n">
        <v>66218</v>
      </c>
      <c r="F104" s="20" t="n">
        <v>66218</v>
      </c>
      <c r="G104" s="20" t="n">
        <v>69673</v>
      </c>
      <c r="H104" s="20" t="n">
        <v>56404</v>
      </c>
      <c r="I104" s="20" t="n">
        <v>57623</v>
      </c>
      <c r="J104" s="20" t="n">
        <v>72387</v>
      </c>
      <c r="K104" s="20" t="n">
        <v>83141</v>
      </c>
      <c r="L104" s="20" t="n">
        <v>66218</v>
      </c>
    </row>
    <row r="105">
      <c r="A105" s="18" t="inlineStr">
        <is>
          <t>단기 이자부부채</t>
        </is>
      </c>
      <c r="C105" s="20" t="n">
        <v>10923</v>
      </c>
      <c r="E105" s="20" t="n">
        <v>10724</v>
      </c>
      <c r="F105" s="20" t="n">
        <v>10724</v>
      </c>
      <c r="G105" s="20" t="n">
        <v>10724</v>
      </c>
      <c r="H105" s="20" t="n">
        <v>7837</v>
      </c>
      <c r="I105" s="20" t="n">
        <v>8585</v>
      </c>
      <c r="J105" s="20" t="n">
        <v>8649</v>
      </c>
      <c r="K105" s="20" t="n">
        <v>9276</v>
      </c>
      <c r="L105" s="20" t="n">
        <v>10724</v>
      </c>
    </row>
    <row r="106">
      <c r="A106" s="18" t="inlineStr">
        <is>
          <t>매입채무 및 기타채무</t>
        </is>
      </c>
      <c r="C106" s="20" t="n">
        <v>71867</v>
      </c>
      <c r="E106" s="20" t="n">
        <v>68831</v>
      </c>
      <c r="F106" s="20" t="n">
        <v>68831</v>
      </c>
      <c r="G106" s="20" t="n">
        <v>72903</v>
      </c>
      <c r="H106" s="20" t="n">
        <v>61984</v>
      </c>
      <c r="I106" s="20" t="n">
        <v>64621</v>
      </c>
      <c r="J106" s="20" t="n">
        <v>67771</v>
      </c>
      <c r="K106" s="20" t="n">
        <v>68996</v>
      </c>
      <c r="L106" s="20" t="n">
        <v>68831</v>
      </c>
    </row>
    <row r="107">
      <c r="A107" s="18" t="inlineStr">
        <is>
          <t>기타 단기 금융부채</t>
        </is>
      </c>
      <c r="C107" s="20" t="n">
        <v>165</v>
      </c>
      <c r="E107" s="20" t="n">
        <v>188</v>
      </c>
      <c r="F107" s="20" t="n">
        <v>188</v>
      </c>
      <c r="G107" s="20" t="n">
        <v>212</v>
      </c>
      <c r="H107" s="20" t="n">
        <v>647</v>
      </c>
      <c r="I107" s="20" t="n">
        <v>264</v>
      </c>
      <c r="J107" s="20" t="n">
        <v>143</v>
      </c>
      <c r="K107" s="20" t="n">
        <v>144</v>
      </c>
      <c r="L107" s="20" t="n">
        <v>188</v>
      </c>
    </row>
    <row r="108">
      <c r="A108" s="18" t="inlineStr">
        <is>
          <t>미지급법인세</t>
        </is>
      </c>
      <c r="C108" s="20" t="n">
        <v>33260</v>
      </c>
      <c r="E108" s="20" t="n">
        <v>42243</v>
      </c>
      <c r="F108" s="20" t="n">
        <v>42243</v>
      </c>
      <c r="G108" s="20" t="n">
        <v>38703</v>
      </c>
      <c r="H108" s="20" t="n">
        <v>23126</v>
      </c>
      <c r="I108" s="20" t="n">
        <v>21546</v>
      </c>
      <c r="J108" s="20" t="n">
        <v>23349</v>
      </c>
      <c r="K108" s="20" t="n">
        <v>28128</v>
      </c>
      <c r="L108" s="20" t="n">
        <v>42243</v>
      </c>
    </row>
    <row r="109">
      <c r="A109" s="18" t="inlineStr">
        <is>
          <t>충당금</t>
        </is>
      </c>
      <c r="C109" s="20" t="n">
        <v>1761</v>
      </c>
      <c r="E109" s="20" t="n">
        <v>1953</v>
      </c>
      <c r="F109" s="20" t="n">
        <v>1953</v>
      </c>
      <c r="G109" s="20" t="n">
        <v>1876</v>
      </c>
      <c r="H109" s="20" t="n">
        <v>1474</v>
      </c>
      <c r="I109" s="20" t="n">
        <v>1558</v>
      </c>
      <c r="J109" s="20" t="n">
        <v>1705</v>
      </c>
      <c r="K109" s="20" t="n">
        <v>1740</v>
      </c>
      <c r="L109" s="20" t="n">
        <v>1953</v>
      </c>
    </row>
    <row r="110">
      <c r="A110" s="18" t="inlineStr">
        <is>
          <t>기타유동부채</t>
        </is>
      </c>
      <c r="C110" s="20" t="n">
        <v>73226</v>
      </c>
      <c r="E110" s="20" t="n">
        <v>75735</v>
      </c>
      <c r="F110" s="20" t="n">
        <v>75735</v>
      </c>
      <c r="G110" s="20" t="n">
        <v>79594</v>
      </c>
      <c r="H110" s="20" t="n">
        <v>52312</v>
      </c>
      <c r="I110" s="20" t="n">
        <v>59394</v>
      </c>
      <c r="J110" s="20" t="n">
        <v>67291</v>
      </c>
      <c r="K110" s="20" t="n">
        <v>71224</v>
      </c>
      <c r="L110" s="20" t="n">
        <v>75735</v>
      </c>
    </row>
    <row r="111">
      <c r="A111" s="18" t="inlineStr">
        <is>
          <t>유동부채 소계</t>
        </is>
      </c>
      <c r="C111" s="20" t="n">
        <v>191200</v>
      </c>
      <c r="H111" s="20" t="n">
        <v>147380</v>
      </c>
      <c r="I111" s="20" t="n">
        <v>155967</v>
      </c>
      <c r="J111" s="20" t="n">
        <v>168909</v>
      </c>
      <c r="K111" s="20" t="n">
        <v>179508</v>
      </c>
    </row>
    <row r="112">
      <c r="A112" s="18" t="inlineStr">
        <is>
          <t>매각예정 자산 직접 관련 부채</t>
        </is>
      </c>
      <c r="C112" s="20" t="n">
        <v>1997</v>
      </c>
      <c r="H112" s="20" t="n">
        <v>0</v>
      </c>
      <c r="I112" s="20" t="n">
        <v>132</v>
      </c>
      <c r="J112" s="20" t="n">
        <v>64</v>
      </c>
      <c r="K112" s="20" t="n">
        <v>0</v>
      </c>
    </row>
    <row r="113">
      <c r="A113" s="18" t="inlineStr">
        <is>
          <t>유동부채 합계</t>
        </is>
      </c>
      <c r="C113" s="20" t="n">
        <v>193198</v>
      </c>
      <c r="E113" s="20" t="n">
        <v>199674</v>
      </c>
      <c r="F113" s="20" t="n">
        <v>199674</v>
      </c>
      <c r="G113" s="20" t="n">
        <v>204012</v>
      </c>
      <c r="H113" s="20" t="n">
        <v>147380</v>
      </c>
      <c r="I113" s="20" t="n">
        <v>156099</v>
      </c>
      <c r="J113" s="20" t="n">
        <v>168972</v>
      </c>
      <c r="K113" s="20" t="n">
        <v>179508</v>
      </c>
      <c r="L113" s="20" t="n">
        <v>199674</v>
      </c>
    </row>
    <row r="114">
      <c r="A114" s="18" t="inlineStr">
        <is>
          <t>부채 합계</t>
        </is>
      </c>
      <c r="C114" s="20" t="n">
        <v>280483</v>
      </c>
      <c r="E114" s="20" t="n">
        <v>265893</v>
      </c>
      <c r="F114" s="20" t="n">
        <v>265893</v>
      </c>
      <c r="G114" s="20" t="n">
        <v>273684</v>
      </c>
      <c r="H114" s="20" t="n">
        <v>203783</v>
      </c>
      <c r="I114" s="20" t="n">
        <v>213722</v>
      </c>
      <c r="J114" s="20" t="n">
        <v>241359</v>
      </c>
      <c r="K114" s="20" t="n">
        <v>262649</v>
      </c>
      <c r="L114" s="20" t="n">
        <v>265893</v>
      </c>
    </row>
    <row r="115">
      <c r="A115" s="18" t="inlineStr">
        <is>
          <t>자본 및 부채 총계</t>
        </is>
      </c>
      <c r="C115" s="20" t="n">
        <v>1283429</v>
      </c>
      <c r="E115" s="20" t="n">
        <v>1300897</v>
      </c>
      <c r="F115" s="20" t="n">
        <v>1300897</v>
      </c>
      <c r="G115" s="20" t="n">
        <v>1301176</v>
      </c>
      <c r="H115" s="20" t="n">
        <v>992839</v>
      </c>
      <c r="I115" s="20" t="n">
        <v>1028326</v>
      </c>
      <c r="J115" s="20" t="n">
        <v>1203623</v>
      </c>
      <c r="K115" s="20" t="n">
        <v>1234278</v>
      </c>
      <c r="L115" s="20" t="n">
        <v>1300897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44" customWidth="1" min="3" max="3"/>
  </cols>
  <sheetData>
    <row r="1">
      <c r="A1" s="50" t="inlineStr">
        <is>
          <t>7741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2Q detail</t>
        </is>
      </c>
      <c r="B4" s="52" t="n"/>
      <c r="C4" s="52" t="n"/>
    </row>
    <row r="5">
      <c r="A5" s="53" t="inlineStr">
        <is>
          <t>항목</t>
        </is>
      </c>
      <c r="B5" s="53" t="inlineStr">
        <is>
          <t>값</t>
        </is>
      </c>
      <c r="C5" s="53" t="inlineStr">
        <is>
          <t>출처</t>
        </is>
      </c>
    </row>
    <row r="6">
      <c r="A6" s="54" t="inlineStr">
        <is>
          <t>환율 효과 매출</t>
        </is>
      </c>
      <c r="B6" s="55" t="n">
        <v>126.67</v>
      </c>
      <c r="C6" s="56" t="inlineStr">
        <is>
          <t>2단계 보고서 자료(회사 설명회 자료·공시)</t>
        </is>
      </c>
    </row>
    <row r="7">
      <c r="A7" s="54" t="inlineStr">
        <is>
          <t>환율 효과 이익</t>
        </is>
      </c>
      <c r="B7" s="55" t="n">
        <v>33.21</v>
      </c>
    </row>
    <row r="9">
      <c r="A9" s="52" t="inlineStr">
        <is>
          <t>상반기</t>
        </is>
      </c>
      <c r="B9" s="52" t="n"/>
      <c r="C9" s="52" t="n"/>
    </row>
    <row r="10">
      <c r="A10" s="53" t="inlineStr">
        <is>
          <t>항목</t>
        </is>
      </c>
      <c r="B10" s="53" t="inlineStr">
        <is>
          <t>값</t>
        </is>
      </c>
      <c r="C10" s="53" t="inlineStr">
        <is>
          <t>출처</t>
        </is>
      </c>
    </row>
    <row r="11">
      <c r="A11" s="54" t="inlineStr">
        <is>
          <t>매출</t>
        </is>
      </c>
      <c r="B11" s="55" t="n">
        <v>5158.95</v>
      </c>
      <c r="C11" s="56" t="inlineStr">
        <is>
          <t>2단계 보고서 자료(회사 설명회 자료·공시)</t>
        </is>
      </c>
    </row>
    <row r="12">
      <c r="A12" s="54" t="inlineStr">
        <is>
          <t>영업이익</t>
        </is>
      </c>
      <c r="B12" s="55" t="n">
        <v>1734.31</v>
      </c>
    </row>
    <row r="13">
      <c r="A13" s="54" t="inlineStr">
        <is>
          <t>pbt</t>
        </is>
      </c>
      <c r="B13" s="55" t="n">
        <v>1775.86</v>
      </c>
    </row>
    <row r="14">
      <c r="A14" s="54" t="inlineStr">
        <is>
          <t>순이익</t>
        </is>
      </c>
      <c r="B14" s="55" t="n">
        <v>1365</v>
      </c>
    </row>
    <row r="15">
      <c r="A15" s="54" t="inlineStr">
        <is>
          <t>EPS</t>
        </is>
      </c>
      <c r="B15" s="55" t="n">
        <v>408.44</v>
      </c>
    </row>
    <row r="17">
      <c r="A17" s="52" t="inlineStr">
        <is>
          <t>상반기 · company 상반기 fc</t>
        </is>
      </c>
      <c r="B17" s="52" t="n"/>
      <c r="C17" s="52" t="n"/>
    </row>
    <row r="18">
      <c r="A18" s="53" t="inlineStr">
        <is>
          <t>항목</t>
        </is>
      </c>
      <c r="B18" s="53" t="inlineStr">
        <is>
          <t>값</t>
        </is>
      </c>
      <c r="C18" s="53" t="inlineStr">
        <is>
          <t>출처</t>
        </is>
      </c>
    </row>
    <row r="19">
      <c r="A19" s="54" t="inlineStr">
        <is>
          <t>매출</t>
        </is>
      </c>
      <c r="B19" s="57" t="n">
        <v>5210</v>
      </c>
      <c r="C19" s="56" t="inlineStr">
        <is>
          <t>2단계 보고서 자료(회사 설명회 자료·공시)</t>
        </is>
      </c>
    </row>
    <row r="20">
      <c r="A20" s="54" t="inlineStr">
        <is>
          <t>영업이익</t>
        </is>
      </c>
      <c r="B20" s="57" t="n">
        <v>1650</v>
      </c>
    </row>
    <row r="21">
      <c r="A21" s="54" t="inlineStr">
        <is>
          <t>pbt</t>
        </is>
      </c>
      <c r="B21" s="57" t="n">
        <v>1700</v>
      </c>
    </row>
    <row r="22">
      <c r="A22" s="54" t="inlineStr">
        <is>
          <t>순이익</t>
        </is>
      </c>
      <c r="B22" s="57" t="n">
        <v>1310</v>
      </c>
    </row>
    <row r="23">
      <c r="A23" s="54" t="inlineStr">
        <is>
          <t>EPS</t>
        </is>
      </c>
      <c r="B23" s="55" t="n">
        <v>391.54</v>
      </c>
    </row>
    <row r="25">
      <c r="A25" s="52" t="inlineStr">
        <is>
          <t>컨센서스</t>
        </is>
      </c>
      <c r="B25" s="52" t="n"/>
      <c r="C25" s="52" t="n"/>
    </row>
    <row r="26">
      <c r="A26" s="53" t="inlineStr">
        <is>
          <t>항목</t>
        </is>
      </c>
      <c r="B26" s="53" t="inlineStr">
        <is>
          <t>값</t>
        </is>
      </c>
      <c r="C26" s="53" t="inlineStr">
        <is>
          <t>출처</t>
        </is>
      </c>
    </row>
    <row r="27">
      <c r="A27" s="54" t="inlineStr">
        <is>
          <t>2Q 매출</t>
        </is>
      </c>
      <c r="B27" s="55" t="n">
        <v>2647.3</v>
      </c>
      <c r="C27" s="56" t="inlineStr">
        <is>
          <t>jp_consensus(야후) 2026-10-30 13:21 KST</t>
        </is>
      </c>
    </row>
    <row r="28">
      <c r="A28" s="54" t="inlineStr">
        <is>
          <t>2Q EPS</t>
        </is>
      </c>
      <c r="B28" s="55" t="n">
        <v>204.58</v>
      </c>
    </row>
    <row r="29">
      <c r="A29" s="54" t="inlineStr">
        <is>
          <t>3Q 매출</t>
        </is>
      </c>
      <c r="B29" s="55" t="n">
        <v>2697.6</v>
      </c>
    </row>
    <row r="30">
      <c r="A30" s="54" t="inlineStr">
        <is>
          <t>3Q EPS</t>
        </is>
      </c>
      <c r="B30" s="55" t="n">
        <v>214.18</v>
      </c>
    </row>
    <row r="31">
      <c r="A31" s="54" t="inlineStr">
        <is>
          <t>fy27 매출</t>
        </is>
      </c>
      <c r="B31" s="55" t="n">
        <v>10510.5</v>
      </c>
    </row>
    <row r="32">
      <c r="A32" s="54" t="inlineStr">
        <is>
          <t>fy27 EPS</t>
        </is>
      </c>
      <c r="B32" s="55" t="n">
        <v>830.64</v>
      </c>
    </row>
    <row r="33">
      <c r="A33" s="54" t="inlineStr">
        <is>
          <t>fy28 EPS</t>
        </is>
      </c>
      <c r="B33" s="55" t="n">
        <v>955.34</v>
      </c>
    </row>
    <row r="34">
      <c r="A34" s="54" t="inlineStr">
        <is>
          <t>tp 평균</t>
        </is>
      </c>
      <c r="B34" s="57" t="n">
        <v>30625</v>
      </c>
    </row>
    <row r="35">
      <c r="A35" s="54" t="inlineStr">
        <is>
          <t>tp 애널리스트 수</t>
        </is>
      </c>
      <c r="B35" s="57" t="n">
        <v>16</v>
      </c>
    </row>
    <row r="37">
      <c r="A37" s="52" t="inlineStr">
        <is>
          <t>hs7006 q</t>
        </is>
      </c>
      <c r="B37" s="52" t="n"/>
      <c r="C37" s="52" t="n"/>
    </row>
    <row r="38">
      <c r="A38" s="53" t="inlineStr">
        <is>
          <t>항목</t>
        </is>
      </c>
      <c r="B38" s="53" t="inlineStr">
        <is>
          <t>값</t>
        </is>
      </c>
      <c r="C38" s="53" t="inlineStr">
        <is>
          <t>출처</t>
        </is>
      </c>
    </row>
    <row r="39">
      <c r="A39" s="54" t="inlineStr">
        <is>
          <t>FY24-3Q</t>
        </is>
      </c>
      <c r="B39" s="55" t="n">
        <v>210.6</v>
      </c>
      <c r="C39" s="56" t="inlineStr">
        <is>
          <t>2단계 보고서 자료(회사 설명회 자료·공시)</t>
        </is>
      </c>
    </row>
    <row r="40">
      <c r="A40" s="54" t="inlineStr">
        <is>
          <t>FY24-4Q</t>
        </is>
      </c>
      <c r="B40" s="55" t="n">
        <v>186.7</v>
      </c>
    </row>
    <row r="41">
      <c r="A41" s="54" t="inlineStr">
        <is>
          <t>FY25-1Q</t>
        </is>
      </c>
      <c r="B41" s="55" t="n">
        <v>244.4</v>
      </c>
    </row>
    <row r="42">
      <c r="A42" s="54" t="inlineStr">
        <is>
          <t>FY25-2Q</t>
        </is>
      </c>
      <c r="B42" s="55" t="n">
        <v>247.9</v>
      </c>
    </row>
    <row r="43">
      <c r="A43" s="54" t="inlineStr">
        <is>
          <t>FY25-3Q</t>
        </is>
      </c>
      <c r="B43" s="55" t="n">
        <v>262</v>
      </c>
    </row>
    <row r="44">
      <c r="A44" s="54" t="inlineStr">
        <is>
          <t>FY25-4Q</t>
        </is>
      </c>
      <c r="B44" s="55" t="n">
        <v>260.2</v>
      </c>
    </row>
    <row r="45">
      <c r="A45" s="54" t="inlineStr">
        <is>
          <t>FY26-1Q</t>
        </is>
      </c>
      <c r="B45" s="55" t="n">
        <v>254</v>
      </c>
    </row>
    <row r="46">
      <c r="A46" s="54" t="inlineStr">
        <is>
          <t>FY26-2Q</t>
        </is>
      </c>
      <c r="B46" s="55" t="n">
        <v>248.3</v>
      </c>
    </row>
    <row r="47">
      <c r="A47" s="54" t="inlineStr">
        <is>
          <t>FY26-3Q</t>
        </is>
      </c>
      <c r="B47" s="55" t="n">
        <v>325.8</v>
      </c>
    </row>
    <row r="48">
      <c r="A48" s="54" t="inlineStr">
        <is>
          <t>FY26-4Q</t>
        </is>
      </c>
      <c r="B48" s="55" t="n">
        <v>303.1</v>
      </c>
    </row>
    <row r="49">
      <c r="A49" s="54" t="inlineStr">
        <is>
          <t>FY27-1Q</t>
        </is>
      </c>
      <c r="B49" s="55" t="n">
        <v>317.7</v>
      </c>
    </row>
    <row r="50">
      <c r="A50" s="54" t="inlineStr">
        <is>
          <t>FY27-2Q</t>
        </is>
      </c>
      <c r="B50" s="55" t="n">
        <v>349.8</v>
      </c>
    </row>
    <row r="52">
      <c r="A52" s="52" t="inlineStr">
        <is>
          <t>hs7006 YoY</t>
        </is>
      </c>
      <c r="B52" s="52" t="n"/>
      <c r="C52" s="52" t="n"/>
    </row>
    <row r="53">
      <c r="A53" s="53" t="inlineStr">
        <is>
          <t>항목</t>
        </is>
      </c>
      <c r="B53" s="53" t="inlineStr">
        <is>
          <t>값</t>
        </is>
      </c>
      <c r="C53" s="53" t="inlineStr">
        <is>
          <t>출처</t>
        </is>
      </c>
    </row>
    <row r="54">
      <c r="A54" s="54" t="inlineStr">
        <is>
          <t>FY25-3Q</t>
        </is>
      </c>
      <c r="B54" s="55" t="n">
        <v>24.4</v>
      </c>
      <c r="C54" s="56" t="inlineStr">
        <is>
          <t>2단계 보고서 자료(회사 설명회 자료·공시)</t>
        </is>
      </c>
    </row>
    <row r="55">
      <c r="A55" s="54" t="inlineStr">
        <is>
          <t>FY25-4Q</t>
        </is>
      </c>
      <c r="B55" s="55" t="n">
        <v>39.4</v>
      </c>
    </row>
    <row r="56">
      <c r="A56" s="54" t="inlineStr">
        <is>
          <t>FY26-1Q</t>
        </is>
      </c>
      <c r="B56" s="55" t="n">
        <v>3.9</v>
      </c>
    </row>
    <row r="57">
      <c r="A57" s="54" t="inlineStr">
        <is>
          <t>FY26-2Q</t>
        </is>
      </c>
      <c r="B57" s="55" t="n">
        <v>0.2</v>
      </c>
    </row>
    <row r="58">
      <c r="A58" s="54" t="inlineStr">
        <is>
          <t>FY26-3Q</t>
        </is>
      </c>
      <c r="B58" s="55" t="n">
        <v>24.4</v>
      </c>
    </row>
    <row r="59">
      <c r="A59" s="54" t="inlineStr">
        <is>
          <t>FY26-4Q</t>
        </is>
      </c>
      <c r="B59" s="55" t="n">
        <v>16.5</v>
      </c>
    </row>
    <row r="60">
      <c r="A60" s="54" t="inlineStr">
        <is>
          <t>FY27-1Q</t>
        </is>
      </c>
      <c r="B60" s="55" t="n">
        <v>25.1</v>
      </c>
    </row>
    <row r="61">
      <c r="A61" s="54" t="inlineStr">
        <is>
          <t>FY27-2Q</t>
        </is>
      </c>
      <c r="B61" s="55" t="n">
        <v>40.9</v>
      </c>
    </row>
    <row r="63">
      <c r="A63" s="52" t="inlineStr">
        <is>
          <t>it YoY</t>
        </is>
      </c>
      <c r="B63" s="52" t="n"/>
      <c r="C63" s="52" t="n"/>
    </row>
    <row r="64">
      <c r="A64" s="53" t="inlineStr">
        <is>
          <t>항목</t>
        </is>
      </c>
      <c r="B64" s="53" t="inlineStr">
        <is>
          <t>값</t>
        </is>
      </c>
      <c r="C64" s="53" t="inlineStr">
        <is>
          <t>출처</t>
        </is>
      </c>
    </row>
    <row r="65">
      <c r="A65" s="54" t="inlineStr">
        <is>
          <t>FY25-3Q</t>
        </is>
      </c>
      <c r="B65" s="55" t="n">
        <v>33.3</v>
      </c>
      <c r="C65" s="56" t="inlineStr">
        <is>
          <t>2단계 보고서 자료(회사 설명회 자료·공시)</t>
        </is>
      </c>
    </row>
    <row r="66">
      <c r="A66" s="54" t="inlineStr">
        <is>
          <t>FY26-1Q</t>
        </is>
      </c>
      <c r="B66" s="55" t="n">
        <v>5.7</v>
      </c>
    </row>
    <row r="67">
      <c r="A67" s="54" t="inlineStr">
        <is>
          <t>FY26-2Q</t>
        </is>
      </c>
      <c r="B67" s="55" t="n">
        <v>11.9</v>
      </c>
    </row>
    <row r="68">
      <c r="A68" s="54" t="inlineStr">
        <is>
          <t>FY26-3Q</t>
        </is>
      </c>
      <c r="B68" s="55" t="n">
        <v>15.5</v>
      </c>
    </row>
    <row r="69">
      <c r="A69" s="54" t="inlineStr">
        <is>
          <t>FY26-4Q</t>
        </is>
      </c>
      <c r="B69" s="55" t="n">
        <v>23.3</v>
      </c>
    </row>
    <row r="70">
      <c r="A70" s="54" t="inlineStr">
        <is>
          <t>FY27-1Q</t>
        </is>
      </c>
      <c r="B70" s="55" t="n">
        <v>22.7</v>
      </c>
    </row>
    <row r="71">
      <c r="A71" s="54" t="inlineStr">
        <is>
          <t>FY27-2Q</t>
        </is>
      </c>
      <c r="B71" s="55" t="n">
        <v>23.4</v>
      </c>
    </row>
    <row r="73">
      <c r="A73" s="52" t="inlineStr">
        <is>
          <t>hdd stx wdc musd</t>
        </is>
      </c>
      <c r="B73" s="52" t="n"/>
      <c r="C73" s="52" t="n"/>
    </row>
    <row r="74">
      <c r="A74" s="53" t="inlineStr">
        <is>
          <t>항목</t>
        </is>
      </c>
      <c r="B74" s="53" t="inlineStr">
        <is>
          <t>값</t>
        </is>
      </c>
      <c r="C74" s="53" t="inlineStr">
        <is>
          <t>출처</t>
        </is>
      </c>
    </row>
    <row r="75">
      <c r="A75" s="54" t="inlineStr">
        <is>
          <t>FY25-2Q</t>
        </is>
      </c>
      <c r="B75" s="57" t="n">
        <v>4380</v>
      </c>
      <c r="C75" s="56" t="inlineStr">
        <is>
          <t>2단계 보고서 자료(회사 설명회 자료·공시)</t>
        </is>
      </c>
    </row>
    <row r="76">
      <c r="A76" s="54" t="inlineStr">
        <is>
          <t>FY25-3Q</t>
        </is>
      </c>
      <c r="B76" s="57" t="n">
        <v>4734</v>
      </c>
    </row>
    <row r="77">
      <c r="A77" s="54" t="inlineStr">
        <is>
          <t>FY25-4Q</t>
        </is>
      </c>
      <c r="B77" s="57" t="n">
        <v>4454</v>
      </c>
    </row>
    <row r="78">
      <c r="A78" s="54" t="inlineStr">
        <is>
          <t>FY26-1Q</t>
        </is>
      </c>
      <c r="B78" s="57" t="n">
        <v>5049</v>
      </c>
    </row>
    <row r="79">
      <c r="A79" s="54" t="inlineStr">
        <is>
          <t>FY26-2Q</t>
        </is>
      </c>
      <c r="B79" s="57" t="n">
        <v>5447</v>
      </c>
    </row>
    <row r="80">
      <c r="A80" s="54" t="inlineStr">
        <is>
          <t>FY26-3Q</t>
        </is>
      </c>
      <c r="B80" s="57" t="n">
        <v>5842</v>
      </c>
    </row>
    <row r="81">
      <c r="A81" s="54" t="inlineStr">
        <is>
          <t>FY26-4Q</t>
        </is>
      </c>
      <c r="B81" s="57" t="n">
        <v>6449</v>
      </c>
    </row>
    <row r="82">
      <c r="A82" s="54" t="inlineStr">
        <is>
          <t>FY27-1Q</t>
        </is>
      </c>
      <c r="B82" s="57" t="n">
        <v>7376</v>
      </c>
    </row>
    <row r="83">
      <c r="A83" s="54" t="inlineStr">
        <is>
          <t>FY27-2Q</t>
        </is>
      </c>
      <c r="B83" s="57" t="n">
        <v>8614</v>
      </c>
    </row>
    <row r="85">
      <c r="A85" s="52" t="inlineStr">
        <is>
          <t>corr</t>
        </is>
      </c>
      <c r="B85" s="52" t="n"/>
      <c r="C85" s="52" t="n"/>
    </row>
    <row r="86">
      <c r="A86" s="53" t="inlineStr">
        <is>
          <t>항목</t>
        </is>
      </c>
      <c r="B86" s="53" t="inlineStr">
        <is>
          <t>값</t>
        </is>
      </c>
      <c r="C86" s="53" t="inlineStr">
        <is>
          <t>출처</t>
        </is>
      </c>
    </row>
    <row r="87">
      <c r="A87" s="54" t="inlineStr">
        <is>
          <t>hs7006 vs it YoY</t>
        </is>
      </c>
      <c r="B87" s="55" t="n">
        <v>0.66</v>
      </c>
      <c r="C87" s="56" t="inlineStr">
        <is>
          <t>2단계 보고서 자료(회사 설명회 자료·공시)</t>
        </is>
      </c>
    </row>
    <row r="88">
      <c r="A88" s="54" t="inlineStr">
        <is>
          <t>애널리스트 수 YoY</t>
        </is>
      </c>
      <c r="B88" s="57" t="n">
        <v>7</v>
      </c>
    </row>
    <row r="89">
      <c r="A89" s="54" t="inlineStr">
        <is>
          <t>hs7006 vs it level</t>
        </is>
      </c>
      <c r="B89" s="55" t="n">
        <v>0.93</v>
      </c>
    </row>
    <row r="90">
      <c r="A90" s="54" t="inlineStr">
        <is>
          <t>hs7006 lag1 vs it level</t>
        </is>
      </c>
      <c r="B90" s="55" t="n">
        <v>0.74</v>
      </c>
    </row>
    <row r="91">
      <c r="A91" s="54" t="inlineStr">
        <is>
          <t>stx wdc vs it level</t>
        </is>
      </c>
      <c r="B91" s="55" t="n">
        <v>0.98</v>
      </c>
    </row>
    <row r="92">
      <c r="A92" s="54" t="inlineStr">
        <is>
          <t>애널리스트 수 hdd</t>
        </is>
      </c>
      <c r="B92" s="57" t="n">
        <v>9</v>
      </c>
    </row>
    <row r="94">
      <c r="A94" s="52" t="inlineStr">
        <is>
          <t>PER band</t>
        </is>
      </c>
      <c r="B94" s="52" t="n"/>
      <c r="C94" s="52" t="n"/>
    </row>
    <row r="95">
      <c r="A95" s="53" t="inlineStr">
        <is>
          <t>항목</t>
        </is>
      </c>
      <c r="B95" s="53" t="inlineStr">
        <is>
          <t>값</t>
        </is>
      </c>
      <c r="C95" s="53" t="inlineStr">
        <is>
          <t>출처</t>
        </is>
      </c>
    </row>
    <row r="96">
      <c r="A96" s="54" t="inlineStr">
        <is>
          <t>lo</t>
        </is>
      </c>
      <c r="B96" s="55" t="n">
        <v>26.1</v>
      </c>
      <c r="C96" s="56" t="inlineStr">
        <is>
          <t>2단계 보고서 자료(회사 설명회 자료·공시)</t>
        </is>
      </c>
    </row>
    <row r="97">
      <c r="A97" s="54" t="inlineStr">
        <is>
          <t>avg</t>
        </is>
      </c>
      <c r="B97" s="55" t="n">
        <v>35.9</v>
      </c>
    </row>
    <row r="98">
      <c r="A98" s="54" t="inlineStr">
        <is>
          <t>hi</t>
        </is>
      </c>
      <c r="B98" s="55" t="n">
        <v>42.6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8" t="inlineStr">
        <is>
          <t>공시일</t>
        </is>
      </c>
      <c r="B3" s="58" t="inlineStr">
        <is>
          <t>문서</t>
        </is>
      </c>
      <c r="C3" s="58" t="inlineStr">
        <is>
          <t>PDF</t>
        </is>
      </c>
    </row>
    <row r="4">
      <c r="A4" t="inlineStr">
        <is>
          <t>2026-10-30</t>
        </is>
      </c>
      <c r="B4" t="inlineStr">
        <is>
          <t>2027년 3월 결산기 ２분기 결산단신</t>
        </is>
      </c>
      <c r="C4" t="inlineStr">
        <is>
          <t>https://www2.jpx.co.jp/disc/77410/140120261029559908.pdf</t>
        </is>
      </c>
    </row>
    <row r="5">
      <c r="A5" t="inlineStr">
        <is>
          <t>2026-07-31</t>
        </is>
      </c>
      <c r="B5" t="inlineStr">
        <is>
          <t>2027년 3월 결산기 １분기 결산단신</t>
        </is>
      </c>
      <c r="C5" t="inlineStr">
        <is>
          <t>https://www2.jpx.co.jp/disc/77410/140120260730504068.pdf</t>
        </is>
      </c>
    </row>
    <row r="6">
      <c r="A6" t="inlineStr">
        <is>
          <t>2026-04-30</t>
        </is>
      </c>
      <c r="B6" t="inlineStr">
        <is>
          <t>2026년 3월 결산기 연간 결산단신</t>
        </is>
      </c>
      <c r="C6" t="inlineStr">
        <is>
          <t>https://www2.jpx.co.jp/disc/77410/140120260428513910.pdf</t>
        </is>
      </c>
    </row>
    <row r="7">
      <c r="A7" t="inlineStr">
        <is>
          <t>2026-01-30</t>
        </is>
      </c>
      <c r="B7" t="inlineStr">
        <is>
          <t>2026년 3월 결산기 ３분기 결산단신</t>
        </is>
      </c>
      <c r="C7" t="inlineStr">
        <is>
          <t>https://www2.jpx.co.jp/disc/77410/140120260130542671.pdf</t>
        </is>
      </c>
    </row>
    <row r="8">
      <c r="A8" t="inlineStr">
        <is>
          <t>2025-10-31</t>
        </is>
      </c>
      <c r="B8" t="inlineStr">
        <is>
          <t>2026년 3월 결산기 ２분기 결산단신</t>
        </is>
      </c>
      <c r="C8" t="inlineStr">
        <is>
          <t>https://www2.jpx.co.jp/disc/77410/140120251030583704.pdf</t>
        </is>
      </c>
    </row>
    <row r="9">
      <c r="A9" t="inlineStr">
        <is>
          <t>2025-08-01</t>
        </is>
      </c>
      <c r="B9" t="inlineStr">
        <is>
          <t>2026년 3월 결산기 １분기 결산단신</t>
        </is>
      </c>
      <c r="C9" t="inlineStr">
        <is>
          <t>https://www2.jpx.co.jp/disc/77410/140120250731526370.pdf</t>
        </is>
      </c>
    </row>
    <row r="10">
      <c r="A10" t="inlineStr">
        <is>
          <t>2025-05-01</t>
        </is>
      </c>
      <c r="B10" t="inlineStr">
        <is>
          <t>2025년 3월 결산기 연간 결산단신</t>
        </is>
      </c>
      <c r="C10" t="inlineStr">
        <is>
          <t>https://www2.jpx.co.jp/disc/77410/140120250501528675.pdf</t>
        </is>
      </c>
    </row>
    <row r="11">
      <c r="A11" t="inlineStr">
        <is>
          <t>2025-02-03</t>
        </is>
      </c>
      <c r="B11" t="inlineStr">
        <is>
          <t>2025년 3월 결산기 ３분기 결산단신</t>
        </is>
      </c>
      <c r="C11" t="inlineStr">
        <is>
          <t>https://www2.jpx.co.jp/disc/77410/140120250131560049.pdf</t>
        </is>
      </c>
    </row>
    <row r="12">
      <c r="A12" t="inlineStr">
        <is>
          <t>2024-10-31</t>
        </is>
      </c>
      <c r="B12" t="inlineStr">
        <is>
          <t>2025년 3월 결산기 ２분기 결산단신</t>
        </is>
      </c>
      <c r="C12" t="inlineStr">
        <is>
          <t>https://www2.jpx.co.jp/disc/77410/140120241031507202.pdf</t>
        </is>
      </c>
    </row>
    <row r="13">
      <c r="A13" t="inlineStr">
        <is>
          <t>2024-08-01</t>
        </is>
      </c>
      <c r="B13" t="inlineStr">
        <is>
          <t>2025년 3월 결산기 １분기 결산단신</t>
        </is>
      </c>
      <c r="C13" t="inlineStr">
        <is>
          <t>https://www2.jpx.co.jp/disc/77410/140120240801560314.pdf</t>
        </is>
      </c>
    </row>
    <row r="14">
      <c r="A14" t="inlineStr">
        <is>
          <t>2024-05-15</t>
        </is>
      </c>
      <c r="B14" t="inlineStr">
        <is>
          <t>2024년 3월 결산기 연간 결산단신</t>
        </is>
      </c>
      <c r="C14" t="inlineStr">
        <is>
          <t>https://www2.jpx.co.jp/disc/77410/140120240515597468.pdf</t>
        </is>
      </c>
    </row>
    <row r="15">
      <c r="A15" t="inlineStr">
        <is>
          <t>2024-02-01</t>
        </is>
      </c>
      <c r="B15" t="inlineStr">
        <is>
          <t>2024년 3월 결산기 ３분기 결산단신</t>
        </is>
      </c>
      <c r="C15" t="inlineStr">
        <is>
          <t>https://www2.jpx.co.jp/disc/77410/140120240131523675.pdf</t>
        </is>
      </c>
    </row>
    <row r="16">
      <c r="A16" t="inlineStr">
        <is>
          <t>2023-10-31</t>
        </is>
      </c>
      <c r="B16" t="inlineStr">
        <is>
          <t>2024년 3월 결산기 ２분기 결산단신</t>
        </is>
      </c>
      <c r="C16" t="inlineStr">
        <is>
          <t>https://www2.jpx.co.jp/disc/77410/140120231030574979.pdf</t>
        </is>
      </c>
    </row>
    <row r="17">
      <c r="A17" t="inlineStr">
        <is>
          <t>2023-07-31</t>
        </is>
      </c>
      <c r="B17" t="inlineStr">
        <is>
          <t>2024년 3월 결산기 １분기 결산단신</t>
        </is>
      </c>
      <c r="C17" t="inlineStr">
        <is>
          <t>https://www2.jpx.co.jp/disc/77410/140120230728529724.pdf</t>
        </is>
      </c>
    </row>
    <row r="18">
      <c r="A18" t="inlineStr">
        <is>
          <t>2023-05-08</t>
        </is>
      </c>
      <c r="B18" t="inlineStr">
        <is>
          <t>2023년 3월 결산기 연간 결산단신</t>
        </is>
      </c>
      <c r="C18" t="inlineStr">
        <is>
          <t>https://www2.jpx.co.jp/disc/77410/140120230502558586.pdf</t>
        </is>
      </c>
    </row>
    <row r="19">
      <c r="A19" t="inlineStr">
        <is>
          <t>2023-01-31</t>
        </is>
      </c>
      <c r="B19" t="inlineStr">
        <is>
          <t>2023년 3월 결산기 ３분기 결산단신</t>
        </is>
      </c>
      <c r="C19" t="inlineStr">
        <is>
          <t>https://www2.jpx.co.jp/disc/77410/140120230130596462.pdf</t>
        </is>
      </c>
    </row>
    <row r="20">
      <c r="A20" t="inlineStr">
        <is>
          <t>2022-05-06</t>
        </is>
      </c>
      <c r="B20" t="inlineStr">
        <is>
          <t>2022년 3월 결산기 연간 결산단신</t>
        </is>
      </c>
      <c r="C20" t="inlineStr">
        <is>
          <t>https://www2.jpx.co.jp/disc/77410/140120220502533032.pdf</t>
        </is>
      </c>
    </row>
    <row r="21">
      <c r="A21" t="inlineStr">
        <is>
          <t>2021-04-30</t>
        </is>
      </c>
      <c r="B21" t="inlineStr">
        <is>
          <t>2021년 3월 결산기 연간 결산단신</t>
        </is>
      </c>
      <c r="C21" t="inlineStr">
        <is>
          <t>https://www2.jpx.co.jp/disc/77410/140120210428403197.pdf</t>
        </is>
      </c>
    </row>
    <row r="22">
      <c r="A22" t="inlineStr">
        <is>
          <t>2019-05-07</t>
        </is>
      </c>
      <c r="B22" t="inlineStr">
        <is>
          <t>2019년 3월 결산기 연간 결산단신</t>
        </is>
      </c>
      <c r="C22" t="inlineStr">
        <is>
          <t>https://www2.jpx.co.jp/disc/77410/140120190426413564.pdf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2026-10-30T04:56:19Z</dcterms:created>
  <dcterms:modified xmlns:dcterms="http://purl.org/dc/terms/" xmlns:xsi="http://www.w3.org/2001/XMLSchema-instance" xsi:type="dcterms:W3CDTF">2026-10-30T04:56:19Z</dcterms:modified>
</cp:coreProperties>
</file>