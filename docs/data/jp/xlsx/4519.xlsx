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4519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257898</v>
      </c>
      <c r="D4" s="12" t="n">
        <v>273812</v>
      </c>
      <c r="E4" s="12" t="n">
        <v>236949</v>
      </c>
      <c r="F4" s="12" t="n">
        <v>315911</v>
      </c>
      <c r="G4" s="12" t="n">
        <v>315678</v>
      </c>
      <c r="H4" s="12" t="n">
        <v>302073</v>
      </c>
      <c r="I4" s="12" t="n">
        <v>288459</v>
      </c>
      <c r="J4" s="12" t="n">
        <v>290004</v>
      </c>
      <c r="K4" s="12" t="n">
        <v>333177</v>
      </c>
      <c r="L4" s="12" t="n">
        <v>346301</v>
      </c>
      <c r="M4" s="12" t="n">
        <v>321747</v>
      </c>
      <c r="N4" s="12" t="n">
        <v>341584</v>
      </c>
      <c r="O4" s="11" t="n"/>
      <c r="P4" s="12" t="n"/>
      <c r="Q4" s="12" t="n">
        <v>579787</v>
      </c>
      <c r="R4" s="12" t="n">
        <v>686184</v>
      </c>
      <c r="S4" s="12" t="n">
        <v>786946</v>
      </c>
      <c r="T4" s="12" t="n">
        <v>999759</v>
      </c>
      <c r="U4" s="12" t="n">
        <v>1259726</v>
      </c>
      <c r="V4" s="12" t="n">
        <v>1111367</v>
      </c>
      <c r="W4" s="12" t="n">
        <v>1170611</v>
      </c>
      <c r="X4" s="12" t="n">
        <v>1257941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78256</v>
      </c>
      <c r="D11" s="22" t="n">
        <v>92060</v>
      </c>
      <c r="E11" s="22" t="n">
        <v>72950</v>
      </c>
      <c r="F11" s="22" t="n">
        <v>87940</v>
      </c>
      <c r="G11" s="22" t="n">
        <v>84218</v>
      </c>
      <c r="H11" s="22" t="n">
        <v>94301</v>
      </c>
      <c r="I11" s="22" t="n">
        <v>87823</v>
      </c>
      <c r="J11" s="22" t="n">
        <v>88068</v>
      </c>
      <c r="K11" s="22" t="n">
        <v>100240</v>
      </c>
      <c r="L11" s="22" t="n">
        <v>87559</v>
      </c>
      <c r="M11" s="22" t="n">
        <v>92790</v>
      </c>
      <c r="N11" s="22" t="n">
        <v>104218</v>
      </c>
      <c r="O11" s="21" t="n"/>
      <c r="P11" s="22" t="n"/>
      <c r="Q11" s="22" t="n">
        <v>262847</v>
      </c>
      <c r="R11" s="22" t="n">
        <v>266071</v>
      </c>
      <c r="S11" s="22" t="n">
        <v>273465</v>
      </c>
      <c r="T11" s="22" t="n">
        <v>338147</v>
      </c>
      <c r="U11" s="22" t="n">
        <v>476251</v>
      </c>
      <c r="V11" s="22" t="n">
        <v>413306</v>
      </c>
      <c r="W11" s="22" t="n">
        <v>339409</v>
      </c>
      <c r="X11" s="22" t="n">
        <v>363690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27541</v>
      </c>
      <c r="D15" s="22" t="n">
        <v>30759</v>
      </c>
      <c r="E15" s="22" t="n">
        <v>22586</v>
      </c>
      <c r="F15" s="22" t="n">
        <v>27315</v>
      </c>
      <c r="G15" s="22" t="n">
        <v>27779</v>
      </c>
      <c r="H15" s="22" t="n">
        <v>32418</v>
      </c>
      <c r="I15" s="22" t="n">
        <v>23237</v>
      </c>
      <c r="J15" s="22" t="n">
        <v>28411</v>
      </c>
      <c r="K15" s="22" t="n">
        <v>27888</v>
      </c>
      <c r="L15" s="22" t="n">
        <v>36925</v>
      </c>
      <c r="M15" s="22" t="n">
        <v>28901</v>
      </c>
      <c r="N15" s="22" t="n">
        <v>29044</v>
      </c>
      <c r="O15" s="21" t="n"/>
      <c r="P15" s="22" t="n"/>
      <c r="Q15" s="22" t="n"/>
      <c r="R15" s="22" t="n"/>
      <c r="S15" s="22" t="n"/>
      <c r="T15" s="22" t="n"/>
      <c r="U15" s="22" t="n">
        <v>100477</v>
      </c>
      <c r="V15" s="22" t="n">
        <v>112580</v>
      </c>
      <c r="W15" s="22" t="n">
        <v>110098</v>
      </c>
      <c r="X15" s="22" t="n">
        <v>116461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106688</v>
      </c>
      <c r="D16" s="12" t="n">
        <v>121576</v>
      </c>
      <c r="E16" s="12" t="n">
        <v>99874</v>
      </c>
      <c r="F16" s="12" t="n">
        <v>158321</v>
      </c>
      <c r="G16" s="12" t="n">
        <v>160407</v>
      </c>
      <c r="H16" s="12" t="n">
        <v>123400</v>
      </c>
      <c r="I16" s="12" t="n">
        <v>136651</v>
      </c>
      <c r="J16" s="12" t="n">
        <v>136691</v>
      </c>
      <c r="K16" s="12" t="n">
        <v>156485</v>
      </c>
      <c r="L16" s="12" t="n">
        <v>169006</v>
      </c>
      <c r="M16" s="12" t="n">
        <v>158765</v>
      </c>
      <c r="N16" s="12" t="n">
        <v>160858</v>
      </c>
      <c r="O16" s="11" t="n"/>
      <c r="P16" s="12" t="n"/>
      <c r="Q16" s="12" t="n">
        <v>124323</v>
      </c>
      <c r="R16" s="12" t="n">
        <v>210597</v>
      </c>
      <c r="S16" s="12" t="n">
        <v>301230</v>
      </c>
      <c r="T16" s="12" t="n">
        <v>421897</v>
      </c>
      <c r="U16" s="12" t="n">
        <v>533309</v>
      </c>
      <c r="V16" s="12" t="n">
        <v>439174</v>
      </c>
      <c r="W16" s="12" t="n">
        <v>542002</v>
      </c>
      <c r="X16" s="12" t="n">
        <v>598833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>
        <v>0</v>
      </c>
      <c r="D34" s="22" t="n">
        <v>0</v>
      </c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>
        <v>3212</v>
      </c>
      <c r="R34" s="22" t="n">
        <v>3124</v>
      </c>
      <c r="S34" s="22" t="n">
        <v>1504</v>
      </c>
      <c r="T34" s="22" t="n">
        <v>2540</v>
      </c>
      <c r="U34" s="22" t="n">
        <v>2134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>
        <v>8</v>
      </c>
      <c r="D38" s="22" t="n">
        <v>8</v>
      </c>
      <c r="E38" s="22" t="n">
        <v>-3</v>
      </c>
      <c r="F38" s="22" t="n">
        <v>-1</v>
      </c>
      <c r="G38" s="22" t="n">
        <v>-1</v>
      </c>
      <c r="H38" s="22" t="n">
        <v>0</v>
      </c>
      <c r="I38" s="22" t="n">
        <v>-3</v>
      </c>
      <c r="J38" s="22" t="n">
        <v>57</v>
      </c>
      <c r="K38" s="22" t="n">
        <v>58</v>
      </c>
      <c r="L38" s="22" t="n">
        <v>95</v>
      </c>
      <c r="M38" s="22" t="n">
        <v>-42</v>
      </c>
      <c r="N38" s="22" t="n">
        <v>-44</v>
      </c>
      <c r="O38" s="21" t="n"/>
      <c r="P38" s="22" t="n"/>
      <c r="Q38" s="22" t="n">
        <v>111</v>
      </c>
      <c r="R38" s="22" t="n">
        <v>125</v>
      </c>
      <c r="S38" s="22" t="n">
        <v>62</v>
      </c>
      <c r="T38" s="22" t="n">
        <v>48</v>
      </c>
      <c r="U38" s="22" t="n">
        <v>61</v>
      </c>
      <c r="V38" s="22" t="n">
        <v>27</v>
      </c>
      <c r="W38" s="22" t="n">
        <v>-5</v>
      </c>
      <c r="X38" s="22" t="n">
        <v>207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107475</v>
      </c>
      <c r="D40" s="12" t="n">
        <v>122690</v>
      </c>
      <c r="E40" s="12" t="n">
        <v>99889</v>
      </c>
      <c r="F40" s="12" t="n">
        <v>158801</v>
      </c>
      <c r="G40" s="12" t="n">
        <v>158837</v>
      </c>
      <c r="H40" s="12" t="n">
        <v>125507</v>
      </c>
      <c r="I40" s="12" t="n">
        <v>135829</v>
      </c>
      <c r="J40" s="12" t="n">
        <v>136001</v>
      </c>
      <c r="K40" s="12" t="n">
        <v>156072</v>
      </c>
      <c r="L40" s="12" t="n">
        <v>169905</v>
      </c>
      <c r="M40" s="12" t="n">
        <v>160197</v>
      </c>
      <c r="N40" s="12" t="n">
        <v>169023</v>
      </c>
      <c r="O40" s="11" t="n"/>
      <c r="P40" s="12" t="n"/>
      <c r="Q40" s="12" t="n">
        <v>121449</v>
      </c>
      <c r="R40" s="12" t="n">
        <v>207893</v>
      </c>
      <c r="S40" s="12" t="n">
        <v>298188</v>
      </c>
      <c r="T40" s="12" t="n">
        <v>419385</v>
      </c>
      <c r="U40" s="12" t="n">
        <v>531166</v>
      </c>
      <c r="V40" s="12" t="n">
        <v>443821</v>
      </c>
      <c r="W40" s="12" t="n">
        <v>543034</v>
      </c>
      <c r="X40" s="12" t="n">
        <v>597807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29902</v>
      </c>
      <c r="D41" s="22" t="n">
        <v>31484</v>
      </c>
      <c r="E41" s="22" t="n">
        <v>25488</v>
      </c>
      <c r="F41" s="22" t="n">
        <v>46940</v>
      </c>
      <c r="G41" s="22" t="n">
        <v>49341</v>
      </c>
      <c r="H41" s="22" t="n">
        <v>33948</v>
      </c>
      <c r="I41" s="22" t="n">
        <v>38595</v>
      </c>
      <c r="J41" s="22" t="n">
        <v>38846</v>
      </c>
      <c r="K41" s="22" t="n">
        <v>44858</v>
      </c>
      <c r="L41" s="22" t="n">
        <v>41495</v>
      </c>
      <c r="M41" s="22" t="n">
        <v>44779</v>
      </c>
      <c r="N41" s="22" t="n">
        <v>52693</v>
      </c>
      <c r="O41" s="21" t="n"/>
      <c r="P41" s="22" t="n"/>
      <c r="Q41" s="22" t="n">
        <v>28370</v>
      </c>
      <c r="R41" s="22" t="n">
        <v>50333</v>
      </c>
      <c r="S41" s="22" t="n">
        <v>83455</v>
      </c>
      <c r="T41" s="22" t="n">
        <v>116390</v>
      </c>
      <c r="U41" s="22" t="n">
        <v>156737</v>
      </c>
      <c r="V41" s="22" t="n">
        <v>118349</v>
      </c>
      <c r="W41" s="22" t="n">
        <v>155717</v>
      </c>
      <c r="X41" s="22" t="n">
        <v>163794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77573</v>
      </c>
      <c r="D43" s="12" t="n">
        <v>91206</v>
      </c>
      <c r="E43" s="12" t="n">
        <v>74401</v>
      </c>
      <c r="F43" s="12" t="n">
        <v>111861</v>
      </c>
      <c r="G43" s="12" t="n">
        <v>109496</v>
      </c>
      <c r="H43" s="12" t="n">
        <v>91559</v>
      </c>
      <c r="I43" s="12" t="n">
        <v>97234</v>
      </c>
      <c r="J43" s="12" t="n">
        <v>97155</v>
      </c>
      <c r="K43" s="12" t="n">
        <v>111213</v>
      </c>
      <c r="L43" s="12" t="n">
        <v>128410</v>
      </c>
      <c r="M43" s="12" t="n">
        <v>115418</v>
      </c>
      <c r="N43" s="12" t="n">
        <v>116331</v>
      </c>
      <c r="O43" s="11" t="n"/>
      <c r="P43" s="12" t="n"/>
      <c r="Q43" s="12" t="n">
        <v>93079</v>
      </c>
      <c r="R43" s="12" t="n">
        <v>157560</v>
      </c>
      <c r="S43" s="12" t="n">
        <v>214733</v>
      </c>
      <c r="T43" s="12" t="n">
        <v>302995</v>
      </c>
      <c r="U43" s="12" t="n">
        <v>374429</v>
      </c>
      <c r="V43" s="12" t="n">
        <v>325472</v>
      </c>
      <c r="W43" s="12" t="n">
        <v>387317</v>
      </c>
      <c r="X43" s="12" t="n">
        <v>434012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77573</v>
      </c>
      <c r="D44" s="12" t="n">
        <v>91206</v>
      </c>
      <c r="E44" s="12" t="n">
        <v>74401</v>
      </c>
      <c r="F44" s="12" t="n">
        <v>111861</v>
      </c>
      <c r="G44" s="12" t="n">
        <v>109496</v>
      </c>
      <c r="H44" s="12" t="n">
        <v>91559</v>
      </c>
      <c r="I44" s="12" t="n">
        <v>97234</v>
      </c>
      <c r="J44" s="12" t="n">
        <v>97155</v>
      </c>
      <c r="K44" s="12" t="n">
        <v>111213</v>
      </c>
      <c r="L44" s="12" t="n">
        <v>128410</v>
      </c>
      <c r="M44" s="12" t="n">
        <v>115418</v>
      </c>
      <c r="N44" s="12" t="n">
        <v>116331</v>
      </c>
      <c r="O44" s="11" t="n"/>
      <c r="P44" s="12" t="n"/>
      <c r="Q44" s="12" t="n">
        <v>92488</v>
      </c>
      <c r="R44" s="12" t="n">
        <v>157560</v>
      </c>
      <c r="S44" s="12" t="n">
        <v>214733</v>
      </c>
      <c r="T44" s="12" t="n">
        <v>302995</v>
      </c>
      <c r="U44" s="12" t="n">
        <v>374429</v>
      </c>
      <c r="V44" s="12" t="n">
        <v>325472</v>
      </c>
      <c r="W44" s="12" t="n">
        <v>387317</v>
      </c>
      <c r="X44" s="12" t="n">
        <v>434012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6897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1679057667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2023.3Q</t>
        </is>
      </c>
      <c r="D77" s="5" t="inlineStr">
        <is>
          <t>2023.4Q</t>
        </is>
      </c>
      <c r="E77" s="5" t="inlineStr">
        <is>
          <t>2024.1Q</t>
        </is>
      </c>
      <c r="F77" s="5" t="inlineStr">
        <is>
          <t>2024.2Q</t>
        </is>
      </c>
      <c r="G77" s="5" t="inlineStr">
        <is>
          <t>2024.3Q</t>
        </is>
      </c>
      <c r="H77" s="5" t="inlineStr">
        <is>
          <t>2024.4Q</t>
        </is>
      </c>
      <c r="I77" s="5" t="inlineStr">
        <is>
          <t>2025.1Q</t>
        </is>
      </c>
      <c r="J77" s="5" t="inlineStr">
        <is>
          <t>2025.2Q</t>
        </is>
      </c>
      <c r="K77" s="5" t="inlineStr">
        <is>
          <t>2025.3Q</t>
        </is>
      </c>
      <c r="L77" s="5" t="inlineStr">
        <is>
          <t>2025.4Q</t>
        </is>
      </c>
      <c r="M77" s="5" t="inlineStr">
        <is>
          <t>2026.1Q</t>
        </is>
      </c>
      <c r="N77" s="5" t="inlineStr">
        <is>
          <t>2026.2Q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매출수익</t>
        </is>
      </c>
      <c r="C78" s="12" t="n">
        <v>257898</v>
      </c>
      <c r="D78" s="12" t="n">
        <v>273812</v>
      </c>
      <c r="E78" s="12" t="n">
        <v>236949</v>
      </c>
      <c r="F78" s="12" t="n">
        <v>315911</v>
      </c>
      <c r="G78" s="12" t="n">
        <v>315678</v>
      </c>
      <c r="H78" s="12" t="n">
        <v>302073</v>
      </c>
      <c r="I78" s="12" t="n">
        <v>288459</v>
      </c>
      <c r="J78" s="12" t="n">
        <v>290004</v>
      </c>
      <c r="K78" s="12" t="n">
        <v>333177</v>
      </c>
      <c r="L78" s="12" t="n">
        <v>346301</v>
      </c>
      <c r="M78" s="12" t="n">
        <v>321747</v>
      </c>
      <c r="N78" s="12" t="n">
        <v>341584</v>
      </c>
      <c r="T78" s="12" t="n">
        <v>322266</v>
      </c>
      <c r="U78" s="12" t="n">
        <v>438495</v>
      </c>
      <c r="V78" s="12" t="n">
        <v>273812</v>
      </c>
      <c r="W78" s="12" t="n">
        <v>302073</v>
      </c>
      <c r="X78" s="12" t="n">
        <v>346301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제품·상품 매출액</t>
        </is>
      </c>
      <c r="C80" s="22" t="n">
        <v>219027</v>
      </c>
      <c r="D80" s="22" t="n">
        <v>232417</v>
      </c>
      <c r="E80" s="22" t="n">
        <v>204480</v>
      </c>
      <c r="F80" s="22" t="n">
        <v>281052</v>
      </c>
      <c r="G80" s="22" t="n">
        <v>264794</v>
      </c>
      <c r="H80" s="22" t="n">
        <v>247575</v>
      </c>
      <c r="I80" s="22" t="n">
        <v>259722</v>
      </c>
      <c r="J80" s="22" t="n">
        <v>251717</v>
      </c>
      <c r="K80" s="22" t="n">
        <v>283147</v>
      </c>
      <c r="L80" s="22" t="n">
        <v>283217</v>
      </c>
      <c r="M80" s="22" t="n">
        <v>291577</v>
      </c>
      <c r="N80" s="22" t="n">
        <v>274910</v>
      </c>
      <c r="T80" s="22" t="n">
        <v>264142</v>
      </c>
      <c r="U80" s="22" t="n">
        <v>394574</v>
      </c>
      <c r="V80" s="22" t="n">
        <v>232417</v>
      </c>
      <c r="W80" s="22" t="n">
        <v>247575</v>
      </c>
      <c r="X80" s="22" t="n">
        <v>283217</v>
      </c>
    </row>
    <row r="81">
      <c r="A81" s="20" t="inlineStr">
        <is>
          <t>로열티 등 수입 및 기타 영업수입</t>
        </is>
      </c>
      <c r="T81" s="22" t="n">
        <v>58123</v>
      </c>
      <c r="U81" s="22" t="n">
        <v>43922</v>
      </c>
    </row>
    <row r="82">
      <c r="A82" s="20" t="inlineStr">
        <is>
          <t>기타 수입</t>
        </is>
      </c>
      <c r="T82" s="22" t="n">
        <v>0</v>
      </c>
      <c r="U82" s="22" t="n">
        <v>0</v>
      </c>
    </row>
    <row r="83">
      <c r="A83" s="20" t="inlineStr">
        <is>
          <t>기타 매출수익</t>
        </is>
      </c>
      <c r="C83" s="22" t="n">
        <v>38871</v>
      </c>
      <c r="D83" s="22" t="n">
        <v>41395</v>
      </c>
      <c r="E83" s="22" t="n">
        <v>32469</v>
      </c>
      <c r="F83" s="22" t="n">
        <v>34859</v>
      </c>
      <c r="G83" s="22" t="n">
        <v>50884</v>
      </c>
      <c r="H83" s="22" t="n">
        <v>54498</v>
      </c>
      <c r="I83" s="22" t="n">
        <v>28737</v>
      </c>
      <c r="J83" s="22" t="n">
        <v>38288</v>
      </c>
      <c r="K83" s="22" t="n">
        <v>50029</v>
      </c>
      <c r="L83" s="22" t="n">
        <v>63084</v>
      </c>
      <c r="M83" s="22" t="n">
        <v>30170</v>
      </c>
      <c r="N83" s="22" t="n">
        <v>66674</v>
      </c>
      <c r="U83" s="22" t="n">
        <v>43922</v>
      </c>
      <c r="V83" s="22" t="n">
        <v>41395</v>
      </c>
      <c r="W83" s="22" t="n">
        <v>54498</v>
      </c>
      <c r="X83" s="22" t="n">
        <v>63084</v>
      </c>
    </row>
    <row r="84">
      <c r="A84" s="20" t="inlineStr">
        <is>
          <t>매출원가</t>
        </is>
      </c>
      <c r="C84" s="22" t="n">
        <v>78256</v>
      </c>
      <c r="D84" s="22" t="n">
        <v>92060</v>
      </c>
      <c r="E84" s="22" t="n">
        <v>72950</v>
      </c>
      <c r="F84" s="22" t="n">
        <v>87940</v>
      </c>
      <c r="G84" s="22" t="n">
        <v>84218</v>
      </c>
      <c r="H84" s="22" t="n">
        <v>94301</v>
      </c>
      <c r="I84" s="22" t="n">
        <v>87823</v>
      </c>
      <c r="J84" s="22" t="n">
        <v>88068</v>
      </c>
      <c r="K84" s="22" t="n">
        <v>100240</v>
      </c>
      <c r="L84" s="22" t="n">
        <v>87559</v>
      </c>
      <c r="M84" s="22" t="n">
        <v>92790</v>
      </c>
      <c r="N84" s="22" t="n">
        <v>104218</v>
      </c>
      <c r="T84" s="22" t="n">
        <v>110556</v>
      </c>
      <c r="U84" s="22" t="n">
        <v>212908</v>
      </c>
      <c r="V84" s="22" t="n">
        <v>92060</v>
      </c>
      <c r="W84" s="22" t="n">
        <v>94301</v>
      </c>
      <c r="X84" s="22" t="n">
        <v>87559</v>
      </c>
    </row>
    <row r="85">
      <c r="A85" s="9" t="inlineStr">
        <is>
          <t>매출총이익</t>
        </is>
      </c>
      <c r="C85" s="12" t="n">
        <v>179642</v>
      </c>
      <c r="D85" s="12" t="n">
        <v>181752</v>
      </c>
      <c r="E85" s="12" t="n">
        <v>163999</v>
      </c>
      <c r="F85" s="12" t="n">
        <v>227971</v>
      </c>
      <c r="G85" s="12" t="n">
        <v>231460</v>
      </c>
      <c r="H85" s="12" t="n">
        <v>207771</v>
      </c>
      <c r="I85" s="12" t="n">
        <v>200636</v>
      </c>
      <c r="J85" s="12" t="n">
        <v>201937</v>
      </c>
      <c r="K85" s="12" t="n">
        <v>232936</v>
      </c>
      <c r="L85" s="12" t="n">
        <v>258742</v>
      </c>
      <c r="M85" s="12" t="n">
        <v>228957</v>
      </c>
      <c r="N85" s="12" t="n">
        <v>237366</v>
      </c>
      <c r="T85" s="12" t="n">
        <v>211710</v>
      </c>
      <c r="U85" s="12" t="n">
        <v>225587</v>
      </c>
      <c r="V85" s="12" t="n">
        <v>181752</v>
      </c>
      <c r="W85" s="12" t="n">
        <v>207771</v>
      </c>
      <c r="X85" s="12" t="n">
        <v>258742</v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IF(OR(G85="",C85=""),"",IF(C85&lt;=0,"",IFERROR(G85/C85-1,"")))</f>
        <v/>
      </c>
      <c r="H86" s="17">
        <f>IF(OR(H85="",D85=""),"",IF(D85&lt;=0,"",IFERROR(H85/D85-1,"")))</f>
        <v/>
      </c>
      <c r="I86" s="17">
        <f>IF(OR(I85="",E85=""),"",IF(E85&lt;=0,"",IFERROR(I85/E85-1,"")))</f>
        <v/>
      </c>
      <c r="J86" s="17">
        <f>IF(OR(J85="",F85=""),"",IF(F85&lt;=0,"",IFERROR(J85/F85-1,"")))</f>
        <v/>
      </c>
      <c r="K86" s="17">
        <f>IF(OR(K85="",G85=""),"",IF(G85&lt;=0,"",IFERROR(K85/G85-1,"")))</f>
        <v/>
      </c>
      <c r="L86" s="17">
        <f>IF(OR(L85="",H85=""),"",IF(H85&lt;=0,"",IFERROR(L85/H85-1,"")))</f>
        <v/>
      </c>
      <c r="M86" s="17">
        <f>IF(OR(M85="",I85=""),"",IF(I85&lt;=0,"",IFERROR(M85/I85-1,"")))</f>
        <v/>
      </c>
      <c r="N86" s="17">
        <f>IF(OR(N85="",J85=""),"",IF(J85&lt;=0,"",IFERROR(N85/J85-1,"")))</f>
        <v/>
      </c>
      <c r="T86" s="17">
        <f>IF(OR(T85="",S85=""),"",IF(S85&lt;=0,"",IFERROR(T85/S85-1,"")))</f>
        <v/>
      </c>
      <c r="U86" s="17">
        <f>IF(OR(U85="",T85=""),"",IF(T85&lt;=0,"",IFERROR(U85/T85-1,"")))</f>
        <v/>
      </c>
      <c r="V86" s="17">
        <f>IF(OR(V85="",U85=""),"",IF(U85&lt;=0,"",IFERROR(V85/U85-1,"")))</f>
        <v/>
      </c>
      <c r="W86" s="17">
        <f>IF(OR(W85="",V85=""),"",IF(V85&lt;=0,"",IFERROR(W85/V85-1,"")))</f>
        <v/>
      </c>
      <c r="X86" s="17">
        <f>IF(OR(X85="",W85=""),"",IF(W85&lt;=0,"",IFERROR(X85/W85-1,"")))</f>
        <v/>
      </c>
    </row>
    <row r="87">
      <c r="A87" s="20" t="inlineStr">
        <is>
          <t>판매비</t>
        </is>
      </c>
      <c r="T87" s="22" t="n">
        <v>24346</v>
      </c>
      <c r="U87" s="22" t="n">
        <v>23037</v>
      </c>
    </row>
    <row r="88">
      <c r="A88" s="20" t="inlineStr">
        <is>
          <t>연구개발비</t>
        </is>
      </c>
      <c r="C88" s="22" t="n">
        <v>45574</v>
      </c>
      <c r="D88" s="22" t="n">
        <v>41856</v>
      </c>
      <c r="E88" s="22" t="n">
        <v>41355</v>
      </c>
      <c r="F88" s="22" t="n">
        <v>42937</v>
      </c>
      <c r="G88" s="22" t="n">
        <v>44920</v>
      </c>
      <c r="H88" s="22" t="n">
        <v>52228</v>
      </c>
      <c r="I88" s="22" t="n">
        <v>40927</v>
      </c>
      <c r="J88" s="22" t="n">
        <v>45664</v>
      </c>
      <c r="K88" s="22" t="n">
        <v>48601</v>
      </c>
      <c r="L88" s="22" t="n">
        <v>52406</v>
      </c>
      <c r="M88" s="22" t="n">
        <v>41887</v>
      </c>
      <c r="N88" s="22" t="n">
        <v>47755</v>
      </c>
      <c r="T88" s="22" t="n">
        <v>37807</v>
      </c>
      <c r="U88" s="22" t="n">
        <v>45232</v>
      </c>
      <c r="V88" s="22" t="n">
        <v>41856</v>
      </c>
      <c r="W88" s="22" t="n">
        <v>52228</v>
      </c>
      <c r="X88" s="22" t="n">
        <v>52406</v>
      </c>
    </row>
    <row r="89">
      <c r="A89" s="20" t="inlineStr">
        <is>
          <t>일반관리비 등</t>
        </is>
      </c>
      <c r="T89" s="22" t="n">
        <v>10495</v>
      </c>
      <c r="U89" s="22" t="n">
        <v>7844</v>
      </c>
    </row>
    <row r="90">
      <c r="A90" s="20" t="inlineStr">
        <is>
          <t>판매비와 관리비</t>
        </is>
      </c>
      <c r="C90" s="22" t="n">
        <v>27541</v>
      </c>
      <c r="D90" s="22" t="n">
        <v>30759</v>
      </c>
      <c r="E90" s="22" t="n">
        <v>22586</v>
      </c>
      <c r="F90" s="22" t="n">
        <v>27315</v>
      </c>
      <c r="G90" s="22" t="n">
        <v>27779</v>
      </c>
      <c r="H90" s="22" t="n">
        <v>32418</v>
      </c>
      <c r="I90" s="22" t="n">
        <v>23237</v>
      </c>
      <c r="J90" s="22" t="n">
        <v>28411</v>
      </c>
      <c r="K90" s="22" t="n">
        <v>27888</v>
      </c>
      <c r="L90" s="22" t="n">
        <v>36925</v>
      </c>
      <c r="M90" s="22" t="n">
        <v>28901</v>
      </c>
      <c r="N90" s="22" t="n">
        <v>29044</v>
      </c>
      <c r="U90" s="22" t="n">
        <v>30753</v>
      </c>
      <c r="V90" s="22" t="n">
        <v>30759</v>
      </c>
      <c r="W90" s="22" t="n">
        <v>32418</v>
      </c>
      <c r="X90" s="22" t="n">
        <v>36925</v>
      </c>
    </row>
    <row r="91">
      <c r="A91" s="20" t="inlineStr">
        <is>
          <t>기타영업수익(비용)</t>
        </is>
      </c>
      <c r="C91" s="22" t="n">
        <v>160</v>
      </c>
      <c r="D91" s="22" t="n">
        <v>12439</v>
      </c>
      <c r="E91" s="22" t="n">
        <v>-185</v>
      </c>
      <c r="F91" s="22" t="n">
        <v>604</v>
      </c>
      <c r="G91" s="22" t="n">
        <v>1645</v>
      </c>
      <c r="H91" s="22" t="n">
        <v>275</v>
      </c>
      <c r="I91" s="22" t="n">
        <v>178</v>
      </c>
      <c r="J91" s="22" t="n">
        <v>8830</v>
      </c>
      <c r="K91" s="22" t="n">
        <v>38</v>
      </c>
      <c r="L91" s="22" t="n">
        <v>-405</v>
      </c>
      <c r="M91" s="22" t="n">
        <v>596</v>
      </c>
      <c r="N91" s="22" t="n">
        <v>291</v>
      </c>
      <c r="U91" s="22" t="n">
        <v>-128</v>
      </c>
      <c r="V91" s="22" t="n">
        <v>12439</v>
      </c>
      <c r="W91" s="22" t="n">
        <v>275</v>
      </c>
      <c r="X91" s="22" t="n">
        <v>-405</v>
      </c>
    </row>
    <row r="92">
      <c r="A92" s="20" t="inlineStr">
        <is>
          <t>영업이익</t>
        </is>
      </c>
      <c r="C92" s="22" t="n">
        <v>106688</v>
      </c>
      <c r="D92" s="22" t="n">
        <v>121576</v>
      </c>
      <c r="E92" s="22" t="n">
        <v>99874</v>
      </c>
      <c r="F92" s="22" t="n">
        <v>158321</v>
      </c>
      <c r="G92" s="22" t="n">
        <v>160407</v>
      </c>
      <c r="H92" s="22" t="n">
        <v>123400</v>
      </c>
      <c r="I92" s="22" t="n">
        <v>136651</v>
      </c>
      <c r="J92" s="22" t="n">
        <v>136691</v>
      </c>
      <c r="K92" s="22" t="n">
        <v>156485</v>
      </c>
      <c r="L92" s="22" t="n">
        <v>169006</v>
      </c>
      <c r="M92" s="22" t="n">
        <v>158765</v>
      </c>
      <c r="N92" s="22" t="n">
        <v>160858</v>
      </c>
      <c r="T92" s="22" t="n">
        <v>139062</v>
      </c>
      <c r="U92" s="22" t="n">
        <v>149474</v>
      </c>
      <c r="V92" s="22" t="n">
        <v>121576</v>
      </c>
      <c r="W92" s="22" t="n">
        <v>123400</v>
      </c>
      <c r="X92" s="22" t="n">
        <v>169006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IF(OR(C92="",C78=""),"",IF(C78&lt;=0,"",IFERROR(C92/C78,"")))</f>
        <v/>
      </c>
      <c r="D93" s="17">
        <f>IF(OR(D92="",D78=""),"",IF(D78&lt;=0,"",IFERROR(D92/D78,"")))</f>
        <v/>
      </c>
      <c r="E93" s="17">
        <f>IF(OR(E92="",E78=""),"",IF(E78&lt;=0,"",IFERROR(E92/E78,"")))</f>
        <v/>
      </c>
      <c r="F93" s="17">
        <f>IF(OR(F92="",F78=""),"",IF(F78&lt;=0,"",IFERROR(F92/F78,"")))</f>
        <v/>
      </c>
      <c r="G93" s="17">
        <f>IF(OR(G92="",G78=""),"",IF(G78&lt;=0,"",IFERROR(G92/G78,"")))</f>
        <v/>
      </c>
      <c r="H93" s="17">
        <f>IF(OR(H92="",H78=""),"",IF(H78&lt;=0,"",IFERROR(H92/H78,"")))</f>
        <v/>
      </c>
      <c r="I93" s="17">
        <f>IF(OR(I92="",I78=""),"",IF(I78&lt;=0,"",IFERROR(I92/I78,"")))</f>
        <v/>
      </c>
      <c r="J93" s="17">
        <f>IF(OR(J92="",J78=""),"",IF(J78&lt;=0,"",IFERROR(J92/J78,"")))</f>
        <v/>
      </c>
      <c r="K93" s="17">
        <f>IF(OR(K92="",K78=""),"",IF(K78&lt;=0,"",IFERROR(K92/K78,"")))</f>
        <v/>
      </c>
      <c r="L93" s="17">
        <f>IF(OR(L92="",L78=""),"",IF(L78&lt;=0,"",IFERROR(L92/L78,"")))</f>
        <v/>
      </c>
      <c r="M93" s="17">
        <f>IF(OR(M92="",M78=""),"",IF(M78&lt;=0,"",IFERROR(M92/M78,"")))</f>
        <v/>
      </c>
      <c r="N93" s="17">
        <f>IF(OR(N92="",N78=""),"",IF(N78&lt;=0,"",IFERROR(N92/N78,"")))</f>
        <v/>
      </c>
      <c r="T93" s="17">
        <f>IF(OR(T92="",T78=""),"",IF(T78&lt;=0,"",IFERROR(T92/T78,"")))</f>
        <v/>
      </c>
      <c r="U93" s="17">
        <f>IF(OR(U92="",U78=""),"",IF(U78&lt;=0,"",IFERROR(U92/U78,"")))</f>
        <v/>
      </c>
      <c r="V93" s="17">
        <f>IF(OR(V92="",V78=""),"",IF(V78&lt;=0,"",IFERROR(V92/V78,"")))</f>
        <v/>
      </c>
      <c r="W93" s="17">
        <f>IF(OR(W92="",W78=""),"",IF(W78&lt;=0,"",IFERROR(W92/W78,"")))</f>
        <v/>
      </c>
      <c r="X93" s="17">
        <f>IF(OR(X92="",X78=""),"",IF(X78&lt;=0,"",IFERROR(X92/X78,"")))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금융비용</t>
        </is>
      </c>
      <c r="C95" s="22" t="n">
        <v>8</v>
      </c>
      <c r="D95" s="22" t="n">
        <v>8</v>
      </c>
      <c r="E95" s="22" t="n">
        <v>-3</v>
      </c>
      <c r="F95" s="22" t="n">
        <v>-1</v>
      </c>
      <c r="G95" s="22" t="n">
        <v>-1</v>
      </c>
      <c r="H95" s="22" t="n">
        <v>0</v>
      </c>
      <c r="I95" s="22" t="n">
        <v>-3</v>
      </c>
      <c r="J95" s="22" t="n">
        <v>57</v>
      </c>
      <c r="K95" s="22" t="n">
        <v>58</v>
      </c>
      <c r="L95" s="22" t="n">
        <v>95</v>
      </c>
      <c r="M95" s="22" t="n">
        <v>-42</v>
      </c>
      <c r="N95" s="22" t="n">
        <v>-44</v>
      </c>
      <c r="T95" s="22" t="n">
        <v>12</v>
      </c>
      <c r="U95" s="22" t="n">
        <v>16</v>
      </c>
      <c r="V95" s="22" t="n">
        <v>8</v>
      </c>
      <c r="W95" s="22" t="n">
        <v>0</v>
      </c>
      <c r="X95" s="22" t="n">
        <v>95</v>
      </c>
    </row>
    <row r="96">
      <c r="A96" s="20" t="inlineStr">
        <is>
          <t>기타금융수익(비용)</t>
        </is>
      </c>
      <c r="C96" s="22" t="n">
        <v>795</v>
      </c>
      <c r="D96" s="22" t="n">
        <v>1122</v>
      </c>
      <c r="E96" s="22" t="n">
        <v>12</v>
      </c>
      <c r="F96" s="22" t="n">
        <v>479</v>
      </c>
      <c r="G96" s="22" t="n">
        <v>-1571</v>
      </c>
      <c r="H96" s="22" t="n">
        <v>2107</v>
      </c>
      <c r="I96" s="22" t="n">
        <v>-825</v>
      </c>
      <c r="J96" s="22" t="n">
        <v>-633</v>
      </c>
      <c r="K96" s="22" t="n">
        <v>-355</v>
      </c>
      <c r="L96" s="22" t="n">
        <v>994</v>
      </c>
      <c r="M96" s="22" t="n">
        <v>1390</v>
      </c>
      <c r="N96" s="22" t="n">
        <v>3655</v>
      </c>
      <c r="T96" s="22" t="n">
        <v>-869</v>
      </c>
      <c r="U96" s="22" t="n">
        <v>-510</v>
      </c>
      <c r="V96" s="22" t="n">
        <v>1122</v>
      </c>
      <c r="W96" s="22" t="n">
        <v>2107</v>
      </c>
      <c r="X96" s="22" t="n">
        <v>994</v>
      </c>
    </row>
    <row r="97">
      <c r="A97" s="20" t="inlineStr">
        <is>
          <t>기타비용</t>
        </is>
      </c>
      <c r="C97" s="22" t="n">
        <v>0</v>
      </c>
      <c r="D97" s="22" t="n">
        <v>0</v>
      </c>
      <c r="T97" s="22" t="n">
        <v>-259</v>
      </c>
      <c r="U97" s="22" t="n">
        <v>-267</v>
      </c>
      <c r="V97" s="22" t="n">
        <v>0</v>
      </c>
    </row>
    <row r="98">
      <c r="A98" s="9" t="inlineStr">
        <is>
          <t>법인세비용차감전 중간이익</t>
        </is>
      </c>
      <c r="C98" s="12" t="n">
        <v>107475</v>
      </c>
      <c r="D98" s="12" t="n">
        <v>122690</v>
      </c>
      <c r="E98" s="12" t="n">
        <v>99889</v>
      </c>
      <c r="F98" s="12" t="n">
        <v>158801</v>
      </c>
      <c r="G98" s="12" t="n">
        <v>158837</v>
      </c>
      <c r="H98" s="12" t="n">
        <v>125507</v>
      </c>
      <c r="I98" s="12" t="n">
        <v>135829</v>
      </c>
      <c r="J98" s="12" t="n">
        <v>136001</v>
      </c>
      <c r="K98" s="12" t="n">
        <v>156072</v>
      </c>
      <c r="L98" s="12" t="n">
        <v>169905</v>
      </c>
      <c r="M98" s="12" t="n">
        <v>160197</v>
      </c>
      <c r="N98" s="12" t="n">
        <v>169023</v>
      </c>
      <c r="T98" s="12" t="n">
        <v>138440</v>
      </c>
      <c r="U98" s="12" t="n">
        <v>149216</v>
      </c>
      <c r="V98" s="12" t="n">
        <v>122690</v>
      </c>
      <c r="W98" s="12" t="n">
        <v>125507</v>
      </c>
      <c r="X98" s="12" t="n">
        <v>169905</v>
      </c>
    </row>
    <row r="99">
      <c r="A99" s="20" t="inlineStr">
        <is>
          <t>법인소득세</t>
        </is>
      </c>
      <c r="C99" s="22" t="n">
        <v>29902</v>
      </c>
      <c r="D99" s="22" t="n">
        <v>31484</v>
      </c>
      <c r="E99" s="22" t="n">
        <v>25488</v>
      </c>
      <c r="F99" s="22" t="n">
        <v>46940</v>
      </c>
      <c r="G99" s="22" t="n">
        <v>49341</v>
      </c>
      <c r="H99" s="22" t="n">
        <v>33948</v>
      </c>
      <c r="I99" s="22" t="n">
        <v>38595</v>
      </c>
      <c r="J99" s="22" t="n">
        <v>38846</v>
      </c>
      <c r="K99" s="22" t="n">
        <v>44858</v>
      </c>
      <c r="L99" s="22" t="n">
        <v>41495</v>
      </c>
      <c r="M99" s="22" t="n">
        <v>44779</v>
      </c>
      <c r="N99" s="22" t="n">
        <v>52693</v>
      </c>
      <c r="T99" s="22" t="n">
        <v>39599</v>
      </c>
      <c r="U99" s="22" t="n">
        <v>46737</v>
      </c>
      <c r="V99" s="22" t="n">
        <v>31484</v>
      </c>
      <c r="W99" s="22" t="n">
        <v>33948</v>
      </c>
      <c r="X99" s="22" t="n">
        <v>41495</v>
      </c>
    </row>
    <row r="100">
      <c r="A100" s="9" t="inlineStr">
        <is>
          <t>중간이익</t>
        </is>
      </c>
      <c r="C100" s="12" t="n">
        <v>77573</v>
      </c>
      <c r="D100" s="12" t="n">
        <v>91206</v>
      </c>
      <c r="E100" s="12" t="n">
        <v>74401</v>
      </c>
      <c r="F100" s="12" t="n">
        <v>111861</v>
      </c>
      <c r="G100" s="12" t="n">
        <v>109496</v>
      </c>
      <c r="H100" s="12" t="n">
        <v>91559</v>
      </c>
      <c r="I100" s="12" t="n">
        <v>97234</v>
      </c>
      <c r="J100" s="12" t="n">
        <v>97155</v>
      </c>
      <c r="K100" s="12" t="n">
        <v>111213</v>
      </c>
      <c r="L100" s="12" t="n">
        <v>128410</v>
      </c>
      <c r="M100" s="12" t="n">
        <v>115418</v>
      </c>
      <c r="N100" s="12" t="n">
        <v>116331</v>
      </c>
      <c r="T100" s="12" t="n">
        <v>98841</v>
      </c>
      <c r="U100" s="12" t="n">
        <v>102479</v>
      </c>
      <c r="V100" s="12" t="n">
        <v>91206</v>
      </c>
      <c r="W100" s="12" t="n">
        <v>91559</v>
      </c>
      <c r="X100" s="12" t="n">
        <v>128410</v>
      </c>
    </row>
    <row r="101">
      <c r="A101" s="9" t="inlineStr">
        <is>
          <t>지배기업 소유주 지분</t>
        </is>
      </c>
      <c r="C101" s="12" t="n">
        <v>77573</v>
      </c>
      <c r="D101" s="12" t="n">
        <v>91206</v>
      </c>
      <c r="E101" s="12" t="n">
        <v>74401</v>
      </c>
      <c r="F101" s="12" t="n">
        <v>111861</v>
      </c>
      <c r="G101" s="12" t="n">
        <v>109496</v>
      </c>
      <c r="H101" s="12" t="n">
        <v>91559</v>
      </c>
      <c r="I101" s="12" t="n">
        <v>97234</v>
      </c>
      <c r="J101" s="12" t="n">
        <v>97155</v>
      </c>
      <c r="K101" s="12" t="n">
        <v>111213</v>
      </c>
      <c r="L101" s="12" t="n">
        <v>128410</v>
      </c>
      <c r="M101" s="12" t="n">
        <v>115418</v>
      </c>
      <c r="N101" s="12" t="n">
        <v>116331</v>
      </c>
      <c r="T101" s="12" t="n">
        <v>98841</v>
      </c>
      <c r="U101" s="12" t="n">
        <v>102479</v>
      </c>
      <c r="V101" s="12" t="n">
        <v>91206</v>
      </c>
      <c r="W101" s="12" t="n">
        <v>91559</v>
      </c>
      <c r="X101" s="12" t="n">
        <v>128410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IF(OR(G101="",C101=""),"",IF(C101&lt;=0,"",IFERROR(G101/C101-1,"")))</f>
        <v/>
      </c>
      <c r="H102" s="17">
        <f>IF(OR(H101="",D101=""),"",IF(D101&lt;=0,"",IFERROR(H101/D101-1,"")))</f>
        <v/>
      </c>
      <c r="I102" s="17">
        <f>IF(OR(I101="",E101=""),"",IF(E101&lt;=0,"",IFERROR(I101/E101-1,"")))</f>
        <v/>
      </c>
      <c r="J102" s="17">
        <f>IF(OR(J101="",F101=""),"",IF(F101&lt;=0,"",IFERROR(J101/F101-1,"")))</f>
        <v/>
      </c>
      <c r="K102" s="17">
        <f>IF(OR(K101="",G101=""),"",IF(G101&lt;=0,"",IFERROR(K101/G101-1,"")))</f>
        <v/>
      </c>
      <c r="L102" s="17">
        <f>IF(OR(L101="",H101=""),"",IF(H101&lt;=0,"",IFERROR(L101/H101-1,"")))</f>
        <v/>
      </c>
      <c r="M102" s="17">
        <f>IF(OR(M101="",I101=""),"",IF(I101&lt;=0,"",IFERROR(M101/I101-1,"")))</f>
        <v/>
      </c>
      <c r="N102" s="17">
        <f>IF(OR(N101="",J101=""),"",IF(J101&lt;=0,"",IFERROR(N101/J101-1,"")))</f>
        <v/>
      </c>
      <c r="T102" s="17">
        <f>IF(OR(T101="",S101=""),"",IF(S101&lt;=0,"",IFERROR(T101/S101-1,"")))</f>
        <v/>
      </c>
      <c r="U102" s="17">
        <f>IF(OR(U101="",T101=""),"",IF(T101&lt;=0,"",IFERROR(U101/T101-1,"")))</f>
        <v/>
      </c>
      <c r="V102" s="17">
        <f>IF(OR(V101="",U101=""),"",IF(U101&lt;=0,"",IFERROR(V101/U101-1,"")))</f>
        <v/>
      </c>
      <c r="W102" s="17">
        <f>IF(OR(W101="",V101=""),"",IF(V101&lt;=0,"",IFERROR(W101/V101-1,"")))</f>
        <v/>
      </c>
      <c r="X102" s="17">
        <f>IF(OR(X101="",W101=""),"",IF(W101&lt;=0,"",IFERROR(X101/W101-1,"")))</f>
        <v/>
      </c>
    </row>
    <row r="103">
      <c r="A103" s="20" t="inlineStr">
        <is>
          <t>기본 주당 중간이익(엔)</t>
        </is>
      </c>
      <c r="C103" s="22" t="n">
        <v>4.715000000000001e-05</v>
      </c>
      <c r="D103" s="22" t="n">
        <v>5.543000000000001e-05</v>
      </c>
      <c r="E103" s="22" t="n">
        <v>4.522e-05</v>
      </c>
      <c r="F103" s="22" t="n">
        <v>6.798000000000001e-05</v>
      </c>
      <c r="G103" s="22" t="n">
        <v>6.654999999999999e-05</v>
      </c>
      <c r="H103" s="22" t="n">
        <v>5.563999999999999e-05</v>
      </c>
      <c r="I103" s="22" t="n">
        <v>5.909000000000001e-05</v>
      </c>
      <c r="J103" s="22" t="n">
        <v>5.903999999999999e-05</v>
      </c>
      <c r="K103" s="22" t="n">
        <v>6.756999999999999e-05</v>
      </c>
      <c r="L103" s="22" t="n">
        <v>7.803000000000002e-05</v>
      </c>
      <c r="M103" s="22" t="n">
        <v>7.012999999999999e-05</v>
      </c>
      <c r="N103" s="22" t="n">
        <v>7.069e-05</v>
      </c>
      <c r="T103" s="22" t="n">
        <v>6.011999999999999e-05</v>
      </c>
      <c r="U103" s="22" t="n">
        <v>6.228999999999999e-05</v>
      </c>
      <c r="V103" s="22" t="n">
        <v>5.543000000000001e-05</v>
      </c>
      <c r="W103" s="22" t="n">
        <v>5.563999999999999e-05</v>
      </c>
      <c r="X103" s="22" t="n">
        <v>7.803000000000002e-05</v>
      </c>
    </row>
    <row r="104">
      <c r="A104" s="20" t="inlineStr">
        <is>
          <t>희석 주당 중간이익(엔)</t>
        </is>
      </c>
      <c r="C104" s="22" t="n">
        <v>4.714e-05</v>
      </c>
      <c r="D104" s="22" t="n">
        <v>5.543000000000001e-05</v>
      </c>
      <c r="E104" s="22" t="n">
        <v>4.521e-05</v>
      </c>
      <c r="F104" s="22" t="n">
        <v>6.798e-05</v>
      </c>
      <c r="G104" s="22" t="n">
        <v>6.653e-05</v>
      </c>
      <c r="H104" s="22" t="n">
        <v>5.564000000000002e-05</v>
      </c>
      <c r="I104" s="22" t="n">
        <v>5.908e-05</v>
      </c>
      <c r="J104" s="22" t="n">
        <v>5.904e-05</v>
      </c>
      <c r="K104" s="22" t="n">
        <v>6.757999999999999e-05</v>
      </c>
      <c r="L104" s="22" t="n">
        <v>7.802000000000004e-05</v>
      </c>
      <c r="M104" s="22" t="n">
        <v>7.012999999999999e-05</v>
      </c>
      <c r="N104" s="22" t="n">
        <v>7.069e-05</v>
      </c>
      <c r="T104" s="22" t="n">
        <v>6.007999999999999e-05</v>
      </c>
      <c r="U104" s="22" t="n">
        <v>6.228000000000001e-05</v>
      </c>
      <c r="V104" s="22" t="n">
        <v>5.543000000000001e-05</v>
      </c>
      <c r="W104" s="22" t="n">
        <v>5.564000000000002e-05</v>
      </c>
      <c r="X104" s="22" t="n">
        <v>7.802000000000004e-05</v>
      </c>
    </row>
    <row r="106">
      <c r="A106" s="18" t="inlineStr">
        <is>
          <t>포괄손익 · 전 항목</t>
        </is>
      </c>
      <c r="B106" s="44" t="inlineStr">
        <is>
          <t>분기 = 3개월 단독</t>
        </is>
      </c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2023.3Q</t>
        </is>
      </c>
      <c r="D107" s="5" t="inlineStr">
        <is>
          <t>2023.4Q</t>
        </is>
      </c>
      <c r="E107" s="5" t="inlineStr">
        <is>
          <t>2024.1Q</t>
        </is>
      </c>
      <c r="F107" s="5" t="inlineStr">
        <is>
          <t>2024.2Q</t>
        </is>
      </c>
      <c r="G107" s="5" t="inlineStr">
        <is>
          <t>2024.3Q</t>
        </is>
      </c>
      <c r="H107" s="5" t="inlineStr">
        <is>
          <t>2024.4Q</t>
        </is>
      </c>
      <c r="I107" s="5" t="inlineStr">
        <is>
          <t>2025.1Q</t>
        </is>
      </c>
      <c r="J107" s="5" t="inlineStr">
        <is>
          <t>2025.2Q</t>
        </is>
      </c>
      <c r="K107" s="5" t="inlineStr">
        <is>
          <t>2025.3Q</t>
        </is>
      </c>
      <c r="L107" s="5" t="inlineStr">
        <is>
          <t>2025.4Q</t>
        </is>
      </c>
      <c r="M107" s="5" t="inlineStr">
        <is>
          <t>2026.1Q</t>
        </is>
      </c>
      <c r="N107" s="5" t="inlineStr">
        <is>
          <t>2026.2Q</t>
        </is>
      </c>
      <c r="O107" s="5" t="inlineStr">
        <is>
          <t>2016</t>
        </is>
      </c>
      <c r="P107" s="5" t="inlineStr">
        <is>
          <t>2017</t>
        </is>
      </c>
      <c r="Q107" s="5" t="inlineStr">
        <is>
          <t>2018</t>
        </is>
      </c>
      <c r="R107" s="5" t="inlineStr">
        <is>
          <t>2019</t>
        </is>
      </c>
      <c r="S107" s="5" t="inlineStr">
        <is>
          <t>2020</t>
        </is>
      </c>
      <c r="T107" s="5" t="inlineStr">
        <is>
          <t>2021</t>
        </is>
      </c>
      <c r="U107" s="5" t="inlineStr">
        <is>
          <t>2022</t>
        </is>
      </c>
      <c r="V107" s="5" t="inlineStr">
        <is>
          <t>2023</t>
        </is>
      </c>
      <c r="W107" s="5" t="inlineStr">
        <is>
          <t>2024</t>
        </is>
      </c>
      <c r="X107" s="5" t="inlineStr">
        <is>
          <t>2025</t>
        </is>
      </c>
      <c r="Y107" s="5" t="inlineStr">
        <is>
          <t>2026(MW)</t>
        </is>
      </c>
      <c r="Z107" s="5" t="inlineStr">
        <is>
          <t>2027(MW)</t>
        </is>
      </c>
      <c r="AA107" s="5" t="inlineStr">
        <is>
          <t>2028(MW)</t>
        </is>
      </c>
      <c r="AB107" s="5" t="inlineStr">
        <is>
          <t>2029(MW)</t>
        </is>
      </c>
      <c r="AC107" s="5" t="inlineStr">
        <is>
          <t>2030(MW)</t>
        </is>
      </c>
    </row>
    <row r="108">
      <c r="A108" s="9" t="inlineStr">
        <is>
          <t>중간이익</t>
        </is>
      </c>
      <c r="C108" s="12" t="n">
        <v>77573</v>
      </c>
      <c r="D108" s="12" t="n">
        <v>91206</v>
      </c>
      <c r="E108" s="12" t="n">
        <v>74401</v>
      </c>
      <c r="F108" s="12" t="n">
        <v>111861</v>
      </c>
      <c r="G108" s="12" t="n">
        <v>109496</v>
      </c>
      <c r="H108" s="12" t="n">
        <v>91559</v>
      </c>
      <c r="I108" s="12" t="n">
        <v>97234</v>
      </c>
      <c r="J108" s="12" t="n">
        <v>97155</v>
      </c>
      <c r="K108" s="12" t="n">
        <v>111213</v>
      </c>
      <c r="L108" s="12" t="n">
        <v>128410</v>
      </c>
      <c r="M108" s="12" t="n">
        <v>115418</v>
      </c>
      <c r="N108" s="12" t="n">
        <v>116331</v>
      </c>
      <c r="T108" s="12" t="n">
        <v>98841</v>
      </c>
      <c r="U108" s="12" t="n">
        <v>102479</v>
      </c>
      <c r="V108" s="12" t="n">
        <v>91206</v>
      </c>
      <c r="W108" s="12" t="n">
        <v>91559</v>
      </c>
      <c r="X108" s="12" t="n">
        <v>128410</v>
      </c>
    </row>
    <row r="109">
      <c r="A109" s="20" t="inlineStr">
        <is>
          <t>확정급여제도 재측정</t>
        </is>
      </c>
      <c r="C109" s="22" t="n">
        <v>0</v>
      </c>
      <c r="D109" s="22" t="n">
        <v>2055</v>
      </c>
      <c r="E109" s="22" t="n">
        <v>0</v>
      </c>
      <c r="F109" s="22" t="n">
        <v>37</v>
      </c>
      <c r="G109" s="22" t="n">
        <v>0</v>
      </c>
      <c r="H109" s="22" t="n">
        <v>4133</v>
      </c>
      <c r="I109" s="22" t="n">
        <v>-12</v>
      </c>
      <c r="J109" s="22" t="n">
        <v>0</v>
      </c>
      <c r="K109" s="22" t="n">
        <v>0</v>
      </c>
      <c r="L109" s="22" t="n">
        <v>8615</v>
      </c>
      <c r="M109" s="22" t="n">
        <v>0</v>
      </c>
      <c r="N109" s="22" t="n">
        <v>0</v>
      </c>
      <c r="V109" s="22" t="n">
        <v>2055</v>
      </c>
      <c r="W109" s="22" t="n">
        <v>4133</v>
      </c>
      <c r="X109" s="22" t="n">
        <v>8615</v>
      </c>
    </row>
    <row r="110">
      <c r="A110" s="20" t="inlineStr">
        <is>
          <t>기타포괄손익-공정가치 측정 금융자산</t>
        </is>
      </c>
      <c r="C110" s="22" t="n">
        <v>-12</v>
      </c>
      <c r="D110" s="22" t="n">
        <v>-10</v>
      </c>
      <c r="E110" s="22" t="n">
        <v>-48</v>
      </c>
      <c r="F110" s="22" t="n">
        <v>26</v>
      </c>
      <c r="G110" s="22" t="n">
        <v>-1</v>
      </c>
      <c r="H110" s="22" t="n">
        <v>-307</v>
      </c>
      <c r="I110" s="22" t="n">
        <v>20</v>
      </c>
      <c r="J110" s="22" t="n">
        <v>45</v>
      </c>
      <c r="K110" s="22" t="n">
        <v>-10</v>
      </c>
      <c r="L110" s="22" t="n">
        <v>158</v>
      </c>
      <c r="M110" s="22" t="n">
        <v>-126</v>
      </c>
      <c r="N110" s="22" t="n">
        <v>15</v>
      </c>
      <c r="T110" s="22" t="n">
        <v>-181</v>
      </c>
      <c r="U110" s="22" t="n">
        <v>11</v>
      </c>
      <c r="V110" s="22" t="n">
        <v>-10</v>
      </c>
      <c r="W110" s="22" t="n">
        <v>-307</v>
      </c>
      <c r="X110" s="22" t="n">
        <v>158</v>
      </c>
    </row>
    <row r="111">
      <c r="A111" s="20" t="inlineStr">
        <is>
          <t>당기손익으로 재분류되지 않는 항목 합계</t>
        </is>
      </c>
      <c r="C111" s="22" t="n">
        <v>-12</v>
      </c>
      <c r="D111" s="22" t="n">
        <v>2044</v>
      </c>
      <c r="E111" s="22" t="n">
        <v>-48</v>
      </c>
      <c r="F111" s="22" t="n">
        <v>63</v>
      </c>
      <c r="G111" s="22" t="n">
        <v>-1</v>
      </c>
      <c r="H111" s="22" t="n">
        <v>3826</v>
      </c>
      <c r="I111" s="22" t="n">
        <v>9</v>
      </c>
      <c r="J111" s="22" t="n">
        <v>45</v>
      </c>
      <c r="K111" s="22" t="n">
        <v>-10</v>
      </c>
      <c r="L111" s="22" t="n">
        <v>8772</v>
      </c>
      <c r="M111" s="22" t="n">
        <v>-126</v>
      </c>
      <c r="N111" s="22" t="n">
        <v>15</v>
      </c>
      <c r="T111" s="22" t="n">
        <v>402</v>
      </c>
      <c r="U111" s="22" t="n">
        <v>3032</v>
      </c>
      <c r="V111" s="22" t="n">
        <v>2044</v>
      </c>
      <c r="W111" s="22" t="n">
        <v>3826</v>
      </c>
      <c r="X111" s="22" t="n">
        <v>8772</v>
      </c>
    </row>
    <row r="112">
      <c r="A112" s="20" t="inlineStr">
        <is>
          <t>기타포괄손익-공정가치 측정 금융자산</t>
        </is>
      </c>
      <c r="C112" s="22" t="n">
        <v>-2</v>
      </c>
      <c r="D112" s="22" t="n">
        <v>-2</v>
      </c>
      <c r="E112" s="22" t="n">
        <v>0</v>
      </c>
      <c r="F112" s="22" t="n">
        <v>5</v>
      </c>
      <c r="G112" s="22" t="n">
        <v>1</v>
      </c>
      <c r="H112" s="22" t="n">
        <v>-1</v>
      </c>
      <c r="I112" s="22" t="n">
        <v>-2</v>
      </c>
      <c r="J112" s="22" t="n">
        <v>2</v>
      </c>
      <c r="K112" s="22" t="n">
        <v>2</v>
      </c>
      <c r="L112" s="22" t="n">
        <v>-5</v>
      </c>
      <c r="M112" s="22" t="n">
        <v>4</v>
      </c>
      <c r="N112" s="22" t="n">
        <v>-3</v>
      </c>
      <c r="T112" s="22" t="n">
        <v>-3</v>
      </c>
      <c r="U112" s="22" t="n">
        <v>-3</v>
      </c>
      <c r="V112" s="22" t="n">
        <v>-2</v>
      </c>
      <c r="W112" s="22" t="n">
        <v>-1</v>
      </c>
      <c r="X112" s="22" t="n">
        <v>-5</v>
      </c>
    </row>
    <row r="113">
      <c r="A113" s="20" t="inlineStr">
        <is>
          <t>현금흐름 위험회피</t>
        </is>
      </c>
      <c r="C113" s="22" t="n">
        <v>9305</v>
      </c>
      <c r="D113" s="22" t="n">
        <v>-1752</v>
      </c>
      <c r="E113" s="22" t="n">
        <v>3854</v>
      </c>
      <c r="F113" s="22" t="n">
        <v>-7392</v>
      </c>
      <c r="G113" s="22" t="n">
        <v>15275</v>
      </c>
      <c r="H113" s="22" t="n">
        <v>1169</v>
      </c>
      <c r="I113" s="22" t="n">
        <v>3660</v>
      </c>
      <c r="J113" s="22" t="n">
        <v>-23022</v>
      </c>
      <c r="K113" s="22" t="n">
        <v>-3008</v>
      </c>
      <c r="L113" s="22" t="n">
        <v>-7471</v>
      </c>
      <c r="M113" s="22" t="n">
        <v>8171</v>
      </c>
      <c r="N113" s="22" t="n">
        <v>5768</v>
      </c>
      <c r="T113" s="22" t="n">
        <v>-2836</v>
      </c>
      <c r="U113" s="22" t="n">
        <v>11271</v>
      </c>
      <c r="V113" s="22" t="n">
        <v>-1752</v>
      </c>
      <c r="W113" s="22" t="n">
        <v>1169</v>
      </c>
      <c r="X113" s="22" t="n">
        <v>-7471</v>
      </c>
    </row>
    <row r="114">
      <c r="A114" s="20" t="inlineStr">
        <is>
          <t>해외 종속기업 등 외화환산차이</t>
        </is>
      </c>
      <c r="C114" s="22" t="n">
        <v>513</v>
      </c>
      <c r="D114" s="22" t="n">
        <v>-1050</v>
      </c>
      <c r="E114" s="22" t="n">
        <v>3907</v>
      </c>
      <c r="F114" s="22" t="n">
        <v>4995</v>
      </c>
      <c r="G114" s="22" t="n">
        <v>-7780</v>
      </c>
      <c r="H114" s="22" t="n">
        <v>3465</v>
      </c>
      <c r="I114" s="22" t="n">
        <v>-1629</v>
      </c>
      <c r="J114" s="22" t="n">
        <v>3596</v>
      </c>
      <c r="K114" s="22" t="n">
        <v>2378</v>
      </c>
      <c r="L114" s="22" t="n">
        <v>5792</v>
      </c>
      <c r="M114" s="22" t="n">
        <v>254</v>
      </c>
      <c r="N114" s="22" t="n">
        <v>1635</v>
      </c>
      <c r="T114" s="22" t="n">
        <v>825</v>
      </c>
      <c r="U114" s="22" t="n">
        <v>-1092</v>
      </c>
      <c r="V114" s="22" t="n">
        <v>-1050</v>
      </c>
      <c r="W114" s="22" t="n">
        <v>3465</v>
      </c>
      <c r="X114" s="22" t="n">
        <v>5792</v>
      </c>
    </row>
    <row r="115">
      <c r="A115" s="20" t="inlineStr">
        <is>
          <t>후에 당기손익으로 재분류될 수 있는 항목 합계</t>
        </is>
      </c>
      <c r="C115" s="22" t="n">
        <v>9818</v>
      </c>
      <c r="D115" s="22" t="n">
        <v>-2805</v>
      </c>
      <c r="E115" s="22" t="n">
        <v>7761</v>
      </c>
      <c r="F115" s="22" t="n">
        <v>-2392</v>
      </c>
      <c r="G115" s="22" t="n">
        <v>7495</v>
      </c>
      <c r="H115" s="22" t="n">
        <v>4635</v>
      </c>
      <c r="I115" s="22" t="n">
        <v>2028</v>
      </c>
      <c r="J115" s="22" t="n">
        <v>-19423</v>
      </c>
      <c r="K115" s="22" t="n">
        <v>-628</v>
      </c>
      <c r="L115" s="22" t="n">
        <v>-1684</v>
      </c>
      <c r="M115" s="22" t="n">
        <v>8430</v>
      </c>
      <c r="N115" s="22" t="n">
        <v>7400</v>
      </c>
      <c r="T115" s="22" t="n">
        <v>-2014</v>
      </c>
      <c r="U115" s="22" t="n">
        <v>10174</v>
      </c>
      <c r="V115" s="22" t="n">
        <v>-2805</v>
      </c>
      <c r="W115" s="22" t="n">
        <v>4635</v>
      </c>
      <c r="X115" s="22" t="n">
        <v>-1684</v>
      </c>
    </row>
    <row r="116">
      <c r="A116" s="20" t="inlineStr">
        <is>
          <t>기타포괄손익 합계</t>
        </is>
      </c>
      <c r="C116" s="22" t="n">
        <v>9806</v>
      </c>
      <c r="D116" s="22" t="n">
        <v>-761</v>
      </c>
      <c r="E116" s="22" t="n">
        <v>7712</v>
      </c>
      <c r="F116" s="22" t="n">
        <v>-2328</v>
      </c>
      <c r="G116" s="22" t="n">
        <v>7494</v>
      </c>
      <c r="H116" s="22" t="n">
        <v>8460</v>
      </c>
      <c r="I116" s="22" t="n">
        <v>2037</v>
      </c>
      <c r="J116" s="22" t="n">
        <v>-19378</v>
      </c>
      <c r="K116" s="22" t="n">
        <v>-638</v>
      </c>
      <c r="L116" s="22" t="n">
        <v>7088</v>
      </c>
      <c r="M116" s="22" t="n">
        <v>8305</v>
      </c>
      <c r="N116" s="22" t="n">
        <v>7413</v>
      </c>
      <c r="T116" s="22" t="n">
        <v>-1612</v>
      </c>
      <c r="U116" s="22" t="n">
        <v>13206</v>
      </c>
      <c r="V116" s="22" t="n">
        <v>-761</v>
      </c>
      <c r="W116" s="22" t="n">
        <v>8460</v>
      </c>
      <c r="X116" s="22" t="n">
        <v>7088</v>
      </c>
    </row>
    <row r="117">
      <c r="A117" s="9" t="inlineStr">
        <is>
          <t>포괄이익</t>
        </is>
      </c>
      <c r="C117" s="12" t="n">
        <v>87378</v>
      </c>
      <c r="D117" s="12" t="n">
        <v>90446</v>
      </c>
      <c r="E117" s="12" t="n">
        <v>82114</v>
      </c>
      <c r="F117" s="12" t="n">
        <v>109531</v>
      </c>
      <c r="G117" s="12" t="n">
        <v>116991</v>
      </c>
      <c r="H117" s="12" t="n">
        <v>100019</v>
      </c>
      <c r="I117" s="12" t="n">
        <v>99271</v>
      </c>
      <c r="J117" s="12" t="n">
        <v>77776</v>
      </c>
      <c r="K117" s="12" t="n">
        <v>110576</v>
      </c>
      <c r="L117" s="12" t="n">
        <v>135499</v>
      </c>
      <c r="M117" s="12" t="n">
        <v>123723</v>
      </c>
      <c r="N117" s="12" t="n">
        <v>123744</v>
      </c>
      <c r="T117" s="12" t="n">
        <v>97229</v>
      </c>
      <c r="U117" s="12" t="n">
        <v>115685</v>
      </c>
      <c r="V117" s="12" t="n">
        <v>90446</v>
      </c>
      <c r="W117" s="12" t="n">
        <v>100019</v>
      </c>
      <c r="X117" s="12" t="n">
        <v>135499</v>
      </c>
    </row>
    <row r="118">
      <c r="A118" s="9" t="inlineStr">
        <is>
          <t>지배기업 소유주 지분</t>
        </is>
      </c>
      <c r="C118" s="12" t="n">
        <v>87378</v>
      </c>
      <c r="D118" s="12" t="n">
        <v>90446</v>
      </c>
      <c r="E118" s="12" t="n">
        <v>82114</v>
      </c>
      <c r="F118" s="12" t="n">
        <v>109531</v>
      </c>
      <c r="G118" s="12" t="n">
        <v>116991</v>
      </c>
      <c r="H118" s="12" t="n">
        <v>100019</v>
      </c>
      <c r="I118" s="12" t="n">
        <v>99271</v>
      </c>
      <c r="J118" s="12" t="n">
        <v>77776</v>
      </c>
      <c r="K118" s="12" t="n">
        <v>110576</v>
      </c>
      <c r="L118" s="12" t="n">
        <v>135499</v>
      </c>
      <c r="M118" s="12" t="n">
        <v>123723</v>
      </c>
      <c r="N118" s="12" t="n">
        <v>123744</v>
      </c>
      <c r="T118" s="12" t="n">
        <v>97229</v>
      </c>
      <c r="U118" s="12" t="n">
        <v>115685</v>
      </c>
      <c r="V118" s="12" t="n">
        <v>90446</v>
      </c>
      <c r="W118" s="12" t="n">
        <v>100019</v>
      </c>
      <c r="X118" s="12" t="n">
        <v>135499</v>
      </c>
    </row>
    <row r="120">
      <c r="A120" s="18" t="inlineStr">
        <is>
          <t>현금흐름표 · 전 항목</t>
        </is>
      </c>
      <c r="B120" s="44" t="inlineStr">
        <is>
          <t>분기 = 결산기 첫날부터 누계(공시 그대로)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  <c r="AC120" s="18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2023.3Q</t>
        </is>
      </c>
      <c r="D121" s="5" t="inlineStr">
        <is>
          <t>2023.4Q</t>
        </is>
      </c>
      <c r="E121" s="5" t="inlineStr">
        <is>
          <t>2024.1Q</t>
        </is>
      </c>
      <c r="F121" s="5" t="inlineStr">
        <is>
          <t>2024.2Q</t>
        </is>
      </c>
      <c r="G121" s="5" t="inlineStr">
        <is>
          <t>2024.3Q</t>
        </is>
      </c>
      <c r="H121" s="5" t="inlineStr">
        <is>
          <t>2024.4Q</t>
        </is>
      </c>
      <c r="I121" s="5" t="inlineStr">
        <is>
          <t>2025.1Q</t>
        </is>
      </c>
      <c r="J121" s="5" t="inlineStr">
        <is>
          <t>2025.2Q</t>
        </is>
      </c>
      <c r="K121" s="5" t="inlineStr">
        <is>
          <t>2025.3Q</t>
        </is>
      </c>
      <c r="L121" s="5" t="inlineStr">
        <is>
          <t>2025.4Q</t>
        </is>
      </c>
      <c r="M121" s="5" t="inlineStr">
        <is>
          <t>2026.1Q</t>
        </is>
      </c>
      <c r="N121" s="5" t="inlineStr">
        <is>
          <t>2026.2Q</t>
        </is>
      </c>
      <c r="O121" s="5" t="inlineStr">
        <is>
          <t>2016</t>
        </is>
      </c>
      <c r="P121" s="5" t="inlineStr">
        <is>
          <t>2017</t>
        </is>
      </c>
      <c r="Q121" s="5" t="inlineStr">
        <is>
          <t>2018</t>
        </is>
      </c>
      <c r="R121" s="5" t="inlineStr">
        <is>
          <t>2019</t>
        </is>
      </c>
      <c r="S121" s="5" t="inlineStr">
        <is>
          <t>2020</t>
        </is>
      </c>
      <c r="T121" s="5" t="inlineStr">
        <is>
          <t>2021</t>
        </is>
      </c>
      <c r="U121" s="5" t="inlineStr">
        <is>
          <t>2022</t>
        </is>
      </c>
      <c r="V121" s="5" t="inlineStr">
        <is>
          <t>2023</t>
        </is>
      </c>
      <c r="W121" s="5" t="inlineStr">
        <is>
          <t>2024</t>
        </is>
      </c>
      <c r="X121" s="5" t="inlineStr">
        <is>
          <t>2025</t>
        </is>
      </c>
      <c r="Y121" s="5" t="inlineStr">
        <is>
          <t>2026(MW)</t>
        </is>
      </c>
      <c r="Z121" s="5" t="inlineStr">
        <is>
          <t>2027(MW)</t>
        </is>
      </c>
      <c r="AA121" s="5" t="inlineStr">
        <is>
          <t>2028(MW)</t>
        </is>
      </c>
      <c r="AB121" s="5" t="inlineStr">
        <is>
          <t>2029(MW)</t>
        </is>
      </c>
      <c r="AC121" s="5" t="inlineStr">
        <is>
          <t>2030(MW)</t>
        </is>
      </c>
    </row>
    <row r="122">
      <c r="A122" s="20" t="inlineStr">
        <is>
          <t>영업활동 현금창출</t>
        </is>
      </c>
      <c r="C122" s="22" t="n">
        <v>345003</v>
      </c>
      <c r="D122" s="22" t="n">
        <v>462722</v>
      </c>
      <c r="E122" s="22" t="n">
        <v>110138</v>
      </c>
      <c r="F122" s="22" t="n">
        <v>278669</v>
      </c>
      <c r="G122" s="22" t="n">
        <v>448943</v>
      </c>
      <c r="H122" s="22" t="n">
        <v>589546</v>
      </c>
      <c r="I122" s="22" t="n">
        <v>147337</v>
      </c>
      <c r="J122" s="22" t="n">
        <v>286336</v>
      </c>
      <c r="K122" s="22" t="n">
        <v>471417</v>
      </c>
      <c r="L122" s="22" t="n">
        <v>650935</v>
      </c>
      <c r="M122" s="22" t="n">
        <v>170935</v>
      </c>
      <c r="N122" s="22" t="n">
        <v>341970</v>
      </c>
      <c r="Q122" s="22" t="n">
        <v>151857</v>
      </c>
      <c r="R122" s="22" t="n">
        <v>249500</v>
      </c>
      <c r="S122" s="22" t="n">
        <v>340228</v>
      </c>
      <c r="T122" s="22" t="n">
        <v>470367</v>
      </c>
      <c r="U122" s="22" t="n">
        <v>575345</v>
      </c>
      <c r="V122" s="22" t="n">
        <v>462722</v>
      </c>
      <c r="W122" s="22" t="n">
        <v>589546</v>
      </c>
      <c r="X122" s="22" t="n">
        <v>650935</v>
      </c>
    </row>
    <row r="123">
      <c r="A123" s="20" t="inlineStr">
        <is>
          <t>운전자본 감소</t>
        </is>
      </c>
      <c r="C123" s="22" t="n">
        <v>117878</v>
      </c>
      <c r="D123" s="22" t="n">
        <v>130634</v>
      </c>
      <c r="E123" s="22" t="n">
        <v>44108</v>
      </c>
      <c r="F123" s="22" t="n">
        <v>-66963</v>
      </c>
      <c r="G123" s="22" t="n">
        <v>-38011</v>
      </c>
      <c r="H123" s="22" t="n">
        <v>-28843</v>
      </c>
      <c r="I123" s="22" t="n">
        <v>40756</v>
      </c>
      <c r="J123" s="22" t="n">
        <v>16081</v>
      </c>
      <c r="K123" s="22" t="n">
        <v>-17502</v>
      </c>
      <c r="L123" s="22" t="n">
        <v>-79651</v>
      </c>
      <c r="M123" s="22" t="n">
        <v>56658</v>
      </c>
      <c r="N123" s="22" t="n">
        <v>12437</v>
      </c>
      <c r="Q123" s="22" t="n">
        <v>4486</v>
      </c>
      <c r="R123" s="22" t="n">
        <v>6205</v>
      </c>
      <c r="S123" s="22" t="n">
        <v>-64421</v>
      </c>
      <c r="T123" s="22" t="n">
        <v>-83122</v>
      </c>
      <c r="U123" s="22" t="n">
        <v>-183311</v>
      </c>
      <c r="V123" s="22" t="n">
        <v>130634</v>
      </c>
      <c r="W123" s="22" t="n">
        <v>-28843</v>
      </c>
      <c r="X123" s="22" t="n">
        <v>-79651</v>
      </c>
    </row>
    <row r="124">
      <c r="A124" s="20" t="inlineStr">
        <is>
          <t>확정급여제도 출연</t>
        </is>
      </c>
      <c r="C124" s="22" t="n">
        <v>-2241</v>
      </c>
      <c r="D124" s="22" t="n">
        <v>-2887</v>
      </c>
      <c r="E124" s="22" t="n">
        <v>-842</v>
      </c>
      <c r="F124" s="22" t="n">
        <v>-1454</v>
      </c>
      <c r="G124" s="22" t="n">
        <v>-2311</v>
      </c>
      <c r="H124" s="22" t="n">
        <v>-2680</v>
      </c>
      <c r="I124" s="22" t="n">
        <v>-607</v>
      </c>
      <c r="J124" s="22" t="n">
        <v>-1188</v>
      </c>
      <c r="K124" s="22" t="n">
        <v>-1734</v>
      </c>
      <c r="L124" s="22" t="n">
        <v>-2254</v>
      </c>
      <c r="M124" s="22" t="n">
        <v>-525</v>
      </c>
      <c r="N124" s="22" t="n">
        <v>-1054</v>
      </c>
      <c r="Q124" s="22" t="n">
        <v>-2652</v>
      </c>
      <c r="R124" s="22" t="n">
        <v>-11540</v>
      </c>
      <c r="S124" s="22" t="n">
        <v>-4656</v>
      </c>
      <c r="T124" s="22" t="n">
        <v>-3665</v>
      </c>
      <c r="U124" s="22" t="n">
        <v>-3739</v>
      </c>
      <c r="V124" s="22" t="n">
        <v>-2887</v>
      </c>
      <c r="W124" s="22" t="n">
        <v>-2680</v>
      </c>
      <c r="X124" s="22" t="n">
        <v>-2254</v>
      </c>
    </row>
    <row r="125">
      <c r="A125" s="20" t="inlineStr">
        <is>
          <t>충당금 지급</t>
        </is>
      </c>
      <c r="C125" s="22" t="n">
        <v>-1876</v>
      </c>
      <c r="D125" s="22" t="n">
        <v>-2227</v>
      </c>
      <c r="E125" s="22" t="n">
        <v>-1070</v>
      </c>
      <c r="F125" s="22" t="n">
        <v>-2140</v>
      </c>
      <c r="G125" s="22" t="n">
        <v>-3090</v>
      </c>
      <c r="H125" s="22" t="n">
        <v>-3524</v>
      </c>
      <c r="I125" s="22" t="n">
        <v>-310</v>
      </c>
      <c r="J125" s="22" t="n">
        <v>-2353</v>
      </c>
      <c r="K125" s="22" t="n">
        <v>-3561</v>
      </c>
      <c r="L125" s="22" t="n">
        <v>-3881</v>
      </c>
      <c r="M125" s="22" t="n">
        <v>-599</v>
      </c>
      <c r="N125" s="22" t="n">
        <v>-1456</v>
      </c>
      <c r="Q125" s="22" t="n">
        <v>-29</v>
      </c>
      <c r="R125" s="22" t="n">
        <v>-2</v>
      </c>
      <c r="S125" s="22" t="n">
        <v>-26</v>
      </c>
      <c r="T125" s="22" t="n">
        <v>-656</v>
      </c>
      <c r="U125" s="22" t="n">
        <v>-1634</v>
      </c>
      <c r="V125" s="22" t="n">
        <v>-2227</v>
      </c>
      <c r="W125" s="22" t="n">
        <v>-3524</v>
      </c>
      <c r="X125" s="22" t="n">
        <v>-3881</v>
      </c>
    </row>
    <row r="126">
      <c r="A126" s="20" t="inlineStr">
        <is>
          <t>기타영업활동</t>
        </is>
      </c>
      <c r="C126" s="22" t="n">
        <v>2711</v>
      </c>
      <c r="D126" s="22" t="n">
        <v>-2244</v>
      </c>
      <c r="E126" s="22" t="n">
        <v>-10413</v>
      </c>
      <c r="F126" s="22" t="n">
        <v>3488</v>
      </c>
      <c r="G126" s="22" t="n">
        <v>-9903</v>
      </c>
      <c r="H126" s="22" t="n">
        <v>-6422</v>
      </c>
      <c r="I126" s="22" t="n">
        <v>-13583</v>
      </c>
      <c r="J126" s="22" t="n">
        <v>-5554</v>
      </c>
      <c r="K126" s="22" t="n">
        <v>-745</v>
      </c>
      <c r="L126" s="22" t="n">
        <v>12235</v>
      </c>
      <c r="M126" s="22" t="n">
        <v>-15125</v>
      </c>
      <c r="N126" s="22" t="n">
        <v>-13298</v>
      </c>
      <c r="Q126" s="22" t="n">
        <v>-3022</v>
      </c>
      <c r="R126" s="22" t="n">
        <v>-2741</v>
      </c>
      <c r="S126" s="22" t="n">
        <v>694</v>
      </c>
      <c r="T126" s="22" t="n">
        <v>776</v>
      </c>
      <c r="U126" s="22" t="n">
        <v>9004</v>
      </c>
      <c r="V126" s="22" t="n">
        <v>-2244</v>
      </c>
      <c r="W126" s="22" t="n">
        <v>-6422</v>
      </c>
      <c r="X126" s="22" t="n">
        <v>12235</v>
      </c>
    </row>
    <row r="127">
      <c r="A127" s="20" t="inlineStr">
        <is>
          <t>소계</t>
        </is>
      </c>
      <c r="C127" s="22" t="n">
        <v>461476</v>
      </c>
      <c r="D127" s="22" t="n">
        <v>585998</v>
      </c>
      <c r="E127" s="22" t="n">
        <v>141920</v>
      </c>
      <c r="F127" s="22" t="n">
        <v>211601</v>
      </c>
      <c r="G127" s="22" t="n">
        <v>395629</v>
      </c>
      <c r="H127" s="22" t="n">
        <v>548078</v>
      </c>
      <c r="I127" s="22" t="n">
        <v>173593</v>
      </c>
      <c r="J127" s="22" t="n">
        <v>293323</v>
      </c>
      <c r="K127" s="22" t="n">
        <v>447876</v>
      </c>
      <c r="L127" s="22" t="n">
        <v>577384</v>
      </c>
      <c r="M127" s="22" t="n">
        <v>211343</v>
      </c>
      <c r="N127" s="22" t="n">
        <v>338600</v>
      </c>
      <c r="Q127" s="22" t="n">
        <v>150639</v>
      </c>
      <c r="R127" s="22" t="n">
        <v>241423</v>
      </c>
      <c r="S127" s="22" t="n">
        <v>271820</v>
      </c>
      <c r="T127" s="22" t="n">
        <v>383700</v>
      </c>
      <c r="U127" s="22" t="n">
        <v>395665</v>
      </c>
      <c r="V127" s="22" t="n">
        <v>585998</v>
      </c>
      <c r="W127" s="22" t="n">
        <v>548078</v>
      </c>
      <c r="X127" s="22" t="n">
        <v>577384</v>
      </c>
    </row>
    <row r="128">
      <c r="A128" s="20" t="inlineStr">
        <is>
          <t>법인소득세 지급</t>
        </is>
      </c>
      <c r="C128" s="22" t="n">
        <v>-175761</v>
      </c>
      <c r="D128" s="22" t="n">
        <v>-176074</v>
      </c>
      <c r="E128" s="22" t="n">
        <v>-41007</v>
      </c>
      <c r="F128" s="22" t="n">
        <v>-40038</v>
      </c>
      <c r="G128" s="22" t="n">
        <v>-100423</v>
      </c>
      <c r="H128" s="22" t="n">
        <v>-100477</v>
      </c>
      <c r="I128" s="22" t="n">
        <v>-106915</v>
      </c>
      <c r="J128" s="22" t="n">
        <v>-107240</v>
      </c>
      <c r="K128" s="22" t="n">
        <v>-190703</v>
      </c>
      <c r="L128" s="22" t="n">
        <v>-191104</v>
      </c>
      <c r="M128" s="22" t="n">
        <v>-89303</v>
      </c>
      <c r="N128" s="22" t="n">
        <v>-89498</v>
      </c>
      <c r="Q128" s="22" t="n">
        <v>-31565</v>
      </c>
      <c r="R128" s="22" t="n">
        <v>-34782</v>
      </c>
      <c r="S128" s="22" t="n">
        <v>-66785</v>
      </c>
      <c r="T128" s="22" t="n">
        <v>-104074</v>
      </c>
      <c r="U128" s="22" t="n">
        <v>-152082</v>
      </c>
      <c r="V128" s="22" t="n">
        <v>-176074</v>
      </c>
      <c r="W128" s="22" t="n">
        <v>-100477</v>
      </c>
      <c r="X128" s="22" t="n">
        <v>-191104</v>
      </c>
    </row>
    <row r="129">
      <c r="A129" s="9" t="inlineStr">
        <is>
          <t>영업활동 현금흐름</t>
        </is>
      </c>
      <c r="C129" s="12" t="n">
        <v>285715</v>
      </c>
      <c r="D129" s="12" t="n">
        <v>409925</v>
      </c>
      <c r="E129" s="12" t="n">
        <v>100913</v>
      </c>
      <c r="F129" s="12" t="n">
        <v>171563</v>
      </c>
      <c r="G129" s="12" t="n">
        <v>295206</v>
      </c>
      <c r="H129" s="12" t="n">
        <v>447600</v>
      </c>
      <c r="I129" s="12" t="n">
        <v>66677</v>
      </c>
      <c r="J129" s="12" t="n">
        <v>186084</v>
      </c>
      <c r="K129" s="12" t="n">
        <v>257173</v>
      </c>
      <c r="L129" s="12" t="n">
        <v>386280</v>
      </c>
      <c r="M129" s="12" t="n">
        <v>122040</v>
      </c>
      <c r="N129" s="12" t="n">
        <v>249102</v>
      </c>
      <c r="Q129" s="12" t="n">
        <v>119074</v>
      </c>
      <c r="R129" s="12" t="n">
        <v>206641</v>
      </c>
      <c r="S129" s="12" t="n">
        <v>205035</v>
      </c>
      <c r="T129" s="12" t="n">
        <v>279626</v>
      </c>
      <c r="U129" s="12" t="n">
        <v>243582</v>
      </c>
      <c r="V129" s="12" t="n">
        <v>409925</v>
      </c>
      <c r="W129" s="12" t="n">
        <v>447600</v>
      </c>
      <c r="X129" s="12" t="n">
        <v>386280</v>
      </c>
    </row>
    <row r="130">
      <c r="A130" s="20" t="inlineStr">
        <is>
          <t>유형자산 취득</t>
        </is>
      </c>
      <c r="C130" s="22" t="n">
        <v>-54150</v>
      </c>
      <c r="D130" s="22" t="n">
        <v>-71948</v>
      </c>
      <c r="E130" s="22" t="n">
        <v>-12377</v>
      </c>
      <c r="F130" s="22" t="n">
        <v>-32871</v>
      </c>
      <c r="G130" s="22" t="n">
        <v>-50159</v>
      </c>
      <c r="H130" s="22" t="n">
        <v>-50415</v>
      </c>
      <c r="I130" s="22" t="n">
        <v>-22035</v>
      </c>
      <c r="J130" s="22" t="n">
        <v>-48925</v>
      </c>
      <c r="K130" s="22" t="n">
        <v>-58902</v>
      </c>
      <c r="L130" s="22" t="n">
        <v>-76273</v>
      </c>
      <c r="M130" s="22" t="n">
        <v>-12661</v>
      </c>
      <c r="N130" s="22" t="n">
        <v>-21228</v>
      </c>
      <c r="Q130" s="22" t="n">
        <v>-71785</v>
      </c>
      <c r="R130" s="22" t="n">
        <v>-53009</v>
      </c>
      <c r="S130" s="22" t="n">
        <v>-57040</v>
      </c>
      <c r="T130" s="22" t="n">
        <v>-65969</v>
      </c>
      <c r="U130" s="22" t="n">
        <v>-62625</v>
      </c>
      <c r="V130" s="22" t="n">
        <v>-71948</v>
      </c>
      <c r="W130" s="22" t="n">
        <v>-50415</v>
      </c>
      <c r="X130" s="22" t="n">
        <v>-76273</v>
      </c>
    </row>
    <row r="131">
      <c r="A131" s="20" t="inlineStr">
        <is>
          <t>무형자산 취득</t>
        </is>
      </c>
      <c r="C131" s="22" t="n">
        <v>-1890</v>
      </c>
      <c r="D131" s="22" t="n">
        <v>-2310</v>
      </c>
      <c r="E131" s="22" t="n">
        <v>-62</v>
      </c>
      <c r="F131" s="22" t="n">
        <v>-1690</v>
      </c>
      <c r="G131" s="22" t="n">
        <v>-2862</v>
      </c>
      <c r="H131" s="22" t="n">
        <v>-3974</v>
      </c>
      <c r="I131" s="22" t="n">
        <v>-469</v>
      </c>
      <c r="J131" s="22" t="n">
        <v>-16230</v>
      </c>
      <c r="K131" s="22" t="n">
        <v>-17327</v>
      </c>
      <c r="L131" s="22" t="n">
        <v>-35334</v>
      </c>
      <c r="M131" s="22" t="n">
        <v>-7864</v>
      </c>
      <c r="N131" s="22" t="n">
        <v>-9891</v>
      </c>
      <c r="Q131" s="22" t="n">
        <v>-5886</v>
      </c>
      <c r="R131" s="22" t="n">
        <v>-8168</v>
      </c>
      <c r="S131" s="22" t="n">
        <v>-4349</v>
      </c>
      <c r="T131" s="22" t="n">
        <v>-6897</v>
      </c>
      <c r="U131" s="22" t="n">
        <v>-8614</v>
      </c>
      <c r="V131" s="22" t="n">
        <v>-2310</v>
      </c>
      <c r="W131" s="22" t="n">
        <v>-3974</v>
      </c>
      <c r="X131" s="22" t="n">
        <v>-35334</v>
      </c>
    </row>
    <row r="132">
      <c r="A132" s="20" t="inlineStr">
        <is>
          <t>유형자산 처분</t>
        </is>
      </c>
      <c r="C132" s="22" t="n">
        <v>1988</v>
      </c>
      <c r="D132" s="22" t="n">
        <v>19346</v>
      </c>
      <c r="E132" s="22" t="n">
        <v>-95</v>
      </c>
      <c r="F132" s="22" t="n">
        <v>-214</v>
      </c>
      <c r="G132" s="22" t="n">
        <v>-450</v>
      </c>
      <c r="H132" s="22" t="n">
        <v>-510</v>
      </c>
      <c r="I132" s="22" t="n">
        <v>-66</v>
      </c>
      <c r="J132" s="22" t="n">
        <v>7357</v>
      </c>
      <c r="K132" s="22" t="n">
        <v>7285</v>
      </c>
      <c r="L132" s="22" t="n">
        <v>7509</v>
      </c>
      <c r="M132" s="22" t="n">
        <v>-36</v>
      </c>
      <c r="N132" s="22" t="n">
        <v>-60</v>
      </c>
      <c r="Q132" s="22" t="n">
        <v>49</v>
      </c>
      <c r="R132" s="22" t="n">
        <v>119</v>
      </c>
      <c r="S132" s="22" t="n">
        <v>-22</v>
      </c>
      <c r="T132" s="22" t="n">
        <v>1042</v>
      </c>
      <c r="U132" s="22" t="n">
        <v>1048</v>
      </c>
      <c r="V132" s="22" t="n">
        <v>19346</v>
      </c>
      <c r="W132" s="22" t="n">
        <v>-510</v>
      </c>
      <c r="X132" s="22" t="n">
        <v>7509</v>
      </c>
    </row>
    <row r="133">
      <c r="A133" s="20" t="inlineStr">
        <is>
          <t>무형자산 처분</t>
        </is>
      </c>
      <c r="C133" s="22" t="n">
        <v>15160</v>
      </c>
      <c r="D133" s="22" t="n">
        <v>15160</v>
      </c>
      <c r="E133" s="22" t="n">
        <v>0</v>
      </c>
      <c r="F133" s="22" t="n">
        <v>544</v>
      </c>
      <c r="G133" s="22" t="n">
        <v>1707</v>
      </c>
      <c r="H133" s="22" t="n">
        <v>2289</v>
      </c>
      <c r="I133" s="22" t="n">
        <v>28</v>
      </c>
      <c r="J133" s="22" t="n">
        <v>28</v>
      </c>
      <c r="K133" s="22" t="n">
        <v>28</v>
      </c>
      <c r="L133" s="22" t="n">
        <v>28</v>
      </c>
      <c r="M133" s="22" t="n">
        <v>0</v>
      </c>
      <c r="N133" s="22" t="n">
        <v>14</v>
      </c>
      <c r="U133" s="22" t="n">
        <v>530</v>
      </c>
      <c r="V133" s="22" t="n">
        <v>15160</v>
      </c>
      <c r="W133" s="22" t="n">
        <v>2289</v>
      </c>
      <c r="X133" s="22" t="n">
        <v>28</v>
      </c>
    </row>
    <row r="134">
      <c r="A134" s="20" t="inlineStr">
        <is>
          <t>이자 및 배당금 수취</t>
        </is>
      </c>
      <c r="C134" s="22" t="n">
        <v>1047</v>
      </c>
      <c r="D134" s="22" t="n">
        <v>1482</v>
      </c>
      <c r="E134" s="22" t="n">
        <v>857</v>
      </c>
      <c r="F134" s="22" t="n">
        <v>1462</v>
      </c>
      <c r="G134" s="22" t="n">
        <v>2189</v>
      </c>
      <c r="H134" s="22" t="n">
        <v>2784</v>
      </c>
      <c r="I134" s="22" t="n">
        <v>715</v>
      </c>
      <c r="J134" s="22" t="n">
        <v>1417</v>
      </c>
      <c r="K134" s="22" t="n">
        <v>2521</v>
      </c>
      <c r="L134" s="22" t="n">
        <v>3600</v>
      </c>
      <c r="M134" s="22" t="n">
        <v>1507</v>
      </c>
      <c r="N134" s="22" t="n">
        <v>2636</v>
      </c>
      <c r="Q134" s="22" t="n">
        <v>200</v>
      </c>
      <c r="R134" s="22" t="n">
        <v>197</v>
      </c>
      <c r="S134" s="22" t="n">
        <v>100</v>
      </c>
      <c r="T134" s="22" t="n">
        <v>133</v>
      </c>
      <c r="U134" s="22" t="n">
        <v>281</v>
      </c>
      <c r="V134" s="22" t="n">
        <v>1482</v>
      </c>
      <c r="W134" s="22" t="n">
        <v>2784</v>
      </c>
      <c r="X134" s="22" t="n">
        <v>3600</v>
      </c>
    </row>
    <row r="135">
      <c r="A135" s="20" t="inlineStr">
        <is>
          <t>유가증권 취득</t>
        </is>
      </c>
      <c r="C135" s="22" t="n">
        <v>-419923</v>
      </c>
      <c r="D135" s="22" t="n">
        <v>-545705</v>
      </c>
      <c r="E135" s="22" t="n">
        <v>-190000</v>
      </c>
      <c r="F135" s="22" t="n">
        <v>-480143</v>
      </c>
      <c r="G135" s="22" t="n">
        <v>-725000</v>
      </c>
      <c r="H135" s="22" t="n">
        <v>-945462</v>
      </c>
      <c r="I135" s="22" t="n">
        <v>-320000</v>
      </c>
      <c r="J135" s="22" t="n">
        <v>-589985</v>
      </c>
      <c r="K135" s="22" t="n">
        <v>-895460</v>
      </c>
      <c r="L135" s="22" t="n">
        <v>-1227509</v>
      </c>
      <c r="M135" s="22" t="n">
        <v>-260468</v>
      </c>
      <c r="N135" s="22" t="n">
        <v>-590452</v>
      </c>
      <c r="Q135" s="22" t="n">
        <v>-263503</v>
      </c>
      <c r="R135" s="22" t="n">
        <v>-256768</v>
      </c>
      <c r="S135" s="22" t="n">
        <v>-248143</v>
      </c>
      <c r="T135" s="22" t="n">
        <v>-362761</v>
      </c>
      <c r="U135" s="22" t="n">
        <v>-518681</v>
      </c>
      <c r="V135" s="22" t="n">
        <v>-545705</v>
      </c>
      <c r="W135" s="22" t="n">
        <v>-945462</v>
      </c>
      <c r="X135" s="22" t="n">
        <v>-1227509</v>
      </c>
    </row>
    <row r="136">
      <c r="A136" s="20" t="inlineStr">
        <is>
          <t>유가증권 처분</t>
        </is>
      </c>
      <c r="C136" s="22" t="n">
        <v>414752</v>
      </c>
      <c r="D136" s="22" t="n">
        <v>546620</v>
      </c>
      <c r="E136" s="22" t="n">
        <v>169483</v>
      </c>
      <c r="F136" s="22" t="n">
        <v>340090</v>
      </c>
      <c r="G136" s="22" t="n">
        <v>565390</v>
      </c>
      <c r="H136" s="22" t="n">
        <v>771015</v>
      </c>
      <c r="I136" s="22" t="n">
        <v>255000</v>
      </c>
      <c r="J136" s="22" t="n">
        <v>515630</v>
      </c>
      <c r="K136" s="22" t="n">
        <v>925630</v>
      </c>
      <c r="L136" s="22" t="n">
        <v>1130645</v>
      </c>
      <c r="M136" s="22" t="n">
        <v>381447</v>
      </c>
      <c r="N136" s="22" t="n">
        <v>571450</v>
      </c>
      <c r="Q136" s="22" t="n">
        <v>264711</v>
      </c>
      <c r="R136" s="22" t="n">
        <v>230158</v>
      </c>
      <c r="S136" s="22" t="n">
        <v>211000</v>
      </c>
      <c r="T136" s="22" t="n">
        <v>325000</v>
      </c>
      <c r="U136" s="22" t="n">
        <v>442768</v>
      </c>
      <c r="V136" s="22" t="n">
        <v>546620</v>
      </c>
      <c r="W136" s="22" t="n">
        <v>771015</v>
      </c>
      <c r="X136" s="22" t="n">
        <v>1130645</v>
      </c>
    </row>
    <row r="137">
      <c r="A137" s="20" t="inlineStr">
        <is>
          <t>투자유가증권 취득</t>
        </is>
      </c>
      <c r="C137" s="22" t="n">
        <v>-256</v>
      </c>
      <c r="D137" s="22" t="n">
        <v>-278</v>
      </c>
      <c r="E137" s="22" t="n">
        <v>-50</v>
      </c>
      <c r="F137" s="22" t="n">
        <v>-68</v>
      </c>
      <c r="G137" s="22" t="n">
        <v>-1277</v>
      </c>
      <c r="H137" s="22" t="n">
        <v>-3092</v>
      </c>
      <c r="I137" s="22" t="n">
        <v>-60</v>
      </c>
      <c r="J137" s="22" t="n">
        <v>-2761</v>
      </c>
      <c r="K137" s="22" t="n">
        <v>-3325</v>
      </c>
      <c r="L137" s="22" t="n">
        <v>-4258</v>
      </c>
      <c r="M137" s="22" t="n">
        <v>-5</v>
      </c>
      <c r="N137" s="22" t="n">
        <v>-394</v>
      </c>
      <c r="Q137" s="22" t="n">
        <v>-709</v>
      </c>
      <c r="R137" s="22" t="n">
        <v>-1013</v>
      </c>
      <c r="S137" s="22" t="n">
        <v>-177</v>
      </c>
      <c r="T137" s="22" t="n">
        <v>-9503</v>
      </c>
      <c r="U137" s="22" t="n">
        <v>-321</v>
      </c>
      <c r="V137" s="22" t="n">
        <v>-278</v>
      </c>
      <c r="W137" s="22" t="n">
        <v>-3092</v>
      </c>
      <c r="X137" s="22" t="n">
        <v>-4258</v>
      </c>
    </row>
    <row r="138">
      <c r="A138" s="20" t="inlineStr">
        <is>
          <t>투자유가증권 처분</t>
        </is>
      </c>
      <c r="C138" s="22" t="n">
        <v>340</v>
      </c>
      <c r="D138" s="22" t="n">
        <v>342</v>
      </c>
      <c r="E138" s="22" t="n">
        <v>0</v>
      </c>
      <c r="F138" s="22" t="n">
        <v>0</v>
      </c>
      <c r="G138" s="22" t="n">
        <v>0</v>
      </c>
      <c r="H138" s="22" t="n">
        <v>0</v>
      </c>
      <c r="I138" s="22" t="n">
        <v>0</v>
      </c>
      <c r="J138" s="22" t="n">
        <v>0</v>
      </c>
      <c r="L138" s="22" t="n">
        <v>318</v>
      </c>
      <c r="M138" s="22" t="n">
        <v>11852</v>
      </c>
      <c r="N138" s="22" t="n">
        <v>11876</v>
      </c>
      <c r="Q138" s="22" t="n">
        <v>2863</v>
      </c>
      <c r="R138" s="22" t="n">
        <v>6743</v>
      </c>
      <c r="S138" s="22" t="n">
        <v>319</v>
      </c>
      <c r="T138" s="22" t="n">
        <v>28</v>
      </c>
      <c r="U138" s="22" t="n">
        <v>151</v>
      </c>
      <c r="V138" s="22" t="n">
        <v>342</v>
      </c>
      <c r="W138" s="22" t="n">
        <v>0</v>
      </c>
      <c r="X138" s="22" t="n">
        <v>318</v>
      </c>
    </row>
    <row r="139">
      <c r="A139" s="20" t="inlineStr">
        <is>
          <t>기타투자활동</t>
        </is>
      </c>
      <c r="I139" s="22" t="n">
        <v>0</v>
      </c>
      <c r="M139" s="22" t="n">
        <v>24</v>
      </c>
      <c r="Q139" s="22" t="n">
        <v>-0</v>
      </c>
      <c r="R139" s="22" t="n">
        <v>0</v>
      </c>
      <c r="S139" s="22" t="n">
        <v>0</v>
      </c>
    </row>
    <row r="140">
      <c r="A140" s="9" t="inlineStr">
        <is>
          <t>투자활동 현금흐름</t>
        </is>
      </c>
      <c r="C140" s="12" t="n">
        <v>-42934</v>
      </c>
      <c r="D140" s="12" t="n">
        <v>-37290</v>
      </c>
      <c r="E140" s="12" t="n">
        <v>-32244</v>
      </c>
      <c r="F140" s="12" t="n">
        <v>-172890</v>
      </c>
      <c r="G140" s="12" t="n">
        <v>-210462</v>
      </c>
      <c r="H140" s="12" t="n">
        <v>-227365</v>
      </c>
      <c r="I140" s="12" t="n">
        <v>-86886</v>
      </c>
      <c r="J140" s="12" t="n">
        <v>-133469</v>
      </c>
      <c r="K140" s="12" t="n">
        <v>-39549</v>
      </c>
      <c r="L140" s="12" t="n">
        <v>-201273</v>
      </c>
      <c r="M140" s="12" t="n">
        <v>113796</v>
      </c>
      <c r="N140" s="12" t="n">
        <v>-36049</v>
      </c>
      <c r="Q140" s="12" t="n">
        <v>-74060</v>
      </c>
      <c r="R140" s="12" t="n">
        <v>-81741</v>
      </c>
      <c r="S140" s="12" t="n">
        <v>-98312</v>
      </c>
      <c r="T140" s="12" t="n">
        <v>-118927</v>
      </c>
      <c r="U140" s="12" t="n">
        <v>-145465</v>
      </c>
      <c r="V140" s="12" t="n">
        <v>-37290</v>
      </c>
      <c r="W140" s="12" t="n">
        <v>-227365</v>
      </c>
      <c r="X140" s="12" t="n">
        <v>-201273</v>
      </c>
    </row>
    <row r="141">
      <c r="A141" s="20" t="inlineStr">
        <is>
          <t>비지배지분 취득</t>
        </is>
      </c>
      <c r="Q141" s="22" t="n">
        <v>0</v>
      </c>
      <c r="R141" s="22" t="n">
        <v>-2307</v>
      </c>
      <c r="S141" s="22" t="n">
        <v>0</v>
      </c>
    </row>
    <row r="142">
      <c r="A142" s="20" t="inlineStr">
        <is>
          <t>이자 지급</t>
        </is>
      </c>
      <c r="C142" s="22" t="n">
        <v>-60</v>
      </c>
      <c r="D142" s="22" t="n">
        <v>-81</v>
      </c>
      <c r="E142" s="22" t="n">
        <v>-21</v>
      </c>
      <c r="F142" s="22" t="n">
        <v>-45</v>
      </c>
      <c r="G142" s="22" t="n">
        <v>-70</v>
      </c>
      <c r="H142" s="22" t="n">
        <v>-94</v>
      </c>
      <c r="I142" s="22" t="n">
        <v>-52</v>
      </c>
      <c r="J142" s="22" t="n">
        <v>-165</v>
      </c>
      <c r="K142" s="22" t="n">
        <v>-286</v>
      </c>
      <c r="L142" s="22" t="n">
        <v>-429</v>
      </c>
      <c r="M142" s="22" t="n">
        <v>-144</v>
      </c>
      <c r="N142" s="22" t="n">
        <v>-285</v>
      </c>
      <c r="Q142" s="22" t="n">
        <v>-5</v>
      </c>
      <c r="R142" s="22" t="n">
        <v>-27</v>
      </c>
      <c r="S142" s="22" t="n">
        <v>-34</v>
      </c>
      <c r="T142" s="22" t="n">
        <v>-48</v>
      </c>
      <c r="U142" s="22" t="n">
        <v>-58</v>
      </c>
      <c r="V142" s="22" t="n">
        <v>-81</v>
      </c>
      <c r="W142" s="22" t="n">
        <v>-94</v>
      </c>
      <c r="X142" s="22" t="n">
        <v>-429</v>
      </c>
    </row>
    <row r="143">
      <c r="A143" s="20" t="inlineStr">
        <is>
          <t>리스부채 지급</t>
        </is>
      </c>
      <c r="C143" s="22" t="n">
        <v>-5908</v>
      </c>
      <c r="D143" s="22" t="n">
        <v>-7868</v>
      </c>
      <c r="E143" s="22" t="n">
        <v>-1962</v>
      </c>
      <c r="F143" s="22" t="n">
        <v>-4014</v>
      </c>
      <c r="G143" s="22" t="n">
        <v>-6089</v>
      </c>
      <c r="H143" s="22" t="n">
        <v>-8148</v>
      </c>
      <c r="I143" s="22" t="n">
        <v>-2033</v>
      </c>
      <c r="J143" s="22" t="n">
        <v>-3957</v>
      </c>
      <c r="K143" s="22" t="n">
        <v>-5932</v>
      </c>
      <c r="L143" s="22" t="n">
        <v>-8176</v>
      </c>
      <c r="M143" s="22" t="n">
        <v>-2512</v>
      </c>
      <c r="N143" s="22" t="n">
        <v>-4793</v>
      </c>
      <c r="Q143" s="22" t="n">
        <v>0</v>
      </c>
      <c r="R143" s="22" t="n">
        <v>-8861</v>
      </c>
      <c r="S143" s="22" t="n">
        <v>-8432</v>
      </c>
      <c r="T143" s="22" t="n">
        <v>-9031</v>
      </c>
      <c r="U143" s="22" t="n">
        <v>-7599</v>
      </c>
      <c r="V143" s="22" t="n">
        <v>-7868</v>
      </c>
      <c r="W143" s="22" t="n">
        <v>-8148</v>
      </c>
      <c r="X143" s="22" t="n">
        <v>-8176</v>
      </c>
    </row>
    <row r="144">
      <c r="A144" s="20" t="inlineStr">
        <is>
          <t>배당금 지급 - 지배기업 지분</t>
        </is>
      </c>
      <c r="C144" s="22" t="n">
        <v>-131226</v>
      </c>
      <c r="D144" s="22" t="n">
        <v>-131594</v>
      </c>
      <c r="E144" s="22" t="n">
        <v>-64960</v>
      </c>
      <c r="F144" s="22" t="n">
        <v>-65500</v>
      </c>
      <c r="G144" s="22" t="n">
        <v>-132959</v>
      </c>
      <c r="H144" s="22" t="n">
        <v>-133249</v>
      </c>
      <c r="I144" s="22" t="n">
        <v>-93408</v>
      </c>
      <c r="J144" s="22" t="n">
        <v>-93846</v>
      </c>
      <c r="K144" s="22" t="n">
        <v>-299542</v>
      </c>
      <c r="L144" s="22" t="n">
        <v>-299419</v>
      </c>
      <c r="M144" s="22" t="n">
        <v>-241990</v>
      </c>
      <c r="N144" s="22" t="n">
        <v>-241925</v>
      </c>
      <c r="Q144" s="22" t="n">
        <v>-35010</v>
      </c>
      <c r="R144" s="22" t="n">
        <v>-56370</v>
      </c>
      <c r="S144" s="22" t="n">
        <v>-91442</v>
      </c>
      <c r="T144" s="22" t="n">
        <v>-98644</v>
      </c>
      <c r="U144" s="22" t="n">
        <v>-138220</v>
      </c>
      <c r="V144" s="22" t="n">
        <v>-131594</v>
      </c>
      <c r="W144" s="22" t="n">
        <v>-133249</v>
      </c>
      <c r="X144" s="22" t="n">
        <v>-299419</v>
      </c>
    </row>
    <row r="145">
      <c r="A145" s="20" t="inlineStr">
        <is>
          <t>배당금 지급 - 비지배지분</t>
        </is>
      </c>
      <c r="Q145" s="22" t="n">
        <v>-791</v>
      </c>
      <c r="R145" s="22" t="n">
        <v>0</v>
      </c>
    </row>
    <row r="146">
      <c r="A146" s="20" t="inlineStr">
        <is>
          <t>스톡옵션 행사</t>
        </is>
      </c>
      <c r="C146" s="22" t="n">
        <v>167</v>
      </c>
      <c r="D146" s="22" t="n">
        <v>217</v>
      </c>
      <c r="E146" s="22" t="n">
        <v>75</v>
      </c>
      <c r="F146" s="22" t="n">
        <v>94</v>
      </c>
      <c r="G146" s="22" t="n">
        <v>152</v>
      </c>
      <c r="H146" s="22" t="n">
        <v>168</v>
      </c>
      <c r="I146" s="22" t="n">
        <v>115</v>
      </c>
      <c r="J146" s="22" t="n">
        <v>126</v>
      </c>
      <c r="K146" s="22" t="n">
        <v>130</v>
      </c>
      <c r="L146" s="22" t="n">
        <v>142</v>
      </c>
      <c r="M146" s="22" t="n">
        <v>62</v>
      </c>
      <c r="N146" s="22" t="n">
        <v>62</v>
      </c>
      <c r="Q146" s="22" t="n">
        <v>996</v>
      </c>
      <c r="R146" s="22" t="n">
        <v>735</v>
      </c>
      <c r="S146" s="22" t="n">
        <v>440</v>
      </c>
      <c r="T146" s="22" t="n">
        <v>322</v>
      </c>
      <c r="U146" s="22" t="n">
        <v>241</v>
      </c>
      <c r="V146" s="22" t="n">
        <v>217</v>
      </c>
      <c r="W146" s="22" t="n">
        <v>168</v>
      </c>
      <c r="X146" s="22" t="n">
        <v>142</v>
      </c>
    </row>
    <row r="147">
      <c r="A147" s="20" t="inlineStr">
        <is>
          <t>자기주식 감소</t>
        </is>
      </c>
      <c r="C147" s="22" t="n">
        <v>-3</v>
      </c>
      <c r="D147" s="22" t="n">
        <v>-5</v>
      </c>
      <c r="E147" s="22" t="n">
        <v>-3</v>
      </c>
      <c r="F147" s="22" t="n">
        <v>-5</v>
      </c>
      <c r="G147" s="22" t="n">
        <v>-9</v>
      </c>
      <c r="H147" s="22" t="n">
        <v>-10</v>
      </c>
      <c r="I147" s="22" t="n">
        <v>-1</v>
      </c>
      <c r="J147" s="22" t="n">
        <v>-2</v>
      </c>
      <c r="K147" s="22" t="n">
        <v>-3</v>
      </c>
      <c r="L147" s="22" t="n">
        <v>-6</v>
      </c>
      <c r="M147" s="22" t="n">
        <v>-2</v>
      </c>
      <c r="N147" s="22" t="n">
        <v>-3932</v>
      </c>
      <c r="Q147" s="22" t="n">
        <v>-19</v>
      </c>
      <c r="R147" s="22" t="n">
        <v>-25</v>
      </c>
      <c r="S147" s="22" t="n">
        <v>-30</v>
      </c>
      <c r="T147" s="22" t="n">
        <v>-8</v>
      </c>
      <c r="U147" s="22" t="n">
        <v>-5</v>
      </c>
      <c r="V147" s="22" t="n">
        <v>-5</v>
      </c>
      <c r="W147" s="22" t="n">
        <v>-10</v>
      </c>
      <c r="X147" s="22" t="n">
        <v>-6</v>
      </c>
    </row>
    <row r="148">
      <c r="A148" s="20" t="inlineStr">
        <is>
          <t>기타재무활동</t>
        </is>
      </c>
      <c r="D148" s="22" t="n">
        <v>0</v>
      </c>
      <c r="H148" s="22" t="n">
        <v>328</v>
      </c>
      <c r="L148" s="22" t="n">
        <v>0</v>
      </c>
      <c r="Q148" s="22" t="n">
        <v>-187</v>
      </c>
      <c r="R148" s="22" t="n">
        <v>-16</v>
      </c>
      <c r="S148" s="22" t="n">
        <v>0</v>
      </c>
      <c r="V148" s="22" t="n">
        <v>0</v>
      </c>
      <c r="W148" s="22" t="n">
        <v>328</v>
      </c>
      <c r="X148" s="22" t="n">
        <v>0</v>
      </c>
    </row>
    <row r="149">
      <c r="A149" s="9" t="inlineStr">
        <is>
          <t>재무활동 현금흐름</t>
        </is>
      </c>
      <c r="C149" s="12" t="n">
        <v>-137031</v>
      </c>
      <c r="D149" s="12" t="n">
        <v>-139331</v>
      </c>
      <c r="E149" s="12" t="n">
        <v>-66872</v>
      </c>
      <c r="F149" s="12" t="n">
        <v>-69469</v>
      </c>
      <c r="G149" s="12" t="n">
        <v>-138975</v>
      </c>
      <c r="H149" s="12" t="n">
        <v>-141006</v>
      </c>
      <c r="I149" s="12" t="n">
        <v>-95378</v>
      </c>
      <c r="J149" s="12" t="n">
        <v>-97843</v>
      </c>
      <c r="K149" s="12" t="n">
        <v>-305632</v>
      </c>
      <c r="L149" s="12" t="n">
        <v>-307886</v>
      </c>
      <c r="M149" s="12" t="n">
        <v>-244584</v>
      </c>
      <c r="N149" s="12" t="n">
        <v>-250874</v>
      </c>
      <c r="Q149" s="12" t="n">
        <v>-35014</v>
      </c>
      <c r="R149" s="12" t="n">
        <v>-66872</v>
      </c>
      <c r="S149" s="12" t="n">
        <v>-99497</v>
      </c>
      <c r="T149" s="12" t="n">
        <v>-107408</v>
      </c>
      <c r="U149" s="12" t="n">
        <v>-145641</v>
      </c>
      <c r="V149" s="12" t="n">
        <v>-139331</v>
      </c>
      <c r="W149" s="12" t="n">
        <v>-141006</v>
      </c>
      <c r="X149" s="12" t="n">
        <v>-307886</v>
      </c>
    </row>
    <row r="150">
      <c r="A150" s="20" t="inlineStr">
        <is>
          <t>현금성자산 환산차이</t>
        </is>
      </c>
      <c r="C150" s="22" t="n">
        <v>3422</v>
      </c>
      <c r="D150" s="22" t="n">
        <v>3202</v>
      </c>
      <c r="E150" s="22" t="n">
        <v>2391</v>
      </c>
      <c r="F150" s="22" t="n">
        <v>5884</v>
      </c>
      <c r="G150" s="22" t="n">
        <v>-486</v>
      </c>
      <c r="H150" s="22" t="n">
        <v>2299</v>
      </c>
      <c r="I150" s="22" t="n">
        <v>-1196</v>
      </c>
      <c r="J150" s="22" t="n">
        <v>2114</v>
      </c>
      <c r="K150" s="22" t="n">
        <v>4238</v>
      </c>
      <c r="L150" s="22" t="n">
        <v>9279</v>
      </c>
      <c r="M150" s="22" t="n">
        <v>130</v>
      </c>
      <c r="N150" s="22" t="n">
        <v>1658</v>
      </c>
      <c r="Q150" s="22" t="n">
        <v>-2215</v>
      </c>
      <c r="R150" s="22" t="n">
        <v>-947</v>
      </c>
      <c r="S150" s="22" t="n">
        <v>1166</v>
      </c>
      <c r="T150" s="22" t="n">
        <v>2128</v>
      </c>
      <c r="U150" s="22" t="n">
        <v>1939</v>
      </c>
      <c r="V150" s="22" t="n">
        <v>3202</v>
      </c>
      <c r="W150" s="22" t="n">
        <v>2299</v>
      </c>
      <c r="X150" s="22" t="n">
        <v>9279</v>
      </c>
    </row>
    <row r="151">
      <c r="A151" s="20" t="inlineStr">
        <is>
          <t>현금및현금성자산 증감액</t>
        </is>
      </c>
      <c r="C151" s="22" t="n">
        <v>109172</v>
      </c>
      <c r="D151" s="22" t="n">
        <v>236505</v>
      </c>
      <c r="E151" s="22" t="n">
        <v>4189</v>
      </c>
      <c r="F151" s="22" t="n">
        <v>-64913</v>
      </c>
      <c r="G151" s="22" t="n">
        <v>-54716</v>
      </c>
      <c r="H151" s="22" t="n">
        <v>81528</v>
      </c>
      <c r="I151" s="22" t="n">
        <v>-116783</v>
      </c>
      <c r="J151" s="22" t="n">
        <v>-43114</v>
      </c>
      <c r="K151" s="22" t="n">
        <v>-83770</v>
      </c>
      <c r="L151" s="22" t="n">
        <v>-113600</v>
      </c>
      <c r="M151" s="22" t="n">
        <v>-8618</v>
      </c>
      <c r="N151" s="22" t="n">
        <v>-36163</v>
      </c>
      <c r="Q151" s="22" t="n">
        <v>7785</v>
      </c>
      <c r="R151" s="22" t="n">
        <v>57081</v>
      </c>
      <c r="S151" s="22" t="n">
        <v>8393</v>
      </c>
      <c r="T151" s="22" t="n">
        <v>55419</v>
      </c>
      <c r="U151" s="22" t="n">
        <v>-45584</v>
      </c>
      <c r="V151" s="22" t="n">
        <v>236505</v>
      </c>
      <c r="W151" s="22" t="n">
        <v>81528</v>
      </c>
      <c r="X151" s="22" t="n">
        <v>-113600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4519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1619532</v>
      </c>
      <c r="D5" s="12" t="n">
        <v>1517730</v>
      </c>
      <c r="E5" s="12" t="n">
        <v>1740758</v>
      </c>
      <c r="F5" s="12" t="n">
        <v>1539441</v>
      </c>
      <c r="G5" s="12" t="n">
        <v>1704189</v>
      </c>
      <c r="H5" s="11" t="n">
        <v>1063661</v>
      </c>
      <c r="I5" s="12" t="n">
        <v>1336537</v>
      </c>
      <c r="J5" s="12" t="n">
        <v>1366426</v>
      </c>
      <c r="K5" s="12" t="n">
        <v>1606043</v>
      </c>
      <c r="L5" s="12" t="n">
        <v>1740758</v>
      </c>
    </row>
    <row r="6">
      <c r="A6" s="20" t="inlineStr">
        <is>
          <t>현금및현금성자산</t>
        </is>
      </c>
      <c r="B6" s="10" t="n"/>
      <c r="C6" s="21" t="n">
        <v>497088</v>
      </c>
      <c r="D6" s="22" t="n">
        <v>456432</v>
      </c>
      <c r="E6" s="22" t="n">
        <v>426602</v>
      </c>
      <c r="F6" s="22" t="n">
        <v>417984</v>
      </c>
      <c r="G6" s="22" t="n">
        <v>390439</v>
      </c>
      <c r="H6" s="21" t="n">
        <v>267753</v>
      </c>
      <c r="I6" s="22" t="n">
        <v>222169</v>
      </c>
      <c r="J6" s="22" t="n">
        <v>458674</v>
      </c>
      <c r="K6" s="22" t="n">
        <v>540202</v>
      </c>
      <c r="L6" s="22" t="n">
        <v>426602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316747</v>
      </c>
      <c r="D8" s="22" t="n">
        <v>353649</v>
      </c>
      <c r="E8" s="22" t="n">
        <v>442876</v>
      </c>
      <c r="F8" s="22" t="n">
        <v>352747</v>
      </c>
      <c r="G8" s="22" t="n">
        <v>381845</v>
      </c>
      <c r="H8" s="21" t="n">
        <v>355081</v>
      </c>
      <c r="I8" s="22" t="n">
        <v>512538</v>
      </c>
      <c r="J8" s="22" t="n">
        <v>318892</v>
      </c>
      <c r="K8" s="22" t="n">
        <v>334256</v>
      </c>
      <c r="L8" s="22" t="n">
        <v>442876</v>
      </c>
    </row>
    <row r="9">
      <c r="A9" s="20" t="inlineStr">
        <is>
          <t>재고자산</t>
        </is>
      </c>
      <c r="B9" s="10" t="n"/>
      <c r="C9" s="21" t="n">
        <v>235526</v>
      </c>
      <c r="D9" s="22" t="n">
        <v>246326</v>
      </c>
      <c r="E9" s="22" t="n">
        <v>276848</v>
      </c>
      <c r="F9" s="22" t="n">
        <v>288289</v>
      </c>
      <c r="G9" s="22" t="n">
        <v>317580</v>
      </c>
      <c r="H9" s="21" t="n">
        <v>208838</v>
      </c>
      <c r="I9" s="22" t="n">
        <v>292206</v>
      </c>
      <c r="J9" s="22" t="n">
        <v>273480</v>
      </c>
      <c r="K9" s="22" t="n">
        <v>240067</v>
      </c>
      <c r="L9" s="22" t="n">
        <v>276848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658814</v>
      </c>
      <c r="D11" s="12" t="n">
        <v>665859</v>
      </c>
      <c r="E11" s="12" t="n">
        <v>727837</v>
      </c>
      <c r="F11" s="12" t="n">
        <v>725660</v>
      </c>
      <c r="G11" s="12" t="n">
        <v>745725</v>
      </c>
      <c r="H11" s="11" t="n">
        <v>475033</v>
      </c>
      <c r="I11" s="12" t="n">
        <v>533221</v>
      </c>
      <c r="J11" s="12" t="n">
        <v>566121</v>
      </c>
      <c r="K11" s="12" t="n">
        <v>602330</v>
      </c>
      <c r="L11" s="12" t="n">
        <v>727837</v>
      </c>
    </row>
    <row r="12">
      <c r="A12" s="20" t="inlineStr">
        <is>
          <t>유형자산</t>
        </is>
      </c>
      <c r="B12" s="10" t="n"/>
      <c r="C12" s="21" t="n">
        <v>456755</v>
      </c>
      <c r="D12" s="22" t="n">
        <v>449610</v>
      </c>
      <c r="E12" s="22" t="n">
        <v>456578</v>
      </c>
      <c r="F12" s="22" t="n">
        <v>459516</v>
      </c>
      <c r="G12" s="22" t="n">
        <v>481623</v>
      </c>
      <c r="H12" s="21" t="n">
        <v>338841</v>
      </c>
      <c r="I12" s="22" t="n">
        <v>375340</v>
      </c>
      <c r="J12" s="22" t="n">
        <v>409939</v>
      </c>
      <c r="K12" s="22" t="n">
        <v>433129</v>
      </c>
      <c r="L12" s="22" t="n">
        <v>456578</v>
      </c>
    </row>
    <row r="13">
      <c r="A13" s="20" t="inlineStr">
        <is>
          <t>무형자산</t>
        </is>
      </c>
      <c r="B13" s="10" t="n"/>
      <c r="C13" s="21" t="n">
        <v>33292</v>
      </c>
      <c r="D13" s="22" t="n">
        <v>34164</v>
      </c>
      <c r="E13" s="22" t="n">
        <v>54539</v>
      </c>
      <c r="F13" s="22" t="n">
        <v>58495</v>
      </c>
      <c r="G13" s="22" t="n">
        <v>59277</v>
      </c>
      <c r="H13" s="21" t="n">
        <v>21974</v>
      </c>
      <c r="I13" s="22" t="n">
        <v>25141</v>
      </c>
      <c r="J13" s="22" t="n">
        <v>19860</v>
      </c>
      <c r="K13" s="22" t="n">
        <v>17868</v>
      </c>
      <c r="L13" s="22" t="n">
        <v>54539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2278347</v>
      </c>
      <c r="D16" s="12" t="n">
        <v>2183588</v>
      </c>
      <c r="E16" s="12" t="n">
        <v>2468595</v>
      </c>
      <c r="F16" s="12" t="n">
        <v>2265101</v>
      </c>
      <c r="G16" s="12" t="n">
        <v>2449914</v>
      </c>
      <c r="H16" s="11" t="n">
        <v>1538694</v>
      </c>
      <c r="I16" s="12" t="n">
        <v>1869758</v>
      </c>
      <c r="J16" s="12" t="n">
        <v>1932547</v>
      </c>
      <c r="K16" s="12" t="n">
        <v>2208373</v>
      </c>
      <c r="L16" s="12" t="n">
        <v>2468595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268276</v>
      </c>
      <c r="D18" s="12" t="n">
        <v>267423</v>
      </c>
      <c r="E18" s="12" t="n">
        <v>411077</v>
      </c>
      <c r="F18" s="12" t="n">
        <v>327702</v>
      </c>
      <c r="G18" s="12" t="n">
        <v>392189</v>
      </c>
      <c r="H18" s="11" t="n">
        <v>327422</v>
      </c>
      <c r="I18" s="12" t="n">
        <v>423730</v>
      </c>
      <c r="J18" s="12" t="n">
        <v>288217</v>
      </c>
      <c r="K18" s="12" t="n">
        <v>290357</v>
      </c>
      <c r="L18" s="12" t="n">
        <v>411077</v>
      </c>
    </row>
    <row r="19">
      <c r="A19" s="20" t="inlineStr">
        <is>
          <t>매입채무</t>
        </is>
      </c>
      <c r="B19" s="10" t="n"/>
      <c r="C19" s="21" t="n">
        <v>78417</v>
      </c>
      <c r="D19" s="22" t="n">
        <v>78897</v>
      </c>
      <c r="E19" s="22" t="n">
        <v>127247</v>
      </c>
      <c r="F19" s="22" t="n">
        <v>107524</v>
      </c>
      <c r="G19" s="22" t="n">
        <v>160700</v>
      </c>
      <c r="H19" s="21" t="n">
        <v>152266</v>
      </c>
      <c r="I19" s="22" t="n">
        <v>209835</v>
      </c>
      <c r="J19" s="22" t="n">
        <v>112468</v>
      </c>
      <c r="K19" s="22" t="n">
        <v>65353</v>
      </c>
      <c r="L19" s="22" t="n">
        <v>127247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24943</v>
      </c>
      <c r="D23" s="12" t="n">
        <v>26058</v>
      </c>
      <c r="E23" s="12" t="n">
        <v>31785</v>
      </c>
      <c r="F23" s="12" t="n">
        <v>29684</v>
      </c>
      <c r="G23" s="12" t="n">
        <v>30063</v>
      </c>
      <c r="H23" s="11" t="n">
        <v>23255</v>
      </c>
      <c r="I23" s="12" t="n">
        <v>21641</v>
      </c>
      <c r="J23" s="12" t="n">
        <v>18750</v>
      </c>
      <c r="K23" s="12" t="n">
        <v>16516</v>
      </c>
      <c r="L23" s="12" t="n">
        <v>31785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293219</v>
      </c>
      <c r="D27" s="12" t="n">
        <v>293481</v>
      </c>
      <c r="E27" s="12" t="n">
        <v>442862</v>
      </c>
      <c r="F27" s="12" t="n">
        <v>357386</v>
      </c>
      <c r="G27" s="12" t="n">
        <v>422251</v>
      </c>
      <c r="H27" s="11" t="n">
        <v>350677</v>
      </c>
      <c r="I27" s="12" t="n">
        <v>445372</v>
      </c>
      <c r="J27" s="12" t="n">
        <v>306967</v>
      </c>
      <c r="K27" s="12" t="n">
        <v>306873</v>
      </c>
      <c r="L27" s="12" t="n">
        <v>442862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1985127</v>
      </c>
      <c r="D31" s="12" t="n">
        <v>1890107</v>
      </c>
      <c r="E31" s="12" t="n">
        <v>2025732</v>
      </c>
      <c r="F31" s="12" t="n">
        <v>1907715</v>
      </c>
      <c r="G31" s="12" t="n">
        <v>2027663</v>
      </c>
      <c r="H31" s="11" t="n">
        <v>1188017</v>
      </c>
      <c r="I31" s="12" t="n">
        <v>1424387</v>
      </c>
      <c r="J31" s="12" t="n">
        <v>1625580</v>
      </c>
      <c r="K31" s="12" t="n">
        <v>1901499</v>
      </c>
      <c r="L31" s="12" t="n">
        <v>2025732</v>
      </c>
    </row>
    <row r="32">
      <c r="A32" s="20" t="inlineStr">
        <is>
          <t>자본금</t>
        </is>
      </c>
      <c r="B32" s="10" t="n"/>
      <c r="C32" s="21" t="n"/>
      <c r="D32" s="22" t="n"/>
      <c r="E32" s="22" t="n"/>
      <c r="F32" s="22" t="n"/>
      <c r="G32" s="22" t="n"/>
      <c r="H32" s="21" t="n"/>
      <c r="I32" s="22" t="n"/>
      <c r="J32" s="22" t="n"/>
      <c r="K32" s="22" t="n"/>
      <c r="L32" s="22" t="n"/>
    </row>
    <row r="33">
      <c r="A33" s="20" t="inlineStr">
        <is>
          <t>이익잉여금</t>
        </is>
      </c>
      <c r="B33" s="10" t="n"/>
      <c r="C33" s="21" t="n"/>
      <c r="D33" s="22" t="n"/>
      <c r="E33" s="22" t="n"/>
      <c r="F33" s="22" t="n"/>
      <c r="G33" s="22" t="n"/>
      <c r="H33" s="21" t="n"/>
      <c r="I33" s="22" t="n"/>
      <c r="J33" s="22" t="n"/>
      <c r="K33" s="22" t="n"/>
      <c r="L33" s="22" t="n"/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1985127</v>
      </c>
      <c r="D35" s="12" t="n">
        <v>1890107</v>
      </c>
      <c r="E35" s="12" t="n">
        <v>2025732</v>
      </c>
      <c r="F35" s="12" t="n">
        <v>1907715</v>
      </c>
      <c r="G35" s="12" t="n">
        <v>2027663</v>
      </c>
      <c r="H35" s="11" t="n">
        <v>1188017</v>
      </c>
      <c r="I35" s="12" t="n">
        <v>1424387</v>
      </c>
      <c r="J35" s="12" t="n">
        <v>1625580</v>
      </c>
      <c r="K35" s="12" t="n">
        <v>1901499</v>
      </c>
      <c r="L35" s="12" t="n">
        <v>2025732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462121</v>
      </c>
      <c r="D37" s="12" t="n">
        <v>409567</v>
      </c>
      <c r="E37" s="12" t="n">
        <v>386280</v>
      </c>
      <c r="F37" s="12" t="n">
        <v>441643</v>
      </c>
      <c r="G37" s="12" t="n">
        <v>449298</v>
      </c>
      <c r="H37" s="11" t="n">
        <v>279626</v>
      </c>
      <c r="I37" s="12" t="n">
        <v>243582</v>
      </c>
      <c r="J37" s="12" t="n">
        <v>409925</v>
      </c>
      <c r="K37" s="12" t="n">
        <v>447600</v>
      </c>
      <c r="L37" s="12" t="n">
        <v>386280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84983</v>
      </c>
      <c r="D38" s="22" t="n">
        <v>77597</v>
      </c>
      <c r="E38" s="22" t="n">
        <v>111607</v>
      </c>
      <c r="F38" s="22" t="n">
        <v>109628</v>
      </c>
      <c r="G38" s="22" t="n">
        <v>77571</v>
      </c>
      <c r="H38" s="21" t="n">
        <v>72866</v>
      </c>
      <c r="I38" s="22" t="n">
        <v>71239</v>
      </c>
      <c r="J38" s="22" t="n">
        <v>74258</v>
      </c>
      <c r="K38" s="22" t="n">
        <v>54389</v>
      </c>
      <c r="L38" s="22" t="n">
        <v>111607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161595</v>
      </c>
      <c r="D40" s="22" t="n">
        <v>299832</v>
      </c>
      <c r="E40" s="22" t="n">
        <v>299419</v>
      </c>
      <c r="F40" s="22" t="n">
        <v>448001</v>
      </c>
      <c r="G40" s="22" t="n">
        <v>447498</v>
      </c>
      <c r="H40" s="21" t="n">
        <v>98644</v>
      </c>
      <c r="I40" s="22" t="n">
        <v>138220</v>
      </c>
      <c r="J40" s="22" t="n">
        <v>131594</v>
      </c>
      <c r="K40" s="22" t="n">
        <v>133249</v>
      </c>
      <c r="L40" s="22" t="n">
        <v>299419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유형자산</t>
        </is>
      </c>
      <c r="C71" s="22" t="n">
        <v>456755</v>
      </c>
      <c r="D71" s="22" t="n">
        <v>449610</v>
      </c>
      <c r="E71" s="22" t="n">
        <v>456578</v>
      </c>
      <c r="F71" s="22" t="n">
        <v>459516</v>
      </c>
      <c r="G71" s="22" t="n">
        <v>481623</v>
      </c>
      <c r="H71" s="22" t="n">
        <v>338841</v>
      </c>
      <c r="I71" s="22" t="n">
        <v>375340</v>
      </c>
      <c r="J71" s="22" t="n">
        <v>409939</v>
      </c>
      <c r="K71" s="22" t="n">
        <v>433129</v>
      </c>
      <c r="L71" s="22" t="n">
        <v>456578</v>
      </c>
    </row>
    <row r="72">
      <c r="A72" s="20" t="inlineStr">
        <is>
          <t>사용권자산</t>
        </is>
      </c>
      <c r="C72" s="22" t="n">
        <v>14591</v>
      </c>
      <c r="D72" s="22" t="n">
        <v>13540</v>
      </c>
      <c r="E72" s="22" t="n">
        <v>22903</v>
      </c>
      <c r="F72" s="22" t="n">
        <v>22163</v>
      </c>
      <c r="G72" s="22" t="n">
        <v>21854</v>
      </c>
      <c r="H72" s="22" t="n">
        <v>13266</v>
      </c>
      <c r="I72" s="22" t="n">
        <v>11311</v>
      </c>
      <c r="J72" s="22" t="n">
        <v>10762</v>
      </c>
      <c r="K72" s="22" t="n">
        <v>8425</v>
      </c>
      <c r="L72" s="22" t="n">
        <v>22903</v>
      </c>
    </row>
    <row r="73">
      <c r="A73" s="20" t="inlineStr">
        <is>
          <t>무형자산</t>
        </is>
      </c>
      <c r="C73" s="22" t="n">
        <v>33292</v>
      </c>
      <c r="D73" s="22" t="n">
        <v>34164</v>
      </c>
      <c r="E73" s="22" t="n">
        <v>54539</v>
      </c>
      <c r="F73" s="22" t="n">
        <v>58495</v>
      </c>
      <c r="G73" s="22" t="n">
        <v>59277</v>
      </c>
      <c r="H73" s="22" t="n">
        <v>21974</v>
      </c>
      <c r="I73" s="22" t="n">
        <v>25141</v>
      </c>
      <c r="J73" s="22" t="n">
        <v>19860</v>
      </c>
      <c r="K73" s="22" t="n">
        <v>17868</v>
      </c>
      <c r="L73" s="22" t="n">
        <v>54539</v>
      </c>
    </row>
    <row r="74">
      <c r="A74" s="20" t="inlineStr">
        <is>
          <t>장기금융자산</t>
        </is>
      </c>
      <c r="H74" s="22" t="n">
        <v>2393</v>
      </c>
      <c r="I74" s="22" t="n">
        <v>1837</v>
      </c>
    </row>
    <row r="75">
      <c r="A75" s="20" t="inlineStr">
        <is>
          <t>이연법인세자산</t>
        </is>
      </c>
      <c r="C75" s="22" t="n">
        <v>72019</v>
      </c>
      <c r="D75" s="22" t="n">
        <v>82885</v>
      </c>
      <c r="E75" s="22" t="n">
        <v>88304</v>
      </c>
      <c r="F75" s="22" t="n">
        <v>89422</v>
      </c>
      <c r="G75" s="22" t="n">
        <v>84689</v>
      </c>
      <c r="H75" s="22" t="n">
        <v>56287</v>
      </c>
      <c r="I75" s="22" t="n">
        <v>65244</v>
      </c>
      <c r="J75" s="22" t="n">
        <v>64474</v>
      </c>
      <c r="K75" s="22" t="n">
        <v>69835</v>
      </c>
      <c r="L75" s="22" t="n">
        <v>88304</v>
      </c>
    </row>
    <row r="76">
      <c r="A76" s="20" t="inlineStr">
        <is>
          <t>퇴직후급여자산</t>
        </is>
      </c>
      <c r="C76" s="22" t="n">
        <v>14031</v>
      </c>
      <c r="D76" s="22" t="n">
        <v>14024</v>
      </c>
      <c r="E76" s="22" t="n">
        <v>26249</v>
      </c>
      <c r="F76" s="22" t="n">
        <v>26472</v>
      </c>
      <c r="G76" s="22" t="n">
        <v>26693</v>
      </c>
      <c r="H76" s="22" t="n">
        <v>1327</v>
      </c>
      <c r="I76" s="22" t="n">
        <v>5172</v>
      </c>
      <c r="J76" s="22" t="n">
        <v>7481</v>
      </c>
      <c r="K76" s="22" t="n">
        <v>13978</v>
      </c>
      <c r="L76" s="22" t="n">
        <v>26249</v>
      </c>
    </row>
    <row r="77">
      <c r="A77" s="20" t="inlineStr">
        <is>
          <t>기타비유동자산</t>
        </is>
      </c>
      <c r="C77" s="22" t="n">
        <v>68127</v>
      </c>
      <c r="D77" s="22" t="n">
        <v>71635</v>
      </c>
      <c r="E77" s="22" t="n">
        <v>79263</v>
      </c>
      <c r="F77" s="22" t="n">
        <v>69592</v>
      </c>
      <c r="G77" s="22" t="n">
        <v>71590</v>
      </c>
      <c r="H77" s="22" t="n">
        <v>40944</v>
      </c>
      <c r="I77" s="22" t="n">
        <v>51013</v>
      </c>
      <c r="J77" s="22" t="n">
        <v>53605</v>
      </c>
      <c r="K77" s="22" t="n">
        <v>59094</v>
      </c>
      <c r="L77" s="22" t="n">
        <v>79263</v>
      </c>
    </row>
    <row r="78">
      <c r="A78" s="20" t="inlineStr">
        <is>
          <t>비유동자산 합계</t>
        </is>
      </c>
      <c r="C78" s="22" t="n">
        <v>658814</v>
      </c>
      <c r="D78" s="22" t="n">
        <v>665859</v>
      </c>
      <c r="E78" s="22" t="n">
        <v>727837</v>
      </c>
      <c r="F78" s="22" t="n">
        <v>725660</v>
      </c>
      <c r="G78" s="22" t="n">
        <v>745725</v>
      </c>
      <c r="H78" s="22" t="n">
        <v>475033</v>
      </c>
      <c r="I78" s="22" t="n">
        <v>533221</v>
      </c>
      <c r="J78" s="22" t="n">
        <v>566121</v>
      </c>
      <c r="K78" s="22" t="n">
        <v>602330</v>
      </c>
      <c r="L78" s="22" t="n">
        <v>727837</v>
      </c>
    </row>
    <row r="79">
      <c r="A79" s="20" t="inlineStr">
        <is>
          <t>재고자산</t>
        </is>
      </c>
      <c r="C79" s="22" t="n">
        <v>235526</v>
      </c>
      <c r="D79" s="22" t="n">
        <v>246326</v>
      </c>
      <c r="E79" s="22" t="n">
        <v>276848</v>
      </c>
      <c r="F79" s="22" t="n">
        <v>288289</v>
      </c>
      <c r="G79" s="22" t="n">
        <v>317580</v>
      </c>
      <c r="H79" s="22" t="n">
        <v>208838</v>
      </c>
      <c r="I79" s="22" t="n">
        <v>292206</v>
      </c>
      <c r="J79" s="22" t="n">
        <v>273480</v>
      </c>
      <c r="K79" s="22" t="n">
        <v>240067</v>
      </c>
      <c r="L79" s="22" t="n">
        <v>276848</v>
      </c>
    </row>
    <row r="80">
      <c r="A80" s="20" t="inlineStr">
        <is>
          <t>영업채권 및 기타채권</t>
        </is>
      </c>
      <c r="C80" s="22" t="n">
        <v>316747</v>
      </c>
      <c r="D80" s="22" t="n">
        <v>353649</v>
      </c>
      <c r="E80" s="22" t="n">
        <v>442876</v>
      </c>
      <c r="F80" s="22" t="n">
        <v>352747</v>
      </c>
      <c r="G80" s="22" t="n">
        <v>381845</v>
      </c>
      <c r="H80" s="22" t="n">
        <v>355081</v>
      </c>
      <c r="I80" s="22" t="n">
        <v>512538</v>
      </c>
      <c r="J80" s="22" t="n">
        <v>318892</v>
      </c>
      <c r="K80" s="22" t="n">
        <v>334256</v>
      </c>
      <c r="L80" s="22" t="n">
        <v>442876</v>
      </c>
    </row>
    <row r="81">
      <c r="A81" s="20" t="inlineStr">
        <is>
          <t>미수법인세</t>
        </is>
      </c>
      <c r="C81" s="22" t="n">
        <v>210</v>
      </c>
      <c r="D81" s="22" t="n">
        <v>205</v>
      </c>
      <c r="E81" s="22" t="n">
        <v>236</v>
      </c>
      <c r="F81" s="22" t="n">
        <v>194</v>
      </c>
      <c r="G81" s="22" t="n">
        <v>57</v>
      </c>
      <c r="H81" s="22" t="n">
        <v>928</v>
      </c>
      <c r="I81" s="22" t="n">
        <v>1745</v>
      </c>
      <c r="J81" s="22" t="n">
        <v>1456</v>
      </c>
      <c r="K81" s="22" t="n">
        <v>896</v>
      </c>
      <c r="L81" s="22" t="n">
        <v>236</v>
      </c>
    </row>
    <row r="82">
      <c r="A82" s="20" t="inlineStr">
        <is>
          <t>유가증권</t>
        </is>
      </c>
      <c r="C82" s="22" t="n">
        <v>530521</v>
      </c>
      <c r="D82" s="22" t="n">
        <v>426015</v>
      </c>
      <c r="E82" s="22" t="n">
        <v>553094</v>
      </c>
      <c r="F82" s="22" t="n">
        <v>432111</v>
      </c>
      <c r="G82" s="22" t="n">
        <v>572134</v>
      </c>
      <c r="H82" s="22" t="n">
        <v>204217</v>
      </c>
      <c r="I82" s="22" t="n">
        <v>280938</v>
      </c>
      <c r="J82" s="22" t="n">
        <v>280308</v>
      </c>
      <c r="K82" s="22" t="n">
        <v>456143</v>
      </c>
      <c r="L82" s="22" t="n">
        <v>553094</v>
      </c>
    </row>
    <row r="83">
      <c r="A83" s="20" t="inlineStr">
        <is>
          <t>현금및현금성자산</t>
        </is>
      </c>
      <c r="C83" s="22" t="n">
        <v>497088</v>
      </c>
      <c r="D83" s="22" t="n">
        <v>456432</v>
      </c>
      <c r="E83" s="22" t="n">
        <v>426602</v>
      </c>
      <c r="F83" s="22" t="n">
        <v>417984</v>
      </c>
      <c r="G83" s="22" t="n">
        <v>390439</v>
      </c>
      <c r="H83" s="22" t="n">
        <v>267753</v>
      </c>
      <c r="I83" s="22" t="n">
        <v>222169</v>
      </c>
      <c r="J83" s="22" t="n">
        <v>458674</v>
      </c>
      <c r="K83" s="22" t="n">
        <v>540202</v>
      </c>
      <c r="L83" s="22" t="n">
        <v>426602</v>
      </c>
    </row>
    <row r="84">
      <c r="A84" s="20" t="inlineStr">
        <is>
          <t>기타유동자산</t>
        </is>
      </c>
      <c r="C84" s="22" t="n">
        <v>39441</v>
      </c>
      <c r="D84" s="22" t="n">
        <v>35103</v>
      </c>
      <c r="E84" s="22" t="n">
        <v>41104</v>
      </c>
      <c r="F84" s="22" t="n">
        <v>48117</v>
      </c>
      <c r="G84" s="22" t="n">
        <v>42134</v>
      </c>
      <c r="H84" s="22" t="n">
        <v>26844</v>
      </c>
      <c r="I84" s="22" t="n">
        <v>26941</v>
      </c>
      <c r="J84" s="22" t="n">
        <v>33616</v>
      </c>
      <c r="K84" s="22" t="n">
        <v>34479</v>
      </c>
      <c r="L84" s="22" t="n">
        <v>41104</v>
      </c>
    </row>
    <row r="85">
      <c r="A85" s="9" t="inlineStr">
        <is>
          <t>유동자산 합계</t>
        </is>
      </c>
      <c r="C85" s="12" t="n">
        <v>1619532</v>
      </c>
      <c r="D85" s="12" t="n">
        <v>1517730</v>
      </c>
      <c r="E85" s="12" t="n">
        <v>1740758</v>
      </c>
      <c r="F85" s="12" t="n">
        <v>1539441</v>
      </c>
      <c r="G85" s="12" t="n">
        <v>1704189</v>
      </c>
      <c r="H85" s="12" t="n">
        <v>1063661</v>
      </c>
      <c r="I85" s="12" t="n">
        <v>1336537</v>
      </c>
      <c r="J85" s="12" t="n">
        <v>1366426</v>
      </c>
      <c r="K85" s="12" t="n">
        <v>1606043</v>
      </c>
      <c r="L85" s="12" t="n">
        <v>1740758</v>
      </c>
    </row>
    <row r="86">
      <c r="A86" s="20" t="inlineStr">
        <is>
          <t>자산 합계</t>
        </is>
      </c>
      <c r="C86" s="22" t="n">
        <v>2278347</v>
      </c>
      <c r="D86" s="22" t="n">
        <v>2183588</v>
      </c>
      <c r="E86" s="22" t="n">
        <v>2468595</v>
      </c>
      <c r="F86" s="22" t="n">
        <v>2265101</v>
      </c>
      <c r="G86" s="22" t="n">
        <v>2449914</v>
      </c>
      <c r="H86" s="22" t="n">
        <v>1538694</v>
      </c>
      <c r="I86" s="22" t="n">
        <v>1869758</v>
      </c>
      <c r="J86" s="22" t="n">
        <v>1932547</v>
      </c>
      <c r="K86" s="22" t="n">
        <v>2208373</v>
      </c>
      <c r="L86" s="22" t="n">
        <v>2468595</v>
      </c>
    </row>
    <row r="87">
      <c r="A87" s="20" t="inlineStr">
        <is>
          <t>이연법인세부채</t>
        </is>
      </c>
      <c r="C87" s="22" t="n">
        <v>5217</v>
      </c>
      <c r="D87" s="22" t="n">
        <v>4551</v>
      </c>
      <c r="E87" s="22" t="n">
        <v>4015</v>
      </c>
      <c r="F87" s="22" t="n">
        <v>3434</v>
      </c>
      <c r="G87" s="22" t="n">
        <v>4104</v>
      </c>
      <c r="H87" s="22" t="n">
        <v>7614</v>
      </c>
      <c r="I87" s="22" t="n">
        <v>7086</v>
      </c>
      <c r="J87" s="22" t="n">
        <v>5787</v>
      </c>
      <c r="K87" s="22" t="n">
        <v>5076</v>
      </c>
      <c r="L87" s="22" t="n">
        <v>4015</v>
      </c>
    </row>
    <row r="88">
      <c r="A88" s="20" t="inlineStr">
        <is>
          <t>퇴직후급여부채</t>
        </is>
      </c>
      <c r="C88" s="22" t="n">
        <v>4220</v>
      </c>
      <c r="D88" s="22" t="n">
        <v>4378</v>
      </c>
      <c r="E88" s="22" t="n">
        <v>4245</v>
      </c>
      <c r="F88" s="22" t="n">
        <v>4724</v>
      </c>
      <c r="G88" s="22" t="n">
        <v>4898</v>
      </c>
      <c r="H88" s="22" t="n">
        <v>2945</v>
      </c>
      <c r="I88" s="22" t="n">
        <v>3311</v>
      </c>
      <c r="J88" s="22" t="n">
        <v>3146</v>
      </c>
      <c r="K88" s="22" t="n">
        <v>3935</v>
      </c>
      <c r="L88" s="22" t="n">
        <v>4245</v>
      </c>
    </row>
    <row r="89">
      <c r="A89" s="20" t="inlineStr">
        <is>
          <t>장기충당금</t>
        </is>
      </c>
      <c r="C89" s="22" t="n">
        <v>2303</v>
      </c>
      <c r="D89" s="22" t="n">
        <v>5026</v>
      </c>
      <c r="E89" s="22" t="n">
        <v>4610</v>
      </c>
      <c r="F89" s="22" t="n">
        <v>4020</v>
      </c>
      <c r="G89" s="22" t="n">
        <v>3368</v>
      </c>
      <c r="H89" s="22" t="n">
        <v>2101</v>
      </c>
      <c r="I89" s="22" t="n">
        <v>2756</v>
      </c>
      <c r="J89" s="22" t="n">
        <v>2593</v>
      </c>
      <c r="K89" s="22" t="n">
        <v>2188</v>
      </c>
      <c r="L89" s="22" t="n">
        <v>4610</v>
      </c>
    </row>
    <row r="90">
      <c r="A90" s="20" t="inlineStr">
        <is>
          <t>기타비유동부채</t>
        </is>
      </c>
      <c r="C90" s="22" t="n">
        <v>13203</v>
      </c>
      <c r="D90" s="22" t="n">
        <v>12103</v>
      </c>
      <c r="E90" s="22" t="n">
        <v>18914</v>
      </c>
      <c r="F90" s="22" t="n">
        <v>17506</v>
      </c>
      <c r="G90" s="22" t="n">
        <v>17693</v>
      </c>
      <c r="H90" s="22" t="n">
        <v>10595</v>
      </c>
      <c r="I90" s="22" t="n">
        <v>8489</v>
      </c>
      <c r="J90" s="22" t="n">
        <v>7224</v>
      </c>
      <c r="K90" s="22" t="n">
        <v>5319</v>
      </c>
      <c r="L90" s="22" t="n">
        <v>18914</v>
      </c>
    </row>
    <row r="91">
      <c r="A91" s="20" t="inlineStr">
        <is>
          <t>비유동부채 합계</t>
        </is>
      </c>
      <c r="C91" s="22" t="n">
        <v>24943</v>
      </c>
      <c r="D91" s="22" t="n">
        <v>26058</v>
      </c>
      <c r="E91" s="22" t="n">
        <v>31785</v>
      </c>
      <c r="F91" s="22" t="n">
        <v>29684</v>
      </c>
      <c r="G91" s="22" t="n">
        <v>30063</v>
      </c>
      <c r="H91" s="22" t="n">
        <v>23255</v>
      </c>
      <c r="I91" s="22" t="n">
        <v>21641</v>
      </c>
      <c r="J91" s="22" t="n">
        <v>18750</v>
      </c>
      <c r="K91" s="22" t="n">
        <v>16516</v>
      </c>
      <c r="L91" s="22" t="n">
        <v>31785</v>
      </c>
    </row>
    <row r="92">
      <c r="A92" s="20" t="inlineStr">
        <is>
          <t>미지급법인세</t>
        </is>
      </c>
      <c r="C92" s="22" t="n">
        <v>71797</v>
      </c>
      <c r="D92" s="22" t="n">
        <v>43365</v>
      </c>
      <c r="E92" s="22" t="n">
        <v>91004</v>
      </c>
      <c r="F92" s="22" t="n">
        <v>51675</v>
      </c>
      <c r="G92" s="22" t="n">
        <v>101149</v>
      </c>
      <c r="H92" s="22" t="n">
        <v>86312</v>
      </c>
      <c r="I92" s="22" t="n">
        <v>98543</v>
      </c>
      <c r="J92" s="22" t="n">
        <v>40798</v>
      </c>
      <c r="K92" s="22" t="n">
        <v>108732</v>
      </c>
      <c r="L92" s="22" t="n">
        <v>91004</v>
      </c>
    </row>
    <row r="93">
      <c r="A93" s="20" t="inlineStr">
        <is>
          <t>단기충당금</t>
        </is>
      </c>
      <c r="C93" s="22" t="n">
        <v>1033</v>
      </c>
      <c r="D93" s="22" t="n">
        <v>3695</v>
      </c>
      <c r="E93" s="22" t="n">
        <v>3356</v>
      </c>
      <c r="F93" s="22" t="n">
        <v>3371</v>
      </c>
      <c r="G93" s="22" t="n">
        <v>2659</v>
      </c>
      <c r="H93" s="22" t="n">
        <v>2695</v>
      </c>
      <c r="I93" s="22" t="n">
        <v>1980</v>
      </c>
      <c r="J93" s="22" t="n">
        <v>3442</v>
      </c>
      <c r="K93" s="22" t="n">
        <v>2974</v>
      </c>
      <c r="L93" s="22" t="n">
        <v>3356</v>
      </c>
    </row>
    <row r="94">
      <c r="A94" s="20" t="inlineStr">
        <is>
          <t>영업채무 및 기타채무</t>
        </is>
      </c>
      <c r="C94" s="22" t="n">
        <v>78417</v>
      </c>
      <c r="D94" s="22" t="n">
        <v>78897</v>
      </c>
      <c r="E94" s="22" t="n">
        <v>127247</v>
      </c>
      <c r="F94" s="22" t="n">
        <v>107524</v>
      </c>
      <c r="G94" s="22" t="n">
        <v>160700</v>
      </c>
      <c r="H94" s="22" t="n">
        <v>152266</v>
      </c>
      <c r="I94" s="22" t="n">
        <v>209835</v>
      </c>
      <c r="J94" s="22" t="n">
        <v>112468</v>
      </c>
      <c r="K94" s="22" t="n">
        <v>65353</v>
      </c>
      <c r="L94" s="22" t="n">
        <v>127247</v>
      </c>
    </row>
    <row r="95">
      <c r="A95" s="20" t="inlineStr">
        <is>
          <t>기타유동부채</t>
        </is>
      </c>
      <c r="C95" s="22" t="n">
        <v>117029</v>
      </c>
      <c r="D95" s="22" t="n">
        <v>141466</v>
      </c>
      <c r="E95" s="22" t="n">
        <v>189469</v>
      </c>
      <c r="F95" s="22" t="n">
        <v>165132</v>
      </c>
      <c r="G95" s="22" t="n">
        <v>127681</v>
      </c>
      <c r="H95" s="22" t="n">
        <v>86149</v>
      </c>
      <c r="I95" s="22" t="n">
        <v>113372</v>
      </c>
      <c r="J95" s="22" t="n">
        <v>131510</v>
      </c>
      <c r="K95" s="22" t="n">
        <v>113298</v>
      </c>
      <c r="L95" s="22" t="n">
        <v>189469</v>
      </c>
    </row>
    <row r="96">
      <c r="A96" s="20" t="inlineStr">
        <is>
          <t>유동부채 합계</t>
        </is>
      </c>
      <c r="C96" s="22" t="n">
        <v>268276</v>
      </c>
      <c r="D96" s="22" t="n">
        <v>267423</v>
      </c>
      <c r="E96" s="22" t="n">
        <v>411077</v>
      </c>
      <c r="F96" s="22" t="n">
        <v>327702</v>
      </c>
      <c r="G96" s="22" t="n">
        <v>392189</v>
      </c>
      <c r="H96" s="22" t="n">
        <v>327422</v>
      </c>
      <c r="I96" s="22" t="n">
        <v>423730</v>
      </c>
      <c r="J96" s="22" t="n">
        <v>288217</v>
      </c>
      <c r="K96" s="22" t="n">
        <v>290357</v>
      </c>
      <c r="L96" s="22" t="n">
        <v>411077</v>
      </c>
    </row>
    <row r="97">
      <c r="A97" s="20" t="inlineStr">
        <is>
          <t>부채 합계</t>
        </is>
      </c>
      <c r="C97" s="22" t="n">
        <v>293219</v>
      </c>
      <c r="D97" s="22" t="n">
        <v>293481</v>
      </c>
      <c r="E97" s="22" t="n">
        <v>442862</v>
      </c>
      <c r="F97" s="22" t="n">
        <v>357386</v>
      </c>
      <c r="G97" s="22" t="n">
        <v>422251</v>
      </c>
      <c r="H97" s="22" t="n">
        <v>350677</v>
      </c>
      <c r="I97" s="22" t="n">
        <v>445372</v>
      </c>
      <c r="J97" s="22" t="n">
        <v>306967</v>
      </c>
      <c r="K97" s="22" t="n">
        <v>306873</v>
      </c>
      <c r="L97" s="22" t="n">
        <v>442862</v>
      </c>
    </row>
    <row r="98">
      <c r="A98" s="20" t="inlineStr">
        <is>
          <t>순자산 합계</t>
        </is>
      </c>
      <c r="C98" s="22" t="n">
        <v>1985127</v>
      </c>
      <c r="D98" s="22" t="n">
        <v>1890107</v>
      </c>
      <c r="E98" s="22" t="n">
        <v>2025732</v>
      </c>
      <c r="F98" s="22" t="n">
        <v>1907715</v>
      </c>
      <c r="G98" s="22" t="n">
        <v>2027663</v>
      </c>
      <c r="H98" s="22" t="n">
        <v>1188017</v>
      </c>
      <c r="I98" s="22" t="n">
        <v>1424387</v>
      </c>
      <c r="J98" s="22" t="n">
        <v>1625580</v>
      </c>
      <c r="K98" s="22" t="n">
        <v>1901499</v>
      </c>
      <c r="L98" s="22" t="n">
        <v>2025732</v>
      </c>
    </row>
    <row r="99">
      <c r="A99" s="20" t="inlineStr">
        <is>
          <t>지배기업 소유주 지분</t>
        </is>
      </c>
      <c r="C99" s="22" t="n">
        <v>1985127</v>
      </c>
      <c r="D99" s="22" t="n">
        <v>1890107</v>
      </c>
      <c r="E99" s="22" t="n">
        <v>2025732</v>
      </c>
      <c r="F99" s="22" t="n">
        <v>1907715</v>
      </c>
      <c r="G99" s="22" t="n">
        <v>2027663</v>
      </c>
      <c r="H99" s="22" t="n">
        <v>1188017</v>
      </c>
      <c r="I99" s="22" t="n">
        <v>1424387</v>
      </c>
      <c r="J99" s="22" t="n">
        <v>1625580</v>
      </c>
      <c r="K99" s="22" t="n">
        <v>1901499</v>
      </c>
      <c r="L99" s="22" t="n">
        <v>2025732</v>
      </c>
    </row>
    <row r="100">
      <c r="A100" s="20" t="inlineStr">
        <is>
          <t>자본 합계</t>
        </is>
      </c>
      <c r="C100" s="22" t="n">
        <v>1985127</v>
      </c>
      <c r="D100" s="22" t="n">
        <v>1890107</v>
      </c>
      <c r="E100" s="22" t="n">
        <v>2025732</v>
      </c>
      <c r="F100" s="22" t="n">
        <v>1907715</v>
      </c>
      <c r="G100" s="22" t="n">
        <v>2027663</v>
      </c>
      <c r="H100" s="22" t="n">
        <v>1188017</v>
      </c>
      <c r="I100" s="22" t="n">
        <v>1424387</v>
      </c>
      <c r="J100" s="22" t="n">
        <v>1625580</v>
      </c>
      <c r="K100" s="22" t="n">
        <v>1901499</v>
      </c>
      <c r="L100" s="22" t="n">
        <v>2025732</v>
      </c>
    </row>
    <row r="101">
      <c r="A101" s="20" t="inlineStr">
        <is>
          <t>부채및자본 합계</t>
        </is>
      </c>
      <c r="C101" s="22" t="n">
        <v>2278347</v>
      </c>
      <c r="D101" s="22" t="n">
        <v>2183588</v>
      </c>
      <c r="E101" s="22" t="n">
        <v>2468595</v>
      </c>
      <c r="F101" s="22" t="n">
        <v>2265101</v>
      </c>
      <c r="G101" s="22" t="n">
        <v>2449914</v>
      </c>
      <c r="H101" s="22" t="n">
        <v>1538694</v>
      </c>
      <c r="I101" s="22" t="n">
        <v>1869758</v>
      </c>
      <c r="J101" s="22" t="n">
        <v>1932547</v>
      </c>
      <c r="K101" s="22" t="n">
        <v>2208373</v>
      </c>
      <c r="L101" s="22" t="n">
        <v>2468595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2026-07-24</t>
        </is>
      </c>
      <c r="B4" t="inlineStr">
        <is>
          <t>2026년 12월 결산기 2분기 결산단신</t>
        </is>
      </c>
      <c r="C4" t="inlineStr">
        <is>
          <t>https://www2.jpx.co.jp/disc/45190/140120260723598715.pdf</t>
        </is>
      </c>
    </row>
    <row r="5">
      <c r="A5" t="inlineStr">
        <is>
          <t>2026-04-24</t>
        </is>
      </c>
      <c r="B5" t="inlineStr">
        <is>
          <t>2026년 12월 결산기 １분기 결산단신</t>
        </is>
      </c>
      <c r="C5" t="inlineStr">
        <is>
          <t>https://www2.jpx.co.jp/disc/45190/140120260423509684.pdf</t>
        </is>
      </c>
    </row>
    <row r="6">
      <c r="A6" t="inlineStr">
        <is>
          <t>2026-01-29</t>
        </is>
      </c>
      <c r="B6" t="inlineStr">
        <is>
          <t>2025년 12월 결산기 연간 결산단신</t>
        </is>
      </c>
      <c r="C6" t="inlineStr">
        <is>
          <t>https://www2.jpx.co.jp/disc/45190/140120260129540977.pdf</t>
        </is>
      </c>
    </row>
    <row r="7">
      <c r="A7" t="inlineStr">
        <is>
          <t>2025-10-24</t>
        </is>
      </c>
      <c r="B7" t="inlineStr">
        <is>
          <t>2025년 12월 결산기 ３분기 결산단신</t>
        </is>
      </c>
      <c r="C7" t="inlineStr">
        <is>
          <t>https://www2.jpx.co.jp/disc/45190/140120251023578000.pdf</t>
        </is>
      </c>
    </row>
    <row r="8">
      <c r="A8" t="inlineStr">
        <is>
          <t>2025-07-24</t>
        </is>
      </c>
      <c r="B8" t="inlineStr">
        <is>
          <t>2025년 12월 결산기 ２분기 결산단신</t>
        </is>
      </c>
      <c r="C8" t="inlineStr">
        <is>
          <t>https://www2.jpx.co.jp/disc/45190/140120250723518675.pdf</t>
        </is>
      </c>
    </row>
    <row r="9">
      <c r="A9" t="inlineStr">
        <is>
          <t>2025-04-24</t>
        </is>
      </c>
      <c r="B9" t="inlineStr">
        <is>
          <t>2025년 12월 결산기 １분기 결산단신</t>
        </is>
      </c>
      <c r="C9" t="inlineStr">
        <is>
          <t>https://www2.jpx.co.jp/disc/45190/140120250408510565.pdf</t>
        </is>
      </c>
    </row>
    <row r="10">
      <c r="A10" t="inlineStr">
        <is>
          <t>2025-01-30</t>
        </is>
      </c>
      <c r="B10" t="inlineStr">
        <is>
          <t>2024년 12월 결산기 연간 결산단신</t>
        </is>
      </c>
      <c r="C10" t="inlineStr">
        <is>
          <t>https://www2.jpx.co.jp/disc/45190/140120250129557728.pdf</t>
        </is>
      </c>
    </row>
    <row r="11">
      <c r="A11" t="inlineStr">
        <is>
          <t>2024-10-25</t>
        </is>
      </c>
      <c r="B11" t="inlineStr">
        <is>
          <t>2024년 12월 결산기 ３분기 결산단신</t>
        </is>
      </c>
      <c r="C11" t="inlineStr">
        <is>
          <t>https://www2.jpx.co.jp/disc/45190/140120241024502471.pdf</t>
        </is>
      </c>
    </row>
    <row r="12">
      <c r="A12" t="inlineStr">
        <is>
          <t>2024-07-25</t>
        </is>
      </c>
      <c r="B12" t="inlineStr">
        <is>
          <t>2024년 12월 결산기 ２분기 결산단신</t>
        </is>
      </c>
      <c r="C12" t="inlineStr">
        <is>
          <t>https://www2.jpx.co.jp/disc/45190/140120240724554321.pdf</t>
        </is>
      </c>
    </row>
    <row r="13">
      <c r="A13" t="inlineStr">
        <is>
          <t>2024-04-24</t>
        </is>
      </c>
      <c r="B13" t="inlineStr">
        <is>
          <t>2024년 12월 결산기 １분기 결산단신</t>
        </is>
      </c>
      <c r="C13" t="inlineStr">
        <is>
          <t>https://www2.jpx.co.jp/disc/45190/140120240423574480.pdf</t>
        </is>
      </c>
    </row>
    <row r="14">
      <c r="A14" t="inlineStr">
        <is>
          <t>2024-02-01</t>
        </is>
      </c>
      <c r="B14" t="inlineStr">
        <is>
          <t>2023년 12월 결산기 연간 결산단신</t>
        </is>
      </c>
      <c r="C14" t="inlineStr">
        <is>
          <t>https://www2.jpx.co.jp/disc/45190/140120240201524298.pdf</t>
        </is>
      </c>
    </row>
    <row r="15">
      <c r="A15" t="inlineStr">
        <is>
          <t>2023-10-24</t>
        </is>
      </c>
      <c r="B15" t="inlineStr">
        <is>
          <t>2023년 12월 결산기 ３분기 결산단신</t>
        </is>
      </c>
      <c r="C15" t="inlineStr">
        <is>
          <t>https://www2.jpx.co.jp/disc/45190/140120231024570287.pdf</t>
        </is>
      </c>
    </row>
    <row r="16">
      <c r="A16" t="inlineStr">
        <is>
          <t>2023-07-27</t>
        </is>
      </c>
      <c r="B16" t="inlineStr">
        <is>
          <t>2023년 12월 결산기 ２분기 결산단신</t>
        </is>
      </c>
      <c r="C16" t="inlineStr">
        <is>
          <t>https://www2.jpx.co.jp/disc/45190/140120230726527544.pdf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https://www2.jpx.co.jp/disc/45190/140120230426553966.pdf</t>
        </is>
      </c>
    </row>
    <row r="18">
      <c r="A18" t="inlineStr">
        <is>
          <t>2023-02-02</t>
        </is>
      </c>
      <c r="B18" t="inlineStr">
        <is>
          <t>2022년 12월 결산기 연간 결산단신</t>
        </is>
      </c>
      <c r="C18" t="inlineStr">
        <is>
          <t>https://www2.jpx.co.jp/disc/45190/140120230201598125.pdf</t>
        </is>
      </c>
    </row>
    <row r="19">
      <c r="A19" t="inlineStr">
        <is>
          <t>2022-10-24</t>
        </is>
      </c>
      <c r="B19" t="inlineStr">
        <is>
          <t>2022년 12월 결산기 ３분기 결산단신</t>
        </is>
      </c>
      <c r="C19" t="inlineStr">
        <is>
          <t>https://www2.jpx.co.jp/disc/45190/140120221021547661.pdf</t>
        </is>
      </c>
    </row>
    <row r="20">
      <c r="A20" t="inlineStr">
        <is>
          <t>2022-02-03</t>
        </is>
      </c>
      <c r="B20" t="inlineStr">
        <is>
          <t>2021년 12월 결산기 연간 결산단신</t>
        </is>
      </c>
      <c r="C20" t="inlineStr">
        <is>
          <t>https://www2.jpx.co.jp/disc/45190/140120220202578422.pdf</t>
        </is>
      </c>
    </row>
    <row r="21">
      <c r="A21" t="inlineStr">
        <is>
          <t>2021-02-04</t>
        </is>
      </c>
      <c r="B21" t="inlineStr">
        <is>
          <t>2020년 12월 결산기 연간 결산단신</t>
        </is>
      </c>
      <c r="C21" t="inlineStr">
        <is>
          <t>https://www2.jpx.co.jp/disc/45190/140120210204455432.pdf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https://www2.jpx.co.jp/disc/45190/140120200130453218.pdf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2026-10-26T10:54:33Z</dcterms:created>
  <dcterms:modified xmlns:dcterms="http://purl.org/dc/terms/" xmlns:xsi="http://www.w3.org/2001/XMLSchema-instance" xsi:type="dcterms:W3CDTF">2026-10-26T10:54:33Z</dcterms:modified>
</cp:coreProperties>
</file>