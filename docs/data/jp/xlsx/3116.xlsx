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3116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>
        <v>1407392</v>
      </c>
      <c r="Q4" s="12" t="n">
        <v>1417376</v>
      </c>
      <c r="R4" s="12" t="n"/>
      <c r="S4" s="12" t="n"/>
      <c r="T4" s="12" t="n"/>
      <c r="U4" s="12" t="n"/>
      <c r="V4" s="12" t="n">
        <v>1953625</v>
      </c>
      <c r="W4" s="12" t="n">
        <v>1954218</v>
      </c>
      <c r="X4" s="12" t="n">
        <v>2037063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일본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848314</v>
      </c>
      <c r="W7" s="20" t="n">
        <v>863370</v>
      </c>
      <c r="X7" s="20" t="n">
        <v>891184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495572</v>
      </c>
      <c r="W10" s="20" t="n">
        <v>483972</v>
      </c>
      <c r="X10" s="20" t="n">
        <v>537656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부문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224677</v>
      </c>
      <c r="W13" s="20" t="n">
        <v>222065</v>
      </c>
      <c r="X13" s="20" t="n">
        <v>202377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부문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255684</v>
      </c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아시아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>
        <v>269372</v>
      </c>
      <c r="X19" s="20" t="n">
        <v>285145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부문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>
        <v>129375</v>
      </c>
      <c r="W22" s="20" t="n">
        <v>115438</v>
      </c>
      <c r="X22" s="20" t="n">
        <v>120698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>
        <v>1253952</v>
      </c>
      <c r="Q26" s="20" t="n">
        <v>1269857</v>
      </c>
      <c r="R26" s="20" t="n"/>
      <c r="S26" s="20" t="n"/>
      <c r="T26" s="20" t="n"/>
      <c r="U26" s="20" t="n"/>
      <c r="V26" s="20" t="n">
        <v>1742151</v>
      </c>
      <c r="W26" s="20" t="n">
        <v>1745012</v>
      </c>
      <c r="X26" s="20" t="n">
        <v>1829658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>
        <v>79160</v>
      </c>
      <c r="Q30" s="20" t="n">
        <v>85375</v>
      </c>
      <c r="R30" s="20" t="n"/>
      <c r="S30" s="20" t="n"/>
      <c r="T30" s="20" t="n"/>
      <c r="U30" s="20" t="n"/>
      <c r="V30" s="20" t="n">
        <v>119984</v>
      </c>
      <c r="W30" s="20" t="n">
        <v>136469</v>
      </c>
      <c r="X30" s="20" t="n">
        <v>151529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1" t="n"/>
      <c r="P31" s="12" t="n">
        <v>74429</v>
      </c>
      <c r="Q31" s="12" t="n">
        <v>61257</v>
      </c>
      <c r="R31" s="12" t="n"/>
      <c r="S31" s="12" t="n"/>
      <c r="T31" s="12" t="n"/>
      <c r="U31" s="12" t="n"/>
      <c r="V31" s="12" t="n">
        <v>79273</v>
      </c>
      <c r="W31" s="12" t="n">
        <v>42399</v>
      </c>
      <c r="X31" s="12" t="n">
        <v>53948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>
        <v>3865</v>
      </c>
      <c r="Q38" s="20" t="n">
        <v>4629</v>
      </c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>
        <v>3484</v>
      </c>
      <c r="Q42" s="20" t="n">
        <v>7723</v>
      </c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기타이익</t>
        </is>
      </c>
      <c r="B47" s="10" t="n"/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 t="n"/>
      <c r="P47" s="20" t="n">
        <v>4498</v>
      </c>
      <c r="Q47" s="20" t="n">
        <v>5206</v>
      </c>
      <c r="R47" s="20" t="n"/>
      <c r="S47" s="20" t="n"/>
      <c r="T47" s="20" t="n"/>
      <c r="U47" s="20" t="n"/>
      <c r="V47" s="20" t="n">
        <v>8142</v>
      </c>
      <c r="W47" s="20" t="n">
        <v>7623</v>
      </c>
      <c r="X47" s="20" t="n">
        <v>7538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기타손실</t>
        </is>
      </c>
      <c r="B49" s="10" t="n"/>
      <c r="C49" s="19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19" t="n"/>
      <c r="P49" s="20" t="n">
        <v>4349</v>
      </c>
      <c r="Q49" s="20" t="n">
        <v>6092</v>
      </c>
      <c r="R49" s="20" t="n"/>
      <c r="S49" s="20" t="n"/>
      <c r="T49" s="20" t="n"/>
      <c r="U49" s="20" t="n"/>
      <c r="V49" s="20" t="n">
        <v>20358</v>
      </c>
      <c r="W49" s="20" t="n">
        <v>37960</v>
      </c>
      <c r="X49" s="20" t="n">
        <v>9465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금융수익</t>
        </is>
      </c>
      <c r="B51" s="10" t="n"/>
      <c r="C51" s="19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19" t="n"/>
      <c r="P51" s="20" t="n">
        <v>2950</v>
      </c>
      <c r="Q51" s="20" t="n">
        <v>2562</v>
      </c>
      <c r="R51" s="20" t="n"/>
      <c r="S51" s="20" t="n"/>
      <c r="T51" s="20" t="n"/>
      <c r="U51" s="20" t="n"/>
      <c r="V51" s="20" t="n">
        <v>10403</v>
      </c>
      <c r="W51" s="20" t="n">
        <v>7674</v>
      </c>
      <c r="X51" s="20" t="n">
        <v>8451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금융원가</t>
        </is>
      </c>
      <c r="B53" s="10" t="n"/>
      <c r="C53" s="19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19" t="n"/>
      <c r="P53" s="20" t="n">
        <v>2393</v>
      </c>
      <c r="Q53" s="20" t="n">
        <v>3293</v>
      </c>
      <c r="R53" s="20" t="n"/>
      <c r="S53" s="20" t="n"/>
      <c r="T53" s="20" t="n"/>
      <c r="U53" s="20" t="n"/>
      <c r="V53" s="20" t="n">
        <v>3162</v>
      </c>
      <c r="W53" s="20" t="n">
        <v>5153</v>
      </c>
      <c r="X53" s="20" t="n">
        <v>2504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1" t="n"/>
      <c r="P55" s="12" t="n">
        <v>75849</v>
      </c>
      <c r="Q55" s="12" t="n">
        <v>61489</v>
      </c>
      <c r="R55" s="12" t="n"/>
      <c r="S55" s="12" t="n"/>
      <c r="T55" s="12" t="n"/>
      <c r="U55" s="12" t="n"/>
      <c r="V55" s="12" t="n">
        <v>88008</v>
      </c>
      <c r="W55" s="12" t="n">
        <v>47096</v>
      </c>
      <c r="X55" s="12" t="n">
        <v>61918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19" t="n"/>
      <c r="P56" s="20" t="n">
        <v>23216</v>
      </c>
      <c r="Q56" s="20" t="n">
        <v>27352</v>
      </c>
      <c r="R56" s="20" t="n"/>
      <c r="S56" s="20" t="n"/>
      <c r="T56" s="20" t="n"/>
      <c r="U56" s="20" t="n"/>
      <c r="V56" s="20" t="n">
        <v>19877</v>
      </c>
      <c r="W56" s="20" t="n">
        <v>21292</v>
      </c>
      <c r="X56" s="20" t="n">
        <v>30454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1" t="n"/>
      <c r="P58" s="12" t="n">
        <v>52633</v>
      </c>
      <c r="Q58" s="12" t="n">
        <v>34136</v>
      </c>
      <c r="R58" s="12" t="n"/>
      <c r="S58" s="12" t="n"/>
      <c r="T58" s="12" t="n"/>
      <c r="U58" s="12" t="n"/>
      <c r="V58" s="12" t="n">
        <v>68130</v>
      </c>
      <c r="W58" s="12" t="n">
        <v>25803</v>
      </c>
      <c r="X58" s="12" t="n">
        <v>31464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1" t="n"/>
      <c r="P59" s="12" t="n">
        <v>44818</v>
      </c>
      <c r="Q59" s="12" t="n">
        <v>27457</v>
      </c>
      <c r="R59" s="12" t="n"/>
      <c r="S59" s="12" t="n"/>
      <c r="T59" s="12" t="n"/>
      <c r="U59" s="12" t="n"/>
      <c r="V59" s="12" t="n">
        <v>58521</v>
      </c>
      <c r="W59" s="12" t="n">
        <v>16719</v>
      </c>
      <c r="X59" s="12" t="n">
        <v>23271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()</t>
        </is>
      </c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/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</t>
        </is>
      </c>
      <c r="C89" s="39" t="n"/>
      <c r="O89" s="39" t="n"/>
      <c r="Y89" s="39" t="n"/>
    </row>
    <row r="91">
      <c r="A91" s="16" t="inlineStr">
        <is>
          <t>현금흐름표 · 전 항목</t>
        </is>
      </c>
      <c r="B91" s="42" t="inlineStr">
        <is>
          <t>분기 = 결산기 첫날부터 누계(공시 그대로)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2024.1Q</t>
        </is>
      </c>
      <c r="D92" s="5" t="inlineStr">
        <is>
          <t>2024.2Q</t>
        </is>
      </c>
      <c r="E92" s="5" t="inlineStr">
        <is>
          <t>2024.3Q</t>
        </is>
      </c>
      <c r="F92" s="5" t="inlineStr">
        <is>
          <t>2024.4Q</t>
        </is>
      </c>
      <c r="G92" s="5" t="inlineStr">
        <is>
          <t>2025.1Q</t>
        </is>
      </c>
      <c r="H92" s="5" t="inlineStr">
        <is>
          <t>2025.2Q</t>
        </is>
      </c>
      <c r="I92" s="5" t="inlineStr">
        <is>
          <t>2025.3Q</t>
        </is>
      </c>
      <c r="J92" s="5" t="inlineStr">
        <is>
          <t>2025.4Q</t>
        </is>
      </c>
      <c r="K92" s="5" t="inlineStr">
        <is>
          <t>2026.1Q</t>
        </is>
      </c>
      <c r="L92" s="5" t="inlineStr">
        <is>
          <t>2026.2Q</t>
        </is>
      </c>
      <c r="M92" s="5" t="inlineStr">
        <is>
          <t>2026.3Q</t>
        </is>
      </c>
      <c r="N92" s="5" t="inlineStr">
        <is>
          <t>2026.4Q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법인세차감전 이익</t>
        </is>
      </c>
      <c r="F93" s="12" t="n">
        <v>88008</v>
      </c>
      <c r="J93" s="12" t="n">
        <v>47096</v>
      </c>
      <c r="N93" s="12" t="n">
        <v>61918</v>
      </c>
      <c r="P93" s="12" t="n">
        <v>75849</v>
      </c>
      <c r="Q93" s="12" t="n">
        <v>61489</v>
      </c>
      <c r="R93" s="12" t="n">
        <v>48074</v>
      </c>
      <c r="S93" s="12" t="n">
        <v>57345</v>
      </c>
      <c r="T93" s="12" t="n">
        <v>64529</v>
      </c>
      <c r="U93" s="12" t="n">
        <v>52291</v>
      </c>
      <c r="V93" s="12" t="n">
        <v>88008</v>
      </c>
      <c r="W93" s="12" t="n">
        <v>47096</v>
      </c>
      <c r="X93" s="12" t="n">
        <v>61918</v>
      </c>
    </row>
    <row r="94">
      <c r="A94" s="18" t="inlineStr">
        <is>
          <t>감가상각비 및 상각비</t>
        </is>
      </c>
      <c r="F94" s="20" t="n">
        <v>52294</v>
      </c>
      <c r="J94" s="20" t="n">
        <v>56011</v>
      </c>
      <c r="N94" s="20" t="n">
        <v>52967</v>
      </c>
      <c r="P94" s="20" t="n">
        <v>32347</v>
      </c>
      <c r="Q94" s="20" t="n">
        <v>35153</v>
      </c>
      <c r="R94" s="20" t="n">
        <v>40223</v>
      </c>
      <c r="S94" s="20" t="n">
        <v>39947</v>
      </c>
      <c r="T94" s="20" t="n">
        <v>42566</v>
      </c>
      <c r="U94" s="20" t="n">
        <v>47040</v>
      </c>
      <c r="V94" s="20" t="n">
        <v>52294</v>
      </c>
      <c r="W94" s="20" t="n">
        <v>56011</v>
      </c>
      <c r="X94" s="20" t="n">
        <v>52967</v>
      </c>
    </row>
    <row r="95">
      <c r="A95" s="18" t="inlineStr">
        <is>
          <t>Loss Recognized On The Measurement To Fair Value Less Costs To Sell The Disposal Group Held For Sale</t>
        </is>
      </c>
      <c r="F95" s="20" t="n">
        <v>6063</v>
      </c>
      <c r="U95" s="20" t="n">
        <v>0</v>
      </c>
      <c r="V95" s="20" t="n">
        <v>6063</v>
      </c>
    </row>
    <row r="96">
      <c r="A96" s="18" t="inlineStr">
        <is>
          <t>Impairment Losses Reversal Of Impairment Losses Ope CF</t>
        </is>
      </c>
      <c r="F96" s="20" t="n">
        <v>533</v>
      </c>
      <c r="J96" s="20" t="n">
        <v>32331</v>
      </c>
      <c r="V96" s="20" t="n">
        <v>533</v>
      </c>
      <c r="W96" s="20" t="n">
        <v>32331</v>
      </c>
    </row>
    <row r="97">
      <c r="A97" s="18" t="inlineStr">
        <is>
          <t>Loss Recognized On The Measurement To Fair Value Less Costs To Sell The Disposal Group Held For Sale Ope CF</t>
        </is>
      </c>
      <c r="F97" s="20" t="n">
        <v>6063</v>
      </c>
      <c r="J97" s="20" t="n">
        <v>0</v>
      </c>
      <c r="V97" s="20" t="n">
        <v>6063</v>
      </c>
      <c r="W97" s="20" t="n">
        <v>0</v>
      </c>
    </row>
    <row r="98">
      <c r="A98" s="18" t="inlineStr">
        <is>
          <t>손상차손</t>
        </is>
      </c>
      <c r="J98" s="20" t="n">
        <v>32331</v>
      </c>
      <c r="N98" s="20" t="n">
        <v>3671</v>
      </c>
      <c r="W98" s="20" t="n">
        <v>32331</v>
      </c>
      <c r="X98" s="20" t="n">
        <v>3671</v>
      </c>
    </row>
    <row r="99">
      <c r="A99" s="18" t="inlineStr">
        <is>
          <t>Sub Lease Cost Of Sales Ope CF</t>
        </is>
      </c>
      <c r="F99" s="20" t="n">
        <v>47911</v>
      </c>
      <c r="J99" s="20" t="n">
        <v>12058</v>
      </c>
      <c r="N99" s="20" t="n">
        <v>27020</v>
      </c>
      <c r="T99" s="20" t="n">
        <v>41120</v>
      </c>
      <c r="U99" s="20" t="n">
        <v>20420</v>
      </c>
      <c r="V99" s="20" t="n">
        <v>47911</v>
      </c>
      <c r="W99" s="20" t="n">
        <v>12058</v>
      </c>
      <c r="X99" s="20" t="n">
        <v>27020</v>
      </c>
    </row>
    <row r="100">
      <c r="A100" s="18" t="inlineStr">
        <is>
          <t>이자·배당금 수익</t>
        </is>
      </c>
      <c r="F100" s="20" t="n">
        <v>-8463</v>
      </c>
      <c r="J100" s="20" t="n">
        <v>-7643</v>
      </c>
      <c r="N100" s="20" t="n">
        <v>-8125</v>
      </c>
      <c r="P100" s="20" t="n">
        <v>-1859</v>
      </c>
      <c r="Q100" s="20" t="n">
        <v>-1647</v>
      </c>
      <c r="R100" s="20" t="n">
        <v>-1920</v>
      </c>
      <c r="S100" s="20" t="n">
        <v>-1465</v>
      </c>
      <c r="T100" s="20" t="n">
        <v>-2606</v>
      </c>
      <c r="U100" s="20" t="n">
        <v>-4927</v>
      </c>
      <c r="V100" s="20" t="n">
        <v>-8463</v>
      </c>
      <c r="W100" s="20" t="n">
        <v>-7643</v>
      </c>
      <c r="X100" s="20" t="n">
        <v>-8125</v>
      </c>
    </row>
    <row r="101">
      <c r="A101" s="18" t="inlineStr">
        <is>
          <t>이자비용</t>
        </is>
      </c>
      <c r="F101" s="20" t="n">
        <v>2811</v>
      </c>
      <c r="J101" s="20" t="n">
        <v>1568</v>
      </c>
      <c r="U101" s="20" t="n">
        <v>1807</v>
      </c>
      <c r="V101" s="20" t="n">
        <v>2811</v>
      </c>
      <c r="W101" s="20" t="n">
        <v>1568</v>
      </c>
    </row>
    <row r="102">
      <c r="A102" s="18" t="inlineStr">
        <is>
          <t>유형자산 매각손익</t>
        </is>
      </c>
      <c r="F102" s="20" t="n">
        <v>36</v>
      </c>
      <c r="T102" s="20" t="n">
        <v>-274</v>
      </c>
      <c r="U102" s="20" t="n">
        <v>-3076</v>
      </c>
      <c r="V102" s="20" t="n">
        <v>36</v>
      </c>
    </row>
    <row r="103">
      <c r="A103" s="18" t="inlineStr">
        <is>
          <t>Decrease Increase In Trade Receivables Ope CF</t>
        </is>
      </c>
      <c r="F103" s="20" t="n">
        <v>1833</v>
      </c>
      <c r="J103" s="20" t="n">
        <v>8504</v>
      </c>
      <c r="N103" s="20" t="n">
        <v>9185</v>
      </c>
      <c r="P103" s="20" t="n">
        <v>-24752</v>
      </c>
      <c r="Q103" s="20" t="n">
        <v>-5795</v>
      </c>
      <c r="R103" s="20" t="n">
        <v>37983</v>
      </c>
      <c r="S103" s="20" t="n">
        <v>-17965</v>
      </c>
      <c r="T103" s="20" t="n">
        <v>-24490</v>
      </c>
      <c r="U103" s="20" t="n">
        <v>-16117</v>
      </c>
      <c r="V103" s="20" t="n">
        <v>1833</v>
      </c>
      <c r="W103" s="20" t="n">
        <v>8504</v>
      </c>
      <c r="X103" s="20" t="n">
        <v>9185</v>
      </c>
    </row>
    <row r="104">
      <c r="A104" s="18" t="inlineStr">
        <is>
          <t>Decrease Increase In Inventories Ope CF</t>
        </is>
      </c>
      <c r="F104" s="20" t="n">
        <v>11913</v>
      </c>
      <c r="J104" s="20" t="n">
        <v>-5169</v>
      </c>
      <c r="N104" s="20" t="n">
        <v>-2089</v>
      </c>
      <c r="P104" s="20" t="n">
        <v>-3741</v>
      </c>
      <c r="Q104" s="20" t="n">
        <v>-17566</v>
      </c>
      <c r="R104" s="20" t="n">
        <v>-4387</v>
      </c>
      <c r="S104" s="20" t="n">
        <v>8004</v>
      </c>
      <c r="T104" s="20" t="n">
        <v>-11525</v>
      </c>
      <c r="U104" s="20" t="n">
        <v>-5250</v>
      </c>
      <c r="V104" s="20" t="n">
        <v>11913</v>
      </c>
      <c r="W104" s="20" t="n">
        <v>-5169</v>
      </c>
      <c r="X104" s="20" t="n">
        <v>-2089</v>
      </c>
    </row>
    <row r="105">
      <c r="A105" s="18" t="inlineStr">
        <is>
          <t>Increase Decrease In Trade Payables Ope CF</t>
        </is>
      </c>
      <c r="F105" s="20" t="n">
        <v>-10723</v>
      </c>
      <c r="J105" s="20" t="n">
        <v>4474</v>
      </c>
      <c r="N105" s="20" t="n">
        <v>-9283</v>
      </c>
      <c r="P105" s="20" t="n">
        <v>16984</v>
      </c>
      <c r="Q105" s="20" t="n">
        <v>9557</v>
      </c>
      <c r="R105" s="20" t="n">
        <v>-29601</v>
      </c>
      <c r="S105" s="20" t="n">
        <v>10118</v>
      </c>
      <c r="T105" s="20" t="n">
        <v>11150</v>
      </c>
      <c r="U105" s="20" t="n">
        <v>13772</v>
      </c>
      <c r="V105" s="20" t="n">
        <v>-10723</v>
      </c>
      <c r="W105" s="20" t="n">
        <v>4474</v>
      </c>
      <c r="X105" s="20" t="n">
        <v>-9283</v>
      </c>
    </row>
    <row r="106">
      <c r="A106" s="18" t="inlineStr">
        <is>
          <t>퇴직급여부채 증감</t>
        </is>
      </c>
      <c r="Q106" s="20" t="n">
        <v>1089</v>
      </c>
      <c r="R106" s="20" t="n">
        <v>1659</v>
      </c>
      <c r="S106" s="20" t="n">
        <v>-1216</v>
      </c>
      <c r="T106" s="20" t="n">
        <v>2525</v>
      </c>
      <c r="U106" s="20" t="n">
        <v>1097</v>
      </c>
    </row>
    <row r="107">
      <c r="A107" s="18" t="inlineStr">
        <is>
          <t>기타 유동자산 증감</t>
        </is>
      </c>
      <c r="F107" s="20" t="n">
        <v>-2561</v>
      </c>
      <c r="U107" s="20" t="n">
        <v>87</v>
      </c>
      <c r="V107" s="20" t="n">
        <v>-2561</v>
      </c>
    </row>
    <row r="108">
      <c r="A108" s="18" t="inlineStr">
        <is>
          <t>충당금 증감</t>
        </is>
      </c>
      <c r="F108" s="20" t="n">
        <v>676</v>
      </c>
      <c r="J108" s="20" t="n">
        <v>2556</v>
      </c>
      <c r="N108" s="20" t="n">
        <v>22919</v>
      </c>
      <c r="V108" s="20" t="n">
        <v>676</v>
      </c>
      <c r="W108" s="20" t="n">
        <v>2556</v>
      </c>
      <c r="X108" s="20" t="n">
        <v>22919</v>
      </c>
    </row>
    <row r="109">
      <c r="A109" s="18" t="inlineStr">
        <is>
          <t>기타 유동자산 증감</t>
        </is>
      </c>
      <c r="F109" s="20" t="n">
        <v>-2561</v>
      </c>
      <c r="J109" s="20" t="n">
        <v>1606</v>
      </c>
      <c r="V109" s="20" t="n">
        <v>-2561</v>
      </c>
      <c r="W109" s="20" t="n">
        <v>1606</v>
      </c>
    </row>
    <row r="110">
      <c r="A110" s="18" t="inlineStr">
        <is>
          <t>기타 유동부채 증감</t>
        </is>
      </c>
      <c r="F110" s="20" t="n">
        <v>10746</v>
      </c>
      <c r="J110" s="20" t="n">
        <v>-2921</v>
      </c>
      <c r="N110" s="20" t="n">
        <v>7136</v>
      </c>
      <c r="S110" s="20" t="n">
        <v>-2085</v>
      </c>
      <c r="T110" s="20" t="n">
        <v>12987</v>
      </c>
      <c r="U110" s="20" t="n">
        <v>-319</v>
      </c>
      <c r="V110" s="20" t="n">
        <v>10746</v>
      </c>
      <c r="W110" s="20" t="n">
        <v>-2921</v>
      </c>
      <c r="X110" s="20" t="n">
        <v>7136</v>
      </c>
    </row>
    <row r="111">
      <c r="A111" s="18" t="inlineStr">
        <is>
          <t>기타</t>
        </is>
      </c>
      <c r="F111" s="20" t="n">
        <v>-2354</v>
      </c>
      <c r="J111" s="20" t="n">
        <v>-1372</v>
      </c>
      <c r="N111" s="20" t="n">
        <v>-708</v>
      </c>
      <c r="P111" s="20" t="n">
        <v>4499</v>
      </c>
      <c r="Q111" s="20" t="n">
        <v>3811</v>
      </c>
      <c r="R111" s="20" t="n">
        <v>3646</v>
      </c>
      <c r="S111" s="20" t="n">
        <v>-4280</v>
      </c>
      <c r="T111" s="20" t="n">
        <v>6856</v>
      </c>
      <c r="U111" s="20" t="n">
        <v>4835</v>
      </c>
      <c r="V111" s="20" t="n">
        <v>-2354</v>
      </c>
      <c r="W111" s="20" t="n">
        <v>-1372</v>
      </c>
      <c r="X111" s="20" t="n">
        <v>-708</v>
      </c>
    </row>
    <row r="112">
      <c r="A112" s="18" t="inlineStr">
        <is>
          <t>(소계)</t>
        </is>
      </c>
      <c r="F112" s="20" t="n">
        <v>198692</v>
      </c>
      <c r="J112" s="20" t="n">
        <v>145927</v>
      </c>
      <c r="N112" s="20" t="n">
        <v>164613</v>
      </c>
      <c r="P112" s="20" t="n">
        <v>99326</v>
      </c>
      <c r="Q112" s="20" t="n">
        <v>86092</v>
      </c>
      <c r="R112" s="20" t="n">
        <v>95678</v>
      </c>
      <c r="S112" s="20" t="n">
        <v>88401</v>
      </c>
      <c r="T112" s="20" t="n">
        <v>142840</v>
      </c>
      <c r="U112" s="20" t="n">
        <v>110563</v>
      </c>
      <c r="V112" s="20" t="n">
        <v>198692</v>
      </c>
      <c r="W112" s="20" t="n">
        <v>145927</v>
      </c>
      <c r="X112" s="20" t="n">
        <v>164613</v>
      </c>
    </row>
    <row r="113">
      <c r="A113" s="18" t="inlineStr">
        <is>
          <t>이자 수취</t>
        </is>
      </c>
      <c r="F113" s="20" t="n">
        <v>8265</v>
      </c>
      <c r="J113" s="20" t="n">
        <v>7448</v>
      </c>
      <c r="N113" s="20" t="n">
        <v>7980</v>
      </c>
      <c r="P113" s="20" t="n">
        <v>1711</v>
      </c>
      <c r="Q113" s="20" t="n">
        <v>1463</v>
      </c>
      <c r="R113" s="20" t="n">
        <v>1725</v>
      </c>
      <c r="S113" s="20" t="n">
        <v>1303</v>
      </c>
      <c r="T113" s="20" t="n">
        <v>2389</v>
      </c>
      <c r="U113" s="20" t="n">
        <v>4669</v>
      </c>
      <c r="V113" s="20" t="n">
        <v>8265</v>
      </c>
      <c r="W113" s="20" t="n">
        <v>7448</v>
      </c>
      <c r="X113" s="20" t="n">
        <v>7980</v>
      </c>
    </row>
    <row r="114">
      <c r="A114" s="18" t="inlineStr">
        <is>
          <t>배당금 수취액</t>
        </is>
      </c>
      <c r="F114" s="20" t="n">
        <v>890</v>
      </c>
      <c r="J114" s="20" t="n">
        <v>637</v>
      </c>
      <c r="N114" s="20" t="n">
        <v>828</v>
      </c>
      <c r="P114" s="20" t="n">
        <v>390</v>
      </c>
      <c r="Q114" s="20" t="n">
        <v>694</v>
      </c>
      <c r="R114" s="20" t="n">
        <v>1046</v>
      </c>
      <c r="S114" s="20" t="n">
        <v>1460</v>
      </c>
      <c r="T114" s="20" t="n">
        <v>896</v>
      </c>
      <c r="U114" s="20" t="n">
        <v>1170</v>
      </c>
      <c r="V114" s="20" t="n">
        <v>890</v>
      </c>
      <c r="W114" s="20" t="n">
        <v>637</v>
      </c>
      <c r="X114" s="20" t="n">
        <v>828</v>
      </c>
    </row>
    <row r="115">
      <c r="A115" s="18" t="inlineStr">
        <is>
          <t>이자 지급</t>
        </is>
      </c>
      <c r="F115" s="20" t="n">
        <v>-2891</v>
      </c>
      <c r="J115" s="20" t="n">
        <v>-1807</v>
      </c>
      <c r="N115" s="20" t="n">
        <v>-2202</v>
      </c>
      <c r="P115" s="20" t="n">
        <v>-1290</v>
      </c>
      <c r="Q115" s="20" t="n">
        <v>-1502</v>
      </c>
      <c r="R115" s="20" t="n">
        <v>-1435</v>
      </c>
      <c r="S115" s="20" t="n">
        <v>-1232</v>
      </c>
      <c r="T115" s="20" t="n">
        <v>-891</v>
      </c>
      <c r="U115" s="20" t="n">
        <v>-1975</v>
      </c>
      <c r="V115" s="20" t="n">
        <v>-2891</v>
      </c>
      <c r="W115" s="20" t="n">
        <v>-1807</v>
      </c>
      <c r="X115" s="20" t="n">
        <v>-2202</v>
      </c>
    </row>
    <row r="116">
      <c r="A116" s="18" t="inlineStr">
        <is>
          <t>법인소득세 지급액</t>
        </is>
      </c>
      <c r="F116" s="20" t="n">
        <v>-30058</v>
      </c>
      <c r="J116" s="20" t="n">
        <v>-30371</v>
      </c>
      <c r="N116" s="20" t="n">
        <v>-28253</v>
      </c>
      <c r="P116" s="20" t="n">
        <v>-16578</v>
      </c>
      <c r="Q116" s="20" t="n">
        <v>-26028</v>
      </c>
      <c r="R116" s="20" t="n">
        <v>-17342</v>
      </c>
      <c r="S116" s="20" t="n">
        <v>-15449</v>
      </c>
      <c r="T116" s="20" t="n">
        <v>-22301</v>
      </c>
      <c r="U116" s="20" t="n">
        <v>-24998</v>
      </c>
      <c r="V116" s="20" t="n">
        <v>-30058</v>
      </c>
      <c r="W116" s="20" t="n">
        <v>-30371</v>
      </c>
      <c r="X116" s="20" t="n">
        <v>-28253</v>
      </c>
    </row>
    <row r="117">
      <c r="A117" s="9" t="inlineStr">
        <is>
          <t>영업활동 현금흐름</t>
        </is>
      </c>
      <c r="F117" s="12" t="n">
        <v>174898</v>
      </c>
      <c r="J117" s="12" t="n">
        <v>121834</v>
      </c>
      <c r="N117" s="12" t="n">
        <v>142965</v>
      </c>
      <c r="P117" s="12" t="n">
        <v>83559</v>
      </c>
      <c r="Q117" s="12" t="n">
        <v>60720</v>
      </c>
      <c r="R117" s="12" t="n">
        <v>79673</v>
      </c>
      <c r="S117" s="12" t="n">
        <v>74483</v>
      </c>
      <c r="T117" s="12" t="n">
        <v>122933</v>
      </c>
      <c r="U117" s="12" t="n">
        <v>89428</v>
      </c>
      <c r="V117" s="12" t="n">
        <v>174898</v>
      </c>
      <c r="W117" s="12" t="n">
        <v>121834</v>
      </c>
      <c r="X117" s="12" t="n">
        <v>142965</v>
      </c>
    </row>
    <row r="118">
      <c r="A118" s="18" t="inlineStr">
        <is>
          <t>유형자산 취득(설비투자)</t>
        </is>
      </c>
      <c r="F118" s="20" t="n">
        <v>-64663</v>
      </c>
      <c r="J118" s="20" t="n">
        <v>-72670</v>
      </c>
      <c r="N118" s="20" t="n">
        <v>-64989</v>
      </c>
      <c r="P118" s="20" t="n">
        <v>-41621</v>
      </c>
      <c r="Q118" s="20" t="n">
        <v>-55735</v>
      </c>
      <c r="R118" s="20" t="n">
        <v>-49848</v>
      </c>
      <c r="S118" s="20" t="n">
        <v>-48922</v>
      </c>
      <c r="T118" s="20" t="n">
        <v>-34202</v>
      </c>
      <c r="U118" s="20" t="n">
        <v>-45680</v>
      </c>
      <c r="V118" s="20" t="n">
        <v>-64663</v>
      </c>
      <c r="W118" s="20" t="n">
        <v>-72670</v>
      </c>
      <c r="X118" s="20" t="n">
        <v>-64989</v>
      </c>
    </row>
    <row r="119">
      <c r="A119" s="18" t="inlineStr">
        <is>
          <t>유형자산 매각</t>
        </is>
      </c>
      <c r="F119" s="20" t="n">
        <v>1257</v>
      </c>
      <c r="J119" s="20" t="n">
        <v>6170</v>
      </c>
      <c r="N119" s="20" t="n">
        <v>1404</v>
      </c>
      <c r="P119" s="20" t="n">
        <v>2111</v>
      </c>
      <c r="Q119" s="20" t="n">
        <v>2243</v>
      </c>
      <c r="R119" s="20" t="n">
        <v>1799</v>
      </c>
      <c r="S119" s="20" t="n">
        <v>1818</v>
      </c>
      <c r="T119" s="20" t="n">
        <v>2562</v>
      </c>
      <c r="U119" s="20" t="n">
        <v>7451</v>
      </c>
      <c r="V119" s="20" t="n">
        <v>1257</v>
      </c>
      <c r="W119" s="20" t="n">
        <v>6170</v>
      </c>
      <c r="X119" s="20" t="n">
        <v>1404</v>
      </c>
    </row>
    <row r="120">
      <c r="A120" s="18" t="inlineStr">
        <is>
          <t>투자유가증권 매각</t>
        </is>
      </c>
      <c r="F120" s="20" t="n">
        <v>3824</v>
      </c>
      <c r="J120" s="20" t="n">
        <v>112</v>
      </c>
      <c r="U120" s="20" t="n">
        <v>1079</v>
      </c>
      <c r="V120" s="20" t="n">
        <v>3824</v>
      </c>
      <c r="W120" s="20" t="n">
        <v>112</v>
      </c>
    </row>
    <row r="121">
      <c r="A121" s="18" t="inlineStr">
        <is>
          <t>무형자산 취득 지출</t>
        </is>
      </c>
      <c r="F121" s="20" t="n">
        <v>-6320</v>
      </c>
      <c r="J121" s="20" t="n">
        <v>-4967</v>
      </c>
      <c r="N121" s="20" t="n">
        <v>-4124</v>
      </c>
      <c r="P121" s="20" t="n">
        <v>-4502</v>
      </c>
      <c r="Q121" s="20" t="n">
        <v>-4436</v>
      </c>
      <c r="R121" s="20" t="n">
        <v>-3235</v>
      </c>
      <c r="S121" s="20" t="n">
        <v>-5494</v>
      </c>
      <c r="T121" s="20" t="n">
        <v>-3581</v>
      </c>
      <c r="U121" s="20" t="n">
        <v>-4785</v>
      </c>
      <c r="V121" s="20" t="n">
        <v>-6320</v>
      </c>
      <c r="W121" s="20" t="n">
        <v>-4967</v>
      </c>
      <c r="X121" s="20" t="n">
        <v>-4124</v>
      </c>
    </row>
    <row r="122">
      <c r="A122" s="18" t="inlineStr">
        <is>
          <t>자본성 금융상품 취득</t>
        </is>
      </c>
      <c r="P122" s="20" t="n">
        <v>-5603</v>
      </c>
      <c r="Q122" s="20" t="n">
        <v>-417</v>
      </c>
      <c r="R122" s="20" t="n">
        <v>-3864</v>
      </c>
      <c r="S122" s="20" t="n">
        <v>-292</v>
      </c>
    </row>
    <row r="123">
      <c r="A123" s="18" t="inlineStr">
        <is>
          <t>정기예금 예입</t>
        </is>
      </c>
      <c r="F123" s="20" t="n">
        <v>-26187</v>
      </c>
      <c r="J123" s="20" t="n">
        <v>-21548</v>
      </c>
      <c r="N123" s="20" t="n">
        <v>-39637</v>
      </c>
      <c r="P123" s="20" t="n">
        <v>-3003</v>
      </c>
      <c r="Q123" s="20" t="n">
        <v>-4466</v>
      </c>
      <c r="R123" s="20" t="n">
        <v>-8118</v>
      </c>
      <c r="S123" s="20" t="n">
        <v>-8382</v>
      </c>
      <c r="T123" s="20" t="n">
        <v>-14194</v>
      </c>
      <c r="U123" s="20" t="n">
        <v>-9341</v>
      </c>
      <c r="V123" s="20" t="n">
        <v>-26187</v>
      </c>
      <c r="W123" s="20" t="n">
        <v>-21548</v>
      </c>
      <c r="X123" s="20" t="n">
        <v>-39637</v>
      </c>
    </row>
    <row r="124">
      <c r="A124" s="18" t="inlineStr">
        <is>
          <t>정기예금 인출</t>
        </is>
      </c>
      <c r="F124" s="20" t="n">
        <v>12737</v>
      </c>
      <c r="J124" s="20" t="n">
        <v>32675</v>
      </c>
      <c r="N124" s="20" t="n">
        <v>31052</v>
      </c>
      <c r="P124" s="20" t="n">
        <v>4433</v>
      </c>
      <c r="Q124" s="20" t="n">
        <v>3311</v>
      </c>
      <c r="R124" s="20" t="n">
        <v>10041</v>
      </c>
      <c r="S124" s="20" t="n">
        <v>11033</v>
      </c>
      <c r="T124" s="20" t="n">
        <v>9436</v>
      </c>
      <c r="U124" s="20" t="n">
        <v>15372</v>
      </c>
      <c r="V124" s="20" t="n">
        <v>12737</v>
      </c>
      <c r="W124" s="20" t="n">
        <v>32675</v>
      </c>
      <c r="X124" s="20" t="n">
        <v>31052</v>
      </c>
    </row>
    <row r="125">
      <c r="A125" s="18" t="inlineStr">
        <is>
          <t>연결범위 변경 자회사 주식 취득</t>
        </is>
      </c>
      <c r="F125" s="20" t="n">
        <v>-6748</v>
      </c>
      <c r="U125" s="20" t="n">
        <v>0</v>
      </c>
      <c r="V125" s="20" t="n">
        <v>-6748</v>
      </c>
    </row>
    <row r="126">
      <c r="A126" s="18" t="inlineStr">
        <is>
          <t>연결범위 변경 자회사 주식 취득</t>
        </is>
      </c>
      <c r="F126" s="20" t="n">
        <v>-6748</v>
      </c>
      <c r="J126" s="20" t="n">
        <v>0</v>
      </c>
      <c r="V126" s="20" t="n">
        <v>-6748</v>
      </c>
      <c r="W126" s="20" t="n">
        <v>0</v>
      </c>
    </row>
    <row r="127">
      <c r="A127" s="18" t="inlineStr">
        <is>
          <t>기타</t>
        </is>
      </c>
      <c r="F127" s="20" t="n">
        <v>-598</v>
      </c>
      <c r="J127" s="20" t="n">
        <v>-615</v>
      </c>
      <c r="N127" s="20" t="n">
        <v>794</v>
      </c>
      <c r="P127" s="20" t="n">
        <v>37</v>
      </c>
      <c r="Q127" s="20" t="n">
        <v>585</v>
      </c>
      <c r="R127" s="20" t="n">
        <v>-949</v>
      </c>
      <c r="S127" s="20" t="n">
        <v>-1445</v>
      </c>
      <c r="T127" s="20" t="n">
        <v>-913</v>
      </c>
      <c r="U127" s="20" t="n">
        <v>-557</v>
      </c>
      <c r="V127" s="20" t="n">
        <v>-598</v>
      </c>
      <c r="W127" s="20" t="n">
        <v>-615</v>
      </c>
      <c r="X127" s="20" t="n">
        <v>794</v>
      </c>
    </row>
    <row r="128">
      <c r="A128" s="9" t="inlineStr">
        <is>
          <t>투자활동 현금흐름</t>
        </is>
      </c>
      <c r="F128" s="12" t="n">
        <v>-86698</v>
      </c>
      <c r="J128" s="12" t="n">
        <v>-60955</v>
      </c>
      <c r="N128" s="12" t="n">
        <v>-75499</v>
      </c>
      <c r="P128" s="12" t="n">
        <v>-48148</v>
      </c>
      <c r="Q128" s="12" t="n">
        <v>-58915</v>
      </c>
      <c r="R128" s="12" t="n">
        <v>-54175</v>
      </c>
      <c r="S128" s="12" t="n">
        <v>-51392</v>
      </c>
      <c r="T128" s="12" t="n">
        <v>-40893</v>
      </c>
      <c r="U128" s="12" t="n">
        <v>-36461</v>
      </c>
      <c r="V128" s="12" t="n">
        <v>-86698</v>
      </c>
      <c r="W128" s="12" t="n">
        <v>-60955</v>
      </c>
      <c r="X128" s="12" t="n">
        <v>-75499</v>
      </c>
    </row>
    <row r="129">
      <c r="A129" s="18" t="inlineStr">
        <is>
          <t>단기차입</t>
        </is>
      </c>
      <c r="F129" s="20" t="n">
        <v>161768</v>
      </c>
      <c r="J129" s="20" t="n">
        <v>86290</v>
      </c>
      <c r="N129" s="20" t="n">
        <v>86324</v>
      </c>
      <c r="P129" s="20" t="n">
        <v>2004</v>
      </c>
      <c r="Q129" s="20" t="n">
        <v>14771</v>
      </c>
      <c r="R129" s="20" t="n">
        <v>14219</v>
      </c>
      <c r="S129" s="20" t="n">
        <v>791</v>
      </c>
      <c r="T129" s="20" t="n">
        <v>10092</v>
      </c>
      <c r="U129" s="20" t="n">
        <v>157467</v>
      </c>
      <c r="V129" s="20" t="n">
        <v>161768</v>
      </c>
      <c r="W129" s="20" t="n">
        <v>86290</v>
      </c>
      <c r="X129" s="20" t="n">
        <v>86324</v>
      </c>
    </row>
    <row r="130">
      <c r="A130" s="18" t="inlineStr">
        <is>
          <t>단기차입금 상환</t>
        </is>
      </c>
      <c r="F130" s="20" t="n">
        <v>-218220</v>
      </c>
      <c r="J130" s="20" t="n">
        <v>-75269</v>
      </c>
      <c r="N130" s="20" t="n">
        <v>-74104</v>
      </c>
      <c r="P130" s="20" t="n">
        <v>-17966</v>
      </c>
      <c r="Q130" s="20" t="n">
        <v>-529</v>
      </c>
      <c r="R130" s="20" t="n">
        <v>-534</v>
      </c>
      <c r="S130" s="20" t="n">
        <v>-12816</v>
      </c>
      <c r="T130" s="20" t="n">
        <v>-14067</v>
      </c>
      <c r="U130" s="20" t="n">
        <v>-145865</v>
      </c>
      <c r="V130" s="20" t="n">
        <v>-218220</v>
      </c>
      <c r="W130" s="20" t="n">
        <v>-75269</v>
      </c>
      <c r="X130" s="20" t="n">
        <v>-74104</v>
      </c>
    </row>
    <row r="131">
      <c r="A131" s="18" t="inlineStr">
        <is>
          <t>장기차입</t>
        </is>
      </c>
      <c r="F131" s="20" t="n">
        <v>55000</v>
      </c>
      <c r="J131" s="20" t="n">
        <v>1574</v>
      </c>
      <c r="N131" s="20" t="n">
        <v>20000</v>
      </c>
      <c r="P131" s="20" t="n">
        <v>6651</v>
      </c>
      <c r="Q131" s="20" t="n">
        <v>23000</v>
      </c>
      <c r="R131" s="20" t="n">
        <v>0</v>
      </c>
      <c r="S131" s="20" t="n">
        <v>45909</v>
      </c>
      <c r="T131" s="20" t="n">
        <v>0</v>
      </c>
      <c r="U131" s="20" t="n">
        <v>0</v>
      </c>
      <c r="V131" s="20" t="n">
        <v>55000</v>
      </c>
      <c r="W131" s="20" t="n">
        <v>1574</v>
      </c>
      <c r="X131" s="20" t="n">
        <v>20000</v>
      </c>
    </row>
    <row r="132">
      <c r="A132" s="18" t="inlineStr">
        <is>
          <t>장기차입금 상환</t>
        </is>
      </c>
      <c r="F132" s="20" t="n">
        <v>-24865</v>
      </c>
      <c r="J132" s="20" t="n">
        <v>0</v>
      </c>
      <c r="N132" s="20" t="n">
        <v>-11496</v>
      </c>
      <c r="P132" s="20" t="n">
        <v>-6245</v>
      </c>
      <c r="Q132" s="20" t="n">
        <v>-20054</v>
      </c>
      <c r="R132" s="20" t="n">
        <v>-3674</v>
      </c>
      <c r="S132" s="20" t="n">
        <v>-17923</v>
      </c>
      <c r="T132" s="20" t="n">
        <v>-1234</v>
      </c>
      <c r="U132" s="20" t="n">
        <v>0</v>
      </c>
      <c r="V132" s="20" t="n">
        <v>-24865</v>
      </c>
      <c r="W132" s="20" t="n">
        <v>0</v>
      </c>
      <c r="X132" s="20" t="n">
        <v>-11496</v>
      </c>
    </row>
    <row r="133">
      <c r="A133" s="18" t="inlineStr">
        <is>
          <t>사채 발행</t>
        </is>
      </c>
      <c r="F133" s="20" t="n">
        <v>20000</v>
      </c>
      <c r="J133" s="20" t="n">
        <v>0</v>
      </c>
      <c r="P133" s="20" t="n">
        <v>30000</v>
      </c>
      <c r="Q133" s="20" t="n">
        <v>0</v>
      </c>
      <c r="T133" s="20" t="n">
        <v>0</v>
      </c>
      <c r="U133" s="20" t="n">
        <v>10000</v>
      </c>
      <c r="V133" s="20" t="n">
        <v>20000</v>
      </c>
      <c r="W133" s="20" t="n">
        <v>0</v>
      </c>
    </row>
    <row r="134">
      <c r="A134" s="18" t="inlineStr">
        <is>
          <t>사채 상환</t>
        </is>
      </c>
      <c r="F134" s="20" t="n">
        <v>-10000</v>
      </c>
      <c r="J134" s="20" t="n">
        <v>-10000</v>
      </c>
      <c r="N134" s="20" t="n">
        <v>0</v>
      </c>
      <c r="P134" s="20" t="n">
        <v>0</v>
      </c>
      <c r="Q134" s="20" t="n">
        <v>-10000</v>
      </c>
      <c r="R134" s="20" t="n">
        <v>0</v>
      </c>
      <c r="T134" s="20" t="n">
        <v>0</v>
      </c>
      <c r="U134" s="20" t="n">
        <v>-10000</v>
      </c>
      <c r="V134" s="20" t="n">
        <v>-10000</v>
      </c>
      <c r="W134" s="20" t="n">
        <v>-10000</v>
      </c>
      <c r="X134" s="20" t="n">
        <v>0</v>
      </c>
    </row>
    <row r="135">
      <c r="A135" s="18" t="inlineStr">
        <is>
          <t>자기주식 취득</t>
        </is>
      </c>
      <c r="F135" s="20" t="n">
        <v>-20000</v>
      </c>
      <c r="J135" s="20" t="n">
        <v>-0</v>
      </c>
      <c r="U135" s="20" t="n">
        <v>-0</v>
      </c>
      <c r="V135" s="20" t="n">
        <v>-20000</v>
      </c>
      <c r="W135" s="20" t="n">
        <v>-0</v>
      </c>
    </row>
    <row r="136">
      <c r="A136" s="18" t="inlineStr">
        <is>
          <t>배당금 지급</t>
        </is>
      </c>
      <c r="F136" s="20" t="n">
        <v>-14577</v>
      </c>
      <c r="J136" s="20" t="n">
        <v>-15352</v>
      </c>
      <c r="N136" s="20" t="n">
        <v>-15363</v>
      </c>
      <c r="P136" s="20" t="n">
        <v>-10024</v>
      </c>
      <c r="Q136" s="20" t="n">
        <v>-10582</v>
      </c>
      <c r="R136" s="20" t="n">
        <v>-10423</v>
      </c>
      <c r="S136" s="20" t="n">
        <v>-6728</v>
      </c>
      <c r="T136" s="20" t="n">
        <v>-12516</v>
      </c>
      <c r="U136" s="20" t="n">
        <v>-12517</v>
      </c>
      <c r="V136" s="20" t="n">
        <v>-14577</v>
      </c>
      <c r="W136" s="20" t="n">
        <v>-15352</v>
      </c>
      <c r="X136" s="20" t="n">
        <v>-15363</v>
      </c>
    </row>
    <row r="137">
      <c r="A137" s="18" t="inlineStr">
        <is>
          <t>비지배지분 배당금 지급액</t>
        </is>
      </c>
      <c r="F137" s="20" t="n">
        <v>-7929</v>
      </c>
      <c r="J137" s="20" t="n">
        <v>-7681</v>
      </c>
      <c r="N137" s="20" t="n">
        <v>-7550</v>
      </c>
      <c r="P137" s="20" t="n">
        <v>-7039</v>
      </c>
      <c r="Q137" s="20" t="n">
        <v>-8504</v>
      </c>
      <c r="R137" s="20" t="n">
        <v>-4660</v>
      </c>
      <c r="S137" s="20" t="n">
        <v>-4856</v>
      </c>
      <c r="T137" s="20" t="n">
        <v>-6785</v>
      </c>
      <c r="U137" s="20" t="n">
        <v>-8805</v>
      </c>
      <c r="V137" s="20" t="n">
        <v>-7929</v>
      </c>
      <c r="W137" s="20" t="n">
        <v>-7681</v>
      </c>
      <c r="X137" s="20" t="n">
        <v>-7550</v>
      </c>
    </row>
    <row r="138">
      <c r="A138" s="18" t="inlineStr">
        <is>
          <t>비지배지분으로부터 자회사 지분 취득 지출</t>
        </is>
      </c>
      <c r="P138" s="20" t="n">
        <v>-648</v>
      </c>
      <c r="Q138" s="20" t="n">
        <v>-7868</v>
      </c>
      <c r="R138" s="20" t="n">
        <v>-6883</v>
      </c>
      <c r="S138" s="20" t="n">
        <v>-36</v>
      </c>
    </row>
    <row r="139">
      <c r="A139" s="18" t="inlineStr">
        <is>
          <t>리스부채 상환 지출</t>
        </is>
      </c>
      <c r="F139" s="20" t="n">
        <v>-32801</v>
      </c>
      <c r="J139" s="20" t="n">
        <v>-33049</v>
      </c>
      <c r="N139" s="20" t="n">
        <v>-42784</v>
      </c>
      <c r="Q139" s="20" t="n">
        <v>-193</v>
      </c>
      <c r="R139" s="20" t="n">
        <v>-2007</v>
      </c>
      <c r="S139" s="20" t="n">
        <v>-1786</v>
      </c>
      <c r="T139" s="20" t="n">
        <v>-24151</v>
      </c>
      <c r="U139" s="20" t="n">
        <v>-31091</v>
      </c>
      <c r="V139" s="20" t="n">
        <v>-32801</v>
      </c>
      <c r="W139" s="20" t="n">
        <v>-33049</v>
      </c>
      <c r="X139" s="20" t="n">
        <v>-42784</v>
      </c>
    </row>
    <row r="140">
      <c r="A140" s="18" t="inlineStr">
        <is>
          <t>연결범위 변경 없는 자회사 주식 취득</t>
        </is>
      </c>
      <c r="J140" s="20" t="n">
        <v>-1168</v>
      </c>
      <c r="N140" s="20" t="n">
        <v>-2763</v>
      </c>
      <c r="W140" s="20" t="n">
        <v>-1168</v>
      </c>
      <c r="X140" s="20" t="n">
        <v>-2763</v>
      </c>
    </row>
    <row r="141">
      <c r="A141" s="18" t="inlineStr">
        <is>
          <t>기타</t>
        </is>
      </c>
      <c r="F141" s="20" t="n">
        <v>32</v>
      </c>
      <c r="J141" s="20" t="n">
        <v>280</v>
      </c>
      <c r="N141" s="20" t="n">
        <v>-619</v>
      </c>
      <c r="P141" s="20" t="n">
        <v>-259</v>
      </c>
      <c r="Q141" s="20" t="n">
        <v>434</v>
      </c>
      <c r="R141" s="20" t="n">
        <v>-0</v>
      </c>
      <c r="S141" s="20" t="n">
        <v>169</v>
      </c>
      <c r="T141" s="20" t="n">
        <v>-0</v>
      </c>
      <c r="U141" s="20" t="n">
        <v>0</v>
      </c>
      <c r="V141" s="20" t="n">
        <v>32</v>
      </c>
      <c r="W141" s="20" t="n">
        <v>280</v>
      </c>
      <c r="X141" s="20" t="n">
        <v>-619</v>
      </c>
    </row>
    <row r="142">
      <c r="A142" s="9" t="inlineStr">
        <is>
          <t>재무활동 현금흐름</t>
        </is>
      </c>
      <c r="F142" s="12" t="n">
        <v>-91595</v>
      </c>
      <c r="J142" s="12" t="n">
        <v>-54377</v>
      </c>
      <c r="N142" s="12" t="n">
        <v>-48358</v>
      </c>
      <c r="P142" s="12" t="n">
        <v>-3528</v>
      </c>
      <c r="Q142" s="12" t="n">
        <v>-19526</v>
      </c>
      <c r="R142" s="12" t="n">
        <v>-13964</v>
      </c>
      <c r="S142" s="12" t="n">
        <v>2756</v>
      </c>
      <c r="T142" s="12" t="n">
        <v>-48664</v>
      </c>
      <c r="U142" s="12" t="n">
        <v>-40812</v>
      </c>
      <c r="V142" s="12" t="n">
        <v>-91595</v>
      </c>
      <c r="W142" s="12" t="n">
        <v>-54377</v>
      </c>
      <c r="X142" s="12" t="n">
        <v>-48358</v>
      </c>
    </row>
    <row r="143">
      <c r="A143" s="18" t="inlineStr">
        <is>
          <t>Effect Of Exchange Rate Changes On Cash And Cash Equivalents</t>
        </is>
      </c>
      <c r="F143" s="20" t="n">
        <v>5064</v>
      </c>
      <c r="J143" s="20" t="n">
        <v>-1842</v>
      </c>
      <c r="N143" s="20" t="n">
        <v>9677</v>
      </c>
      <c r="P143" s="20" t="n">
        <v>296</v>
      </c>
      <c r="Q143" s="20" t="n">
        <v>-2458</v>
      </c>
      <c r="R143" s="20" t="n">
        <v>-6348</v>
      </c>
      <c r="S143" s="20" t="n">
        <v>5955</v>
      </c>
      <c r="T143" s="20" t="n">
        <v>9396</v>
      </c>
      <c r="U143" s="20" t="n">
        <v>-1911</v>
      </c>
      <c r="V143" s="20" t="n">
        <v>5064</v>
      </c>
      <c r="W143" s="20" t="n">
        <v>-1842</v>
      </c>
      <c r="X143" s="20" t="n">
        <v>9677</v>
      </c>
    </row>
    <row r="144">
      <c r="A144" s="18" t="inlineStr">
        <is>
          <t>현금및현금성자산 증감액</t>
        </is>
      </c>
      <c r="F144" s="20" t="n">
        <v>1669</v>
      </c>
      <c r="J144" s="20" t="n">
        <v>4659</v>
      </c>
      <c r="N144" s="20" t="n">
        <v>28785</v>
      </c>
      <c r="P144" s="20" t="n">
        <v>32179</v>
      </c>
      <c r="Q144" s="20" t="n">
        <v>-20179</v>
      </c>
      <c r="R144" s="20" t="n">
        <v>5184</v>
      </c>
      <c r="S144" s="20" t="n">
        <v>31802</v>
      </c>
      <c r="T144" s="20" t="n">
        <v>42772</v>
      </c>
      <c r="U144" s="20" t="n">
        <v>10243</v>
      </c>
      <c r="V144" s="20" t="n">
        <v>1669</v>
      </c>
      <c r="W144" s="20" t="n">
        <v>4659</v>
      </c>
      <c r="X144" s="20" t="n">
        <v>28785</v>
      </c>
    </row>
    <row r="145">
      <c r="A145" s="18" t="inlineStr">
        <is>
          <t>매각예정 자산에 포함된 현금및현금성자산</t>
        </is>
      </c>
      <c r="F145" s="20" t="n">
        <v>-5673</v>
      </c>
      <c r="J145" s="20" t="n">
        <v>0</v>
      </c>
      <c r="U145" s="20" t="n">
        <v>0</v>
      </c>
      <c r="V145" s="20" t="n">
        <v>-5673</v>
      </c>
      <c r="W145" s="20" t="n">
        <v>0</v>
      </c>
    </row>
    <row r="146">
      <c r="A146" s="18" t="inlineStr">
        <is>
          <t>Increase Decrease In Cash And Cash Equivalents Included In Assets Held For Sale CF</t>
        </is>
      </c>
      <c r="F146" s="20" t="n">
        <v>0</v>
      </c>
      <c r="J146" s="20" t="n">
        <v>870</v>
      </c>
      <c r="N146" s="20" t="n">
        <v>0</v>
      </c>
      <c r="V146" s="20" t="n">
        <v>0</v>
      </c>
      <c r="W146" s="20" t="n">
        <v>870</v>
      </c>
      <c r="X146" s="20" t="n">
        <v>0</v>
      </c>
    </row>
    <row r="147">
      <c r="A147" s="9" t="inlineStr">
        <is>
          <t>법인세차감전 순이익</t>
        </is>
      </c>
      <c r="P147" s="12" t="n">
        <v>72879</v>
      </c>
      <c r="Q147" s="12" t="n">
        <v>54320</v>
      </c>
    </row>
    <row r="148">
      <c r="A148" s="18" t="inlineStr">
        <is>
          <t>감가상각비</t>
        </is>
      </c>
      <c r="P148" s="20" t="n">
        <v>34755</v>
      </c>
      <c r="Q148" s="20" t="n">
        <v>38274</v>
      </c>
    </row>
    <row r="149">
      <c r="A149" s="18" t="inlineStr">
        <is>
          <t>영업권 상각</t>
        </is>
      </c>
      <c r="P149" s="20" t="n">
        <v>1454</v>
      </c>
      <c r="Q149" s="20" t="n">
        <v>1325</v>
      </c>
    </row>
    <row r="150">
      <c r="A150" s="18" t="inlineStr">
        <is>
          <t>퇴직급여부채 증감</t>
        </is>
      </c>
      <c r="P150" s="20" t="n">
        <v>2039</v>
      </c>
      <c r="Q150" s="20" t="n">
        <v>2347</v>
      </c>
    </row>
    <row r="151">
      <c r="A151" s="18" t="inlineStr">
        <is>
          <t>이자·배당금 수익</t>
        </is>
      </c>
      <c r="P151" s="20" t="n">
        <v>-1859</v>
      </c>
      <c r="Q151" s="20" t="n">
        <v>-1647</v>
      </c>
    </row>
    <row r="152">
      <c r="A152" s="18" t="inlineStr">
        <is>
          <t>이자비용</t>
        </is>
      </c>
      <c r="P152" s="20" t="n">
        <v>1285</v>
      </c>
      <c r="Q152" s="20" t="n">
        <v>1486</v>
      </c>
    </row>
    <row r="153">
      <c r="A153" s="18" t="inlineStr">
        <is>
          <t>외환차손익</t>
        </is>
      </c>
      <c r="P153" s="20" t="n">
        <v>-1073</v>
      </c>
      <c r="Q153" s="20" t="n">
        <v>596</v>
      </c>
    </row>
    <row r="154">
      <c r="A154" s="18" t="inlineStr">
        <is>
          <t>지분법손익</t>
        </is>
      </c>
      <c r="P154" s="20" t="n">
        <v>-821</v>
      </c>
      <c r="Q154" s="20" t="n">
        <v>-838</v>
      </c>
    </row>
    <row r="155">
      <c r="A155" s="18" t="inlineStr">
        <is>
          <t>유형자산 매각손익</t>
        </is>
      </c>
      <c r="P155" s="20" t="n">
        <v>-341</v>
      </c>
      <c r="Q155" s="20" t="n">
        <v>-87</v>
      </c>
    </row>
    <row r="156">
      <c r="A156" s="18" t="inlineStr">
        <is>
          <t>관계회사 청산손익</t>
        </is>
      </c>
      <c r="P156" s="20" t="n">
        <v>0</v>
      </c>
      <c r="Q156" s="20" t="n">
        <v>3460</v>
      </c>
    </row>
    <row r="157">
      <c r="A157" s="18" t="inlineStr">
        <is>
          <t>매출채권 증감</t>
        </is>
      </c>
      <c r="P157" s="20" t="n">
        <v>-14482</v>
      </c>
      <c r="Q157" s="20" t="n">
        <v>6132</v>
      </c>
    </row>
    <row r="158">
      <c r="A158" s="18" t="inlineStr">
        <is>
          <t>재고자산 증감</t>
        </is>
      </c>
      <c r="P158" s="20" t="n">
        <v>-3310</v>
      </c>
      <c r="Q158" s="20" t="n">
        <v>-17529</v>
      </c>
    </row>
    <row r="159">
      <c r="A159" s="18" t="inlineStr">
        <is>
          <t>매입채무 증감</t>
        </is>
      </c>
      <c r="P159" s="20" t="n">
        <v>10436</v>
      </c>
      <c r="Q159" s="20" t="n">
        <v>433</v>
      </c>
    </row>
    <row r="160">
      <c r="A160" s="18" t="inlineStr">
        <is>
          <t>미수금 증감</t>
        </is>
      </c>
      <c r="P160" s="20" t="n">
        <v>-4667</v>
      </c>
      <c r="Q160" s="20" t="n">
        <v>-2419</v>
      </c>
    </row>
    <row r="161">
      <c r="A161" s="18" t="inlineStr">
        <is>
          <t>미지급금 증감</t>
        </is>
      </c>
      <c r="P161" s="20" t="n">
        <v>333</v>
      </c>
      <c r="Q161" s="20" t="n">
        <v>1455</v>
      </c>
    </row>
    <row r="162">
      <c r="A162" s="18" t="inlineStr">
        <is>
          <t>미지급비용 증감</t>
        </is>
      </c>
      <c r="P162" s="20" t="n">
        <v>5231</v>
      </c>
      <c r="Q162" s="20" t="n">
        <v>2011</v>
      </c>
    </row>
    <row r="163">
      <c r="A163" s="18" t="inlineStr">
        <is>
          <t>기타</t>
        </is>
      </c>
      <c r="P163" s="20" t="n">
        <v>-573</v>
      </c>
      <c r="Q163" s="20" t="n">
        <v>-379</v>
      </c>
    </row>
    <row r="164">
      <c r="A164" s="18" t="inlineStr">
        <is>
          <t>소계</t>
        </is>
      </c>
      <c r="P164" s="20" t="n">
        <v>101287</v>
      </c>
      <c r="Q164" s="20" t="n">
        <v>88941</v>
      </c>
    </row>
    <row r="165">
      <c r="A165" s="18" t="inlineStr">
        <is>
          <t>이자·배당금 수취</t>
        </is>
      </c>
      <c r="P165" s="20" t="n">
        <v>2101</v>
      </c>
      <c r="Q165" s="20" t="n">
        <v>2158</v>
      </c>
    </row>
    <row r="166">
      <c r="A166" s="18" t="inlineStr">
        <is>
          <t>이자 지급</t>
        </is>
      </c>
      <c r="P166" s="20" t="n">
        <v>-1303</v>
      </c>
      <c r="Q166" s="20" t="n">
        <v>-1500</v>
      </c>
    </row>
    <row r="167">
      <c r="A167" s="18" t="inlineStr">
        <is>
          <t>법인세 납부</t>
        </is>
      </c>
      <c r="P167" s="20" t="n">
        <v>-15967</v>
      </c>
      <c r="Q167" s="20" t="n">
        <v>-25485</v>
      </c>
    </row>
    <row r="168">
      <c r="A168" s="9" t="inlineStr">
        <is>
          <t>영업활동 현금흐름</t>
        </is>
      </c>
      <c r="P168" s="12" t="n">
        <v>86117</v>
      </c>
      <c r="Q168" s="12" t="n">
        <v>64114</v>
      </c>
    </row>
    <row r="169">
      <c r="A169" s="18" t="inlineStr">
        <is>
          <t>정기예금 예입</t>
        </is>
      </c>
      <c r="P169" s="20" t="n">
        <v>-3003</v>
      </c>
      <c r="Q169" s="20" t="n">
        <v>-4466</v>
      </c>
    </row>
    <row r="170">
      <c r="A170" s="18" t="inlineStr">
        <is>
          <t>정기예금 인출</t>
        </is>
      </c>
      <c r="P170" s="20" t="n">
        <v>4433</v>
      </c>
      <c r="Q170" s="20" t="n">
        <v>3311</v>
      </c>
    </row>
    <row r="171">
      <c r="A171" s="18" t="inlineStr">
        <is>
          <t>유형자산 취득(설비투자)</t>
        </is>
      </c>
      <c r="P171" s="20" t="n">
        <v>-46082</v>
      </c>
      <c r="Q171" s="20" t="n">
        <v>-59122</v>
      </c>
    </row>
    <row r="172">
      <c r="A172" s="18" t="inlineStr">
        <is>
          <t>유형자산 매각</t>
        </is>
      </c>
      <c r="P172" s="20" t="n">
        <v>2792</v>
      </c>
      <c r="Q172" s="20" t="n">
        <v>2434</v>
      </c>
    </row>
    <row r="173">
      <c r="A173" s="18" t="inlineStr">
        <is>
          <t>무형자산 취득</t>
        </is>
      </c>
      <c r="P173" s="20" t="n">
        <v>-4121</v>
      </c>
      <c r="Q173" s="20" t="n">
        <v>-4350</v>
      </c>
    </row>
    <row r="174">
      <c r="A174" s="18" t="inlineStr">
        <is>
          <t>투자유가증권 취득</t>
        </is>
      </c>
      <c r="P174" s="20" t="n">
        <v>-5603</v>
      </c>
      <c r="Q174" s="20" t="n">
        <v>-417</v>
      </c>
    </row>
    <row r="175">
      <c r="A175" s="18" t="inlineStr">
        <is>
          <t>기타</t>
        </is>
      </c>
      <c r="P175" s="20" t="n">
        <v>-122</v>
      </c>
      <c r="Q175" s="20" t="n">
        <v>836</v>
      </c>
    </row>
    <row r="176">
      <c r="A176" s="9" t="inlineStr">
        <is>
          <t>투자활동 현금흐름</t>
        </is>
      </c>
      <c r="P176" s="12" t="n">
        <v>-51707</v>
      </c>
      <c r="Q176" s="12" t="n">
        <v>-61773</v>
      </c>
    </row>
    <row r="177">
      <c r="A177" s="18" t="inlineStr">
        <is>
          <t>단기차입금 순증감</t>
        </is>
      </c>
      <c r="P177" s="20" t="n">
        <v>-15962</v>
      </c>
      <c r="Q177" s="20" t="n">
        <v>14241</v>
      </c>
    </row>
    <row r="178">
      <c r="A178" s="18" t="inlineStr">
        <is>
          <t>장기차입</t>
        </is>
      </c>
      <c r="P178" s="20" t="n">
        <v>6651</v>
      </c>
      <c r="Q178" s="20" t="n">
        <v>23000</v>
      </c>
    </row>
    <row r="179">
      <c r="A179" s="18" t="inlineStr">
        <is>
          <t>장기차입금 상환</t>
        </is>
      </c>
      <c r="P179" s="20" t="n">
        <v>-6245</v>
      </c>
      <c r="Q179" s="20" t="n">
        <v>-20054</v>
      </c>
    </row>
    <row r="180">
      <c r="A180" s="18" t="inlineStr">
        <is>
          <t>사채 발행</t>
        </is>
      </c>
      <c r="P180" s="20" t="n">
        <v>30000</v>
      </c>
      <c r="Q180" s="20" t="n">
        <v>0</v>
      </c>
    </row>
    <row r="181">
      <c r="A181" s="18" t="inlineStr">
        <is>
          <t>사채 상환</t>
        </is>
      </c>
      <c r="P181" s="20" t="n">
        <v>0</v>
      </c>
      <c r="Q181" s="20" t="n">
        <v>-10000</v>
      </c>
    </row>
    <row r="182">
      <c r="A182" s="18" t="inlineStr">
        <is>
          <t>배당금 지급</t>
        </is>
      </c>
      <c r="P182" s="20" t="n">
        <v>-10024</v>
      </c>
      <c r="Q182" s="20" t="n">
        <v>-10582</v>
      </c>
    </row>
    <row r="183">
      <c r="A183" s="18" t="inlineStr">
        <is>
          <t>비지배주주 배당금 지급</t>
        </is>
      </c>
      <c r="P183" s="20" t="n">
        <v>-7039</v>
      </c>
      <c r="Q183" s="20" t="n">
        <v>-8504</v>
      </c>
    </row>
    <row r="184">
      <c r="A184" s="18" t="inlineStr">
        <is>
          <t>연결범위 변경 없는 자회사 주식 취득</t>
        </is>
      </c>
      <c r="P184" s="20" t="n">
        <v>-648</v>
      </c>
      <c r="Q184" s="20" t="n">
        <v>-1639</v>
      </c>
    </row>
    <row r="185">
      <c r="A185" s="18" t="inlineStr">
        <is>
          <t>Payments From Changes In Ownership Interests In Investments In Capital Of Subsidiaries That Do Not Result In Change In Scope Of Consolidation Fin CF</t>
        </is>
      </c>
      <c r="P185" s="20" t="n">
        <v>0</v>
      </c>
      <c r="Q185" s="20" t="n">
        <v>-6228</v>
      </c>
    </row>
    <row r="186">
      <c r="A186" s="18" t="inlineStr">
        <is>
          <t>기타</t>
        </is>
      </c>
      <c r="P186" s="20" t="n">
        <v>-259</v>
      </c>
      <c r="Q186" s="20" t="n">
        <v>241</v>
      </c>
    </row>
    <row r="187">
      <c r="A187" s="9" t="inlineStr">
        <is>
          <t>재무활동 현금흐름</t>
        </is>
      </c>
      <c r="P187" s="12" t="n">
        <v>-3528</v>
      </c>
      <c r="Q187" s="12" t="n">
        <v>-19526</v>
      </c>
    </row>
    <row r="188">
      <c r="A188" s="18" t="inlineStr">
        <is>
          <t>현금성자산 환산차이</t>
        </is>
      </c>
      <c r="P188" s="20" t="n">
        <v>1297</v>
      </c>
      <c r="Q188" s="20" t="n">
        <v>-2993</v>
      </c>
    </row>
    <row r="189">
      <c r="A189" s="18" t="inlineStr">
        <is>
          <t>현금성자산 증감</t>
        </is>
      </c>
      <c r="P189" s="20" t="n">
        <v>32179</v>
      </c>
      <c r="Q189" s="20" t="n">
        <v>-20179</v>
      </c>
    </row>
    <row r="190">
      <c r="A190" s="18" t="inlineStr">
        <is>
          <t>연결자회사 결산기 변경에 따른 현금성자산 증감액</t>
        </is>
      </c>
      <c r="P190" s="20" t="n">
        <v>1303</v>
      </c>
      <c r="Q190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3116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668631</v>
      </c>
      <c r="D5" s="12" t="n"/>
      <c r="E5" s="12" t="n"/>
      <c r="F5" s="12" t="n"/>
      <c r="G5" s="12" t="n">
        <v>723387</v>
      </c>
      <c r="H5" s="11" t="n">
        <v>614317</v>
      </c>
      <c r="I5" s="12" t="n">
        <v>656281</v>
      </c>
      <c r="J5" s="12" t="n">
        <v>708788</v>
      </c>
      <c r="K5" s="12" t="n">
        <v>668631</v>
      </c>
      <c r="L5" s="12" t="n">
        <v>723387</v>
      </c>
    </row>
    <row r="6">
      <c r="A6" s="18" t="inlineStr">
        <is>
          <t>현금및현금성자산</t>
        </is>
      </c>
      <c r="B6" s="10" t="n"/>
      <c r="C6" s="19" t="n">
        <v>249721</v>
      </c>
      <c r="D6" s="20" t="n"/>
      <c r="E6" s="20" t="n"/>
      <c r="F6" s="20" t="n"/>
      <c r="G6" s="20" t="n">
        <v>278507</v>
      </c>
      <c r="H6" s="19" t="n">
        <v>237952</v>
      </c>
      <c r="I6" s="20" t="n">
        <v>248195</v>
      </c>
      <c r="J6" s="20" t="n">
        <v>244191</v>
      </c>
      <c r="K6" s="20" t="n">
        <v>249721</v>
      </c>
      <c r="L6" s="20" t="n">
        <v>278507</v>
      </c>
    </row>
    <row r="7">
      <c r="A7" s="18" t="inlineStr">
        <is>
          <t>단기금융상품</t>
        </is>
      </c>
      <c r="B7" s="10" t="n"/>
      <c r="C7" s="19" t="n">
        <v>19191</v>
      </c>
      <c r="D7" s="20" t="n"/>
      <c r="E7" s="20" t="n"/>
      <c r="F7" s="20" t="n"/>
      <c r="G7" s="20" t="n">
        <v>29429</v>
      </c>
      <c r="H7" s="19" t="n">
        <v>19990</v>
      </c>
      <c r="I7" s="20" t="n">
        <v>14596</v>
      </c>
      <c r="J7" s="20" t="n">
        <v>32235</v>
      </c>
      <c r="K7" s="20" t="n">
        <v>19191</v>
      </c>
      <c r="L7" s="20" t="n">
        <v>29429</v>
      </c>
    </row>
    <row r="8">
      <c r="A8" s="18" t="inlineStr">
        <is>
          <t>매출채권</t>
        </is>
      </c>
      <c r="B8" s="10" t="n"/>
      <c r="C8" s="19" t="n">
        <v>290236</v>
      </c>
      <c r="D8" s="20" t="n"/>
      <c r="E8" s="20" t="n"/>
      <c r="F8" s="20" t="n"/>
      <c r="G8" s="20" t="n">
        <v>297783</v>
      </c>
      <c r="H8" s="19" t="n">
        <v>261814</v>
      </c>
      <c r="I8" s="20" t="n">
        <v>286181</v>
      </c>
      <c r="J8" s="20" t="n">
        <v>304115</v>
      </c>
      <c r="K8" s="20" t="n">
        <v>290236</v>
      </c>
      <c r="L8" s="20" t="n">
        <v>297783</v>
      </c>
    </row>
    <row r="9">
      <c r="A9" s="18" t="inlineStr">
        <is>
          <t>재고자산</t>
        </is>
      </c>
      <c r="B9" s="10" t="n"/>
      <c r="C9" s="19" t="n">
        <v>87142</v>
      </c>
      <c r="D9" s="20" t="n"/>
      <c r="E9" s="20" t="n"/>
      <c r="F9" s="20" t="n"/>
      <c r="G9" s="20" t="n">
        <v>94018</v>
      </c>
      <c r="H9" s="19" t="n">
        <v>79345</v>
      </c>
      <c r="I9" s="20" t="n">
        <v>87684</v>
      </c>
      <c r="J9" s="20" t="n">
        <v>83648</v>
      </c>
      <c r="K9" s="20" t="n">
        <v>87142</v>
      </c>
      <c r="L9" s="20" t="n">
        <v>94018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426199</v>
      </c>
      <c r="D11" s="12" t="n"/>
      <c r="E11" s="12" t="n"/>
      <c r="F11" s="12" t="n"/>
      <c r="G11" s="12" t="n">
        <v>458997</v>
      </c>
      <c r="H11" s="11" t="n">
        <v>350422</v>
      </c>
      <c r="I11" s="12" t="n">
        <v>351110</v>
      </c>
      <c r="J11" s="12" t="n">
        <v>419703</v>
      </c>
      <c r="K11" s="12" t="n">
        <v>426199</v>
      </c>
      <c r="L11" s="12" t="n">
        <v>458997</v>
      </c>
    </row>
    <row r="12">
      <c r="A12" s="18" t="inlineStr">
        <is>
          <t>유형자산</t>
        </is>
      </c>
      <c r="B12" s="10" t="n"/>
      <c r="C12" s="19" t="n">
        <v>317221</v>
      </c>
      <c r="D12" s="20" t="n"/>
      <c r="E12" s="20" t="n"/>
      <c r="F12" s="20" t="n"/>
      <c r="G12" s="20" t="n">
        <v>345387</v>
      </c>
      <c r="H12" s="19" t="n">
        <v>270477</v>
      </c>
      <c r="I12" s="20" t="n">
        <v>276096</v>
      </c>
      <c r="J12" s="20" t="n">
        <v>329783</v>
      </c>
      <c r="K12" s="20" t="n">
        <v>317221</v>
      </c>
      <c r="L12" s="20" t="n">
        <v>345387</v>
      </c>
    </row>
    <row r="13">
      <c r="A13" s="18" t="inlineStr">
        <is>
          <t>무형자산</t>
        </is>
      </c>
      <c r="B13" s="10" t="n"/>
      <c r="C13" s="19" t="n">
        <v>19548</v>
      </c>
      <c r="D13" s="20" t="n"/>
      <c r="E13" s="20" t="n"/>
      <c r="F13" s="20" t="n"/>
      <c r="G13" s="20" t="n">
        <v>18683</v>
      </c>
      <c r="H13" s="19" t="n">
        <v>13060</v>
      </c>
      <c r="I13" s="20" t="n">
        <v>14237</v>
      </c>
      <c r="J13" s="20" t="n">
        <v>19597</v>
      </c>
      <c r="K13" s="20" t="n">
        <v>19548</v>
      </c>
      <c r="L13" s="20" t="n">
        <v>18683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1094831</v>
      </c>
      <c r="D16" s="12" t="n"/>
      <c r="E16" s="12" t="n"/>
      <c r="F16" s="12" t="n"/>
      <c r="G16" s="12" t="n">
        <v>1182385</v>
      </c>
      <c r="H16" s="11" t="n">
        <v>964740</v>
      </c>
      <c r="I16" s="12" t="n">
        <v>1007392</v>
      </c>
      <c r="J16" s="12" t="n">
        <v>1128491</v>
      </c>
      <c r="K16" s="12" t="n">
        <v>1094831</v>
      </c>
      <c r="L16" s="12" t="n">
        <v>1182385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387452</v>
      </c>
      <c r="D18" s="12" t="n"/>
      <c r="E18" s="12" t="n"/>
      <c r="F18" s="12" t="n"/>
      <c r="G18" s="12" t="n">
        <v>428128</v>
      </c>
      <c r="H18" s="11" t="n">
        <v>359958</v>
      </c>
      <c r="I18" s="12" t="n">
        <v>408694</v>
      </c>
      <c r="J18" s="12" t="n">
        <v>405495</v>
      </c>
      <c r="K18" s="12" t="n">
        <v>387452</v>
      </c>
      <c r="L18" s="12" t="n">
        <v>428128</v>
      </c>
    </row>
    <row r="19">
      <c r="A19" s="18" t="inlineStr">
        <is>
          <t>매입채무</t>
        </is>
      </c>
      <c r="B19" s="10" t="n"/>
      <c r="C19" s="19" t="n">
        <v>234869</v>
      </c>
      <c r="D19" s="20" t="n"/>
      <c r="E19" s="20" t="n"/>
      <c r="F19" s="20" t="n"/>
      <c r="G19" s="20" t="n">
        <v>224070</v>
      </c>
      <c r="H19" s="19" t="n">
        <v>218979</v>
      </c>
      <c r="I19" s="20" t="n">
        <v>235900</v>
      </c>
      <c r="J19" s="20" t="n">
        <v>251524</v>
      </c>
      <c r="K19" s="20" t="n">
        <v>234869</v>
      </c>
      <c r="L19" s="20" t="n">
        <v>224070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217311</v>
      </c>
      <c r="D23" s="12" t="n"/>
      <c r="E23" s="12" t="n"/>
      <c r="F23" s="12" t="n"/>
      <c r="G23" s="12" t="n">
        <v>225188</v>
      </c>
      <c r="H23" s="11" t="n">
        <v>180946</v>
      </c>
      <c r="I23" s="12" t="n">
        <v>161802</v>
      </c>
      <c r="J23" s="12" t="n">
        <v>229353</v>
      </c>
      <c r="K23" s="12" t="n">
        <v>217311</v>
      </c>
      <c r="L23" s="12" t="n">
        <v>225188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>
        <v>146531</v>
      </c>
      <c r="D25" s="20" t="n"/>
      <c r="E25" s="20" t="n"/>
      <c r="F25" s="20" t="n"/>
      <c r="G25" s="20" t="n">
        <v>155000</v>
      </c>
      <c r="H25" s="19" t="n">
        <v>111358</v>
      </c>
      <c r="I25" s="20" t="n">
        <v>90000</v>
      </c>
      <c r="J25" s="20" t="n">
        <v>155000</v>
      </c>
      <c r="K25" s="20" t="n">
        <v>146531</v>
      </c>
      <c r="L25" s="20" t="n">
        <v>155000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604763</v>
      </c>
      <c r="D27" s="12" t="n"/>
      <c r="E27" s="12" t="n"/>
      <c r="F27" s="12" t="n"/>
      <c r="G27" s="12" t="n">
        <v>653317</v>
      </c>
      <c r="H27" s="11" t="n">
        <v>540904</v>
      </c>
      <c r="I27" s="12" t="n">
        <v>570497</v>
      </c>
      <c r="J27" s="12" t="n">
        <v>634849</v>
      </c>
      <c r="K27" s="12" t="n">
        <v>604763</v>
      </c>
      <c r="L27" s="12" t="n">
        <v>653317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447420</v>
      </c>
      <c r="D31" s="12" t="n"/>
      <c r="E31" s="12" t="n"/>
      <c r="F31" s="12" t="n"/>
      <c r="G31" s="12" t="n">
        <v>485256</v>
      </c>
      <c r="H31" s="11" t="n">
        <v>386162</v>
      </c>
      <c r="I31" s="12" t="n">
        <v>400741</v>
      </c>
      <c r="J31" s="12" t="n">
        <v>449597</v>
      </c>
      <c r="K31" s="12" t="n">
        <v>447420</v>
      </c>
      <c r="L31" s="12" t="n">
        <v>485256</v>
      </c>
    </row>
    <row r="32">
      <c r="A32" s="18" t="inlineStr">
        <is>
          <t>자본금</t>
        </is>
      </c>
      <c r="B32" s="10" t="n"/>
      <c r="C32" s="19" t="n">
        <v>8400</v>
      </c>
      <c r="D32" s="20" t="n"/>
      <c r="E32" s="20" t="n"/>
      <c r="F32" s="20" t="n"/>
      <c r="G32" s="20" t="n">
        <v>8400</v>
      </c>
      <c r="H32" s="19" t="n">
        <v>8400</v>
      </c>
      <c r="I32" s="20" t="n">
        <v>8400</v>
      </c>
      <c r="J32" s="20" t="n">
        <v>8400</v>
      </c>
      <c r="K32" s="20" t="n">
        <v>8400</v>
      </c>
      <c r="L32" s="20" t="n">
        <v>8400</v>
      </c>
    </row>
    <row r="33">
      <c r="A33" s="18" t="inlineStr">
        <is>
          <t>이익잉여금</t>
        </is>
      </c>
      <c r="B33" s="10" t="n"/>
      <c r="C33" s="19" t="n">
        <v>397533</v>
      </c>
      <c r="D33" s="20" t="n"/>
      <c r="E33" s="20" t="n"/>
      <c r="F33" s="20" t="n"/>
      <c r="G33" s="20" t="n">
        <v>407113</v>
      </c>
      <c r="H33" s="19" t="n">
        <v>345680</v>
      </c>
      <c r="I33" s="20" t="n">
        <v>349426</v>
      </c>
      <c r="J33" s="20" t="n">
        <v>394213</v>
      </c>
      <c r="K33" s="20" t="n">
        <v>397533</v>
      </c>
      <c r="L33" s="20" t="n">
        <v>407113</v>
      </c>
    </row>
    <row r="34">
      <c r="A34" s="18" t="inlineStr">
        <is>
          <t>비지배지분</t>
        </is>
      </c>
      <c r="B34" s="10" t="n"/>
      <c r="C34" s="19" t="n">
        <v>42647</v>
      </c>
      <c r="D34" s="20" t="n"/>
      <c r="E34" s="20" t="n"/>
      <c r="F34" s="20" t="n"/>
      <c r="G34" s="20" t="n">
        <v>43811</v>
      </c>
      <c r="H34" s="19" t="n">
        <v>37672</v>
      </c>
      <c r="I34" s="20" t="n">
        <v>36153</v>
      </c>
      <c r="J34" s="20" t="n">
        <v>44045</v>
      </c>
      <c r="K34" s="20" t="n">
        <v>42647</v>
      </c>
      <c r="L34" s="20" t="n">
        <v>43811</v>
      </c>
    </row>
    <row r="35">
      <c r="A35" s="9" t="inlineStr">
        <is>
          <t>자본총계</t>
        </is>
      </c>
      <c r="B35" s="10" t="n"/>
      <c r="C35" s="11" t="n">
        <v>490067</v>
      </c>
      <c r="D35" s="12" t="n"/>
      <c r="E35" s="12" t="n"/>
      <c r="F35" s="12" t="n"/>
      <c r="G35" s="12" t="n">
        <v>529068</v>
      </c>
      <c r="H35" s="11" t="n">
        <v>423835</v>
      </c>
      <c r="I35" s="12" t="n">
        <v>436894</v>
      </c>
      <c r="J35" s="12" t="n">
        <v>493642</v>
      </c>
      <c r="K35" s="12" t="n">
        <v>490067</v>
      </c>
      <c r="L35" s="12" t="n">
        <v>529068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121834</v>
      </c>
      <c r="D37" s="12" t="n"/>
      <c r="E37" s="12" t="n"/>
      <c r="F37" s="12" t="n"/>
      <c r="G37" s="12" t="n">
        <v>142965</v>
      </c>
      <c r="H37" s="11" t="n">
        <v>122933</v>
      </c>
      <c r="I37" s="12" t="n">
        <v>89428</v>
      </c>
      <c r="J37" s="12" t="n">
        <v>174898</v>
      </c>
      <c r="K37" s="12" t="n">
        <v>121834</v>
      </c>
      <c r="L37" s="12" t="n">
        <v>142965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77637</v>
      </c>
      <c r="D38" s="20" t="n"/>
      <c r="E38" s="20" t="n"/>
      <c r="F38" s="20" t="n"/>
      <c r="G38" s="20" t="n">
        <v>69113</v>
      </c>
      <c r="H38" s="19" t="n">
        <v>37783</v>
      </c>
      <c r="I38" s="20" t="n">
        <v>50465</v>
      </c>
      <c r="J38" s="20" t="n">
        <v>70983</v>
      </c>
      <c r="K38" s="20" t="n">
        <v>77637</v>
      </c>
      <c r="L38" s="20" t="n">
        <v>69113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15352</v>
      </c>
      <c r="D40" s="20" t="n"/>
      <c r="E40" s="20" t="n"/>
      <c r="F40" s="20" t="n"/>
      <c r="G40" s="20" t="n">
        <v>15363</v>
      </c>
      <c r="H40" s="19" t="n">
        <v>12516</v>
      </c>
      <c r="I40" s="20" t="n">
        <v>12517</v>
      </c>
      <c r="J40" s="20" t="n">
        <v>14577</v>
      </c>
      <c r="K40" s="20" t="n">
        <v>15352</v>
      </c>
      <c r="L40" s="20" t="n">
        <v>15363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IFERROR(IF((IF(COUNT('연간'!G59:J59)&lt;4,"",SUM('연간'!G59:J59)))&lt;=0,"적자",C28/(IF(COUNT('연간'!G59:J59)&lt;4,"",SUM('연간'!G59:J59)))),"")</f>
        <v/>
      </c>
      <c r="D49" s="46">
        <f>IFERROR(IF((IF(COUNT('연간'!H59:K59)&lt;4,"",SUM('연간'!H59:K59)))&lt;=0,"적자",D28/(IF(COUNT('연간'!H59:K59)&lt;4,"",SUM('연간'!H59:K59)))),"")</f>
        <v/>
      </c>
      <c r="E49" s="46">
        <f>IFERROR(IF((IF(COUNT('연간'!I59:L59)&lt;4,"",SUM('연간'!I59:L59)))&lt;=0,"적자",E28/(IF(COUNT('연간'!I59:L59)&lt;4,"",SUM('연간'!I59:L59)))),"")</f>
        <v/>
      </c>
      <c r="F49" s="46">
        <f>IFERROR(IF((IF(COUNT('연간'!J59:M59)&lt;4,"",SUM('연간'!J59:M59)))&lt;=0,"적자",F28/(IF(COUNT('연간'!J59:M59)&lt;4,"",SUM('연간'!J59:M59)))),"")</f>
        <v/>
      </c>
      <c r="G49" s="46">
        <f>IFERROR(IF((IF(COUNT('연간'!K59:N59)&lt;4,"",SUM('연간'!K59:N59)))&lt;=0,"적자",G28/(IF(COUNT('연간'!K59:N59)&lt;4,"",SUM('연간'!K59:N59)))),"")</f>
        <v/>
      </c>
      <c r="H49" s="45">
        <f>IFERROR(IF(('연간'!T59)&lt;=0,"적자",H28/('연간'!T59)),"")</f>
        <v/>
      </c>
      <c r="I49" s="46">
        <f>IFERROR(IF(('연간'!U59)&lt;=0,"적자",I28/('연간'!U59)),"")</f>
        <v/>
      </c>
      <c r="J49" s="46">
        <f>IFERROR(IF(('연간'!V59)&lt;=0,"적자",J28/('연간'!V59)),"")</f>
        <v/>
      </c>
      <c r="K49" s="46">
        <f>IFERROR(IF(('연간'!W59)&lt;=0,"적자",K28/('연간'!W59)),"")</f>
        <v/>
      </c>
      <c r="L49" s="46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IFERROR(C9/(IF(COUNT('연간'!G26:J26)&lt;4,"",SUM('연간'!G26:J26)))*365,"")</f>
        <v/>
      </c>
      <c r="D60" s="48">
        <f>IFERROR(D9/(IF(COUNT('연간'!H26:K26)&lt;4,"",SUM('연간'!H26:K26)))*365,"")</f>
        <v/>
      </c>
      <c r="E60" s="48">
        <f>IFERROR(E9/(IF(COUNT('연간'!I26:L26)&lt;4,"",SUM('연간'!I26:L26)))*365,"")</f>
        <v/>
      </c>
      <c r="F60" s="48">
        <f>IFERROR(F9/(IF(COUNT('연간'!J26:M26)&lt;4,"",SUM('연간'!J26:M26)))*365,"")</f>
        <v/>
      </c>
      <c r="G60" s="48">
        <f>IFERROR(G9/(IF(COUNT('연간'!K26:N26)&lt;4,"",SUM('연간'!K26:N26)))*365,"")</f>
        <v/>
      </c>
      <c r="H60" s="47">
        <f>IFERROR(H9/('연간'!T26)*365,"")</f>
        <v/>
      </c>
      <c r="I60" s="48">
        <f>IFERROR(I9/('연간'!U26)*365,"")</f>
        <v/>
      </c>
      <c r="J60" s="48">
        <f>IFERROR(J9/('연간'!V26)*365,"")</f>
        <v/>
      </c>
      <c r="K60" s="48">
        <f>IFERROR(K9/('연간'!W26)*365,"")</f>
        <v/>
      </c>
      <c r="L60" s="48">
        <f>IFERROR(L9/('연간'!X26)*365,"")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IFERROR(C19/(IF(COUNT('연간'!G26:J26)&lt;4,"",SUM('연간'!G26:J26)))*365,"")</f>
        <v/>
      </c>
      <c r="D61" s="48">
        <f>IFERROR(D19/(IF(COUNT('연간'!H26:K26)&lt;4,"",SUM('연간'!H26:K26)))*365,"")</f>
        <v/>
      </c>
      <c r="E61" s="48">
        <f>IFERROR(E19/(IF(COUNT('연간'!I26:L26)&lt;4,"",SUM('연간'!I26:L26)))*365,"")</f>
        <v/>
      </c>
      <c r="F61" s="48">
        <f>IFERROR(F19/(IF(COUNT('연간'!J26:M26)&lt;4,"",SUM('연간'!J26:M26)))*365,"")</f>
        <v/>
      </c>
      <c r="G61" s="48">
        <f>IFERROR(G19/(IF(COUNT('연간'!K26:N26)&lt;4,"",SUM('연간'!K26:N26)))*365,"")</f>
        <v/>
      </c>
      <c r="H61" s="47">
        <f>IFERROR(H19/('연간'!T26)*365,"")</f>
        <v/>
      </c>
      <c r="I61" s="48">
        <f>IFERROR(I19/('연간'!U26)*365,"")</f>
        <v/>
      </c>
      <c r="J61" s="48">
        <f>IFERROR(J19/('연간'!V26)*365,"")</f>
        <v/>
      </c>
      <c r="K61" s="48">
        <f>IFERROR(K19/('연간'!W26)*365,"")</f>
        <v/>
      </c>
      <c r="L61" s="48">
        <f>IFERROR(L19/('연간'!X26)*365,"")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249721</v>
      </c>
      <c r="G71" s="20" t="n">
        <v>278507</v>
      </c>
      <c r="H71" s="20" t="n">
        <v>237952</v>
      </c>
      <c r="I71" s="20" t="n">
        <v>248195</v>
      </c>
      <c r="J71" s="20" t="n">
        <v>244191</v>
      </c>
      <c r="K71" s="20" t="n">
        <v>249721</v>
      </c>
      <c r="L71" s="20" t="n">
        <v>278507</v>
      </c>
    </row>
    <row r="72">
      <c r="A72" s="18" t="inlineStr">
        <is>
          <t>영업채권 및 기타채권</t>
        </is>
      </c>
      <c r="C72" s="20" t="n">
        <v>290236</v>
      </c>
      <c r="G72" s="20" t="n">
        <v>297783</v>
      </c>
      <c r="H72" s="20" t="n">
        <v>261814</v>
      </c>
      <c r="I72" s="20" t="n">
        <v>286181</v>
      </c>
      <c r="J72" s="20" t="n">
        <v>304115</v>
      </c>
      <c r="K72" s="20" t="n">
        <v>290236</v>
      </c>
      <c r="L72" s="20" t="n">
        <v>297783</v>
      </c>
    </row>
    <row r="73">
      <c r="A73" s="18" t="inlineStr">
        <is>
          <t>재고자산</t>
        </is>
      </c>
      <c r="C73" s="20" t="n">
        <v>87142</v>
      </c>
      <c r="G73" s="20" t="n">
        <v>94018</v>
      </c>
      <c r="H73" s="20" t="n">
        <v>79345</v>
      </c>
      <c r="I73" s="20" t="n">
        <v>87684</v>
      </c>
      <c r="J73" s="20" t="n">
        <v>83648</v>
      </c>
      <c r="K73" s="20" t="n">
        <v>87142</v>
      </c>
      <c r="L73" s="20" t="n">
        <v>94018</v>
      </c>
    </row>
    <row r="74">
      <c r="A74" s="18" t="inlineStr">
        <is>
          <t>기타금융자산</t>
        </is>
      </c>
      <c r="C74" s="20" t="n">
        <v>19191</v>
      </c>
      <c r="G74" s="20" t="n">
        <v>29429</v>
      </c>
      <c r="H74" s="20" t="n">
        <v>19990</v>
      </c>
      <c r="I74" s="20" t="n">
        <v>14596</v>
      </c>
      <c r="J74" s="20" t="n">
        <v>32235</v>
      </c>
      <c r="K74" s="20" t="n">
        <v>19191</v>
      </c>
      <c r="L74" s="20" t="n">
        <v>29429</v>
      </c>
    </row>
    <row r="75">
      <c r="A75" s="18" t="inlineStr">
        <is>
          <t>미수법인세</t>
        </is>
      </c>
      <c r="C75" s="20" t="n">
        <v>7882</v>
      </c>
      <c r="G75" s="20" t="n">
        <v>6156</v>
      </c>
      <c r="H75" s="20" t="n">
        <v>3279</v>
      </c>
      <c r="I75" s="20" t="n">
        <v>6648</v>
      </c>
      <c r="J75" s="20" t="n">
        <v>17084</v>
      </c>
      <c r="K75" s="20" t="n">
        <v>7882</v>
      </c>
      <c r="L75" s="20" t="n">
        <v>6156</v>
      </c>
    </row>
    <row r="76">
      <c r="A76" s="18" t="inlineStr">
        <is>
          <t>기타유동자산</t>
        </is>
      </c>
      <c r="C76" s="20" t="n">
        <v>14457</v>
      </c>
      <c r="G76" s="20" t="n">
        <v>17492</v>
      </c>
      <c r="H76" s="20" t="n">
        <v>11933</v>
      </c>
      <c r="I76" s="20" t="n">
        <v>12975</v>
      </c>
      <c r="J76" s="20" t="n">
        <v>13449</v>
      </c>
      <c r="K76" s="20" t="n">
        <v>14457</v>
      </c>
      <c r="L76" s="20" t="n">
        <v>17492</v>
      </c>
    </row>
    <row r="77">
      <c r="A77" s="9" t="inlineStr">
        <is>
          <t>소계</t>
        </is>
      </c>
      <c r="C77" s="12" t="n">
        <v>668631</v>
      </c>
      <c r="I77" s="12" t="n">
        <v>656281</v>
      </c>
      <c r="J77" s="12" t="n">
        <v>694725</v>
      </c>
      <c r="K77" s="12" t="n">
        <v>668631</v>
      </c>
    </row>
    <row r="78">
      <c r="A78" s="18" t="inlineStr">
        <is>
          <t>매각예정 자산</t>
        </is>
      </c>
      <c r="C78" s="20" t="n">
        <v>0</v>
      </c>
      <c r="I78" s="20" t="n">
        <v>0</v>
      </c>
      <c r="J78" s="20" t="n">
        <v>14063</v>
      </c>
      <c r="K78" s="20" t="n">
        <v>0</v>
      </c>
    </row>
    <row r="79">
      <c r="A79" s="9" t="inlineStr">
        <is>
          <t>유동자산 합계</t>
        </is>
      </c>
      <c r="C79" s="12" t="n">
        <v>668631</v>
      </c>
      <c r="G79" s="12" t="n">
        <v>723387</v>
      </c>
      <c r="H79" s="12" t="n">
        <v>614317</v>
      </c>
      <c r="I79" s="12" t="n">
        <v>656281</v>
      </c>
      <c r="J79" s="12" t="n">
        <v>708788</v>
      </c>
      <c r="K79" s="12" t="n">
        <v>668631</v>
      </c>
      <c r="L79" s="12" t="n">
        <v>723387</v>
      </c>
    </row>
    <row r="80">
      <c r="A80" s="18" t="inlineStr">
        <is>
          <t>유형자산</t>
        </is>
      </c>
      <c r="C80" s="20" t="n">
        <v>317221</v>
      </c>
      <c r="G80" s="20" t="n">
        <v>345387</v>
      </c>
      <c r="H80" s="20" t="n">
        <v>270477</v>
      </c>
      <c r="I80" s="20" t="n">
        <v>276096</v>
      </c>
      <c r="J80" s="20" t="n">
        <v>329783</v>
      </c>
      <c r="K80" s="20" t="n">
        <v>317221</v>
      </c>
      <c r="L80" s="20" t="n">
        <v>345387</v>
      </c>
    </row>
    <row r="81">
      <c r="A81" s="18" t="inlineStr">
        <is>
          <t>영업권</t>
        </is>
      </c>
      <c r="C81" s="20" t="n">
        <v>4938</v>
      </c>
      <c r="G81" s="20" t="n">
        <v>4937</v>
      </c>
      <c r="H81" s="20" t="n">
        <v>4889</v>
      </c>
      <c r="I81" s="20" t="n">
        <v>4898</v>
      </c>
      <c r="J81" s="20" t="n">
        <v>4916</v>
      </c>
      <c r="K81" s="20" t="n">
        <v>4938</v>
      </c>
      <c r="L81" s="20" t="n">
        <v>4937</v>
      </c>
    </row>
    <row r="82">
      <c r="A82" s="18" t="inlineStr">
        <is>
          <t>무형자산</t>
        </is>
      </c>
      <c r="C82" s="20" t="n">
        <v>19548</v>
      </c>
      <c r="G82" s="20" t="n">
        <v>18683</v>
      </c>
      <c r="H82" s="20" t="n">
        <v>13060</v>
      </c>
      <c r="I82" s="20" t="n">
        <v>14237</v>
      </c>
      <c r="J82" s="20" t="n">
        <v>19597</v>
      </c>
      <c r="K82" s="20" t="n">
        <v>19548</v>
      </c>
      <c r="L82" s="20" t="n">
        <v>18683</v>
      </c>
    </row>
    <row r="83">
      <c r="A83" s="18" t="inlineStr">
        <is>
          <t>지분법 투자</t>
        </is>
      </c>
      <c r="C83" s="20" t="n">
        <v>14002</v>
      </c>
      <c r="G83" s="20" t="n">
        <v>16430</v>
      </c>
      <c r="H83" s="20" t="n">
        <v>13377</v>
      </c>
      <c r="I83" s="20" t="n">
        <v>13661</v>
      </c>
      <c r="J83" s="20" t="n">
        <v>11778</v>
      </c>
      <c r="K83" s="20" t="n">
        <v>14002</v>
      </c>
      <c r="L83" s="20" t="n">
        <v>16430</v>
      </c>
    </row>
    <row r="84">
      <c r="A84" s="18" t="inlineStr">
        <is>
          <t>기타금융자산</t>
        </is>
      </c>
      <c r="C84" s="20" t="n">
        <v>33923</v>
      </c>
      <c r="G84" s="20" t="n">
        <v>39585</v>
      </c>
      <c r="H84" s="20" t="n">
        <v>27563</v>
      </c>
      <c r="I84" s="20" t="n">
        <v>27643</v>
      </c>
      <c r="J84" s="20" t="n">
        <v>36887</v>
      </c>
      <c r="K84" s="20" t="n">
        <v>33923</v>
      </c>
      <c r="L84" s="20" t="n">
        <v>39585</v>
      </c>
    </row>
    <row r="85">
      <c r="A85" s="18" t="inlineStr">
        <is>
          <t>이연법인세자산</t>
        </is>
      </c>
      <c r="C85" s="20" t="n">
        <v>32846</v>
      </c>
      <c r="G85" s="20" t="n">
        <v>30578</v>
      </c>
      <c r="H85" s="20" t="n">
        <v>19355</v>
      </c>
      <c r="I85" s="20" t="n">
        <v>12857</v>
      </c>
      <c r="J85" s="20" t="n">
        <v>14281</v>
      </c>
      <c r="K85" s="20" t="n">
        <v>32846</v>
      </c>
      <c r="L85" s="20" t="n">
        <v>30578</v>
      </c>
    </row>
    <row r="86">
      <c r="A86" s="18" t="inlineStr">
        <is>
          <t>기타비유동자산</t>
        </is>
      </c>
      <c r="C86" s="20" t="n">
        <v>3719</v>
      </c>
      <c r="G86" s="20" t="n">
        <v>3394</v>
      </c>
      <c r="H86" s="20" t="n">
        <v>1698</v>
      </c>
      <c r="I86" s="20" t="n">
        <v>1714</v>
      </c>
      <c r="J86" s="20" t="n">
        <v>2458</v>
      </c>
      <c r="K86" s="20" t="n">
        <v>3719</v>
      </c>
      <c r="L86" s="20" t="n">
        <v>3394</v>
      </c>
    </row>
    <row r="87">
      <c r="A87" s="18" t="inlineStr">
        <is>
          <t>비유동자산 합계</t>
        </is>
      </c>
      <c r="C87" s="20" t="n">
        <v>426199</v>
      </c>
      <c r="G87" s="20" t="n">
        <v>458997</v>
      </c>
      <c r="H87" s="20" t="n">
        <v>350422</v>
      </c>
      <c r="I87" s="20" t="n">
        <v>351110</v>
      </c>
      <c r="J87" s="20" t="n">
        <v>419703</v>
      </c>
      <c r="K87" s="20" t="n">
        <v>426199</v>
      </c>
      <c r="L87" s="20" t="n">
        <v>458997</v>
      </c>
    </row>
    <row r="88">
      <c r="A88" s="18" t="inlineStr">
        <is>
          <t>자산 합계</t>
        </is>
      </c>
      <c r="C88" s="20" t="n">
        <v>1094831</v>
      </c>
      <c r="G88" s="20" t="n">
        <v>1182385</v>
      </c>
      <c r="H88" s="20" t="n">
        <v>964740</v>
      </c>
      <c r="I88" s="20" t="n">
        <v>1007392</v>
      </c>
      <c r="J88" s="20" t="n">
        <v>1128491</v>
      </c>
      <c r="K88" s="20" t="n">
        <v>1094831</v>
      </c>
      <c r="L88" s="20" t="n">
        <v>1182385</v>
      </c>
    </row>
    <row r="89">
      <c r="A89" s="18" t="inlineStr">
        <is>
          <t>영업채무 및 기타채무</t>
        </is>
      </c>
      <c r="C89" s="20" t="n">
        <v>234869</v>
      </c>
      <c r="G89" s="20" t="n">
        <v>224070</v>
      </c>
      <c r="H89" s="20" t="n">
        <v>218979</v>
      </c>
      <c r="I89" s="20" t="n">
        <v>235900</v>
      </c>
      <c r="J89" s="20" t="n">
        <v>251524</v>
      </c>
      <c r="K89" s="20" t="n">
        <v>234869</v>
      </c>
      <c r="L89" s="20" t="n">
        <v>224070</v>
      </c>
    </row>
    <row r="90">
      <c r="A90" s="18" t="inlineStr">
        <is>
          <t>사채 및 차입금</t>
        </is>
      </c>
      <c r="C90" s="20" t="n">
        <v>20787</v>
      </c>
      <c r="G90" s="20" t="n">
        <v>34335</v>
      </c>
      <c r="H90" s="20" t="n">
        <v>28381</v>
      </c>
      <c r="I90" s="20" t="n">
        <v>64229</v>
      </c>
      <c r="J90" s="20" t="n">
        <v>10000</v>
      </c>
      <c r="K90" s="20" t="n">
        <v>20787</v>
      </c>
      <c r="L90" s="20" t="n">
        <v>34335</v>
      </c>
    </row>
    <row r="91">
      <c r="A91" s="18" t="inlineStr">
        <is>
          <t>기타금융부채</t>
        </is>
      </c>
      <c r="C91" s="20" t="n">
        <v>5149</v>
      </c>
      <c r="G91" s="20" t="n">
        <v>5694</v>
      </c>
      <c r="H91" s="20" t="n">
        <v>4622</v>
      </c>
      <c r="I91" s="20" t="n">
        <v>3735</v>
      </c>
      <c r="J91" s="20" t="n">
        <v>4951</v>
      </c>
      <c r="K91" s="20" t="n">
        <v>5149</v>
      </c>
      <c r="L91" s="20" t="n">
        <v>5694</v>
      </c>
    </row>
    <row r="92">
      <c r="A92" s="18" t="inlineStr">
        <is>
          <t>미지급법인세</t>
        </is>
      </c>
      <c r="C92" s="20" t="n">
        <v>14836</v>
      </c>
      <c r="G92" s="20" t="n">
        <v>13653</v>
      </c>
      <c r="H92" s="20" t="n">
        <v>9359</v>
      </c>
      <c r="I92" s="20" t="n">
        <v>9665</v>
      </c>
      <c r="J92" s="20" t="n">
        <v>12973</v>
      </c>
      <c r="K92" s="20" t="n">
        <v>14836</v>
      </c>
      <c r="L92" s="20" t="n">
        <v>13653</v>
      </c>
    </row>
    <row r="93">
      <c r="A93" s="18" t="inlineStr">
        <is>
          <t>충당금</t>
        </is>
      </c>
      <c r="C93" s="20" t="n">
        <v>7155</v>
      </c>
      <c r="G93" s="20" t="n">
        <v>29107</v>
      </c>
      <c r="H93" s="20" t="n">
        <v>6358</v>
      </c>
      <c r="I93" s="20" t="n">
        <v>6724</v>
      </c>
      <c r="J93" s="20" t="n">
        <v>4699</v>
      </c>
      <c r="K93" s="20" t="n">
        <v>7155</v>
      </c>
      <c r="L93" s="20" t="n">
        <v>29107</v>
      </c>
    </row>
    <row r="94">
      <c r="A94" s="18" t="inlineStr">
        <is>
          <t>기타유동부채</t>
        </is>
      </c>
      <c r="C94" s="20" t="n">
        <v>104653</v>
      </c>
      <c r="G94" s="20" t="n">
        <v>121267</v>
      </c>
      <c r="H94" s="20" t="n">
        <v>92256</v>
      </c>
      <c r="I94" s="20" t="n">
        <v>88438</v>
      </c>
      <c r="J94" s="20" t="n">
        <v>111739</v>
      </c>
      <c r="K94" s="20" t="n">
        <v>104653</v>
      </c>
      <c r="L94" s="20" t="n">
        <v>121267</v>
      </c>
    </row>
    <row r="95">
      <c r="A95" s="18" t="inlineStr">
        <is>
          <t>소계</t>
        </is>
      </c>
      <c r="C95" s="20" t="n">
        <v>387452</v>
      </c>
      <c r="I95" s="20" t="n">
        <v>408694</v>
      </c>
      <c r="J95" s="20" t="n">
        <v>395888</v>
      </c>
      <c r="K95" s="20" t="n">
        <v>387452</v>
      </c>
    </row>
    <row r="96">
      <c r="A96" s="18" t="inlineStr">
        <is>
          <t>매각예정 자산 직접 관련 부채</t>
        </is>
      </c>
      <c r="C96" s="20" t="n">
        <v>0</v>
      </c>
      <c r="I96" s="20" t="n">
        <v>0</v>
      </c>
      <c r="J96" s="20" t="n">
        <v>9607</v>
      </c>
      <c r="K96" s="20" t="n">
        <v>0</v>
      </c>
    </row>
    <row r="97">
      <c r="A97" s="18" t="inlineStr">
        <is>
          <t>유동부채 합계</t>
        </is>
      </c>
      <c r="C97" s="20" t="n">
        <v>387452</v>
      </c>
      <c r="G97" s="20" t="n">
        <v>428128</v>
      </c>
      <c r="H97" s="20" t="n">
        <v>359958</v>
      </c>
      <c r="I97" s="20" t="n">
        <v>408694</v>
      </c>
      <c r="J97" s="20" t="n">
        <v>405495</v>
      </c>
      <c r="K97" s="20" t="n">
        <v>387452</v>
      </c>
      <c r="L97" s="20" t="n">
        <v>428128</v>
      </c>
    </row>
    <row r="98">
      <c r="A98" s="18" t="inlineStr">
        <is>
          <t>사채 및 차입금</t>
        </is>
      </c>
      <c r="C98" s="20" t="n">
        <v>146531</v>
      </c>
      <c r="G98" s="20" t="n">
        <v>155000</v>
      </c>
      <c r="H98" s="20" t="n">
        <v>111358</v>
      </c>
      <c r="I98" s="20" t="n">
        <v>90000</v>
      </c>
      <c r="J98" s="20" t="n">
        <v>155000</v>
      </c>
      <c r="K98" s="20" t="n">
        <v>146531</v>
      </c>
      <c r="L98" s="20" t="n">
        <v>155000</v>
      </c>
    </row>
    <row r="99">
      <c r="A99" s="18" t="inlineStr">
        <is>
          <t>기타금융부채</t>
        </is>
      </c>
      <c r="C99" s="20" t="n">
        <v>7338</v>
      </c>
      <c r="G99" s="20" t="n">
        <v>7181</v>
      </c>
      <c r="H99" s="20" t="n">
        <v>7901</v>
      </c>
      <c r="I99" s="20" t="n">
        <v>8452</v>
      </c>
      <c r="J99" s="20" t="n">
        <v>7591</v>
      </c>
      <c r="K99" s="20" t="n">
        <v>7338</v>
      </c>
      <c r="L99" s="20" t="n">
        <v>7181</v>
      </c>
    </row>
    <row r="100">
      <c r="A100" s="18" t="inlineStr">
        <is>
          <t>퇴직급여부채</t>
        </is>
      </c>
      <c r="C100" s="20" t="n">
        <v>55075</v>
      </c>
      <c r="G100" s="20" t="n">
        <v>52137</v>
      </c>
      <c r="H100" s="20" t="n">
        <v>56107</v>
      </c>
      <c r="I100" s="20" t="n">
        <v>55524</v>
      </c>
      <c r="J100" s="20" t="n">
        <v>57883</v>
      </c>
      <c r="K100" s="20" t="n">
        <v>55075</v>
      </c>
      <c r="L100" s="20" t="n">
        <v>52137</v>
      </c>
    </row>
    <row r="101">
      <c r="A101" s="18" t="inlineStr">
        <is>
          <t>충당금</t>
        </is>
      </c>
      <c r="C101" s="20" t="n">
        <v>713</v>
      </c>
      <c r="G101" s="20" t="n">
        <v>712</v>
      </c>
      <c r="H101" s="20" t="n">
        <v>288</v>
      </c>
      <c r="I101" s="20" t="n">
        <v>297</v>
      </c>
      <c r="J101" s="20" t="n">
        <v>730</v>
      </c>
      <c r="K101" s="20" t="n">
        <v>713</v>
      </c>
      <c r="L101" s="20" t="n">
        <v>712</v>
      </c>
    </row>
    <row r="102">
      <c r="A102" s="18" t="inlineStr">
        <is>
          <t>이연법인세부채</t>
        </is>
      </c>
      <c r="C102" s="20" t="n">
        <v>5000</v>
      </c>
      <c r="G102" s="20" t="n">
        <v>6622</v>
      </c>
      <c r="H102" s="20" t="n">
        <v>3352</v>
      </c>
      <c r="I102" s="20" t="n">
        <v>5492</v>
      </c>
      <c r="J102" s="20" t="n">
        <v>5766</v>
      </c>
      <c r="K102" s="20" t="n">
        <v>5000</v>
      </c>
      <c r="L102" s="20" t="n">
        <v>6622</v>
      </c>
    </row>
    <row r="103">
      <c r="A103" s="18" t="inlineStr">
        <is>
          <t>기타비유동부채</t>
        </is>
      </c>
      <c r="C103" s="20" t="n">
        <v>2652</v>
      </c>
      <c r="G103" s="20" t="n">
        <v>3535</v>
      </c>
      <c r="H103" s="20" t="n">
        <v>1937</v>
      </c>
      <c r="I103" s="20" t="n">
        <v>2035</v>
      </c>
      <c r="J103" s="20" t="n">
        <v>2381</v>
      </c>
      <c r="K103" s="20" t="n">
        <v>2652</v>
      </c>
      <c r="L103" s="20" t="n">
        <v>3535</v>
      </c>
    </row>
    <row r="104">
      <c r="A104" s="18" t="inlineStr">
        <is>
          <t>비유동부채 합계</t>
        </is>
      </c>
      <c r="C104" s="20" t="n">
        <v>217311</v>
      </c>
      <c r="G104" s="20" t="n">
        <v>225188</v>
      </c>
      <c r="H104" s="20" t="n">
        <v>180946</v>
      </c>
      <c r="I104" s="20" t="n">
        <v>161802</v>
      </c>
      <c r="J104" s="20" t="n">
        <v>229353</v>
      </c>
      <c r="K104" s="20" t="n">
        <v>217311</v>
      </c>
      <c r="L104" s="20" t="n">
        <v>225188</v>
      </c>
    </row>
    <row r="105">
      <c r="A105" s="18" t="inlineStr">
        <is>
          <t>부채 합계</t>
        </is>
      </c>
      <c r="C105" s="20" t="n">
        <v>604763</v>
      </c>
      <c r="G105" s="20" t="n">
        <v>653317</v>
      </c>
      <c r="H105" s="20" t="n">
        <v>540904</v>
      </c>
      <c r="I105" s="20" t="n">
        <v>570497</v>
      </c>
      <c r="J105" s="20" t="n">
        <v>634849</v>
      </c>
      <c r="K105" s="20" t="n">
        <v>604763</v>
      </c>
      <c r="L105" s="20" t="n">
        <v>653317</v>
      </c>
    </row>
    <row r="106">
      <c r="A106" s="18" t="inlineStr">
        <is>
          <t>자본금</t>
        </is>
      </c>
      <c r="C106" s="20" t="n">
        <v>8400</v>
      </c>
      <c r="G106" s="20" t="n">
        <v>8400</v>
      </c>
      <c r="H106" s="20" t="n">
        <v>8400</v>
      </c>
      <c r="I106" s="20" t="n">
        <v>8400</v>
      </c>
      <c r="J106" s="20" t="n">
        <v>8400</v>
      </c>
      <c r="K106" s="20" t="n">
        <v>8400</v>
      </c>
      <c r="L106" s="20" t="n">
        <v>8400</v>
      </c>
    </row>
    <row r="107">
      <c r="A107" s="18" t="inlineStr">
        <is>
          <t>자본잉여금</t>
        </is>
      </c>
      <c r="C107" s="20" t="n">
        <v>3245</v>
      </c>
      <c r="G107" s="20" t="n">
        <v>3339</v>
      </c>
      <c r="H107" s="20" t="n">
        <v>3097</v>
      </c>
      <c r="I107" s="20" t="n">
        <v>3101</v>
      </c>
      <c r="J107" s="20" t="n">
        <v>3095</v>
      </c>
      <c r="K107" s="20" t="n">
        <v>3245</v>
      </c>
      <c r="L107" s="20" t="n">
        <v>3339</v>
      </c>
    </row>
    <row r="108">
      <c r="A108" s="18" t="inlineStr">
        <is>
          <t>이익잉여금</t>
        </is>
      </c>
      <c r="C108" s="20" t="n">
        <v>397533</v>
      </c>
      <c r="G108" s="20" t="n">
        <v>407113</v>
      </c>
      <c r="H108" s="20" t="n">
        <v>345680</v>
      </c>
      <c r="I108" s="20" t="n">
        <v>349426</v>
      </c>
      <c r="J108" s="20" t="n">
        <v>394213</v>
      </c>
      <c r="K108" s="20" t="n">
        <v>397533</v>
      </c>
      <c r="L108" s="20" t="n">
        <v>407113</v>
      </c>
    </row>
    <row r="109">
      <c r="A109" s="18" t="inlineStr">
        <is>
          <t>자기주식</t>
        </is>
      </c>
      <c r="C109" s="20" t="n">
        <v>-21211</v>
      </c>
      <c r="G109" s="20" t="n">
        <v>-21170</v>
      </c>
      <c r="H109" s="20" t="n">
        <v>-1583</v>
      </c>
      <c r="I109" s="20" t="n">
        <v>-1547</v>
      </c>
      <c r="J109" s="20" t="n">
        <v>-21515</v>
      </c>
      <c r="K109" s="20" t="n">
        <v>-21211</v>
      </c>
      <c r="L109" s="20" t="n">
        <v>-21170</v>
      </c>
    </row>
    <row r="110">
      <c r="A110" s="18" t="inlineStr">
        <is>
          <t>기타자본구성요소</t>
        </is>
      </c>
      <c r="C110" s="20" t="n">
        <v>59452</v>
      </c>
      <c r="G110" s="20" t="n">
        <v>87574</v>
      </c>
      <c r="H110" s="20" t="n">
        <v>30567</v>
      </c>
      <c r="I110" s="20" t="n">
        <v>41360</v>
      </c>
      <c r="J110" s="20" t="n">
        <v>65403</v>
      </c>
      <c r="K110" s="20" t="n">
        <v>59452</v>
      </c>
      <c r="L110" s="20" t="n">
        <v>87574</v>
      </c>
    </row>
    <row r="111">
      <c r="A111" s="18" t="inlineStr">
        <is>
          <t>지배기업 소유주 귀속 지분 합계</t>
        </is>
      </c>
      <c r="C111" s="20" t="n">
        <v>447420</v>
      </c>
      <c r="G111" s="20" t="n">
        <v>485256</v>
      </c>
      <c r="H111" s="20" t="n">
        <v>386162</v>
      </c>
      <c r="I111" s="20" t="n">
        <v>400741</v>
      </c>
      <c r="J111" s="20" t="n">
        <v>449597</v>
      </c>
      <c r="K111" s="20" t="n">
        <v>447420</v>
      </c>
      <c r="L111" s="20" t="n">
        <v>485256</v>
      </c>
    </row>
    <row r="112">
      <c r="A112" s="18" t="inlineStr">
        <is>
          <t>비지배지분</t>
        </is>
      </c>
      <c r="C112" s="20" t="n">
        <v>42647</v>
      </c>
      <c r="G112" s="20" t="n">
        <v>43811</v>
      </c>
      <c r="H112" s="20" t="n">
        <v>37672</v>
      </c>
      <c r="I112" s="20" t="n">
        <v>36153</v>
      </c>
      <c r="J112" s="20" t="n">
        <v>44045</v>
      </c>
      <c r="K112" s="20" t="n">
        <v>42647</v>
      </c>
      <c r="L112" s="20" t="n">
        <v>43811</v>
      </c>
    </row>
    <row r="113">
      <c r="A113" s="18" t="inlineStr">
        <is>
          <t>자본 합계</t>
        </is>
      </c>
      <c r="C113" s="20" t="n">
        <v>490067</v>
      </c>
      <c r="G113" s="20" t="n">
        <v>529068</v>
      </c>
      <c r="H113" s="20" t="n">
        <v>423835</v>
      </c>
      <c r="I113" s="20" t="n">
        <v>436894</v>
      </c>
      <c r="J113" s="20" t="n">
        <v>493642</v>
      </c>
      <c r="K113" s="20" t="n">
        <v>490067</v>
      </c>
      <c r="L113" s="20" t="n">
        <v>529068</v>
      </c>
    </row>
    <row r="114">
      <c r="A114" s="18" t="inlineStr">
        <is>
          <t>부채및자본 합계</t>
        </is>
      </c>
      <c r="C114" s="20" t="n">
        <v>1094831</v>
      </c>
      <c r="G114" s="20" t="n">
        <v>1182385</v>
      </c>
      <c r="H114" s="20" t="n">
        <v>964740</v>
      </c>
      <c r="I114" s="20" t="n">
        <v>1007392</v>
      </c>
      <c r="J114" s="20" t="n">
        <v>1128491</v>
      </c>
      <c r="K114" s="20" t="n">
        <v>1094831</v>
      </c>
      <c r="L114" s="20" t="n">
        <v>1182385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2026-04-28</t>
        </is>
      </c>
      <c r="B4" t="inlineStr">
        <is>
          <t>2026년 3월 결산기 연간 결산단신</t>
        </is>
      </c>
      <c r="C4" t="inlineStr">
        <is>
          <t>https://www2.jpx.co.jp/disc/31160/140120260427511192.pdf</t>
        </is>
      </c>
    </row>
    <row r="5">
      <c r="A5" t="inlineStr">
        <is>
          <t>2025-04-25</t>
        </is>
      </c>
      <c r="B5" t="inlineStr">
        <is>
          <t>2025년 3월 결산기 연간 결산단신</t>
        </is>
      </c>
      <c r="C5" t="inlineStr">
        <is>
          <t>https://www2.jpx.co.jp/disc/31160/140120250424521955.pdf</t>
        </is>
      </c>
    </row>
    <row r="6">
      <c r="A6" t="inlineStr">
        <is>
          <t>2024-04-26</t>
        </is>
      </c>
      <c r="B6" t="inlineStr">
        <is>
          <t>2024년 3월 결산기 연간 결산단신</t>
        </is>
      </c>
      <c r="C6" t="inlineStr">
        <is>
          <t>https://www2.jpx.co.jp/disc/31160/140120240425577378.pdf</t>
        </is>
      </c>
    </row>
    <row r="7">
      <c r="A7" t="inlineStr">
        <is>
          <t>2023-04-27</t>
        </is>
      </c>
      <c r="B7" t="inlineStr">
        <is>
          <t>2023년 3월 결산기 연간 결산단신</t>
        </is>
      </c>
      <c r="C7" t="inlineStr">
        <is>
          <t>https://www2.jpx.co.jp/disc/31160/140120230426553735.pdf</t>
        </is>
      </c>
    </row>
    <row r="8">
      <c r="A8" t="inlineStr">
        <is>
          <t>2022-04-28</t>
        </is>
      </c>
      <c r="B8" t="inlineStr">
        <is>
          <t>2022년 3월 결산기 연간 결산단신</t>
        </is>
      </c>
      <c r="C8" t="inlineStr">
        <is>
          <t>https://www2.jpx.co.jp/disc/31160/140120220427530128.pdf</t>
        </is>
      </c>
    </row>
    <row r="9">
      <c r="A9" t="inlineStr">
        <is>
          <t>2021-04-28</t>
        </is>
      </c>
      <c r="B9" t="inlineStr">
        <is>
          <t>2021년 3월 결산기 연간 결산단신</t>
        </is>
      </c>
      <c r="C9" t="inlineStr">
        <is>
          <t>https://www2.jpx.co.jp/disc/31160/140120210428402261.pdf</t>
        </is>
      </c>
    </row>
    <row r="10">
      <c r="A10" t="inlineStr">
        <is>
          <t>2020-04-30</t>
        </is>
      </c>
      <c r="B10" t="inlineStr">
        <is>
          <t>2020년 3월 결산기 연간 결산단신</t>
        </is>
      </c>
      <c r="C10" t="inlineStr">
        <is>
          <t>https://www2.jpx.co.jp/disc/31160/140120200430402572.pdf</t>
        </is>
      </c>
    </row>
    <row r="11">
      <c r="A11" t="inlineStr">
        <is>
          <t>2019-06-21</t>
        </is>
      </c>
      <c r="B11" t="inlineStr">
        <is>
          <t>2019년 3월 결산기 연간 결산단신</t>
        </is>
      </c>
      <c r="C11" t="inlineStr">
        <is>
          <t>https://www2.jpx.co.jp/disc/31160/140120190621458554.pdf</t>
        </is>
      </c>
    </row>
    <row r="12">
      <c r="A12" t="inlineStr">
        <is>
          <t>2019-04-26</t>
        </is>
      </c>
      <c r="B12" t="inlineStr">
        <is>
          <t>2019년 3월 결산기 연간 결산단신</t>
        </is>
      </c>
      <c r="C12" t="inlineStr">
        <is>
          <t>https://www2.jpx.co.jp/disc/31160/140120190425411283.pdf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2026-10-25T14:53:20Z</dcterms:created>
  <dcterms:modified xmlns:dcterms="http://purl.org/dc/terms/" xmlns:xsi="http://www.w3.org/2001/XMLSchema-instance" xsi:type="dcterms:W3CDTF">2026-10-25T14:53:20Z</dcterms:modified>
</cp:coreProperties>
</file>