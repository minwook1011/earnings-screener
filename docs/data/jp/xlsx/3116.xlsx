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연간" sheetId="1" state="visible" r:id="rId1"/>
    <sheet xmlns:r="http://schemas.openxmlformats.org/officeDocument/2006/relationships" name="재무상태표" sheetId="2" state="visible" r:id="rId2"/>
    <sheet xmlns:r="http://schemas.openxmlformats.org/officeDocument/2006/relationships" name="출처" sheetId="3" state="visible" r:id="rId3"/>
  </sheets>
  <definedNames>
    <definedName name="_xlnm.Print_Titles" localSheetId="0">'연간'!$3:$3</definedName>
    <definedName name="_xlnm.Print_Titles" localSheetId="1">'재무상태표'!$3:$3</definedName>
  </definedNames>
  <calcPr calcId="124519" fullCalcOnLoad="1"/>
</workbook>
</file>

<file path=xl/styles.xml><?xml version="1.0" encoding="utf-8"?>
<styleSheet xmlns="http://schemas.openxmlformats.org/spreadsheetml/2006/main">
  <numFmts count="5">
    <numFmt numFmtId="164" formatCode="0.0%;-0.0%;&quot;-&quot;"/>
    <numFmt numFmtId="165" formatCode="#,##0;(#,##0);&quot;-&quot;"/>
    <numFmt numFmtId="166" formatCode="0.0&quot;x&quot;;-0.0&quot;x&quot;;&quot;-&quot;"/>
    <numFmt numFmtId="167" formatCode="0.0&quot;년&quot;;-0.0&quot;년&quot;;&quot;-&quot;"/>
    <numFmt numFmtId="168" formatCode="0&quot;일&quot;;-0&quot;일&quot;;&quot;-&quot;"/>
  </numFmts>
  <fonts count="17">
    <font>
      <name val="Calibri"/>
      <family val="2"/>
      <color theme="1"/>
      <sz val="11"/>
      <scheme val="minor"/>
    </font>
    <font>
      <name val="맑은 고딕"/>
      <b val="1"/>
      <color rgb="00000000"/>
      <sz val="20"/>
    </font>
    <font>
      <name val="맑은 고딕"/>
      <color rgb="00FF0000"/>
      <sz val="11"/>
    </font>
    <font>
      <name val="맑은 고딕"/>
      <color rgb="00808080"/>
      <sz val="9"/>
    </font>
    <font>
      <name val="맑은 고딕"/>
      <color rgb="000000FF"/>
      <sz val="9"/>
    </font>
    <font>
      <name val="맑은 고딕"/>
      <b val="1"/>
      <color rgb="00000000"/>
      <sz val="10"/>
    </font>
    <font>
      <name val="맑은 고딕"/>
      <color rgb="00808080"/>
      <sz val="11"/>
    </font>
    <font>
      <name val="맑은 고딕"/>
      <b val="1"/>
      <color rgb="00FFFFFF"/>
      <sz val="11"/>
    </font>
    <font>
      <name val="맑은 고딕"/>
      <color rgb="00000000"/>
      <sz val="11"/>
    </font>
    <font>
      <name val="맑은 고딕"/>
      <color rgb="000000FF"/>
      <sz val="11"/>
    </font>
    <font>
      <name val="맑은 고딕"/>
      <b val="1"/>
      <color rgb="00000000"/>
      <sz val="11"/>
    </font>
    <font>
      <name val="맑은 고딕"/>
      <b val="1"/>
      <color rgb="00FF0000"/>
      <sz val="11"/>
    </font>
    <font>
      <name val="맑은 고딕"/>
      <b val="1"/>
      <color rgb="00808080"/>
      <sz val="9"/>
    </font>
    <font>
      <name val="맑은 고딕"/>
      <color rgb="00FF0000"/>
      <sz val="9"/>
    </font>
    <font>
      <name val="맑은 고딕"/>
      <b val="1"/>
      <color rgb="00FFFFFF"/>
      <sz val="9"/>
    </font>
    <font>
      <name val="맑은 고딕"/>
      <b val="1"/>
      <sz val="20"/>
    </font>
    <font>
      <name val="맑은 고딕"/>
      <b val="1"/>
      <sz val="10"/>
    </font>
  </fonts>
  <fills count="7">
    <fill>
      <patternFill/>
    </fill>
    <fill>
      <patternFill patternType="gray125"/>
    </fill>
    <fill>
      <patternFill patternType="solid">
        <fgColor rgb="00D9D9D9"/>
      </patternFill>
    </fill>
    <fill>
      <patternFill patternType="solid">
        <fgColor rgb="00808080"/>
      </patternFill>
    </fill>
    <fill>
      <patternFill patternType="solid">
        <fgColor rgb="00A6A6A6"/>
      </patternFill>
    </fill>
    <fill>
      <patternFill patternType="solid">
        <fgColor rgb="00DDEBF7"/>
      </patternFill>
    </fill>
    <fill>
      <patternFill patternType="solid">
        <fgColor rgb="FFD9D9D9"/>
      </patternFill>
    </fill>
  </fills>
  <borders count="4">
    <border>
      <left/>
      <right/>
      <top/>
      <bottom/>
      <diagonal/>
    </border>
    <border>
      <top style="thin">
        <color rgb="007F7F7F"/>
      </top>
      <bottom style="thin">
        <color rgb="007F7F7F"/>
      </bottom>
    </border>
    <border>
      <left style="thin">
        <color rgb="007F7F7F"/>
      </left>
      <top style="thin">
        <color rgb="007F7F7F"/>
      </top>
      <bottom style="thin">
        <color rgb="007F7F7F"/>
      </bottom>
    </border>
    <border>
      <left style="thin">
        <color rgb="007F7F7F"/>
      </left>
      <top/>
      <bottom/>
    </border>
  </borders>
  <cellStyleXfs count="1">
    <xf numFmtId="0" fontId="0" fillId="0" borderId="0"/>
  </cellStyleXfs>
  <cellXfs count="5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5" fillId="2" borderId="2" applyAlignment="1" pivotButton="0" quotePrefix="0" xfId="0">
      <alignment horizontal="center" vertical="center"/>
    </xf>
    <xf numFmtId="0" fontId="5" fillId="5" borderId="2" applyAlignment="1" pivotButton="0" quotePrefix="0" xfId="0">
      <alignment horizontal="center" vertical="center"/>
    </xf>
    <xf numFmtId="0" fontId="5" fillId="5" borderId="1" applyAlignment="1" pivotButton="0" quotePrefix="0" xfId="0">
      <alignment horizontal="center" vertical="center"/>
    </xf>
    <xf numFmtId="0" fontId="10" fillId="0" borderId="0" applyAlignment="1" pivotButton="0" quotePrefix="0" xfId="0">
      <alignment horizontal="center" vertical="center"/>
    </xf>
    <xf numFmtId="0" fontId="3" fillId="0" borderId="0" applyAlignment="1" pivotButton="0" quotePrefix="0" xfId="0">
      <alignment horizontal="center" vertical="center"/>
    </xf>
    <xf numFmtId="165" fontId="10" fillId="0" borderId="3" applyAlignment="1" pivotButton="0" quotePrefix="0" xfId="0">
      <alignment horizontal="center" vertical="center"/>
    </xf>
    <xf numFmtId="165" fontId="10" fillId="0" borderId="0" applyAlignment="1" pivotButton="0" quotePrefix="0" xfId="0">
      <alignment horizontal="center" vertical="center"/>
    </xf>
    <xf numFmtId="0" fontId="6" fillId="0" borderId="0" applyAlignment="1" pivotButton="0" quotePrefix="0" xfId="0">
      <alignment horizontal="left" vertical="center" indent="1"/>
    </xf>
    <xf numFmtId="164" fontId="6" fillId="0" borderId="3" applyAlignment="1" pivotButton="0" quotePrefix="0" xfId="0">
      <alignment horizontal="center" vertical="center"/>
    </xf>
    <xf numFmtId="164" fontId="6" fillId="0" borderId="0" applyAlignment="1" pivotButton="0" quotePrefix="0" xfId="0">
      <alignment horizontal="center" vertical="center"/>
    </xf>
    <xf numFmtId="0" fontId="7" fillId="3" borderId="0" applyAlignment="1" pivotButton="0" quotePrefix="0" xfId="0">
      <alignment horizontal="center" vertical="center"/>
    </xf>
    <xf numFmtId="0" fontId="7" fillId="3" borderId="3" applyAlignment="1" pivotButton="0" quotePrefix="0" xfId="0">
      <alignment horizontal="center" vertical="center"/>
    </xf>
    <xf numFmtId="0" fontId="8" fillId="0" borderId="0" applyAlignment="1" pivotButton="0" quotePrefix="0" xfId="0">
      <alignment horizontal="center" vertical="center"/>
    </xf>
    <xf numFmtId="165" fontId="8" fillId="0" borderId="3" applyAlignment="1" pivotButton="0" quotePrefix="0" xfId="0">
      <alignment horizontal="center" vertical="center"/>
    </xf>
    <xf numFmtId="165" fontId="8" fillId="0" borderId="0" applyAlignment="1" pivotButton="0" quotePrefix="0" xfId="0">
      <alignment horizontal="center" vertical="center"/>
    </xf>
    <xf numFmtId="165" fontId="9" fillId="0" borderId="3" applyAlignment="1" pivotButton="0" quotePrefix="0" xfId="0">
      <alignment horizontal="center" vertical="center"/>
    </xf>
    <xf numFmtId="165" fontId="9" fillId="0" borderId="0" applyAlignment="1" pivotButton="0" quotePrefix="0" xfId="0">
      <alignment horizontal="center" vertical="center"/>
    </xf>
    <xf numFmtId="0" fontId="7" fillId="4" borderId="0" applyAlignment="1" pivotButton="0" quotePrefix="0" xfId="0">
      <alignment horizontal="center" vertical="center"/>
    </xf>
    <xf numFmtId="0" fontId="7" fillId="4" borderId="3" applyAlignment="1" pivotButton="0" quotePrefix="0" xfId="0">
      <alignment horizontal="center" vertical="center"/>
    </xf>
    <xf numFmtId="164" fontId="9" fillId="0" borderId="3" applyAlignment="1" pivotButton="0" quotePrefix="0" xfId="0">
      <alignment horizontal="center" vertical="center"/>
    </xf>
    <xf numFmtId="164" fontId="9" fillId="0" borderId="0" applyAlignment="1" pivotButton="0" quotePrefix="0" xfId="0">
      <alignment horizontal="center" vertical="center"/>
    </xf>
    <xf numFmtId="3" fontId="10" fillId="0" borderId="0" applyAlignment="1" pivotButton="0" quotePrefix="0" xfId="0">
      <alignment horizontal="center" vertical="center"/>
    </xf>
    <xf numFmtId="3" fontId="8" fillId="0" borderId="3" applyAlignment="1" pivotButton="0" quotePrefix="0" xfId="0">
      <alignment horizontal="center" vertical="center"/>
    </xf>
    <xf numFmtId="3" fontId="8" fillId="0" borderId="0" applyAlignment="1" pivotButton="0" quotePrefix="0" xfId="0">
      <alignment horizontal="center" vertical="center"/>
    </xf>
    <xf numFmtId="166" fontId="8" fillId="0" borderId="3" applyAlignment="1" pivotButton="0" quotePrefix="0" xfId="0">
      <alignment horizontal="center" vertical="center"/>
    </xf>
    <xf numFmtId="166" fontId="8" fillId="0" borderId="0" applyAlignment="1" pivotButton="0" quotePrefix="0" xfId="0">
      <alignment horizontal="center" vertical="center"/>
    </xf>
    <xf numFmtId="166" fontId="9" fillId="0" borderId="3" applyAlignment="1" pivotButton="0" quotePrefix="0" xfId="0">
      <alignment horizontal="center" vertical="center"/>
    </xf>
    <xf numFmtId="166" fontId="9" fillId="0" borderId="0" applyAlignment="1" pivotButton="0" quotePrefix="0" xfId="0">
      <alignment horizontal="center" vertical="center"/>
    </xf>
    <xf numFmtId="3" fontId="10" fillId="0" borderId="3" applyAlignment="1" pivotButton="0" quotePrefix="0" xfId="0">
      <alignment horizontal="center" vertical="center"/>
    </xf>
    <xf numFmtId="164" fontId="8" fillId="0" borderId="3" applyAlignment="1" pivotButton="0" quotePrefix="0" xfId="0">
      <alignment horizontal="center" vertical="center"/>
    </xf>
    <xf numFmtId="164" fontId="8" fillId="0" borderId="0" applyAlignment="1" pivotButton="0" quotePrefix="0" xfId="0">
      <alignment horizontal="center" vertical="center"/>
    </xf>
    <xf numFmtId="164" fontId="11" fillId="0" borderId="3" applyAlignment="1" pivotButton="0" quotePrefix="0" xfId="0">
      <alignment horizontal="center" vertical="center"/>
    </xf>
    <xf numFmtId="164" fontId="11" fillId="0" borderId="0" applyAlignment="1" pivotButton="0" quotePrefix="0" xfId="0">
      <alignment horizontal="center" vertical="center"/>
    </xf>
    <xf numFmtId="0" fontId="0" fillId="0" borderId="3" pivotButton="0" quotePrefix="0" xfId="0"/>
    <xf numFmtId="0" fontId="12" fillId="0" borderId="0" applyAlignment="1" pivotButton="0" quotePrefix="0" xfId="0">
      <alignment horizontal="left"/>
    </xf>
    <xf numFmtId="0" fontId="3" fillId="0" borderId="0" applyAlignment="1" pivotButton="0" quotePrefix="0" xfId="0">
      <alignment horizontal="left"/>
    </xf>
    <xf numFmtId="0" fontId="14" fillId="3" borderId="0" applyAlignment="1" pivotButton="0" quotePrefix="0" xfId="0">
      <alignment horizontal="center" vertical="center"/>
    </xf>
    <xf numFmtId="0" fontId="6" fillId="0" borderId="0" applyAlignment="1" pivotButton="0" quotePrefix="0" xfId="0">
      <alignment horizontal="center" vertical="center"/>
    </xf>
    <xf numFmtId="0" fontId="13" fillId="0" borderId="0" pivotButton="0" quotePrefix="0" xfId="0"/>
    <xf numFmtId="0" fontId="8" fillId="0" borderId="0" applyAlignment="1" pivotButton="0" quotePrefix="0" xfId="0">
      <alignment horizontal="left" vertical="center" indent="1"/>
    </xf>
    <xf numFmtId="167" fontId="8" fillId="0" borderId="3" applyAlignment="1" pivotButton="0" quotePrefix="0" xfId="0">
      <alignment horizontal="center" vertical="center"/>
    </xf>
    <xf numFmtId="167" fontId="8" fillId="0" borderId="0" applyAlignment="1" pivotButton="0" quotePrefix="0" xfId="0">
      <alignment horizontal="center" vertical="center"/>
    </xf>
    <xf numFmtId="168" fontId="8" fillId="0" borderId="3" applyAlignment="1" pivotButton="0" quotePrefix="0" xfId="0">
      <alignment horizontal="center" vertical="center"/>
    </xf>
    <xf numFmtId="168" fontId="8" fillId="0" borderId="0" applyAlignment="1" pivotButton="0" quotePrefix="0" xfId="0">
      <alignment horizontal="center" vertical="center"/>
    </xf>
    <xf numFmtId="0" fontId="15" fillId="0" borderId="0" pivotButton="0" quotePrefix="0" xfId="0"/>
    <xf numFmtId="0" fontId="16" fillId="6" borderId="0" pivotButton="0" quotePrefix="0" xfId="0"/>
  </cellXfs>
  <cellStyles count="1">
    <cellStyle name="Normal" xfId="0" builtinId="0" hidden="0"/>
  </cellStyles>
  <dxfs count="1">
    <dxf>
      <font>
        <name val="맑은 고딕"/>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C320"/>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6" customWidth="1" min="1" max="1"/>
    <col width="14" customWidth="1" min="2" max="2"/>
    <col outlineLevel="1" width="11" customWidth="1" min="3" max="3"/>
    <col outlineLevel="1" width="11" customWidth="1" min="4" max="4"/>
    <col outlineLevel="1" width="11" customWidth="1" min="5" max="5"/>
    <col outlineLevel="1" width="11" customWidth="1" min="6" max="6"/>
    <col outlineLevel="1" width="11" customWidth="1" min="7" max="7"/>
    <col outlineLevel="1" width="11" customWidth="1" min="8" max="8"/>
    <col outlineLevel="1" width="11" customWidth="1" min="9" max="9"/>
    <col outlineLevel="1" width="11" customWidth="1" min="10" max="10"/>
    <col outlineLevel="1" width="11" customWidth="1" min="11" max="11"/>
    <col outlineLevel="1" width="11" customWidth="1" min="12" max="12"/>
    <col outlineLevel="1" width="11" customWidth="1" min="13" max="13"/>
    <col outlineLevel="1"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s>
  <sheetData>
    <row r="1" ht="30" customHeight="1">
      <c r="A1" s="1" t="inlineStr">
        <is>
          <t>3116 Model</t>
        </is>
      </c>
    </row>
    <row r="2">
      <c r="A2" s="2" t="inlineStr">
        <is>
          <t>모를 땐 보수적으로</t>
        </is>
      </c>
      <c r="B2" s="3" t="inlineStr">
        <is>
          <t>(단위: 백만엔)</t>
        </is>
      </c>
      <c r="C2" s="3" t="inlineStr">
        <is>
          <t>3월 결산 · IFRS · 2027.1Q = 2027년 3월 결산기 1분기</t>
        </is>
      </c>
      <c r="Y2" s="4" t="inlineStr">
        <is>
          <t>(추정: 파란 글씨 = 직접 입력)</t>
        </is>
      </c>
    </row>
    <row r="3">
      <c r="A3" s="5" t="inlineStr">
        <is>
          <t>항목</t>
        </is>
      </c>
      <c r="B3" s="5" t="inlineStr">
        <is>
          <t>참고</t>
        </is>
      </c>
      <c r="C3" s="6" t="inlineStr">
        <is>
          <t>2024.2Q</t>
        </is>
      </c>
      <c r="D3" s="5" t="inlineStr">
        <is>
          <t>2024.3Q</t>
        </is>
      </c>
      <c r="E3" s="5" t="inlineStr">
        <is>
          <t>2024.4Q</t>
        </is>
      </c>
      <c r="F3" s="5" t="inlineStr">
        <is>
          <t>2025.1Q</t>
        </is>
      </c>
      <c r="G3" s="5" t="inlineStr">
        <is>
          <t>2025.2Q</t>
        </is>
      </c>
      <c r="H3" s="5" t="inlineStr">
        <is>
          <t>2025.3Q</t>
        </is>
      </c>
      <c r="I3" s="5" t="inlineStr">
        <is>
          <t>2025.4Q</t>
        </is>
      </c>
      <c r="J3" s="5" t="inlineStr">
        <is>
          <t>2026.1Q</t>
        </is>
      </c>
      <c r="K3" s="5" t="inlineStr">
        <is>
          <t>2026.2Q</t>
        </is>
      </c>
      <c r="L3" s="5" t="inlineStr">
        <is>
          <t>2026.3Q</t>
        </is>
      </c>
      <c r="M3" s="5" t="inlineStr">
        <is>
          <t>2026.4Q</t>
        </is>
      </c>
      <c r="N3" s="5" t="inlineStr">
        <is>
          <t>2027.1Q</t>
        </is>
      </c>
      <c r="O3" s="6" t="inlineStr">
        <is>
          <t>2017</t>
        </is>
      </c>
      <c r="P3" s="5" t="inlineStr">
        <is>
          <t>2018</t>
        </is>
      </c>
      <c r="Q3" s="5" t="inlineStr">
        <is>
          <t>2019</t>
        </is>
      </c>
      <c r="R3" s="5" t="inlineStr">
        <is>
          <t>2020</t>
        </is>
      </c>
      <c r="S3" s="5" t="inlineStr">
        <is>
          <t>2021</t>
        </is>
      </c>
      <c r="T3" s="5" t="inlineStr">
        <is>
          <t>2022</t>
        </is>
      </c>
      <c r="U3" s="5" t="inlineStr">
        <is>
          <t>2023</t>
        </is>
      </c>
      <c r="V3" s="5" t="inlineStr">
        <is>
          <t>2024</t>
        </is>
      </c>
      <c r="W3" s="5" t="inlineStr">
        <is>
          <t>2025</t>
        </is>
      </c>
      <c r="X3" s="5" t="inlineStr">
        <is>
          <t>2026</t>
        </is>
      </c>
      <c r="Y3" s="7" t="inlineStr">
        <is>
          <t>2027(MW)</t>
        </is>
      </c>
      <c r="Z3" s="8" t="inlineStr">
        <is>
          <t>2028(MW)</t>
        </is>
      </c>
      <c r="AA3" s="8" t="inlineStr">
        <is>
          <t>2029(MW)</t>
        </is>
      </c>
      <c r="AB3" s="8" t="inlineStr">
        <is>
          <t>2030(MW)</t>
        </is>
      </c>
      <c r="AC3" s="8" t="inlineStr">
        <is>
          <t>2031(MW)</t>
        </is>
      </c>
    </row>
    <row r="4">
      <c r="A4" s="9" t="inlineStr">
        <is>
          <t>매출액</t>
        </is>
      </c>
      <c r="B4" s="10" t="inlineStr">
        <is>
          <t>MW = 제품 합계</t>
        </is>
      </c>
      <c r="C4" s="11" t="n">
        <v>488559</v>
      </c>
      <c r="D4" s="12" t="n">
        <v>507121</v>
      </c>
      <c r="E4" s="12" t="n">
        <v>482446</v>
      </c>
      <c r="F4" s="12" t="n">
        <v>488000</v>
      </c>
      <c r="G4" s="12" t="n">
        <v>460165</v>
      </c>
      <c r="H4" s="12" t="n">
        <v>498534</v>
      </c>
      <c r="I4" s="12" t="n">
        <v>507519</v>
      </c>
      <c r="J4" s="12" t="n">
        <v>479693</v>
      </c>
      <c r="K4" s="12" t="n">
        <v>492586</v>
      </c>
      <c r="L4" s="12" t="n">
        <v>533957</v>
      </c>
      <c r="M4" s="12" t="n">
        <v>530827</v>
      </c>
      <c r="N4" s="12" t="n">
        <v>528077</v>
      </c>
      <c r="O4" s="11" t="n"/>
      <c r="P4" s="12" t="n">
        <v>1407392</v>
      </c>
      <c r="Q4" s="12" t="n">
        <v>1417376</v>
      </c>
      <c r="R4" s="12" t="n"/>
      <c r="S4" s="12" t="n"/>
      <c r="T4" s="12" t="n"/>
      <c r="U4" s="12" t="n"/>
      <c r="V4" s="12" t="n">
        <v>1953625</v>
      </c>
      <c r="W4" s="12" t="n">
        <v>1954218</v>
      </c>
      <c r="X4" s="12" t="n">
        <v>2037063</v>
      </c>
      <c r="Y4" s="11">
        <f>IF(COUNT(Y7,Y10,Y13,Y16,Y19,Y22)=0,"",SUM(Y7,Y10,Y13,Y16,Y19,Y22))</f>
        <v/>
      </c>
      <c r="Z4" s="12">
        <f>IF(COUNT(Z7,Z10,Z13,Z16,Z19,Z22)=0,"",SUM(Z7,Z10,Z13,Z16,Z19,Z22))</f>
        <v/>
      </c>
      <c r="AA4" s="12">
        <f>IF(COUNT(AA7,AA10,AA13,AA16,AA19,AA22)=0,"",SUM(AA7,AA10,AA13,AA16,AA19,AA22))</f>
        <v/>
      </c>
      <c r="AB4" s="12">
        <f>IF(COUNT(AB7,AB10,AB13,AB16,AB19,AB22)=0,"",SUM(AB7,AB10,AB13,AB16,AB19,AB22))</f>
        <v/>
      </c>
      <c r="AC4" s="12">
        <f>IF(COUNT(AC7,AC10,AC13,AC16,AC19,AC22)=0,"",SUM(AC7,AC10,AC13,AC16,AC19,AC22))</f>
        <v/>
      </c>
    </row>
    <row r="5">
      <c r="A5" s="13" t="inlineStr">
        <is>
          <t>YoY</t>
        </is>
      </c>
      <c r="B5" s="10" t="n"/>
      <c r="C5" s="14" t="n"/>
      <c r="D5" s="15" t="n"/>
      <c r="E5" s="15" t="n"/>
      <c r="F5" s="15" t="n"/>
      <c r="G5" s="15">
        <f>IF(OR(G4="",C4=""),"",IFERROR(G4/C4-1,""))</f>
        <v/>
      </c>
      <c r="H5" s="15">
        <f>IF(OR(H4="",D4=""),"",IFERROR(H4/D4-1,""))</f>
        <v/>
      </c>
      <c r="I5" s="15">
        <f>IF(OR(I4="",E4=""),"",IFERROR(I4/E4-1,""))</f>
        <v/>
      </c>
      <c r="J5" s="15">
        <f>IF(OR(J4="",F4=""),"",IFERROR(J4/F4-1,""))</f>
        <v/>
      </c>
      <c r="K5" s="15">
        <f>IF(OR(K4="",G4=""),"",IFERROR(K4/G4-1,""))</f>
        <v/>
      </c>
      <c r="L5" s="15">
        <f>IF(OR(L4="",H4=""),"",IFERROR(L4/H4-1,""))</f>
        <v/>
      </c>
      <c r="M5" s="15">
        <f>IF(OR(M4="",I4=""),"",IFERROR(M4/I4-1,""))</f>
        <v/>
      </c>
      <c r="N5" s="15">
        <f>IF(OR(N4="",J4=""),"",IFERROR(N4/J4-1,""))</f>
        <v/>
      </c>
      <c r="O5" s="14" t="n"/>
      <c r="P5" s="15">
        <f>IF(OR(P4="",O4=""),"",IFERROR(P4/O4-1,""))</f>
        <v/>
      </c>
      <c r="Q5" s="15">
        <f>IF(OR(Q4="",P4=""),"",IFERROR(Q4/P4-1,""))</f>
        <v/>
      </c>
      <c r="R5" s="15">
        <f>IF(OR(R4="",Q4=""),"",IFERROR(R4/Q4-1,""))</f>
        <v/>
      </c>
      <c r="S5" s="15">
        <f>IF(OR(S4="",R4=""),"",IFERROR(S4/R4-1,""))</f>
        <v/>
      </c>
      <c r="T5" s="15">
        <f>IF(OR(T4="",S4=""),"",IFERROR(T4/S4-1,""))</f>
        <v/>
      </c>
      <c r="U5" s="15">
        <f>IF(OR(U4="",T4=""),"",IFERROR(U4/T4-1,""))</f>
        <v/>
      </c>
      <c r="V5" s="15">
        <f>IF(OR(V4="",U4=""),"",IFERROR(V4/U4-1,""))</f>
        <v/>
      </c>
      <c r="W5" s="15">
        <f>IF(OR(W4="",V4=""),"",IFERROR(W4/V4-1,""))</f>
        <v/>
      </c>
      <c r="X5" s="15">
        <f>IF(OR(X4="",W4=""),"",IFERROR(X4/W4-1,""))</f>
        <v/>
      </c>
      <c r="Y5" s="14">
        <f>IF(OR(Y4="",X4=""),"",IFERROR(Y4/X4-1,""))</f>
        <v/>
      </c>
      <c r="Z5" s="15">
        <f>IF(OR(Z4="",Y4=""),"",IFERROR(Z4/Y4-1,""))</f>
        <v/>
      </c>
      <c r="AA5" s="15">
        <f>IF(OR(AA4="",Z4=""),"",IFERROR(AA4/Z4-1,""))</f>
        <v/>
      </c>
      <c r="AB5" s="15">
        <f>IF(OR(AB4="",AA4=""),"",IFERROR(AB4/AA4-1,""))</f>
        <v/>
      </c>
      <c r="AC5" s="15">
        <f>IF(OR(AC4="",AB4=""),"",IFERROR(AC4/AB4-1,""))</f>
        <v/>
      </c>
    </row>
    <row r="6">
      <c r="A6" s="16" t="inlineStr">
        <is>
          <t>제품별 매출 분류</t>
        </is>
      </c>
      <c r="B6" s="16" t="inlineStr">
        <is>
          <t>사업보고서 매출실적</t>
        </is>
      </c>
      <c r="C6" s="17" t="n"/>
      <c r="D6" s="16" t="n"/>
      <c r="E6" s="16" t="n"/>
      <c r="F6" s="16" t="n"/>
      <c r="G6" s="16" t="n"/>
      <c r="H6" s="16" t="n"/>
      <c r="I6" s="16" t="n"/>
      <c r="J6" s="16" t="n"/>
      <c r="K6" s="16" t="n"/>
      <c r="L6" s="16" t="n"/>
      <c r="M6" s="16" t="n"/>
      <c r="N6" s="16" t="n"/>
      <c r="O6" s="17" t="n"/>
      <c r="P6" s="16" t="n"/>
      <c r="Q6" s="16" t="n"/>
      <c r="R6" s="16" t="n"/>
      <c r="S6" s="16" t="n"/>
      <c r="T6" s="16" t="n"/>
      <c r="U6" s="16" t="n"/>
      <c r="V6" s="16" t="n"/>
      <c r="W6" s="16" t="n"/>
      <c r="X6" s="16" t="n"/>
      <c r="Y6" s="17" t="n"/>
      <c r="Z6" s="16" t="n"/>
      <c r="AA6" s="16" t="n"/>
      <c r="AB6" s="16" t="n"/>
      <c r="AC6" s="16" t="n"/>
    </row>
    <row r="7">
      <c r="A7" s="18" t="inlineStr">
        <is>
          <t>일본</t>
        </is>
      </c>
      <c r="B7" s="10" t="n"/>
      <c r="C7" s="19" t="n">
        <v>215569</v>
      </c>
      <c r="D7" s="20" t="n">
        <v>224239</v>
      </c>
      <c r="E7" s="20" t="n">
        <v>198123</v>
      </c>
      <c r="F7" s="20" t="n">
        <v>204749</v>
      </c>
      <c r="G7" s="20" t="n">
        <v>209467</v>
      </c>
      <c r="H7" s="20" t="n">
        <v>222304</v>
      </c>
      <c r="I7" s="20" t="n">
        <v>226850</v>
      </c>
      <c r="J7" s="20" t="n">
        <v>206158</v>
      </c>
      <c r="K7" s="20" t="n">
        <v>220320</v>
      </c>
      <c r="L7" s="20" t="n">
        <v>230701</v>
      </c>
      <c r="M7" s="20" t="n">
        <v>234005</v>
      </c>
      <c r="N7" s="20" t="n">
        <v>217808</v>
      </c>
      <c r="O7" s="19" t="n"/>
      <c r="P7" s="20" t="n"/>
      <c r="Q7" s="20" t="n"/>
      <c r="R7" s="20" t="n"/>
      <c r="S7" s="20" t="n"/>
      <c r="T7" s="20" t="n"/>
      <c r="U7" s="20" t="n"/>
      <c r="V7" s="20" t="n">
        <v>848314</v>
      </c>
      <c r="W7" s="20" t="n">
        <v>863370</v>
      </c>
      <c r="X7" s="20" t="n">
        <v>891184</v>
      </c>
      <c r="Y7" s="21" t="n"/>
      <c r="Z7" s="22" t="n"/>
      <c r="AA7" s="22" t="n"/>
      <c r="AB7" s="22" t="n"/>
      <c r="AC7" s="22" t="n"/>
    </row>
    <row r="8">
      <c r="A8" s="13" t="inlineStr">
        <is>
          <t>비중</t>
        </is>
      </c>
      <c r="B8" s="10" t="n"/>
      <c r="C8" s="14">
        <f>IF(OR(C7="",C4=""),"",IFERROR(C7/C4,""))</f>
        <v/>
      </c>
      <c r="D8" s="15">
        <f>IF(OR(D7="",D4=""),"",IFERROR(D7/D4,""))</f>
        <v/>
      </c>
      <c r="E8" s="15">
        <f>IF(OR(E7="",E4=""),"",IFERROR(E7/E4,""))</f>
        <v/>
      </c>
      <c r="F8" s="15">
        <f>IF(OR(F7="",F4=""),"",IFERROR(F7/F4,""))</f>
        <v/>
      </c>
      <c r="G8" s="15">
        <f>IF(OR(G7="",G4=""),"",IFERROR(G7/G4,""))</f>
        <v/>
      </c>
      <c r="H8" s="15">
        <f>IF(OR(H7="",H4=""),"",IFERROR(H7/H4,""))</f>
        <v/>
      </c>
      <c r="I8" s="15">
        <f>IF(OR(I7="",I4=""),"",IFERROR(I7/I4,""))</f>
        <v/>
      </c>
      <c r="J8" s="15">
        <f>IF(OR(J7="",J4=""),"",IFERROR(J7/J4,""))</f>
        <v/>
      </c>
      <c r="K8" s="15">
        <f>IF(OR(K7="",K4=""),"",IFERROR(K7/K4,""))</f>
        <v/>
      </c>
      <c r="L8" s="15">
        <f>IF(OR(L7="",L4=""),"",IFERROR(L7/L4,""))</f>
        <v/>
      </c>
      <c r="M8" s="15">
        <f>IF(OR(M7="",M4=""),"",IFERROR(M7/M4,""))</f>
        <v/>
      </c>
      <c r="N8" s="15">
        <f>IF(OR(N7="",N4=""),"",IFERROR(N7/N4,""))</f>
        <v/>
      </c>
      <c r="O8" s="14">
        <f>IF(OR(O7="",O4=""),"",IFERROR(O7/O4,""))</f>
        <v/>
      </c>
      <c r="P8" s="15">
        <f>IF(OR(P7="",P4=""),"",IFERROR(P7/P4,""))</f>
        <v/>
      </c>
      <c r="Q8" s="15">
        <f>IF(OR(Q7="",Q4=""),"",IFERROR(Q7/Q4,""))</f>
        <v/>
      </c>
      <c r="R8" s="15">
        <f>IF(OR(R7="",R4=""),"",IFERROR(R7/R4,""))</f>
        <v/>
      </c>
      <c r="S8" s="15">
        <f>IF(OR(S7="",S4=""),"",IFERROR(S7/S4,""))</f>
        <v/>
      </c>
      <c r="T8" s="15">
        <f>IF(OR(T7="",T4=""),"",IFERROR(T7/T4,""))</f>
        <v/>
      </c>
      <c r="U8" s="15">
        <f>IF(OR(U7="",U4=""),"",IFERROR(U7/U4,""))</f>
        <v/>
      </c>
      <c r="V8" s="15">
        <f>IF(OR(V7="",V4=""),"",IFERROR(V7/V4,""))</f>
        <v/>
      </c>
      <c r="W8" s="15">
        <f>IF(OR(W7="",W4=""),"",IFERROR(W7/W4,""))</f>
        <v/>
      </c>
      <c r="X8" s="15">
        <f>IF(OR(X7="",X4=""),"",IFERROR(X7/X4,""))</f>
        <v/>
      </c>
      <c r="Y8" s="14">
        <f>IF(OR(Y7="",Y4=""),"",IFERROR(Y7/Y4,""))</f>
        <v/>
      </c>
      <c r="Z8" s="15">
        <f>IF(OR(Z7="",Z4=""),"",IFERROR(Z7/Z4,""))</f>
        <v/>
      </c>
      <c r="AA8" s="15">
        <f>IF(OR(AA7="",AA4=""),"",IFERROR(AA7/AA4,""))</f>
        <v/>
      </c>
      <c r="AB8" s="15">
        <f>IF(OR(AB7="",AB4=""),"",IFERROR(AB7/AB4,""))</f>
        <v/>
      </c>
      <c r="AC8" s="15">
        <f>IF(OR(AC7="",AC4=""),"",IFERROR(AC7/AC4,""))</f>
        <v/>
      </c>
    </row>
    <row r="9">
      <c r="A9" s="13" t="inlineStr">
        <is>
          <t>YoY</t>
        </is>
      </c>
      <c r="B9" s="10" t="n"/>
      <c r="C9" s="14" t="n"/>
      <c r="D9" s="15" t="n"/>
      <c r="E9" s="15" t="n"/>
      <c r="F9" s="15" t="n"/>
      <c r="G9" s="15">
        <f>IF(OR(G7="",C7=""),"",IFERROR(G7/C7-1,""))</f>
        <v/>
      </c>
      <c r="H9" s="15">
        <f>IF(OR(H7="",D7=""),"",IFERROR(H7/D7-1,""))</f>
        <v/>
      </c>
      <c r="I9" s="15">
        <f>IF(OR(I7="",E7=""),"",IFERROR(I7/E7-1,""))</f>
        <v/>
      </c>
      <c r="J9" s="15">
        <f>IF(OR(J7="",F7=""),"",IFERROR(J7/F7-1,""))</f>
        <v/>
      </c>
      <c r="K9" s="15">
        <f>IF(OR(K7="",G7=""),"",IFERROR(K7/G7-1,""))</f>
        <v/>
      </c>
      <c r="L9" s="15">
        <f>IF(OR(L7="",H7=""),"",IFERROR(L7/H7-1,""))</f>
        <v/>
      </c>
      <c r="M9" s="15">
        <f>IF(OR(M7="",I7=""),"",IFERROR(M7/I7-1,""))</f>
        <v/>
      </c>
      <c r="N9" s="15">
        <f>IF(OR(N7="",J7=""),"",IFERROR(N7/J7-1,""))</f>
        <v/>
      </c>
      <c r="O9" s="14" t="n"/>
      <c r="P9" s="15">
        <f>IF(OR(P7="",O7=""),"",IFERROR(P7/O7-1,""))</f>
        <v/>
      </c>
      <c r="Q9" s="15">
        <f>IF(OR(Q7="",P7=""),"",IFERROR(Q7/P7-1,""))</f>
        <v/>
      </c>
      <c r="R9" s="15">
        <f>IF(OR(R7="",Q7=""),"",IFERROR(R7/Q7-1,""))</f>
        <v/>
      </c>
      <c r="S9" s="15">
        <f>IF(OR(S7="",R7=""),"",IFERROR(S7/R7-1,""))</f>
        <v/>
      </c>
      <c r="T9" s="15">
        <f>IF(OR(T7="",S7=""),"",IFERROR(T7/S7-1,""))</f>
        <v/>
      </c>
      <c r="U9" s="15">
        <f>IF(OR(U7="",T7=""),"",IFERROR(U7/T7-1,""))</f>
        <v/>
      </c>
      <c r="V9" s="15">
        <f>IF(OR(V7="",U7=""),"",IFERROR(V7/U7-1,""))</f>
        <v/>
      </c>
      <c r="W9" s="15">
        <f>IF(OR(W7="",V7=""),"",IFERROR(W7/V7-1,""))</f>
        <v/>
      </c>
      <c r="X9" s="15">
        <f>IF(OR(X7="",W7=""),"",IFERROR(X7/W7-1,""))</f>
        <v/>
      </c>
      <c r="Y9" s="14">
        <f>IF(OR(Y7="",X7=""),"",IFERROR(Y7/X7-1,""))</f>
        <v/>
      </c>
      <c r="Z9" s="15">
        <f>IF(OR(Z7="",Y7=""),"",IFERROR(Z7/Y7-1,""))</f>
        <v/>
      </c>
      <c r="AA9" s="15">
        <f>IF(OR(AA7="",Z7=""),"",IFERROR(AA7/Z7-1,""))</f>
        <v/>
      </c>
      <c r="AB9" s="15">
        <f>IF(OR(AB7="",AA7=""),"",IFERROR(AB7/AA7-1,""))</f>
        <v/>
      </c>
      <c r="AC9" s="15">
        <f>IF(OR(AC7="",AB7=""),"",IFERROR(AC7/AB7-1,""))</f>
        <v/>
      </c>
    </row>
    <row r="10">
      <c r="A10" s="18" t="inlineStr">
        <is>
          <t>North Central And South America</t>
        </is>
      </c>
      <c r="B10" s="10" t="n"/>
      <c r="C10" s="19" t="n">
        <v>118374</v>
      </c>
      <c r="D10" s="20" t="n">
        <v>111222</v>
      </c>
      <c r="E10" s="20" t="n">
        <v>152148</v>
      </c>
      <c r="F10" s="20" t="n">
        <v>136748</v>
      </c>
      <c r="G10" s="20" t="n">
        <v>101555</v>
      </c>
      <c r="H10" s="20" t="n">
        <v>109812</v>
      </c>
      <c r="I10" s="20" t="n">
        <v>135857</v>
      </c>
      <c r="J10" s="20" t="n">
        <v>134179</v>
      </c>
      <c r="K10" s="20" t="n">
        <v>127701</v>
      </c>
      <c r="L10" s="20" t="n">
        <v>138060</v>
      </c>
      <c r="M10" s="20" t="n">
        <v>137716</v>
      </c>
      <c r="N10" s="20" t="n">
        <v>156050</v>
      </c>
      <c r="O10" s="19" t="n"/>
      <c r="P10" s="20" t="n"/>
      <c r="Q10" s="20" t="n"/>
      <c r="R10" s="20" t="n"/>
      <c r="S10" s="20" t="n"/>
      <c r="T10" s="20" t="n"/>
      <c r="U10" s="20" t="n"/>
      <c r="V10" s="20" t="n">
        <v>495572</v>
      </c>
      <c r="W10" s="20" t="n">
        <v>483972</v>
      </c>
      <c r="X10" s="20" t="n">
        <v>537656</v>
      </c>
      <c r="Y10" s="21" t="n"/>
      <c r="Z10" s="22" t="n"/>
      <c r="AA10" s="22" t="n"/>
      <c r="AB10" s="22" t="n"/>
      <c r="AC10" s="22" t="n"/>
    </row>
    <row r="11">
      <c r="A11" s="13" t="inlineStr">
        <is>
          <t>비중</t>
        </is>
      </c>
      <c r="B11" s="10" t="n"/>
      <c r="C11" s="14">
        <f>IF(OR(C10="",C4=""),"",IFERROR(C10/C4,""))</f>
        <v/>
      </c>
      <c r="D11" s="15">
        <f>IF(OR(D10="",D4=""),"",IFERROR(D10/D4,""))</f>
        <v/>
      </c>
      <c r="E11" s="15">
        <f>IF(OR(E10="",E4=""),"",IFERROR(E10/E4,""))</f>
        <v/>
      </c>
      <c r="F11" s="15">
        <f>IF(OR(F10="",F4=""),"",IFERROR(F10/F4,""))</f>
        <v/>
      </c>
      <c r="G11" s="15">
        <f>IF(OR(G10="",G4=""),"",IFERROR(G10/G4,""))</f>
        <v/>
      </c>
      <c r="H11" s="15">
        <f>IF(OR(H10="",H4=""),"",IFERROR(H10/H4,""))</f>
        <v/>
      </c>
      <c r="I11" s="15">
        <f>IF(OR(I10="",I4=""),"",IFERROR(I10/I4,""))</f>
        <v/>
      </c>
      <c r="J11" s="15">
        <f>IF(OR(J10="",J4=""),"",IFERROR(J10/J4,""))</f>
        <v/>
      </c>
      <c r="K11" s="15">
        <f>IF(OR(K10="",K4=""),"",IFERROR(K10/K4,""))</f>
        <v/>
      </c>
      <c r="L11" s="15">
        <f>IF(OR(L10="",L4=""),"",IFERROR(L10/L4,""))</f>
        <v/>
      </c>
      <c r="M11" s="15">
        <f>IF(OR(M10="",M4=""),"",IFERROR(M10/M4,""))</f>
        <v/>
      </c>
      <c r="N11" s="15">
        <f>IF(OR(N10="",N4=""),"",IFERROR(N10/N4,""))</f>
        <v/>
      </c>
      <c r="O11" s="14">
        <f>IF(OR(O10="",O4=""),"",IFERROR(O10/O4,""))</f>
        <v/>
      </c>
      <c r="P11" s="15">
        <f>IF(OR(P10="",P4=""),"",IFERROR(P10/P4,""))</f>
        <v/>
      </c>
      <c r="Q11" s="15">
        <f>IF(OR(Q10="",Q4=""),"",IFERROR(Q10/Q4,""))</f>
        <v/>
      </c>
      <c r="R11" s="15">
        <f>IF(OR(R10="",R4=""),"",IFERROR(R10/R4,""))</f>
        <v/>
      </c>
      <c r="S11" s="15">
        <f>IF(OR(S10="",S4=""),"",IFERROR(S10/S4,""))</f>
        <v/>
      </c>
      <c r="T11" s="15">
        <f>IF(OR(T10="",T4=""),"",IFERROR(T10/T4,""))</f>
        <v/>
      </c>
      <c r="U11" s="15">
        <f>IF(OR(U10="",U4=""),"",IFERROR(U10/U4,""))</f>
        <v/>
      </c>
      <c r="V11" s="15">
        <f>IF(OR(V10="",V4=""),"",IFERROR(V10/V4,""))</f>
        <v/>
      </c>
      <c r="W11" s="15">
        <f>IF(OR(W10="",W4=""),"",IFERROR(W10/W4,""))</f>
        <v/>
      </c>
      <c r="X11" s="15">
        <f>IF(OR(X10="",X4=""),"",IFERROR(X10/X4,""))</f>
        <v/>
      </c>
      <c r="Y11" s="14">
        <f>IF(OR(Y10="",Y4=""),"",IFERROR(Y10/Y4,""))</f>
        <v/>
      </c>
      <c r="Z11" s="15">
        <f>IF(OR(Z10="",Z4=""),"",IFERROR(Z10/Z4,""))</f>
        <v/>
      </c>
      <c r="AA11" s="15">
        <f>IF(OR(AA10="",AA4=""),"",IFERROR(AA10/AA4,""))</f>
        <v/>
      </c>
      <c r="AB11" s="15">
        <f>IF(OR(AB10="",AB4=""),"",IFERROR(AB10/AB4,""))</f>
        <v/>
      </c>
      <c r="AC11" s="15">
        <f>IF(OR(AC10="",AC4=""),"",IFERROR(AC10/AC4,""))</f>
        <v/>
      </c>
    </row>
    <row r="12">
      <c r="A12" s="13" t="inlineStr">
        <is>
          <t>YoY</t>
        </is>
      </c>
      <c r="B12" s="10" t="n"/>
      <c r="C12" s="14" t="n"/>
      <c r="D12" s="15" t="n"/>
      <c r="E12" s="15" t="n"/>
      <c r="F12" s="15" t="n"/>
      <c r="G12" s="15">
        <f>IF(OR(G10="",C10=""),"",IFERROR(G10/C10-1,""))</f>
        <v/>
      </c>
      <c r="H12" s="15">
        <f>IF(OR(H10="",D10=""),"",IFERROR(H10/D10-1,""))</f>
        <v/>
      </c>
      <c r="I12" s="15">
        <f>IF(OR(I10="",E10=""),"",IFERROR(I10/E10-1,""))</f>
        <v/>
      </c>
      <c r="J12" s="15">
        <f>IF(OR(J10="",F10=""),"",IFERROR(J10/F10-1,""))</f>
        <v/>
      </c>
      <c r="K12" s="15">
        <f>IF(OR(K10="",G10=""),"",IFERROR(K10/G10-1,""))</f>
        <v/>
      </c>
      <c r="L12" s="15">
        <f>IF(OR(L10="",H10=""),"",IFERROR(L10/H10-1,""))</f>
        <v/>
      </c>
      <c r="M12" s="15">
        <f>IF(OR(M10="",I10=""),"",IFERROR(M10/I10-1,""))</f>
        <v/>
      </c>
      <c r="N12" s="15">
        <f>IF(OR(N10="",J10=""),"",IFERROR(N10/J10-1,""))</f>
        <v/>
      </c>
      <c r="O12" s="14" t="n"/>
      <c r="P12" s="15">
        <f>IF(OR(P10="",O10=""),"",IFERROR(P10/O10-1,""))</f>
        <v/>
      </c>
      <c r="Q12" s="15">
        <f>IF(OR(Q10="",P10=""),"",IFERROR(Q10/P10-1,""))</f>
        <v/>
      </c>
      <c r="R12" s="15">
        <f>IF(OR(R10="",Q10=""),"",IFERROR(R10/Q10-1,""))</f>
        <v/>
      </c>
      <c r="S12" s="15">
        <f>IF(OR(S10="",R10=""),"",IFERROR(S10/R10-1,""))</f>
        <v/>
      </c>
      <c r="T12" s="15">
        <f>IF(OR(T10="",S10=""),"",IFERROR(T10/S10-1,""))</f>
        <v/>
      </c>
      <c r="U12" s="15">
        <f>IF(OR(U10="",T10=""),"",IFERROR(U10/T10-1,""))</f>
        <v/>
      </c>
      <c r="V12" s="15">
        <f>IF(OR(V10="",U10=""),"",IFERROR(V10/U10-1,""))</f>
        <v/>
      </c>
      <c r="W12" s="15">
        <f>IF(OR(W10="",V10=""),"",IFERROR(W10/V10-1,""))</f>
        <v/>
      </c>
      <c r="X12" s="15">
        <f>IF(OR(X10="",W10=""),"",IFERROR(X10/W10-1,""))</f>
        <v/>
      </c>
      <c r="Y12" s="14">
        <f>IF(OR(Y10="",X10=""),"",IFERROR(Y10/X10-1,""))</f>
        <v/>
      </c>
      <c r="Z12" s="15">
        <f>IF(OR(Z10="",Y10=""),"",IFERROR(Z10/Y10-1,""))</f>
        <v/>
      </c>
      <c r="AA12" s="15">
        <f>IF(OR(AA10="",Z10=""),"",IFERROR(AA10/Z10-1,""))</f>
        <v/>
      </c>
      <c r="AB12" s="15">
        <f>IF(OR(AB10="",AA10=""),"",IFERROR(AB10/AA10-1,""))</f>
        <v/>
      </c>
      <c r="AC12" s="15">
        <f>IF(OR(AC10="",AB10=""),"",IFERROR(AC10/AB10-1,""))</f>
        <v/>
      </c>
    </row>
    <row r="13">
      <c r="A13" s="18" t="inlineStr">
        <is>
          <t>China</t>
        </is>
      </c>
      <c r="B13" s="10" t="n"/>
      <c r="C13" s="19" t="n">
        <v>56876</v>
      </c>
      <c r="D13" s="20" t="n">
        <v>67026</v>
      </c>
      <c r="E13" s="20" t="n">
        <v>40591</v>
      </c>
      <c r="F13" s="20" t="n">
        <v>50754</v>
      </c>
      <c r="G13" s="20" t="n">
        <v>57020</v>
      </c>
      <c r="H13" s="20" t="n">
        <v>65461</v>
      </c>
      <c r="I13" s="20" t="n">
        <v>48830</v>
      </c>
      <c r="J13" s="20" t="n">
        <v>46147</v>
      </c>
      <c r="K13" s="20" t="n">
        <v>46993</v>
      </c>
      <c r="L13" s="20" t="n">
        <v>59826</v>
      </c>
      <c r="M13" s="20" t="n">
        <v>49411</v>
      </c>
      <c r="N13" s="20" t="n">
        <v>50269</v>
      </c>
      <c r="O13" s="19" t="n"/>
      <c r="P13" s="20" t="n"/>
      <c r="Q13" s="20" t="n"/>
      <c r="R13" s="20" t="n"/>
      <c r="S13" s="20" t="n"/>
      <c r="T13" s="20" t="n"/>
      <c r="U13" s="20" t="n"/>
      <c r="V13" s="20" t="n">
        <v>224677</v>
      </c>
      <c r="W13" s="20" t="n">
        <v>222065</v>
      </c>
      <c r="X13" s="20" t="n">
        <v>202377</v>
      </c>
      <c r="Y13" s="21" t="n"/>
      <c r="Z13" s="22" t="n"/>
      <c r="AA13" s="22" t="n"/>
      <c r="AB13" s="22" t="n"/>
      <c r="AC13" s="22" t="n"/>
    </row>
    <row r="14">
      <c r="A14" s="13" t="inlineStr">
        <is>
          <t>비중</t>
        </is>
      </c>
      <c r="B14" s="10" t="n"/>
      <c r="C14" s="14">
        <f>IF(OR(C13="",C4=""),"",IFERROR(C13/C4,""))</f>
        <v/>
      </c>
      <c r="D14" s="15">
        <f>IF(OR(D13="",D4=""),"",IFERROR(D13/D4,""))</f>
        <v/>
      </c>
      <c r="E14" s="15">
        <f>IF(OR(E13="",E4=""),"",IFERROR(E13/E4,""))</f>
        <v/>
      </c>
      <c r="F14" s="15">
        <f>IF(OR(F13="",F4=""),"",IFERROR(F13/F4,""))</f>
        <v/>
      </c>
      <c r="G14" s="15">
        <f>IF(OR(G13="",G4=""),"",IFERROR(G13/G4,""))</f>
        <v/>
      </c>
      <c r="H14" s="15">
        <f>IF(OR(H13="",H4=""),"",IFERROR(H13/H4,""))</f>
        <v/>
      </c>
      <c r="I14" s="15">
        <f>IF(OR(I13="",I4=""),"",IFERROR(I13/I4,""))</f>
        <v/>
      </c>
      <c r="J14" s="15">
        <f>IF(OR(J13="",J4=""),"",IFERROR(J13/J4,""))</f>
        <v/>
      </c>
      <c r="K14" s="15">
        <f>IF(OR(K13="",K4=""),"",IFERROR(K13/K4,""))</f>
        <v/>
      </c>
      <c r="L14" s="15">
        <f>IF(OR(L13="",L4=""),"",IFERROR(L13/L4,""))</f>
        <v/>
      </c>
      <c r="M14" s="15">
        <f>IF(OR(M13="",M4=""),"",IFERROR(M13/M4,""))</f>
        <v/>
      </c>
      <c r="N14" s="15">
        <f>IF(OR(N13="",N4=""),"",IFERROR(N13/N4,""))</f>
        <v/>
      </c>
      <c r="O14" s="14">
        <f>IF(OR(O13="",O4=""),"",IFERROR(O13/O4,""))</f>
        <v/>
      </c>
      <c r="P14" s="15">
        <f>IF(OR(P13="",P4=""),"",IFERROR(P13/P4,""))</f>
        <v/>
      </c>
      <c r="Q14" s="15">
        <f>IF(OR(Q13="",Q4=""),"",IFERROR(Q13/Q4,""))</f>
        <v/>
      </c>
      <c r="R14" s="15">
        <f>IF(OR(R13="",R4=""),"",IFERROR(R13/R4,""))</f>
        <v/>
      </c>
      <c r="S14" s="15">
        <f>IF(OR(S13="",S4=""),"",IFERROR(S13/S4,""))</f>
        <v/>
      </c>
      <c r="T14" s="15">
        <f>IF(OR(T13="",T4=""),"",IFERROR(T13/T4,""))</f>
        <v/>
      </c>
      <c r="U14" s="15">
        <f>IF(OR(U13="",U4=""),"",IFERROR(U13/U4,""))</f>
        <v/>
      </c>
      <c r="V14" s="15">
        <f>IF(OR(V13="",V4=""),"",IFERROR(V13/V4,""))</f>
        <v/>
      </c>
      <c r="W14" s="15">
        <f>IF(OR(W13="",W4=""),"",IFERROR(W13/W4,""))</f>
        <v/>
      </c>
      <c r="X14" s="15">
        <f>IF(OR(X13="",X4=""),"",IFERROR(X13/X4,""))</f>
        <v/>
      </c>
      <c r="Y14" s="14">
        <f>IF(OR(Y13="",Y4=""),"",IFERROR(Y13/Y4,""))</f>
        <v/>
      </c>
      <c r="Z14" s="15">
        <f>IF(OR(Z13="",Z4=""),"",IFERROR(Z13/Z4,""))</f>
        <v/>
      </c>
      <c r="AA14" s="15">
        <f>IF(OR(AA13="",AA4=""),"",IFERROR(AA13/AA4,""))</f>
        <v/>
      </c>
      <c r="AB14" s="15">
        <f>IF(OR(AB13="",AB4=""),"",IFERROR(AB13/AB4,""))</f>
        <v/>
      </c>
      <c r="AC14" s="15">
        <f>IF(OR(AC13="",AC4=""),"",IFERROR(AC13/AC4,""))</f>
        <v/>
      </c>
    </row>
    <row r="15">
      <c r="A15" s="13" t="inlineStr">
        <is>
          <t>YoY</t>
        </is>
      </c>
      <c r="B15" s="10" t="n"/>
      <c r="C15" s="14" t="n"/>
      <c r="D15" s="15" t="n"/>
      <c r="E15" s="15" t="n"/>
      <c r="F15" s="15" t="n"/>
      <c r="G15" s="15">
        <f>IF(OR(G13="",C13=""),"",IFERROR(G13/C13-1,""))</f>
        <v/>
      </c>
      <c r="H15" s="15">
        <f>IF(OR(H13="",D13=""),"",IFERROR(H13/D13-1,""))</f>
        <v/>
      </c>
      <c r="I15" s="15">
        <f>IF(OR(I13="",E13=""),"",IFERROR(I13/E13-1,""))</f>
        <v/>
      </c>
      <c r="J15" s="15">
        <f>IF(OR(J13="",F13=""),"",IFERROR(J13/F13-1,""))</f>
        <v/>
      </c>
      <c r="K15" s="15">
        <f>IF(OR(K13="",G13=""),"",IFERROR(K13/G13-1,""))</f>
        <v/>
      </c>
      <c r="L15" s="15">
        <f>IF(OR(L13="",H13=""),"",IFERROR(L13/H13-1,""))</f>
        <v/>
      </c>
      <c r="M15" s="15">
        <f>IF(OR(M13="",I13=""),"",IFERROR(M13/I13-1,""))</f>
        <v/>
      </c>
      <c r="N15" s="15">
        <f>IF(OR(N13="",J13=""),"",IFERROR(N13/J13-1,""))</f>
        <v/>
      </c>
      <c r="O15" s="14" t="n"/>
      <c r="P15" s="15">
        <f>IF(OR(P13="",O13=""),"",IFERROR(P13/O13-1,""))</f>
        <v/>
      </c>
      <c r="Q15" s="15">
        <f>IF(OR(Q13="",P13=""),"",IFERROR(Q13/P13-1,""))</f>
        <v/>
      </c>
      <c r="R15" s="15">
        <f>IF(OR(R13="",Q13=""),"",IFERROR(R13/Q13-1,""))</f>
        <v/>
      </c>
      <c r="S15" s="15">
        <f>IF(OR(S13="",R13=""),"",IFERROR(S13/R13-1,""))</f>
        <v/>
      </c>
      <c r="T15" s="15">
        <f>IF(OR(T13="",S13=""),"",IFERROR(T13/S13-1,""))</f>
        <v/>
      </c>
      <c r="U15" s="15">
        <f>IF(OR(U13="",T13=""),"",IFERROR(U13/T13-1,""))</f>
        <v/>
      </c>
      <c r="V15" s="15">
        <f>IF(OR(V13="",U13=""),"",IFERROR(V13/U13-1,""))</f>
        <v/>
      </c>
      <c r="W15" s="15">
        <f>IF(OR(W13="",V13=""),"",IFERROR(W13/V13-1,""))</f>
        <v/>
      </c>
      <c r="X15" s="15">
        <f>IF(OR(X13="",W13=""),"",IFERROR(X13/W13-1,""))</f>
        <v/>
      </c>
      <c r="Y15" s="14">
        <f>IF(OR(Y13="",X13=""),"",IFERROR(Y13/X13-1,""))</f>
        <v/>
      </c>
      <c r="Z15" s="15">
        <f>IF(OR(Z13="",Y13=""),"",IFERROR(Z13/Y13-1,""))</f>
        <v/>
      </c>
      <c r="AA15" s="15">
        <f>IF(OR(AA13="",Z13=""),"",IFERROR(AA13/Z13-1,""))</f>
        <v/>
      </c>
      <c r="AB15" s="15">
        <f>IF(OR(AB13="",AA13=""),"",IFERROR(AB13/AA13-1,""))</f>
        <v/>
      </c>
      <c r="AC15" s="15">
        <f>IF(OR(AC13="",AB13=""),"",IFERROR(AC13/AB13-1,""))</f>
        <v/>
      </c>
    </row>
    <row r="16">
      <c r="A16" s="18" t="inlineStr">
        <is>
          <t>Asia And Oceania</t>
        </is>
      </c>
      <c r="B16" s="10" t="n"/>
      <c r="C16" s="19" t="n">
        <v>67264</v>
      </c>
      <c r="D16" s="20" t="n">
        <v>69237</v>
      </c>
      <c r="E16" s="20" t="n">
        <v>61207</v>
      </c>
      <c r="F16" s="20" t="n"/>
      <c r="G16" s="20" t="n"/>
      <c r="H16" s="20" t="n"/>
      <c r="I16" s="20" t="n"/>
      <c r="J16" s="20" t="n"/>
      <c r="K16" s="20" t="n"/>
      <c r="L16" s="20" t="n"/>
      <c r="M16" s="20" t="n"/>
      <c r="N16" s="20" t="n"/>
      <c r="O16" s="19" t="n"/>
      <c r="P16" s="20" t="n"/>
      <c r="Q16" s="20" t="n"/>
      <c r="R16" s="20" t="n"/>
      <c r="S16" s="20" t="n"/>
      <c r="T16" s="20" t="n"/>
      <c r="U16" s="20" t="n"/>
      <c r="V16" s="20" t="n">
        <v>255684</v>
      </c>
      <c r="W16" s="20" t="n"/>
      <c r="X16" s="20" t="n"/>
      <c r="Y16" s="21" t="n"/>
      <c r="Z16" s="22" t="n"/>
      <c r="AA16" s="22" t="n"/>
      <c r="AB16" s="22" t="n"/>
      <c r="AC16" s="22" t="n"/>
    </row>
    <row r="17">
      <c r="A17" s="13" t="inlineStr">
        <is>
          <t>비중</t>
        </is>
      </c>
      <c r="B17" s="10" t="n"/>
      <c r="C17" s="14">
        <f>IF(OR(C16="",C4=""),"",IFERROR(C16/C4,""))</f>
        <v/>
      </c>
      <c r="D17" s="15">
        <f>IF(OR(D16="",D4=""),"",IFERROR(D16/D4,""))</f>
        <v/>
      </c>
      <c r="E17" s="15">
        <f>IF(OR(E16="",E4=""),"",IFERROR(E16/E4,""))</f>
        <v/>
      </c>
      <c r="F17" s="15">
        <f>IF(OR(F16="",F4=""),"",IFERROR(F16/F4,""))</f>
        <v/>
      </c>
      <c r="G17" s="15">
        <f>IF(OR(G16="",G4=""),"",IFERROR(G16/G4,""))</f>
        <v/>
      </c>
      <c r="H17" s="15">
        <f>IF(OR(H16="",H4=""),"",IFERROR(H16/H4,""))</f>
        <v/>
      </c>
      <c r="I17" s="15">
        <f>IF(OR(I16="",I4=""),"",IFERROR(I16/I4,""))</f>
        <v/>
      </c>
      <c r="J17" s="15">
        <f>IF(OR(J16="",J4=""),"",IFERROR(J16/J4,""))</f>
        <v/>
      </c>
      <c r="K17" s="15">
        <f>IF(OR(K16="",K4=""),"",IFERROR(K16/K4,""))</f>
        <v/>
      </c>
      <c r="L17" s="15">
        <f>IF(OR(L16="",L4=""),"",IFERROR(L16/L4,""))</f>
        <v/>
      </c>
      <c r="M17" s="15">
        <f>IF(OR(M16="",M4=""),"",IFERROR(M16/M4,""))</f>
        <v/>
      </c>
      <c r="N17" s="15">
        <f>IF(OR(N16="",N4=""),"",IFERROR(N16/N4,""))</f>
        <v/>
      </c>
      <c r="O17" s="14">
        <f>IF(OR(O16="",O4=""),"",IFERROR(O16/O4,""))</f>
        <v/>
      </c>
      <c r="P17" s="15">
        <f>IF(OR(P16="",P4=""),"",IFERROR(P16/P4,""))</f>
        <v/>
      </c>
      <c r="Q17" s="15">
        <f>IF(OR(Q16="",Q4=""),"",IFERROR(Q16/Q4,""))</f>
        <v/>
      </c>
      <c r="R17" s="15">
        <f>IF(OR(R16="",R4=""),"",IFERROR(R16/R4,""))</f>
        <v/>
      </c>
      <c r="S17" s="15">
        <f>IF(OR(S16="",S4=""),"",IFERROR(S16/S4,""))</f>
        <v/>
      </c>
      <c r="T17" s="15">
        <f>IF(OR(T16="",T4=""),"",IFERROR(T16/T4,""))</f>
        <v/>
      </c>
      <c r="U17" s="15">
        <f>IF(OR(U16="",U4=""),"",IFERROR(U16/U4,""))</f>
        <v/>
      </c>
      <c r="V17" s="15">
        <f>IF(OR(V16="",V4=""),"",IFERROR(V16/V4,""))</f>
        <v/>
      </c>
      <c r="W17" s="15">
        <f>IF(OR(W16="",W4=""),"",IFERROR(W16/W4,""))</f>
        <v/>
      </c>
      <c r="X17" s="15">
        <f>IF(OR(X16="",X4=""),"",IFERROR(X16/X4,""))</f>
        <v/>
      </c>
      <c r="Y17" s="14">
        <f>IF(OR(Y16="",Y4=""),"",IFERROR(Y16/Y4,""))</f>
        <v/>
      </c>
      <c r="Z17" s="15">
        <f>IF(OR(Z16="",Z4=""),"",IFERROR(Z16/Z4,""))</f>
        <v/>
      </c>
      <c r="AA17" s="15">
        <f>IF(OR(AA16="",AA4=""),"",IFERROR(AA16/AA4,""))</f>
        <v/>
      </c>
      <c r="AB17" s="15">
        <f>IF(OR(AB16="",AB4=""),"",IFERROR(AB16/AB4,""))</f>
        <v/>
      </c>
      <c r="AC17" s="15">
        <f>IF(OR(AC16="",AC4=""),"",IFERROR(AC16/AC4,""))</f>
        <v/>
      </c>
    </row>
    <row r="18">
      <c r="A18" s="13" t="inlineStr">
        <is>
          <t>YoY</t>
        </is>
      </c>
      <c r="B18" s="10" t="n"/>
      <c r="C18" s="14" t="n"/>
      <c r="D18" s="15" t="n"/>
      <c r="E18" s="15" t="n"/>
      <c r="F18" s="15" t="n"/>
      <c r="G18" s="15">
        <f>IF(OR(G16="",C16=""),"",IFERROR(G16/C16-1,""))</f>
        <v/>
      </c>
      <c r="H18" s="15">
        <f>IF(OR(H16="",D16=""),"",IFERROR(H16/D16-1,""))</f>
        <v/>
      </c>
      <c r="I18" s="15">
        <f>IF(OR(I16="",E16=""),"",IFERROR(I16/E16-1,""))</f>
        <v/>
      </c>
      <c r="J18" s="15">
        <f>IF(OR(J16="",F16=""),"",IFERROR(J16/F16-1,""))</f>
        <v/>
      </c>
      <c r="K18" s="15">
        <f>IF(OR(K16="",G16=""),"",IFERROR(K16/G16-1,""))</f>
        <v/>
      </c>
      <c r="L18" s="15">
        <f>IF(OR(L16="",H16=""),"",IFERROR(L16/H16-1,""))</f>
        <v/>
      </c>
      <c r="M18" s="15">
        <f>IF(OR(M16="",I16=""),"",IFERROR(M16/I16-1,""))</f>
        <v/>
      </c>
      <c r="N18" s="15">
        <f>IF(OR(N16="",J16=""),"",IFERROR(N16/J16-1,""))</f>
        <v/>
      </c>
      <c r="O18" s="14" t="n"/>
      <c r="P18" s="15">
        <f>IF(OR(P16="",O16=""),"",IFERROR(P16/O16-1,""))</f>
        <v/>
      </c>
      <c r="Q18" s="15">
        <f>IF(OR(Q16="",P16=""),"",IFERROR(Q16/P16-1,""))</f>
        <v/>
      </c>
      <c r="R18" s="15">
        <f>IF(OR(R16="",Q16=""),"",IFERROR(R16/Q16-1,""))</f>
        <v/>
      </c>
      <c r="S18" s="15">
        <f>IF(OR(S16="",R16=""),"",IFERROR(S16/R16-1,""))</f>
        <v/>
      </c>
      <c r="T18" s="15">
        <f>IF(OR(T16="",S16=""),"",IFERROR(T16/S16-1,""))</f>
        <v/>
      </c>
      <c r="U18" s="15">
        <f>IF(OR(U16="",T16=""),"",IFERROR(U16/T16-1,""))</f>
        <v/>
      </c>
      <c r="V18" s="15">
        <f>IF(OR(V16="",U16=""),"",IFERROR(V16/U16-1,""))</f>
        <v/>
      </c>
      <c r="W18" s="15">
        <f>IF(OR(W16="",V16=""),"",IFERROR(W16/V16-1,""))</f>
        <v/>
      </c>
      <c r="X18" s="15">
        <f>IF(OR(X16="",W16=""),"",IFERROR(X16/W16-1,""))</f>
        <v/>
      </c>
      <c r="Y18" s="14">
        <f>IF(OR(Y16="",X16=""),"",IFERROR(Y16/X16-1,""))</f>
        <v/>
      </c>
      <c r="Z18" s="15">
        <f>IF(OR(Z16="",Y16=""),"",IFERROR(Z16/Y16-1,""))</f>
        <v/>
      </c>
      <c r="AA18" s="15">
        <f>IF(OR(AA16="",Z16=""),"",IFERROR(AA16/Z16-1,""))</f>
        <v/>
      </c>
      <c r="AB18" s="15">
        <f>IF(OR(AB16="",AA16=""),"",IFERROR(AB16/AA16-1,""))</f>
        <v/>
      </c>
      <c r="AC18" s="15">
        <f>IF(OR(AC16="",AB16=""),"",IFERROR(AC16/AB16-1,""))</f>
        <v/>
      </c>
    </row>
    <row r="19">
      <c r="A19" s="18" t="inlineStr">
        <is>
          <t>아시아</t>
        </is>
      </c>
      <c r="B19" s="10" t="n"/>
      <c r="C19" s="19" t="n"/>
      <c r="D19" s="20" t="n"/>
      <c r="E19" s="20" t="n"/>
      <c r="F19" s="20" t="n">
        <v>65324</v>
      </c>
      <c r="G19" s="20" t="n">
        <v>66311</v>
      </c>
      <c r="H19" s="20" t="n">
        <v>71661</v>
      </c>
      <c r="I19" s="20" t="n">
        <v>66076</v>
      </c>
      <c r="J19" s="20" t="n">
        <v>66503</v>
      </c>
      <c r="K19" s="20" t="n">
        <v>69950</v>
      </c>
      <c r="L19" s="20" t="n">
        <v>73203</v>
      </c>
      <c r="M19" s="20" t="n">
        <v>75489</v>
      </c>
      <c r="N19" s="20" t="n">
        <v>73750</v>
      </c>
      <c r="O19" s="19" t="n"/>
      <c r="P19" s="20" t="n"/>
      <c r="Q19" s="20" t="n"/>
      <c r="R19" s="20" t="n"/>
      <c r="S19" s="20" t="n"/>
      <c r="T19" s="20" t="n"/>
      <c r="U19" s="20" t="n"/>
      <c r="V19" s="20" t="n"/>
      <c r="W19" s="20" t="n">
        <v>269372</v>
      </c>
      <c r="X19" s="20" t="n">
        <v>285145</v>
      </c>
      <c r="Y19" s="21" t="n"/>
      <c r="Z19" s="22" t="n"/>
      <c r="AA19" s="22" t="n"/>
      <c r="AB19" s="22" t="n"/>
      <c r="AC19" s="22" t="n"/>
    </row>
    <row r="20">
      <c r="A20" s="13" t="inlineStr">
        <is>
          <t>비중</t>
        </is>
      </c>
      <c r="B20" s="10" t="n"/>
      <c r="C20" s="14">
        <f>IF(OR(C19="",C4=""),"",IFERROR(C19/C4,""))</f>
        <v/>
      </c>
      <c r="D20" s="15">
        <f>IF(OR(D19="",D4=""),"",IFERROR(D19/D4,""))</f>
        <v/>
      </c>
      <c r="E20" s="15">
        <f>IF(OR(E19="",E4=""),"",IFERROR(E19/E4,""))</f>
        <v/>
      </c>
      <c r="F20" s="15">
        <f>IF(OR(F19="",F4=""),"",IFERROR(F19/F4,""))</f>
        <v/>
      </c>
      <c r="G20" s="15">
        <f>IF(OR(G19="",G4=""),"",IFERROR(G19/G4,""))</f>
        <v/>
      </c>
      <c r="H20" s="15">
        <f>IF(OR(H19="",H4=""),"",IFERROR(H19/H4,""))</f>
        <v/>
      </c>
      <c r="I20" s="15">
        <f>IF(OR(I19="",I4=""),"",IFERROR(I19/I4,""))</f>
        <v/>
      </c>
      <c r="J20" s="15">
        <f>IF(OR(J19="",J4=""),"",IFERROR(J19/J4,""))</f>
        <v/>
      </c>
      <c r="K20" s="15">
        <f>IF(OR(K19="",K4=""),"",IFERROR(K19/K4,""))</f>
        <v/>
      </c>
      <c r="L20" s="15">
        <f>IF(OR(L19="",L4=""),"",IFERROR(L19/L4,""))</f>
        <v/>
      </c>
      <c r="M20" s="15">
        <f>IF(OR(M19="",M4=""),"",IFERROR(M19/M4,""))</f>
        <v/>
      </c>
      <c r="N20" s="15">
        <f>IF(OR(N19="",N4=""),"",IFERROR(N19/N4,""))</f>
        <v/>
      </c>
      <c r="O20" s="14">
        <f>IF(OR(O19="",O4=""),"",IFERROR(O19/O4,""))</f>
        <v/>
      </c>
      <c r="P20" s="15">
        <f>IF(OR(P19="",P4=""),"",IFERROR(P19/P4,""))</f>
        <v/>
      </c>
      <c r="Q20" s="15">
        <f>IF(OR(Q19="",Q4=""),"",IFERROR(Q19/Q4,""))</f>
        <v/>
      </c>
      <c r="R20" s="15">
        <f>IF(OR(R19="",R4=""),"",IFERROR(R19/R4,""))</f>
        <v/>
      </c>
      <c r="S20" s="15">
        <f>IF(OR(S19="",S4=""),"",IFERROR(S19/S4,""))</f>
        <v/>
      </c>
      <c r="T20" s="15">
        <f>IF(OR(T19="",T4=""),"",IFERROR(T19/T4,""))</f>
        <v/>
      </c>
      <c r="U20" s="15">
        <f>IF(OR(U19="",U4=""),"",IFERROR(U19/U4,""))</f>
        <v/>
      </c>
      <c r="V20" s="15">
        <f>IF(OR(V19="",V4=""),"",IFERROR(V19/V4,""))</f>
        <v/>
      </c>
      <c r="W20" s="15">
        <f>IF(OR(W19="",W4=""),"",IFERROR(W19/W4,""))</f>
        <v/>
      </c>
      <c r="X20" s="15">
        <f>IF(OR(X19="",X4=""),"",IFERROR(X19/X4,""))</f>
        <v/>
      </c>
      <c r="Y20" s="14">
        <f>IF(OR(Y19="",Y4=""),"",IFERROR(Y19/Y4,""))</f>
        <v/>
      </c>
      <c r="Z20" s="15">
        <f>IF(OR(Z19="",Z4=""),"",IFERROR(Z19/Z4,""))</f>
        <v/>
      </c>
      <c r="AA20" s="15">
        <f>IF(OR(AA19="",AA4=""),"",IFERROR(AA19/AA4,""))</f>
        <v/>
      </c>
      <c r="AB20" s="15">
        <f>IF(OR(AB19="",AB4=""),"",IFERROR(AB19/AB4,""))</f>
        <v/>
      </c>
      <c r="AC20" s="15">
        <f>IF(OR(AC19="",AC4=""),"",IFERROR(AC19/AC4,""))</f>
        <v/>
      </c>
    </row>
    <row r="21">
      <c r="A21" s="13" t="inlineStr">
        <is>
          <t>YoY</t>
        </is>
      </c>
      <c r="B21" s="10" t="n"/>
      <c r="C21" s="14" t="n"/>
      <c r="D21" s="15" t="n"/>
      <c r="E21" s="15" t="n"/>
      <c r="F21" s="15" t="n"/>
      <c r="G21" s="15">
        <f>IF(OR(G19="",C19=""),"",IFERROR(G19/C19-1,""))</f>
        <v/>
      </c>
      <c r="H21" s="15">
        <f>IF(OR(H19="",D19=""),"",IFERROR(H19/D19-1,""))</f>
        <v/>
      </c>
      <c r="I21" s="15">
        <f>IF(OR(I19="",E19=""),"",IFERROR(I19/E19-1,""))</f>
        <v/>
      </c>
      <c r="J21" s="15">
        <f>IF(OR(J19="",F19=""),"",IFERROR(J19/F19-1,""))</f>
        <v/>
      </c>
      <c r="K21" s="15">
        <f>IF(OR(K19="",G19=""),"",IFERROR(K19/G19-1,""))</f>
        <v/>
      </c>
      <c r="L21" s="15">
        <f>IF(OR(L19="",H19=""),"",IFERROR(L19/H19-1,""))</f>
        <v/>
      </c>
      <c r="M21" s="15">
        <f>IF(OR(M19="",I19=""),"",IFERROR(M19/I19-1,""))</f>
        <v/>
      </c>
      <c r="N21" s="15">
        <f>IF(OR(N19="",J19=""),"",IFERROR(N19/J19-1,""))</f>
        <v/>
      </c>
      <c r="O21" s="14" t="n"/>
      <c r="P21" s="15">
        <f>IF(OR(P19="",O19=""),"",IFERROR(P19/O19-1,""))</f>
        <v/>
      </c>
      <c r="Q21" s="15">
        <f>IF(OR(Q19="",P19=""),"",IFERROR(Q19/P19-1,""))</f>
        <v/>
      </c>
      <c r="R21" s="15">
        <f>IF(OR(R19="",Q19=""),"",IFERROR(R19/Q19-1,""))</f>
        <v/>
      </c>
      <c r="S21" s="15">
        <f>IF(OR(S19="",R19=""),"",IFERROR(S19/R19-1,""))</f>
        <v/>
      </c>
      <c r="T21" s="15">
        <f>IF(OR(T19="",S19=""),"",IFERROR(T19/S19-1,""))</f>
        <v/>
      </c>
      <c r="U21" s="15">
        <f>IF(OR(U19="",T19=""),"",IFERROR(U19/T19-1,""))</f>
        <v/>
      </c>
      <c r="V21" s="15">
        <f>IF(OR(V19="",U19=""),"",IFERROR(V19/U19-1,""))</f>
        <v/>
      </c>
      <c r="W21" s="15">
        <f>IF(OR(W19="",V19=""),"",IFERROR(W19/V19-1,""))</f>
        <v/>
      </c>
      <c r="X21" s="15">
        <f>IF(OR(X19="",W19=""),"",IFERROR(X19/W19-1,""))</f>
        <v/>
      </c>
      <c r="Y21" s="14">
        <f>IF(OR(Y19="",X19=""),"",IFERROR(Y19/X19-1,""))</f>
        <v/>
      </c>
      <c r="Z21" s="15">
        <f>IF(OR(Z19="",Y19=""),"",IFERROR(Z19/Y19-1,""))</f>
        <v/>
      </c>
      <c r="AA21" s="15">
        <f>IF(OR(AA19="",Z19=""),"",IFERROR(AA19/Z19-1,""))</f>
        <v/>
      </c>
      <c r="AB21" s="15">
        <f>IF(OR(AB19="",AA19=""),"",IFERROR(AB19/AA19-1,""))</f>
        <v/>
      </c>
      <c r="AC21" s="15">
        <f>IF(OR(AC19="",AB19=""),"",IFERROR(AC19/AB19-1,""))</f>
        <v/>
      </c>
    </row>
    <row r="22">
      <c r="A22" s="18" t="inlineStr">
        <is>
          <t>Europe And Africa</t>
        </is>
      </c>
      <c r="B22" s="10" t="n"/>
      <c r="C22" s="19" t="n">
        <v>30477</v>
      </c>
      <c r="D22" s="20" t="n">
        <v>35396</v>
      </c>
      <c r="E22" s="20" t="n">
        <v>30376</v>
      </c>
      <c r="F22" s="20" t="n">
        <v>30423</v>
      </c>
      <c r="G22" s="20" t="n">
        <v>25812</v>
      </c>
      <c r="H22" s="20" t="n">
        <v>29296</v>
      </c>
      <c r="I22" s="20" t="n">
        <v>29907</v>
      </c>
      <c r="J22" s="20" t="n">
        <v>26704</v>
      </c>
      <c r="K22" s="20" t="n">
        <v>27623</v>
      </c>
      <c r="L22" s="20" t="n">
        <v>32165</v>
      </c>
      <c r="M22" s="20" t="n">
        <v>34206</v>
      </c>
      <c r="N22" s="20" t="n">
        <v>30198</v>
      </c>
      <c r="O22" s="19" t="n"/>
      <c r="P22" s="20" t="n"/>
      <c r="Q22" s="20" t="n"/>
      <c r="R22" s="20" t="n"/>
      <c r="S22" s="20" t="n"/>
      <c r="T22" s="20" t="n"/>
      <c r="U22" s="20" t="n"/>
      <c r="V22" s="20" t="n">
        <v>129375</v>
      </c>
      <c r="W22" s="20" t="n">
        <v>115438</v>
      </c>
      <c r="X22" s="20" t="n">
        <v>120698</v>
      </c>
      <c r="Y22" s="21" t="n"/>
      <c r="Z22" s="22" t="n"/>
      <c r="AA22" s="22" t="n"/>
      <c r="AB22" s="22" t="n"/>
      <c r="AC22" s="22" t="n"/>
    </row>
    <row r="23">
      <c r="A23" s="13" t="inlineStr">
        <is>
          <t>비중</t>
        </is>
      </c>
      <c r="B23" s="10" t="n"/>
      <c r="C23" s="14">
        <f>IF(OR(C22="",C4=""),"",IFERROR(C22/C4,""))</f>
        <v/>
      </c>
      <c r="D23" s="15">
        <f>IF(OR(D22="",D4=""),"",IFERROR(D22/D4,""))</f>
        <v/>
      </c>
      <c r="E23" s="15">
        <f>IF(OR(E22="",E4=""),"",IFERROR(E22/E4,""))</f>
        <v/>
      </c>
      <c r="F23" s="15">
        <f>IF(OR(F22="",F4=""),"",IFERROR(F22/F4,""))</f>
        <v/>
      </c>
      <c r="G23" s="15">
        <f>IF(OR(G22="",G4=""),"",IFERROR(G22/G4,""))</f>
        <v/>
      </c>
      <c r="H23" s="15">
        <f>IF(OR(H22="",H4=""),"",IFERROR(H22/H4,""))</f>
        <v/>
      </c>
      <c r="I23" s="15">
        <f>IF(OR(I22="",I4=""),"",IFERROR(I22/I4,""))</f>
        <v/>
      </c>
      <c r="J23" s="15">
        <f>IF(OR(J22="",J4=""),"",IFERROR(J22/J4,""))</f>
        <v/>
      </c>
      <c r="K23" s="15">
        <f>IF(OR(K22="",K4=""),"",IFERROR(K22/K4,""))</f>
        <v/>
      </c>
      <c r="L23" s="15">
        <f>IF(OR(L22="",L4=""),"",IFERROR(L22/L4,""))</f>
        <v/>
      </c>
      <c r="M23" s="15">
        <f>IF(OR(M22="",M4=""),"",IFERROR(M22/M4,""))</f>
        <v/>
      </c>
      <c r="N23" s="15">
        <f>IF(OR(N22="",N4=""),"",IFERROR(N22/N4,""))</f>
        <v/>
      </c>
      <c r="O23" s="14">
        <f>IF(OR(O22="",O4=""),"",IFERROR(O22/O4,""))</f>
        <v/>
      </c>
      <c r="P23" s="15">
        <f>IF(OR(P22="",P4=""),"",IFERROR(P22/P4,""))</f>
        <v/>
      </c>
      <c r="Q23" s="15">
        <f>IF(OR(Q22="",Q4=""),"",IFERROR(Q22/Q4,""))</f>
        <v/>
      </c>
      <c r="R23" s="15">
        <f>IF(OR(R22="",R4=""),"",IFERROR(R22/R4,""))</f>
        <v/>
      </c>
      <c r="S23" s="15">
        <f>IF(OR(S22="",S4=""),"",IFERROR(S22/S4,""))</f>
        <v/>
      </c>
      <c r="T23" s="15">
        <f>IF(OR(T22="",T4=""),"",IFERROR(T22/T4,""))</f>
        <v/>
      </c>
      <c r="U23" s="15">
        <f>IF(OR(U22="",U4=""),"",IFERROR(U22/U4,""))</f>
        <v/>
      </c>
      <c r="V23" s="15">
        <f>IF(OR(V22="",V4=""),"",IFERROR(V22/V4,""))</f>
        <v/>
      </c>
      <c r="W23" s="15">
        <f>IF(OR(W22="",W4=""),"",IFERROR(W22/W4,""))</f>
        <v/>
      </c>
      <c r="X23" s="15">
        <f>IF(OR(X22="",X4=""),"",IFERROR(X22/X4,""))</f>
        <v/>
      </c>
      <c r="Y23" s="14">
        <f>IF(OR(Y22="",Y4=""),"",IFERROR(Y22/Y4,""))</f>
        <v/>
      </c>
      <c r="Z23" s="15">
        <f>IF(OR(Z22="",Z4=""),"",IFERROR(Z22/Z4,""))</f>
        <v/>
      </c>
      <c r="AA23" s="15">
        <f>IF(OR(AA22="",AA4=""),"",IFERROR(AA22/AA4,""))</f>
        <v/>
      </c>
      <c r="AB23" s="15">
        <f>IF(OR(AB22="",AB4=""),"",IFERROR(AB22/AB4,""))</f>
        <v/>
      </c>
      <c r="AC23" s="15">
        <f>IF(OR(AC22="",AC4=""),"",IFERROR(AC22/AC4,""))</f>
        <v/>
      </c>
    </row>
    <row r="24">
      <c r="A24" s="13" t="inlineStr">
        <is>
          <t>YoY</t>
        </is>
      </c>
      <c r="B24" s="10" t="n"/>
      <c r="C24" s="14" t="n"/>
      <c r="D24" s="15" t="n"/>
      <c r="E24" s="15" t="n"/>
      <c r="F24" s="15" t="n"/>
      <c r="G24" s="15">
        <f>IF(OR(G22="",C22=""),"",IFERROR(G22/C22-1,""))</f>
        <v/>
      </c>
      <c r="H24" s="15">
        <f>IF(OR(H22="",D22=""),"",IFERROR(H22/D22-1,""))</f>
        <v/>
      </c>
      <c r="I24" s="15">
        <f>IF(OR(I22="",E22=""),"",IFERROR(I22/E22-1,""))</f>
        <v/>
      </c>
      <c r="J24" s="15">
        <f>IF(OR(J22="",F22=""),"",IFERROR(J22/F22-1,""))</f>
        <v/>
      </c>
      <c r="K24" s="15">
        <f>IF(OR(K22="",G22=""),"",IFERROR(K22/G22-1,""))</f>
        <v/>
      </c>
      <c r="L24" s="15">
        <f>IF(OR(L22="",H22=""),"",IFERROR(L22/H22-1,""))</f>
        <v/>
      </c>
      <c r="M24" s="15">
        <f>IF(OR(M22="",I22=""),"",IFERROR(M22/I22-1,""))</f>
        <v/>
      </c>
      <c r="N24" s="15">
        <f>IF(OR(N22="",J22=""),"",IFERROR(N22/J22-1,""))</f>
        <v/>
      </c>
      <c r="O24" s="14" t="n"/>
      <c r="P24" s="15">
        <f>IF(OR(P22="",O22=""),"",IFERROR(P22/O22-1,""))</f>
        <v/>
      </c>
      <c r="Q24" s="15">
        <f>IF(OR(Q22="",P22=""),"",IFERROR(Q22/P22-1,""))</f>
        <v/>
      </c>
      <c r="R24" s="15">
        <f>IF(OR(R22="",Q22=""),"",IFERROR(R22/Q22-1,""))</f>
        <v/>
      </c>
      <c r="S24" s="15">
        <f>IF(OR(S22="",R22=""),"",IFERROR(S22/R22-1,""))</f>
        <v/>
      </c>
      <c r="T24" s="15">
        <f>IF(OR(T22="",S22=""),"",IFERROR(T22/S22-1,""))</f>
        <v/>
      </c>
      <c r="U24" s="15">
        <f>IF(OR(U22="",T22=""),"",IFERROR(U22/T22-1,""))</f>
        <v/>
      </c>
      <c r="V24" s="15">
        <f>IF(OR(V22="",U22=""),"",IFERROR(V22/U22-1,""))</f>
        <v/>
      </c>
      <c r="W24" s="15">
        <f>IF(OR(W22="",V22=""),"",IFERROR(W22/V22-1,""))</f>
        <v/>
      </c>
      <c r="X24" s="15">
        <f>IF(OR(X22="",W22=""),"",IFERROR(X22/W22-1,""))</f>
        <v/>
      </c>
      <c r="Y24" s="14">
        <f>IF(OR(Y22="",X22=""),"",IFERROR(Y22/X22-1,""))</f>
        <v/>
      </c>
      <c r="Z24" s="15">
        <f>IF(OR(Z22="",Y22=""),"",IFERROR(Z22/Y22-1,""))</f>
        <v/>
      </c>
      <c r="AA24" s="15">
        <f>IF(OR(AA22="",Z22=""),"",IFERROR(AA22/Z22-1,""))</f>
        <v/>
      </c>
      <c r="AB24" s="15">
        <f>IF(OR(AB22="",AA22=""),"",IFERROR(AB22/AA22-1,""))</f>
        <v/>
      </c>
      <c r="AC24" s="15">
        <f>IF(OR(AC22="",AB22=""),"",IFERROR(AC22/AB22-1,""))</f>
        <v/>
      </c>
    </row>
    <row r="25">
      <c r="A25" s="16" t="inlineStr">
        <is>
          <t>매출원가</t>
        </is>
      </c>
      <c r="B25" s="16" t="n"/>
      <c r="C25" s="17" t="n"/>
      <c r="D25" s="16" t="n"/>
      <c r="E25" s="16" t="n"/>
      <c r="F25" s="16" t="n"/>
      <c r="G25" s="16" t="n"/>
      <c r="H25" s="16" t="n"/>
      <c r="I25" s="16" t="n"/>
      <c r="J25" s="16" t="n"/>
      <c r="K25" s="16" t="n"/>
      <c r="L25" s="16" t="n"/>
      <c r="M25" s="16" t="n"/>
      <c r="N25" s="16" t="n"/>
      <c r="O25" s="17" t="n"/>
      <c r="P25" s="16" t="n"/>
      <c r="Q25" s="16" t="n"/>
      <c r="R25" s="16" t="n"/>
      <c r="S25" s="16" t="n"/>
      <c r="T25" s="16" t="n"/>
      <c r="U25" s="16" t="n"/>
      <c r="V25" s="16" t="n"/>
      <c r="W25" s="16" t="n"/>
      <c r="X25" s="16" t="n"/>
      <c r="Y25" s="17" t="n"/>
      <c r="Z25" s="16" t="n"/>
      <c r="AA25" s="16" t="n"/>
      <c r="AB25" s="16" t="n"/>
      <c r="AC25" s="16" t="n"/>
    </row>
    <row r="26">
      <c r="A26" s="18" t="inlineStr">
        <is>
          <t>전체 매출원가</t>
        </is>
      </c>
      <c r="B26" s="10" t="n"/>
      <c r="C26" s="19" t="n">
        <v>431342</v>
      </c>
      <c r="D26" s="20" t="n">
        <v>450787</v>
      </c>
      <c r="E26" s="20" t="n">
        <v>433299</v>
      </c>
      <c r="F26" s="20" t="n">
        <v>437643</v>
      </c>
      <c r="G26" s="20" t="n">
        <v>412284</v>
      </c>
      <c r="H26" s="20" t="n">
        <v>446287</v>
      </c>
      <c r="I26" s="20" t="n">
        <v>448798</v>
      </c>
      <c r="J26" s="20" t="n">
        <v>429776</v>
      </c>
      <c r="K26" s="20" t="n">
        <v>440385</v>
      </c>
      <c r="L26" s="20" t="n">
        <v>479012</v>
      </c>
      <c r="M26" s="20" t="n">
        <v>480485</v>
      </c>
      <c r="N26" s="20" t="n">
        <v>476579</v>
      </c>
      <c r="O26" s="19" t="n"/>
      <c r="P26" s="20" t="n">
        <v>1253952</v>
      </c>
      <c r="Q26" s="20" t="n">
        <v>1269857</v>
      </c>
      <c r="R26" s="20" t="n"/>
      <c r="S26" s="20" t="n"/>
      <c r="T26" s="20" t="n"/>
      <c r="U26" s="20" t="n"/>
      <c r="V26" s="20" t="n">
        <v>1742151</v>
      </c>
      <c r="W26" s="20" t="n">
        <v>1745012</v>
      </c>
      <c r="X26" s="20" t="n">
        <v>1829658</v>
      </c>
      <c r="Y26" s="19" t="n"/>
      <c r="Z26" s="20" t="n"/>
      <c r="AA26" s="20" t="n"/>
      <c r="AB26" s="20" t="n"/>
      <c r="AC26" s="20" t="n"/>
    </row>
    <row r="27">
      <c r="A27" s="13" t="inlineStr">
        <is>
          <t>YoY</t>
        </is>
      </c>
      <c r="B27" s="10" t="n"/>
      <c r="C27" s="14" t="n"/>
      <c r="D27" s="15" t="n"/>
      <c r="E27" s="15" t="n"/>
      <c r="F27" s="15" t="n"/>
      <c r="G27" s="15">
        <f>IF(OR(G26="",C26=""),"",IF(C26&lt;=0,"",IFERROR(G26/C26-1,"")))</f>
        <v/>
      </c>
      <c r="H27" s="15">
        <f>IF(OR(H26="",D26=""),"",IF(D26&lt;=0,"",IFERROR(H26/D26-1,"")))</f>
        <v/>
      </c>
      <c r="I27" s="15">
        <f>IF(OR(I26="",E26=""),"",IF(E26&lt;=0,"",IFERROR(I26/E26-1,"")))</f>
        <v/>
      </c>
      <c r="J27" s="15">
        <f>IF(OR(J26="",F26=""),"",IF(F26&lt;=0,"",IFERROR(J26/F26-1,"")))</f>
        <v/>
      </c>
      <c r="K27" s="15">
        <f>IF(OR(K26="",G26=""),"",IF(G26&lt;=0,"",IFERROR(K26/G26-1,"")))</f>
        <v/>
      </c>
      <c r="L27" s="15">
        <f>IF(OR(L26="",H26=""),"",IF(H26&lt;=0,"",IFERROR(L26/H26-1,"")))</f>
        <v/>
      </c>
      <c r="M27" s="15">
        <f>IF(OR(M26="",I26=""),"",IF(I26&lt;=0,"",IFERROR(M26/I26-1,"")))</f>
        <v/>
      </c>
      <c r="N27" s="15">
        <f>IF(OR(N26="",J26=""),"",IF(J26&lt;=0,"",IFERROR(N26/J26-1,"")))</f>
        <v/>
      </c>
      <c r="O27" s="14" t="n"/>
      <c r="P27" s="15">
        <f>IF(OR(P26="",O26=""),"",IF(O26&lt;=0,"",IFERROR(P26/O26-1,"")))</f>
        <v/>
      </c>
      <c r="Q27" s="15">
        <f>IF(OR(Q26="",P26=""),"",IF(P26&lt;=0,"",IFERROR(Q26/P26-1,"")))</f>
        <v/>
      </c>
      <c r="R27" s="15">
        <f>IF(OR(R26="",Q26=""),"",IF(Q26&lt;=0,"",IFERROR(R26/Q26-1,"")))</f>
        <v/>
      </c>
      <c r="S27" s="15">
        <f>IF(OR(S26="",R26=""),"",IF(R26&lt;=0,"",IFERROR(S26/R26-1,"")))</f>
        <v/>
      </c>
      <c r="T27" s="15">
        <f>IF(OR(T26="",S26=""),"",IF(S26&lt;=0,"",IFERROR(T26/S26-1,"")))</f>
        <v/>
      </c>
      <c r="U27" s="15">
        <f>IF(OR(U26="",T26=""),"",IF(T26&lt;=0,"",IFERROR(U26/T26-1,"")))</f>
        <v/>
      </c>
      <c r="V27" s="15">
        <f>IF(OR(V26="",U26=""),"",IF(U26&lt;=0,"",IFERROR(V26/U26-1,"")))</f>
        <v/>
      </c>
      <c r="W27" s="15">
        <f>IF(OR(W26="",V26=""),"",IF(V26&lt;=0,"",IFERROR(W26/V26-1,"")))</f>
        <v/>
      </c>
      <c r="X27" s="15">
        <f>IF(OR(X26="",W26=""),"",IF(W26&lt;=0,"",IFERROR(X26/W26-1,"")))</f>
        <v/>
      </c>
      <c r="Y27" s="14">
        <f>IF(OR(Y26="",X26=""),"",IF(X26&lt;=0,"",IFERROR(Y26/X26-1,"")))</f>
        <v/>
      </c>
      <c r="Z27" s="15">
        <f>IF(OR(Z26="",Y26=""),"",IF(Y26&lt;=0,"",IFERROR(Z26/Y26-1,"")))</f>
        <v/>
      </c>
      <c r="AA27" s="15">
        <f>IF(OR(AA26="",Z26=""),"",IF(Z26&lt;=0,"",IFERROR(AA26/Z26-1,"")))</f>
        <v/>
      </c>
      <c r="AB27" s="15">
        <f>IF(OR(AB26="",AA26=""),"",IF(AA26&lt;=0,"",IFERROR(AB26/AA26-1,"")))</f>
        <v/>
      </c>
      <c r="AC27" s="15">
        <f>IF(OR(AC26="",AB26=""),"",IF(AB26&lt;=0,"",IFERROR(AC26/AB26-1,"")))</f>
        <v/>
      </c>
    </row>
    <row r="28">
      <c r="A28" s="18" t="inlineStr">
        <is>
          <t>매출총이익</t>
        </is>
      </c>
      <c r="B28" s="10" t="n"/>
      <c r="C28" s="19">
        <f>IF(OR(C4="",C26=""),"",IFERROR(C4-C26,""))</f>
        <v/>
      </c>
      <c r="D28" s="20">
        <f>IF(OR(D4="",D26=""),"",IFERROR(D4-D26,""))</f>
        <v/>
      </c>
      <c r="E28" s="20">
        <f>IF(OR(E4="",E26=""),"",IFERROR(E4-E26,""))</f>
        <v/>
      </c>
      <c r="F28" s="20">
        <f>IF(OR(F4="",F26=""),"",IFERROR(F4-F26,""))</f>
        <v/>
      </c>
      <c r="G28" s="20">
        <f>IF(OR(G4="",G26=""),"",IFERROR(G4-G26,""))</f>
        <v/>
      </c>
      <c r="H28" s="20">
        <f>IF(OR(H4="",H26=""),"",IFERROR(H4-H26,""))</f>
        <v/>
      </c>
      <c r="I28" s="20">
        <f>IF(OR(I4="",I26=""),"",IFERROR(I4-I26,""))</f>
        <v/>
      </c>
      <c r="J28" s="20">
        <f>IF(OR(J4="",J26=""),"",IFERROR(J4-J26,""))</f>
        <v/>
      </c>
      <c r="K28" s="20">
        <f>IF(OR(K4="",K26=""),"",IFERROR(K4-K26,""))</f>
        <v/>
      </c>
      <c r="L28" s="20">
        <f>IF(OR(L4="",L26=""),"",IFERROR(L4-L26,""))</f>
        <v/>
      </c>
      <c r="M28" s="20">
        <f>IF(OR(M4="",M26=""),"",IFERROR(M4-M26,""))</f>
        <v/>
      </c>
      <c r="N28" s="20">
        <f>IF(OR(N4="",N26=""),"",IFERROR(N4-N26,""))</f>
        <v/>
      </c>
      <c r="O28" s="19">
        <f>IF(OR(O4="",O26=""),"",IFERROR(O4-O26,""))</f>
        <v/>
      </c>
      <c r="P28" s="20">
        <f>IF(OR(P4="",P26=""),"",IFERROR(P4-P26,""))</f>
        <v/>
      </c>
      <c r="Q28" s="20">
        <f>IF(OR(Q4="",Q26=""),"",IFERROR(Q4-Q26,""))</f>
        <v/>
      </c>
      <c r="R28" s="20">
        <f>IF(OR(R4="",R26=""),"",IFERROR(R4-R26,""))</f>
        <v/>
      </c>
      <c r="S28" s="20">
        <f>IF(OR(S4="",S26=""),"",IFERROR(S4-S26,""))</f>
        <v/>
      </c>
      <c r="T28" s="20">
        <f>IF(OR(T4="",T26=""),"",IFERROR(T4-T26,""))</f>
        <v/>
      </c>
      <c r="U28" s="20">
        <f>IF(OR(U4="",U26=""),"",IFERROR(U4-U26,""))</f>
        <v/>
      </c>
      <c r="V28" s="20">
        <f>IF(OR(V4="",V26=""),"",IFERROR(V4-V26,""))</f>
        <v/>
      </c>
      <c r="W28" s="20">
        <f>IF(OR(W4="",W26=""),"",IFERROR(W4-W26,""))</f>
        <v/>
      </c>
      <c r="X28" s="20">
        <f>IF(OR(X4="",X26=""),"",IFERROR(X4-X26,""))</f>
        <v/>
      </c>
      <c r="Y28" s="19" t="n"/>
      <c r="Z28" s="20" t="n"/>
      <c r="AA28" s="20" t="n"/>
      <c r="AB28" s="20" t="n"/>
      <c r="AC28" s="20" t="n"/>
    </row>
    <row r="29">
      <c r="A29" s="13" t="inlineStr">
        <is>
          <t>GPM</t>
        </is>
      </c>
      <c r="B29" s="10" t="n"/>
      <c r="C29" s="14">
        <f>IF(OR(C28="",C4=""),"",IFERROR(C28/C4,""))</f>
        <v/>
      </c>
      <c r="D29" s="15">
        <f>IF(OR(D28="",D4=""),"",IFERROR(D28/D4,""))</f>
        <v/>
      </c>
      <c r="E29" s="15">
        <f>IF(OR(E28="",E4=""),"",IFERROR(E28/E4,""))</f>
        <v/>
      </c>
      <c r="F29" s="15">
        <f>IF(OR(F28="",F4=""),"",IFERROR(F28/F4,""))</f>
        <v/>
      </c>
      <c r="G29" s="15">
        <f>IF(OR(G28="",G4=""),"",IFERROR(G28/G4,""))</f>
        <v/>
      </c>
      <c r="H29" s="15">
        <f>IF(OR(H28="",H4=""),"",IFERROR(H28/H4,""))</f>
        <v/>
      </c>
      <c r="I29" s="15">
        <f>IF(OR(I28="",I4=""),"",IFERROR(I28/I4,""))</f>
        <v/>
      </c>
      <c r="J29" s="15">
        <f>IF(OR(J28="",J4=""),"",IFERROR(J28/J4,""))</f>
        <v/>
      </c>
      <c r="K29" s="15">
        <f>IF(OR(K28="",K4=""),"",IFERROR(K28/K4,""))</f>
        <v/>
      </c>
      <c r="L29" s="15">
        <f>IF(OR(L28="",L4=""),"",IFERROR(L28/L4,""))</f>
        <v/>
      </c>
      <c r="M29" s="15">
        <f>IF(OR(M28="",M4=""),"",IFERROR(M28/M4,""))</f>
        <v/>
      </c>
      <c r="N29" s="15">
        <f>IF(OR(N28="",N4=""),"",IFERROR(N28/N4,""))</f>
        <v/>
      </c>
      <c r="O29" s="14">
        <f>IF(OR(O28="",O4=""),"",IFERROR(O28/O4,""))</f>
        <v/>
      </c>
      <c r="P29" s="15">
        <f>IF(OR(P28="",P4=""),"",IFERROR(P28/P4,""))</f>
        <v/>
      </c>
      <c r="Q29" s="15">
        <f>IF(OR(Q28="",Q4=""),"",IFERROR(Q28/Q4,""))</f>
        <v/>
      </c>
      <c r="R29" s="15">
        <f>IF(OR(R28="",R4=""),"",IFERROR(R28/R4,""))</f>
        <v/>
      </c>
      <c r="S29" s="15">
        <f>IF(OR(S28="",S4=""),"",IFERROR(S28/S4,""))</f>
        <v/>
      </c>
      <c r="T29" s="15">
        <f>IF(OR(T28="",T4=""),"",IFERROR(T28/T4,""))</f>
        <v/>
      </c>
      <c r="U29" s="15">
        <f>IF(OR(U28="",U4=""),"",IFERROR(U28/U4,""))</f>
        <v/>
      </c>
      <c r="V29" s="15">
        <f>IF(OR(V28="",V4=""),"",IFERROR(V28/V4,""))</f>
        <v/>
      </c>
      <c r="W29" s="15">
        <f>IF(OR(W28="",W4=""),"",IFERROR(W28/W4,""))</f>
        <v/>
      </c>
      <c r="X29" s="15">
        <f>IF(OR(X28="",X4=""),"",IFERROR(X28/X4,""))</f>
        <v/>
      </c>
      <c r="Y29" s="14">
        <f>IF(OR(Y28="",Y4=""),"",IFERROR(Y28/Y4,""))</f>
        <v/>
      </c>
      <c r="Z29" s="15">
        <f>IF(OR(Z28="",Z4=""),"",IFERROR(Z28/Z4,""))</f>
        <v/>
      </c>
      <c r="AA29" s="15">
        <f>IF(OR(AA28="",AA4=""),"",IFERROR(AA28/AA4,""))</f>
        <v/>
      </c>
      <c r="AB29" s="15">
        <f>IF(OR(AB28="",AB4=""),"",IFERROR(AB28/AB4,""))</f>
        <v/>
      </c>
      <c r="AC29" s="15">
        <f>IF(OR(AC28="",AC4=""),"",IFERROR(AC28/AC4,""))</f>
        <v/>
      </c>
    </row>
    <row r="30">
      <c r="A30" s="13" t="inlineStr">
        <is>
          <t>YoY</t>
        </is>
      </c>
      <c r="B30" s="10" t="n"/>
      <c r="C30" s="14" t="n"/>
      <c r="D30" s="15" t="n"/>
      <c r="E30" s="15" t="n"/>
      <c r="F30" s="15" t="n"/>
      <c r="G30" s="15">
        <f>IF(OR(G28="",C28=""),"",IF(C28&lt;=0,"",IFERROR(G28/C28-1,"")))</f>
        <v/>
      </c>
      <c r="H30" s="15">
        <f>IF(OR(H28="",D28=""),"",IF(D28&lt;=0,"",IFERROR(H28/D28-1,"")))</f>
        <v/>
      </c>
      <c r="I30" s="15">
        <f>IF(OR(I28="",E28=""),"",IF(E28&lt;=0,"",IFERROR(I28/E28-1,"")))</f>
        <v/>
      </c>
      <c r="J30" s="15">
        <f>IF(OR(J28="",F28=""),"",IF(F28&lt;=0,"",IFERROR(J28/F28-1,"")))</f>
        <v/>
      </c>
      <c r="K30" s="15">
        <f>IF(OR(K28="",G28=""),"",IF(G28&lt;=0,"",IFERROR(K28/G28-1,"")))</f>
        <v/>
      </c>
      <c r="L30" s="15">
        <f>IF(OR(L28="",H28=""),"",IF(H28&lt;=0,"",IFERROR(L28/H28-1,"")))</f>
        <v/>
      </c>
      <c r="M30" s="15">
        <f>IF(OR(M28="",I28=""),"",IF(I28&lt;=0,"",IFERROR(M28/I28-1,"")))</f>
        <v/>
      </c>
      <c r="N30" s="15">
        <f>IF(OR(N28="",J28=""),"",IF(J28&lt;=0,"",IFERROR(N28/J28-1,"")))</f>
        <v/>
      </c>
      <c r="O30" s="14" t="n"/>
      <c r="P30" s="15">
        <f>IF(OR(P28="",O28=""),"",IF(O28&lt;=0,"",IFERROR(P28/O28-1,"")))</f>
        <v/>
      </c>
      <c r="Q30" s="15">
        <f>IF(OR(Q28="",P28=""),"",IF(P28&lt;=0,"",IFERROR(Q28/P28-1,"")))</f>
        <v/>
      </c>
      <c r="R30" s="15">
        <f>IF(OR(R28="",Q28=""),"",IF(Q28&lt;=0,"",IFERROR(R28/Q28-1,"")))</f>
        <v/>
      </c>
      <c r="S30" s="15">
        <f>IF(OR(S28="",R28=""),"",IF(R28&lt;=0,"",IFERROR(S28/R28-1,"")))</f>
        <v/>
      </c>
      <c r="T30" s="15">
        <f>IF(OR(T28="",S28=""),"",IF(S28&lt;=0,"",IFERROR(T28/S28-1,"")))</f>
        <v/>
      </c>
      <c r="U30" s="15">
        <f>IF(OR(U28="",T28=""),"",IF(T28&lt;=0,"",IFERROR(U28/T28-1,"")))</f>
        <v/>
      </c>
      <c r="V30" s="15">
        <f>IF(OR(V28="",U28=""),"",IF(U28&lt;=0,"",IFERROR(V28/U28-1,"")))</f>
        <v/>
      </c>
      <c r="W30" s="15">
        <f>IF(OR(W28="",V28=""),"",IF(V28&lt;=0,"",IFERROR(W28/V28-1,"")))</f>
        <v/>
      </c>
      <c r="X30" s="15">
        <f>IF(OR(X28="",W28=""),"",IF(W28&lt;=0,"",IFERROR(X28/W28-1,"")))</f>
        <v/>
      </c>
      <c r="Y30" s="14">
        <f>IF(OR(Y28="",X28=""),"",IF(X28&lt;=0,"",IFERROR(Y28/X28-1,"")))</f>
        <v/>
      </c>
      <c r="Z30" s="15">
        <f>IF(OR(Z28="",Y28=""),"",IF(Y28&lt;=0,"",IFERROR(Z28/Y28-1,"")))</f>
        <v/>
      </c>
      <c r="AA30" s="15">
        <f>IF(OR(AA28="",Z28=""),"",IF(Z28&lt;=0,"",IFERROR(AA28/Z28-1,"")))</f>
        <v/>
      </c>
      <c r="AB30" s="15">
        <f>IF(OR(AB28="",AA28=""),"",IF(AA28&lt;=0,"",IFERROR(AB28/AA28-1,"")))</f>
        <v/>
      </c>
      <c r="AC30" s="15">
        <f>IF(OR(AC28="",AB28=""),"",IF(AB28&lt;=0,"",IFERROR(AC28/AB28-1,"")))</f>
        <v/>
      </c>
    </row>
    <row r="31">
      <c r="A31" s="23" t="inlineStr">
        <is>
          <t>판매관리비</t>
        </is>
      </c>
      <c r="B31" s="23" t="n"/>
      <c r="C31" s="24" t="n"/>
      <c r="D31" s="23" t="n"/>
      <c r="E31" s="23" t="n"/>
      <c r="F31" s="23" t="n"/>
      <c r="G31" s="23" t="n"/>
      <c r="H31" s="23" t="n"/>
      <c r="I31" s="23" t="n"/>
      <c r="J31" s="23" t="n"/>
      <c r="K31" s="23" t="n"/>
      <c r="L31" s="23" t="n"/>
      <c r="M31" s="23" t="n"/>
      <c r="N31" s="23" t="n"/>
      <c r="O31" s="24" t="n"/>
      <c r="P31" s="23" t="n"/>
      <c r="Q31" s="23" t="n"/>
      <c r="R31" s="23" t="n"/>
      <c r="S31" s="23" t="n"/>
      <c r="T31" s="23" t="n"/>
      <c r="U31" s="23" t="n"/>
      <c r="V31" s="23" t="n"/>
      <c r="W31" s="23" t="n"/>
      <c r="X31" s="23" t="n"/>
      <c r="Y31" s="24" t="n"/>
      <c r="Z31" s="23" t="n"/>
      <c r="AA31" s="23" t="n"/>
      <c r="AB31" s="23" t="n"/>
      <c r="AC31" s="23" t="n"/>
    </row>
    <row r="32">
      <c r="A32" s="18" t="inlineStr">
        <is>
          <t>전체 판관비</t>
        </is>
      </c>
      <c r="B32" s="10" t="n"/>
      <c r="C32" s="19" t="n">
        <v>28487</v>
      </c>
      <c r="D32" s="20" t="n">
        <v>29868</v>
      </c>
      <c r="E32" s="20" t="n">
        <v>33554</v>
      </c>
      <c r="F32" s="20" t="n">
        <v>33316</v>
      </c>
      <c r="G32" s="20" t="n">
        <v>31176</v>
      </c>
      <c r="H32" s="20" t="n">
        <v>33673</v>
      </c>
      <c r="I32" s="20" t="n">
        <v>38304</v>
      </c>
      <c r="J32" s="20" t="n">
        <v>31995</v>
      </c>
      <c r="K32" s="20" t="n">
        <v>34556</v>
      </c>
      <c r="L32" s="20" t="n">
        <v>31468</v>
      </c>
      <c r="M32" s="20" t="n">
        <v>53510</v>
      </c>
      <c r="N32" s="20" t="n">
        <v>36297</v>
      </c>
      <c r="O32" s="19" t="n"/>
      <c r="P32" s="20" t="n">
        <v>79160</v>
      </c>
      <c r="Q32" s="20" t="n">
        <v>85375</v>
      </c>
      <c r="R32" s="20" t="n"/>
      <c r="S32" s="20" t="n"/>
      <c r="T32" s="20" t="n"/>
      <c r="U32" s="20" t="n"/>
      <c r="V32" s="20" t="n">
        <v>119984</v>
      </c>
      <c r="W32" s="20" t="n">
        <v>136469</v>
      </c>
      <c r="X32" s="20" t="n">
        <v>151529</v>
      </c>
      <c r="Y32" s="19" t="n"/>
      <c r="Z32" s="20" t="n"/>
      <c r="AA32" s="20" t="n"/>
      <c r="AB32" s="20" t="n"/>
      <c r="AC32" s="20" t="n"/>
    </row>
    <row r="33">
      <c r="A33" s="13" t="inlineStr">
        <is>
          <t>YoY</t>
        </is>
      </c>
      <c r="B33" s="10" t="n"/>
      <c r="C33" s="14" t="n"/>
      <c r="D33" s="15" t="n"/>
      <c r="E33" s="15" t="n"/>
      <c r="F33" s="15" t="n"/>
      <c r="G33" s="15">
        <f>IF(OR(G32="",C32=""),"",IF(C32&lt;=0,"",IFERROR(G32/C32-1,"")))</f>
        <v/>
      </c>
      <c r="H33" s="15">
        <f>IF(OR(H32="",D32=""),"",IF(D32&lt;=0,"",IFERROR(H32/D32-1,"")))</f>
        <v/>
      </c>
      <c r="I33" s="15">
        <f>IF(OR(I32="",E32=""),"",IF(E32&lt;=0,"",IFERROR(I32/E32-1,"")))</f>
        <v/>
      </c>
      <c r="J33" s="15">
        <f>IF(OR(J32="",F32=""),"",IF(F32&lt;=0,"",IFERROR(J32/F32-1,"")))</f>
        <v/>
      </c>
      <c r="K33" s="15">
        <f>IF(OR(K32="",G32=""),"",IF(G32&lt;=0,"",IFERROR(K32/G32-1,"")))</f>
        <v/>
      </c>
      <c r="L33" s="15">
        <f>IF(OR(L32="",H32=""),"",IF(H32&lt;=0,"",IFERROR(L32/H32-1,"")))</f>
        <v/>
      </c>
      <c r="M33" s="15">
        <f>IF(OR(M32="",I32=""),"",IF(I32&lt;=0,"",IFERROR(M32/I32-1,"")))</f>
        <v/>
      </c>
      <c r="N33" s="15">
        <f>IF(OR(N32="",J32=""),"",IF(J32&lt;=0,"",IFERROR(N32/J32-1,"")))</f>
        <v/>
      </c>
      <c r="O33" s="14" t="n"/>
      <c r="P33" s="15">
        <f>IF(OR(P32="",O32=""),"",IF(O32&lt;=0,"",IFERROR(P32/O32-1,"")))</f>
        <v/>
      </c>
      <c r="Q33" s="15">
        <f>IF(OR(Q32="",P32=""),"",IF(P32&lt;=0,"",IFERROR(Q32/P32-1,"")))</f>
        <v/>
      </c>
      <c r="R33" s="15">
        <f>IF(OR(R32="",Q32=""),"",IF(Q32&lt;=0,"",IFERROR(R32/Q32-1,"")))</f>
        <v/>
      </c>
      <c r="S33" s="15">
        <f>IF(OR(S32="",R32=""),"",IF(R32&lt;=0,"",IFERROR(S32/R32-1,"")))</f>
        <v/>
      </c>
      <c r="T33" s="15">
        <f>IF(OR(T32="",S32=""),"",IF(S32&lt;=0,"",IFERROR(T32/S32-1,"")))</f>
        <v/>
      </c>
      <c r="U33" s="15">
        <f>IF(OR(U32="",T32=""),"",IF(T32&lt;=0,"",IFERROR(U32/T32-1,"")))</f>
        <v/>
      </c>
      <c r="V33" s="15">
        <f>IF(OR(V32="",U32=""),"",IF(U32&lt;=0,"",IFERROR(V32/U32-1,"")))</f>
        <v/>
      </c>
      <c r="W33" s="15">
        <f>IF(OR(W32="",V32=""),"",IF(V32&lt;=0,"",IFERROR(W32/V32-1,"")))</f>
        <v/>
      </c>
      <c r="X33" s="15">
        <f>IF(OR(X32="",W32=""),"",IF(W32&lt;=0,"",IFERROR(X32/W32-1,"")))</f>
        <v/>
      </c>
      <c r="Y33" s="14">
        <f>IF(OR(Y32="",X32=""),"",IF(X32&lt;=0,"",IFERROR(Y32/X32-1,"")))</f>
        <v/>
      </c>
      <c r="Z33" s="15">
        <f>IF(OR(Z32="",Y32=""),"",IF(Y32&lt;=0,"",IFERROR(Z32/Y32-1,"")))</f>
        <v/>
      </c>
      <c r="AA33" s="15">
        <f>IF(OR(AA32="",Z32=""),"",IF(Z32&lt;=0,"",IFERROR(AA32/Z32-1,"")))</f>
        <v/>
      </c>
      <c r="AB33" s="15">
        <f>IF(OR(AB32="",AA32=""),"",IF(AA32&lt;=0,"",IFERROR(AB32/AA32-1,"")))</f>
        <v/>
      </c>
      <c r="AC33" s="15">
        <f>IF(OR(AC32="",AB32=""),"",IF(AB32&lt;=0,"",IFERROR(AC32/AB32-1,"")))</f>
        <v/>
      </c>
    </row>
    <row r="34">
      <c r="A34" s="9" t="inlineStr">
        <is>
          <t>영업이익</t>
        </is>
      </c>
      <c r="B34" s="10" t="inlineStr">
        <is>
          <t>MW = 매출 × OPM</t>
        </is>
      </c>
      <c r="C34" s="11" t="n">
        <v>27432</v>
      </c>
      <c r="D34" s="12" t="n">
        <v>27125</v>
      </c>
      <c r="E34" s="12" t="n">
        <v>2550</v>
      </c>
      <c r="F34" s="12" t="n">
        <v>16698</v>
      </c>
      <c r="G34" s="12" t="n">
        <v>17139</v>
      </c>
      <c r="H34" s="12" t="n">
        <v>18184</v>
      </c>
      <c r="I34" s="12" t="n">
        <v>-9622</v>
      </c>
      <c r="J34" s="12" t="n">
        <v>18703</v>
      </c>
      <c r="K34" s="12" t="n">
        <v>18338</v>
      </c>
      <c r="L34" s="12" t="n">
        <v>23204</v>
      </c>
      <c r="M34" s="12" t="n">
        <v>-6297</v>
      </c>
      <c r="N34" s="12" t="n">
        <v>15882</v>
      </c>
      <c r="O34" s="11" t="n"/>
      <c r="P34" s="12" t="n">
        <v>74429</v>
      </c>
      <c r="Q34" s="12" t="n">
        <v>61257</v>
      </c>
      <c r="R34" s="12" t="n"/>
      <c r="S34" s="12" t="n"/>
      <c r="T34" s="12" t="n"/>
      <c r="U34" s="12" t="n"/>
      <c r="V34" s="12" t="n">
        <v>79273</v>
      </c>
      <c r="W34" s="12" t="n">
        <v>42399</v>
      </c>
      <c r="X34" s="12" t="n">
        <v>53948</v>
      </c>
      <c r="Y34" s="11">
        <f>IF(OR(Y4="",Y35=""),"",IFERROR(Y4*Y35,""))</f>
        <v/>
      </c>
      <c r="Z34" s="12">
        <f>IF(OR(Z4="",Z35=""),"",IFERROR(Z4*Z35,""))</f>
        <v/>
      </c>
      <c r="AA34" s="12">
        <f>IF(OR(AA4="",AA35=""),"",IFERROR(AA4*AA35,""))</f>
        <v/>
      </c>
      <c r="AB34" s="12">
        <f>IF(OR(AB4="",AB35=""),"",IFERROR(AB4*AB35,""))</f>
        <v/>
      </c>
      <c r="AC34" s="12">
        <f>IF(OR(AC4="",AC35=""),"",IFERROR(AC4*AC35,""))</f>
        <v/>
      </c>
    </row>
    <row r="35">
      <c r="A35" s="13" t="inlineStr">
        <is>
          <t>OPM</t>
        </is>
      </c>
      <c r="B35" s="10" t="inlineStr">
        <is>
          <t>MW 입력</t>
        </is>
      </c>
      <c r="C35" s="14">
        <f>IF(OR(C34="",C4=""),"",IFERROR(C34/C4,""))</f>
        <v/>
      </c>
      <c r="D35" s="15">
        <f>IF(OR(D34="",D4=""),"",IFERROR(D34/D4,""))</f>
        <v/>
      </c>
      <c r="E35" s="15">
        <f>IF(OR(E34="",E4=""),"",IFERROR(E34/E4,""))</f>
        <v/>
      </c>
      <c r="F35" s="15">
        <f>IF(OR(F34="",F4=""),"",IFERROR(F34/F4,""))</f>
        <v/>
      </c>
      <c r="G35" s="15">
        <f>IF(OR(G34="",G4=""),"",IFERROR(G34/G4,""))</f>
        <v/>
      </c>
      <c r="H35" s="15">
        <f>IF(OR(H34="",H4=""),"",IFERROR(H34/H4,""))</f>
        <v/>
      </c>
      <c r="I35" s="15">
        <f>IF(OR(I34="",I4=""),"",IFERROR(I34/I4,""))</f>
        <v/>
      </c>
      <c r="J35" s="15">
        <f>IF(OR(J34="",J4=""),"",IFERROR(J34/J4,""))</f>
        <v/>
      </c>
      <c r="K35" s="15">
        <f>IF(OR(K34="",K4=""),"",IFERROR(K34/K4,""))</f>
        <v/>
      </c>
      <c r="L35" s="15">
        <f>IF(OR(L34="",L4=""),"",IFERROR(L34/L4,""))</f>
        <v/>
      </c>
      <c r="M35" s="15">
        <f>IF(OR(M34="",M4=""),"",IFERROR(M34/M4,""))</f>
        <v/>
      </c>
      <c r="N35" s="15">
        <f>IF(OR(N34="",N4=""),"",IFERROR(N34/N4,""))</f>
        <v/>
      </c>
      <c r="O35" s="14">
        <f>IF(OR(O34="",O4=""),"",IFERROR(O34/O4,""))</f>
        <v/>
      </c>
      <c r="P35" s="15">
        <f>IF(OR(P34="",P4=""),"",IFERROR(P34/P4,""))</f>
        <v/>
      </c>
      <c r="Q35" s="15">
        <f>IF(OR(Q34="",Q4=""),"",IFERROR(Q34/Q4,""))</f>
        <v/>
      </c>
      <c r="R35" s="15">
        <f>IF(OR(R34="",R4=""),"",IFERROR(R34/R4,""))</f>
        <v/>
      </c>
      <c r="S35" s="15">
        <f>IF(OR(S34="",S4=""),"",IFERROR(S34/S4,""))</f>
        <v/>
      </c>
      <c r="T35" s="15">
        <f>IF(OR(T34="",T4=""),"",IFERROR(T34/T4,""))</f>
        <v/>
      </c>
      <c r="U35" s="15">
        <f>IF(OR(U34="",U4=""),"",IFERROR(U34/U4,""))</f>
        <v/>
      </c>
      <c r="V35" s="15">
        <f>IF(OR(V34="",V4=""),"",IFERROR(V34/V4,""))</f>
        <v/>
      </c>
      <c r="W35" s="15">
        <f>IF(OR(W34="",W4=""),"",IFERROR(W34/W4,""))</f>
        <v/>
      </c>
      <c r="X35" s="15">
        <f>IF(OR(X34="",X4=""),"",IFERROR(X34/X4,""))</f>
        <v/>
      </c>
      <c r="Y35" s="25" t="n"/>
      <c r="Z35" s="26" t="n"/>
      <c r="AA35" s="26" t="n"/>
      <c r="AB35" s="26" t="n"/>
      <c r="AC35" s="26" t="n"/>
    </row>
    <row r="36">
      <c r="A36" s="13" t="inlineStr">
        <is>
          <t>증가율</t>
        </is>
      </c>
      <c r="B36" s="10" t="n"/>
      <c r="C36" s="14" t="n"/>
      <c r="D36" s="15" t="n"/>
      <c r="E36" s="15" t="n"/>
      <c r="F36" s="15" t="n"/>
      <c r="G36" s="15">
        <f>IF(OR(G34="",C34=""),"",IFERROR(G34/C34-1,""))</f>
        <v/>
      </c>
      <c r="H36" s="15">
        <f>IF(OR(H34="",D34=""),"",IFERROR(H34/D34-1,""))</f>
        <v/>
      </c>
      <c r="I36" s="15">
        <f>IF(OR(I34="",E34=""),"",IFERROR(I34/E34-1,""))</f>
        <v/>
      </c>
      <c r="J36" s="15">
        <f>IF(OR(J34="",F34=""),"",IFERROR(J34/F34-1,""))</f>
        <v/>
      </c>
      <c r="K36" s="15">
        <f>IF(OR(K34="",G34=""),"",IFERROR(K34/G34-1,""))</f>
        <v/>
      </c>
      <c r="L36" s="15">
        <f>IF(OR(L34="",H34=""),"",IFERROR(L34/H34-1,""))</f>
        <v/>
      </c>
      <c r="M36" s="15">
        <f>IF(OR(M34="",I34=""),"",IFERROR(M34/I34-1,""))</f>
        <v/>
      </c>
      <c r="N36" s="15">
        <f>IF(OR(N34="",J34=""),"",IFERROR(N34/J34-1,""))</f>
        <v/>
      </c>
      <c r="O36" s="14" t="n"/>
      <c r="P36" s="15">
        <f>IF(OR(P34="",O34=""),"",IFERROR(P34/O34-1,""))</f>
        <v/>
      </c>
      <c r="Q36" s="15">
        <f>IF(OR(Q34="",P34=""),"",IFERROR(Q34/P34-1,""))</f>
        <v/>
      </c>
      <c r="R36" s="15">
        <f>IF(OR(R34="",Q34=""),"",IFERROR(R34/Q34-1,""))</f>
        <v/>
      </c>
      <c r="S36" s="15">
        <f>IF(OR(S34="",R34=""),"",IFERROR(S34/R34-1,""))</f>
        <v/>
      </c>
      <c r="T36" s="15">
        <f>IF(OR(T34="",S34=""),"",IFERROR(T34/S34-1,""))</f>
        <v/>
      </c>
      <c r="U36" s="15">
        <f>IF(OR(U34="",T34=""),"",IFERROR(U34/T34-1,""))</f>
        <v/>
      </c>
      <c r="V36" s="15">
        <f>IF(OR(V34="",U34=""),"",IFERROR(V34/U34-1,""))</f>
        <v/>
      </c>
      <c r="W36" s="15">
        <f>IF(OR(W34="",V34=""),"",IFERROR(W34/V34-1,""))</f>
        <v/>
      </c>
      <c r="X36" s="15">
        <f>IF(OR(X34="",W34=""),"",IFERROR(X34/W34-1,""))</f>
        <v/>
      </c>
      <c r="Y36" s="14">
        <f>IF(OR(Y34="",X34=""),"",IFERROR(Y34/X34-1,""))</f>
        <v/>
      </c>
      <c r="Z36" s="15">
        <f>IF(OR(Z34="",Y34=""),"",IFERROR(Z34/Y34-1,""))</f>
        <v/>
      </c>
      <c r="AA36" s="15">
        <f>IF(OR(AA34="",Z34=""),"",IFERROR(AA34/Z34-1,""))</f>
        <v/>
      </c>
      <c r="AB36" s="15">
        <f>IF(OR(AB34="",AA34=""),"",IFERROR(AB34/AA34-1,""))</f>
        <v/>
      </c>
      <c r="AC36" s="15">
        <f>IF(OR(AC34="",AB34=""),"",IFERROR(AC34/AB34-1,""))</f>
        <v/>
      </c>
    </row>
    <row r="37">
      <c r="A37" s="16" t="inlineStr">
        <is>
          <t>비용의 성격별 분류</t>
        </is>
      </c>
      <c r="B37" s="16" t="inlineStr">
        <is>
          <t>참고 데이터</t>
        </is>
      </c>
      <c r="C37" s="17" t="n"/>
      <c r="D37" s="16" t="n"/>
      <c r="E37" s="16" t="n"/>
      <c r="F37" s="16" t="n"/>
      <c r="G37" s="16" t="n"/>
      <c r="H37" s="16" t="n"/>
      <c r="I37" s="16" t="n"/>
      <c r="J37" s="16" t="n"/>
      <c r="K37" s="16" t="n"/>
      <c r="L37" s="16" t="n"/>
      <c r="M37" s="16" t="n"/>
      <c r="N37" s="16" t="n"/>
      <c r="O37" s="17" t="n"/>
      <c r="P37" s="16" t="n"/>
      <c r="Q37" s="16" t="n"/>
      <c r="R37" s="16" t="n"/>
      <c r="S37" s="16" t="n"/>
      <c r="T37" s="16" t="n"/>
      <c r="U37" s="16" t="n"/>
      <c r="V37" s="16" t="n"/>
      <c r="W37" s="16" t="n"/>
      <c r="X37" s="16" t="n"/>
      <c r="Y37" s="17" t="n"/>
      <c r="Z37" s="16" t="n"/>
      <c r="AA37" s="16" t="n"/>
      <c r="AB37" s="16" t="n"/>
      <c r="AC37" s="16" t="n"/>
    </row>
    <row r="38">
      <c r="A38" s="9" t="inlineStr">
        <is>
          <t>총 판관비</t>
        </is>
      </c>
      <c r="B38" s="10" t="n"/>
      <c r="C38" s="11" t="n"/>
      <c r="D38" s="12" t="n"/>
      <c r="E38" s="12" t="n"/>
      <c r="F38" s="12" t="n"/>
      <c r="G38" s="12" t="n"/>
      <c r="H38" s="12" t="n"/>
      <c r="I38" s="12" t="n"/>
      <c r="J38" s="12" t="n"/>
      <c r="K38" s="12" t="n"/>
      <c r="L38" s="12" t="n"/>
      <c r="M38" s="12" t="n"/>
      <c r="N38" s="12" t="n"/>
      <c r="O38" s="11">
        <f>IF(O32="","",O32)</f>
        <v/>
      </c>
      <c r="P38" s="12">
        <f>IF(P32="","",P32)</f>
        <v/>
      </c>
      <c r="Q38" s="12">
        <f>IF(Q32="","",Q32)</f>
        <v/>
      </c>
      <c r="R38" s="12">
        <f>IF(R32="","",R32)</f>
        <v/>
      </c>
      <c r="S38" s="12">
        <f>IF(S32="","",S32)</f>
        <v/>
      </c>
      <c r="T38" s="12">
        <f>IF(T32="","",T32)</f>
        <v/>
      </c>
      <c r="U38" s="12">
        <f>IF(U32="","",U32)</f>
        <v/>
      </c>
      <c r="V38" s="12">
        <f>IF(V32="","",V32)</f>
        <v/>
      </c>
      <c r="W38" s="12">
        <f>IF(W32="","",W32)</f>
        <v/>
      </c>
      <c r="X38" s="12">
        <f>IF(X32="","",X32)</f>
        <v/>
      </c>
      <c r="Y38" s="11" t="n"/>
      <c r="Z38" s="12" t="n"/>
      <c r="AA38" s="12" t="n"/>
      <c r="AB38" s="12" t="n"/>
      <c r="AC38" s="12" t="n"/>
    </row>
    <row r="39">
      <c r="A39" s="18" t="inlineStr">
        <is>
          <t>급여</t>
        </is>
      </c>
      <c r="B39" s="10" t="inlineStr">
        <is>
          <t>고정비</t>
        </is>
      </c>
      <c r="C39" s="19" t="n"/>
      <c r="D39" s="20" t="n"/>
      <c r="E39" s="20" t="n"/>
      <c r="F39" s="20" t="n"/>
      <c r="G39" s="20" t="n"/>
      <c r="H39" s="20" t="n"/>
      <c r="I39" s="20" t="n"/>
      <c r="J39" s="20" t="n"/>
      <c r="K39" s="20" t="n"/>
      <c r="L39" s="20" t="n"/>
      <c r="M39" s="20" t="n"/>
      <c r="N39" s="20" t="n"/>
      <c r="O39" s="19" t="n"/>
      <c r="P39" s="20" t="n"/>
      <c r="Q39" s="20" t="n"/>
      <c r="R39" s="20" t="n"/>
      <c r="S39" s="20" t="n"/>
      <c r="T39" s="20" t="n"/>
      <c r="U39" s="20" t="n"/>
      <c r="V39" s="20" t="n"/>
      <c r="W39" s="20" t="n"/>
      <c r="X39" s="20" t="n"/>
      <c r="Y39" s="19" t="n"/>
      <c r="Z39" s="20" t="n"/>
      <c r="AA39" s="20" t="n"/>
      <c r="AB39" s="20" t="n"/>
      <c r="AC39" s="20" t="n"/>
    </row>
    <row r="40">
      <c r="A40" s="13" t="inlineStr">
        <is>
          <t>% of Sales</t>
        </is>
      </c>
      <c r="B40" s="10" t="n"/>
      <c r="C40" s="14" t="n"/>
      <c r="D40" s="15" t="n"/>
      <c r="E40" s="15" t="n"/>
      <c r="F40" s="15" t="n"/>
      <c r="G40" s="15" t="n"/>
      <c r="H40" s="15" t="n"/>
      <c r="I40" s="15" t="n"/>
      <c r="J40" s="15" t="n"/>
      <c r="K40" s="15" t="n"/>
      <c r="L40" s="15" t="n"/>
      <c r="M40" s="15" t="n"/>
      <c r="N40" s="15" t="n"/>
      <c r="O40" s="14">
        <f>IF(OR(O39="",O4=""),"",IFERROR(O39/O4,""))</f>
        <v/>
      </c>
      <c r="P40" s="15">
        <f>IF(OR(P39="",P4=""),"",IFERROR(P39/P4,""))</f>
        <v/>
      </c>
      <c r="Q40" s="15">
        <f>IF(OR(Q39="",Q4=""),"",IFERROR(Q39/Q4,""))</f>
        <v/>
      </c>
      <c r="R40" s="15">
        <f>IF(OR(R39="",R4=""),"",IFERROR(R39/R4,""))</f>
        <v/>
      </c>
      <c r="S40" s="15">
        <f>IF(OR(S39="",S4=""),"",IFERROR(S39/S4,""))</f>
        <v/>
      </c>
      <c r="T40" s="15">
        <f>IF(OR(T39="",T4=""),"",IFERROR(T39/T4,""))</f>
        <v/>
      </c>
      <c r="U40" s="15">
        <f>IF(OR(U39="",U4=""),"",IFERROR(U39/U4,""))</f>
        <v/>
      </c>
      <c r="V40" s="15">
        <f>IF(OR(V39="",V4=""),"",IFERROR(V39/V4,""))</f>
        <v/>
      </c>
      <c r="W40" s="15">
        <f>IF(OR(W39="",W4=""),"",IFERROR(W39/W4,""))</f>
        <v/>
      </c>
      <c r="X40" s="15">
        <f>IF(OR(X39="",X4=""),"",IFERROR(X39/X4,""))</f>
        <v/>
      </c>
      <c r="Y40" s="14" t="n"/>
      <c r="Z40" s="15" t="n"/>
      <c r="AA40" s="15" t="n"/>
      <c r="AB40" s="15" t="n"/>
      <c r="AC40" s="15" t="n"/>
    </row>
    <row r="41">
      <c r="A41" s="18" t="inlineStr">
        <is>
          <t>감가상각비</t>
        </is>
      </c>
      <c r="B41" s="10" t="inlineStr">
        <is>
          <t>고정비</t>
        </is>
      </c>
      <c r="C41" s="19" t="n"/>
      <c r="D41" s="20" t="n"/>
      <c r="E41" s="20" t="n"/>
      <c r="F41" s="20" t="n"/>
      <c r="G41" s="20" t="n"/>
      <c r="H41" s="20" t="n"/>
      <c r="I41" s="20" t="n"/>
      <c r="J41" s="20" t="n"/>
      <c r="K41" s="20" t="n"/>
      <c r="L41" s="20" t="n"/>
      <c r="M41" s="20" t="n"/>
      <c r="N41" s="20" t="n"/>
      <c r="O41" s="19" t="n"/>
      <c r="P41" s="20" t="n">
        <v>3865</v>
      </c>
      <c r="Q41" s="20" t="n">
        <v>4629</v>
      </c>
      <c r="R41" s="20" t="n"/>
      <c r="S41" s="20" t="n"/>
      <c r="T41" s="20" t="n"/>
      <c r="U41" s="20" t="n"/>
      <c r="V41" s="20" t="n"/>
      <c r="W41" s="20" t="n"/>
      <c r="X41" s="20" t="n"/>
      <c r="Y41" s="19" t="n"/>
      <c r="Z41" s="20" t="n"/>
      <c r="AA41" s="20" t="n"/>
      <c r="AB41" s="20" t="n"/>
      <c r="AC41" s="20" t="n"/>
    </row>
    <row r="42">
      <c r="A42" s="13" t="inlineStr">
        <is>
          <t>% of Sales</t>
        </is>
      </c>
      <c r="B42" s="10" t="n"/>
      <c r="C42" s="14" t="n"/>
      <c r="D42" s="15" t="n"/>
      <c r="E42" s="15" t="n"/>
      <c r="F42" s="15" t="n"/>
      <c r="G42" s="15" t="n"/>
      <c r="H42" s="15" t="n"/>
      <c r="I42" s="15" t="n"/>
      <c r="J42" s="15" t="n"/>
      <c r="K42" s="15" t="n"/>
      <c r="L42" s="15" t="n"/>
      <c r="M42" s="15" t="n"/>
      <c r="N42" s="15" t="n"/>
      <c r="O42" s="14">
        <f>IF(OR(O41="",O4=""),"",IFERROR(O41/O4,""))</f>
        <v/>
      </c>
      <c r="P42" s="15">
        <f>IF(OR(P41="",P4=""),"",IFERROR(P41/P4,""))</f>
        <v/>
      </c>
      <c r="Q42" s="15">
        <f>IF(OR(Q41="",Q4=""),"",IFERROR(Q41/Q4,""))</f>
        <v/>
      </c>
      <c r="R42" s="15">
        <f>IF(OR(R41="",R4=""),"",IFERROR(R41/R4,""))</f>
        <v/>
      </c>
      <c r="S42" s="15">
        <f>IF(OR(S41="",S4=""),"",IFERROR(S41/S4,""))</f>
        <v/>
      </c>
      <c r="T42" s="15">
        <f>IF(OR(T41="",T4=""),"",IFERROR(T41/T4,""))</f>
        <v/>
      </c>
      <c r="U42" s="15">
        <f>IF(OR(U41="",U4=""),"",IFERROR(U41/U4,""))</f>
        <v/>
      </c>
      <c r="V42" s="15">
        <f>IF(OR(V41="",V4=""),"",IFERROR(V41/V4,""))</f>
        <v/>
      </c>
      <c r="W42" s="15">
        <f>IF(OR(W41="",W4=""),"",IFERROR(W41/W4,""))</f>
        <v/>
      </c>
      <c r="X42" s="15">
        <f>IF(OR(X41="",X4=""),"",IFERROR(X41/X4,""))</f>
        <v/>
      </c>
      <c r="Y42" s="14" t="n"/>
      <c r="Z42" s="15" t="n"/>
      <c r="AA42" s="15" t="n"/>
      <c r="AB42" s="15" t="n"/>
      <c r="AC42" s="15" t="n"/>
    </row>
    <row r="43">
      <c r="A43" s="18" t="inlineStr">
        <is>
          <t>지급수수료</t>
        </is>
      </c>
      <c r="B43" s="10" t="inlineStr">
        <is>
          <t>고정비</t>
        </is>
      </c>
      <c r="C43" s="19" t="n"/>
      <c r="D43" s="20" t="n"/>
      <c r="E43" s="20" t="n"/>
      <c r="F43" s="20" t="n"/>
      <c r="G43" s="20" t="n"/>
      <c r="H43" s="20" t="n"/>
      <c r="I43" s="20" t="n"/>
      <c r="J43" s="20" t="n"/>
      <c r="K43" s="20" t="n"/>
      <c r="L43" s="20" t="n"/>
      <c r="M43" s="20" t="n"/>
      <c r="N43" s="20" t="n"/>
      <c r="O43" s="19" t="n"/>
      <c r="P43" s="20" t="n"/>
      <c r="Q43" s="20" t="n"/>
      <c r="R43" s="20" t="n"/>
      <c r="S43" s="20" t="n"/>
      <c r="T43" s="20" t="n"/>
      <c r="U43" s="20" t="n"/>
      <c r="V43" s="20" t="n"/>
      <c r="W43" s="20" t="n"/>
      <c r="X43" s="20" t="n"/>
      <c r="Y43" s="19" t="n"/>
      <c r="Z43" s="20" t="n"/>
      <c r="AA43" s="20" t="n"/>
      <c r="AB43" s="20" t="n"/>
      <c r="AC43" s="20" t="n"/>
    </row>
    <row r="44">
      <c r="A44" s="13" t="inlineStr">
        <is>
          <t>% of Sales</t>
        </is>
      </c>
      <c r="B44" s="10" t="n"/>
      <c r="C44" s="14" t="n"/>
      <c r="D44" s="15" t="n"/>
      <c r="E44" s="15" t="n"/>
      <c r="F44" s="15" t="n"/>
      <c r="G44" s="15" t="n"/>
      <c r="H44" s="15" t="n"/>
      <c r="I44" s="15" t="n"/>
      <c r="J44" s="15" t="n"/>
      <c r="K44" s="15" t="n"/>
      <c r="L44" s="15" t="n"/>
      <c r="M44" s="15" t="n"/>
      <c r="N44" s="15" t="n"/>
      <c r="O44" s="14">
        <f>IF(OR(O43="",O4=""),"",IFERROR(O43/O4,""))</f>
        <v/>
      </c>
      <c r="P44" s="15">
        <f>IF(OR(P43="",P4=""),"",IFERROR(P43/P4,""))</f>
        <v/>
      </c>
      <c r="Q44" s="15">
        <f>IF(OR(Q43="",Q4=""),"",IFERROR(Q43/Q4,""))</f>
        <v/>
      </c>
      <c r="R44" s="15">
        <f>IF(OR(R43="",R4=""),"",IFERROR(R43/R4,""))</f>
        <v/>
      </c>
      <c r="S44" s="15">
        <f>IF(OR(S43="",S4=""),"",IFERROR(S43/S4,""))</f>
        <v/>
      </c>
      <c r="T44" s="15">
        <f>IF(OR(T43="",T4=""),"",IFERROR(T43/T4,""))</f>
        <v/>
      </c>
      <c r="U44" s="15">
        <f>IF(OR(U43="",U4=""),"",IFERROR(U43/U4,""))</f>
        <v/>
      </c>
      <c r="V44" s="15">
        <f>IF(OR(V43="",V4=""),"",IFERROR(V43/V4,""))</f>
        <v/>
      </c>
      <c r="W44" s="15">
        <f>IF(OR(W43="",W4=""),"",IFERROR(W43/W4,""))</f>
        <v/>
      </c>
      <c r="X44" s="15">
        <f>IF(OR(X43="",X4=""),"",IFERROR(X43/X4,""))</f>
        <v/>
      </c>
      <c r="Y44" s="14" t="n"/>
      <c r="Z44" s="15" t="n"/>
      <c r="AA44" s="15" t="n"/>
      <c r="AB44" s="15" t="n"/>
      <c r="AC44" s="15" t="n"/>
    </row>
    <row r="45">
      <c r="A45" s="18" t="inlineStr">
        <is>
          <t>연구개발비</t>
        </is>
      </c>
      <c r="B45" s="10" t="inlineStr">
        <is>
          <t>변동비</t>
        </is>
      </c>
      <c r="C45" s="19" t="n"/>
      <c r="D45" s="20" t="n"/>
      <c r="E45" s="20" t="n"/>
      <c r="F45" s="20" t="n"/>
      <c r="G45" s="20" t="n"/>
      <c r="H45" s="20" t="n"/>
      <c r="I45" s="20" t="n"/>
      <c r="J45" s="20" t="n"/>
      <c r="K45" s="20" t="n"/>
      <c r="L45" s="20" t="n"/>
      <c r="M45" s="20" t="n"/>
      <c r="N45" s="20" t="n"/>
      <c r="O45" s="19" t="n"/>
      <c r="P45" s="20" t="n">
        <v>3484</v>
      </c>
      <c r="Q45" s="20" t="n">
        <v>7723</v>
      </c>
      <c r="R45" s="20" t="n"/>
      <c r="S45" s="20" t="n"/>
      <c r="T45" s="20" t="n"/>
      <c r="U45" s="20" t="n"/>
      <c r="V45" s="20" t="n"/>
      <c r="W45" s="20" t="n"/>
      <c r="X45" s="20" t="n"/>
      <c r="Y45" s="19" t="n"/>
      <c r="Z45" s="20" t="n"/>
      <c r="AA45" s="20" t="n"/>
      <c r="AB45" s="20" t="n"/>
      <c r="AC45" s="20" t="n"/>
    </row>
    <row r="46">
      <c r="A46" s="13" t="inlineStr">
        <is>
          <t>% of Sales</t>
        </is>
      </c>
      <c r="B46" s="10" t="n"/>
      <c r="C46" s="14" t="n"/>
      <c r="D46" s="15" t="n"/>
      <c r="E46" s="15" t="n"/>
      <c r="F46" s="15" t="n"/>
      <c r="G46" s="15" t="n"/>
      <c r="H46" s="15" t="n"/>
      <c r="I46" s="15" t="n"/>
      <c r="J46" s="15" t="n"/>
      <c r="K46" s="15" t="n"/>
      <c r="L46" s="15" t="n"/>
      <c r="M46" s="15" t="n"/>
      <c r="N46" s="15" t="n"/>
      <c r="O46" s="14">
        <f>IF(OR(O45="",O4=""),"",IFERROR(O45/O4,""))</f>
        <v/>
      </c>
      <c r="P46" s="15">
        <f>IF(OR(P45="",P4=""),"",IFERROR(P45/P4,""))</f>
        <v/>
      </c>
      <c r="Q46" s="15">
        <f>IF(OR(Q45="",Q4=""),"",IFERROR(Q45/Q4,""))</f>
        <v/>
      </c>
      <c r="R46" s="15">
        <f>IF(OR(R45="",R4=""),"",IFERROR(R45/R4,""))</f>
        <v/>
      </c>
      <c r="S46" s="15">
        <f>IF(OR(S45="",S4=""),"",IFERROR(S45/S4,""))</f>
        <v/>
      </c>
      <c r="T46" s="15">
        <f>IF(OR(T45="",T4=""),"",IFERROR(T45/T4,""))</f>
        <v/>
      </c>
      <c r="U46" s="15">
        <f>IF(OR(U45="",U4=""),"",IFERROR(U45/U4,""))</f>
        <v/>
      </c>
      <c r="V46" s="15">
        <f>IF(OR(V45="",V4=""),"",IFERROR(V45/V4,""))</f>
        <v/>
      </c>
      <c r="W46" s="15">
        <f>IF(OR(W45="",W4=""),"",IFERROR(W45/W4,""))</f>
        <v/>
      </c>
      <c r="X46" s="15">
        <f>IF(OR(X45="",X4=""),"",IFERROR(X45/X4,""))</f>
        <v/>
      </c>
      <c r="Y46" s="14" t="n"/>
      <c r="Z46" s="15" t="n"/>
      <c r="AA46" s="15" t="n"/>
      <c r="AB46" s="15" t="n"/>
      <c r="AC46" s="15" t="n"/>
    </row>
    <row r="47">
      <c r="A47" s="18" t="inlineStr">
        <is>
          <t>기타비용</t>
        </is>
      </c>
      <c r="B47" s="10" t="inlineStr">
        <is>
          <t>변동비</t>
        </is>
      </c>
      <c r="C47" s="19" t="n"/>
      <c r="D47" s="20" t="n"/>
      <c r="E47" s="20" t="n"/>
      <c r="F47" s="20" t="n"/>
      <c r="G47" s="20" t="n"/>
      <c r="H47" s="20" t="n"/>
      <c r="I47" s="20" t="n"/>
      <c r="J47" s="20" t="n"/>
      <c r="K47" s="20" t="n"/>
      <c r="L47" s="20" t="n"/>
      <c r="M47" s="20" t="n"/>
      <c r="N47" s="20" t="n"/>
      <c r="O47" s="19">
        <f>IF(OR(O38="",O39="",O41="",O43="",O45=""),"",IFERROR(O38-O39-O41-O43-O45,""))</f>
        <v/>
      </c>
      <c r="P47" s="20">
        <f>IF(OR(P38="",P39="",P41="",P43="",P45=""),"",IFERROR(P38-P39-P41-P43-P45,""))</f>
        <v/>
      </c>
      <c r="Q47" s="20">
        <f>IF(OR(Q38="",Q39="",Q41="",Q43="",Q45=""),"",IFERROR(Q38-Q39-Q41-Q43-Q45,""))</f>
        <v/>
      </c>
      <c r="R47" s="20">
        <f>IF(OR(R38="",R39="",R41="",R43="",R45=""),"",IFERROR(R38-R39-R41-R43-R45,""))</f>
        <v/>
      </c>
      <c r="S47" s="20">
        <f>IF(OR(S38="",S39="",S41="",S43="",S45=""),"",IFERROR(S38-S39-S41-S43-S45,""))</f>
        <v/>
      </c>
      <c r="T47" s="20">
        <f>IF(OR(T38="",T39="",T41="",T43="",T45=""),"",IFERROR(T38-T39-T41-T43-T45,""))</f>
        <v/>
      </c>
      <c r="U47" s="20">
        <f>IF(OR(U38="",U39="",U41="",U43="",U45=""),"",IFERROR(U38-U39-U41-U43-U45,""))</f>
        <v/>
      </c>
      <c r="V47" s="20">
        <f>IF(OR(V38="",V39="",V41="",V43="",V45=""),"",IFERROR(V38-V39-V41-V43-V45,""))</f>
        <v/>
      </c>
      <c r="W47" s="20">
        <f>IF(OR(W38="",W39="",W41="",W43="",W45=""),"",IFERROR(W38-W39-W41-W43-W45,""))</f>
        <v/>
      </c>
      <c r="X47" s="20">
        <f>IF(OR(X38="",X39="",X41="",X43="",X45=""),"",IFERROR(X38-X39-X41-X43-X45,""))</f>
        <v/>
      </c>
      <c r="Y47" s="19" t="n"/>
      <c r="Z47" s="20" t="n"/>
      <c r="AA47" s="20" t="n"/>
      <c r="AB47" s="20" t="n"/>
      <c r="AC47" s="20" t="n"/>
    </row>
    <row r="48">
      <c r="A48" s="13" t="inlineStr">
        <is>
          <t>% of Sales</t>
        </is>
      </c>
      <c r="B48" s="10" t="n"/>
      <c r="C48" s="14" t="n"/>
      <c r="D48" s="15" t="n"/>
      <c r="E48" s="15" t="n"/>
      <c r="F48" s="15" t="n"/>
      <c r="G48" s="15" t="n"/>
      <c r="H48" s="15" t="n"/>
      <c r="I48" s="15" t="n"/>
      <c r="J48" s="15" t="n"/>
      <c r="K48" s="15" t="n"/>
      <c r="L48" s="15" t="n"/>
      <c r="M48" s="15" t="n"/>
      <c r="N48" s="15" t="n"/>
      <c r="O48" s="14">
        <f>IF(OR(O47="",O4=""),"",IFERROR(O47/O4,""))</f>
        <v/>
      </c>
      <c r="P48" s="15">
        <f>IF(OR(P47="",P4=""),"",IFERROR(P47/P4,""))</f>
        <v/>
      </c>
      <c r="Q48" s="15">
        <f>IF(OR(Q47="",Q4=""),"",IFERROR(Q47/Q4,""))</f>
        <v/>
      </c>
      <c r="R48" s="15">
        <f>IF(OR(R47="",R4=""),"",IFERROR(R47/R4,""))</f>
        <v/>
      </c>
      <c r="S48" s="15">
        <f>IF(OR(S47="",S4=""),"",IFERROR(S47/S4,""))</f>
        <v/>
      </c>
      <c r="T48" s="15">
        <f>IF(OR(T47="",T4=""),"",IFERROR(T47/T4,""))</f>
        <v/>
      </c>
      <c r="U48" s="15">
        <f>IF(OR(U47="",U4=""),"",IFERROR(U47/U4,""))</f>
        <v/>
      </c>
      <c r="V48" s="15">
        <f>IF(OR(V47="",V4=""),"",IFERROR(V47/V4,""))</f>
        <v/>
      </c>
      <c r="W48" s="15">
        <f>IF(OR(W47="",W4=""),"",IFERROR(W47/W4,""))</f>
        <v/>
      </c>
      <c r="X48" s="15">
        <f>IF(OR(X47="",X4=""),"",IFERROR(X47/X4,""))</f>
        <v/>
      </c>
      <c r="Y48" s="14" t="n"/>
      <c r="Z48" s="15" t="n"/>
      <c r="AA48" s="15" t="n"/>
      <c r="AB48" s="15" t="n"/>
      <c r="AC48" s="15" t="n"/>
    </row>
    <row r="49">
      <c r="A49" s="16" t="inlineStr">
        <is>
          <t>당기순이익 추정</t>
        </is>
      </c>
      <c r="B49" s="16" t="n"/>
      <c r="C49" s="17" t="n"/>
      <c r="D49" s="16" t="n"/>
      <c r="E49" s="16" t="n"/>
      <c r="F49" s="16" t="n"/>
      <c r="G49" s="16" t="n"/>
      <c r="H49" s="16" t="n"/>
      <c r="I49" s="16" t="n"/>
      <c r="J49" s="16" t="n"/>
      <c r="K49" s="16" t="n"/>
      <c r="L49" s="16" t="n"/>
      <c r="M49" s="16" t="n"/>
      <c r="N49" s="16" t="n"/>
      <c r="O49" s="17" t="n"/>
      <c r="P49" s="16" t="n"/>
      <c r="Q49" s="16" t="n"/>
      <c r="R49" s="16" t="n"/>
      <c r="S49" s="16" t="n"/>
      <c r="T49" s="16" t="n"/>
      <c r="U49" s="16" t="n"/>
      <c r="V49" s="16" t="n"/>
      <c r="W49" s="16" t="n"/>
      <c r="X49" s="16" t="n"/>
      <c r="Y49" s="17" t="n"/>
      <c r="Z49" s="16" t="n"/>
      <c r="AA49" s="16" t="n"/>
      <c r="AB49" s="16" t="n"/>
      <c r="AC49" s="16" t="n"/>
    </row>
    <row r="50">
      <c r="A50" s="18" t="inlineStr">
        <is>
          <t>기타이익</t>
        </is>
      </c>
      <c r="B50" s="10" t="n"/>
      <c r="C50" s="19" t="n">
        <v>1226</v>
      </c>
      <c r="D50" s="20" t="n">
        <v>2380</v>
      </c>
      <c r="E50" s="20" t="n">
        <v>2012</v>
      </c>
      <c r="F50" s="20" t="n">
        <v>1642</v>
      </c>
      <c r="G50" s="20" t="n">
        <v>1171</v>
      </c>
      <c r="H50" s="20" t="n">
        <v>1383</v>
      </c>
      <c r="I50" s="20" t="n">
        <v>3427</v>
      </c>
      <c r="J50" s="20" t="n">
        <v>1769</v>
      </c>
      <c r="K50" s="20" t="n">
        <v>1378</v>
      </c>
      <c r="L50" s="20" t="n">
        <v>1312</v>
      </c>
      <c r="M50" s="20" t="n">
        <v>3079</v>
      </c>
      <c r="N50" s="20" t="n">
        <v>1562</v>
      </c>
      <c r="O50" s="19" t="n"/>
      <c r="P50" s="20" t="n">
        <v>4498</v>
      </c>
      <c r="Q50" s="20" t="n">
        <v>5206</v>
      </c>
      <c r="R50" s="20" t="n"/>
      <c r="S50" s="20" t="n"/>
      <c r="T50" s="20" t="n"/>
      <c r="U50" s="20" t="n"/>
      <c r="V50" s="20" t="n">
        <v>8142</v>
      </c>
      <c r="W50" s="20" t="n">
        <v>7623</v>
      </c>
      <c r="X50" s="20" t="n">
        <v>7538</v>
      </c>
      <c r="Y50" s="19">
        <f>IF(OR(Y4="",Y51=""),"",IFERROR(Y4*Y51,""))</f>
        <v/>
      </c>
      <c r="Z50" s="20">
        <f>IF(OR(Z4="",Z51=""),"",IFERROR(Z4*Z51,""))</f>
        <v/>
      </c>
      <c r="AA50" s="20">
        <f>IF(OR(AA4="",AA51=""),"",IFERROR(AA4*AA51,""))</f>
        <v/>
      </c>
      <c r="AB50" s="20">
        <f>IF(OR(AB4="",AB51=""),"",IFERROR(AB4*AB51,""))</f>
        <v/>
      </c>
      <c r="AC50" s="20">
        <f>IF(OR(AC4="",AC51=""),"",IFERROR(AC4*AC51,""))</f>
        <v/>
      </c>
    </row>
    <row r="51">
      <c r="A51" s="13" t="inlineStr">
        <is>
          <t>% of Sales</t>
        </is>
      </c>
      <c r="B51" s="10" t="inlineStr">
        <is>
          <t>MW = 최근 3년 평균</t>
        </is>
      </c>
      <c r="C51" s="14">
        <f>IF(OR(C50="",C4=""),"",IFERROR(C50/C4,""))</f>
        <v/>
      </c>
      <c r="D51" s="15">
        <f>IF(OR(D50="",D4=""),"",IFERROR(D50/D4,""))</f>
        <v/>
      </c>
      <c r="E51" s="15">
        <f>IF(OR(E50="",E4=""),"",IFERROR(E50/E4,""))</f>
        <v/>
      </c>
      <c r="F51" s="15">
        <f>IF(OR(F50="",F4=""),"",IFERROR(F50/F4,""))</f>
        <v/>
      </c>
      <c r="G51" s="15">
        <f>IF(OR(G50="",G4=""),"",IFERROR(G50/G4,""))</f>
        <v/>
      </c>
      <c r="H51" s="15">
        <f>IF(OR(H50="",H4=""),"",IFERROR(H50/H4,""))</f>
        <v/>
      </c>
      <c r="I51" s="15">
        <f>IF(OR(I50="",I4=""),"",IFERROR(I50/I4,""))</f>
        <v/>
      </c>
      <c r="J51" s="15">
        <f>IF(OR(J50="",J4=""),"",IFERROR(J50/J4,""))</f>
        <v/>
      </c>
      <c r="K51" s="15">
        <f>IF(OR(K50="",K4=""),"",IFERROR(K50/K4,""))</f>
        <v/>
      </c>
      <c r="L51" s="15">
        <f>IF(OR(L50="",L4=""),"",IFERROR(L50/L4,""))</f>
        <v/>
      </c>
      <c r="M51" s="15">
        <f>IF(OR(M50="",M4=""),"",IFERROR(M50/M4,""))</f>
        <v/>
      </c>
      <c r="N51" s="15">
        <f>IF(OR(N50="",N4=""),"",IFERROR(N50/N4,""))</f>
        <v/>
      </c>
      <c r="O51" s="14">
        <f>IF(OR(O50="",O4=""),"",IFERROR(O50/O4,""))</f>
        <v/>
      </c>
      <c r="P51" s="15">
        <f>IF(OR(P50="",P4=""),"",IFERROR(P50/P4,""))</f>
        <v/>
      </c>
      <c r="Q51" s="15">
        <f>IF(OR(Q50="",Q4=""),"",IFERROR(Q50/Q4,""))</f>
        <v/>
      </c>
      <c r="R51" s="15">
        <f>IF(OR(R50="",R4=""),"",IFERROR(R50/R4,""))</f>
        <v/>
      </c>
      <c r="S51" s="15">
        <f>IF(OR(S50="",S4=""),"",IFERROR(S50/S4,""))</f>
        <v/>
      </c>
      <c r="T51" s="15">
        <f>IF(OR(T50="",T4=""),"",IFERROR(T50/T4,""))</f>
        <v/>
      </c>
      <c r="U51" s="15">
        <f>IF(OR(U50="",U4=""),"",IFERROR(U50/U4,""))</f>
        <v/>
      </c>
      <c r="V51" s="15">
        <f>IF(OR(V50="",V4=""),"",IFERROR(V50/V4,""))</f>
        <v/>
      </c>
      <c r="W51" s="15">
        <f>IF(OR(W50="",W4=""),"",IFERROR(W50/W4,""))</f>
        <v/>
      </c>
      <c r="X51" s="15">
        <f>IF(OR(X50="",X4=""),"",IFERROR(X50/X4,""))</f>
        <v/>
      </c>
      <c r="Y51" s="25">
        <f>IFERROR(AVERAGE(V51,W51,X51),"")</f>
        <v/>
      </c>
      <c r="Z51" s="26">
        <f>Y51</f>
        <v/>
      </c>
      <c r="AA51" s="26">
        <f>Z51</f>
        <v/>
      </c>
      <c r="AB51" s="26">
        <f>AA51</f>
        <v/>
      </c>
      <c r="AC51" s="26">
        <f>AB51</f>
        <v/>
      </c>
    </row>
    <row r="52">
      <c r="A52" s="18" t="inlineStr">
        <is>
          <t>기타손실</t>
        </is>
      </c>
      <c r="B52" s="10" t="n"/>
      <c r="C52" s="19" t="n">
        <v>2524</v>
      </c>
      <c r="D52" s="20" t="n">
        <v>1721</v>
      </c>
      <c r="E52" s="20" t="n">
        <v>15055</v>
      </c>
      <c r="F52" s="20" t="n">
        <v>1984</v>
      </c>
      <c r="G52" s="20" t="n">
        <v>737</v>
      </c>
      <c r="H52" s="20" t="n">
        <v>1774</v>
      </c>
      <c r="I52" s="20" t="n">
        <v>33465</v>
      </c>
      <c r="J52" s="20" t="n">
        <v>986</v>
      </c>
      <c r="K52" s="20" t="n">
        <v>686</v>
      </c>
      <c r="L52" s="20" t="n">
        <v>1584</v>
      </c>
      <c r="M52" s="20" t="n">
        <v>6209</v>
      </c>
      <c r="N52" s="20" t="n">
        <v>880</v>
      </c>
      <c r="O52" s="19" t="n"/>
      <c r="P52" s="20" t="n">
        <v>4349</v>
      </c>
      <c r="Q52" s="20" t="n">
        <v>6092</v>
      </c>
      <c r="R52" s="20" t="n"/>
      <c r="S52" s="20" t="n"/>
      <c r="T52" s="20" t="n"/>
      <c r="U52" s="20" t="n"/>
      <c r="V52" s="20" t="n">
        <v>20358</v>
      </c>
      <c r="W52" s="20" t="n">
        <v>37960</v>
      </c>
      <c r="X52" s="20" t="n">
        <v>9465</v>
      </c>
      <c r="Y52" s="19">
        <f>IF(OR(Y4="",Y53=""),"",IFERROR(Y4*Y53,""))</f>
        <v/>
      </c>
      <c r="Z52" s="20">
        <f>IF(OR(Z4="",Z53=""),"",IFERROR(Z4*Z53,""))</f>
        <v/>
      </c>
      <c r="AA52" s="20">
        <f>IF(OR(AA4="",AA53=""),"",IFERROR(AA4*AA53,""))</f>
        <v/>
      </c>
      <c r="AB52" s="20">
        <f>IF(OR(AB4="",AB53=""),"",IFERROR(AB4*AB53,""))</f>
        <v/>
      </c>
      <c r="AC52" s="20">
        <f>IF(OR(AC4="",AC53=""),"",IFERROR(AC4*AC53,""))</f>
        <v/>
      </c>
    </row>
    <row r="53">
      <c r="A53" s="13" t="inlineStr">
        <is>
          <t>% of Sales</t>
        </is>
      </c>
      <c r="B53" s="10" t="n"/>
      <c r="C53" s="14">
        <f>IF(OR(C52="",C4=""),"",IFERROR(C52/C4,""))</f>
        <v/>
      </c>
      <c r="D53" s="15">
        <f>IF(OR(D52="",D4=""),"",IFERROR(D52/D4,""))</f>
        <v/>
      </c>
      <c r="E53" s="15">
        <f>IF(OR(E52="",E4=""),"",IFERROR(E52/E4,""))</f>
        <v/>
      </c>
      <c r="F53" s="15">
        <f>IF(OR(F52="",F4=""),"",IFERROR(F52/F4,""))</f>
        <v/>
      </c>
      <c r="G53" s="15">
        <f>IF(OR(G52="",G4=""),"",IFERROR(G52/G4,""))</f>
        <v/>
      </c>
      <c r="H53" s="15">
        <f>IF(OR(H52="",H4=""),"",IFERROR(H52/H4,""))</f>
        <v/>
      </c>
      <c r="I53" s="15">
        <f>IF(OR(I52="",I4=""),"",IFERROR(I52/I4,""))</f>
        <v/>
      </c>
      <c r="J53" s="15">
        <f>IF(OR(J52="",J4=""),"",IFERROR(J52/J4,""))</f>
        <v/>
      </c>
      <c r="K53" s="15">
        <f>IF(OR(K52="",K4=""),"",IFERROR(K52/K4,""))</f>
        <v/>
      </c>
      <c r="L53" s="15">
        <f>IF(OR(L52="",L4=""),"",IFERROR(L52/L4,""))</f>
        <v/>
      </c>
      <c r="M53" s="15">
        <f>IF(OR(M52="",M4=""),"",IFERROR(M52/M4,""))</f>
        <v/>
      </c>
      <c r="N53" s="15">
        <f>IF(OR(N52="",N4=""),"",IFERROR(N52/N4,""))</f>
        <v/>
      </c>
      <c r="O53" s="14">
        <f>IF(OR(O52="",O4=""),"",IFERROR(O52/O4,""))</f>
        <v/>
      </c>
      <c r="P53" s="15">
        <f>IF(OR(P52="",P4=""),"",IFERROR(P52/P4,""))</f>
        <v/>
      </c>
      <c r="Q53" s="15">
        <f>IF(OR(Q52="",Q4=""),"",IFERROR(Q52/Q4,""))</f>
        <v/>
      </c>
      <c r="R53" s="15">
        <f>IF(OR(R52="",R4=""),"",IFERROR(R52/R4,""))</f>
        <v/>
      </c>
      <c r="S53" s="15">
        <f>IF(OR(S52="",S4=""),"",IFERROR(S52/S4,""))</f>
        <v/>
      </c>
      <c r="T53" s="15">
        <f>IF(OR(T52="",T4=""),"",IFERROR(T52/T4,""))</f>
        <v/>
      </c>
      <c r="U53" s="15">
        <f>IF(OR(U52="",U4=""),"",IFERROR(U52/U4,""))</f>
        <v/>
      </c>
      <c r="V53" s="15">
        <f>IF(OR(V52="",V4=""),"",IFERROR(V52/V4,""))</f>
        <v/>
      </c>
      <c r="W53" s="15">
        <f>IF(OR(W52="",W4=""),"",IFERROR(W52/W4,""))</f>
        <v/>
      </c>
      <c r="X53" s="15">
        <f>IF(OR(X52="",X4=""),"",IFERROR(X52/X4,""))</f>
        <v/>
      </c>
      <c r="Y53" s="25">
        <f>IFERROR(AVERAGE(V53,W53,X53),"")</f>
        <v/>
      </c>
      <c r="Z53" s="26">
        <f>Y53</f>
        <v/>
      </c>
      <c r="AA53" s="26">
        <f>Z53</f>
        <v/>
      </c>
      <c r="AB53" s="26">
        <f>AA53</f>
        <v/>
      </c>
      <c r="AC53" s="26">
        <f>AB53</f>
        <v/>
      </c>
    </row>
    <row r="54">
      <c r="A54" s="18" t="inlineStr">
        <is>
          <t>금융수익</t>
        </is>
      </c>
      <c r="B54" s="10" t="n"/>
      <c r="C54" s="19" t="n">
        <v>2594</v>
      </c>
      <c r="D54" s="20" t="n">
        <v>-1559</v>
      </c>
      <c r="E54" s="20" t="n">
        <v>5296</v>
      </c>
      <c r="F54" s="20" t="n">
        <v>2698</v>
      </c>
      <c r="G54" s="20" t="n">
        <v>1179</v>
      </c>
      <c r="H54" s="20" t="n">
        <v>1878</v>
      </c>
      <c r="I54" s="20" t="n">
        <v>1919</v>
      </c>
      <c r="J54" s="20" t="n">
        <v>1894</v>
      </c>
      <c r="K54" s="20" t="n">
        <v>2096</v>
      </c>
      <c r="L54" s="20" t="n">
        <v>2087</v>
      </c>
      <c r="M54" s="20" t="n">
        <v>2374</v>
      </c>
      <c r="N54" s="20" t="n">
        <v>1824</v>
      </c>
      <c r="O54" s="19" t="n"/>
      <c r="P54" s="20" t="n">
        <v>2950</v>
      </c>
      <c r="Q54" s="20" t="n">
        <v>2562</v>
      </c>
      <c r="R54" s="20" t="n"/>
      <c r="S54" s="20" t="n"/>
      <c r="T54" s="20" t="n"/>
      <c r="U54" s="20" t="n"/>
      <c r="V54" s="20" t="n">
        <v>10403</v>
      </c>
      <c r="W54" s="20" t="n">
        <v>7674</v>
      </c>
      <c r="X54" s="20" t="n">
        <v>8451</v>
      </c>
      <c r="Y54" s="19">
        <f>IF(OR(Y4="",Y55=""),"",IFERROR(Y4*Y55,""))</f>
        <v/>
      </c>
      <c r="Z54" s="20">
        <f>IF(OR(Z4="",Z55=""),"",IFERROR(Z4*Z55,""))</f>
        <v/>
      </c>
      <c r="AA54" s="20">
        <f>IF(OR(AA4="",AA55=""),"",IFERROR(AA4*AA55,""))</f>
        <v/>
      </c>
      <c r="AB54" s="20">
        <f>IF(OR(AB4="",AB55=""),"",IFERROR(AB4*AB55,""))</f>
        <v/>
      </c>
      <c r="AC54" s="20">
        <f>IF(OR(AC4="",AC55=""),"",IFERROR(AC4*AC55,""))</f>
        <v/>
      </c>
    </row>
    <row r="55">
      <c r="A55" s="13" t="inlineStr">
        <is>
          <t>% of Sales</t>
        </is>
      </c>
      <c r="B55" s="10" t="n"/>
      <c r="C55" s="14">
        <f>IF(OR(C54="",C4=""),"",IFERROR(C54/C4,""))</f>
        <v/>
      </c>
      <c r="D55" s="15">
        <f>IF(OR(D54="",D4=""),"",IFERROR(D54/D4,""))</f>
        <v/>
      </c>
      <c r="E55" s="15">
        <f>IF(OR(E54="",E4=""),"",IFERROR(E54/E4,""))</f>
        <v/>
      </c>
      <c r="F55" s="15">
        <f>IF(OR(F54="",F4=""),"",IFERROR(F54/F4,""))</f>
        <v/>
      </c>
      <c r="G55" s="15">
        <f>IF(OR(G54="",G4=""),"",IFERROR(G54/G4,""))</f>
        <v/>
      </c>
      <c r="H55" s="15">
        <f>IF(OR(H54="",H4=""),"",IFERROR(H54/H4,""))</f>
        <v/>
      </c>
      <c r="I55" s="15">
        <f>IF(OR(I54="",I4=""),"",IFERROR(I54/I4,""))</f>
        <v/>
      </c>
      <c r="J55" s="15">
        <f>IF(OR(J54="",J4=""),"",IFERROR(J54/J4,""))</f>
        <v/>
      </c>
      <c r="K55" s="15">
        <f>IF(OR(K54="",K4=""),"",IFERROR(K54/K4,""))</f>
        <v/>
      </c>
      <c r="L55" s="15">
        <f>IF(OR(L54="",L4=""),"",IFERROR(L54/L4,""))</f>
        <v/>
      </c>
      <c r="M55" s="15">
        <f>IF(OR(M54="",M4=""),"",IFERROR(M54/M4,""))</f>
        <v/>
      </c>
      <c r="N55" s="15">
        <f>IF(OR(N54="",N4=""),"",IFERROR(N54/N4,""))</f>
        <v/>
      </c>
      <c r="O55" s="14">
        <f>IF(OR(O54="",O4=""),"",IFERROR(O54/O4,""))</f>
        <v/>
      </c>
      <c r="P55" s="15">
        <f>IF(OR(P54="",P4=""),"",IFERROR(P54/P4,""))</f>
        <v/>
      </c>
      <c r="Q55" s="15">
        <f>IF(OR(Q54="",Q4=""),"",IFERROR(Q54/Q4,""))</f>
        <v/>
      </c>
      <c r="R55" s="15">
        <f>IF(OR(R54="",R4=""),"",IFERROR(R54/R4,""))</f>
        <v/>
      </c>
      <c r="S55" s="15">
        <f>IF(OR(S54="",S4=""),"",IFERROR(S54/S4,""))</f>
        <v/>
      </c>
      <c r="T55" s="15">
        <f>IF(OR(T54="",T4=""),"",IFERROR(T54/T4,""))</f>
        <v/>
      </c>
      <c r="U55" s="15">
        <f>IF(OR(U54="",U4=""),"",IFERROR(U54/U4,""))</f>
        <v/>
      </c>
      <c r="V55" s="15">
        <f>IF(OR(V54="",V4=""),"",IFERROR(V54/V4,""))</f>
        <v/>
      </c>
      <c r="W55" s="15">
        <f>IF(OR(W54="",W4=""),"",IFERROR(W54/W4,""))</f>
        <v/>
      </c>
      <c r="X55" s="15">
        <f>IF(OR(X54="",X4=""),"",IFERROR(X54/X4,""))</f>
        <v/>
      </c>
      <c r="Y55" s="25">
        <f>IFERROR(AVERAGE(V55,W55,X55),"")</f>
        <v/>
      </c>
      <c r="Z55" s="26">
        <f>Y55</f>
        <v/>
      </c>
      <c r="AA55" s="26">
        <f>Z55</f>
        <v/>
      </c>
      <c r="AB55" s="26">
        <f>AA55</f>
        <v/>
      </c>
      <c r="AC55" s="26">
        <f>AB55</f>
        <v/>
      </c>
    </row>
    <row r="56">
      <c r="A56" s="18" t="inlineStr">
        <is>
          <t>금융원가</t>
        </is>
      </c>
      <c r="B56" s="10" t="n"/>
      <c r="C56" s="19" t="n">
        <v>848</v>
      </c>
      <c r="D56" s="20" t="n">
        <v>1859</v>
      </c>
      <c r="E56" s="20" t="n">
        <v>-228</v>
      </c>
      <c r="F56" s="20" t="n">
        <v>445</v>
      </c>
      <c r="G56" s="20" t="n">
        <v>4556</v>
      </c>
      <c r="H56" s="20" t="n">
        <v>-1583</v>
      </c>
      <c r="I56" s="20" t="n">
        <v>1735</v>
      </c>
      <c r="J56" s="20" t="n">
        <v>2200</v>
      </c>
      <c r="K56" s="20" t="n">
        <v>483</v>
      </c>
      <c r="L56" s="20" t="n">
        <v>-398</v>
      </c>
      <c r="M56" s="20" t="n">
        <v>219</v>
      </c>
      <c r="N56" s="20" t="n">
        <v>530</v>
      </c>
      <c r="O56" s="19" t="n"/>
      <c r="P56" s="20" t="n">
        <v>2393</v>
      </c>
      <c r="Q56" s="20" t="n">
        <v>3293</v>
      </c>
      <c r="R56" s="20" t="n"/>
      <c r="S56" s="20" t="n"/>
      <c r="T56" s="20" t="n"/>
      <c r="U56" s="20" t="n"/>
      <c r="V56" s="20" t="n">
        <v>3162</v>
      </c>
      <c r="W56" s="20" t="n">
        <v>5153</v>
      </c>
      <c r="X56" s="20" t="n">
        <v>2504</v>
      </c>
      <c r="Y56" s="19">
        <f>IF(OR(Y4="",Y57=""),"",IFERROR(Y4*Y57,""))</f>
        <v/>
      </c>
      <c r="Z56" s="20">
        <f>IF(OR(Z4="",Z57=""),"",IFERROR(Z4*Z57,""))</f>
        <v/>
      </c>
      <c r="AA56" s="20">
        <f>IF(OR(AA4="",AA57=""),"",IFERROR(AA4*AA57,""))</f>
        <v/>
      </c>
      <c r="AB56" s="20">
        <f>IF(OR(AB4="",AB57=""),"",IFERROR(AB4*AB57,""))</f>
        <v/>
      </c>
      <c r="AC56" s="20">
        <f>IF(OR(AC4="",AC57=""),"",IFERROR(AC4*AC57,""))</f>
        <v/>
      </c>
    </row>
    <row r="57">
      <c r="A57" s="13" t="inlineStr">
        <is>
          <t>% of Sales</t>
        </is>
      </c>
      <c r="B57" s="10" t="n"/>
      <c r="C57" s="14">
        <f>IF(OR(C56="",C4=""),"",IFERROR(C56/C4,""))</f>
        <v/>
      </c>
      <c r="D57" s="15">
        <f>IF(OR(D56="",D4=""),"",IFERROR(D56/D4,""))</f>
        <v/>
      </c>
      <c r="E57" s="15">
        <f>IF(OR(E56="",E4=""),"",IFERROR(E56/E4,""))</f>
        <v/>
      </c>
      <c r="F57" s="15">
        <f>IF(OR(F56="",F4=""),"",IFERROR(F56/F4,""))</f>
        <v/>
      </c>
      <c r="G57" s="15">
        <f>IF(OR(G56="",G4=""),"",IFERROR(G56/G4,""))</f>
        <v/>
      </c>
      <c r="H57" s="15">
        <f>IF(OR(H56="",H4=""),"",IFERROR(H56/H4,""))</f>
        <v/>
      </c>
      <c r="I57" s="15">
        <f>IF(OR(I56="",I4=""),"",IFERROR(I56/I4,""))</f>
        <v/>
      </c>
      <c r="J57" s="15">
        <f>IF(OR(J56="",J4=""),"",IFERROR(J56/J4,""))</f>
        <v/>
      </c>
      <c r="K57" s="15">
        <f>IF(OR(K56="",K4=""),"",IFERROR(K56/K4,""))</f>
        <v/>
      </c>
      <c r="L57" s="15">
        <f>IF(OR(L56="",L4=""),"",IFERROR(L56/L4,""))</f>
        <v/>
      </c>
      <c r="M57" s="15">
        <f>IF(OR(M56="",M4=""),"",IFERROR(M56/M4,""))</f>
        <v/>
      </c>
      <c r="N57" s="15">
        <f>IF(OR(N56="",N4=""),"",IFERROR(N56/N4,""))</f>
        <v/>
      </c>
      <c r="O57" s="14">
        <f>IF(OR(O56="",O4=""),"",IFERROR(O56/O4,""))</f>
        <v/>
      </c>
      <c r="P57" s="15">
        <f>IF(OR(P56="",P4=""),"",IFERROR(P56/P4,""))</f>
        <v/>
      </c>
      <c r="Q57" s="15">
        <f>IF(OR(Q56="",Q4=""),"",IFERROR(Q56/Q4,""))</f>
        <v/>
      </c>
      <c r="R57" s="15">
        <f>IF(OR(R56="",R4=""),"",IFERROR(R56/R4,""))</f>
        <v/>
      </c>
      <c r="S57" s="15">
        <f>IF(OR(S56="",S4=""),"",IFERROR(S56/S4,""))</f>
        <v/>
      </c>
      <c r="T57" s="15">
        <f>IF(OR(T56="",T4=""),"",IFERROR(T56/T4,""))</f>
        <v/>
      </c>
      <c r="U57" s="15">
        <f>IF(OR(U56="",U4=""),"",IFERROR(U56/U4,""))</f>
        <v/>
      </c>
      <c r="V57" s="15">
        <f>IF(OR(V56="",V4=""),"",IFERROR(V56/V4,""))</f>
        <v/>
      </c>
      <c r="W57" s="15">
        <f>IF(OR(W56="",W4=""),"",IFERROR(W56/W4,""))</f>
        <v/>
      </c>
      <c r="X57" s="15">
        <f>IF(OR(X56="",X4=""),"",IFERROR(X56/X4,""))</f>
        <v/>
      </c>
      <c r="Y57" s="25">
        <f>IFERROR(AVERAGE(V57,W57,X57),"")</f>
        <v/>
      </c>
      <c r="Z57" s="26">
        <f>Y57</f>
        <v/>
      </c>
      <c r="AA57" s="26">
        <f>Z57</f>
        <v/>
      </c>
      <c r="AB57" s="26">
        <f>AA57</f>
        <v/>
      </c>
      <c r="AC57" s="26">
        <f>AB57</f>
        <v/>
      </c>
    </row>
    <row r="58">
      <c r="A58" s="9" t="inlineStr">
        <is>
          <t>법인세비용차감전순이익(손실)</t>
        </is>
      </c>
      <c r="B58" s="10" t="n"/>
      <c r="C58" s="11" t="n">
        <v>29674</v>
      </c>
      <c r="D58" s="12" t="n">
        <v>24324</v>
      </c>
      <c r="E58" s="12" t="n">
        <v>8636</v>
      </c>
      <c r="F58" s="12" t="n">
        <v>19405</v>
      </c>
      <c r="G58" s="12" t="n">
        <v>13521</v>
      </c>
      <c r="H58" s="12" t="n">
        <v>22317</v>
      </c>
      <c r="I58" s="12" t="n">
        <v>-8147</v>
      </c>
      <c r="J58" s="12" t="n">
        <v>18901</v>
      </c>
      <c r="K58" s="12" t="n">
        <v>20527</v>
      </c>
      <c r="L58" s="12" t="n">
        <v>25974</v>
      </c>
      <c r="M58" s="12" t="n">
        <v>-3484</v>
      </c>
      <c r="N58" s="12" t="n">
        <v>17672</v>
      </c>
      <c r="O58" s="11" t="n"/>
      <c r="P58" s="12" t="n">
        <v>75849</v>
      </c>
      <c r="Q58" s="12" t="n">
        <v>61489</v>
      </c>
      <c r="R58" s="12" t="n"/>
      <c r="S58" s="12" t="n"/>
      <c r="T58" s="12" t="n"/>
      <c r="U58" s="12" t="n"/>
      <c r="V58" s="12" t="n">
        <v>88008</v>
      </c>
      <c r="W58" s="12" t="n">
        <v>47096</v>
      </c>
      <c r="X58" s="12" t="n">
        <v>61918</v>
      </c>
      <c r="Y58" s="11">
        <f>IF(OR(Y34=""),"",IFERROR(Y34+N(Y50)-N(Y52)+N(Y54)-N(Y56),""))</f>
        <v/>
      </c>
      <c r="Z58" s="12">
        <f>IF(OR(Z34=""),"",IFERROR(Z34+N(Z50)-N(Z52)+N(Z54)-N(Z56),""))</f>
        <v/>
      </c>
      <c r="AA58" s="12">
        <f>IF(OR(AA34=""),"",IFERROR(AA34+N(AA50)-N(AA52)+N(AA54)-N(AA56),""))</f>
        <v/>
      </c>
      <c r="AB58" s="12">
        <f>IF(OR(AB34=""),"",IFERROR(AB34+N(AB50)-N(AB52)+N(AB54)-N(AB56),""))</f>
        <v/>
      </c>
      <c r="AC58" s="12">
        <f>IF(OR(AC34=""),"",IFERROR(AC34+N(AC50)-N(AC52)+N(AC54)-N(AC56),""))</f>
        <v/>
      </c>
    </row>
    <row r="59">
      <c r="A59" s="13" t="inlineStr">
        <is>
          <t>YoY</t>
        </is>
      </c>
      <c r="B59" s="10" t="n"/>
      <c r="C59" s="14" t="n"/>
      <c r="D59" s="15" t="n"/>
      <c r="E59" s="15" t="n"/>
      <c r="F59" s="15" t="n"/>
      <c r="G59" s="15">
        <f>IF(OR(G58="",C58=""),"",IF(C58&lt;=0,"",IFERROR(G58/C58-1,"")))</f>
        <v/>
      </c>
      <c r="H59" s="15">
        <f>IF(OR(H58="",D58=""),"",IF(D58&lt;=0,"",IFERROR(H58/D58-1,"")))</f>
        <v/>
      </c>
      <c r="I59" s="15">
        <f>IF(OR(I58="",E58=""),"",IF(E58&lt;=0,"",IFERROR(I58/E58-1,"")))</f>
        <v/>
      </c>
      <c r="J59" s="15">
        <f>IF(OR(J58="",F58=""),"",IF(F58&lt;=0,"",IFERROR(J58/F58-1,"")))</f>
        <v/>
      </c>
      <c r="K59" s="15">
        <f>IF(OR(K58="",G58=""),"",IF(G58&lt;=0,"",IFERROR(K58/G58-1,"")))</f>
        <v/>
      </c>
      <c r="L59" s="15">
        <f>IF(OR(L58="",H58=""),"",IF(H58&lt;=0,"",IFERROR(L58/H58-1,"")))</f>
        <v/>
      </c>
      <c r="M59" s="15">
        <f>IF(OR(M58="",I58=""),"",IF(I58&lt;=0,"",IFERROR(M58/I58-1,"")))</f>
        <v/>
      </c>
      <c r="N59" s="15">
        <f>IF(OR(N58="",J58=""),"",IF(J58&lt;=0,"",IFERROR(N58/J58-1,"")))</f>
        <v/>
      </c>
      <c r="O59" s="14" t="n"/>
      <c r="P59" s="15">
        <f>IF(OR(P58="",O58=""),"",IF(O58&lt;=0,"",IFERROR(P58/O58-1,"")))</f>
        <v/>
      </c>
      <c r="Q59" s="15">
        <f>IF(OR(Q58="",P58=""),"",IF(P58&lt;=0,"",IFERROR(Q58/P58-1,"")))</f>
        <v/>
      </c>
      <c r="R59" s="15">
        <f>IF(OR(R58="",Q58=""),"",IF(Q58&lt;=0,"",IFERROR(R58/Q58-1,"")))</f>
        <v/>
      </c>
      <c r="S59" s="15">
        <f>IF(OR(S58="",R58=""),"",IF(R58&lt;=0,"",IFERROR(S58/R58-1,"")))</f>
        <v/>
      </c>
      <c r="T59" s="15">
        <f>IF(OR(T58="",S58=""),"",IF(S58&lt;=0,"",IFERROR(T58/S58-1,"")))</f>
        <v/>
      </c>
      <c r="U59" s="15">
        <f>IF(OR(U58="",T58=""),"",IF(T58&lt;=0,"",IFERROR(U58/T58-1,"")))</f>
        <v/>
      </c>
      <c r="V59" s="15">
        <f>IF(OR(V58="",U58=""),"",IF(U58&lt;=0,"",IFERROR(V58/U58-1,"")))</f>
        <v/>
      </c>
      <c r="W59" s="15">
        <f>IF(OR(W58="",V58=""),"",IF(V58&lt;=0,"",IFERROR(W58/V58-1,"")))</f>
        <v/>
      </c>
      <c r="X59" s="15">
        <f>IF(OR(X58="",W58=""),"",IF(W58&lt;=0,"",IFERROR(X58/W58-1,"")))</f>
        <v/>
      </c>
      <c r="Y59" s="14">
        <f>IF(OR(Y58="",X58=""),"",IF(X58&lt;=0,"",IFERROR(Y58/X58-1,"")))</f>
        <v/>
      </c>
      <c r="Z59" s="15">
        <f>IF(OR(Z58="",Y58=""),"",IF(Y58&lt;=0,"",IFERROR(Z58/Y58-1,"")))</f>
        <v/>
      </c>
      <c r="AA59" s="15">
        <f>IF(OR(AA58="",Z58=""),"",IF(Z58&lt;=0,"",IFERROR(AA58/Z58-1,"")))</f>
        <v/>
      </c>
      <c r="AB59" s="15">
        <f>IF(OR(AB58="",AA58=""),"",IF(AA58&lt;=0,"",IFERROR(AB58/AA58-1,"")))</f>
        <v/>
      </c>
      <c r="AC59" s="15">
        <f>IF(OR(AC58="",AB58=""),"",IF(AB58&lt;=0,"",IFERROR(AC58/AB58-1,"")))</f>
        <v/>
      </c>
    </row>
    <row r="60">
      <c r="A60" s="18" t="inlineStr">
        <is>
          <t>법인세비용(수익)</t>
        </is>
      </c>
      <c r="B60" s="10" t="n"/>
      <c r="C60" s="19" t="n">
        <v>9982</v>
      </c>
      <c r="D60" s="20" t="n">
        <v>8135</v>
      </c>
      <c r="E60" s="20" t="n">
        <v>-9270</v>
      </c>
      <c r="F60" s="20" t="n">
        <v>8864</v>
      </c>
      <c r="G60" s="20" t="n">
        <v>5337</v>
      </c>
      <c r="H60" s="20" t="n">
        <v>4506</v>
      </c>
      <c r="I60" s="20" t="n">
        <v>2585</v>
      </c>
      <c r="J60" s="20" t="n">
        <v>5759</v>
      </c>
      <c r="K60" s="20" t="n">
        <v>11695</v>
      </c>
      <c r="L60" s="20" t="n">
        <v>12730</v>
      </c>
      <c r="M60" s="20" t="n">
        <v>270</v>
      </c>
      <c r="N60" s="20" t="n">
        <v>7601</v>
      </c>
      <c r="O60" s="19" t="n"/>
      <c r="P60" s="20" t="n">
        <v>23216</v>
      </c>
      <c r="Q60" s="20" t="n">
        <v>27352</v>
      </c>
      <c r="R60" s="20" t="n"/>
      <c r="S60" s="20" t="n"/>
      <c r="T60" s="20" t="n"/>
      <c r="U60" s="20" t="n"/>
      <c r="V60" s="20" t="n">
        <v>19877</v>
      </c>
      <c r="W60" s="20" t="n">
        <v>21292</v>
      </c>
      <c r="X60" s="20" t="n">
        <v>30454</v>
      </c>
      <c r="Y60" s="19">
        <f>IF(OR(Y58="",Y61=""),"",IFERROR(MAX(Y58,0)*Y61,""))</f>
        <v/>
      </c>
      <c r="Z60" s="20">
        <f>IF(OR(Z58="",Z61=""),"",IFERROR(MAX(Z58,0)*Z61,""))</f>
        <v/>
      </c>
      <c r="AA60" s="20">
        <f>IF(OR(AA58="",AA61=""),"",IFERROR(MAX(AA58,0)*AA61,""))</f>
        <v/>
      </c>
      <c r="AB60" s="20">
        <f>IF(OR(AB58="",AB61=""),"",IFERROR(MAX(AB58,0)*AB61,""))</f>
        <v/>
      </c>
      <c r="AC60" s="20">
        <f>IF(OR(AC58="",AC61=""),"",IFERROR(MAX(AC58,0)*AC61,""))</f>
        <v/>
      </c>
    </row>
    <row r="61">
      <c r="A61" s="13" t="inlineStr">
        <is>
          <t>법인세율</t>
        </is>
      </c>
      <c r="B61" s="10" t="inlineStr">
        <is>
          <t>MW 기본 30%</t>
        </is>
      </c>
      <c r="C61" s="14">
        <f>IF(OR(C60="",C58=""),"",IFERROR(C60/C58,""))</f>
        <v/>
      </c>
      <c r="D61" s="15">
        <f>IF(OR(D60="",D58=""),"",IFERROR(D60/D58,""))</f>
        <v/>
      </c>
      <c r="E61" s="15">
        <f>IF(OR(E60="",E58=""),"",IFERROR(E60/E58,""))</f>
        <v/>
      </c>
      <c r="F61" s="15">
        <f>IF(OR(F60="",F58=""),"",IFERROR(F60/F58,""))</f>
        <v/>
      </c>
      <c r="G61" s="15">
        <f>IF(OR(G60="",G58=""),"",IFERROR(G60/G58,""))</f>
        <v/>
      </c>
      <c r="H61" s="15">
        <f>IF(OR(H60="",H58=""),"",IFERROR(H60/H58,""))</f>
        <v/>
      </c>
      <c r="I61" s="15">
        <f>IF(OR(I60="",I58=""),"",IFERROR(I60/I58,""))</f>
        <v/>
      </c>
      <c r="J61" s="15">
        <f>IF(OR(J60="",J58=""),"",IFERROR(J60/J58,""))</f>
        <v/>
      </c>
      <c r="K61" s="15">
        <f>IF(OR(K60="",K58=""),"",IFERROR(K60/K58,""))</f>
        <v/>
      </c>
      <c r="L61" s="15">
        <f>IF(OR(L60="",L58=""),"",IFERROR(L60/L58,""))</f>
        <v/>
      </c>
      <c r="M61" s="15">
        <f>IF(OR(M60="",M58=""),"",IFERROR(M60/M58,""))</f>
        <v/>
      </c>
      <c r="N61" s="15">
        <f>IF(OR(N60="",N58=""),"",IFERROR(N60/N58,""))</f>
        <v/>
      </c>
      <c r="O61" s="14">
        <f>IF(OR(O60="",O58=""),"",IFERROR(O60/O58,""))</f>
        <v/>
      </c>
      <c r="P61" s="15">
        <f>IF(OR(P60="",P58=""),"",IFERROR(P60/P58,""))</f>
        <v/>
      </c>
      <c r="Q61" s="15">
        <f>IF(OR(Q60="",Q58=""),"",IFERROR(Q60/Q58,""))</f>
        <v/>
      </c>
      <c r="R61" s="15">
        <f>IF(OR(R60="",R58=""),"",IFERROR(R60/R58,""))</f>
        <v/>
      </c>
      <c r="S61" s="15">
        <f>IF(OR(S60="",S58=""),"",IFERROR(S60/S58,""))</f>
        <v/>
      </c>
      <c r="T61" s="15">
        <f>IF(OR(T60="",T58=""),"",IFERROR(T60/T58,""))</f>
        <v/>
      </c>
      <c r="U61" s="15">
        <f>IF(OR(U60="",U58=""),"",IFERROR(U60/U58,""))</f>
        <v/>
      </c>
      <c r="V61" s="15">
        <f>IF(OR(V60="",V58=""),"",IFERROR(V60/V58,""))</f>
        <v/>
      </c>
      <c r="W61" s="15">
        <f>IF(OR(W60="",W58=""),"",IFERROR(W60/W58,""))</f>
        <v/>
      </c>
      <c r="X61" s="15">
        <f>IF(OR(X60="",X58=""),"",IFERROR(X60/X58,""))</f>
        <v/>
      </c>
      <c r="Y61" s="25" t="n">
        <v>0.3</v>
      </c>
      <c r="Z61" s="26" t="n">
        <v>0.3</v>
      </c>
      <c r="AA61" s="26" t="n">
        <v>0.3</v>
      </c>
      <c r="AB61" s="26" t="n">
        <v>0.3</v>
      </c>
      <c r="AC61" s="26" t="n">
        <v>0.3</v>
      </c>
    </row>
    <row r="62">
      <c r="A62" s="9" t="inlineStr">
        <is>
          <t>당기순이익(손실)</t>
        </is>
      </c>
      <c r="B62" s="10" t="n"/>
      <c r="C62" s="11" t="n">
        <v>19692</v>
      </c>
      <c r="D62" s="12" t="n">
        <v>16189</v>
      </c>
      <c r="E62" s="12" t="n">
        <v>17906</v>
      </c>
      <c r="F62" s="12" t="n">
        <v>10540</v>
      </c>
      <c r="G62" s="12" t="n">
        <v>8184</v>
      </c>
      <c r="H62" s="12" t="n">
        <v>17811</v>
      </c>
      <c r="I62" s="12" t="n">
        <v>-10732</v>
      </c>
      <c r="J62" s="12" t="n">
        <v>13141</v>
      </c>
      <c r="K62" s="12" t="n">
        <v>8833</v>
      </c>
      <c r="L62" s="12" t="n">
        <v>13244</v>
      </c>
      <c r="M62" s="12" t="n">
        <v>-3754</v>
      </c>
      <c r="N62" s="12" t="n">
        <v>10070</v>
      </c>
      <c r="O62" s="11" t="n"/>
      <c r="P62" s="12" t="n">
        <v>52633</v>
      </c>
      <c r="Q62" s="12" t="n">
        <v>34136</v>
      </c>
      <c r="R62" s="12" t="n"/>
      <c r="S62" s="12" t="n"/>
      <c r="T62" s="12" t="n"/>
      <c r="U62" s="12" t="n"/>
      <c r="V62" s="12" t="n">
        <v>68130</v>
      </c>
      <c r="W62" s="12" t="n">
        <v>25803</v>
      </c>
      <c r="X62" s="12" t="n">
        <v>31464</v>
      </c>
      <c r="Y62" s="11">
        <f>IF(OR(Y58=""),"",IFERROR(Y58-Y60,""))</f>
        <v/>
      </c>
      <c r="Z62" s="12">
        <f>IF(OR(Z58=""),"",IFERROR(Z58-Z60,""))</f>
        <v/>
      </c>
      <c r="AA62" s="12">
        <f>IF(OR(AA58=""),"",IFERROR(AA58-AA60,""))</f>
        <v/>
      </c>
      <c r="AB62" s="12">
        <f>IF(OR(AB58=""),"",IFERROR(AB58-AB60,""))</f>
        <v/>
      </c>
      <c r="AC62" s="12">
        <f>IF(OR(AC58=""),"",IFERROR(AC58-AC60,""))</f>
        <v/>
      </c>
    </row>
    <row r="63">
      <c r="A63" s="13" t="inlineStr">
        <is>
          <t>YoY</t>
        </is>
      </c>
      <c r="B63" s="10" t="n"/>
      <c r="C63" s="14" t="n"/>
      <c r="D63" s="15" t="n"/>
      <c r="E63" s="15" t="n"/>
      <c r="F63" s="15" t="n"/>
      <c r="G63" s="15">
        <f>IF(OR(G62="",C62=""),"",IF(C62&lt;=0,"",IFERROR(G62/C62-1,"")))</f>
        <v/>
      </c>
      <c r="H63" s="15">
        <f>IF(OR(H62="",D62=""),"",IF(D62&lt;=0,"",IFERROR(H62/D62-1,"")))</f>
        <v/>
      </c>
      <c r="I63" s="15">
        <f>IF(OR(I62="",E62=""),"",IF(E62&lt;=0,"",IFERROR(I62/E62-1,"")))</f>
        <v/>
      </c>
      <c r="J63" s="15">
        <f>IF(OR(J62="",F62=""),"",IF(F62&lt;=0,"",IFERROR(J62/F62-1,"")))</f>
        <v/>
      </c>
      <c r="K63" s="15">
        <f>IF(OR(K62="",G62=""),"",IF(G62&lt;=0,"",IFERROR(K62/G62-1,"")))</f>
        <v/>
      </c>
      <c r="L63" s="15">
        <f>IF(OR(L62="",H62=""),"",IF(H62&lt;=0,"",IFERROR(L62/H62-1,"")))</f>
        <v/>
      </c>
      <c r="M63" s="15">
        <f>IF(OR(M62="",I62=""),"",IF(I62&lt;=0,"",IFERROR(M62/I62-1,"")))</f>
        <v/>
      </c>
      <c r="N63" s="15">
        <f>IF(OR(N62="",J62=""),"",IF(J62&lt;=0,"",IFERROR(N62/J62-1,"")))</f>
        <v/>
      </c>
      <c r="O63" s="14" t="n"/>
      <c r="P63" s="15">
        <f>IF(OR(P62="",O62=""),"",IF(O62&lt;=0,"",IFERROR(P62/O62-1,"")))</f>
        <v/>
      </c>
      <c r="Q63" s="15">
        <f>IF(OR(Q62="",P62=""),"",IF(P62&lt;=0,"",IFERROR(Q62/P62-1,"")))</f>
        <v/>
      </c>
      <c r="R63" s="15">
        <f>IF(OR(R62="",Q62=""),"",IF(Q62&lt;=0,"",IFERROR(R62/Q62-1,"")))</f>
        <v/>
      </c>
      <c r="S63" s="15">
        <f>IF(OR(S62="",R62=""),"",IF(R62&lt;=0,"",IFERROR(S62/R62-1,"")))</f>
        <v/>
      </c>
      <c r="T63" s="15">
        <f>IF(OR(T62="",S62=""),"",IF(S62&lt;=0,"",IFERROR(T62/S62-1,"")))</f>
        <v/>
      </c>
      <c r="U63" s="15">
        <f>IF(OR(U62="",T62=""),"",IF(T62&lt;=0,"",IFERROR(U62/T62-1,"")))</f>
        <v/>
      </c>
      <c r="V63" s="15">
        <f>IF(OR(V62="",U62=""),"",IF(U62&lt;=0,"",IFERROR(V62/U62-1,"")))</f>
        <v/>
      </c>
      <c r="W63" s="15">
        <f>IF(OR(W62="",V62=""),"",IF(V62&lt;=0,"",IFERROR(W62/V62-1,"")))</f>
        <v/>
      </c>
      <c r="X63" s="15">
        <f>IF(OR(X62="",W62=""),"",IF(W62&lt;=0,"",IFERROR(X62/W62-1,"")))</f>
        <v/>
      </c>
      <c r="Y63" s="14">
        <f>IF(OR(Y62="",X62=""),"",IF(X62&lt;=0,"",IFERROR(Y62/X62-1,"")))</f>
        <v/>
      </c>
      <c r="Z63" s="15">
        <f>IF(OR(Z62="",Y62=""),"",IF(Y62&lt;=0,"",IFERROR(Z62/Y62-1,"")))</f>
        <v/>
      </c>
      <c r="AA63" s="15">
        <f>IF(OR(AA62="",Z62=""),"",IF(Z62&lt;=0,"",IFERROR(AA62/Z62-1,"")))</f>
        <v/>
      </c>
      <c r="AB63" s="15">
        <f>IF(OR(AB62="",AA62=""),"",IF(AA62&lt;=0,"",IFERROR(AB62/AA62-1,"")))</f>
        <v/>
      </c>
      <c r="AC63" s="15">
        <f>IF(OR(AC62="",AB62=""),"",IF(AB62&lt;=0,"",IFERROR(AC62/AB62-1,"")))</f>
        <v/>
      </c>
    </row>
    <row r="64">
      <c r="A64" s="9" t="inlineStr">
        <is>
          <t>지배주주 순이익</t>
        </is>
      </c>
      <c r="B64" s="10" t="n"/>
      <c r="C64" s="11" t="n">
        <v>16443</v>
      </c>
      <c r="D64" s="12" t="n">
        <v>13164</v>
      </c>
      <c r="E64" s="12" t="n">
        <v>16409</v>
      </c>
      <c r="F64" s="12" t="n">
        <v>8696</v>
      </c>
      <c r="G64" s="12" t="n">
        <v>4810</v>
      </c>
      <c r="H64" s="12" t="n">
        <v>14777</v>
      </c>
      <c r="I64" s="12" t="n">
        <v>-11564</v>
      </c>
      <c r="J64" s="12" t="n">
        <v>10801</v>
      </c>
      <c r="K64" s="12" t="n">
        <v>6622</v>
      </c>
      <c r="L64" s="12" t="n">
        <v>11207</v>
      </c>
      <c r="M64" s="12" t="n">
        <v>-5359</v>
      </c>
      <c r="N64" s="12" t="n">
        <v>8757</v>
      </c>
      <c r="O64" s="11" t="n"/>
      <c r="P64" s="12" t="n">
        <v>44818</v>
      </c>
      <c r="Q64" s="12" t="n">
        <v>27457</v>
      </c>
      <c r="R64" s="12" t="n"/>
      <c r="S64" s="12" t="n"/>
      <c r="T64" s="12" t="n"/>
      <c r="U64" s="12" t="n"/>
      <c r="V64" s="12" t="n">
        <v>58521</v>
      </c>
      <c r="W64" s="12" t="n">
        <v>16719</v>
      </c>
      <c r="X64" s="12" t="n">
        <v>23271</v>
      </c>
      <c r="Y64" s="11">
        <f>IF(OR(Y62="",Y65=""),"",IFERROR(Y62*Y65,""))</f>
        <v/>
      </c>
      <c r="Z64" s="12">
        <f>IF(OR(Z62="",Z65=""),"",IFERROR(Z62*Z65,""))</f>
        <v/>
      </c>
      <c r="AA64" s="12">
        <f>IF(OR(AA62="",AA65=""),"",IFERROR(AA62*AA65,""))</f>
        <v/>
      </c>
      <c r="AB64" s="12">
        <f>IF(OR(AB62="",AB65=""),"",IFERROR(AB62*AB65,""))</f>
        <v/>
      </c>
      <c r="AC64" s="12">
        <f>IF(OR(AC62="",AC65=""),"",IFERROR(AC62*AC65,""))</f>
        <v/>
      </c>
    </row>
    <row r="65">
      <c r="A65" s="13" t="inlineStr">
        <is>
          <t>지배주주 순이익률</t>
        </is>
      </c>
      <c r="B65" s="10" t="inlineStr">
        <is>
          <t>MW 기본 100%</t>
        </is>
      </c>
      <c r="C65" s="14">
        <f>IF(OR(C64="",C62=""),"",IFERROR(C64/C62,""))</f>
        <v/>
      </c>
      <c r="D65" s="15">
        <f>IF(OR(D64="",D62=""),"",IFERROR(D64/D62,""))</f>
        <v/>
      </c>
      <c r="E65" s="15">
        <f>IF(OR(E64="",E62=""),"",IFERROR(E64/E62,""))</f>
        <v/>
      </c>
      <c r="F65" s="15">
        <f>IF(OR(F64="",F62=""),"",IFERROR(F64/F62,""))</f>
        <v/>
      </c>
      <c r="G65" s="15">
        <f>IF(OR(G64="",G62=""),"",IFERROR(G64/G62,""))</f>
        <v/>
      </c>
      <c r="H65" s="15">
        <f>IF(OR(H64="",H62=""),"",IFERROR(H64/H62,""))</f>
        <v/>
      </c>
      <c r="I65" s="15">
        <f>IF(OR(I64="",I62=""),"",IFERROR(I64/I62,""))</f>
        <v/>
      </c>
      <c r="J65" s="15">
        <f>IF(OR(J64="",J62=""),"",IFERROR(J64/J62,""))</f>
        <v/>
      </c>
      <c r="K65" s="15">
        <f>IF(OR(K64="",K62=""),"",IFERROR(K64/K62,""))</f>
        <v/>
      </c>
      <c r="L65" s="15">
        <f>IF(OR(L64="",L62=""),"",IFERROR(L64/L62,""))</f>
        <v/>
      </c>
      <c r="M65" s="15">
        <f>IF(OR(M64="",M62=""),"",IFERROR(M64/M62,""))</f>
        <v/>
      </c>
      <c r="N65" s="15">
        <f>IF(OR(N64="",N62=""),"",IFERROR(N64/N62,""))</f>
        <v/>
      </c>
      <c r="O65" s="14">
        <f>IF(OR(O64="",O62=""),"",IFERROR(O64/O62,""))</f>
        <v/>
      </c>
      <c r="P65" s="15">
        <f>IF(OR(P64="",P62=""),"",IFERROR(P64/P62,""))</f>
        <v/>
      </c>
      <c r="Q65" s="15">
        <f>IF(OR(Q64="",Q62=""),"",IFERROR(Q64/Q62,""))</f>
        <v/>
      </c>
      <c r="R65" s="15">
        <f>IF(OR(R64="",R62=""),"",IFERROR(R64/R62,""))</f>
        <v/>
      </c>
      <c r="S65" s="15">
        <f>IF(OR(S64="",S62=""),"",IFERROR(S64/S62,""))</f>
        <v/>
      </c>
      <c r="T65" s="15">
        <f>IF(OR(T64="",T62=""),"",IFERROR(T64/T62,""))</f>
        <v/>
      </c>
      <c r="U65" s="15">
        <f>IF(OR(U64="",U62=""),"",IFERROR(U64/U62,""))</f>
        <v/>
      </c>
      <c r="V65" s="15">
        <f>IF(OR(V64="",V62=""),"",IFERROR(V64/V62,""))</f>
        <v/>
      </c>
      <c r="W65" s="15">
        <f>IF(OR(W64="",W62=""),"",IFERROR(W64/W62,""))</f>
        <v/>
      </c>
      <c r="X65" s="15">
        <f>IF(OR(X64="",X62=""),"",IFERROR(X64/X62,""))</f>
        <v/>
      </c>
      <c r="Y65" s="25" t="n">
        <v>1</v>
      </c>
      <c r="Z65" s="26" t="n">
        <v>1</v>
      </c>
      <c r="AA65" s="26" t="n">
        <v>1</v>
      </c>
      <c r="AB65" s="26" t="n">
        <v>1</v>
      </c>
      <c r="AC65" s="26" t="n">
        <v>1</v>
      </c>
    </row>
    <row r="66">
      <c r="A66" s="13" t="inlineStr">
        <is>
          <t>지배주주 순이익 YoY</t>
        </is>
      </c>
      <c r="B66" s="10" t="n"/>
      <c r="C66" s="14" t="n"/>
      <c r="D66" s="15" t="n"/>
      <c r="E66" s="15" t="n"/>
      <c r="F66" s="15" t="n"/>
      <c r="G66" s="15">
        <f>IF(OR(G64="",C64=""),"",IF(C64&lt;=0,"",IFERROR(G64/C64-1,"")))</f>
        <v/>
      </c>
      <c r="H66" s="15">
        <f>IF(OR(H64="",D64=""),"",IF(D64&lt;=0,"",IFERROR(H64/D64-1,"")))</f>
        <v/>
      </c>
      <c r="I66" s="15">
        <f>IF(OR(I64="",E64=""),"",IF(E64&lt;=0,"",IFERROR(I64/E64-1,"")))</f>
        <v/>
      </c>
      <c r="J66" s="15">
        <f>IF(OR(J64="",F64=""),"",IF(F64&lt;=0,"",IFERROR(J64/F64-1,"")))</f>
        <v/>
      </c>
      <c r="K66" s="15">
        <f>IF(OR(K64="",G64=""),"",IF(G64&lt;=0,"",IFERROR(K64/G64-1,"")))</f>
        <v/>
      </c>
      <c r="L66" s="15">
        <f>IF(OR(L64="",H64=""),"",IF(H64&lt;=0,"",IFERROR(L64/H64-1,"")))</f>
        <v/>
      </c>
      <c r="M66" s="15">
        <f>IF(OR(M64="",I64=""),"",IF(I64&lt;=0,"",IFERROR(M64/I64-1,"")))</f>
        <v/>
      </c>
      <c r="N66" s="15">
        <f>IF(OR(N64="",J64=""),"",IF(J64&lt;=0,"",IFERROR(N64/J64-1,"")))</f>
        <v/>
      </c>
      <c r="O66" s="14" t="n"/>
      <c r="P66" s="15">
        <f>IF(OR(P64="",O64=""),"",IF(O64&lt;=0,"",IFERROR(P64/O64-1,"")))</f>
        <v/>
      </c>
      <c r="Q66" s="15">
        <f>IF(OR(Q64="",P64=""),"",IF(P64&lt;=0,"",IFERROR(Q64/P64-1,"")))</f>
        <v/>
      </c>
      <c r="R66" s="15">
        <f>IF(OR(R64="",Q64=""),"",IF(Q64&lt;=0,"",IFERROR(R64/Q64-1,"")))</f>
        <v/>
      </c>
      <c r="S66" s="15">
        <f>IF(OR(S64="",R64=""),"",IF(R64&lt;=0,"",IFERROR(S64/R64-1,"")))</f>
        <v/>
      </c>
      <c r="T66" s="15">
        <f>IF(OR(T64="",S64=""),"",IF(S64&lt;=0,"",IFERROR(T64/S64-1,"")))</f>
        <v/>
      </c>
      <c r="U66" s="15">
        <f>IF(OR(U64="",T64=""),"",IF(T64&lt;=0,"",IFERROR(U64/T64-1,"")))</f>
        <v/>
      </c>
      <c r="V66" s="15">
        <f>IF(OR(V64="",U64=""),"",IF(U64&lt;=0,"",IFERROR(V64/U64-1,"")))</f>
        <v/>
      </c>
      <c r="W66" s="15">
        <f>IF(OR(W64="",V64=""),"",IF(V64&lt;=0,"",IFERROR(W64/V64-1,"")))</f>
        <v/>
      </c>
      <c r="X66" s="15">
        <f>IF(OR(X64="",W64=""),"",IF(W64&lt;=0,"",IFERROR(X64/W64-1,"")))</f>
        <v/>
      </c>
      <c r="Y66" s="14">
        <f>IF(OR(Y64="",X64=""),"",IF(X64&lt;=0,"",IFERROR(Y64/X64-1,"")))</f>
        <v/>
      </c>
      <c r="Z66" s="15">
        <f>IF(OR(Z64="",Y64=""),"",IF(Y64&lt;=0,"",IFERROR(Z64/Y64-1,"")))</f>
        <v/>
      </c>
      <c r="AA66" s="15">
        <f>IF(OR(AA64="",Z64=""),"",IF(Z64&lt;=0,"",IFERROR(AA64/Z64-1,"")))</f>
        <v/>
      </c>
      <c r="AB66" s="15">
        <f>IF(OR(AB64="",AA64=""),"",IF(AA64&lt;=0,"",IFERROR(AB64/AA64-1,"")))</f>
        <v/>
      </c>
      <c r="AC66" s="15">
        <f>IF(OR(AC64="",AB64=""),"",IF(AB64&lt;=0,"",IFERROR(AC64/AB64-1,"")))</f>
        <v/>
      </c>
    </row>
    <row r="67">
      <c r="A67" s="16" t="inlineStr">
        <is>
          <t>목표주가 산출</t>
        </is>
      </c>
      <c r="B67" s="16" t="n"/>
      <c r="C67" s="17" t="n"/>
      <c r="D67" s="16" t="n"/>
      <c r="E67" s="16" t="n"/>
      <c r="F67" s="16" t="n"/>
      <c r="G67" s="16" t="n"/>
      <c r="H67" s="16" t="n"/>
      <c r="I67" s="16" t="n"/>
      <c r="J67" s="16" t="n"/>
      <c r="K67" s="16" t="n"/>
      <c r="L67" s="16" t="n"/>
      <c r="M67" s="16" t="n"/>
      <c r="N67" s="16" t="n"/>
      <c r="O67" s="17" t="n"/>
      <c r="P67" s="16" t="n"/>
      <c r="Q67" s="16" t="n"/>
      <c r="R67" s="16" t="n"/>
      <c r="S67" s="16" t="n"/>
      <c r="T67" s="16" t="n"/>
      <c r="U67" s="16" t="n"/>
      <c r="V67" s="16" t="n"/>
      <c r="W67" s="16" t="n"/>
      <c r="X67" s="16" t="n"/>
      <c r="Y67" s="17" t="n"/>
      <c r="Z67" s="16" t="n"/>
      <c r="AA67" s="16" t="n"/>
      <c r="AB67" s="16" t="n"/>
      <c r="AC67" s="16" t="n"/>
    </row>
    <row r="68">
      <c r="A68" s="18" t="inlineStr">
        <is>
          <t>현재 주가 (2026.10.28)</t>
        </is>
      </c>
      <c r="B68" s="27" t="n">
        <v>2047.5</v>
      </c>
      <c r="C68" s="28" t="n"/>
      <c r="D68" s="29" t="n"/>
      <c r="E68" s="29" t="n"/>
      <c r="F68" s="29" t="n"/>
      <c r="G68" s="29" t="n"/>
      <c r="H68" s="29" t="n"/>
      <c r="I68" s="29" t="n"/>
      <c r="J68" s="29" t="n"/>
      <c r="K68" s="29" t="n"/>
      <c r="L68" s="29" t="n"/>
      <c r="M68" s="29" t="n"/>
      <c r="N68" s="29" t="n"/>
      <c r="O68" s="28" t="n"/>
      <c r="P68" s="29" t="n"/>
      <c r="Q68" s="29" t="n"/>
      <c r="R68" s="29" t="n"/>
      <c r="S68" s="29" t="n"/>
      <c r="T68" s="29" t="n"/>
      <c r="U68" s="29" t="n"/>
      <c r="V68" s="29" t="n"/>
      <c r="W68" s="29" t="n"/>
      <c r="X68" s="29" t="n"/>
      <c r="Y68" s="28" t="n"/>
      <c r="Z68" s="29" t="n"/>
      <c r="AA68" s="29" t="n"/>
      <c r="AB68" s="29" t="n"/>
      <c r="AC68" s="29" t="n"/>
    </row>
    <row r="69">
      <c r="A69" s="18" t="inlineStr">
        <is>
          <t>발행주식수 (보통주)</t>
        </is>
      </c>
      <c r="B69" s="27" t="n">
        <v>187665738</v>
      </c>
      <c r="C69" s="28" t="n"/>
      <c r="D69" s="29" t="n"/>
      <c r="E69" s="29" t="n"/>
      <c r="F69" s="29" t="n"/>
      <c r="G69" s="29" t="n"/>
      <c r="H69" s="29" t="n"/>
      <c r="I69" s="29" t="n"/>
      <c r="J69" s="29" t="n"/>
      <c r="K69" s="29" t="n"/>
      <c r="L69" s="29" t="n"/>
      <c r="M69" s="29" t="n"/>
      <c r="N69" s="29" t="n"/>
      <c r="O69" s="28" t="n"/>
      <c r="P69" s="29" t="n"/>
      <c r="Q69" s="29" t="n"/>
      <c r="R69" s="29" t="n"/>
      <c r="S69" s="29" t="n"/>
      <c r="T69" s="29" t="n"/>
      <c r="U69" s="29" t="n"/>
      <c r="V69" s="29" t="n"/>
      <c r="W69" s="29" t="n"/>
      <c r="X69" s="29" t="n"/>
      <c r="Y69" s="28" t="n"/>
      <c r="Z69" s="29" t="n"/>
      <c r="AA69" s="29" t="n"/>
      <c r="AB69" s="29" t="n"/>
      <c r="AC69" s="29" t="n"/>
    </row>
    <row r="70">
      <c r="A70" s="18" t="inlineStr">
        <is>
          <t>시가총액 (백만엔)</t>
        </is>
      </c>
      <c r="B70" s="12">
        <f>IF(OR(B68="",B69=""),"",B68*B69/1000000.0)</f>
        <v/>
      </c>
      <c r="C70" s="19" t="n"/>
      <c r="D70" s="20" t="n"/>
      <c r="E70" s="20" t="n"/>
      <c r="F70" s="20" t="n"/>
      <c r="G70" s="20" t="n"/>
      <c r="H70" s="20" t="n"/>
      <c r="I70" s="20" t="n"/>
      <c r="J70" s="20" t="n"/>
      <c r="K70" s="20" t="n"/>
      <c r="L70" s="20" t="n"/>
      <c r="M70" s="20" t="n"/>
      <c r="N70" s="20" t="n"/>
      <c r="O70" s="19" t="n"/>
      <c r="P70" s="20" t="n"/>
      <c r="Q70" s="20" t="n"/>
      <c r="R70" s="20" t="n"/>
      <c r="S70" s="20" t="n"/>
      <c r="T70" s="20" t="n"/>
      <c r="U70" s="20" t="n"/>
      <c r="V70" s="20" t="n"/>
      <c r="W70" s="20" t="n"/>
      <c r="X70" s="20" t="n"/>
      <c r="Y70" s="19" t="n"/>
      <c r="Z70" s="20" t="n"/>
      <c r="AA70" s="20" t="n"/>
      <c r="AB70" s="20" t="n"/>
      <c r="AC70" s="20" t="n"/>
    </row>
    <row r="71">
      <c r="A71" s="13" t="inlineStr">
        <is>
          <t>OPM</t>
        </is>
      </c>
      <c r="B71" s="10" t="n"/>
      <c r="C71" s="14" t="n"/>
      <c r="D71" s="15" t="n"/>
      <c r="E71" s="15" t="n"/>
      <c r="F71" s="15" t="n"/>
      <c r="G71" s="15" t="n"/>
      <c r="H71" s="15" t="n"/>
      <c r="I71" s="15" t="n"/>
      <c r="J71" s="15" t="n"/>
      <c r="K71" s="15" t="n"/>
      <c r="L71" s="15" t="n"/>
      <c r="M71" s="15" t="n"/>
      <c r="N71" s="15" t="n"/>
      <c r="O71" s="14">
        <f>IF(O35="","",O35)</f>
        <v/>
      </c>
      <c r="P71" s="15">
        <f>IF(P35="","",P35)</f>
        <v/>
      </c>
      <c r="Q71" s="15">
        <f>IF(Q35="","",Q35)</f>
        <v/>
      </c>
      <c r="R71" s="15">
        <f>IF(R35="","",R35)</f>
        <v/>
      </c>
      <c r="S71" s="15">
        <f>IF(S35="","",S35)</f>
        <v/>
      </c>
      <c r="T71" s="15">
        <f>IF(T35="","",T35)</f>
        <v/>
      </c>
      <c r="U71" s="15">
        <f>IF(U35="","",U35)</f>
        <v/>
      </c>
      <c r="V71" s="15">
        <f>IF(V35="","",V35)</f>
        <v/>
      </c>
      <c r="W71" s="15">
        <f>IF(W35="","",W35)</f>
        <v/>
      </c>
      <c r="X71" s="15">
        <f>IF(X35="","",X35)</f>
        <v/>
      </c>
      <c r="Y71" s="14">
        <f>IF(Y35="","",Y35)</f>
        <v/>
      </c>
      <c r="Z71" s="15">
        <f>IF(Z35="","",Z35)</f>
        <v/>
      </c>
      <c r="AA71" s="15">
        <f>IF(AA35="","",AA35)</f>
        <v/>
      </c>
      <c r="AB71" s="15">
        <f>IF(AB35="","",AB35)</f>
        <v/>
      </c>
      <c r="AC71" s="15">
        <f>IF(AC35="","",AC35)</f>
        <v/>
      </c>
    </row>
    <row r="72">
      <c r="A72" s="13" t="inlineStr">
        <is>
          <t>지배주주 순이익 증가율</t>
        </is>
      </c>
      <c r="B72" s="10" t="n"/>
      <c r="C72" s="14" t="n"/>
      <c r="D72" s="15" t="n"/>
      <c r="E72" s="15" t="n"/>
      <c r="F72" s="15" t="n"/>
      <c r="G72" s="15" t="n"/>
      <c r="H72" s="15" t="n"/>
      <c r="I72" s="15" t="n"/>
      <c r="J72" s="15" t="n"/>
      <c r="K72" s="15" t="n"/>
      <c r="L72" s="15" t="n"/>
      <c r="M72" s="15" t="n"/>
      <c r="N72" s="15" t="n"/>
      <c r="O72" s="14" t="n"/>
      <c r="P72" s="15">
        <f>IF(OR(P64="",O64=""),"",IFERROR(P64/O64-1,""))</f>
        <v/>
      </c>
      <c r="Q72" s="15">
        <f>IF(OR(Q64="",P64=""),"",IFERROR(Q64/P64-1,""))</f>
        <v/>
      </c>
      <c r="R72" s="15">
        <f>IF(OR(R64="",Q64=""),"",IFERROR(R64/Q64-1,""))</f>
        <v/>
      </c>
      <c r="S72" s="15">
        <f>IF(OR(S64="",R64=""),"",IFERROR(S64/R64-1,""))</f>
        <v/>
      </c>
      <c r="T72" s="15">
        <f>IF(OR(T64="",S64=""),"",IFERROR(T64/S64-1,""))</f>
        <v/>
      </c>
      <c r="U72" s="15">
        <f>IF(OR(U64="",T64=""),"",IFERROR(U64/T64-1,""))</f>
        <v/>
      </c>
      <c r="V72" s="15">
        <f>IF(OR(V64="",U64=""),"",IFERROR(V64/U64-1,""))</f>
        <v/>
      </c>
      <c r="W72" s="15">
        <f>IF(OR(W64="",V64=""),"",IFERROR(W64/V64-1,""))</f>
        <v/>
      </c>
      <c r="X72" s="15">
        <f>IF(OR(X64="",W64=""),"",IFERROR(X64/W64-1,""))</f>
        <v/>
      </c>
      <c r="Y72" s="14">
        <f>IF(OR(Y64="",X64=""),"",IFERROR(Y64/X64-1,""))</f>
        <v/>
      </c>
      <c r="Z72" s="15">
        <f>IF(OR(Z64="",Y64=""),"",IFERROR(Z64/Y64-1,""))</f>
        <v/>
      </c>
      <c r="AA72" s="15">
        <f>IF(OR(AA64="",Z64=""),"",IFERROR(AA64/Z64-1,""))</f>
        <v/>
      </c>
      <c r="AB72" s="15">
        <f>IF(OR(AB64="",AA64=""),"",IFERROR(AB64/AA64-1,""))</f>
        <v/>
      </c>
      <c r="AC72" s="15">
        <f>IF(OR(AC64="",AB64=""),"",IFERROR(AC64/AB64-1,""))</f>
        <v/>
      </c>
    </row>
    <row r="73">
      <c r="A73" s="18" t="inlineStr">
        <is>
          <t>P/E (현재 주가)</t>
        </is>
      </c>
      <c r="B73" s="10" t="inlineStr">
        <is>
          <t>시총 ÷ 지배순이익</t>
        </is>
      </c>
      <c r="C73" s="30" t="n"/>
      <c r="D73" s="31" t="n"/>
      <c r="E73" s="31" t="n"/>
      <c r="F73" s="31" t="n"/>
      <c r="G73" s="31" t="n"/>
      <c r="H73" s="31" t="n"/>
      <c r="I73" s="31" t="n"/>
      <c r="J73" s="31" t="n"/>
      <c r="K73" s="31" t="n"/>
      <c r="L73" s="31" t="n"/>
      <c r="M73" s="31" t="n"/>
      <c r="N73" s="31" t="n"/>
      <c r="O73" s="30" t="n"/>
      <c r="P73" s="31" t="n"/>
      <c r="Q73" s="31" t="n"/>
      <c r="R73" s="31" t="n"/>
      <c r="S73" s="31" t="n"/>
      <c r="T73" s="31" t="n"/>
      <c r="U73" s="31" t="n"/>
      <c r="V73" s="31" t="n"/>
      <c r="W73" s="31" t="n"/>
      <c r="X73" s="31">
        <f>IF(OR($B$70="",X64=""),"",IFERROR($B$70/X64,""))</f>
        <v/>
      </c>
      <c r="Y73" s="30">
        <f>IF(OR($B$70="",Y64=""),"",IFERROR($B$70/Y64,""))</f>
        <v/>
      </c>
      <c r="Z73" s="31">
        <f>IF(OR($B$70="",Z64=""),"",IFERROR($B$70/Z64,""))</f>
        <v/>
      </c>
      <c r="AA73" s="31">
        <f>IF(OR($B$70="",AA64=""),"",IFERROR($B$70/AA64,""))</f>
        <v/>
      </c>
      <c r="AB73" s="31">
        <f>IF(OR($B$70="",AB64=""),"",IFERROR($B$70/AB64,""))</f>
        <v/>
      </c>
      <c r="AC73" s="31">
        <f>IF(OR($B$70="",AC64=""),"",IFERROR($B$70/AC64,""))</f>
        <v/>
      </c>
    </row>
    <row r="74">
      <c r="A74" s="18" t="inlineStr">
        <is>
          <t>Target P/E</t>
        </is>
      </c>
      <c r="B74" s="10" t="inlineStr">
        <is>
          <t>직접 입력</t>
        </is>
      </c>
      <c r="C74" s="30" t="n"/>
      <c r="D74" s="31" t="n"/>
      <c r="E74" s="31" t="n"/>
      <c r="F74" s="31" t="n"/>
      <c r="G74" s="31" t="n"/>
      <c r="H74" s="31" t="n"/>
      <c r="I74" s="31" t="n"/>
      <c r="J74" s="31" t="n"/>
      <c r="K74" s="31" t="n"/>
      <c r="L74" s="31" t="n"/>
      <c r="M74" s="31" t="n"/>
      <c r="N74" s="31" t="n"/>
      <c r="O74" s="30" t="n"/>
      <c r="P74" s="31" t="n"/>
      <c r="Q74" s="31" t="n"/>
      <c r="R74" s="31" t="n"/>
      <c r="S74" s="31" t="n"/>
      <c r="T74" s="31" t="n"/>
      <c r="U74" s="31" t="n"/>
      <c r="V74" s="31" t="n"/>
      <c r="W74" s="31" t="n"/>
      <c r="X74" s="31" t="n"/>
      <c r="Y74" s="32" t="n"/>
      <c r="Z74" s="33" t="n"/>
      <c r="AA74" s="33" t="n"/>
      <c r="AB74" s="33" t="n"/>
      <c r="AC74" s="33" t="n"/>
    </row>
    <row r="75">
      <c r="A75" s="18" t="inlineStr">
        <is>
          <t>EPS</t>
        </is>
      </c>
      <c r="B75" s="10" t="inlineStr">
        <is>
          <t>지배순이익 ÷ 주식수</t>
        </is>
      </c>
      <c r="C75" s="28" t="n"/>
      <c r="D75" s="29" t="n"/>
      <c r="E75" s="29" t="n"/>
      <c r="F75" s="29" t="n"/>
      <c r="G75" s="29" t="n"/>
      <c r="H75" s="29" t="n"/>
      <c r="I75" s="29" t="n"/>
      <c r="J75" s="29" t="n"/>
      <c r="K75" s="29" t="n"/>
      <c r="L75" s="29" t="n"/>
      <c r="M75" s="29" t="n"/>
      <c r="N75" s="29" t="n"/>
      <c r="O75" s="28">
        <f>IF(OR(O64="",$B$69=""),"",IFERROR(O64*1000000.0/$B$69,""))</f>
        <v/>
      </c>
      <c r="P75" s="29">
        <f>IF(OR(P64="",$B$69=""),"",IFERROR(P64*1000000.0/$B$69,""))</f>
        <v/>
      </c>
      <c r="Q75" s="29">
        <f>IF(OR(Q64="",$B$69=""),"",IFERROR(Q64*1000000.0/$B$69,""))</f>
        <v/>
      </c>
      <c r="R75" s="29">
        <f>IF(OR(R64="",$B$69=""),"",IFERROR(R64*1000000.0/$B$69,""))</f>
        <v/>
      </c>
      <c r="S75" s="29">
        <f>IF(OR(S64="",$B$69=""),"",IFERROR(S64*1000000.0/$B$69,""))</f>
        <v/>
      </c>
      <c r="T75" s="29">
        <f>IF(OR(T64="",$B$69=""),"",IFERROR(T64*1000000.0/$B$69,""))</f>
        <v/>
      </c>
      <c r="U75" s="29">
        <f>IF(OR(U64="",$B$69=""),"",IFERROR(U64*1000000.0/$B$69,""))</f>
        <v/>
      </c>
      <c r="V75" s="29">
        <f>IF(OR(V64="",$B$69=""),"",IFERROR(V64*1000000.0/$B$69,""))</f>
        <v/>
      </c>
      <c r="W75" s="29">
        <f>IF(OR(W64="",$B$69=""),"",IFERROR(W64*1000000.0/$B$69,""))</f>
        <v/>
      </c>
      <c r="X75" s="29">
        <f>IF(OR(X64="",$B$69=""),"",IFERROR(X64*1000000.0/$B$69,""))</f>
        <v/>
      </c>
      <c r="Y75" s="28">
        <f>IF(OR(Y64="",$B$69=""),"",IFERROR(Y64*1000000.0/$B$69,""))</f>
        <v/>
      </c>
      <c r="Z75" s="29">
        <f>IF(OR(Z64="",$B$69=""),"",IFERROR(Z64*1000000.0/$B$69,""))</f>
        <v/>
      </c>
      <c r="AA75" s="29">
        <f>IF(OR(AA64="",$B$69=""),"",IFERROR(AA64*1000000.0/$B$69,""))</f>
        <v/>
      </c>
      <c r="AB75" s="29">
        <f>IF(OR(AB64="",$B$69=""),"",IFERROR(AB64*1000000.0/$B$69,""))</f>
        <v/>
      </c>
      <c r="AC75" s="29">
        <f>IF(OR(AC64="",$B$69=""),"",IFERROR(AC64*1000000.0/$B$69,""))</f>
        <v/>
      </c>
    </row>
    <row r="76">
      <c r="A76" s="9" t="inlineStr">
        <is>
          <t>목표주가</t>
        </is>
      </c>
      <c r="B76" s="10" t="n"/>
      <c r="C76" s="34" t="n"/>
      <c r="D76" s="27" t="n"/>
      <c r="E76" s="27" t="n"/>
      <c r="F76" s="27" t="n"/>
      <c r="G76" s="27" t="n"/>
      <c r="H76" s="27" t="n"/>
      <c r="I76" s="27" t="n"/>
      <c r="J76" s="27" t="n"/>
      <c r="K76" s="27" t="n"/>
      <c r="L76" s="27" t="n"/>
      <c r="M76" s="27" t="n"/>
      <c r="N76" s="27" t="n"/>
      <c r="O76" s="34" t="n"/>
      <c r="P76" s="27" t="n"/>
      <c r="Q76" s="27" t="n"/>
      <c r="R76" s="27" t="n"/>
      <c r="S76" s="27" t="n"/>
      <c r="T76" s="27" t="n"/>
      <c r="U76" s="27" t="n"/>
      <c r="V76" s="27" t="n"/>
      <c r="W76" s="27" t="n"/>
      <c r="X76" s="27" t="n"/>
      <c r="Y76" s="34">
        <f>IF(OR(Y75="",Y74=""),"",IFERROR(Y75*Y74,""))</f>
        <v/>
      </c>
      <c r="Z76" s="27">
        <f>IF(OR(Z75="",Z74=""),"",IFERROR(Z75*Z74,""))</f>
        <v/>
      </c>
      <c r="AA76" s="27">
        <f>IF(OR(AA75="",AA74=""),"",IFERROR(AA75*AA74,""))</f>
        <v/>
      </c>
      <c r="AB76" s="27">
        <f>IF(OR(AB75="",AB74=""),"",IFERROR(AB75*AB74,""))</f>
        <v/>
      </c>
      <c r="AC76" s="27">
        <f>IF(OR(AC75="",AC74=""),"",IFERROR(AC75*AC74,""))</f>
        <v/>
      </c>
    </row>
    <row r="77">
      <c r="A77" s="18" t="inlineStr">
        <is>
          <t>상승여력</t>
        </is>
      </c>
      <c r="B77" s="10" t="n"/>
      <c r="C77" s="35" t="n"/>
      <c r="D77" s="36" t="n"/>
      <c r="E77" s="36" t="n"/>
      <c r="F77" s="36" t="n"/>
      <c r="G77" s="36" t="n"/>
      <c r="H77" s="36" t="n"/>
      <c r="I77" s="36" t="n"/>
      <c r="J77" s="36" t="n"/>
      <c r="K77" s="36" t="n"/>
      <c r="L77" s="36" t="n"/>
      <c r="M77" s="36" t="n"/>
      <c r="N77" s="36" t="n"/>
      <c r="O77" s="35" t="n"/>
      <c r="P77" s="36" t="n"/>
      <c r="Q77" s="36" t="n"/>
      <c r="R77" s="36" t="n"/>
      <c r="S77" s="36" t="n"/>
      <c r="T77" s="36" t="n"/>
      <c r="U77" s="36" t="n"/>
      <c r="V77" s="36" t="n"/>
      <c r="W77" s="36" t="n"/>
      <c r="X77" s="36" t="n"/>
      <c r="Y77" s="37">
        <f>IF(OR(Y76="",$B$68=""),"",IFERROR(Y76/$B$68-1,""))</f>
        <v/>
      </c>
      <c r="Z77" s="38">
        <f>IF(OR(Z76="",$B$68=""),"",IFERROR(Z76/$B$68-1,""))</f>
        <v/>
      </c>
      <c r="AA77" s="38">
        <f>IF(OR(AA76="",$B$68=""),"",IFERROR(AA76/$B$68-1,""))</f>
        <v/>
      </c>
      <c r="AB77" s="38">
        <f>IF(OR(AB76="",$B$68=""),"",IFERROR(AB76/$B$68-1,""))</f>
        <v/>
      </c>
      <c r="AC77" s="38">
        <f>IF(OR(AC76="",$B$68=""),"",IFERROR(AC76/$B$68-1,""))</f>
        <v/>
      </c>
    </row>
    <row r="78">
      <c r="A78" s="16" t="inlineStr">
        <is>
          <t>자산가치 산출</t>
        </is>
      </c>
      <c r="B78" s="16" t="inlineStr">
        <is>
          <t>최신 분기 BS</t>
        </is>
      </c>
      <c r="C78" s="17" t="n"/>
      <c r="D78" s="16" t="n"/>
      <c r="E78" s="16" t="n"/>
      <c r="F78" s="16" t="n"/>
      <c r="G78" s="16" t="n"/>
      <c r="H78" s="16" t="n"/>
      <c r="I78" s="16" t="n"/>
      <c r="J78" s="16" t="n"/>
      <c r="K78" s="16" t="n"/>
      <c r="L78" s="16" t="n"/>
      <c r="M78" s="16" t="n"/>
      <c r="N78" s="16" t="n"/>
      <c r="O78" s="17" t="n"/>
      <c r="P78" s="16" t="n"/>
      <c r="Q78" s="16" t="n"/>
      <c r="R78" s="16" t="n"/>
      <c r="S78" s="16" t="n"/>
      <c r="T78" s="16" t="n"/>
      <c r="U78" s="16" t="n"/>
      <c r="V78" s="16" t="n"/>
      <c r="W78" s="16" t="n"/>
      <c r="X78" s="16" t="n"/>
      <c r="Y78" s="17" t="n"/>
      <c r="Z78" s="16" t="n"/>
      <c r="AA78" s="16" t="n"/>
      <c r="AB78" s="16" t="n"/>
      <c r="AC78" s="16" t="n"/>
    </row>
    <row r="79">
      <c r="A79" s="18" t="inlineStr">
        <is>
          <t>현금및현금성자산</t>
        </is>
      </c>
      <c r="B79" s="10" t="n"/>
      <c r="C79" s="19" t="n"/>
      <c r="D79" s="20" t="n"/>
      <c r="E79" s="20" t="n"/>
      <c r="F79" s="20" t="n"/>
      <c r="G79" s="20" t="n"/>
      <c r="H79" s="20" t="n"/>
      <c r="I79" s="20" t="n"/>
      <c r="J79" s="20" t="n"/>
      <c r="K79" s="20" t="n"/>
      <c r="L79" s="20" t="n"/>
      <c r="M79" s="20" t="n"/>
      <c r="N79" s="20" t="n"/>
      <c r="O79" s="19" t="n"/>
      <c r="P79" s="20" t="n"/>
      <c r="Q79" s="20" t="n"/>
      <c r="R79" s="20" t="n"/>
      <c r="S79" s="20" t="n"/>
      <c r="T79" s="20" t="n"/>
      <c r="U79" s="20" t="n"/>
      <c r="V79" s="20" t="n"/>
      <c r="W79" s="20" t="n"/>
      <c r="X79" s="20">
        <f>'재무상태표'!G6</f>
        <v/>
      </c>
      <c r="Y79" s="19">
        <f>'재무상태표'!G6</f>
        <v/>
      </c>
      <c r="Z79" s="20">
        <f>'재무상태표'!G6</f>
        <v/>
      </c>
      <c r="AA79" s="20">
        <f>'재무상태표'!G6</f>
        <v/>
      </c>
      <c r="AB79" s="20">
        <f>'재무상태표'!G6</f>
        <v/>
      </c>
      <c r="AC79" s="20">
        <f>'재무상태표'!G6</f>
        <v/>
      </c>
    </row>
    <row r="80">
      <c r="A80" s="18" t="inlineStr">
        <is>
          <t>단기금융상품</t>
        </is>
      </c>
      <c r="B80" s="10" t="n"/>
      <c r="C80" s="19" t="n"/>
      <c r="D80" s="20" t="n"/>
      <c r="E80" s="20" t="n"/>
      <c r="F80" s="20" t="n"/>
      <c r="G80" s="20" t="n"/>
      <c r="H80" s="20" t="n"/>
      <c r="I80" s="20" t="n"/>
      <c r="J80" s="20" t="n"/>
      <c r="K80" s="20" t="n"/>
      <c r="L80" s="20" t="n"/>
      <c r="M80" s="20" t="n"/>
      <c r="N80" s="20" t="n"/>
      <c r="O80" s="19" t="n"/>
      <c r="P80" s="20" t="n"/>
      <c r="Q80" s="20" t="n"/>
      <c r="R80" s="20" t="n"/>
      <c r="S80" s="20" t="n"/>
      <c r="T80" s="20" t="n"/>
      <c r="U80" s="20" t="n"/>
      <c r="V80" s="20" t="n"/>
      <c r="W80" s="20" t="n"/>
      <c r="X80" s="20">
        <f>'재무상태표'!G7</f>
        <v/>
      </c>
      <c r="Y80" s="19">
        <f>'재무상태표'!G7</f>
        <v/>
      </c>
      <c r="Z80" s="20">
        <f>'재무상태표'!G7</f>
        <v/>
      </c>
      <c r="AA80" s="20">
        <f>'재무상태표'!G7</f>
        <v/>
      </c>
      <c r="AB80" s="20">
        <f>'재무상태표'!G7</f>
        <v/>
      </c>
      <c r="AC80" s="20">
        <f>'재무상태표'!G7</f>
        <v/>
      </c>
    </row>
    <row r="81">
      <c r="A81" s="18" t="inlineStr">
        <is>
          <t>투자부동산</t>
        </is>
      </c>
      <c r="B81" s="10" t="n"/>
      <c r="C81" s="19" t="n"/>
      <c r="D81" s="20" t="n"/>
      <c r="E81" s="20" t="n"/>
      <c r="F81" s="20" t="n"/>
      <c r="G81" s="20" t="n"/>
      <c r="H81" s="20" t="n"/>
      <c r="I81" s="20" t="n"/>
      <c r="J81" s="20" t="n"/>
      <c r="K81" s="20" t="n"/>
      <c r="L81" s="20" t="n"/>
      <c r="M81" s="20" t="n"/>
      <c r="N81" s="20" t="n"/>
      <c r="O81" s="19" t="n"/>
      <c r="P81" s="20" t="n"/>
      <c r="Q81" s="20" t="n"/>
      <c r="R81" s="20" t="n"/>
      <c r="S81" s="20" t="n"/>
      <c r="T81" s="20" t="n"/>
      <c r="U81" s="20" t="n"/>
      <c r="V81" s="20" t="n"/>
      <c r="W81" s="20" t="n"/>
      <c r="X81" s="20">
        <f>'재무상태표'!G14</f>
        <v/>
      </c>
      <c r="Y81" s="19">
        <f>'재무상태표'!G14</f>
        <v/>
      </c>
      <c r="Z81" s="20">
        <f>'재무상태표'!G14</f>
        <v/>
      </c>
      <c r="AA81" s="20">
        <f>'재무상태표'!G14</f>
        <v/>
      </c>
      <c r="AB81" s="20">
        <f>'재무상태표'!G14</f>
        <v/>
      </c>
      <c r="AC81" s="20">
        <f>'재무상태표'!G14</f>
        <v/>
      </c>
    </row>
    <row r="82">
      <c r="A82" s="18" t="inlineStr">
        <is>
          <t>지배자본</t>
        </is>
      </c>
      <c r="B82" s="10" t="n"/>
      <c r="C82" s="19" t="n"/>
      <c r="D82" s="20" t="n"/>
      <c r="E82" s="20" t="n"/>
      <c r="F82" s="20" t="n"/>
      <c r="G82" s="20" t="n"/>
      <c r="H82" s="20" t="n"/>
      <c r="I82" s="20" t="n"/>
      <c r="J82" s="20" t="n"/>
      <c r="K82" s="20" t="n"/>
      <c r="L82" s="20" t="n"/>
      <c r="M82" s="20" t="n"/>
      <c r="N82" s="20" t="n"/>
      <c r="O82" s="19" t="n"/>
      <c r="P82" s="20" t="n"/>
      <c r="Q82" s="20" t="n"/>
      <c r="R82" s="20" t="n"/>
      <c r="S82" s="20" t="n"/>
      <c r="T82" s="20" t="n"/>
      <c r="U82" s="20" t="n"/>
      <c r="V82" s="20" t="n"/>
      <c r="W82" s="20" t="n"/>
      <c r="X82" s="20">
        <f>'재무상태표'!G31</f>
        <v/>
      </c>
      <c r="Y82" s="19">
        <f>'재무상태표'!G31</f>
        <v/>
      </c>
      <c r="Z82" s="20">
        <f>'재무상태표'!G31</f>
        <v/>
      </c>
      <c r="AA82" s="20">
        <f>'재무상태표'!G31</f>
        <v/>
      </c>
      <c r="AB82" s="20">
        <f>'재무상태표'!G31</f>
        <v/>
      </c>
      <c r="AC82" s="20">
        <f>'재무상태표'!G31</f>
        <v/>
      </c>
    </row>
    <row r="83">
      <c r="A83" s="18" t="inlineStr">
        <is>
          <t>부채</t>
        </is>
      </c>
      <c r="B83" s="10" t="n"/>
      <c r="C83" s="19" t="n"/>
      <c r="D83" s="20" t="n"/>
      <c r="E83" s="20" t="n"/>
      <c r="F83" s="20" t="n"/>
      <c r="G83" s="20" t="n"/>
      <c r="H83" s="20" t="n"/>
      <c r="I83" s="20" t="n"/>
      <c r="J83" s="20" t="n"/>
      <c r="K83" s="20" t="n"/>
      <c r="L83" s="20" t="n"/>
      <c r="M83" s="20" t="n"/>
      <c r="N83" s="20" t="n"/>
      <c r="O83" s="19" t="n"/>
      <c r="P83" s="20" t="n"/>
      <c r="Q83" s="20" t="n"/>
      <c r="R83" s="20" t="n"/>
      <c r="S83" s="20" t="n"/>
      <c r="T83" s="20" t="n"/>
      <c r="U83" s="20" t="n"/>
      <c r="V83" s="20" t="n"/>
      <c r="W83" s="20" t="n"/>
      <c r="X83" s="20">
        <f>'재무상태표'!G27</f>
        <v/>
      </c>
      <c r="Y83" s="19">
        <f>'재무상태표'!G27</f>
        <v/>
      </c>
      <c r="Z83" s="20">
        <f>'재무상태표'!G27</f>
        <v/>
      </c>
      <c r="AA83" s="20">
        <f>'재무상태표'!G27</f>
        <v/>
      </c>
      <c r="AB83" s="20">
        <f>'재무상태표'!G27</f>
        <v/>
      </c>
      <c r="AC83" s="20">
        <f>'재무상태표'!G27</f>
        <v/>
      </c>
    </row>
    <row r="84">
      <c r="A84" s="13" t="inlineStr">
        <is>
          <t>부채비율</t>
        </is>
      </c>
      <c r="B84" s="10" t="n"/>
      <c r="C84" s="14" t="n"/>
      <c r="D84" s="15" t="n"/>
      <c r="E84" s="15" t="n"/>
      <c r="F84" s="15" t="n"/>
      <c r="G84" s="15" t="n"/>
      <c r="H84" s="15" t="n"/>
      <c r="I84" s="15" t="n"/>
      <c r="J84" s="15" t="n"/>
      <c r="K84" s="15" t="n"/>
      <c r="L84" s="15" t="n"/>
      <c r="M84" s="15" t="n"/>
      <c r="N84" s="15" t="n"/>
      <c r="O84" s="14" t="n"/>
      <c r="P84" s="15" t="n"/>
      <c r="Q84" s="15" t="n"/>
      <c r="R84" s="15" t="n"/>
      <c r="S84" s="15" t="n"/>
      <c r="T84" s="15" t="n"/>
      <c r="U84" s="15" t="n"/>
      <c r="V84" s="15" t="n"/>
      <c r="W84" s="15" t="n"/>
      <c r="X84" s="15">
        <f>IF(OR(X83="",X82=""),"",IFERROR(X83/X82,""))</f>
        <v/>
      </c>
      <c r="Y84" s="14">
        <f>IF(OR(Y83="",Y82=""),"",IFERROR(Y83/Y82,""))</f>
        <v/>
      </c>
      <c r="Z84" s="15">
        <f>IF(OR(Z83="",Z82=""),"",IFERROR(Z83/Z82,""))</f>
        <v/>
      </c>
      <c r="AA84" s="15">
        <f>IF(OR(AA83="",AA82=""),"",IFERROR(AA83/AA82,""))</f>
        <v/>
      </c>
      <c r="AB84" s="15">
        <f>IF(OR(AB83="",AB82=""),"",IFERROR(AB83/AB82,""))</f>
        <v/>
      </c>
      <c r="AC84" s="15">
        <f>IF(OR(AC83="",AC82=""),"",IFERROR(AC83/AC82,""))</f>
        <v/>
      </c>
    </row>
    <row r="85">
      <c r="A85" s="9" t="inlineStr">
        <is>
          <t>자산가치</t>
        </is>
      </c>
      <c r="B85" s="10" t="inlineStr">
        <is>
          <t>현금+단기금융+투자부동산</t>
        </is>
      </c>
      <c r="C85" s="11" t="n"/>
      <c r="D85" s="12" t="n"/>
      <c r="E85" s="12" t="n"/>
      <c r="F85" s="12" t="n"/>
      <c r="G85" s="12" t="n"/>
      <c r="H85" s="12" t="n"/>
      <c r="I85" s="12" t="n"/>
      <c r="J85" s="12" t="n"/>
      <c r="K85" s="12" t="n"/>
      <c r="L85" s="12" t="n"/>
      <c r="M85" s="12" t="n"/>
      <c r="N85" s="12" t="n"/>
      <c r="O85" s="11" t="n"/>
      <c r="P85" s="12" t="n"/>
      <c r="Q85" s="12" t="n"/>
      <c r="R85" s="12" t="n"/>
      <c r="S85" s="12" t="n"/>
      <c r="T85" s="12" t="n"/>
      <c r="U85" s="12" t="n"/>
      <c r="V85" s="12" t="n"/>
      <c r="W85" s="12" t="n"/>
      <c r="X85" s="12">
        <f>SUM(X79,X80,X81)</f>
        <v/>
      </c>
      <c r="Y85" s="11">
        <f>SUM(Y79,Y80,Y81)</f>
        <v/>
      </c>
      <c r="Z85" s="12">
        <f>SUM(Z79,Z80,Z81)</f>
        <v/>
      </c>
      <c r="AA85" s="12">
        <f>SUM(AA79,AA80,AA81)</f>
        <v/>
      </c>
      <c r="AB85" s="12">
        <f>SUM(AB79,AB80,AB81)</f>
        <v/>
      </c>
      <c r="AC85" s="12">
        <f>SUM(AC79,AC80,AC81)</f>
        <v/>
      </c>
    </row>
    <row r="86">
      <c r="A86" s="16" t="inlineStr">
        <is>
          <t>기업가치 산출</t>
        </is>
      </c>
      <c r="B86" s="16" t="n"/>
      <c r="C86" s="17" t="n"/>
      <c r="D86" s="16" t="n"/>
      <c r="E86" s="16" t="n"/>
      <c r="F86" s="16" t="n"/>
      <c r="G86" s="16" t="n"/>
      <c r="H86" s="16" t="n"/>
      <c r="I86" s="16" t="n"/>
      <c r="J86" s="16" t="n"/>
      <c r="K86" s="16" t="n"/>
      <c r="L86" s="16" t="n"/>
      <c r="M86" s="16" t="n"/>
      <c r="N86" s="16" t="n"/>
      <c r="O86" s="17" t="n"/>
      <c r="P86" s="16" t="n"/>
      <c r="Q86" s="16" t="n"/>
      <c r="R86" s="16" t="n"/>
      <c r="S86" s="16" t="n"/>
      <c r="T86" s="16" t="n"/>
      <c r="U86" s="16" t="n"/>
      <c r="V86" s="16" t="n"/>
      <c r="W86" s="16" t="n"/>
      <c r="X86" s="16" t="n"/>
      <c r="Y86" s="17" t="n"/>
      <c r="Z86" s="16" t="n"/>
      <c r="AA86" s="16" t="n"/>
      <c r="AB86" s="16" t="n"/>
      <c r="AC86" s="16" t="n"/>
    </row>
    <row r="87">
      <c r="A87" s="18" t="inlineStr">
        <is>
          <t>목표 시가총액 (P/E)</t>
        </is>
      </c>
      <c r="B87" s="10" t="inlineStr">
        <is>
          <t>지배순이익 × Target P/E</t>
        </is>
      </c>
      <c r="C87" s="19" t="n"/>
      <c r="D87" s="20" t="n"/>
      <c r="E87" s="20" t="n"/>
      <c r="F87" s="20" t="n"/>
      <c r="G87" s="20" t="n"/>
      <c r="H87" s="20" t="n"/>
      <c r="I87" s="20" t="n"/>
      <c r="J87" s="20" t="n"/>
      <c r="K87" s="20" t="n"/>
      <c r="L87" s="20" t="n"/>
      <c r="M87" s="20" t="n"/>
      <c r="N87" s="20" t="n"/>
      <c r="O87" s="19" t="n"/>
      <c r="P87" s="20" t="n"/>
      <c r="Q87" s="20" t="n"/>
      <c r="R87" s="20" t="n"/>
      <c r="S87" s="20" t="n"/>
      <c r="T87" s="20" t="n"/>
      <c r="U87" s="20" t="n"/>
      <c r="V87" s="20" t="n"/>
      <c r="W87" s="20" t="n"/>
      <c r="X87" s="20" t="n"/>
      <c r="Y87" s="19">
        <f>IF(OR(Y64="",Y74=""),"",IFERROR(Y64*Y74,""))</f>
        <v/>
      </c>
      <c r="Z87" s="20">
        <f>IF(OR(Z64="",Z74=""),"",IFERROR(Z64*Z74,""))</f>
        <v/>
      </c>
      <c r="AA87" s="20">
        <f>IF(OR(AA64="",AA74=""),"",IFERROR(AA64*AA74,""))</f>
        <v/>
      </c>
      <c r="AB87" s="20">
        <f>IF(OR(AB64="",AB74=""),"",IFERROR(AB64*AB74,""))</f>
        <v/>
      </c>
      <c r="AC87" s="20">
        <f>IF(OR(AC64="",AC74=""),"",IFERROR(AC64*AC74,""))</f>
        <v/>
      </c>
    </row>
    <row r="88">
      <c r="A88" s="9" t="inlineStr">
        <is>
          <t>기업가치</t>
        </is>
      </c>
      <c r="B88" s="10" t="inlineStr">
        <is>
          <t>목표시총 + 자산가치</t>
        </is>
      </c>
      <c r="C88" s="11" t="n"/>
      <c r="D88" s="12" t="n"/>
      <c r="E88" s="12" t="n"/>
      <c r="F88" s="12" t="n"/>
      <c r="G88" s="12" t="n"/>
      <c r="H88" s="12" t="n"/>
      <c r="I88" s="12" t="n"/>
      <c r="J88" s="12" t="n"/>
      <c r="K88" s="12" t="n"/>
      <c r="L88" s="12" t="n"/>
      <c r="M88" s="12" t="n"/>
      <c r="N88" s="12" t="n"/>
      <c r="O88" s="11" t="n"/>
      <c r="P88" s="12" t="n"/>
      <c r="Q88" s="12" t="n"/>
      <c r="R88" s="12" t="n"/>
      <c r="S88" s="12" t="n"/>
      <c r="T88" s="12" t="n"/>
      <c r="U88" s="12" t="n"/>
      <c r="V88" s="12" t="n"/>
      <c r="W88" s="12" t="n"/>
      <c r="X88" s="12" t="n"/>
      <c r="Y88" s="11">
        <f>IF(OR(Y87=""),"",IFERROR(Y87+Y85,""))</f>
        <v/>
      </c>
      <c r="Z88" s="12">
        <f>IF(OR(Z87=""),"",IFERROR(Z87+Z85,""))</f>
        <v/>
      </c>
      <c r="AA88" s="12">
        <f>IF(OR(AA87=""),"",IFERROR(AA87+AA85,""))</f>
        <v/>
      </c>
      <c r="AB88" s="12">
        <f>IF(OR(AB87=""),"",IFERROR(AB87+AB85,""))</f>
        <v/>
      </c>
      <c r="AC88" s="12">
        <f>IF(OR(AC87=""),"",IFERROR(AC87+AC85,""))</f>
        <v/>
      </c>
    </row>
    <row r="89">
      <c r="A89" s="18" t="inlineStr">
        <is>
          <t>현재 시가총액</t>
        </is>
      </c>
      <c r="B89" s="10" t="n"/>
      <c r="C89" s="19" t="n"/>
      <c r="D89" s="20" t="n"/>
      <c r="E89" s="20" t="n"/>
      <c r="F89" s="20" t="n"/>
      <c r="G89" s="20" t="n"/>
      <c r="H89" s="20" t="n"/>
      <c r="I89" s="20" t="n"/>
      <c r="J89" s="20" t="n"/>
      <c r="K89" s="20" t="n"/>
      <c r="L89" s="20" t="n"/>
      <c r="M89" s="20" t="n"/>
      <c r="N89" s="20" t="n"/>
      <c r="O89" s="19" t="n"/>
      <c r="P89" s="20" t="n"/>
      <c r="Q89" s="20" t="n"/>
      <c r="R89" s="20" t="n"/>
      <c r="S89" s="20" t="n"/>
      <c r="T89" s="20" t="n"/>
      <c r="U89" s="20" t="n"/>
      <c r="V89" s="20" t="n"/>
      <c r="W89" s="20" t="n"/>
      <c r="X89" s="20" t="n"/>
      <c r="Y89" s="19">
        <f>$B$70</f>
        <v/>
      </c>
      <c r="Z89" s="20">
        <f>$B$70</f>
        <v/>
      </c>
      <c r="AA89" s="20">
        <f>$B$70</f>
        <v/>
      </c>
      <c r="AB89" s="20">
        <f>$B$70</f>
        <v/>
      </c>
      <c r="AC89" s="20">
        <f>$B$70</f>
        <v/>
      </c>
    </row>
    <row r="90">
      <c r="A90" s="18" t="inlineStr">
        <is>
          <t>상승여력</t>
        </is>
      </c>
      <c r="B90" s="10" t="n"/>
      <c r="C90" s="35" t="n"/>
      <c r="D90" s="36" t="n"/>
      <c r="E90" s="36" t="n"/>
      <c r="F90" s="36" t="n"/>
      <c r="G90" s="36" t="n"/>
      <c r="H90" s="36" t="n"/>
      <c r="I90" s="36" t="n"/>
      <c r="J90" s="36" t="n"/>
      <c r="K90" s="36" t="n"/>
      <c r="L90" s="36" t="n"/>
      <c r="M90" s="36" t="n"/>
      <c r="N90" s="36" t="n"/>
      <c r="O90" s="35" t="n"/>
      <c r="P90" s="36" t="n"/>
      <c r="Q90" s="36" t="n"/>
      <c r="R90" s="36" t="n"/>
      <c r="S90" s="36" t="n"/>
      <c r="T90" s="36" t="n"/>
      <c r="U90" s="36" t="n"/>
      <c r="V90" s="36" t="n"/>
      <c r="W90" s="36" t="n"/>
      <c r="X90" s="36" t="n"/>
      <c r="Y90" s="37">
        <f>IF(OR(Y88="",Y89=""),"",IFERROR(Y88/Y89-1,""))</f>
        <v/>
      </c>
      <c r="Z90" s="38">
        <f>IF(OR(Z88="",Z89=""),"",IFERROR(Z88/Z89-1,""))</f>
        <v/>
      </c>
      <c r="AA90" s="38">
        <f>IF(OR(AA88="",AA89=""),"",IFERROR(AA88/AA89-1,""))</f>
        <v/>
      </c>
      <c r="AB90" s="38">
        <f>IF(OR(AB88="",AB89=""),"",IFERROR(AB88/AB89-1,""))</f>
        <v/>
      </c>
      <c r="AC90" s="38">
        <f>IF(OR(AC88="",AC89=""),"",IFERROR(AC88/AC89-1,""))</f>
        <v/>
      </c>
    </row>
    <row r="91">
      <c r="C91" s="39" t="n"/>
      <c r="O91" s="39" t="n"/>
      <c r="Y91" s="39" t="n"/>
    </row>
    <row r="92">
      <c r="A92" s="40" t="inlineStr">
        <is>
          <t>출처</t>
        </is>
      </c>
      <c r="C92" s="39" t="n"/>
      <c r="O92" s="39" t="n"/>
      <c r="Y92" s="39" t="n"/>
    </row>
    <row r="93">
      <c r="A93" s="41" t="inlineStr">
        <is>
          <t>결산단신 XBRL(TDnet·JPX 보관소) — 쓴 문서는 '출처' 시트</t>
        </is>
      </c>
      <c r="C93" s="39" t="n"/>
      <c r="O93" s="39" t="n"/>
      <c r="Y93" s="39" t="n"/>
    </row>
    <row r="94">
      <c r="A94" s="41" t="inlineStr">
        <is>
          <t>분기 = 누계에서 앞 분기를 뺀 3개월 값</t>
        </is>
      </c>
      <c r="C94" s="39" t="n"/>
      <c r="O94" s="39" t="n"/>
      <c r="Y94" s="39" t="n"/>
    </row>
    <row r="95">
      <c r="A95" s="41" t="inlineStr">
        <is>
          <t>주가: 야후 파이낸스 일봉 2026.10.28</t>
        </is>
      </c>
      <c r="C95" s="39" t="n"/>
      <c r="O95" s="39" t="n"/>
      <c r="Y95" s="39" t="n"/>
    </row>
    <row r="97">
      <c r="A97" s="16" t="inlineStr">
        <is>
          <t>손익계산서 · 전 항목</t>
        </is>
      </c>
      <c r="B97" s="42" t="inlineStr">
        <is>
          <t>분기 = 3개월 단독</t>
        </is>
      </c>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row>
    <row r="98">
      <c r="A98" s="5" t="inlineStr">
        <is>
          <t>항목</t>
        </is>
      </c>
      <c r="B98" s="5" t="inlineStr">
        <is>
          <t>참고</t>
        </is>
      </c>
      <c r="C98" s="5" t="inlineStr">
        <is>
          <t>2024.2Q</t>
        </is>
      </c>
      <c r="D98" s="5" t="inlineStr">
        <is>
          <t>2024.3Q</t>
        </is>
      </c>
      <c r="E98" s="5" t="inlineStr">
        <is>
          <t>2024.4Q</t>
        </is>
      </c>
      <c r="F98" s="5" t="inlineStr">
        <is>
          <t>2025.1Q</t>
        </is>
      </c>
      <c r="G98" s="5" t="inlineStr">
        <is>
          <t>2025.2Q</t>
        </is>
      </c>
      <c r="H98" s="5" t="inlineStr">
        <is>
          <t>2025.3Q</t>
        </is>
      </c>
      <c r="I98" s="5" t="inlineStr">
        <is>
          <t>2025.4Q</t>
        </is>
      </c>
      <c r="J98" s="5" t="inlineStr">
        <is>
          <t>2026.1Q</t>
        </is>
      </c>
      <c r="K98" s="5" t="inlineStr">
        <is>
          <t>2026.2Q</t>
        </is>
      </c>
      <c r="L98" s="5" t="inlineStr">
        <is>
          <t>2026.3Q</t>
        </is>
      </c>
      <c r="M98" s="5" t="inlineStr">
        <is>
          <t>2026.4Q</t>
        </is>
      </c>
      <c r="N98" s="5" t="inlineStr">
        <is>
          <t>2027.1Q</t>
        </is>
      </c>
      <c r="O98" s="5" t="inlineStr">
        <is>
          <t>2017</t>
        </is>
      </c>
      <c r="P98" s="5" t="inlineStr">
        <is>
          <t>2018</t>
        </is>
      </c>
      <c r="Q98" s="5" t="inlineStr">
        <is>
          <t>2019</t>
        </is>
      </c>
      <c r="R98" s="5" t="inlineStr">
        <is>
          <t>2020</t>
        </is>
      </c>
      <c r="S98" s="5" t="inlineStr">
        <is>
          <t>2021</t>
        </is>
      </c>
      <c r="T98" s="5" t="inlineStr">
        <is>
          <t>2022</t>
        </is>
      </c>
      <c r="U98" s="5" t="inlineStr">
        <is>
          <t>2023</t>
        </is>
      </c>
      <c r="V98" s="5" t="inlineStr">
        <is>
          <t>2024</t>
        </is>
      </c>
      <c r="W98" s="5" t="inlineStr">
        <is>
          <t>2025</t>
        </is>
      </c>
      <c r="X98" s="5" t="inlineStr">
        <is>
          <t>2026</t>
        </is>
      </c>
      <c r="Y98" s="5" t="inlineStr">
        <is>
          <t>2027(MW)</t>
        </is>
      </c>
      <c r="Z98" s="5" t="inlineStr">
        <is>
          <t>2028(MW)</t>
        </is>
      </c>
      <c r="AA98" s="5" t="inlineStr">
        <is>
          <t>2029(MW)</t>
        </is>
      </c>
      <c r="AB98" s="5" t="inlineStr">
        <is>
          <t>2030(MW)</t>
        </is>
      </c>
      <c r="AC98" s="5" t="inlineStr">
        <is>
          <t>2031(MW)</t>
        </is>
      </c>
    </row>
    <row r="99">
      <c r="A99" s="9" t="inlineStr">
        <is>
          <t>매출수익</t>
        </is>
      </c>
      <c r="C99" s="12" t="n">
        <v>488559</v>
      </c>
      <c r="D99" s="12" t="n">
        <v>507121</v>
      </c>
      <c r="E99" s="12" t="n">
        <v>482446</v>
      </c>
      <c r="F99" s="12" t="n">
        <v>488000</v>
      </c>
      <c r="G99" s="12" t="n">
        <v>460165</v>
      </c>
      <c r="H99" s="12" t="n">
        <v>498534</v>
      </c>
      <c r="I99" s="12" t="n">
        <v>507519</v>
      </c>
      <c r="J99" s="12" t="n">
        <v>479693</v>
      </c>
      <c r="K99" s="12" t="n">
        <v>492586</v>
      </c>
      <c r="L99" s="12" t="n">
        <v>533957</v>
      </c>
      <c r="M99" s="12" t="n">
        <v>530827</v>
      </c>
      <c r="N99" s="12" t="n">
        <v>528077</v>
      </c>
      <c r="V99" s="12" t="n">
        <v>482446</v>
      </c>
      <c r="W99" s="12" t="n">
        <v>507519</v>
      </c>
      <c r="X99" s="12" t="n">
        <v>530827</v>
      </c>
    </row>
    <row r="100">
      <c r="A100" s="43" t="inlineStr">
        <is>
          <t>YoY</t>
        </is>
      </c>
      <c r="B100" s="3" t="inlineStr">
        <is>
          <t>전년 같은 분기·전년 대비</t>
        </is>
      </c>
      <c r="G100" s="15">
        <f>IF(OR(G99="",C99=""),"",IF(C99&lt;=0,"",IFERROR(G99/C99-1,"")))</f>
        <v/>
      </c>
      <c r="H100" s="15">
        <f>IF(OR(H99="",D99=""),"",IF(D99&lt;=0,"",IFERROR(H99/D99-1,"")))</f>
        <v/>
      </c>
      <c r="I100" s="15">
        <f>IF(OR(I99="",E99=""),"",IF(E99&lt;=0,"",IFERROR(I99/E99-1,"")))</f>
        <v/>
      </c>
      <c r="J100" s="15">
        <f>IF(OR(J99="",F99=""),"",IF(F99&lt;=0,"",IFERROR(J99/F99-1,"")))</f>
        <v/>
      </c>
      <c r="K100" s="15">
        <f>IF(OR(K99="",G99=""),"",IF(G99&lt;=0,"",IFERROR(K99/G99-1,"")))</f>
        <v/>
      </c>
      <c r="L100" s="15">
        <f>IF(OR(L99="",H99=""),"",IF(H99&lt;=0,"",IFERROR(L99/H99-1,"")))</f>
        <v/>
      </c>
      <c r="M100" s="15">
        <f>IF(OR(M99="",I99=""),"",IF(I99&lt;=0,"",IFERROR(M99/I99-1,"")))</f>
        <v/>
      </c>
      <c r="N100" s="15">
        <f>IF(OR(N99="",J99=""),"",IF(J99&lt;=0,"",IFERROR(N99/J99-1,"")))</f>
        <v/>
      </c>
      <c r="V100" s="15">
        <f>IF(OR(V99="",U99=""),"",IF(U99&lt;=0,"",IFERROR(V99/U99-1,"")))</f>
        <v/>
      </c>
      <c r="W100" s="15">
        <f>IF(OR(W99="",V99=""),"",IF(V99&lt;=0,"",IFERROR(W99/V99-1,"")))</f>
        <v/>
      </c>
      <c r="X100" s="15">
        <f>IF(OR(X99="",W99=""),"",IF(W99&lt;=0,"",IFERROR(X99/W99-1,"")))</f>
        <v/>
      </c>
    </row>
    <row r="101">
      <c r="A101" s="18" t="inlineStr">
        <is>
          <t>매출원가</t>
        </is>
      </c>
      <c r="C101" s="20" t="n">
        <v>431342</v>
      </c>
      <c r="D101" s="20" t="n">
        <v>450787</v>
      </c>
      <c r="E101" s="20" t="n">
        <v>433299</v>
      </c>
      <c r="F101" s="20" t="n">
        <v>437643</v>
      </c>
      <c r="G101" s="20" t="n">
        <v>412284</v>
      </c>
      <c r="H101" s="20" t="n">
        <v>446287</v>
      </c>
      <c r="I101" s="20" t="n">
        <v>448798</v>
      </c>
      <c r="J101" s="20" t="n">
        <v>429776</v>
      </c>
      <c r="K101" s="20" t="n">
        <v>440385</v>
      </c>
      <c r="L101" s="20" t="n">
        <v>479012</v>
      </c>
      <c r="M101" s="20" t="n">
        <v>480485</v>
      </c>
      <c r="N101" s="20" t="n">
        <v>476579</v>
      </c>
      <c r="V101" s="20" t="n">
        <v>433299</v>
      </c>
      <c r="W101" s="20" t="n">
        <v>448798</v>
      </c>
      <c r="X101" s="20" t="n">
        <v>480485</v>
      </c>
    </row>
    <row r="102">
      <c r="A102" s="43" t="inlineStr">
        <is>
          <t>YoY</t>
        </is>
      </c>
      <c r="B102" s="3" t="inlineStr">
        <is>
          <t>전년 같은 분기·전년 대비</t>
        </is>
      </c>
      <c r="G102" s="15">
        <f>IF(OR(G101="",C101=""),"",IF(G101*C101&lt;=0,"",IFERROR(G101/C101-1,"")))</f>
        <v/>
      </c>
      <c r="H102" s="15">
        <f>IF(OR(H101="",D101=""),"",IF(H101*D101&lt;=0,"",IFERROR(H101/D101-1,"")))</f>
        <v/>
      </c>
      <c r="I102" s="15">
        <f>IF(OR(I101="",E101=""),"",IF(I101*E101&lt;=0,"",IFERROR(I101/E101-1,"")))</f>
        <v/>
      </c>
      <c r="J102" s="15">
        <f>IF(OR(J101="",F101=""),"",IF(J101*F101&lt;=0,"",IFERROR(J101/F101-1,"")))</f>
        <v/>
      </c>
      <c r="K102" s="15">
        <f>IF(OR(K101="",G101=""),"",IF(K101*G101&lt;=0,"",IFERROR(K101/G101-1,"")))</f>
        <v/>
      </c>
      <c r="L102" s="15">
        <f>IF(OR(L101="",H101=""),"",IF(L101*H101&lt;=0,"",IFERROR(L101/H101-1,"")))</f>
        <v/>
      </c>
      <c r="M102" s="15">
        <f>IF(OR(M101="",I101=""),"",IF(M101*I101&lt;=0,"",IFERROR(M101/I101-1,"")))</f>
        <v/>
      </c>
      <c r="N102" s="15">
        <f>IF(OR(N101="",J101=""),"",IF(N101*J101&lt;=0,"",IFERROR(N101/J101-1,"")))</f>
        <v/>
      </c>
      <c r="V102" s="15">
        <f>IF(OR(V101="",U101=""),"",IF(V101*U101&lt;=0,"",IFERROR(V101/U101-1,"")))</f>
        <v/>
      </c>
      <c r="W102" s="15">
        <f>IF(OR(W101="",V101=""),"",IF(W101*V101&lt;=0,"",IFERROR(W101/V101-1,"")))</f>
        <v/>
      </c>
      <c r="X102" s="15">
        <f>IF(OR(X101="",W101=""),"",IF(X101*W101&lt;=0,"",IFERROR(X101/W101-1,"")))</f>
        <v/>
      </c>
    </row>
    <row r="103">
      <c r="A103" s="9" t="inlineStr">
        <is>
          <t>매출총이익</t>
        </is>
      </c>
      <c r="C103" s="12" t="n">
        <v>57217</v>
      </c>
      <c r="D103" s="12" t="n">
        <v>56333</v>
      </c>
      <c r="E103" s="12" t="n">
        <v>49147</v>
      </c>
      <c r="F103" s="12" t="n">
        <v>50357</v>
      </c>
      <c r="G103" s="12" t="n">
        <v>47880</v>
      </c>
      <c r="H103" s="12" t="n">
        <v>52247</v>
      </c>
      <c r="I103" s="12" t="n">
        <v>58722</v>
      </c>
      <c r="J103" s="12" t="n">
        <v>49916</v>
      </c>
      <c r="K103" s="12" t="n">
        <v>52202</v>
      </c>
      <c r="L103" s="12" t="n">
        <v>54944</v>
      </c>
      <c r="M103" s="12" t="n">
        <v>50343</v>
      </c>
      <c r="N103" s="12" t="n">
        <v>51498</v>
      </c>
      <c r="V103" s="12" t="n">
        <v>49147</v>
      </c>
      <c r="W103" s="12" t="n">
        <v>58722</v>
      </c>
      <c r="X103" s="12" t="n">
        <v>50343</v>
      </c>
    </row>
    <row r="104">
      <c r="A104" s="43" t="inlineStr">
        <is>
          <t>YoY</t>
        </is>
      </c>
      <c r="B104" s="3" t="inlineStr">
        <is>
          <t>전년 같은 분기·전년 대비</t>
        </is>
      </c>
      <c r="G104" s="15">
        <f>IF(OR(G103="",C103=""),"",IF(C103&lt;=0,"",IFERROR(G103/C103-1,"")))</f>
        <v/>
      </c>
      <c r="H104" s="15">
        <f>IF(OR(H103="",D103=""),"",IF(D103&lt;=0,"",IFERROR(H103/D103-1,"")))</f>
        <v/>
      </c>
      <c r="I104" s="15">
        <f>IF(OR(I103="",E103=""),"",IF(E103&lt;=0,"",IFERROR(I103/E103-1,"")))</f>
        <v/>
      </c>
      <c r="J104" s="15">
        <f>IF(OR(J103="",F103=""),"",IF(F103&lt;=0,"",IFERROR(J103/F103-1,"")))</f>
        <v/>
      </c>
      <c r="K104" s="15">
        <f>IF(OR(K103="",G103=""),"",IF(G103&lt;=0,"",IFERROR(K103/G103-1,"")))</f>
        <v/>
      </c>
      <c r="L104" s="15">
        <f>IF(OR(L103="",H103=""),"",IF(H103&lt;=0,"",IFERROR(L103/H103-1,"")))</f>
        <v/>
      </c>
      <c r="M104" s="15">
        <f>IF(OR(M103="",I103=""),"",IF(I103&lt;=0,"",IFERROR(M103/I103-1,"")))</f>
        <v/>
      </c>
      <c r="N104" s="15">
        <f>IF(OR(N103="",J103=""),"",IF(J103&lt;=0,"",IFERROR(N103/J103-1,"")))</f>
        <v/>
      </c>
      <c r="V104" s="15">
        <f>IF(OR(V103="",U103=""),"",IF(U103&lt;=0,"",IFERROR(V103/U103-1,"")))</f>
        <v/>
      </c>
      <c r="W104" s="15">
        <f>IF(OR(W103="",V103=""),"",IF(V103&lt;=0,"",IFERROR(W103/V103-1,"")))</f>
        <v/>
      </c>
      <c r="X104" s="15">
        <f>IF(OR(X103="",W103=""),"",IF(W103&lt;=0,"",IFERROR(X103/W103-1,"")))</f>
        <v/>
      </c>
    </row>
    <row r="105">
      <c r="A105" s="18" t="inlineStr">
        <is>
          <t>판매비와 관리비</t>
        </is>
      </c>
      <c r="C105" s="20" t="n">
        <v>28487</v>
      </c>
      <c r="D105" s="20" t="n">
        <v>29868</v>
      </c>
      <c r="E105" s="20" t="n">
        <v>33554</v>
      </c>
      <c r="F105" s="20" t="n">
        <v>33316</v>
      </c>
      <c r="G105" s="20" t="n">
        <v>31176</v>
      </c>
      <c r="H105" s="20" t="n">
        <v>33673</v>
      </c>
      <c r="I105" s="20" t="n">
        <v>38304</v>
      </c>
      <c r="J105" s="20" t="n">
        <v>31995</v>
      </c>
      <c r="K105" s="20" t="n">
        <v>34556</v>
      </c>
      <c r="L105" s="20" t="n">
        <v>31468</v>
      </c>
      <c r="M105" s="20" t="n">
        <v>53510</v>
      </c>
      <c r="N105" s="20" t="n">
        <v>36297</v>
      </c>
      <c r="V105" s="20" t="n">
        <v>33554</v>
      </c>
      <c r="W105" s="20" t="n">
        <v>38304</v>
      </c>
      <c r="X105" s="20" t="n">
        <v>53510</v>
      </c>
    </row>
    <row r="106">
      <c r="A106" s="43" t="inlineStr">
        <is>
          <t>YoY</t>
        </is>
      </c>
      <c r="B106" s="3" t="inlineStr">
        <is>
          <t>전년 같은 분기·전년 대비</t>
        </is>
      </c>
      <c r="G106" s="15">
        <f>IF(OR(G105="",C105=""),"",IF(G105*C105&lt;=0,"",IFERROR(G105/C105-1,"")))</f>
        <v/>
      </c>
      <c r="H106" s="15">
        <f>IF(OR(H105="",D105=""),"",IF(H105*D105&lt;=0,"",IFERROR(H105/D105-1,"")))</f>
        <v/>
      </c>
      <c r="I106" s="15">
        <f>IF(OR(I105="",E105=""),"",IF(I105*E105&lt;=0,"",IFERROR(I105/E105-1,"")))</f>
        <v/>
      </c>
      <c r="J106" s="15">
        <f>IF(OR(J105="",F105=""),"",IF(J105*F105&lt;=0,"",IFERROR(J105/F105-1,"")))</f>
        <v/>
      </c>
      <c r="K106" s="15">
        <f>IF(OR(K105="",G105=""),"",IF(K105*G105&lt;=0,"",IFERROR(K105/G105-1,"")))</f>
        <v/>
      </c>
      <c r="L106" s="15">
        <f>IF(OR(L105="",H105=""),"",IF(L105*H105&lt;=0,"",IFERROR(L105/H105-1,"")))</f>
        <v/>
      </c>
      <c r="M106" s="15">
        <f>IF(OR(M105="",I105=""),"",IF(M105*I105&lt;=0,"",IFERROR(M105/I105-1,"")))</f>
        <v/>
      </c>
      <c r="N106" s="15">
        <f>IF(OR(N105="",J105=""),"",IF(N105*J105&lt;=0,"",IFERROR(N105/J105-1,"")))</f>
        <v/>
      </c>
      <c r="V106" s="15">
        <f>IF(OR(V105="",U105=""),"",IF(V105*U105&lt;=0,"",IFERROR(V105/U105-1,"")))</f>
        <v/>
      </c>
      <c r="W106" s="15">
        <f>IF(OR(W105="",V105=""),"",IF(W105*V105&lt;=0,"",IFERROR(W105/V105-1,"")))</f>
        <v/>
      </c>
      <c r="X106" s="15">
        <f>IF(OR(X105="",W105=""),"",IF(X105*W105&lt;=0,"",IFERROR(X105/W105-1,"")))</f>
        <v/>
      </c>
    </row>
    <row r="107">
      <c r="A107" s="18" t="inlineStr">
        <is>
          <t>기타수익</t>
        </is>
      </c>
      <c r="C107" s="20" t="n">
        <v>1226</v>
      </c>
      <c r="D107" s="20" t="n">
        <v>2380</v>
      </c>
      <c r="E107" s="20" t="n">
        <v>2012</v>
      </c>
      <c r="F107" s="20" t="n">
        <v>1642</v>
      </c>
      <c r="G107" s="20" t="n">
        <v>1171</v>
      </c>
      <c r="H107" s="20" t="n">
        <v>1383</v>
      </c>
      <c r="I107" s="20" t="n">
        <v>3427</v>
      </c>
      <c r="J107" s="20" t="n">
        <v>1769</v>
      </c>
      <c r="K107" s="20" t="n">
        <v>1378</v>
      </c>
      <c r="L107" s="20" t="n">
        <v>1312</v>
      </c>
      <c r="M107" s="20" t="n">
        <v>3079</v>
      </c>
      <c r="N107" s="20" t="n">
        <v>1562</v>
      </c>
      <c r="V107" s="20" t="n">
        <v>2012</v>
      </c>
      <c r="W107" s="20" t="n">
        <v>3427</v>
      </c>
      <c r="X107" s="20" t="n">
        <v>3079</v>
      </c>
    </row>
    <row r="108">
      <c r="A108" s="18" t="inlineStr">
        <is>
          <t>기타비용</t>
        </is>
      </c>
      <c r="C108" s="20" t="n">
        <v>2524</v>
      </c>
      <c r="D108" s="20" t="n">
        <v>1721</v>
      </c>
      <c r="E108" s="20" t="n">
        <v>15055</v>
      </c>
      <c r="F108" s="20" t="n">
        <v>1984</v>
      </c>
      <c r="G108" s="20" t="n">
        <v>737</v>
      </c>
      <c r="H108" s="20" t="n">
        <v>1774</v>
      </c>
      <c r="I108" s="20" t="n">
        <v>33465</v>
      </c>
      <c r="J108" s="20" t="n">
        <v>986</v>
      </c>
      <c r="K108" s="20" t="n">
        <v>686</v>
      </c>
      <c r="L108" s="20" t="n">
        <v>1584</v>
      </c>
      <c r="M108" s="20" t="n">
        <v>6209</v>
      </c>
      <c r="N108" s="20" t="n">
        <v>880</v>
      </c>
      <c r="V108" s="20" t="n">
        <v>15055</v>
      </c>
      <c r="W108" s="20" t="n">
        <v>33465</v>
      </c>
      <c r="X108" s="20" t="n">
        <v>6209</v>
      </c>
    </row>
    <row r="109">
      <c r="A109" s="18" t="inlineStr">
        <is>
          <t>영업이익</t>
        </is>
      </c>
      <c r="C109" s="20" t="n">
        <v>27432</v>
      </c>
      <c r="D109" s="20" t="n">
        <v>27125</v>
      </c>
      <c r="E109" s="20" t="n">
        <v>2550</v>
      </c>
      <c r="F109" s="20" t="n">
        <v>16698</v>
      </c>
      <c r="G109" s="20" t="n">
        <v>17139</v>
      </c>
      <c r="H109" s="20" t="n">
        <v>18184</v>
      </c>
      <c r="I109" s="20" t="n">
        <v>-9622</v>
      </c>
      <c r="J109" s="20" t="n">
        <v>18703</v>
      </c>
      <c r="K109" s="20" t="n">
        <v>18338</v>
      </c>
      <c r="L109" s="20" t="n">
        <v>23204</v>
      </c>
      <c r="M109" s="20" t="n">
        <v>-6297</v>
      </c>
      <c r="N109" s="20" t="n">
        <v>15882</v>
      </c>
      <c r="V109" s="20" t="n">
        <v>2550</v>
      </c>
      <c r="W109" s="20" t="n">
        <v>-9622</v>
      </c>
      <c r="X109" s="20" t="n">
        <v>-6297</v>
      </c>
    </row>
    <row r="110">
      <c r="A110" s="43" t="inlineStr">
        <is>
          <t>OPM</t>
        </is>
      </c>
      <c r="B110" s="3" t="inlineStr">
        <is>
          <t>영업이익 ÷ 매출</t>
        </is>
      </c>
      <c r="C110" s="15">
        <f>IF(OR(C109="",C99=""),"",IF(C99&lt;=0,"",IFERROR(C109/C99,"")))</f>
        <v/>
      </c>
      <c r="D110" s="15">
        <f>IF(OR(D109="",D99=""),"",IF(D99&lt;=0,"",IFERROR(D109/D99,"")))</f>
        <v/>
      </c>
      <c r="E110" s="15">
        <f>IF(OR(E109="",E99=""),"",IF(E99&lt;=0,"",IFERROR(E109/E99,"")))</f>
        <v/>
      </c>
      <c r="F110" s="15">
        <f>IF(OR(F109="",F99=""),"",IF(F99&lt;=0,"",IFERROR(F109/F99,"")))</f>
        <v/>
      </c>
      <c r="G110" s="15">
        <f>IF(OR(G109="",G99=""),"",IF(G99&lt;=0,"",IFERROR(G109/G99,"")))</f>
        <v/>
      </c>
      <c r="H110" s="15">
        <f>IF(OR(H109="",H99=""),"",IF(H99&lt;=0,"",IFERROR(H109/H99,"")))</f>
        <v/>
      </c>
      <c r="I110" s="15">
        <f>IF(OR(I109="",I99=""),"",IF(I99&lt;=0,"",IFERROR(I109/I99,"")))</f>
        <v/>
      </c>
      <c r="J110" s="15">
        <f>IF(OR(J109="",J99=""),"",IF(J99&lt;=0,"",IFERROR(J109/J99,"")))</f>
        <v/>
      </c>
      <c r="K110" s="15">
        <f>IF(OR(K109="",K99=""),"",IF(K99&lt;=0,"",IFERROR(K109/K99,"")))</f>
        <v/>
      </c>
      <c r="L110" s="15">
        <f>IF(OR(L109="",L99=""),"",IF(L99&lt;=0,"",IFERROR(L109/L99,"")))</f>
        <v/>
      </c>
      <c r="M110" s="15">
        <f>IF(OR(M109="",M99=""),"",IF(M99&lt;=0,"",IFERROR(M109/M99,"")))</f>
        <v/>
      </c>
      <c r="N110" s="15">
        <f>IF(OR(N109="",N99=""),"",IF(N99&lt;=0,"",IFERROR(N109/N99,"")))</f>
        <v/>
      </c>
      <c r="V110" s="15">
        <f>IF(OR(V109="",V99=""),"",IF(V99&lt;=0,"",IFERROR(V109/V99,"")))</f>
        <v/>
      </c>
      <c r="W110" s="15">
        <f>IF(OR(W109="",W99=""),"",IF(W99&lt;=0,"",IFERROR(W109/W99,"")))</f>
        <v/>
      </c>
      <c r="X110" s="15">
        <f>IF(OR(X109="",X99=""),"",IF(X99&lt;=0,"",IFERROR(X109/X99,"")))</f>
        <v/>
      </c>
    </row>
    <row r="111">
      <c r="A111" s="43" t="inlineStr">
        <is>
          <t>YoY</t>
        </is>
      </c>
      <c r="B111" s="3" t="inlineStr">
        <is>
          <t>전년 같은 분기·전년 대비</t>
        </is>
      </c>
      <c r="G111" s="15">
        <f>IF(OR(G109="",C109=""),"",IF(C109&lt;=0,"",IFERROR(G109/C109-1,"")))</f>
        <v/>
      </c>
      <c r="H111" s="15">
        <f>IF(OR(H109="",D109=""),"",IF(D109&lt;=0,"",IFERROR(H109/D109-1,"")))</f>
        <v/>
      </c>
      <c r="I111" s="15">
        <f>IF(OR(I109="",E109=""),"",IF(E109&lt;=0,"",IFERROR(I109/E109-1,"")))</f>
        <v/>
      </c>
      <c r="J111" s="15">
        <f>IF(OR(J109="",F109=""),"",IF(F109&lt;=0,"",IFERROR(J109/F109-1,"")))</f>
        <v/>
      </c>
      <c r="K111" s="15">
        <f>IF(OR(K109="",G109=""),"",IF(G109&lt;=0,"",IFERROR(K109/G109-1,"")))</f>
        <v/>
      </c>
      <c r="L111" s="15">
        <f>IF(OR(L109="",H109=""),"",IF(H109&lt;=0,"",IFERROR(L109/H109-1,"")))</f>
        <v/>
      </c>
      <c r="M111" s="15">
        <f>IF(OR(M109="",I109=""),"",IF(I109&lt;=0,"",IFERROR(M109/I109-1,"")))</f>
        <v/>
      </c>
      <c r="N111" s="15">
        <f>IF(OR(N109="",J109=""),"",IF(J109&lt;=0,"",IFERROR(N109/J109-1,"")))</f>
        <v/>
      </c>
      <c r="V111" s="15">
        <f>IF(OR(V109="",U109=""),"",IF(U109&lt;=0,"",IFERROR(V109/U109-1,"")))</f>
        <v/>
      </c>
      <c r="W111" s="15">
        <f>IF(OR(W109="",V109=""),"",IF(V109&lt;=0,"",IFERROR(W109/V109-1,"")))</f>
        <v/>
      </c>
      <c r="X111" s="15">
        <f>IF(OR(X109="",W109=""),"",IF(W109&lt;=0,"",IFERROR(X109/W109-1,"")))</f>
        <v/>
      </c>
    </row>
    <row r="112">
      <c r="A112" s="18" t="inlineStr">
        <is>
          <t>금융수익</t>
        </is>
      </c>
      <c r="C112" s="20" t="n">
        <v>2594</v>
      </c>
      <c r="D112" s="20" t="n">
        <v>-1559</v>
      </c>
      <c r="E112" s="20" t="n">
        <v>5296</v>
      </c>
      <c r="F112" s="20" t="n">
        <v>2698</v>
      </c>
      <c r="G112" s="20" t="n">
        <v>1179</v>
      </c>
      <c r="H112" s="20" t="n">
        <v>1878</v>
      </c>
      <c r="I112" s="20" t="n">
        <v>1919</v>
      </c>
      <c r="J112" s="20" t="n">
        <v>1894</v>
      </c>
      <c r="K112" s="20" t="n">
        <v>2096</v>
      </c>
      <c r="L112" s="20" t="n">
        <v>2087</v>
      </c>
      <c r="M112" s="20" t="n">
        <v>2374</v>
      </c>
      <c r="N112" s="20" t="n">
        <v>1824</v>
      </c>
      <c r="V112" s="20" t="n">
        <v>5296</v>
      </c>
      <c r="W112" s="20" t="n">
        <v>1919</v>
      </c>
      <c r="X112" s="20" t="n">
        <v>2374</v>
      </c>
    </row>
    <row r="113">
      <c r="A113" s="43" t="inlineStr">
        <is>
          <t>YoY</t>
        </is>
      </c>
      <c r="B113" s="3" t="inlineStr">
        <is>
          <t>전년 같은 분기·전년 대비</t>
        </is>
      </c>
      <c r="G113" s="15">
        <f>IF(OR(G112="",C112=""),"",IF(G112*C112&lt;=0,"",IFERROR(G112/C112-1,"")))</f>
        <v/>
      </c>
      <c r="H113" s="15">
        <f>IF(OR(H112="",D112=""),"",IF(H112*D112&lt;=0,"",IFERROR(H112/D112-1,"")))</f>
        <v/>
      </c>
      <c r="I113" s="15">
        <f>IF(OR(I112="",E112=""),"",IF(I112*E112&lt;=0,"",IFERROR(I112/E112-1,"")))</f>
        <v/>
      </c>
      <c r="J113" s="15">
        <f>IF(OR(J112="",F112=""),"",IF(J112*F112&lt;=0,"",IFERROR(J112/F112-1,"")))</f>
        <v/>
      </c>
      <c r="K113" s="15">
        <f>IF(OR(K112="",G112=""),"",IF(K112*G112&lt;=0,"",IFERROR(K112/G112-1,"")))</f>
        <v/>
      </c>
      <c r="L113" s="15">
        <f>IF(OR(L112="",H112=""),"",IF(L112*H112&lt;=0,"",IFERROR(L112/H112-1,"")))</f>
        <v/>
      </c>
      <c r="M113" s="15">
        <f>IF(OR(M112="",I112=""),"",IF(M112*I112&lt;=0,"",IFERROR(M112/I112-1,"")))</f>
        <v/>
      </c>
      <c r="N113" s="15">
        <f>IF(OR(N112="",J112=""),"",IF(N112*J112&lt;=0,"",IFERROR(N112/J112-1,"")))</f>
        <v/>
      </c>
      <c r="V113" s="15">
        <f>IF(OR(V112="",U112=""),"",IF(V112*U112&lt;=0,"",IFERROR(V112/U112-1,"")))</f>
        <v/>
      </c>
      <c r="W113" s="15">
        <f>IF(OR(W112="",V112=""),"",IF(W112*V112&lt;=0,"",IFERROR(W112/V112-1,"")))</f>
        <v/>
      </c>
      <c r="X113" s="15">
        <f>IF(OR(X112="",W112=""),"",IF(X112*W112&lt;=0,"",IFERROR(X112/W112-1,"")))</f>
        <v/>
      </c>
    </row>
    <row r="114">
      <c r="A114" s="18" t="inlineStr">
        <is>
          <t>금융비용</t>
        </is>
      </c>
      <c r="C114" s="20" t="n">
        <v>848</v>
      </c>
      <c r="D114" s="20" t="n">
        <v>1859</v>
      </c>
      <c r="E114" s="20" t="n">
        <v>-228</v>
      </c>
      <c r="F114" s="20" t="n">
        <v>445</v>
      </c>
      <c r="G114" s="20" t="n">
        <v>4556</v>
      </c>
      <c r="H114" s="20" t="n">
        <v>-1583</v>
      </c>
      <c r="I114" s="20" t="n">
        <v>1735</v>
      </c>
      <c r="J114" s="20" t="n">
        <v>2200</v>
      </c>
      <c r="K114" s="20" t="n">
        <v>483</v>
      </c>
      <c r="L114" s="20" t="n">
        <v>-398</v>
      </c>
      <c r="M114" s="20" t="n">
        <v>219</v>
      </c>
      <c r="N114" s="20" t="n">
        <v>530</v>
      </c>
      <c r="V114" s="20" t="n">
        <v>-228</v>
      </c>
      <c r="W114" s="20" t="n">
        <v>1735</v>
      </c>
      <c r="X114" s="20" t="n">
        <v>219</v>
      </c>
    </row>
    <row r="115">
      <c r="A115" s="43" t="inlineStr">
        <is>
          <t>YoY</t>
        </is>
      </c>
      <c r="B115" s="3" t="inlineStr">
        <is>
          <t>전년 같은 분기·전년 대비</t>
        </is>
      </c>
      <c r="G115" s="15">
        <f>IF(OR(G114="",C114=""),"",IF(G114*C114&lt;=0,"",IFERROR(G114/C114-1,"")))</f>
        <v/>
      </c>
      <c r="H115" s="15">
        <f>IF(OR(H114="",D114=""),"",IF(H114*D114&lt;=0,"",IFERROR(H114/D114-1,"")))</f>
        <v/>
      </c>
      <c r="I115" s="15">
        <f>IF(OR(I114="",E114=""),"",IF(I114*E114&lt;=0,"",IFERROR(I114/E114-1,"")))</f>
        <v/>
      </c>
      <c r="J115" s="15">
        <f>IF(OR(J114="",F114=""),"",IF(J114*F114&lt;=0,"",IFERROR(J114/F114-1,"")))</f>
        <v/>
      </c>
      <c r="K115" s="15">
        <f>IF(OR(K114="",G114=""),"",IF(K114*G114&lt;=0,"",IFERROR(K114/G114-1,"")))</f>
        <v/>
      </c>
      <c r="L115" s="15">
        <f>IF(OR(L114="",H114=""),"",IF(L114*H114&lt;=0,"",IFERROR(L114/H114-1,"")))</f>
        <v/>
      </c>
      <c r="M115" s="15">
        <f>IF(OR(M114="",I114=""),"",IF(M114*I114&lt;=0,"",IFERROR(M114/I114-1,"")))</f>
        <v/>
      </c>
      <c r="N115" s="15">
        <f>IF(OR(N114="",J114=""),"",IF(N114*J114&lt;=0,"",IFERROR(N114/J114-1,"")))</f>
        <v/>
      </c>
      <c r="V115" s="15">
        <f>IF(OR(V114="",U114=""),"",IF(V114*U114&lt;=0,"",IFERROR(V114/U114-1,"")))</f>
        <v/>
      </c>
      <c r="W115" s="15">
        <f>IF(OR(W114="",V114=""),"",IF(W114*V114&lt;=0,"",IFERROR(W114/V114-1,"")))</f>
        <v/>
      </c>
      <c r="X115" s="15">
        <f>IF(OR(X114="",W114=""),"",IF(X114*W114&lt;=0,"",IFERROR(X114/W114-1,"")))</f>
        <v/>
      </c>
    </row>
    <row r="116">
      <c r="A116" s="18" t="inlineStr">
        <is>
          <t>Share Of Profit Loss Of Investments Accounted For Using Equity Method</t>
        </is>
      </c>
      <c r="C116" s="20" t="n">
        <v>495</v>
      </c>
      <c r="D116" s="20" t="n">
        <v>617</v>
      </c>
      <c r="E116" s="20" t="n">
        <v>563</v>
      </c>
      <c r="F116" s="20" t="n">
        <v>453</v>
      </c>
      <c r="G116" s="20" t="n">
        <v>-241</v>
      </c>
      <c r="H116" s="20" t="n">
        <v>673</v>
      </c>
      <c r="I116" s="20" t="n">
        <v>1290</v>
      </c>
      <c r="J116" s="20" t="n">
        <v>503</v>
      </c>
      <c r="K116" s="20" t="n">
        <v>577</v>
      </c>
      <c r="L116" s="20" t="n">
        <v>285</v>
      </c>
      <c r="M116" s="20" t="n">
        <v>657</v>
      </c>
      <c r="N116" s="20" t="n">
        <v>496</v>
      </c>
      <c r="V116" s="20" t="n">
        <v>563</v>
      </c>
      <c r="W116" s="20" t="n">
        <v>1290</v>
      </c>
      <c r="X116" s="20" t="n">
        <v>657</v>
      </c>
    </row>
    <row r="117">
      <c r="A117" s="9" t="inlineStr">
        <is>
          <t>법인세비용차감전 중간이익</t>
        </is>
      </c>
      <c r="C117" s="12" t="n">
        <v>29674</v>
      </c>
      <c r="D117" s="12" t="n">
        <v>24324</v>
      </c>
      <c r="E117" s="12" t="n">
        <v>8636</v>
      </c>
      <c r="F117" s="12" t="n">
        <v>19405</v>
      </c>
      <c r="G117" s="12" t="n">
        <v>13521</v>
      </c>
      <c r="H117" s="12" t="n">
        <v>22317</v>
      </c>
      <c r="I117" s="12" t="n">
        <v>-8147</v>
      </c>
      <c r="J117" s="12" t="n">
        <v>18901</v>
      </c>
      <c r="K117" s="12" t="n">
        <v>20527</v>
      </c>
      <c r="L117" s="12" t="n">
        <v>25974</v>
      </c>
      <c r="M117" s="12" t="n">
        <v>-3484</v>
      </c>
      <c r="N117" s="12" t="n">
        <v>17672</v>
      </c>
      <c r="V117" s="12" t="n">
        <v>8636</v>
      </c>
      <c r="W117" s="12" t="n">
        <v>-8147</v>
      </c>
      <c r="X117" s="12" t="n">
        <v>-3484</v>
      </c>
    </row>
    <row r="118">
      <c r="A118" s="18" t="inlineStr">
        <is>
          <t>법인소득세 비용</t>
        </is>
      </c>
      <c r="C118" s="20" t="n">
        <v>9982</v>
      </c>
      <c r="D118" s="20" t="n">
        <v>8135</v>
      </c>
      <c r="E118" s="20" t="n">
        <v>-9270</v>
      </c>
      <c r="F118" s="20" t="n">
        <v>8864</v>
      </c>
      <c r="G118" s="20" t="n">
        <v>5337</v>
      </c>
      <c r="H118" s="20" t="n">
        <v>4506</v>
      </c>
      <c r="I118" s="20" t="n">
        <v>2585</v>
      </c>
      <c r="J118" s="20" t="n">
        <v>5759</v>
      </c>
      <c r="K118" s="20" t="n">
        <v>11695</v>
      </c>
      <c r="L118" s="20" t="n">
        <v>12730</v>
      </c>
      <c r="M118" s="20" t="n">
        <v>270</v>
      </c>
      <c r="N118" s="20" t="n">
        <v>7601</v>
      </c>
      <c r="V118" s="20" t="n">
        <v>-9270</v>
      </c>
      <c r="W118" s="20" t="n">
        <v>2585</v>
      </c>
      <c r="X118" s="20" t="n">
        <v>270</v>
      </c>
    </row>
    <row r="119">
      <c r="A119" s="43" t="inlineStr">
        <is>
          <t>YoY</t>
        </is>
      </c>
      <c r="B119" s="3" t="inlineStr">
        <is>
          <t>전년 같은 분기·전년 대비</t>
        </is>
      </c>
      <c r="G119" s="15">
        <f>IF(OR(G118="",C118=""),"",IF(G118*C118&lt;=0,"",IFERROR(G118/C118-1,"")))</f>
        <v/>
      </c>
      <c r="H119" s="15">
        <f>IF(OR(H118="",D118=""),"",IF(H118*D118&lt;=0,"",IFERROR(H118/D118-1,"")))</f>
        <v/>
      </c>
      <c r="I119" s="15">
        <f>IF(OR(I118="",E118=""),"",IF(I118*E118&lt;=0,"",IFERROR(I118/E118-1,"")))</f>
        <v/>
      </c>
      <c r="J119" s="15">
        <f>IF(OR(J118="",F118=""),"",IF(J118*F118&lt;=0,"",IFERROR(J118/F118-1,"")))</f>
        <v/>
      </c>
      <c r="K119" s="15">
        <f>IF(OR(K118="",G118=""),"",IF(K118*G118&lt;=0,"",IFERROR(K118/G118-1,"")))</f>
        <v/>
      </c>
      <c r="L119" s="15">
        <f>IF(OR(L118="",H118=""),"",IF(L118*H118&lt;=0,"",IFERROR(L118/H118-1,"")))</f>
        <v/>
      </c>
      <c r="M119" s="15">
        <f>IF(OR(M118="",I118=""),"",IF(M118*I118&lt;=0,"",IFERROR(M118/I118-1,"")))</f>
        <v/>
      </c>
      <c r="N119" s="15">
        <f>IF(OR(N118="",J118=""),"",IF(N118*J118&lt;=0,"",IFERROR(N118/J118-1,"")))</f>
        <v/>
      </c>
      <c r="V119" s="15">
        <f>IF(OR(V118="",U118=""),"",IF(V118*U118&lt;=0,"",IFERROR(V118/U118-1,"")))</f>
        <v/>
      </c>
      <c r="W119" s="15">
        <f>IF(OR(W118="",V118=""),"",IF(W118*V118&lt;=0,"",IFERROR(W118/V118-1,"")))</f>
        <v/>
      </c>
      <c r="X119" s="15">
        <f>IF(OR(X118="",W118=""),"",IF(X118*W118&lt;=0,"",IFERROR(X118/W118-1,"")))</f>
        <v/>
      </c>
    </row>
    <row r="120">
      <c r="A120" s="9" t="inlineStr">
        <is>
          <t>중간이익</t>
        </is>
      </c>
      <c r="C120" s="12" t="n">
        <v>19692</v>
      </c>
      <c r="D120" s="12" t="n">
        <v>16189</v>
      </c>
      <c r="E120" s="12" t="n">
        <v>17906</v>
      </c>
      <c r="F120" s="12" t="n">
        <v>10540</v>
      </c>
      <c r="G120" s="12" t="n">
        <v>8184</v>
      </c>
      <c r="H120" s="12" t="n">
        <v>17811</v>
      </c>
      <c r="I120" s="12" t="n">
        <v>-10732</v>
      </c>
      <c r="J120" s="12" t="n">
        <v>13141</v>
      </c>
      <c r="K120" s="12" t="n">
        <v>8833</v>
      </c>
      <c r="L120" s="12" t="n">
        <v>13244</v>
      </c>
      <c r="M120" s="12" t="n">
        <v>-3754</v>
      </c>
      <c r="N120" s="12" t="n">
        <v>10070</v>
      </c>
      <c r="V120" s="12" t="n">
        <v>17906</v>
      </c>
      <c r="W120" s="12" t="n">
        <v>-10732</v>
      </c>
      <c r="X120" s="12" t="n">
        <v>-3754</v>
      </c>
    </row>
    <row r="121">
      <c r="A121" s="43" t="inlineStr">
        <is>
          <t>YoY</t>
        </is>
      </c>
      <c r="B121" s="3" t="inlineStr">
        <is>
          <t>전년 같은 분기·전년 대비</t>
        </is>
      </c>
      <c r="G121" s="15">
        <f>IF(OR(G120="",C120=""),"",IF(C120&lt;=0,"",IFERROR(G120/C120-1,"")))</f>
        <v/>
      </c>
      <c r="H121" s="15">
        <f>IF(OR(H120="",D120=""),"",IF(D120&lt;=0,"",IFERROR(H120/D120-1,"")))</f>
        <v/>
      </c>
      <c r="I121" s="15">
        <f>IF(OR(I120="",E120=""),"",IF(E120&lt;=0,"",IFERROR(I120/E120-1,"")))</f>
        <v/>
      </c>
      <c r="J121" s="15">
        <f>IF(OR(J120="",F120=""),"",IF(F120&lt;=0,"",IFERROR(J120/F120-1,"")))</f>
        <v/>
      </c>
      <c r="K121" s="15">
        <f>IF(OR(K120="",G120=""),"",IF(G120&lt;=0,"",IFERROR(K120/G120-1,"")))</f>
        <v/>
      </c>
      <c r="L121" s="15">
        <f>IF(OR(L120="",H120=""),"",IF(H120&lt;=0,"",IFERROR(L120/H120-1,"")))</f>
        <v/>
      </c>
      <c r="M121" s="15">
        <f>IF(OR(M120="",I120=""),"",IF(I120&lt;=0,"",IFERROR(M120/I120-1,"")))</f>
        <v/>
      </c>
      <c r="N121" s="15">
        <f>IF(OR(N120="",J120=""),"",IF(J120&lt;=0,"",IFERROR(N120/J120-1,"")))</f>
        <v/>
      </c>
      <c r="V121" s="15">
        <f>IF(OR(V120="",U120=""),"",IF(U120&lt;=0,"",IFERROR(V120/U120-1,"")))</f>
        <v/>
      </c>
      <c r="W121" s="15">
        <f>IF(OR(W120="",V120=""),"",IF(V120&lt;=0,"",IFERROR(W120/V120-1,"")))</f>
        <v/>
      </c>
      <c r="X121" s="15">
        <f>IF(OR(X120="",W120=""),"",IF(W120&lt;=0,"",IFERROR(X120/W120-1,"")))</f>
        <v/>
      </c>
    </row>
    <row r="122">
      <c r="A122" s="9" t="inlineStr">
        <is>
          <t>지배기업 소유주</t>
        </is>
      </c>
      <c r="C122" s="12" t="n">
        <v>16443</v>
      </c>
      <c r="D122" s="12" t="n">
        <v>13164</v>
      </c>
      <c r="E122" s="12" t="n">
        <v>16409</v>
      </c>
      <c r="F122" s="12" t="n">
        <v>8696</v>
      </c>
      <c r="G122" s="12" t="n">
        <v>4810</v>
      </c>
      <c r="H122" s="12" t="n">
        <v>14777</v>
      </c>
      <c r="I122" s="12" t="n">
        <v>-11564</v>
      </c>
      <c r="J122" s="12" t="n">
        <v>10801</v>
      </c>
      <c r="K122" s="12" t="n">
        <v>6622</v>
      </c>
      <c r="L122" s="12" t="n">
        <v>11207</v>
      </c>
      <c r="M122" s="12" t="n">
        <v>-5359</v>
      </c>
      <c r="N122" s="12" t="n">
        <v>8757</v>
      </c>
      <c r="V122" s="12" t="n">
        <v>16409</v>
      </c>
      <c r="W122" s="12" t="n">
        <v>-11564</v>
      </c>
      <c r="X122" s="12" t="n">
        <v>-5359</v>
      </c>
    </row>
    <row r="123">
      <c r="A123" s="43" t="inlineStr">
        <is>
          <t>YoY</t>
        </is>
      </c>
      <c r="B123" s="3" t="inlineStr">
        <is>
          <t>전년 같은 분기·전년 대비</t>
        </is>
      </c>
      <c r="G123" s="15">
        <f>IF(OR(G122="",C122=""),"",IF(C122&lt;=0,"",IFERROR(G122/C122-1,"")))</f>
        <v/>
      </c>
      <c r="H123" s="15">
        <f>IF(OR(H122="",D122=""),"",IF(D122&lt;=0,"",IFERROR(H122/D122-1,"")))</f>
        <v/>
      </c>
      <c r="I123" s="15">
        <f>IF(OR(I122="",E122=""),"",IF(E122&lt;=0,"",IFERROR(I122/E122-1,"")))</f>
        <v/>
      </c>
      <c r="J123" s="15">
        <f>IF(OR(J122="",F122=""),"",IF(F122&lt;=0,"",IFERROR(J122/F122-1,"")))</f>
        <v/>
      </c>
      <c r="K123" s="15">
        <f>IF(OR(K122="",G122=""),"",IF(G122&lt;=0,"",IFERROR(K122/G122-1,"")))</f>
        <v/>
      </c>
      <c r="L123" s="15">
        <f>IF(OR(L122="",H122=""),"",IF(H122&lt;=0,"",IFERROR(L122/H122-1,"")))</f>
        <v/>
      </c>
      <c r="M123" s="15">
        <f>IF(OR(M122="",I122=""),"",IF(I122&lt;=0,"",IFERROR(M122/I122-1,"")))</f>
        <v/>
      </c>
      <c r="N123" s="15">
        <f>IF(OR(N122="",J122=""),"",IF(J122&lt;=0,"",IFERROR(N122/J122-1,"")))</f>
        <v/>
      </c>
      <c r="V123" s="15">
        <f>IF(OR(V122="",U122=""),"",IF(U122&lt;=0,"",IFERROR(V122/U122-1,"")))</f>
        <v/>
      </c>
      <c r="W123" s="15">
        <f>IF(OR(W122="",V122=""),"",IF(V122&lt;=0,"",IFERROR(W122/V122-1,"")))</f>
        <v/>
      </c>
      <c r="X123" s="15">
        <f>IF(OR(X122="",W122=""),"",IF(W122&lt;=0,"",IFERROR(X122/W122-1,"")))</f>
        <v/>
      </c>
    </row>
    <row r="124">
      <c r="A124" s="9" t="inlineStr">
        <is>
          <t>비지배지분</t>
        </is>
      </c>
      <c r="C124" s="12" t="n">
        <v>3249</v>
      </c>
      <c r="D124" s="12" t="n">
        <v>3025</v>
      </c>
      <c r="E124" s="12" t="n">
        <v>1497</v>
      </c>
      <c r="F124" s="12" t="n">
        <v>1844</v>
      </c>
      <c r="G124" s="12" t="n">
        <v>3374</v>
      </c>
      <c r="H124" s="12" t="n">
        <v>3034</v>
      </c>
      <c r="I124" s="12" t="n">
        <v>832</v>
      </c>
      <c r="J124" s="12" t="n">
        <v>2339</v>
      </c>
      <c r="K124" s="12" t="n">
        <v>2212</v>
      </c>
      <c r="L124" s="12" t="n">
        <v>2036</v>
      </c>
      <c r="M124" s="12" t="n">
        <v>1605</v>
      </c>
      <c r="N124" s="12" t="n">
        <v>1313</v>
      </c>
      <c r="V124" s="12" t="n">
        <v>1497</v>
      </c>
      <c r="W124" s="12" t="n">
        <v>832</v>
      </c>
      <c r="X124" s="12" t="n">
        <v>1605</v>
      </c>
    </row>
    <row r="125">
      <c r="A125" s="18" t="inlineStr">
        <is>
          <t>기본 주당 중간이익(엔)</t>
        </is>
      </c>
      <c r="C125" s="20" t="n">
        <v>8.8e-05</v>
      </c>
      <c r="D125" s="20" t="n">
        <v>7.044999999999999e-05</v>
      </c>
      <c r="E125" s="20" t="n">
        <v>8.979000000000002e-05</v>
      </c>
      <c r="F125" s="20" t="n">
        <v>4.873e-05</v>
      </c>
      <c r="G125" s="20" t="n">
        <v>2.695000000000001e-05</v>
      </c>
      <c r="H125" s="20" t="n">
        <v>8.275999999999999e-05</v>
      </c>
      <c r="I125" s="20" t="n">
        <v>-6.478999999999999e-05</v>
      </c>
      <c r="J125" s="20" t="n">
        <v>6.048e-05</v>
      </c>
      <c r="K125" s="20" t="n">
        <v>3.708e-05</v>
      </c>
      <c r="L125" s="20" t="n">
        <v>6.274999999999999e-05</v>
      </c>
      <c r="M125" s="20" t="n">
        <v>-3.000999999999999e-05</v>
      </c>
      <c r="N125" s="20" t="n">
        <v>4.903e-05</v>
      </c>
      <c r="V125" s="20" t="n">
        <v>8.979000000000002e-05</v>
      </c>
      <c r="W125" s="20" t="n">
        <v>-6.478999999999999e-05</v>
      </c>
      <c r="X125" s="20" t="n">
        <v>-3.000999999999999e-05</v>
      </c>
    </row>
    <row r="126">
      <c r="A126" s="18" t="inlineStr">
        <is>
          <t>희석 주당 중간이익(엔)</t>
        </is>
      </c>
      <c r="C126" s="20" t="n">
        <v>8.798000000000001e-05</v>
      </c>
      <c r="D126" s="20" t="n">
        <v>7.044e-05</v>
      </c>
      <c r="E126" s="20" t="n">
        <v>8.978e-05</v>
      </c>
      <c r="F126" s="20" t="n">
        <v>4.872e-05</v>
      </c>
      <c r="G126" s="20" t="n">
        <v>2.694e-05</v>
      </c>
      <c r="H126" s="20" t="n">
        <v>8.275000000000001e-05</v>
      </c>
      <c r="I126" s="20" t="n">
        <v>-6.478e-05</v>
      </c>
      <c r="J126" s="20" t="n">
        <v>6.047e-05</v>
      </c>
      <c r="K126" s="20" t="n">
        <v>3.706e-05</v>
      </c>
      <c r="L126" s="20" t="n">
        <v>6.274000000000001e-05</v>
      </c>
      <c r="M126" s="20" t="n">
        <v>-3e-05</v>
      </c>
      <c r="N126" s="20" t="n">
        <v>4.902e-05</v>
      </c>
      <c r="V126" s="20" t="n">
        <v>8.978e-05</v>
      </c>
      <c r="W126" s="20" t="n">
        <v>-6.478e-05</v>
      </c>
      <c r="X126" s="20" t="n">
        <v>-3e-05</v>
      </c>
    </row>
    <row r="128">
      <c r="A128" s="16" t="inlineStr">
        <is>
          <t>포괄손익 · 전 항목</t>
        </is>
      </c>
      <c r="B128" s="42" t="inlineStr">
        <is>
          <t>분기 = 3개월 단독</t>
        </is>
      </c>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row>
    <row r="129">
      <c r="A129" s="5" t="inlineStr">
        <is>
          <t>항목</t>
        </is>
      </c>
      <c r="B129" s="5" t="inlineStr">
        <is>
          <t>참고</t>
        </is>
      </c>
      <c r="C129" s="5" t="inlineStr">
        <is>
          <t>2024.2Q</t>
        </is>
      </c>
      <c r="D129" s="5" t="inlineStr">
        <is>
          <t>2024.3Q</t>
        </is>
      </c>
      <c r="E129" s="5" t="inlineStr">
        <is>
          <t>2024.4Q</t>
        </is>
      </c>
      <c r="F129" s="5" t="inlineStr">
        <is>
          <t>2025.1Q</t>
        </is>
      </c>
      <c r="G129" s="5" t="inlineStr">
        <is>
          <t>2025.2Q</t>
        </is>
      </c>
      <c r="H129" s="5" t="inlineStr">
        <is>
          <t>2025.3Q</t>
        </is>
      </c>
      <c r="I129" s="5" t="inlineStr">
        <is>
          <t>2025.4Q</t>
        </is>
      </c>
      <c r="J129" s="5" t="inlineStr">
        <is>
          <t>2026.1Q</t>
        </is>
      </c>
      <c r="K129" s="5" t="inlineStr">
        <is>
          <t>2026.2Q</t>
        </is>
      </c>
      <c r="L129" s="5" t="inlineStr">
        <is>
          <t>2026.3Q</t>
        </is>
      </c>
      <c r="M129" s="5" t="inlineStr">
        <is>
          <t>2026.4Q</t>
        </is>
      </c>
      <c r="N129" s="5" t="inlineStr">
        <is>
          <t>2027.1Q</t>
        </is>
      </c>
      <c r="O129" s="5" t="inlineStr">
        <is>
          <t>2017</t>
        </is>
      </c>
      <c r="P129" s="5" t="inlineStr">
        <is>
          <t>2018</t>
        </is>
      </c>
      <c r="Q129" s="5" t="inlineStr">
        <is>
          <t>2019</t>
        </is>
      </c>
      <c r="R129" s="5" t="inlineStr">
        <is>
          <t>2020</t>
        </is>
      </c>
      <c r="S129" s="5" t="inlineStr">
        <is>
          <t>2021</t>
        </is>
      </c>
      <c r="T129" s="5" t="inlineStr">
        <is>
          <t>2022</t>
        </is>
      </c>
      <c r="U129" s="5" t="inlineStr">
        <is>
          <t>2023</t>
        </is>
      </c>
      <c r="V129" s="5" t="inlineStr">
        <is>
          <t>2024</t>
        </is>
      </c>
      <c r="W129" s="5" t="inlineStr">
        <is>
          <t>2025</t>
        </is>
      </c>
      <c r="X129" s="5" t="inlineStr">
        <is>
          <t>2026</t>
        </is>
      </c>
      <c r="Y129" s="5" t="inlineStr">
        <is>
          <t>2027(MW)</t>
        </is>
      </c>
      <c r="Z129" s="5" t="inlineStr">
        <is>
          <t>2028(MW)</t>
        </is>
      </c>
      <c r="AA129" s="5" t="inlineStr">
        <is>
          <t>2029(MW)</t>
        </is>
      </c>
      <c r="AB129" s="5" t="inlineStr">
        <is>
          <t>2030(MW)</t>
        </is>
      </c>
      <c r="AC129" s="5" t="inlineStr">
        <is>
          <t>2031(MW)</t>
        </is>
      </c>
    </row>
    <row r="130">
      <c r="A130" s="9" t="inlineStr">
        <is>
          <t>중간이익</t>
        </is>
      </c>
      <c r="C130" s="12" t="n">
        <v>19692</v>
      </c>
      <c r="D130" s="12" t="n">
        <v>16189</v>
      </c>
      <c r="E130" s="12" t="n">
        <v>17906</v>
      </c>
      <c r="F130" s="12" t="n">
        <v>10540</v>
      </c>
      <c r="G130" s="12" t="n">
        <v>8184</v>
      </c>
      <c r="H130" s="12" t="n">
        <v>17811</v>
      </c>
      <c r="I130" s="12" t="n">
        <v>-10732</v>
      </c>
      <c r="J130" s="12" t="n">
        <v>13141</v>
      </c>
      <c r="K130" s="12" t="n">
        <v>8833</v>
      </c>
      <c r="L130" s="12" t="n">
        <v>13244</v>
      </c>
      <c r="M130" s="12" t="n">
        <v>-3754</v>
      </c>
      <c r="N130" s="12" t="n">
        <v>10070</v>
      </c>
      <c r="T130" s="12" t="n">
        <v>16714</v>
      </c>
      <c r="U130" s="12" t="n">
        <v>6439</v>
      </c>
      <c r="V130" s="12" t="n">
        <v>17906</v>
      </c>
      <c r="W130" s="12" t="n">
        <v>-10732</v>
      </c>
      <c r="X130" s="12" t="n">
        <v>-3754</v>
      </c>
    </row>
    <row r="131">
      <c r="A131" s="18" t="inlineStr">
        <is>
          <t>확정급여제도 재측정</t>
        </is>
      </c>
      <c r="C131" s="20" t="n">
        <v>87</v>
      </c>
      <c r="D131" s="20" t="n">
        <v>-59</v>
      </c>
      <c r="E131" s="20" t="n">
        <v>-100</v>
      </c>
      <c r="F131" s="20" t="n">
        <v>-67</v>
      </c>
      <c r="G131" s="20" t="n">
        <v>473</v>
      </c>
      <c r="H131" s="20" t="n">
        <v>-202</v>
      </c>
      <c r="I131" s="20" t="n">
        <v>1876</v>
      </c>
      <c r="J131" s="20" t="n">
        <v>27</v>
      </c>
      <c r="K131" s="20" t="n">
        <v>-679</v>
      </c>
      <c r="L131" s="20" t="n">
        <v>-126</v>
      </c>
      <c r="M131" s="20" t="n">
        <v>1778</v>
      </c>
      <c r="N131" s="20" t="n">
        <v>11</v>
      </c>
      <c r="T131" s="20" t="n">
        <v>1002</v>
      </c>
      <c r="U131" s="20" t="n">
        <v>1758</v>
      </c>
      <c r="V131" s="20" t="n">
        <v>-100</v>
      </c>
      <c r="W131" s="20" t="n">
        <v>1876</v>
      </c>
      <c r="X131" s="20" t="n">
        <v>1778</v>
      </c>
    </row>
    <row r="132">
      <c r="A132" s="18" t="inlineStr">
        <is>
          <t>Net Change In Fair Value Of Equity Instruments Designated As Measured At Fair Value Through Other Comprehensive Income Net Of Tax Items That Will Not Be Reclassified To Profit Or Loss OCI</t>
        </is>
      </c>
      <c r="C132" s="20" t="n">
        <v>1117</v>
      </c>
      <c r="D132" s="20" t="n">
        <v>-594</v>
      </c>
      <c r="E132" s="20" t="n">
        <v>4929</v>
      </c>
      <c r="F132" s="20" t="n">
        <v>562</v>
      </c>
      <c r="G132" s="20" t="n">
        <v>-2642</v>
      </c>
      <c r="H132" s="20" t="n">
        <v>1958</v>
      </c>
      <c r="I132" s="20" t="n">
        <v>-2177</v>
      </c>
      <c r="J132" s="20" t="n">
        <v>58</v>
      </c>
      <c r="K132" s="20" t="n">
        <v>2008</v>
      </c>
      <c r="L132" s="20" t="n">
        <v>2221</v>
      </c>
      <c r="M132" s="20" t="n">
        <v>-338</v>
      </c>
      <c r="N132" s="20" t="n">
        <v>-2121</v>
      </c>
      <c r="T132" s="20" t="n">
        <v>-529</v>
      </c>
      <c r="U132" s="20" t="n">
        <v>980</v>
      </c>
      <c r="V132" s="20" t="n">
        <v>4929</v>
      </c>
      <c r="W132" s="20" t="n">
        <v>-2177</v>
      </c>
      <c r="X132" s="20" t="n">
        <v>-338</v>
      </c>
    </row>
    <row r="133">
      <c r="A133" s="18" t="inlineStr">
        <is>
          <t>Share Of Other Comprehensive Income Of Investments Accounted For Using Equity Method Net Of Tax Items That Will Not Be Reclassified To Profit Or Loss OCI</t>
        </is>
      </c>
      <c r="D133" s="20" t="n">
        <v>-9</v>
      </c>
      <c r="E133" s="20" t="n">
        <v>119</v>
      </c>
      <c r="F133" s="20" t="n">
        <v>0</v>
      </c>
      <c r="G133" s="20" t="n">
        <v>-123</v>
      </c>
      <c r="H133" s="20" t="n">
        <v>60</v>
      </c>
      <c r="I133" s="20" t="n">
        <v>-52</v>
      </c>
      <c r="J133" s="20" t="n">
        <v>-14</v>
      </c>
      <c r="K133" s="20" t="n">
        <v>33</v>
      </c>
      <c r="L133" s="20" t="n">
        <v>50</v>
      </c>
      <c r="M133" s="20" t="n">
        <v>-19</v>
      </c>
      <c r="N133" s="20" t="n">
        <v>-42</v>
      </c>
      <c r="T133" s="20" t="n">
        <v>11</v>
      </c>
      <c r="U133" s="20" t="n">
        <v>6</v>
      </c>
      <c r="V133" s="20" t="n">
        <v>119</v>
      </c>
      <c r="W133" s="20" t="n">
        <v>-52</v>
      </c>
      <c r="X133" s="20" t="n">
        <v>-19</v>
      </c>
    </row>
    <row r="134">
      <c r="A134" s="18" t="inlineStr">
        <is>
          <t>Exchange Differences On Translation Of Foreign Operations Net Of Tax Items That May Be Reclassified To Profit Or Loss OCI</t>
        </is>
      </c>
      <c r="C134" s="20" t="n">
        <v>2527</v>
      </c>
      <c r="D134" s="20" t="n">
        <v>-10076</v>
      </c>
      <c r="E134" s="20" t="n">
        <v>13259</v>
      </c>
      <c r="F134" s="20" t="n">
        <v>20903</v>
      </c>
      <c r="G134" s="20" t="n">
        <v>-29571</v>
      </c>
      <c r="H134" s="20" t="n">
        <v>22710</v>
      </c>
      <c r="I134" s="20" t="n">
        <v>-17447</v>
      </c>
      <c r="J134" s="20" t="n">
        <v>-3747</v>
      </c>
      <c r="K134" s="20" t="n">
        <v>8627</v>
      </c>
      <c r="L134" s="20" t="n">
        <v>19616</v>
      </c>
      <c r="M134" s="20" t="n">
        <v>2918</v>
      </c>
      <c r="N134" s="20" t="n">
        <v>6553</v>
      </c>
      <c r="T134" s="20" t="n">
        <v>16245</v>
      </c>
      <c r="U134" s="20" t="n">
        <v>5766</v>
      </c>
      <c r="V134" s="20" t="n">
        <v>13259</v>
      </c>
      <c r="W134" s="20" t="n">
        <v>-17447</v>
      </c>
      <c r="X134" s="20" t="n">
        <v>2918</v>
      </c>
    </row>
    <row r="135">
      <c r="A135" s="18" t="inlineStr">
        <is>
          <t>Financial Assets Measured At Fair Value Through Other Comprehensive Income Net Of Tax Items That May Be Reclassified To Profit Or Loss OCI</t>
        </is>
      </c>
      <c r="C135" s="20" t="n">
        <v>0</v>
      </c>
      <c r="D135" s="20" t="n">
        <v>7</v>
      </c>
      <c r="E135" s="20" t="n">
        <v>0</v>
      </c>
      <c r="F135" s="20" t="n">
        <v>0</v>
      </c>
      <c r="G135" s="20" t="n">
        <v>0</v>
      </c>
      <c r="H135" s="20" t="n">
        <v>0</v>
      </c>
      <c r="I135" s="20" t="n">
        <v>0</v>
      </c>
      <c r="J135" s="20" t="n">
        <v>0</v>
      </c>
      <c r="K135" s="20" t="n">
        <v>0</v>
      </c>
      <c r="L135" s="20" t="n">
        <v>0</v>
      </c>
      <c r="M135" s="20" t="n">
        <v>0</v>
      </c>
      <c r="N135" s="20" t="n">
        <v>0</v>
      </c>
      <c r="T135" s="20" t="n">
        <v>27</v>
      </c>
      <c r="U135" s="20" t="n">
        <v>0</v>
      </c>
      <c r="V135" s="20" t="n">
        <v>0</v>
      </c>
      <c r="W135" s="20" t="n">
        <v>0</v>
      </c>
      <c r="X135" s="20" t="n">
        <v>0</v>
      </c>
    </row>
    <row r="136">
      <c r="A136" s="18" t="inlineStr">
        <is>
          <t>Share Of Other Comprehensive Income Of Investments Accounted For Using Equity Method Net Of Tax Items That May Be Reclassified To Profit Or Loss OCI</t>
        </is>
      </c>
      <c r="C136" s="20" t="n">
        <v>139</v>
      </c>
      <c r="D136" s="20" t="n">
        <v>70</v>
      </c>
      <c r="E136" s="20" t="n">
        <v>103</v>
      </c>
      <c r="F136" s="20" t="n">
        <v>137</v>
      </c>
      <c r="G136" s="20" t="n">
        <v>134</v>
      </c>
      <c r="H136" s="20" t="n">
        <v>-138</v>
      </c>
      <c r="I136" s="20" t="n">
        <v>-253</v>
      </c>
      <c r="J136" s="20" t="n">
        <v>-140</v>
      </c>
      <c r="K136" s="20" t="n">
        <v>130</v>
      </c>
      <c r="L136" s="20" t="n">
        <v>436</v>
      </c>
      <c r="M136" s="20" t="n">
        <v>367</v>
      </c>
      <c r="N136" s="20" t="n">
        <v>309</v>
      </c>
      <c r="T136" s="20" t="n">
        <v>54</v>
      </c>
      <c r="U136" s="20" t="n">
        <v>173</v>
      </c>
      <c r="V136" s="20" t="n">
        <v>103</v>
      </c>
      <c r="W136" s="20" t="n">
        <v>-253</v>
      </c>
      <c r="X136" s="20" t="n">
        <v>367</v>
      </c>
    </row>
    <row r="137">
      <c r="A137" s="18" t="inlineStr">
        <is>
          <t>Other Comprehensive Income</t>
        </is>
      </c>
      <c r="C137" s="20" t="n">
        <v>3949</v>
      </c>
      <c r="D137" s="20" t="n">
        <v>-10661</v>
      </c>
      <c r="E137" s="20" t="n">
        <v>18309</v>
      </c>
      <c r="F137" s="20" t="n">
        <v>21536</v>
      </c>
      <c r="G137" s="20" t="n">
        <v>-31729</v>
      </c>
      <c r="H137" s="20" t="n">
        <v>24387</v>
      </c>
      <c r="I137" s="20" t="n">
        <v>-18053</v>
      </c>
      <c r="J137" s="20" t="n">
        <v>-3816</v>
      </c>
      <c r="K137" s="20" t="n">
        <v>10120</v>
      </c>
      <c r="L137" s="20" t="n">
        <v>22197</v>
      </c>
      <c r="M137" s="20" t="n">
        <v>4707</v>
      </c>
      <c r="N137" s="20" t="n">
        <v>4710</v>
      </c>
      <c r="T137" s="20" t="n">
        <v>16811</v>
      </c>
      <c r="U137" s="20" t="n">
        <v>8683</v>
      </c>
      <c r="V137" s="20" t="n">
        <v>18309</v>
      </c>
      <c r="W137" s="20" t="n">
        <v>-18053</v>
      </c>
      <c r="X137" s="20" t="n">
        <v>4707</v>
      </c>
    </row>
    <row r="138">
      <c r="A138" s="9" t="inlineStr">
        <is>
          <t>포괄이익</t>
        </is>
      </c>
      <c r="C138" s="12" t="n">
        <v>23640</v>
      </c>
      <c r="D138" s="12" t="n">
        <v>5528</v>
      </c>
      <c r="E138" s="12" t="n">
        <v>36216</v>
      </c>
      <c r="F138" s="12" t="n">
        <v>32077</v>
      </c>
      <c r="G138" s="12" t="n">
        <v>-23546</v>
      </c>
      <c r="H138" s="12" t="n">
        <v>42199</v>
      </c>
      <c r="I138" s="12" t="n">
        <v>-28786</v>
      </c>
      <c r="J138" s="12" t="n">
        <v>9324</v>
      </c>
      <c r="K138" s="12" t="n">
        <v>18955</v>
      </c>
      <c r="L138" s="12" t="n">
        <v>35441</v>
      </c>
      <c r="M138" s="12" t="n">
        <v>952</v>
      </c>
      <c r="N138" s="12" t="n">
        <v>14781</v>
      </c>
      <c r="T138" s="12" t="n">
        <v>33526</v>
      </c>
      <c r="U138" s="12" t="n">
        <v>15122</v>
      </c>
      <c r="V138" s="12" t="n">
        <v>36216</v>
      </c>
      <c r="W138" s="12" t="n">
        <v>-28786</v>
      </c>
      <c r="X138" s="12" t="n">
        <v>952</v>
      </c>
    </row>
    <row r="139">
      <c r="A139" s="9" t="inlineStr">
        <is>
          <t>지배기업 소유주</t>
        </is>
      </c>
      <c r="C139" s="12" t="n">
        <v>19979</v>
      </c>
      <c r="D139" s="12" t="n">
        <v>3224</v>
      </c>
      <c r="E139" s="12" t="n">
        <v>33502</v>
      </c>
      <c r="F139" s="12" t="n">
        <v>28101</v>
      </c>
      <c r="G139" s="12" t="n">
        <v>-24753</v>
      </c>
      <c r="H139" s="12" t="n">
        <v>37070</v>
      </c>
      <c r="I139" s="12" t="n">
        <v>-27684</v>
      </c>
      <c r="J139" s="12" t="n">
        <v>6983</v>
      </c>
      <c r="K139" s="12" t="n">
        <v>15844</v>
      </c>
      <c r="L139" s="12" t="n">
        <v>31031</v>
      </c>
      <c r="M139" s="12" t="n">
        <v>-787</v>
      </c>
      <c r="N139" s="12" t="n">
        <v>12849</v>
      </c>
      <c r="T139" s="12" t="n">
        <v>29459</v>
      </c>
      <c r="U139" s="12" t="n">
        <v>13803</v>
      </c>
      <c r="V139" s="12" t="n">
        <v>33502</v>
      </c>
      <c r="W139" s="12" t="n">
        <v>-27684</v>
      </c>
      <c r="X139" s="12" t="n">
        <v>-787</v>
      </c>
    </row>
    <row r="140">
      <c r="A140" s="9" t="inlineStr">
        <is>
          <t>비지배지분</t>
        </is>
      </c>
      <c r="C140" s="12" t="n">
        <v>3661</v>
      </c>
      <c r="D140" s="12" t="n">
        <v>2304</v>
      </c>
      <c r="E140" s="12" t="n">
        <v>2714</v>
      </c>
      <c r="F140" s="12" t="n">
        <v>3976</v>
      </c>
      <c r="G140" s="12" t="n">
        <v>1207</v>
      </c>
      <c r="H140" s="12" t="n">
        <v>5128</v>
      </c>
      <c r="I140" s="12" t="n">
        <v>-1102</v>
      </c>
      <c r="J140" s="12" t="n">
        <v>2341</v>
      </c>
      <c r="K140" s="12" t="n">
        <v>3110</v>
      </c>
      <c r="L140" s="12" t="n">
        <v>4411</v>
      </c>
      <c r="M140" s="12" t="n">
        <v>1738</v>
      </c>
      <c r="N140" s="12" t="n">
        <v>1932</v>
      </c>
      <c r="T140" s="12" t="n">
        <v>4066</v>
      </c>
      <c r="U140" s="12" t="n">
        <v>1319</v>
      </c>
      <c r="V140" s="12" t="n">
        <v>2714</v>
      </c>
      <c r="W140" s="12" t="n">
        <v>-1102</v>
      </c>
      <c r="X140" s="12" t="n">
        <v>1738</v>
      </c>
    </row>
    <row r="142">
      <c r="A142" s="16" t="inlineStr">
        <is>
          <t>부문 · 전 항목</t>
        </is>
      </c>
      <c r="B142" s="42" t="inlineStr">
        <is>
          <t>부문 · 항목</t>
        </is>
      </c>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row>
    <row r="143">
      <c r="A143" s="5" t="inlineStr">
        <is>
          <t>항목</t>
        </is>
      </c>
      <c r="B143" s="5" t="inlineStr">
        <is>
          <t>참고</t>
        </is>
      </c>
      <c r="C143" s="5" t="inlineStr">
        <is>
          <t>2024.2Q</t>
        </is>
      </c>
      <c r="D143" s="5" t="inlineStr">
        <is>
          <t>2024.3Q</t>
        </is>
      </c>
      <c r="E143" s="5" t="inlineStr">
        <is>
          <t>2024.4Q</t>
        </is>
      </c>
      <c r="F143" s="5" t="inlineStr">
        <is>
          <t>2025.1Q</t>
        </is>
      </c>
      <c r="G143" s="5" t="inlineStr">
        <is>
          <t>2025.2Q</t>
        </is>
      </c>
      <c r="H143" s="5" t="inlineStr">
        <is>
          <t>2025.3Q</t>
        </is>
      </c>
      <c r="I143" s="5" t="inlineStr">
        <is>
          <t>2025.4Q</t>
        </is>
      </c>
      <c r="J143" s="5" t="inlineStr">
        <is>
          <t>2026.1Q</t>
        </is>
      </c>
      <c r="K143" s="5" t="inlineStr">
        <is>
          <t>2026.2Q</t>
        </is>
      </c>
      <c r="L143" s="5" t="inlineStr">
        <is>
          <t>2026.3Q</t>
        </is>
      </c>
      <c r="M143" s="5" t="inlineStr">
        <is>
          <t>2026.4Q</t>
        </is>
      </c>
      <c r="N143" s="5" t="inlineStr">
        <is>
          <t>2027.1Q</t>
        </is>
      </c>
      <c r="O143" s="5" t="inlineStr">
        <is>
          <t>2017</t>
        </is>
      </c>
      <c r="P143" s="5" t="inlineStr">
        <is>
          <t>2018</t>
        </is>
      </c>
      <c r="Q143" s="5" t="inlineStr">
        <is>
          <t>2019</t>
        </is>
      </c>
      <c r="R143" s="5" t="inlineStr">
        <is>
          <t>2020</t>
        </is>
      </c>
      <c r="S143" s="5" t="inlineStr">
        <is>
          <t>2021</t>
        </is>
      </c>
      <c r="T143" s="5" t="inlineStr">
        <is>
          <t>2022</t>
        </is>
      </c>
      <c r="U143" s="5" t="inlineStr">
        <is>
          <t>2023</t>
        </is>
      </c>
      <c r="V143" s="5" t="inlineStr">
        <is>
          <t>2024</t>
        </is>
      </c>
      <c r="W143" s="5" t="inlineStr">
        <is>
          <t>2025</t>
        </is>
      </c>
      <c r="X143" s="5" t="inlineStr">
        <is>
          <t>2026</t>
        </is>
      </c>
      <c r="Y143" s="5" t="inlineStr">
        <is>
          <t>2027(MW)</t>
        </is>
      </c>
      <c r="Z143" s="5" t="inlineStr">
        <is>
          <t>2028(MW)</t>
        </is>
      </c>
      <c r="AA143" s="5" t="inlineStr">
        <is>
          <t>2029(MW)</t>
        </is>
      </c>
      <c r="AB143" s="5" t="inlineStr">
        <is>
          <t>2030(MW)</t>
        </is>
      </c>
      <c r="AC143" s="5" t="inlineStr">
        <is>
          <t>2031(MW)</t>
        </is>
      </c>
    </row>
    <row r="144">
      <c r="A144" s="18" t="inlineStr">
        <is>
          <t>일본 · Revenue From External Customers</t>
        </is>
      </c>
      <c r="C144" s="20" t="n">
        <v>215569</v>
      </c>
      <c r="D144" s="20" t="n">
        <v>224239</v>
      </c>
      <c r="E144" s="20" t="n">
        <v>198123</v>
      </c>
      <c r="F144" s="20" t="n">
        <v>204749</v>
      </c>
      <c r="G144" s="20" t="n">
        <v>209467</v>
      </c>
      <c r="H144" s="20" t="n">
        <v>222304</v>
      </c>
      <c r="I144" s="20" t="n">
        <v>226850</v>
      </c>
      <c r="J144" s="20" t="n">
        <v>206158</v>
      </c>
      <c r="K144" s="20" t="n">
        <v>220320</v>
      </c>
      <c r="L144" s="20" t="n">
        <v>230701</v>
      </c>
      <c r="M144" s="20" t="n">
        <v>234005</v>
      </c>
      <c r="N144" s="20" t="n">
        <v>217808</v>
      </c>
      <c r="V144" s="20" t="n">
        <v>198123</v>
      </c>
      <c r="W144" s="20" t="n">
        <v>226850</v>
      </c>
      <c r="X144" s="20" t="n">
        <v>234005</v>
      </c>
    </row>
    <row r="145">
      <c r="A145" s="43" t="inlineStr">
        <is>
          <t>YoY</t>
        </is>
      </c>
      <c r="B145" s="3" t="inlineStr">
        <is>
          <t>전년 같은 분기·전년 대비</t>
        </is>
      </c>
      <c r="G145" s="15">
        <f>IF(OR(G144="",C144=""),"",IF(C144&lt;=0,"",IFERROR(G144/C144-1,"")))</f>
        <v/>
      </c>
      <c r="H145" s="15">
        <f>IF(OR(H144="",D144=""),"",IF(D144&lt;=0,"",IFERROR(H144/D144-1,"")))</f>
        <v/>
      </c>
      <c r="I145" s="15">
        <f>IF(OR(I144="",E144=""),"",IF(E144&lt;=0,"",IFERROR(I144/E144-1,"")))</f>
        <v/>
      </c>
      <c r="J145" s="15">
        <f>IF(OR(J144="",F144=""),"",IF(F144&lt;=0,"",IFERROR(J144/F144-1,"")))</f>
        <v/>
      </c>
      <c r="K145" s="15">
        <f>IF(OR(K144="",G144=""),"",IF(G144&lt;=0,"",IFERROR(K144/G144-1,"")))</f>
        <v/>
      </c>
      <c r="L145" s="15">
        <f>IF(OR(L144="",H144=""),"",IF(H144&lt;=0,"",IFERROR(L144/H144-1,"")))</f>
        <v/>
      </c>
      <c r="M145" s="15">
        <f>IF(OR(M144="",I144=""),"",IF(I144&lt;=0,"",IFERROR(M144/I144-1,"")))</f>
        <v/>
      </c>
      <c r="N145" s="15">
        <f>IF(OR(N144="",J144=""),"",IF(J144&lt;=0,"",IFERROR(N144/J144-1,"")))</f>
        <v/>
      </c>
      <c r="V145" s="15">
        <f>IF(OR(V144="",U144=""),"",IF(U144&lt;=0,"",IFERROR(V144/U144-1,"")))</f>
        <v/>
      </c>
      <c r="W145" s="15">
        <f>IF(OR(W144="",V144=""),"",IF(V144&lt;=0,"",IFERROR(W144/V144-1,"")))</f>
        <v/>
      </c>
      <c r="X145" s="15">
        <f>IF(OR(X144="",W144=""),"",IF(W144&lt;=0,"",IFERROR(X144/W144-1,"")))</f>
        <v/>
      </c>
    </row>
    <row r="146">
      <c r="A146" s="18" t="inlineStr">
        <is>
          <t>부문 · Revenue From External Customers</t>
        </is>
      </c>
      <c r="C146" s="20" t="n">
        <v>118374</v>
      </c>
      <c r="D146" s="20" t="n">
        <v>111222</v>
      </c>
      <c r="E146" s="20" t="n">
        <v>152148</v>
      </c>
      <c r="F146" s="20" t="n">
        <v>136748</v>
      </c>
      <c r="G146" s="20" t="n">
        <v>101555</v>
      </c>
      <c r="H146" s="20" t="n">
        <v>109812</v>
      </c>
      <c r="I146" s="20" t="n">
        <v>135857</v>
      </c>
      <c r="J146" s="20" t="n">
        <v>134179</v>
      </c>
      <c r="K146" s="20" t="n">
        <v>127701</v>
      </c>
      <c r="L146" s="20" t="n">
        <v>138060</v>
      </c>
      <c r="M146" s="20" t="n">
        <v>137716</v>
      </c>
      <c r="N146" s="20" t="n">
        <v>156050</v>
      </c>
      <c r="V146" s="20" t="n">
        <v>152148</v>
      </c>
      <c r="W146" s="20" t="n">
        <v>135857</v>
      </c>
      <c r="X146" s="20" t="n">
        <v>137716</v>
      </c>
    </row>
    <row r="147">
      <c r="A147" s="43" t="inlineStr">
        <is>
          <t>YoY</t>
        </is>
      </c>
      <c r="B147" s="3" t="inlineStr">
        <is>
          <t>전년 같은 분기·전년 대비</t>
        </is>
      </c>
      <c r="G147" s="15">
        <f>IF(OR(G146="",C146=""),"",IF(C146&lt;=0,"",IFERROR(G146/C146-1,"")))</f>
        <v/>
      </c>
      <c r="H147" s="15">
        <f>IF(OR(H146="",D146=""),"",IF(D146&lt;=0,"",IFERROR(H146/D146-1,"")))</f>
        <v/>
      </c>
      <c r="I147" s="15">
        <f>IF(OR(I146="",E146=""),"",IF(E146&lt;=0,"",IFERROR(I146/E146-1,"")))</f>
        <v/>
      </c>
      <c r="J147" s="15">
        <f>IF(OR(J146="",F146=""),"",IF(F146&lt;=0,"",IFERROR(J146/F146-1,"")))</f>
        <v/>
      </c>
      <c r="K147" s="15">
        <f>IF(OR(K146="",G146=""),"",IF(G146&lt;=0,"",IFERROR(K146/G146-1,"")))</f>
        <v/>
      </c>
      <c r="L147" s="15">
        <f>IF(OR(L146="",H146=""),"",IF(H146&lt;=0,"",IFERROR(L146/H146-1,"")))</f>
        <v/>
      </c>
      <c r="M147" s="15">
        <f>IF(OR(M146="",I146=""),"",IF(I146&lt;=0,"",IFERROR(M146/I146-1,"")))</f>
        <v/>
      </c>
      <c r="N147" s="15">
        <f>IF(OR(N146="",J146=""),"",IF(J146&lt;=0,"",IFERROR(N146/J146-1,"")))</f>
        <v/>
      </c>
      <c r="V147" s="15">
        <f>IF(OR(V146="",U146=""),"",IF(U146&lt;=0,"",IFERROR(V146/U146-1,"")))</f>
        <v/>
      </c>
      <c r="W147" s="15">
        <f>IF(OR(W146="",V146=""),"",IF(V146&lt;=0,"",IFERROR(W146/V146-1,"")))</f>
        <v/>
      </c>
      <c r="X147" s="15">
        <f>IF(OR(X146="",W146=""),"",IF(W146&lt;=0,"",IFERROR(X146/W146-1,"")))</f>
        <v/>
      </c>
    </row>
    <row r="148">
      <c r="A148" s="18" t="inlineStr">
        <is>
          <t>부문 · Revenue From External Customers</t>
        </is>
      </c>
      <c r="C148" s="20" t="n">
        <v>56876</v>
      </c>
      <c r="D148" s="20" t="n">
        <v>67026</v>
      </c>
      <c r="E148" s="20" t="n">
        <v>40591</v>
      </c>
      <c r="F148" s="20" t="n">
        <v>50754</v>
      </c>
      <c r="G148" s="20" t="n">
        <v>57020</v>
      </c>
      <c r="H148" s="20" t="n">
        <v>65461</v>
      </c>
      <c r="I148" s="20" t="n">
        <v>48830</v>
      </c>
      <c r="J148" s="20" t="n">
        <v>46147</v>
      </c>
      <c r="K148" s="20" t="n">
        <v>46993</v>
      </c>
      <c r="L148" s="20" t="n">
        <v>59826</v>
      </c>
      <c r="M148" s="20" t="n">
        <v>49411</v>
      </c>
      <c r="N148" s="20" t="n">
        <v>50269</v>
      </c>
      <c r="V148" s="20" t="n">
        <v>40591</v>
      </c>
      <c r="W148" s="20" t="n">
        <v>48830</v>
      </c>
      <c r="X148" s="20" t="n">
        <v>49411</v>
      </c>
    </row>
    <row r="149">
      <c r="A149" s="43" t="inlineStr">
        <is>
          <t>YoY</t>
        </is>
      </c>
      <c r="B149" s="3" t="inlineStr">
        <is>
          <t>전년 같은 분기·전년 대비</t>
        </is>
      </c>
      <c r="G149" s="15">
        <f>IF(OR(G148="",C148=""),"",IF(C148&lt;=0,"",IFERROR(G148/C148-1,"")))</f>
        <v/>
      </c>
      <c r="H149" s="15">
        <f>IF(OR(H148="",D148=""),"",IF(D148&lt;=0,"",IFERROR(H148/D148-1,"")))</f>
        <v/>
      </c>
      <c r="I149" s="15">
        <f>IF(OR(I148="",E148=""),"",IF(E148&lt;=0,"",IFERROR(I148/E148-1,"")))</f>
        <v/>
      </c>
      <c r="J149" s="15">
        <f>IF(OR(J148="",F148=""),"",IF(F148&lt;=0,"",IFERROR(J148/F148-1,"")))</f>
        <v/>
      </c>
      <c r="K149" s="15">
        <f>IF(OR(K148="",G148=""),"",IF(G148&lt;=0,"",IFERROR(K148/G148-1,"")))</f>
        <v/>
      </c>
      <c r="L149" s="15">
        <f>IF(OR(L148="",H148=""),"",IF(H148&lt;=0,"",IFERROR(L148/H148-1,"")))</f>
        <v/>
      </c>
      <c r="M149" s="15">
        <f>IF(OR(M148="",I148=""),"",IF(I148&lt;=0,"",IFERROR(M148/I148-1,"")))</f>
        <v/>
      </c>
      <c r="N149" s="15">
        <f>IF(OR(N148="",J148=""),"",IF(J148&lt;=0,"",IFERROR(N148/J148-1,"")))</f>
        <v/>
      </c>
      <c r="V149" s="15">
        <f>IF(OR(V148="",U148=""),"",IF(U148&lt;=0,"",IFERROR(V148/U148-1,"")))</f>
        <v/>
      </c>
      <c r="W149" s="15">
        <f>IF(OR(W148="",V148=""),"",IF(V148&lt;=0,"",IFERROR(W148/V148-1,"")))</f>
        <v/>
      </c>
      <c r="X149" s="15">
        <f>IF(OR(X148="",W148=""),"",IF(W148&lt;=0,"",IFERROR(X148/W148-1,"")))</f>
        <v/>
      </c>
    </row>
    <row r="150">
      <c r="A150" s="18" t="inlineStr">
        <is>
          <t>부문 · Revenue From External Customers</t>
        </is>
      </c>
      <c r="C150" s="20" t="n">
        <v>67264</v>
      </c>
      <c r="D150" s="20" t="n">
        <v>69237</v>
      </c>
      <c r="E150" s="20" t="n">
        <v>61207</v>
      </c>
      <c r="V150" s="20" t="n">
        <v>61207</v>
      </c>
    </row>
    <row r="151">
      <c r="A151" s="43" t="inlineStr">
        <is>
          <t>YoY</t>
        </is>
      </c>
      <c r="B151" s="3" t="inlineStr">
        <is>
          <t>전년 같은 분기·전년 대비</t>
        </is>
      </c>
      <c r="V151" s="15">
        <f>IF(OR(V150="",U150=""),"",IF(U150&lt;=0,"",IFERROR(V150/U150-1,"")))</f>
        <v/>
      </c>
    </row>
    <row r="152">
      <c r="A152" s="18" t="inlineStr">
        <is>
          <t>아시아 · Revenue From External Customers</t>
        </is>
      </c>
      <c r="F152" s="20" t="n">
        <v>65324</v>
      </c>
      <c r="G152" s="20" t="n">
        <v>66311</v>
      </c>
      <c r="H152" s="20" t="n">
        <v>71661</v>
      </c>
      <c r="I152" s="20" t="n">
        <v>66076</v>
      </c>
      <c r="J152" s="20" t="n">
        <v>66503</v>
      </c>
      <c r="K152" s="20" t="n">
        <v>69950</v>
      </c>
      <c r="L152" s="20" t="n">
        <v>73203</v>
      </c>
      <c r="M152" s="20" t="n">
        <v>75489</v>
      </c>
      <c r="N152" s="20" t="n">
        <v>73750</v>
      </c>
      <c r="W152" s="20" t="n">
        <v>66076</v>
      </c>
      <c r="X152" s="20" t="n">
        <v>75489</v>
      </c>
    </row>
    <row r="153">
      <c r="A153" s="43" t="inlineStr">
        <is>
          <t>YoY</t>
        </is>
      </c>
      <c r="B153" s="3" t="inlineStr">
        <is>
          <t>전년 같은 분기·전년 대비</t>
        </is>
      </c>
      <c r="G153" s="15">
        <f>IF(OR(G152="",C152=""),"",IF(C152&lt;=0,"",IFERROR(G152/C152-1,"")))</f>
        <v/>
      </c>
      <c r="H153" s="15">
        <f>IF(OR(H152="",D152=""),"",IF(D152&lt;=0,"",IFERROR(H152/D152-1,"")))</f>
        <v/>
      </c>
      <c r="I153" s="15">
        <f>IF(OR(I152="",E152=""),"",IF(E152&lt;=0,"",IFERROR(I152/E152-1,"")))</f>
        <v/>
      </c>
      <c r="J153" s="15">
        <f>IF(OR(J152="",F152=""),"",IF(F152&lt;=0,"",IFERROR(J152/F152-1,"")))</f>
        <v/>
      </c>
      <c r="K153" s="15">
        <f>IF(OR(K152="",G152=""),"",IF(G152&lt;=0,"",IFERROR(K152/G152-1,"")))</f>
        <v/>
      </c>
      <c r="L153" s="15">
        <f>IF(OR(L152="",H152=""),"",IF(H152&lt;=0,"",IFERROR(L152/H152-1,"")))</f>
        <v/>
      </c>
      <c r="M153" s="15">
        <f>IF(OR(M152="",I152=""),"",IF(I152&lt;=0,"",IFERROR(M152/I152-1,"")))</f>
        <v/>
      </c>
      <c r="N153" s="15">
        <f>IF(OR(N152="",J152=""),"",IF(J152&lt;=0,"",IFERROR(N152/J152-1,"")))</f>
        <v/>
      </c>
      <c r="W153" s="15">
        <f>IF(OR(W152="",V152=""),"",IF(V152&lt;=0,"",IFERROR(W152/V152-1,"")))</f>
        <v/>
      </c>
      <c r="X153" s="15">
        <f>IF(OR(X152="",W152=""),"",IF(W152&lt;=0,"",IFERROR(X152/W152-1,"")))</f>
        <v/>
      </c>
    </row>
    <row r="154">
      <c r="A154" s="18" t="inlineStr">
        <is>
          <t>부문 · Revenue From External Customers</t>
        </is>
      </c>
      <c r="C154" s="20" t="n">
        <v>30477</v>
      </c>
      <c r="D154" s="20" t="n">
        <v>35396</v>
      </c>
      <c r="E154" s="20" t="n">
        <v>30376</v>
      </c>
      <c r="F154" s="20" t="n">
        <v>30423</v>
      </c>
      <c r="G154" s="20" t="n">
        <v>25812</v>
      </c>
      <c r="H154" s="20" t="n">
        <v>29296</v>
      </c>
      <c r="I154" s="20" t="n">
        <v>29907</v>
      </c>
      <c r="J154" s="20" t="n">
        <v>26704</v>
      </c>
      <c r="K154" s="20" t="n">
        <v>27623</v>
      </c>
      <c r="L154" s="20" t="n">
        <v>32165</v>
      </c>
      <c r="M154" s="20" t="n">
        <v>34206</v>
      </c>
      <c r="N154" s="20" t="n">
        <v>30198</v>
      </c>
      <c r="V154" s="20" t="n">
        <v>30376</v>
      </c>
      <c r="W154" s="20" t="n">
        <v>29907</v>
      </c>
      <c r="X154" s="20" t="n">
        <v>34206</v>
      </c>
    </row>
    <row r="155">
      <c r="A155" s="43" t="inlineStr">
        <is>
          <t>YoY</t>
        </is>
      </c>
      <c r="B155" s="3" t="inlineStr">
        <is>
          <t>전년 같은 분기·전년 대비</t>
        </is>
      </c>
      <c r="G155" s="15">
        <f>IF(OR(G154="",C154=""),"",IF(C154&lt;=0,"",IFERROR(G154/C154-1,"")))</f>
        <v/>
      </c>
      <c r="H155" s="15">
        <f>IF(OR(H154="",D154=""),"",IF(D154&lt;=0,"",IFERROR(H154/D154-1,"")))</f>
        <v/>
      </c>
      <c r="I155" s="15">
        <f>IF(OR(I154="",E154=""),"",IF(E154&lt;=0,"",IFERROR(I154/E154-1,"")))</f>
        <v/>
      </c>
      <c r="J155" s="15">
        <f>IF(OR(J154="",F154=""),"",IF(F154&lt;=0,"",IFERROR(J154/F154-1,"")))</f>
        <v/>
      </c>
      <c r="K155" s="15">
        <f>IF(OR(K154="",G154=""),"",IF(G154&lt;=0,"",IFERROR(K154/G154-1,"")))</f>
        <v/>
      </c>
      <c r="L155" s="15">
        <f>IF(OR(L154="",H154=""),"",IF(H154&lt;=0,"",IFERROR(L154/H154-1,"")))</f>
        <v/>
      </c>
      <c r="M155" s="15">
        <f>IF(OR(M154="",I154=""),"",IF(I154&lt;=0,"",IFERROR(M154/I154-1,"")))</f>
        <v/>
      </c>
      <c r="N155" s="15">
        <f>IF(OR(N154="",J154=""),"",IF(J154&lt;=0,"",IFERROR(N154/J154-1,"")))</f>
        <v/>
      </c>
      <c r="V155" s="15">
        <f>IF(OR(V154="",U154=""),"",IF(U154&lt;=0,"",IFERROR(V154/U154-1,"")))</f>
        <v/>
      </c>
      <c r="W155" s="15">
        <f>IF(OR(W154="",V154=""),"",IF(V154&lt;=0,"",IFERROR(W154/V154-1,"")))</f>
        <v/>
      </c>
      <c r="X155" s="15">
        <f>IF(OR(X154="",W154=""),"",IF(W154&lt;=0,"",IFERROR(X154/W154-1,"")))</f>
        <v/>
      </c>
    </row>
    <row r="156">
      <c r="A156" s="18" t="inlineStr">
        <is>
          <t>보고부문 합계 · Revenue From External Customers</t>
        </is>
      </c>
      <c r="C156" s="20" t="n">
        <v>488559</v>
      </c>
      <c r="D156" s="20" t="n">
        <v>507121</v>
      </c>
      <c r="E156" s="20" t="n">
        <v>482446</v>
      </c>
      <c r="F156" s="20" t="n">
        <v>488000</v>
      </c>
      <c r="G156" s="20" t="n">
        <v>460165</v>
      </c>
      <c r="H156" s="20" t="n">
        <v>498534</v>
      </c>
      <c r="I156" s="20" t="n">
        <v>507519</v>
      </c>
      <c r="J156" s="20" t="n">
        <v>479693</v>
      </c>
      <c r="K156" s="20" t="n">
        <v>492586</v>
      </c>
      <c r="L156" s="20" t="n">
        <v>533957</v>
      </c>
      <c r="M156" s="20" t="n">
        <v>530827</v>
      </c>
      <c r="N156" s="20" t="n">
        <v>528077</v>
      </c>
      <c r="V156" s="20" t="n">
        <v>482446</v>
      </c>
      <c r="W156" s="20" t="n">
        <v>507519</v>
      </c>
      <c r="X156" s="20" t="n">
        <v>530827</v>
      </c>
    </row>
    <row r="157">
      <c r="A157" s="43" t="inlineStr">
        <is>
          <t>YoY</t>
        </is>
      </c>
      <c r="B157" s="3" t="inlineStr">
        <is>
          <t>전년 같은 분기·전년 대비</t>
        </is>
      </c>
      <c r="G157" s="15">
        <f>IF(OR(G156="",C156=""),"",IF(C156&lt;=0,"",IFERROR(G156/C156-1,"")))</f>
        <v/>
      </c>
      <c r="H157" s="15">
        <f>IF(OR(H156="",D156=""),"",IF(D156&lt;=0,"",IFERROR(H156/D156-1,"")))</f>
        <v/>
      </c>
      <c r="I157" s="15">
        <f>IF(OR(I156="",E156=""),"",IF(E156&lt;=0,"",IFERROR(I156/E156-1,"")))</f>
        <v/>
      </c>
      <c r="J157" s="15">
        <f>IF(OR(J156="",F156=""),"",IF(F156&lt;=0,"",IFERROR(J156/F156-1,"")))</f>
        <v/>
      </c>
      <c r="K157" s="15">
        <f>IF(OR(K156="",G156=""),"",IF(G156&lt;=0,"",IFERROR(K156/G156-1,"")))</f>
        <v/>
      </c>
      <c r="L157" s="15">
        <f>IF(OR(L156="",H156=""),"",IF(H156&lt;=0,"",IFERROR(L156/H156-1,"")))</f>
        <v/>
      </c>
      <c r="M157" s="15">
        <f>IF(OR(M156="",I156=""),"",IF(I156&lt;=0,"",IFERROR(M156/I156-1,"")))</f>
        <v/>
      </c>
      <c r="N157" s="15">
        <f>IF(OR(N156="",J156=""),"",IF(J156&lt;=0,"",IFERROR(N156/J156-1,"")))</f>
        <v/>
      </c>
      <c r="V157" s="15">
        <f>IF(OR(V156="",U156=""),"",IF(U156&lt;=0,"",IFERROR(V156/U156-1,"")))</f>
        <v/>
      </c>
      <c r="W157" s="15">
        <f>IF(OR(W156="",V156=""),"",IF(V156&lt;=0,"",IFERROR(W156/V156-1,"")))</f>
        <v/>
      </c>
      <c r="X157" s="15">
        <f>IF(OR(X156="",W156=""),"",IF(W156&lt;=0,"",IFERROR(X156/W156-1,"")))</f>
        <v/>
      </c>
    </row>
    <row r="158">
      <c r="A158" s="18" t="inlineStr">
        <is>
          <t>조정액 · Revenue From External Customers</t>
        </is>
      </c>
      <c r="C158" s="20" t="n">
        <v>0</v>
      </c>
      <c r="D158" s="20" t="n">
        <v>0</v>
      </c>
      <c r="E158" s="20" t="n">
        <v>0</v>
      </c>
      <c r="F158" s="20" t="n">
        <v>0</v>
      </c>
      <c r="G158" s="20" t="n">
        <v>0</v>
      </c>
      <c r="H158" s="20" t="n">
        <v>0</v>
      </c>
      <c r="I158" s="20" t="n">
        <v>0</v>
      </c>
      <c r="J158" s="20" t="n">
        <v>0</v>
      </c>
      <c r="K158" s="20" t="n">
        <v>0</v>
      </c>
      <c r="L158" s="20" t="n">
        <v>0</v>
      </c>
      <c r="M158" s="20" t="n">
        <v>0</v>
      </c>
      <c r="N158" s="20" t="n">
        <v>0</v>
      </c>
      <c r="V158" s="20" t="n">
        <v>0</v>
      </c>
      <c r="W158" s="20" t="n">
        <v>0</v>
      </c>
      <c r="X158" s="20" t="n">
        <v>0</v>
      </c>
    </row>
    <row r="159">
      <c r="A159" s="9" t="inlineStr">
        <is>
          <t>Revenue From External Customers</t>
        </is>
      </c>
      <c r="C159" s="12" t="n">
        <v>488559</v>
      </c>
      <c r="D159" s="12" t="n">
        <v>507121</v>
      </c>
      <c r="E159" s="12" t="n">
        <v>482446</v>
      </c>
      <c r="F159" s="12" t="n">
        <v>488000</v>
      </c>
      <c r="G159" s="12" t="n">
        <v>460165</v>
      </c>
      <c r="H159" s="12" t="n">
        <v>498534</v>
      </c>
      <c r="I159" s="12" t="n">
        <v>507519</v>
      </c>
      <c r="J159" s="12" t="n">
        <v>479693</v>
      </c>
      <c r="K159" s="12" t="n">
        <v>492586</v>
      </c>
      <c r="L159" s="12" t="n">
        <v>533957</v>
      </c>
      <c r="M159" s="12" t="n">
        <v>530827</v>
      </c>
      <c r="N159" s="12" t="n">
        <v>528077</v>
      </c>
      <c r="V159" s="12" t="n">
        <v>482446</v>
      </c>
      <c r="W159" s="12" t="n">
        <v>507519</v>
      </c>
      <c r="X159" s="12" t="n">
        <v>530827</v>
      </c>
    </row>
    <row r="160">
      <c r="A160" s="43" t="inlineStr">
        <is>
          <t>YoY</t>
        </is>
      </c>
      <c r="B160" s="3" t="inlineStr">
        <is>
          <t>전년 같은 분기·전년 대비</t>
        </is>
      </c>
      <c r="G160" s="15">
        <f>IF(OR(G159="",C159=""),"",IF(C159&lt;=0,"",IFERROR(G159/C159-1,"")))</f>
        <v/>
      </c>
      <c r="H160" s="15">
        <f>IF(OR(H159="",D159=""),"",IF(D159&lt;=0,"",IFERROR(H159/D159-1,"")))</f>
        <v/>
      </c>
      <c r="I160" s="15">
        <f>IF(OR(I159="",E159=""),"",IF(E159&lt;=0,"",IFERROR(I159/E159-1,"")))</f>
        <v/>
      </c>
      <c r="J160" s="15">
        <f>IF(OR(J159="",F159=""),"",IF(F159&lt;=0,"",IFERROR(J159/F159-1,"")))</f>
        <v/>
      </c>
      <c r="K160" s="15">
        <f>IF(OR(K159="",G159=""),"",IF(G159&lt;=0,"",IFERROR(K159/G159-1,"")))</f>
        <v/>
      </c>
      <c r="L160" s="15">
        <f>IF(OR(L159="",H159=""),"",IF(H159&lt;=0,"",IFERROR(L159/H159-1,"")))</f>
        <v/>
      </c>
      <c r="M160" s="15">
        <f>IF(OR(M159="",I159=""),"",IF(I159&lt;=0,"",IFERROR(M159/I159-1,"")))</f>
        <v/>
      </c>
      <c r="N160" s="15">
        <f>IF(OR(N159="",J159=""),"",IF(J159&lt;=0,"",IFERROR(N159/J159-1,"")))</f>
        <v/>
      </c>
      <c r="V160" s="15">
        <f>IF(OR(V159="",U159=""),"",IF(U159&lt;=0,"",IFERROR(V159/U159-1,"")))</f>
        <v/>
      </c>
      <c r="W160" s="15">
        <f>IF(OR(W159="",V159=""),"",IF(V159&lt;=0,"",IFERROR(W159/V159-1,"")))</f>
        <v/>
      </c>
      <c r="X160" s="15">
        <f>IF(OR(X159="",W159=""),"",IF(W159&lt;=0,"",IFERROR(X159/W159-1,"")))</f>
        <v/>
      </c>
    </row>
    <row r="161">
      <c r="A161" s="18" t="inlineStr">
        <is>
          <t>일본 · Intersegment Revenue</t>
        </is>
      </c>
      <c r="C161" s="20" t="n">
        <v>17828</v>
      </c>
      <c r="D161" s="20" t="n">
        <v>19820</v>
      </c>
      <c r="E161" s="20" t="n">
        <v>18171</v>
      </c>
      <c r="F161" s="20" t="n">
        <v>19451</v>
      </c>
      <c r="G161" s="20" t="n">
        <v>19402</v>
      </c>
      <c r="H161" s="20" t="n">
        <v>18532</v>
      </c>
      <c r="I161" s="20" t="n">
        <v>18524</v>
      </c>
      <c r="J161" s="20" t="n">
        <v>17706</v>
      </c>
      <c r="K161" s="20" t="n">
        <v>19422</v>
      </c>
      <c r="L161" s="20" t="n">
        <v>19718</v>
      </c>
      <c r="M161" s="20" t="n">
        <v>19998</v>
      </c>
      <c r="N161" s="20" t="n">
        <v>20746</v>
      </c>
      <c r="V161" s="20" t="n">
        <v>18171</v>
      </c>
      <c r="W161" s="20" t="n">
        <v>18524</v>
      </c>
      <c r="X161" s="20" t="n">
        <v>19998</v>
      </c>
    </row>
    <row r="162">
      <c r="A162" s="18" t="inlineStr">
        <is>
          <t>부문 · Intersegment Revenue</t>
        </is>
      </c>
      <c r="C162" s="20" t="n">
        <v>1125</v>
      </c>
      <c r="D162" s="20" t="n">
        <v>1125</v>
      </c>
      <c r="E162" s="20" t="n">
        <v>1430</v>
      </c>
      <c r="F162" s="20" t="n">
        <v>1419</v>
      </c>
      <c r="G162" s="20" t="n">
        <v>1105</v>
      </c>
      <c r="H162" s="20" t="n">
        <v>1449</v>
      </c>
      <c r="I162" s="20" t="n">
        <v>1154</v>
      </c>
      <c r="J162" s="20" t="n">
        <v>991</v>
      </c>
      <c r="K162" s="20" t="n">
        <v>1401</v>
      </c>
      <c r="L162" s="20" t="n">
        <v>1253</v>
      </c>
      <c r="M162" s="20" t="n">
        <v>1026</v>
      </c>
      <c r="N162" s="20" t="n">
        <v>1158</v>
      </c>
      <c r="V162" s="20" t="n">
        <v>1430</v>
      </c>
      <c r="W162" s="20" t="n">
        <v>1154</v>
      </c>
      <c r="X162" s="20" t="n">
        <v>1026</v>
      </c>
    </row>
    <row r="163">
      <c r="A163" s="18" t="inlineStr">
        <is>
          <t>부문 · Intersegment Revenue</t>
        </is>
      </c>
      <c r="C163" s="20" t="n">
        <v>3063</v>
      </c>
      <c r="D163" s="20" t="n">
        <v>2904</v>
      </c>
      <c r="E163" s="20" t="n">
        <v>2895</v>
      </c>
      <c r="F163" s="20" t="n">
        <v>2326</v>
      </c>
      <c r="G163" s="20" t="n">
        <v>2508</v>
      </c>
      <c r="H163" s="20" t="n">
        <v>3624</v>
      </c>
      <c r="I163" s="20" t="n">
        <v>3017</v>
      </c>
      <c r="J163" s="20" t="n">
        <v>2121</v>
      </c>
      <c r="K163" s="20" t="n">
        <v>2764</v>
      </c>
      <c r="L163" s="20" t="n">
        <v>2531</v>
      </c>
      <c r="M163" s="20" t="n">
        <v>6264</v>
      </c>
      <c r="N163" s="20" t="n">
        <v>3700</v>
      </c>
      <c r="V163" s="20" t="n">
        <v>2895</v>
      </c>
      <c r="W163" s="20" t="n">
        <v>3017</v>
      </c>
      <c r="X163" s="20" t="n">
        <v>6264</v>
      </c>
    </row>
    <row r="164">
      <c r="A164" s="18" t="inlineStr">
        <is>
          <t>부문 · Intersegment Revenue</t>
        </is>
      </c>
      <c r="C164" s="20" t="n">
        <v>4961</v>
      </c>
      <c r="D164" s="20" t="n">
        <v>3737</v>
      </c>
      <c r="E164" s="20" t="n">
        <v>5100</v>
      </c>
      <c r="V164" s="20" t="n">
        <v>5100</v>
      </c>
    </row>
    <row r="165">
      <c r="A165" s="18" t="inlineStr">
        <is>
          <t>아시아 · Intersegment Revenue</t>
        </is>
      </c>
      <c r="F165" s="20" t="n">
        <v>4038</v>
      </c>
      <c r="G165" s="20" t="n">
        <v>4343</v>
      </c>
      <c r="H165" s="20" t="n">
        <v>3995</v>
      </c>
      <c r="I165" s="20" t="n">
        <v>4488</v>
      </c>
      <c r="J165" s="20" t="n">
        <v>3517</v>
      </c>
      <c r="K165" s="20" t="n">
        <v>4239</v>
      </c>
      <c r="L165" s="20" t="n">
        <v>5014</v>
      </c>
      <c r="M165" s="20" t="n">
        <v>4364</v>
      </c>
      <c r="N165" s="20" t="n">
        <v>4255</v>
      </c>
      <c r="W165" s="20" t="n">
        <v>4488</v>
      </c>
      <c r="X165" s="20" t="n">
        <v>4364</v>
      </c>
    </row>
    <row r="166">
      <c r="A166" s="18" t="inlineStr">
        <is>
          <t>부문 · Intersegment Revenue</t>
        </is>
      </c>
      <c r="C166" s="20" t="n">
        <v>464</v>
      </c>
      <c r="D166" s="20" t="n">
        <v>463</v>
      </c>
      <c r="E166" s="20" t="n">
        <v>538</v>
      </c>
      <c r="F166" s="20" t="n">
        <v>514</v>
      </c>
      <c r="G166" s="20" t="n">
        <v>666</v>
      </c>
      <c r="H166" s="20" t="n">
        <v>748</v>
      </c>
      <c r="I166" s="20" t="n">
        <v>803</v>
      </c>
      <c r="J166" s="20" t="n">
        <v>501</v>
      </c>
      <c r="K166" s="20" t="n">
        <v>698</v>
      </c>
      <c r="L166" s="20" t="n">
        <v>849</v>
      </c>
      <c r="M166" s="20" t="n">
        <v>1313</v>
      </c>
      <c r="N166" s="20" t="n">
        <v>881</v>
      </c>
      <c r="V166" s="20" t="n">
        <v>538</v>
      </c>
      <c r="W166" s="20" t="n">
        <v>803</v>
      </c>
      <c r="X166" s="20" t="n">
        <v>1313</v>
      </c>
    </row>
    <row r="167">
      <c r="A167" s="18" t="inlineStr">
        <is>
          <t>보고부문 합계 · Intersegment Revenue</t>
        </is>
      </c>
      <c r="C167" s="20" t="n">
        <v>27441</v>
      </c>
      <c r="D167" s="20" t="n">
        <v>28050</v>
      </c>
      <c r="E167" s="20" t="n">
        <v>28133</v>
      </c>
      <c r="F167" s="20" t="n">
        <v>27749</v>
      </c>
      <c r="G167" s="20" t="n">
        <v>28025</v>
      </c>
      <c r="H167" s="20" t="n">
        <v>28347</v>
      </c>
      <c r="I167" s="20" t="n">
        <v>27987</v>
      </c>
      <c r="J167" s="20" t="n">
        <v>24838</v>
      </c>
      <c r="K167" s="20" t="n">
        <v>28525</v>
      </c>
      <c r="L167" s="20" t="n">
        <v>29363</v>
      </c>
      <c r="M167" s="20" t="n">
        <v>32966</v>
      </c>
      <c r="N167" s="20" t="n">
        <v>30742</v>
      </c>
      <c r="V167" s="20" t="n">
        <v>28133</v>
      </c>
      <c r="W167" s="20" t="n">
        <v>27987</v>
      </c>
      <c r="X167" s="20" t="n">
        <v>32966</v>
      </c>
    </row>
    <row r="168">
      <c r="A168" s="18" t="inlineStr">
        <is>
          <t>조정액 · Intersegment Revenue</t>
        </is>
      </c>
      <c r="C168" s="20" t="n">
        <v>-27441</v>
      </c>
      <c r="D168" s="20" t="n">
        <v>-28050</v>
      </c>
      <c r="E168" s="20" t="n">
        <v>-28133</v>
      </c>
      <c r="F168" s="20" t="n">
        <v>-27749</v>
      </c>
      <c r="G168" s="20" t="n">
        <v>-28025</v>
      </c>
      <c r="H168" s="20" t="n">
        <v>-28347</v>
      </c>
      <c r="I168" s="20" t="n">
        <v>-27987</v>
      </c>
      <c r="J168" s="20" t="n">
        <v>-24838</v>
      </c>
      <c r="K168" s="20" t="n">
        <v>-28525</v>
      </c>
      <c r="L168" s="20" t="n">
        <v>-29363</v>
      </c>
      <c r="M168" s="20" t="n">
        <v>-32966</v>
      </c>
      <c r="N168" s="20" t="n">
        <v>-30742</v>
      </c>
      <c r="V168" s="20" t="n">
        <v>-28133</v>
      </c>
      <c r="W168" s="20" t="n">
        <v>-27987</v>
      </c>
      <c r="X168" s="20" t="n">
        <v>-32966</v>
      </c>
    </row>
    <row r="169">
      <c r="A169" s="18" t="inlineStr">
        <is>
          <t>Intersegment Revenue</t>
        </is>
      </c>
      <c r="C169" s="20" t="n">
        <v>0</v>
      </c>
      <c r="D169" s="20" t="n">
        <v>0</v>
      </c>
      <c r="E169" s="20" t="n">
        <v>0</v>
      </c>
      <c r="F169" s="20" t="n">
        <v>0</v>
      </c>
      <c r="G169" s="20" t="n">
        <v>0</v>
      </c>
      <c r="H169" s="20" t="n">
        <v>0</v>
      </c>
      <c r="I169" s="20" t="n">
        <v>0</v>
      </c>
      <c r="J169" s="20" t="n">
        <v>0</v>
      </c>
      <c r="K169" s="20" t="n">
        <v>0</v>
      </c>
      <c r="L169" s="20" t="n">
        <v>0</v>
      </c>
      <c r="M169" s="20" t="n">
        <v>0</v>
      </c>
      <c r="N169" s="20" t="n">
        <v>0</v>
      </c>
      <c r="V169" s="20" t="n">
        <v>0</v>
      </c>
      <c r="W169" s="20" t="n">
        <v>0</v>
      </c>
      <c r="X169" s="20" t="n">
        <v>0</v>
      </c>
    </row>
    <row r="170">
      <c r="A170" s="18" t="inlineStr">
        <is>
          <t>일본 · 계</t>
        </is>
      </c>
      <c r="C170" s="20" t="n">
        <v>233397</v>
      </c>
      <c r="D170" s="20" t="n">
        <v>244059</v>
      </c>
      <c r="E170" s="20" t="n">
        <v>216294</v>
      </c>
      <c r="F170" s="20" t="n">
        <v>224200</v>
      </c>
      <c r="G170" s="20" t="n">
        <v>228870</v>
      </c>
      <c r="H170" s="20" t="n">
        <v>240835</v>
      </c>
      <c r="I170" s="20" t="n">
        <v>245375</v>
      </c>
      <c r="J170" s="20" t="n">
        <v>223865</v>
      </c>
      <c r="K170" s="20" t="n">
        <v>239741</v>
      </c>
      <c r="L170" s="20" t="n">
        <v>250420</v>
      </c>
      <c r="M170" s="20" t="n">
        <v>254003</v>
      </c>
      <c r="N170" s="20" t="n">
        <v>238555</v>
      </c>
      <c r="V170" s="20" t="n">
        <v>216294</v>
      </c>
      <c r="W170" s="20" t="n">
        <v>245375</v>
      </c>
      <c r="X170" s="20" t="n">
        <v>254003</v>
      </c>
    </row>
    <row r="171">
      <c r="A171" s="43" t="inlineStr">
        <is>
          <t>YoY</t>
        </is>
      </c>
      <c r="B171" s="3" t="inlineStr">
        <is>
          <t>전년 같은 분기·전년 대비</t>
        </is>
      </c>
      <c r="G171" s="15">
        <f>IF(OR(G170="",C170=""),"",IF(C170&lt;=0,"",IFERROR(G170/C170-1,"")))</f>
        <v/>
      </c>
      <c r="H171" s="15">
        <f>IF(OR(H170="",D170=""),"",IF(D170&lt;=0,"",IFERROR(H170/D170-1,"")))</f>
        <v/>
      </c>
      <c r="I171" s="15">
        <f>IF(OR(I170="",E170=""),"",IF(E170&lt;=0,"",IFERROR(I170/E170-1,"")))</f>
        <v/>
      </c>
      <c r="J171" s="15">
        <f>IF(OR(J170="",F170=""),"",IF(F170&lt;=0,"",IFERROR(J170/F170-1,"")))</f>
        <v/>
      </c>
      <c r="K171" s="15">
        <f>IF(OR(K170="",G170=""),"",IF(G170&lt;=0,"",IFERROR(K170/G170-1,"")))</f>
        <v/>
      </c>
      <c r="L171" s="15">
        <f>IF(OR(L170="",H170=""),"",IF(H170&lt;=0,"",IFERROR(L170/H170-1,"")))</f>
        <v/>
      </c>
      <c r="M171" s="15">
        <f>IF(OR(M170="",I170=""),"",IF(I170&lt;=0,"",IFERROR(M170/I170-1,"")))</f>
        <v/>
      </c>
      <c r="N171" s="15">
        <f>IF(OR(N170="",J170=""),"",IF(J170&lt;=0,"",IFERROR(N170/J170-1,"")))</f>
        <v/>
      </c>
      <c r="V171" s="15">
        <f>IF(OR(V170="",U170=""),"",IF(U170&lt;=0,"",IFERROR(V170/U170-1,"")))</f>
        <v/>
      </c>
      <c r="W171" s="15">
        <f>IF(OR(W170="",V170=""),"",IF(V170&lt;=0,"",IFERROR(W170/V170-1,"")))</f>
        <v/>
      </c>
      <c r="X171" s="15">
        <f>IF(OR(X170="",W170=""),"",IF(W170&lt;=0,"",IFERROR(X170/W170-1,"")))</f>
        <v/>
      </c>
    </row>
    <row r="172">
      <c r="A172" s="18" t="inlineStr">
        <is>
          <t>부문 · 계</t>
        </is>
      </c>
      <c r="C172" s="20" t="n">
        <v>119498</v>
      </c>
      <c r="D172" s="20" t="n">
        <v>112348</v>
      </c>
      <c r="E172" s="20" t="n">
        <v>153577</v>
      </c>
      <c r="F172" s="20" t="n">
        <v>138167</v>
      </c>
      <c r="G172" s="20" t="n">
        <v>102660</v>
      </c>
      <c r="H172" s="20" t="n">
        <v>111262</v>
      </c>
      <c r="I172" s="20" t="n">
        <v>137010</v>
      </c>
      <c r="J172" s="20" t="n">
        <v>135171</v>
      </c>
      <c r="K172" s="20" t="n">
        <v>129102</v>
      </c>
      <c r="L172" s="20" t="n">
        <v>139312</v>
      </c>
      <c r="M172" s="20" t="n">
        <v>138742</v>
      </c>
      <c r="N172" s="20" t="n">
        <v>157208</v>
      </c>
      <c r="V172" s="20" t="n">
        <v>153577</v>
      </c>
      <c r="W172" s="20" t="n">
        <v>137010</v>
      </c>
      <c r="X172" s="20" t="n">
        <v>138742</v>
      </c>
    </row>
    <row r="173">
      <c r="A173" s="43" t="inlineStr">
        <is>
          <t>YoY</t>
        </is>
      </c>
      <c r="B173" s="3" t="inlineStr">
        <is>
          <t>전년 같은 분기·전년 대비</t>
        </is>
      </c>
      <c r="G173" s="15">
        <f>IF(OR(G172="",C172=""),"",IF(C172&lt;=0,"",IFERROR(G172/C172-1,"")))</f>
        <v/>
      </c>
      <c r="H173" s="15">
        <f>IF(OR(H172="",D172=""),"",IF(D172&lt;=0,"",IFERROR(H172/D172-1,"")))</f>
        <v/>
      </c>
      <c r="I173" s="15">
        <f>IF(OR(I172="",E172=""),"",IF(E172&lt;=0,"",IFERROR(I172/E172-1,"")))</f>
        <v/>
      </c>
      <c r="J173" s="15">
        <f>IF(OR(J172="",F172=""),"",IF(F172&lt;=0,"",IFERROR(J172/F172-1,"")))</f>
        <v/>
      </c>
      <c r="K173" s="15">
        <f>IF(OR(K172="",G172=""),"",IF(G172&lt;=0,"",IFERROR(K172/G172-1,"")))</f>
        <v/>
      </c>
      <c r="L173" s="15">
        <f>IF(OR(L172="",H172=""),"",IF(H172&lt;=0,"",IFERROR(L172/H172-1,"")))</f>
        <v/>
      </c>
      <c r="M173" s="15">
        <f>IF(OR(M172="",I172=""),"",IF(I172&lt;=0,"",IFERROR(M172/I172-1,"")))</f>
        <v/>
      </c>
      <c r="N173" s="15">
        <f>IF(OR(N172="",J172=""),"",IF(J172&lt;=0,"",IFERROR(N172/J172-1,"")))</f>
        <v/>
      </c>
      <c r="V173" s="15">
        <f>IF(OR(V172="",U172=""),"",IF(U172&lt;=0,"",IFERROR(V172/U172-1,"")))</f>
        <v/>
      </c>
      <c r="W173" s="15">
        <f>IF(OR(W172="",V172=""),"",IF(V172&lt;=0,"",IFERROR(W172/V172-1,"")))</f>
        <v/>
      </c>
      <c r="X173" s="15">
        <f>IF(OR(X172="",W172=""),"",IF(W172&lt;=0,"",IFERROR(X172/W172-1,"")))</f>
        <v/>
      </c>
    </row>
    <row r="174">
      <c r="A174" s="18" t="inlineStr">
        <is>
          <t>부문 · 계</t>
        </is>
      </c>
      <c r="C174" s="20" t="n">
        <v>59939</v>
      </c>
      <c r="D174" s="20" t="n">
        <v>69931</v>
      </c>
      <c r="E174" s="20" t="n">
        <v>43486</v>
      </c>
      <c r="F174" s="20" t="n">
        <v>53080</v>
      </c>
      <c r="G174" s="20" t="n">
        <v>59528</v>
      </c>
      <c r="H174" s="20" t="n">
        <v>69085</v>
      </c>
      <c r="I174" s="20" t="n">
        <v>51847</v>
      </c>
      <c r="J174" s="20" t="n">
        <v>48269</v>
      </c>
      <c r="K174" s="20" t="n">
        <v>49757</v>
      </c>
      <c r="L174" s="20" t="n">
        <v>62356</v>
      </c>
      <c r="M174" s="20" t="n">
        <v>55676</v>
      </c>
      <c r="N174" s="20" t="n">
        <v>53969</v>
      </c>
      <c r="V174" s="20" t="n">
        <v>43486</v>
      </c>
      <c r="W174" s="20" t="n">
        <v>51847</v>
      </c>
      <c r="X174" s="20" t="n">
        <v>55676</v>
      </c>
    </row>
    <row r="175">
      <c r="A175" s="43" t="inlineStr">
        <is>
          <t>YoY</t>
        </is>
      </c>
      <c r="B175" s="3" t="inlineStr">
        <is>
          <t>전년 같은 분기·전년 대비</t>
        </is>
      </c>
      <c r="G175" s="15">
        <f>IF(OR(G174="",C174=""),"",IF(C174&lt;=0,"",IFERROR(G174/C174-1,"")))</f>
        <v/>
      </c>
      <c r="H175" s="15">
        <f>IF(OR(H174="",D174=""),"",IF(D174&lt;=0,"",IFERROR(H174/D174-1,"")))</f>
        <v/>
      </c>
      <c r="I175" s="15">
        <f>IF(OR(I174="",E174=""),"",IF(E174&lt;=0,"",IFERROR(I174/E174-1,"")))</f>
        <v/>
      </c>
      <c r="J175" s="15">
        <f>IF(OR(J174="",F174=""),"",IF(F174&lt;=0,"",IFERROR(J174/F174-1,"")))</f>
        <v/>
      </c>
      <c r="K175" s="15">
        <f>IF(OR(K174="",G174=""),"",IF(G174&lt;=0,"",IFERROR(K174/G174-1,"")))</f>
        <v/>
      </c>
      <c r="L175" s="15">
        <f>IF(OR(L174="",H174=""),"",IF(H174&lt;=0,"",IFERROR(L174/H174-1,"")))</f>
        <v/>
      </c>
      <c r="M175" s="15">
        <f>IF(OR(M174="",I174=""),"",IF(I174&lt;=0,"",IFERROR(M174/I174-1,"")))</f>
        <v/>
      </c>
      <c r="N175" s="15">
        <f>IF(OR(N174="",J174=""),"",IF(J174&lt;=0,"",IFERROR(N174/J174-1,"")))</f>
        <v/>
      </c>
      <c r="V175" s="15">
        <f>IF(OR(V174="",U174=""),"",IF(U174&lt;=0,"",IFERROR(V174/U174-1,"")))</f>
        <v/>
      </c>
      <c r="W175" s="15">
        <f>IF(OR(W174="",V174=""),"",IF(V174&lt;=0,"",IFERROR(W174/V174-1,"")))</f>
        <v/>
      </c>
      <c r="X175" s="15">
        <f>IF(OR(X174="",W174=""),"",IF(W174&lt;=0,"",IFERROR(X174/W174-1,"")))</f>
        <v/>
      </c>
    </row>
    <row r="176">
      <c r="A176" s="18" t="inlineStr">
        <is>
          <t>부문 · 계</t>
        </is>
      </c>
      <c r="C176" s="20" t="n">
        <v>72226</v>
      </c>
      <c r="D176" s="20" t="n">
        <v>72973</v>
      </c>
      <c r="E176" s="20" t="n">
        <v>66307</v>
      </c>
      <c r="V176" s="20" t="n">
        <v>66307</v>
      </c>
    </row>
    <row r="177">
      <c r="A177" s="43" t="inlineStr">
        <is>
          <t>YoY</t>
        </is>
      </c>
      <c r="B177" s="3" t="inlineStr">
        <is>
          <t>전년 같은 분기·전년 대비</t>
        </is>
      </c>
      <c r="V177" s="15">
        <f>IF(OR(V176="",U176=""),"",IF(U176&lt;=0,"",IFERROR(V176/U176-1,"")))</f>
        <v/>
      </c>
    </row>
    <row r="178">
      <c r="A178" s="18" t="inlineStr">
        <is>
          <t>아시아 · 계</t>
        </is>
      </c>
      <c r="F178" s="20" t="n">
        <v>69362</v>
      </c>
      <c r="G178" s="20" t="n">
        <v>70654</v>
      </c>
      <c r="H178" s="20" t="n">
        <v>75656</v>
      </c>
      <c r="I178" s="20" t="n">
        <v>70564</v>
      </c>
      <c r="J178" s="20" t="n">
        <v>70020</v>
      </c>
      <c r="K178" s="20" t="n">
        <v>74189</v>
      </c>
      <c r="L178" s="20" t="n">
        <v>78217</v>
      </c>
      <c r="M178" s="20" t="n">
        <v>79854</v>
      </c>
      <c r="N178" s="20" t="n">
        <v>78006</v>
      </c>
      <c r="W178" s="20" t="n">
        <v>70564</v>
      </c>
      <c r="X178" s="20" t="n">
        <v>79854</v>
      </c>
    </row>
    <row r="179">
      <c r="A179" s="43" t="inlineStr">
        <is>
          <t>YoY</t>
        </is>
      </c>
      <c r="B179" s="3" t="inlineStr">
        <is>
          <t>전년 같은 분기·전년 대비</t>
        </is>
      </c>
      <c r="G179" s="15">
        <f>IF(OR(G178="",C178=""),"",IF(C178&lt;=0,"",IFERROR(G178/C178-1,"")))</f>
        <v/>
      </c>
      <c r="H179" s="15">
        <f>IF(OR(H178="",D178=""),"",IF(D178&lt;=0,"",IFERROR(H178/D178-1,"")))</f>
        <v/>
      </c>
      <c r="I179" s="15">
        <f>IF(OR(I178="",E178=""),"",IF(E178&lt;=0,"",IFERROR(I178/E178-1,"")))</f>
        <v/>
      </c>
      <c r="J179" s="15">
        <f>IF(OR(J178="",F178=""),"",IF(F178&lt;=0,"",IFERROR(J178/F178-1,"")))</f>
        <v/>
      </c>
      <c r="K179" s="15">
        <f>IF(OR(K178="",G178=""),"",IF(G178&lt;=0,"",IFERROR(K178/G178-1,"")))</f>
        <v/>
      </c>
      <c r="L179" s="15">
        <f>IF(OR(L178="",H178=""),"",IF(H178&lt;=0,"",IFERROR(L178/H178-1,"")))</f>
        <v/>
      </c>
      <c r="M179" s="15">
        <f>IF(OR(M178="",I178=""),"",IF(I178&lt;=0,"",IFERROR(M178/I178-1,"")))</f>
        <v/>
      </c>
      <c r="N179" s="15">
        <f>IF(OR(N178="",J178=""),"",IF(J178&lt;=0,"",IFERROR(N178/J178-1,"")))</f>
        <v/>
      </c>
      <c r="W179" s="15">
        <f>IF(OR(W178="",V178=""),"",IF(V178&lt;=0,"",IFERROR(W178/V178-1,"")))</f>
        <v/>
      </c>
      <c r="X179" s="15">
        <f>IF(OR(X178="",W178=""),"",IF(W178&lt;=0,"",IFERROR(X178/W178-1,"")))</f>
        <v/>
      </c>
    </row>
    <row r="180">
      <c r="A180" s="18" t="inlineStr">
        <is>
          <t>부문 · 계</t>
        </is>
      </c>
      <c r="C180" s="20" t="n">
        <v>30941</v>
      </c>
      <c r="D180" s="20" t="n">
        <v>35860</v>
      </c>
      <c r="E180" s="20" t="n">
        <v>30913</v>
      </c>
      <c r="F180" s="20" t="n">
        <v>30938</v>
      </c>
      <c r="G180" s="20" t="n">
        <v>26477</v>
      </c>
      <c r="H180" s="20" t="n">
        <v>30044</v>
      </c>
      <c r="I180" s="20" t="n">
        <v>30710</v>
      </c>
      <c r="J180" s="20" t="n">
        <v>27205</v>
      </c>
      <c r="K180" s="20" t="n">
        <v>28322</v>
      </c>
      <c r="L180" s="20" t="n">
        <v>33014</v>
      </c>
      <c r="M180" s="20" t="n">
        <v>35518</v>
      </c>
      <c r="N180" s="20" t="n">
        <v>31079</v>
      </c>
      <c r="V180" s="20" t="n">
        <v>30913</v>
      </c>
      <c r="W180" s="20" t="n">
        <v>30710</v>
      </c>
      <c r="X180" s="20" t="n">
        <v>35518</v>
      </c>
    </row>
    <row r="181">
      <c r="A181" s="43" t="inlineStr">
        <is>
          <t>YoY</t>
        </is>
      </c>
      <c r="B181" s="3" t="inlineStr">
        <is>
          <t>전년 같은 분기·전년 대비</t>
        </is>
      </c>
      <c r="G181" s="15">
        <f>IF(OR(G180="",C180=""),"",IF(C180&lt;=0,"",IFERROR(G180/C180-1,"")))</f>
        <v/>
      </c>
      <c r="H181" s="15">
        <f>IF(OR(H180="",D180=""),"",IF(D180&lt;=0,"",IFERROR(H180/D180-1,"")))</f>
        <v/>
      </c>
      <c r="I181" s="15">
        <f>IF(OR(I180="",E180=""),"",IF(E180&lt;=0,"",IFERROR(I180/E180-1,"")))</f>
        <v/>
      </c>
      <c r="J181" s="15">
        <f>IF(OR(J180="",F180=""),"",IF(F180&lt;=0,"",IFERROR(J180/F180-1,"")))</f>
        <v/>
      </c>
      <c r="K181" s="15">
        <f>IF(OR(K180="",G180=""),"",IF(G180&lt;=0,"",IFERROR(K180/G180-1,"")))</f>
        <v/>
      </c>
      <c r="L181" s="15">
        <f>IF(OR(L180="",H180=""),"",IF(H180&lt;=0,"",IFERROR(L180/H180-1,"")))</f>
        <v/>
      </c>
      <c r="M181" s="15">
        <f>IF(OR(M180="",I180=""),"",IF(I180&lt;=0,"",IFERROR(M180/I180-1,"")))</f>
        <v/>
      </c>
      <c r="N181" s="15">
        <f>IF(OR(N180="",J180=""),"",IF(J180&lt;=0,"",IFERROR(N180/J180-1,"")))</f>
        <v/>
      </c>
      <c r="V181" s="15">
        <f>IF(OR(V180="",U180=""),"",IF(U180&lt;=0,"",IFERROR(V180/U180-1,"")))</f>
        <v/>
      </c>
      <c r="W181" s="15">
        <f>IF(OR(W180="",V180=""),"",IF(V180&lt;=0,"",IFERROR(W180/V180-1,"")))</f>
        <v/>
      </c>
      <c r="X181" s="15">
        <f>IF(OR(X180="",W180=""),"",IF(W180&lt;=0,"",IFERROR(X180/W180-1,"")))</f>
        <v/>
      </c>
    </row>
    <row r="182">
      <c r="A182" s="18" t="inlineStr">
        <is>
          <t>보고부문 합계 · 계</t>
        </is>
      </c>
      <c r="C182" s="20" t="n">
        <v>515999</v>
      </c>
      <c r="D182" s="20" t="n">
        <v>535171</v>
      </c>
      <c r="E182" s="20" t="n">
        <v>510579</v>
      </c>
      <c r="F182" s="20" t="n">
        <v>515750</v>
      </c>
      <c r="G182" s="20" t="n">
        <v>488189</v>
      </c>
      <c r="H182" s="20" t="n">
        <v>526882</v>
      </c>
      <c r="I182" s="20" t="n">
        <v>535506</v>
      </c>
      <c r="J182" s="20" t="n">
        <v>504531</v>
      </c>
      <c r="K182" s="20" t="n">
        <v>521111</v>
      </c>
      <c r="L182" s="20" t="n">
        <v>563320</v>
      </c>
      <c r="M182" s="20" t="n">
        <v>563794</v>
      </c>
      <c r="N182" s="20" t="n">
        <v>558819</v>
      </c>
      <c r="V182" s="20" t="n">
        <v>510579</v>
      </c>
      <c r="W182" s="20" t="n">
        <v>535506</v>
      </c>
      <c r="X182" s="20" t="n">
        <v>563794</v>
      </c>
    </row>
    <row r="183">
      <c r="A183" s="43" t="inlineStr">
        <is>
          <t>YoY</t>
        </is>
      </c>
      <c r="B183" s="3" t="inlineStr">
        <is>
          <t>전년 같은 분기·전년 대비</t>
        </is>
      </c>
      <c r="G183" s="15">
        <f>IF(OR(G182="",C182=""),"",IF(C182&lt;=0,"",IFERROR(G182/C182-1,"")))</f>
        <v/>
      </c>
      <c r="H183" s="15">
        <f>IF(OR(H182="",D182=""),"",IF(D182&lt;=0,"",IFERROR(H182/D182-1,"")))</f>
        <v/>
      </c>
      <c r="I183" s="15">
        <f>IF(OR(I182="",E182=""),"",IF(E182&lt;=0,"",IFERROR(I182/E182-1,"")))</f>
        <v/>
      </c>
      <c r="J183" s="15">
        <f>IF(OR(J182="",F182=""),"",IF(F182&lt;=0,"",IFERROR(J182/F182-1,"")))</f>
        <v/>
      </c>
      <c r="K183" s="15">
        <f>IF(OR(K182="",G182=""),"",IF(G182&lt;=0,"",IFERROR(K182/G182-1,"")))</f>
        <v/>
      </c>
      <c r="L183" s="15">
        <f>IF(OR(L182="",H182=""),"",IF(H182&lt;=0,"",IFERROR(L182/H182-1,"")))</f>
        <v/>
      </c>
      <c r="M183" s="15">
        <f>IF(OR(M182="",I182=""),"",IF(I182&lt;=0,"",IFERROR(M182/I182-1,"")))</f>
        <v/>
      </c>
      <c r="N183" s="15">
        <f>IF(OR(N182="",J182=""),"",IF(J182&lt;=0,"",IFERROR(N182/J182-1,"")))</f>
        <v/>
      </c>
      <c r="V183" s="15">
        <f>IF(OR(V182="",U182=""),"",IF(U182&lt;=0,"",IFERROR(V182/U182-1,"")))</f>
        <v/>
      </c>
      <c r="W183" s="15">
        <f>IF(OR(W182="",V182=""),"",IF(V182&lt;=0,"",IFERROR(W182/V182-1,"")))</f>
        <v/>
      </c>
      <c r="X183" s="15">
        <f>IF(OR(X182="",W182=""),"",IF(W182&lt;=0,"",IFERROR(X182/W182-1,"")))</f>
        <v/>
      </c>
    </row>
    <row r="184">
      <c r="A184" s="18" t="inlineStr">
        <is>
          <t>조정액 · 계</t>
        </is>
      </c>
      <c r="C184" s="20" t="n">
        <v>-27441</v>
      </c>
      <c r="D184" s="20" t="n">
        <v>-28050</v>
      </c>
      <c r="E184" s="20" t="n">
        <v>-28133</v>
      </c>
      <c r="F184" s="20" t="n">
        <v>-27749</v>
      </c>
      <c r="G184" s="20" t="n">
        <v>-28025</v>
      </c>
      <c r="H184" s="20" t="n">
        <v>-28347</v>
      </c>
      <c r="I184" s="20" t="n">
        <v>-27987</v>
      </c>
      <c r="J184" s="20" t="n">
        <v>-24838</v>
      </c>
      <c r="K184" s="20" t="n">
        <v>-28525</v>
      </c>
      <c r="L184" s="20" t="n">
        <v>-29363</v>
      </c>
      <c r="M184" s="20" t="n">
        <v>-32966</v>
      </c>
      <c r="N184" s="20" t="n">
        <v>-30742</v>
      </c>
      <c r="V184" s="20" t="n">
        <v>-28133</v>
      </c>
      <c r="W184" s="20" t="n">
        <v>-27987</v>
      </c>
      <c r="X184" s="20" t="n">
        <v>-32966</v>
      </c>
    </row>
    <row r="185">
      <c r="A185" s="9" t="inlineStr">
        <is>
          <t>계</t>
        </is>
      </c>
      <c r="C185" s="12" t="n">
        <v>488559</v>
      </c>
      <c r="D185" s="12" t="n">
        <v>507121</v>
      </c>
      <c r="E185" s="12" t="n">
        <v>482446</v>
      </c>
      <c r="F185" s="12" t="n">
        <v>488000</v>
      </c>
      <c r="G185" s="12" t="n">
        <v>460165</v>
      </c>
      <c r="H185" s="12" t="n">
        <v>498534</v>
      </c>
      <c r="I185" s="12" t="n">
        <v>507519</v>
      </c>
      <c r="J185" s="12" t="n">
        <v>479693</v>
      </c>
      <c r="K185" s="12" t="n">
        <v>492586</v>
      </c>
      <c r="L185" s="12" t="n">
        <v>533957</v>
      </c>
      <c r="M185" s="12" t="n">
        <v>530827</v>
      </c>
      <c r="N185" s="12" t="n">
        <v>528077</v>
      </c>
      <c r="V185" s="12" t="n">
        <v>482446</v>
      </c>
      <c r="W185" s="12" t="n">
        <v>507519</v>
      </c>
      <c r="X185" s="12" t="n">
        <v>530827</v>
      </c>
    </row>
    <row r="186">
      <c r="A186" s="43" t="inlineStr">
        <is>
          <t>YoY</t>
        </is>
      </c>
      <c r="B186" s="3" t="inlineStr">
        <is>
          <t>전년 같은 분기·전년 대비</t>
        </is>
      </c>
      <c r="G186" s="15">
        <f>IF(OR(G185="",C185=""),"",IF(C185&lt;=0,"",IFERROR(G185/C185-1,"")))</f>
        <v/>
      </c>
      <c r="H186" s="15">
        <f>IF(OR(H185="",D185=""),"",IF(D185&lt;=0,"",IFERROR(H185/D185-1,"")))</f>
        <v/>
      </c>
      <c r="I186" s="15">
        <f>IF(OR(I185="",E185=""),"",IF(E185&lt;=0,"",IFERROR(I185/E185-1,"")))</f>
        <v/>
      </c>
      <c r="J186" s="15">
        <f>IF(OR(J185="",F185=""),"",IF(F185&lt;=0,"",IFERROR(J185/F185-1,"")))</f>
        <v/>
      </c>
      <c r="K186" s="15">
        <f>IF(OR(K185="",G185=""),"",IF(G185&lt;=0,"",IFERROR(K185/G185-1,"")))</f>
        <v/>
      </c>
      <c r="L186" s="15">
        <f>IF(OR(L185="",H185=""),"",IF(H185&lt;=0,"",IFERROR(L185/H185-1,"")))</f>
        <v/>
      </c>
      <c r="M186" s="15">
        <f>IF(OR(M185="",I185=""),"",IF(I185&lt;=0,"",IFERROR(M185/I185-1,"")))</f>
        <v/>
      </c>
      <c r="N186" s="15">
        <f>IF(OR(N185="",J185=""),"",IF(J185&lt;=0,"",IFERROR(N185/J185-1,"")))</f>
        <v/>
      </c>
      <c r="V186" s="15">
        <f>IF(OR(V185="",U185=""),"",IF(U185&lt;=0,"",IFERROR(V185/U185-1,"")))</f>
        <v/>
      </c>
      <c r="W186" s="15">
        <f>IF(OR(W185="",V185=""),"",IF(V185&lt;=0,"",IFERROR(W185/V185-1,"")))</f>
        <v/>
      </c>
      <c r="X186" s="15">
        <f>IF(OR(X185="",W185=""),"",IF(W185&lt;=0,"",IFERROR(X185/W185-1,"")))</f>
        <v/>
      </c>
    </row>
    <row r="187">
      <c r="A187" s="18" t="inlineStr">
        <is>
          <t>일본 · 부문 이익(손실)</t>
        </is>
      </c>
      <c r="C187" s="20" t="n">
        <v>9800</v>
      </c>
      <c r="D187" s="20" t="n">
        <v>4856</v>
      </c>
      <c r="E187" s="20" t="n">
        <v>-7458</v>
      </c>
      <c r="F187" s="20" t="n">
        <v>942</v>
      </c>
      <c r="G187" s="20" t="n">
        <v>2762</v>
      </c>
      <c r="H187" s="20" t="n">
        <v>5516</v>
      </c>
      <c r="I187" s="20" t="n">
        <v>950</v>
      </c>
      <c r="J187" s="20" t="n">
        <v>5</v>
      </c>
      <c r="K187" s="20" t="n">
        <v>7596</v>
      </c>
      <c r="L187" s="20" t="n">
        <v>8565</v>
      </c>
      <c r="M187" s="20" t="n">
        <v>-11056</v>
      </c>
      <c r="N187" s="20" t="n">
        <v>2917</v>
      </c>
      <c r="V187" s="20" t="n">
        <v>-7458</v>
      </c>
      <c r="W187" s="20" t="n">
        <v>950</v>
      </c>
      <c r="X187" s="20" t="n">
        <v>-11056</v>
      </c>
    </row>
    <row r="188">
      <c r="A188" s="43" t="inlineStr">
        <is>
          <t>OPM</t>
        </is>
      </c>
      <c r="B188" s="3" t="inlineStr">
        <is>
          <t>영업이익 ÷ 매출</t>
        </is>
      </c>
      <c r="C188" s="15">
        <f>IF(OR(C187="",C170=""),"",IF(C170&lt;=0,"",IFERROR(C187/C170,"")))</f>
        <v/>
      </c>
      <c r="D188" s="15">
        <f>IF(OR(D187="",D170=""),"",IF(D170&lt;=0,"",IFERROR(D187/D170,"")))</f>
        <v/>
      </c>
      <c r="E188" s="15">
        <f>IF(OR(E187="",E170=""),"",IF(E170&lt;=0,"",IFERROR(E187/E170,"")))</f>
        <v/>
      </c>
      <c r="F188" s="15">
        <f>IF(OR(F187="",F170=""),"",IF(F170&lt;=0,"",IFERROR(F187/F170,"")))</f>
        <v/>
      </c>
      <c r="G188" s="15">
        <f>IF(OR(G187="",G170=""),"",IF(G170&lt;=0,"",IFERROR(G187/G170,"")))</f>
        <v/>
      </c>
      <c r="H188" s="15">
        <f>IF(OR(H187="",H170=""),"",IF(H170&lt;=0,"",IFERROR(H187/H170,"")))</f>
        <v/>
      </c>
      <c r="I188" s="15">
        <f>IF(OR(I187="",I170=""),"",IF(I170&lt;=0,"",IFERROR(I187/I170,"")))</f>
        <v/>
      </c>
      <c r="J188" s="15">
        <f>IF(OR(J187="",J170=""),"",IF(J170&lt;=0,"",IFERROR(J187/J170,"")))</f>
        <v/>
      </c>
      <c r="K188" s="15">
        <f>IF(OR(K187="",K170=""),"",IF(K170&lt;=0,"",IFERROR(K187/K170,"")))</f>
        <v/>
      </c>
      <c r="L188" s="15">
        <f>IF(OR(L187="",L170=""),"",IF(L170&lt;=0,"",IFERROR(L187/L170,"")))</f>
        <v/>
      </c>
      <c r="M188" s="15">
        <f>IF(OR(M187="",M170=""),"",IF(M170&lt;=0,"",IFERROR(M187/M170,"")))</f>
        <v/>
      </c>
      <c r="N188" s="15">
        <f>IF(OR(N187="",N170=""),"",IF(N170&lt;=0,"",IFERROR(N187/N170,"")))</f>
        <v/>
      </c>
      <c r="V188" s="15">
        <f>IF(OR(V187="",V170=""),"",IF(V170&lt;=0,"",IFERROR(V187/V170,"")))</f>
        <v/>
      </c>
      <c r="W188" s="15">
        <f>IF(OR(W187="",W170=""),"",IF(W170&lt;=0,"",IFERROR(W187/W170,"")))</f>
        <v/>
      </c>
      <c r="X188" s="15">
        <f>IF(OR(X187="",X170=""),"",IF(X170&lt;=0,"",IFERROR(X187/X170,"")))</f>
        <v/>
      </c>
    </row>
    <row r="189">
      <c r="A189" s="43" t="inlineStr">
        <is>
          <t>YoY</t>
        </is>
      </c>
      <c r="B189" s="3" t="inlineStr">
        <is>
          <t>전년 같은 분기·전년 대비</t>
        </is>
      </c>
      <c r="G189" s="15">
        <f>IF(OR(G187="",C187=""),"",IF(C187&lt;=0,"",IFERROR(G187/C187-1,"")))</f>
        <v/>
      </c>
      <c r="H189" s="15">
        <f>IF(OR(H187="",D187=""),"",IF(D187&lt;=0,"",IFERROR(H187/D187-1,"")))</f>
        <v/>
      </c>
      <c r="I189" s="15">
        <f>IF(OR(I187="",E187=""),"",IF(E187&lt;=0,"",IFERROR(I187/E187-1,"")))</f>
        <v/>
      </c>
      <c r="J189" s="15">
        <f>IF(OR(J187="",F187=""),"",IF(F187&lt;=0,"",IFERROR(J187/F187-1,"")))</f>
        <v/>
      </c>
      <c r="K189" s="15">
        <f>IF(OR(K187="",G187=""),"",IF(G187&lt;=0,"",IFERROR(K187/G187-1,"")))</f>
        <v/>
      </c>
      <c r="L189" s="15">
        <f>IF(OR(L187="",H187=""),"",IF(H187&lt;=0,"",IFERROR(L187/H187-1,"")))</f>
        <v/>
      </c>
      <c r="M189" s="15">
        <f>IF(OR(M187="",I187=""),"",IF(I187&lt;=0,"",IFERROR(M187/I187-1,"")))</f>
        <v/>
      </c>
      <c r="N189" s="15">
        <f>IF(OR(N187="",J187=""),"",IF(J187&lt;=0,"",IFERROR(N187/J187-1,"")))</f>
        <v/>
      </c>
      <c r="V189" s="15">
        <f>IF(OR(V187="",U187=""),"",IF(U187&lt;=0,"",IFERROR(V187/U187-1,"")))</f>
        <v/>
      </c>
      <c r="W189" s="15">
        <f>IF(OR(W187="",V187=""),"",IF(V187&lt;=0,"",IFERROR(W187/V187-1,"")))</f>
        <v/>
      </c>
      <c r="X189" s="15">
        <f>IF(OR(X187="",W187=""),"",IF(W187&lt;=0,"",IFERROR(X187/W187-1,"")))</f>
        <v/>
      </c>
    </row>
    <row r="190">
      <c r="A190" s="18" t="inlineStr">
        <is>
          <t>부문 · 부문 이익(손실)</t>
        </is>
      </c>
      <c r="C190" s="20" t="n">
        <v>-557</v>
      </c>
      <c r="D190" s="20" t="n">
        <v>-1340</v>
      </c>
      <c r="E190" s="20" t="n">
        <v>602</v>
      </c>
      <c r="F190" s="20" t="n">
        <v>2197</v>
      </c>
      <c r="G190" s="20" t="n">
        <v>-2535</v>
      </c>
      <c r="H190" s="20" t="n">
        <v>-5573</v>
      </c>
      <c r="I190" s="20" t="n">
        <v>-20124</v>
      </c>
      <c r="J190" s="20" t="n">
        <v>4612</v>
      </c>
      <c r="K190" s="20" t="n">
        <v>-3402</v>
      </c>
      <c r="L190" s="20" t="n">
        <v>-444</v>
      </c>
      <c r="M190" s="20" t="n">
        <v>-10664</v>
      </c>
      <c r="N190" s="20" t="n">
        <v>2589</v>
      </c>
      <c r="V190" s="20" t="n">
        <v>602</v>
      </c>
      <c r="W190" s="20" t="n">
        <v>-20124</v>
      </c>
      <c r="X190" s="20" t="n">
        <v>-10664</v>
      </c>
    </row>
    <row r="191">
      <c r="A191" s="43" t="inlineStr">
        <is>
          <t>OPM</t>
        </is>
      </c>
      <c r="B191" s="3" t="inlineStr">
        <is>
          <t>영업이익 ÷ 매출</t>
        </is>
      </c>
      <c r="C191" s="15">
        <f>IF(OR(C190="",C172=""),"",IF(C172&lt;=0,"",IFERROR(C190/C172,"")))</f>
        <v/>
      </c>
      <c r="D191" s="15">
        <f>IF(OR(D190="",D172=""),"",IF(D172&lt;=0,"",IFERROR(D190/D172,"")))</f>
        <v/>
      </c>
      <c r="E191" s="15">
        <f>IF(OR(E190="",E172=""),"",IF(E172&lt;=0,"",IFERROR(E190/E172,"")))</f>
        <v/>
      </c>
      <c r="F191" s="15">
        <f>IF(OR(F190="",F172=""),"",IF(F172&lt;=0,"",IFERROR(F190/F172,"")))</f>
        <v/>
      </c>
      <c r="G191" s="15">
        <f>IF(OR(G190="",G172=""),"",IF(G172&lt;=0,"",IFERROR(G190/G172,"")))</f>
        <v/>
      </c>
      <c r="H191" s="15">
        <f>IF(OR(H190="",H172=""),"",IF(H172&lt;=0,"",IFERROR(H190/H172,"")))</f>
        <v/>
      </c>
      <c r="I191" s="15">
        <f>IF(OR(I190="",I172=""),"",IF(I172&lt;=0,"",IFERROR(I190/I172,"")))</f>
        <v/>
      </c>
      <c r="J191" s="15">
        <f>IF(OR(J190="",J172=""),"",IF(J172&lt;=0,"",IFERROR(J190/J172,"")))</f>
        <v/>
      </c>
      <c r="K191" s="15">
        <f>IF(OR(K190="",K172=""),"",IF(K172&lt;=0,"",IFERROR(K190/K172,"")))</f>
        <v/>
      </c>
      <c r="L191" s="15">
        <f>IF(OR(L190="",L172=""),"",IF(L172&lt;=0,"",IFERROR(L190/L172,"")))</f>
        <v/>
      </c>
      <c r="M191" s="15">
        <f>IF(OR(M190="",M172=""),"",IF(M172&lt;=0,"",IFERROR(M190/M172,"")))</f>
        <v/>
      </c>
      <c r="N191" s="15">
        <f>IF(OR(N190="",N172=""),"",IF(N172&lt;=0,"",IFERROR(N190/N172,"")))</f>
        <v/>
      </c>
      <c r="V191" s="15">
        <f>IF(OR(V190="",V172=""),"",IF(V172&lt;=0,"",IFERROR(V190/V172,"")))</f>
        <v/>
      </c>
      <c r="W191" s="15">
        <f>IF(OR(W190="",W172=""),"",IF(W172&lt;=0,"",IFERROR(W190/W172,"")))</f>
        <v/>
      </c>
      <c r="X191" s="15">
        <f>IF(OR(X190="",X172=""),"",IF(X172&lt;=0,"",IFERROR(X190/X172,"")))</f>
        <v/>
      </c>
    </row>
    <row r="192">
      <c r="A192" s="43" t="inlineStr">
        <is>
          <t>YoY</t>
        </is>
      </c>
      <c r="B192" s="3" t="inlineStr">
        <is>
          <t>전년 같은 분기·전년 대비</t>
        </is>
      </c>
      <c r="G192" s="15">
        <f>IF(OR(G190="",C190=""),"",IF(C190&lt;=0,"",IFERROR(G190/C190-1,"")))</f>
        <v/>
      </c>
      <c r="H192" s="15">
        <f>IF(OR(H190="",D190=""),"",IF(D190&lt;=0,"",IFERROR(H190/D190-1,"")))</f>
        <v/>
      </c>
      <c r="I192" s="15">
        <f>IF(OR(I190="",E190=""),"",IF(E190&lt;=0,"",IFERROR(I190/E190-1,"")))</f>
        <v/>
      </c>
      <c r="J192" s="15">
        <f>IF(OR(J190="",F190=""),"",IF(F190&lt;=0,"",IFERROR(J190/F190-1,"")))</f>
        <v/>
      </c>
      <c r="K192" s="15">
        <f>IF(OR(K190="",G190=""),"",IF(G190&lt;=0,"",IFERROR(K190/G190-1,"")))</f>
        <v/>
      </c>
      <c r="L192" s="15">
        <f>IF(OR(L190="",H190=""),"",IF(H190&lt;=0,"",IFERROR(L190/H190-1,"")))</f>
        <v/>
      </c>
      <c r="M192" s="15">
        <f>IF(OR(M190="",I190=""),"",IF(I190&lt;=0,"",IFERROR(M190/I190-1,"")))</f>
        <v/>
      </c>
      <c r="N192" s="15">
        <f>IF(OR(N190="",J190=""),"",IF(J190&lt;=0,"",IFERROR(N190/J190-1,"")))</f>
        <v/>
      </c>
      <c r="V192" s="15">
        <f>IF(OR(V190="",U190=""),"",IF(U190&lt;=0,"",IFERROR(V190/U190-1,"")))</f>
        <v/>
      </c>
      <c r="W192" s="15">
        <f>IF(OR(W190="",V190=""),"",IF(V190&lt;=0,"",IFERROR(W190/V190-1,"")))</f>
        <v/>
      </c>
      <c r="X192" s="15">
        <f>IF(OR(X190="",W190=""),"",IF(W190&lt;=0,"",IFERROR(X190/W190-1,"")))</f>
        <v/>
      </c>
    </row>
    <row r="193">
      <c r="A193" s="18" t="inlineStr">
        <is>
          <t>부문 · 부문 이익(손실)</t>
        </is>
      </c>
      <c r="C193" s="20" t="n">
        <v>5570</v>
      </c>
      <c r="D193" s="20" t="n">
        <v>8356</v>
      </c>
      <c r="E193" s="20" t="n">
        <v>-1093</v>
      </c>
      <c r="F193" s="20" t="n">
        <v>2421</v>
      </c>
      <c r="G193" s="20" t="n">
        <v>7408</v>
      </c>
      <c r="H193" s="20" t="n">
        <v>6589</v>
      </c>
      <c r="I193" s="20" t="n">
        <v>142</v>
      </c>
      <c r="J193" s="20" t="n">
        <v>4154</v>
      </c>
      <c r="K193" s="20" t="n">
        <v>3888</v>
      </c>
      <c r="L193" s="20" t="n">
        <v>3757</v>
      </c>
      <c r="M193" s="20" t="n">
        <v>2956</v>
      </c>
      <c r="N193" s="20" t="n">
        <v>2059</v>
      </c>
      <c r="V193" s="20" t="n">
        <v>-1093</v>
      </c>
      <c r="W193" s="20" t="n">
        <v>142</v>
      </c>
      <c r="X193" s="20" t="n">
        <v>2956</v>
      </c>
    </row>
    <row r="194">
      <c r="A194" s="43" t="inlineStr">
        <is>
          <t>OPM</t>
        </is>
      </c>
      <c r="B194" s="3" t="inlineStr">
        <is>
          <t>영업이익 ÷ 매출</t>
        </is>
      </c>
      <c r="C194" s="15">
        <f>IF(OR(C193="",C174=""),"",IF(C174&lt;=0,"",IFERROR(C193/C174,"")))</f>
        <v/>
      </c>
      <c r="D194" s="15">
        <f>IF(OR(D193="",D174=""),"",IF(D174&lt;=0,"",IFERROR(D193/D174,"")))</f>
        <v/>
      </c>
      <c r="E194" s="15">
        <f>IF(OR(E193="",E174=""),"",IF(E174&lt;=0,"",IFERROR(E193/E174,"")))</f>
        <v/>
      </c>
      <c r="F194" s="15">
        <f>IF(OR(F193="",F174=""),"",IF(F174&lt;=0,"",IFERROR(F193/F174,"")))</f>
        <v/>
      </c>
      <c r="G194" s="15">
        <f>IF(OR(G193="",G174=""),"",IF(G174&lt;=0,"",IFERROR(G193/G174,"")))</f>
        <v/>
      </c>
      <c r="H194" s="15">
        <f>IF(OR(H193="",H174=""),"",IF(H174&lt;=0,"",IFERROR(H193/H174,"")))</f>
        <v/>
      </c>
      <c r="I194" s="15">
        <f>IF(OR(I193="",I174=""),"",IF(I174&lt;=0,"",IFERROR(I193/I174,"")))</f>
        <v/>
      </c>
      <c r="J194" s="15">
        <f>IF(OR(J193="",J174=""),"",IF(J174&lt;=0,"",IFERROR(J193/J174,"")))</f>
        <v/>
      </c>
      <c r="K194" s="15">
        <f>IF(OR(K193="",K174=""),"",IF(K174&lt;=0,"",IFERROR(K193/K174,"")))</f>
        <v/>
      </c>
      <c r="L194" s="15">
        <f>IF(OR(L193="",L174=""),"",IF(L174&lt;=0,"",IFERROR(L193/L174,"")))</f>
        <v/>
      </c>
      <c r="M194" s="15">
        <f>IF(OR(M193="",M174=""),"",IF(M174&lt;=0,"",IFERROR(M193/M174,"")))</f>
        <v/>
      </c>
      <c r="N194" s="15">
        <f>IF(OR(N193="",N174=""),"",IF(N174&lt;=0,"",IFERROR(N193/N174,"")))</f>
        <v/>
      </c>
      <c r="V194" s="15">
        <f>IF(OR(V193="",V174=""),"",IF(V174&lt;=0,"",IFERROR(V193/V174,"")))</f>
        <v/>
      </c>
      <c r="W194" s="15">
        <f>IF(OR(W193="",W174=""),"",IF(W174&lt;=0,"",IFERROR(W193/W174,"")))</f>
        <v/>
      </c>
      <c r="X194" s="15">
        <f>IF(OR(X193="",X174=""),"",IF(X174&lt;=0,"",IFERROR(X193/X174,"")))</f>
        <v/>
      </c>
    </row>
    <row r="195">
      <c r="A195" s="43" t="inlineStr">
        <is>
          <t>YoY</t>
        </is>
      </c>
      <c r="B195" s="3" t="inlineStr">
        <is>
          <t>전년 같은 분기·전년 대비</t>
        </is>
      </c>
      <c r="G195" s="15">
        <f>IF(OR(G193="",C193=""),"",IF(C193&lt;=0,"",IFERROR(G193/C193-1,"")))</f>
        <v/>
      </c>
      <c r="H195" s="15">
        <f>IF(OR(H193="",D193=""),"",IF(D193&lt;=0,"",IFERROR(H193/D193-1,"")))</f>
        <v/>
      </c>
      <c r="I195" s="15">
        <f>IF(OR(I193="",E193=""),"",IF(E193&lt;=0,"",IFERROR(I193/E193-1,"")))</f>
        <v/>
      </c>
      <c r="J195" s="15">
        <f>IF(OR(J193="",F193=""),"",IF(F193&lt;=0,"",IFERROR(J193/F193-1,"")))</f>
        <v/>
      </c>
      <c r="K195" s="15">
        <f>IF(OR(K193="",G193=""),"",IF(G193&lt;=0,"",IFERROR(K193/G193-1,"")))</f>
        <v/>
      </c>
      <c r="L195" s="15">
        <f>IF(OR(L193="",H193=""),"",IF(H193&lt;=0,"",IFERROR(L193/H193-1,"")))</f>
        <v/>
      </c>
      <c r="M195" s="15">
        <f>IF(OR(M193="",I193=""),"",IF(I193&lt;=0,"",IFERROR(M193/I193-1,"")))</f>
        <v/>
      </c>
      <c r="N195" s="15">
        <f>IF(OR(N193="",J193=""),"",IF(J193&lt;=0,"",IFERROR(N193/J193-1,"")))</f>
        <v/>
      </c>
      <c r="V195" s="15">
        <f>IF(OR(V193="",U193=""),"",IF(U193&lt;=0,"",IFERROR(V193/U193-1,"")))</f>
        <v/>
      </c>
      <c r="W195" s="15">
        <f>IF(OR(W193="",V193=""),"",IF(V193&lt;=0,"",IFERROR(W193/V193-1,"")))</f>
        <v/>
      </c>
      <c r="X195" s="15">
        <f>IF(OR(X193="",W193=""),"",IF(W193&lt;=0,"",IFERROR(X193/W193-1,"")))</f>
        <v/>
      </c>
    </row>
    <row r="196">
      <c r="A196" s="18" t="inlineStr">
        <is>
          <t>부문 · 부문 이익(손실)</t>
        </is>
      </c>
      <c r="C196" s="20" t="n">
        <v>10301</v>
      </c>
      <c r="D196" s="20" t="n">
        <v>11464</v>
      </c>
      <c r="E196" s="20" t="n">
        <v>8385</v>
      </c>
      <c r="V196" s="20" t="n">
        <v>8385</v>
      </c>
    </row>
    <row r="197">
      <c r="A197" s="43" t="inlineStr">
        <is>
          <t>OPM</t>
        </is>
      </c>
      <c r="B197" s="3" t="inlineStr">
        <is>
          <t>영업이익 ÷ 매출</t>
        </is>
      </c>
      <c r="C197" s="15">
        <f>IF(OR(C196="",C176=""),"",IF(C176&lt;=0,"",IFERROR(C196/C176,"")))</f>
        <v/>
      </c>
      <c r="D197" s="15">
        <f>IF(OR(D196="",D176=""),"",IF(D176&lt;=0,"",IFERROR(D196/D176,"")))</f>
        <v/>
      </c>
      <c r="E197" s="15">
        <f>IF(OR(E196="",E176=""),"",IF(E176&lt;=0,"",IFERROR(E196/E176,"")))</f>
        <v/>
      </c>
      <c r="V197" s="15">
        <f>IF(OR(V196="",V176=""),"",IF(V176&lt;=0,"",IFERROR(V196/V176,"")))</f>
        <v/>
      </c>
    </row>
    <row r="198">
      <c r="A198" s="43" t="inlineStr">
        <is>
          <t>YoY</t>
        </is>
      </c>
      <c r="B198" s="3" t="inlineStr">
        <is>
          <t>전년 같은 분기·전년 대비</t>
        </is>
      </c>
      <c r="V198" s="15">
        <f>IF(OR(V196="",U196=""),"",IF(U196&lt;=0,"",IFERROR(V196/U196-1,"")))</f>
        <v/>
      </c>
    </row>
    <row r="199">
      <c r="A199" s="18" t="inlineStr">
        <is>
          <t>아시아 · 부문 이익(손실)</t>
        </is>
      </c>
      <c r="F199" s="20" t="n">
        <v>9299</v>
      </c>
      <c r="G199" s="20" t="n">
        <v>8999</v>
      </c>
      <c r="H199" s="20" t="n">
        <v>9909</v>
      </c>
      <c r="I199" s="20" t="n">
        <v>7977</v>
      </c>
      <c r="J199" s="20" t="n">
        <v>9069</v>
      </c>
      <c r="K199" s="20" t="n">
        <v>9645</v>
      </c>
      <c r="L199" s="20" t="n">
        <v>10521</v>
      </c>
      <c r="M199" s="20" t="n">
        <v>10771</v>
      </c>
      <c r="N199" s="20" t="n">
        <v>9129</v>
      </c>
      <c r="W199" s="20" t="n">
        <v>7977</v>
      </c>
      <c r="X199" s="20" t="n">
        <v>10771</v>
      </c>
    </row>
    <row r="200">
      <c r="A200" s="43" t="inlineStr">
        <is>
          <t>OPM</t>
        </is>
      </c>
      <c r="B200" s="3" t="inlineStr">
        <is>
          <t>영업이익 ÷ 매출</t>
        </is>
      </c>
      <c r="F200" s="15">
        <f>IF(OR(F199="",F178=""),"",IF(F178&lt;=0,"",IFERROR(F199/F178,"")))</f>
        <v/>
      </c>
      <c r="G200" s="15">
        <f>IF(OR(G199="",G178=""),"",IF(G178&lt;=0,"",IFERROR(G199/G178,"")))</f>
        <v/>
      </c>
      <c r="H200" s="15">
        <f>IF(OR(H199="",H178=""),"",IF(H178&lt;=0,"",IFERROR(H199/H178,"")))</f>
        <v/>
      </c>
      <c r="I200" s="15">
        <f>IF(OR(I199="",I178=""),"",IF(I178&lt;=0,"",IFERROR(I199/I178,"")))</f>
        <v/>
      </c>
      <c r="J200" s="15">
        <f>IF(OR(J199="",J178=""),"",IF(J178&lt;=0,"",IFERROR(J199/J178,"")))</f>
        <v/>
      </c>
      <c r="K200" s="15">
        <f>IF(OR(K199="",K178=""),"",IF(K178&lt;=0,"",IFERROR(K199/K178,"")))</f>
        <v/>
      </c>
      <c r="L200" s="15">
        <f>IF(OR(L199="",L178=""),"",IF(L178&lt;=0,"",IFERROR(L199/L178,"")))</f>
        <v/>
      </c>
      <c r="M200" s="15">
        <f>IF(OR(M199="",M178=""),"",IF(M178&lt;=0,"",IFERROR(M199/M178,"")))</f>
        <v/>
      </c>
      <c r="N200" s="15">
        <f>IF(OR(N199="",N178=""),"",IF(N178&lt;=0,"",IFERROR(N199/N178,"")))</f>
        <v/>
      </c>
      <c r="W200" s="15">
        <f>IF(OR(W199="",W178=""),"",IF(W178&lt;=0,"",IFERROR(W199/W178,"")))</f>
        <v/>
      </c>
      <c r="X200" s="15">
        <f>IF(OR(X199="",X178=""),"",IF(X178&lt;=0,"",IFERROR(X199/X178,"")))</f>
        <v/>
      </c>
    </row>
    <row r="201">
      <c r="A201" s="43" t="inlineStr">
        <is>
          <t>YoY</t>
        </is>
      </c>
      <c r="B201" s="3" t="inlineStr">
        <is>
          <t>전년 같은 분기·전년 대비</t>
        </is>
      </c>
      <c r="G201" s="15">
        <f>IF(OR(G199="",C199=""),"",IF(C199&lt;=0,"",IFERROR(G199/C199-1,"")))</f>
        <v/>
      </c>
      <c r="H201" s="15">
        <f>IF(OR(H199="",D199=""),"",IF(D199&lt;=0,"",IFERROR(H199/D199-1,"")))</f>
        <v/>
      </c>
      <c r="I201" s="15">
        <f>IF(OR(I199="",E199=""),"",IF(E199&lt;=0,"",IFERROR(I199/E199-1,"")))</f>
        <v/>
      </c>
      <c r="J201" s="15">
        <f>IF(OR(J199="",F199=""),"",IF(F199&lt;=0,"",IFERROR(J199/F199-1,"")))</f>
        <v/>
      </c>
      <c r="K201" s="15">
        <f>IF(OR(K199="",G199=""),"",IF(G199&lt;=0,"",IFERROR(K199/G199-1,"")))</f>
        <v/>
      </c>
      <c r="L201" s="15">
        <f>IF(OR(L199="",H199=""),"",IF(H199&lt;=0,"",IFERROR(L199/H199-1,"")))</f>
        <v/>
      </c>
      <c r="M201" s="15">
        <f>IF(OR(M199="",I199=""),"",IF(I199&lt;=0,"",IFERROR(M199/I199-1,"")))</f>
        <v/>
      </c>
      <c r="N201" s="15">
        <f>IF(OR(N199="",J199=""),"",IF(J199&lt;=0,"",IFERROR(N199/J199-1,"")))</f>
        <v/>
      </c>
      <c r="W201" s="15">
        <f>IF(OR(W199="",V199=""),"",IF(V199&lt;=0,"",IFERROR(W199/V199-1,"")))</f>
        <v/>
      </c>
      <c r="X201" s="15">
        <f>IF(OR(X199="",W199=""),"",IF(W199&lt;=0,"",IFERROR(X199/W199-1,"")))</f>
        <v/>
      </c>
    </row>
    <row r="202">
      <c r="A202" s="18" t="inlineStr">
        <is>
          <t>부문 · 부문 이익(손실)</t>
        </is>
      </c>
      <c r="C202" s="20" t="n">
        <v>2368</v>
      </c>
      <c r="D202" s="20" t="n">
        <v>3809</v>
      </c>
      <c r="E202" s="20" t="n">
        <v>2089</v>
      </c>
      <c r="F202" s="20" t="n">
        <v>1780</v>
      </c>
      <c r="G202" s="20" t="n">
        <v>430</v>
      </c>
      <c r="H202" s="20" t="n">
        <v>1746</v>
      </c>
      <c r="I202" s="20" t="n">
        <v>1509</v>
      </c>
      <c r="J202" s="20" t="n">
        <v>855</v>
      </c>
      <c r="K202" s="20" t="n">
        <v>694</v>
      </c>
      <c r="L202" s="20" t="n">
        <v>810</v>
      </c>
      <c r="M202" s="20" t="n">
        <v>1434</v>
      </c>
      <c r="N202" s="20" t="n">
        <v>-768</v>
      </c>
      <c r="V202" s="20" t="n">
        <v>2089</v>
      </c>
      <c r="W202" s="20" t="n">
        <v>1509</v>
      </c>
      <c r="X202" s="20" t="n">
        <v>1434</v>
      </c>
    </row>
    <row r="203">
      <c r="A203" s="43" t="inlineStr">
        <is>
          <t>OPM</t>
        </is>
      </c>
      <c r="B203" s="3" t="inlineStr">
        <is>
          <t>영업이익 ÷ 매출</t>
        </is>
      </c>
      <c r="C203" s="15">
        <f>IF(OR(C202="",C180=""),"",IF(C180&lt;=0,"",IFERROR(C202/C180,"")))</f>
        <v/>
      </c>
      <c r="D203" s="15">
        <f>IF(OR(D202="",D180=""),"",IF(D180&lt;=0,"",IFERROR(D202/D180,"")))</f>
        <v/>
      </c>
      <c r="E203" s="15">
        <f>IF(OR(E202="",E180=""),"",IF(E180&lt;=0,"",IFERROR(E202/E180,"")))</f>
        <v/>
      </c>
      <c r="F203" s="15">
        <f>IF(OR(F202="",F180=""),"",IF(F180&lt;=0,"",IFERROR(F202/F180,"")))</f>
        <v/>
      </c>
      <c r="G203" s="15">
        <f>IF(OR(G202="",G180=""),"",IF(G180&lt;=0,"",IFERROR(G202/G180,"")))</f>
        <v/>
      </c>
      <c r="H203" s="15">
        <f>IF(OR(H202="",H180=""),"",IF(H180&lt;=0,"",IFERROR(H202/H180,"")))</f>
        <v/>
      </c>
      <c r="I203" s="15">
        <f>IF(OR(I202="",I180=""),"",IF(I180&lt;=0,"",IFERROR(I202/I180,"")))</f>
        <v/>
      </c>
      <c r="J203" s="15">
        <f>IF(OR(J202="",J180=""),"",IF(J180&lt;=0,"",IFERROR(J202/J180,"")))</f>
        <v/>
      </c>
      <c r="K203" s="15">
        <f>IF(OR(K202="",K180=""),"",IF(K180&lt;=0,"",IFERROR(K202/K180,"")))</f>
        <v/>
      </c>
      <c r="L203" s="15">
        <f>IF(OR(L202="",L180=""),"",IF(L180&lt;=0,"",IFERROR(L202/L180,"")))</f>
        <v/>
      </c>
      <c r="M203" s="15">
        <f>IF(OR(M202="",M180=""),"",IF(M180&lt;=0,"",IFERROR(M202/M180,"")))</f>
        <v/>
      </c>
      <c r="N203" s="15">
        <f>IF(OR(N202="",N180=""),"",IF(N180&lt;=0,"",IFERROR(N202/N180,"")))</f>
        <v/>
      </c>
      <c r="V203" s="15">
        <f>IF(OR(V202="",V180=""),"",IF(V180&lt;=0,"",IFERROR(V202/V180,"")))</f>
        <v/>
      </c>
      <c r="W203" s="15">
        <f>IF(OR(W202="",W180=""),"",IF(W180&lt;=0,"",IFERROR(W202/W180,"")))</f>
        <v/>
      </c>
      <c r="X203" s="15">
        <f>IF(OR(X202="",X180=""),"",IF(X180&lt;=0,"",IFERROR(X202/X180,"")))</f>
        <v/>
      </c>
    </row>
    <row r="204">
      <c r="A204" s="43" t="inlineStr">
        <is>
          <t>YoY</t>
        </is>
      </c>
      <c r="B204" s="3" t="inlineStr">
        <is>
          <t>전년 같은 분기·전년 대비</t>
        </is>
      </c>
      <c r="G204" s="15">
        <f>IF(OR(G202="",C202=""),"",IF(C202&lt;=0,"",IFERROR(G202/C202-1,"")))</f>
        <v/>
      </c>
      <c r="H204" s="15">
        <f>IF(OR(H202="",D202=""),"",IF(D202&lt;=0,"",IFERROR(H202/D202-1,"")))</f>
        <v/>
      </c>
      <c r="I204" s="15">
        <f>IF(OR(I202="",E202=""),"",IF(E202&lt;=0,"",IFERROR(I202/E202-1,"")))</f>
        <v/>
      </c>
      <c r="J204" s="15">
        <f>IF(OR(J202="",F202=""),"",IF(F202&lt;=0,"",IFERROR(J202/F202-1,"")))</f>
        <v/>
      </c>
      <c r="K204" s="15">
        <f>IF(OR(K202="",G202=""),"",IF(G202&lt;=0,"",IFERROR(K202/G202-1,"")))</f>
        <v/>
      </c>
      <c r="L204" s="15">
        <f>IF(OR(L202="",H202=""),"",IF(H202&lt;=0,"",IFERROR(L202/H202-1,"")))</f>
        <v/>
      </c>
      <c r="M204" s="15">
        <f>IF(OR(M202="",I202=""),"",IF(I202&lt;=0,"",IFERROR(M202/I202-1,"")))</f>
        <v/>
      </c>
      <c r="N204" s="15">
        <f>IF(OR(N202="",J202=""),"",IF(J202&lt;=0,"",IFERROR(N202/J202-1,"")))</f>
        <v/>
      </c>
      <c r="V204" s="15">
        <f>IF(OR(V202="",U202=""),"",IF(U202&lt;=0,"",IFERROR(V202/U202-1,"")))</f>
        <v/>
      </c>
      <c r="W204" s="15">
        <f>IF(OR(W202="",V202=""),"",IF(V202&lt;=0,"",IFERROR(W202/V202-1,"")))</f>
        <v/>
      </c>
      <c r="X204" s="15">
        <f>IF(OR(X202="",W202=""),"",IF(W202&lt;=0,"",IFERROR(X202/W202-1,"")))</f>
        <v/>
      </c>
    </row>
    <row r="205">
      <c r="A205" s="18" t="inlineStr">
        <is>
          <t>보고부문 합계 · 부문 이익(손실)</t>
        </is>
      </c>
      <c r="C205" s="20" t="n">
        <v>27480</v>
      </c>
      <c r="D205" s="20" t="n">
        <v>27145</v>
      </c>
      <c r="E205" s="20" t="n">
        <v>2526</v>
      </c>
      <c r="F205" s="20" t="n">
        <v>16641</v>
      </c>
      <c r="G205" s="20" t="n">
        <v>17062</v>
      </c>
      <c r="H205" s="20" t="n">
        <v>18189</v>
      </c>
      <c r="I205" s="20" t="n">
        <v>-9547</v>
      </c>
      <c r="J205" s="20" t="n">
        <v>18697</v>
      </c>
      <c r="K205" s="20" t="n">
        <v>18422</v>
      </c>
      <c r="L205" s="20" t="n">
        <v>23208</v>
      </c>
      <c r="M205" s="20" t="n">
        <v>-6561</v>
      </c>
      <c r="N205" s="20" t="n">
        <v>15927</v>
      </c>
      <c r="V205" s="20" t="n">
        <v>2526</v>
      </c>
      <c r="W205" s="20" t="n">
        <v>-9547</v>
      </c>
      <c r="X205" s="20" t="n">
        <v>-6561</v>
      </c>
    </row>
    <row r="206">
      <c r="A206" s="43" t="inlineStr">
        <is>
          <t>OPM</t>
        </is>
      </c>
      <c r="B206" s="3" t="inlineStr">
        <is>
          <t>영업이익 ÷ 매출</t>
        </is>
      </c>
      <c r="C206" s="15">
        <f>IF(OR(C205="",C182=""),"",IF(C182&lt;=0,"",IFERROR(C205/C182,"")))</f>
        <v/>
      </c>
      <c r="D206" s="15">
        <f>IF(OR(D205="",D182=""),"",IF(D182&lt;=0,"",IFERROR(D205/D182,"")))</f>
        <v/>
      </c>
      <c r="E206" s="15">
        <f>IF(OR(E205="",E182=""),"",IF(E182&lt;=0,"",IFERROR(E205/E182,"")))</f>
        <v/>
      </c>
      <c r="F206" s="15">
        <f>IF(OR(F205="",F182=""),"",IF(F182&lt;=0,"",IFERROR(F205/F182,"")))</f>
        <v/>
      </c>
      <c r="G206" s="15">
        <f>IF(OR(G205="",G182=""),"",IF(G182&lt;=0,"",IFERROR(G205/G182,"")))</f>
        <v/>
      </c>
      <c r="H206" s="15">
        <f>IF(OR(H205="",H182=""),"",IF(H182&lt;=0,"",IFERROR(H205/H182,"")))</f>
        <v/>
      </c>
      <c r="I206" s="15">
        <f>IF(OR(I205="",I182=""),"",IF(I182&lt;=0,"",IFERROR(I205/I182,"")))</f>
        <v/>
      </c>
      <c r="J206" s="15">
        <f>IF(OR(J205="",J182=""),"",IF(J182&lt;=0,"",IFERROR(J205/J182,"")))</f>
        <v/>
      </c>
      <c r="K206" s="15">
        <f>IF(OR(K205="",K182=""),"",IF(K182&lt;=0,"",IFERROR(K205/K182,"")))</f>
        <v/>
      </c>
      <c r="L206" s="15">
        <f>IF(OR(L205="",L182=""),"",IF(L182&lt;=0,"",IFERROR(L205/L182,"")))</f>
        <v/>
      </c>
      <c r="M206" s="15">
        <f>IF(OR(M205="",M182=""),"",IF(M182&lt;=0,"",IFERROR(M205/M182,"")))</f>
        <v/>
      </c>
      <c r="N206" s="15">
        <f>IF(OR(N205="",N182=""),"",IF(N182&lt;=0,"",IFERROR(N205/N182,"")))</f>
        <v/>
      </c>
      <c r="V206" s="15">
        <f>IF(OR(V205="",V182=""),"",IF(V182&lt;=0,"",IFERROR(V205/V182,"")))</f>
        <v/>
      </c>
      <c r="W206" s="15">
        <f>IF(OR(W205="",W182=""),"",IF(W182&lt;=0,"",IFERROR(W205/W182,"")))</f>
        <v/>
      </c>
      <c r="X206" s="15">
        <f>IF(OR(X205="",X182=""),"",IF(X182&lt;=0,"",IFERROR(X205/X182,"")))</f>
        <v/>
      </c>
    </row>
    <row r="207">
      <c r="A207" s="43" t="inlineStr">
        <is>
          <t>YoY</t>
        </is>
      </c>
      <c r="B207" s="3" t="inlineStr">
        <is>
          <t>전년 같은 분기·전년 대비</t>
        </is>
      </c>
      <c r="G207" s="15">
        <f>IF(OR(G205="",C205=""),"",IF(C205&lt;=0,"",IFERROR(G205/C205-1,"")))</f>
        <v/>
      </c>
      <c r="H207" s="15">
        <f>IF(OR(H205="",D205=""),"",IF(D205&lt;=0,"",IFERROR(H205/D205-1,"")))</f>
        <v/>
      </c>
      <c r="I207" s="15">
        <f>IF(OR(I205="",E205=""),"",IF(E205&lt;=0,"",IFERROR(I205/E205-1,"")))</f>
        <v/>
      </c>
      <c r="J207" s="15">
        <f>IF(OR(J205="",F205=""),"",IF(F205&lt;=0,"",IFERROR(J205/F205-1,"")))</f>
        <v/>
      </c>
      <c r="K207" s="15">
        <f>IF(OR(K205="",G205=""),"",IF(G205&lt;=0,"",IFERROR(K205/G205-1,"")))</f>
        <v/>
      </c>
      <c r="L207" s="15">
        <f>IF(OR(L205="",H205=""),"",IF(H205&lt;=0,"",IFERROR(L205/H205-1,"")))</f>
        <v/>
      </c>
      <c r="M207" s="15">
        <f>IF(OR(M205="",I205=""),"",IF(I205&lt;=0,"",IFERROR(M205/I205-1,"")))</f>
        <v/>
      </c>
      <c r="N207" s="15">
        <f>IF(OR(N205="",J205=""),"",IF(J205&lt;=0,"",IFERROR(N205/J205-1,"")))</f>
        <v/>
      </c>
      <c r="V207" s="15">
        <f>IF(OR(V205="",U205=""),"",IF(U205&lt;=0,"",IFERROR(V205/U205-1,"")))</f>
        <v/>
      </c>
      <c r="W207" s="15">
        <f>IF(OR(W205="",V205=""),"",IF(V205&lt;=0,"",IFERROR(W205/V205-1,"")))</f>
        <v/>
      </c>
      <c r="X207" s="15">
        <f>IF(OR(X205="",W205=""),"",IF(W205&lt;=0,"",IFERROR(X205/W205-1,"")))</f>
        <v/>
      </c>
    </row>
    <row r="208">
      <c r="A208" s="18" t="inlineStr">
        <is>
          <t>조정액 · 부문 이익(손실)</t>
        </is>
      </c>
      <c r="C208" s="20" t="n">
        <v>-48</v>
      </c>
      <c r="D208" s="20" t="n">
        <v>-19</v>
      </c>
      <c r="E208" s="20" t="n">
        <v>22</v>
      </c>
      <c r="F208" s="20" t="n">
        <v>57</v>
      </c>
      <c r="G208" s="20" t="n">
        <v>76</v>
      </c>
      <c r="H208" s="20" t="n">
        <v>-5</v>
      </c>
      <c r="I208" s="20" t="n">
        <v>-74</v>
      </c>
      <c r="J208" s="20" t="n">
        <v>6</v>
      </c>
      <c r="K208" s="20" t="n">
        <v>-84</v>
      </c>
      <c r="L208" s="20" t="n">
        <v>-3</v>
      </c>
      <c r="M208" s="20" t="n">
        <v>262</v>
      </c>
      <c r="N208" s="20" t="n">
        <v>-44</v>
      </c>
      <c r="V208" s="20" t="n">
        <v>22</v>
      </c>
      <c r="W208" s="20" t="n">
        <v>-74</v>
      </c>
      <c r="X208" s="20" t="n">
        <v>262</v>
      </c>
    </row>
    <row r="209">
      <c r="A209" s="18" t="inlineStr">
        <is>
          <t>부문 이익(손실)</t>
        </is>
      </c>
      <c r="C209" s="20" t="n">
        <v>27432</v>
      </c>
      <c r="D209" s="20" t="n">
        <v>27125</v>
      </c>
      <c r="E209" s="20" t="n">
        <v>2550</v>
      </c>
      <c r="F209" s="20" t="n">
        <v>16698</v>
      </c>
      <c r="G209" s="20" t="n">
        <v>17139</v>
      </c>
      <c r="H209" s="20" t="n">
        <v>18184</v>
      </c>
      <c r="I209" s="20" t="n">
        <v>-9622</v>
      </c>
      <c r="J209" s="20" t="n">
        <v>18703</v>
      </c>
      <c r="K209" s="20" t="n">
        <v>18338</v>
      </c>
      <c r="L209" s="20" t="n">
        <v>23204</v>
      </c>
      <c r="M209" s="20" t="n">
        <v>-6297</v>
      </c>
      <c r="N209" s="20" t="n">
        <v>15882</v>
      </c>
      <c r="V209" s="20" t="n">
        <v>2550</v>
      </c>
      <c r="W209" s="20" t="n">
        <v>-9622</v>
      </c>
      <c r="X209" s="20" t="n">
        <v>-6297</v>
      </c>
    </row>
    <row r="210">
      <c r="A210" s="43" t="inlineStr">
        <is>
          <t>OPM</t>
        </is>
      </c>
      <c r="B210" s="3" t="inlineStr">
        <is>
          <t>영업이익 ÷ 매출</t>
        </is>
      </c>
      <c r="C210" s="15">
        <f>IF(OR(C209="",C159=""),"",IF(C159&lt;=0,"",IFERROR(C209/C159,"")))</f>
        <v/>
      </c>
      <c r="D210" s="15">
        <f>IF(OR(D209="",D159=""),"",IF(D159&lt;=0,"",IFERROR(D209/D159,"")))</f>
        <v/>
      </c>
      <c r="E210" s="15">
        <f>IF(OR(E209="",E159=""),"",IF(E159&lt;=0,"",IFERROR(E209/E159,"")))</f>
        <v/>
      </c>
      <c r="F210" s="15">
        <f>IF(OR(F209="",F159=""),"",IF(F159&lt;=0,"",IFERROR(F209/F159,"")))</f>
        <v/>
      </c>
      <c r="G210" s="15">
        <f>IF(OR(G209="",G159=""),"",IF(G159&lt;=0,"",IFERROR(G209/G159,"")))</f>
        <v/>
      </c>
      <c r="H210" s="15">
        <f>IF(OR(H209="",H159=""),"",IF(H159&lt;=0,"",IFERROR(H209/H159,"")))</f>
        <v/>
      </c>
      <c r="I210" s="15">
        <f>IF(OR(I209="",I159=""),"",IF(I159&lt;=0,"",IFERROR(I209/I159,"")))</f>
        <v/>
      </c>
      <c r="J210" s="15">
        <f>IF(OR(J209="",J159=""),"",IF(J159&lt;=0,"",IFERROR(J209/J159,"")))</f>
        <v/>
      </c>
      <c r="K210" s="15">
        <f>IF(OR(K209="",K159=""),"",IF(K159&lt;=0,"",IFERROR(K209/K159,"")))</f>
        <v/>
      </c>
      <c r="L210" s="15">
        <f>IF(OR(L209="",L159=""),"",IF(L159&lt;=0,"",IFERROR(L209/L159,"")))</f>
        <v/>
      </c>
      <c r="M210" s="15">
        <f>IF(OR(M209="",M159=""),"",IF(M159&lt;=0,"",IFERROR(M209/M159,"")))</f>
        <v/>
      </c>
      <c r="N210" s="15">
        <f>IF(OR(N209="",N159=""),"",IF(N159&lt;=0,"",IFERROR(N209/N159,"")))</f>
        <v/>
      </c>
      <c r="V210" s="15">
        <f>IF(OR(V209="",V159=""),"",IF(V159&lt;=0,"",IFERROR(V209/V159,"")))</f>
        <v/>
      </c>
      <c r="W210" s="15">
        <f>IF(OR(W209="",W159=""),"",IF(W159&lt;=0,"",IFERROR(W209/W159,"")))</f>
        <v/>
      </c>
      <c r="X210" s="15">
        <f>IF(OR(X209="",X159=""),"",IF(X159&lt;=0,"",IFERROR(X209/X159,"")))</f>
        <v/>
      </c>
    </row>
    <row r="211">
      <c r="A211" s="43" t="inlineStr">
        <is>
          <t>YoY</t>
        </is>
      </c>
      <c r="B211" s="3" t="inlineStr">
        <is>
          <t>전년 같은 분기·전년 대비</t>
        </is>
      </c>
      <c r="G211" s="15">
        <f>IF(OR(G209="",C209=""),"",IF(C209&lt;=0,"",IFERROR(G209/C209-1,"")))</f>
        <v/>
      </c>
      <c r="H211" s="15">
        <f>IF(OR(H209="",D209=""),"",IF(D209&lt;=0,"",IFERROR(H209/D209-1,"")))</f>
        <v/>
      </c>
      <c r="I211" s="15">
        <f>IF(OR(I209="",E209=""),"",IF(E209&lt;=0,"",IFERROR(I209/E209-1,"")))</f>
        <v/>
      </c>
      <c r="J211" s="15">
        <f>IF(OR(J209="",F209=""),"",IF(F209&lt;=0,"",IFERROR(J209/F209-1,"")))</f>
        <v/>
      </c>
      <c r="K211" s="15">
        <f>IF(OR(K209="",G209=""),"",IF(G209&lt;=0,"",IFERROR(K209/G209-1,"")))</f>
        <v/>
      </c>
      <c r="L211" s="15">
        <f>IF(OR(L209="",H209=""),"",IF(H209&lt;=0,"",IFERROR(L209/H209-1,"")))</f>
        <v/>
      </c>
      <c r="M211" s="15">
        <f>IF(OR(M209="",I209=""),"",IF(I209&lt;=0,"",IFERROR(M209/I209-1,"")))</f>
        <v/>
      </c>
      <c r="N211" s="15">
        <f>IF(OR(N209="",J209=""),"",IF(J209&lt;=0,"",IFERROR(N209/J209-1,"")))</f>
        <v/>
      </c>
      <c r="V211" s="15">
        <f>IF(OR(V209="",U209=""),"",IF(U209&lt;=0,"",IFERROR(V209/U209-1,"")))</f>
        <v/>
      </c>
      <c r="W211" s="15">
        <f>IF(OR(W209="",V209=""),"",IF(V209&lt;=0,"",IFERROR(W209/V209-1,"")))</f>
        <v/>
      </c>
      <c r="X211" s="15">
        <f>IF(OR(X209="",W209=""),"",IF(W209&lt;=0,"",IFERROR(X209/W209-1,"")))</f>
        <v/>
      </c>
    </row>
    <row r="212">
      <c r="A212" s="18" t="inlineStr">
        <is>
          <t>금융수익</t>
        </is>
      </c>
      <c r="C212" s="20" t="n">
        <v>2594</v>
      </c>
      <c r="D212" s="20" t="n">
        <v>-1559</v>
      </c>
      <c r="E212" s="20" t="n">
        <v>5296</v>
      </c>
      <c r="F212" s="20" t="n">
        <v>2698</v>
      </c>
      <c r="G212" s="20" t="n">
        <v>1179</v>
      </c>
      <c r="H212" s="20" t="n">
        <v>1878</v>
      </c>
      <c r="I212" s="20" t="n">
        <v>1919</v>
      </c>
      <c r="J212" s="20" t="n">
        <v>1894</v>
      </c>
      <c r="K212" s="20" t="n">
        <v>2096</v>
      </c>
      <c r="L212" s="20" t="n">
        <v>2087</v>
      </c>
      <c r="M212" s="20" t="n">
        <v>2374</v>
      </c>
      <c r="N212" s="20" t="n">
        <v>1824</v>
      </c>
      <c r="V212" s="20" t="n">
        <v>5296</v>
      </c>
      <c r="W212" s="20" t="n">
        <v>1919</v>
      </c>
      <c r="X212" s="20" t="n">
        <v>2374</v>
      </c>
    </row>
    <row r="213">
      <c r="A213" s="43" t="inlineStr">
        <is>
          <t>YoY</t>
        </is>
      </c>
      <c r="B213" s="3" t="inlineStr">
        <is>
          <t>전년 같은 분기·전년 대비</t>
        </is>
      </c>
      <c r="G213" s="15">
        <f>IF(OR(G212="",C212=""),"",IF(G212*C212&lt;=0,"",IFERROR(G212/C212-1,"")))</f>
        <v/>
      </c>
      <c r="H213" s="15">
        <f>IF(OR(H212="",D212=""),"",IF(H212*D212&lt;=0,"",IFERROR(H212/D212-1,"")))</f>
        <v/>
      </c>
      <c r="I213" s="15">
        <f>IF(OR(I212="",E212=""),"",IF(I212*E212&lt;=0,"",IFERROR(I212/E212-1,"")))</f>
        <v/>
      </c>
      <c r="J213" s="15">
        <f>IF(OR(J212="",F212=""),"",IF(J212*F212&lt;=0,"",IFERROR(J212/F212-1,"")))</f>
        <v/>
      </c>
      <c r="K213" s="15">
        <f>IF(OR(K212="",G212=""),"",IF(K212*G212&lt;=0,"",IFERROR(K212/G212-1,"")))</f>
        <v/>
      </c>
      <c r="L213" s="15">
        <f>IF(OR(L212="",H212=""),"",IF(L212*H212&lt;=0,"",IFERROR(L212/H212-1,"")))</f>
        <v/>
      </c>
      <c r="M213" s="15">
        <f>IF(OR(M212="",I212=""),"",IF(M212*I212&lt;=0,"",IFERROR(M212/I212-1,"")))</f>
        <v/>
      </c>
      <c r="N213" s="15">
        <f>IF(OR(N212="",J212=""),"",IF(N212*J212&lt;=0,"",IFERROR(N212/J212-1,"")))</f>
        <v/>
      </c>
      <c r="V213" s="15">
        <f>IF(OR(V212="",U212=""),"",IF(V212*U212&lt;=0,"",IFERROR(V212/U212-1,"")))</f>
        <v/>
      </c>
      <c r="W213" s="15">
        <f>IF(OR(W212="",V212=""),"",IF(W212*V212&lt;=0,"",IFERROR(W212/V212-1,"")))</f>
        <v/>
      </c>
      <c r="X213" s="15">
        <f>IF(OR(X212="",W212=""),"",IF(X212*W212&lt;=0,"",IFERROR(X212/W212-1,"")))</f>
        <v/>
      </c>
    </row>
    <row r="214">
      <c r="A214" s="18" t="inlineStr">
        <is>
          <t>금융비용</t>
        </is>
      </c>
      <c r="C214" s="20" t="n">
        <v>848</v>
      </c>
      <c r="D214" s="20" t="n">
        <v>1859</v>
      </c>
      <c r="E214" s="20" t="n">
        <v>-228</v>
      </c>
      <c r="F214" s="20" t="n">
        <v>445</v>
      </c>
      <c r="G214" s="20" t="n">
        <v>4556</v>
      </c>
      <c r="H214" s="20" t="n">
        <v>-1583</v>
      </c>
      <c r="I214" s="20" t="n">
        <v>1735</v>
      </c>
      <c r="J214" s="20" t="n">
        <v>2200</v>
      </c>
      <c r="K214" s="20" t="n">
        <v>483</v>
      </c>
      <c r="L214" s="20" t="n">
        <v>-398</v>
      </c>
      <c r="M214" s="20" t="n">
        <v>219</v>
      </c>
      <c r="N214" s="20" t="n">
        <v>530</v>
      </c>
      <c r="V214" s="20" t="n">
        <v>-228</v>
      </c>
      <c r="W214" s="20" t="n">
        <v>1735</v>
      </c>
      <c r="X214" s="20" t="n">
        <v>219</v>
      </c>
    </row>
    <row r="215">
      <c r="A215" s="43" t="inlineStr">
        <is>
          <t>YoY</t>
        </is>
      </c>
      <c r="B215" s="3" t="inlineStr">
        <is>
          <t>전년 같은 분기·전년 대비</t>
        </is>
      </c>
      <c r="G215" s="15">
        <f>IF(OR(G214="",C214=""),"",IF(G214*C214&lt;=0,"",IFERROR(G214/C214-1,"")))</f>
        <v/>
      </c>
      <c r="H215" s="15">
        <f>IF(OR(H214="",D214=""),"",IF(H214*D214&lt;=0,"",IFERROR(H214/D214-1,"")))</f>
        <v/>
      </c>
      <c r="I215" s="15">
        <f>IF(OR(I214="",E214=""),"",IF(I214*E214&lt;=0,"",IFERROR(I214/E214-1,"")))</f>
        <v/>
      </c>
      <c r="J215" s="15">
        <f>IF(OR(J214="",F214=""),"",IF(J214*F214&lt;=0,"",IFERROR(J214/F214-1,"")))</f>
        <v/>
      </c>
      <c r="K215" s="15">
        <f>IF(OR(K214="",G214=""),"",IF(K214*G214&lt;=0,"",IFERROR(K214/G214-1,"")))</f>
        <v/>
      </c>
      <c r="L215" s="15">
        <f>IF(OR(L214="",H214=""),"",IF(L214*H214&lt;=0,"",IFERROR(L214/H214-1,"")))</f>
        <v/>
      </c>
      <c r="M215" s="15">
        <f>IF(OR(M214="",I214=""),"",IF(M214*I214&lt;=0,"",IFERROR(M214/I214-1,"")))</f>
        <v/>
      </c>
      <c r="N215" s="15">
        <f>IF(OR(N214="",J214=""),"",IF(N214*J214&lt;=0,"",IFERROR(N214/J214-1,"")))</f>
        <v/>
      </c>
      <c r="V215" s="15">
        <f>IF(OR(V214="",U214=""),"",IF(V214*U214&lt;=0,"",IFERROR(V214/U214-1,"")))</f>
        <v/>
      </c>
      <c r="W215" s="15">
        <f>IF(OR(W214="",V214=""),"",IF(W214*V214&lt;=0,"",IFERROR(W214/V214-1,"")))</f>
        <v/>
      </c>
      <c r="X215" s="15">
        <f>IF(OR(X214="",W214=""),"",IF(X214*W214&lt;=0,"",IFERROR(X214/W214-1,"")))</f>
        <v/>
      </c>
    </row>
    <row r="216">
      <c r="A216" s="18" t="inlineStr">
        <is>
          <t>지분법이익</t>
        </is>
      </c>
      <c r="C216" s="20" t="n">
        <v>495</v>
      </c>
      <c r="D216" s="20" t="n">
        <v>617</v>
      </c>
      <c r="E216" s="20" t="n">
        <v>563</v>
      </c>
      <c r="F216" s="20" t="n">
        <v>453</v>
      </c>
      <c r="G216" s="20" t="n">
        <v>-241</v>
      </c>
      <c r="H216" s="20" t="n">
        <v>673</v>
      </c>
      <c r="I216" s="20" t="n">
        <v>1290</v>
      </c>
      <c r="J216" s="20" t="n">
        <v>503</v>
      </c>
      <c r="K216" s="20" t="n">
        <v>577</v>
      </c>
      <c r="L216" s="20" t="n">
        <v>285</v>
      </c>
      <c r="M216" s="20" t="n">
        <v>657</v>
      </c>
      <c r="N216" s="20" t="n">
        <v>496</v>
      </c>
      <c r="V216" s="20" t="n">
        <v>563</v>
      </c>
      <c r="W216" s="20" t="n">
        <v>1290</v>
      </c>
      <c r="X216" s="20" t="n">
        <v>657</v>
      </c>
    </row>
    <row r="217">
      <c r="A217" s="9" t="inlineStr">
        <is>
          <t>법인세비용차감전 중간이익</t>
        </is>
      </c>
      <c r="C217" s="12" t="n">
        <v>29674</v>
      </c>
      <c r="D217" s="12" t="n">
        <v>24324</v>
      </c>
      <c r="E217" s="12" t="n">
        <v>8636</v>
      </c>
      <c r="F217" s="12" t="n">
        <v>19405</v>
      </c>
      <c r="G217" s="12" t="n">
        <v>13521</v>
      </c>
      <c r="H217" s="12" t="n">
        <v>22317</v>
      </c>
      <c r="I217" s="12" t="n">
        <v>-8147</v>
      </c>
      <c r="J217" s="12" t="n">
        <v>18901</v>
      </c>
      <c r="K217" s="12" t="n">
        <v>20527</v>
      </c>
      <c r="L217" s="12" t="n">
        <v>25974</v>
      </c>
      <c r="M217" s="12" t="n">
        <v>-3484</v>
      </c>
      <c r="N217" s="12" t="n">
        <v>17672</v>
      </c>
      <c r="V217" s="12" t="n">
        <v>8636</v>
      </c>
      <c r="W217" s="12" t="n">
        <v>-8147</v>
      </c>
      <c r="X217" s="12" t="n">
        <v>-3484</v>
      </c>
    </row>
    <row r="219">
      <c r="A219" s="16" t="inlineStr">
        <is>
          <t>현금흐름표 · 전 항목</t>
        </is>
      </c>
      <c r="B219" s="42" t="inlineStr">
        <is>
          <t>분기 = 결산기 첫날부터 누계(공시 그대로)</t>
        </is>
      </c>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row>
    <row r="220">
      <c r="A220" s="5" t="inlineStr">
        <is>
          <t>항목</t>
        </is>
      </c>
      <c r="B220" s="5" t="inlineStr">
        <is>
          <t>참고</t>
        </is>
      </c>
      <c r="C220" s="5" t="inlineStr">
        <is>
          <t>2024.2Q</t>
        </is>
      </c>
      <c r="D220" s="5" t="inlineStr">
        <is>
          <t>2024.3Q</t>
        </is>
      </c>
      <c r="E220" s="5" t="inlineStr">
        <is>
          <t>2024.4Q</t>
        </is>
      </c>
      <c r="F220" s="5" t="inlineStr">
        <is>
          <t>2025.1Q</t>
        </is>
      </c>
      <c r="G220" s="5" t="inlineStr">
        <is>
          <t>2025.2Q</t>
        </is>
      </c>
      <c r="H220" s="5" t="inlineStr">
        <is>
          <t>2025.3Q</t>
        </is>
      </c>
      <c r="I220" s="5" t="inlineStr">
        <is>
          <t>2025.4Q</t>
        </is>
      </c>
      <c r="J220" s="5" t="inlineStr">
        <is>
          <t>2026.1Q</t>
        </is>
      </c>
      <c r="K220" s="5" t="inlineStr">
        <is>
          <t>2026.2Q</t>
        </is>
      </c>
      <c r="L220" s="5" t="inlineStr">
        <is>
          <t>2026.3Q</t>
        </is>
      </c>
      <c r="M220" s="5" t="inlineStr">
        <is>
          <t>2026.4Q</t>
        </is>
      </c>
      <c r="N220" s="5" t="inlineStr">
        <is>
          <t>2027.1Q</t>
        </is>
      </c>
      <c r="O220" s="5" t="inlineStr">
        <is>
          <t>2017</t>
        </is>
      </c>
      <c r="P220" s="5" t="inlineStr">
        <is>
          <t>2018</t>
        </is>
      </c>
      <c r="Q220" s="5" t="inlineStr">
        <is>
          <t>2019</t>
        </is>
      </c>
      <c r="R220" s="5" t="inlineStr">
        <is>
          <t>2020</t>
        </is>
      </c>
      <c r="S220" s="5" t="inlineStr">
        <is>
          <t>2021</t>
        </is>
      </c>
      <c r="T220" s="5" t="inlineStr">
        <is>
          <t>2022</t>
        </is>
      </c>
      <c r="U220" s="5" t="inlineStr">
        <is>
          <t>2023</t>
        </is>
      </c>
      <c r="V220" s="5" t="inlineStr">
        <is>
          <t>2024</t>
        </is>
      </c>
      <c r="W220" s="5" t="inlineStr">
        <is>
          <t>2025</t>
        </is>
      </c>
      <c r="X220" s="5" t="inlineStr">
        <is>
          <t>2026</t>
        </is>
      </c>
      <c r="Y220" s="5" t="inlineStr">
        <is>
          <t>2027(MW)</t>
        </is>
      </c>
      <c r="Z220" s="5" t="inlineStr">
        <is>
          <t>2028(MW)</t>
        </is>
      </c>
      <c r="AA220" s="5" t="inlineStr">
        <is>
          <t>2029(MW)</t>
        </is>
      </c>
      <c r="AB220" s="5" t="inlineStr">
        <is>
          <t>2030(MW)</t>
        </is>
      </c>
      <c r="AC220" s="5" t="inlineStr">
        <is>
          <t>2031(MW)</t>
        </is>
      </c>
    </row>
    <row r="221">
      <c r="A221" s="9" t="inlineStr">
        <is>
          <t>법인세비용차감전 중간이익</t>
        </is>
      </c>
      <c r="C221" s="12" t="n">
        <v>55048</v>
      </c>
      <c r="D221" s="12" t="n">
        <v>79372</v>
      </c>
      <c r="E221" s="12" t="n">
        <v>88008</v>
      </c>
      <c r="F221" s="12" t="n">
        <v>19405</v>
      </c>
      <c r="G221" s="12" t="n">
        <v>32926</v>
      </c>
      <c r="H221" s="12" t="n">
        <v>55243</v>
      </c>
      <c r="I221" s="12" t="n">
        <v>47096</v>
      </c>
      <c r="J221" s="12" t="n">
        <v>18901</v>
      </c>
      <c r="K221" s="12" t="n">
        <v>39428</v>
      </c>
      <c r="L221" s="12" t="n">
        <v>65402</v>
      </c>
      <c r="M221" s="12" t="n">
        <v>61918</v>
      </c>
      <c r="N221" s="12" t="n">
        <v>17672</v>
      </c>
      <c r="P221" s="12" t="n">
        <v>75849</v>
      </c>
      <c r="Q221" s="12" t="n">
        <v>61489</v>
      </c>
      <c r="R221" s="12" t="n">
        <v>48074</v>
      </c>
      <c r="S221" s="12" t="n">
        <v>57345</v>
      </c>
      <c r="T221" s="12" t="n">
        <v>64529</v>
      </c>
      <c r="U221" s="12" t="n">
        <v>52291</v>
      </c>
      <c r="V221" s="12" t="n">
        <v>88008</v>
      </c>
      <c r="W221" s="12" t="n">
        <v>47096</v>
      </c>
      <c r="X221" s="12" t="n">
        <v>61918</v>
      </c>
    </row>
    <row r="222">
      <c r="A222" s="18" t="inlineStr">
        <is>
          <t>감가상각비 및 상각비</t>
        </is>
      </c>
      <c r="C222" s="20" t="n">
        <v>25491</v>
      </c>
      <c r="D222" s="20" t="n">
        <v>38573</v>
      </c>
      <c r="E222" s="20" t="n">
        <v>52294</v>
      </c>
      <c r="F222" s="20" t="n">
        <v>14958</v>
      </c>
      <c r="G222" s="20" t="n">
        <v>27880</v>
      </c>
      <c r="H222" s="20" t="n">
        <v>41862</v>
      </c>
      <c r="I222" s="20" t="n">
        <v>56011</v>
      </c>
      <c r="J222" s="20" t="n">
        <v>12549</v>
      </c>
      <c r="K222" s="20" t="n">
        <v>25496</v>
      </c>
      <c r="L222" s="20" t="n">
        <v>39791</v>
      </c>
      <c r="M222" s="20" t="n">
        <v>52967</v>
      </c>
      <c r="N222" s="20" t="n">
        <v>13779</v>
      </c>
      <c r="P222" s="20" t="n">
        <v>32347</v>
      </c>
      <c r="Q222" s="20" t="n">
        <v>35153</v>
      </c>
      <c r="R222" s="20" t="n">
        <v>40223</v>
      </c>
      <c r="S222" s="20" t="n">
        <v>39947</v>
      </c>
      <c r="T222" s="20" t="n">
        <v>42566</v>
      </c>
      <c r="U222" s="20" t="n">
        <v>47040</v>
      </c>
      <c r="V222" s="20" t="n">
        <v>52294</v>
      </c>
      <c r="W222" s="20" t="n">
        <v>56011</v>
      </c>
      <c r="X222" s="20" t="n">
        <v>52967</v>
      </c>
    </row>
    <row r="223">
      <c r="A223" s="18" t="inlineStr">
        <is>
          <t>Loss Recognized On The Measurement To Fair Value Less Costs To Sell The Disposal Group Held For Sale</t>
        </is>
      </c>
      <c r="E223" s="20" t="n">
        <v>6063</v>
      </c>
      <c r="U223" s="20" t="n">
        <v>0</v>
      </c>
      <c r="V223" s="20" t="n">
        <v>6063</v>
      </c>
    </row>
    <row r="224">
      <c r="A224" s="18" t="inlineStr">
        <is>
          <t>Impairment Losses Reversal Of Impairment Losses Ope CF</t>
        </is>
      </c>
      <c r="E224" s="20" t="n">
        <v>533</v>
      </c>
      <c r="I224" s="20" t="n">
        <v>32331</v>
      </c>
      <c r="V224" s="20" t="n">
        <v>533</v>
      </c>
      <c r="W224" s="20" t="n">
        <v>32331</v>
      </c>
    </row>
    <row r="225">
      <c r="A225" s="18" t="inlineStr">
        <is>
          <t>Loss Recognized On The Measurement To Fair Value Less Costs To Sell The Disposal Group Held For Sale Ope CF</t>
        </is>
      </c>
      <c r="E225" s="20" t="n">
        <v>6063</v>
      </c>
      <c r="I225" s="20" t="n">
        <v>0</v>
      </c>
      <c r="V225" s="20" t="n">
        <v>6063</v>
      </c>
      <c r="W225" s="20" t="n">
        <v>0</v>
      </c>
    </row>
    <row r="226">
      <c r="A226" s="18" t="inlineStr">
        <is>
          <t>손상차손</t>
        </is>
      </c>
      <c r="I226" s="20" t="n">
        <v>32331</v>
      </c>
      <c r="M226" s="20" t="n">
        <v>3671</v>
      </c>
      <c r="W226" s="20" t="n">
        <v>32331</v>
      </c>
      <c r="X226" s="20" t="n">
        <v>3671</v>
      </c>
    </row>
    <row r="227">
      <c r="A227" s="18" t="inlineStr">
        <is>
          <t>Sub Lease Cost Of Sales Ope CF</t>
        </is>
      </c>
      <c r="C227" s="20" t="n">
        <v>27165</v>
      </c>
      <c r="D227" s="20" t="n">
        <v>40895</v>
      </c>
      <c r="E227" s="20" t="n">
        <v>47911</v>
      </c>
      <c r="F227" s="20" t="n">
        <v>4689</v>
      </c>
      <c r="G227" s="20" t="n">
        <v>6254</v>
      </c>
      <c r="H227" s="20" t="n">
        <v>10326</v>
      </c>
      <c r="I227" s="20" t="n">
        <v>12058</v>
      </c>
      <c r="J227" s="20" t="n">
        <v>3320</v>
      </c>
      <c r="K227" s="20" t="n">
        <v>5717</v>
      </c>
      <c r="L227" s="20" t="n">
        <v>13369</v>
      </c>
      <c r="M227" s="20" t="n">
        <v>27020</v>
      </c>
      <c r="N227" s="20" t="n">
        <v>3661</v>
      </c>
      <c r="T227" s="20" t="n">
        <v>41120</v>
      </c>
      <c r="U227" s="20" t="n">
        <v>20420</v>
      </c>
      <c r="V227" s="20" t="n">
        <v>47911</v>
      </c>
      <c r="W227" s="20" t="n">
        <v>12058</v>
      </c>
      <c r="X227" s="20" t="n">
        <v>27020</v>
      </c>
    </row>
    <row r="228">
      <c r="A228" s="18" t="inlineStr">
        <is>
          <t>이자·배당금 수익</t>
        </is>
      </c>
      <c r="C228" s="20" t="n">
        <v>-4060</v>
      </c>
      <c r="D228" s="20" t="n">
        <v>-5033</v>
      </c>
      <c r="E228" s="20" t="n">
        <v>-8463</v>
      </c>
      <c r="F228" s="20" t="n">
        <v>-2053</v>
      </c>
      <c r="G228" s="20" t="n">
        <v>-3790</v>
      </c>
      <c r="H228" s="20" t="n">
        <v>-5742</v>
      </c>
      <c r="I228" s="20" t="n">
        <v>-7643</v>
      </c>
      <c r="J228" s="20" t="n">
        <v>-1894</v>
      </c>
      <c r="K228" s="20" t="n">
        <v>-3937</v>
      </c>
      <c r="L228" s="20" t="n">
        <v>-6024</v>
      </c>
      <c r="M228" s="20" t="n">
        <v>-8125</v>
      </c>
      <c r="N228" s="20" t="n">
        <v>-1726</v>
      </c>
      <c r="P228" s="20" t="n">
        <v>-1859</v>
      </c>
      <c r="Q228" s="20" t="n">
        <v>-1647</v>
      </c>
      <c r="R228" s="20" t="n">
        <v>-1920</v>
      </c>
      <c r="S228" s="20" t="n">
        <v>-1465</v>
      </c>
      <c r="T228" s="20" t="n">
        <v>-2606</v>
      </c>
      <c r="U228" s="20" t="n">
        <v>-4927</v>
      </c>
      <c r="V228" s="20" t="n">
        <v>-8463</v>
      </c>
      <c r="W228" s="20" t="n">
        <v>-7643</v>
      </c>
      <c r="X228" s="20" t="n">
        <v>-8125</v>
      </c>
    </row>
    <row r="229">
      <c r="A229" s="18" t="inlineStr">
        <is>
          <t>이자비용</t>
        </is>
      </c>
      <c r="E229" s="20" t="n">
        <v>2811</v>
      </c>
      <c r="I229" s="20" t="n">
        <v>1568</v>
      </c>
      <c r="U229" s="20" t="n">
        <v>1807</v>
      </c>
      <c r="V229" s="20" t="n">
        <v>2811</v>
      </c>
      <c r="W229" s="20" t="n">
        <v>1568</v>
      </c>
    </row>
    <row r="230">
      <c r="A230" s="18" t="inlineStr">
        <is>
          <t>유형자산 매각손익</t>
        </is>
      </c>
      <c r="E230" s="20" t="n">
        <v>36</v>
      </c>
      <c r="T230" s="20" t="n">
        <v>-274</v>
      </c>
      <c r="U230" s="20" t="n">
        <v>-3076</v>
      </c>
      <c r="V230" s="20" t="n">
        <v>36</v>
      </c>
    </row>
    <row r="231">
      <c r="A231" s="18" t="inlineStr">
        <is>
          <t>Decrease Increase In Trade Receivables Ope CF</t>
        </is>
      </c>
      <c r="C231" s="20" t="n">
        <v>-14555</v>
      </c>
      <c r="D231" s="20" t="n">
        <v>-283</v>
      </c>
      <c r="E231" s="20" t="n">
        <v>1833</v>
      </c>
      <c r="F231" s="20" t="n">
        <v>19379</v>
      </c>
      <c r="G231" s="20" t="n">
        <v>16215</v>
      </c>
      <c r="H231" s="20" t="n">
        <v>34339</v>
      </c>
      <c r="I231" s="20" t="n">
        <v>8504</v>
      </c>
      <c r="J231" s="20" t="n">
        <v>20675</v>
      </c>
      <c r="K231" s="20" t="n">
        <v>10606</v>
      </c>
      <c r="L231" s="20" t="n">
        <v>59519</v>
      </c>
      <c r="M231" s="20" t="n">
        <v>9185</v>
      </c>
      <c r="N231" s="20" t="n">
        <v>25166</v>
      </c>
      <c r="P231" s="20" t="n">
        <v>-24752</v>
      </c>
      <c r="Q231" s="20" t="n">
        <v>-5795</v>
      </c>
      <c r="R231" s="20" t="n">
        <v>37983</v>
      </c>
      <c r="S231" s="20" t="n">
        <v>-17965</v>
      </c>
      <c r="T231" s="20" t="n">
        <v>-24490</v>
      </c>
      <c r="U231" s="20" t="n">
        <v>-16117</v>
      </c>
      <c r="V231" s="20" t="n">
        <v>1833</v>
      </c>
      <c r="W231" s="20" t="n">
        <v>8504</v>
      </c>
      <c r="X231" s="20" t="n">
        <v>9185</v>
      </c>
    </row>
    <row r="232">
      <c r="A232" s="18" t="inlineStr">
        <is>
          <t>Decrease Increase In Inventories Ope CF</t>
        </is>
      </c>
      <c r="C232" s="20" t="n">
        <v>358</v>
      </c>
      <c r="D232" s="20" t="n">
        <v>5565</v>
      </c>
      <c r="E232" s="20" t="n">
        <v>11913</v>
      </c>
      <c r="F232" s="20" t="n">
        <v>-3915</v>
      </c>
      <c r="G232" s="20" t="n">
        <v>-5146</v>
      </c>
      <c r="H232" s="20" t="n">
        <v>-6934</v>
      </c>
      <c r="I232" s="20" t="n">
        <v>-5169</v>
      </c>
      <c r="J232" s="20" t="n">
        <v>-1717</v>
      </c>
      <c r="K232" s="20" t="n">
        <v>-8060</v>
      </c>
      <c r="L232" s="20" t="n">
        <v>-9464</v>
      </c>
      <c r="M232" s="20" t="n">
        <v>-2089</v>
      </c>
      <c r="N232" s="20" t="n">
        <v>-5821</v>
      </c>
      <c r="P232" s="20" t="n">
        <v>-3741</v>
      </c>
      <c r="Q232" s="20" t="n">
        <v>-17566</v>
      </c>
      <c r="R232" s="20" t="n">
        <v>-4387</v>
      </c>
      <c r="S232" s="20" t="n">
        <v>8004</v>
      </c>
      <c r="T232" s="20" t="n">
        <v>-11525</v>
      </c>
      <c r="U232" s="20" t="n">
        <v>-5250</v>
      </c>
      <c r="V232" s="20" t="n">
        <v>11913</v>
      </c>
      <c r="W232" s="20" t="n">
        <v>-5169</v>
      </c>
      <c r="X232" s="20" t="n">
        <v>-2089</v>
      </c>
    </row>
    <row r="233">
      <c r="A233" s="18" t="inlineStr">
        <is>
          <t>Increase Decrease In Trade Payables Ope CF</t>
        </is>
      </c>
      <c r="C233" s="20" t="n">
        <v>1082</v>
      </c>
      <c r="D233" s="20" t="n">
        <v>2672</v>
      </c>
      <c r="E233" s="20" t="n">
        <v>-10723</v>
      </c>
      <c r="F233" s="20" t="n">
        <v>-11103</v>
      </c>
      <c r="G233" s="20" t="n">
        <v>-1928</v>
      </c>
      <c r="H233" s="20" t="n">
        <v>-16545</v>
      </c>
      <c r="I233" s="20" t="n">
        <v>4474</v>
      </c>
      <c r="J233" s="20" t="n">
        <v>-9963</v>
      </c>
      <c r="K233" s="20" t="n">
        <v>-4260</v>
      </c>
      <c r="L233" s="20" t="n">
        <v>-22722</v>
      </c>
      <c r="M233" s="20" t="n">
        <v>-9283</v>
      </c>
      <c r="N233" s="20" t="n">
        <v>-8871</v>
      </c>
      <c r="P233" s="20" t="n">
        <v>16984</v>
      </c>
      <c r="Q233" s="20" t="n">
        <v>9557</v>
      </c>
      <c r="R233" s="20" t="n">
        <v>-29601</v>
      </c>
      <c r="S233" s="20" t="n">
        <v>10118</v>
      </c>
      <c r="T233" s="20" t="n">
        <v>11150</v>
      </c>
      <c r="U233" s="20" t="n">
        <v>13772</v>
      </c>
      <c r="V233" s="20" t="n">
        <v>-10723</v>
      </c>
      <c r="W233" s="20" t="n">
        <v>4474</v>
      </c>
      <c r="X233" s="20" t="n">
        <v>-9283</v>
      </c>
    </row>
    <row r="234">
      <c r="A234" s="18" t="inlineStr">
        <is>
          <t>퇴직급여부채 증감</t>
        </is>
      </c>
      <c r="Q234" s="20" t="n">
        <v>1089</v>
      </c>
      <c r="R234" s="20" t="n">
        <v>1659</v>
      </c>
      <c r="S234" s="20" t="n">
        <v>-1216</v>
      </c>
      <c r="T234" s="20" t="n">
        <v>2525</v>
      </c>
      <c r="U234" s="20" t="n">
        <v>1097</v>
      </c>
    </row>
    <row r="235">
      <c r="A235" s="18" t="inlineStr">
        <is>
          <t>기타 유동자산 증감</t>
        </is>
      </c>
      <c r="E235" s="20" t="n">
        <v>-2561</v>
      </c>
      <c r="U235" s="20" t="n">
        <v>87</v>
      </c>
      <c r="V235" s="20" t="n">
        <v>-2561</v>
      </c>
    </row>
    <row r="236">
      <c r="A236" s="18" t="inlineStr">
        <is>
          <t>기타 유동부채 증감</t>
        </is>
      </c>
      <c r="C236" s="20" t="n">
        <v>-1245</v>
      </c>
      <c r="D236" s="20" t="n">
        <v>-771</v>
      </c>
      <c r="G236" s="20" t="n">
        <v>-8177</v>
      </c>
      <c r="H236" s="20" t="n">
        <v>-9850</v>
      </c>
    </row>
    <row r="237">
      <c r="A237" s="18" t="inlineStr">
        <is>
          <t>충당금 증감</t>
        </is>
      </c>
      <c r="E237" s="20" t="n">
        <v>676</v>
      </c>
      <c r="G237" s="20" t="n">
        <v>-663</v>
      </c>
      <c r="H237" s="20" t="n">
        <v>-269</v>
      </c>
      <c r="I237" s="20" t="n">
        <v>2556</v>
      </c>
      <c r="K237" s="20" t="n">
        <v>5262</v>
      </c>
      <c r="L237" s="20" t="n">
        <v>5774</v>
      </c>
      <c r="M237" s="20" t="n">
        <v>22919</v>
      </c>
      <c r="V237" s="20" t="n">
        <v>676</v>
      </c>
      <c r="W237" s="20" t="n">
        <v>2556</v>
      </c>
      <c r="X237" s="20" t="n">
        <v>22919</v>
      </c>
    </row>
    <row r="238">
      <c r="A238" s="18" t="inlineStr">
        <is>
          <t>기타 유동자산 증감</t>
        </is>
      </c>
      <c r="E238" s="20" t="n">
        <v>-2561</v>
      </c>
      <c r="I238" s="20" t="n">
        <v>1606</v>
      </c>
      <c r="V238" s="20" t="n">
        <v>-2561</v>
      </c>
      <c r="W238" s="20" t="n">
        <v>1606</v>
      </c>
    </row>
    <row r="239">
      <c r="A239" s="18" t="inlineStr">
        <is>
          <t>기타 유동부채 증감</t>
        </is>
      </c>
      <c r="H239" s="20" t="n">
        <v>-9850</v>
      </c>
      <c r="L239" s="20" t="n">
        <v>-5154</v>
      </c>
    </row>
    <row r="240">
      <c r="A240" s="18" t="inlineStr">
        <is>
          <t>기타 유동부채 증감</t>
        </is>
      </c>
      <c r="E240" s="20" t="n">
        <v>10746</v>
      </c>
      <c r="F240" s="20" t="n">
        <v>796</v>
      </c>
      <c r="G240" s="20" t="n">
        <v>-8177</v>
      </c>
      <c r="I240" s="20" t="n">
        <v>-2921</v>
      </c>
      <c r="J240" s="20" t="n">
        <v>6524</v>
      </c>
      <c r="K240" s="20" t="n">
        <v>903</v>
      </c>
      <c r="M240" s="20" t="n">
        <v>7136</v>
      </c>
      <c r="N240" s="20" t="n">
        <v>1764</v>
      </c>
      <c r="S240" s="20" t="n">
        <v>-2085</v>
      </c>
      <c r="T240" s="20" t="n">
        <v>12987</v>
      </c>
      <c r="U240" s="20" t="n">
        <v>-319</v>
      </c>
      <c r="V240" s="20" t="n">
        <v>10746</v>
      </c>
      <c r="W240" s="20" t="n">
        <v>-2921</v>
      </c>
      <c r="X240" s="20" t="n">
        <v>7136</v>
      </c>
    </row>
    <row r="241">
      <c r="A241" s="18" t="inlineStr">
        <is>
          <t>기타</t>
        </is>
      </c>
      <c r="C241" s="20" t="n">
        <v>3696</v>
      </c>
      <c r="D241" s="20" t="n">
        <v>-299</v>
      </c>
      <c r="E241" s="20" t="n">
        <v>-2354</v>
      </c>
      <c r="F241" s="20" t="n">
        <v>3928</v>
      </c>
      <c r="G241" s="20" t="n">
        <v>2058</v>
      </c>
      <c r="H241" s="20" t="n">
        <v>-65</v>
      </c>
      <c r="I241" s="20" t="n">
        <v>-1372</v>
      </c>
      <c r="J241" s="20" t="n">
        <v>-2237</v>
      </c>
      <c r="K241" s="20" t="n">
        <v>-2637</v>
      </c>
      <c r="L241" s="20" t="n">
        <v>-1340</v>
      </c>
      <c r="M241" s="20" t="n">
        <v>-708</v>
      </c>
      <c r="N241" s="20" t="n">
        <v>5024</v>
      </c>
      <c r="P241" s="20" t="n">
        <v>4499</v>
      </c>
      <c r="Q241" s="20" t="n">
        <v>3811</v>
      </c>
      <c r="R241" s="20" t="n">
        <v>3646</v>
      </c>
      <c r="S241" s="20" t="n">
        <v>-4280</v>
      </c>
      <c r="T241" s="20" t="n">
        <v>6856</v>
      </c>
      <c r="U241" s="20" t="n">
        <v>4835</v>
      </c>
      <c r="V241" s="20" t="n">
        <v>-2354</v>
      </c>
      <c r="W241" s="20" t="n">
        <v>-1372</v>
      </c>
      <c r="X241" s="20" t="n">
        <v>-708</v>
      </c>
    </row>
    <row r="242">
      <c r="A242" s="18" t="inlineStr">
        <is>
          <t>(소계)</t>
        </is>
      </c>
      <c r="C242" s="20" t="n">
        <v>92981</v>
      </c>
      <c r="D242" s="20" t="n">
        <v>160692</v>
      </c>
      <c r="E242" s="20" t="n">
        <v>198692</v>
      </c>
      <c r="F242" s="20" t="n">
        <v>46084</v>
      </c>
      <c r="G242" s="20" t="n">
        <v>65628</v>
      </c>
      <c r="H242" s="20" t="n">
        <v>102364</v>
      </c>
      <c r="I242" s="20" t="n">
        <v>145927</v>
      </c>
      <c r="J242" s="20" t="n">
        <v>46159</v>
      </c>
      <c r="K242" s="20" t="n">
        <v>68520</v>
      </c>
      <c r="L242" s="20" t="n">
        <v>139150</v>
      </c>
      <c r="M242" s="20" t="n">
        <v>164613</v>
      </c>
      <c r="N242" s="20" t="n">
        <v>50649</v>
      </c>
      <c r="P242" s="20" t="n">
        <v>99326</v>
      </c>
      <c r="Q242" s="20" t="n">
        <v>86092</v>
      </c>
      <c r="R242" s="20" t="n">
        <v>95678</v>
      </c>
      <c r="S242" s="20" t="n">
        <v>88401</v>
      </c>
      <c r="T242" s="20" t="n">
        <v>142840</v>
      </c>
      <c r="U242" s="20" t="n">
        <v>110563</v>
      </c>
      <c r="V242" s="20" t="n">
        <v>198692</v>
      </c>
      <c r="W242" s="20" t="n">
        <v>145927</v>
      </c>
      <c r="X242" s="20" t="n">
        <v>164613</v>
      </c>
    </row>
    <row r="243">
      <c r="A243" s="18" t="inlineStr">
        <is>
          <t>이자 수취</t>
        </is>
      </c>
      <c r="C243" s="20" t="n">
        <v>3933</v>
      </c>
      <c r="D243" s="20" t="n">
        <v>4837</v>
      </c>
      <c r="E243" s="20" t="n">
        <v>8265</v>
      </c>
      <c r="F243" s="20" t="n">
        <v>1960</v>
      </c>
      <c r="G243" s="20" t="n">
        <v>3708</v>
      </c>
      <c r="H243" s="20" t="n">
        <v>5590</v>
      </c>
      <c r="I243" s="20" t="n">
        <v>7448</v>
      </c>
      <c r="J243" s="20" t="n">
        <v>1821</v>
      </c>
      <c r="K243" s="20" t="n">
        <v>3845</v>
      </c>
      <c r="L243" s="20" t="n">
        <v>5877</v>
      </c>
      <c r="M243" s="20" t="n">
        <v>7980</v>
      </c>
      <c r="N243" s="20" t="n">
        <v>1641</v>
      </c>
      <c r="P243" s="20" t="n">
        <v>1711</v>
      </c>
      <c r="Q243" s="20" t="n">
        <v>1463</v>
      </c>
      <c r="R243" s="20" t="n">
        <v>1725</v>
      </c>
      <c r="S243" s="20" t="n">
        <v>1303</v>
      </c>
      <c r="T243" s="20" t="n">
        <v>2389</v>
      </c>
      <c r="U243" s="20" t="n">
        <v>4669</v>
      </c>
      <c r="V243" s="20" t="n">
        <v>8265</v>
      </c>
      <c r="W243" s="20" t="n">
        <v>7448</v>
      </c>
      <c r="X243" s="20" t="n">
        <v>7980</v>
      </c>
    </row>
    <row r="244">
      <c r="A244" s="18" t="inlineStr">
        <is>
          <t>배당금 수취액</t>
        </is>
      </c>
      <c r="C244" s="20" t="n">
        <v>855</v>
      </c>
      <c r="D244" s="20" t="n">
        <v>888</v>
      </c>
      <c r="E244" s="20" t="n">
        <v>890</v>
      </c>
      <c r="F244" s="20" t="n">
        <v>484</v>
      </c>
      <c r="G244" s="20" t="n">
        <v>397</v>
      </c>
      <c r="H244" s="20" t="n">
        <v>636</v>
      </c>
      <c r="I244" s="20" t="n">
        <v>637</v>
      </c>
      <c r="J244" s="20" t="n">
        <v>195</v>
      </c>
      <c r="K244" s="20" t="n">
        <v>311</v>
      </c>
      <c r="L244" s="20" t="n">
        <v>782</v>
      </c>
      <c r="M244" s="20" t="n">
        <v>828</v>
      </c>
      <c r="N244" s="20" t="n">
        <v>723</v>
      </c>
      <c r="P244" s="20" t="n">
        <v>390</v>
      </c>
      <c r="Q244" s="20" t="n">
        <v>694</v>
      </c>
      <c r="R244" s="20" t="n">
        <v>1046</v>
      </c>
      <c r="S244" s="20" t="n">
        <v>1460</v>
      </c>
      <c r="T244" s="20" t="n">
        <v>896</v>
      </c>
      <c r="U244" s="20" t="n">
        <v>1170</v>
      </c>
      <c r="V244" s="20" t="n">
        <v>890</v>
      </c>
      <c r="W244" s="20" t="n">
        <v>637</v>
      </c>
      <c r="X244" s="20" t="n">
        <v>828</v>
      </c>
    </row>
    <row r="245">
      <c r="A245" s="18" t="inlineStr">
        <is>
          <t>이자 지급</t>
        </is>
      </c>
      <c r="C245" s="20" t="n">
        <v>-1538</v>
      </c>
      <c r="D245" s="20" t="n">
        <v>-2322</v>
      </c>
      <c r="E245" s="20" t="n">
        <v>-2891</v>
      </c>
      <c r="F245" s="20" t="n">
        <v>-446</v>
      </c>
      <c r="G245" s="20" t="n">
        <v>-915</v>
      </c>
      <c r="H245" s="20" t="n">
        <v>-1286</v>
      </c>
      <c r="I245" s="20" t="n">
        <v>-1807</v>
      </c>
      <c r="J245" s="20" t="n">
        <v>-526</v>
      </c>
      <c r="K245" s="20" t="n">
        <v>-1043</v>
      </c>
      <c r="L245" s="20" t="n">
        <v>-1641</v>
      </c>
      <c r="M245" s="20" t="n">
        <v>-2202</v>
      </c>
      <c r="N245" s="20" t="n">
        <v>-657</v>
      </c>
      <c r="P245" s="20" t="n">
        <v>-1290</v>
      </c>
      <c r="Q245" s="20" t="n">
        <v>-1502</v>
      </c>
      <c r="R245" s="20" t="n">
        <v>-1435</v>
      </c>
      <c r="S245" s="20" t="n">
        <v>-1232</v>
      </c>
      <c r="T245" s="20" t="n">
        <v>-891</v>
      </c>
      <c r="U245" s="20" t="n">
        <v>-1975</v>
      </c>
      <c r="V245" s="20" t="n">
        <v>-2891</v>
      </c>
      <c r="W245" s="20" t="n">
        <v>-1807</v>
      </c>
      <c r="X245" s="20" t="n">
        <v>-2202</v>
      </c>
    </row>
    <row r="246">
      <c r="A246" s="18" t="inlineStr">
        <is>
          <t>법인소득세 지급액</t>
        </is>
      </c>
      <c r="C246" s="20" t="n">
        <v>-15292</v>
      </c>
      <c r="D246" s="20" t="n">
        <v>-24675</v>
      </c>
      <c r="E246" s="20" t="n">
        <v>-30058</v>
      </c>
      <c r="F246" s="20" t="n">
        <v>-9444</v>
      </c>
      <c r="G246" s="20" t="n">
        <v>-13432</v>
      </c>
      <c r="H246" s="20" t="n">
        <v>-23475</v>
      </c>
      <c r="I246" s="20" t="n">
        <v>-30371</v>
      </c>
      <c r="J246" s="20" t="n">
        <v>-7900</v>
      </c>
      <c r="K246" s="20" t="n">
        <v>-14928</v>
      </c>
      <c r="L246" s="20" t="n">
        <v>-23675</v>
      </c>
      <c r="M246" s="20" t="n">
        <v>-28253</v>
      </c>
      <c r="N246" s="20" t="n">
        <v>-4544</v>
      </c>
      <c r="P246" s="20" t="n">
        <v>-16578</v>
      </c>
      <c r="Q246" s="20" t="n">
        <v>-26028</v>
      </c>
      <c r="R246" s="20" t="n">
        <v>-17342</v>
      </c>
      <c r="S246" s="20" t="n">
        <v>-15449</v>
      </c>
      <c r="T246" s="20" t="n">
        <v>-22301</v>
      </c>
      <c r="U246" s="20" t="n">
        <v>-24998</v>
      </c>
      <c r="V246" s="20" t="n">
        <v>-30058</v>
      </c>
      <c r="W246" s="20" t="n">
        <v>-30371</v>
      </c>
      <c r="X246" s="20" t="n">
        <v>-28253</v>
      </c>
    </row>
    <row r="247">
      <c r="A247" s="9" t="inlineStr">
        <is>
          <t>영업활동 현금흐름</t>
        </is>
      </c>
      <c r="C247" s="12" t="n">
        <v>80940</v>
      </c>
      <c r="D247" s="12" t="n">
        <v>139420</v>
      </c>
      <c r="E247" s="12" t="n">
        <v>174898</v>
      </c>
      <c r="F247" s="12" t="n">
        <v>38638</v>
      </c>
      <c r="G247" s="12" t="n">
        <v>55386</v>
      </c>
      <c r="H247" s="12" t="n">
        <v>83829</v>
      </c>
      <c r="I247" s="12" t="n">
        <v>121834</v>
      </c>
      <c r="J247" s="12" t="n">
        <v>39750</v>
      </c>
      <c r="K247" s="12" t="n">
        <v>56706</v>
      </c>
      <c r="L247" s="12" t="n">
        <v>120493</v>
      </c>
      <c r="M247" s="12" t="n">
        <v>142965</v>
      </c>
      <c r="N247" s="12" t="n">
        <v>47812</v>
      </c>
      <c r="P247" s="12" t="n">
        <v>83559</v>
      </c>
      <c r="Q247" s="12" t="n">
        <v>60720</v>
      </c>
      <c r="R247" s="12" t="n">
        <v>79673</v>
      </c>
      <c r="S247" s="12" t="n">
        <v>74483</v>
      </c>
      <c r="T247" s="12" t="n">
        <v>122933</v>
      </c>
      <c r="U247" s="12" t="n">
        <v>89428</v>
      </c>
      <c r="V247" s="12" t="n">
        <v>174898</v>
      </c>
      <c r="W247" s="12" t="n">
        <v>121834</v>
      </c>
      <c r="X247" s="12" t="n">
        <v>142965</v>
      </c>
    </row>
    <row r="248">
      <c r="A248" s="18" t="inlineStr">
        <is>
          <t>유형자산 취득(설비투자)</t>
        </is>
      </c>
      <c r="C248" s="20" t="n">
        <v>-23950</v>
      </c>
      <c r="D248" s="20" t="n">
        <v>-41221</v>
      </c>
      <c r="E248" s="20" t="n">
        <v>-64663</v>
      </c>
      <c r="F248" s="20" t="n">
        <v>-17979</v>
      </c>
      <c r="G248" s="20" t="n">
        <v>-35352</v>
      </c>
      <c r="H248" s="20" t="n">
        <v>-51913</v>
      </c>
      <c r="I248" s="20" t="n">
        <v>-72670</v>
      </c>
      <c r="J248" s="20" t="n">
        <v>-14009</v>
      </c>
      <c r="K248" s="20" t="n">
        <v>-26888</v>
      </c>
      <c r="L248" s="20" t="n">
        <v>-40492</v>
      </c>
      <c r="M248" s="20" t="n">
        <v>-64989</v>
      </c>
      <c r="N248" s="20" t="n">
        <v>-17847</v>
      </c>
      <c r="P248" s="20" t="n">
        <v>-41621</v>
      </c>
      <c r="Q248" s="20" t="n">
        <v>-55735</v>
      </c>
      <c r="R248" s="20" t="n">
        <v>-49848</v>
      </c>
      <c r="S248" s="20" t="n">
        <v>-48922</v>
      </c>
      <c r="T248" s="20" t="n">
        <v>-34202</v>
      </c>
      <c r="U248" s="20" t="n">
        <v>-45680</v>
      </c>
      <c r="V248" s="20" t="n">
        <v>-64663</v>
      </c>
      <c r="W248" s="20" t="n">
        <v>-72670</v>
      </c>
      <c r="X248" s="20" t="n">
        <v>-64989</v>
      </c>
    </row>
    <row r="249">
      <c r="A249" s="18" t="inlineStr">
        <is>
          <t>유형자산 매각</t>
        </is>
      </c>
      <c r="E249" s="20" t="n">
        <v>1257</v>
      </c>
      <c r="I249" s="20" t="n">
        <v>6170</v>
      </c>
      <c r="M249" s="20" t="n">
        <v>1404</v>
      </c>
      <c r="P249" s="20" t="n">
        <v>2111</v>
      </c>
      <c r="Q249" s="20" t="n">
        <v>2243</v>
      </c>
      <c r="R249" s="20" t="n">
        <v>1799</v>
      </c>
      <c r="S249" s="20" t="n">
        <v>1818</v>
      </c>
      <c r="T249" s="20" t="n">
        <v>2562</v>
      </c>
      <c r="U249" s="20" t="n">
        <v>7451</v>
      </c>
      <c r="V249" s="20" t="n">
        <v>1257</v>
      </c>
      <c r="W249" s="20" t="n">
        <v>6170</v>
      </c>
      <c r="X249" s="20" t="n">
        <v>1404</v>
      </c>
    </row>
    <row r="250">
      <c r="A250" s="18" t="inlineStr">
        <is>
          <t>투자유가증권 매각</t>
        </is>
      </c>
      <c r="E250" s="20" t="n">
        <v>3824</v>
      </c>
      <c r="I250" s="20" t="n">
        <v>112</v>
      </c>
      <c r="U250" s="20" t="n">
        <v>1079</v>
      </c>
      <c r="V250" s="20" t="n">
        <v>3824</v>
      </c>
      <c r="W250" s="20" t="n">
        <v>112</v>
      </c>
    </row>
    <row r="251">
      <c r="A251" s="18" t="inlineStr">
        <is>
          <t>무형자산 취득 지출</t>
        </is>
      </c>
      <c r="C251" s="20" t="n">
        <v>-3693</v>
      </c>
      <c r="D251" s="20" t="n">
        <v>-4748</v>
      </c>
      <c r="E251" s="20" t="n">
        <v>-6320</v>
      </c>
      <c r="G251" s="20" t="n">
        <v>-2063</v>
      </c>
      <c r="H251" s="20" t="n">
        <v>-3091</v>
      </c>
      <c r="I251" s="20" t="n">
        <v>-4967</v>
      </c>
      <c r="L251" s="20" t="n">
        <v>-2597</v>
      </c>
      <c r="M251" s="20" t="n">
        <v>-4124</v>
      </c>
      <c r="P251" s="20" t="n">
        <v>-4502</v>
      </c>
      <c r="Q251" s="20" t="n">
        <v>-4436</v>
      </c>
      <c r="R251" s="20" t="n">
        <v>-3235</v>
      </c>
      <c r="S251" s="20" t="n">
        <v>-5494</v>
      </c>
      <c r="T251" s="20" t="n">
        <v>-3581</v>
      </c>
      <c r="U251" s="20" t="n">
        <v>-4785</v>
      </c>
      <c r="V251" s="20" t="n">
        <v>-6320</v>
      </c>
      <c r="W251" s="20" t="n">
        <v>-4967</v>
      </c>
      <c r="X251" s="20" t="n">
        <v>-4124</v>
      </c>
    </row>
    <row r="252">
      <c r="A252" s="18" t="inlineStr">
        <is>
          <t>자본성 금융상품 취득</t>
        </is>
      </c>
      <c r="P252" s="20" t="n">
        <v>-5603</v>
      </c>
      <c r="Q252" s="20" t="n">
        <v>-417</v>
      </c>
      <c r="R252" s="20" t="n">
        <v>-3864</v>
      </c>
      <c r="S252" s="20" t="n">
        <v>-292</v>
      </c>
    </row>
    <row r="253">
      <c r="A253" s="18" t="inlineStr">
        <is>
          <t>정기예금 예입</t>
        </is>
      </c>
      <c r="C253" s="20" t="n">
        <v>-10180</v>
      </c>
      <c r="D253" s="20" t="n">
        <v>-18028</v>
      </c>
      <c r="E253" s="20" t="n">
        <v>-26187</v>
      </c>
      <c r="F253" s="20" t="n">
        <v>-4694</v>
      </c>
      <c r="G253" s="20" t="n">
        <v>-10954</v>
      </c>
      <c r="H253" s="20" t="n">
        <v>-18259</v>
      </c>
      <c r="I253" s="20" t="n">
        <v>-21548</v>
      </c>
      <c r="J253" s="20" t="n">
        <v>-5287</v>
      </c>
      <c r="K253" s="20" t="n">
        <v>-11412</v>
      </c>
      <c r="L253" s="20" t="n">
        <v>-19681</v>
      </c>
      <c r="M253" s="20" t="n">
        <v>-39637</v>
      </c>
      <c r="N253" s="20" t="n">
        <v>-3985</v>
      </c>
      <c r="P253" s="20" t="n">
        <v>-3003</v>
      </c>
      <c r="Q253" s="20" t="n">
        <v>-4466</v>
      </c>
      <c r="R253" s="20" t="n">
        <v>-8118</v>
      </c>
      <c r="S253" s="20" t="n">
        <v>-8382</v>
      </c>
      <c r="T253" s="20" t="n">
        <v>-14194</v>
      </c>
      <c r="U253" s="20" t="n">
        <v>-9341</v>
      </c>
      <c r="V253" s="20" t="n">
        <v>-26187</v>
      </c>
      <c r="W253" s="20" t="n">
        <v>-21548</v>
      </c>
      <c r="X253" s="20" t="n">
        <v>-39637</v>
      </c>
    </row>
    <row r="254">
      <c r="A254" s="18" t="inlineStr">
        <is>
          <t>정기예금 인출</t>
        </is>
      </c>
      <c r="C254" s="20" t="n">
        <v>3307</v>
      </c>
      <c r="D254" s="20" t="n">
        <v>9329</v>
      </c>
      <c r="E254" s="20" t="n">
        <v>12737</v>
      </c>
      <c r="F254" s="20" t="n">
        <v>7965</v>
      </c>
      <c r="G254" s="20" t="n">
        <v>20548</v>
      </c>
      <c r="H254" s="20" t="n">
        <v>25355</v>
      </c>
      <c r="I254" s="20" t="n">
        <v>32675</v>
      </c>
      <c r="J254" s="20" t="n">
        <v>4110</v>
      </c>
      <c r="K254" s="20" t="n">
        <v>8559</v>
      </c>
      <c r="L254" s="20" t="n">
        <v>15697</v>
      </c>
      <c r="M254" s="20" t="n">
        <v>31052</v>
      </c>
      <c r="N254" s="20" t="n">
        <v>5000</v>
      </c>
      <c r="P254" s="20" t="n">
        <v>4433</v>
      </c>
      <c r="Q254" s="20" t="n">
        <v>3311</v>
      </c>
      <c r="R254" s="20" t="n">
        <v>10041</v>
      </c>
      <c r="S254" s="20" t="n">
        <v>11033</v>
      </c>
      <c r="T254" s="20" t="n">
        <v>9436</v>
      </c>
      <c r="U254" s="20" t="n">
        <v>15372</v>
      </c>
      <c r="V254" s="20" t="n">
        <v>12737</v>
      </c>
      <c r="W254" s="20" t="n">
        <v>32675</v>
      </c>
      <c r="X254" s="20" t="n">
        <v>31052</v>
      </c>
    </row>
    <row r="255">
      <c r="A255" s="18" t="inlineStr">
        <is>
          <t>연결범위 변경 자회사 주식 취득</t>
        </is>
      </c>
      <c r="E255" s="20" t="n">
        <v>-6748</v>
      </c>
      <c r="U255" s="20" t="n">
        <v>0</v>
      </c>
      <c r="V255" s="20" t="n">
        <v>-6748</v>
      </c>
    </row>
    <row r="256">
      <c r="A256" s="18" t="inlineStr">
        <is>
          <t>연결범위 변경 자회사 주식 취득</t>
        </is>
      </c>
      <c r="E256" s="20" t="n">
        <v>-6748</v>
      </c>
      <c r="I256" s="20" t="n">
        <v>0</v>
      </c>
      <c r="V256" s="20" t="n">
        <v>-6748</v>
      </c>
      <c r="W256" s="20" t="n">
        <v>0</v>
      </c>
    </row>
    <row r="257">
      <c r="A257" s="18" t="inlineStr">
        <is>
          <t>기타</t>
        </is>
      </c>
      <c r="C257" s="20" t="n">
        <v>1929</v>
      </c>
      <c r="D257" s="20" t="n">
        <v>582</v>
      </c>
      <c r="E257" s="20" t="n">
        <v>-598</v>
      </c>
      <c r="F257" s="20" t="n">
        <v>-907</v>
      </c>
      <c r="G257" s="20" t="n">
        <v>-1611</v>
      </c>
      <c r="H257" s="20" t="n">
        <v>1421</v>
      </c>
      <c r="I257" s="20" t="n">
        <v>-615</v>
      </c>
      <c r="J257" s="20" t="n">
        <v>-245</v>
      </c>
      <c r="K257" s="20" t="n">
        <v>-79</v>
      </c>
      <c r="L257" s="20" t="n">
        <v>1076</v>
      </c>
      <c r="M257" s="20" t="n">
        <v>794</v>
      </c>
      <c r="N257" s="20" t="n">
        <v>-799</v>
      </c>
      <c r="P257" s="20" t="n">
        <v>37</v>
      </c>
      <c r="Q257" s="20" t="n">
        <v>585</v>
      </c>
      <c r="R257" s="20" t="n">
        <v>-949</v>
      </c>
      <c r="S257" s="20" t="n">
        <v>-1445</v>
      </c>
      <c r="T257" s="20" t="n">
        <v>-913</v>
      </c>
      <c r="U257" s="20" t="n">
        <v>-557</v>
      </c>
      <c r="V257" s="20" t="n">
        <v>-598</v>
      </c>
      <c r="W257" s="20" t="n">
        <v>-615</v>
      </c>
      <c r="X257" s="20" t="n">
        <v>794</v>
      </c>
    </row>
    <row r="258">
      <c r="A258" s="9" t="inlineStr">
        <is>
          <t>투자활동 현금흐름</t>
        </is>
      </c>
      <c r="C258" s="12" t="n">
        <v>-32588</v>
      </c>
      <c r="D258" s="12" t="n">
        <v>-54087</v>
      </c>
      <c r="E258" s="12" t="n">
        <v>-86698</v>
      </c>
      <c r="F258" s="12" t="n">
        <v>-15615</v>
      </c>
      <c r="G258" s="12" t="n">
        <v>-27369</v>
      </c>
      <c r="H258" s="12" t="n">
        <v>-46488</v>
      </c>
      <c r="I258" s="12" t="n">
        <v>-60955</v>
      </c>
      <c r="J258" s="12" t="n">
        <v>-15431</v>
      </c>
      <c r="K258" s="12" t="n">
        <v>-29820</v>
      </c>
      <c r="L258" s="12" t="n">
        <v>-45996</v>
      </c>
      <c r="M258" s="12" t="n">
        <v>-75499</v>
      </c>
      <c r="N258" s="12" t="n">
        <v>-17633</v>
      </c>
      <c r="P258" s="12" t="n">
        <v>-48148</v>
      </c>
      <c r="Q258" s="12" t="n">
        <v>-58915</v>
      </c>
      <c r="R258" s="12" t="n">
        <v>-54175</v>
      </c>
      <c r="S258" s="12" t="n">
        <v>-51392</v>
      </c>
      <c r="T258" s="12" t="n">
        <v>-40893</v>
      </c>
      <c r="U258" s="12" t="n">
        <v>-36461</v>
      </c>
      <c r="V258" s="12" t="n">
        <v>-86698</v>
      </c>
      <c r="W258" s="12" t="n">
        <v>-60955</v>
      </c>
      <c r="X258" s="12" t="n">
        <v>-75499</v>
      </c>
    </row>
    <row r="259">
      <c r="A259" s="18" t="inlineStr">
        <is>
          <t>단기차입</t>
        </is>
      </c>
      <c r="C259" s="20" t="n">
        <v>74896</v>
      </c>
      <c r="D259" s="20" t="n">
        <v>89108</v>
      </c>
      <c r="E259" s="20" t="n">
        <v>161768</v>
      </c>
      <c r="F259" s="20" t="n">
        <v>31758</v>
      </c>
      <c r="G259" s="20" t="n">
        <v>45286</v>
      </c>
      <c r="H259" s="20" t="n">
        <v>83011</v>
      </c>
      <c r="I259" s="20" t="n">
        <v>86290</v>
      </c>
      <c r="J259" s="20" t="n">
        <v>4005</v>
      </c>
      <c r="K259" s="20" t="n">
        <v>20442</v>
      </c>
      <c r="L259" s="20" t="n">
        <v>43556</v>
      </c>
      <c r="M259" s="20" t="n">
        <v>86324</v>
      </c>
      <c r="N259" s="20" t="n">
        <v>1122</v>
      </c>
      <c r="P259" s="20" t="n">
        <v>2004</v>
      </c>
      <c r="Q259" s="20" t="n">
        <v>14771</v>
      </c>
      <c r="R259" s="20" t="n">
        <v>14219</v>
      </c>
      <c r="S259" s="20" t="n">
        <v>791</v>
      </c>
      <c r="T259" s="20" t="n">
        <v>10092</v>
      </c>
      <c r="U259" s="20" t="n">
        <v>157467</v>
      </c>
      <c r="V259" s="20" t="n">
        <v>161768</v>
      </c>
      <c r="W259" s="20" t="n">
        <v>86290</v>
      </c>
      <c r="X259" s="20" t="n">
        <v>86324</v>
      </c>
    </row>
    <row r="260">
      <c r="A260" s="18" t="inlineStr">
        <is>
          <t>단기차입금 상환</t>
        </is>
      </c>
      <c r="C260" s="20" t="n">
        <v>-72142</v>
      </c>
      <c r="D260" s="20" t="n">
        <v>-106328</v>
      </c>
      <c r="E260" s="20" t="n">
        <v>-218220</v>
      </c>
      <c r="F260" s="20" t="n">
        <v>-31201</v>
      </c>
      <c r="G260" s="20" t="n">
        <v>-42542</v>
      </c>
      <c r="H260" s="20" t="n">
        <v>-69657</v>
      </c>
      <c r="I260" s="20" t="n">
        <v>-75269</v>
      </c>
      <c r="J260" s="20" t="n">
        <v>-3473</v>
      </c>
      <c r="K260" s="20" t="n">
        <v>-8934</v>
      </c>
      <c r="L260" s="20" t="n">
        <v>-34684</v>
      </c>
      <c r="M260" s="20" t="n">
        <v>-74104</v>
      </c>
      <c r="N260" s="20" t="n">
        <v>-1593</v>
      </c>
      <c r="P260" s="20" t="n">
        <v>-17966</v>
      </c>
      <c r="Q260" s="20" t="n">
        <v>-529</v>
      </c>
      <c r="R260" s="20" t="n">
        <v>-534</v>
      </c>
      <c r="S260" s="20" t="n">
        <v>-12816</v>
      </c>
      <c r="T260" s="20" t="n">
        <v>-14067</v>
      </c>
      <c r="U260" s="20" t="n">
        <v>-145865</v>
      </c>
      <c r="V260" s="20" t="n">
        <v>-218220</v>
      </c>
      <c r="W260" s="20" t="n">
        <v>-75269</v>
      </c>
      <c r="X260" s="20" t="n">
        <v>-74104</v>
      </c>
    </row>
    <row r="261">
      <c r="A261" s="18" t="inlineStr">
        <is>
          <t>장기차입</t>
        </is>
      </c>
      <c r="D261" s="20" t="n">
        <v>30000</v>
      </c>
      <c r="E261" s="20" t="n">
        <v>55000</v>
      </c>
      <c r="H261" s="20" t="n">
        <v>0</v>
      </c>
      <c r="I261" s="20" t="n">
        <v>1574</v>
      </c>
      <c r="L261" s="20" t="n">
        <v>20000</v>
      </c>
      <c r="M261" s="20" t="n">
        <v>20000</v>
      </c>
      <c r="P261" s="20" t="n">
        <v>6651</v>
      </c>
      <c r="Q261" s="20" t="n">
        <v>23000</v>
      </c>
      <c r="R261" s="20" t="n">
        <v>0</v>
      </c>
      <c r="S261" s="20" t="n">
        <v>45909</v>
      </c>
      <c r="T261" s="20" t="n">
        <v>0</v>
      </c>
      <c r="U261" s="20" t="n">
        <v>0</v>
      </c>
      <c r="V261" s="20" t="n">
        <v>55000</v>
      </c>
      <c r="W261" s="20" t="n">
        <v>1574</v>
      </c>
      <c r="X261" s="20" t="n">
        <v>20000</v>
      </c>
    </row>
    <row r="262">
      <c r="A262" s="18" t="inlineStr">
        <is>
          <t>장기차입금 상환</t>
        </is>
      </c>
      <c r="C262" s="20" t="n">
        <v>-14099</v>
      </c>
      <c r="D262" s="20" t="n">
        <v>-14360</v>
      </c>
      <c r="E262" s="20" t="n">
        <v>-24865</v>
      </c>
      <c r="F262" s="20" t="n">
        <v>0</v>
      </c>
      <c r="G262" s="20" t="n">
        <v>0</v>
      </c>
      <c r="H262" s="20" t="n">
        <v>0</v>
      </c>
      <c r="I262" s="20" t="n">
        <v>0</v>
      </c>
      <c r="J262" s="20" t="n">
        <v>0</v>
      </c>
      <c r="M262" s="20" t="n">
        <v>-11496</v>
      </c>
      <c r="N262" s="20" t="n">
        <v>-10000</v>
      </c>
      <c r="P262" s="20" t="n">
        <v>-6245</v>
      </c>
      <c r="Q262" s="20" t="n">
        <v>-20054</v>
      </c>
      <c r="R262" s="20" t="n">
        <v>-3674</v>
      </c>
      <c r="S262" s="20" t="n">
        <v>-17923</v>
      </c>
      <c r="T262" s="20" t="n">
        <v>-1234</v>
      </c>
      <c r="U262" s="20" t="n">
        <v>0</v>
      </c>
      <c r="V262" s="20" t="n">
        <v>-24865</v>
      </c>
      <c r="W262" s="20" t="n">
        <v>0</v>
      </c>
      <c r="X262" s="20" t="n">
        <v>-11496</v>
      </c>
    </row>
    <row r="263">
      <c r="A263" s="18" t="inlineStr">
        <is>
          <t>사채 발행</t>
        </is>
      </c>
      <c r="D263" s="20" t="n">
        <v>20000</v>
      </c>
      <c r="E263" s="20" t="n">
        <v>20000</v>
      </c>
      <c r="H263" s="20" t="n">
        <v>0</v>
      </c>
      <c r="I263" s="20" t="n">
        <v>0</v>
      </c>
      <c r="P263" s="20" t="n">
        <v>30000</v>
      </c>
      <c r="Q263" s="20" t="n">
        <v>0</v>
      </c>
      <c r="T263" s="20" t="n">
        <v>0</v>
      </c>
      <c r="U263" s="20" t="n">
        <v>10000</v>
      </c>
      <c r="V263" s="20" t="n">
        <v>20000</v>
      </c>
      <c r="W263" s="20" t="n">
        <v>0</v>
      </c>
    </row>
    <row r="264">
      <c r="A264" s="18" t="inlineStr">
        <is>
          <t>사채 상환</t>
        </is>
      </c>
      <c r="C264" s="20" t="n">
        <v>-10000</v>
      </c>
      <c r="D264" s="20" t="n">
        <v>-10000</v>
      </c>
      <c r="E264" s="20" t="n">
        <v>-10000</v>
      </c>
      <c r="G264" s="20" t="n">
        <v>0</v>
      </c>
      <c r="H264" s="20" t="n">
        <v>-10000</v>
      </c>
      <c r="I264" s="20" t="n">
        <v>-10000</v>
      </c>
      <c r="L264" s="20" t="n">
        <v>0</v>
      </c>
      <c r="M264" s="20" t="n">
        <v>0</v>
      </c>
      <c r="P264" s="20" t="n">
        <v>0</v>
      </c>
      <c r="Q264" s="20" t="n">
        <v>-10000</v>
      </c>
      <c r="R264" s="20" t="n">
        <v>0</v>
      </c>
      <c r="T264" s="20" t="n">
        <v>0</v>
      </c>
      <c r="U264" s="20" t="n">
        <v>-10000</v>
      </c>
      <c r="V264" s="20" t="n">
        <v>-10000</v>
      </c>
      <c r="W264" s="20" t="n">
        <v>-10000</v>
      </c>
      <c r="X264" s="20" t="n">
        <v>0</v>
      </c>
    </row>
    <row r="265">
      <c r="A265" s="18" t="inlineStr">
        <is>
          <t>자기주식 취득</t>
        </is>
      </c>
      <c r="E265" s="20" t="n">
        <v>-20000</v>
      </c>
      <c r="I265" s="20" t="n">
        <v>-0</v>
      </c>
      <c r="U265" s="20" t="n">
        <v>-0</v>
      </c>
      <c r="V265" s="20" t="n">
        <v>-20000</v>
      </c>
      <c r="W265" s="20" t="n">
        <v>-0</v>
      </c>
    </row>
    <row r="266">
      <c r="A266" s="18" t="inlineStr">
        <is>
          <t>배당금 지급</t>
        </is>
      </c>
      <c r="C266" s="20" t="n">
        <v>-6538</v>
      </c>
      <c r="D266" s="20" t="n">
        <v>-14577</v>
      </c>
      <c r="E266" s="20" t="n">
        <v>-14577</v>
      </c>
      <c r="F266" s="20" t="n">
        <v>-7676</v>
      </c>
      <c r="G266" s="20" t="n">
        <v>-7676</v>
      </c>
      <c r="H266" s="20" t="n">
        <v>-15352</v>
      </c>
      <c r="I266" s="20" t="n">
        <v>-15352</v>
      </c>
      <c r="J266" s="20" t="n">
        <v>-7681</v>
      </c>
      <c r="K266" s="20" t="n">
        <v>-7681</v>
      </c>
      <c r="L266" s="20" t="n">
        <v>-15363</v>
      </c>
      <c r="M266" s="20" t="n">
        <v>-15363</v>
      </c>
      <c r="N266" s="20" t="n">
        <v>-7682</v>
      </c>
      <c r="P266" s="20" t="n">
        <v>-10024</v>
      </c>
      <c r="Q266" s="20" t="n">
        <v>-10582</v>
      </c>
      <c r="R266" s="20" t="n">
        <v>-10423</v>
      </c>
      <c r="S266" s="20" t="n">
        <v>-6728</v>
      </c>
      <c r="T266" s="20" t="n">
        <v>-12516</v>
      </c>
      <c r="U266" s="20" t="n">
        <v>-12517</v>
      </c>
      <c r="V266" s="20" t="n">
        <v>-14577</v>
      </c>
      <c r="W266" s="20" t="n">
        <v>-15352</v>
      </c>
      <c r="X266" s="20" t="n">
        <v>-15363</v>
      </c>
    </row>
    <row r="267">
      <c r="A267" s="18" t="inlineStr">
        <is>
          <t>비지배지분 배당금 지급액</t>
        </is>
      </c>
      <c r="C267" s="20" t="n">
        <v>-5890</v>
      </c>
      <c r="D267" s="20" t="n">
        <v>-7898</v>
      </c>
      <c r="E267" s="20" t="n">
        <v>-7929</v>
      </c>
      <c r="F267" s="20" t="n">
        <v>-2952</v>
      </c>
      <c r="G267" s="20" t="n">
        <v>-4978</v>
      </c>
      <c r="H267" s="20" t="n">
        <v>-7673</v>
      </c>
      <c r="I267" s="20" t="n">
        <v>-7681</v>
      </c>
      <c r="J267" s="20" t="n">
        <v>-2545</v>
      </c>
      <c r="K267" s="20" t="n">
        <v>-6736</v>
      </c>
      <c r="L267" s="20" t="n">
        <v>-7550</v>
      </c>
      <c r="M267" s="20" t="n">
        <v>-7550</v>
      </c>
      <c r="N267" s="20" t="n">
        <v>-1918</v>
      </c>
      <c r="P267" s="20" t="n">
        <v>-7039</v>
      </c>
      <c r="Q267" s="20" t="n">
        <v>-8504</v>
      </c>
      <c r="R267" s="20" t="n">
        <v>-4660</v>
      </c>
      <c r="S267" s="20" t="n">
        <v>-4856</v>
      </c>
      <c r="T267" s="20" t="n">
        <v>-6785</v>
      </c>
      <c r="U267" s="20" t="n">
        <v>-8805</v>
      </c>
      <c r="V267" s="20" t="n">
        <v>-7929</v>
      </c>
      <c r="W267" s="20" t="n">
        <v>-7681</v>
      </c>
      <c r="X267" s="20" t="n">
        <v>-7550</v>
      </c>
    </row>
    <row r="268">
      <c r="A268" s="18" t="inlineStr">
        <is>
          <t>비지배지분으로부터 자회사 지분 취득 지출</t>
        </is>
      </c>
      <c r="P268" s="20" t="n">
        <v>-648</v>
      </c>
      <c r="Q268" s="20" t="n">
        <v>-7868</v>
      </c>
      <c r="R268" s="20" t="n">
        <v>-6883</v>
      </c>
      <c r="S268" s="20" t="n">
        <v>-36</v>
      </c>
    </row>
    <row r="269">
      <c r="A269" s="18" t="inlineStr">
        <is>
          <t>리스부채 상환 지출</t>
        </is>
      </c>
      <c r="C269" s="20" t="n">
        <v>-14508</v>
      </c>
      <c r="D269" s="20" t="n">
        <v>-24202</v>
      </c>
      <c r="E269" s="20" t="n">
        <v>-32801</v>
      </c>
      <c r="F269" s="20" t="n">
        <v>-9202</v>
      </c>
      <c r="G269" s="20" t="n">
        <v>-17191</v>
      </c>
      <c r="H269" s="20" t="n">
        <v>-26266</v>
      </c>
      <c r="I269" s="20" t="n">
        <v>-33049</v>
      </c>
      <c r="J269" s="20" t="n">
        <v>-6539</v>
      </c>
      <c r="K269" s="20" t="n">
        <v>-23326</v>
      </c>
      <c r="L269" s="20" t="n">
        <v>-28813</v>
      </c>
      <c r="M269" s="20" t="n">
        <v>-42784</v>
      </c>
      <c r="N269" s="20" t="n">
        <v>-5165</v>
      </c>
      <c r="Q269" s="20" t="n">
        <v>-193</v>
      </c>
      <c r="R269" s="20" t="n">
        <v>-2007</v>
      </c>
      <c r="S269" s="20" t="n">
        <v>-1786</v>
      </c>
      <c r="T269" s="20" t="n">
        <v>-24151</v>
      </c>
      <c r="U269" s="20" t="n">
        <v>-31091</v>
      </c>
      <c r="V269" s="20" t="n">
        <v>-32801</v>
      </c>
      <c r="W269" s="20" t="n">
        <v>-33049</v>
      </c>
      <c r="X269" s="20" t="n">
        <v>-42784</v>
      </c>
    </row>
    <row r="270">
      <c r="A270" s="18" t="inlineStr">
        <is>
          <t>연결범위 변경 없는 자회사 주식 취득</t>
        </is>
      </c>
      <c r="I270" s="20" t="n">
        <v>-1168</v>
      </c>
      <c r="M270" s="20" t="n">
        <v>-2763</v>
      </c>
      <c r="W270" s="20" t="n">
        <v>-1168</v>
      </c>
      <c r="X270" s="20" t="n">
        <v>-2763</v>
      </c>
    </row>
    <row r="271">
      <c r="A271" s="18" t="inlineStr">
        <is>
          <t>기타</t>
        </is>
      </c>
      <c r="C271" s="20" t="n">
        <v>32</v>
      </c>
      <c r="D271" s="20" t="n">
        <v>32</v>
      </c>
      <c r="E271" s="20" t="n">
        <v>32</v>
      </c>
      <c r="F271" s="20" t="n">
        <v>0</v>
      </c>
      <c r="G271" s="20" t="n">
        <v>43</v>
      </c>
      <c r="H271" s="20" t="n">
        <v>43</v>
      </c>
      <c r="I271" s="20" t="n">
        <v>280</v>
      </c>
      <c r="J271" s="20" t="n">
        <v>-0</v>
      </c>
      <c r="K271" s="20" t="n">
        <v>-1479</v>
      </c>
      <c r="L271" s="20" t="n">
        <v>-1987</v>
      </c>
      <c r="M271" s="20" t="n">
        <v>-619</v>
      </c>
      <c r="N271" s="20" t="n">
        <v>-2189</v>
      </c>
      <c r="P271" s="20" t="n">
        <v>-259</v>
      </c>
      <c r="Q271" s="20" t="n">
        <v>434</v>
      </c>
      <c r="R271" s="20" t="n">
        <v>-0</v>
      </c>
      <c r="S271" s="20" t="n">
        <v>169</v>
      </c>
      <c r="T271" s="20" t="n">
        <v>-0</v>
      </c>
      <c r="U271" s="20" t="n">
        <v>0</v>
      </c>
      <c r="V271" s="20" t="n">
        <v>32</v>
      </c>
      <c r="W271" s="20" t="n">
        <v>280</v>
      </c>
      <c r="X271" s="20" t="n">
        <v>-619</v>
      </c>
    </row>
    <row r="272">
      <c r="A272" s="9" t="inlineStr">
        <is>
          <t>재무활동 현금흐름</t>
        </is>
      </c>
      <c r="C272" s="12" t="n">
        <v>-48250</v>
      </c>
      <c r="D272" s="12" t="n">
        <v>-38226</v>
      </c>
      <c r="E272" s="12" t="n">
        <v>-91595</v>
      </c>
      <c r="F272" s="12" t="n">
        <v>-19273</v>
      </c>
      <c r="G272" s="12" t="n">
        <v>-27058</v>
      </c>
      <c r="H272" s="12" t="n">
        <v>-45894</v>
      </c>
      <c r="I272" s="12" t="n">
        <v>-54377</v>
      </c>
      <c r="J272" s="12" t="n">
        <v>-16234</v>
      </c>
      <c r="K272" s="12" t="n">
        <v>-27716</v>
      </c>
      <c r="L272" s="12" t="n">
        <v>-24843</v>
      </c>
      <c r="M272" s="12" t="n">
        <v>-48358</v>
      </c>
      <c r="N272" s="12" t="n">
        <v>-27425</v>
      </c>
      <c r="P272" s="12" t="n">
        <v>-3528</v>
      </c>
      <c r="Q272" s="12" t="n">
        <v>-19526</v>
      </c>
      <c r="R272" s="12" t="n">
        <v>-13964</v>
      </c>
      <c r="S272" s="12" t="n">
        <v>2756</v>
      </c>
      <c r="T272" s="12" t="n">
        <v>-48664</v>
      </c>
      <c r="U272" s="12" t="n">
        <v>-40812</v>
      </c>
      <c r="V272" s="12" t="n">
        <v>-91595</v>
      </c>
      <c r="W272" s="12" t="n">
        <v>-54377</v>
      </c>
      <c r="X272" s="12" t="n">
        <v>-48358</v>
      </c>
    </row>
    <row r="273">
      <c r="A273" s="18" t="inlineStr">
        <is>
          <t>Effect Of Exchange Rate Changes On Cash And Cash Equivalents</t>
        </is>
      </c>
      <c r="C273" s="20" t="n">
        <v>4541</v>
      </c>
      <c r="D273" s="20" t="n">
        <v>1012</v>
      </c>
      <c r="E273" s="20" t="n">
        <v>5064</v>
      </c>
      <c r="F273" s="20" t="n">
        <v>7056</v>
      </c>
      <c r="G273" s="20" t="n">
        <v>-1984</v>
      </c>
      <c r="H273" s="20" t="n">
        <v>5793</v>
      </c>
      <c r="I273" s="20" t="n">
        <v>-1842</v>
      </c>
      <c r="J273" s="20" t="n">
        <v>-2075</v>
      </c>
      <c r="K273" s="20" t="n">
        <v>750</v>
      </c>
      <c r="L273" s="20" t="n">
        <v>9241</v>
      </c>
      <c r="M273" s="20" t="n">
        <v>9677</v>
      </c>
      <c r="N273" s="20" t="n">
        <v>2357</v>
      </c>
      <c r="P273" s="20" t="n">
        <v>296</v>
      </c>
      <c r="Q273" s="20" t="n">
        <v>-2458</v>
      </c>
      <c r="R273" s="20" t="n">
        <v>-6348</v>
      </c>
      <c r="S273" s="20" t="n">
        <v>5955</v>
      </c>
      <c r="T273" s="20" t="n">
        <v>9396</v>
      </c>
      <c r="U273" s="20" t="n">
        <v>-1911</v>
      </c>
      <c r="V273" s="20" t="n">
        <v>5064</v>
      </c>
      <c r="W273" s="20" t="n">
        <v>-1842</v>
      </c>
      <c r="X273" s="20" t="n">
        <v>9677</v>
      </c>
    </row>
    <row r="274">
      <c r="A274" s="18" t="inlineStr">
        <is>
          <t>현금및현금성자산 증감액</t>
        </is>
      </c>
      <c r="C274" s="20" t="n">
        <v>4643</v>
      </c>
      <c r="D274" s="20" t="n">
        <v>48119</v>
      </c>
      <c r="E274" s="20" t="n">
        <v>1669</v>
      </c>
      <c r="F274" s="20" t="n">
        <v>10806</v>
      </c>
      <c r="G274" s="20" t="n">
        <v>-1026</v>
      </c>
      <c r="H274" s="20" t="n">
        <v>-2759</v>
      </c>
      <c r="I274" s="20" t="n">
        <v>4659</v>
      </c>
      <c r="J274" s="20" t="n">
        <v>6008</v>
      </c>
      <c r="K274" s="20" t="n">
        <v>-79</v>
      </c>
      <c r="L274" s="20" t="n">
        <v>58894</v>
      </c>
      <c r="M274" s="20" t="n">
        <v>28785</v>
      </c>
      <c r="N274" s="20" t="n">
        <v>5111</v>
      </c>
      <c r="P274" s="20" t="n">
        <v>32179</v>
      </c>
      <c r="Q274" s="20" t="n">
        <v>-20179</v>
      </c>
      <c r="R274" s="20" t="n">
        <v>5184</v>
      </c>
      <c r="S274" s="20" t="n">
        <v>31802</v>
      </c>
      <c r="T274" s="20" t="n">
        <v>42772</v>
      </c>
      <c r="U274" s="20" t="n">
        <v>10243</v>
      </c>
      <c r="V274" s="20" t="n">
        <v>1669</v>
      </c>
      <c r="W274" s="20" t="n">
        <v>4659</v>
      </c>
      <c r="X274" s="20" t="n">
        <v>28785</v>
      </c>
    </row>
    <row r="275">
      <c r="A275" s="18" t="inlineStr">
        <is>
          <t>매각예정 자산에 포함된 현금및현금성자산</t>
        </is>
      </c>
      <c r="E275" s="20" t="n">
        <v>-5673</v>
      </c>
      <c r="I275" s="20" t="n">
        <v>0</v>
      </c>
      <c r="U275" s="20" t="n">
        <v>0</v>
      </c>
      <c r="V275" s="20" t="n">
        <v>-5673</v>
      </c>
      <c r="W275" s="20" t="n">
        <v>0</v>
      </c>
    </row>
    <row r="276">
      <c r="A276" s="18" t="inlineStr">
        <is>
          <t>Increase Decrease In Cash And Cash Equivalents Included In Assets Held For Sale CF</t>
        </is>
      </c>
      <c r="C276" s="20" t="n">
        <v>0</v>
      </c>
      <c r="D276" s="20" t="n">
        <v>0</v>
      </c>
      <c r="E276" s="20" t="n">
        <v>0</v>
      </c>
      <c r="F276" s="20" t="n">
        <v>1189</v>
      </c>
      <c r="G276" s="20" t="n">
        <v>870</v>
      </c>
      <c r="H276" s="20" t="n">
        <v>870</v>
      </c>
      <c r="I276" s="20" t="n">
        <v>870</v>
      </c>
      <c r="J276" s="20" t="n">
        <v>0</v>
      </c>
      <c r="K276" s="20" t="n">
        <v>0</v>
      </c>
      <c r="L276" s="20" t="n">
        <v>0</v>
      </c>
      <c r="M276" s="20" t="n">
        <v>0</v>
      </c>
      <c r="V276" s="20" t="n">
        <v>0</v>
      </c>
      <c r="W276" s="20" t="n">
        <v>870</v>
      </c>
      <c r="X276" s="20" t="n">
        <v>0</v>
      </c>
    </row>
    <row r="277">
      <c r="A277" s="9" t="inlineStr">
        <is>
          <t>법인세차감전 순이익</t>
        </is>
      </c>
      <c r="P277" s="12" t="n">
        <v>72879</v>
      </c>
      <c r="Q277" s="12" t="n">
        <v>54320</v>
      </c>
    </row>
    <row r="278">
      <c r="A278" s="18" t="inlineStr">
        <is>
          <t>감가상각비</t>
        </is>
      </c>
      <c r="P278" s="20" t="n">
        <v>34755</v>
      </c>
      <c r="Q278" s="20" t="n">
        <v>38274</v>
      </c>
    </row>
    <row r="279">
      <c r="A279" s="18" t="inlineStr">
        <is>
          <t>영업권 상각</t>
        </is>
      </c>
      <c r="P279" s="20" t="n">
        <v>1454</v>
      </c>
      <c r="Q279" s="20" t="n">
        <v>1325</v>
      </c>
    </row>
    <row r="280">
      <c r="A280" s="18" t="inlineStr">
        <is>
          <t>퇴직급여부채 증감</t>
        </is>
      </c>
      <c r="P280" s="20" t="n">
        <v>2039</v>
      </c>
      <c r="Q280" s="20" t="n">
        <v>2347</v>
      </c>
    </row>
    <row r="281">
      <c r="A281" s="18" t="inlineStr">
        <is>
          <t>이자·배당금 수익</t>
        </is>
      </c>
      <c r="P281" s="20" t="n">
        <v>-1859</v>
      </c>
      <c r="Q281" s="20" t="n">
        <v>-1647</v>
      </c>
    </row>
    <row r="282">
      <c r="A282" s="18" t="inlineStr">
        <is>
          <t>이자비용</t>
        </is>
      </c>
      <c r="P282" s="20" t="n">
        <v>1285</v>
      </c>
      <c r="Q282" s="20" t="n">
        <v>1486</v>
      </c>
    </row>
    <row r="283">
      <c r="A283" s="18" t="inlineStr">
        <is>
          <t>외환차손익</t>
        </is>
      </c>
      <c r="P283" s="20" t="n">
        <v>-1073</v>
      </c>
      <c r="Q283" s="20" t="n">
        <v>596</v>
      </c>
    </row>
    <row r="284">
      <c r="A284" s="18" t="inlineStr">
        <is>
          <t>지분법손익</t>
        </is>
      </c>
      <c r="P284" s="20" t="n">
        <v>-821</v>
      </c>
      <c r="Q284" s="20" t="n">
        <v>-838</v>
      </c>
    </row>
    <row r="285">
      <c r="A285" s="18" t="inlineStr">
        <is>
          <t>유형자산 매각손익</t>
        </is>
      </c>
      <c r="P285" s="20" t="n">
        <v>-341</v>
      </c>
      <c r="Q285" s="20" t="n">
        <v>-87</v>
      </c>
    </row>
    <row r="286">
      <c r="A286" s="18" t="inlineStr">
        <is>
          <t>관계회사 청산손익</t>
        </is>
      </c>
      <c r="P286" s="20" t="n">
        <v>0</v>
      </c>
      <c r="Q286" s="20" t="n">
        <v>3460</v>
      </c>
    </row>
    <row r="287">
      <c r="A287" s="18" t="inlineStr">
        <is>
          <t>매출채권 증감</t>
        </is>
      </c>
      <c r="P287" s="20" t="n">
        <v>-14482</v>
      </c>
      <c r="Q287" s="20" t="n">
        <v>6132</v>
      </c>
    </row>
    <row r="288">
      <c r="A288" s="18" t="inlineStr">
        <is>
          <t>재고자산 증감</t>
        </is>
      </c>
      <c r="P288" s="20" t="n">
        <v>-3310</v>
      </c>
      <c r="Q288" s="20" t="n">
        <v>-17529</v>
      </c>
    </row>
    <row r="289">
      <c r="A289" s="18" t="inlineStr">
        <is>
          <t>매입채무 증감</t>
        </is>
      </c>
      <c r="P289" s="20" t="n">
        <v>10436</v>
      </c>
      <c r="Q289" s="20" t="n">
        <v>433</v>
      </c>
    </row>
    <row r="290">
      <c r="A290" s="18" t="inlineStr">
        <is>
          <t>미수금 증감</t>
        </is>
      </c>
      <c r="P290" s="20" t="n">
        <v>-4667</v>
      </c>
      <c r="Q290" s="20" t="n">
        <v>-2419</v>
      </c>
    </row>
    <row r="291">
      <c r="A291" s="18" t="inlineStr">
        <is>
          <t>미지급금 증감</t>
        </is>
      </c>
      <c r="P291" s="20" t="n">
        <v>333</v>
      </c>
      <c r="Q291" s="20" t="n">
        <v>1455</v>
      </c>
    </row>
    <row r="292">
      <c r="A292" s="18" t="inlineStr">
        <is>
          <t>미지급비용 증감</t>
        </is>
      </c>
      <c r="P292" s="20" t="n">
        <v>5231</v>
      </c>
      <c r="Q292" s="20" t="n">
        <v>2011</v>
      </c>
    </row>
    <row r="293">
      <c r="A293" s="18" t="inlineStr">
        <is>
          <t>기타</t>
        </is>
      </c>
      <c r="P293" s="20" t="n">
        <v>-573</v>
      </c>
      <c r="Q293" s="20" t="n">
        <v>-379</v>
      </c>
    </row>
    <row r="294">
      <c r="A294" s="18" t="inlineStr">
        <is>
          <t>소계</t>
        </is>
      </c>
      <c r="P294" s="20" t="n">
        <v>101287</v>
      </c>
      <c r="Q294" s="20" t="n">
        <v>88941</v>
      </c>
    </row>
    <row r="295">
      <c r="A295" s="18" t="inlineStr">
        <is>
          <t>이자·배당금 수취</t>
        </is>
      </c>
      <c r="P295" s="20" t="n">
        <v>2101</v>
      </c>
      <c r="Q295" s="20" t="n">
        <v>2158</v>
      </c>
    </row>
    <row r="296">
      <c r="A296" s="18" t="inlineStr">
        <is>
          <t>이자 지급</t>
        </is>
      </c>
      <c r="P296" s="20" t="n">
        <v>-1303</v>
      </c>
      <c r="Q296" s="20" t="n">
        <v>-1500</v>
      </c>
    </row>
    <row r="297">
      <c r="A297" s="18" t="inlineStr">
        <is>
          <t>법인세 납부</t>
        </is>
      </c>
      <c r="P297" s="20" t="n">
        <v>-15967</v>
      </c>
      <c r="Q297" s="20" t="n">
        <v>-25485</v>
      </c>
    </row>
    <row r="298">
      <c r="A298" s="9" t="inlineStr">
        <is>
          <t>영업활동 현금흐름</t>
        </is>
      </c>
      <c r="P298" s="12" t="n">
        <v>86117</v>
      </c>
      <c r="Q298" s="12" t="n">
        <v>64114</v>
      </c>
    </row>
    <row r="299">
      <c r="A299" s="18" t="inlineStr">
        <is>
          <t>정기예금 예입</t>
        </is>
      </c>
      <c r="P299" s="20" t="n">
        <v>-3003</v>
      </c>
      <c r="Q299" s="20" t="n">
        <v>-4466</v>
      </c>
    </row>
    <row r="300">
      <c r="A300" s="18" t="inlineStr">
        <is>
          <t>정기예금 인출</t>
        </is>
      </c>
      <c r="P300" s="20" t="n">
        <v>4433</v>
      </c>
      <c r="Q300" s="20" t="n">
        <v>3311</v>
      </c>
    </row>
    <row r="301">
      <c r="A301" s="18" t="inlineStr">
        <is>
          <t>유형자산 취득(설비투자)</t>
        </is>
      </c>
      <c r="P301" s="20" t="n">
        <v>-46082</v>
      </c>
      <c r="Q301" s="20" t="n">
        <v>-59122</v>
      </c>
    </row>
    <row r="302">
      <c r="A302" s="18" t="inlineStr">
        <is>
          <t>유형자산 매각</t>
        </is>
      </c>
      <c r="P302" s="20" t="n">
        <v>2792</v>
      </c>
      <c r="Q302" s="20" t="n">
        <v>2434</v>
      </c>
    </row>
    <row r="303">
      <c r="A303" s="18" t="inlineStr">
        <is>
          <t>무형자산 취득</t>
        </is>
      </c>
      <c r="P303" s="20" t="n">
        <v>-4121</v>
      </c>
      <c r="Q303" s="20" t="n">
        <v>-4350</v>
      </c>
    </row>
    <row r="304">
      <c r="A304" s="18" t="inlineStr">
        <is>
          <t>투자유가증권 취득</t>
        </is>
      </c>
      <c r="P304" s="20" t="n">
        <v>-5603</v>
      </c>
      <c r="Q304" s="20" t="n">
        <v>-417</v>
      </c>
    </row>
    <row r="305">
      <c r="A305" s="18" t="inlineStr">
        <is>
          <t>기타</t>
        </is>
      </c>
      <c r="P305" s="20" t="n">
        <v>-122</v>
      </c>
      <c r="Q305" s="20" t="n">
        <v>836</v>
      </c>
    </row>
    <row r="306">
      <c r="A306" s="9" t="inlineStr">
        <is>
          <t>투자활동 현금흐름</t>
        </is>
      </c>
      <c r="P306" s="12" t="n">
        <v>-51707</v>
      </c>
      <c r="Q306" s="12" t="n">
        <v>-61773</v>
      </c>
    </row>
    <row r="307">
      <c r="A307" s="18" t="inlineStr">
        <is>
          <t>단기차입금 순증감</t>
        </is>
      </c>
      <c r="P307" s="20" t="n">
        <v>-15962</v>
      </c>
      <c r="Q307" s="20" t="n">
        <v>14241</v>
      </c>
    </row>
    <row r="308">
      <c r="A308" s="18" t="inlineStr">
        <is>
          <t>장기차입</t>
        </is>
      </c>
      <c r="P308" s="20" t="n">
        <v>6651</v>
      </c>
      <c r="Q308" s="20" t="n">
        <v>23000</v>
      </c>
    </row>
    <row r="309">
      <c r="A309" s="18" t="inlineStr">
        <is>
          <t>장기차입금 상환</t>
        </is>
      </c>
      <c r="P309" s="20" t="n">
        <v>-6245</v>
      </c>
      <c r="Q309" s="20" t="n">
        <v>-20054</v>
      </c>
    </row>
    <row r="310">
      <c r="A310" s="18" t="inlineStr">
        <is>
          <t>사채 발행</t>
        </is>
      </c>
      <c r="P310" s="20" t="n">
        <v>30000</v>
      </c>
      <c r="Q310" s="20" t="n">
        <v>0</v>
      </c>
    </row>
    <row r="311">
      <c r="A311" s="18" t="inlineStr">
        <is>
          <t>사채 상환</t>
        </is>
      </c>
      <c r="P311" s="20" t="n">
        <v>0</v>
      </c>
      <c r="Q311" s="20" t="n">
        <v>-10000</v>
      </c>
    </row>
    <row r="312">
      <c r="A312" s="18" t="inlineStr">
        <is>
          <t>배당금 지급</t>
        </is>
      </c>
      <c r="P312" s="20" t="n">
        <v>-10024</v>
      </c>
      <c r="Q312" s="20" t="n">
        <v>-10582</v>
      </c>
    </row>
    <row r="313">
      <c r="A313" s="18" t="inlineStr">
        <is>
          <t>비지배주주 배당금 지급</t>
        </is>
      </c>
      <c r="P313" s="20" t="n">
        <v>-7039</v>
      </c>
      <c r="Q313" s="20" t="n">
        <v>-8504</v>
      </c>
    </row>
    <row r="314">
      <c r="A314" s="18" t="inlineStr">
        <is>
          <t>연결범위 변경 없는 자회사 주식 취득</t>
        </is>
      </c>
      <c r="P314" s="20" t="n">
        <v>-648</v>
      </c>
      <c r="Q314" s="20" t="n">
        <v>-1639</v>
      </c>
    </row>
    <row r="315">
      <c r="A315" s="18" t="inlineStr">
        <is>
          <t>Payments From Changes In Ownership Interests In Investments In Capital Of Subsidiaries That Do Not Result In Change In Scope Of Consolidation Fin CF</t>
        </is>
      </c>
      <c r="P315" s="20" t="n">
        <v>0</v>
      </c>
      <c r="Q315" s="20" t="n">
        <v>-6228</v>
      </c>
    </row>
    <row r="316">
      <c r="A316" s="18" t="inlineStr">
        <is>
          <t>기타</t>
        </is>
      </c>
      <c r="P316" s="20" t="n">
        <v>-259</v>
      </c>
      <c r="Q316" s="20" t="n">
        <v>241</v>
      </c>
    </row>
    <row r="317">
      <c r="A317" s="9" t="inlineStr">
        <is>
          <t>재무활동 현금흐름</t>
        </is>
      </c>
      <c r="P317" s="12" t="n">
        <v>-3528</v>
      </c>
      <c r="Q317" s="12" t="n">
        <v>-19526</v>
      </c>
    </row>
    <row r="318">
      <c r="A318" s="18" t="inlineStr">
        <is>
          <t>현금성자산 환산차이</t>
        </is>
      </c>
      <c r="P318" s="20" t="n">
        <v>1297</v>
      </c>
      <c r="Q318" s="20" t="n">
        <v>-2993</v>
      </c>
    </row>
    <row r="319">
      <c r="A319" s="18" t="inlineStr">
        <is>
          <t>현금성자산 증감</t>
        </is>
      </c>
      <c r="P319" s="20" t="n">
        <v>32179</v>
      </c>
      <c r="Q319" s="20" t="n">
        <v>-20179</v>
      </c>
    </row>
    <row r="320">
      <c r="A320" s="18" t="inlineStr">
        <is>
          <t>연결자회사 결산기 변경에 따른 현금성자산 증감액</t>
        </is>
      </c>
      <c r="P320" s="20" t="n">
        <v>1303</v>
      </c>
      <c r="Q320" s="20" t="n">
        <v>0</v>
      </c>
    </row>
  </sheetData>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L114"/>
  <sheetViews>
    <sheetView showGridLines="0" zoomScale="85" workbookViewId="0">
      <pane xSplit="2" ySplit="3" topLeftCell="C4" activePane="bottomRight" state="frozen"/>
      <selection pane="topRight"/>
      <selection pane="bottomLeft"/>
      <selection pane="bottomRight" activeCell="A1" sqref="A1"/>
    </sheetView>
  </sheetViews>
  <sheetFormatPr baseColWidth="8" defaultRowHeight="15"/>
  <cols>
    <col width="24" customWidth="1" min="1" max="1"/>
    <col width="20" customWidth="1" min="2" max="2"/>
    <col outlineLevel="1" width="11" customWidth="1" min="3" max="3"/>
    <col outlineLevel="1" width="11" customWidth="1" min="4" max="4"/>
    <col outlineLevel="1" width="11" customWidth="1" min="5" max="5"/>
    <col outlineLevel="1" width="11" customWidth="1" min="6" max="6"/>
    <col outlineLevel="1" width="11" customWidth="1" min="7" max="7"/>
    <col width="11" customWidth="1" min="8" max="8"/>
    <col width="11" customWidth="1" min="9" max="9"/>
    <col width="11" customWidth="1" min="10" max="10"/>
    <col width="11" customWidth="1" min="11" max="11"/>
    <col width="11" customWidth="1" min="12" max="12"/>
  </cols>
  <sheetData>
    <row r="1" ht="30" customHeight="1">
      <c r="A1" s="1" t="inlineStr">
        <is>
          <t>3116 재무상태표</t>
        </is>
      </c>
    </row>
    <row r="2">
      <c r="A2" s="44" t="inlineStr">
        <is>
          <t>재무비율은 기말 잔액 기준 · 분기 손익은 최근 4분기 합산(TTM)</t>
        </is>
      </c>
      <c r="B2" s="3" t="inlineStr">
        <is>
          <t>(단위: 백만엔)</t>
        </is>
      </c>
    </row>
    <row r="3">
      <c r="A3" s="5" t="inlineStr">
        <is>
          <t>항목</t>
        </is>
      </c>
      <c r="B3" s="5" t="inlineStr">
        <is>
          <t>참고</t>
        </is>
      </c>
      <c r="C3" s="6" t="inlineStr">
        <is>
          <t>2026.1Q</t>
        </is>
      </c>
      <c r="D3" s="5" t="inlineStr">
        <is>
          <t>2026.2Q</t>
        </is>
      </c>
      <c r="E3" s="5" t="inlineStr">
        <is>
          <t>2026.3Q</t>
        </is>
      </c>
      <c r="F3" s="5" t="inlineStr">
        <is>
          <t>2026.4Q</t>
        </is>
      </c>
      <c r="G3" s="5" t="inlineStr">
        <is>
          <t>2027.1Q</t>
        </is>
      </c>
      <c r="H3" s="6" t="inlineStr">
        <is>
          <t>2022</t>
        </is>
      </c>
      <c r="I3" s="5" t="inlineStr">
        <is>
          <t>2023</t>
        </is>
      </c>
      <c r="J3" s="5" t="inlineStr">
        <is>
          <t>2024</t>
        </is>
      </c>
      <c r="K3" s="5" t="inlineStr">
        <is>
          <t>2025</t>
        </is>
      </c>
      <c r="L3" s="5" t="inlineStr">
        <is>
          <t>2026</t>
        </is>
      </c>
    </row>
    <row r="4">
      <c r="A4" s="16" t="inlineStr">
        <is>
          <t>자산</t>
        </is>
      </c>
      <c r="B4" s="16" t="n"/>
      <c r="C4" s="17" t="n"/>
      <c r="D4" s="16" t="n"/>
      <c r="E4" s="16" t="n"/>
      <c r="F4" s="16" t="n"/>
      <c r="G4" s="16" t="n"/>
      <c r="H4" s="17" t="n"/>
      <c r="I4" s="16" t="n"/>
      <c r="J4" s="16" t="n"/>
      <c r="K4" s="16" t="n"/>
      <c r="L4" s="16" t="n"/>
    </row>
    <row r="5">
      <c r="A5" s="9" t="inlineStr">
        <is>
          <t>유동자산</t>
        </is>
      </c>
      <c r="B5" s="10" t="n"/>
      <c r="C5" s="11" t="n">
        <v>649835</v>
      </c>
      <c r="D5" s="12" t="n">
        <v>671054</v>
      </c>
      <c r="E5" s="12" t="n">
        <v>700588</v>
      </c>
      <c r="F5" s="12" t="n">
        <v>723387</v>
      </c>
      <c r="G5" s="12" t="n">
        <v>712312</v>
      </c>
      <c r="H5" s="11" t="n">
        <v>614317</v>
      </c>
      <c r="I5" s="12" t="n">
        <v>656281</v>
      </c>
      <c r="J5" s="12" t="n">
        <v>708788</v>
      </c>
      <c r="K5" s="12" t="n">
        <v>668631</v>
      </c>
      <c r="L5" s="12" t="n">
        <v>723387</v>
      </c>
    </row>
    <row r="6">
      <c r="A6" s="18" t="inlineStr">
        <is>
          <t>현금및현금성자산</t>
        </is>
      </c>
      <c r="B6" s="10" t="n"/>
      <c r="C6" s="19" t="n">
        <v>255730</v>
      </c>
      <c r="D6" s="20" t="n">
        <v>249642</v>
      </c>
      <c r="E6" s="20" t="n">
        <v>308616</v>
      </c>
      <c r="F6" s="20" t="n">
        <v>278507</v>
      </c>
      <c r="G6" s="20" t="n">
        <v>283618</v>
      </c>
      <c r="H6" s="19" t="n">
        <v>237952</v>
      </c>
      <c r="I6" s="20" t="n">
        <v>248195</v>
      </c>
      <c r="J6" s="20" t="n">
        <v>244191</v>
      </c>
      <c r="K6" s="20" t="n">
        <v>249721</v>
      </c>
      <c r="L6" s="20" t="n">
        <v>278507</v>
      </c>
    </row>
    <row r="7">
      <c r="A7" s="18" t="inlineStr">
        <is>
          <t>단기금융상품</t>
        </is>
      </c>
      <c r="B7" s="10" t="n"/>
      <c r="C7" s="19" t="n">
        <v>20273</v>
      </c>
      <c r="D7" s="20" t="n">
        <v>23032</v>
      </c>
      <c r="E7" s="20" t="n">
        <v>24428</v>
      </c>
      <c r="F7" s="20" t="n">
        <v>29429</v>
      </c>
      <c r="G7" s="20" t="n">
        <v>28921</v>
      </c>
      <c r="H7" s="19" t="n">
        <v>19990</v>
      </c>
      <c r="I7" s="20" t="n">
        <v>14596</v>
      </c>
      <c r="J7" s="20" t="n">
        <v>32235</v>
      </c>
      <c r="K7" s="20" t="n">
        <v>19191</v>
      </c>
      <c r="L7" s="20" t="n">
        <v>29429</v>
      </c>
    </row>
    <row r="8">
      <c r="A8" s="18" t="inlineStr">
        <is>
          <t>매출채권</t>
        </is>
      </c>
      <c r="B8" s="10" t="n"/>
      <c r="C8" s="19" t="n">
        <v>264119</v>
      </c>
      <c r="D8" s="20" t="n">
        <v>282668</v>
      </c>
      <c r="E8" s="20" t="n">
        <v>244776</v>
      </c>
      <c r="F8" s="20" t="n">
        <v>297783</v>
      </c>
      <c r="G8" s="20" t="n">
        <v>275074</v>
      </c>
      <c r="H8" s="19" t="n">
        <v>261814</v>
      </c>
      <c r="I8" s="20" t="n">
        <v>286181</v>
      </c>
      <c r="J8" s="20" t="n">
        <v>304115</v>
      </c>
      <c r="K8" s="20" t="n">
        <v>290236</v>
      </c>
      <c r="L8" s="20" t="n">
        <v>297783</v>
      </c>
    </row>
    <row r="9">
      <c r="A9" s="18" t="inlineStr">
        <is>
          <t>재고자산</t>
        </is>
      </c>
      <c r="B9" s="10" t="n"/>
      <c r="C9" s="19" t="n">
        <v>87660</v>
      </c>
      <c r="D9" s="20" t="n">
        <v>95661</v>
      </c>
      <c r="E9" s="20" t="n">
        <v>100713</v>
      </c>
      <c r="F9" s="20" t="n">
        <v>94018</v>
      </c>
      <c r="G9" s="20" t="n">
        <v>101010</v>
      </c>
      <c r="H9" s="19" t="n">
        <v>79345</v>
      </c>
      <c r="I9" s="20" t="n">
        <v>87684</v>
      </c>
      <c r="J9" s="20" t="n">
        <v>83648</v>
      </c>
      <c r="K9" s="20" t="n">
        <v>87142</v>
      </c>
      <c r="L9" s="20" t="n">
        <v>94018</v>
      </c>
    </row>
    <row r="10">
      <c r="A10" s="18" t="inlineStr">
        <is>
          <t>기타유동자산</t>
        </is>
      </c>
      <c r="B10" s="10" t="inlineStr">
        <is>
          <t>총계 − 위 항목</t>
        </is>
      </c>
      <c r="C10" s="19">
        <f>IF(OR(C5=""),"",IFERROR(C5-SUM(C6,C7,C8,C9),""))</f>
        <v/>
      </c>
      <c r="D10" s="20">
        <f>IF(OR(D5=""),"",IFERROR(D5-SUM(D6,D7,D8,D9),""))</f>
        <v/>
      </c>
      <c r="E10" s="20">
        <f>IF(OR(E5=""),"",IFERROR(E5-SUM(E6,E7,E8,E9),""))</f>
        <v/>
      </c>
      <c r="F10" s="20">
        <f>IF(OR(F5=""),"",IFERROR(F5-SUM(F6,F7,F8,F9),""))</f>
        <v/>
      </c>
      <c r="G10" s="20">
        <f>IF(OR(G5=""),"",IFERROR(G5-SUM(G6,G7,G8,G9),""))</f>
        <v/>
      </c>
      <c r="H10" s="19">
        <f>IF(OR(H5=""),"",IFERROR(H5-SUM(H6,H7,H8,H9),""))</f>
        <v/>
      </c>
      <c r="I10" s="20">
        <f>IF(OR(I5=""),"",IFERROR(I5-SUM(I6,I7,I8,I9),""))</f>
        <v/>
      </c>
      <c r="J10" s="20">
        <f>IF(OR(J5=""),"",IFERROR(J5-SUM(J6,J7,J8,J9),""))</f>
        <v/>
      </c>
      <c r="K10" s="20">
        <f>IF(OR(K5=""),"",IFERROR(K5-SUM(K6,K7,K8,K9),""))</f>
        <v/>
      </c>
      <c r="L10" s="20">
        <f>IF(OR(L5=""),"",IFERROR(L5-SUM(L6,L7,L8,L9),""))</f>
        <v/>
      </c>
    </row>
    <row r="11">
      <c r="A11" s="9" t="inlineStr">
        <is>
          <t>비유동자산</t>
        </is>
      </c>
      <c r="B11" s="10" t="n"/>
      <c r="C11" s="11" t="n">
        <v>422673</v>
      </c>
      <c r="D11" s="12" t="n">
        <v>430905</v>
      </c>
      <c r="E11" s="12" t="n">
        <v>442957</v>
      </c>
      <c r="F11" s="12" t="n">
        <v>458997</v>
      </c>
      <c r="G11" s="12" t="n">
        <v>459601</v>
      </c>
      <c r="H11" s="11" t="n">
        <v>350422</v>
      </c>
      <c r="I11" s="12" t="n">
        <v>351110</v>
      </c>
      <c r="J11" s="12" t="n">
        <v>419703</v>
      </c>
      <c r="K11" s="12" t="n">
        <v>426199</v>
      </c>
      <c r="L11" s="12" t="n">
        <v>458997</v>
      </c>
    </row>
    <row r="12">
      <c r="A12" s="18" t="inlineStr">
        <is>
          <t>유형자산</t>
        </is>
      </c>
      <c r="B12" s="10" t="n"/>
      <c r="C12" s="19" t="n">
        <v>315654</v>
      </c>
      <c r="D12" s="20" t="n">
        <v>320679</v>
      </c>
      <c r="E12" s="20" t="n">
        <v>331540</v>
      </c>
      <c r="F12" s="20" t="n">
        <v>345387</v>
      </c>
      <c r="G12" s="20" t="n">
        <v>349612</v>
      </c>
      <c r="H12" s="19" t="n">
        <v>270477</v>
      </c>
      <c r="I12" s="20" t="n">
        <v>276096</v>
      </c>
      <c r="J12" s="20" t="n">
        <v>329783</v>
      </c>
      <c r="K12" s="20" t="n">
        <v>317221</v>
      </c>
      <c r="L12" s="20" t="n">
        <v>345387</v>
      </c>
    </row>
    <row r="13">
      <c r="A13" s="18" t="inlineStr">
        <is>
          <t>무형자산</t>
        </is>
      </c>
      <c r="B13" s="10" t="n"/>
      <c r="C13" s="19" t="n">
        <v>18780</v>
      </c>
      <c r="D13" s="20" t="n">
        <v>18392</v>
      </c>
      <c r="E13" s="20" t="n">
        <v>18337</v>
      </c>
      <c r="F13" s="20" t="n">
        <v>18683</v>
      </c>
      <c r="G13" s="20" t="n">
        <v>17952</v>
      </c>
      <c r="H13" s="19" t="n">
        <v>13060</v>
      </c>
      <c r="I13" s="20" t="n">
        <v>14237</v>
      </c>
      <c r="J13" s="20" t="n">
        <v>19597</v>
      </c>
      <c r="K13" s="20" t="n">
        <v>19548</v>
      </c>
      <c r="L13" s="20" t="n">
        <v>18683</v>
      </c>
    </row>
    <row r="14">
      <c r="A14" s="18" t="inlineStr">
        <is>
          <t>투자부동산</t>
        </is>
      </c>
      <c r="B14" s="10" t="n"/>
      <c r="C14" s="19" t="n"/>
      <c r="D14" s="20" t="n"/>
      <c r="E14" s="20" t="n"/>
      <c r="F14" s="20" t="n"/>
      <c r="G14" s="20" t="n"/>
      <c r="H14" s="19" t="n"/>
      <c r="I14" s="20" t="n"/>
      <c r="J14" s="20" t="n"/>
      <c r="K14" s="20" t="n"/>
      <c r="L14" s="20" t="n"/>
    </row>
    <row r="15">
      <c r="A15" s="18" t="inlineStr">
        <is>
          <t>기타비유동자산</t>
        </is>
      </c>
      <c r="B15" s="10" t="inlineStr">
        <is>
          <t>총계 − 위 항목</t>
        </is>
      </c>
      <c r="C15" s="19">
        <f>IF(OR(C11=""),"",IFERROR(C11-SUM(C12,C13,C14),""))</f>
        <v/>
      </c>
      <c r="D15" s="20">
        <f>IF(OR(D11=""),"",IFERROR(D11-SUM(D12,D13,D14),""))</f>
        <v/>
      </c>
      <c r="E15" s="20">
        <f>IF(OR(E11=""),"",IFERROR(E11-SUM(E12,E13,E14),""))</f>
        <v/>
      </c>
      <c r="F15" s="20">
        <f>IF(OR(F11=""),"",IFERROR(F11-SUM(F12,F13,F14),""))</f>
        <v/>
      </c>
      <c r="G15" s="20">
        <f>IF(OR(G11=""),"",IFERROR(G11-SUM(G12,G13,G14),""))</f>
        <v/>
      </c>
      <c r="H15" s="19">
        <f>IF(OR(H11=""),"",IFERROR(H11-SUM(H12,H13,H14),""))</f>
        <v/>
      </c>
      <c r="I15" s="20">
        <f>IF(OR(I11=""),"",IFERROR(I11-SUM(I12,I13,I14),""))</f>
        <v/>
      </c>
      <c r="J15" s="20">
        <f>IF(OR(J11=""),"",IFERROR(J11-SUM(J12,J13,J14),""))</f>
        <v/>
      </c>
      <c r="K15" s="20">
        <f>IF(OR(K11=""),"",IFERROR(K11-SUM(K12,K13,K14),""))</f>
        <v/>
      </c>
      <c r="L15" s="20">
        <f>IF(OR(L11=""),"",IFERROR(L11-SUM(L12,L13,L14),""))</f>
        <v/>
      </c>
    </row>
    <row r="16">
      <c r="A16" s="9" t="inlineStr">
        <is>
          <t>자산총계</t>
        </is>
      </c>
      <c r="B16" s="10" t="n"/>
      <c r="C16" s="11" t="n">
        <v>1072508</v>
      </c>
      <c r="D16" s="12" t="n">
        <v>1101960</v>
      </c>
      <c r="E16" s="12" t="n">
        <v>1143546</v>
      </c>
      <c r="F16" s="12" t="n">
        <v>1182385</v>
      </c>
      <c r="G16" s="12" t="n">
        <v>1171914</v>
      </c>
      <c r="H16" s="11" t="n">
        <v>964740</v>
      </c>
      <c r="I16" s="12" t="n">
        <v>1007392</v>
      </c>
      <c r="J16" s="12" t="n">
        <v>1128491</v>
      </c>
      <c r="K16" s="12" t="n">
        <v>1094831</v>
      </c>
      <c r="L16" s="12" t="n">
        <v>1182385</v>
      </c>
    </row>
    <row r="17">
      <c r="A17" s="16" t="inlineStr">
        <is>
          <t>부채</t>
        </is>
      </c>
      <c r="B17" s="16" t="n"/>
      <c r="C17" s="17" t="n"/>
      <c r="D17" s="16" t="n"/>
      <c r="E17" s="16" t="n"/>
      <c r="F17" s="16" t="n"/>
      <c r="G17" s="16" t="n"/>
      <c r="H17" s="17" t="n"/>
      <c r="I17" s="16" t="n"/>
      <c r="J17" s="16" t="n"/>
      <c r="K17" s="16" t="n"/>
      <c r="L17" s="16" t="n"/>
    </row>
    <row r="18">
      <c r="A18" s="9" t="inlineStr">
        <is>
          <t>유동부채</t>
        </is>
      </c>
      <c r="B18" s="10" t="n"/>
      <c r="C18" s="11" t="n">
        <v>375902</v>
      </c>
      <c r="D18" s="12" t="n">
        <v>390816</v>
      </c>
      <c r="E18" s="12" t="n">
        <v>384369</v>
      </c>
      <c r="F18" s="12" t="n">
        <v>428128</v>
      </c>
      <c r="G18" s="12" t="n">
        <v>414195</v>
      </c>
      <c r="H18" s="11" t="n">
        <v>359958</v>
      </c>
      <c r="I18" s="12" t="n">
        <v>408694</v>
      </c>
      <c r="J18" s="12" t="n">
        <v>405495</v>
      </c>
      <c r="K18" s="12" t="n">
        <v>387452</v>
      </c>
      <c r="L18" s="12" t="n">
        <v>428128</v>
      </c>
    </row>
    <row r="19">
      <c r="A19" s="18" t="inlineStr">
        <is>
          <t>매입채무</t>
        </is>
      </c>
      <c r="B19" s="10" t="n"/>
      <c r="C19" s="19" t="n">
        <v>208550</v>
      </c>
      <c r="D19" s="20" t="n">
        <v>208099</v>
      </c>
      <c r="E19" s="20" t="n">
        <v>204651</v>
      </c>
      <c r="F19" s="20" t="n">
        <v>224070</v>
      </c>
      <c r="G19" s="20" t="n">
        <v>214054</v>
      </c>
      <c r="H19" s="19" t="n">
        <v>218979</v>
      </c>
      <c r="I19" s="20" t="n">
        <v>235900</v>
      </c>
      <c r="J19" s="20" t="n">
        <v>251524</v>
      </c>
      <c r="K19" s="20" t="n">
        <v>234869</v>
      </c>
      <c r="L19" s="20" t="n">
        <v>224070</v>
      </c>
    </row>
    <row r="20">
      <c r="A20" s="18" t="inlineStr">
        <is>
          <t>단기차입금</t>
        </is>
      </c>
      <c r="B20" s="10" t="n"/>
      <c r="C20" s="19" t="n"/>
      <c r="D20" s="20" t="n"/>
      <c r="E20" s="20" t="n"/>
      <c r="F20" s="20" t="n"/>
      <c r="G20" s="20" t="n"/>
      <c r="H20" s="19" t="n"/>
      <c r="I20" s="20" t="n"/>
      <c r="J20" s="20" t="n"/>
      <c r="K20" s="20" t="n"/>
      <c r="L20" s="20" t="n"/>
    </row>
    <row r="21">
      <c r="A21" s="18" t="inlineStr">
        <is>
          <t>유동성장기부채</t>
        </is>
      </c>
      <c r="B21" s="10" t="n"/>
      <c r="C21" s="19" t="n"/>
      <c r="D21" s="20" t="n"/>
      <c r="E21" s="20" t="n"/>
      <c r="F21" s="20" t="n"/>
      <c r="G21" s="20" t="n"/>
      <c r="H21" s="19" t="n"/>
      <c r="I21" s="20" t="n"/>
      <c r="J21" s="20" t="n"/>
      <c r="K21" s="20" t="n"/>
      <c r="L21" s="20" t="n"/>
    </row>
    <row r="22">
      <c r="A22" s="18" t="inlineStr">
        <is>
          <t>기타유동부채</t>
        </is>
      </c>
      <c r="B22" s="10" t="inlineStr">
        <is>
          <t>총계 − 위 항목</t>
        </is>
      </c>
      <c r="C22" s="19">
        <f>IF(OR(C18=""),"",IFERROR(C18-SUM(C19,C20,C21),""))</f>
        <v/>
      </c>
      <c r="D22" s="20">
        <f>IF(OR(D18=""),"",IFERROR(D18-SUM(D19,D20,D21),""))</f>
        <v/>
      </c>
      <c r="E22" s="20">
        <f>IF(OR(E18=""),"",IFERROR(E18-SUM(E19,E20,E21),""))</f>
        <v/>
      </c>
      <c r="F22" s="20">
        <f>IF(OR(F18=""),"",IFERROR(F18-SUM(F19,F20,F21),""))</f>
        <v/>
      </c>
      <c r="G22" s="20">
        <f>IF(OR(G18=""),"",IFERROR(G18-SUM(G19,G20,G21),""))</f>
        <v/>
      </c>
      <c r="H22" s="19">
        <f>IF(OR(H18=""),"",IFERROR(H18-SUM(H19,H20,H21),""))</f>
        <v/>
      </c>
      <c r="I22" s="20">
        <f>IF(OR(I18=""),"",IFERROR(I18-SUM(I19,I20,I21),""))</f>
        <v/>
      </c>
      <c r="J22" s="20">
        <f>IF(OR(J18=""),"",IFERROR(J18-SUM(J19,J20,J21),""))</f>
        <v/>
      </c>
      <c r="K22" s="20">
        <f>IF(OR(K18=""),"",IFERROR(K18-SUM(K19,K20,K21),""))</f>
        <v/>
      </c>
      <c r="L22" s="20">
        <f>IF(OR(L18=""),"",IFERROR(L18-SUM(L19,L20,L21),""))</f>
        <v/>
      </c>
    </row>
    <row r="23">
      <c r="A23" s="9" t="inlineStr">
        <is>
          <t>비유동부채</t>
        </is>
      </c>
      <c r="B23" s="10" t="n"/>
      <c r="C23" s="11" t="n">
        <v>207965</v>
      </c>
      <c r="D23" s="12" t="n">
        <v>207687</v>
      </c>
      <c r="E23" s="12" t="n">
        <v>228783</v>
      </c>
      <c r="F23" s="12" t="n">
        <v>225188</v>
      </c>
      <c r="G23" s="12" t="n">
        <v>227916</v>
      </c>
      <c r="H23" s="11" t="n">
        <v>180946</v>
      </c>
      <c r="I23" s="12" t="n">
        <v>161802</v>
      </c>
      <c r="J23" s="12" t="n">
        <v>229353</v>
      </c>
      <c r="K23" s="12" t="n">
        <v>217311</v>
      </c>
      <c r="L23" s="12" t="n">
        <v>225188</v>
      </c>
    </row>
    <row r="24">
      <c r="A24" s="18" t="inlineStr">
        <is>
          <t>장기차입금</t>
        </is>
      </c>
      <c r="B24" s="10" t="n"/>
      <c r="C24" s="19" t="n"/>
      <c r="D24" s="20" t="n"/>
      <c r="E24" s="20" t="n"/>
      <c r="F24" s="20" t="n"/>
      <c r="G24" s="20" t="n"/>
      <c r="H24" s="19" t="n"/>
      <c r="I24" s="20" t="n"/>
      <c r="J24" s="20" t="n"/>
      <c r="K24" s="20" t="n"/>
      <c r="L24" s="20" t="n"/>
    </row>
    <row r="25">
      <c r="A25" s="18" t="inlineStr">
        <is>
          <t>사채</t>
        </is>
      </c>
      <c r="B25" s="10" t="n"/>
      <c r="C25" s="19" t="n">
        <v>136479</v>
      </c>
      <c r="D25" s="20" t="n">
        <v>135000</v>
      </c>
      <c r="E25" s="20" t="n">
        <v>155000</v>
      </c>
      <c r="F25" s="20" t="n">
        <v>155000</v>
      </c>
      <c r="G25" s="20" t="n">
        <v>155000</v>
      </c>
      <c r="H25" s="19" t="n">
        <v>111358</v>
      </c>
      <c r="I25" s="20" t="n">
        <v>90000</v>
      </c>
      <c r="J25" s="20" t="n">
        <v>155000</v>
      </c>
      <c r="K25" s="20" t="n">
        <v>146531</v>
      </c>
      <c r="L25" s="20" t="n">
        <v>155000</v>
      </c>
    </row>
    <row r="26">
      <c r="A26" s="18" t="inlineStr">
        <is>
          <t>기타비유동부채</t>
        </is>
      </c>
      <c r="B26" s="10" t="inlineStr">
        <is>
          <t>총계 − 위 항목</t>
        </is>
      </c>
      <c r="C26" s="19">
        <f>IF(OR(C23=""),"",IFERROR(C23-SUM(C24,C25),""))</f>
        <v/>
      </c>
      <c r="D26" s="20">
        <f>IF(OR(D23=""),"",IFERROR(D23-SUM(D24,D25),""))</f>
        <v/>
      </c>
      <c r="E26" s="20">
        <f>IF(OR(E23=""),"",IFERROR(E23-SUM(E24,E25),""))</f>
        <v/>
      </c>
      <c r="F26" s="20">
        <f>IF(OR(F23=""),"",IFERROR(F23-SUM(F24,F25),""))</f>
        <v/>
      </c>
      <c r="G26" s="20">
        <f>IF(OR(G23=""),"",IFERROR(G23-SUM(G24,G25),""))</f>
        <v/>
      </c>
      <c r="H26" s="19">
        <f>IF(OR(H23=""),"",IFERROR(H23-SUM(H24,H25),""))</f>
        <v/>
      </c>
      <c r="I26" s="20">
        <f>IF(OR(I23=""),"",IFERROR(I23-SUM(I24,I25),""))</f>
        <v/>
      </c>
      <c r="J26" s="20">
        <f>IF(OR(J23=""),"",IFERROR(J23-SUM(J24,J25),""))</f>
        <v/>
      </c>
      <c r="K26" s="20">
        <f>IF(OR(K23=""),"",IFERROR(K23-SUM(K24,K25),""))</f>
        <v/>
      </c>
      <c r="L26" s="20">
        <f>IF(OR(L23=""),"",IFERROR(L23-SUM(L24,L25),""))</f>
        <v/>
      </c>
    </row>
    <row r="27">
      <c r="A27" s="9" t="inlineStr">
        <is>
          <t>부채총계</t>
        </is>
      </c>
      <c r="B27" s="10" t="n"/>
      <c r="C27" s="11" t="n">
        <v>583867</v>
      </c>
      <c r="D27" s="12" t="n">
        <v>598503</v>
      </c>
      <c r="E27" s="12" t="n">
        <v>613152</v>
      </c>
      <c r="F27" s="12" t="n">
        <v>653317</v>
      </c>
      <c r="G27" s="12" t="n">
        <v>642112</v>
      </c>
      <c r="H27" s="11" t="n">
        <v>540904</v>
      </c>
      <c r="I27" s="12" t="n">
        <v>570497</v>
      </c>
      <c r="J27" s="12" t="n">
        <v>634849</v>
      </c>
      <c r="K27" s="12" t="n">
        <v>604763</v>
      </c>
      <c r="L27" s="12" t="n">
        <v>653317</v>
      </c>
    </row>
    <row r="28">
      <c r="A28" s="18" t="inlineStr">
        <is>
          <t>총차입금</t>
        </is>
      </c>
      <c r="B28" s="10" t="inlineStr">
        <is>
          <t>단기+유동성장기+장기+사채</t>
        </is>
      </c>
      <c r="C28" s="19">
        <f>SUM(C20,C21,C24,C25)</f>
        <v/>
      </c>
      <c r="D28" s="20">
        <f>SUM(D20,D21,D24,D25)</f>
        <v/>
      </c>
      <c r="E28" s="20">
        <f>SUM(E20,E21,E24,E25)</f>
        <v/>
      </c>
      <c r="F28" s="20">
        <f>SUM(F20,F21,F24,F25)</f>
        <v/>
      </c>
      <c r="G28" s="20">
        <f>SUM(G20,G21,G24,G25)</f>
        <v/>
      </c>
      <c r="H28" s="19">
        <f>SUM(H20,H21,H24,H25)</f>
        <v/>
      </c>
      <c r="I28" s="20">
        <f>SUM(I20,I21,I24,I25)</f>
        <v/>
      </c>
      <c r="J28" s="20">
        <f>SUM(J20,J21,J24,J25)</f>
        <v/>
      </c>
      <c r="K28" s="20">
        <f>SUM(K20,K21,K24,K25)</f>
        <v/>
      </c>
      <c r="L28" s="20">
        <f>SUM(L20,L21,L24,L25)</f>
        <v/>
      </c>
    </row>
    <row r="29">
      <c r="A29" s="18" t="inlineStr">
        <is>
          <t>순차입금</t>
        </is>
      </c>
      <c r="B29" s="10" t="inlineStr">
        <is>
          <t>음수 = 순현금</t>
        </is>
      </c>
      <c r="C29" s="19">
        <f>C28-C6-N(C7)</f>
        <v/>
      </c>
      <c r="D29" s="20">
        <f>D28-D6-N(D7)</f>
        <v/>
      </c>
      <c r="E29" s="20">
        <f>E28-E6-N(E7)</f>
        <v/>
      </c>
      <c r="F29" s="20">
        <f>F28-F6-N(F7)</f>
        <v/>
      </c>
      <c r="G29" s="20">
        <f>G28-G6-N(G7)</f>
        <v/>
      </c>
      <c r="H29" s="19">
        <f>H28-H6-N(H7)</f>
        <v/>
      </c>
      <c r="I29" s="20">
        <f>I28-I6-N(I7)</f>
        <v/>
      </c>
      <c r="J29" s="20">
        <f>J28-J6-N(J7)</f>
        <v/>
      </c>
      <c r="K29" s="20">
        <f>K28-K6-N(K7)</f>
        <v/>
      </c>
      <c r="L29" s="20">
        <f>L28-L6-N(L7)</f>
        <v/>
      </c>
    </row>
    <row r="30">
      <c r="A30" s="16" t="inlineStr">
        <is>
          <t>자본</t>
        </is>
      </c>
      <c r="B30" s="16" t="n"/>
      <c r="C30" s="17" t="n"/>
      <c r="D30" s="16" t="n"/>
      <c r="E30" s="16" t="n"/>
      <c r="F30" s="16" t="n"/>
      <c r="G30" s="16" t="n"/>
      <c r="H30" s="17" t="n"/>
      <c r="I30" s="16" t="n"/>
      <c r="J30" s="16" t="n"/>
      <c r="K30" s="16" t="n"/>
      <c r="L30" s="16" t="n"/>
    </row>
    <row r="31">
      <c r="A31" s="9" t="inlineStr">
        <is>
          <t>지배주주지분</t>
        </is>
      </c>
      <c r="B31" s="10" t="n"/>
      <c r="C31" s="11" t="n">
        <v>446721</v>
      </c>
      <c r="D31" s="12" t="n">
        <v>462601</v>
      </c>
      <c r="E31" s="12" t="n">
        <v>486023</v>
      </c>
      <c r="F31" s="12" t="n">
        <v>485256</v>
      </c>
      <c r="G31" s="12" t="n">
        <v>492033</v>
      </c>
      <c r="H31" s="11" t="n">
        <v>386162</v>
      </c>
      <c r="I31" s="12" t="n">
        <v>400741</v>
      </c>
      <c r="J31" s="12" t="n">
        <v>449597</v>
      </c>
      <c r="K31" s="12" t="n">
        <v>447420</v>
      </c>
      <c r="L31" s="12" t="n">
        <v>485256</v>
      </c>
    </row>
    <row r="32">
      <c r="A32" s="18" t="inlineStr">
        <is>
          <t>자본금</t>
        </is>
      </c>
      <c r="B32" s="10" t="n"/>
      <c r="C32" s="19" t="n">
        <v>8400</v>
      </c>
      <c r="D32" s="20" t="n">
        <v>8400</v>
      </c>
      <c r="E32" s="20" t="n">
        <v>8400</v>
      </c>
      <c r="F32" s="20" t="n">
        <v>8400</v>
      </c>
      <c r="G32" s="20" t="n">
        <v>8400</v>
      </c>
      <c r="H32" s="19" t="n">
        <v>8400</v>
      </c>
      <c r="I32" s="20" t="n">
        <v>8400</v>
      </c>
      <c r="J32" s="20" t="n">
        <v>8400</v>
      </c>
      <c r="K32" s="20" t="n">
        <v>8400</v>
      </c>
      <c r="L32" s="20" t="n">
        <v>8400</v>
      </c>
    </row>
    <row r="33">
      <c r="A33" s="18" t="inlineStr">
        <is>
          <t>이익잉여금</t>
        </is>
      </c>
      <c r="B33" s="10" t="n"/>
      <c r="C33" s="19" t="n">
        <v>400710</v>
      </c>
      <c r="D33" s="20" t="n">
        <v>406788</v>
      </c>
      <c r="E33" s="20" t="n">
        <v>410152</v>
      </c>
      <c r="F33" s="20" t="n">
        <v>407113</v>
      </c>
      <c r="G33" s="20" t="n">
        <v>408138</v>
      </c>
      <c r="H33" s="19" t="n">
        <v>345680</v>
      </c>
      <c r="I33" s="20" t="n">
        <v>349426</v>
      </c>
      <c r="J33" s="20" t="n">
        <v>394213</v>
      </c>
      <c r="K33" s="20" t="n">
        <v>397533</v>
      </c>
      <c r="L33" s="20" t="n">
        <v>407113</v>
      </c>
    </row>
    <row r="34">
      <c r="A34" s="18" t="inlineStr">
        <is>
          <t>비지배지분</t>
        </is>
      </c>
      <c r="B34" s="10" t="n"/>
      <c r="C34" s="19" t="n">
        <v>41919</v>
      </c>
      <c r="D34" s="20" t="n">
        <v>40855</v>
      </c>
      <c r="E34" s="20" t="n">
        <v>44369</v>
      </c>
      <c r="F34" s="20" t="n">
        <v>43811</v>
      </c>
      <c r="G34" s="20" t="n">
        <v>37767</v>
      </c>
      <c r="H34" s="19" t="n">
        <v>37672</v>
      </c>
      <c r="I34" s="20" t="n">
        <v>36153</v>
      </c>
      <c r="J34" s="20" t="n">
        <v>44045</v>
      </c>
      <c r="K34" s="20" t="n">
        <v>42647</v>
      </c>
      <c r="L34" s="20" t="n">
        <v>43811</v>
      </c>
    </row>
    <row r="35">
      <c r="A35" s="9" t="inlineStr">
        <is>
          <t>자본총계</t>
        </is>
      </c>
      <c r="B35" s="10" t="n"/>
      <c r="C35" s="11" t="n">
        <v>488640</v>
      </c>
      <c r="D35" s="12" t="n">
        <v>503456</v>
      </c>
      <c r="E35" s="12" t="n">
        <v>530393</v>
      </c>
      <c r="F35" s="12" t="n">
        <v>529068</v>
      </c>
      <c r="G35" s="12" t="n">
        <v>529801</v>
      </c>
      <c r="H35" s="11" t="n">
        <v>423835</v>
      </c>
      <c r="I35" s="12" t="n">
        <v>436894</v>
      </c>
      <c r="J35" s="12" t="n">
        <v>493642</v>
      </c>
      <c r="K35" s="12" t="n">
        <v>490067</v>
      </c>
      <c r="L35" s="12" t="n">
        <v>529068</v>
      </c>
    </row>
    <row r="36">
      <c r="A36" s="16" t="inlineStr">
        <is>
          <t>현금흐름 요약</t>
        </is>
      </c>
      <c r="B36" s="16" t="inlineStr">
        <is>
          <t>분기 = TTM (있을 때만)</t>
        </is>
      </c>
      <c r="C36" s="17" t="n"/>
      <c r="D36" s="16" t="n"/>
      <c r="E36" s="16" t="n"/>
      <c r="F36" s="16" t="n"/>
      <c r="G36" s="16" t="n"/>
      <c r="H36" s="17" t="n"/>
      <c r="I36" s="16" t="n"/>
      <c r="J36" s="16" t="n"/>
      <c r="K36" s="16" t="n"/>
      <c r="L36" s="16" t="n"/>
    </row>
    <row r="37">
      <c r="A37" s="9" t="inlineStr">
        <is>
          <t>영업활동현금흐름</t>
        </is>
      </c>
      <c r="B37" s="10" t="n"/>
      <c r="C37" s="11" t="n">
        <v>122946</v>
      </c>
      <c r="D37" s="12" t="n">
        <v>123154</v>
      </c>
      <c r="E37" s="12" t="n">
        <v>158498</v>
      </c>
      <c r="F37" s="12" t="n">
        <v>142965</v>
      </c>
      <c r="G37" s="12" t="n">
        <v>151027</v>
      </c>
      <c r="H37" s="11" t="n">
        <v>122933</v>
      </c>
      <c r="I37" s="12" t="n">
        <v>89428</v>
      </c>
      <c r="J37" s="12" t="n">
        <v>174898</v>
      </c>
      <c r="K37" s="12" t="n">
        <v>121834</v>
      </c>
      <c r="L37" s="12" t="n">
        <v>142965</v>
      </c>
    </row>
    <row r="38">
      <c r="A38" s="18" t="inlineStr">
        <is>
          <t>CAPEX (유·무형 취득)</t>
        </is>
      </c>
      <c r="B38" s="10" t="inlineStr">
        <is>
          <t>양수로 입력</t>
        </is>
      </c>
      <c r="C38" s="19" t="n">
        <v>68700</v>
      </c>
      <c r="D38" s="20" t="n">
        <v>64206</v>
      </c>
      <c r="E38" s="20" t="n">
        <v>65722</v>
      </c>
      <c r="F38" s="20" t="n">
        <v>69113</v>
      </c>
      <c r="G38" s="20" t="n">
        <v>68827</v>
      </c>
      <c r="H38" s="19" t="n">
        <v>37783</v>
      </c>
      <c r="I38" s="20" t="n">
        <v>50465</v>
      </c>
      <c r="J38" s="20" t="n">
        <v>70983</v>
      </c>
      <c r="K38" s="20" t="n">
        <v>77637</v>
      </c>
      <c r="L38" s="20" t="n">
        <v>69113</v>
      </c>
    </row>
    <row r="39">
      <c r="A39" s="9" t="inlineStr">
        <is>
          <t>FCF</t>
        </is>
      </c>
      <c r="B39" s="10" t="n"/>
      <c r="C39" s="11">
        <f>IF(OR(C37="",C38=""),"",IFERROR(C37-C38,""))</f>
        <v/>
      </c>
      <c r="D39" s="12">
        <f>IF(OR(D37="",D38=""),"",IFERROR(D37-D38,""))</f>
        <v/>
      </c>
      <c r="E39" s="12">
        <f>IF(OR(E37="",E38=""),"",IFERROR(E37-E38,""))</f>
        <v/>
      </c>
      <c r="F39" s="12">
        <f>IF(OR(F37="",F38=""),"",IFERROR(F37-F38,""))</f>
        <v/>
      </c>
      <c r="G39" s="12">
        <f>IF(OR(G37="",G38=""),"",IFERROR(G37-G38,""))</f>
        <v/>
      </c>
      <c r="H39" s="11">
        <f>IF(OR(H37="",H38=""),"",IFERROR(H37-H38,""))</f>
        <v/>
      </c>
      <c r="I39" s="12">
        <f>IF(OR(I37="",I38=""),"",IFERROR(I37-I38,""))</f>
        <v/>
      </c>
      <c r="J39" s="12">
        <f>IF(OR(J37="",J38=""),"",IFERROR(J37-J38,""))</f>
        <v/>
      </c>
      <c r="K39" s="12">
        <f>IF(OR(K37="",K38=""),"",IFERROR(K37-K38,""))</f>
        <v/>
      </c>
      <c r="L39" s="12">
        <f>IF(OR(L37="",L38=""),"",IFERROR(L37-L38,""))</f>
        <v/>
      </c>
    </row>
    <row r="40">
      <c r="A40" s="18" t="inlineStr">
        <is>
          <t>배당금 지급</t>
        </is>
      </c>
      <c r="B40" s="10" t="inlineStr">
        <is>
          <t>양수로 입력</t>
        </is>
      </c>
      <c r="C40" s="19" t="n">
        <v>15357</v>
      </c>
      <c r="D40" s="20" t="n">
        <v>15357</v>
      </c>
      <c r="E40" s="20" t="n">
        <v>15363</v>
      </c>
      <c r="F40" s="20" t="n">
        <v>15363</v>
      </c>
      <c r="G40" s="20" t="n">
        <v>15364</v>
      </c>
      <c r="H40" s="19" t="n">
        <v>12516</v>
      </c>
      <c r="I40" s="20" t="n">
        <v>12517</v>
      </c>
      <c r="J40" s="20" t="n">
        <v>14577</v>
      </c>
      <c r="K40" s="20" t="n">
        <v>15352</v>
      </c>
      <c r="L40" s="20" t="n">
        <v>15363</v>
      </c>
    </row>
    <row r="41">
      <c r="A41" s="16" t="inlineStr">
        <is>
          <t>주요 재무 비율</t>
        </is>
      </c>
      <c r="B41" s="16" t="inlineStr">
        <is>
          <t>기준 (빨간 글씨 = 미달)</t>
        </is>
      </c>
      <c r="C41" s="17" t="n"/>
      <c r="D41" s="16" t="n"/>
      <c r="E41" s="16" t="n"/>
      <c r="F41" s="16" t="n"/>
      <c r="G41" s="16" t="n"/>
      <c r="H41" s="17" t="n"/>
      <c r="I41" s="16" t="n"/>
      <c r="J41" s="16" t="n"/>
      <c r="K41" s="16" t="n"/>
      <c r="L41" s="16" t="n"/>
    </row>
    <row r="42">
      <c r="A42" s="23" t="inlineStr">
        <is>
          <t>안정성</t>
        </is>
      </c>
      <c r="B42" s="23" t="n"/>
      <c r="C42" s="24" t="n"/>
      <c r="D42" s="23" t="n"/>
      <c r="E42" s="23" t="n"/>
      <c r="F42" s="23" t="n"/>
      <c r="G42" s="23" t="n"/>
      <c r="H42" s="24" t="n"/>
      <c r="I42" s="23" t="n"/>
      <c r="J42" s="23" t="n"/>
      <c r="K42" s="23" t="n"/>
      <c r="L42" s="23" t="n"/>
    </row>
    <row r="43">
      <c r="A43" s="45" t="inlineStr">
        <is>
          <t>부채비율</t>
        </is>
      </c>
      <c r="B43" s="10" t="inlineStr">
        <is>
          <t>100%↓</t>
        </is>
      </c>
      <c r="C43" s="35">
        <f>IF(OR(C27="",C35=""),"",IFERROR(C27/C35,""))</f>
        <v/>
      </c>
      <c r="D43" s="36">
        <f>IF(OR(D27="",D35=""),"",IFERROR(D27/D35,""))</f>
        <v/>
      </c>
      <c r="E43" s="36">
        <f>IF(OR(E27="",E35=""),"",IFERROR(E27/E35,""))</f>
        <v/>
      </c>
      <c r="F43" s="36">
        <f>IF(OR(F27="",F35=""),"",IFERROR(F27/F35,""))</f>
        <v/>
      </c>
      <c r="G43" s="36">
        <f>IF(OR(G27="",G35=""),"",IFERROR(G27/G35,""))</f>
        <v/>
      </c>
      <c r="H43" s="35">
        <f>IF(OR(H27="",H35=""),"",IFERROR(H27/H35,""))</f>
        <v/>
      </c>
      <c r="I43" s="36">
        <f>IF(OR(I27="",I35=""),"",IFERROR(I27/I35,""))</f>
        <v/>
      </c>
      <c r="J43" s="36">
        <f>IF(OR(J27="",J35=""),"",IFERROR(J27/J35,""))</f>
        <v/>
      </c>
      <c r="K43" s="36">
        <f>IF(OR(K27="",K35=""),"",IFERROR(K27/K35,""))</f>
        <v/>
      </c>
      <c r="L43" s="36">
        <f>IF(OR(L27="",L35=""),"",IFERROR(L27/L35,""))</f>
        <v/>
      </c>
    </row>
    <row r="44">
      <c r="A44" s="45" t="inlineStr">
        <is>
          <t>순차입금비율</t>
        </is>
      </c>
      <c r="B44" s="10" t="inlineStr">
        <is>
          <t>0%↓ 순현금</t>
        </is>
      </c>
      <c r="C44" s="35">
        <f>IF(OR(C29="",C35=""),"",IFERROR(C29/C35,""))</f>
        <v/>
      </c>
      <c r="D44" s="36">
        <f>IF(OR(D29="",D35=""),"",IFERROR(D29/D35,""))</f>
        <v/>
      </c>
      <c r="E44" s="36">
        <f>IF(OR(E29="",E35=""),"",IFERROR(E29/E35,""))</f>
        <v/>
      </c>
      <c r="F44" s="36">
        <f>IF(OR(F29="",F35=""),"",IFERROR(F29/F35,""))</f>
        <v/>
      </c>
      <c r="G44" s="36">
        <f>IF(OR(G29="",G35=""),"",IFERROR(G29/G35,""))</f>
        <v/>
      </c>
      <c r="H44" s="35">
        <f>IF(OR(H29="",H35=""),"",IFERROR(H29/H35,""))</f>
        <v/>
      </c>
      <c r="I44" s="36">
        <f>IF(OR(I29="",I35=""),"",IFERROR(I29/I35,""))</f>
        <v/>
      </c>
      <c r="J44" s="36">
        <f>IF(OR(J29="",J35=""),"",IFERROR(J29/J35,""))</f>
        <v/>
      </c>
      <c r="K44" s="36">
        <f>IF(OR(K29="",K35=""),"",IFERROR(K29/K35,""))</f>
        <v/>
      </c>
      <c r="L44" s="36">
        <f>IF(OR(L29="",L35=""),"",IFERROR(L29/L35,""))</f>
        <v/>
      </c>
    </row>
    <row r="45">
      <c r="A45" s="45" t="inlineStr">
        <is>
          <t>자기자본비율</t>
        </is>
      </c>
      <c r="B45" s="10" t="inlineStr">
        <is>
          <t>50%↑</t>
        </is>
      </c>
      <c r="C45" s="35">
        <f>IF(OR(C35="",C16=""),"",IFERROR(C35/C16,""))</f>
        <v/>
      </c>
      <c r="D45" s="36">
        <f>IF(OR(D35="",D16=""),"",IFERROR(D35/D16,""))</f>
        <v/>
      </c>
      <c r="E45" s="36">
        <f>IF(OR(E35="",E16=""),"",IFERROR(E35/E16,""))</f>
        <v/>
      </c>
      <c r="F45" s="36">
        <f>IF(OR(F35="",F16=""),"",IFERROR(F35/F16,""))</f>
        <v/>
      </c>
      <c r="G45" s="36">
        <f>IF(OR(G35="",G16=""),"",IFERROR(G35/G16,""))</f>
        <v/>
      </c>
      <c r="H45" s="35">
        <f>IF(OR(H35="",H16=""),"",IFERROR(H35/H16,""))</f>
        <v/>
      </c>
      <c r="I45" s="36">
        <f>IF(OR(I35="",I16=""),"",IFERROR(I35/I16,""))</f>
        <v/>
      </c>
      <c r="J45" s="36">
        <f>IF(OR(J35="",J16=""),"",IFERROR(J35/J16,""))</f>
        <v/>
      </c>
      <c r="K45" s="36">
        <f>IF(OR(K35="",K16=""),"",IFERROR(K35/K16,""))</f>
        <v/>
      </c>
      <c r="L45" s="36">
        <f>IF(OR(L35="",L16=""),"",IFERROR(L35/L16,""))</f>
        <v/>
      </c>
    </row>
    <row r="46">
      <c r="A46" s="45" t="inlineStr">
        <is>
          <t>유동비율</t>
        </is>
      </c>
      <c r="B46" s="10" t="inlineStr">
        <is>
          <t>150%↑</t>
        </is>
      </c>
      <c r="C46" s="35">
        <f>IF(OR(C5="",C18=""),"",IFERROR(C5/C18,""))</f>
        <v/>
      </c>
      <c r="D46" s="36">
        <f>IF(OR(D5="",D18=""),"",IFERROR(D5/D18,""))</f>
        <v/>
      </c>
      <c r="E46" s="36">
        <f>IF(OR(E5="",E18=""),"",IFERROR(E5/E18,""))</f>
        <v/>
      </c>
      <c r="F46" s="36">
        <f>IF(OR(F5="",F18=""),"",IFERROR(F5/F18,""))</f>
        <v/>
      </c>
      <c r="G46" s="36">
        <f>IF(OR(G5="",G18=""),"",IFERROR(G5/G18,""))</f>
        <v/>
      </c>
      <c r="H46" s="35">
        <f>IF(OR(H5="",H18=""),"",IFERROR(H5/H18,""))</f>
        <v/>
      </c>
      <c r="I46" s="36">
        <f>IF(OR(I5="",I18=""),"",IFERROR(I5/I18,""))</f>
        <v/>
      </c>
      <c r="J46" s="36">
        <f>IF(OR(J5="",J18=""),"",IFERROR(J5/J18,""))</f>
        <v/>
      </c>
      <c r="K46" s="36">
        <f>IF(OR(K5="",K18=""),"",IFERROR(K5/K18,""))</f>
        <v/>
      </c>
      <c r="L46" s="36">
        <f>IF(OR(L5="",L18=""),"",IFERROR(L5/L18,""))</f>
        <v/>
      </c>
    </row>
    <row r="47">
      <c r="A47" s="45" t="inlineStr">
        <is>
          <t>당좌비율</t>
        </is>
      </c>
      <c r="B47" s="10" t="inlineStr">
        <is>
          <t>100%↑</t>
        </is>
      </c>
      <c r="C47" s="35">
        <f>IF(OR(C5="",C18=""),"",IFERROR((C5-N(C9))/C18,""))</f>
        <v/>
      </c>
      <c r="D47" s="36">
        <f>IF(OR(D5="",D18=""),"",IFERROR((D5-N(D9))/D18,""))</f>
        <v/>
      </c>
      <c r="E47" s="36">
        <f>IF(OR(E5="",E18=""),"",IFERROR((E5-N(E9))/E18,""))</f>
        <v/>
      </c>
      <c r="F47" s="36">
        <f>IF(OR(F5="",F18=""),"",IFERROR((F5-N(F9))/F18,""))</f>
        <v/>
      </c>
      <c r="G47" s="36">
        <f>IF(OR(G5="",G18=""),"",IFERROR((G5-N(G9))/G18,""))</f>
        <v/>
      </c>
      <c r="H47" s="35">
        <f>IF(OR(H5="",H18=""),"",IFERROR((H5-N(H9))/H18,""))</f>
        <v/>
      </c>
      <c r="I47" s="36">
        <f>IF(OR(I5="",I18=""),"",IFERROR((I5-N(I9))/I18,""))</f>
        <v/>
      </c>
      <c r="J47" s="36">
        <f>IF(OR(J5="",J18=""),"",IFERROR((J5-N(J9))/J18,""))</f>
        <v/>
      </c>
      <c r="K47" s="36">
        <f>IF(OR(K5="",K18=""),"",IFERROR((K5-N(K9))/K18,""))</f>
        <v/>
      </c>
      <c r="L47" s="36">
        <f>IF(OR(L5="",L18=""),"",IFERROR((L5-N(L9))/L18,""))</f>
        <v/>
      </c>
    </row>
    <row r="48">
      <c r="A48" s="45" t="inlineStr">
        <is>
          <t>이자보상배율</t>
        </is>
      </c>
      <c r="B48" s="10" t="inlineStr">
        <is>
          <t>5x↑ (금융원가 기준)</t>
        </is>
      </c>
      <c r="C48" s="30">
        <f>IFERROR((IF(COUNT('연간'!G34:J34)&lt;4,"",SUM('연간'!G34:J34)))/(IF(COUNT('연간'!G56:J56)&lt;4,"",SUM('연간'!G56:J56))),"")</f>
        <v/>
      </c>
      <c r="D48" s="31">
        <f>IFERROR((IF(COUNT('연간'!H34:K34)&lt;4,"",SUM('연간'!H34:K34)))/(IF(COUNT('연간'!H56:K56)&lt;4,"",SUM('연간'!H56:K56))),"")</f>
        <v/>
      </c>
      <c r="E48" s="31">
        <f>IFERROR((IF(COUNT('연간'!I34:L34)&lt;4,"",SUM('연간'!I34:L34)))/(IF(COUNT('연간'!I56:L56)&lt;4,"",SUM('연간'!I56:L56))),"")</f>
        <v/>
      </c>
      <c r="F48" s="31">
        <f>IFERROR((IF(COUNT('연간'!J34:M34)&lt;4,"",SUM('연간'!J34:M34)))/(IF(COUNT('연간'!J56:M56)&lt;4,"",SUM('연간'!J56:M56))),"")</f>
        <v/>
      </c>
      <c r="G48" s="31">
        <f>IFERROR((IF(COUNT('연간'!K34:N34)&lt;4,"",SUM('연간'!K34:N34)))/(IF(COUNT('연간'!K56:N56)&lt;4,"",SUM('연간'!K56:N56))),"")</f>
        <v/>
      </c>
      <c r="H48" s="30">
        <f>IFERROR(('연간'!T34)/('연간'!T56),"")</f>
        <v/>
      </c>
      <c r="I48" s="31">
        <f>IFERROR(('연간'!U34)/('연간'!U56),"")</f>
        <v/>
      </c>
      <c r="J48" s="31">
        <f>IFERROR(('연간'!V34)/('연간'!V56),"")</f>
        <v/>
      </c>
      <c r="K48" s="31">
        <f>IFERROR(('연간'!W34)/('연간'!W56),"")</f>
        <v/>
      </c>
      <c r="L48" s="31">
        <f>IFERROR(('연간'!X34)/('연간'!X56),"")</f>
        <v/>
      </c>
    </row>
    <row r="49">
      <c r="A49" s="45" t="inlineStr">
        <is>
          <t>차입금 상환연수</t>
        </is>
      </c>
      <c r="B49" s="10" t="inlineStr">
        <is>
          <t>4년↓ (버핏)</t>
        </is>
      </c>
      <c r="C49" s="46">
        <f>IFERROR(IF((IF(COUNT('연간'!G64:J64)&lt;4,"",SUM('연간'!G64:J64)))&lt;=0,"적자",C28/(IF(COUNT('연간'!G64:J64)&lt;4,"",SUM('연간'!G64:J64)))),"")</f>
        <v/>
      </c>
      <c r="D49" s="47">
        <f>IFERROR(IF((IF(COUNT('연간'!H64:K64)&lt;4,"",SUM('연간'!H64:K64)))&lt;=0,"적자",D28/(IF(COUNT('연간'!H64:K64)&lt;4,"",SUM('연간'!H64:K64)))),"")</f>
        <v/>
      </c>
      <c r="E49" s="47">
        <f>IFERROR(IF((IF(COUNT('연간'!I64:L64)&lt;4,"",SUM('연간'!I64:L64)))&lt;=0,"적자",E28/(IF(COUNT('연간'!I64:L64)&lt;4,"",SUM('연간'!I64:L64)))),"")</f>
        <v/>
      </c>
      <c r="F49" s="47">
        <f>IFERROR(IF((IF(COUNT('연간'!J64:M64)&lt;4,"",SUM('연간'!J64:M64)))&lt;=0,"적자",F28/(IF(COUNT('연간'!J64:M64)&lt;4,"",SUM('연간'!J64:M64)))),"")</f>
        <v/>
      </c>
      <c r="G49" s="47">
        <f>IFERROR(IF((IF(COUNT('연간'!K64:N64)&lt;4,"",SUM('연간'!K64:N64)))&lt;=0,"적자",G28/(IF(COUNT('연간'!K64:N64)&lt;4,"",SUM('연간'!K64:N64)))),"")</f>
        <v/>
      </c>
      <c r="H49" s="46">
        <f>IFERROR(IF(('연간'!T64)&lt;=0,"적자",H28/('연간'!T64)),"")</f>
        <v/>
      </c>
      <c r="I49" s="47">
        <f>IFERROR(IF(('연간'!U64)&lt;=0,"적자",I28/('연간'!U64)),"")</f>
        <v/>
      </c>
      <c r="J49" s="47">
        <f>IFERROR(IF(('연간'!V64)&lt;=0,"적자",J28/('연간'!V64)),"")</f>
        <v/>
      </c>
      <c r="K49" s="47">
        <f>IFERROR(IF(('연간'!W64)&lt;=0,"적자",K28/('연간'!W64)),"")</f>
        <v/>
      </c>
      <c r="L49" s="47">
        <f>IFERROR(IF(('연간'!X64)&lt;=0,"적자",L28/('연간'!X64)),"")</f>
        <v/>
      </c>
    </row>
    <row r="50">
      <c r="A50" s="23" t="inlineStr">
        <is>
          <t>수익성</t>
        </is>
      </c>
      <c r="B50" s="23" t="n"/>
      <c r="C50" s="24" t="n"/>
      <c r="D50" s="23" t="n"/>
      <c r="E50" s="23" t="n"/>
      <c r="F50" s="23" t="n"/>
      <c r="G50" s="23" t="n"/>
      <c r="H50" s="24" t="n"/>
      <c r="I50" s="23" t="n"/>
      <c r="J50" s="23" t="n"/>
      <c r="K50" s="23" t="n"/>
      <c r="L50" s="23" t="n"/>
    </row>
    <row r="51">
      <c r="A51" s="45" t="inlineStr">
        <is>
          <t>ROE</t>
        </is>
      </c>
      <c r="B51" s="10" t="inlineStr">
        <is>
          <t>15%↑ (버핏)</t>
        </is>
      </c>
      <c r="C51" s="35">
        <f>IFERROR((IF(COUNT('연간'!G64:J64)&lt;4,"",SUM('연간'!G64:J64)))/C31,"")</f>
        <v/>
      </c>
      <c r="D51" s="36">
        <f>IFERROR((IF(COUNT('연간'!H64:K64)&lt;4,"",SUM('연간'!H64:K64)))/D31,"")</f>
        <v/>
      </c>
      <c r="E51" s="36">
        <f>IFERROR((IF(COUNT('연간'!I64:L64)&lt;4,"",SUM('연간'!I64:L64)))/E31,"")</f>
        <v/>
      </c>
      <c r="F51" s="36">
        <f>IFERROR((IF(COUNT('연간'!J64:M64)&lt;4,"",SUM('연간'!J64:M64)))/F31,"")</f>
        <v/>
      </c>
      <c r="G51" s="36">
        <f>IFERROR((IF(COUNT('연간'!K64:N64)&lt;4,"",SUM('연간'!K64:N64)))/G31,"")</f>
        <v/>
      </c>
      <c r="H51" s="35">
        <f>IFERROR(('연간'!T64)/H31,"")</f>
        <v/>
      </c>
      <c r="I51" s="36">
        <f>IFERROR(('연간'!U64)/I31,"")</f>
        <v/>
      </c>
      <c r="J51" s="36">
        <f>IFERROR(('연간'!V64)/J31,"")</f>
        <v/>
      </c>
      <c r="K51" s="36">
        <f>IFERROR(('연간'!W64)/K31,"")</f>
        <v/>
      </c>
      <c r="L51" s="36">
        <f>IFERROR(('연간'!X64)/L31,"")</f>
        <v/>
      </c>
    </row>
    <row r="52">
      <c r="A52" s="45" t="inlineStr">
        <is>
          <t>ROA</t>
        </is>
      </c>
      <c r="B52" s="10" t="inlineStr">
        <is>
          <t>5%↑</t>
        </is>
      </c>
      <c r="C52" s="35">
        <f>IFERROR((IF(COUNT('연간'!G62:J62)&lt;4,"",SUM('연간'!G62:J62)))/C16,"")</f>
        <v/>
      </c>
      <c r="D52" s="36">
        <f>IFERROR((IF(COUNT('연간'!H62:K62)&lt;4,"",SUM('연간'!H62:K62)))/D16,"")</f>
        <v/>
      </c>
      <c r="E52" s="36">
        <f>IFERROR((IF(COUNT('연간'!I62:L62)&lt;4,"",SUM('연간'!I62:L62)))/E16,"")</f>
        <v/>
      </c>
      <c r="F52" s="36">
        <f>IFERROR((IF(COUNT('연간'!J62:M62)&lt;4,"",SUM('연간'!J62:M62)))/F16,"")</f>
        <v/>
      </c>
      <c r="G52" s="36">
        <f>IFERROR((IF(COUNT('연간'!K62:N62)&lt;4,"",SUM('연간'!K62:N62)))/G16,"")</f>
        <v/>
      </c>
      <c r="H52" s="35">
        <f>IFERROR(('연간'!T62)/H16,"")</f>
        <v/>
      </c>
      <c r="I52" s="36">
        <f>IFERROR(('연간'!U62)/I16,"")</f>
        <v/>
      </c>
      <c r="J52" s="36">
        <f>IFERROR(('연간'!V62)/J16,"")</f>
        <v/>
      </c>
      <c r="K52" s="36">
        <f>IFERROR(('연간'!W62)/K16,"")</f>
        <v/>
      </c>
      <c r="L52" s="36">
        <f>IFERROR(('연간'!X62)/L16,"")</f>
        <v/>
      </c>
    </row>
    <row r="53">
      <c r="A53" s="45" t="inlineStr">
        <is>
          <t>ROIC</t>
        </is>
      </c>
      <c r="B53" s="10" t="inlineStr">
        <is>
          <t>10%↑ (세후영업이익 기준)</t>
        </is>
      </c>
      <c r="C53" s="35">
        <f>IFERROR((IF(COUNT('연간'!G34:J34)&lt;4,"",SUM('연간'!G34:J34)))*(1-0.3)/(C35+C29),"")</f>
        <v/>
      </c>
      <c r="D53" s="36">
        <f>IFERROR((IF(COUNT('연간'!H34:K34)&lt;4,"",SUM('연간'!H34:K34)))*(1-0.3)/(D35+D29),"")</f>
        <v/>
      </c>
      <c r="E53" s="36">
        <f>IFERROR((IF(COUNT('연간'!I34:L34)&lt;4,"",SUM('연간'!I34:L34)))*(1-0.3)/(E35+E29),"")</f>
        <v/>
      </c>
      <c r="F53" s="36">
        <f>IFERROR((IF(COUNT('연간'!J34:M34)&lt;4,"",SUM('연간'!J34:M34)))*(1-0.3)/(F35+F29),"")</f>
        <v/>
      </c>
      <c r="G53" s="36">
        <f>IFERROR((IF(COUNT('연간'!K34:N34)&lt;4,"",SUM('연간'!K34:N34)))*(1-0.3)/(G35+G29),"")</f>
        <v/>
      </c>
      <c r="H53" s="35">
        <f>IFERROR(('연간'!T34)*(1-0.3)/(H35+H29),"")</f>
        <v/>
      </c>
      <c r="I53" s="36">
        <f>IFERROR(('연간'!U34)*(1-0.3)/(I35+I29),"")</f>
        <v/>
      </c>
      <c r="J53" s="36">
        <f>IFERROR(('연간'!V34)*(1-0.3)/(J35+J29),"")</f>
        <v/>
      </c>
      <c r="K53" s="36">
        <f>IFERROR(('연간'!W34)*(1-0.3)/(K35+K29),"")</f>
        <v/>
      </c>
      <c r="L53" s="36">
        <f>IFERROR(('연간'!X34)*(1-0.3)/(L35+L29),"")</f>
        <v/>
      </c>
    </row>
    <row r="54">
      <c r="A54" s="45" t="inlineStr">
        <is>
          <t>매출총이익률 (GPM)</t>
        </is>
      </c>
      <c r="B54" s="10" t="inlineStr">
        <is>
          <t>40%↑ (해자 신호)</t>
        </is>
      </c>
      <c r="C54" s="35">
        <f>IFERROR((IF(COUNT('연간'!G28:J28)&lt;4,"",SUM('연간'!G28:J28)))/(IF(COUNT('연간'!G4:J4)&lt;4,"",SUM('연간'!G4:J4))),"")</f>
        <v/>
      </c>
      <c r="D54" s="36">
        <f>IFERROR((IF(COUNT('연간'!H28:K28)&lt;4,"",SUM('연간'!H28:K28)))/(IF(COUNT('연간'!H4:K4)&lt;4,"",SUM('연간'!H4:K4))),"")</f>
        <v/>
      </c>
      <c r="E54" s="36">
        <f>IFERROR((IF(COUNT('연간'!I28:L28)&lt;4,"",SUM('연간'!I28:L28)))/(IF(COUNT('연간'!I4:L4)&lt;4,"",SUM('연간'!I4:L4))),"")</f>
        <v/>
      </c>
      <c r="F54" s="36">
        <f>IFERROR((IF(COUNT('연간'!J28:M28)&lt;4,"",SUM('연간'!J28:M28)))/(IF(COUNT('연간'!J4:M4)&lt;4,"",SUM('연간'!J4:M4))),"")</f>
        <v/>
      </c>
      <c r="G54" s="36">
        <f>IFERROR((IF(COUNT('연간'!K28:N28)&lt;4,"",SUM('연간'!K28:N28)))/(IF(COUNT('연간'!K4:N4)&lt;4,"",SUM('연간'!K4:N4))),"")</f>
        <v/>
      </c>
      <c r="H54" s="35">
        <f>IFERROR(('연간'!T28)/('연간'!T4),"")</f>
        <v/>
      </c>
      <c r="I54" s="36">
        <f>IFERROR(('연간'!U28)/('연간'!U4),"")</f>
        <v/>
      </c>
      <c r="J54" s="36">
        <f>IFERROR(('연간'!V28)/('연간'!V4),"")</f>
        <v/>
      </c>
      <c r="K54" s="36">
        <f>IFERROR(('연간'!W28)/('연간'!W4),"")</f>
        <v/>
      </c>
      <c r="L54" s="36">
        <f>IFERROR(('연간'!X28)/('연간'!X4),"")</f>
        <v/>
      </c>
    </row>
    <row r="55">
      <c r="A55" s="45" t="inlineStr">
        <is>
          <t>영업이익률 (OPM)</t>
        </is>
      </c>
      <c r="B55" s="10" t="inlineStr">
        <is>
          <t>15%↑</t>
        </is>
      </c>
      <c r="C55" s="35">
        <f>IFERROR((IF(COUNT('연간'!G34:J34)&lt;4,"",SUM('연간'!G34:J34)))/(IF(COUNT('연간'!G4:J4)&lt;4,"",SUM('연간'!G4:J4))),"")</f>
        <v/>
      </c>
      <c r="D55" s="36">
        <f>IFERROR((IF(COUNT('연간'!H34:K34)&lt;4,"",SUM('연간'!H34:K34)))/(IF(COUNT('연간'!H4:K4)&lt;4,"",SUM('연간'!H4:K4))),"")</f>
        <v/>
      </c>
      <c r="E55" s="36">
        <f>IFERROR((IF(COUNT('연간'!I34:L34)&lt;4,"",SUM('연간'!I34:L34)))/(IF(COUNT('연간'!I4:L4)&lt;4,"",SUM('연간'!I4:L4))),"")</f>
        <v/>
      </c>
      <c r="F55" s="36">
        <f>IFERROR((IF(COUNT('연간'!J34:M34)&lt;4,"",SUM('연간'!J34:M34)))/(IF(COUNT('연간'!J4:M4)&lt;4,"",SUM('연간'!J4:M4))),"")</f>
        <v/>
      </c>
      <c r="G55" s="36">
        <f>IFERROR((IF(COUNT('연간'!K34:N34)&lt;4,"",SUM('연간'!K34:N34)))/(IF(COUNT('연간'!K4:N4)&lt;4,"",SUM('연간'!K4:N4))),"")</f>
        <v/>
      </c>
      <c r="H55" s="35">
        <f>IFERROR(('연간'!T34)/('연간'!T4),"")</f>
        <v/>
      </c>
      <c r="I55" s="36">
        <f>IFERROR(('연간'!U34)/('연간'!U4),"")</f>
        <v/>
      </c>
      <c r="J55" s="36">
        <f>IFERROR(('연간'!V34)/('연간'!V4),"")</f>
        <v/>
      </c>
      <c r="K55" s="36">
        <f>IFERROR(('연간'!W34)/('연간'!W4),"")</f>
        <v/>
      </c>
      <c r="L55" s="36">
        <f>IFERROR(('연간'!X34)/('연간'!X4),"")</f>
        <v/>
      </c>
    </row>
    <row r="56">
      <c r="A56" s="45" t="inlineStr">
        <is>
          <t>순이익률</t>
        </is>
      </c>
      <c r="B56" s="10" t="inlineStr">
        <is>
          <t>10%↑</t>
        </is>
      </c>
      <c r="C56" s="35">
        <f>IFERROR((IF(COUNT('연간'!G62:J62)&lt;4,"",SUM('연간'!G62:J62)))/(IF(COUNT('연간'!G4:J4)&lt;4,"",SUM('연간'!G4:J4))),"")</f>
        <v/>
      </c>
      <c r="D56" s="36">
        <f>IFERROR((IF(COUNT('연간'!H62:K62)&lt;4,"",SUM('연간'!H62:K62)))/(IF(COUNT('연간'!H4:K4)&lt;4,"",SUM('연간'!H4:K4))),"")</f>
        <v/>
      </c>
      <c r="E56" s="36">
        <f>IFERROR((IF(COUNT('연간'!I62:L62)&lt;4,"",SUM('연간'!I62:L62)))/(IF(COUNT('연간'!I4:L4)&lt;4,"",SUM('연간'!I4:L4))),"")</f>
        <v/>
      </c>
      <c r="F56" s="36">
        <f>IFERROR((IF(COUNT('연간'!J62:M62)&lt;4,"",SUM('연간'!J62:M62)))/(IF(COUNT('연간'!J4:M4)&lt;4,"",SUM('연간'!J4:M4))),"")</f>
        <v/>
      </c>
      <c r="G56" s="36">
        <f>IFERROR((IF(COUNT('연간'!K62:N62)&lt;4,"",SUM('연간'!K62:N62)))/(IF(COUNT('연간'!K4:N4)&lt;4,"",SUM('연간'!K4:N4))),"")</f>
        <v/>
      </c>
      <c r="H56" s="35">
        <f>IFERROR(('연간'!T62)/('연간'!T4),"")</f>
        <v/>
      </c>
      <c r="I56" s="36">
        <f>IFERROR(('연간'!U62)/('연간'!U4),"")</f>
        <v/>
      </c>
      <c r="J56" s="36">
        <f>IFERROR(('연간'!V62)/('연간'!V4),"")</f>
        <v/>
      </c>
      <c r="K56" s="36">
        <f>IFERROR(('연간'!W62)/('연간'!W4),"")</f>
        <v/>
      </c>
      <c r="L56" s="36">
        <f>IFERROR(('연간'!X62)/('연간'!X4),"")</f>
        <v/>
      </c>
    </row>
    <row r="57">
      <c r="A57" s="23" t="inlineStr">
        <is>
          <t>효율성 (회전율)</t>
        </is>
      </c>
      <c r="B57" s="23" t="n"/>
      <c r="C57" s="24" t="n"/>
      <c r="D57" s="23" t="n"/>
      <c r="E57" s="23" t="n"/>
      <c r="F57" s="23" t="n"/>
      <c r="G57" s="23" t="n"/>
      <c r="H57" s="24" t="n"/>
      <c r="I57" s="23" t="n"/>
      <c r="J57" s="23" t="n"/>
      <c r="K57" s="23" t="n"/>
      <c r="L57" s="23" t="n"/>
    </row>
    <row r="58">
      <c r="A58" s="45" t="inlineStr">
        <is>
          <t>총자산회전율</t>
        </is>
      </c>
      <c r="B58" s="10" t="inlineStr">
        <is>
          <t>높을수록↑</t>
        </is>
      </c>
      <c r="C58" s="30">
        <f>IFERROR((IF(COUNT('연간'!G4:J4)&lt;4,"",SUM('연간'!G4:J4)))/C16,"")</f>
        <v/>
      </c>
      <c r="D58" s="31">
        <f>IFERROR((IF(COUNT('연간'!H4:K4)&lt;4,"",SUM('연간'!H4:K4)))/D16,"")</f>
        <v/>
      </c>
      <c r="E58" s="31">
        <f>IFERROR((IF(COUNT('연간'!I4:L4)&lt;4,"",SUM('연간'!I4:L4)))/E16,"")</f>
        <v/>
      </c>
      <c r="F58" s="31">
        <f>IFERROR((IF(COUNT('연간'!J4:M4)&lt;4,"",SUM('연간'!J4:M4)))/F16,"")</f>
        <v/>
      </c>
      <c r="G58" s="31">
        <f>IFERROR((IF(COUNT('연간'!K4:N4)&lt;4,"",SUM('연간'!K4:N4)))/G16,"")</f>
        <v/>
      </c>
      <c r="H58" s="30">
        <f>IFERROR(('연간'!T4)/H16,"")</f>
        <v/>
      </c>
      <c r="I58" s="31">
        <f>IFERROR(('연간'!U4)/I16,"")</f>
        <v/>
      </c>
      <c r="J58" s="31">
        <f>IFERROR(('연간'!V4)/J16,"")</f>
        <v/>
      </c>
      <c r="K58" s="31">
        <f>IFERROR(('연간'!W4)/K16,"")</f>
        <v/>
      </c>
      <c r="L58" s="31">
        <f>IFERROR(('연간'!X4)/L16,"")</f>
        <v/>
      </c>
    </row>
    <row r="59">
      <c r="A59" s="45" t="inlineStr">
        <is>
          <t>매출채권회전일수</t>
        </is>
      </c>
      <c r="B59" s="10" t="inlineStr">
        <is>
          <t>짧을수록↑</t>
        </is>
      </c>
      <c r="C59" s="48">
        <f>IFERROR(C8/(IF(COUNT('연간'!G4:J4)&lt;4,"",SUM('연간'!G4:J4)))*365,"")</f>
        <v/>
      </c>
      <c r="D59" s="49">
        <f>IFERROR(D8/(IF(COUNT('연간'!H4:K4)&lt;4,"",SUM('연간'!H4:K4)))*365,"")</f>
        <v/>
      </c>
      <c r="E59" s="49">
        <f>IFERROR(E8/(IF(COUNT('연간'!I4:L4)&lt;4,"",SUM('연간'!I4:L4)))*365,"")</f>
        <v/>
      </c>
      <c r="F59" s="49">
        <f>IFERROR(F8/(IF(COUNT('연간'!J4:M4)&lt;4,"",SUM('연간'!J4:M4)))*365,"")</f>
        <v/>
      </c>
      <c r="G59" s="49">
        <f>IFERROR(G8/(IF(COUNT('연간'!K4:N4)&lt;4,"",SUM('연간'!K4:N4)))*365,"")</f>
        <v/>
      </c>
      <c r="H59" s="48">
        <f>IFERROR(H8/('연간'!T4)*365,"")</f>
        <v/>
      </c>
      <c r="I59" s="49">
        <f>IFERROR(I8/('연간'!U4)*365,"")</f>
        <v/>
      </c>
      <c r="J59" s="49">
        <f>IFERROR(J8/('연간'!V4)*365,"")</f>
        <v/>
      </c>
      <c r="K59" s="49">
        <f>IFERROR(K8/('연간'!W4)*365,"")</f>
        <v/>
      </c>
      <c r="L59" s="49">
        <f>IFERROR(L8/('연간'!X4)*365,"")</f>
        <v/>
      </c>
    </row>
    <row r="60">
      <c r="A60" s="45" t="inlineStr">
        <is>
          <t>재고자산회전일수</t>
        </is>
      </c>
      <c r="B60" s="10" t="inlineStr">
        <is>
          <t>짧을수록↑</t>
        </is>
      </c>
      <c r="C60" s="48">
        <f>IFERROR(C9/(IF(COUNT('연간'!G26:J26)&lt;4,"",SUM('연간'!G26:J26)))*365,"")</f>
        <v/>
      </c>
      <c r="D60" s="49">
        <f>IFERROR(D9/(IF(COUNT('연간'!H26:K26)&lt;4,"",SUM('연간'!H26:K26)))*365,"")</f>
        <v/>
      </c>
      <c r="E60" s="49">
        <f>IFERROR(E9/(IF(COUNT('연간'!I26:L26)&lt;4,"",SUM('연간'!I26:L26)))*365,"")</f>
        <v/>
      </c>
      <c r="F60" s="49">
        <f>IFERROR(F9/(IF(COUNT('연간'!J26:M26)&lt;4,"",SUM('연간'!J26:M26)))*365,"")</f>
        <v/>
      </c>
      <c r="G60" s="49">
        <f>IFERROR(G9/(IF(COUNT('연간'!K26:N26)&lt;4,"",SUM('연간'!K26:N26)))*365,"")</f>
        <v/>
      </c>
      <c r="H60" s="48">
        <f>IFERROR(H9/('연간'!T26)*365,"")</f>
        <v/>
      </c>
      <c r="I60" s="49">
        <f>IFERROR(I9/('연간'!U26)*365,"")</f>
        <v/>
      </c>
      <c r="J60" s="49">
        <f>IFERROR(J9/('연간'!V26)*365,"")</f>
        <v/>
      </c>
      <c r="K60" s="49">
        <f>IFERROR(K9/('연간'!W26)*365,"")</f>
        <v/>
      </c>
      <c r="L60" s="49">
        <f>IFERROR(L9/('연간'!X26)*365,"")</f>
        <v/>
      </c>
    </row>
    <row r="61">
      <c r="A61" s="45" t="inlineStr">
        <is>
          <t>매입채무회전일수</t>
        </is>
      </c>
      <c r="B61" s="10" t="inlineStr">
        <is>
          <t>길수록 유리</t>
        </is>
      </c>
      <c r="C61" s="48">
        <f>IFERROR(C19/(IF(COUNT('연간'!G26:J26)&lt;4,"",SUM('연간'!G26:J26)))*365,"")</f>
        <v/>
      </c>
      <c r="D61" s="49">
        <f>IFERROR(D19/(IF(COUNT('연간'!H26:K26)&lt;4,"",SUM('연간'!H26:K26)))*365,"")</f>
        <v/>
      </c>
      <c r="E61" s="49">
        <f>IFERROR(E19/(IF(COUNT('연간'!I26:L26)&lt;4,"",SUM('연간'!I26:L26)))*365,"")</f>
        <v/>
      </c>
      <c r="F61" s="49">
        <f>IFERROR(F19/(IF(COUNT('연간'!J26:M26)&lt;4,"",SUM('연간'!J26:M26)))*365,"")</f>
        <v/>
      </c>
      <c r="G61" s="49">
        <f>IFERROR(G19/(IF(COUNT('연간'!K26:N26)&lt;4,"",SUM('연간'!K26:N26)))*365,"")</f>
        <v/>
      </c>
      <c r="H61" s="48">
        <f>IFERROR(H19/('연간'!T26)*365,"")</f>
        <v/>
      </c>
      <c r="I61" s="49">
        <f>IFERROR(I19/('연간'!U26)*365,"")</f>
        <v/>
      </c>
      <c r="J61" s="49">
        <f>IFERROR(J19/('연간'!V26)*365,"")</f>
        <v/>
      </c>
      <c r="K61" s="49">
        <f>IFERROR(K19/('연간'!W26)*365,"")</f>
        <v/>
      </c>
      <c r="L61" s="49">
        <f>IFERROR(L19/('연간'!X26)*365,"")</f>
        <v/>
      </c>
    </row>
    <row r="62">
      <c r="A62" s="45" t="inlineStr">
        <is>
          <t>현금전환주기 (CCC)</t>
        </is>
      </c>
      <c r="B62" s="10" t="inlineStr">
        <is>
          <t>짧을수록↑</t>
        </is>
      </c>
      <c r="C62" s="48">
        <f>IF(OR(C59="",C60="",C61=""),"",IFERROR(C59+C60-C61,""))</f>
        <v/>
      </c>
      <c r="D62" s="49">
        <f>IF(OR(D59="",D60="",D61=""),"",IFERROR(D59+D60-D61,""))</f>
        <v/>
      </c>
      <c r="E62" s="49">
        <f>IF(OR(E59="",E60="",E61=""),"",IFERROR(E59+E60-E61,""))</f>
        <v/>
      </c>
      <c r="F62" s="49">
        <f>IF(OR(F59="",F60="",F61=""),"",IFERROR(F59+F60-F61,""))</f>
        <v/>
      </c>
      <c r="G62" s="49">
        <f>IF(OR(G59="",G60="",G61=""),"",IFERROR(G59+G60-G61,""))</f>
        <v/>
      </c>
      <c r="H62" s="48">
        <f>IF(OR(H59="",H60="",H61=""),"",IFERROR(H59+H60-H61,""))</f>
        <v/>
      </c>
      <c r="I62" s="49">
        <f>IF(OR(I59="",I60="",I61=""),"",IFERROR(I59+I60-I61,""))</f>
        <v/>
      </c>
      <c r="J62" s="49">
        <f>IF(OR(J59="",J60="",J61=""),"",IFERROR(J59+J60-J61,""))</f>
        <v/>
      </c>
      <c r="K62" s="49">
        <f>IF(OR(K59="",K60="",K61=""),"",IFERROR(K59+K60-K61,""))</f>
        <v/>
      </c>
      <c r="L62" s="49">
        <f>IF(OR(L59="",L60="",L61=""),"",IFERROR(L59+L60-L61,""))</f>
        <v/>
      </c>
    </row>
    <row r="63">
      <c r="A63" s="23" t="inlineStr">
        <is>
          <t>현금흐름</t>
        </is>
      </c>
      <c r="B63" s="23" t="n"/>
      <c r="C63" s="24" t="n"/>
      <c r="D63" s="23" t="n"/>
      <c r="E63" s="23" t="n"/>
      <c r="F63" s="23" t="n"/>
      <c r="G63" s="23" t="n"/>
      <c r="H63" s="24" t="n"/>
      <c r="I63" s="23" t="n"/>
      <c r="J63" s="23" t="n"/>
      <c r="K63" s="23" t="n"/>
      <c r="L63" s="23" t="n"/>
    </row>
    <row r="64">
      <c r="A64" s="45" t="inlineStr">
        <is>
          <t>영업현금흐름 / 순이익</t>
        </is>
      </c>
      <c r="B64" s="10" t="inlineStr">
        <is>
          <t>1x↑ (이익의 질)</t>
        </is>
      </c>
      <c r="C64" s="30">
        <f>IF(C37="","",IFERROR(C37/(IF(COUNT('연간'!G62:J62)&lt;4,"",SUM('연간'!G62:J62))),""))</f>
        <v/>
      </c>
      <c r="D64" s="31">
        <f>IF(D37="","",IFERROR(D37/(IF(COUNT('연간'!H62:K62)&lt;4,"",SUM('연간'!H62:K62))),""))</f>
        <v/>
      </c>
      <c r="E64" s="31">
        <f>IF(E37="","",IFERROR(E37/(IF(COUNT('연간'!I62:L62)&lt;4,"",SUM('연간'!I62:L62))),""))</f>
        <v/>
      </c>
      <c r="F64" s="31">
        <f>IF(F37="","",IFERROR(F37/(IF(COUNT('연간'!J62:M62)&lt;4,"",SUM('연간'!J62:M62))),""))</f>
        <v/>
      </c>
      <c r="G64" s="31">
        <f>IF(G37="","",IFERROR(G37/(IF(COUNT('연간'!K62:N62)&lt;4,"",SUM('연간'!K62:N62))),""))</f>
        <v/>
      </c>
      <c r="H64" s="30">
        <f>IF(H37="","",IFERROR(H37/('연간'!T62),""))</f>
        <v/>
      </c>
      <c r="I64" s="31">
        <f>IF(I37="","",IFERROR(I37/('연간'!U62),""))</f>
        <v/>
      </c>
      <c r="J64" s="31">
        <f>IF(J37="","",IFERROR(J37/('연간'!V62),""))</f>
        <v/>
      </c>
      <c r="K64" s="31">
        <f>IF(K37="","",IFERROR(K37/('연간'!W62),""))</f>
        <v/>
      </c>
      <c r="L64" s="31">
        <f>IF(L37="","",IFERROR(L37/('연간'!X62),""))</f>
        <v/>
      </c>
    </row>
    <row r="65">
      <c r="A65" s="45" t="inlineStr">
        <is>
          <t>FCF 마진</t>
        </is>
      </c>
      <c r="B65" s="10" t="inlineStr">
        <is>
          <t>5%↑</t>
        </is>
      </c>
      <c r="C65" s="35">
        <f>IF(C39="","",IFERROR(C39/(IF(COUNT('연간'!G4:J4)&lt;4,"",SUM('연간'!G4:J4))),""))</f>
        <v/>
      </c>
      <c r="D65" s="36">
        <f>IF(D39="","",IFERROR(D39/(IF(COUNT('연간'!H4:K4)&lt;4,"",SUM('연간'!H4:K4))),""))</f>
        <v/>
      </c>
      <c r="E65" s="36">
        <f>IF(E39="","",IFERROR(E39/(IF(COUNT('연간'!I4:L4)&lt;4,"",SUM('연간'!I4:L4))),""))</f>
        <v/>
      </c>
      <c r="F65" s="36">
        <f>IF(F39="","",IFERROR(F39/(IF(COUNT('연간'!J4:M4)&lt;4,"",SUM('연간'!J4:M4))),""))</f>
        <v/>
      </c>
      <c r="G65" s="36">
        <f>IF(G39="","",IFERROR(G39/(IF(COUNT('연간'!K4:N4)&lt;4,"",SUM('연간'!K4:N4))),""))</f>
        <v/>
      </c>
      <c r="H65" s="35">
        <f>IF(H39="","",IFERROR(H39/('연간'!T4),""))</f>
        <v/>
      </c>
      <c r="I65" s="36">
        <f>IF(I39="","",IFERROR(I39/('연간'!U4),""))</f>
        <v/>
      </c>
      <c r="J65" s="36">
        <f>IF(J39="","",IFERROR(J39/('연간'!V4),""))</f>
        <v/>
      </c>
      <c r="K65" s="36">
        <f>IF(K39="","",IFERROR(K39/('연간'!W4),""))</f>
        <v/>
      </c>
      <c r="L65" s="36">
        <f>IF(L39="","",IFERROR(L39/('연간'!X4),""))</f>
        <v/>
      </c>
    </row>
    <row r="66">
      <c r="A66" s="45" t="inlineStr">
        <is>
          <t>CAPEX / 매출</t>
        </is>
      </c>
      <c r="B66" s="10" t="inlineStr">
        <is>
          <t>낮을수록↑ (자본 가벼움)</t>
        </is>
      </c>
      <c r="C66" s="35">
        <f>IF(C38="","",IFERROR(C38/(IF(COUNT('연간'!G4:J4)&lt;4,"",SUM('연간'!G4:J4))),""))</f>
        <v/>
      </c>
      <c r="D66" s="36">
        <f>IF(D38="","",IFERROR(D38/(IF(COUNT('연간'!H4:K4)&lt;4,"",SUM('연간'!H4:K4))),""))</f>
        <v/>
      </c>
      <c r="E66" s="36">
        <f>IF(E38="","",IFERROR(E38/(IF(COUNT('연간'!I4:L4)&lt;4,"",SUM('연간'!I4:L4))),""))</f>
        <v/>
      </c>
      <c r="F66" s="36">
        <f>IF(F38="","",IFERROR(F38/(IF(COUNT('연간'!J4:M4)&lt;4,"",SUM('연간'!J4:M4))),""))</f>
        <v/>
      </c>
      <c r="G66" s="36">
        <f>IF(G38="","",IFERROR(G38/(IF(COUNT('연간'!K4:N4)&lt;4,"",SUM('연간'!K4:N4))),""))</f>
        <v/>
      </c>
      <c r="H66" s="35">
        <f>IF(H38="","",IFERROR(H38/('연간'!T4),""))</f>
        <v/>
      </c>
      <c r="I66" s="36">
        <f>IF(I38="","",IFERROR(I38/('연간'!U4),""))</f>
        <v/>
      </c>
      <c r="J66" s="36">
        <f>IF(J38="","",IFERROR(J38/('연간'!V4),""))</f>
        <v/>
      </c>
      <c r="K66" s="36">
        <f>IF(K38="","",IFERROR(K38/('연간'!W4),""))</f>
        <v/>
      </c>
      <c r="L66" s="36">
        <f>IF(L38="","",IFERROR(L38/('연간'!X4),""))</f>
        <v/>
      </c>
    </row>
    <row r="67">
      <c r="A67" s="45" t="inlineStr">
        <is>
          <t>배당성향</t>
        </is>
      </c>
      <c r="B67" s="10" t="inlineStr">
        <is>
          <t>참고</t>
        </is>
      </c>
      <c r="C67" s="35">
        <f>IF(C40="","",IFERROR(C40/(IF(COUNT('연간'!G64:J64)&lt;4,"",SUM('연간'!G64:J64))),""))</f>
        <v/>
      </c>
      <c r="D67" s="36">
        <f>IF(D40="","",IFERROR(D40/(IF(COUNT('연간'!H64:K64)&lt;4,"",SUM('연간'!H64:K64))),""))</f>
        <v/>
      </c>
      <c r="E67" s="36">
        <f>IF(E40="","",IFERROR(E40/(IF(COUNT('연간'!I64:L64)&lt;4,"",SUM('연간'!I64:L64))),""))</f>
        <v/>
      </c>
      <c r="F67" s="36">
        <f>IF(F40="","",IFERROR(F40/(IF(COUNT('연간'!J64:M64)&lt;4,"",SUM('연간'!J64:M64))),""))</f>
        <v/>
      </c>
      <c r="G67" s="36">
        <f>IF(G40="","",IFERROR(G40/(IF(COUNT('연간'!K64:N64)&lt;4,"",SUM('연간'!K64:N64))),""))</f>
        <v/>
      </c>
      <c r="H67" s="35">
        <f>IF(H40="","",IFERROR(H40/('연간'!T64),""))</f>
        <v/>
      </c>
      <c r="I67" s="36">
        <f>IF(I40="","",IFERROR(I40/('연간'!U64),""))</f>
        <v/>
      </c>
      <c r="J67" s="36">
        <f>IF(J40="","",IFERROR(J40/('연간'!V64),""))</f>
        <v/>
      </c>
      <c r="K67" s="36">
        <f>IF(K40="","",IFERROR(K40/('연간'!W64),""))</f>
        <v/>
      </c>
      <c r="L67" s="36">
        <f>IF(L40="","",IFERROR(L40/('연간'!X64),""))</f>
        <v/>
      </c>
    </row>
    <row r="69">
      <c r="A69" s="16" t="inlineStr">
        <is>
          <t>재무상태표 · 전 항목</t>
        </is>
      </c>
      <c r="B69" s="42" t="inlineStr">
        <is>
          <t>분기 말 잔액</t>
        </is>
      </c>
      <c r="C69" s="16" t="n"/>
      <c r="D69" s="16" t="n"/>
      <c r="E69" s="16" t="n"/>
      <c r="F69" s="16" t="n"/>
      <c r="G69" s="16" t="n"/>
      <c r="H69" s="16" t="n"/>
      <c r="I69" s="16" t="n"/>
      <c r="J69" s="16" t="n"/>
      <c r="K69" s="16" t="n"/>
      <c r="L69" s="16" t="n"/>
    </row>
    <row r="70">
      <c r="A70" s="5" t="inlineStr">
        <is>
          <t>항목</t>
        </is>
      </c>
      <c r="B70" s="5" t="inlineStr">
        <is>
          <t>참고</t>
        </is>
      </c>
      <c r="C70" s="5" t="inlineStr">
        <is>
          <t>2026.1Q</t>
        </is>
      </c>
      <c r="D70" s="5" t="inlineStr">
        <is>
          <t>2026.2Q</t>
        </is>
      </c>
      <c r="E70" s="5" t="inlineStr">
        <is>
          <t>2026.3Q</t>
        </is>
      </c>
      <c r="F70" s="5" t="inlineStr">
        <is>
          <t>2026.4Q</t>
        </is>
      </c>
      <c r="G70" s="5" t="inlineStr">
        <is>
          <t>2027.1Q</t>
        </is>
      </c>
      <c r="H70" s="5" t="inlineStr">
        <is>
          <t>2022</t>
        </is>
      </c>
      <c r="I70" s="5" t="inlineStr">
        <is>
          <t>2023</t>
        </is>
      </c>
      <c r="J70" s="5" t="inlineStr">
        <is>
          <t>2024</t>
        </is>
      </c>
      <c r="K70" s="5" t="inlineStr">
        <is>
          <t>2025</t>
        </is>
      </c>
      <c r="L70" s="5" t="inlineStr">
        <is>
          <t>2026</t>
        </is>
      </c>
    </row>
    <row r="71">
      <c r="A71" s="18" t="inlineStr">
        <is>
          <t>현금및현금성자산</t>
        </is>
      </c>
      <c r="C71" s="20" t="n">
        <v>255730</v>
      </c>
      <c r="D71" s="20" t="n">
        <v>249642</v>
      </c>
      <c r="E71" s="20" t="n">
        <v>308616</v>
      </c>
      <c r="F71" s="20" t="n">
        <v>278507</v>
      </c>
      <c r="G71" s="20" t="n">
        <v>283618</v>
      </c>
      <c r="H71" s="20" t="n">
        <v>237952</v>
      </c>
      <c r="I71" s="20" t="n">
        <v>248195</v>
      </c>
      <c r="J71" s="20" t="n">
        <v>244191</v>
      </c>
      <c r="K71" s="20" t="n">
        <v>249721</v>
      </c>
      <c r="L71" s="20" t="n">
        <v>278507</v>
      </c>
    </row>
    <row r="72">
      <c r="A72" s="18" t="inlineStr">
        <is>
          <t>영업채권 및 기타채권</t>
        </is>
      </c>
      <c r="C72" s="20" t="n">
        <v>264119</v>
      </c>
      <c r="D72" s="20" t="n">
        <v>282668</v>
      </c>
      <c r="E72" s="20" t="n">
        <v>244776</v>
      </c>
      <c r="F72" s="20" t="n">
        <v>297783</v>
      </c>
      <c r="G72" s="20" t="n">
        <v>275074</v>
      </c>
      <c r="H72" s="20" t="n">
        <v>261814</v>
      </c>
      <c r="I72" s="20" t="n">
        <v>286181</v>
      </c>
      <c r="J72" s="20" t="n">
        <v>304115</v>
      </c>
      <c r="K72" s="20" t="n">
        <v>290236</v>
      </c>
      <c r="L72" s="20" t="n">
        <v>297783</v>
      </c>
    </row>
    <row r="73">
      <c r="A73" s="18" t="inlineStr">
        <is>
          <t>재고자산</t>
        </is>
      </c>
      <c r="C73" s="20" t="n">
        <v>87660</v>
      </c>
      <c r="D73" s="20" t="n">
        <v>95661</v>
      </c>
      <c r="E73" s="20" t="n">
        <v>100713</v>
      </c>
      <c r="F73" s="20" t="n">
        <v>94018</v>
      </c>
      <c r="G73" s="20" t="n">
        <v>101010</v>
      </c>
      <c r="H73" s="20" t="n">
        <v>79345</v>
      </c>
      <c r="I73" s="20" t="n">
        <v>87684</v>
      </c>
      <c r="J73" s="20" t="n">
        <v>83648</v>
      </c>
      <c r="K73" s="20" t="n">
        <v>87142</v>
      </c>
      <c r="L73" s="20" t="n">
        <v>94018</v>
      </c>
    </row>
    <row r="74">
      <c r="A74" s="18" t="inlineStr">
        <is>
          <t>기타금융자산</t>
        </is>
      </c>
      <c r="C74" s="20" t="n">
        <v>20273</v>
      </c>
      <c r="D74" s="20" t="n">
        <v>23032</v>
      </c>
      <c r="E74" s="20" t="n">
        <v>24428</v>
      </c>
      <c r="F74" s="20" t="n">
        <v>29429</v>
      </c>
      <c r="G74" s="20" t="n">
        <v>28921</v>
      </c>
      <c r="H74" s="20" t="n">
        <v>19990</v>
      </c>
      <c r="I74" s="20" t="n">
        <v>14596</v>
      </c>
      <c r="J74" s="20" t="n">
        <v>32235</v>
      </c>
      <c r="K74" s="20" t="n">
        <v>19191</v>
      </c>
      <c r="L74" s="20" t="n">
        <v>29429</v>
      </c>
    </row>
    <row r="75">
      <c r="A75" s="18" t="inlineStr">
        <is>
          <t>미수법인세</t>
        </is>
      </c>
      <c r="C75" s="20" t="n">
        <v>7402</v>
      </c>
      <c r="D75" s="20" t="n">
        <v>5045</v>
      </c>
      <c r="E75" s="20" t="n">
        <v>4987</v>
      </c>
      <c r="F75" s="20" t="n">
        <v>6156</v>
      </c>
      <c r="G75" s="20" t="n">
        <v>6465</v>
      </c>
      <c r="H75" s="20" t="n">
        <v>3279</v>
      </c>
      <c r="I75" s="20" t="n">
        <v>6648</v>
      </c>
      <c r="J75" s="20" t="n">
        <v>17084</v>
      </c>
      <c r="K75" s="20" t="n">
        <v>7882</v>
      </c>
      <c r="L75" s="20" t="n">
        <v>6156</v>
      </c>
    </row>
    <row r="76">
      <c r="A76" s="18" t="inlineStr">
        <is>
          <t>기타유동자산</t>
        </is>
      </c>
      <c r="C76" s="20" t="n">
        <v>14649</v>
      </c>
      <c r="D76" s="20" t="n">
        <v>15005</v>
      </c>
      <c r="E76" s="20" t="n">
        <v>17066</v>
      </c>
      <c r="F76" s="20" t="n">
        <v>17492</v>
      </c>
      <c r="G76" s="20" t="n">
        <v>17221</v>
      </c>
      <c r="H76" s="20" t="n">
        <v>11933</v>
      </c>
      <c r="I76" s="20" t="n">
        <v>12975</v>
      </c>
      <c r="J76" s="20" t="n">
        <v>13449</v>
      </c>
      <c r="K76" s="20" t="n">
        <v>14457</v>
      </c>
      <c r="L76" s="20" t="n">
        <v>17492</v>
      </c>
    </row>
    <row r="77">
      <c r="A77" s="9" t="inlineStr">
        <is>
          <t>소계</t>
        </is>
      </c>
      <c r="I77" s="12" t="n">
        <v>656281</v>
      </c>
      <c r="J77" s="12" t="n">
        <v>694725</v>
      </c>
      <c r="K77" s="12" t="n">
        <v>668631</v>
      </c>
    </row>
    <row r="78">
      <c r="A78" s="18" t="inlineStr">
        <is>
          <t>매각예정 자산</t>
        </is>
      </c>
      <c r="I78" s="20" t="n">
        <v>0</v>
      </c>
      <c r="J78" s="20" t="n">
        <v>14063</v>
      </c>
      <c r="K78" s="20" t="n">
        <v>0</v>
      </c>
    </row>
    <row r="79">
      <c r="A79" s="9" t="inlineStr">
        <is>
          <t>유동자산 합계</t>
        </is>
      </c>
      <c r="C79" s="12" t="n">
        <v>649835</v>
      </c>
      <c r="D79" s="12" t="n">
        <v>671054</v>
      </c>
      <c r="E79" s="12" t="n">
        <v>700588</v>
      </c>
      <c r="F79" s="12" t="n">
        <v>723387</v>
      </c>
      <c r="G79" s="12" t="n">
        <v>712312</v>
      </c>
      <c r="H79" s="12" t="n">
        <v>614317</v>
      </c>
      <c r="I79" s="12" t="n">
        <v>656281</v>
      </c>
      <c r="J79" s="12" t="n">
        <v>708788</v>
      </c>
      <c r="K79" s="12" t="n">
        <v>668631</v>
      </c>
      <c r="L79" s="12" t="n">
        <v>723387</v>
      </c>
    </row>
    <row r="80">
      <c r="A80" s="18" t="inlineStr">
        <is>
          <t>유형자산</t>
        </is>
      </c>
      <c r="C80" s="20" t="n">
        <v>315654</v>
      </c>
      <c r="D80" s="20" t="n">
        <v>320679</v>
      </c>
      <c r="E80" s="20" t="n">
        <v>331540</v>
      </c>
      <c r="F80" s="20" t="n">
        <v>345387</v>
      </c>
      <c r="G80" s="20" t="n">
        <v>349612</v>
      </c>
      <c r="H80" s="20" t="n">
        <v>270477</v>
      </c>
      <c r="I80" s="20" t="n">
        <v>276096</v>
      </c>
      <c r="J80" s="20" t="n">
        <v>329783</v>
      </c>
      <c r="K80" s="20" t="n">
        <v>317221</v>
      </c>
      <c r="L80" s="20" t="n">
        <v>345387</v>
      </c>
    </row>
    <row r="81">
      <c r="A81" s="18" t="inlineStr">
        <is>
          <t>영업권</t>
        </is>
      </c>
      <c r="C81" s="20" t="n">
        <v>4923</v>
      </c>
      <c r="D81" s="20" t="n">
        <v>4928</v>
      </c>
      <c r="E81" s="20" t="n">
        <v>4938</v>
      </c>
      <c r="F81" s="20" t="n">
        <v>4937</v>
      </c>
      <c r="G81" s="20" t="n">
        <v>4939</v>
      </c>
      <c r="H81" s="20" t="n">
        <v>4889</v>
      </c>
      <c r="I81" s="20" t="n">
        <v>4898</v>
      </c>
      <c r="J81" s="20" t="n">
        <v>4916</v>
      </c>
      <c r="K81" s="20" t="n">
        <v>4938</v>
      </c>
      <c r="L81" s="20" t="n">
        <v>4937</v>
      </c>
    </row>
    <row r="82">
      <c r="A82" s="18" t="inlineStr">
        <is>
          <t>무형자산</t>
        </is>
      </c>
      <c r="C82" s="20" t="n">
        <v>18780</v>
      </c>
      <c r="D82" s="20" t="n">
        <v>18392</v>
      </c>
      <c r="E82" s="20" t="n">
        <v>18337</v>
      </c>
      <c r="F82" s="20" t="n">
        <v>18683</v>
      </c>
      <c r="G82" s="20" t="n">
        <v>17952</v>
      </c>
      <c r="H82" s="20" t="n">
        <v>13060</v>
      </c>
      <c r="I82" s="20" t="n">
        <v>14237</v>
      </c>
      <c r="J82" s="20" t="n">
        <v>19597</v>
      </c>
      <c r="K82" s="20" t="n">
        <v>19548</v>
      </c>
      <c r="L82" s="20" t="n">
        <v>18683</v>
      </c>
    </row>
    <row r="83">
      <c r="A83" s="18" t="inlineStr">
        <is>
          <t>지분법 투자</t>
        </is>
      </c>
      <c r="C83" s="20" t="n">
        <v>14148</v>
      </c>
      <c r="D83" s="20" t="n">
        <v>14483</v>
      </c>
      <c r="E83" s="20" t="n">
        <v>15383</v>
      </c>
      <c r="F83" s="20" t="n">
        <v>16430</v>
      </c>
      <c r="G83" s="20" t="n">
        <v>16733</v>
      </c>
      <c r="H83" s="20" t="n">
        <v>13377</v>
      </c>
      <c r="I83" s="20" t="n">
        <v>13661</v>
      </c>
      <c r="J83" s="20" t="n">
        <v>11778</v>
      </c>
      <c r="K83" s="20" t="n">
        <v>14002</v>
      </c>
      <c r="L83" s="20" t="n">
        <v>16430</v>
      </c>
    </row>
    <row r="84">
      <c r="A84" s="18" t="inlineStr">
        <is>
          <t>기타금융자산</t>
        </is>
      </c>
      <c r="C84" s="20" t="n">
        <v>33921</v>
      </c>
      <c r="D84" s="20" t="n">
        <v>36225</v>
      </c>
      <c r="E84" s="20" t="n">
        <v>39808</v>
      </c>
      <c r="F84" s="20" t="n">
        <v>39585</v>
      </c>
      <c r="G84" s="20" t="n">
        <v>36040</v>
      </c>
      <c r="H84" s="20" t="n">
        <v>27563</v>
      </c>
      <c r="I84" s="20" t="n">
        <v>27643</v>
      </c>
      <c r="J84" s="20" t="n">
        <v>36887</v>
      </c>
      <c r="K84" s="20" t="n">
        <v>33923</v>
      </c>
      <c r="L84" s="20" t="n">
        <v>39585</v>
      </c>
    </row>
    <row r="85">
      <c r="A85" s="18" t="inlineStr">
        <is>
          <t>이연법인세자산</t>
        </is>
      </c>
      <c r="C85" s="20" t="n">
        <v>31959</v>
      </c>
      <c r="D85" s="20" t="n">
        <v>32626</v>
      </c>
      <c r="E85" s="20" t="n">
        <v>29599</v>
      </c>
      <c r="F85" s="20" t="n">
        <v>30578</v>
      </c>
      <c r="G85" s="20" t="n">
        <v>30891</v>
      </c>
      <c r="H85" s="20" t="n">
        <v>19355</v>
      </c>
      <c r="I85" s="20" t="n">
        <v>12857</v>
      </c>
      <c r="J85" s="20" t="n">
        <v>14281</v>
      </c>
      <c r="K85" s="20" t="n">
        <v>32846</v>
      </c>
      <c r="L85" s="20" t="n">
        <v>30578</v>
      </c>
    </row>
    <row r="86">
      <c r="A86" s="18" t="inlineStr">
        <is>
          <t>기타비유동자산</t>
        </is>
      </c>
      <c r="C86" s="20" t="n">
        <v>3286</v>
      </c>
      <c r="D86" s="20" t="n">
        <v>3569</v>
      </c>
      <c r="E86" s="20" t="n">
        <v>3350</v>
      </c>
      <c r="F86" s="20" t="n">
        <v>3394</v>
      </c>
      <c r="G86" s="20" t="n">
        <v>3431</v>
      </c>
      <c r="H86" s="20" t="n">
        <v>1698</v>
      </c>
      <c r="I86" s="20" t="n">
        <v>1714</v>
      </c>
      <c r="J86" s="20" t="n">
        <v>2458</v>
      </c>
      <c r="K86" s="20" t="n">
        <v>3719</v>
      </c>
      <c r="L86" s="20" t="n">
        <v>3394</v>
      </c>
    </row>
    <row r="87">
      <c r="A87" s="18" t="inlineStr">
        <is>
          <t>비유동자산 합계</t>
        </is>
      </c>
      <c r="C87" s="20" t="n">
        <v>422673</v>
      </c>
      <c r="D87" s="20" t="n">
        <v>430905</v>
      </c>
      <c r="E87" s="20" t="n">
        <v>442957</v>
      </c>
      <c r="F87" s="20" t="n">
        <v>458997</v>
      </c>
      <c r="G87" s="20" t="n">
        <v>459601</v>
      </c>
      <c r="H87" s="20" t="n">
        <v>350422</v>
      </c>
      <c r="I87" s="20" t="n">
        <v>351110</v>
      </c>
      <c r="J87" s="20" t="n">
        <v>419703</v>
      </c>
      <c r="K87" s="20" t="n">
        <v>426199</v>
      </c>
      <c r="L87" s="20" t="n">
        <v>458997</v>
      </c>
    </row>
    <row r="88">
      <c r="A88" s="18" t="inlineStr">
        <is>
          <t>자산 합계</t>
        </is>
      </c>
      <c r="C88" s="20" t="n">
        <v>1072508</v>
      </c>
      <c r="D88" s="20" t="n">
        <v>1101960</v>
      </c>
      <c r="E88" s="20" t="n">
        <v>1143546</v>
      </c>
      <c r="F88" s="20" t="n">
        <v>1182385</v>
      </c>
      <c r="G88" s="20" t="n">
        <v>1171914</v>
      </c>
      <c r="H88" s="20" t="n">
        <v>964740</v>
      </c>
      <c r="I88" s="20" t="n">
        <v>1007392</v>
      </c>
      <c r="J88" s="20" t="n">
        <v>1128491</v>
      </c>
      <c r="K88" s="20" t="n">
        <v>1094831</v>
      </c>
      <c r="L88" s="20" t="n">
        <v>1182385</v>
      </c>
    </row>
    <row r="89">
      <c r="A89" s="18" t="inlineStr">
        <is>
          <t>영업채무 및 기타채무</t>
        </is>
      </c>
      <c r="C89" s="20" t="n">
        <v>208550</v>
      </c>
      <c r="D89" s="20" t="n">
        <v>208099</v>
      </c>
      <c r="E89" s="20" t="n">
        <v>204651</v>
      </c>
      <c r="F89" s="20" t="n">
        <v>224070</v>
      </c>
      <c r="G89" s="20" t="n">
        <v>214054</v>
      </c>
      <c r="H89" s="20" t="n">
        <v>218979</v>
      </c>
      <c r="I89" s="20" t="n">
        <v>235900</v>
      </c>
      <c r="J89" s="20" t="n">
        <v>251524</v>
      </c>
      <c r="K89" s="20" t="n">
        <v>234869</v>
      </c>
      <c r="L89" s="20" t="n">
        <v>224070</v>
      </c>
    </row>
    <row r="90">
      <c r="A90" s="18" t="inlineStr">
        <is>
          <t>사채 및 차입금</t>
        </is>
      </c>
      <c r="C90" s="20" t="n">
        <v>30980</v>
      </c>
      <c r="D90" s="20" t="n">
        <v>42494</v>
      </c>
      <c r="E90" s="20" t="n">
        <v>40696</v>
      </c>
      <c r="F90" s="20" t="n">
        <v>34335</v>
      </c>
      <c r="G90" s="20" t="n">
        <v>24212</v>
      </c>
      <c r="H90" s="20" t="n">
        <v>28381</v>
      </c>
      <c r="I90" s="20" t="n">
        <v>64229</v>
      </c>
      <c r="J90" s="20" t="n">
        <v>10000</v>
      </c>
      <c r="K90" s="20" t="n">
        <v>20787</v>
      </c>
      <c r="L90" s="20" t="n">
        <v>34335</v>
      </c>
    </row>
    <row r="91">
      <c r="A91" s="18" t="inlineStr">
        <is>
          <t>기타금융부채</t>
        </is>
      </c>
      <c r="C91" s="20" t="n">
        <v>6286</v>
      </c>
      <c r="D91" s="20" t="n">
        <v>6154</v>
      </c>
      <c r="E91" s="20" t="n">
        <v>8017</v>
      </c>
      <c r="F91" s="20" t="n">
        <v>5694</v>
      </c>
      <c r="G91" s="20" t="n">
        <v>8037</v>
      </c>
      <c r="H91" s="20" t="n">
        <v>4622</v>
      </c>
      <c r="I91" s="20" t="n">
        <v>3735</v>
      </c>
      <c r="J91" s="20" t="n">
        <v>4951</v>
      </c>
      <c r="K91" s="20" t="n">
        <v>5149</v>
      </c>
      <c r="L91" s="20" t="n">
        <v>5694</v>
      </c>
    </row>
    <row r="92">
      <c r="A92" s="18" t="inlineStr">
        <is>
          <t>미지급법인세</t>
        </is>
      </c>
      <c r="C92" s="20" t="n">
        <v>12035</v>
      </c>
      <c r="D92" s="20" t="n">
        <v>14234</v>
      </c>
      <c r="E92" s="20" t="n">
        <v>15486</v>
      </c>
      <c r="F92" s="20" t="n">
        <v>13653</v>
      </c>
      <c r="G92" s="20" t="n">
        <v>16403</v>
      </c>
      <c r="H92" s="20" t="n">
        <v>9359</v>
      </c>
      <c r="I92" s="20" t="n">
        <v>9665</v>
      </c>
      <c r="J92" s="20" t="n">
        <v>12973</v>
      </c>
      <c r="K92" s="20" t="n">
        <v>14836</v>
      </c>
      <c r="L92" s="20" t="n">
        <v>13653</v>
      </c>
    </row>
    <row r="93">
      <c r="A93" s="18" t="inlineStr">
        <is>
          <t>충당금</t>
        </is>
      </c>
      <c r="C93" s="20" t="n">
        <v>7209</v>
      </c>
      <c r="D93" s="20" t="n">
        <v>12292</v>
      </c>
      <c r="E93" s="20" t="n">
        <v>12717</v>
      </c>
      <c r="F93" s="20" t="n">
        <v>29107</v>
      </c>
      <c r="G93" s="20" t="n">
        <v>29478</v>
      </c>
      <c r="H93" s="20" t="n">
        <v>6358</v>
      </c>
      <c r="I93" s="20" t="n">
        <v>6724</v>
      </c>
      <c r="J93" s="20" t="n">
        <v>4699</v>
      </c>
      <c r="K93" s="20" t="n">
        <v>7155</v>
      </c>
      <c r="L93" s="20" t="n">
        <v>29107</v>
      </c>
    </row>
    <row r="94">
      <c r="A94" s="18" t="inlineStr">
        <is>
          <t>기타유동부채</t>
        </is>
      </c>
      <c r="C94" s="20" t="n">
        <v>110839</v>
      </c>
      <c r="D94" s="20" t="n">
        <v>107541</v>
      </c>
      <c r="E94" s="20" t="n">
        <v>102799</v>
      </c>
      <c r="F94" s="20" t="n">
        <v>121267</v>
      </c>
      <c r="G94" s="20" t="n">
        <v>122009</v>
      </c>
      <c r="H94" s="20" t="n">
        <v>92256</v>
      </c>
      <c r="I94" s="20" t="n">
        <v>88438</v>
      </c>
      <c r="J94" s="20" t="n">
        <v>111739</v>
      </c>
      <c r="K94" s="20" t="n">
        <v>104653</v>
      </c>
      <c r="L94" s="20" t="n">
        <v>121267</v>
      </c>
    </row>
    <row r="95">
      <c r="A95" s="18" t="inlineStr">
        <is>
          <t>소계</t>
        </is>
      </c>
      <c r="I95" s="20" t="n">
        <v>408694</v>
      </c>
      <c r="J95" s="20" t="n">
        <v>395888</v>
      </c>
      <c r="K95" s="20" t="n">
        <v>387452</v>
      </c>
    </row>
    <row r="96">
      <c r="A96" s="18" t="inlineStr">
        <is>
          <t>매각예정 자산 직접 관련 부채</t>
        </is>
      </c>
      <c r="I96" s="20" t="n">
        <v>0</v>
      </c>
      <c r="J96" s="20" t="n">
        <v>9607</v>
      </c>
      <c r="K96" s="20" t="n">
        <v>0</v>
      </c>
    </row>
    <row r="97">
      <c r="A97" s="18" t="inlineStr">
        <is>
          <t>유동부채 합계</t>
        </is>
      </c>
      <c r="C97" s="20" t="n">
        <v>375902</v>
      </c>
      <c r="D97" s="20" t="n">
        <v>390816</v>
      </c>
      <c r="E97" s="20" t="n">
        <v>384369</v>
      </c>
      <c r="F97" s="20" t="n">
        <v>428128</v>
      </c>
      <c r="G97" s="20" t="n">
        <v>414195</v>
      </c>
      <c r="H97" s="20" t="n">
        <v>359958</v>
      </c>
      <c r="I97" s="20" t="n">
        <v>408694</v>
      </c>
      <c r="J97" s="20" t="n">
        <v>405495</v>
      </c>
      <c r="K97" s="20" t="n">
        <v>387452</v>
      </c>
      <c r="L97" s="20" t="n">
        <v>428128</v>
      </c>
    </row>
    <row r="98">
      <c r="A98" s="18" t="inlineStr">
        <is>
          <t>사채 및 차입금</t>
        </is>
      </c>
      <c r="C98" s="20" t="n">
        <v>136479</v>
      </c>
      <c r="D98" s="20" t="n">
        <v>135000</v>
      </c>
      <c r="E98" s="20" t="n">
        <v>155000</v>
      </c>
      <c r="F98" s="20" t="n">
        <v>155000</v>
      </c>
      <c r="G98" s="20" t="n">
        <v>155000</v>
      </c>
      <c r="H98" s="20" t="n">
        <v>111358</v>
      </c>
      <c r="I98" s="20" t="n">
        <v>90000</v>
      </c>
      <c r="J98" s="20" t="n">
        <v>155000</v>
      </c>
      <c r="K98" s="20" t="n">
        <v>146531</v>
      </c>
      <c r="L98" s="20" t="n">
        <v>155000</v>
      </c>
    </row>
    <row r="99">
      <c r="A99" s="18" t="inlineStr">
        <is>
          <t>기타금융부채</t>
        </is>
      </c>
      <c r="C99" s="20" t="n">
        <v>7890</v>
      </c>
      <c r="D99" s="20" t="n">
        <v>8189</v>
      </c>
      <c r="E99" s="20" t="n">
        <v>7855</v>
      </c>
      <c r="F99" s="20" t="n">
        <v>7181</v>
      </c>
      <c r="G99" s="20" t="n">
        <v>6992</v>
      </c>
      <c r="H99" s="20" t="n">
        <v>7901</v>
      </c>
      <c r="I99" s="20" t="n">
        <v>8452</v>
      </c>
      <c r="J99" s="20" t="n">
        <v>7591</v>
      </c>
      <c r="K99" s="20" t="n">
        <v>7338</v>
      </c>
      <c r="L99" s="20" t="n">
        <v>7181</v>
      </c>
    </row>
    <row r="100">
      <c r="A100" s="18" t="inlineStr">
        <is>
          <t>퇴직급여부채</t>
        </is>
      </c>
      <c r="C100" s="20" t="n">
        <v>55105</v>
      </c>
      <c r="D100" s="20" t="n">
        <v>55359</v>
      </c>
      <c r="E100" s="20" t="n">
        <v>55736</v>
      </c>
      <c r="F100" s="20" t="n">
        <v>52137</v>
      </c>
      <c r="G100" s="20" t="n">
        <v>52663</v>
      </c>
      <c r="H100" s="20" t="n">
        <v>56107</v>
      </c>
      <c r="I100" s="20" t="n">
        <v>55524</v>
      </c>
      <c r="J100" s="20" t="n">
        <v>57883</v>
      </c>
      <c r="K100" s="20" t="n">
        <v>55075</v>
      </c>
      <c r="L100" s="20" t="n">
        <v>52137</v>
      </c>
    </row>
    <row r="101">
      <c r="A101" s="18" t="inlineStr">
        <is>
          <t>충당금</t>
        </is>
      </c>
      <c r="C101" s="20" t="n">
        <v>711</v>
      </c>
      <c r="D101" s="20" t="n">
        <v>714</v>
      </c>
      <c r="E101" s="20" t="n">
        <v>720</v>
      </c>
      <c r="F101" s="20" t="n">
        <v>712</v>
      </c>
      <c r="G101" s="20" t="n">
        <v>715</v>
      </c>
      <c r="H101" s="20" t="n">
        <v>288</v>
      </c>
      <c r="I101" s="20" t="n">
        <v>297</v>
      </c>
      <c r="J101" s="20" t="n">
        <v>730</v>
      </c>
      <c r="K101" s="20" t="n">
        <v>713</v>
      </c>
      <c r="L101" s="20" t="n">
        <v>712</v>
      </c>
    </row>
    <row r="102">
      <c r="A102" s="18" t="inlineStr">
        <is>
          <t>이연법인세부채</t>
        </is>
      </c>
      <c r="C102" s="20" t="n">
        <v>5015</v>
      </c>
      <c r="D102" s="20" t="n">
        <v>5667</v>
      </c>
      <c r="E102" s="20" t="n">
        <v>6061</v>
      </c>
      <c r="F102" s="20" t="n">
        <v>6622</v>
      </c>
      <c r="G102" s="20" t="n">
        <v>6613</v>
      </c>
      <c r="H102" s="20" t="n">
        <v>3352</v>
      </c>
      <c r="I102" s="20" t="n">
        <v>5492</v>
      </c>
      <c r="J102" s="20" t="n">
        <v>5766</v>
      </c>
      <c r="K102" s="20" t="n">
        <v>5000</v>
      </c>
      <c r="L102" s="20" t="n">
        <v>6622</v>
      </c>
    </row>
    <row r="103">
      <c r="A103" s="18" t="inlineStr">
        <is>
          <t>기타비유동부채</t>
        </is>
      </c>
      <c r="C103" s="20" t="n">
        <v>2762</v>
      </c>
      <c r="D103" s="20" t="n">
        <v>2755</v>
      </c>
      <c r="E103" s="20" t="n">
        <v>3409</v>
      </c>
      <c r="F103" s="20" t="n">
        <v>3535</v>
      </c>
      <c r="G103" s="20" t="n">
        <v>5931</v>
      </c>
      <c r="H103" s="20" t="n">
        <v>1937</v>
      </c>
      <c r="I103" s="20" t="n">
        <v>2035</v>
      </c>
      <c r="J103" s="20" t="n">
        <v>2381</v>
      </c>
      <c r="K103" s="20" t="n">
        <v>2652</v>
      </c>
      <c r="L103" s="20" t="n">
        <v>3535</v>
      </c>
    </row>
    <row r="104">
      <c r="A104" s="18" t="inlineStr">
        <is>
          <t>비유동부채 합계</t>
        </is>
      </c>
      <c r="C104" s="20" t="n">
        <v>207965</v>
      </c>
      <c r="D104" s="20" t="n">
        <v>207687</v>
      </c>
      <c r="E104" s="20" t="n">
        <v>228783</v>
      </c>
      <c r="F104" s="20" t="n">
        <v>225188</v>
      </c>
      <c r="G104" s="20" t="n">
        <v>227916</v>
      </c>
      <c r="H104" s="20" t="n">
        <v>180946</v>
      </c>
      <c r="I104" s="20" t="n">
        <v>161802</v>
      </c>
      <c r="J104" s="20" t="n">
        <v>229353</v>
      </c>
      <c r="K104" s="20" t="n">
        <v>217311</v>
      </c>
      <c r="L104" s="20" t="n">
        <v>225188</v>
      </c>
    </row>
    <row r="105">
      <c r="A105" s="18" t="inlineStr">
        <is>
          <t>부채 합계</t>
        </is>
      </c>
      <c r="C105" s="20" t="n">
        <v>583867</v>
      </c>
      <c r="D105" s="20" t="n">
        <v>598503</v>
      </c>
      <c r="E105" s="20" t="n">
        <v>613152</v>
      </c>
      <c r="F105" s="20" t="n">
        <v>653317</v>
      </c>
      <c r="G105" s="20" t="n">
        <v>642112</v>
      </c>
      <c r="H105" s="20" t="n">
        <v>540904</v>
      </c>
      <c r="I105" s="20" t="n">
        <v>570497</v>
      </c>
      <c r="J105" s="20" t="n">
        <v>634849</v>
      </c>
      <c r="K105" s="20" t="n">
        <v>604763</v>
      </c>
      <c r="L105" s="20" t="n">
        <v>653317</v>
      </c>
    </row>
    <row r="106">
      <c r="A106" s="18" t="inlineStr">
        <is>
          <t>자본금</t>
        </is>
      </c>
      <c r="C106" s="20" t="n">
        <v>8400</v>
      </c>
      <c r="D106" s="20" t="n">
        <v>8400</v>
      </c>
      <c r="E106" s="20" t="n">
        <v>8400</v>
      </c>
      <c r="F106" s="20" t="n">
        <v>8400</v>
      </c>
      <c r="G106" s="20" t="n">
        <v>8400</v>
      </c>
      <c r="H106" s="20" t="n">
        <v>8400</v>
      </c>
      <c r="I106" s="20" t="n">
        <v>8400</v>
      </c>
      <c r="J106" s="20" t="n">
        <v>8400</v>
      </c>
      <c r="K106" s="20" t="n">
        <v>8400</v>
      </c>
      <c r="L106" s="20" t="n">
        <v>8400</v>
      </c>
    </row>
    <row r="107">
      <c r="A107" s="18" t="inlineStr">
        <is>
          <t>자본잉여금</t>
        </is>
      </c>
      <c r="C107" s="20" t="n">
        <v>3245</v>
      </c>
      <c r="D107" s="20" t="n">
        <v>3245</v>
      </c>
      <c r="E107" s="20" t="n">
        <v>3319</v>
      </c>
      <c r="F107" s="20" t="n">
        <v>3339</v>
      </c>
      <c r="G107" s="20" t="n">
        <v>4950</v>
      </c>
      <c r="H107" s="20" t="n">
        <v>3097</v>
      </c>
      <c r="I107" s="20" t="n">
        <v>3101</v>
      </c>
      <c r="J107" s="20" t="n">
        <v>3095</v>
      </c>
      <c r="K107" s="20" t="n">
        <v>3245</v>
      </c>
      <c r="L107" s="20" t="n">
        <v>3339</v>
      </c>
    </row>
    <row r="108">
      <c r="A108" s="18" t="inlineStr">
        <is>
          <t>이익잉여금</t>
        </is>
      </c>
      <c r="C108" s="20" t="n">
        <v>400710</v>
      </c>
      <c r="D108" s="20" t="n">
        <v>406788</v>
      </c>
      <c r="E108" s="20" t="n">
        <v>410152</v>
      </c>
      <c r="F108" s="20" t="n">
        <v>407113</v>
      </c>
      <c r="G108" s="20" t="n">
        <v>408138</v>
      </c>
      <c r="H108" s="20" t="n">
        <v>345680</v>
      </c>
      <c r="I108" s="20" t="n">
        <v>349426</v>
      </c>
      <c r="J108" s="20" t="n">
        <v>394213</v>
      </c>
      <c r="K108" s="20" t="n">
        <v>397533</v>
      </c>
      <c r="L108" s="20" t="n">
        <v>407113</v>
      </c>
    </row>
    <row r="109">
      <c r="A109" s="18" t="inlineStr">
        <is>
          <t>자기주식</t>
        </is>
      </c>
      <c r="C109" s="20" t="n">
        <v>-21211</v>
      </c>
      <c r="D109" s="20" t="n">
        <v>-21169</v>
      </c>
      <c r="E109" s="20" t="n">
        <v>-21169</v>
      </c>
      <c r="F109" s="20" t="n">
        <v>-21170</v>
      </c>
      <c r="G109" s="20" t="n">
        <v>-21170</v>
      </c>
      <c r="H109" s="20" t="n">
        <v>-1583</v>
      </c>
      <c r="I109" s="20" t="n">
        <v>-1547</v>
      </c>
      <c r="J109" s="20" t="n">
        <v>-21515</v>
      </c>
      <c r="K109" s="20" t="n">
        <v>-21211</v>
      </c>
      <c r="L109" s="20" t="n">
        <v>-21170</v>
      </c>
    </row>
    <row r="110">
      <c r="A110" s="18" t="inlineStr">
        <is>
          <t>기타자본구성요소</t>
        </is>
      </c>
      <c r="C110" s="20" t="n">
        <v>55577</v>
      </c>
      <c r="D110" s="20" t="n">
        <v>65337</v>
      </c>
      <c r="E110" s="20" t="n">
        <v>85321</v>
      </c>
      <c r="F110" s="20" t="n">
        <v>87574</v>
      </c>
      <c r="G110" s="20" t="n">
        <v>91715</v>
      </c>
      <c r="H110" s="20" t="n">
        <v>30567</v>
      </c>
      <c r="I110" s="20" t="n">
        <v>41360</v>
      </c>
      <c r="J110" s="20" t="n">
        <v>65403</v>
      </c>
      <c r="K110" s="20" t="n">
        <v>59452</v>
      </c>
      <c r="L110" s="20" t="n">
        <v>87574</v>
      </c>
    </row>
    <row r="111">
      <c r="A111" s="18" t="inlineStr">
        <is>
          <t>지배기업 소유주 귀속 지분 합계</t>
        </is>
      </c>
      <c r="C111" s="20" t="n">
        <v>446721</v>
      </c>
      <c r="D111" s="20" t="n">
        <v>462601</v>
      </c>
      <c r="E111" s="20" t="n">
        <v>486023</v>
      </c>
      <c r="F111" s="20" t="n">
        <v>485256</v>
      </c>
      <c r="G111" s="20" t="n">
        <v>492033</v>
      </c>
      <c r="H111" s="20" t="n">
        <v>386162</v>
      </c>
      <c r="I111" s="20" t="n">
        <v>400741</v>
      </c>
      <c r="J111" s="20" t="n">
        <v>449597</v>
      </c>
      <c r="K111" s="20" t="n">
        <v>447420</v>
      </c>
      <c r="L111" s="20" t="n">
        <v>485256</v>
      </c>
    </row>
    <row r="112">
      <c r="A112" s="18" t="inlineStr">
        <is>
          <t>비지배지분</t>
        </is>
      </c>
      <c r="C112" s="20" t="n">
        <v>41919</v>
      </c>
      <c r="D112" s="20" t="n">
        <v>40855</v>
      </c>
      <c r="E112" s="20" t="n">
        <v>44369</v>
      </c>
      <c r="F112" s="20" t="n">
        <v>43811</v>
      </c>
      <c r="G112" s="20" t="n">
        <v>37767</v>
      </c>
      <c r="H112" s="20" t="n">
        <v>37672</v>
      </c>
      <c r="I112" s="20" t="n">
        <v>36153</v>
      </c>
      <c r="J112" s="20" t="n">
        <v>44045</v>
      </c>
      <c r="K112" s="20" t="n">
        <v>42647</v>
      </c>
      <c r="L112" s="20" t="n">
        <v>43811</v>
      </c>
    </row>
    <row r="113">
      <c r="A113" s="18" t="inlineStr">
        <is>
          <t>자본 합계</t>
        </is>
      </c>
      <c r="C113" s="20" t="n">
        <v>488640</v>
      </c>
      <c r="D113" s="20" t="n">
        <v>503456</v>
      </c>
      <c r="E113" s="20" t="n">
        <v>530393</v>
      </c>
      <c r="F113" s="20" t="n">
        <v>529068</v>
      </c>
      <c r="G113" s="20" t="n">
        <v>529801</v>
      </c>
      <c r="H113" s="20" t="n">
        <v>423835</v>
      </c>
      <c r="I113" s="20" t="n">
        <v>436894</v>
      </c>
      <c r="J113" s="20" t="n">
        <v>493642</v>
      </c>
      <c r="K113" s="20" t="n">
        <v>490067</v>
      </c>
      <c r="L113" s="20" t="n">
        <v>529068</v>
      </c>
    </row>
    <row r="114">
      <c r="A114" s="18" t="inlineStr">
        <is>
          <t>부채및자본 합계</t>
        </is>
      </c>
      <c r="C114" s="20" t="n">
        <v>1072508</v>
      </c>
      <c r="D114" s="20" t="n">
        <v>1101960</v>
      </c>
      <c r="E114" s="20" t="n">
        <v>1143546</v>
      </c>
      <c r="F114" s="20" t="n">
        <v>1182385</v>
      </c>
      <c r="G114" s="20" t="n">
        <v>1171914</v>
      </c>
      <c r="H114" s="20" t="n">
        <v>964740</v>
      </c>
      <c r="I114" s="20" t="n">
        <v>1007392</v>
      </c>
      <c r="J114" s="20" t="n">
        <v>1128491</v>
      </c>
      <c r="K114" s="20" t="n">
        <v>1094831</v>
      </c>
      <c r="L114" s="20" t="n">
        <v>1182385</v>
      </c>
    </row>
  </sheetData>
  <conditionalFormatting sqref="C43:L43">
    <cfRule type="expression" priority="1" dxfId="0">
      <formula>AND(ISNUMBER(C43),C43&gt;1.0)</formula>
    </cfRule>
  </conditionalFormatting>
  <conditionalFormatting sqref="C44:L44">
    <cfRule type="expression" priority="2" dxfId="0">
      <formula>AND(ISNUMBER(C44),C44&gt;0.5)</formula>
    </cfRule>
  </conditionalFormatting>
  <conditionalFormatting sqref="C45:L45">
    <cfRule type="expression" priority="3" dxfId="0">
      <formula>AND(ISNUMBER(C45),C45&lt;0.5)</formula>
    </cfRule>
  </conditionalFormatting>
  <conditionalFormatting sqref="C46:L46">
    <cfRule type="expression" priority="4" dxfId="0">
      <formula>AND(ISNUMBER(C46),C46&lt;1.5)</formula>
    </cfRule>
  </conditionalFormatting>
  <conditionalFormatting sqref="C47:L47">
    <cfRule type="expression" priority="5" dxfId="0">
      <formula>AND(ISNUMBER(C47),C47&lt;1.0)</formula>
    </cfRule>
  </conditionalFormatting>
  <conditionalFormatting sqref="C48:L48">
    <cfRule type="expression" priority="6" dxfId="0">
      <formula>AND(ISNUMBER(C48),C48&lt;5)</formula>
    </cfRule>
  </conditionalFormatting>
  <conditionalFormatting sqref="C49:L49">
    <cfRule type="expression" priority="7" dxfId="0">
      <formula>AND(ISNUMBER(C49),C49&gt;4)</formula>
    </cfRule>
  </conditionalFormatting>
  <conditionalFormatting sqref="C51:L51">
    <cfRule type="expression" priority="8" dxfId="0">
      <formula>AND(ISNUMBER(C51),C51&lt;0.15)</formula>
    </cfRule>
  </conditionalFormatting>
  <conditionalFormatting sqref="C52:L52">
    <cfRule type="expression" priority="9" dxfId="0">
      <formula>AND(ISNUMBER(C52),C52&lt;0.05)</formula>
    </cfRule>
  </conditionalFormatting>
  <conditionalFormatting sqref="C53:L53">
    <cfRule type="expression" priority="10" dxfId="0">
      <formula>AND(ISNUMBER(C53),C53&lt;0.1)</formula>
    </cfRule>
  </conditionalFormatting>
  <conditionalFormatting sqref="C54:L54">
    <cfRule type="expression" priority="11" dxfId="0">
      <formula>AND(ISNUMBER(C54),C54&lt;0.4)</formula>
    </cfRule>
  </conditionalFormatting>
  <conditionalFormatting sqref="C55:L55">
    <cfRule type="expression" priority="12" dxfId="0">
      <formula>AND(ISNUMBER(C55),C55&lt;0.15)</formula>
    </cfRule>
  </conditionalFormatting>
  <conditionalFormatting sqref="C56:L56">
    <cfRule type="expression" priority="13" dxfId="0">
      <formula>AND(ISNUMBER(C56),C56&lt;0.1)</formula>
    </cfRule>
  </conditionalFormatting>
  <conditionalFormatting sqref="C64:L64">
    <cfRule type="expression" priority="14" dxfId="0">
      <formula>AND(ISNUMBER(C64),C64&lt;1.0)</formula>
    </cfRule>
  </conditionalFormatting>
  <conditionalFormatting sqref="C65:L65">
    <cfRule type="expression" priority="15" dxfId="0">
      <formula>AND(ISNUMBER(C65),C65&lt;0.05)</formula>
    </cfRule>
  </conditionalFormatting>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12" customWidth="1" min="1" max="1"/>
    <col width="34" customWidth="1" min="2" max="2"/>
    <col width="60" customWidth="1" min="3" max="3"/>
  </cols>
  <sheetData>
    <row r="1">
      <c r="A1" s="50" t="inlineStr">
        <is>
          <t>출처 · 쓴 결산단신</t>
        </is>
      </c>
    </row>
    <row r="3">
      <c r="A3" s="51" t="inlineStr">
        <is>
          <t>공시일</t>
        </is>
      </c>
      <c r="B3" s="51" t="inlineStr">
        <is>
          <t>문서</t>
        </is>
      </c>
      <c r="C3" s="51" t="inlineStr">
        <is>
          <t>PDF</t>
        </is>
      </c>
    </row>
    <row r="4">
      <c r="A4" t="inlineStr">
        <is>
          <t>2026-07-31</t>
        </is>
      </c>
      <c r="B4" t="inlineStr">
        <is>
          <t>2027년 3월 결산기 １분기 결산단신</t>
        </is>
      </c>
      <c r="C4" t="inlineStr">
        <is>
          <t>https://www2.jpx.co.jp/disc/31160/140120260727500061.pdf</t>
        </is>
      </c>
    </row>
    <row r="5">
      <c r="A5" t="inlineStr">
        <is>
          <t>2026-04-28</t>
        </is>
      </c>
      <c r="B5" t="inlineStr">
        <is>
          <t>2026년 3월 결산기 연간 결산단신</t>
        </is>
      </c>
      <c r="C5" t="inlineStr">
        <is>
          <t>https://www2.jpx.co.jp/disc/31160/140120260427511192.pdf</t>
        </is>
      </c>
    </row>
    <row r="6">
      <c r="A6" t="inlineStr">
        <is>
          <t>2026-02-03</t>
        </is>
      </c>
      <c r="B6" t="inlineStr">
        <is>
          <t>2026년 3월 결산기 ３분기 결산단신</t>
        </is>
      </c>
      <c r="C6" t="inlineStr">
        <is>
          <t>https://www2.jpx.co.jp/disc/31160/140120260128539888.pdf</t>
        </is>
      </c>
    </row>
    <row r="7">
      <c r="A7" t="inlineStr">
        <is>
          <t>2025-10-31</t>
        </is>
      </c>
      <c r="B7" t="inlineStr">
        <is>
          <t>2026년 3월 결산기 ２분기 결산단신</t>
        </is>
      </c>
      <c r="C7" t="inlineStr">
        <is>
          <t>https://www2.jpx.co.jp/disc/31160/140120251027579487.pdf</t>
        </is>
      </c>
    </row>
    <row r="8">
      <c r="A8" t="inlineStr">
        <is>
          <t>2025-07-31</t>
        </is>
      </c>
      <c r="B8" t="inlineStr">
        <is>
          <t>2026년 3월 결산기 １분기 결산단신</t>
        </is>
      </c>
      <c r="C8" t="inlineStr">
        <is>
          <t>https://www2.jpx.co.jp/disc/31160/140120250728521736.pdf</t>
        </is>
      </c>
    </row>
    <row r="9">
      <c r="A9" t="inlineStr">
        <is>
          <t>2025-04-25</t>
        </is>
      </c>
      <c r="B9" t="inlineStr">
        <is>
          <t>2025년 3월 결산기 연간 결산단신</t>
        </is>
      </c>
      <c r="C9" t="inlineStr">
        <is>
          <t>https://www2.jpx.co.jp/disc/31160/140120250424521955.pdf</t>
        </is>
      </c>
    </row>
    <row r="10">
      <c r="A10" t="inlineStr">
        <is>
          <t>2025-01-31</t>
        </is>
      </c>
      <c r="B10" t="inlineStr">
        <is>
          <t>2025년 3월 결산기 ３분기 결산단신</t>
        </is>
      </c>
      <c r="C10" t="inlineStr">
        <is>
          <t>https://www2.jpx.co.jp/disc/31160/140120250128556378.pdf</t>
        </is>
      </c>
    </row>
    <row r="11">
      <c r="A11" t="inlineStr">
        <is>
          <t>2024-10-31</t>
        </is>
      </c>
      <c r="B11" t="inlineStr">
        <is>
          <t>2025년 3월 결산기 ２분기 결산단신</t>
        </is>
      </c>
      <c r="C11" t="inlineStr">
        <is>
          <t>https://www2.jpx.co.jp/disc/31160/140120241008594921.pdf</t>
        </is>
      </c>
    </row>
    <row r="12">
      <c r="A12" t="inlineStr">
        <is>
          <t>2024-07-31</t>
        </is>
      </c>
      <c r="B12" t="inlineStr">
        <is>
          <t>2025년 3월 결산기 １분기 결산단신</t>
        </is>
      </c>
      <c r="C12" t="inlineStr">
        <is>
          <t>https://www2.jpx.co.jp/disc/31160/140120240730557439.pdf</t>
        </is>
      </c>
    </row>
    <row r="13">
      <c r="A13" t="inlineStr">
        <is>
          <t>2024-04-26</t>
        </is>
      </c>
      <c r="B13" t="inlineStr">
        <is>
          <t>2024년 3월 결산기 연간 결산단신</t>
        </is>
      </c>
      <c r="C13" t="inlineStr">
        <is>
          <t>https://www2.jpx.co.jp/disc/31160/140120240425577378.pdf</t>
        </is>
      </c>
    </row>
    <row r="14">
      <c r="A14" t="inlineStr">
        <is>
          <t>2024-02-02</t>
        </is>
      </c>
      <c r="B14" t="inlineStr">
        <is>
          <t>2024년 3월 결산기 ３분기 결산단신</t>
        </is>
      </c>
      <c r="C14" t="inlineStr">
        <is>
          <t>https://www2.jpx.co.jp/disc/31160/140120240131523238.pdf</t>
        </is>
      </c>
    </row>
    <row r="15">
      <c r="A15" t="inlineStr">
        <is>
          <t>2023-10-31</t>
        </is>
      </c>
      <c r="B15" t="inlineStr">
        <is>
          <t>2024년 3월 결산기 ２분기 결산단신</t>
        </is>
      </c>
      <c r="C15" t="inlineStr">
        <is>
          <t>https://www2.jpx.co.jp/disc/31160/140120231030574467.pdf</t>
        </is>
      </c>
    </row>
    <row r="16">
      <c r="A16" t="inlineStr">
        <is>
          <t>2023-07-28</t>
        </is>
      </c>
      <c r="B16" t="inlineStr">
        <is>
          <t>2024년 3월 결산기 １분기 결산단신</t>
        </is>
      </c>
      <c r="C16" t="inlineStr">
        <is>
          <t>https://www2.jpx.co.jp/disc/31160/140120230726527450.pdf</t>
        </is>
      </c>
    </row>
    <row r="17">
      <c r="A17" t="inlineStr">
        <is>
          <t>2023-04-27</t>
        </is>
      </c>
      <c r="B17" t="inlineStr">
        <is>
          <t>2023년 3월 결산기 연간 결산단신</t>
        </is>
      </c>
      <c r="C17" t="inlineStr">
        <is>
          <t>https://www2.jpx.co.jp/disc/31160/140120230426553735.pdf</t>
        </is>
      </c>
    </row>
    <row r="18">
      <c r="A18" t="inlineStr">
        <is>
          <t>2023-02-03</t>
        </is>
      </c>
      <c r="B18" t="inlineStr">
        <is>
          <t>2023년 3월 결산기 ３분기 결산단신</t>
        </is>
      </c>
      <c r="C18" t="inlineStr">
        <is>
          <t>https://www2.jpx.co.jp/disc/31160/140120230202598975.pdf</t>
        </is>
      </c>
    </row>
    <row r="19">
      <c r="A19" t="inlineStr">
        <is>
          <t>2022-10-28</t>
        </is>
      </c>
      <c r="B19" t="inlineStr">
        <is>
          <t>2023년 3월 결산기 ２분기 결산단신</t>
        </is>
      </c>
      <c r="C19" t="inlineStr">
        <is>
          <t>https://www2.jpx.co.jp/disc/31160/140120221027551425.pdf</t>
        </is>
      </c>
    </row>
    <row r="20">
      <c r="A20" t="inlineStr">
        <is>
          <t>2022-04-28</t>
        </is>
      </c>
      <c r="B20" t="inlineStr">
        <is>
          <t>2022년 3월 결산기 연간 결산단신</t>
        </is>
      </c>
      <c r="C20" t="inlineStr">
        <is>
          <t>https://www2.jpx.co.jp/disc/31160/140120220427530128.pdf</t>
        </is>
      </c>
    </row>
    <row r="21">
      <c r="A21" t="inlineStr">
        <is>
          <t>2021-04-28</t>
        </is>
      </c>
      <c r="B21" t="inlineStr">
        <is>
          <t>2021년 3월 결산기 연간 결산단신</t>
        </is>
      </c>
      <c r="C21" t="inlineStr">
        <is>
          <t>https://www2.jpx.co.jp/disc/31160/140120210428402261.pdf</t>
        </is>
      </c>
    </row>
    <row r="22">
      <c r="A22" t="inlineStr">
        <is>
          <t>2020-04-30</t>
        </is>
      </c>
      <c r="B22" t="inlineStr">
        <is>
          <t>2020년 3월 결산기 연간 결산단신</t>
        </is>
      </c>
      <c r="C22" t="inlineStr">
        <is>
          <t>https://www2.jpx.co.jp/disc/31160/140120200430402572.pdf</t>
        </is>
      </c>
    </row>
    <row r="23">
      <c r="A23" t="inlineStr">
        <is>
          <t>2019-06-21</t>
        </is>
      </c>
      <c r="B23" t="inlineStr">
        <is>
          <t>2019년 3월 결산기 연간 결산단신</t>
        </is>
      </c>
      <c r="C23" t="inlineStr">
        <is>
          <t>https://www2.jpx.co.jp/disc/31160/140120190621458554.pdf</t>
        </is>
      </c>
    </row>
    <row r="24">
      <c r="A24" t="inlineStr">
        <is>
          <t>2019-04-26</t>
        </is>
      </c>
      <c r="B24" t="inlineStr">
        <is>
          <t>2019년 3월 결산기 연간 결산단신</t>
        </is>
      </c>
      <c r="C24" t="inlineStr">
        <is>
          <t>https://www2.jpx.co.jp/disc/31160/140120190425411283.pdf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2026-10-28T07:02:05Z</dcterms:created>
  <dcterms:modified xmlns:dcterms="http://purl.org/dc/terms/" xmlns:xsi="http://www.w3.org/2001/XMLSchema-instance" xsi:type="dcterms:W3CDTF">2026-10-28T07:02:05Z</dcterms:modified>
</cp:coreProperties>
</file>