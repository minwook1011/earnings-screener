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사이언스아츠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304.444</v>
      </c>
      <c r="D4" s="12" t="n">
        <v>255.263</v>
      </c>
      <c r="E4" s="12" t="n">
        <v>319.179</v>
      </c>
      <c r="F4" s="12" t="n">
        <v>305.889</v>
      </c>
      <c r="G4" s="12" t="n">
        <v>340.978</v>
      </c>
      <c r="H4" s="12" t="n">
        <v>388.176</v>
      </c>
      <c r="I4" s="12" t="n">
        <v>430.963</v>
      </c>
      <c r="J4" s="12" t="n">
        <v>494.503</v>
      </c>
      <c r="K4" s="12" t="n">
        <v>515.133</v>
      </c>
      <c r="L4" s="12" t="n">
        <v>512.866</v>
      </c>
      <c r="M4" s="12" t="n">
        <v>536.773</v>
      </c>
      <c r="N4" s="12" t="n">
        <v>569.446</v>
      </c>
      <c r="O4" s="11" t="n"/>
      <c r="P4" s="12" t="n"/>
      <c r="Q4" s="12" t="n"/>
      <c r="R4" s="12" t="n"/>
      <c r="S4" s="12" t="n">
        <v>365.992</v>
      </c>
      <c r="T4" s="12" t="n">
        <v>659.9880000000001</v>
      </c>
      <c r="U4" s="12" t="n">
        <v>771.862</v>
      </c>
      <c r="V4" s="12" t="n">
        <v>1184.775</v>
      </c>
      <c r="W4" s="12" t="n">
        <v>1654.62</v>
      </c>
      <c r="X4" s="12" t="n">
        <v>2134.218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BuddycomBusinessReportableSegmentMember</t>
        </is>
      </c>
      <c r="B7" s="10" t="n"/>
      <c r="C7" s="19" t="n">
        <v>303.07</v>
      </c>
      <c r="D7" s="20" t="n">
        <v>253.889</v>
      </c>
      <c r="E7" s="20" t="n">
        <v>317.837</v>
      </c>
      <c r="F7" s="20" t="n">
        <v>304.565</v>
      </c>
      <c r="G7" s="20" t="n">
        <v>339.653</v>
      </c>
      <c r="H7" s="20" t="n">
        <v>388.101</v>
      </c>
      <c r="I7" s="20" t="n">
        <v>430.888</v>
      </c>
      <c r="J7" s="20" t="n">
        <v>494.428</v>
      </c>
      <c r="K7" s="20" t="n">
        <v>515.058</v>
      </c>
      <c r="L7" s="20" t="n">
        <v>512.7910000000001</v>
      </c>
      <c r="M7" s="20" t="n">
        <v>536.706</v>
      </c>
      <c r="N7" s="20" t="n">
        <v>569.396</v>
      </c>
      <c r="O7" s="19" t="n"/>
      <c r="P7" s="20" t="n"/>
      <c r="Q7" s="20" t="n"/>
      <c r="R7" s="20" t="n"/>
      <c r="S7" s="20" t="n"/>
      <c r="T7" s="20" t="n"/>
      <c r="U7" s="20" t="n">
        <v>761.664</v>
      </c>
      <c r="V7" s="20" t="n">
        <v>1179.361</v>
      </c>
      <c r="W7" s="20" t="n">
        <v>1653.07</v>
      </c>
      <c r="X7" s="20" t="n">
        <v>2133.951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기타</t>
        </is>
      </c>
      <c r="B10" s="10" t="n"/>
      <c r="C10" s="19" t="n">
        <v>1.374</v>
      </c>
      <c r="D10" s="20" t="n">
        <v>1.374</v>
      </c>
      <c r="E10" s="20" t="n">
        <v>1.341</v>
      </c>
      <c r="F10" s="20" t="n">
        <v>1.325</v>
      </c>
      <c r="G10" s="20" t="n">
        <v>1.325</v>
      </c>
      <c r="H10" s="20" t="n">
        <v>0.075</v>
      </c>
      <c r="I10" s="20" t="n">
        <v>0.075</v>
      </c>
      <c r="J10" s="20" t="n">
        <v>0.075</v>
      </c>
      <c r="K10" s="20" t="n">
        <v>0.075</v>
      </c>
      <c r="L10" s="20" t="n">
        <v>0.075</v>
      </c>
      <c r="M10" s="20" t="n">
        <v>0.066</v>
      </c>
      <c r="N10" s="20" t="n">
        <v>0.05</v>
      </c>
      <c r="O10" s="19" t="n"/>
      <c r="P10" s="20" t="n"/>
      <c r="Q10" s="20" t="n"/>
      <c r="R10" s="20" t="n"/>
      <c r="S10" s="20" t="n"/>
      <c r="T10" s="20" t="n"/>
      <c r="U10" s="20" t="n">
        <v>10.198</v>
      </c>
      <c r="V10" s="20" t="n">
        <v>5.414</v>
      </c>
      <c r="W10" s="20" t="n">
        <v>1.55</v>
      </c>
      <c r="X10" s="20" t="n">
        <v>0.266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EntityTotalMember</t>
        </is>
      </c>
      <c r="B13" s="10" t="n"/>
      <c r="C13" s="19" t="n"/>
      <c r="D13" s="20" t="n"/>
      <c r="E13" s="20" t="n"/>
      <c r="F13" s="20" t="n"/>
      <c r="G13" s="20" t="n">
        <v>340.978</v>
      </c>
      <c r="H13" s="20" t="n"/>
      <c r="I13" s="20" t="n"/>
      <c r="J13" s="20" t="n"/>
      <c r="K13" s="20" t="n">
        <v>515.133</v>
      </c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167.321</v>
      </c>
      <c r="D17" s="20" t="n">
        <v>101.381</v>
      </c>
      <c r="E17" s="20" t="n">
        <v>123.822</v>
      </c>
      <c r="F17" s="20" t="n">
        <v>114.182</v>
      </c>
      <c r="G17" s="20" t="n">
        <v>131.335</v>
      </c>
      <c r="H17" s="20" t="n">
        <v>152.764</v>
      </c>
      <c r="I17" s="20" t="n">
        <v>159.303</v>
      </c>
      <c r="J17" s="20" t="n">
        <v>201.223</v>
      </c>
      <c r="K17" s="20" t="n">
        <v>193.579</v>
      </c>
      <c r="L17" s="20" t="n">
        <v>190.86</v>
      </c>
      <c r="M17" s="20" t="n">
        <v>201.135</v>
      </c>
      <c r="N17" s="20" t="n">
        <v>199.226</v>
      </c>
      <c r="O17" s="19" t="n"/>
      <c r="P17" s="20" t="n"/>
      <c r="Q17" s="20" t="n"/>
      <c r="R17" s="20" t="n"/>
      <c r="S17" s="20" t="n">
        <v>100.736</v>
      </c>
      <c r="T17" s="20" t="n">
        <v>224.629</v>
      </c>
      <c r="U17" s="20" t="n">
        <v>281.62</v>
      </c>
      <c r="V17" s="20" t="n">
        <v>506.706</v>
      </c>
      <c r="W17" s="20" t="n">
        <v>644.625</v>
      </c>
      <c r="X17" s="20" t="n">
        <v>784.8</v>
      </c>
      <c r="Y17" s="19" t="n"/>
      <c r="Z17" s="20" t="n"/>
      <c r="AA17" s="20" t="n"/>
      <c r="AB17" s="20" t="n"/>
      <c r="AC17" s="20" t="n"/>
    </row>
    <row r="18">
      <c r="A18" s="18" t="inlineStr">
        <is>
          <t>매출총이익</t>
        </is>
      </c>
      <c r="B18" s="10" t="n"/>
      <c r="C18" s="19">
        <f>IF(OR(C4="",C17=""),"",IFERROR(C4-C17,""))</f>
        <v/>
      </c>
      <c r="D18" s="20">
        <f>IF(OR(D4="",D17=""),"",IFERROR(D4-D17,""))</f>
        <v/>
      </c>
      <c r="E18" s="20">
        <f>IF(OR(E4="",E17=""),"",IFERROR(E4-E17,""))</f>
        <v/>
      </c>
      <c r="F18" s="20">
        <f>IF(OR(F4="",F17=""),"",IFERROR(F4-F17,""))</f>
        <v/>
      </c>
      <c r="G18" s="20">
        <f>IF(OR(G4="",G17=""),"",IFERROR(G4-G17,""))</f>
        <v/>
      </c>
      <c r="H18" s="20">
        <f>IF(OR(H4="",H17=""),"",IFERROR(H4-H17,""))</f>
        <v/>
      </c>
      <c r="I18" s="20">
        <f>IF(OR(I4="",I17=""),"",IFERROR(I4-I17,""))</f>
        <v/>
      </c>
      <c r="J18" s="20">
        <f>IF(OR(J4="",J17=""),"",IFERROR(J4-J17,""))</f>
        <v/>
      </c>
      <c r="K18" s="20">
        <f>IF(OR(K4="",K17=""),"",IFERROR(K4-K17,""))</f>
        <v/>
      </c>
      <c r="L18" s="20">
        <f>IF(OR(L4="",L17=""),"",IFERROR(L4-L17,""))</f>
        <v/>
      </c>
      <c r="M18" s="20">
        <f>IF(OR(M4="",M17=""),"",IFERROR(M4-M17,""))</f>
        <v/>
      </c>
      <c r="N18" s="20">
        <f>IF(OR(N4="",N17=""),"",IFERROR(N4-N17,""))</f>
        <v/>
      </c>
      <c r="O18" s="19">
        <f>IF(OR(O4="",O17=""),"",IFERROR(O4-O17,""))</f>
        <v/>
      </c>
      <c r="P18" s="20">
        <f>IF(OR(P4="",P17=""),"",IFERROR(P4-P17,""))</f>
        <v/>
      </c>
      <c r="Q18" s="20">
        <f>IF(OR(Q4="",Q17=""),"",IFERROR(Q4-Q17,""))</f>
        <v/>
      </c>
      <c r="R18" s="20">
        <f>IF(OR(R4="",R17=""),"",IFERROR(R4-R17,""))</f>
        <v/>
      </c>
      <c r="S18" s="20">
        <f>IF(OR(S4="",S17=""),"",IFERROR(S4-S17,""))</f>
        <v/>
      </c>
      <c r="T18" s="20">
        <f>IF(OR(T4="",T17=""),"",IFERROR(T4-T17,""))</f>
        <v/>
      </c>
      <c r="U18" s="20">
        <f>IF(OR(U4="",U17=""),"",IFERROR(U4-U17,""))</f>
        <v/>
      </c>
      <c r="V18" s="20">
        <f>IF(OR(V4="",V17=""),"",IFERROR(V4-V17,""))</f>
        <v/>
      </c>
      <c r="W18" s="20">
        <f>IF(OR(W4="",W17=""),"",IFERROR(W4-W17,""))</f>
        <v/>
      </c>
      <c r="X18" s="20">
        <f>IF(OR(X4="",X17=""),"",IFERROR(X4-X17,""))</f>
        <v/>
      </c>
      <c r="Y18" s="19" t="n"/>
      <c r="Z18" s="20" t="n"/>
      <c r="AA18" s="20" t="n"/>
      <c r="AB18" s="20" t="n"/>
      <c r="AC18" s="20" t="n"/>
    </row>
    <row r="19">
      <c r="A19" s="13" t="inlineStr">
        <is>
          <t>GPM</t>
        </is>
      </c>
      <c r="B19" s="10" t="n"/>
      <c r="C19" s="14">
        <f>IF(OR(C18="",C4=""),"",IFERROR(C18/C4,""))</f>
        <v/>
      </c>
      <c r="D19" s="15">
        <f>IF(OR(D18="",D4=""),"",IFERROR(D18/D4,""))</f>
        <v/>
      </c>
      <c r="E19" s="15">
        <f>IF(OR(E18="",E4=""),"",IFERROR(E18/E4,""))</f>
        <v/>
      </c>
      <c r="F19" s="15">
        <f>IF(OR(F18="",F4=""),"",IFERROR(F18/F4,""))</f>
        <v/>
      </c>
      <c r="G19" s="15">
        <f>IF(OR(G18="",G4=""),"",IFERROR(G18/G4,""))</f>
        <v/>
      </c>
      <c r="H19" s="15">
        <f>IF(OR(H18="",H4=""),"",IFERROR(H18/H4,""))</f>
        <v/>
      </c>
      <c r="I19" s="15">
        <f>IF(OR(I18="",I4=""),"",IFERROR(I18/I4,""))</f>
        <v/>
      </c>
      <c r="J19" s="15">
        <f>IF(OR(J18="",J4=""),"",IFERROR(J18/J4,""))</f>
        <v/>
      </c>
      <c r="K19" s="15">
        <f>IF(OR(K18="",K4=""),"",IFERROR(K18/K4,""))</f>
        <v/>
      </c>
      <c r="L19" s="15">
        <f>IF(OR(L18="",L4=""),"",IFERROR(L18/L4,""))</f>
        <v/>
      </c>
      <c r="M19" s="15">
        <f>IF(OR(M18="",M4=""),"",IFERROR(M18/M4,""))</f>
        <v/>
      </c>
      <c r="N19" s="15">
        <f>IF(OR(N18="",N4=""),"",IFERROR(N18/N4,""))</f>
        <v/>
      </c>
      <c r="O19" s="14">
        <f>IF(OR(O18="",O4=""),"",IFERROR(O18/O4,""))</f>
        <v/>
      </c>
      <c r="P19" s="15">
        <f>IF(OR(P18="",P4=""),"",IFERROR(P18/P4,""))</f>
        <v/>
      </c>
      <c r="Q19" s="15">
        <f>IF(OR(Q18="",Q4=""),"",IFERROR(Q18/Q4,""))</f>
        <v/>
      </c>
      <c r="R19" s="15">
        <f>IF(OR(R18="",R4=""),"",IFERROR(R18/R4,""))</f>
        <v/>
      </c>
      <c r="S19" s="15">
        <f>IF(OR(S18="",S4=""),"",IFERROR(S18/S4,""))</f>
        <v/>
      </c>
      <c r="T19" s="15">
        <f>IF(OR(T18="",T4=""),"",IFERROR(T18/T4,""))</f>
        <v/>
      </c>
      <c r="U19" s="15">
        <f>IF(OR(U18="",U4=""),"",IFERROR(U18/U4,""))</f>
        <v/>
      </c>
      <c r="V19" s="15">
        <f>IF(OR(V18="",V4=""),"",IFERROR(V18/V4,""))</f>
        <v/>
      </c>
      <c r="W19" s="15">
        <f>IF(OR(W18="",W4=""),"",IFERROR(W18/W4,""))</f>
        <v/>
      </c>
      <c r="X19" s="15">
        <f>IF(OR(X18="",X4=""),"",IFERROR(X18/X4,""))</f>
        <v/>
      </c>
      <c r="Y19" s="14">
        <f>IF(OR(Y18="",Y4=""),"",IFERROR(Y18/Y4,""))</f>
        <v/>
      </c>
      <c r="Z19" s="15">
        <f>IF(OR(Z18="",Z4=""),"",IFERROR(Z18/Z4,""))</f>
        <v/>
      </c>
      <c r="AA19" s="15">
        <f>IF(OR(AA18="",AA4=""),"",IFERROR(AA18/AA4,""))</f>
        <v/>
      </c>
      <c r="AB19" s="15">
        <f>IF(OR(AB18="",AB4=""),"",IFERROR(AB18/AB4,""))</f>
        <v/>
      </c>
      <c r="AC19" s="15">
        <f>IF(OR(AC18="",AC4=""),"",IFERROR(AC18/AC4,""))</f>
        <v/>
      </c>
    </row>
    <row r="20">
      <c r="A20" s="23" t="inlineStr">
        <is>
          <t>판매관리비</t>
        </is>
      </c>
      <c r="B20" s="23" t="n"/>
      <c r="C20" s="2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4" t="n"/>
      <c r="Z20" s="23" t="n"/>
      <c r="AA20" s="23" t="n"/>
      <c r="AB20" s="23" t="n"/>
      <c r="AC20" s="23" t="n"/>
    </row>
    <row r="21">
      <c r="A21" s="18" t="inlineStr">
        <is>
          <t>전체 판관비</t>
        </is>
      </c>
      <c r="B21" s="10" t="n"/>
      <c r="C21" s="19" t="n">
        <v>157.64</v>
      </c>
      <c r="D21" s="20" t="n">
        <v>148.802</v>
      </c>
      <c r="E21" s="20" t="n">
        <v>215.503</v>
      </c>
      <c r="F21" s="20" t="n">
        <v>187.399</v>
      </c>
      <c r="G21" s="20" t="n">
        <v>201.036</v>
      </c>
      <c r="H21" s="20" t="n">
        <v>211.547</v>
      </c>
      <c r="I21" s="20" t="n">
        <v>246.862</v>
      </c>
      <c r="J21" s="20" t="n">
        <v>243.294</v>
      </c>
      <c r="K21" s="20" t="n">
        <v>264.995</v>
      </c>
      <c r="L21" s="20" t="n">
        <v>273.641</v>
      </c>
      <c r="M21" s="20" t="n">
        <v>291.327</v>
      </c>
      <c r="N21" s="20" t="n">
        <v>257.451</v>
      </c>
      <c r="O21" s="19" t="n"/>
      <c r="P21" s="20" t="n"/>
      <c r="Q21" s="20" t="n"/>
      <c r="R21" s="20" t="n"/>
      <c r="S21" s="20" t="n">
        <v>362.455</v>
      </c>
      <c r="T21" s="20" t="n">
        <v>424.05</v>
      </c>
      <c r="U21" s="20" t="n">
        <v>557.324</v>
      </c>
      <c r="V21" s="20" t="n">
        <v>709.3440000000001</v>
      </c>
      <c r="W21" s="20" t="n">
        <v>902.739</v>
      </c>
      <c r="X21" s="20" t="n">
        <v>1087.414</v>
      </c>
      <c r="Y21" s="19" t="n"/>
      <c r="Z21" s="20" t="n"/>
      <c r="AA21" s="20" t="n"/>
      <c r="AB21" s="20" t="n"/>
      <c r="AC21" s="20" t="n"/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-20.517</v>
      </c>
      <c r="D22" s="12" t="n">
        <v>5.08</v>
      </c>
      <c r="E22" s="12" t="n">
        <v>-20.146</v>
      </c>
      <c r="F22" s="12" t="n">
        <v>4.308</v>
      </c>
      <c r="G22" s="12" t="n">
        <v>8.606</v>
      </c>
      <c r="H22" s="12" t="n">
        <v>23.864</v>
      </c>
      <c r="I22" s="12" t="n">
        <v>24.799</v>
      </c>
      <c r="J22" s="12" t="n">
        <v>49.987</v>
      </c>
      <c r="K22" s="12" t="n">
        <v>56.558</v>
      </c>
      <c r="L22" s="12" t="n">
        <v>48.366</v>
      </c>
      <c r="M22" s="12" t="n">
        <v>44.309</v>
      </c>
      <c r="N22" s="12" t="n">
        <v>112.769</v>
      </c>
      <c r="O22" s="11" t="n"/>
      <c r="P22" s="12" t="n"/>
      <c r="Q22" s="12" t="n"/>
      <c r="R22" s="12" t="n"/>
      <c r="S22" s="12" t="n">
        <v>-97.199</v>
      </c>
      <c r="T22" s="12" t="n">
        <v>11.307</v>
      </c>
      <c r="U22" s="12" t="n">
        <v>-67.08199999999999</v>
      </c>
      <c r="V22" s="12" t="n">
        <v>-31.275</v>
      </c>
      <c r="W22" s="12" t="n">
        <v>107.256</v>
      </c>
      <c r="X22" s="12" t="n">
        <v>262.002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IF(O21="","",O21)</f>
        <v/>
      </c>
      <c r="P26" s="12">
        <f>IF(P21="","",P21)</f>
        <v/>
      </c>
      <c r="Q26" s="12">
        <f>IF(Q21="","",Q21)</f>
        <v/>
      </c>
      <c r="R26" s="12">
        <f>IF(R21="","",R21)</f>
        <v/>
      </c>
      <c r="S26" s="12">
        <f>IF(S21="","",S21)</f>
        <v/>
      </c>
      <c r="T26" s="12">
        <f>IF(T21="","",T21)</f>
        <v/>
      </c>
      <c r="U26" s="12">
        <f>IF(U21="","",U21)</f>
        <v/>
      </c>
      <c r="V26" s="12">
        <f>IF(V21="","",V21)</f>
        <v/>
      </c>
      <c r="W26" s="12">
        <f>IF(W21="","",W21)</f>
        <v/>
      </c>
      <c r="X26" s="12">
        <f>IF(X21="","",X21)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/>
      <c r="D40" s="20" t="n"/>
      <c r="E40" s="20" t="n">
        <v>0</v>
      </c>
      <c r="F40" s="20" t="n">
        <v>0</v>
      </c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>
        <v>0</v>
      </c>
      <c r="U40" s="20" t="n">
        <v>4.999</v>
      </c>
      <c r="V40" s="20" t="n">
        <v>0</v>
      </c>
      <c r="W40" s="20" t="n"/>
      <c r="X40" s="20" t="n"/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0.04</v>
      </c>
      <c r="D42" s="20" t="n">
        <v>0.008999999999999999</v>
      </c>
      <c r="E42" s="20" t="n">
        <v>0.003</v>
      </c>
      <c r="F42" s="20" t="n">
        <v>0.045</v>
      </c>
      <c r="G42" s="20" t="n">
        <v>0.018</v>
      </c>
      <c r="H42" s="20" t="n">
        <v>0.591</v>
      </c>
      <c r="I42" s="20" t="n">
        <v>0.047</v>
      </c>
      <c r="J42" s="20" t="n">
        <v>1.398</v>
      </c>
      <c r="K42" s="20" t="n">
        <v>0.048</v>
      </c>
      <c r="L42" s="20" t="n">
        <v>1.659</v>
      </c>
      <c r="M42" s="20" t="n">
        <v>0.408</v>
      </c>
      <c r="N42" s="20" t="n">
        <v>3.019</v>
      </c>
      <c r="O42" s="19" t="n"/>
      <c r="P42" s="20" t="n"/>
      <c r="Q42" s="20" t="n"/>
      <c r="R42" s="20" t="n"/>
      <c r="S42" s="20" t="n">
        <v>2.762</v>
      </c>
      <c r="T42" s="20" t="n">
        <v>3.378</v>
      </c>
      <c r="U42" s="20" t="n">
        <v>0.1</v>
      </c>
      <c r="V42" s="20" t="n">
        <v>0.097</v>
      </c>
      <c r="W42" s="20" t="n">
        <v>2.054</v>
      </c>
      <c r="X42" s="20" t="n">
        <v>5.134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0.475</v>
      </c>
      <c r="D44" s="20" t="n">
        <v>1.126</v>
      </c>
      <c r="E44" s="20" t="n">
        <v>0.741</v>
      </c>
      <c r="F44" s="20" t="n">
        <v>0.479</v>
      </c>
      <c r="G44" s="20" t="n">
        <v>14.821</v>
      </c>
      <c r="H44" s="20" t="n">
        <v>0.819</v>
      </c>
      <c r="I44" s="20" t="n">
        <v>0.556</v>
      </c>
      <c r="J44" s="20" t="n">
        <v>0.414</v>
      </c>
      <c r="K44" s="20" t="n">
        <v>1.742</v>
      </c>
      <c r="L44" s="20" t="n">
        <v>1.597</v>
      </c>
      <c r="M44" s="20" t="n">
        <v>0.517</v>
      </c>
      <c r="N44" s="20" t="n">
        <v>0.505</v>
      </c>
      <c r="O44" s="19" t="n"/>
      <c r="P44" s="20" t="n"/>
      <c r="Q44" s="20" t="n"/>
      <c r="R44" s="20" t="n"/>
      <c r="S44" s="20" t="n">
        <v>1.229</v>
      </c>
      <c r="T44" s="20" t="n">
        <v>4.845</v>
      </c>
      <c r="U44" s="20" t="n">
        <v>0.485</v>
      </c>
      <c r="V44" s="20" t="n">
        <v>2.821</v>
      </c>
      <c r="W44" s="20" t="n">
        <v>16.61</v>
      </c>
      <c r="X44" s="20" t="n">
        <v>4.361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-20.953</v>
      </c>
      <c r="D46" s="12" t="n">
        <v>3.965</v>
      </c>
      <c r="E46" s="12" t="n">
        <v>-20.886</v>
      </c>
      <c r="F46" s="12" t="n">
        <v>3.874</v>
      </c>
      <c r="G46" s="12" t="n">
        <v>-6.195</v>
      </c>
      <c r="H46" s="12" t="n">
        <v>23.634</v>
      </c>
      <c r="I46" s="12" t="n">
        <v>24.289</v>
      </c>
      <c r="J46" s="12" t="n">
        <v>50.972</v>
      </c>
      <c r="K46" s="12" t="n">
        <v>54.864</v>
      </c>
      <c r="L46" s="12" t="n">
        <v>48.428</v>
      </c>
      <c r="M46" s="12" t="n">
        <v>44.2</v>
      </c>
      <c r="N46" s="12" t="n">
        <v>115.283</v>
      </c>
      <c r="O46" s="11" t="n"/>
      <c r="P46" s="12" t="n"/>
      <c r="Q46" s="12" t="n"/>
      <c r="R46" s="12" t="n"/>
      <c r="S46" s="12" t="n">
        <v>-95.666</v>
      </c>
      <c r="T46" s="12" t="n">
        <v>9.84</v>
      </c>
      <c r="U46" s="12" t="n">
        <v>-72.468</v>
      </c>
      <c r="V46" s="12" t="n">
        <v>-34</v>
      </c>
      <c r="W46" s="12" t="n">
        <v>92.7</v>
      </c>
      <c r="X46" s="12" t="n">
        <v>262.775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8" t="inlineStr">
        <is>
          <t>법인세비용(수익)</t>
        </is>
      </c>
      <c r="B47" s="10" t="n"/>
      <c r="C47" s="19" t="n">
        <v>-0.672</v>
      </c>
      <c r="D47" s="20" t="n">
        <v>-0.285</v>
      </c>
      <c r="E47" s="20" t="n">
        <v>-0.254</v>
      </c>
      <c r="F47" s="20" t="n">
        <v>-0.9399999999999999</v>
      </c>
      <c r="G47" s="20" t="n">
        <v>-0.721</v>
      </c>
      <c r="H47" s="20" t="n">
        <v>3.213</v>
      </c>
      <c r="I47" s="20" t="n">
        <v>5.181</v>
      </c>
      <c r="J47" s="20" t="n">
        <v>-27.145</v>
      </c>
      <c r="K47" s="20" t="n">
        <v>7.207</v>
      </c>
      <c r="L47" s="20" t="n">
        <v>9.010999999999999</v>
      </c>
      <c r="M47" s="20" t="n">
        <v>5.72</v>
      </c>
      <c r="N47" s="20" t="n">
        <v>-13.909</v>
      </c>
      <c r="O47" s="19" t="n"/>
      <c r="P47" s="20" t="n"/>
      <c r="Q47" s="20" t="n"/>
      <c r="R47" s="20" t="n"/>
      <c r="S47" s="20" t="n">
        <v>-0.378</v>
      </c>
      <c r="T47" s="20" t="n">
        <v>0.834</v>
      </c>
      <c r="U47" s="20" t="n">
        <v>8.869</v>
      </c>
      <c r="V47" s="20" t="n">
        <v>-2.151</v>
      </c>
      <c r="W47" s="20" t="n">
        <v>-19.472</v>
      </c>
      <c r="X47" s="20" t="n">
        <v>8.029</v>
      </c>
      <c r="Y47" s="19">
        <f>IF(OR(Y46="",Y48=""),"",IFERROR(MAX(Y46,0)*Y48,""))</f>
        <v/>
      </c>
      <c r="Z47" s="20">
        <f>IF(OR(Z46="",Z48=""),"",IFERROR(MAX(Z46,0)*Z48,""))</f>
        <v/>
      </c>
      <c r="AA47" s="20">
        <f>IF(OR(AA46="",AA48=""),"",IFERROR(MAX(AA46,0)*AA48,""))</f>
        <v/>
      </c>
      <c r="AB47" s="20">
        <f>IF(OR(AB46="",AB48=""),"",IFERROR(MAX(AB46,0)*AB48,""))</f>
        <v/>
      </c>
      <c r="AC47" s="20">
        <f>IF(OR(AC46="",AC48=""),"",IFERROR(MAX(AC46,0)*AC48,""))</f>
        <v/>
      </c>
    </row>
    <row r="48">
      <c r="A48" s="13" t="inlineStr">
        <is>
          <t>법인세율</t>
        </is>
      </c>
      <c r="B48" s="10" t="inlineStr">
        <is>
          <t>MW 기본 30%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0.3</v>
      </c>
      <c r="Z48" s="26" t="n">
        <v>0.3</v>
      </c>
      <c r="AA48" s="26" t="n">
        <v>0.3</v>
      </c>
      <c r="AB48" s="26" t="n">
        <v>0.3</v>
      </c>
      <c r="AC48" s="26" t="n">
        <v>0.3</v>
      </c>
    </row>
    <row r="49">
      <c r="A49" s="9" t="inlineStr">
        <is>
          <t>당기순이익(손실)</t>
        </is>
      </c>
      <c r="B49" s="10" t="n"/>
      <c r="C49" s="11" t="n">
        <v>-20.28</v>
      </c>
      <c r="D49" s="12" t="n">
        <v>4.249</v>
      </c>
      <c r="E49" s="12" t="n">
        <v>-20.631</v>
      </c>
      <c r="F49" s="12" t="n">
        <v>4.814</v>
      </c>
      <c r="G49" s="12" t="n">
        <v>-5.474</v>
      </c>
      <c r="H49" s="12" t="n">
        <v>20.421</v>
      </c>
      <c r="I49" s="12" t="n">
        <v>19.108</v>
      </c>
      <c r="J49" s="12" t="n">
        <v>78.117</v>
      </c>
      <c r="K49" s="12" t="n">
        <v>47.656</v>
      </c>
      <c r="L49" s="12" t="n">
        <v>39.418</v>
      </c>
      <c r="M49" s="12" t="n">
        <v>38.48</v>
      </c>
      <c r="N49" s="12" t="n">
        <v>129.192</v>
      </c>
      <c r="O49" s="11" t="n"/>
      <c r="P49" s="12" t="n"/>
      <c r="Q49" s="12" t="n"/>
      <c r="R49" s="12" t="n"/>
      <c r="S49" s="12" t="n">
        <v>-95.288</v>
      </c>
      <c r="T49" s="12" t="n">
        <v>9.006</v>
      </c>
      <c r="U49" s="12" t="n">
        <v>-81.33799999999999</v>
      </c>
      <c r="V49" s="12" t="n">
        <v>-31.848</v>
      </c>
      <c r="W49" s="12" t="n">
        <v>112.172</v>
      </c>
      <c r="X49" s="12" t="n">
        <v>254.746</v>
      </c>
      <c r="Y49" s="11">
        <f>IF(OR(Y46=""),"",IFERROR(Y46-Y47,""))</f>
        <v/>
      </c>
      <c r="Z49" s="12">
        <f>IF(OR(Z46=""),"",IFERROR(Z46-Z47,""))</f>
        <v/>
      </c>
      <c r="AA49" s="12">
        <f>IF(OR(AA46=""),"",IFERROR(AA46-AA47,""))</f>
        <v/>
      </c>
      <c r="AB49" s="12">
        <f>IF(OR(AB46=""),"",IFERROR(AB46-AB47,""))</f>
        <v/>
      </c>
      <c r="AC49" s="12">
        <f>IF(OR(AC46=""),"",IFERROR(AC46-AC47,""))</f>
        <v/>
      </c>
    </row>
    <row r="50">
      <c r="A50" s="9" t="inlineStr">
        <is>
          <t>지배주주 순이익</t>
        </is>
      </c>
      <c r="B50" s="10" t="n"/>
      <c r="C50" s="11" t="n">
        <v>-20.28</v>
      </c>
      <c r="D50" s="12" t="n">
        <v>4.249</v>
      </c>
      <c r="E50" s="12" t="n">
        <v>-20.631</v>
      </c>
      <c r="F50" s="12" t="n">
        <v>4.814</v>
      </c>
      <c r="G50" s="12" t="n">
        <v>-5.474</v>
      </c>
      <c r="H50" s="12" t="n">
        <v>20.421</v>
      </c>
      <c r="I50" s="12" t="n">
        <v>19.108</v>
      </c>
      <c r="J50" s="12" t="n">
        <v>78.117</v>
      </c>
      <c r="K50" s="12" t="n">
        <v>47.656</v>
      </c>
      <c r="L50" s="12" t="n">
        <v>39.418</v>
      </c>
      <c r="M50" s="12" t="n">
        <v>38.48</v>
      </c>
      <c r="N50" s="12" t="n">
        <v>129.192</v>
      </c>
      <c r="O50" s="11" t="n"/>
      <c r="P50" s="12" t="n"/>
      <c r="Q50" s="12" t="n"/>
      <c r="R50" s="12" t="n"/>
      <c r="S50" s="12" t="n">
        <v>-95.288</v>
      </c>
      <c r="T50" s="12" t="n">
        <v>9.006</v>
      </c>
      <c r="U50" s="12" t="n">
        <v>-81.33799999999999</v>
      </c>
      <c r="V50" s="12" t="n">
        <v>-31.848</v>
      </c>
      <c r="W50" s="12" t="n">
        <v>112.172</v>
      </c>
      <c r="X50" s="12" t="n">
        <v>254.746</v>
      </c>
      <c r="Y50" s="11">
        <f>IF(OR(Y49="",Y51=""),"",IFERROR(Y49*Y51,""))</f>
        <v/>
      </c>
      <c r="Z50" s="12">
        <f>IF(OR(Z49="",Z51=""),"",IFERROR(Z49*Z51,""))</f>
        <v/>
      </c>
      <c r="AA50" s="12">
        <f>IF(OR(AA49="",AA51=""),"",IFERROR(AA49*AA51,""))</f>
        <v/>
      </c>
      <c r="AB50" s="12">
        <f>IF(OR(AB49="",AB51=""),"",IFERROR(AB49*AB51,""))</f>
        <v/>
      </c>
      <c r="AC50" s="12">
        <f>IF(OR(AC49="",AC51=""),"",IFERROR(AC49*AC51,""))</f>
        <v/>
      </c>
    </row>
    <row r="51">
      <c r="A51" s="13" t="inlineStr">
        <is>
          <t>지배주주 순이익률</t>
        </is>
      </c>
      <c r="B51" s="10" t="inlineStr">
        <is>
          <t>MW 기본 100%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1</v>
      </c>
      <c r="Z51" s="26" t="n">
        <v>1</v>
      </c>
      <c r="AA51" s="26" t="n">
        <v>1</v>
      </c>
      <c r="AB51" s="26" t="n">
        <v>1</v>
      </c>
      <c r="AC51" s="26" t="n">
        <v>1</v>
      </c>
    </row>
    <row r="52">
      <c r="A52" s="16" t="inlineStr">
        <is>
          <t>목표주가 산출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현재 주가 (2026.10.23)</t>
        </is>
      </c>
      <c r="B53" s="27" t="n">
        <v>1318</v>
      </c>
      <c r="C53" s="28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8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8" t="n"/>
      <c r="Z53" s="29" t="n"/>
      <c r="AA53" s="29" t="n"/>
      <c r="AB53" s="29" t="n"/>
      <c r="AC53" s="29" t="n"/>
    </row>
    <row r="54">
      <c r="A54" s="18" t="inlineStr">
        <is>
          <t>발행주식수 (보통주)</t>
        </is>
      </c>
      <c r="B54" s="27" t="n">
        <v>8230000</v>
      </c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8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8" t="n"/>
      <c r="Z54" s="29" t="n"/>
      <c r="AA54" s="29" t="n"/>
      <c r="AB54" s="29" t="n"/>
      <c r="AC54" s="29" t="n"/>
    </row>
    <row r="55">
      <c r="A55" s="18" t="inlineStr">
        <is>
          <t>시가총액 (백만엔)</t>
        </is>
      </c>
      <c r="B55" s="12">
        <f>IF(OR(B53="",B54=""),"",B53*B54/1000000.0)</f>
        <v/>
      </c>
      <c r="C55" s="19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19" t="n"/>
      <c r="Z55" s="20" t="n"/>
      <c r="AA55" s="20" t="n"/>
      <c r="AB55" s="20" t="n"/>
      <c r="AC55" s="20" t="n"/>
    </row>
    <row r="56">
      <c r="A56" s="13" t="inlineStr">
        <is>
          <t>OPM</t>
        </is>
      </c>
      <c r="B56" s="10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4">
        <f>IF(O23="","",O23)</f>
        <v/>
      </c>
      <c r="P56" s="15">
        <f>IF(P23="","",P23)</f>
        <v/>
      </c>
      <c r="Q56" s="15">
        <f>IF(Q23="","",Q23)</f>
        <v/>
      </c>
      <c r="R56" s="15">
        <f>IF(R23="","",R23)</f>
        <v/>
      </c>
      <c r="S56" s="15">
        <f>IF(S23="","",S23)</f>
        <v/>
      </c>
      <c r="T56" s="15">
        <f>IF(T23="","",T23)</f>
        <v/>
      </c>
      <c r="U56" s="15">
        <f>IF(U23="","",U23)</f>
        <v/>
      </c>
      <c r="V56" s="15">
        <f>IF(V23="","",V23)</f>
        <v/>
      </c>
      <c r="W56" s="15">
        <f>IF(W23="","",W23)</f>
        <v/>
      </c>
      <c r="X56" s="15">
        <f>IF(X23="","",X23)</f>
        <v/>
      </c>
      <c r="Y56" s="14">
        <f>IF(Y23="","",Y23)</f>
        <v/>
      </c>
      <c r="Z56" s="15">
        <f>IF(Z23="","",Z23)</f>
        <v/>
      </c>
      <c r="AA56" s="15">
        <f>IF(AA23="","",AA23)</f>
        <v/>
      </c>
      <c r="AB56" s="15">
        <f>IF(AB23="","",AB23)</f>
        <v/>
      </c>
      <c r="AC56" s="15">
        <f>IF(AC23="","",AC23)</f>
        <v/>
      </c>
    </row>
    <row r="57">
      <c r="A57" s="13" t="inlineStr">
        <is>
          <t>지배주주 순이익 증가율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 t="n"/>
      <c r="P57" s="15">
        <f>IF(OR(P50="",O50=""),"",IFERROR(P50/O50-1,""))</f>
        <v/>
      </c>
      <c r="Q57" s="15">
        <f>IF(OR(Q50="",P50=""),"",IFERROR(Q50/P50-1,""))</f>
        <v/>
      </c>
      <c r="R57" s="15">
        <f>IF(OR(R50="",Q50=""),"",IFERROR(R50/Q50-1,""))</f>
        <v/>
      </c>
      <c r="S57" s="15">
        <f>IF(OR(S50="",R50=""),"",IFERROR(S50/R50-1,""))</f>
        <v/>
      </c>
      <c r="T57" s="15">
        <f>IF(OR(T50="",S50=""),"",IFERROR(T50/S50-1,""))</f>
        <v/>
      </c>
      <c r="U57" s="15">
        <f>IF(OR(U50="",T50=""),"",IFERROR(U50/T50-1,""))</f>
        <v/>
      </c>
      <c r="V57" s="15">
        <f>IF(OR(V50="",U50=""),"",IFERROR(V50/U50-1,""))</f>
        <v/>
      </c>
      <c r="W57" s="15">
        <f>IF(OR(W50="",V50=""),"",IFERROR(W50/V50-1,""))</f>
        <v/>
      </c>
      <c r="X57" s="15">
        <f>IF(OR(X50="",W50=""),"",IFERROR(X50/W50-1,""))</f>
        <v/>
      </c>
      <c r="Y57" s="14">
        <f>IF(OR(Y50="",X50=""),"",IFERROR(Y50/X50-1,""))</f>
        <v/>
      </c>
      <c r="Z57" s="15">
        <f>IF(OR(Z50="",Y50=""),"",IFERROR(Z50/Y50-1,""))</f>
        <v/>
      </c>
      <c r="AA57" s="15">
        <f>IF(OR(AA50="",Z50=""),"",IFERROR(AA50/Z50-1,""))</f>
        <v/>
      </c>
      <c r="AB57" s="15">
        <f>IF(OR(AB50="",AA50=""),"",IFERROR(AB50/AA50-1,""))</f>
        <v/>
      </c>
      <c r="AC57" s="15">
        <f>IF(OR(AC50="",AB50=""),"",IFERROR(AC50/AB50-1,""))</f>
        <v/>
      </c>
    </row>
    <row r="58">
      <c r="A58" s="18" t="inlineStr">
        <is>
          <t>P/E (현재 주가)</t>
        </is>
      </c>
      <c r="B58" s="10" t="inlineStr">
        <is>
          <t>시총 ÷ 지배순이익</t>
        </is>
      </c>
      <c r="C58" s="30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0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>
        <f>IF(OR($B$55="",X50=""),"",IFERROR($B$55/X50,""))</f>
        <v/>
      </c>
      <c r="Y58" s="30">
        <f>IF(OR($B$55="",Y50=""),"",IFERROR($B$55/Y50,""))</f>
        <v/>
      </c>
      <c r="Z58" s="31">
        <f>IF(OR($B$55="",Z50=""),"",IFERROR($B$55/Z50,""))</f>
        <v/>
      </c>
      <c r="AA58" s="31">
        <f>IF(OR($B$55="",AA50=""),"",IFERROR($B$55/AA50,""))</f>
        <v/>
      </c>
      <c r="AB58" s="31">
        <f>IF(OR($B$55="",AB50=""),"",IFERROR($B$55/AB50,""))</f>
        <v/>
      </c>
      <c r="AC58" s="31">
        <f>IF(OR($B$55="",AC50=""),"",IFERROR($B$55/AC50,""))</f>
        <v/>
      </c>
    </row>
    <row r="59">
      <c r="A59" s="18" t="inlineStr">
        <is>
          <t>Target P/E</t>
        </is>
      </c>
      <c r="B59" s="10" t="inlineStr">
        <is>
          <t>직접 입력</t>
        </is>
      </c>
      <c r="C59" s="30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0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2" t="n"/>
      <c r="Z59" s="33" t="n"/>
      <c r="AA59" s="33" t="n"/>
      <c r="AB59" s="33" t="n"/>
      <c r="AC59" s="33" t="n"/>
    </row>
    <row r="60">
      <c r="A60" s="18" t="inlineStr">
        <is>
          <t>EPS</t>
        </is>
      </c>
      <c r="B60" s="10" t="inlineStr">
        <is>
          <t>지배순이익 ÷ 주식수</t>
        </is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>
        <f>IF(OR(O50="",$B$54=""),"",IFERROR(O50*1000000.0/$B$54,""))</f>
        <v/>
      </c>
      <c r="P60" s="29">
        <f>IF(OR(P50="",$B$54=""),"",IFERROR(P50*1000000.0/$B$54,""))</f>
        <v/>
      </c>
      <c r="Q60" s="29">
        <f>IF(OR(Q50="",$B$54=""),"",IFERROR(Q50*1000000.0/$B$54,""))</f>
        <v/>
      </c>
      <c r="R60" s="29">
        <f>IF(OR(R50="",$B$54=""),"",IFERROR(R50*1000000.0/$B$54,""))</f>
        <v/>
      </c>
      <c r="S60" s="29">
        <f>IF(OR(S50="",$B$54=""),"",IFERROR(S50*1000000.0/$B$54,""))</f>
        <v/>
      </c>
      <c r="T60" s="29">
        <f>IF(OR(T50="",$B$54=""),"",IFERROR(T50*1000000.0/$B$54,""))</f>
        <v/>
      </c>
      <c r="U60" s="29">
        <f>IF(OR(U50="",$B$54=""),"",IFERROR(U50*1000000.0/$B$54,""))</f>
        <v/>
      </c>
      <c r="V60" s="29">
        <f>IF(OR(V50="",$B$54=""),"",IFERROR(V50*1000000.0/$B$54,""))</f>
        <v/>
      </c>
      <c r="W60" s="29">
        <f>IF(OR(W50="",$B$54=""),"",IFERROR(W50*1000000.0/$B$54,""))</f>
        <v/>
      </c>
      <c r="X60" s="29">
        <f>IF(OR(X50="",$B$54=""),"",IFERROR(X50*1000000.0/$B$54,""))</f>
        <v/>
      </c>
      <c r="Y60" s="28">
        <f>IF(OR(Y50="",$B$54=""),"",IFERROR(Y50*1000000.0/$B$54,""))</f>
        <v/>
      </c>
      <c r="Z60" s="29">
        <f>IF(OR(Z50="",$B$54=""),"",IFERROR(Z50*1000000.0/$B$54,""))</f>
        <v/>
      </c>
      <c r="AA60" s="29">
        <f>IF(OR(AA50="",$B$54=""),"",IFERROR(AA50*1000000.0/$B$54,""))</f>
        <v/>
      </c>
      <c r="AB60" s="29">
        <f>IF(OR(AB50="",$B$54=""),"",IFERROR(AB50*1000000.0/$B$54,""))</f>
        <v/>
      </c>
      <c r="AC60" s="29">
        <f>IF(OR(AC50="",$B$54=""),"",IFERROR(AC50*1000000.0/$B$54,""))</f>
        <v/>
      </c>
    </row>
    <row r="61">
      <c r="A61" s="9" t="inlineStr">
        <is>
          <t>목표주가</t>
        </is>
      </c>
      <c r="B61" s="10" t="n"/>
      <c r="C61" s="34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34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34">
        <f>IF(OR(Y60="",Y59=""),"",IFERROR(Y60*Y59,""))</f>
        <v/>
      </c>
      <c r="Z61" s="27">
        <f>IF(OR(Z60="",Z59=""),"",IFERROR(Z60*Z59,""))</f>
        <v/>
      </c>
      <c r="AA61" s="27">
        <f>IF(OR(AA60="",AA59=""),"",IFERROR(AA60*AA59,""))</f>
        <v/>
      </c>
      <c r="AB61" s="27">
        <f>IF(OR(AB60="",AB59=""),"",IFERROR(AB60*AB59,""))</f>
        <v/>
      </c>
      <c r="AC61" s="27">
        <f>IF(OR(AC60="",AC59=""),"",IFERROR(AC60*AC59,""))</f>
        <v/>
      </c>
    </row>
    <row r="62">
      <c r="A62" s="18" t="inlineStr">
        <is>
          <t>상승여력</t>
        </is>
      </c>
      <c r="B62" s="10" t="n"/>
      <c r="C62" s="35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5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7">
        <f>IF(OR(Y61="",$B$53=""),"",IFERROR(Y61/$B$53-1,""))</f>
        <v/>
      </c>
      <c r="Z62" s="38">
        <f>IF(OR(Z61="",$B$53=""),"",IFERROR(Z61/$B$53-1,""))</f>
        <v/>
      </c>
      <c r="AA62" s="38">
        <f>IF(OR(AA61="",$B$53=""),"",IFERROR(AA61/$B$53-1,""))</f>
        <v/>
      </c>
      <c r="AB62" s="38">
        <f>IF(OR(AB61="",$B$53=""),"",IFERROR(AB61/$B$53-1,""))</f>
        <v/>
      </c>
      <c r="AC62" s="38">
        <f>IF(OR(AC61="",$B$53=""),"",IFERROR(AC61/$B$53-1,""))</f>
        <v/>
      </c>
    </row>
    <row r="63">
      <c r="A63" s="16" t="inlineStr">
        <is>
          <t>자산가치 산출</t>
        </is>
      </c>
      <c r="B63" s="16" t="inlineStr">
        <is>
          <t>최신 분기 BS</t>
        </is>
      </c>
      <c r="C63" s="17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7" t="n"/>
      <c r="Z63" s="16" t="n"/>
      <c r="AA63" s="16" t="n"/>
      <c r="AB63" s="16" t="n"/>
      <c r="AC63" s="16" t="n"/>
    </row>
    <row r="64">
      <c r="A64" s="18" t="inlineStr">
        <is>
          <t>현금및현금성자산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'재무상태표'!G6</f>
        <v/>
      </c>
      <c r="Y64" s="19">
        <f>'재무상태표'!G6</f>
        <v/>
      </c>
      <c r="Z64" s="20">
        <f>'재무상태표'!G6</f>
        <v/>
      </c>
      <c r="AA64" s="20">
        <f>'재무상태표'!G6</f>
        <v/>
      </c>
      <c r="AB64" s="20">
        <f>'재무상태표'!G6</f>
        <v/>
      </c>
      <c r="AC64" s="20">
        <f>'재무상태표'!G6</f>
        <v/>
      </c>
    </row>
    <row r="65">
      <c r="A65" s="18" t="inlineStr">
        <is>
          <t>단기금융상품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'재무상태표'!G7</f>
        <v/>
      </c>
      <c r="Y65" s="19">
        <f>'재무상태표'!G7</f>
        <v/>
      </c>
      <c r="Z65" s="20">
        <f>'재무상태표'!G7</f>
        <v/>
      </c>
      <c r="AA65" s="20">
        <f>'재무상태표'!G7</f>
        <v/>
      </c>
      <c r="AB65" s="20">
        <f>'재무상태표'!G7</f>
        <v/>
      </c>
      <c r="AC65" s="20">
        <f>'재무상태표'!G7</f>
        <v/>
      </c>
    </row>
    <row r="66">
      <c r="A66" s="18" t="inlineStr">
        <is>
          <t>투자부동산</t>
        </is>
      </c>
      <c r="B66" s="10" t="n"/>
      <c r="C66" s="19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19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>
        <f>'재무상태표'!G14</f>
        <v/>
      </c>
      <c r="Y66" s="19">
        <f>'재무상태표'!G14</f>
        <v/>
      </c>
      <c r="Z66" s="20">
        <f>'재무상태표'!G14</f>
        <v/>
      </c>
      <c r="AA66" s="20">
        <f>'재무상태표'!G14</f>
        <v/>
      </c>
      <c r="AB66" s="20">
        <f>'재무상태표'!G14</f>
        <v/>
      </c>
      <c r="AC66" s="20">
        <f>'재무상태표'!G14</f>
        <v/>
      </c>
    </row>
    <row r="67">
      <c r="A67" s="18" t="inlineStr">
        <is>
          <t>지배자본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'재무상태표'!G31</f>
        <v/>
      </c>
      <c r="Y67" s="19">
        <f>'재무상태표'!G31</f>
        <v/>
      </c>
      <c r="Z67" s="20">
        <f>'재무상태표'!G31</f>
        <v/>
      </c>
      <c r="AA67" s="20">
        <f>'재무상태표'!G31</f>
        <v/>
      </c>
      <c r="AB67" s="20">
        <f>'재무상태표'!G31</f>
        <v/>
      </c>
      <c r="AC67" s="20">
        <f>'재무상태표'!G31</f>
        <v/>
      </c>
    </row>
    <row r="68">
      <c r="A68" s="18" t="inlineStr">
        <is>
          <t>부채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'재무상태표'!G27</f>
        <v/>
      </c>
      <c r="Y68" s="19">
        <f>'재무상태표'!G27</f>
        <v/>
      </c>
      <c r="Z68" s="20">
        <f>'재무상태표'!G27</f>
        <v/>
      </c>
      <c r="AA68" s="20">
        <f>'재무상태표'!G27</f>
        <v/>
      </c>
      <c r="AB68" s="20">
        <f>'재무상태표'!G27</f>
        <v/>
      </c>
      <c r="AC68" s="20">
        <f>'재무상태표'!G27</f>
        <v/>
      </c>
    </row>
    <row r="69">
      <c r="A69" s="13" t="inlineStr">
        <is>
          <t>부채비율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>
        <f>IF(OR(X68="",X67=""),"",IFERROR(X68/X67,""))</f>
        <v/>
      </c>
      <c r="Y69" s="14">
        <f>IF(OR(Y68="",Y67=""),"",IFERROR(Y68/Y67,""))</f>
        <v/>
      </c>
      <c r="Z69" s="15">
        <f>IF(OR(Z68="",Z67=""),"",IFERROR(Z68/Z67,""))</f>
        <v/>
      </c>
      <c r="AA69" s="15">
        <f>IF(OR(AA68="",AA67=""),"",IFERROR(AA68/AA67,""))</f>
        <v/>
      </c>
      <c r="AB69" s="15">
        <f>IF(OR(AB68="",AB67=""),"",IFERROR(AB68/AB67,""))</f>
        <v/>
      </c>
      <c r="AC69" s="15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6" t="inlineStr">
        <is>
          <t>기업가치 산출</t>
        </is>
      </c>
      <c r="B71" s="16" t="n"/>
      <c r="C71" s="17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7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7" t="n"/>
      <c r="Z71" s="16" t="n"/>
      <c r="AA71" s="16" t="n"/>
      <c r="AB71" s="16" t="n"/>
      <c r="AC71" s="16" t="n"/>
    </row>
    <row r="72">
      <c r="A72" s="18" t="inlineStr">
        <is>
          <t>목표 시가총액 (P/E)</t>
        </is>
      </c>
      <c r="B72" s="10" t="inlineStr">
        <is>
          <t>지배순이익 × Target P/E</t>
        </is>
      </c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19">
        <f>IF(OR(Y50="",Y59=""),"",IFERROR(Y50*Y59,""))</f>
        <v/>
      </c>
      <c r="Z72" s="20">
        <f>IF(OR(Z50="",Z59=""),"",IFERROR(Z50*Z59,""))</f>
        <v/>
      </c>
      <c r="AA72" s="20">
        <f>IF(OR(AA50="",AA59=""),"",IFERROR(AA50*AA59,""))</f>
        <v/>
      </c>
      <c r="AB72" s="20">
        <f>IF(OR(AB50="",AB59=""),"",IFERROR(AB50*AB59,""))</f>
        <v/>
      </c>
      <c r="AC72" s="20">
        <f>IF(OR(AC50="",AC59=""),"",IFERROR(AC50*AC59,""))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18" t="inlineStr">
        <is>
          <t>현재 시가총액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19">
        <f>$B$55</f>
        <v/>
      </c>
      <c r="Z74" s="20">
        <f>$B$55</f>
        <v/>
      </c>
      <c r="AA74" s="20">
        <f>$B$55</f>
        <v/>
      </c>
      <c r="AB74" s="20">
        <f>$B$55</f>
        <v/>
      </c>
      <c r="AC74" s="20">
        <f>$B$55</f>
        <v/>
      </c>
    </row>
    <row r="75">
      <c r="A75" s="18" t="inlineStr">
        <is>
          <t>상승여력</t>
        </is>
      </c>
      <c r="B75" s="10" t="n"/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5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7">
        <f>IF(OR(Y73="",Y74=""),"",IFERROR(Y73/Y74-1,""))</f>
        <v/>
      </c>
      <c r="Z75" s="38">
        <f>IF(OR(Z73="",Z74=""),"",IFERROR(Z73/Z74-1,""))</f>
        <v/>
      </c>
      <c r="AA75" s="38">
        <f>IF(OR(AA73="",AA74=""),"",IFERROR(AA73/AA74-1,""))</f>
        <v/>
      </c>
      <c r="AB75" s="38">
        <f>IF(OR(AB73="",AB74=""),"",IFERROR(AB73/AB74-1,""))</f>
        <v/>
      </c>
      <c r="AC75" s="38">
        <f>IF(OR(AC73="",AC74=""),"",IFERROR(AC73/AC74-1,""))</f>
        <v/>
      </c>
    </row>
    <row r="76">
      <c r="C76" s="39" t="n"/>
      <c r="O76" s="39" t="n"/>
      <c r="Y76" s="39" t="n"/>
    </row>
    <row r="77">
      <c r="A77" s="40" t="inlineStr">
        <is>
          <t>출처</t>
        </is>
      </c>
      <c r="C77" s="39" t="n"/>
      <c r="O77" s="39" t="n"/>
      <c r="Y77" s="39" t="n"/>
    </row>
    <row r="78">
      <c r="A78" s="41" t="inlineStr">
        <is>
          <t>결산단신 XBRL(TDnet·JPX 보관소) — 쓴 문서는 '출처' 시트</t>
        </is>
      </c>
      <c r="C78" s="39" t="n"/>
      <c r="O78" s="39" t="n"/>
      <c r="Y78" s="39" t="n"/>
    </row>
    <row r="79">
      <c r="A79" s="41" t="inlineStr">
        <is>
          <t>분기 = 누계에서 앞 분기를 뺀 3개월 값</t>
        </is>
      </c>
      <c r="C79" s="39" t="n"/>
      <c r="O79" s="39" t="n"/>
      <c r="Y79" s="39" t="n"/>
    </row>
    <row r="80">
      <c r="A80" s="41" t="inlineStr">
        <is>
          <t>주가: 야후 파이낸스 일봉 2026.10.23</t>
        </is>
      </c>
      <c r="C80" s="39" t="n"/>
      <c r="O80" s="39" t="n"/>
      <c r="Y80" s="39" t="n"/>
    </row>
    <row r="82">
      <c r="A82" s="16" t="inlineStr">
        <is>
          <t>손익계산서 · 전 항목</t>
        </is>
      </c>
      <c r="B82" s="42" t="inlineStr">
        <is>
          <t>분기 = 3개월 단독</t>
        </is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2024.1Q</t>
        </is>
      </c>
      <c r="D83" s="5" t="inlineStr">
        <is>
          <t>2024.2Q</t>
        </is>
      </c>
      <c r="E83" s="5" t="inlineStr">
        <is>
          <t>2024.3Q</t>
        </is>
      </c>
      <c r="F83" s="5" t="inlineStr">
        <is>
          <t>2024.4Q</t>
        </is>
      </c>
      <c r="G83" s="5" t="inlineStr">
        <is>
          <t>2025.1Q</t>
        </is>
      </c>
      <c r="H83" s="5" t="inlineStr">
        <is>
          <t>2025.2Q</t>
        </is>
      </c>
      <c r="I83" s="5" t="inlineStr">
        <is>
          <t>2025.3Q</t>
        </is>
      </c>
      <c r="J83" s="5" t="inlineStr">
        <is>
          <t>2025.4Q</t>
        </is>
      </c>
      <c r="K83" s="5" t="inlineStr">
        <is>
          <t>2026.1Q</t>
        </is>
      </c>
      <c r="L83" s="5" t="inlineStr">
        <is>
          <t>2026.2Q</t>
        </is>
      </c>
      <c r="M83" s="5" t="inlineStr">
        <is>
          <t>2026.3Q</t>
        </is>
      </c>
      <c r="N83" s="5" t="inlineStr">
        <is>
          <t>2026.4Q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304.444</v>
      </c>
      <c r="D84" s="12" t="n">
        <v>255.263</v>
      </c>
      <c r="E84" s="12" t="n">
        <v>319.179</v>
      </c>
      <c r="F84" s="12" t="n">
        <v>305.889</v>
      </c>
      <c r="G84" s="12" t="n">
        <v>340.978</v>
      </c>
      <c r="H84" s="12" t="n">
        <v>388.176</v>
      </c>
      <c r="I84" s="12" t="n">
        <v>430.963</v>
      </c>
      <c r="J84" s="12" t="n">
        <v>494.503</v>
      </c>
      <c r="K84" s="12" t="n">
        <v>515.133</v>
      </c>
      <c r="L84" s="12" t="n">
        <v>512.866</v>
      </c>
      <c r="M84" s="12" t="n">
        <v>536.773</v>
      </c>
      <c r="N84" s="12" t="n">
        <v>569.446</v>
      </c>
      <c r="T84" s="12" t="n">
        <v>206.998</v>
      </c>
      <c r="U84" s="12" t="n">
        <v>218.949</v>
      </c>
      <c r="V84" s="12" t="n">
        <v>305.889</v>
      </c>
      <c r="W84" s="12" t="n">
        <v>494.503</v>
      </c>
      <c r="X84" s="12" t="n">
        <v>569.446</v>
      </c>
    </row>
    <row r="85">
      <c r="A85" s="18" t="inlineStr">
        <is>
          <t>매출원가</t>
        </is>
      </c>
      <c r="C85" s="20" t="n">
        <v>167.321</v>
      </c>
      <c r="D85" s="20" t="n">
        <v>101.381</v>
      </c>
      <c r="E85" s="20" t="n">
        <v>123.822</v>
      </c>
      <c r="F85" s="20" t="n">
        <v>114.182</v>
      </c>
      <c r="G85" s="20" t="n">
        <v>131.335</v>
      </c>
      <c r="H85" s="20" t="n">
        <v>152.764</v>
      </c>
      <c r="I85" s="20" t="n">
        <v>159.303</v>
      </c>
      <c r="J85" s="20" t="n">
        <v>201.223</v>
      </c>
      <c r="K85" s="20" t="n">
        <v>193.579</v>
      </c>
      <c r="L85" s="20" t="n">
        <v>190.86</v>
      </c>
      <c r="M85" s="20" t="n">
        <v>201.135</v>
      </c>
      <c r="N85" s="20" t="n">
        <v>199.226</v>
      </c>
      <c r="T85" s="20" t="n">
        <v>78.556</v>
      </c>
      <c r="U85" s="20" t="n">
        <v>90.54600000000001</v>
      </c>
      <c r="V85" s="20" t="n">
        <v>114.182</v>
      </c>
      <c r="W85" s="20" t="n">
        <v>201.223</v>
      </c>
      <c r="X85" s="20" t="n">
        <v>199.226</v>
      </c>
    </row>
    <row r="86">
      <c r="A86" s="9" t="inlineStr">
        <is>
          <t>매출총이익</t>
        </is>
      </c>
      <c r="C86" s="12" t="n">
        <v>137.122</v>
      </c>
      <c r="D86" s="12" t="n">
        <v>153.882</v>
      </c>
      <c r="E86" s="12" t="n">
        <v>195.357</v>
      </c>
      <c r="F86" s="12" t="n">
        <v>191.707</v>
      </c>
      <c r="G86" s="12" t="n">
        <v>209.643</v>
      </c>
      <c r="H86" s="12" t="n">
        <v>235.411</v>
      </c>
      <c r="I86" s="12" t="n">
        <v>271.661</v>
      </c>
      <c r="J86" s="12" t="n">
        <v>293.28</v>
      </c>
      <c r="K86" s="12" t="n">
        <v>321.554</v>
      </c>
      <c r="L86" s="12" t="n">
        <v>322.006</v>
      </c>
      <c r="M86" s="12" t="n">
        <v>335.637</v>
      </c>
      <c r="N86" s="12" t="n">
        <v>370.22</v>
      </c>
      <c r="T86" s="12" t="n">
        <v>128.441</v>
      </c>
      <c r="U86" s="12" t="n">
        <v>128.404</v>
      </c>
      <c r="V86" s="12" t="n">
        <v>191.707</v>
      </c>
      <c r="W86" s="12" t="n">
        <v>293.28</v>
      </c>
      <c r="X86" s="12" t="n">
        <v>370.22</v>
      </c>
    </row>
    <row r="87">
      <c r="A87" s="18" t="inlineStr">
        <is>
          <t>판매비와 관리비</t>
        </is>
      </c>
      <c r="C87" s="20" t="n">
        <v>157.64</v>
      </c>
      <c r="D87" s="20" t="n">
        <v>148.802</v>
      </c>
      <c r="E87" s="20" t="n">
        <v>215.503</v>
      </c>
      <c r="F87" s="20" t="n">
        <v>187.399</v>
      </c>
      <c r="G87" s="20" t="n">
        <v>201.036</v>
      </c>
      <c r="H87" s="20" t="n">
        <v>211.547</v>
      </c>
      <c r="I87" s="20" t="n">
        <v>246.862</v>
      </c>
      <c r="J87" s="20" t="n">
        <v>243.294</v>
      </c>
      <c r="K87" s="20" t="n">
        <v>264.995</v>
      </c>
      <c r="L87" s="20" t="n">
        <v>273.641</v>
      </c>
      <c r="M87" s="20" t="n">
        <v>291.327</v>
      </c>
      <c r="N87" s="20" t="n">
        <v>257.451</v>
      </c>
      <c r="T87" s="20" t="n">
        <v>121.925</v>
      </c>
      <c r="U87" s="20" t="n">
        <v>164.069</v>
      </c>
      <c r="V87" s="20" t="n">
        <v>187.399</v>
      </c>
      <c r="W87" s="20" t="n">
        <v>243.294</v>
      </c>
      <c r="X87" s="20" t="n">
        <v>257.451</v>
      </c>
    </row>
    <row r="88">
      <c r="A88" s="9" t="inlineStr">
        <is>
          <t>영업이익</t>
        </is>
      </c>
      <c r="C88" s="12" t="n">
        <v>-20.517</v>
      </c>
      <c r="D88" s="12" t="n">
        <v>5.08</v>
      </c>
      <c r="E88" s="12" t="n">
        <v>-20.146</v>
      </c>
      <c r="F88" s="12" t="n">
        <v>4.308</v>
      </c>
      <c r="G88" s="12" t="n">
        <v>8.606</v>
      </c>
      <c r="H88" s="12" t="n">
        <v>23.864</v>
      </c>
      <c r="I88" s="12" t="n">
        <v>24.799</v>
      </c>
      <c r="J88" s="12" t="n">
        <v>49.987</v>
      </c>
      <c r="K88" s="12" t="n">
        <v>56.558</v>
      </c>
      <c r="L88" s="12" t="n">
        <v>48.366</v>
      </c>
      <c r="M88" s="12" t="n">
        <v>44.309</v>
      </c>
      <c r="N88" s="12" t="n">
        <v>112.769</v>
      </c>
      <c r="T88" s="12" t="n">
        <v>6.516</v>
      </c>
      <c r="U88" s="12" t="n">
        <v>-35.666</v>
      </c>
      <c r="V88" s="12" t="n">
        <v>4.308</v>
      </c>
      <c r="W88" s="12" t="n">
        <v>49.987</v>
      </c>
      <c r="X88" s="12" t="n">
        <v>112.769</v>
      </c>
    </row>
    <row r="89">
      <c r="A89" s="18" t="inlineStr">
        <is>
          <t>이자수익</t>
        </is>
      </c>
      <c r="C89" s="20" t="n">
        <v>0</v>
      </c>
      <c r="D89" s="20" t="n">
        <v>0.003</v>
      </c>
      <c r="E89" s="20" t="n">
        <v>0.003</v>
      </c>
      <c r="F89" s="20" t="n">
        <v>0.044</v>
      </c>
      <c r="G89" s="20" t="n">
        <v>0.016</v>
      </c>
      <c r="H89" s="20" t="n">
        <v>0.497</v>
      </c>
      <c r="I89" s="20" t="n">
        <v>0.036</v>
      </c>
      <c r="J89" s="20" t="n">
        <v>1.393</v>
      </c>
      <c r="K89" s="20" t="n">
        <v>0.047</v>
      </c>
      <c r="L89" s="20" t="n">
        <v>1.659</v>
      </c>
      <c r="M89" s="20" t="n">
        <v>0.065</v>
      </c>
      <c r="N89" s="20" t="n">
        <v>1.838</v>
      </c>
      <c r="T89" s="20" t="n">
        <v>0.003</v>
      </c>
      <c r="U89" s="20" t="n">
        <v>0.003</v>
      </c>
      <c r="V89" s="20" t="n">
        <v>0.044</v>
      </c>
      <c r="W89" s="20" t="n">
        <v>1.393</v>
      </c>
      <c r="X89" s="20" t="n">
        <v>1.838</v>
      </c>
    </row>
    <row r="90">
      <c r="A90" s="18" t="inlineStr">
        <is>
          <t>보조금 수입</t>
        </is>
      </c>
      <c r="C90" s="20" t="n">
        <v>0.04</v>
      </c>
      <c r="D90" s="20" t="n">
        <v>0</v>
      </c>
      <c r="E90" s="20" t="n">
        <v>0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0</v>
      </c>
      <c r="U90" s="20" t="n">
        <v>0</v>
      </c>
      <c r="V90" s="20" t="n">
        <v>0</v>
      </c>
      <c r="W90" s="20" t="n">
        <v>0</v>
      </c>
    </row>
    <row r="91">
      <c r="A91" s="18" t="inlineStr">
        <is>
          <t>포상금 수익</t>
        </is>
      </c>
      <c r="E91" s="20" t="n">
        <v>0</v>
      </c>
      <c r="F91" s="20" t="n">
        <v>0</v>
      </c>
      <c r="T91" s="20" t="n">
        <v>0</v>
      </c>
      <c r="U91" s="20" t="n">
        <v>0</v>
      </c>
      <c r="V91" s="20" t="n">
        <v>0</v>
      </c>
    </row>
    <row r="92">
      <c r="A92" s="18" t="inlineStr">
        <is>
          <t>업무수탁료</t>
        </is>
      </c>
      <c r="T92" s="20" t="n">
        <v>0</v>
      </c>
      <c r="U92" s="20" t="n">
        <v>0</v>
      </c>
    </row>
    <row r="93">
      <c r="A93" s="18" t="inlineStr">
        <is>
          <t>유가증권 이자</t>
        </is>
      </c>
      <c r="J93" s="20" t="n">
        <v>0</v>
      </c>
      <c r="N93" s="20" t="n">
        <v>1.103</v>
      </c>
      <c r="W93" s="20" t="n">
        <v>0</v>
      </c>
      <c r="X93" s="20" t="n">
        <v>1.103</v>
      </c>
    </row>
    <row r="94">
      <c r="A94" s="18" t="inlineStr">
        <is>
          <t>기타</t>
        </is>
      </c>
      <c r="C94" s="20" t="n">
        <v>0</v>
      </c>
      <c r="D94" s="20" t="n">
        <v>0.006</v>
      </c>
      <c r="E94" s="20" t="n">
        <v>0</v>
      </c>
      <c r="F94" s="20" t="n">
        <v>0</v>
      </c>
      <c r="G94" s="20" t="n">
        <v>0.002</v>
      </c>
      <c r="H94" s="20" t="n">
        <v>0.093</v>
      </c>
      <c r="I94" s="20" t="n">
        <v>0.011</v>
      </c>
      <c r="J94" s="20" t="n">
        <v>0.006</v>
      </c>
      <c r="K94" s="20" t="n">
        <v>0</v>
      </c>
      <c r="L94" s="20" t="n">
        <v>0</v>
      </c>
      <c r="M94" s="20" t="n">
        <v>0.02</v>
      </c>
      <c r="N94" s="20" t="n">
        <v>0.077</v>
      </c>
      <c r="T94" s="20" t="n">
        <v>0</v>
      </c>
      <c r="U94" s="20" t="n">
        <v>0</v>
      </c>
      <c r="V94" s="20" t="n">
        <v>0</v>
      </c>
      <c r="W94" s="20" t="n">
        <v>0.006</v>
      </c>
      <c r="X94" s="20" t="n">
        <v>0.077</v>
      </c>
    </row>
    <row r="95">
      <c r="A95" s="18" t="inlineStr">
        <is>
          <t>영업외수익 합계</t>
        </is>
      </c>
      <c r="C95" s="20" t="n">
        <v>0.04</v>
      </c>
      <c r="D95" s="20" t="n">
        <v>0.008999999999999999</v>
      </c>
      <c r="E95" s="20" t="n">
        <v>0.003</v>
      </c>
      <c r="F95" s="20" t="n">
        <v>0.045</v>
      </c>
      <c r="G95" s="20" t="n">
        <v>0.018</v>
      </c>
      <c r="H95" s="20" t="n">
        <v>0.591</v>
      </c>
      <c r="I95" s="20" t="n">
        <v>0.047</v>
      </c>
      <c r="J95" s="20" t="n">
        <v>1.398</v>
      </c>
      <c r="K95" s="20" t="n">
        <v>0.048</v>
      </c>
      <c r="L95" s="20" t="n">
        <v>1.659</v>
      </c>
      <c r="M95" s="20" t="n">
        <v>0.408</v>
      </c>
      <c r="N95" s="20" t="n">
        <v>3.019</v>
      </c>
      <c r="T95" s="20" t="n">
        <v>0.003</v>
      </c>
      <c r="U95" s="20" t="n">
        <v>0.003</v>
      </c>
      <c r="V95" s="20" t="n">
        <v>0.045</v>
      </c>
      <c r="W95" s="20" t="n">
        <v>1.398</v>
      </c>
      <c r="X95" s="20" t="n">
        <v>3.019</v>
      </c>
    </row>
    <row r="96">
      <c r="A96" s="18" t="inlineStr">
        <is>
          <t>이자비용</t>
        </is>
      </c>
      <c r="C96" s="20" t="n">
        <v>0.355</v>
      </c>
      <c r="D96" s="20" t="n">
        <v>0.43</v>
      </c>
      <c r="E96" s="20" t="n">
        <v>0.424</v>
      </c>
      <c r="F96" s="20" t="n">
        <v>0.41</v>
      </c>
      <c r="G96" s="20" t="n">
        <v>0.406</v>
      </c>
      <c r="H96" s="20" t="n">
        <v>0.394</v>
      </c>
      <c r="I96" s="20" t="n">
        <v>0.484</v>
      </c>
      <c r="J96" s="20" t="n">
        <v>0.383</v>
      </c>
      <c r="K96" s="20" t="n">
        <v>0.349</v>
      </c>
      <c r="L96" s="20" t="n">
        <v>0.331</v>
      </c>
      <c r="M96" s="20" t="n">
        <v>0.334</v>
      </c>
      <c r="N96" s="20" t="n">
        <v>0.311</v>
      </c>
      <c r="U96" s="20" t="n">
        <v>0</v>
      </c>
      <c r="V96" s="20" t="n">
        <v>0.41</v>
      </c>
      <c r="W96" s="20" t="n">
        <v>0.383</v>
      </c>
      <c r="X96" s="20" t="n">
        <v>0.311</v>
      </c>
    </row>
    <row r="97">
      <c r="A97" s="18" t="inlineStr">
        <is>
          <t>외환차손</t>
        </is>
      </c>
      <c r="C97" s="20" t="n">
        <v>0.119</v>
      </c>
      <c r="D97" s="20" t="n">
        <v>0.696</v>
      </c>
      <c r="E97" s="20" t="n">
        <v>0.318</v>
      </c>
      <c r="F97" s="20" t="n">
        <v>0.066</v>
      </c>
      <c r="G97" s="20" t="n">
        <v>0.4</v>
      </c>
      <c r="H97" s="20" t="n">
        <v>0.35</v>
      </c>
      <c r="I97" s="20" t="n">
        <v>0.07000000000000001</v>
      </c>
      <c r="J97" s="20" t="n">
        <v>-0.082</v>
      </c>
      <c r="K97" s="20" t="n">
        <v>1.355</v>
      </c>
      <c r="L97" s="20" t="n">
        <v>1.169</v>
      </c>
      <c r="M97" s="20" t="n">
        <v>0.155</v>
      </c>
      <c r="N97" s="20" t="n">
        <v>0.05</v>
      </c>
      <c r="T97" s="20" t="n">
        <v>-0.127</v>
      </c>
      <c r="U97" s="20" t="n">
        <v>0.089</v>
      </c>
      <c r="V97" s="20" t="n">
        <v>0.066</v>
      </c>
      <c r="W97" s="20" t="n">
        <v>-0.082</v>
      </c>
      <c r="X97" s="20" t="n">
        <v>0.05</v>
      </c>
    </row>
    <row r="98">
      <c r="A98" s="18" t="inlineStr">
        <is>
          <t>주식교부비</t>
        </is>
      </c>
      <c r="C98" s="20" t="n">
        <v>0</v>
      </c>
      <c r="D98" s="20" t="n">
        <v>0</v>
      </c>
      <c r="E98" s="20" t="n">
        <v>0</v>
      </c>
      <c r="F98" s="20" t="n">
        <v>0</v>
      </c>
      <c r="G98" s="20" t="n">
        <v>14.011</v>
      </c>
      <c r="H98" s="20" t="n">
        <v>0</v>
      </c>
      <c r="I98" s="20" t="n">
        <v>0</v>
      </c>
      <c r="J98" s="20" t="n">
        <v>0</v>
      </c>
      <c r="K98" s="20" t="n">
        <v>0</v>
      </c>
      <c r="L98" s="20" t="n">
        <v>0</v>
      </c>
      <c r="M98" s="20" t="n">
        <v>0</v>
      </c>
      <c r="N98" s="20" t="n">
        <v>0</v>
      </c>
      <c r="T98" s="20" t="n">
        <v>0</v>
      </c>
      <c r="U98" s="20" t="n">
        <v>0</v>
      </c>
      <c r="V98" s="20" t="n">
        <v>0</v>
      </c>
      <c r="W98" s="20" t="n">
        <v>0</v>
      </c>
      <c r="X98" s="20" t="n">
        <v>0</v>
      </c>
    </row>
    <row r="99">
      <c r="A99" s="18" t="inlineStr">
        <is>
          <t>기타</t>
        </is>
      </c>
      <c r="C99" s="20" t="n">
        <v>0</v>
      </c>
      <c r="D99" s="20" t="n">
        <v>0</v>
      </c>
      <c r="E99" s="20" t="n">
        <v>0</v>
      </c>
      <c r="F99" s="20" t="n">
        <v>0.002</v>
      </c>
      <c r="G99" s="20" t="n">
        <v>0.002</v>
      </c>
      <c r="H99" s="20" t="n">
        <v>0.075</v>
      </c>
      <c r="I99" s="20" t="n">
        <v>0.003</v>
      </c>
      <c r="J99" s="20" t="n">
        <v>0.113</v>
      </c>
      <c r="K99" s="20" t="n">
        <v>0.037</v>
      </c>
      <c r="L99" s="20" t="n">
        <v>0.097</v>
      </c>
      <c r="M99" s="20" t="n">
        <v>0.028</v>
      </c>
      <c r="N99" s="20" t="n">
        <v>0.143</v>
      </c>
      <c r="T99" s="20" t="n">
        <v>-0.003</v>
      </c>
      <c r="U99" s="20" t="n">
        <v>0</v>
      </c>
      <c r="V99" s="20" t="n">
        <v>0.002</v>
      </c>
      <c r="W99" s="20" t="n">
        <v>0.113</v>
      </c>
      <c r="X99" s="20" t="n">
        <v>0.143</v>
      </c>
    </row>
    <row r="100">
      <c r="A100" s="18" t="inlineStr">
        <is>
          <t>영업외비용 합계</t>
        </is>
      </c>
      <c r="C100" s="20" t="n">
        <v>0.475</v>
      </c>
      <c r="D100" s="20" t="n">
        <v>1.126</v>
      </c>
      <c r="E100" s="20" t="n">
        <v>0.741</v>
      </c>
      <c r="F100" s="20" t="n">
        <v>0.479</v>
      </c>
      <c r="G100" s="20" t="n">
        <v>14.821</v>
      </c>
      <c r="H100" s="20" t="n">
        <v>0.819</v>
      </c>
      <c r="I100" s="20" t="n">
        <v>0.556</v>
      </c>
      <c r="J100" s="20" t="n">
        <v>0.414</v>
      </c>
      <c r="K100" s="20" t="n">
        <v>1.742</v>
      </c>
      <c r="L100" s="20" t="n">
        <v>1.597</v>
      </c>
      <c r="M100" s="20" t="n">
        <v>0.517</v>
      </c>
      <c r="N100" s="20" t="n">
        <v>0.505</v>
      </c>
      <c r="T100" s="20" t="n">
        <v>-0.13</v>
      </c>
      <c r="U100" s="20" t="n">
        <v>0.08799999999999999</v>
      </c>
      <c r="V100" s="20" t="n">
        <v>0.479</v>
      </c>
      <c r="W100" s="20" t="n">
        <v>0.414</v>
      </c>
      <c r="X100" s="20" t="n">
        <v>0.505</v>
      </c>
    </row>
    <row r="101">
      <c r="A101" s="9" t="inlineStr">
        <is>
          <t>경상이익</t>
        </is>
      </c>
      <c r="C101" s="12" t="n">
        <v>-20.953</v>
      </c>
      <c r="D101" s="12" t="n">
        <v>3.965</v>
      </c>
      <c r="E101" s="12" t="n">
        <v>-20.886</v>
      </c>
      <c r="F101" s="12" t="n">
        <v>3.874</v>
      </c>
      <c r="G101" s="12" t="n">
        <v>-6.195</v>
      </c>
      <c r="H101" s="12" t="n">
        <v>23.634</v>
      </c>
      <c r="I101" s="12" t="n">
        <v>24.289</v>
      </c>
      <c r="J101" s="12" t="n">
        <v>50.972</v>
      </c>
      <c r="K101" s="12" t="n">
        <v>54.864</v>
      </c>
      <c r="L101" s="12" t="n">
        <v>48.428</v>
      </c>
      <c r="M101" s="12" t="n">
        <v>44.2</v>
      </c>
      <c r="N101" s="12" t="n">
        <v>115.283</v>
      </c>
      <c r="T101" s="12" t="n">
        <v>6.649</v>
      </c>
      <c r="U101" s="12" t="n">
        <v>-35.751</v>
      </c>
      <c r="V101" s="12" t="n">
        <v>3.874</v>
      </c>
      <c r="W101" s="12" t="n">
        <v>50.972</v>
      </c>
      <c r="X101" s="12" t="n">
        <v>115.283</v>
      </c>
    </row>
    <row r="102">
      <c r="A102" s="18" t="inlineStr">
        <is>
          <t>투자유가증권 평가손실</t>
        </is>
      </c>
      <c r="E102" s="20" t="n">
        <v>0</v>
      </c>
      <c r="F102" s="20" t="n">
        <v>0</v>
      </c>
      <c r="T102" s="20" t="n">
        <v>0</v>
      </c>
      <c r="U102" s="20" t="n">
        <v>0</v>
      </c>
      <c r="V102" s="20" t="n">
        <v>0</v>
      </c>
    </row>
    <row r="103">
      <c r="A103" s="18" t="inlineStr">
        <is>
          <t>특별손실 합계</t>
        </is>
      </c>
      <c r="E103" s="20" t="n">
        <v>0</v>
      </c>
      <c r="F103" s="20" t="n">
        <v>0</v>
      </c>
      <c r="T103" s="20" t="n">
        <v>0</v>
      </c>
      <c r="U103" s="20" t="n">
        <v>0</v>
      </c>
      <c r="V103" s="20" t="n">
        <v>0</v>
      </c>
    </row>
    <row r="104">
      <c r="A104" s="9" t="inlineStr">
        <is>
          <t>법인세차감전 순이익</t>
        </is>
      </c>
      <c r="C104" s="12" t="n">
        <v>-20.953</v>
      </c>
      <c r="D104" s="12" t="n">
        <v>3.965</v>
      </c>
      <c r="E104" s="12" t="n">
        <v>-20.886</v>
      </c>
      <c r="F104" s="12" t="n">
        <v>3.874</v>
      </c>
      <c r="G104" s="12" t="n">
        <v>-6.195</v>
      </c>
      <c r="H104" s="12" t="n">
        <v>23.634</v>
      </c>
      <c r="I104" s="12" t="n">
        <v>24.289</v>
      </c>
      <c r="J104" s="12" t="n">
        <v>50.972</v>
      </c>
      <c r="K104" s="12" t="n">
        <v>54.864</v>
      </c>
      <c r="L104" s="12" t="n">
        <v>48.428</v>
      </c>
      <c r="M104" s="12" t="n">
        <v>44.2</v>
      </c>
      <c r="N104" s="12" t="n">
        <v>115.283</v>
      </c>
      <c r="T104" s="12" t="n">
        <v>6.649</v>
      </c>
      <c r="U104" s="12" t="n">
        <v>-35.751</v>
      </c>
      <c r="V104" s="12" t="n">
        <v>3.874</v>
      </c>
      <c r="W104" s="12" t="n">
        <v>50.972</v>
      </c>
      <c r="X104" s="12" t="n">
        <v>115.283</v>
      </c>
    </row>
    <row r="105">
      <c r="A105" s="18" t="inlineStr">
        <is>
          <t>법인세·주민세·사업세</t>
        </is>
      </c>
      <c r="C105" s="20" t="n">
        <v>0.07199999999999999</v>
      </c>
      <c r="D105" s="20" t="n">
        <v>0.073</v>
      </c>
      <c r="E105" s="20" t="n">
        <v>0.07199999999999999</v>
      </c>
      <c r="F105" s="20" t="n">
        <v>0.313</v>
      </c>
      <c r="G105" s="20" t="n">
        <v>0.572</v>
      </c>
      <c r="H105" s="20" t="n">
        <v>4.416</v>
      </c>
      <c r="I105" s="20" t="n">
        <v>5.725</v>
      </c>
      <c r="J105" s="20" t="n">
        <v>10.365</v>
      </c>
      <c r="K105" s="20" t="n">
        <v>7.805</v>
      </c>
      <c r="L105" s="20" t="n">
        <v>7.481</v>
      </c>
      <c r="M105" s="20" t="n">
        <v>9.351000000000001</v>
      </c>
      <c r="N105" s="20" t="n">
        <v>11.968</v>
      </c>
      <c r="T105" s="20" t="n">
        <v>0.073</v>
      </c>
      <c r="U105" s="20" t="n">
        <v>0.073</v>
      </c>
      <c r="V105" s="20" t="n">
        <v>0.313</v>
      </c>
      <c r="W105" s="20" t="n">
        <v>10.365</v>
      </c>
      <c r="X105" s="20" t="n">
        <v>11.968</v>
      </c>
    </row>
    <row r="106">
      <c r="A106" s="18" t="inlineStr">
        <is>
          <t>법인세 조정액</t>
        </is>
      </c>
      <c r="C106" s="20" t="n">
        <v>-0.745</v>
      </c>
      <c r="D106" s="20" t="n">
        <v>-0.357</v>
      </c>
      <c r="E106" s="20" t="n">
        <v>-0.327</v>
      </c>
      <c r="F106" s="20" t="n">
        <v>-1.252</v>
      </c>
      <c r="G106" s="20" t="n">
        <v>-1.294</v>
      </c>
      <c r="H106" s="20" t="n">
        <v>-1.202</v>
      </c>
      <c r="I106" s="20" t="n">
        <v>-0.544</v>
      </c>
      <c r="J106" s="20" t="n">
        <v>-37.511</v>
      </c>
      <c r="K106" s="20" t="n">
        <v>-0.597</v>
      </c>
      <c r="L106" s="20" t="n">
        <v>1.528</v>
      </c>
      <c r="M106" s="20" t="n">
        <v>-3.63</v>
      </c>
      <c r="N106" s="20" t="n">
        <v>-25.876</v>
      </c>
      <c r="T106" s="20" t="n">
        <v>-0.533</v>
      </c>
      <c r="U106" s="20" t="n">
        <v>9.411</v>
      </c>
      <c r="V106" s="20" t="n">
        <v>-1.252</v>
      </c>
      <c r="W106" s="20" t="n">
        <v>-37.511</v>
      </c>
      <c r="X106" s="20" t="n">
        <v>-25.876</v>
      </c>
    </row>
    <row r="107">
      <c r="A107" s="18" t="inlineStr">
        <is>
          <t>법인세 등 합계</t>
        </is>
      </c>
      <c r="C107" s="20" t="n">
        <v>-0.672</v>
      </c>
      <c r="D107" s="20" t="n">
        <v>-0.285</v>
      </c>
      <c r="E107" s="20" t="n">
        <v>-0.254</v>
      </c>
      <c r="F107" s="20" t="n">
        <v>-0.9399999999999999</v>
      </c>
      <c r="G107" s="20" t="n">
        <v>-0.721</v>
      </c>
      <c r="H107" s="20" t="n">
        <v>3.213</v>
      </c>
      <c r="I107" s="20" t="n">
        <v>5.181</v>
      </c>
      <c r="J107" s="20" t="n">
        <v>-27.145</v>
      </c>
      <c r="K107" s="20" t="n">
        <v>7.207</v>
      </c>
      <c r="L107" s="20" t="n">
        <v>9.010999999999999</v>
      </c>
      <c r="M107" s="20" t="n">
        <v>5.72</v>
      </c>
      <c r="N107" s="20" t="n">
        <v>-13.909</v>
      </c>
      <c r="T107" s="20" t="n">
        <v>-0.46</v>
      </c>
      <c r="U107" s="20" t="n">
        <v>9.483000000000001</v>
      </c>
      <c r="V107" s="20" t="n">
        <v>-0.9399999999999999</v>
      </c>
      <c r="W107" s="20" t="n">
        <v>-27.145</v>
      </c>
      <c r="X107" s="20" t="n">
        <v>-13.909</v>
      </c>
    </row>
    <row r="108">
      <c r="A108" s="9" t="inlineStr">
        <is>
          <t>순이익</t>
        </is>
      </c>
      <c r="C108" s="12" t="n">
        <v>-20.28</v>
      </c>
      <c r="D108" s="12" t="n">
        <v>4.249</v>
      </c>
      <c r="E108" s="12" t="n">
        <v>-20.631</v>
      </c>
      <c r="F108" s="12" t="n">
        <v>4.814</v>
      </c>
      <c r="G108" s="12" t="n">
        <v>-5.474</v>
      </c>
      <c r="H108" s="12" t="n">
        <v>20.421</v>
      </c>
      <c r="I108" s="12" t="n">
        <v>19.108</v>
      </c>
      <c r="J108" s="12" t="n">
        <v>78.117</v>
      </c>
      <c r="K108" s="12" t="n">
        <v>47.656</v>
      </c>
      <c r="L108" s="12" t="n">
        <v>39.418</v>
      </c>
      <c r="M108" s="12" t="n">
        <v>38.48</v>
      </c>
      <c r="N108" s="12" t="n">
        <v>129.192</v>
      </c>
      <c r="T108" s="12" t="n">
        <v>7.11</v>
      </c>
      <c r="U108" s="12" t="n">
        <v>-45.236</v>
      </c>
      <c r="V108" s="12" t="n">
        <v>4.814</v>
      </c>
      <c r="W108" s="12" t="n">
        <v>78.117</v>
      </c>
      <c r="X108" s="12" t="n">
        <v>129.192</v>
      </c>
    </row>
    <row r="110">
      <c r="A110" s="16" t="inlineStr">
        <is>
          <t>부문 · 전 항목</t>
        </is>
      </c>
      <c r="B110" s="42" t="inlineStr">
        <is>
          <t>부문 · 항목</t>
        </is>
      </c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</row>
    <row r="111">
      <c r="A111" s="5" t="inlineStr">
        <is>
          <t>항목</t>
        </is>
      </c>
      <c r="B111" s="5" t="inlineStr">
        <is>
          <t>참고</t>
        </is>
      </c>
      <c r="C111" s="5" t="inlineStr">
        <is>
          <t>2024.1Q</t>
        </is>
      </c>
      <c r="D111" s="5" t="inlineStr">
        <is>
          <t>2024.2Q</t>
        </is>
      </c>
      <c r="E111" s="5" t="inlineStr">
        <is>
          <t>2024.3Q</t>
        </is>
      </c>
      <c r="F111" s="5" t="inlineStr">
        <is>
          <t>2024.4Q</t>
        </is>
      </c>
      <c r="G111" s="5" t="inlineStr">
        <is>
          <t>2025.1Q</t>
        </is>
      </c>
      <c r="H111" s="5" t="inlineStr">
        <is>
          <t>2025.2Q</t>
        </is>
      </c>
      <c r="I111" s="5" t="inlineStr">
        <is>
          <t>2025.3Q</t>
        </is>
      </c>
      <c r="J111" s="5" t="inlineStr">
        <is>
          <t>2025.4Q</t>
        </is>
      </c>
      <c r="K111" s="5" t="inlineStr">
        <is>
          <t>2026.1Q</t>
        </is>
      </c>
      <c r="L111" s="5" t="inlineStr">
        <is>
          <t>2026.2Q</t>
        </is>
      </c>
      <c r="M111" s="5" t="inlineStr">
        <is>
          <t>2026.3Q</t>
        </is>
      </c>
      <c r="N111" s="5" t="inlineStr">
        <is>
          <t>2026.4Q</t>
        </is>
      </c>
      <c r="O111" s="5" t="inlineStr">
        <is>
          <t>2017</t>
        </is>
      </c>
      <c r="P111" s="5" t="inlineStr">
        <is>
          <t>2018</t>
        </is>
      </c>
      <c r="Q111" s="5" t="inlineStr">
        <is>
          <t>2019</t>
        </is>
      </c>
      <c r="R111" s="5" t="inlineStr">
        <is>
          <t>2020</t>
        </is>
      </c>
      <c r="S111" s="5" t="inlineStr">
        <is>
          <t>2021</t>
        </is>
      </c>
      <c r="T111" s="5" t="inlineStr">
        <is>
          <t>2022</t>
        </is>
      </c>
      <c r="U111" s="5" t="inlineStr">
        <is>
          <t>2023</t>
        </is>
      </c>
      <c r="V111" s="5" t="inlineStr">
        <is>
          <t>2024</t>
        </is>
      </c>
      <c r="W111" s="5" t="inlineStr">
        <is>
          <t>2025</t>
        </is>
      </c>
      <c r="X111" s="5" t="inlineStr">
        <is>
          <t>2026</t>
        </is>
      </c>
      <c r="Y111" s="5" t="inlineStr">
        <is>
          <t>2027(MW)</t>
        </is>
      </c>
      <c r="Z111" s="5" t="inlineStr">
        <is>
          <t>2028(MW)</t>
        </is>
      </c>
      <c r="AA111" s="5" t="inlineStr">
        <is>
          <t>2029(MW)</t>
        </is>
      </c>
      <c r="AB111" s="5" t="inlineStr">
        <is>
          <t>2030(MW)</t>
        </is>
      </c>
      <c r="AC111" s="5" t="inlineStr">
        <is>
          <t>2031(MW)</t>
        </is>
      </c>
    </row>
    <row r="112">
      <c r="A112" s="18" t="inlineStr">
        <is>
          <t>BuddycomBusinessReportableSegmentMember · 외부 고객 매출</t>
        </is>
      </c>
      <c r="C112" s="20" t="n">
        <v>303.07</v>
      </c>
      <c r="D112" s="20" t="n">
        <v>253.889</v>
      </c>
      <c r="E112" s="20" t="n">
        <v>317.837</v>
      </c>
      <c r="F112" s="20" t="n">
        <v>304.565</v>
      </c>
      <c r="G112" s="20" t="n">
        <v>339.653</v>
      </c>
      <c r="H112" s="20" t="n">
        <v>388.101</v>
      </c>
      <c r="I112" s="20" t="n">
        <v>430.888</v>
      </c>
      <c r="J112" s="20" t="n">
        <v>494.428</v>
      </c>
      <c r="K112" s="20" t="n">
        <v>515.058</v>
      </c>
      <c r="L112" s="20" t="n">
        <v>512.7910000000001</v>
      </c>
      <c r="M112" s="20" t="n">
        <v>536.706</v>
      </c>
      <c r="N112" s="20" t="n">
        <v>569.396</v>
      </c>
      <c r="V112" s="20" t="n">
        <v>304.565</v>
      </c>
      <c r="W112" s="20" t="n">
        <v>494.428</v>
      </c>
      <c r="X112" s="20" t="n">
        <v>569.396</v>
      </c>
    </row>
    <row r="113">
      <c r="A113" s="18" t="inlineStr">
        <is>
          <t>보고부문 합계 · 외부 고객 매출</t>
        </is>
      </c>
      <c r="C113" s="20" t="n">
        <v>303.07</v>
      </c>
      <c r="D113" s="20" t="n">
        <v>253.889</v>
      </c>
      <c r="E113" s="20" t="n">
        <v>317.837</v>
      </c>
      <c r="F113" s="20" t="n">
        <v>304.565</v>
      </c>
      <c r="G113" s="20" t="n">
        <v>339.653</v>
      </c>
      <c r="H113" s="20" t="n">
        <v>388.101</v>
      </c>
      <c r="I113" s="20" t="n">
        <v>430.888</v>
      </c>
      <c r="J113" s="20" t="n">
        <v>494.428</v>
      </c>
      <c r="K113" s="20" t="n">
        <v>515.058</v>
      </c>
      <c r="L113" s="20" t="n">
        <v>512.7910000000001</v>
      </c>
      <c r="M113" s="20" t="n">
        <v>536.706</v>
      </c>
      <c r="N113" s="20" t="n">
        <v>569.396</v>
      </c>
      <c r="V113" s="20" t="n">
        <v>304.565</v>
      </c>
      <c r="W113" s="20" t="n">
        <v>494.428</v>
      </c>
      <c r="X113" s="20" t="n">
        <v>569.396</v>
      </c>
    </row>
    <row r="114">
      <c r="A114" s="18" t="inlineStr">
        <is>
          <t>기타 · 외부 고객 매출</t>
        </is>
      </c>
      <c r="C114" s="20" t="n">
        <v>1.374</v>
      </c>
      <c r="D114" s="20" t="n">
        <v>1.374</v>
      </c>
      <c r="E114" s="20" t="n">
        <v>1.341</v>
      </c>
      <c r="F114" s="20" t="n">
        <v>1.325</v>
      </c>
      <c r="G114" s="20" t="n">
        <v>1.325</v>
      </c>
      <c r="H114" s="20" t="n">
        <v>0.075</v>
      </c>
      <c r="I114" s="20" t="n">
        <v>0.075</v>
      </c>
      <c r="J114" s="20" t="n">
        <v>0.075</v>
      </c>
      <c r="K114" s="20" t="n">
        <v>0.075</v>
      </c>
      <c r="L114" s="20" t="n">
        <v>0.075</v>
      </c>
      <c r="M114" s="20" t="n">
        <v>0.066</v>
      </c>
      <c r="N114" s="20" t="n">
        <v>0.05</v>
      </c>
      <c r="V114" s="20" t="n">
        <v>1.325</v>
      </c>
      <c r="W114" s="20" t="n">
        <v>0.075</v>
      </c>
      <c r="X114" s="20" t="n">
        <v>0.05</v>
      </c>
    </row>
    <row r="115">
      <c r="A115" s="18" t="inlineStr">
        <is>
          <t>합계 · 외부 고객 매출</t>
        </is>
      </c>
      <c r="C115" s="20" t="n">
        <v>304.444</v>
      </c>
      <c r="D115" s="20" t="n">
        <v>255.263</v>
      </c>
      <c r="E115" s="20" t="n">
        <v>319.179</v>
      </c>
      <c r="F115" s="20" t="n">
        <v>305.889</v>
      </c>
      <c r="G115" s="20" t="n">
        <v>340.978</v>
      </c>
      <c r="H115" s="20" t="n">
        <v>388.176</v>
      </c>
      <c r="I115" s="20" t="n">
        <v>430.963</v>
      </c>
      <c r="J115" s="20" t="n">
        <v>494.503</v>
      </c>
      <c r="K115" s="20" t="n">
        <v>515.133</v>
      </c>
      <c r="L115" s="20" t="n">
        <v>512.866</v>
      </c>
      <c r="M115" s="20" t="n">
        <v>536.773</v>
      </c>
      <c r="N115" s="20" t="n">
        <v>569.446</v>
      </c>
      <c r="V115" s="20" t="n">
        <v>305.889</v>
      </c>
      <c r="W115" s="20" t="n">
        <v>494.503</v>
      </c>
      <c r="X115" s="20" t="n">
        <v>569.446</v>
      </c>
    </row>
    <row r="116">
      <c r="A116" s="18" t="inlineStr">
        <is>
          <t>조정액 · 외부 고객 매출</t>
        </is>
      </c>
      <c r="C116" s="20" t="n">
        <v>0</v>
      </c>
      <c r="D116" s="20" t="n">
        <v>0</v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0</v>
      </c>
      <c r="J116" s="20" t="n">
        <v>0</v>
      </c>
      <c r="K116" s="20" t="n">
        <v>0</v>
      </c>
      <c r="L116" s="20" t="n">
        <v>0</v>
      </c>
      <c r="M116" s="20" t="n">
        <v>0</v>
      </c>
      <c r="N116" s="20" t="n">
        <v>0</v>
      </c>
      <c r="V116" s="20" t="n">
        <v>0</v>
      </c>
      <c r="W116" s="20" t="n">
        <v>0</v>
      </c>
      <c r="X116" s="20" t="n">
        <v>0</v>
      </c>
    </row>
    <row r="117">
      <c r="A117" s="18" t="inlineStr">
        <is>
          <t>EntityTotalMember · 외부 고객 매출</t>
        </is>
      </c>
      <c r="G117" s="20" t="n">
        <v>340.978</v>
      </c>
      <c r="K117" s="20" t="n">
        <v>515.133</v>
      </c>
    </row>
    <row r="118">
      <c r="A118" s="9" t="inlineStr">
        <is>
          <t>외부 고객 매출</t>
        </is>
      </c>
      <c r="C118" s="12" t="n">
        <v>304.444</v>
      </c>
      <c r="D118" s="12" t="n">
        <v>255.263</v>
      </c>
      <c r="E118" s="12" t="n">
        <v>319.179</v>
      </c>
      <c r="F118" s="12" t="n">
        <v>305.889</v>
      </c>
      <c r="G118" s="12" t="n">
        <v>340.978</v>
      </c>
      <c r="H118" s="12" t="n">
        <v>388.176</v>
      </c>
      <c r="I118" s="12" t="n">
        <v>430.963</v>
      </c>
      <c r="J118" s="12" t="n">
        <v>494.503</v>
      </c>
      <c r="V118" s="12" t="n">
        <v>305.889</v>
      </c>
      <c r="W118" s="12" t="n">
        <v>494.503</v>
      </c>
    </row>
    <row r="119">
      <c r="A119" s="18" t="inlineStr">
        <is>
          <t>BuddycomBusinessReportableSegmentMember · 부문 간 내부매출·대체</t>
        </is>
      </c>
      <c r="C119" s="20" t="n">
        <v>0</v>
      </c>
      <c r="D119" s="20" t="n">
        <v>0</v>
      </c>
      <c r="E119" s="20" t="n">
        <v>0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0</v>
      </c>
      <c r="V119" s="20" t="n">
        <v>0</v>
      </c>
      <c r="W119" s="20" t="n">
        <v>0</v>
      </c>
      <c r="X119" s="20" t="n">
        <v>0</v>
      </c>
    </row>
    <row r="120">
      <c r="A120" s="18" t="inlineStr">
        <is>
          <t>보고부문 합계 · 부문 간 내부매출·대체</t>
        </is>
      </c>
      <c r="C120" s="20" t="n">
        <v>0</v>
      </c>
      <c r="D120" s="20" t="n">
        <v>0</v>
      </c>
      <c r="E120" s="20" t="n">
        <v>0</v>
      </c>
      <c r="F120" s="20" t="n">
        <v>0</v>
      </c>
      <c r="G120" s="20" t="n">
        <v>0</v>
      </c>
      <c r="H120" s="20" t="n">
        <v>0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0</v>
      </c>
      <c r="N120" s="20" t="n">
        <v>0</v>
      </c>
      <c r="V120" s="20" t="n">
        <v>0</v>
      </c>
      <c r="W120" s="20" t="n">
        <v>0</v>
      </c>
      <c r="X120" s="20" t="n">
        <v>0</v>
      </c>
    </row>
    <row r="121">
      <c r="A121" s="18" t="inlineStr">
        <is>
          <t>기타 · 부문 간 내부매출·대체</t>
        </is>
      </c>
      <c r="C121" s="20" t="n">
        <v>0</v>
      </c>
      <c r="D121" s="20" t="n">
        <v>0</v>
      </c>
      <c r="E121" s="20" t="n">
        <v>0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0" t="n">
        <v>0</v>
      </c>
      <c r="V121" s="20" t="n">
        <v>0</v>
      </c>
      <c r="W121" s="20" t="n">
        <v>0</v>
      </c>
      <c r="X121" s="20" t="n">
        <v>0</v>
      </c>
    </row>
    <row r="122">
      <c r="A122" s="18" t="inlineStr">
        <is>
          <t>합계 · 부문 간 내부매출·대체</t>
        </is>
      </c>
      <c r="C122" s="20" t="n">
        <v>0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0</v>
      </c>
      <c r="N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조정액 · 부문 간 내부매출·대체</t>
        </is>
      </c>
      <c r="C123" s="20" t="n">
        <v>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0</v>
      </c>
      <c r="J123" s="20" t="n">
        <v>0</v>
      </c>
      <c r="K123" s="20" t="n">
        <v>0</v>
      </c>
      <c r="L123" s="20" t="n">
        <v>0</v>
      </c>
      <c r="M123" s="20" t="n">
        <v>0</v>
      </c>
      <c r="N123" s="20" t="n">
        <v>0</v>
      </c>
      <c r="V123" s="20" t="n">
        <v>0</v>
      </c>
      <c r="W123" s="20" t="n">
        <v>0</v>
      </c>
      <c r="X123" s="20" t="n">
        <v>0</v>
      </c>
    </row>
    <row r="124">
      <c r="A124" s="18" t="inlineStr">
        <is>
          <t>EntityTotalMember · 부문 간 내부매출·대체</t>
        </is>
      </c>
      <c r="G124" s="20" t="n">
        <v>0</v>
      </c>
      <c r="K124" s="20" t="n">
        <v>0</v>
      </c>
    </row>
    <row r="125">
      <c r="A125" s="18" t="inlineStr">
        <is>
          <t>부문 간 내부매출·대체</t>
        </is>
      </c>
      <c r="C125" s="20" t="n">
        <v>0</v>
      </c>
      <c r="D125" s="20" t="n">
        <v>0</v>
      </c>
      <c r="E125" s="20" t="n">
        <v>0</v>
      </c>
      <c r="F125" s="20" t="n">
        <v>0</v>
      </c>
      <c r="G125" s="20" t="n">
        <v>0</v>
      </c>
      <c r="H125" s="20" t="n">
        <v>0</v>
      </c>
      <c r="I125" s="20" t="n">
        <v>0</v>
      </c>
      <c r="J125" s="20" t="n">
        <v>0</v>
      </c>
      <c r="V125" s="20" t="n">
        <v>0</v>
      </c>
      <c r="W125" s="20" t="n">
        <v>0</v>
      </c>
    </row>
    <row r="126">
      <c r="A126" s="18" t="inlineStr">
        <is>
          <t>BuddycomBusinessReportableSegmentMember · 계</t>
        </is>
      </c>
      <c r="C126" s="20" t="n">
        <v>303.07</v>
      </c>
      <c r="D126" s="20" t="n">
        <v>253.889</v>
      </c>
      <c r="E126" s="20" t="n">
        <v>317.837</v>
      </c>
      <c r="F126" s="20" t="n">
        <v>304.565</v>
      </c>
      <c r="G126" s="20" t="n">
        <v>339.653</v>
      </c>
      <c r="H126" s="20" t="n">
        <v>388.101</v>
      </c>
      <c r="I126" s="20" t="n">
        <v>430.888</v>
      </c>
      <c r="J126" s="20" t="n">
        <v>494.428</v>
      </c>
      <c r="K126" s="20" t="n">
        <v>515.058</v>
      </c>
      <c r="L126" s="20" t="n">
        <v>512.7910000000001</v>
      </c>
      <c r="M126" s="20" t="n">
        <v>536.706</v>
      </c>
      <c r="N126" s="20" t="n">
        <v>569.396</v>
      </c>
      <c r="V126" s="20" t="n">
        <v>304.565</v>
      </c>
      <c r="W126" s="20" t="n">
        <v>494.428</v>
      </c>
      <c r="X126" s="20" t="n">
        <v>569.396</v>
      </c>
    </row>
    <row r="127">
      <c r="A127" s="18" t="inlineStr">
        <is>
          <t>보고부문 합계 · 계</t>
        </is>
      </c>
      <c r="C127" s="20" t="n">
        <v>303.07</v>
      </c>
      <c r="D127" s="20" t="n">
        <v>253.889</v>
      </c>
      <c r="E127" s="20" t="n">
        <v>317.837</v>
      </c>
      <c r="F127" s="20" t="n">
        <v>304.565</v>
      </c>
      <c r="G127" s="20" t="n">
        <v>339.653</v>
      </c>
      <c r="H127" s="20" t="n">
        <v>388.101</v>
      </c>
      <c r="I127" s="20" t="n">
        <v>430.888</v>
      </c>
      <c r="J127" s="20" t="n">
        <v>494.428</v>
      </c>
      <c r="K127" s="20" t="n">
        <v>515.058</v>
      </c>
      <c r="L127" s="20" t="n">
        <v>512.7910000000001</v>
      </c>
      <c r="M127" s="20" t="n">
        <v>536.706</v>
      </c>
      <c r="N127" s="20" t="n">
        <v>569.396</v>
      </c>
      <c r="V127" s="20" t="n">
        <v>304.565</v>
      </c>
      <c r="W127" s="20" t="n">
        <v>494.428</v>
      </c>
      <c r="X127" s="20" t="n">
        <v>569.396</v>
      </c>
    </row>
    <row r="128">
      <c r="A128" s="18" t="inlineStr">
        <is>
          <t>기타 · 계</t>
        </is>
      </c>
      <c r="C128" s="20" t="n">
        <v>1.374</v>
      </c>
      <c r="D128" s="20" t="n">
        <v>1.374</v>
      </c>
      <c r="E128" s="20" t="n">
        <v>1.341</v>
      </c>
      <c r="F128" s="20" t="n">
        <v>1.325</v>
      </c>
      <c r="G128" s="20" t="n">
        <v>1.325</v>
      </c>
      <c r="H128" s="20" t="n">
        <v>0.075</v>
      </c>
      <c r="I128" s="20" t="n">
        <v>0.075</v>
      </c>
      <c r="J128" s="20" t="n">
        <v>0.075</v>
      </c>
      <c r="K128" s="20" t="n">
        <v>0.075</v>
      </c>
      <c r="L128" s="20" t="n">
        <v>0.075</v>
      </c>
      <c r="M128" s="20" t="n">
        <v>0.066</v>
      </c>
      <c r="N128" s="20" t="n">
        <v>0.05</v>
      </c>
      <c r="V128" s="20" t="n">
        <v>1.325</v>
      </c>
      <c r="W128" s="20" t="n">
        <v>0.075</v>
      </c>
      <c r="X128" s="20" t="n">
        <v>0.05</v>
      </c>
    </row>
    <row r="129">
      <c r="A129" s="18" t="inlineStr">
        <is>
          <t>합계 · 계</t>
        </is>
      </c>
      <c r="C129" s="20" t="n">
        <v>304.444</v>
      </c>
      <c r="D129" s="20" t="n">
        <v>255.263</v>
      </c>
      <c r="E129" s="20" t="n">
        <v>319.179</v>
      </c>
      <c r="F129" s="20" t="n">
        <v>305.889</v>
      </c>
      <c r="G129" s="20" t="n">
        <v>340.978</v>
      </c>
      <c r="H129" s="20" t="n">
        <v>388.176</v>
      </c>
      <c r="I129" s="20" t="n">
        <v>430.963</v>
      </c>
      <c r="J129" s="20" t="n">
        <v>494.503</v>
      </c>
      <c r="K129" s="20" t="n">
        <v>515.133</v>
      </c>
      <c r="L129" s="20" t="n">
        <v>512.866</v>
      </c>
      <c r="M129" s="20" t="n">
        <v>536.773</v>
      </c>
      <c r="N129" s="20" t="n">
        <v>569.446</v>
      </c>
      <c r="V129" s="20" t="n">
        <v>305.889</v>
      </c>
      <c r="W129" s="20" t="n">
        <v>494.503</v>
      </c>
      <c r="X129" s="20" t="n">
        <v>569.446</v>
      </c>
    </row>
    <row r="130">
      <c r="A130" s="18" t="inlineStr">
        <is>
          <t>조정액 · 계</t>
        </is>
      </c>
      <c r="C130" s="20" t="n">
        <v>0</v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0</v>
      </c>
      <c r="K130" s="20" t="n">
        <v>0</v>
      </c>
      <c r="L130" s="20" t="n">
        <v>0</v>
      </c>
      <c r="M130" s="20" t="n">
        <v>0</v>
      </c>
      <c r="N130" s="20" t="n">
        <v>0</v>
      </c>
      <c r="V130" s="20" t="n">
        <v>0</v>
      </c>
      <c r="W130" s="20" t="n">
        <v>0</v>
      </c>
      <c r="X130" s="20" t="n">
        <v>0</v>
      </c>
    </row>
    <row r="131">
      <c r="A131" s="18" t="inlineStr">
        <is>
          <t>EntityTotalMember · 계</t>
        </is>
      </c>
      <c r="G131" s="20" t="n">
        <v>340.978</v>
      </c>
      <c r="K131" s="20" t="n">
        <v>515.133</v>
      </c>
    </row>
    <row r="132">
      <c r="A132" s="9" t="inlineStr">
        <is>
          <t>계</t>
        </is>
      </c>
      <c r="C132" s="12" t="n">
        <v>304.444</v>
      </c>
      <c r="D132" s="12" t="n">
        <v>255.263</v>
      </c>
      <c r="E132" s="12" t="n">
        <v>319.179</v>
      </c>
      <c r="F132" s="12" t="n">
        <v>305.889</v>
      </c>
      <c r="G132" s="12" t="n">
        <v>340.978</v>
      </c>
      <c r="H132" s="12" t="n">
        <v>388.176</v>
      </c>
      <c r="I132" s="12" t="n">
        <v>430.963</v>
      </c>
      <c r="J132" s="12" t="n">
        <v>494.503</v>
      </c>
      <c r="V132" s="12" t="n">
        <v>305.889</v>
      </c>
      <c r="W132" s="12" t="n">
        <v>494.503</v>
      </c>
    </row>
    <row r="133">
      <c r="A133" s="18" t="inlineStr">
        <is>
          <t>BuddycomBusinessReportableSegmentMember · 부문 이익</t>
        </is>
      </c>
      <c r="C133" s="20" t="n">
        <v>-21.655</v>
      </c>
      <c r="D133" s="20" t="n">
        <v>3.962</v>
      </c>
      <c r="E133" s="20" t="n">
        <v>-21.286</v>
      </c>
      <c r="F133" s="20" t="n">
        <v>3.193</v>
      </c>
      <c r="G133" s="20" t="n">
        <v>7.466</v>
      </c>
      <c r="H133" s="20" t="n">
        <v>23.815</v>
      </c>
      <c r="I133" s="20" t="n">
        <v>24.741</v>
      </c>
      <c r="J133" s="20" t="n">
        <v>49.915</v>
      </c>
      <c r="K133" s="20" t="n">
        <v>56.497</v>
      </c>
      <c r="L133" s="20" t="n">
        <v>48.304</v>
      </c>
      <c r="M133" s="20" t="n">
        <v>44.256</v>
      </c>
      <c r="N133" s="20" t="n">
        <v>112.725</v>
      </c>
      <c r="V133" s="20" t="n">
        <v>3.193</v>
      </c>
      <c r="W133" s="20" t="n">
        <v>49.915</v>
      </c>
      <c r="X133" s="20" t="n">
        <v>112.725</v>
      </c>
    </row>
    <row r="134">
      <c r="A134" s="18" t="inlineStr">
        <is>
          <t>보고부문 합계 · 부문 이익</t>
        </is>
      </c>
      <c r="C134" s="20" t="n">
        <v>-21.655</v>
      </c>
      <c r="D134" s="20" t="n">
        <v>3.962</v>
      </c>
      <c r="E134" s="20" t="n">
        <v>-21.286</v>
      </c>
      <c r="F134" s="20" t="n">
        <v>3.193</v>
      </c>
      <c r="G134" s="20" t="n">
        <v>7.466</v>
      </c>
      <c r="H134" s="20" t="n">
        <v>23.815</v>
      </c>
      <c r="I134" s="20" t="n">
        <v>24.741</v>
      </c>
      <c r="J134" s="20" t="n">
        <v>49.915</v>
      </c>
      <c r="K134" s="20" t="n">
        <v>56.497</v>
      </c>
      <c r="L134" s="20" t="n">
        <v>48.304</v>
      </c>
      <c r="M134" s="20" t="n">
        <v>44.256</v>
      </c>
      <c r="N134" s="20" t="n">
        <v>112.725</v>
      </c>
      <c r="V134" s="20" t="n">
        <v>3.193</v>
      </c>
      <c r="W134" s="20" t="n">
        <v>49.915</v>
      </c>
      <c r="X134" s="20" t="n">
        <v>112.725</v>
      </c>
    </row>
    <row r="135">
      <c r="A135" s="18" t="inlineStr">
        <is>
          <t>기타 · 부문 이익</t>
        </is>
      </c>
      <c r="C135" s="20" t="n">
        <v>1.137</v>
      </c>
      <c r="D135" s="20" t="n">
        <v>1.118</v>
      </c>
      <c r="E135" s="20" t="n">
        <v>1.14</v>
      </c>
      <c r="F135" s="20" t="n">
        <v>1.115</v>
      </c>
      <c r="G135" s="20" t="n">
        <v>1.14</v>
      </c>
      <c r="H135" s="20" t="n">
        <v>0.048</v>
      </c>
      <c r="I135" s="20" t="n">
        <v>0.059</v>
      </c>
      <c r="J135" s="20" t="n">
        <v>0.07099999999999999</v>
      </c>
      <c r="K135" s="20" t="n">
        <v>0.061</v>
      </c>
      <c r="L135" s="20" t="n">
        <v>0.061</v>
      </c>
      <c r="M135" s="20" t="n">
        <v>0.054</v>
      </c>
      <c r="N135" s="20" t="n">
        <v>0.044</v>
      </c>
      <c r="V135" s="20" t="n">
        <v>1.115</v>
      </c>
      <c r="W135" s="20" t="n">
        <v>0.07099999999999999</v>
      </c>
      <c r="X135" s="20" t="n">
        <v>0.044</v>
      </c>
    </row>
    <row r="136">
      <c r="A136" s="18" t="inlineStr">
        <is>
          <t>합계 · 부문 이익</t>
        </is>
      </c>
      <c r="C136" s="20" t="n">
        <v>-20.517</v>
      </c>
      <c r="D136" s="20" t="n">
        <v>5.08</v>
      </c>
      <c r="E136" s="20" t="n">
        <v>-20.146</v>
      </c>
      <c r="F136" s="20" t="n">
        <v>4.308</v>
      </c>
      <c r="G136" s="20" t="n">
        <v>8.606</v>
      </c>
      <c r="H136" s="20" t="n">
        <v>23.864</v>
      </c>
      <c r="I136" s="20" t="n">
        <v>24.799</v>
      </c>
      <c r="J136" s="20" t="n">
        <v>49.987</v>
      </c>
      <c r="K136" s="20" t="n">
        <v>56.558</v>
      </c>
      <c r="L136" s="20" t="n">
        <v>48.366</v>
      </c>
      <c r="M136" s="20" t="n">
        <v>44.309</v>
      </c>
      <c r="N136" s="20" t="n">
        <v>112.769</v>
      </c>
      <c r="V136" s="20" t="n">
        <v>4.308</v>
      </c>
      <c r="W136" s="20" t="n">
        <v>49.987</v>
      </c>
      <c r="X136" s="20" t="n">
        <v>112.769</v>
      </c>
    </row>
    <row r="137">
      <c r="A137" s="18" t="inlineStr">
        <is>
          <t>조정액 · 부문 이익</t>
        </is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0</v>
      </c>
      <c r="I137" s="20" t="n">
        <v>0</v>
      </c>
      <c r="J137" s="20" t="n">
        <v>0</v>
      </c>
      <c r="K137" s="20" t="n">
        <v>0</v>
      </c>
      <c r="L137" s="20" t="n">
        <v>0</v>
      </c>
      <c r="M137" s="20" t="n">
        <v>0</v>
      </c>
      <c r="N137" s="20" t="n">
        <v>0</v>
      </c>
      <c r="V137" s="20" t="n">
        <v>0</v>
      </c>
      <c r="W137" s="20" t="n">
        <v>0</v>
      </c>
      <c r="X137" s="20" t="n">
        <v>0</v>
      </c>
    </row>
    <row r="138">
      <c r="A138" s="18" t="inlineStr">
        <is>
          <t>EntityTotalMember · 부문 이익</t>
        </is>
      </c>
      <c r="G138" s="20" t="n">
        <v>8.606</v>
      </c>
      <c r="K138" s="20" t="n">
        <v>56.558</v>
      </c>
    </row>
    <row r="139">
      <c r="A139" s="9" t="inlineStr">
        <is>
          <t>부문 이익</t>
        </is>
      </c>
      <c r="C139" s="12" t="n">
        <v>-20.517</v>
      </c>
      <c r="D139" s="12" t="n">
        <v>5.08</v>
      </c>
      <c r="E139" s="12" t="n">
        <v>-20.146</v>
      </c>
      <c r="F139" s="12" t="n">
        <v>4.308</v>
      </c>
      <c r="G139" s="12" t="n">
        <v>8.606</v>
      </c>
      <c r="H139" s="12" t="n">
        <v>23.864</v>
      </c>
      <c r="I139" s="12" t="n">
        <v>24.799</v>
      </c>
      <c r="J139" s="12" t="n">
        <v>49.987</v>
      </c>
      <c r="V139" s="12" t="n">
        <v>4.308</v>
      </c>
      <c r="W139" s="12" t="n">
        <v>49.987</v>
      </c>
    </row>
    <row r="141">
      <c r="A141" s="16" t="inlineStr">
        <is>
          <t>현금흐름표 · 전 항목</t>
        </is>
      </c>
      <c r="B141" s="42" t="inlineStr">
        <is>
          <t>분기 = 결산기 첫날부터 누계(공시 그대로)</t>
        </is>
      </c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</row>
    <row r="142">
      <c r="A142" s="5" t="inlineStr">
        <is>
          <t>항목</t>
        </is>
      </c>
      <c r="B142" s="5" t="inlineStr">
        <is>
          <t>참고</t>
        </is>
      </c>
      <c r="C142" s="5" t="inlineStr">
        <is>
          <t>2024.1Q</t>
        </is>
      </c>
      <c r="D142" s="5" t="inlineStr">
        <is>
          <t>2024.2Q</t>
        </is>
      </c>
      <c r="E142" s="5" t="inlineStr">
        <is>
          <t>2024.3Q</t>
        </is>
      </c>
      <c r="F142" s="5" t="inlineStr">
        <is>
          <t>2024.4Q</t>
        </is>
      </c>
      <c r="G142" s="5" t="inlineStr">
        <is>
          <t>2025.1Q</t>
        </is>
      </c>
      <c r="H142" s="5" t="inlineStr">
        <is>
          <t>2025.2Q</t>
        </is>
      </c>
      <c r="I142" s="5" t="inlineStr">
        <is>
          <t>2025.3Q</t>
        </is>
      </c>
      <c r="J142" s="5" t="inlineStr">
        <is>
          <t>2025.4Q</t>
        </is>
      </c>
      <c r="K142" s="5" t="inlineStr">
        <is>
          <t>2026.1Q</t>
        </is>
      </c>
      <c r="L142" s="5" t="inlineStr">
        <is>
          <t>2026.2Q</t>
        </is>
      </c>
      <c r="M142" s="5" t="inlineStr">
        <is>
          <t>2026.3Q</t>
        </is>
      </c>
      <c r="N142" s="5" t="inlineStr">
        <is>
          <t>2026.4Q</t>
        </is>
      </c>
      <c r="O142" s="5" t="inlineStr">
        <is>
          <t>2017</t>
        </is>
      </c>
      <c r="P142" s="5" t="inlineStr">
        <is>
          <t>2018</t>
        </is>
      </c>
      <c r="Q142" s="5" t="inlineStr">
        <is>
          <t>2019</t>
        </is>
      </c>
      <c r="R142" s="5" t="inlineStr">
        <is>
          <t>2020</t>
        </is>
      </c>
      <c r="S142" s="5" t="inlineStr">
        <is>
          <t>2021</t>
        </is>
      </c>
      <c r="T142" s="5" t="inlineStr">
        <is>
          <t>2022</t>
        </is>
      </c>
      <c r="U142" s="5" t="inlineStr">
        <is>
          <t>2023</t>
        </is>
      </c>
      <c r="V142" s="5" t="inlineStr">
        <is>
          <t>2024</t>
        </is>
      </c>
      <c r="W142" s="5" t="inlineStr">
        <is>
          <t>2025</t>
        </is>
      </c>
      <c r="X142" s="5" t="inlineStr">
        <is>
          <t>2026</t>
        </is>
      </c>
      <c r="Y142" s="5" t="inlineStr">
        <is>
          <t>2027(MW)</t>
        </is>
      </c>
      <c r="Z142" s="5" t="inlineStr">
        <is>
          <t>2028(MW)</t>
        </is>
      </c>
      <c r="AA142" s="5" t="inlineStr">
        <is>
          <t>2029(MW)</t>
        </is>
      </c>
      <c r="AB142" s="5" t="inlineStr">
        <is>
          <t>2030(MW)</t>
        </is>
      </c>
      <c r="AC142" s="5" t="inlineStr">
        <is>
          <t>2031(MW)</t>
        </is>
      </c>
    </row>
    <row r="143">
      <c r="A143" s="9" t="inlineStr">
        <is>
          <t>법인세차감전 순이익</t>
        </is>
      </c>
      <c r="D143" s="12" t="n">
        <v>-16.988</v>
      </c>
      <c r="F143" s="12" t="n">
        <v>-34</v>
      </c>
      <c r="H143" s="12" t="n">
        <v>17.439</v>
      </c>
      <c r="J143" s="12" t="n">
        <v>92.7</v>
      </c>
      <c r="L143" s="12" t="n">
        <v>103.292</v>
      </c>
      <c r="N143" s="12" t="n">
        <v>262.775</v>
      </c>
      <c r="S143" s="12" t="n">
        <v>-95.666</v>
      </c>
      <c r="T143" s="12" t="n">
        <v>9.84</v>
      </c>
      <c r="U143" s="12" t="n">
        <v>-72.468</v>
      </c>
      <c r="V143" s="12" t="n">
        <v>-34</v>
      </c>
      <c r="W143" s="12" t="n">
        <v>92.7</v>
      </c>
      <c r="X143" s="12" t="n">
        <v>262.775</v>
      </c>
    </row>
    <row r="144">
      <c r="A144" s="18" t="inlineStr">
        <is>
          <t>감가상각비</t>
        </is>
      </c>
      <c r="D144" s="20" t="n">
        <v>6.718</v>
      </c>
      <c r="F144" s="20" t="n">
        <v>13.64</v>
      </c>
      <c r="H144" s="20" t="n">
        <v>7.239</v>
      </c>
      <c r="J144" s="20" t="n">
        <v>15.884</v>
      </c>
      <c r="L144" s="20" t="n">
        <v>28.413</v>
      </c>
      <c r="N144" s="20" t="n">
        <v>28.641</v>
      </c>
      <c r="S144" s="20" t="n">
        <v>1.594</v>
      </c>
      <c r="T144" s="20" t="n">
        <v>3.997</v>
      </c>
      <c r="U144" s="20" t="n">
        <v>21.665</v>
      </c>
      <c r="V144" s="20" t="n">
        <v>13.64</v>
      </c>
      <c r="W144" s="20" t="n">
        <v>15.884</v>
      </c>
      <c r="X144" s="20" t="n">
        <v>28.641</v>
      </c>
    </row>
    <row r="145">
      <c r="A145" s="18" t="inlineStr">
        <is>
          <t>상여충당금 증감</t>
        </is>
      </c>
      <c r="H145" s="20" t="n">
        <v>0</v>
      </c>
      <c r="L145" s="20" t="n">
        <v>7.326</v>
      </c>
    </row>
    <row r="146">
      <c r="A146" s="18" t="inlineStr">
        <is>
          <t>이자·배당금 수익</t>
        </is>
      </c>
      <c r="D146" s="20" t="n">
        <v>-0.003</v>
      </c>
      <c r="F146" s="20" t="n">
        <v>-0.05</v>
      </c>
      <c r="H146" s="20" t="n">
        <v>-0.513</v>
      </c>
      <c r="J146" s="20" t="n">
        <v>-1.942</v>
      </c>
      <c r="L146" s="20" t="n">
        <v>-1.706</v>
      </c>
      <c r="N146" s="20" t="n">
        <v>-3.609</v>
      </c>
      <c r="S146" s="20" t="n">
        <v>-0.004</v>
      </c>
      <c r="T146" s="20" t="n">
        <v>-0.005</v>
      </c>
      <c r="U146" s="20" t="n">
        <v>-0.006</v>
      </c>
      <c r="V146" s="20" t="n">
        <v>-0.05</v>
      </c>
      <c r="W146" s="20" t="n">
        <v>-1.942</v>
      </c>
      <c r="X146" s="20" t="n">
        <v>-3.609</v>
      </c>
    </row>
    <row r="147">
      <c r="A147" s="18" t="inlineStr">
        <is>
          <t>보조금 수입</t>
        </is>
      </c>
      <c r="D147" s="20" t="n">
        <v>-0.04</v>
      </c>
      <c r="F147" s="20" t="n">
        <v>-0.04</v>
      </c>
      <c r="H147" s="20" t="n">
        <v>0</v>
      </c>
      <c r="J147" s="20" t="n">
        <v>0</v>
      </c>
      <c r="U147" s="20" t="n">
        <v>0</v>
      </c>
      <c r="V147" s="20" t="n">
        <v>-0.04</v>
      </c>
      <c r="W147" s="20" t="n">
        <v>0</v>
      </c>
    </row>
    <row r="148">
      <c r="A148" s="18" t="inlineStr">
        <is>
          <t>유가증권 이자</t>
        </is>
      </c>
      <c r="J148" s="20" t="n">
        <v>0</v>
      </c>
      <c r="N148" s="20" t="n">
        <v>-1.426</v>
      </c>
      <c r="W148" s="20" t="n">
        <v>0</v>
      </c>
      <c r="X148" s="20" t="n">
        <v>-1.426</v>
      </c>
    </row>
    <row r="149">
      <c r="A149" s="18" t="inlineStr">
        <is>
          <t>외환차손익</t>
        </is>
      </c>
      <c r="F149" s="20" t="n">
        <v>0.004</v>
      </c>
      <c r="J149" s="20" t="n">
        <v>-0.001</v>
      </c>
      <c r="N149" s="20" t="n">
        <v>-0.006</v>
      </c>
      <c r="U149" s="20" t="n">
        <v>0</v>
      </c>
      <c r="V149" s="20" t="n">
        <v>0.004</v>
      </c>
      <c r="W149" s="20" t="n">
        <v>-0.001</v>
      </c>
      <c r="X149" s="20" t="n">
        <v>-0.006</v>
      </c>
    </row>
    <row r="150">
      <c r="A150" s="18" t="inlineStr">
        <is>
          <t>이자비용</t>
        </is>
      </c>
      <c r="D150" s="20" t="n">
        <v>0.785</v>
      </c>
      <c r="F150" s="20" t="n">
        <v>1.619</v>
      </c>
      <c r="H150" s="20" t="n">
        <v>0.8</v>
      </c>
      <c r="J150" s="20" t="n">
        <v>1.667</v>
      </c>
      <c r="L150" s="20" t="n">
        <v>0.68</v>
      </c>
      <c r="N150" s="20" t="n">
        <v>1.325</v>
      </c>
      <c r="S150" s="20" t="n">
        <v>0.576</v>
      </c>
      <c r="T150" s="20" t="n">
        <v>0</v>
      </c>
      <c r="U150" s="20" t="n">
        <v>0</v>
      </c>
      <c r="V150" s="20" t="n">
        <v>1.619</v>
      </c>
      <c r="W150" s="20" t="n">
        <v>1.667</v>
      </c>
      <c r="X150" s="20" t="n">
        <v>1.325</v>
      </c>
    </row>
    <row r="151">
      <c r="A151" s="18" t="inlineStr">
        <is>
          <t>투자유가증권 평가손익</t>
        </is>
      </c>
      <c r="D151" s="20" t="n">
        <v>0</v>
      </c>
      <c r="F151" s="20" t="n">
        <v>0</v>
      </c>
      <c r="U151" s="20" t="n">
        <v>4.999</v>
      </c>
      <c r="V151" s="20" t="n">
        <v>0</v>
      </c>
    </row>
    <row r="152">
      <c r="A152" s="18" t="inlineStr">
        <is>
          <t>주식교부비</t>
        </is>
      </c>
      <c r="D152" s="20" t="n">
        <v>0</v>
      </c>
      <c r="F152" s="20" t="n">
        <v>0</v>
      </c>
      <c r="H152" s="20" t="n">
        <v>14.011</v>
      </c>
      <c r="J152" s="20" t="n">
        <v>14.011</v>
      </c>
      <c r="L152" s="20" t="n">
        <v>0</v>
      </c>
      <c r="N152" s="20" t="n">
        <v>0</v>
      </c>
      <c r="S152" s="20" t="n">
        <v>0</v>
      </c>
      <c r="T152" s="20" t="n">
        <v>4.353</v>
      </c>
      <c r="U152" s="20" t="n">
        <v>0</v>
      </c>
      <c r="V152" s="20" t="n">
        <v>0</v>
      </c>
      <c r="W152" s="20" t="n">
        <v>14.011</v>
      </c>
      <c r="X152" s="20" t="n">
        <v>0</v>
      </c>
    </row>
    <row r="153">
      <c r="A153" s="18" t="inlineStr">
        <is>
          <t>매출채권 증감</t>
        </is>
      </c>
      <c r="D153" s="20" t="n">
        <v>-17.01</v>
      </c>
      <c r="F153" s="20" t="n">
        <v>-35.365</v>
      </c>
      <c r="H153" s="20" t="n">
        <v>-11.636</v>
      </c>
      <c r="J153" s="20" t="n">
        <v>-50.145</v>
      </c>
      <c r="L153" s="20" t="n">
        <v>-16.752</v>
      </c>
      <c r="N153" s="20" t="n">
        <v>34.528</v>
      </c>
      <c r="S153" s="20" t="n">
        <v>-35.703</v>
      </c>
      <c r="T153" s="20" t="n">
        <v>10.947</v>
      </c>
      <c r="U153" s="20" t="n">
        <v>-30.557</v>
      </c>
      <c r="V153" s="20" t="n">
        <v>-35.365</v>
      </c>
      <c r="W153" s="20" t="n">
        <v>-50.145</v>
      </c>
      <c r="X153" s="20" t="n">
        <v>34.528</v>
      </c>
    </row>
    <row r="154">
      <c r="A154" s="18" t="inlineStr">
        <is>
          <t>재고자산 증감</t>
        </is>
      </c>
      <c r="D154" s="20" t="n">
        <v>1.754</v>
      </c>
      <c r="F154" s="20" t="n">
        <v>11.264</v>
      </c>
      <c r="H154" s="20" t="n">
        <v>4.023</v>
      </c>
      <c r="J154" s="20" t="n">
        <v>5.448</v>
      </c>
      <c r="L154" s="20" t="n">
        <v>-101.247</v>
      </c>
      <c r="N154" s="20" t="n">
        <v>-70.125</v>
      </c>
      <c r="S154" s="20" t="n">
        <v>-6.379</v>
      </c>
      <c r="T154" s="20" t="n">
        <v>-15.307</v>
      </c>
      <c r="U154" s="20" t="n">
        <v>-47.863</v>
      </c>
      <c r="V154" s="20" t="n">
        <v>11.264</v>
      </c>
      <c r="W154" s="20" t="n">
        <v>5.448</v>
      </c>
      <c r="X154" s="20" t="n">
        <v>-70.125</v>
      </c>
    </row>
    <row r="155">
      <c r="A155" s="18" t="inlineStr">
        <is>
          <t>선급비용 증감</t>
        </is>
      </c>
      <c r="D155" s="20" t="n">
        <v>-9.808999999999999</v>
      </c>
      <c r="F155" s="20" t="n">
        <v>-5.755</v>
      </c>
      <c r="H155" s="20" t="n">
        <v>-0.782</v>
      </c>
      <c r="J155" s="20" t="n">
        <v>-3.788</v>
      </c>
      <c r="L155" s="20" t="n">
        <v>8.529</v>
      </c>
      <c r="N155" s="20" t="n">
        <v>21.848</v>
      </c>
      <c r="S155" s="20" t="n">
        <v>1.266</v>
      </c>
      <c r="T155" s="20" t="n">
        <v>-7.964</v>
      </c>
      <c r="U155" s="20" t="n">
        <v>-6.249</v>
      </c>
      <c r="V155" s="20" t="n">
        <v>-5.755</v>
      </c>
      <c r="W155" s="20" t="n">
        <v>-3.788</v>
      </c>
      <c r="X155" s="20" t="n">
        <v>21.848</v>
      </c>
    </row>
    <row r="156">
      <c r="A156" s="18" t="inlineStr">
        <is>
          <t>선급금 증감</t>
        </is>
      </c>
      <c r="S156" s="20" t="n">
        <v>1.92</v>
      </c>
      <c r="T156" s="20" t="n">
        <v>0.029</v>
      </c>
      <c r="U156" s="20" t="n">
        <v>0</v>
      </c>
    </row>
    <row r="157">
      <c r="A157" s="18" t="inlineStr">
        <is>
          <t>매입채무 증감</t>
        </is>
      </c>
      <c r="D157" s="20" t="n">
        <v>-6.408</v>
      </c>
      <c r="F157" s="20" t="n">
        <v>-9.173999999999999</v>
      </c>
      <c r="H157" s="20" t="n">
        <v>42.686</v>
      </c>
      <c r="J157" s="20" t="n">
        <v>32.89</v>
      </c>
      <c r="L157" s="20" t="n">
        <v>59.091</v>
      </c>
      <c r="N157" s="20" t="n">
        <v>-15.531</v>
      </c>
      <c r="S157" s="20" t="n">
        <v>20.973</v>
      </c>
      <c r="T157" s="20" t="n">
        <v>-11.078</v>
      </c>
      <c r="U157" s="20" t="n">
        <v>3.423</v>
      </c>
      <c r="V157" s="20" t="n">
        <v>-9.173999999999999</v>
      </c>
      <c r="W157" s="20" t="n">
        <v>32.89</v>
      </c>
      <c r="X157" s="20" t="n">
        <v>-15.531</v>
      </c>
    </row>
    <row r="158">
      <c r="A158" s="18" t="inlineStr">
        <is>
          <t>미지급금 증감</t>
        </is>
      </c>
      <c r="D158" s="20" t="n">
        <v>-6.775</v>
      </c>
      <c r="F158" s="20" t="n">
        <v>9.632</v>
      </c>
      <c r="H158" s="20" t="n">
        <v>-12.074</v>
      </c>
      <c r="J158" s="20" t="n">
        <v>1.842</v>
      </c>
      <c r="L158" s="20" t="n">
        <v>-6.535</v>
      </c>
      <c r="N158" s="20" t="n">
        <v>-2.863</v>
      </c>
      <c r="S158" s="20" t="n">
        <v>-0.959</v>
      </c>
      <c r="T158" s="20" t="n">
        <v>16.891</v>
      </c>
      <c r="U158" s="20" t="n">
        <v>3.363</v>
      </c>
      <c r="V158" s="20" t="n">
        <v>9.632</v>
      </c>
      <c r="W158" s="20" t="n">
        <v>1.842</v>
      </c>
      <c r="X158" s="20" t="n">
        <v>-2.863</v>
      </c>
    </row>
    <row r="159">
      <c r="A159" s="18" t="inlineStr">
        <is>
          <t>미지급비용 증감</t>
        </is>
      </c>
      <c r="D159" s="20" t="n">
        <v>-10.377</v>
      </c>
      <c r="F159" s="20" t="n">
        <v>-10.623</v>
      </c>
      <c r="H159" s="20" t="n">
        <v>2.401</v>
      </c>
      <c r="J159" s="20" t="n">
        <v>8.896000000000001</v>
      </c>
      <c r="L159" s="20" t="n">
        <v>14.057</v>
      </c>
      <c r="N159" s="20" t="n">
        <v>17.511</v>
      </c>
      <c r="S159" s="20" t="n">
        <v>5.779</v>
      </c>
      <c r="T159" s="20" t="n">
        <v>5.131</v>
      </c>
      <c r="U159" s="20" t="n">
        <v>21.293</v>
      </c>
      <c r="V159" s="20" t="n">
        <v>-10.623</v>
      </c>
      <c r="W159" s="20" t="n">
        <v>8.896000000000001</v>
      </c>
      <c r="X159" s="20" t="n">
        <v>17.511</v>
      </c>
    </row>
    <row r="160">
      <c r="A160" s="18" t="inlineStr">
        <is>
          <t>미지급법인세(외형표준과세) 증감</t>
        </is>
      </c>
      <c r="D160" s="20" t="n">
        <v>0</v>
      </c>
      <c r="F160" s="20" t="n">
        <v>0</v>
      </c>
      <c r="H160" s="20" t="n">
        <v>7.497</v>
      </c>
      <c r="J160" s="20" t="n">
        <v>15.54</v>
      </c>
      <c r="L160" s="20" t="n">
        <v>-6.892</v>
      </c>
      <c r="N160" s="20" t="n">
        <v>3.056</v>
      </c>
      <c r="V160" s="20" t="n">
        <v>0</v>
      </c>
      <c r="W160" s="20" t="n">
        <v>15.54</v>
      </c>
      <c r="X160" s="20" t="n">
        <v>3.056</v>
      </c>
    </row>
    <row r="161">
      <c r="A161" s="18" t="inlineStr">
        <is>
          <t>선수수익 증감</t>
        </is>
      </c>
      <c r="D161" s="20" t="n">
        <v>40.994</v>
      </c>
      <c r="F161" s="20" t="n">
        <v>36.813</v>
      </c>
      <c r="H161" s="20" t="n">
        <v>65.681</v>
      </c>
      <c r="J161" s="20" t="n">
        <v>137.117</v>
      </c>
      <c r="L161" s="20" t="n">
        <v>61.91</v>
      </c>
      <c r="N161" s="20" t="n">
        <v>184.848</v>
      </c>
      <c r="S161" s="20" t="n">
        <v>9.128</v>
      </c>
      <c r="T161" s="20" t="n">
        <v>87.982</v>
      </c>
      <c r="U161" s="20" t="n">
        <v>43.755</v>
      </c>
      <c r="V161" s="20" t="n">
        <v>36.813</v>
      </c>
      <c r="W161" s="20" t="n">
        <v>137.117</v>
      </c>
      <c r="X161" s="20" t="n">
        <v>184.848</v>
      </c>
    </row>
    <row r="162">
      <c r="A162" s="18" t="inlineStr">
        <is>
          <t>예수금 증감</t>
        </is>
      </c>
      <c r="F162" s="20" t="n">
        <v>2.759</v>
      </c>
      <c r="J162" s="20" t="n">
        <v>2.909</v>
      </c>
      <c r="N162" s="20" t="n">
        <v>-3.321</v>
      </c>
      <c r="S162" s="20" t="n">
        <v>0.366</v>
      </c>
      <c r="T162" s="20" t="n">
        <v>-0.143</v>
      </c>
      <c r="U162" s="20" t="n">
        <v>1.668</v>
      </c>
      <c r="V162" s="20" t="n">
        <v>2.759</v>
      </c>
      <c r="W162" s="20" t="n">
        <v>2.909</v>
      </c>
      <c r="X162" s="20" t="n">
        <v>-3.321</v>
      </c>
    </row>
    <row r="163">
      <c r="A163" s="18" t="inlineStr">
        <is>
          <t>미지급 소비세 증감</t>
        </is>
      </c>
      <c r="D163" s="20" t="n">
        <v>9.917</v>
      </c>
      <c r="F163" s="20" t="n">
        <v>20.218</v>
      </c>
      <c r="H163" s="20" t="n">
        <v>-1.878</v>
      </c>
      <c r="J163" s="20" t="n">
        <v>17.536</v>
      </c>
      <c r="L163" s="20" t="n">
        <v>-21.713</v>
      </c>
      <c r="N163" s="20" t="n">
        <v>-6.527</v>
      </c>
      <c r="S163" s="20" t="n">
        <v>-1.337</v>
      </c>
      <c r="T163" s="20" t="n">
        <v>9.618</v>
      </c>
      <c r="U163" s="20" t="n">
        <v>-13.731</v>
      </c>
      <c r="V163" s="20" t="n">
        <v>20.218</v>
      </c>
      <c r="W163" s="20" t="n">
        <v>17.536</v>
      </c>
      <c r="X163" s="20" t="n">
        <v>-6.527</v>
      </c>
    </row>
    <row r="164">
      <c r="A164" s="18" t="inlineStr">
        <is>
          <t>기타</t>
        </is>
      </c>
      <c r="D164" s="20" t="n">
        <v>-0.5649999999999999</v>
      </c>
      <c r="F164" s="20" t="n">
        <v>2.12</v>
      </c>
      <c r="H164" s="20" t="n">
        <v>-0.65</v>
      </c>
      <c r="J164" s="20" t="n">
        <v>0.334</v>
      </c>
      <c r="L164" s="20" t="n">
        <v>4.225</v>
      </c>
      <c r="N164" s="20" t="n">
        <v>-1.449</v>
      </c>
      <c r="S164" s="20" t="n">
        <v>1.607</v>
      </c>
      <c r="T164" s="20" t="n">
        <v>-2.757</v>
      </c>
      <c r="U164" s="20" t="n">
        <v>3.98</v>
      </c>
      <c r="V164" s="20" t="n">
        <v>2.12</v>
      </c>
      <c r="W164" s="20" t="n">
        <v>0.334</v>
      </c>
      <c r="X164" s="20" t="n">
        <v>-1.449</v>
      </c>
    </row>
    <row r="165">
      <c r="A165" s="18" t="inlineStr">
        <is>
          <t>소계</t>
        </is>
      </c>
      <c r="D165" s="20" t="n">
        <v>-7.808</v>
      </c>
      <c r="F165" s="20" t="n">
        <v>3.063</v>
      </c>
      <c r="H165" s="20" t="n">
        <v>134.246</v>
      </c>
      <c r="J165" s="20" t="n">
        <v>290.904</v>
      </c>
      <c r="L165" s="20" t="n">
        <v>132.68</v>
      </c>
      <c r="N165" s="20" t="n">
        <v>449.673</v>
      </c>
      <c r="S165" s="20" t="n">
        <v>-96.83799999999999</v>
      </c>
      <c r="T165" s="20" t="n">
        <v>111.533</v>
      </c>
      <c r="U165" s="20" t="n">
        <v>-66.726</v>
      </c>
      <c r="V165" s="20" t="n">
        <v>3.063</v>
      </c>
      <c r="W165" s="20" t="n">
        <v>290.904</v>
      </c>
      <c r="X165" s="20" t="n">
        <v>449.673</v>
      </c>
    </row>
    <row r="166">
      <c r="A166" s="18" t="inlineStr">
        <is>
          <t>이자·배당금 수취</t>
        </is>
      </c>
      <c r="D166" s="20" t="n">
        <v>0.003</v>
      </c>
      <c r="F166" s="20" t="n">
        <v>0.05</v>
      </c>
      <c r="H166" s="20" t="n">
        <v>0.513</v>
      </c>
      <c r="J166" s="20" t="n">
        <v>1.942</v>
      </c>
      <c r="L166" s="20" t="n">
        <v>1.706</v>
      </c>
      <c r="N166" s="20" t="n">
        <v>5.036</v>
      </c>
      <c r="S166" s="20" t="n">
        <v>0.004</v>
      </c>
      <c r="T166" s="20" t="n">
        <v>0.005</v>
      </c>
      <c r="U166" s="20" t="n">
        <v>0.006</v>
      </c>
      <c r="V166" s="20" t="n">
        <v>0.05</v>
      </c>
      <c r="W166" s="20" t="n">
        <v>1.942</v>
      </c>
      <c r="X166" s="20" t="n">
        <v>5.036</v>
      </c>
    </row>
    <row r="167">
      <c r="A167" s="18" t="inlineStr">
        <is>
          <t>업무수탁료 수취</t>
        </is>
      </c>
      <c r="S167" s="20" t="n">
        <v>0</v>
      </c>
      <c r="T167" s="20" t="n">
        <v>3</v>
      </c>
      <c r="U167" s="20" t="n">
        <v>0</v>
      </c>
    </row>
    <row r="168">
      <c r="A168" s="18" t="inlineStr">
        <is>
          <t>보조금 수취</t>
        </is>
      </c>
      <c r="D168" s="20" t="n">
        <v>0.04</v>
      </c>
      <c r="F168" s="20" t="n">
        <v>0.04</v>
      </c>
      <c r="H168" s="20" t="n">
        <v>0</v>
      </c>
      <c r="J168" s="20" t="n">
        <v>0</v>
      </c>
      <c r="U168" s="20" t="n">
        <v>0</v>
      </c>
      <c r="V168" s="20" t="n">
        <v>0.04</v>
      </c>
      <c r="W168" s="20" t="n">
        <v>0</v>
      </c>
    </row>
    <row r="169">
      <c r="A169" s="18" t="inlineStr">
        <is>
          <t>포상금 수취</t>
        </is>
      </c>
      <c r="D169" s="20" t="n">
        <v>0</v>
      </c>
      <c r="F169" s="20" t="n">
        <v>0</v>
      </c>
      <c r="T169" s="20" t="n">
        <v>0</v>
      </c>
      <c r="U169" s="20" t="n">
        <v>0.09</v>
      </c>
      <c r="V169" s="20" t="n">
        <v>0</v>
      </c>
    </row>
    <row r="170">
      <c r="A170" s="18" t="inlineStr">
        <is>
          <t>이자 지급</t>
        </is>
      </c>
      <c r="D170" s="20" t="n">
        <v>-0.877</v>
      </c>
      <c r="F170" s="20" t="n">
        <v>-1.714</v>
      </c>
      <c r="H170" s="20" t="n">
        <v>-0.799</v>
      </c>
      <c r="J170" s="20" t="n">
        <v>-1.654</v>
      </c>
      <c r="L170" s="20" t="n">
        <v>-0.676</v>
      </c>
      <c r="N170" s="20" t="n">
        <v>-1.31</v>
      </c>
      <c r="S170" s="20" t="n">
        <v>-0.5629999999999999</v>
      </c>
      <c r="T170" s="20" t="n">
        <v>0</v>
      </c>
      <c r="U170" s="20" t="n">
        <v>0</v>
      </c>
      <c r="V170" s="20" t="n">
        <v>-1.714</v>
      </c>
      <c r="W170" s="20" t="n">
        <v>-1.654</v>
      </c>
      <c r="X170" s="20" t="n">
        <v>-1.31</v>
      </c>
    </row>
    <row r="171">
      <c r="A171" s="18" t="inlineStr">
        <is>
          <t>법인세 납부</t>
        </is>
      </c>
      <c r="D171" s="20" t="n">
        <v>-0.29</v>
      </c>
      <c r="F171" s="20" t="n">
        <v>-0.29</v>
      </c>
      <c r="H171" s="20" t="n">
        <v>-0.485</v>
      </c>
      <c r="J171" s="20" t="n">
        <v>-0.485</v>
      </c>
      <c r="L171" s="20" t="n">
        <v>-21.342</v>
      </c>
      <c r="N171" s="20" t="n">
        <v>-40.216</v>
      </c>
      <c r="S171" s="20" t="n">
        <v>-0.29</v>
      </c>
      <c r="T171" s="20" t="n">
        <v>-0.29</v>
      </c>
      <c r="U171" s="20" t="n">
        <v>-0.29</v>
      </c>
      <c r="V171" s="20" t="n">
        <v>-0.29</v>
      </c>
      <c r="W171" s="20" t="n">
        <v>-0.485</v>
      </c>
      <c r="X171" s="20" t="n">
        <v>-40.216</v>
      </c>
    </row>
    <row r="172">
      <c r="A172" s="9" t="inlineStr">
        <is>
          <t>영업활동 현금흐름</t>
        </is>
      </c>
      <c r="D172" s="12" t="n">
        <v>-8.933</v>
      </c>
      <c r="F172" s="12" t="n">
        <v>1.149</v>
      </c>
      <c r="H172" s="12" t="n">
        <v>133.474</v>
      </c>
      <c r="J172" s="12" t="n">
        <v>290.705</v>
      </c>
      <c r="L172" s="12" t="n">
        <v>112.367</v>
      </c>
      <c r="N172" s="12" t="n">
        <v>413.183</v>
      </c>
      <c r="S172" s="12" t="n">
        <v>-97.687</v>
      </c>
      <c r="T172" s="12" t="n">
        <v>114.249</v>
      </c>
      <c r="U172" s="12" t="n">
        <v>-66.91800000000001</v>
      </c>
      <c r="V172" s="12" t="n">
        <v>1.149</v>
      </c>
      <c r="W172" s="12" t="n">
        <v>290.705</v>
      </c>
      <c r="X172" s="12" t="n">
        <v>413.183</v>
      </c>
    </row>
    <row r="173">
      <c r="A173" s="18" t="inlineStr">
        <is>
          <t>유형자산 취득(설비투자)</t>
        </is>
      </c>
      <c r="D173" s="20" t="n">
        <v>-44.906</v>
      </c>
      <c r="F173" s="20" t="n">
        <v>-47.532</v>
      </c>
      <c r="H173" s="20" t="n">
        <v>-3.573</v>
      </c>
      <c r="J173" s="20" t="n">
        <v>-18.939</v>
      </c>
      <c r="L173" s="20" t="n">
        <v>-2.626</v>
      </c>
      <c r="N173" s="20" t="n">
        <v>-4.413</v>
      </c>
      <c r="S173" s="20" t="n">
        <v>-0.753</v>
      </c>
      <c r="T173" s="20" t="n">
        <v>-18.462</v>
      </c>
      <c r="U173" s="20" t="n">
        <v>-20.958</v>
      </c>
      <c r="V173" s="20" t="n">
        <v>-47.532</v>
      </c>
      <c r="W173" s="20" t="n">
        <v>-18.939</v>
      </c>
      <c r="X173" s="20" t="n">
        <v>-4.413</v>
      </c>
    </row>
    <row r="174">
      <c r="A174" s="18" t="inlineStr">
        <is>
          <t>투자유가증권 취득</t>
        </is>
      </c>
      <c r="F174" s="20" t="n">
        <v>0</v>
      </c>
      <c r="S174" s="20" t="n">
        <v>0</v>
      </c>
      <c r="T174" s="20" t="n">
        <v>-5</v>
      </c>
      <c r="U174" s="20" t="n">
        <v>-10</v>
      </c>
      <c r="V174" s="20" t="n">
        <v>0</v>
      </c>
    </row>
    <row r="175">
      <c r="A175" s="18" t="inlineStr">
        <is>
          <t>자산복구부채 이행 지출</t>
        </is>
      </c>
      <c r="D175" s="20" t="n">
        <v>-7.53</v>
      </c>
      <c r="F175" s="20" t="n">
        <v>-7.53</v>
      </c>
      <c r="H175" s="20" t="n">
        <v>0</v>
      </c>
      <c r="J175" s="20" t="n">
        <v>0</v>
      </c>
      <c r="U175" s="20" t="n">
        <v>0</v>
      </c>
      <c r="V175" s="20" t="n">
        <v>-7.53</v>
      </c>
      <c r="W175" s="20" t="n">
        <v>0</v>
      </c>
    </row>
    <row r="176">
      <c r="A176" s="18" t="inlineStr">
        <is>
          <t>임차보증금 납입</t>
        </is>
      </c>
      <c r="D176" s="20" t="n">
        <v>0</v>
      </c>
      <c r="F176" s="20" t="n">
        <v>0</v>
      </c>
      <c r="H176" s="20" t="n">
        <v>-0.72</v>
      </c>
      <c r="J176" s="20" t="n">
        <v>-7.943</v>
      </c>
      <c r="L176" s="20" t="n">
        <v>-119.172</v>
      </c>
      <c r="N176" s="20" t="n">
        <v>-119.684</v>
      </c>
      <c r="S176" s="20" t="n">
        <v>0</v>
      </c>
      <c r="T176" s="20" t="n">
        <v>-11.25</v>
      </c>
      <c r="U176" s="20" t="n">
        <v>-61.773</v>
      </c>
      <c r="V176" s="20" t="n">
        <v>0</v>
      </c>
      <c r="W176" s="20" t="n">
        <v>-7.943</v>
      </c>
      <c r="X176" s="20" t="n">
        <v>-119.684</v>
      </c>
    </row>
    <row r="177">
      <c r="A177" s="18" t="inlineStr">
        <is>
          <t>임차보증금 반환</t>
        </is>
      </c>
      <c r="S177" s="20" t="n">
        <v>0.062</v>
      </c>
      <c r="T177" s="20" t="n">
        <v>0.057</v>
      </c>
      <c r="U177" s="20" t="n">
        <v>0</v>
      </c>
    </row>
    <row r="178">
      <c r="A178" s="18" t="inlineStr">
        <is>
          <t>임차보증금 회수</t>
        </is>
      </c>
      <c r="D178" s="20" t="n">
        <v>26.178</v>
      </c>
      <c r="F178" s="20" t="n">
        <v>26.178</v>
      </c>
      <c r="H178" s="20" t="n">
        <v>0</v>
      </c>
      <c r="J178" s="20" t="n">
        <v>0</v>
      </c>
      <c r="U178" s="20" t="n">
        <v>0</v>
      </c>
      <c r="V178" s="20" t="n">
        <v>26.178</v>
      </c>
      <c r="W178" s="20" t="n">
        <v>0</v>
      </c>
    </row>
    <row r="179">
      <c r="A179" s="18" t="inlineStr">
        <is>
          <t>기타</t>
        </is>
      </c>
      <c r="F179" s="20" t="n">
        <v>-3.7</v>
      </c>
      <c r="J179" s="20" t="n">
        <v>0</v>
      </c>
      <c r="T179" s="20" t="n">
        <v>0</v>
      </c>
      <c r="U179" s="20" t="n">
        <v>-14.4</v>
      </c>
      <c r="V179" s="20" t="n">
        <v>-3.7</v>
      </c>
      <c r="W179" s="20" t="n">
        <v>0</v>
      </c>
    </row>
    <row r="180">
      <c r="A180" s="9" t="inlineStr">
        <is>
          <t>투자활동 현금흐름</t>
        </is>
      </c>
      <c r="D180" s="12" t="n">
        <v>-26.257</v>
      </c>
      <c r="F180" s="12" t="n">
        <v>-32.583</v>
      </c>
      <c r="H180" s="12" t="n">
        <v>-4.293</v>
      </c>
      <c r="J180" s="12" t="n">
        <v>-26.883</v>
      </c>
      <c r="L180" s="12" t="n">
        <v>-121.799</v>
      </c>
      <c r="N180" s="12" t="n">
        <v>-124.098</v>
      </c>
      <c r="S180" s="12" t="n">
        <v>-0.6909999999999999</v>
      </c>
      <c r="T180" s="12" t="n">
        <v>-34.654</v>
      </c>
      <c r="U180" s="12" t="n">
        <v>-107.132</v>
      </c>
      <c r="V180" s="12" t="n">
        <v>-32.583</v>
      </c>
      <c r="W180" s="12" t="n">
        <v>-26.883</v>
      </c>
      <c r="X180" s="12" t="n">
        <v>-124.098</v>
      </c>
    </row>
    <row r="181">
      <c r="A181" s="18" t="inlineStr">
        <is>
          <t>단기차입</t>
        </is>
      </c>
      <c r="F181" s="20" t="n">
        <v>0</v>
      </c>
      <c r="J181" s="20" t="n">
        <v>50</v>
      </c>
      <c r="N181" s="20" t="n">
        <v>0</v>
      </c>
      <c r="V181" s="20" t="n">
        <v>0</v>
      </c>
      <c r="W181" s="20" t="n">
        <v>50</v>
      </c>
      <c r="X181" s="20" t="n">
        <v>0</v>
      </c>
    </row>
    <row r="182">
      <c r="A182" s="18" t="inlineStr">
        <is>
          <t>단기차입금 상환</t>
        </is>
      </c>
      <c r="F182" s="20" t="n">
        <v>0</v>
      </c>
      <c r="J182" s="20" t="n">
        <v>-50</v>
      </c>
      <c r="N182" s="20" t="n">
        <v>0</v>
      </c>
      <c r="V182" s="20" t="n">
        <v>0</v>
      </c>
      <c r="W182" s="20" t="n">
        <v>-50</v>
      </c>
      <c r="X182" s="20" t="n">
        <v>0</v>
      </c>
    </row>
    <row r="183">
      <c r="A183" s="18" t="inlineStr">
        <is>
          <t>장기차입</t>
        </is>
      </c>
      <c r="D183" s="20" t="n">
        <v>109</v>
      </c>
      <c r="F183" s="20" t="n">
        <v>109</v>
      </c>
      <c r="H183" s="20" t="n">
        <v>0</v>
      </c>
      <c r="J183" s="20" t="n">
        <v>0</v>
      </c>
      <c r="U183" s="20" t="n">
        <v>0</v>
      </c>
      <c r="V183" s="20" t="n">
        <v>109</v>
      </c>
      <c r="W183" s="20" t="n">
        <v>0</v>
      </c>
    </row>
    <row r="184">
      <c r="A184" s="18" t="inlineStr">
        <is>
          <t>장기차입금 상환</t>
        </is>
      </c>
      <c r="D184" s="20" t="n">
        <v>-9.08</v>
      </c>
      <c r="F184" s="20" t="n">
        <v>-19.976</v>
      </c>
      <c r="H184" s="20" t="n">
        <v>-10.896</v>
      </c>
      <c r="J184" s="20" t="n">
        <v>-21.792</v>
      </c>
      <c r="L184" s="20" t="n">
        <v>-10.896</v>
      </c>
      <c r="N184" s="20" t="n">
        <v>-21.792</v>
      </c>
      <c r="S184" s="20" t="n">
        <v>-64.82899999999999</v>
      </c>
      <c r="T184" s="20" t="n">
        <v>0</v>
      </c>
      <c r="U184" s="20" t="n">
        <v>0</v>
      </c>
      <c r="V184" s="20" t="n">
        <v>-19.976</v>
      </c>
      <c r="W184" s="20" t="n">
        <v>-21.792</v>
      </c>
      <c r="X184" s="20" t="n">
        <v>-21.792</v>
      </c>
    </row>
    <row r="185">
      <c r="A185" s="18" t="inlineStr">
        <is>
          <t>주식 발행</t>
        </is>
      </c>
      <c r="D185" s="20" t="n">
        <v>0</v>
      </c>
      <c r="F185" s="20" t="n">
        <v>0</v>
      </c>
      <c r="H185" s="20" t="n">
        <v>767.208</v>
      </c>
      <c r="J185" s="20" t="n">
        <v>767.208</v>
      </c>
      <c r="L185" s="20" t="n">
        <v>0</v>
      </c>
      <c r="N185" s="20" t="n">
        <v>0</v>
      </c>
      <c r="V185" s="20" t="n">
        <v>0</v>
      </c>
      <c r="W185" s="20" t="n">
        <v>767.208</v>
      </c>
      <c r="X185" s="20" t="n">
        <v>0</v>
      </c>
    </row>
    <row r="186">
      <c r="A186" s="18" t="inlineStr">
        <is>
          <t>자기주식 취득</t>
        </is>
      </c>
      <c r="D186" s="20" t="n">
        <v>0</v>
      </c>
      <c r="F186" s="20" t="n">
        <v>0</v>
      </c>
      <c r="H186" s="20" t="n">
        <v>-0.011</v>
      </c>
      <c r="J186" s="20" t="n">
        <v>-0.011</v>
      </c>
      <c r="L186" s="20" t="n">
        <v>0</v>
      </c>
      <c r="N186" s="20" t="n">
        <v>0</v>
      </c>
      <c r="V186" s="20" t="n">
        <v>0</v>
      </c>
      <c r="W186" s="20" t="n">
        <v>-0.011</v>
      </c>
      <c r="X186" s="20" t="n">
        <v>0</v>
      </c>
    </row>
    <row r="187">
      <c r="A187" s="18" t="inlineStr">
        <is>
          <t>자기주식 처분</t>
        </is>
      </c>
      <c r="D187" s="20" t="n">
        <v>0</v>
      </c>
      <c r="F187" s="20" t="n">
        <v>0</v>
      </c>
      <c r="H187" s="20" t="n">
        <v>0</v>
      </c>
      <c r="J187" s="20" t="n">
        <v>7.7</v>
      </c>
      <c r="L187" s="20" t="n">
        <v>4.7</v>
      </c>
      <c r="N187" s="20" t="n">
        <v>4.7</v>
      </c>
      <c r="S187" s="20" t="n">
        <v>50.15</v>
      </c>
      <c r="T187" s="20" t="n">
        <v>323.787</v>
      </c>
      <c r="U187" s="20" t="n">
        <v>14.9</v>
      </c>
      <c r="V187" s="20" t="n">
        <v>0</v>
      </c>
      <c r="W187" s="20" t="n">
        <v>7.7</v>
      </c>
      <c r="X187" s="20" t="n">
        <v>4.7</v>
      </c>
    </row>
    <row r="188">
      <c r="A188" s="9" t="inlineStr">
        <is>
          <t>재무활동 현금흐름</t>
        </is>
      </c>
      <c r="D188" s="12" t="n">
        <v>99.92</v>
      </c>
      <c r="F188" s="12" t="n">
        <v>89.024</v>
      </c>
      <c r="H188" s="12" t="n">
        <v>756.3</v>
      </c>
      <c r="J188" s="12" t="n">
        <v>753.104</v>
      </c>
      <c r="L188" s="12" t="n">
        <v>-6.196</v>
      </c>
      <c r="N188" s="12" t="n">
        <v>-17.092</v>
      </c>
      <c r="S188" s="12" t="n">
        <v>-14.679</v>
      </c>
      <c r="T188" s="12" t="n">
        <v>323.787</v>
      </c>
      <c r="U188" s="12" t="n">
        <v>14.9</v>
      </c>
      <c r="V188" s="12" t="n">
        <v>89.024</v>
      </c>
      <c r="W188" s="12" t="n">
        <v>753.104</v>
      </c>
      <c r="X188" s="12" t="n">
        <v>-17.092</v>
      </c>
    </row>
    <row r="189">
      <c r="A189" s="18" t="inlineStr">
        <is>
          <t>현금성자산 환산차이</t>
        </is>
      </c>
      <c r="D189" s="20" t="n">
        <v>0</v>
      </c>
      <c r="F189" s="20" t="n">
        <v>-0.004</v>
      </c>
      <c r="H189" s="20" t="n">
        <v>0.003</v>
      </c>
      <c r="J189" s="20" t="n">
        <v>0.001</v>
      </c>
      <c r="L189" s="20" t="n">
        <v>0.006</v>
      </c>
      <c r="N189" s="20" t="n">
        <v>0.006</v>
      </c>
      <c r="T189" s="20" t="n">
        <v>0</v>
      </c>
      <c r="U189" s="20" t="n">
        <v>0</v>
      </c>
      <c r="V189" s="20" t="n">
        <v>-0.004</v>
      </c>
      <c r="W189" s="20" t="n">
        <v>0.001</v>
      </c>
      <c r="X189" s="20" t="n">
        <v>0.006</v>
      </c>
    </row>
    <row r="190">
      <c r="A190" s="18" t="inlineStr">
        <is>
          <t>현금성자산 증감</t>
        </is>
      </c>
      <c r="D190" s="20" t="n">
        <v>64.729</v>
      </c>
      <c r="F190" s="20" t="n">
        <v>57.584</v>
      </c>
      <c r="H190" s="20" t="n">
        <v>885.485</v>
      </c>
      <c r="J190" s="20" t="n">
        <v>1016.928</v>
      </c>
      <c r="L190" s="20" t="n">
        <v>-15.621</v>
      </c>
      <c r="N190" s="20" t="n">
        <v>271.999</v>
      </c>
      <c r="S190" s="20" t="n">
        <v>-113.057</v>
      </c>
      <c r="T190" s="20" t="n">
        <v>403.381</v>
      </c>
      <c r="U190" s="20" t="n">
        <v>-159.151</v>
      </c>
      <c r="V190" s="20" t="n">
        <v>57.584</v>
      </c>
      <c r="W190" s="20" t="n">
        <v>1016.928</v>
      </c>
      <c r="X190" s="20" t="n">
        <v>271.999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사이언스아츠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1834.628</v>
      </c>
      <c r="D5" s="12" t="n">
        <v>1830.082</v>
      </c>
      <c r="E5" s="12" t="n">
        <v>1945.305</v>
      </c>
      <c r="F5" s="12" t="n">
        <v>2020.426</v>
      </c>
      <c r="G5" s="12" t="n">
        <v>2139</v>
      </c>
      <c r="H5" s="11" t="n">
        <v>739.423</v>
      </c>
      <c r="I5" s="12" t="n">
        <v>667.708</v>
      </c>
      <c r="J5" s="12" t="n">
        <v>752.49</v>
      </c>
      <c r="K5" s="12" t="n">
        <v>1834.628</v>
      </c>
      <c r="L5" s="12" t="n">
        <v>2139</v>
      </c>
    </row>
    <row r="6">
      <c r="A6" s="18" t="inlineStr">
        <is>
          <t>현금및현금성자산</t>
        </is>
      </c>
      <c r="B6" s="10" t="n"/>
      <c r="C6" s="19" t="n">
        <v>1579.273</v>
      </c>
      <c r="D6" s="20" t="n">
        <v>1586.138</v>
      </c>
      <c r="E6" s="20" t="n">
        <v>1563.651</v>
      </c>
      <c r="F6" s="20" t="n">
        <v>1146.488</v>
      </c>
      <c r="G6" s="20" t="n">
        <v>1352.124</v>
      </c>
      <c r="H6" s="19" t="n">
        <v>663.9109999999999</v>
      </c>
      <c r="I6" s="20" t="n">
        <v>504.759</v>
      </c>
      <c r="J6" s="20" t="n">
        <v>562.3440000000001</v>
      </c>
      <c r="K6" s="20" t="n">
        <v>1579.273</v>
      </c>
      <c r="L6" s="20" t="n">
        <v>1352.124</v>
      </c>
    </row>
    <row r="7">
      <c r="A7" s="18" t="inlineStr">
        <is>
          <t>단기금융상품</t>
        </is>
      </c>
      <c r="B7" s="10" t="n"/>
      <c r="C7" s="19" t="n">
        <v>0</v>
      </c>
      <c r="D7" s="20" t="n"/>
      <c r="E7" s="20" t="n"/>
      <c r="F7" s="20" t="n">
        <v>499.536</v>
      </c>
      <c r="G7" s="20" t="n">
        <v>499.147</v>
      </c>
      <c r="H7" s="19" t="n"/>
      <c r="I7" s="20" t="n"/>
      <c r="J7" s="20" t="n"/>
      <c r="K7" s="20" t="n">
        <v>0</v>
      </c>
      <c r="L7" s="20" t="n">
        <v>499.147</v>
      </c>
    </row>
    <row r="8">
      <c r="A8" s="18" t="inlineStr">
        <is>
          <t>매출채권</t>
        </is>
      </c>
      <c r="B8" s="10" t="n"/>
      <c r="C8" s="19" t="n">
        <v>151.513</v>
      </c>
      <c r="D8" s="20" t="n">
        <v>142.252</v>
      </c>
      <c r="E8" s="20" t="n">
        <v>168.265</v>
      </c>
      <c r="F8" s="20" t="n">
        <v>184.567</v>
      </c>
      <c r="G8" s="20" t="n">
        <v>116.984</v>
      </c>
      <c r="H8" s="19" t="n">
        <v>35.445</v>
      </c>
      <c r="I8" s="20" t="n">
        <v>66.002</v>
      </c>
      <c r="J8" s="20" t="n">
        <v>101.368</v>
      </c>
      <c r="K8" s="20" t="n">
        <v>151.513</v>
      </c>
      <c r="L8" s="20" t="n">
        <v>116.984</v>
      </c>
    </row>
    <row r="9">
      <c r="A9" s="18" t="inlineStr">
        <is>
          <t>재고자산</t>
        </is>
      </c>
      <c r="B9" s="10" t="n"/>
      <c r="C9" s="19" t="n">
        <v>60.05</v>
      </c>
      <c r="D9" s="20" t="n">
        <v>72.887</v>
      </c>
      <c r="E9" s="20" t="n">
        <v>161.298</v>
      </c>
      <c r="F9" s="20" t="n">
        <v>140.9</v>
      </c>
      <c r="G9" s="20" t="n">
        <v>130.176</v>
      </c>
      <c r="H9" s="19" t="n">
        <v>28.9</v>
      </c>
      <c r="I9" s="20" t="n">
        <v>76.76300000000001</v>
      </c>
      <c r="J9" s="20" t="n">
        <v>65.499</v>
      </c>
      <c r="K9" s="20" t="n">
        <v>60.05</v>
      </c>
      <c r="L9" s="20" t="n">
        <v>130.176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243.178</v>
      </c>
      <c r="D11" s="12" t="n">
        <v>351.735</v>
      </c>
      <c r="E11" s="12" t="n">
        <v>335.247</v>
      </c>
      <c r="F11" s="12" t="n">
        <v>322.795</v>
      </c>
      <c r="G11" s="12" t="n">
        <v>320.555</v>
      </c>
      <c r="H11" s="11" t="n">
        <v>61.704</v>
      </c>
      <c r="I11" s="12" t="n">
        <v>226.381</v>
      </c>
      <c r="J11" s="12" t="n">
        <v>200.968</v>
      </c>
      <c r="K11" s="12" t="n">
        <v>243.178</v>
      </c>
      <c r="L11" s="12" t="n">
        <v>320.555</v>
      </c>
    </row>
    <row r="12">
      <c r="A12" s="18" t="inlineStr">
        <is>
          <t>유형자산</t>
        </is>
      </c>
      <c r="B12" s="10" t="n"/>
      <c r="C12" s="19" t="n">
        <v>109.69</v>
      </c>
      <c r="D12" s="20" t="n">
        <v>98.50700000000001</v>
      </c>
      <c r="E12" s="20" t="n">
        <v>83.57899999999999</v>
      </c>
      <c r="F12" s="20" t="n">
        <v>67.646</v>
      </c>
      <c r="G12" s="20" t="n">
        <v>39.088</v>
      </c>
      <c r="H12" s="19" t="n">
        <v>30.479</v>
      </c>
      <c r="I12" s="20" t="n">
        <v>112.887</v>
      </c>
      <c r="J12" s="20" t="n">
        <v>108.718</v>
      </c>
      <c r="K12" s="20" t="n">
        <v>109.69</v>
      </c>
      <c r="L12" s="20" t="n">
        <v>39.088</v>
      </c>
    </row>
    <row r="13">
      <c r="A13" s="18" t="inlineStr">
        <is>
          <t>무형자산</t>
        </is>
      </c>
      <c r="B13" s="10" t="n"/>
      <c r="C13" s="19" t="n"/>
      <c r="D13" s="20" t="n"/>
      <c r="E13" s="20" t="n"/>
      <c r="F13" s="20" t="n"/>
      <c r="G13" s="20" t="n"/>
      <c r="H13" s="19" t="n"/>
      <c r="I13" s="20" t="n"/>
      <c r="J13" s="20" t="n"/>
      <c r="K13" s="20" t="n"/>
      <c r="L13" s="20" t="n"/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2077.806</v>
      </c>
      <c r="D16" s="12" t="n">
        <v>2181.818</v>
      </c>
      <c r="E16" s="12" t="n">
        <v>2280.552</v>
      </c>
      <c r="F16" s="12" t="n">
        <v>2343.222</v>
      </c>
      <c r="G16" s="12" t="n">
        <v>2459.555</v>
      </c>
      <c r="H16" s="11" t="n">
        <v>801.128</v>
      </c>
      <c r="I16" s="12" t="n">
        <v>894.09</v>
      </c>
      <c r="J16" s="12" t="n">
        <v>953.458</v>
      </c>
      <c r="K16" s="12" t="n">
        <v>2077.806</v>
      </c>
      <c r="L16" s="12" t="n">
        <v>2459.555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610.6900000000001</v>
      </c>
      <c r="D18" s="12" t="n">
        <v>668.302</v>
      </c>
      <c r="E18" s="12" t="n">
        <v>710.889</v>
      </c>
      <c r="F18" s="12" t="n">
        <v>737.929</v>
      </c>
      <c r="G18" s="12" t="n">
        <v>775.458</v>
      </c>
      <c r="H18" s="11" t="n">
        <v>206.162</v>
      </c>
      <c r="I18" s="12" t="n">
        <v>315.182</v>
      </c>
      <c r="J18" s="12" t="n">
        <v>384.322</v>
      </c>
      <c r="K18" s="12" t="n">
        <v>610.6900000000001</v>
      </c>
      <c r="L18" s="12" t="n">
        <v>775.458</v>
      </c>
    </row>
    <row r="19">
      <c r="A19" s="18" t="inlineStr">
        <is>
          <t>매입채무</t>
        </is>
      </c>
      <c r="B19" s="10" t="n"/>
      <c r="C19" s="19" t="n">
        <v>40.193</v>
      </c>
      <c r="D19" s="20" t="n">
        <v>67.675</v>
      </c>
      <c r="E19" s="20" t="n">
        <v>99.285</v>
      </c>
      <c r="F19" s="20" t="n">
        <v>28.691</v>
      </c>
      <c r="G19" s="20" t="n">
        <v>24.661</v>
      </c>
      <c r="H19" s="19" t="n">
        <v>13.053</v>
      </c>
      <c r="I19" s="20" t="n">
        <v>16.477</v>
      </c>
      <c r="J19" s="20" t="n">
        <v>7.302</v>
      </c>
      <c r="K19" s="20" t="n">
        <v>40.193</v>
      </c>
      <c r="L19" s="20" t="n">
        <v>24.661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40.137</v>
      </c>
      <c r="D21" s="20" t="n">
        <v>37.938</v>
      </c>
      <c r="E21" s="20" t="n">
        <v>35.739</v>
      </c>
      <c r="F21" s="20" t="n">
        <v>33.54</v>
      </c>
      <c r="G21" s="20" t="n">
        <v>31.341</v>
      </c>
      <c r="H21" s="19" t="n"/>
      <c r="I21" s="20" t="n">
        <v>0</v>
      </c>
      <c r="J21" s="20" t="n">
        <v>48.933</v>
      </c>
      <c r="K21" s="20" t="n">
        <v>40.137</v>
      </c>
      <c r="L21" s="20" t="n">
        <v>31.341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73.14400000000001</v>
      </c>
      <c r="D23" s="12" t="n">
        <v>70.187</v>
      </c>
      <c r="E23" s="12" t="n">
        <v>67.337</v>
      </c>
      <c r="F23" s="12" t="n">
        <v>64.48699999999999</v>
      </c>
      <c r="G23" s="12" t="n">
        <v>14.099</v>
      </c>
      <c r="H23" s="11" t="n">
        <v>24.356</v>
      </c>
      <c r="I23" s="12" t="n">
        <v>70.49299999999999</v>
      </c>
      <c r="J23" s="12" t="n">
        <v>92.56999999999999</v>
      </c>
      <c r="K23" s="12" t="n">
        <v>73.14400000000001</v>
      </c>
      <c r="L23" s="12" t="n">
        <v>14.099</v>
      </c>
    </row>
    <row r="24">
      <c r="A24" s="18" t="inlineStr">
        <is>
          <t>장기차입금</t>
        </is>
      </c>
      <c r="B24" s="10" t="n"/>
      <c r="C24" s="19" t="n">
        <v>27.095</v>
      </c>
      <c r="D24" s="20" t="n">
        <v>23.846</v>
      </c>
      <c r="E24" s="20" t="n">
        <v>20.597</v>
      </c>
      <c r="F24" s="20" t="n">
        <v>17.348</v>
      </c>
      <c r="G24" s="20" t="n">
        <v>14.099</v>
      </c>
      <c r="H24" s="19" t="n"/>
      <c r="I24" s="20" t="n">
        <v>0</v>
      </c>
      <c r="J24" s="20" t="n">
        <v>40.091</v>
      </c>
      <c r="K24" s="20" t="n">
        <v>27.095</v>
      </c>
      <c r="L24" s="20" t="n">
        <v>14.099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683.8339999999999</v>
      </c>
      <c r="D27" s="12" t="n">
        <v>738.489</v>
      </c>
      <c r="E27" s="12" t="n">
        <v>778.227</v>
      </c>
      <c r="F27" s="12" t="n">
        <v>802.4160000000001</v>
      </c>
      <c r="G27" s="12" t="n">
        <v>789.557</v>
      </c>
      <c r="H27" s="11" t="n">
        <v>230.518</v>
      </c>
      <c r="I27" s="12" t="n">
        <v>385.675</v>
      </c>
      <c r="J27" s="12" t="n">
        <v>476.892</v>
      </c>
      <c r="K27" s="12" t="n">
        <v>683.8339999999999</v>
      </c>
      <c r="L27" s="12" t="n">
        <v>789.557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1393.972</v>
      </c>
      <c r="D31" s="12" t="n">
        <v>1443.329</v>
      </c>
      <c r="E31" s="12" t="n">
        <v>1502.325</v>
      </c>
      <c r="F31" s="12" t="n">
        <v>1540.805</v>
      </c>
      <c r="G31" s="12" t="n">
        <v>1669.998</v>
      </c>
      <c r="H31" s="11" t="n">
        <v>570.609</v>
      </c>
      <c r="I31" s="12" t="n">
        <v>508.414</v>
      </c>
      <c r="J31" s="12" t="n">
        <v>476.565</v>
      </c>
      <c r="K31" s="12" t="n">
        <v>1393.972</v>
      </c>
      <c r="L31" s="12" t="n">
        <v>1669.998</v>
      </c>
    </row>
    <row r="32">
      <c r="A32" s="18" t="inlineStr">
        <is>
          <t>자본금</t>
        </is>
      </c>
      <c r="B32" s="10" t="n"/>
      <c r="C32" s="19" t="n">
        <v>450.894</v>
      </c>
      <c r="D32" s="20" t="n">
        <v>450.894</v>
      </c>
      <c r="E32" s="20" t="n">
        <v>459.183</v>
      </c>
      <c r="F32" s="20" t="n">
        <v>459.183</v>
      </c>
      <c r="G32" s="20" t="n">
        <v>459.183</v>
      </c>
      <c r="H32" s="19" t="n">
        <v>50</v>
      </c>
      <c r="I32" s="20" t="n">
        <v>52.121</v>
      </c>
      <c r="J32" s="20" t="n">
        <v>52.121</v>
      </c>
      <c r="K32" s="20" t="n">
        <v>450.894</v>
      </c>
      <c r="L32" s="20" t="n">
        <v>459.183</v>
      </c>
    </row>
    <row r="33">
      <c r="A33" s="18" t="inlineStr">
        <is>
          <t>이익잉여금</t>
        </is>
      </c>
      <c r="B33" s="10" t="n"/>
      <c r="C33" s="19" t="n">
        <v>-241.584</v>
      </c>
      <c r="D33" s="20" t="n">
        <v>-193.927</v>
      </c>
      <c r="E33" s="20" t="n">
        <v>-154.51</v>
      </c>
      <c r="F33" s="20" t="n">
        <v>-116.03</v>
      </c>
      <c r="G33" s="20" t="n">
        <v>13.161</v>
      </c>
      <c r="H33" s="19" t="n">
        <v>-240.57</v>
      </c>
      <c r="I33" s="20" t="n">
        <v>-321.908</v>
      </c>
      <c r="J33" s="20" t="n">
        <v>-353.756</v>
      </c>
      <c r="K33" s="20" t="n">
        <v>-241.584</v>
      </c>
      <c r="L33" s="20" t="n">
        <v>13.161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1393.972</v>
      </c>
      <c r="D35" s="12" t="n">
        <v>1443.329</v>
      </c>
      <c r="E35" s="12" t="n">
        <v>1502.325</v>
      </c>
      <c r="F35" s="12" t="n">
        <v>1540.805</v>
      </c>
      <c r="G35" s="12" t="n">
        <v>1669.998</v>
      </c>
      <c r="H35" s="11" t="n">
        <v>570.609</v>
      </c>
      <c r="I35" s="12" t="n">
        <v>508.414</v>
      </c>
      <c r="J35" s="12" t="n">
        <v>476.565</v>
      </c>
      <c r="K35" s="12" t="n">
        <v>1393.972</v>
      </c>
      <c r="L35" s="12" t="n">
        <v>1669.998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290.705</v>
      </c>
      <c r="D37" s="12" t="n"/>
      <c r="E37" s="12" t="n">
        <v>269.598</v>
      </c>
      <c r="F37" s="12" t="n"/>
      <c r="G37" s="12" t="n">
        <v>413.183</v>
      </c>
      <c r="H37" s="11" t="n">
        <v>114.249</v>
      </c>
      <c r="I37" s="12" t="n">
        <v>-66.91800000000001</v>
      </c>
      <c r="J37" s="12" t="n">
        <v>1.149</v>
      </c>
      <c r="K37" s="12" t="n">
        <v>290.705</v>
      </c>
      <c r="L37" s="12" t="n">
        <v>413.183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18.939</v>
      </c>
      <c r="D38" s="20" t="n"/>
      <c r="E38" s="20" t="n">
        <v>17.992</v>
      </c>
      <c r="F38" s="20" t="n"/>
      <c r="G38" s="20" t="n">
        <v>4.413</v>
      </c>
      <c r="H38" s="19" t="n">
        <v>18.462</v>
      </c>
      <c r="I38" s="20" t="n">
        <v>20.958</v>
      </c>
      <c r="J38" s="20" t="n">
        <v>47.532</v>
      </c>
      <c r="K38" s="20" t="n">
        <v>18.939</v>
      </c>
      <c r="L38" s="20" t="n">
        <v>4.413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IFERROR(IF((IF(COUNT('연간'!G50:J50)&lt;4,"",SUM('연간'!G50:J50)))&lt;=0,"적자",C28/(IF(COUNT('연간'!G50:J50)&lt;4,"",SUM('연간'!G50:J50)))),"")</f>
        <v/>
      </c>
      <c r="D49" s="46">
        <f>IFERROR(IF((IF(COUNT('연간'!H50:K50)&lt;4,"",SUM('연간'!H50:K50)))&lt;=0,"적자",D28/(IF(COUNT('연간'!H50:K50)&lt;4,"",SUM('연간'!H50:K50)))),"")</f>
        <v/>
      </c>
      <c r="E49" s="46">
        <f>IFERROR(IF((IF(COUNT('연간'!I50:L50)&lt;4,"",SUM('연간'!I50:L50)))&lt;=0,"적자",E28/(IF(COUNT('연간'!I50:L50)&lt;4,"",SUM('연간'!I50:L50)))),"")</f>
        <v/>
      </c>
      <c r="F49" s="46">
        <f>IFERROR(IF((IF(COUNT('연간'!J50:M50)&lt;4,"",SUM('연간'!J50:M50)))&lt;=0,"적자",F28/(IF(COUNT('연간'!J50:M50)&lt;4,"",SUM('연간'!J50:M50)))),"")</f>
        <v/>
      </c>
      <c r="G49" s="46">
        <f>IFERROR(IF((IF(COUNT('연간'!K50:N50)&lt;4,"",SUM('연간'!K50:N50)))&lt;=0,"적자",G28/(IF(COUNT('연간'!K50:N50)&lt;4,"",SUM('연간'!K50:N50)))),"")</f>
        <v/>
      </c>
      <c r="H49" s="45">
        <f>IFERROR(IF(('연간'!T50)&lt;=0,"적자",H28/('연간'!T50)),"")</f>
        <v/>
      </c>
      <c r="I49" s="46">
        <f>IFERROR(IF(('연간'!U50)&lt;=0,"적자",I28/('연간'!U50)),"")</f>
        <v/>
      </c>
      <c r="J49" s="46">
        <f>IFERROR(IF(('연간'!V50)&lt;=0,"적자",J28/('연간'!V50)),"")</f>
        <v/>
      </c>
      <c r="K49" s="46">
        <f>IFERROR(IF(('연간'!W50)&lt;=0,"적자",K28/('연간'!W50)),"")</f>
        <v/>
      </c>
      <c r="L49" s="46">
        <f>IFERROR(IF(('연간'!X50)&lt;=0,"적자",L28/('연간'!X50)),"")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IFERROR((IF(COUNT('연간'!G50:J50)&lt;4,"",SUM('연간'!G50:J50)))/C31,"")</f>
        <v/>
      </c>
      <c r="D51" s="36">
        <f>IFERROR((IF(COUNT('연간'!H50:K50)&lt;4,"",SUM('연간'!H50:K50)))/D31,"")</f>
        <v/>
      </c>
      <c r="E51" s="36">
        <f>IFERROR((IF(COUNT('연간'!I50:L50)&lt;4,"",SUM('연간'!I50:L50)))/E31,"")</f>
        <v/>
      </c>
      <c r="F51" s="36">
        <f>IFERROR((IF(COUNT('연간'!J50:M50)&lt;4,"",SUM('연간'!J50:M50)))/F31,"")</f>
        <v/>
      </c>
      <c r="G51" s="36">
        <f>IFERROR((IF(COUNT('연간'!K50:N50)&lt;4,"",SUM('연간'!K50:N50)))/G31,"")</f>
        <v/>
      </c>
      <c r="H51" s="35">
        <f>IFERROR(('연간'!T50)/H31,"")</f>
        <v/>
      </c>
      <c r="I51" s="36">
        <f>IFERROR(('연간'!U50)/I31,"")</f>
        <v/>
      </c>
      <c r="J51" s="36">
        <f>IFERROR(('연간'!V50)/J31,"")</f>
        <v/>
      </c>
      <c r="K51" s="36">
        <f>IFERROR(('연간'!W50)/K31,"")</f>
        <v/>
      </c>
      <c r="L51" s="36">
        <f>IFERROR(('연간'!X50)/L31,"")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IFERROR((IF(COUNT('연간'!G49:J49)&lt;4,"",SUM('연간'!G49:J49)))/C16,"")</f>
        <v/>
      </c>
      <c r="D52" s="36">
        <f>IFERROR((IF(COUNT('연간'!H49:K49)&lt;4,"",SUM('연간'!H49:K49)))/D16,"")</f>
        <v/>
      </c>
      <c r="E52" s="36">
        <f>IFERROR((IF(COUNT('연간'!I49:L49)&lt;4,"",SUM('연간'!I49:L49)))/E16,"")</f>
        <v/>
      </c>
      <c r="F52" s="36">
        <f>IFERROR((IF(COUNT('연간'!J49:M49)&lt;4,"",SUM('연간'!J49:M49)))/F16,"")</f>
        <v/>
      </c>
      <c r="G52" s="36">
        <f>IFERROR((IF(COUNT('연간'!K49:N49)&lt;4,"",SUM('연간'!K49:N49)))/G16,"")</f>
        <v/>
      </c>
      <c r="H52" s="35">
        <f>IFERROR(('연간'!T49)/H16,"")</f>
        <v/>
      </c>
      <c r="I52" s="36">
        <f>IFERROR(('연간'!U49)/I16,"")</f>
        <v/>
      </c>
      <c r="J52" s="36">
        <f>IFERROR(('연간'!V49)/J16,"")</f>
        <v/>
      </c>
      <c r="K52" s="36">
        <f>IFERROR(('연간'!W49)/K16,"")</f>
        <v/>
      </c>
      <c r="L52" s="36">
        <f>IFERROR(('연간'!X49)/L16,"")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IFERROR((IF(COUNT('연간'!G18:J18)&lt;4,"",SUM('연간'!G18:J18)))/(IF(COUNT('연간'!G4:J4)&lt;4,"",SUM('연간'!G4:J4))),"")</f>
        <v/>
      </c>
      <c r="D54" s="36">
        <f>IFERROR((IF(COUNT('연간'!H18:K18)&lt;4,"",SUM('연간'!H18:K18)))/(IF(COUNT('연간'!H4:K4)&lt;4,"",SUM('연간'!H4:K4))),"")</f>
        <v/>
      </c>
      <c r="E54" s="36">
        <f>IFERROR((IF(COUNT('연간'!I18:L18)&lt;4,"",SUM('연간'!I18:L18)))/(IF(COUNT('연간'!I4:L4)&lt;4,"",SUM('연간'!I4:L4))),"")</f>
        <v/>
      </c>
      <c r="F54" s="36">
        <f>IFERROR((IF(COUNT('연간'!J18:M18)&lt;4,"",SUM('연간'!J18:M18)))/(IF(COUNT('연간'!J4:M4)&lt;4,"",SUM('연간'!J4:M4))),"")</f>
        <v/>
      </c>
      <c r="G54" s="36">
        <f>IFERROR((IF(COUNT('연간'!K18:N18)&lt;4,"",SUM('연간'!K18:N18)))/(IF(COUNT('연간'!K4:N4)&lt;4,"",SUM('연간'!K4:N4))),"")</f>
        <v/>
      </c>
      <c r="H54" s="35">
        <f>IFERROR(('연간'!T18)/('연간'!T4),"")</f>
        <v/>
      </c>
      <c r="I54" s="36">
        <f>IFERROR(('연간'!U18)/('연간'!U4),"")</f>
        <v/>
      </c>
      <c r="J54" s="36">
        <f>IFERROR(('연간'!V18)/('연간'!V4),"")</f>
        <v/>
      </c>
      <c r="K54" s="36">
        <f>IFERROR(('연간'!W18)/('연간'!W4),"")</f>
        <v/>
      </c>
      <c r="L54" s="36">
        <f>IFERROR(('연간'!X18)/('연간'!X4),"")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IFERROR((IF(COUNT('연간'!G49:J49)&lt;4,"",SUM('연간'!G49:J49)))/(IF(COUNT('연간'!G4:J4)&lt;4,"",SUM('연간'!G4:J4))),"")</f>
        <v/>
      </c>
      <c r="D56" s="36">
        <f>IFERROR((IF(COUNT('연간'!H49:K49)&lt;4,"",SUM('연간'!H49:K49)))/(IF(COUNT('연간'!H4:K4)&lt;4,"",SUM('연간'!H4:K4))),"")</f>
        <v/>
      </c>
      <c r="E56" s="36">
        <f>IFERROR((IF(COUNT('연간'!I49:L49)&lt;4,"",SUM('연간'!I49:L49)))/(IF(COUNT('연간'!I4:L4)&lt;4,"",SUM('연간'!I4:L4))),"")</f>
        <v/>
      </c>
      <c r="F56" s="36">
        <f>IFERROR((IF(COUNT('연간'!J49:M49)&lt;4,"",SUM('연간'!J49:M49)))/(IF(COUNT('연간'!J4:M4)&lt;4,"",SUM('연간'!J4:M4))),"")</f>
        <v/>
      </c>
      <c r="G56" s="36">
        <f>IFERROR((IF(COUNT('연간'!K49:N49)&lt;4,"",SUM('연간'!K49:N49)))/(IF(COUNT('연간'!K4:N4)&lt;4,"",SUM('연간'!K4:N4))),"")</f>
        <v/>
      </c>
      <c r="H56" s="35">
        <f>IFERROR(('연간'!T49)/('연간'!T4),"")</f>
        <v/>
      </c>
      <c r="I56" s="36">
        <f>IFERROR(('연간'!U49)/('연간'!U4),"")</f>
        <v/>
      </c>
      <c r="J56" s="36">
        <f>IFERROR(('연간'!V49)/('연간'!V4),"")</f>
        <v/>
      </c>
      <c r="K56" s="36">
        <f>IFERROR(('연간'!W49)/('연간'!W4),"")</f>
        <v/>
      </c>
      <c r="L56" s="36">
        <f>IFERROR(('연간'!X49)/('연간'!X4),"")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IFERROR(C9/(IF(COUNT('연간'!G17:J17)&lt;4,"",SUM('연간'!G17:J17)))*365,"")</f>
        <v/>
      </c>
      <c r="D60" s="48">
        <f>IFERROR(D9/(IF(COUNT('연간'!H17:K17)&lt;4,"",SUM('연간'!H17:K17)))*365,"")</f>
        <v/>
      </c>
      <c r="E60" s="48">
        <f>IFERROR(E9/(IF(COUNT('연간'!I17:L17)&lt;4,"",SUM('연간'!I17:L17)))*365,"")</f>
        <v/>
      </c>
      <c r="F60" s="48">
        <f>IFERROR(F9/(IF(COUNT('연간'!J17:M17)&lt;4,"",SUM('연간'!J17:M17)))*365,"")</f>
        <v/>
      </c>
      <c r="G60" s="48">
        <f>IFERROR(G9/(IF(COUNT('연간'!K17:N17)&lt;4,"",SUM('연간'!K17:N17)))*365,"")</f>
        <v/>
      </c>
      <c r="H60" s="47">
        <f>IFERROR(H9/('연간'!T17)*365,"")</f>
        <v/>
      </c>
      <c r="I60" s="48">
        <f>IFERROR(I9/('연간'!U17)*365,"")</f>
        <v/>
      </c>
      <c r="J60" s="48">
        <f>IFERROR(J9/('연간'!V17)*365,"")</f>
        <v/>
      </c>
      <c r="K60" s="48">
        <f>IFERROR(K9/('연간'!W17)*365,"")</f>
        <v/>
      </c>
      <c r="L60" s="48">
        <f>IFERROR(L9/('연간'!X17)*365,"")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IFERROR(C19/(IF(COUNT('연간'!G17:J17)&lt;4,"",SUM('연간'!G17:J17)))*365,"")</f>
        <v/>
      </c>
      <c r="D61" s="48">
        <f>IFERROR(D19/(IF(COUNT('연간'!H17:K17)&lt;4,"",SUM('연간'!H17:K17)))*365,"")</f>
        <v/>
      </c>
      <c r="E61" s="48">
        <f>IFERROR(E19/(IF(COUNT('연간'!I17:L17)&lt;4,"",SUM('연간'!I17:L17)))*365,"")</f>
        <v/>
      </c>
      <c r="F61" s="48">
        <f>IFERROR(F19/(IF(COUNT('연간'!J17:M17)&lt;4,"",SUM('연간'!J17:M17)))*365,"")</f>
        <v/>
      </c>
      <c r="G61" s="48">
        <f>IFERROR(G19/(IF(COUNT('연간'!K17:N17)&lt;4,"",SUM('연간'!K17:N17)))*365,"")</f>
        <v/>
      </c>
      <c r="H61" s="47">
        <f>IFERROR(H19/('연간'!T17)*365,"")</f>
        <v/>
      </c>
      <c r="I61" s="48">
        <f>IFERROR(I19/('연간'!U17)*365,"")</f>
        <v/>
      </c>
      <c r="J61" s="48">
        <f>IFERROR(J19/('연간'!V17)*365,"")</f>
        <v/>
      </c>
      <c r="K61" s="48">
        <f>IFERROR(K19/('연간'!W17)*365,"")</f>
        <v/>
      </c>
      <c r="L61" s="48">
        <f>IFERROR(L19/('연간'!X17)*365,"")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IF(C37="","",IFERROR(C37/(IF(COUNT('연간'!G49:J49)&lt;4,"",SUM('연간'!G49:J49))),""))</f>
        <v/>
      </c>
      <c r="D64" s="31">
        <f>IF(D37="","",IFERROR(D37/(IF(COUNT('연간'!H49:K49)&lt;4,"",SUM('연간'!H49:K49))),""))</f>
        <v/>
      </c>
      <c r="E64" s="31">
        <f>IF(E37="","",IFERROR(E37/(IF(COUNT('연간'!I49:L49)&lt;4,"",SUM('연간'!I49:L49))),""))</f>
        <v/>
      </c>
      <c r="F64" s="31">
        <f>IF(F37="","",IFERROR(F37/(IF(COUNT('연간'!J49:M49)&lt;4,"",SUM('연간'!J49:M49))),""))</f>
        <v/>
      </c>
      <c r="G64" s="31">
        <f>IF(G37="","",IFERROR(G37/(IF(COUNT('연간'!K49:N49)&lt;4,"",SUM('연간'!K49:N49))),""))</f>
        <v/>
      </c>
      <c r="H64" s="30">
        <f>IF(H37="","",IFERROR(H37/('연간'!T49),""))</f>
        <v/>
      </c>
      <c r="I64" s="31">
        <f>IF(I37="","",IFERROR(I37/('연간'!U49),""))</f>
        <v/>
      </c>
      <c r="J64" s="31">
        <f>IF(J37="","",IFERROR(J37/('연간'!V49),""))</f>
        <v/>
      </c>
      <c r="K64" s="31">
        <f>IF(K37="","",IFERROR(K37/('연간'!W49),""))</f>
        <v/>
      </c>
      <c r="L64" s="31">
        <f>IF(L37="","",IFERROR(L37/('연간'!X49),""))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IF(C40="","",IFERROR(C40/(IF(COUNT('연간'!G50:J50)&lt;4,"",SUM('연간'!G50:J50))),""))</f>
        <v/>
      </c>
      <c r="D67" s="36">
        <f>IF(D40="","",IFERROR(D40/(IF(COUNT('연간'!H50:K50)&lt;4,"",SUM('연간'!H50:K50))),""))</f>
        <v/>
      </c>
      <c r="E67" s="36">
        <f>IF(E40="","",IFERROR(E40/(IF(COUNT('연간'!I50:L50)&lt;4,"",SUM('연간'!I50:L50))),""))</f>
        <v/>
      </c>
      <c r="F67" s="36">
        <f>IF(F40="","",IFERROR(F40/(IF(COUNT('연간'!J50:M50)&lt;4,"",SUM('연간'!J50:M50))),""))</f>
        <v/>
      </c>
      <c r="G67" s="36">
        <f>IF(G40="","",IFERROR(G40/(IF(COUNT('연간'!K50:N50)&lt;4,"",SUM('연간'!K50:N50))),""))</f>
        <v/>
      </c>
      <c r="H67" s="35">
        <f>IF(H40="","",IFERROR(H40/('연간'!T50),""))</f>
        <v/>
      </c>
      <c r="I67" s="36">
        <f>IF(I40="","",IFERROR(I40/('연간'!U50),""))</f>
        <v/>
      </c>
      <c r="J67" s="36">
        <f>IF(J40="","",IFERROR(J40/('연간'!V50),""))</f>
        <v/>
      </c>
      <c r="K67" s="36">
        <f>IF(K40="","",IFERROR(K40/('연간'!W50),""))</f>
        <v/>
      </c>
      <c r="L67" s="36">
        <f>IF(L40="","",IFERROR(L40/('연간'!X50),""))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1579.273</v>
      </c>
      <c r="D71" s="20" t="n">
        <v>1586.138</v>
      </c>
      <c r="E71" s="20" t="n">
        <v>1563.651</v>
      </c>
      <c r="F71" s="20" t="n">
        <v>1146.488</v>
      </c>
      <c r="G71" s="20" t="n">
        <v>1352.124</v>
      </c>
      <c r="H71" s="20" t="n">
        <v>663.9109999999999</v>
      </c>
      <c r="I71" s="20" t="n">
        <v>504.759</v>
      </c>
      <c r="J71" s="20" t="n">
        <v>562.3440000000001</v>
      </c>
      <c r="K71" s="20" t="n">
        <v>1579.273</v>
      </c>
      <c r="L71" s="20" t="n">
        <v>1352.124</v>
      </c>
    </row>
    <row r="72">
      <c r="A72" s="18" t="inlineStr">
        <is>
          <t>매출채권</t>
        </is>
      </c>
      <c r="C72" s="20" t="n">
        <v>151.513</v>
      </c>
      <c r="D72" s="20" t="n">
        <v>142.252</v>
      </c>
      <c r="E72" s="20" t="n">
        <v>168.265</v>
      </c>
      <c r="F72" s="20" t="n">
        <v>184.567</v>
      </c>
      <c r="G72" s="20" t="n">
        <v>116.984</v>
      </c>
      <c r="H72" s="20" t="n">
        <v>35.445</v>
      </c>
      <c r="I72" s="20" t="n">
        <v>66.002</v>
      </c>
      <c r="J72" s="20" t="n">
        <v>101.368</v>
      </c>
      <c r="K72" s="20" t="n">
        <v>151.513</v>
      </c>
      <c r="L72" s="20" t="n">
        <v>116.984</v>
      </c>
    </row>
    <row r="73">
      <c r="A73" s="18" t="inlineStr">
        <is>
          <t>유가증권</t>
        </is>
      </c>
      <c r="C73" s="20" t="n">
        <v>0</v>
      </c>
      <c r="F73" s="20" t="n">
        <v>499.536</v>
      </c>
      <c r="G73" s="20" t="n">
        <v>499.147</v>
      </c>
      <c r="K73" s="20" t="n">
        <v>0</v>
      </c>
      <c r="L73" s="20" t="n">
        <v>499.147</v>
      </c>
    </row>
    <row r="74">
      <c r="A74" s="18" t="inlineStr">
        <is>
          <t>상품</t>
        </is>
      </c>
      <c r="C74" s="20" t="n">
        <v>60.042</v>
      </c>
      <c r="D74" s="20" t="n">
        <v>72.875</v>
      </c>
      <c r="E74" s="20" t="n">
        <v>161.286</v>
      </c>
      <c r="F74" s="20" t="n">
        <v>140.877</v>
      </c>
      <c r="G74" s="20" t="n">
        <v>130.151</v>
      </c>
      <c r="H74" s="20" t="n">
        <v>28.883</v>
      </c>
      <c r="I74" s="20" t="n">
        <v>76.74299999999999</v>
      </c>
      <c r="J74" s="20" t="n">
        <v>65.492</v>
      </c>
      <c r="K74" s="20" t="n">
        <v>60.042</v>
      </c>
      <c r="L74" s="20" t="n">
        <v>130.151</v>
      </c>
    </row>
    <row r="75">
      <c r="A75" s="18" t="inlineStr">
        <is>
          <t>저장품</t>
        </is>
      </c>
      <c r="C75" s="20" t="n">
        <v>0.008</v>
      </c>
      <c r="D75" s="20" t="n">
        <v>0.012</v>
      </c>
      <c r="E75" s="20" t="n">
        <v>0.012</v>
      </c>
      <c r="F75" s="20" t="n">
        <v>0.023</v>
      </c>
      <c r="G75" s="20" t="n">
        <v>0.025</v>
      </c>
      <c r="H75" s="20" t="n">
        <v>0.017</v>
      </c>
      <c r="I75" s="20" t="n">
        <v>0.02</v>
      </c>
      <c r="J75" s="20" t="n">
        <v>0.007</v>
      </c>
      <c r="K75" s="20" t="n">
        <v>0.008</v>
      </c>
      <c r="L75" s="20" t="n">
        <v>0.025</v>
      </c>
    </row>
    <row r="76">
      <c r="A76" s="18" t="inlineStr">
        <is>
          <t>선급금</t>
        </is>
      </c>
      <c r="H76" s="20" t="n">
        <v>0</v>
      </c>
    </row>
    <row r="77">
      <c r="A77" s="18" t="inlineStr">
        <is>
          <t>선급비용</t>
        </is>
      </c>
      <c r="C77" s="20" t="n">
        <v>43.735</v>
      </c>
      <c r="G77" s="20" t="n">
        <v>38.572</v>
      </c>
      <c r="H77" s="20" t="n">
        <v>11.166</v>
      </c>
      <c r="I77" s="20" t="n">
        <v>17.416</v>
      </c>
      <c r="J77" s="20" t="n">
        <v>23.266</v>
      </c>
      <c r="K77" s="20" t="n">
        <v>43.735</v>
      </c>
      <c r="L77" s="20" t="n">
        <v>38.572</v>
      </c>
    </row>
    <row r="78">
      <c r="A78" s="18" t="inlineStr">
        <is>
          <t>기타</t>
        </is>
      </c>
      <c r="C78" s="20" t="n">
        <v>0.054</v>
      </c>
      <c r="D78" s="20" t="n">
        <v>28.804</v>
      </c>
      <c r="E78" s="20" t="n">
        <v>52.087</v>
      </c>
      <c r="F78" s="20" t="n">
        <v>48.934</v>
      </c>
      <c r="G78" s="20" t="n">
        <v>1.994</v>
      </c>
      <c r="H78" s="20" t="n">
        <v>0</v>
      </c>
      <c r="I78" s="20" t="n">
        <v>2.765</v>
      </c>
      <c r="J78" s="20" t="n">
        <v>0.011</v>
      </c>
      <c r="K78" s="20" t="n">
        <v>0.054</v>
      </c>
      <c r="L78" s="20" t="n">
        <v>1.994</v>
      </c>
    </row>
    <row r="79">
      <c r="A79" s="9" t="inlineStr">
        <is>
          <t>유동자산 합계</t>
        </is>
      </c>
      <c r="C79" s="12" t="n">
        <v>1834.628</v>
      </c>
      <c r="D79" s="12" t="n">
        <v>1830.082</v>
      </c>
      <c r="E79" s="12" t="n">
        <v>1945.305</v>
      </c>
      <c r="F79" s="12" t="n">
        <v>2020.426</v>
      </c>
      <c r="G79" s="12" t="n">
        <v>2139</v>
      </c>
      <c r="H79" s="12" t="n">
        <v>739.423</v>
      </c>
      <c r="I79" s="12" t="n">
        <v>667.708</v>
      </c>
      <c r="J79" s="12" t="n">
        <v>752.49</v>
      </c>
      <c r="K79" s="12" t="n">
        <v>1834.628</v>
      </c>
      <c r="L79" s="12" t="n">
        <v>2139</v>
      </c>
    </row>
    <row r="80">
      <c r="A80" s="18" t="inlineStr">
        <is>
          <t>건물</t>
        </is>
      </c>
      <c r="C80" s="20" t="n">
        <v>99.554</v>
      </c>
      <c r="G80" s="20" t="n">
        <v>53.936</v>
      </c>
      <c r="H80" s="20" t="n">
        <v>26.564</v>
      </c>
      <c r="I80" s="20" t="n">
        <v>96.94199999999999</v>
      </c>
      <c r="J80" s="20" t="n">
        <v>98.029</v>
      </c>
      <c r="K80" s="20" t="n">
        <v>99.554</v>
      </c>
      <c r="L80" s="20" t="n">
        <v>53.936</v>
      </c>
    </row>
    <row r="81">
      <c r="A81" s="18" t="inlineStr">
        <is>
          <t>감가상각누계액</t>
        </is>
      </c>
      <c r="C81" s="20" t="n">
        <v>-23.79</v>
      </c>
      <c r="G81" s="20" t="n">
        <v>-37.654</v>
      </c>
      <c r="H81" s="20" t="n">
        <v>-7.43</v>
      </c>
      <c r="I81" s="20" t="n">
        <v>-6.012</v>
      </c>
      <c r="J81" s="20" t="n">
        <v>-14.851</v>
      </c>
      <c r="K81" s="20" t="n">
        <v>-23.79</v>
      </c>
      <c r="L81" s="20" t="n">
        <v>-37.654</v>
      </c>
    </row>
    <row r="82">
      <c r="A82" s="18" t="inlineStr">
        <is>
          <t>건물(순액)</t>
        </is>
      </c>
      <c r="C82" s="20" t="n">
        <v>75.764</v>
      </c>
      <c r="G82" s="20" t="n">
        <v>16.282</v>
      </c>
      <c r="H82" s="20" t="n">
        <v>19.134</v>
      </c>
      <c r="I82" s="20" t="n">
        <v>90.929</v>
      </c>
      <c r="J82" s="20" t="n">
        <v>83.178</v>
      </c>
      <c r="K82" s="20" t="n">
        <v>75.764</v>
      </c>
      <c r="L82" s="20" t="n">
        <v>16.282</v>
      </c>
    </row>
    <row r="83">
      <c r="A83" s="18" t="inlineStr">
        <is>
          <t>차량운반구</t>
        </is>
      </c>
      <c r="C83" s="20" t="n">
        <v>10.905</v>
      </c>
      <c r="G83" s="20" t="n">
        <v>10.905</v>
      </c>
      <c r="H83" s="20" t="n">
        <v>2.245</v>
      </c>
      <c r="I83" s="20" t="n">
        <v>2.245</v>
      </c>
      <c r="J83" s="20" t="n">
        <v>2.245</v>
      </c>
      <c r="K83" s="20" t="n">
        <v>10.905</v>
      </c>
      <c r="L83" s="20" t="n">
        <v>10.905</v>
      </c>
    </row>
    <row r="84">
      <c r="A84" s="18" t="inlineStr">
        <is>
          <t>감가상각누계액</t>
        </is>
      </c>
      <c r="C84" s="20" t="n">
        <v>-3.007</v>
      </c>
      <c r="G84" s="20" t="n">
        <v>-5.312</v>
      </c>
      <c r="H84" s="20" t="n">
        <v>-0.421</v>
      </c>
      <c r="I84" s="20" t="n">
        <v>-0.982</v>
      </c>
      <c r="J84" s="20" t="n">
        <v>-1.543</v>
      </c>
      <c r="K84" s="20" t="n">
        <v>-3.007</v>
      </c>
      <c r="L84" s="20" t="n">
        <v>-5.312</v>
      </c>
    </row>
    <row r="85">
      <c r="A85" s="18" t="inlineStr">
        <is>
          <t>차량운반구(순액)</t>
        </is>
      </c>
      <c r="C85" s="20" t="n">
        <v>7.898</v>
      </c>
      <c r="G85" s="20" t="n">
        <v>5.592</v>
      </c>
      <c r="H85" s="20" t="n">
        <v>1.824</v>
      </c>
      <c r="I85" s="20" t="n">
        <v>1.263</v>
      </c>
      <c r="J85" s="20" t="n">
        <v>0.701</v>
      </c>
      <c r="K85" s="20" t="n">
        <v>7.898</v>
      </c>
      <c r="L85" s="20" t="n">
        <v>5.592</v>
      </c>
    </row>
    <row r="86">
      <c r="A86" s="18" t="inlineStr">
        <is>
          <t>공구·기구·비품</t>
        </is>
      </c>
      <c r="C86" s="20" t="n">
        <v>35.606</v>
      </c>
      <c r="G86" s="20" t="n">
        <v>39.263</v>
      </c>
      <c r="H86" s="20" t="n">
        <v>7.797</v>
      </c>
      <c r="I86" s="20" t="n">
        <v>20.55</v>
      </c>
      <c r="J86" s="20" t="n">
        <v>28.934</v>
      </c>
      <c r="K86" s="20" t="n">
        <v>35.606</v>
      </c>
      <c r="L86" s="20" t="n">
        <v>39.263</v>
      </c>
    </row>
    <row r="87">
      <c r="A87" s="18" t="inlineStr">
        <is>
          <t>감가상각누계액</t>
        </is>
      </c>
      <c r="C87" s="20" t="n">
        <v>-12.585</v>
      </c>
      <c r="G87" s="20" t="n">
        <v>-25.057</v>
      </c>
      <c r="H87" s="20" t="n">
        <v>-1.284</v>
      </c>
      <c r="I87" s="20" t="n">
        <v>-2.862</v>
      </c>
      <c r="J87" s="20" t="n">
        <v>-7.103</v>
      </c>
      <c r="K87" s="20" t="n">
        <v>-12.585</v>
      </c>
      <c r="L87" s="20" t="n">
        <v>-25.057</v>
      </c>
    </row>
    <row r="88">
      <c r="A88" s="18" t="inlineStr">
        <is>
          <t>공구·기구·비품(순액)</t>
        </is>
      </c>
      <c r="C88" s="20" t="n">
        <v>23.021</v>
      </c>
      <c r="G88" s="20" t="n">
        <v>14.205</v>
      </c>
      <c r="H88" s="20" t="n">
        <v>6.513</v>
      </c>
      <c r="I88" s="20" t="n">
        <v>17.687</v>
      </c>
      <c r="J88" s="20" t="n">
        <v>21.83</v>
      </c>
      <c r="K88" s="20" t="n">
        <v>23.021</v>
      </c>
      <c r="L88" s="20" t="n">
        <v>14.205</v>
      </c>
    </row>
    <row r="89">
      <c r="A89" s="18" t="inlineStr">
        <is>
          <t>토지</t>
        </is>
      </c>
      <c r="C89" s="20" t="n">
        <v>3.007</v>
      </c>
      <c r="G89" s="20" t="n">
        <v>3.007</v>
      </c>
      <c r="H89" s="20" t="n">
        <v>3.007</v>
      </c>
      <c r="I89" s="20" t="n">
        <v>3.007</v>
      </c>
      <c r="J89" s="20" t="n">
        <v>3.007</v>
      </c>
      <c r="K89" s="20" t="n">
        <v>3.007</v>
      </c>
      <c r="L89" s="20" t="n">
        <v>3.007</v>
      </c>
    </row>
    <row r="90">
      <c r="A90" s="18" t="inlineStr">
        <is>
          <t>유형자산 합계</t>
        </is>
      </c>
      <c r="C90" s="20" t="n">
        <v>109.69</v>
      </c>
      <c r="D90" s="20" t="n">
        <v>98.50700000000001</v>
      </c>
      <c r="E90" s="20" t="n">
        <v>83.57899999999999</v>
      </c>
      <c r="F90" s="20" t="n">
        <v>67.646</v>
      </c>
      <c r="G90" s="20" t="n">
        <v>39.088</v>
      </c>
      <c r="H90" s="20" t="n">
        <v>30.479</v>
      </c>
      <c r="I90" s="20" t="n">
        <v>112.887</v>
      </c>
      <c r="J90" s="20" t="n">
        <v>108.718</v>
      </c>
      <c r="K90" s="20" t="n">
        <v>109.69</v>
      </c>
      <c r="L90" s="20" t="n">
        <v>39.088</v>
      </c>
    </row>
    <row r="91">
      <c r="A91" s="18" t="inlineStr">
        <is>
          <t>투자유가증권</t>
        </is>
      </c>
      <c r="C91" s="20" t="n">
        <v>10</v>
      </c>
      <c r="G91" s="20" t="n">
        <v>10</v>
      </c>
      <c r="H91" s="20" t="n">
        <v>5</v>
      </c>
      <c r="I91" s="20" t="n">
        <v>10</v>
      </c>
      <c r="J91" s="20" t="n">
        <v>10</v>
      </c>
      <c r="K91" s="20" t="n">
        <v>10</v>
      </c>
      <c r="L91" s="20" t="n">
        <v>10</v>
      </c>
    </row>
    <row r="92">
      <c r="A92" s="18" t="inlineStr">
        <is>
          <t>장기선급비용</t>
        </is>
      </c>
      <c r="C92" s="20" t="n">
        <v>2.04</v>
      </c>
      <c r="G92" s="20" t="n">
        <v>1.919</v>
      </c>
      <c r="H92" s="20" t="n">
        <v>0.011</v>
      </c>
      <c r="I92" s="20" t="n">
        <v>1.106</v>
      </c>
      <c r="J92" s="20" t="n">
        <v>2.407</v>
      </c>
      <c r="K92" s="20" t="n">
        <v>2.04</v>
      </c>
      <c r="L92" s="20" t="n">
        <v>1.919</v>
      </c>
    </row>
    <row r="93">
      <c r="A93" s="18" t="inlineStr">
        <is>
          <t>임차보증금·보증금</t>
        </is>
      </c>
      <c r="H93" s="20" t="n">
        <v>26.178</v>
      </c>
      <c r="I93" s="20" t="n">
        <v>87.952</v>
      </c>
    </row>
    <row r="94">
      <c r="A94" s="18" t="inlineStr">
        <is>
          <t>임차보증금</t>
        </is>
      </c>
      <c r="C94" s="20" t="n">
        <v>69.717</v>
      </c>
      <c r="G94" s="20" t="n">
        <v>189.402</v>
      </c>
      <c r="I94" s="20" t="n">
        <v>87.952</v>
      </c>
      <c r="J94" s="20" t="n">
        <v>61.773</v>
      </c>
      <c r="K94" s="20" t="n">
        <v>69.717</v>
      </c>
      <c r="L94" s="20" t="n">
        <v>189.402</v>
      </c>
    </row>
    <row r="95">
      <c r="A95" s="18" t="inlineStr">
        <is>
          <t>이연법인세자산</t>
        </is>
      </c>
      <c r="C95" s="20" t="n">
        <v>33.82</v>
      </c>
      <c r="G95" s="20" t="n">
        <v>62.396</v>
      </c>
      <c r="J95" s="20" t="n">
        <v>0</v>
      </c>
      <c r="K95" s="20" t="n">
        <v>33.82</v>
      </c>
      <c r="L95" s="20" t="n">
        <v>62.396</v>
      </c>
    </row>
    <row r="96">
      <c r="A96" s="18" t="inlineStr">
        <is>
          <t>기타</t>
        </is>
      </c>
      <c r="C96" s="20" t="n">
        <v>17.908</v>
      </c>
      <c r="G96" s="20" t="n">
        <v>17.748</v>
      </c>
      <c r="H96" s="20" t="n">
        <v>0.035</v>
      </c>
      <c r="I96" s="20" t="n">
        <v>14.435</v>
      </c>
      <c r="J96" s="20" t="n">
        <v>18.068</v>
      </c>
      <c r="K96" s="20" t="n">
        <v>17.908</v>
      </c>
      <c r="L96" s="20" t="n">
        <v>17.748</v>
      </c>
    </row>
    <row r="97">
      <c r="A97" s="18" t="inlineStr">
        <is>
          <t>투자 및 기타자산 합계</t>
        </is>
      </c>
      <c r="C97" s="20" t="n">
        <v>133.487</v>
      </c>
      <c r="D97" s="20" t="n">
        <v>253.227</v>
      </c>
      <c r="E97" s="20" t="n">
        <v>251.668</v>
      </c>
      <c r="F97" s="20" t="n">
        <v>255.148</v>
      </c>
      <c r="G97" s="20" t="n">
        <v>281.467</v>
      </c>
      <c r="H97" s="20" t="n">
        <v>31.225</v>
      </c>
      <c r="I97" s="20" t="n">
        <v>113.494</v>
      </c>
      <c r="J97" s="20" t="n">
        <v>92.249</v>
      </c>
      <c r="K97" s="20" t="n">
        <v>133.487</v>
      </c>
      <c r="L97" s="20" t="n">
        <v>281.467</v>
      </c>
    </row>
    <row r="98">
      <c r="A98" s="9" t="inlineStr">
        <is>
          <t>비유동자산 합계</t>
        </is>
      </c>
      <c r="C98" s="12" t="n">
        <v>243.178</v>
      </c>
      <c r="D98" s="12" t="n">
        <v>351.735</v>
      </c>
      <c r="E98" s="12" t="n">
        <v>335.247</v>
      </c>
      <c r="F98" s="12" t="n">
        <v>322.795</v>
      </c>
      <c r="G98" s="12" t="n">
        <v>320.555</v>
      </c>
      <c r="H98" s="12" t="n">
        <v>61.704</v>
      </c>
      <c r="I98" s="12" t="n">
        <v>226.381</v>
      </c>
      <c r="J98" s="12" t="n">
        <v>200.968</v>
      </c>
      <c r="K98" s="12" t="n">
        <v>243.178</v>
      </c>
      <c r="L98" s="12" t="n">
        <v>320.555</v>
      </c>
    </row>
    <row r="99">
      <c r="A99" s="9" t="inlineStr">
        <is>
          <t>자산 합계</t>
        </is>
      </c>
      <c r="C99" s="12" t="n">
        <v>2077.806</v>
      </c>
      <c r="D99" s="12" t="n">
        <v>2181.818</v>
      </c>
      <c r="E99" s="12" t="n">
        <v>2280.552</v>
      </c>
      <c r="F99" s="12" t="n">
        <v>2343.222</v>
      </c>
      <c r="G99" s="12" t="n">
        <v>2459.555</v>
      </c>
      <c r="H99" s="12" t="n">
        <v>801.128</v>
      </c>
      <c r="I99" s="12" t="n">
        <v>894.09</v>
      </c>
      <c r="J99" s="12" t="n">
        <v>953.458</v>
      </c>
      <c r="K99" s="12" t="n">
        <v>2077.806</v>
      </c>
      <c r="L99" s="12" t="n">
        <v>2459.555</v>
      </c>
    </row>
    <row r="100">
      <c r="A100" s="18" t="inlineStr">
        <is>
          <t>매입채무</t>
        </is>
      </c>
      <c r="C100" s="20" t="n">
        <v>40.193</v>
      </c>
      <c r="D100" s="20" t="n">
        <v>67.675</v>
      </c>
      <c r="E100" s="20" t="n">
        <v>99.285</v>
      </c>
      <c r="F100" s="20" t="n">
        <v>28.691</v>
      </c>
      <c r="G100" s="20" t="n">
        <v>24.661</v>
      </c>
      <c r="H100" s="20" t="n">
        <v>13.053</v>
      </c>
      <c r="I100" s="20" t="n">
        <v>16.477</v>
      </c>
      <c r="J100" s="20" t="n">
        <v>7.302</v>
      </c>
      <c r="K100" s="20" t="n">
        <v>40.193</v>
      </c>
      <c r="L100" s="20" t="n">
        <v>24.661</v>
      </c>
    </row>
    <row r="101">
      <c r="A101" s="18" t="inlineStr">
        <is>
          <t>1년 내 상환 장기차입금</t>
        </is>
      </c>
      <c r="C101" s="20" t="n">
        <v>40.137</v>
      </c>
      <c r="D101" s="20" t="n">
        <v>37.938</v>
      </c>
      <c r="E101" s="20" t="n">
        <v>35.739</v>
      </c>
      <c r="F101" s="20" t="n">
        <v>33.54</v>
      </c>
      <c r="G101" s="20" t="n">
        <v>31.341</v>
      </c>
      <c r="I101" s="20" t="n">
        <v>0</v>
      </c>
      <c r="J101" s="20" t="n">
        <v>48.933</v>
      </c>
      <c r="K101" s="20" t="n">
        <v>40.137</v>
      </c>
      <c r="L101" s="20" t="n">
        <v>31.341</v>
      </c>
    </row>
    <row r="102">
      <c r="A102" s="18" t="inlineStr">
        <is>
          <t>미지급금</t>
        </is>
      </c>
      <c r="C102" s="20" t="n">
        <v>36.869</v>
      </c>
      <c r="G102" s="20" t="n">
        <v>33.68</v>
      </c>
      <c r="H102" s="20" t="n">
        <v>21.705</v>
      </c>
      <c r="I102" s="20" t="n">
        <v>65.319</v>
      </c>
      <c r="J102" s="20" t="n">
        <v>37.109</v>
      </c>
      <c r="K102" s="20" t="n">
        <v>36.869</v>
      </c>
      <c r="L102" s="20" t="n">
        <v>33.68</v>
      </c>
    </row>
    <row r="103">
      <c r="A103" s="18" t="inlineStr">
        <is>
          <t>미지급비용</t>
        </is>
      </c>
      <c r="C103" s="20" t="n">
        <v>39.292</v>
      </c>
      <c r="G103" s="20" t="n">
        <v>56.803</v>
      </c>
      <c r="H103" s="20" t="n">
        <v>19.725</v>
      </c>
      <c r="I103" s="20" t="n">
        <v>41.018</v>
      </c>
      <c r="J103" s="20" t="n">
        <v>30.395</v>
      </c>
      <c r="K103" s="20" t="n">
        <v>39.292</v>
      </c>
      <c r="L103" s="20" t="n">
        <v>56.803</v>
      </c>
    </row>
    <row r="104">
      <c r="A104" s="18" t="inlineStr">
        <is>
          <t>미지급법인세</t>
        </is>
      </c>
      <c r="C104" s="20" t="n">
        <v>36.663</v>
      </c>
      <c r="D104" s="20" t="n">
        <v>12.077</v>
      </c>
      <c r="E104" s="20" t="n">
        <v>23.935</v>
      </c>
      <c r="F104" s="20" t="n">
        <v>19.116</v>
      </c>
      <c r="G104" s="20" t="n">
        <v>36.327</v>
      </c>
      <c r="H104" s="20" t="n">
        <v>0.29</v>
      </c>
      <c r="I104" s="20" t="n">
        <v>0.29</v>
      </c>
      <c r="J104" s="20" t="n">
        <v>0.53</v>
      </c>
      <c r="K104" s="20" t="n">
        <v>36.663</v>
      </c>
      <c r="L104" s="20" t="n">
        <v>36.327</v>
      </c>
    </row>
    <row r="105">
      <c r="A105" s="18" t="inlineStr">
        <is>
          <t>상여충당금</t>
        </is>
      </c>
      <c r="C105" s="20" t="n">
        <v>0</v>
      </c>
      <c r="D105" s="20" t="n">
        <v>3.629</v>
      </c>
      <c r="E105" s="20" t="n">
        <v>7.326</v>
      </c>
      <c r="F105" s="20" t="n">
        <v>11.182</v>
      </c>
      <c r="K105" s="20" t="n">
        <v>0</v>
      </c>
    </row>
    <row r="106">
      <c r="A106" s="18" t="inlineStr">
        <is>
          <t>미지급 소비세</t>
        </is>
      </c>
      <c r="C106" s="20" t="n">
        <v>37.755</v>
      </c>
      <c r="G106" s="20" t="n">
        <v>31.228</v>
      </c>
      <c r="H106" s="20" t="n">
        <v>13.731</v>
      </c>
      <c r="I106" s="20" t="n">
        <v>0</v>
      </c>
      <c r="J106" s="20" t="n">
        <v>20.218</v>
      </c>
      <c r="K106" s="20" t="n">
        <v>37.755</v>
      </c>
      <c r="L106" s="20" t="n">
        <v>31.228</v>
      </c>
    </row>
    <row r="107">
      <c r="A107" s="18" t="inlineStr">
        <is>
          <t>예수금</t>
        </is>
      </c>
      <c r="C107" s="20" t="n">
        <v>9.225</v>
      </c>
      <c r="G107" s="20" t="n">
        <v>5.903</v>
      </c>
      <c r="H107" s="20" t="n">
        <v>1.887</v>
      </c>
      <c r="I107" s="20" t="n">
        <v>3.556</v>
      </c>
      <c r="J107" s="20" t="n">
        <v>6.316</v>
      </c>
      <c r="K107" s="20" t="n">
        <v>9.225</v>
      </c>
      <c r="L107" s="20" t="n">
        <v>5.903</v>
      </c>
    </row>
    <row r="108">
      <c r="A108" s="18" t="inlineStr">
        <is>
          <t>선수수익</t>
        </is>
      </c>
      <c r="C108" s="20" t="n">
        <v>370.552</v>
      </c>
      <c r="D108" s="20" t="n">
        <v>444.351</v>
      </c>
      <c r="E108" s="20" t="n">
        <v>432.462</v>
      </c>
      <c r="F108" s="20" t="n">
        <v>515.713</v>
      </c>
      <c r="G108" s="20" t="n">
        <v>555.4</v>
      </c>
      <c r="H108" s="20" t="n">
        <v>135.768</v>
      </c>
      <c r="I108" s="20" t="n">
        <v>180.99</v>
      </c>
      <c r="J108" s="20" t="n">
        <v>233.434</v>
      </c>
      <c r="K108" s="20" t="n">
        <v>370.552</v>
      </c>
      <c r="L108" s="20" t="n">
        <v>555.4</v>
      </c>
    </row>
    <row r="109">
      <c r="A109" s="18" t="inlineStr">
        <is>
          <t>자산복구부채</t>
        </is>
      </c>
      <c r="H109" s="20" t="n">
        <v>0</v>
      </c>
      <c r="I109" s="20" t="n">
        <v>7.53</v>
      </c>
      <c r="J109" s="20" t="n">
        <v>0</v>
      </c>
    </row>
    <row r="110">
      <c r="A110" s="18" t="inlineStr">
        <is>
          <t>기타</t>
        </is>
      </c>
      <c r="C110" s="20" t="n">
        <v>0</v>
      </c>
      <c r="D110" s="20" t="n">
        <v>102.63</v>
      </c>
      <c r="E110" s="20" t="n">
        <v>112.14</v>
      </c>
      <c r="F110" s="20" t="n">
        <v>129.685</v>
      </c>
      <c r="G110" s="20" t="n">
        <v>0.109</v>
      </c>
      <c r="H110" s="20" t="n">
        <v>57.05</v>
      </c>
      <c r="I110" s="20" t="n">
        <v>0</v>
      </c>
      <c r="J110" s="20" t="n">
        <v>0.082</v>
      </c>
      <c r="K110" s="20" t="n">
        <v>0</v>
      </c>
      <c r="L110" s="20" t="n">
        <v>0.109</v>
      </c>
    </row>
    <row r="111">
      <c r="A111" s="9" t="inlineStr">
        <is>
          <t>유동부채 합계</t>
        </is>
      </c>
      <c r="C111" s="12" t="n">
        <v>610.6900000000001</v>
      </c>
      <c r="D111" s="12" t="n">
        <v>668.302</v>
      </c>
      <c r="E111" s="12" t="n">
        <v>710.889</v>
      </c>
      <c r="F111" s="12" t="n">
        <v>737.929</v>
      </c>
      <c r="G111" s="12" t="n">
        <v>775.458</v>
      </c>
      <c r="H111" s="12" t="n">
        <v>206.162</v>
      </c>
      <c r="I111" s="12" t="n">
        <v>315.182</v>
      </c>
      <c r="J111" s="12" t="n">
        <v>384.322</v>
      </c>
      <c r="K111" s="12" t="n">
        <v>610.6900000000001</v>
      </c>
      <c r="L111" s="12" t="n">
        <v>775.458</v>
      </c>
    </row>
    <row r="112">
      <c r="A112" s="18" t="inlineStr">
        <is>
          <t>장기선수수익</t>
        </is>
      </c>
      <c r="H112" s="20" t="n">
        <v>17.097</v>
      </c>
      <c r="I112" s="20" t="n">
        <v>15.631</v>
      </c>
      <c r="J112" s="20" t="n">
        <v>10.531</v>
      </c>
    </row>
    <row r="113">
      <c r="A113" s="18" t="inlineStr">
        <is>
          <t>장기차입금</t>
        </is>
      </c>
      <c r="C113" s="20" t="n">
        <v>27.095</v>
      </c>
      <c r="D113" s="20" t="n">
        <v>23.846</v>
      </c>
      <c r="E113" s="20" t="n">
        <v>20.597</v>
      </c>
      <c r="F113" s="20" t="n">
        <v>17.348</v>
      </c>
      <c r="G113" s="20" t="n">
        <v>14.099</v>
      </c>
      <c r="I113" s="20" t="n">
        <v>0</v>
      </c>
      <c r="J113" s="20" t="n">
        <v>40.091</v>
      </c>
      <c r="K113" s="20" t="n">
        <v>27.095</v>
      </c>
      <c r="L113" s="20" t="n">
        <v>14.099</v>
      </c>
    </row>
    <row r="114">
      <c r="A114" s="18" t="inlineStr">
        <is>
          <t>기타</t>
        </is>
      </c>
      <c r="H114" s="20" t="n">
        <v>17.929</v>
      </c>
      <c r="I114" s="20" t="n">
        <v>25.043</v>
      </c>
      <c r="J114" s="20" t="n">
        <v>17.261</v>
      </c>
    </row>
    <row r="115">
      <c r="A115" s="18" t="inlineStr">
        <is>
          <t>이연법인세부채</t>
        </is>
      </c>
      <c r="C115" s="20" t="n">
        <v>0</v>
      </c>
      <c r="H115" s="20" t="n">
        <v>0.832</v>
      </c>
      <c r="I115" s="20" t="n">
        <v>9.412000000000001</v>
      </c>
      <c r="J115" s="20" t="n">
        <v>6.73</v>
      </c>
      <c r="K115" s="20" t="n">
        <v>0</v>
      </c>
    </row>
    <row r="116">
      <c r="A116" s="18" t="inlineStr">
        <is>
          <t>자산복구부채</t>
        </is>
      </c>
      <c r="C116" s="20" t="n">
        <v>46.049</v>
      </c>
      <c r="D116" s="20" t="n">
        <v>46.341</v>
      </c>
      <c r="E116" s="20" t="n">
        <v>46.74</v>
      </c>
      <c r="F116" s="20" t="n">
        <v>47.139</v>
      </c>
      <c r="G116" s="20" t="n">
        <v>0</v>
      </c>
      <c r="H116" s="20" t="n">
        <v>6.426</v>
      </c>
      <c r="I116" s="20" t="n">
        <v>45.45</v>
      </c>
      <c r="J116" s="20" t="n">
        <v>45.749</v>
      </c>
      <c r="K116" s="20" t="n">
        <v>46.049</v>
      </c>
      <c r="L116" s="20" t="n">
        <v>0</v>
      </c>
    </row>
    <row r="117">
      <c r="A117" s="9" t="inlineStr">
        <is>
          <t>비유동부채 합계</t>
        </is>
      </c>
      <c r="C117" s="12" t="n">
        <v>73.14400000000001</v>
      </c>
      <c r="D117" s="12" t="n">
        <v>70.187</v>
      </c>
      <c r="E117" s="12" t="n">
        <v>67.337</v>
      </c>
      <c r="F117" s="12" t="n">
        <v>64.48699999999999</v>
      </c>
      <c r="G117" s="12" t="n">
        <v>14.099</v>
      </c>
      <c r="H117" s="12" t="n">
        <v>24.356</v>
      </c>
      <c r="I117" s="12" t="n">
        <v>70.49299999999999</v>
      </c>
      <c r="J117" s="12" t="n">
        <v>92.56999999999999</v>
      </c>
      <c r="K117" s="12" t="n">
        <v>73.14400000000001</v>
      </c>
      <c r="L117" s="12" t="n">
        <v>14.099</v>
      </c>
    </row>
    <row r="118">
      <c r="A118" s="9" t="inlineStr">
        <is>
          <t>부채 합계</t>
        </is>
      </c>
      <c r="C118" s="12" t="n">
        <v>683.8339999999999</v>
      </c>
      <c r="D118" s="12" t="n">
        <v>738.489</v>
      </c>
      <c r="E118" s="12" t="n">
        <v>778.227</v>
      </c>
      <c r="F118" s="12" t="n">
        <v>802.4160000000001</v>
      </c>
      <c r="G118" s="12" t="n">
        <v>789.557</v>
      </c>
      <c r="H118" s="12" t="n">
        <v>230.518</v>
      </c>
      <c r="I118" s="12" t="n">
        <v>385.675</v>
      </c>
      <c r="J118" s="12" t="n">
        <v>476.892</v>
      </c>
      <c r="K118" s="12" t="n">
        <v>683.8339999999999</v>
      </c>
      <c r="L118" s="12" t="n">
        <v>789.557</v>
      </c>
    </row>
    <row r="119">
      <c r="A119" s="18" t="inlineStr">
        <is>
          <t>자본금</t>
        </is>
      </c>
      <c r="C119" s="20" t="n">
        <v>450.894</v>
      </c>
      <c r="D119" s="20" t="n">
        <v>450.894</v>
      </c>
      <c r="E119" s="20" t="n">
        <v>459.183</v>
      </c>
      <c r="F119" s="20" t="n">
        <v>459.183</v>
      </c>
      <c r="G119" s="20" t="n">
        <v>459.183</v>
      </c>
      <c r="H119" s="20" t="n">
        <v>50</v>
      </c>
      <c r="I119" s="20" t="n">
        <v>52.121</v>
      </c>
      <c r="J119" s="20" t="n">
        <v>52.121</v>
      </c>
      <c r="K119" s="20" t="n">
        <v>450.894</v>
      </c>
      <c r="L119" s="20" t="n">
        <v>459.183</v>
      </c>
    </row>
    <row r="120">
      <c r="A120" s="18" t="inlineStr">
        <is>
          <t>자본준비금</t>
        </is>
      </c>
      <c r="C120" s="20" t="n">
        <v>400.894</v>
      </c>
      <c r="G120" s="20" t="n">
        <v>409.183</v>
      </c>
      <c r="H120" s="20" t="n">
        <v>0</v>
      </c>
      <c r="I120" s="20" t="n">
        <v>2.121</v>
      </c>
      <c r="J120" s="20" t="n">
        <v>2.121</v>
      </c>
      <c r="K120" s="20" t="n">
        <v>400.894</v>
      </c>
      <c r="L120" s="20" t="n">
        <v>409.183</v>
      </c>
    </row>
    <row r="121">
      <c r="A121" s="18" t="inlineStr">
        <is>
          <t>기타자본잉여금</t>
        </is>
      </c>
      <c r="C121" s="20" t="n">
        <v>787.247</v>
      </c>
      <c r="G121" s="20" t="n">
        <v>791.777</v>
      </c>
      <c r="H121" s="20" t="n">
        <v>765.438</v>
      </c>
      <c r="I121" s="20" t="n">
        <v>779.83</v>
      </c>
      <c r="J121" s="20" t="n">
        <v>779.83</v>
      </c>
      <c r="K121" s="20" t="n">
        <v>787.247</v>
      </c>
      <c r="L121" s="20" t="n">
        <v>791.777</v>
      </c>
    </row>
    <row r="122">
      <c r="A122" s="18" t="inlineStr">
        <is>
          <t>자본잉여금 합계</t>
        </is>
      </c>
      <c r="C122" s="20" t="n">
        <v>1188.141</v>
      </c>
      <c r="D122" s="20" t="n">
        <v>1189.785</v>
      </c>
      <c r="E122" s="20" t="n">
        <v>1200.961</v>
      </c>
      <c r="F122" s="20" t="n">
        <v>1200.961</v>
      </c>
      <c r="G122" s="20" t="n">
        <v>1200.961</v>
      </c>
      <c r="H122" s="20" t="n">
        <v>765.438</v>
      </c>
      <c r="I122" s="20" t="n">
        <v>781.951</v>
      </c>
      <c r="J122" s="20" t="n">
        <v>781.951</v>
      </c>
      <c r="K122" s="20" t="n">
        <v>1188.141</v>
      </c>
      <c r="L122" s="20" t="n">
        <v>1200.961</v>
      </c>
    </row>
    <row r="123">
      <c r="A123" s="18" t="inlineStr">
        <is>
          <t>이월이익잉여금</t>
        </is>
      </c>
      <c r="C123" s="20" t="n">
        <v>-241.584</v>
      </c>
      <c r="G123" s="20" t="n">
        <v>13.161</v>
      </c>
      <c r="H123" s="20" t="n">
        <v>-240.57</v>
      </c>
      <c r="I123" s="20" t="n">
        <v>-321.908</v>
      </c>
      <c r="J123" s="20" t="n">
        <v>-353.756</v>
      </c>
      <c r="K123" s="20" t="n">
        <v>-241.584</v>
      </c>
      <c r="L123" s="20" t="n">
        <v>13.161</v>
      </c>
    </row>
    <row r="124">
      <c r="A124" s="18" t="inlineStr">
        <is>
          <t>이익잉여금 합계</t>
        </is>
      </c>
      <c r="C124" s="20" t="n">
        <v>-241.584</v>
      </c>
      <c r="D124" s="20" t="n">
        <v>-193.927</v>
      </c>
      <c r="E124" s="20" t="n">
        <v>-154.51</v>
      </c>
      <c r="F124" s="20" t="n">
        <v>-116.03</v>
      </c>
      <c r="G124" s="20" t="n">
        <v>13.161</v>
      </c>
      <c r="H124" s="20" t="n">
        <v>-240.57</v>
      </c>
      <c r="I124" s="20" t="n">
        <v>-321.908</v>
      </c>
      <c r="J124" s="20" t="n">
        <v>-353.756</v>
      </c>
      <c r="K124" s="20" t="n">
        <v>-241.584</v>
      </c>
      <c r="L124" s="20" t="n">
        <v>13.161</v>
      </c>
    </row>
    <row r="125">
      <c r="A125" s="18" t="inlineStr">
        <is>
          <t>자기주식</t>
        </is>
      </c>
      <c r="C125" s="20" t="n">
        <v>-3.479</v>
      </c>
      <c r="D125" s="20" t="n">
        <v>-3.422</v>
      </c>
      <c r="E125" s="20" t="n">
        <v>-3.309</v>
      </c>
      <c r="F125" s="20" t="n">
        <v>-3.309</v>
      </c>
      <c r="G125" s="20" t="n">
        <v>-3.309</v>
      </c>
      <c r="H125" s="20" t="n">
        <v>-4.258</v>
      </c>
      <c r="I125" s="20" t="n">
        <v>-3.75</v>
      </c>
      <c r="J125" s="20" t="n">
        <v>-3.75</v>
      </c>
      <c r="K125" s="20" t="n">
        <v>-3.479</v>
      </c>
      <c r="L125" s="20" t="n">
        <v>-3.309</v>
      </c>
    </row>
    <row r="126">
      <c r="A126" s="9" t="inlineStr">
        <is>
          <t>주주자본 합계</t>
        </is>
      </c>
      <c r="C126" s="12" t="n">
        <v>1393.972</v>
      </c>
      <c r="D126" s="12" t="n">
        <v>1443.329</v>
      </c>
      <c r="E126" s="12" t="n">
        <v>1502.325</v>
      </c>
      <c r="F126" s="12" t="n">
        <v>1540.805</v>
      </c>
      <c r="G126" s="12" t="n">
        <v>1669.998</v>
      </c>
      <c r="H126" s="12" t="n">
        <v>570.609</v>
      </c>
      <c r="I126" s="12" t="n">
        <v>508.414</v>
      </c>
      <c r="J126" s="12" t="n">
        <v>476.565</v>
      </c>
      <c r="K126" s="12" t="n">
        <v>1393.972</v>
      </c>
      <c r="L126" s="12" t="n">
        <v>1669.998</v>
      </c>
    </row>
    <row r="127">
      <c r="A127" s="9" t="inlineStr">
        <is>
          <t>순자산 합계</t>
        </is>
      </c>
      <c r="C127" s="12" t="n">
        <v>1393.972</v>
      </c>
      <c r="D127" s="12" t="n">
        <v>1443.329</v>
      </c>
      <c r="E127" s="12" t="n">
        <v>1502.325</v>
      </c>
      <c r="F127" s="12" t="n">
        <v>1540.805</v>
      </c>
      <c r="G127" s="12" t="n">
        <v>1669.998</v>
      </c>
      <c r="H127" s="12" t="n">
        <v>570.609</v>
      </c>
      <c r="I127" s="12" t="n">
        <v>508.414</v>
      </c>
      <c r="J127" s="12" t="n">
        <v>476.565</v>
      </c>
      <c r="K127" s="12" t="n">
        <v>1393.972</v>
      </c>
      <c r="L127" s="12" t="n">
        <v>1669.998</v>
      </c>
    </row>
    <row r="128">
      <c r="A128" s="9" t="inlineStr">
        <is>
          <t>부채·순자산 합계</t>
        </is>
      </c>
      <c r="C128" s="12" t="n">
        <v>2077.806</v>
      </c>
      <c r="D128" s="12" t="n">
        <v>2181.818</v>
      </c>
      <c r="E128" s="12" t="n">
        <v>2280.552</v>
      </c>
      <c r="F128" s="12" t="n">
        <v>2343.222</v>
      </c>
      <c r="G128" s="12" t="n">
        <v>2459.555</v>
      </c>
      <c r="H128" s="12" t="n">
        <v>801.128</v>
      </c>
      <c r="I128" s="12" t="n">
        <v>894.09</v>
      </c>
      <c r="J128" s="12" t="n">
        <v>953.458</v>
      </c>
      <c r="K128" s="12" t="n">
        <v>2077.806</v>
      </c>
      <c r="L128" s="12" t="n">
        <v>2459.555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https://www2.jpx.co.jp/disc/44120/140120261014550912.pdf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https://www2.jpx.co.jp/disc/44120/140120260714593441.pdf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https://www2.jpx.co.jp/disc/44120/140120260413502987.pdf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https://www2.jpx.co.jp/disc/44120/140120260114533123.pdf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https://www2.jpx.co.jp/disc/44120/140120251015573534.pdf</t>
        </is>
      </c>
    </row>
    <row r="9">
      <c r="A9" t="inlineStr">
        <is>
          <t>2025-07-15</t>
        </is>
      </c>
      <c r="B9" t="inlineStr">
        <is>
          <t>2025년 8월 결산기 ３분기 결산단신</t>
        </is>
      </c>
      <c r="C9" t="inlineStr">
        <is>
          <t>https://www2.jpx.co.jp/disc/44120/140120250714514128.pdf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https://www2.jpx.co.jp/disc/44120/140120250411513833.pdf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https://www2.jpx.co.jp/disc/44120/140120250110549614.pdf</t>
        </is>
      </c>
    </row>
    <row r="12">
      <c r="A12" t="inlineStr">
        <is>
          <t>2024-10-15</t>
        </is>
      </c>
      <c r="B12" t="inlineStr">
        <is>
          <t>2024년 8월 결산기 연간 결산단신</t>
        </is>
      </c>
      <c r="C12" t="inlineStr">
        <is>
          <t>https://www2.jpx.co.jp/disc/44120/140120241011597502.pdf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https://www2.jpx.co.jp/disc/44120/140120240711547988.pdf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https://www2.jpx.co.jp/disc/44120/140120240410568555.pdf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https://www2.jpx.co.jp/disc/44120/140120240111513661.pdf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https://www2.jpx.co.jp/disc/44120/140120231012566163.pdf</t>
        </is>
      </c>
    </row>
    <row r="17">
      <c r="A17" t="inlineStr">
        <is>
          <t>2023-07-14</t>
        </is>
      </c>
      <c r="B17" t="inlineStr">
        <is>
          <t>2023년 8월 결산기 ３분기 결산단신</t>
        </is>
      </c>
      <c r="C17" t="inlineStr">
        <is>
          <t>https://www2.jpx.co.jp/disc/44120/140120230713522053.pdf</t>
        </is>
      </c>
    </row>
    <row r="18">
      <c r="A18" t="inlineStr">
        <is>
          <t>2023-04-14</t>
        </is>
      </c>
      <c r="B18" t="inlineStr">
        <is>
          <t>2023년 8월 결산기 ２분기 결산단신</t>
        </is>
      </c>
      <c r="C18" t="inlineStr">
        <is>
          <t>https://www2.jpx.co.jp/disc/44120/140120230413546892.pdf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https://www2.jpx.co.jp/disc/44120/140120230112588645.pdf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https://www2.jpx.co.jp/disc/44120/140120221013544210.pdf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2026-10-25T07:47:45Z</dcterms:created>
  <dcterms:modified xmlns:dcterms="http://purl.org/dc/terms/" xmlns:xsi="http://www.w3.org/2001/XMLSchema-instance" xsi:type="dcterms:W3CDTF">2026-10-25T07:47:45Z</dcterms:modified>
</cp:coreProperties>
</file>