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현금흐름표" sheetId="3" state="visible" r:id="rId3"/>
    <sheet xmlns:r="http://schemas.openxmlformats.org/officeDocument/2006/relationships" name="부문" sheetId="4" state="visible" r:id="rId4"/>
    <sheet xmlns:r="http://schemas.openxmlformats.org/officeDocument/2006/relationships" name="출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8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</fonts>
  <fills count="3">
    <fill>
      <patternFill/>
    </fill>
    <fill>
      <patternFill patternType="gray125"/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40" customWidth="1" min="29" max="29"/>
  </cols>
  <sheetData>
    <row r="1">
      <c r="A1" s="1" t="inlineStr">
        <is>
          <t>사이언스아츠 손익계산서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FY21</t>
        </is>
      </c>
      <c r="X3" s="4" t="inlineStr">
        <is>
          <t>FY22</t>
        </is>
      </c>
      <c r="Y3" s="4" t="inlineStr">
        <is>
          <t>FY23</t>
        </is>
      </c>
      <c r="Z3" s="4" t="inlineStr">
        <is>
          <t>FY24</t>
        </is>
      </c>
      <c r="AA3" s="4" t="inlineStr">
        <is>
          <t>FY25</t>
        </is>
      </c>
      <c r="AB3" s="4" t="inlineStr">
        <is>
          <t>FY26</t>
        </is>
      </c>
      <c r="AC3" s="4" t="inlineStr">
        <is>
          <t>출처</t>
        </is>
      </c>
    </row>
    <row r="4">
      <c r="A4" s="5" t="inlineStr">
        <is>
          <t>매출액</t>
        </is>
      </c>
      <c r="C4" s="6" t="n">
        <v>1.1114</v>
      </c>
      <c r="D4" s="6" t="n">
        <v>1.1988</v>
      </c>
      <c r="E4" s="6" t="n">
        <v>2.2196</v>
      </c>
      <c r="F4" s="6" t="n">
        <v>2.07</v>
      </c>
      <c r="G4" s="6" t="n">
        <v>1.4561</v>
      </c>
      <c r="H4" s="6" t="n">
        <v>1.7967</v>
      </c>
      <c r="I4" s="6" t="n">
        <v>2.2763</v>
      </c>
      <c r="J4" s="6" t="n">
        <v>2.1895</v>
      </c>
      <c r="K4" s="6" t="n">
        <v>3.0444</v>
      </c>
      <c r="L4" s="6" t="n">
        <v>2.5526</v>
      </c>
      <c r="M4" s="6" t="n">
        <v>3.1918</v>
      </c>
      <c r="N4" s="6" t="n">
        <v>3.0589</v>
      </c>
      <c r="O4" s="6" t="n">
        <v>3.4098</v>
      </c>
      <c r="P4" s="6" t="n">
        <v>3.8818</v>
      </c>
      <c r="Q4" s="6" t="n">
        <v>4.3096</v>
      </c>
      <c r="R4" s="6" t="n">
        <v>4.945</v>
      </c>
      <c r="S4" s="6" t="n">
        <v>5.1513</v>
      </c>
      <c r="T4" s="6" t="n">
        <v>5.1287</v>
      </c>
      <c r="U4" s="6" t="n">
        <v>5.3677</v>
      </c>
      <c r="V4" s="6" t="n">
        <v>5.6945</v>
      </c>
      <c r="W4" s="6" t="n">
        <v>3.6599</v>
      </c>
      <c r="X4" s="6" t="n">
        <v>6.5999</v>
      </c>
      <c r="Y4" s="6" t="n">
        <v>7.7186</v>
      </c>
      <c r="Z4" s="6" t="n">
        <v>11.8477</v>
      </c>
      <c r="AA4" s="6" t="n">
        <v>16.5462</v>
      </c>
      <c r="AB4" s="6" t="n">
        <v>21.3422</v>
      </c>
      <c r="AC4" s="7" t="inlineStr">
        <is>
          <t>결산단신 XBRL(거래소 공시, TDnet·JPX 보관소). 쓴 문서: 2026-10-15, 2026-07-15, 2026-04-14, 2026-01-14 외 16건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</row>
    <row r="6">
      <c r="A6" s="5" t="inlineStr">
        <is>
          <t>매출원가</t>
        </is>
      </c>
      <c r="C6" s="6" t="n">
        <v>0.2797</v>
      </c>
      <c r="D6" s="6" t="n">
        <v>0.3255</v>
      </c>
      <c r="E6" s="6" t="n">
        <v>0.8555</v>
      </c>
      <c r="F6" s="6" t="n">
        <v>0.7856</v>
      </c>
      <c r="G6" s="6" t="n">
        <v>0.4245</v>
      </c>
      <c r="H6" s="6" t="n">
        <v>0.6087</v>
      </c>
      <c r="I6" s="6" t="n">
        <v>0.8776</v>
      </c>
      <c r="J6" s="6" t="n">
        <v>0.9055</v>
      </c>
      <c r="K6" s="6" t="n">
        <v>1.6732</v>
      </c>
      <c r="L6" s="6" t="n">
        <v>1.0138</v>
      </c>
      <c r="M6" s="6" t="n">
        <v>1.2382</v>
      </c>
      <c r="N6" s="6" t="n">
        <v>1.1418</v>
      </c>
      <c r="O6" s="6" t="n">
        <v>1.3134</v>
      </c>
      <c r="P6" s="6" t="n">
        <v>1.5276</v>
      </c>
      <c r="Q6" s="6" t="n">
        <v>1.593</v>
      </c>
      <c r="R6" s="6" t="n">
        <v>2.0122</v>
      </c>
      <c r="S6" s="6" t="n">
        <v>1.9358</v>
      </c>
      <c r="T6" s="6" t="n">
        <v>1.9086</v>
      </c>
      <c r="U6" s="6" t="n">
        <v>2.0114</v>
      </c>
      <c r="V6" s="6" t="n">
        <v>1.9923</v>
      </c>
      <c r="W6" s="6" t="n">
        <v>1.0074</v>
      </c>
      <c r="X6" s="6" t="n">
        <v>2.2463</v>
      </c>
      <c r="Y6" s="6" t="n">
        <v>2.8162</v>
      </c>
      <c r="Z6" s="6" t="n">
        <v>5.0671</v>
      </c>
      <c r="AA6" s="6" t="n">
        <v>6.4463</v>
      </c>
      <c r="AB6" s="6" t="n">
        <v>7.848</v>
      </c>
    </row>
    <row r="7">
      <c r="A7" s="5" t="inlineStr">
        <is>
          <t>매출총이익</t>
        </is>
      </c>
      <c r="C7" s="6" t="n">
        <v>0.8317</v>
      </c>
      <c r="D7" s="6" t="n">
        <v>0.8733</v>
      </c>
      <c r="E7" s="6" t="n">
        <v>1.3641</v>
      </c>
      <c r="F7" s="6" t="n">
        <v>1.2844</v>
      </c>
      <c r="G7" s="6" t="n">
        <v>1.0316</v>
      </c>
      <c r="H7" s="6" t="n">
        <v>1.188</v>
      </c>
      <c r="I7" s="6" t="n">
        <v>1.3987</v>
      </c>
      <c r="J7" s="6" t="n">
        <v>1.284</v>
      </c>
      <c r="K7" s="6" t="n">
        <v>1.3712</v>
      </c>
      <c r="L7" s="6" t="n">
        <v>1.5388</v>
      </c>
      <c r="M7" s="6" t="n">
        <v>1.9536</v>
      </c>
      <c r="N7" s="6" t="n">
        <v>1.9171</v>
      </c>
      <c r="O7" s="6" t="n">
        <v>2.0964</v>
      </c>
      <c r="P7" s="6" t="n">
        <v>2.3541</v>
      </c>
      <c r="Q7" s="6" t="n">
        <v>2.7166</v>
      </c>
      <c r="R7" s="6" t="n">
        <v>2.9328</v>
      </c>
      <c r="S7" s="6" t="n">
        <v>3.2155</v>
      </c>
      <c r="T7" s="6" t="n">
        <v>3.2201</v>
      </c>
      <c r="U7" s="6" t="n">
        <v>3.3564</v>
      </c>
      <c r="V7" s="6" t="n">
        <v>3.7022</v>
      </c>
      <c r="W7" s="6" t="n">
        <v>2.6526</v>
      </c>
      <c r="X7" s="6" t="n">
        <v>4.3536</v>
      </c>
      <c r="Y7" s="6" t="n">
        <v>4.9024</v>
      </c>
      <c r="Z7" s="6" t="n">
        <v>6.7807</v>
      </c>
      <c r="AA7" s="6" t="n">
        <v>10.0999</v>
      </c>
      <c r="AB7" s="6" t="n">
        <v>13.4942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  <c r="X8" s="9">
        <f>IF(OR(X7="",X4=""),"",IFERROR(X7/X4,""))</f>
        <v/>
      </c>
      <c r="Y8" s="9">
        <f>IF(OR(Y7="",Y4=""),"",IFERROR(Y7/Y4,""))</f>
        <v/>
      </c>
      <c r="Z8" s="9">
        <f>IF(OR(Z7="",Z4=""),"",IFERROR(Z7/Z4,""))</f>
        <v/>
      </c>
      <c r="AA8" s="9">
        <f>IF(OR(AA7="",AA4=""),"",IFERROR(AA7/AA4,""))</f>
        <v/>
      </c>
      <c r="AB8" s="9">
        <f>IF(OR(AB7="",AB4=""),"",IFERROR(AB7/AB4,""))</f>
        <v/>
      </c>
    </row>
    <row r="9">
      <c r="A9" s="10" t="inlineStr">
        <is>
          <t>판매비와 관리비</t>
        </is>
      </c>
      <c r="C9" s="11" t="n">
        <v>0.9819</v>
      </c>
      <c r="D9" s="11" t="n">
        <v>0.9627</v>
      </c>
      <c r="E9" s="11" t="n">
        <v>1.0766</v>
      </c>
      <c r="F9" s="11" t="n">
        <v>1.2192</v>
      </c>
      <c r="G9" s="11" t="n">
        <v>1.2449</v>
      </c>
      <c r="H9" s="11" t="n">
        <v>1.2844</v>
      </c>
      <c r="I9" s="11" t="n">
        <v>1.4033</v>
      </c>
      <c r="J9" s="11" t="n">
        <v>1.6407</v>
      </c>
      <c r="K9" s="11" t="n">
        <v>1.5764</v>
      </c>
      <c r="L9" s="11" t="n">
        <v>1.488</v>
      </c>
      <c r="M9" s="11" t="n">
        <v>2.155</v>
      </c>
      <c r="N9" s="11" t="n">
        <v>1.874</v>
      </c>
      <c r="O9" s="11" t="n">
        <v>2.0104</v>
      </c>
      <c r="P9" s="11" t="n">
        <v>2.1155</v>
      </c>
      <c r="Q9" s="11" t="n">
        <v>2.4686</v>
      </c>
      <c r="R9" s="11" t="n">
        <v>2.4329</v>
      </c>
      <c r="S9" s="11" t="n">
        <v>2.65</v>
      </c>
      <c r="T9" s="11" t="n">
        <v>2.7364</v>
      </c>
      <c r="U9" s="11" t="n">
        <v>2.9133</v>
      </c>
      <c r="V9" s="11" t="n">
        <v>2.5745</v>
      </c>
      <c r="W9" s="11" t="n">
        <v>3.6246</v>
      </c>
      <c r="X9" s="11" t="n">
        <v>4.2405</v>
      </c>
      <c r="Y9" s="11" t="n">
        <v>5.5732</v>
      </c>
      <c r="Z9" s="11" t="n">
        <v>7.0934</v>
      </c>
      <c r="AA9" s="11" t="n">
        <v>9.0274</v>
      </c>
      <c r="AB9" s="11" t="n">
        <v>10.8741</v>
      </c>
    </row>
    <row r="10">
      <c r="A10" s="5" t="inlineStr">
        <is>
          <t>영업이익</t>
        </is>
      </c>
      <c r="C10" s="6" t="n">
        <v>-0.1502</v>
      </c>
      <c r="D10" s="6" t="n">
        <v>-0.0893</v>
      </c>
      <c r="E10" s="6" t="n">
        <v>0.2875</v>
      </c>
      <c r="F10" s="6" t="n">
        <v>0.06519999999999999</v>
      </c>
      <c r="G10" s="6" t="n">
        <v>-0.2132</v>
      </c>
      <c r="H10" s="6" t="n">
        <v>-0.0964</v>
      </c>
      <c r="I10" s="6" t="n">
        <v>-0.0045</v>
      </c>
      <c r="J10" s="6" t="n">
        <v>-0.3567</v>
      </c>
      <c r="K10" s="6" t="n">
        <v>-0.2052</v>
      </c>
      <c r="L10" s="6" t="n">
        <v>0.0508</v>
      </c>
      <c r="M10" s="6" t="n">
        <v>-0.2015</v>
      </c>
      <c r="N10" s="6" t="n">
        <v>0.0431</v>
      </c>
      <c r="O10" s="6" t="n">
        <v>0.0861</v>
      </c>
      <c r="P10" s="6" t="n">
        <v>0.2386</v>
      </c>
      <c r="Q10" s="6" t="n">
        <v>0.248</v>
      </c>
      <c r="R10" s="6" t="n">
        <v>0.4999</v>
      </c>
      <c r="S10" s="6" t="n">
        <v>0.5656</v>
      </c>
      <c r="T10" s="6" t="n">
        <v>0.4837</v>
      </c>
      <c r="U10" s="6" t="n">
        <v>0.4431</v>
      </c>
      <c r="V10" s="6" t="n">
        <v>1.1277</v>
      </c>
      <c r="W10" s="6" t="n">
        <v>-0.972</v>
      </c>
      <c r="X10" s="6" t="n">
        <v>0.1131</v>
      </c>
      <c r="Y10" s="6" t="n">
        <v>-0.6708</v>
      </c>
      <c r="Z10" s="6" t="n">
        <v>-0.3127</v>
      </c>
      <c r="AA10" s="6" t="n">
        <v>1.0726</v>
      </c>
      <c r="AB10" s="6" t="n">
        <v>2.62</v>
      </c>
    </row>
    <row r="11">
      <c r="A11" s="8" t="inlineStr">
        <is>
          <t>영업이익률</t>
        </is>
      </c>
      <c r="C11" s="9">
        <f>IF(OR(C10="",C4=""),"",IFERROR(C10/C4,""))</f>
        <v/>
      </c>
      <c r="D11" s="9">
        <f>IF(OR(D10="",D4=""),"",IFERROR(D10/D4,""))</f>
        <v/>
      </c>
      <c r="E11" s="9">
        <f>IF(OR(E10="",E4=""),"",IFERROR(E10/E4,""))</f>
        <v/>
      </c>
      <c r="F11" s="9">
        <f>IF(OR(F10="",F4=""),"",IFERROR(F10/F4,""))</f>
        <v/>
      </c>
      <c r="G11" s="9">
        <f>IF(OR(G10="",G4=""),"",IFERROR(G10/G4,""))</f>
        <v/>
      </c>
      <c r="H11" s="9">
        <f>IF(OR(H10="",H4=""),"",IFERROR(H10/H4,""))</f>
        <v/>
      </c>
      <c r="I11" s="9">
        <f>IF(OR(I10="",I4=""),"",IFERROR(I10/I4,""))</f>
        <v/>
      </c>
      <c r="J11" s="9">
        <f>IF(OR(J10="",J4=""),"",IFERROR(J10/J4,""))</f>
        <v/>
      </c>
      <c r="K11" s="9">
        <f>IF(OR(K10="",K4=""),"",IFERROR(K10/K4,""))</f>
        <v/>
      </c>
      <c r="L11" s="9">
        <f>IF(OR(L10="",L4=""),"",IFERROR(L10/L4,""))</f>
        <v/>
      </c>
      <c r="M11" s="9">
        <f>IF(OR(M10="",M4=""),"",IFERROR(M10/M4,""))</f>
        <v/>
      </c>
      <c r="N11" s="9">
        <f>IF(OR(N10="",N4=""),"",IFERROR(N10/N4,""))</f>
        <v/>
      </c>
      <c r="O11" s="9">
        <f>IF(OR(O10="",O4=""),"",IFERROR(O10/O4,""))</f>
        <v/>
      </c>
      <c r="P11" s="9">
        <f>IF(OR(P10="",P4=""),"",IFERROR(P10/P4,""))</f>
        <v/>
      </c>
      <c r="Q11" s="9">
        <f>IF(OR(Q10="",Q4=""),"",IFERROR(Q10/Q4,""))</f>
        <v/>
      </c>
      <c r="R11" s="9">
        <f>IF(OR(R10="",R4=""),"",IFERROR(R10/R4,""))</f>
        <v/>
      </c>
      <c r="S11" s="9">
        <f>IF(OR(S10="",S4=""),"",IFERROR(S10/S4,""))</f>
        <v/>
      </c>
      <c r="T11" s="9">
        <f>IF(OR(T10="",T4=""),"",IFERROR(T10/T4,""))</f>
        <v/>
      </c>
      <c r="U11" s="9">
        <f>IF(OR(U10="",U4=""),"",IFERROR(U10/U4,""))</f>
        <v/>
      </c>
      <c r="V11" s="9">
        <f>IF(OR(V10="",V4=""),"",IFERROR(V10/V4,""))</f>
        <v/>
      </c>
      <c r="W11" s="9">
        <f>IF(OR(W10="",W4=""),"",IFERROR(W10/W4,""))</f>
        <v/>
      </c>
      <c r="X11" s="9">
        <f>IF(OR(X10="",X4=""),"",IFERROR(X10/X4,""))</f>
        <v/>
      </c>
      <c r="Y11" s="9">
        <f>IF(OR(Y10="",Y4=""),"",IFERROR(Y10/Y4,""))</f>
        <v/>
      </c>
      <c r="Z11" s="9">
        <f>IF(OR(Z10="",Z4=""),"",IFERROR(Z10/Z4,""))</f>
        <v/>
      </c>
      <c r="AA11" s="9">
        <f>IF(OR(AA10="",AA4=""),"",IFERROR(AA10/AA4,""))</f>
        <v/>
      </c>
      <c r="AB11" s="9">
        <f>IF(OR(AB10="",AB4=""),"",IFERROR(AB10/AB4,""))</f>
        <v/>
      </c>
    </row>
    <row r="12">
      <c r="A12" s="8" t="inlineStr">
        <is>
          <t>YoY</t>
        </is>
      </c>
      <c r="G12" s="9">
        <f>IF(OR(G10="",C10=""),"",IFERROR(G10/C10-1,""))</f>
        <v/>
      </c>
      <c r="H12" s="9">
        <f>IF(OR(H10="",D10=""),"",IFERROR(H10/D10-1,""))</f>
        <v/>
      </c>
      <c r="I12" s="9">
        <f>IF(OR(I10="",E10=""),"",IFERROR(I10/E10-1,""))</f>
        <v/>
      </c>
      <c r="J12" s="9">
        <f>IF(OR(J10="",F10=""),"",IFERROR(J10/F10-1,""))</f>
        <v/>
      </c>
      <c r="K12" s="9">
        <f>IF(OR(K10="",G10=""),"",IFERROR(K10/G10-1,""))</f>
        <v/>
      </c>
      <c r="L12" s="9">
        <f>IF(OR(L10="",H10=""),"",IFERROR(L10/H10-1,""))</f>
        <v/>
      </c>
      <c r="M12" s="9">
        <f>IF(OR(M10="",I10=""),"",IFERROR(M10/I10-1,""))</f>
        <v/>
      </c>
      <c r="N12" s="9">
        <f>IF(OR(N10="",J10=""),"",IFERROR(N10/J10-1,""))</f>
        <v/>
      </c>
      <c r="O12" s="9">
        <f>IF(OR(O10="",K10=""),"",IFERROR(O10/K10-1,""))</f>
        <v/>
      </c>
      <c r="P12" s="9">
        <f>IF(OR(P10="",L10=""),"",IFERROR(P10/L10-1,""))</f>
        <v/>
      </c>
      <c r="Q12" s="9">
        <f>IF(OR(Q10="",M10=""),"",IFERROR(Q10/M10-1,""))</f>
        <v/>
      </c>
      <c r="R12" s="9">
        <f>IF(OR(R10="",N10=""),"",IFERROR(R10/N10-1,""))</f>
        <v/>
      </c>
      <c r="S12" s="9">
        <f>IF(OR(S10="",O10=""),"",IFERROR(S10/O10-1,""))</f>
        <v/>
      </c>
      <c r="T12" s="9">
        <f>IF(OR(T10="",P10=""),"",IFERROR(T10/P10-1,""))</f>
        <v/>
      </c>
      <c r="U12" s="9">
        <f>IF(OR(U10="",Q10=""),"",IFERROR(U10/Q10-1,""))</f>
        <v/>
      </c>
      <c r="V12" s="9">
        <f>IF(OR(V10="",R10=""),"",IFERROR(V10/R10-1,""))</f>
        <v/>
      </c>
      <c r="X12" s="9">
        <f>IF(OR(X10="",W10=""),"",IFERROR(X10/W10-1,""))</f>
        <v/>
      </c>
      <c r="Y12" s="9">
        <f>IF(OR(Y10="",X10=""),"",IFERROR(Y10/X10-1,""))</f>
        <v/>
      </c>
      <c r="Z12" s="9">
        <f>IF(OR(Z10="",Y10=""),"",IFERROR(Z10/Y10-1,""))</f>
        <v/>
      </c>
      <c r="AA12" s="9">
        <f>IF(OR(AA10="",Z10=""),"",IFERROR(AA10/Z10-1,""))</f>
        <v/>
      </c>
      <c r="AB12" s="9">
        <f>IF(OR(AB10="",AA10=""),"",IFERROR(AB10/AA10-1,""))</f>
        <v/>
      </c>
    </row>
    <row r="13">
      <c r="A13" s="10" t="inlineStr">
        <is>
          <t>이자수익</t>
        </is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0.0004</v>
      </c>
      <c r="O13" s="11" t="n">
        <v>0.0002</v>
      </c>
      <c r="P13" s="11" t="n">
        <v>0.005</v>
      </c>
      <c r="Q13" s="11" t="n">
        <v>0.0004</v>
      </c>
      <c r="R13" s="11" t="n">
        <v>0.0139</v>
      </c>
      <c r="S13" s="11" t="n">
        <v>0.0005</v>
      </c>
      <c r="T13" s="11" t="n">
        <v>0.0166</v>
      </c>
      <c r="U13" s="11" t="n">
        <v>0.0005999999999999999</v>
      </c>
      <c r="V13" s="11" t="n">
        <v>0.0184</v>
      </c>
      <c r="W13" s="11" t="n">
        <v>0</v>
      </c>
      <c r="X13" s="11" t="n">
        <v>0.0001</v>
      </c>
      <c r="Y13" s="11" t="n">
        <v>0.0001</v>
      </c>
      <c r="Z13" s="11" t="n">
        <v>0.0005</v>
      </c>
      <c r="AA13" s="11" t="n">
        <v>0.0194</v>
      </c>
      <c r="AB13" s="11" t="n">
        <v>0.0361</v>
      </c>
    </row>
    <row r="14">
      <c r="A14" s="10" t="inlineStr">
        <is>
          <t>보조금 수입</t>
        </is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0.0004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Y14" s="11" t="n">
        <v>0</v>
      </c>
      <c r="Z14" s="11" t="n">
        <v>0.0004</v>
      </c>
      <c r="AA14" s="11" t="n">
        <v>0</v>
      </c>
    </row>
    <row r="15">
      <c r="A15" s="10" t="inlineStr">
        <is>
          <t>포상금 수익</t>
        </is>
      </c>
      <c r="C15" s="11" t="n">
        <v>0.0036</v>
      </c>
      <c r="D15" s="11" t="n">
        <v>0</v>
      </c>
      <c r="E15" s="11" t="n">
        <v>0</v>
      </c>
      <c r="G15" s="11" t="n">
        <v>0</v>
      </c>
      <c r="H15" s="11" t="n">
        <v>0.0009</v>
      </c>
      <c r="I15" s="11" t="n">
        <v>0</v>
      </c>
      <c r="M15" s="11" t="n">
        <v>0</v>
      </c>
    </row>
    <row r="16">
      <c r="A16" s="10" t="inlineStr">
        <is>
          <t>포상금 수익</t>
        </is>
      </c>
      <c r="W16" s="11" t="n">
        <v>0.0273</v>
      </c>
      <c r="X16" s="11" t="n">
        <v>0.0036</v>
      </c>
      <c r="Y16" s="11" t="n">
        <v>0.0009</v>
      </c>
      <c r="Z16" s="11" t="n">
        <v>0</v>
      </c>
    </row>
    <row r="17">
      <c r="A17" s="10" t="inlineStr">
        <is>
          <t>업무수탁료</t>
        </is>
      </c>
      <c r="F17" s="11" t="n">
        <v>0</v>
      </c>
      <c r="J17" s="11" t="n">
        <v>0</v>
      </c>
      <c r="W17" s="11" t="n">
        <v>0</v>
      </c>
      <c r="X17" s="11" t="n">
        <v>0.03</v>
      </c>
      <c r="Y17" s="11" t="n">
        <v>0</v>
      </c>
    </row>
    <row r="18">
      <c r="A18" s="10" t="inlineStr">
        <is>
          <t>유가증권 이자</t>
        </is>
      </c>
      <c r="R18" s="11" t="n">
        <v>0</v>
      </c>
      <c r="V18" s="11" t="n">
        <v>0.011</v>
      </c>
      <c r="AA18" s="11" t="n">
        <v>0</v>
      </c>
      <c r="AB18" s="11" t="n">
        <v>0.0143</v>
      </c>
    </row>
    <row r="19">
      <c r="A19" s="10" t="inlineStr">
        <is>
          <t>기타</t>
        </is>
      </c>
      <c r="C19" s="11" t="n">
        <v>0.0002</v>
      </c>
      <c r="D19" s="11" t="n">
        <v>-0.0001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0.0001</v>
      </c>
      <c r="M19" s="11" t="n">
        <v>0</v>
      </c>
      <c r="N19" s="11" t="n">
        <v>0</v>
      </c>
      <c r="O19" s="11" t="n">
        <v>0</v>
      </c>
      <c r="P19" s="11" t="n">
        <v>0.0009</v>
      </c>
      <c r="Q19" s="11" t="n">
        <v>0.0001</v>
      </c>
      <c r="R19" s="11" t="n">
        <v>0.0001</v>
      </c>
      <c r="S19" s="11" t="n">
        <v>0</v>
      </c>
      <c r="T19" s="11" t="n">
        <v>0</v>
      </c>
      <c r="U19" s="11" t="n">
        <v>0.0002</v>
      </c>
      <c r="V19" s="11" t="n">
        <v>0.0008</v>
      </c>
      <c r="W19" s="11" t="n">
        <v>0.0003</v>
      </c>
      <c r="X19" s="11" t="n">
        <v>0.0001</v>
      </c>
      <c r="Y19" s="11" t="n">
        <v>0</v>
      </c>
      <c r="Z19" s="11" t="n">
        <v>0.0001</v>
      </c>
      <c r="AA19" s="11" t="n">
        <v>0.0011</v>
      </c>
      <c r="AB19" s="11" t="n">
        <v>0.001</v>
      </c>
    </row>
    <row r="20">
      <c r="A20" s="5" t="inlineStr">
        <is>
          <t>영업외수익 합계</t>
        </is>
      </c>
      <c r="C20" s="6" t="n">
        <v>0.0038</v>
      </c>
      <c r="D20" s="6" t="n">
        <v>-0.0001</v>
      </c>
      <c r="E20" s="6" t="n">
        <v>0.03</v>
      </c>
      <c r="F20" s="6" t="n">
        <v>0</v>
      </c>
      <c r="G20" s="6" t="n">
        <v>0</v>
      </c>
      <c r="H20" s="6" t="n">
        <v>0.001</v>
      </c>
      <c r="I20" s="6" t="n">
        <v>0</v>
      </c>
      <c r="J20" s="6" t="n">
        <v>0</v>
      </c>
      <c r="K20" s="6" t="n">
        <v>0.0004</v>
      </c>
      <c r="L20" s="6" t="n">
        <v>0.0001</v>
      </c>
      <c r="M20" s="6" t="n">
        <v>0</v>
      </c>
      <c r="N20" s="6" t="n">
        <v>0.0004</v>
      </c>
      <c r="O20" s="6" t="n">
        <v>0.0002</v>
      </c>
      <c r="P20" s="6" t="n">
        <v>0.0059</v>
      </c>
      <c r="Q20" s="6" t="n">
        <v>0.0005</v>
      </c>
      <c r="R20" s="6" t="n">
        <v>0.014</v>
      </c>
      <c r="S20" s="6" t="n">
        <v>0.0005</v>
      </c>
      <c r="T20" s="6" t="n">
        <v>0.0166</v>
      </c>
      <c r="U20" s="6" t="n">
        <v>0.0041</v>
      </c>
      <c r="V20" s="6" t="n">
        <v>0.0302</v>
      </c>
      <c r="W20" s="6" t="n">
        <v>0.0276</v>
      </c>
      <c r="X20" s="6" t="n">
        <v>0.0338</v>
      </c>
      <c r="Y20" s="6" t="n">
        <v>0.001</v>
      </c>
      <c r="Z20" s="6" t="n">
        <v>0.001</v>
      </c>
      <c r="AA20" s="6" t="n">
        <v>0.0205</v>
      </c>
      <c r="AB20" s="6" t="n">
        <v>0.0513</v>
      </c>
    </row>
    <row r="21">
      <c r="A21" s="10" t="inlineStr">
        <is>
          <t>이자비용</t>
        </is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0.0036</v>
      </c>
      <c r="L21" s="11" t="n">
        <v>0.0043</v>
      </c>
      <c r="M21" s="11" t="n">
        <v>0.0042</v>
      </c>
      <c r="N21" s="11" t="n">
        <v>0.0041</v>
      </c>
      <c r="O21" s="11" t="n">
        <v>0.0041</v>
      </c>
      <c r="P21" s="11" t="n">
        <v>0.0039</v>
      </c>
      <c r="Q21" s="11" t="n">
        <v>0.0048</v>
      </c>
      <c r="R21" s="11" t="n">
        <v>0.0038</v>
      </c>
      <c r="S21" s="11" t="n">
        <v>0.0035</v>
      </c>
      <c r="T21" s="11" t="n">
        <v>0.0033</v>
      </c>
      <c r="U21" s="11" t="n">
        <v>0.0033</v>
      </c>
      <c r="V21" s="11" t="n">
        <v>0.0031</v>
      </c>
      <c r="W21" s="11" t="n">
        <v>0.0058</v>
      </c>
      <c r="X21" s="11" t="n">
        <v>0</v>
      </c>
      <c r="Y21" s="11" t="n">
        <v>0</v>
      </c>
      <c r="Z21" s="11" t="n">
        <v>0.0162</v>
      </c>
      <c r="AA21" s="11" t="n">
        <v>0.0167</v>
      </c>
      <c r="AB21" s="11" t="n">
        <v>0.0132</v>
      </c>
    </row>
    <row r="22">
      <c r="A22" s="10" t="inlineStr">
        <is>
          <t>외환차손</t>
        </is>
      </c>
      <c r="C22" s="11" t="n">
        <v>0.0009</v>
      </c>
      <c r="D22" s="11" t="n">
        <v>0</v>
      </c>
      <c r="E22" s="11" t="n">
        <v>0.0052</v>
      </c>
      <c r="F22" s="11" t="n">
        <v>-0.0013</v>
      </c>
      <c r="G22" s="11" t="n">
        <v>0.0019</v>
      </c>
      <c r="H22" s="11" t="n">
        <v>0.0004</v>
      </c>
      <c r="I22" s="11" t="n">
        <v>0.0016</v>
      </c>
      <c r="J22" s="11" t="n">
        <v>0.0009</v>
      </c>
      <c r="K22" s="11" t="n">
        <v>0.0012</v>
      </c>
      <c r="L22" s="11" t="n">
        <v>0.007</v>
      </c>
      <c r="M22" s="11" t="n">
        <v>0.0032</v>
      </c>
      <c r="N22" s="11" t="n">
        <v>0.0007</v>
      </c>
      <c r="O22" s="11" t="n">
        <v>0.004</v>
      </c>
      <c r="P22" s="11" t="n">
        <v>0.0035</v>
      </c>
      <c r="Q22" s="11" t="n">
        <v>0.0007</v>
      </c>
      <c r="R22" s="11" t="n">
        <v>-0.0008</v>
      </c>
      <c r="S22" s="11" t="n">
        <v>0.0135</v>
      </c>
      <c r="T22" s="11" t="n">
        <v>0.0117</v>
      </c>
      <c r="U22" s="11" t="n">
        <v>0.0015</v>
      </c>
      <c r="V22" s="11" t="n">
        <v>0.0005</v>
      </c>
      <c r="W22" s="11" t="n">
        <v>0.0046</v>
      </c>
      <c r="X22" s="11" t="n">
        <v>0.0049</v>
      </c>
      <c r="Y22" s="11" t="n">
        <v>0.0048</v>
      </c>
      <c r="Z22" s="11" t="n">
        <v>0.012</v>
      </c>
      <c r="AA22" s="11" t="n">
        <v>0.0074</v>
      </c>
      <c r="AB22" s="11" t="n">
        <v>0.0273</v>
      </c>
    </row>
    <row r="23">
      <c r="A23" s="10" t="inlineStr">
        <is>
          <t>주식교부비</t>
        </is>
      </c>
      <c r="C23" s="11" t="n">
        <v>0.0435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0.1401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  <c r="V23" s="11" t="n">
        <v>0</v>
      </c>
      <c r="W23" s="11" t="n">
        <v>0</v>
      </c>
      <c r="X23" s="11" t="n">
        <v>0.0435</v>
      </c>
      <c r="Y23" s="11" t="n">
        <v>0</v>
      </c>
      <c r="Z23" s="11" t="n">
        <v>0</v>
      </c>
      <c r="AA23" s="11" t="n">
        <v>0.1401</v>
      </c>
      <c r="AB23" s="11" t="n">
        <v>0</v>
      </c>
    </row>
    <row r="24">
      <c r="A24" s="10" t="inlineStr">
        <is>
          <t>기타</t>
        </is>
      </c>
      <c r="C24" s="11" t="n">
        <v>0</v>
      </c>
      <c r="D24" s="11" t="n">
        <v>0</v>
      </c>
      <c r="E24" s="11" t="n">
        <v>0</v>
      </c>
      <c r="F24" s="11" t="n">
        <v>-0</v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0.0008</v>
      </c>
      <c r="Q24" s="11" t="n">
        <v>0</v>
      </c>
      <c r="R24" s="11" t="n">
        <v>0.0011</v>
      </c>
      <c r="S24" s="11" t="n">
        <v>0.0004</v>
      </c>
      <c r="T24" s="11" t="n">
        <v>0.001</v>
      </c>
      <c r="U24" s="11" t="n">
        <v>0.0003</v>
      </c>
      <c r="V24" s="11" t="n">
        <v>0.0014</v>
      </c>
      <c r="W24" s="11" t="n">
        <v>0.0019</v>
      </c>
      <c r="X24" s="11" t="n">
        <v>0</v>
      </c>
      <c r="Y24" s="11" t="n">
        <v>0</v>
      </c>
      <c r="Z24" s="11" t="n">
        <v>0</v>
      </c>
      <c r="AA24" s="11" t="n">
        <v>0.0019</v>
      </c>
      <c r="AB24" s="11" t="n">
        <v>0.0031</v>
      </c>
    </row>
    <row r="25">
      <c r="A25" s="10" t="inlineStr">
        <is>
          <t>영업외비용 합계</t>
        </is>
      </c>
      <c r="C25" s="11" t="n">
        <v>0.0445</v>
      </c>
      <c r="D25" s="11" t="n">
        <v>0</v>
      </c>
      <c r="E25" s="11" t="n">
        <v>0.0052</v>
      </c>
      <c r="F25" s="11" t="n">
        <v>-0.0013</v>
      </c>
      <c r="G25" s="11" t="n">
        <v>0.0019</v>
      </c>
      <c r="H25" s="11" t="n">
        <v>0.0004</v>
      </c>
      <c r="I25" s="11" t="n">
        <v>0.0016</v>
      </c>
      <c r="J25" s="11" t="n">
        <v>0.0009</v>
      </c>
      <c r="K25" s="11" t="n">
        <v>0.0047</v>
      </c>
      <c r="L25" s="11" t="n">
        <v>0.0113</v>
      </c>
      <c r="M25" s="11" t="n">
        <v>0.0074</v>
      </c>
      <c r="N25" s="11" t="n">
        <v>0.0048</v>
      </c>
      <c r="O25" s="11" t="n">
        <v>0.1482</v>
      </c>
      <c r="P25" s="11" t="n">
        <v>0.008200000000000001</v>
      </c>
      <c r="Q25" s="11" t="n">
        <v>0.0056</v>
      </c>
      <c r="R25" s="11" t="n">
        <v>0.0041</v>
      </c>
      <c r="S25" s="11" t="n">
        <v>0.0174</v>
      </c>
      <c r="T25" s="11" t="n">
        <v>0.016</v>
      </c>
      <c r="U25" s="11" t="n">
        <v>0.0052</v>
      </c>
      <c r="V25" s="11" t="n">
        <v>0.005</v>
      </c>
      <c r="W25" s="11" t="n">
        <v>0.0123</v>
      </c>
      <c r="X25" s="11" t="n">
        <v>0.0485</v>
      </c>
      <c r="Y25" s="11" t="n">
        <v>0.0049</v>
      </c>
      <c r="Z25" s="11" t="n">
        <v>0.0282</v>
      </c>
      <c r="AA25" s="11" t="n">
        <v>0.1661</v>
      </c>
      <c r="AB25" s="11" t="n">
        <v>0.0436</v>
      </c>
    </row>
    <row r="26">
      <c r="A26" s="5" t="inlineStr">
        <is>
          <t>경상이익</t>
        </is>
      </c>
      <c r="C26" s="6" t="n">
        <v>-0.1909</v>
      </c>
      <c r="D26" s="6" t="n">
        <v>-0.08939999999999999</v>
      </c>
      <c r="E26" s="6" t="n">
        <v>0.3123</v>
      </c>
      <c r="F26" s="6" t="n">
        <v>0.0665</v>
      </c>
      <c r="G26" s="6" t="n">
        <v>-0.2152</v>
      </c>
      <c r="H26" s="6" t="n">
        <v>-0.0959</v>
      </c>
      <c r="I26" s="6" t="n">
        <v>-0.0061</v>
      </c>
      <c r="J26" s="6" t="n">
        <v>-0.3575</v>
      </c>
      <c r="K26" s="6" t="n">
        <v>-0.2095</v>
      </c>
      <c r="L26" s="6" t="n">
        <v>0.0396</v>
      </c>
      <c r="M26" s="6" t="n">
        <v>-0.2089</v>
      </c>
      <c r="N26" s="6" t="n">
        <v>0.0387</v>
      </c>
      <c r="O26" s="6" t="n">
        <v>-0.0619</v>
      </c>
      <c r="P26" s="6" t="n">
        <v>0.2363</v>
      </c>
      <c r="Q26" s="6" t="n">
        <v>0.2429</v>
      </c>
      <c r="R26" s="6" t="n">
        <v>0.5097</v>
      </c>
      <c r="S26" s="6" t="n">
        <v>0.5486</v>
      </c>
      <c r="T26" s="6" t="n">
        <v>0.4843</v>
      </c>
      <c r="U26" s="6" t="n">
        <v>0.442</v>
      </c>
      <c r="V26" s="6" t="n">
        <v>1.1528</v>
      </c>
      <c r="W26" s="6" t="n">
        <v>-0.9567</v>
      </c>
      <c r="X26" s="6" t="n">
        <v>0.0984</v>
      </c>
      <c r="Y26" s="6" t="n">
        <v>-0.6747</v>
      </c>
      <c r="Z26" s="6" t="n">
        <v>-0.34</v>
      </c>
      <c r="AA26" s="6" t="n">
        <v>0.927</v>
      </c>
      <c r="AB26" s="6" t="n">
        <v>2.6277</v>
      </c>
    </row>
    <row r="27">
      <c r="A27" s="8" t="inlineStr">
        <is>
          <t>경상이익률</t>
        </is>
      </c>
      <c r="C27" s="9">
        <f>IF(OR(C26="",C4=""),"",IFERROR(C26/C4,""))</f>
        <v/>
      </c>
      <c r="D27" s="9">
        <f>IF(OR(D26="",D4=""),"",IFERROR(D26/D4,""))</f>
        <v/>
      </c>
      <c r="E27" s="9">
        <f>IF(OR(E26="",E4=""),"",IFERROR(E26/E4,""))</f>
        <v/>
      </c>
      <c r="F27" s="9">
        <f>IF(OR(F26="",F4=""),"",IFERROR(F26/F4,""))</f>
        <v/>
      </c>
      <c r="G27" s="9">
        <f>IF(OR(G26="",G4=""),"",IFERROR(G26/G4,""))</f>
        <v/>
      </c>
      <c r="H27" s="9">
        <f>IF(OR(H26="",H4=""),"",IFERROR(H26/H4,""))</f>
        <v/>
      </c>
      <c r="I27" s="9">
        <f>IF(OR(I26="",I4=""),"",IFERROR(I26/I4,""))</f>
        <v/>
      </c>
      <c r="J27" s="9">
        <f>IF(OR(J26="",J4=""),"",IFERROR(J26/J4,""))</f>
        <v/>
      </c>
      <c r="K27" s="9">
        <f>IF(OR(K26="",K4=""),"",IFERROR(K26/K4,""))</f>
        <v/>
      </c>
      <c r="L27" s="9">
        <f>IF(OR(L26="",L4=""),"",IFERROR(L26/L4,""))</f>
        <v/>
      </c>
      <c r="M27" s="9">
        <f>IF(OR(M26="",M4=""),"",IFERROR(M26/M4,""))</f>
        <v/>
      </c>
      <c r="N27" s="9">
        <f>IF(OR(N26="",N4=""),"",IFERROR(N26/N4,""))</f>
        <v/>
      </c>
      <c r="O27" s="9">
        <f>IF(OR(O26="",O4=""),"",IFERROR(O26/O4,""))</f>
        <v/>
      </c>
      <c r="P27" s="9">
        <f>IF(OR(P26="",P4=""),"",IFERROR(P26/P4,""))</f>
        <v/>
      </c>
      <c r="Q27" s="9">
        <f>IF(OR(Q26="",Q4=""),"",IFERROR(Q26/Q4,""))</f>
        <v/>
      </c>
      <c r="R27" s="9">
        <f>IF(OR(R26="",R4=""),"",IFERROR(R26/R4,""))</f>
        <v/>
      </c>
      <c r="S27" s="9">
        <f>IF(OR(S26="",S4=""),"",IFERROR(S26/S4,""))</f>
        <v/>
      </c>
      <c r="T27" s="9">
        <f>IF(OR(T26="",T4=""),"",IFERROR(T26/T4,""))</f>
        <v/>
      </c>
      <c r="U27" s="9">
        <f>IF(OR(U26="",U4=""),"",IFERROR(U26/U4,""))</f>
        <v/>
      </c>
      <c r="V27" s="9">
        <f>IF(OR(V26="",V4=""),"",IFERROR(V26/V4,""))</f>
        <v/>
      </c>
      <c r="W27" s="9">
        <f>IF(OR(W26="",W4=""),"",IFERROR(W26/W4,""))</f>
        <v/>
      </c>
      <c r="X27" s="9">
        <f>IF(OR(X26="",X4=""),"",IFERROR(X26/X4,""))</f>
        <v/>
      </c>
      <c r="Y27" s="9">
        <f>IF(OR(Y26="",Y4=""),"",IFERROR(Y26/Y4,""))</f>
        <v/>
      </c>
      <c r="Z27" s="9">
        <f>IF(OR(Z26="",Z4=""),"",IFERROR(Z26/Z4,""))</f>
        <v/>
      </c>
      <c r="AA27" s="9">
        <f>IF(OR(AA26="",AA4=""),"",IFERROR(AA26/AA4,""))</f>
        <v/>
      </c>
      <c r="AB27" s="9">
        <f>IF(OR(AB26="",AB4=""),"",IFERROR(AB26/AB4,""))</f>
        <v/>
      </c>
    </row>
    <row r="28">
      <c r="A28" s="10" t="inlineStr">
        <is>
          <t>투자유가증권 평가손실</t>
        </is>
      </c>
      <c r="E28" s="11" t="n">
        <v>0</v>
      </c>
      <c r="F28" s="11" t="n">
        <v>0</v>
      </c>
      <c r="I28" s="11" t="n">
        <v>0</v>
      </c>
      <c r="J28" s="11" t="n">
        <v>0</v>
      </c>
      <c r="M28" s="11" t="n">
        <v>0</v>
      </c>
      <c r="N28" s="11" t="n">
        <v>0</v>
      </c>
      <c r="X28" s="11" t="n">
        <v>0</v>
      </c>
      <c r="Y28" s="11" t="n">
        <v>0.05</v>
      </c>
      <c r="Z28" s="11" t="n">
        <v>0</v>
      </c>
    </row>
    <row r="29">
      <c r="A29" s="10" t="inlineStr">
        <is>
          <t>특별손실 합계</t>
        </is>
      </c>
      <c r="E29" s="11" t="n">
        <v>0</v>
      </c>
      <c r="F29" s="11" t="n">
        <v>0</v>
      </c>
      <c r="I29" s="11" t="n">
        <v>0</v>
      </c>
      <c r="J29" s="11" t="n">
        <v>0</v>
      </c>
      <c r="M29" s="11" t="n">
        <v>0</v>
      </c>
      <c r="N29" s="11" t="n">
        <v>0</v>
      </c>
      <c r="X29" s="11" t="n">
        <v>0</v>
      </c>
      <c r="Y29" s="11" t="n">
        <v>0.05</v>
      </c>
      <c r="Z29" s="11" t="n">
        <v>0</v>
      </c>
    </row>
    <row r="30">
      <c r="A30" s="10" t="inlineStr">
        <is>
          <t>법인세차감전 순이익</t>
        </is>
      </c>
      <c r="C30" s="11" t="n">
        <v>-0.1909</v>
      </c>
      <c r="D30" s="11" t="n">
        <v>-0.08939999999999999</v>
      </c>
      <c r="E30" s="11" t="n">
        <v>0.3123</v>
      </c>
      <c r="F30" s="11" t="n">
        <v>0.0665</v>
      </c>
      <c r="G30" s="11" t="n">
        <v>-0.2152</v>
      </c>
      <c r="H30" s="11" t="n">
        <v>-0.1459</v>
      </c>
      <c r="I30" s="11" t="n">
        <v>-0.0061</v>
      </c>
      <c r="J30" s="11" t="n">
        <v>-0.3575</v>
      </c>
      <c r="K30" s="11" t="n">
        <v>-0.2095</v>
      </c>
      <c r="L30" s="11" t="n">
        <v>0.0396</v>
      </c>
      <c r="M30" s="11" t="n">
        <v>-0.2089</v>
      </c>
      <c r="N30" s="11" t="n">
        <v>0.0387</v>
      </c>
      <c r="O30" s="11" t="n">
        <v>-0.0619</v>
      </c>
      <c r="P30" s="11" t="n">
        <v>0.2363</v>
      </c>
      <c r="Q30" s="11" t="n">
        <v>0.2429</v>
      </c>
      <c r="R30" s="11" t="n">
        <v>0.5097</v>
      </c>
      <c r="S30" s="11" t="n">
        <v>0.5486</v>
      </c>
      <c r="T30" s="11" t="n">
        <v>0.4843</v>
      </c>
      <c r="U30" s="11" t="n">
        <v>0.442</v>
      </c>
      <c r="V30" s="11" t="n">
        <v>1.1528</v>
      </c>
      <c r="W30" s="11" t="n">
        <v>-0.9567</v>
      </c>
      <c r="X30" s="11" t="n">
        <v>0.0984</v>
      </c>
      <c r="Y30" s="11" t="n">
        <v>-0.7247</v>
      </c>
      <c r="Z30" s="11" t="n">
        <v>-0.34</v>
      </c>
      <c r="AA30" s="11" t="n">
        <v>0.927</v>
      </c>
      <c r="AB30" s="11" t="n">
        <v>2.6277</v>
      </c>
    </row>
    <row r="31">
      <c r="A31" s="10" t="inlineStr">
        <is>
          <t>법인세·주민세·사업세</t>
        </is>
      </c>
      <c r="C31" s="11" t="n">
        <v>0.0007</v>
      </c>
      <c r="D31" s="11" t="n">
        <v>0.0007</v>
      </c>
      <c r="E31" s="11" t="n">
        <v>0.0007</v>
      </c>
      <c r="F31" s="11" t="n">
        <v>0.0007</v>
      </c>
      <c r="G31" s="11" t="n">
        <v>0.0007</v>
      </c>
      <c r="H31" s="11" t="n">
        <v>0.0007</v>
      </c>
      <c r="I31" s="11" t="n">
        <v>0.0007</v>
      </c>
      <c r="J31" s="11" t="n">
        <v>0.0007</v>
      </c>
      <c r="K31" s="11" t="n">
        <v>0.0007</v>
      </c>
      <c r="L31" s="11" t="n">
        <v>0.0007</v>
      </c>
      <c r="M31" s="11" t="n">
        <v>0.0007</v>
      </c>
      <c r="N31" s="11" t="n">
        <v>0.0031</v>
      </c>
      <c r="O31" s="11" t="n">
        <v>0.0057</v>
      </c>
      <c r="P31" s="11" t="n">
        <v>0.0442</v>
      </c>
      <c r="Q31" s="11" t="n">
        <v>0.0573</v>
      </c>
      <c r="R31" s="11" t="n">
        <v>0.1037</v>
      </c>
      <c r="S31" s="11" t="n">
        <v>0.078</v>
      </c>
      <c r="T31" s="11" t="n">
        <v>0.07480000000000001</v>
      </c>
      <c r="U31" s="11" t="n">
        <v>0.0935</v>
      </c>
      <c r="V31" s="11" t="n">
        <v>0.1197</v>
      </c>
      <c r="W31" s="11" t="n">
        <v>0.0029</v>
      </c>
      <c r="X31" s="11" t="n">
        <v>0.0029</v>
      </c>
      <c r="Y31" s="11" t="n">
        <v>0.0029</v>
      </c>
      <c r="Z31" s="11" t="n">
        <v>0.0053</v>
      </c>
      <c r="AA31" s="11" t="n">
        <v>0.2108</v>
      </c>
      <c r="AB31" s="11" t="n">
        <v>0.366</v>
      </c>
    </row>
    <row r="32">
      <c r="A32" s="10" t="inlineStr">
        <is>
          <t>법인세 조정액</t>
        </is>
      </c>
      <c r="C32" s="11" t="n">
        <v>-0.0003</v>
      </c>
      <c r="D32" s="11" t="n">
        <v>0.0105</v>
      </c>
      <c r="E32" s="11" t="n">
        <v>0.0005999999999999999</v>
      </c>
      <c r="F32" s="11" t="n">
        <v>-0.0053</v>
      </c>
      <c r="G32" s="11" t="n">
        <v>-0.0019</v>
      </c>
      <c r="H32" s="11" t="n">
        <v>-0.0005999999999999999</v>
      </c>
      <c r="I32" s="11" t="n">
        <v>-0.0058</v>
      </c>
      <c r="J32" s="11" t="n">
        <v>0.0941</v>
      </c>
      <c r="K32" s="11" t="n">
        <v>-0.0075</v>
      </c>
      <c r="L32" s="11" t="n">
        <v>-0.0036</v>
      </c>
      <c r="M32" s="11" t="n">
        <v>-0.0033</v>
      </c>
      <c r="N32" s="11" t="n">
        <v>-0.0125</v>
      </c>
      <c r="O32" s="11" t="n">
        <v>-0.0129</v>
      </c>
      <c r="P32" s="11" t="n">
        <v>-0.012</v>
      </c>
      <c r="Q32" s="11" t="n">
        <v>-0.0054</v>
      </c>
      <c r="R32" s="11" t="n">
        <v>-0.3751</v>
      </c>
      <c r="S32" s="11" t="n">
        <v>-0.006</v>
      </c>
      <c r="T32" s="11" t="n">
        <v>0.0153</v>
      </c>
      <c r="U32" s="11" t="n">
        <v>-0.0363</v>
      </c>
      <c r="V32" s="11" t="n">
        <v>-0.2588</v>
      </c>
      <c r="W32" s="11" t="n">
        <v>-0.0067</v>
      </c>
      <c r="X32" s="11" t="n">
        <v>0.0054</v>
      </c>
      <c r="Y32" s="11" t="n">
        <v>0.0858</v>
      </c>
      <c r="Z32" s="11" t="n">
        <v>-0.0268</v>
      </c>
      <c r="AA32" s="11" t="n">
        <v>-0.4055</v>
      </c>
      <c r="AB32" s="11" t="n">
        <v>-0.2858</v>
      </c>
    </row>
    <row r="33">
      <c r="A33" s="10" t="inlineStr">
        <is>
          <t>법인세 등 합계</t>
        </is>
      </c>
      <c r="C33" s="11" t="n">
        <v>0.0004</v>
      </c>
      <c r="D33" s="11" t="n">
        <v>0.0112</v>
      </c>
      <c r="E33" s="11" t="n">
        <v>0.0013</v>
      </c>
      <c r="F33" s="11" t="n">
        <v>-0.0046</v>
      </c>
      <c r="G33" s="11" t="n">
        <v>-0.0012</v>
      </c>
      <c r="H33" s="11" t="n">
        <v>0.0002</v>
      </c>
      <c r="I33" s="11" t="n">
        <v>-0.0051</v>
      </c>
      <c r="J33" s="11" t="n">
        <v>0.0948</v>
      </c>
      <c r="K33" s="11" t="n">
        <v>-0.0067</v>
      </c>
      <c r="L33" s="11" t="n">
        <v>-0.0029</v>
      </c>
      <c r="M33" s="11" t="n">
        <v>-0.0025</v>
      </c>
      <c r="N33" s="11" t="n">
        <v>-0.0094</v>
      </c>
      <c r="O33" s="11" t="n">
        <v>-0.0072</v>
      </c>
      <c r="P33" s="11" t="n">
        <v>0.0321</v>
      </c>
      <c r="Q33" s="11" t="n">
        <v>0.0518</v>
      </c>
      <c r="R33" s="11" t="n">
        <v>-0.2715</v>
      </c>
      <c r="S33" s="11" t="n">
        <v>0.0721</v>
      </c>
      <c r="T33" s="11" t="n">
        <v>0.0901</v>
      </c>
      <c r="U33" s="11" t="n">
        <v>0.0572</v>
      </c>
      <c r="V33" s="11" t="n">
        <v>-0.1391</v>
      </c>
      <c r="W33" s="11" t="n">
        <v>-0.0038</v>
      </c>
      <c r="X33" s="11" t="n">
        <v>0.0083</v>
      </c>
      <c r="Y33" s="11" t="n">
        <v>0.0887</v>
      </c>
      <c r="Z33" s="11" t="n">
        <v>-0.0215</v>
      </c>
      <c r="AA33" s="11" t="n">
        <v>-0.1947</v>
      </c>
      <c r="AB33" s="11" t="n">
        <v>0.0803</v>
      </c>
    </row>
    <row r="34">
      <c r="A34" s="5" t="inlineStr">
        <is>
          <t>순이익</t>
        </is>
      </c>
      <c r="C34" s="6" t="n">
        <v>-0.1914</v>
      </c>
      <c r="D34" s="6" t="n">
        <v>-0.1006</v>
      </c>
      <c r="E34" s="6" t="n">
        <v>0.311</v>
      </c>
      <c r="F34" s="6" t="n">
        <v>0.0711</v>
      </c>
      <c r="G34" s="6" t="n">
        <v>-0.214</v>
      </c>
      <c r="H34" s="6" t="n">
        <v>-0.146</v>
      </c>
      <c r="I34" s="6" t="n">
        <v>-0.001</v>
      </c>
      <c r="J34" s="6" t="n">
        <v>-0.4524</v>
      </c>
      <c r="K34" s="6" t="n">
        <v>-0.2028</v>
      </c>
      <c r="L34" s="6" t="n">
        <v>0.0425</v>
      </c>
      <c r="M34" s="6" t="n">
        <v>-0.2063</v>
      </c>
      <c r="N34" s="6" t="n">
        <v>0.0481</v>
      </c>
      <c r="O34" s="6" t="n">
        <v>-0.0547</v>
      </c>
      <c r="P34" s="6" t="n">
        <v>0.2042</v>
      </c>
      <c r="Q34" s="6" t="n">
        <v>0.1911</v>
      </c>
      <c r="R34" s="6" t="n">
        <v>0.7812</v>
      </c>
      <c r="S34" s="6" t="n">
        <v>0.4766</v>
      </c>
      <c r="T34" s="6" t="n">
        <v>0.3942</v>
      </c>
      <c r="U34" s="6" t="n">
        <v>0.3848</v>
      </c>
      <c r="V34" s="6" t="n">
        <v>1.2919</v>
      </c>
      <c r="W34" s="6" t="n">
        <v>-0.9529</v>
      </c>
      <c r="X34" s="6" t="n">
        <v>0.0901</v>
      </c>
      <c r="Y34" s="6" t="n">
        <v>-0.8134</v>
      </c>
      <c r="Z34" s="6" t="n">
        <v>-0.3185</v>
      </c>
      <c r="AA34" s="6" t="n">
        <v>1.1217</v>
      </c>
      <c r="AB34" s="6" t="n">
        <v>2.5475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6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40" customWidth="1" min="29" max="29"/>
  </cols>
  <sheetData>
    <row r="1">
      <c r="A1" s="1" t="inlineStr">
        <is>
          <t>사이언스아츠 재무상태표</t>
        </is>
      </c>
    </row>
    <row r="2">
      <c r="A2" s="2" t="inlineStr">
        <is>
          <t>결산기 기준(27.2Q = 2027년 결산기 2분기) · 8월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FY21</t>
        </is>
      </c>
      <c r="X3" s="4" t="inlineStr">
        <is>
          <t>FY22</t>
        </is>
      </c>
      <c r="Y3" s="4" t="inlineStr">
        <is>
          <t>FY23</t>
        </is>
      </c>
      <c r="Z3" s="4" t="inlineStr">
        <is>
          <t>FY24</t>
        </is>
      </c>
      <c r="AA3" s="4" t="inlineStr">
        <is>
          <t>FY25</t>
        </is>
      </c>
      <c r="AB3" s="4" t="inlineStr">
        <is>
          <t>FY26</t>
        </is>
      </c>
      <c r="AC3" s="4" t="inlineStr">
        <is>
          <t>출처</t>
        </is>
      </c>
    </row>
    <row r="4">
      <c r="A4" s="10" t="inlineStr">
        <is>
          <t>현금 및 예금</t>
        </is>
      </c>
      <c r="C4" s="11" t="n">
        <v>5.9157</v>
      </c>
      <c r="D4" s="11" t="n">
        <v>5.547</v>
      </c>
      <c r="E4" s="11" t="n">
        <v>6.2065</v>
      </c>
      <c r="F4" s="11" t="n">
        <v>6.6391</v>
      </c>
      <c r="G4" s="11" t="n">
        <v>6.6471</v>
      </c>
      <c r="H4" s="11" t="n">
        <v>6.4306</v>
      </c>
      <c r="I4" s="11" t="n">
        <v>5.3769</v>
      </c>
      <c r="J4" s="11" t="n">
        <v>5.0476</v>
      </c>
      <c r="K4" s="11" t="n">
        <v>5.4889</v>
      </c>
      <c r="L4" s="11" t="n">
        <v>5.6949</v>
      </c>
      <c r="M4" s="11" t="n">
        <v>6.2491</v>
      </c>
      <c r="N4" s="11" t="n">
        <v>5.6234</v>
      </c>
      <c r="O4" s="11" t="n">
        <v>13.9578</v>
      </c>
      <c r="P4" s="11" t="n">
        <v>14.4783</v>
      </c>
      <c r="Q4" s="11" t="n">
        <v>15.1715</v>
      </c>
      <c r="R4" s="11" t="n">
        <v>15.7927</v>
      </c>
      <c r="S4" s="11" t="n">
        <v>15.8614</v>
      </c>
      <c r="T4" s="11" t="n">
        <v>15.6365</v>
      </c>
      <c r="U4" s="11" t="n">
        <v>11.4649</v>
      </c>
      <c r="V4" s="11" t="n">
        <v>13.5212</v>
      </c>
      <c r="W4" s="11" t="n">
        <v>2.6053</v>
      </c>
      <c r="X4" s="11" t="n">
        <v>6.6391</v>
      </c>
      <c r="Y4" s="11" t="n">
        <v>5.0476</v>
      </c>
      <c r="Z4" s="11" t="n">
        <v>5.6234</v>
      </c>
      <c r="AA4" s="11" t="n">
        <v>15.7927</v>
      </c>
      <c r="AB4" s="11" t="n">
        <v>13.5212</v>
      </c>
      <c r="AC4" s="7" t="inlineStr">
        <is>
          <t>결산단신 XBRL(거래소 공시, TDnet·JPX 보관소). 쓴 문서: 2026-10-15, 2026-07-15, 2026-04-14, 2026-01-14 외 16건 — '출처' 시트에 전부</t>
        </is>
      </c>
    </row>
    <row r="5">
      <c r="A5" s="10" t="inlineStr">
        <is>
          <t>매출채권</t>
        </is>
      </c>
      <c r="C5" s="11" t="n">
        <v>0.2394</v>
      </c>
      <c r="D5" s="11" t="n">
        <v>0.3508</v>
      </c>
      <c r="E5" s="11" t="n">
        <v>0.8554</v>
      </c>
      <c r="F5" s="11" t="n">
        <v>0.3544</v>
      </c>
      <c r="G5" s="11" t="n">
        <v>0.3728</v>
      </c>
      <c r="H5" s="11" t="n">
        <v>0.4294</v>
      </c>
      <c r="I5" s="11" t="n">
        <v>0.8455</v>
      </c>
      <c r="J5" s="11" t="n">
        <v>0.66</v>
      </c>
      <c r="K5" s="11" t="n">
        <v>0.8994</v>
      </c>
      <c r="L5" s="11" t="n">
        <v>0.8300999999999999</v>
      </c>
      <c r="M5" s="11" t="n">
        <v>0.9483</v>
      </c>
      <c r="N5" s="11" t="n">
        <v>1.0137</v>
      </c>
      <c r="O5" s="11" t="n">
        <v>0.9059</v>
      </c>
      <c r="P5" s="11" t="n">
        <v>1.13</v>
      </c>
      <c r="Q5" s="11" t="n">
        <v>1.4445</v>
      </c>
      <c r="R5" s="11" t="n">
        <v>1.5151</v>
      </c>
      <c r="S5" s="11" t="n">
        <v>1.4225</v>
      </c>
      <c r="T5" s="11" t="n">
        <v>1.6826</v>
      </c>
      <c r="U5" s="11" t="n">
        <v>1.8457</v>
      </c>
      <c r="V5" s="11" t="n">
        <v>1.1698</v>
      </c>
      <c r="W5" s="11" t="n">
        <v>0.4639</v>
      </c>
      <c r="X5" s="11" t="n">
        <v>0.3544</v>
      </c>
      <c r="Y5" s="11" t="n">
        <v>0.66</v>
      </c>
      <c r="Z5" s="11" t="n">
        <v>1.0137</v>
      </c>
      <c r="AA5" s="11" t="n">
        <v>1.5151</v>
      </c>
      <c r="AB5" s="11" t="n">
        <v>1.1698</v>
      </c>
    </row>
    <row r="6">
      <c r="A6" s="10" t="inlineStr">
        <is>
          <t>유가증권</t>
        </is>
      </c>
      <c r="R6" s="11" t="n">
        <v>0</v>
      </c>
      <c r="U6" s="11" t="n">
        <v>4.9954</v>
      </c>
      <c r="V6" s="11" t="n">
        <v>4.9915</v>
      </c>
      <c r="AA6" s="11" t="n">
        <v>0</v>
      </c>
      <c r="AB6" s="11" t="n">
        <v>4.9915</v>
      </c>
    </row>
    <row r="7">
      <c r="A7" s="10" t="inlineStr">
        <is>
          <t>상품</t>
        </is>
      </c>
      <c r="C7" s="11" t="n">
        <v>0.1069</v>
      </c>
      <c r="D7" s="11" t="n">
        <v>0.1207</v>
      </c>
      <c r="E7" s="11" t="n">
        <v>0.2439</v>
      </c>
      <c r="F7" s="11" t="n">
        <v>0.2888</v>
      </c>
      <c r="G7" s="11" t="n">
        <v>0.2834</v>
      </c>
      <c r="H7" s="11" t="n">
        <v>0.4205</v>
      </c>
      <c r="I7" s="11" t="n">
        <v>0.6846</v>
      </c>
      <c r="J7" s="11" t="n">
        <v>0.7674</v>
      </c>
      <c r="K7" s="11" t="n">
        <v>0.5953000000000001</v>
      </c>
      <c r="L7" s="11" t="n">
        <v>0.75</v>
      </c>
      <c r="M7" s="11" t="n">
        <v>0.83</v>
      </c>
      <c r="N7" s="11" t="n">
        <v>0.6549</v>
      </c>
      <c r="O7" s="11" t="n">
        <v>0.6696</v>
      </c>
      <c r="P7" s="11" t="n">
        <v>0.6146</v>
      </c>
      <c r="Q7" s="11" t="n">
        <v>0.5379</v>
      </c>
      <c r="R7" s="11" t="n">
        <v>0.6004</v>
      </c>
      <c r="S7" s="11" t="n">
        <v>0.7288</v>
      </c>
      <c r="T7" s="11" t="n">
        <v>1.6129</v>
      </c>
      <c r="U7" s="11" t="n">
        <v>1.4088</v>
      </c>
      <c r="V7" s="11" t="n">
        <v>1.3015</v>
      </c>
      <c r="W7" s="11" t="n">
        <v>0.1359</v>
      </c>
      <c r="X7" s="11" t="n">
        <v>0.2888</v>
      </c>
      <c r="Y7" s="11" t="n">
        <v>0.7674</v>
      </c>
      <c r="Z7" s="11" t="n">
        <v>0.6549</v>
      </c>
      <c r="AA7" s="11" t="n">
        <v>0.6004</v>
      </c>
      <c r="AB7" s="11" t="n">
        <v>1.3015</v>
      </c>
    </row>
    <row r="8">
      <c r="A8" s="10" t="inlineStr">
        <is>
          <t>저장품</t>
        </is>
      </c>
      <c r="C8" s="11" t="n">
        <v>0.0001</v>
      </c>
      <c r="D8" s="11" t="n">
        <v>0.0001</v>
      </c>
      <c r="E8" s="11" t="n">
        <v>0.0001</v>
      </c>
      <c r="F8" s="11" t="n">
        <v>0.0002</v>
      </c>
      <c r="G8" s="11" t="n">
        <v>0.0001</v>
      </c>
      <c r="H8" s="11" t="n">
        <v>0.0002</v>
      </c>
      <c r="I8" s="11" t="n">
        <v>0.0001</v>
      </c>
      <c r="J8" s="11" t="n">
        <v>0.0002</v>
      </c>
      <c r="K8" s="11" t="n">
        <v>0.0001</v>
      </c>
      <c r="L8" s="11" t="n">
        <v>0.0001</v>
      </c>
      <c r="M8" s="11" t="n">
        <v>0.0001</v>
      </c>
      <c r="N8" s="11" t="n">
        <v>0.0001</v>
      </c>
      <c r="O8" s="11" t="n">
        <v>0.0001</v>
      </c>
      <c r="P8" s="11" t="n">
        <v>0.0002</v>
      </c>
      <c r="Q8" s="11" t="n">
        <v>0.0001</v>
      </c>
      <c r="R8" s="11" t="n">
        <v>0.0001</v>
      </c>
      <c r="S8" s="11" t="n">
        <v>0.0001</v>
      </c>
      <c r="T8" s="11" t="n">
        <v>0.0001</v>
      </c>
      <c r="U8" s="11" t="n">
        <v>0.0002</v>
      </c>
      <c r="V8" s="11" t="n">
        <v>0.0003</v>
      </c>
      <c r="W8" s="11" t="n">
        <v>0.0001</v>
      </c>
      <c r="X8" s="11" t="n">
        <v>0.0002</v>
      </c>
      <c r="Y8" s="11" t="n">
        <v>0.0002</v>
      </c>
      <c r="Z8" s="11" t="n">
        <v>0.0001</v>
      </c>
      <c r="AA8" s="11" t="n">
        <v>0.0001</v>
      </c>
      <c r="AB8" s="11" t="n">
        <v>0.0003</v>
      </c>
    </row>
    <row r="9">
      <c r="A9" s="10" t="inlineStr">
        <is>
          <t>선급금</t>
        </is>
      </c>
      <c r="F9" s="11" t="n">
        <v>0</v>
      </c>
      <c r="W9" s="11" t="n">
        <v>0.0003</v>
      </c>
      <c r="X9" s="11" t="n">
        <v>0</v>
      </c>
    </row>
    <row r="10">
      <c r="A10" s="10" t="inlineStr">
        <is>
          <t>선급비용</t>
        </is>
      </c>
      <c r="F10" s="11" t="n">
        <v>0.1117</v>
      </c>
      <c r="J10" s="11" t="n">
        <v>0.1742</v>
      </c>
      <c r="N10" s="11" t="n">
        <v>0.2327</v>
      </c>
      <c r="R10" s="11" t="n">
        <v>0.4374</v>
      </c>
      <c r="V10" s="11" t="n">
        <v>0.3857</v>
      </c>
      <c r="W10" s="11" t="n">
        <v>0.0318</v>
      </c>
      <c r="X10" s="11" t="n">
        <v>0.1117</v>
      </c>
      <c r="Y10" s="11" t="n">
        <v>0.1742</v>
      </c>
      <c r="Z10" s="11" t="n">
        <v>0.2327</v>
      </c>
      <c r="AA10" s="11" t="n">
        <v>0.4374</v>
      </c>
      <c r="AB10" s="11" t="n">
        <v>0.3857</v>
      </c>
    </row>
    <row r="11">
      <c r="A11" s="10" t="inlineStr">
        <is>
          <t>기타</t>
        </is>
      </c>
      <c r="C11" s="11" t="n">
        <v>0.0282</v>
      </c>
      <c r="D11" s="11" t="n">
        <v>0.09039999999999999</v>
      </c>
      <c r="E11" s="11" t="n">
        <v>0.1031</v>
      </c>
      <c r="F11" s="11" t="n">
        <v>0</v>
      </c>
      <c r="G11" s="11" t="n">
        <v>0.1412</v>
      </c>
      <c r="H11" s="11" t="n">
        <v>0.2187</v>
      </c>
      <c r="I11" s="11" t="n">
        <v>0.1819</v>
      </c>
      <c r="J11" s="11" t="n">
        <v>0.0277</v>
      </c>
      <c r="K11" s="11" t="n">
        <v>0.3391</v>
      </c>
      <c r="L11" s="11" t="n">
        <v>0.3181</v>
      </c>
      <c r="M11" s="11" t="n">
        <v>0.335</v>
      </c>
      <c r="N11" s="11" t="n">
        <v>0.0001</v>
      </c>
      <c r="O11" s="11" t="n">
        <v>0.1856</v>
      </c>
      <c r="P11" s="11" t="n">
        <v>0.4069</v>
      </c>
      <c r="Q11" s="11" t="n">
        <v>0.4771</v>
      </c>
      <c r="R11" s="11" t="n">
        <v>0.0005</v>
      </c>
      <c r="S11" s="11" t="n">
        <v>0.288</v>
      </c>
      <c r="T11" s="11" t="n">
        <v>0.5209</v>
      </c>
      <c r="U11" s="11" t="n">
        <v>0.4893</v>
      </c>
      <c r="V11" s="11" t="n">
        <v>0.0199</v>
      </c>
      <c r="W11" s="11" t="n">
        <v>0.0005</v>
      </c>
      <c r="X11" s="11" t="n">
        <v>0</v>
      </c>
      <c r="Y11" s="11" t="n">
        <v>0.0277</v>
      </c>
      <c r="Z11" s="11" t="n">
        <v>0.0001</v>
      </c>
      <c r="AA11" s="11" t="n">
        <v>0.0005</v>
      </c>
      <c r="AB11" s="11" t="n">
        <v>0.0199</v>
      </c>
    </row>
    <row r="12">
      <c r="A12" s="10" t="inlineStr">
        <is>
          <t>유동자산 합계</t>
        </is>
      </c>
      <c r="C12" s="11" t="n">
        <v>6.2903</v>
      </c>
      <c r="D12" s="11" t="n">
        <v>6.1091</v>
      </c>
      <c r="E12" s="11" t="n">
        <v>7.4091</v>
      </c>
      <c r="F12" s="11" t="n">
        <v>7.3942</v>
      </c>
      <c r="G12" s="11" t="n">
        <v>7.4448</v>
      </c>
      <c r="H12" s="11" t="n">
        <v>7.4992</v>
      </c>
      <c r="I12" s="11" t="n">
        <v>7.0891</v>
      </c>
      <c r="J12" s="11" t="n">
        <v>6.6771</v>
      </c>
      <c r="K12" s="11" t="n">
        <v>7.3229</v>
      </c>
      <c r="L12" s="11" t="n">
        <v>7.5933</v>
      </c>
      <c r="M12" s="11" t="n">
        <v>8.362500000000001</v>
      </c>
      <c r="N12" s="11" t="n">
        <v>7.5249</v>
      </c>
      <c r="O12" s="11" t="n">
        <v>15.7189</v>
      </c>
      <c r="P12" s="11" t="n">
        <v>16.6301</v>
      </c>
      <c r="Q12" s="11" t="n">
        <v>17.631</v>
      </c>
      <c r="R12" s="11" t="n">
        <v>18.3463</v>
      </c>
      <c r="S12" s="11" t="n">
        <v>18.3008</v>
      </c>
      <c r="T12" s="11" t="n">
        <v>19.4531</v>
      </c>
      <c r="U12" s="11" t="n">
        <v>20.2043</v>
      </c>
      <c r="V12" s="11" t="n">
        <v>21.39</v>
      </c>
      <c r="W12" s="11" t="n">
        <v>3.2378</v>
      </c>
      <c r="X12" s="11" t="n">
        <v>7.3942</v>
      </c>
      <c r="Y12" s="11" t="n">
        <v>6.6771</v>
      </c>
      <c r="Z12" s="11" t="n">
        <v>7.5249</v>
      </c>
      <c r="AA12" s="11" t="n">
        <v>18.3463</v>
      </c>
      <c r="AB12" s="11" t="n">
        <v>21.39</v>
      </c>
    </row>
    <row r="13">
      <c r="A13" s="10" t="inlineStr">
        <is>
          <t>건물</t>
        </is>
      </c>
      <c r="F13" s="11" t="n">
        <v>0.2656</v>
      </c>
      <c r="J13" s="11" t="n">
        <v>0.9694</v>
      </c>
      <c r="N13" s="11" t="n">
        <v>0.9802999999999999</v>
      </c>
      <c r="R13" s="11" t="n">
        <v>0.9955000000000001</v>
      </c>
      <c r="V13" s="11" t="n">
        <v>0.5394</v>
      </c>
      <c r="W13" s="11" t="n">
        <v>0.142</v>
      </c>
      <c r="X13" s="11" t="n">
        <v>0.2656</v>
      </c>
      <c r="Y13" s="11" t="n">
        <v>0.9694</v>
      </c>
      <c r="Z13" s="11" t="n">
        <v>0.9802999999999999</v>
      </c>
      <c r="AA13" s="11" t="n">
        <v>0.9955000000000001</v>
      </c>
      <c r="AB13" s="11" t="n">
        <v>0.5394</v>
      </c>
    </row>
    <row r="14">
      <c r="A14" s="10" t="inlineStr">
        <is>
          <t>감가상각누계액</t>
        </is>
      </c>
      <c r="F14" s="11" t="n">
        <v>-0.0743</v>
      </c>
      <c r="J14" s="11" t="n">
        <v>-0.0601</v>
      </c>
      <c r="N14" s="11" t="n">
        <v>-0.1485</v>
      </c>
      <c r="R14" s="11" t="n">
        <v>-0.2379</v>
      </c>
      <c r="V14" s="11" t="n">
        <v>-0.3765</v>
      </c>
      <c r="W14" s="11" t="n">
        <v>-0.061</v>
      </c>
      <c r="X14" s="11" t="n">
        <v>-0.0743</v>
      </c>
      <c r="Y14" s="11" t="n">
        <v>-0.0601</v>
      </c>
      <c r="Z14" s="11" t="n">
        <v>-0.1485</v>
      </c>
      <c r="AA14" s="11" t="n">
        <v>-0.2379</v>
      </c>
      <c r="AB14" s="11" t="n">
        <v>-0.3765</v>
      </c>
    </row>
    <row r="15">
      <c r="A15" s="10" t="inlineStr">
        <is>
          <t>건물(순액)</t>
        </is>
      </c>
      <c r="F15" s="11" t="n">
        <v>0.1913</v>
      </c>
      <c r="J15" s="11" t="n">
        <v>0.9093</v>
      </c>
      <c r="N15" s="11" t="n">
        <v>0.8318</v>
      </c>
      <c r="R15" s="11" t="n">
        <v>0.7576000000000001</v>
      </c>
      <c r="V15" s="11" t="n">
        <v>0.1628</v>
      </c>
      <c r="W15" s="11" t="n">
        <v>0.081</v>
      </c>
      <c r="X15" s="11" t="n">
        <v>0.1913</v>
      </c>
      <c r="Y15" s="11" t="n">
        <v>0.9093</v>
      </c>
      <c r="Z15" s="11" t="n">
        <v>0.8318</v>
      </c>
      <c r="AA15" s="11" t="n">
        <v>0.7576000000000001</v>
      </c>
      <c r="AB15" s="11" t="n">
        <v>0.1628</v>
      </c>
    </row>
    <row r="16">
      <c r="A16" s="10" t="inlineStr">
        <is>
          <t>차량운반구</t>
        </is>
      </c>
      <c r="F16" s="11" t="n">
        <v>0.0225</v>
      </c>
      <c r="J16" s="11" t="n">
        <v>0.0225</v>
      </c>
      <c r="N16" s="11" t="n">
        <v>0.0225</v>
      </c>
      <c r="R16" s="11" t="n">
        <v>0.109</v>
      </c>
      <c r="V16" s="11" t="n">
        <v>0.109</v>
      </c>
      <c r="W16" s="11" t="n">
        <v>0.0039</v>
      </c>
      <c r="X16" s="11" t="n">
        <v>0.0225</v>
      </c>
      <c r="Y16" s="11" t="n">
        <v>0.0225</v>
      </c>
      <c r="Z16" s="11" t="n">
        <v>0.0225</v>
      </c>
      <c r="AA16" s="11" t="n">
        <v>0.109</v>
      </c>
      <c r="AB16" s="11" t="n">
        <v>0.109</v>
      </c>
    </row>
    <row r="17">
      <c r="A17" s="10" t="inlineStr">
        <is>
          <t>감가상각누계액</t>
        </is>
      </c>
      <c r="F17" s="11" t="n">
        <v>-0.0042</v>
      </c>
      <c r="J17" s="11" t="n">
        <v>-0.0098</v>
      </c>
      <c r="N17" s="11" t="n">
        <v>-0.0154</v>
      </c>
      <c r="R17" s="11" t="n">
        <v>-0.0301</v>
      </c>
      <c r="V17" s="11" t="n">
        <v>-0.0531</v>
      </c>
      <c r="W17" s="11" t="n">
        <v>-0.0039</v>
      </c>
      <c r="X17" s="11" t="n">
        <v>-0.0042</v>
      </c>
      <c r="Y17" s="11" t="n">
        <v>-0.0098</v>
      </c>
      <c r="Z17" s="11" t="n">
        <v>-0.0154</v>
      </c>
      <c r="AA17" s="11" t="n">
        <v>-0.0301</v>
      </c>
      <c r="AB17" s="11" t="n">
        <v>-0.0531</v>
      </c>
    </row>
    <row r="18">
      <c r="A18" s="10" t="inlineStr">
        <is>
          <t>차량운반구(순액)</t>
        </is>
      </c>
      <c r="F18" s="11" t="n">
        <v>0.0182</v>
      </c>
      <c r="J18" s="11" t="n">
        <v>0.0126</v>
      </c>
      <c r="N18" s="11" t="n">
        <v>0.007</v>
      </c>
      <c r="R18" s="11" t="n">
        <v>0.079</v>
      </c>
      <c r="V18" s="11" t="n">
        <v>0.0559</v>
      </c>
      <c r="W18" s="11" t="n">
        <v>0</v>
      </c>
      <c r="X18" s="11" t="n">
        <v>0.0182</v>
      </c>
      <c r="Y18" s="11" t="n">
        <v>0.0126</v>
      </c>
      <c r="Z18" s="11" t="n">
        <v>0.007</v>
      </c>
      <c r="AA18" s="11" t="n">
        <v>0.079</v>
      </c>
      <c r="AB18" s="11" t="n">
        <v>0.0559</v>
      </c>
    </row>
    <row r="19">
      <c r="A19" s="10" t="inlineStr">
        <is>
          <t>공구·기구·비품</t>
        </is>
      </c>
      <c r="F19" s="11" t="n">
        <v>0.078</v>
      </c>
      <c r="J19" s="11" t="n">
        <v>0.2055</v>
      </c>
      <c r="N19" s="11" t="n">
        <v>0.2893</v>
      </c>
      <c r="R19" s="11" t="n">
        <v>0.3561</v>
      </c>
      <c r="V19" s="11" t="n">
        <v>0.3926</v>
      </c>
      <c r="W19" s="11" t="n">
        <v>0.0195</v>
      </c>
      <c r="X19" s="11" t="n">
        <v>0.078</v>
      </c>
      <c r="Y19" s="11" t="n">
        <v>0.2055</v>
      </c>
      <c r="Z19" s="11" t="n">
        <v>0.2893</v>
      </c>
      <c r="AA19" s="11" t="n">
        <v>0.3561</v>
      </c>
      <c r="AB19" s="11" t="n">
        <v>0.3926</v>
      </c>
    </row>
    <row r="20">
      <c r="A20" s="10" t="inlineStr">
        <is>
          <t>감가상각누계액</t>
        </is>
      </c>
      <c r="F20" s="11" t="n">
        <v>-0.0128</v>
      </c>
      <c r="J20" s="11" t="n">
        <v>-0.0286</v>
      </c>
      <c r="N20" s="11" t="n">
        <v>-0.07099999999999999</v>
      </c>
      <c r="R20" s="11" t="n">
        <v>-0.1258</v>
      </c>
      <c r="V20" s="11" t="n">
        <v>-0.2506</v>
      </c>
      <c r="W20" s="11" t="n">
        <v>-0.0055</v>
      </c>
      <c r="X20" s="11" t="n">
        <v>-0.0128</v>
      </c>
      <c r="Y20" s="11" t="n">
        <v>-0.0286</v>
      </c>
      <c r="Z20" s="11" t="n">
        <v>-0.07099999999999999</v>
      </c>
      <c r="AA20" s="11" t="n">
        <v>-0.1258</v>
      </c>
      <c r="AB20" s="11" t="n">
        <v>-0.2506</v>
      </c>
    </row>
    <row r="21">
      <c r="A21" s="10" t="inlineStr">
        <is>
          <t>공구·기구·비품(순액)</t>
        </is>
      </c>
      <c r="F21" s="11" t="n">
        <v>0.06510000000000001</v>
      </c>
      <c r="J21" s="11" t="n">
        <v>0.1769</v>
      </c>
      <c r="N21" s="11" t="n">
        <v>0.2183</v>
      </c>
      <c r="R21" s="11" t="n">
        <v>0.2302</v>
      </c>
      <c r="V21" s="11" t="n">
        <v>0.1421</v>
      </c>
      <c r="W21" s="11" t="n">
        <v>0.014</v>
      </c>
      <c r="X21" s="11" t="n">
        <v>0.06510000000000001</v>
      </c>
      <c r="Y21" s="11" t="n">
        <v>0.1769</v>
      </c>
      <c r="Z21" s="11" t="n">
        <v>0.2183</v>
      </c>
      <c r="AA21" s="11" t="n">
        <v>0.2302</v>
      </c>
      <c r="AB21" s="11" t="n">
        <v>0.1421</v>
      </c>
    </row>
    <row r="22">
      <c r="A22" s="10" t="inlineStr">
        <is>
          <t>토지</t>
        </is>
      </c>
      <c r="F22" s="11" t="n">
        <v>0.0301</v>
      </c>
      <c r="J22" s="11" t="n">
        <v>0.0301</v>
      </c>
      <c r="N22" s="11" t="n">
        <v>0.0301</v>
      </c>
      <c r="R22" s="11" t="n">
        <v>0.0301</v>
      </c>
      <c r="V22" s="11" t="n">
        <v>0.0301</v>
      </c>
      <c r="W22" s="11" t="n">
        <v>0.0301</v>
      </c>
      <c r="X22" s="11" t="n">
        <v>0.0301</v>
      </c>
      <c r="Y22" s="11" t="n">
        <v>0.0301</v>
      </c>
      <c r="Z22" s="11" t="n">
        <v>0.0301</v>
      </c>
      <c r="AA22" s="11" t="n">
        <v>0.0301</v>
      </c>
      <c r="AB22" s="11" t="n">
        <v>0.0301</v>
      </c>
    </row>
    <row r="23">
      <c r="A23" s="10" t="inlineStr">
        <is>
          <t>유형자산 합계</t>
        </is>
      </c>
      <c r="C23" s="11" t="n">
        <v>0.1288</v>
      </c>
      <c r="D23" s="11" t="n">
        <v>0.2896</v>
      </c>
      <c r="E23" s="11" t="n">
        <v>0.2857</v>
      </c>
      <c r="F23" s="11" t="n">
        <v>0.3048</v>
      </c>
      <c r="G23" s="11" t="n">
        <v>0.2967</v>
      </c>
      <c r="H23" s="11" t="n">
        <v>0.2964</v>
      </c>
      <c r="I23" s="11" t="n">
        <v>0.2228</v>
      </c>
      <c r="J23" s="11" t="n">
        <v>1.1289</v>
      </c>
      <c r="K23" s="11" t="n">
        <v>1.1399</v>
      </c>
      <c r="L23" s="11" t="n">
        <v>1.1082</v>
      </c>
      <c r="M23" s="11" t="n">
        <v>1.0812</v>
      </c>
      <c r="N23" s="11" t="n">
        <v>1.0872</v>
      </c>
      <c r="O23" s="11" t="n">
        <v>1.0582</v>
      </c>
      <c r="P23" s="11" t="n">
        <v>1.0264</v>
      </c>
      <c r="Q23" s="11" t="n">
        <v>1.1309</v>
      </c>
      <c r="R23" s="11" t="n">
        <v>1.0969</v>
      </c>
      <c r="S23" s="11" t="n">
        <v>0.9851</v>
      </c>
      <c r="T23" s="11" t="n">
        <v>0.8358</v>
      </c>
      <c r="U23" s="11" t="n">
        <v>0.6765</v>
      </c>
      <c r="V23" s="11" t="n">
        <v>0.3909</v>
      </c>
      <c r="W23" s="11" t="n">
        <v>0.1252</v>
      </c>
      <c r="X23" s="11" t="n">
        <v>0.3048</v>
      </c>
      <c r="Y23" s="11" t="n">
        <v>1.1289</v>
      </c>
      <c r="Z23" s="11" t="n">
        <v>1.0872</v>
      </c>
      <c r="AA23" s="11" t="n">
        <v>1.0969</v>
      </c>
      <c r="AB23" s="11" t="n">
        <v>0.3909</v>
      </c>
    </row>
    <row r="24">
      <c r="A24" s="10" t="inlineStr">
        <is>
          <t>투자유가증권</t>
        </is>
      </c>
      <c r="F24" s="11" t="n">
        <v>0.05</v>
      </c>
      <c r="J24" s="11" t="n">
        <v>0.1</v>
      </c>
      <c r="N24" s="11" t="n">
        <v>0.1</v>
      </c>
      <c r="R24" s="11" t="n">
        <v>0.1</v>
      </c>
      <c r="V24" s="11" t="n">
        <v>0.1</v>
      </c>
      <c r="W24" s="11" t="n">
        <v>0</v>
      </c>
      <c r="X24" s="11" t="n">
        <v>0.05</v>
      </c>
      <c r="Y24" s="11" t="n">
        <v>0.1</v>
      </c>
      <c r="Z24" s="11" t="n">
        <v>0.1</v>
      </c>
      <c r="AA24" s="11" t="n">
        <v>0.1</v>
      </c>
      <c r="AB24" s="11" t="n">
        <v>0.1</v>
      </c>
    </row>
    <row r="25">
      <c r="A25" s="10" t="inlineStr">
        <is>
          <t>장기선급비용</t>
        </is>
      </c>
      <c r="F25" s="11" t="n">
        <v>0.0001</v>
      </c>
      <c r="J25" s="11" t="n">
        <v>0.0111</v>
      </c>
      <c r="N25" s="11" t="n">
        <v>0.0241</v>
      </c>
      <c r="R25" s="11" t="n">
        <v>0.0204</v>
      </c>
      <c r="V25" s="11" t="n">
        <v>0.0192</v>
      </c>
      <c r="W25" s="11" t="n">
        <v>0.0003</v>
      </c>
      <c r="X25" s="11" t="n">
        <v>0.0001</v>
      </c>
      <c r="Y25" s="11" t="n">
        <v>0.0111</v>
      </c>
      <c r="Z25" s="11" t="n">
        <v>0.0241</v>
      </c>
      <c r="AA25" s="11" t="n">
        <v>0.0204</v>
      </c>
      <c r="AB25" s="11" t="n">
        <v>0.0192</v>
      </c>
    </row>
    <row r="26">
      <c r="A26" s="10" t="inlineStr">
        <is>
          <t>임차보증금·보증금</t>
        </is>
      </c>
      <c r="F26" s="11" t="n">
        <v>0.2618</v>
      </c>
      <c r="J26" s="11" t="n">
        <v>0.8794999999999999</v>
      </c>
      <c r="W26" s="11" t="n">
        <v>0.1499</v>
      </c>
      <c r="X26" s="11" t="n">
        <v>0.2618</v>
      </c>
      <c r="Y26" s="11" t="n">
        <v>0.8794999999999999</v>
      </c>
    </row>
    <row r="27">
      <c r="A27" s="10" t="inlineStr">
        <is>
          <t>임차보증금</t>
        </is>
      </c>
      <c r="J27" s="11" t="n">
        <v>0.8794999999999999</v>
      </c>
      <c r="N27" s="11" t="n">
        <v>0.6177</v>
      </c>
      <c r="R27" s="11" t="n">
        <v>0.6972</v>
      </c>
      <c r="V27" s="11" t="n">
        <v>1.894</v>
      </c>
      <c r="Y27" s="11" t="n">
        <v>0.8794999999999999</v>
      </c>
      <c r="Z27" s="11" t="n">
        <v>0.6177</v>
      </c>
      <c r="AA27" s="11" t="n">
        <v>0.6972</v>
      </c>
      <c r="AB27" s="11" t="n">
        <v>1.894</v>
      </c>
    </row>
    <row r="28">
      <c r="A28" s="10" t="inlineStr">
        <is>
          <t>이연법인세자산</t>
        </is>
      </c>
      <c r="N28" s="11" t="n">
        <v>0</v>
      </c>
      <c r="R28" s="11" t="n">
        <v>0.3382</v>
      </c>
      <c r="V28" s="11" t="n">
        <v>0.624</v>
      </c>
      <c r="Z28" s="11" t="n">
        <v>0</v>
      </c>
      <c r="AA28" s="11" t="n">
        <v>0.3382</v>
      </c>
      <c r="AB28" s="11" t="n">
        <v>0.624</v>
      </c>
    </row>
    <row r="29">
      <c r="A29" s="10" t="inlineStr">
        <is>
          <t>기타</t>
        </is>
      </c>
      <c r="F29" s="11" t="n">
        <v>0.0003</v>
      </c>
      <c r="J29" s="11" t="n">
        <v>0.1444</v>
      </c>
      <c r="N29" s="11" t="n">
        <v>0.1807</v>
      </c>
      <c r="R29" s="11" t="n">
        <v>0.1791</v>
      </c>
      <c r="V29" s="11" t="n">
        <v>0.1775</v>
      </c>
      <c r="W29" s="11" t="n">
        <v>0.0003</v>
      </c>
      <c r="X29" s="11" t="n">
        <v>0.0003</v>
      </c>
      <c r="Y29" s="11" t="n">
        <v>0.1444</v>
      </c>
      <c r="Z29" s="11" t="n">
        <v>0.1807</v>
      </c>
      <c r="AA29" s="11" t="n">
        <v>0.1791</v>
      </c>
      <c r="AB29" s="11" t="n">
        <v>0.1775</v>
      </c>
    </row>
    <row r="30">
      <c r="A30" s="10" t="inlineStr">
        <is>
          <t>투자 및 기타자산 합계</t>
        </is>
      </c>
      <c r="C30" s="11" t="n">
        <v>0.263</v>
      </c>
      <c r="D30" s="11" t="n">
        <v>0.2629</v>
      </c>
      <c r="E30" s="11" t="n">
        <v>0.2629</v>
      </c>
      <c r="F30" s="11" t="n">
        <v>0.3123</v>
      </c>
      <c r="G30" s="11" t="n">
        <v>0.3122</v>
      </c>
      <c r="H30" s="11" t="n">
        <v>0.2742</v>
      </c>
      <c r="I30" s="11" t="n">
        <v>1.0337</v>
      </c>
      <c r="J30" s="11" t="n">
        <v>1.1349</v>
      </c>
      <c r="K30" s="11" t="n">
        <v>1.132</v>
      </c>
      <c r="L30" s="11" t="n">
        <v>0.8677</v>
      </c>
      <c r="M30" s="11" t="n">
        <v>0.9196</v>
      </c>
      <c r="N30" s="11" t="n">
        <v>0.9225</v>
      </c>
      <c r="O30" s="11" t="n">
        <v>0.9206</v>
      </c>
      <c r="P30" s="11" t="n">
        <v>0.9263</v>
      </c>
      <c r="Q30" s="11" t="n">
        <v>0.9975000000000001</v>
      </c>
      <c r="R30" s="11" t="n">
        <v>1.3349</v>
      </c>
      <c r="S30" s="11" t="n">
        <v>2.5323</v>
      </c>
      <c r="T30" s="11" t="n">
        <v>2.5167</v>
      </c>
      <c r="U30" s="11" t="n">
        <v>2.5515</v>
      </c>
      <c r="V30" s="11" t="n">
        <v>2.8147</v>
      </c>
      <c r="W30" s="11" t="n">
        <v>0.1505</v>
      </c>
      <c r="X30" s="11" t="n">
        <v>0.3123</v>
      </c>
      <c r="Y30" s="11" t="n">
        <v>1.1349</v>
      </c>
      <c r="Z30" s="11" t="n">
        <v>0.9225</v>
      </c>
      <c r="AA30" s="11" t="n">
        <v>1.3349</v>
      </c>
      <c r="AB30" s="11" t="n">
        <v>2.8147</v>
      </c>
    </row>
    <row r="31">
      <c r="A31" s="10" t="inlineStr">
        <is>
          <t>비유동자산 합계</t>
        </is>
      </c>
      <c r="C31" s="11" t="n">
        <v>0.3918</v>
      </c>
      <c r="D31" s="11" t="n">
        <v>0.5525</v>
      </c>
      <c r="E31" s="11" t="n">
        <v>0.5486</v>
      </c>
      <c r="F31" s="11" t="n">
        <v>0.617</v>
      </c>
      <c r="G31" s="11" t="n">
        <v>0.6089</v>
      </c>
      <c r="H31" s="11" t="n">
        <v>0.5706</v>
      </c>
      <c r="I31" s="11" t="n">
        <v>1.2565</v>
      </c>
      <c r="J31" s="11" t="n">
        <v>2.2638</v>
      </c>
      <c r="K31" s="11" t="n">
        <v>2.2719</v>
      </c>
      <c r="L31" s="11" t="n">
        <v>1.976</v>
      </c>
      <c r="M31" s="11" t="n">
        <v>2.0009</v>
      </c>
      <c r="N31" s="11" t="n">
        <v>2.0097</v>
      </c>
      <c r="O31" s="11" t="n">
        <v>1.9788</v>
      </c>
      <c r="P31" s="11" t="n">
        <v>1.9527</v>
      </c>
      <c r="Q31" s="11" t="n">
        <v>2.1285</v>
      </c>
      <c r="R31" s="11" t="n">
        <v>2.4318</v>
      </c>
      <c r="S31" s="11" t="n">
        <v>3.5173</v>
      </c>
      <c r="T31" s="11" t="n">
        <v>3.3525</v>
      </c>
      <c r="U31" s="11" t="n">
        <v>3.2279</v>
      </c>
      <c r="V31" s="11" t="n">
        <v>3.2056</v>
      </c>
      <c r="W31" s="11" t="n">
        <v>0.2757</v>
      </c>
      <c r="X31" s="11" t="n">
        <v>0.617</v>
      </c>
      <c r="Y31" s="11" t="n">
        <v>2.2638</v>
      </c>
      <c r="Z31" s="11" t="n">
        <v>2.0097</v>
      </c>
      <c r="AA31" s="11" t="n">
        <v>2.4318</v>
      </c>
      <c r="AB31" s="11" t="n">
        <v>3.2056</v>
      </c>
    </row>
    <row r="32">
      <c r="A32" s="10" t="inlineStr">
        <is>
          <t>자산 합계</t>
        </is>
      </c>
      <c r="C32" s="11" t="n">
        <v>6.6821</v>
      </c>
      <c r="D32" s="11" t="n">
        <v>6.6617</v>
      </c>
      <c r="E32" s="11" t="n">
        <v>7.9577</v>
      </c>
      <c r="F32" s="11" t="n">
        <v>8.0113</v>
      </c>
      <c r="G32" s="11" t="n">
        <v>8.053699999999999</v>
      </c>
      <c r="H32" s="11" t="n">
        <v>8.069800000000001</v>
      </c>
      <c r="I32" s="11" t="n">
        <v>8.345599999999999</v>
      </c>
      <c r="J32" s="11" t="n">
        <v>8.940899999999999</v>
      </c>
      <c r="K32" s="11" t="n">
        <v>9.594799999999999</v>
      </c>
      <c r="L32" s="11" t="n">
        <v>9.5692</v>
      </c>
      <c r="M32" s="11" t="n">
        <v>10.3633</v>
      </c>
      <c r="N32" s="11" t="n">
        <v>9.534599999999999</v>
      </c>
      <c r="O32" s="11" t="n">
        <v>17.6977</v>
      </c>
      <c r="P32" s="11" t="n">
        <v>18.5828</v>
      </c>
      <c r="Q32" s="11" t="n">
        <v>19.7595</v>
      </c>
      <c r="R32" s="11" t="n">
        <v>20.7781</v>
      </c>
      <c r="S32" s="11" t="n">
        <v>21.8182</v>
      </c>
      <c r="T32" s="11" t="n">
        <v>22.8055</v>
      </c>
      <c r="U32" s="11" t="n">
        <v>23.4322</v>
      </c>
      <c r="V32" s="11" t="n">
        <v>24.5955</v>
      </c>
      <c r="W32" s="11" t="n">
        <v>3.5135</v>
      </c>
      <c r="X32" s="11" t="n">
        <v>8.0113</v>
      </c>
      <c r="Y32" s="11" t="n">
        <v>8.940899999999999</v>
      </c>
      <c r="Z32" s="11" t="n">
        <v>9.534599999999999</v>
      </c>
      <c r="AA32" s="11" t="n">
        <v>20.7781</v>
      </c>
      <c r="AB32" s="11" t="n">
        <v>24.5955</v>
      </c>
    </row>
    <row r="33">
      <c r="A33" s="10" t="inlineStr">
        <is>
          <t>매입채무</t>
        </is>
      </c>
      <c r="C33" s="11" t="n">
        <v>0.0378</v>
      </c>
      <c r="D33" s="11" t="n">
        <v>0.1104</v>
      </c>
      <c r="E33" s="11" t="n">
        <v>0.2585</v>
      </c>
      <c r="F33" s="11" t="n">
        <v>0.1305</v>
      </c>
      <c r="G33" s="11" t="n">
        <v>0.161</v>
      </c>
      <c r="H33" s="11" t="n">
        <v>0.2016</v>
      </c>
      <c r="I33" s="11" t="n">
        <v>0.211</v>
      </c>
      <c r="J33" s="11" t="n">
        <v>0.1648</v>
      </c>
      <c r="K33" s="11" t="n">
        <v>0.3242</v>
      </c>
      <c r="L33" s="11" t="n">
        <v>0.1007</v>
      </c>
      <c r="M33" s="11" t="n">
        <v>0.5007</v>
      </c>
      <c r="N33" s="11" t="n">
        <v>0.073</v>
      </c>
      <c r="O33" s="11" t="n">
        <v>0.3015</v>
      </c>
      <c r="P33" s="11" t="n">
        <v>0.4999</v>
      </c>
      <c r="Q33" s="11" t="n">
        <v>0.1859</v>
      </c>
      <c r="R33" s="11" t="n">
        <v>0.4019</v>
      </c>
      <c r="S33" s="11" t="n">
        <v>0.6767</v>
      </c>
      <c r="T33" s="11" t="n">
        <v>0.9929</v>
      </c>
      <c r="U33" s="11" t="n">
        <v>0.2869</v>
      </c>
      <c r="V33" s="11" t="n">
        <v>0.2466</v>
      </c>
      <c r="W33" s="11" t="n">
        <v>0.2413</v>
      </c>
      <c r="X33" s="11" t="n">
        <v>0.1305</v>
      </c>
      <c r="Y33" s="11" t="n">
        <v>0.1648</v>
      </c>
      <c r="Z33" s="11" t="n">
        <v>0.073</v>
      </c>
      <c r="AA33" s="11" t="n">
        <v>0.4019</v>
      </c>
      <c r="AB33" s="11" t="n">
        <v>0.2466</v>
      </c>
    </row>
    <row r="34">
      <c r="A34" s="10" t="inlineStr">
        <is>
          <t>1년 내 상환 장기차입금</t>
        </is>
      </c>
      <c r="J34" s="11" t="n">
        <v>0</v>
      </c>
      <c r="K34" s="11" t="n">
        <v>0.5553</v>
      </c>
      <c r="L34" s="11" t="n">
        <v>0.5333</v>
      </c>
      <c r="M34" s="11" t="n">
        <v>0.5113</v>
      </c>
      <c r="N34" s="11" t="n">
        <v>0.4893</v>
      </c>
      <c r="O34" s="11" t="n">
        <v>0.4673</v>
      </c>
      <c r="P34" s="11" t="n">
        <v>0.4454</v>
      </c>
      <c r="Q34" s="11" t="n">
        <v>0.4234</v>
      </c>
      <c r="R34" s="11" t="n">
        <v>0.4014</v>
      </c>
      <c r="S34" s="11" t="n">
        <v>0.3794</v>
      </c>
      <c r="T34" s="11" t="n">
        <v>0.3574</v>
      </c>
      <c r="U34" s="11" t="n">
        <v>0.3354</v>
      </c>
      <c r="V34" s="11" t="n">
        <v>0.3134</v>
      </c>
      <c r="Y34" s="11" t="n">
        <v>0</v>
      </c>
      <c r="Z34" s="11" t="n">
        <v>0.4893</v>
      </c>
      <c r="AA34" s="11" t="n">
        <v>0.4014</v>
      </c>
      <c r="AB34" s="11" t="n">
        <v>0.3134</v>
      </c>
    </row>
    <row r="35">
      <c r="A35" s="10" t="inlineStr">
        <is>
          <t>미지급금</t>
        </is>
      </c>
      <c r="F35" s="11" t="n">
        <v>0.217</v>
      </c>
      <c r="J35" s="11" t="n">
        <v>0.6532</v>
      </c>
      <c r="N35" s="11" t="n">
        <v>0.3711</v>
      </c>
      <c r="R35" s="11" t="n">
        <v>0.3687</v>
      </c>
      <c r="V35" s="11" t="n">
        <v>0.3368</v>
      </c>
      <c r="W35" s="11" t="n">
        <v>0.0433</v>
      </c>
      <c r="X35" s="11" t="n">
        <v>0.217</v>
      </c>
      <c r="Y35" s="11" t="n">
        <v>0.6532</v>
      </c>
      <c r="Z35" s="11" t="n">
        <v>0.3711</v>
      </c>
      <c r="AA35" s="11" t="n">
        <v>0.3687</v>
      </c>
      <c r="AB35" s="11" t="n">
        <v>0.3368</v>
      </c>
    </row>
    <row r="36">
      <c r="A36" s="10" t="inlineStr">
        <is>
          <t>미지급비용</t>
        </is>
      </c>
      <c r="F36" s="11" t="n">
        <v>0.1973</v>
      </c>
      <c r="J36" s="11" t="n">
        <v>0.4102</v>
      </c>
      <c r="N36" s="11" t="n">
        <v>0.3039</v>
      </c>
      <c r="R36" s="11" t="n">
        <v>0.3929</v>
      </c>
      <c r="V36" s="11" t="n">
        <v>0.5679999999999999</v>
      </c>
      <c r="W36" s="11" t="n">
        <v>0.1459</v>
      </c>
      <c r="X36" s="11" t="n">
        <v>0.1973</v>
      </c>
      <c r="Y36" s="11" t="n">
        <v>0.4102</v>
      </c>
      <c r="Z36" s="11" t="n">
        <v>0.3039</v>
      </c>
      <c r="AA36" s="11" t="n">
        <v>0.3929</v>
      </c>
      <c r="AB36" s="11" t="n">
        <v>0.5679999999999999</v>
      </c>
    </row>
    <row r="37">
      <c r="A37" s="10" t="inlineStr">
        <is>
          <t>미지급법인세</t>
        </is>
      </c>
      <c r="C37" s="11" t="n">
        <v>0.0007</v>
      </c>
      <c r="D37" s="11" t="n">
        <v>0.0014</v>
      </c>
      <c r="E37" s="11" t="n">
        <v>0.0022</v>
      </c>
      <c r="F37" s="11" t="n">
        <v>0.0029</v>
      </c>
      <c r="G37" s="11" t="n">
        <v>0.0007</v>
      </c>
      <c r="H37" s="11" t="n">
        <v>0.0014</v>
      </c>
      <c r="I37" s="11" t="n">
        <v>0.0022</v>
      </c>
      <c r="J37" s="11" t="n">
        <v>0.0029</v>
      </c>
      <c r="K37" s="11" t="n">
        <v>0.0007</v>
      </c>
      <c r="L37" s="11" t="n">
        <v>0.0014</v>
      </c>
      <c r="M37" s="11" t="n">
        <v>0.0022</v>
      </c>
      <c r="N37" s="11" t="n">
        <v>0.0053</v>
      </c>
      <c r="O37" s="11" t="n">
        <v>0.0057</v>
      </c>
      <c r="P37" s="11" t="n">
        <v>0.1253</v>
      </c>
      <c r="Q37" s="11" t="n">
        <v>0.2226</v>
      </c>
      <c r="R37" s="11" t="n">
        <v>0.3666</v>
      </c>
      <c r="S37" s="11" t="n">
        <v>0.1208</v>
      </c>
      <c r="T37" s="11" t="n">
        <v>0.2394</v>
      </c>
      <c r="U37" s="11" t="n">
        <v>0.1912</v>
      </c>
      <c r="V37" s="11" t="n">
        <v>0.3633</v>
      </c>
      <c r="W37" s="11" t="n">
        <v>0.0029</v>
      </c>
      <c r="X37" s="11" t="n">
        <v>0.0029</v>
      </c>
      <c r="Y37" s="11" t="n">
        <v>0.0029</v>
      </c>
      <c r="Z37" s="11" t="n">
        <v>0.0053</v>
      </c>
      <c r="AA37" s="11" t="n">
        <v>0.3666</v>
      </c>
      <c r="AB37" s="11" t="n">
        <v>0.3633</v>
      </c>
    </row>
    <row r="38">
      <c r="A38" s="10" t="inlineStr">
        <is>
          <t>상여충당금</t>
        </is>
      </c>
      <c r="R38" s="11" t="n">
        <v>0</v>
      </c>
      <c r="S38" s="11" t="n">
        <v>0.0363</v>
      </c>
      <c r="T38" s="11" t="n">
        <v>0.0733</v>
      </c>
      <c r="U38" s="11" t="n">
        <v>0.1118</v>
      </c>
      <c r="AA38" s="11" t="n">
        <v>0</v>
      </c>
    </row>
    <row r="39">
      <c r="A39" s="10" t="inlineStr">
        <is>
          <t>미지급 소비세</t>
        </is>
      </c>
      <c r="F39" s="11" t="n">
        <v>0.1373</v>
      </c>
      <c r="J39" s="11" t="n">
        <v>0</v>
      </c>
      <c r="N39" s="11" t="n">
        <v>0.2022</v>
      </c>
      <c r="R39" s="11" t="n">
        <v>0.3775</v>
      </c>
      <c r="V39" s="11" t="n">
        <v>0.3123</v>
      </c>
      <c r="W39" s="11" t="n">
        <v>0.0411</v>
      </c>
      <c r="X39" s="11" t="n">
        <v>0.1373</v>
      </c>
      <c r="Y39" s="11" t="n">
        <v>0</v>
      </c>
      <c r="Z39" s="11" t="n">
        <v>0.2022</v>
      </c>
      <c r="AA39" s="11" t="n">
        <v>0.3775</v>
      </c>
      <c r="AB39" s="11" t="n">
        <v>0.3123</v>
      </c>
    </row>
    <row r="40">
      <c r="A40" s="10" t="inlineStr">
        <is>
          <t>예수금</t>
        </is>
      </c>
      <c r="F40" s="11" t="n">
        <v>0.0189</v>
      </c>
      <c r="J40" s="11" t="n">
        <v>0.0356</v>
      </c>
      <c r="N40" s="11" t="n">
        <v>0.06320000000000001</v>
      </c>
      <c r="R40" s="11" t="n">
        <v>0.0922</v>
      </c>
      <c r="V40" s="11" t="n">
        <v>0.059</v>
      </c>
      <c r="W40" s="11" t="n">
        <v>0.0203</v>
      </c>
      <c r="X40" s="11" t="n">
        <v>0.0189</v>
      </c>
      <c r="Y40" s="11" t="n">
        <v>0.0356</v>
      </c>
      <c r="Z40" s="11" t="n">
        <v>0.06320000000000001</v>
      </c>
      <c r="AA40" s="11" t="n">
        <v>0.0922</v>
      </c>
      <c r="AB40" s="11" t="n">
        <v>0.059</v>
      </c>
    </row>
    <row r="41">
      <c r="A41" s="5" t="inlineStr">
        <is>
          <t>선수수익</t>
        </is>
      </c>
      <c r="C41" s="6" t="n">
        <v>0.9255</v>
      </c>
      <c r="D41" s="6" t="n">
        <v>0.7652</v>
      </c>
      <c r="E41" s="6" t="n">
        <v>1.2714</v>
      </c>
      <c r="F41" s="6" t="n">
        <v>1.3577</v>
      </c>
      <c r="G41" s="6" t="n">
        <v>1.601</v>
      </c>
      <c r="H41" s="6" t="n">
        <v>1.6808</v>
      </c>
      <c r="I41" s="6" t="n">
        <v>1.827</v>
      </c>
      <c r="J41" s="6" t="n">
        <v>1.8099</v>
      </c>
      <c r="K41" s="6" t="n">
        <v>1.9493</v>
      </c>
      <c r="L41" s="6" t="n">
        <v>2.2462</v>
      </c>
      <c r="M41" s="6" t="n">
        <v>2.3456</v>
      </c>
      <c r="N41" s="6" t="n">
        <v>2.3343</v>
      </c>
      <c r="O41" s="6" t="n">
        <v>2.6691</v>
      </c>
      <c r="P41" s="6" t="n">
        <v>2.872</v>
      </c>
      <c r="Q41" s="6" t="n">
        <v>3.5908</v>
      </c>
      <c r="R41" s="6" t="n">
        <v>3.7055</v>
      </c>
      <c r="S41" s="6" t="n">
        <v>4.4435</v>
      </c>
      <c r="T41" s="6" t="n">
        <v>4.3246</v>
      </c>
      <c r="U41" s="6" t="n">
        <v>5.1571</v>
      </c>
      <c r="V41" s="6" t="n">
        <v>5.554</v>
      </c>
      <c r="W41" s="6" t="n">
        <v>0.6348</v>
      </c>
      <c r="X41" s="6" t="n">
        <v>1.3577</v>
      </c>
      <c r="Y41" s="6" t="n">
        <v>1.8099</v>
      </c>
      <c r="Z41" s="6" t="n">
        <v>2.3343</v>
      </c>
      <c r="AA41" s="6" t="n">
        <v>3.7055</v>
      </c>
      <c r="AB41" s="6" t="n">
        <v>5.554</v>
      </c>
    </row>
    <row r="42">
      <c r="A42" s="10" t="inlineStr">
        <is>
          <t>자산복구부채</t>
        </is>
      </c>
      <c r="F42" s="11" t="n">
        <v>0</v>
      </c>
      <c r="I42" s="11" t="n">
        <v>0.07530000000000001</v>
      </c>
      <c r="J42" s="11" t="n">
        <v>0.07530000000000001</v>
      </c>
      <c r="K42" s="11" t="n">
        <v>0</v>
      </c>
      <c r="L42" s="11" t="n">
        <v>0</v>
      </c>
      <c r="M42" s="11" t="n">
        <v>0</v>
      </c>
      <c r="N42" s="11" t="n">
        <v>0</v>
      </c>
      <c r="X42" s="11" t="n">
        <v>0</v>
      </c>
      <c r="Y42" s="11" t="n">
        <v>0.07530000000000001</v>
      </c>
      <c r="Z42" s="11" t="n">
        <v>0</v>
      </c>
    </row>
    <row r="43">
      <c r="A43" s="10" t="inlineStr">
        <is>
          <t>기타</t>
        </is>
      </c>
      <c r="C43" s="11" t="n">
        <v>0.3828</v>
      </c>
      <c r="D43" s="11" t="n">
        <v>0.5054999999999999</v>
      </c>
      <c r="E43" s="11" t="n">
        <v>0.5329</v>
      </c>
      <c r="F43" s="11" t="n">
        <v>0.5705</v>
      </c>
      <c r="G43" s="11" t="n">
        <v>0.4516</v>
      </c>
      <c r="H43" s="11" t="n">
        <v>0.4388</v>
      </c>
      <c r="I43" s="11" t="n">
        <v>0.548</v>
      </c>
      <c r="J43" s="11" t="n">
        <v>0</v>
      </c>
      <c r="K43" s="11" t="n">
        <v>0.6536999999999999</v>
      </c>
      <c r="L43" s="11" t="n">
        <v>0.6288</v>
      </c>
      <c r="M43" s="11" t="n">
        <v>1.1965</v>
      </c>
      <c r="N43" s="11" t="n">
        <v>0.0008</v>
      </c>
      <c r="O43" s="11" t="n">
        <v>0.7463</v>
      </c>
      <c r="P43" s="11" t="n">
        <v>0.7933</v>
      </c>
      <c r="Q43" s="11" t="n">
        <v>1.0355</v>
      </c>
      <c r="R43" s="11" t="n">
        <v>0</v>
      </c>
      <c r="S43" s="11" t="n">
        <v>1.0263</v>
      </c>
      <c r="T43" s="11" t="n">
        <v>1.1214</v>
      </c>
      <c r="U43" s="11" t="n">
        <v>1.2969</v>
      </c>
      <c r="V43" s="11" t="n">
        <v>0.0011</v>
      </c>
      <c r="W43" s="11" t="n">
        <v>0.2507</v>
      </c>
      <c r="X43" s="11" t="n">
        <v>0.5705</v>
      </c>
      <c r="Y43" s="11" t="n">
        <v>0</v>
      </c>
      <c r="Z43" s="11" t="n">
        <v>0.0008</v>
      </c>
      <c r="AA43" s="11" t="n">
        <v>0</v>
      </c>
      <c r="AB43" s="11" t="n">
        <v>0.0011</v>
      </c>
    </row>
    <row r="44">
      <c r="A44" s="10" t="inlineStr">
        <is>
          <t>유동부채 합계</t>
        </is>
      </c>
      <c r="C44" s="11" t="n">
        <v>1.3469</v>
      </c>
      <c r="D44" s="11" t="n">
        <v>1.3825</v>
      </c>
      <c r="E44" s="11" t="n">
        <v>2.0649</v>
      </c>
      <c r="F44" s="11" t="n">
        <v>2.0616</v>
      </c>
      <c r="G44" s="11" t="n">
        <v>2.2143</v>
      </c>
      <c r="H44" s="11" t="n">
        <v>2.3227</v>
      </c>
      <c r="I44" s="11" t="n">
        <v>2.6635</v>
      </c>
      <c r="J44" s="11" t="n">
        <v>3.1518</v>
      </c>
      <c r="K44" s="11" t="n">
        <v>3.4832</v>
      </c>
      <c r="L44" s="11" t="n">
        <v>3.5105</v>
      </c>
      <c r="M44" s="11" t="n">
        <v>4.5562</v>
      </c>
      <c r="N44" s="11" t="n">
        <v>3.8432</v>
      </c>
      <c r="O44" s="11" t="n">
        <v>4.19</v>
      </c>
      <c r="P44" s="11" t="n">
        <v>4.7359</v>
      </c>
      <c r="Q44" s="11" t="n">
        <v>5.4582</v>
      </c>
      <c r="R44" s="11" t="n">
        <v>6.1069</v>
      </c>
      <c r="S44" s="11" t="n">
        <v>6.683</v>
      </c>
      <c r="T44" s="11" t="n">
        <v>7.1089</v>
      </c>
      <c r="U44" s="11" t="n">
        <v>7.3793</v>
      </c>
      <c r="V44" s="11" t="n">
        <v>7.7546</v>
      </c>
      <c r="W44" s="11" t="n">
        <v>1.1298</v>
      </c>
      <c r="X44" s="11" t="n">
        <v>2.0616</v>
      </c>
      <c r="Y44" s="11" t="n">
        <v>3.1518</v>
      </c>
      <c r="Z44" s="11" t="n">
        <v>3.8432</v>
      </c>
      <c r="AA44" s="11" t="n">
        <v>6.1069</v>
      </c>
      <c r="AB44" s="11" t="n">
        <v>7.7546</v>
      </c>
    </row>
    <row r="45">
      <c r="A45" s="5" t="inlineStr">
        <is>
          <t>장기선수수익</t>
        </is>
      </c>
      <c r="F45" s="6" t="n">
        <v>0.171</v>
      </c>
      <c r="J45" s="6" t="n">
        <v>0.1563</v>
      </c>
      <c r="N45" s="6" t="n">
        <v>0.1053</v>
      </c>
      <c r="W45" s="6" t="n">
        <v>0.014</v>
      </c>
      <c r="X45" s="6" t="n">
        <v>0.171</v>
      </c>
      <c r="Y45" s="6" t="n">
        <v>0.1563</v>
      </c>
      <c r="Z45" s="6" t="n">
        <v>0.1053</v>
      </c>
    </row>
    <row r="46">
      <c r="A46" s="10" t="inlineStr">
        <is>
          <t>장기차입금</t>
        </is>
      </c>
      <c r="J46" s="11" t="n">
        <v>0</v>
      </c>
      <c r="K46" s="11" t="n">
        <v>0.4984</v>
      </c>
      <c r="L46" s="11" t="n">
        <v>0.4659</v>
      </c>
      <c r="M46" s="11" t="n">
        <v>0.4334</v>
      </c>
      <c r="N46" s="11" t="n">
        <v>0.4009</v>
      </c>
      <c r="O46" s="11" t="n">
        <v>0.3684</v>
      </c>
      <c r="P46" s="11" t="n">
        <v>0.3359</v>
      </c>
      <c r="Q46" s="11" t="n">
        <v>0.3034</v>
      </c>
      <c r="R46" s="11" t="n">
        <v>0.271</v>
      </c>
      <c r="S46" s="11" t="n">
        <v>0.2385</v>
      </c>
      <c r="T46" s="11" t="n">
        <v>0.206</v>
      </c>
      <c r="U46" s="11" t="n">
        <v>0.1735</v>
      </c>
      <c r="V46" s="11" t="n">
        <v>0.141</v>
      </c>
      <c r="Y46" s="11" t="n">
        <v>0</v>
      </c>
      <c r="Z46" s="11" t="n">
        <v>0.4009</v>
      </c>
      <c r="AA46" s="11" t="n">
        <v>0.271</v>
      </c>
      <c r="AB46" s="11" t="n">
        <v>0.141</v>
      </c>
    </row>
    <row r="47">
      <c r="A47" s="10" t="inlineStr">
        <is>
          <t>기타</t>
        </is>
      </c>
      <c r="C47" s="11" t="n">
        <v>0.0134</v>
      </c>
      <c r="D47" s="11" t="n">
        <v>0.0259</v>
      </c>
      <c r="E47" s="11" t="n">
        <v>0.2086</v>
      </c>
      <c r="F47" s="11" t="n">
        <v>0.1793</v>
      </c>
      <c r="G47" s="11" t="n">
        <v>0.164</v>
      </c>
      <c r="H47" s="11" t="n">
        <v>0.1548</v>
      </c>
      <c r="I47" s="11" t="n">
        <v>0.1551</v>
      </c>
      <c r="J47" s="11" t="n">
        <v>0.2504</v>
      </c>
      <c r="K47" s="11" t="n">
        <v>0.2766</v>
      </c>
      <c r="L47" s="11" t="n">
        <v>0.213</v>
      </c>
      <c r="M47" s="11" t="n">
        <v>0.1994</v>
      </c>
      <c r="N47" s="11" t="n">
        <v>0.1726</v>
      </c>
      <c r="O47" s="11" t="n">
        <v>0.1581</v>
      </c>
      <c r="P47" s="11" t="n">
        <v>0.1614</v>
      </c>
      <c r="Q47" s="11" t="n">
        <v>0.3796</v>
      </c>
      <c r="W47" s="11" t="n">
        <v>0.0169</v>
      </c>
      <c r="X47" s="11" t="n">
        <v>0.1793</v>
      </c>
      <c r="Y47" s="11" t="n">
        <v>0.2504</v>
      </c>
      <c r="Z47" s="11" t="n">
        <v>0.1726</v>
      </c>
    </row>
    <row r="48">
      <c r="A48" s="10" t="inlineStr">
        <is>
          <t>이연법인세부채</t>
        </is>
      </c>
      <c r="F48" s="11" t="n">
        <v>0.0083</v>
      </c>
      <c r="J48" s="11" t="n">
        <v>0.0941</v>
      </c>
      <c r="N48" s="11" t="n">
        <v>0.0673</v>
      </c>
      <c r="R48" s="11" t="n">
        <v>0</v>
      </c>
      <c r="W48" s="11" t="n">
        <v>0.0029</v>
      </c>
      <c r="X48" s="11" t="n">
        <v>0.0083</v>
      </c>
      <c r="Y48" s="11" t="n">
        <v>0.0941</v>
      </c>
      <c r="Z48" s="11" t="n">
        <v>0.0673</v>
      </c>
      <c r="AA48" s="11" t="n">
        <v>0</v>
      </c>
    </row>
    <row r="49">
      <c r="A49" s="10" t="inlineStr">
        <is>
          <t>자산복구부채</t>
        </is>
      </c>
      <c r="C49" s="11" t="n">
        <v>0.0322</v>
      </c>
      <c r="D49" s="11" t="n">
        <v>0.06419999999999999</v>
      </c>
      <c r="E49" s="11" t="n">
        <v>0.06419999999999999</v>
      </c>
      <c r="F49" s="11" t="n">
        <v>0.0643</v>
      </c>
      <c r="G49" s="11" t="n">
        <v>0.0643</v>
      </c>
      <c r="H49" s="11" t="n">
        <v>0.0643</v>
      </c>
      <c r="I49" s="11" t="n">
        <v>0</v>
      </c>
      <c r="J49" s="11" t="n">
        <v>0.4545</v>
      </c>
      <c r="K49" s="11" t="n">
        <v>0.4552</v>
      </c>
      <c r="L49" s="11" t="n">
        <v>0.456</v>
      </c>
      <c r="M49" s="11" t="n">
        <v>0.4567</v>
      </c>
      <c r="N49" s="11" t="n">
        <v>0.4575</v>
      </c>
      <c r="O49" s="11" t="n">
        <v>0.4582</v>
      </c>
      <c r="P49" s="11" t="n">
        <v>0.459</v>
      </c>
      <c r="Q49" s="11" t="n">
        <v>0.4597</v>
      </c>
      <c r="R49" s="11" t="n">
        <v>0.4605</v>
      </c>
      <c r="S49" s="11" t="n">
        <v>0.4634</v>
      </c>
      <c r="T49" s="11" t="n">
        <v>0.4674</v>
      </c>
      <c r="U49" s="11" t="n">
        <v>0.4714</v>
      </c>
      <c r="V49" s="11" t="n">
        <v>0</v>
      </c>
      <c r="W49" s="11" t="n">
        <v>0.0322</v>
      </c>
      <c r="X49" s="11" t="n">
        <v>0.0643</v>
      </c>
      <c r="Y49" s="11" t="n">
        <v>0.4545</v>
      </c>
      <c r="Z49" s="11" t="n">
        <v>0.4575</v>
      </c>
      <c r="AA49" s="11" t="n">
        <v>0.4605</v>
      </c>
      <c r="AB49" s="11" t="n">
        <v>0</v>
      </c>
    </row>
    <row r="50">
      <c r="A50" s="10" t="inlineStr">
        <is>
          <t>비유동부채 합계</t>
        </is>
      </c>
      <c r="C50" s="11" t="n">
        <v>0.0456</v>
      </c>
      <c r="D50" s="11" t="n">
        <v>0.0901</v>
      </c>
      <c r="E50" s="11" t="n">
        <v>0.2728</v>
      </c>
      <c r="F50" s="11" t="n">
        <v>0.2436</v>
      </c>
      <c r="G50" s="11" t="n">
        <v>0.2283</v>
      </c>
      <c r="H50" s="11" t="n">
        <v>0.2191</v>
      </c>
      <c r="I50" s="11" t="n">
        <v>0.1551</v>
      </c>
      <c r="J50" s="11" t="n">
        <v>0.7049</v>
      </c>
      <c r="K50" s="11" t="n">
        <v>1.2302</v>
      </c>
      <c r="L50" s="11" t="n">
        <v>1.1349</v>
      </c>
      <c r="M50" s="11" t="n">
        <v>1.0896</v>
      </c>
      <c r="N50" s="11" t="n">
        <v>0.9257</v>
      </c>
      <c r="O50" s="11" t="n">
        <v>0.9847</v>
      </c>
      <c r="P50" s="11" t="n">
        <v>0.9564</v>
      </c>
      <c r="Q50" s="11" t="n">
        <v>1.1428</v>
      </c>
      <c r="R50" s="11" t="n">
        <v>0.7314000000000001</v>
      </c>
      <c r="S50" s="11" t="n">
        <v>0.7019</v>
      </c>
      <c r="T50" s="11" t="n">
        <v>0.6734</v>
      </c>
      <c r="U50" s="11" t="n">
        <v>0.6449</v>
      </c>
      <c r="V50" s="11" t="n">
        <v>0.141</v>
      </c>
      <c r="W50" s="11" t="n">
        <v>0.0491</v>
      </c>
      <c r="X50" s="11" t="n">
        <v>0.2436</v>
      </c>
      <c r="Y50" s="11" t="n">
        <v>0.7049</v>
      </c>
      <c r="Z50" s="11" t="n">
        <v>0.9257</v>
      </c>
      <c r="AA50" s="11" t="n">
        <v>0.7314000000000001</v>
      </c>
      <c r="AB50" s="11" t="n">
        <v>0.141</v>
      </c>
    </row>
    <row r="51">
      <c r="A51" s="10" t="inlineStr">
        <is>
          <t>부채 합계</t>
        </is>
      </c>
      <c r="C51" s="11" t="n">
        <v>1.3925</v>
      </c>
      <c r="D51" s="11" t="n">
        <v>1.4727</v>
      </c>
      <c r="E51" s="11" t="n">
        <v>2.3377</v>
      </c>
      <c r="F51" s="11" t="n">
        <v>2.3052</v>
      </c>
      <c r="G51" s="11" t="n">
        <v>2.4425</v>
      </c>
      <c r="H51" s="11" t="n">
        <v>2.5418</v>
      </c>
      <c r="I51" s="11" t="n">
        <v>2.8186</v>
      </c>
      <c r="J51" s="11" t="n">
        <v>3.8567</v>
      </c>
      <c r="K51" s="11" t="n">
        <v>4.7134</v>
      </c>
      <c r="L51" s="11" t="n">
        <v>4.6454</v>
      </c>
      <c r="M51" s="11" t="n">
        <v>5.6458</v>
      </c>
      <c r="N51" s="11" t="n">
        <v>4.7689</v>
      </c>
      <c r="O51" s="11" t="n">
        <v>5.1747</v>
      </c>
      <c r="P51" s="11" t="n">
        <v>5.6923</v>
      </c>
      <c r="Q51" s="11" t="n">
        <v>6.601</v>
      </c>
      <c r="R51" s="11" t="n">
        <v>6.8383</v>
      </c>
      <c r="S51" s="11" t="n">
        <v>7.3849</v>
      </c>
      <c r="T51" s="11" t="n">
        <v>7.7823</v>
      </c>
      <c r="U51" s="11" t="n">
        <v>8.0242</v>
      </c>
      <c r="V51" s="11" t="n">
        <v>7.8956</v>
      </c>
      <c r="W51" s="11" t="n">
        <v>1.1788</v>
      </c>
      <c r="X51" s="11" t="n">
        <v>2.3052</v>
      </c>
      <c r="Y51" s="11" t="n">
        <v>3.8567</v>
      </c>
      <c r="Z51" s="11" t="n">
        <v>4.7689</v>
      </c>
      <c r="AA51" s="11" t="n">
        <v>6.8383</v>
      </c>
      <c r="AB51" s="11" t="n">
        <v>7.8956</v>
      </c>
    </row>
    <row r="52">
      <c r="A52" s="10" t="inlineStr">
        <is>
          <t>자본금</t>
        </is>
      </c>
      <c r="C52" s="11" t="n">
        <v>0.5</v>
      </c>
      <c r="D52" s="11" t="n">
        <v>0.5</v>
      </c>
      <c r="E52" s="11" t="n">
        <v>0.5</v>
      </c>
      <c r="F52" s="11" t="n">
        <v>0.5</v>
      </c>
      <c r="G52" s="11" t="n">
        <v>0.5</v>
      </c>
      <c r="H52" s="11" t="n">
        <v>0.5165</v>
      </c>
      <c r="I52" s="11" t="n">
        <v>0.5165</v>
      </c>
      <c r="J52" s="11" t="n">
        <v>0.5212</v>
      </c>
      <c r="K52" s="11" t="n">
        <v>0.5212</v>
      </c>
      <c r="L52" s="11" t="n">
        <v>0.5212</v>
      </c>
      <c r="M52" s="11" t="n">
        <v>0.5212</v>
      </c>
      <c r="N52" s="11" t="n">
        <v>0.5212</v>
      </c>
      <c r="O52" s="11" t="n">
        <v>4.4273</v>
      </c>
      <c r="P52" s="11" t="n">
        <v>4.5089</v>
      </c>
      <c r="Q52" s="11" t="n">
        <v>4.5089</v>
      </c>
      <c r="R52" s="11" t="n">
        <v>4.5089</v>
      </c>
      <c r="S52" s="11" t="n">
        <v>4.5089</v>
      </c>
      <c r="T52" s="11" t="n">
        <v>4.5918</v>
      </c>
      <c r="U52" s="11" t="n">
        <v>4.5918</v>
      </c>
      <c r="V52" s="11" t="n">
        <v>4.5918</v>
      </c>
      <c r="W52" s="11" t="n">
        <v>0.5</v>
      </c>
      <c r="X52" s="11" t="n">
        <v>0.5</v>
      </c>
      <c r="Y52" s="11" t="n">
        <v>0.5212</v>
      </c>
      <c r="Z52" s="11" t="n">
        <v>0.5212</v>
      </c>
      <c r="AA52" s="11" t="n">
        <v>4.5089</v>
      </c>
      <c r="AB52" s="11" t="n">
        <v>4.5918</v>
      </c>
    </row>
    <row r="53">
      <c r="A53" s="10" t="inlineStr">
        <is>
          <t>자본준비금</t>
        </is>
      </c>
      <c r="F53" s="11" t="n">
        <v>0</v>
      </c>
      <c r="J53" s="11" t="n">
        <v>0.0212</v>
      </c>
      <c r="N53" s="11" t="n">
        <v>0.0212</v>
      </c>
      <c r="R53" s="11" t="n">
        <v>4.0089</v>
      </c>
      <c r="V53" s="11" t="n">
        <v>4.0918</v>
      </c>
      <c r="X53" s="11" t="n">
        <v>0</v>
      </c>
      <c r="Y53" s="11" t="n">
        <v>0.0212</v>
      </c>
      <c r="Z53" s="11" t="n">
        <v>0.0212</v>
      </c>
      <c r="AA53" s="11" t="n">
        <v>4.0089</v>
      </c>
      <c r="AB53" s="11" t="n">
        <v>4.0918</v>
      </c>
    </row>
    <row r="54">
      <c r="A54" s="10" t="inlineStr">
        <is>
          <t>기타자본잉여금</t>
        </is>
      </c>
      <c r="F54" s="11" t="n">
        <v>7.6544</v>
      </c>
      <c r="J54" s="11" t="n">
        <v>7.7983</v>
      </c>
      <c r="N54" s="11" t="n">
        <v>7.7983</v>
      </c>
      <c r="R54" s="11" t="n">
        <v>7.8725</v>
      </c>
      <c r="V54" s="11" t="n">
        <v>7.9178</v>
      </c>
      <c r="W54" s="11" t="n">
        <v>4.5068</v>
      </c>
      <c r="X54" s="11" t="n">
        <v>7.6544</v>
      </c>
      <c r="Y54" s="11" t="n">
        <v>7.7983</v>
      </c>
      <c r="Z54" s="11" t="n">
        <v>7.7983</v>
      </c>
      <c r="AA54" s="11" t="n">
        <v>7.8725</v>
      </c>
      <c r="AB54" s="11" t="n">
        <v>7.9178</v>
      </c>
    </row>
    <row r="55">
      <c r="A55" s="10" t="inlineStr">
        <is>
          <t>자본잉여금 합계</t>
        </is>
      </c>
      <c r="C55" s="11" t="n">
        <v>7.5403</v>
      </c>
      <c r="D55" s="11" t="n">
        <v>7.5403</v>
      </c>
      <c r="E55" s="11" t="n">
        <v>7.6399</v>
      </c>
      <c r="F55" s="11" t="n">
        <v>7.6544</v>
      </c>
      <c r="G55" s="11" t="n">
        <v>7.7694</v>
      </c>
      <c r="H55" s="11" t="n">
        <v>7.8148</v>
      </c>
      <c r="I55" s="11" t="n">
        <v>7.8148</v>
      </c>
      <c r="J55" s="11" t="n">
        <v>7.8195</v>
      </c>
      <c r="K55" s="11" t="n">
        <v>7.8195</v>
      </c>
      <c r="L55" s="11" t="n">
        <v>7.8195</v>
      </c>
      <c r="M55" s="11" t="n">
        <v>7.8195</v>
      </c>
      <c r="N55" s="11" t="n">
        <v>7.8195</v>
      </c>
      <c r="O55" s="11" t="n">
        <v>11.7256</v>
      </c>
      <c r="P55" s="11" t="n">
        <v>11.8072</v>
      </c>
      <c r="Q55" s="11" t="n">
        <v>11.8814</v>
      </c>
      <c r="R55" s="11" t="n">
        <v>11.8814</v>
      </c>
      <c r="S55" s="11" t="n">
        <v>11.8979</v>
      </c>
      <c r="T55" s="11" t="n">
        <v>12.0096</v>
      </c>
      <c r="U55" s="11" t="n">
        <v>12.0096</v>
      </c>
      <c r="V55" s="11" t="n">
        <v>12.0096</v>
      </c>
      <c r="W55" s="11" t="n">
        <v>4.5068</v>
      </c>
      <c r="X55" s="11" t="n">
        <v>7.6544</v>
      </c>
      <c r="Y55" s="11" t="n">
        <v>7.8195</v>
      </c>
      <c r="Z55" s="11" t="n">
        <v>7.8195</v>
      </c>
      <c r="AA55" s="11" t="n">
        <v>11.8814</v>
      </c>
      <c r="AB55" s="11" t="n">
        <v>12.0096</v>
      </c>
    </row>
    <row r="56">
      <c r="A56" s="10" t="inlineStr">
        <is>
          <t>이월이익잉여금</t>
        </is>
      </c>
      <c r="F56" s="11" t="n">
        <v>-2.4057</v>
      </c>
      <c r="J56" s="11" t="n">
        <v>-3.2191</v>
      </c>
      <c r="N56" s="11" t="n">
        <v>-3.5376</v>
      </c>
      <c r="R56" s="11" t="n">
        <v>-2.4158</v>
      </c>
      <c r="V56" s="11" t="n">
        <v>0.1316</v>
      </c>
      <c r="W56" s="11" t="n">
        <v>-2.4958</v>
      </c>
      <c r="X56" s="11" t="n">
        <v>-2.4057</v>
      </c>
      <c r="Y56" s="11" t="n">
        <v>-3.2191</v>
      </c>
      <c r="Z56" s="11" t="n">
        <v>-3.5376</v>
      </c>
      <c r="AA56" s="11" t="n">
        <v>-2.4158</v>
      </c>
      <c r="AB56" s="11" t="n">
        <v>0.1316</v>
      </c>
    </row>
    <row r="57">
      <c r="A57" s="10" t="inlineStr">
        <is>
          <t>이익잉여금 합계</t>
        </is>
      </c>
      <c r="C57" s="11" t="n">
        <v>-2.6872</v>
      </c>
      <c r="D57" s="11" t="n">
        <v>-2.7878</v>
      </c>
      <c r="E57" s="11" t="n">
        <v>-2.4768</v>
      </c>
      <c r="F57" s="11" t="n">
        <v>-2.4057</v>
      </c>
      <c r="G57" s="11" t="n">
        <v>-2.6197</v>
      </c>
      <c r="H57" s="11" t="n">
        <v>-2.7657</v>
      </c>
      <c r="I57" s="11" t="n">
        <v>-2.7667</v>
      </c>
      <c r="J57" s="11" t="n">
        <v>-3.2191</v>
      </c>
      <c r="K57" s="11" t="n">
        <v>-3.4219</v>
      </c>
      <c r="L57" s="11" t="n">
        <v>-3.3794</v>
      </c>
      <c r="M57" s="11" t="n">
        <v>-3.5857</v>
      </c>
      <c r="N57" s="11" t="n">
        <v>-3.5376</v>
      </c>
      <c r="O57" s="11" t="n">
        <v>-3.5923</v>
      </c>
      <c r="P57" s="11" t="n">
        <v>-3.3881</v>
      </c>
      <c r="Q57" s="11" t="n">
        <v>-3.197</v>
      </c>
      <c r="R57" s="11" t="n">
        <v>-2.4158</v>
      </c>
      <c r="S57" s="11" t="n">
        <v>-1.9393</v>
      </c>
      <c r="T57" s="11" t="n">
        <v>-1.5451</v>
      </c>
      <c r="U57" s="11" t="n">
        <v>-1.1603</v>
      </c>
      <c r="V57" s="11" t="n">
        <v>0.1316</v>
      </c>
      <c r="W57" s="11" t="n">
        <v>-2.4958</v>
      </c>
      <c r="X57" s="11" t="n">
        <v>-2.4057</v>
      </c>
      <c r="Y57" s="11" t="n">
        <v>-3.2191</v>
      </c>
      <c r="Z57" s="11" t="n">
        <v>-3.5376</v>
      </c>
      <c r="AA57" s="11" t="n">
        <v>-2.4158</v>
      </c>
      <c r="AB57" s="11" t="n">
        <v>0.1316</v>
      </c>
    </row>
    <row r="58">
      <c r="A58" s="10" t="inlineStr">
        <is>
          <t>자기주식</t>
        </is>
      </c>
      <c r="C58" s="11" t="n">
        <v>-0.0635</v>
      </c>
      <c r="D58" s="11" t="n">
        <v>-0.0635</v>
      </c>
      <c r="E58" s="11" t="n">
        <v>-0.0432</v>
      </c>
      <c r="F58" s="11" t="n">
        <v>-0.0426</v>
      </c>
      <c r="G58" s="11" t="n">
        <v>-0.0386</v>
      </c>
      <c r="H58" s="11" t="n">
        <v>-0.0375</v>
      </c>
      <c r="I58" s="11" t="n">
        <v>-0.0375</v>
      </c>
      <c r="J58" s="11" t="n">
        <v>-0.0375</v>
      </c>
      <c r="K58" s="11" t="n">
        <v>-0.0375</v>
      </c>
      <c r="L58" s="11" t="n">
        <v>-0.0375</v>
      </c>
      <c r="M58" s="11" t="n">
        <v>-0.0375</v>
      </c>
      <c r="N58" s="11" t="n">
        <v>-0.0375</v>
      </c>
      <c r="O58" s="11" t="n">
        <v>-0.0376</v>
      </c>
      <c r="P58" s="11" t="n">
        <v>-0.0376</v>
      </c>
      <c r="Q58" s="11" t="n">
        <v>-0.0348</v>
      </c>
      <c r="R58" s="11" t="n">
        <v>-0.0348</v>
      </c>
      <c r="S58" s="11" t="n">
        <v>-0.0342</v>
      </c>
      <c r="T58" s="11" t="n">
        <v>-0.0331</v>
      </c>
      <c r="U58" s="11" t="n">
        <v>-0.0331</v>
      </c>
      <c r="V58" s="11" t="n">
        <v>-0.0331</v>
      </c>
      <c r="W58" s="11" t="n">
        <v>-0.1764</v>
      </c>
      <c r="X58" s="11" t="n">
        <v>-0.0426</v>
      </c>
      <c r="Y58" s="11" t="n">
        <v>-0.0375</v>
      </c>
      <c r="Z58" s="11" t="n">
        <v>-0.0375</v>
      </c>
      <c r="AA58" s="11" t="n">
        <v>-0.0348</v>
      </c>
      <c r="AB58" s="11" t="n">
        <v>-0.0331</v>
      </c>
    </row>
    <row r="59">
      <c r="A59" s="10" t="inlineStr">
        <is>
          <t>주주자본 합계</t>
        </is>
      </c>
      <c r="C59" s="11" t="n">
        <v>5.2896</v>
      </c>
      <c r="D59" s="11" t="n">
        <v>5.189</v>
      </c>
      <c r="E59" s="11" t="n">
        <v>5.62</v>
      </c>
      <c r="F59" s="11" t="n">
        <v>5.7061</v>
      </c>
      <c r="G59" s="11" t="n">
        <v>5.6111</v>
      </c>
      <c r="H59" s="11" t="n">
        <v>5.528</v>
      </c>
      <c r="I59" s="11" t="n">
        <v>5.527</v>
      </c>
      <c r="J59" s="11" t="n">
        <v>5.0841</v>
      </c>
      <c r="K59" s="11" t="n">
        <v>4.8813</v>
      </c>
      <c r="L59" s="11" t="n">
        <v>4.9238</v>
      </c>
      <c r="M59" s="11" t="n">
        <v>4.7175</v>
      </c>
      <c r="N59" s="11" t="n">
        <v>4.7656</v>
      </c>
      <c r="O59" s="11" t="n">
        <v>12.523</v>
      </c>
      <c r="P59" s="11" t="n">
        <v>12.8905</v>
      </c>
      <c r="Q59" s="11" t="n">
        <v>13.1585</v>
      </c>
      <c r="R59" s="11" t="n">
        <v>13.9397</v>
      </c>
      <c r="S59" s="11" t="n">
        <v>14.4333</v>
      </c>
      <c r="T59" s="11" t="n">
        <v>15.0233</v>
      </c>
      <c r="U59" s="11" t="n">
        <v>15.408</v>
      </c>
      <c r="V59" s="11" t="n">
        <v>16.7</v>
      </c>
      <c r="W59" s="11" t="n">
        <v>2.3346</v>
      </c>
      <c r="X59" s="11" t="n">
        <v>5.7061</v>
      </c>
      <c r="Y59" s="11" t="n">
        <v>5.0841</v>
      </c>
      <c r="Z59" s="11" t="n">
        <v>4.7656</v>
      </c>
      <c r="AA59" s="11" t="n">
        <v>13.9397</v>
      </c>
      <c r="AB59" s="11" t="n">
        <v>16.7</v>
      </c>
    </row>
    <row r="60">
      <c r="A60" s="10" t="inlineStr">
        <is>
          <t>순자산 합계</t>
        </is>
      </c>
      <c r="C60" s="11" t="n">
        <v>5.2896</v>
      </c>
      <c r="D60" s="11" t="n">
        <v>5.189</v>
      </c>
      <c r="E60" s="11" t="n">
        <v>5.62</v>
      </c>
      <c r="F60" s="11" t="n">
        <v>5.7061</v>
      </c>
      <c r="G60" s="11" t="n">
        <v>5.6111</v>
      </c>
      <c r="H60" s="11" t="n">
        <v>5.528</v>
      </c>
      <c r="I60" s="11" t="n">
        <v>5.527</v>
      </c>
      <c r="J60" s="11" t="n">
        <v>5.0841</v>
      </c>
      <c r="K60" s="11" t="n">
        <v>4.8813</v>
      </c>
      <c r="L60" s="11" t="n">
        <v>4.9238</v>
      </c>
      <c r="M60" s="11" t="n">
        <v>4.7175</v>
      </c>
      <c r="N60" s="11" t="n">
        <v>4.7656</v>
      </c>
      <c r="O60" s="11" t="n">
        <v>12.523</v>
      </c>
      <c r="P60" s="11" t="n">
        <v>12.8905</v>
      </c>
      <c r="Q60" s="11" t="n">
        <v>13.1585</v>
      </c>
      <c r="R60" s="11" t="n">
        <v>13.9397</v>
      </c>
      <c r="S60" s="11" t="n">
        <v>14.4333</v>
      </c>
      <c r="T60" s="11" t="n">
        <v>15.0233</v>
      </c>
      <c r="U60" s="11" t="n">
        <v>15.408</v>
      </c>
      <c r="V60" s="11" t="n">
        <v>16.7</v>
      </c>
      <c r="W60" s="11" t="n">
        <v>2.3346</v>
      </c>
      <c r="X60" s="11" t="n">
        <v>5.7061</v>
      </c>
      <c r="Y60" s="11" t="n">
        <v>5.0841</v>
      </c>
      <c r="Z60" s="11" t="n">
        <v>4.7656</v>
      </c>
      <c r="AA60" s="11" t="n">
        <v>13.9397</v>
      </c>
      <c r="AB60" s="11" t="n">
        <v>16.7</v>
      </c>
    </row>
    <row r="61">
      <c r="A61" s="10" t="inlineStr">
        <is>
          <t>부채·순자산 합계</t>
        </is>
      </c>
      <c r="C61" s="11" t="n">
        <v>6.6821</v>
      </c>
      <c r="D61" s="11" t="n">
        <v>6.6617</v>
      </c>
      <c r="E61" s="11" t="n">
        <v>7.9577</v>
      </c>
      <c r="F61" s="11" t="n">
        <v>8.0113</v>
      </c>
      <c r="G61" s="11" t="n">
        <v>8.053699999999999</v>
      </c>
      <c r="H61" s="11" t="n">
        <v>8.069800000000001</v>
      </c>
      <c r="I61" s="11" t="n">
        <v>8.345599999999999</v>
      </c>
      <c r="J61" s="11" t="n">
        <v>8.940899999999999</v>
      </c>
      <c r="K61" s="11" t="n">
        <v>9.594799999999999</v>
      </c>
      <c r="L61" s="11" t="n">
        <v>9.5692</v>
      </c>
      <c r="M61" s="11" t="n">
        <v>10.3633</v>
      </c>
      <c r="N61" s="11" t="n">
        <v>9.534599999999999</v>
      </c>
      <c r="O61" s="11" t="n">
        <v>17.6977</v>
      </c>
      <c r="P61" s="11" t="n">
        <v>18.5828</v>
      </c>
      <c r="Q61" s="11" t="n">
        <v>19.7595</v>
      </c>
      <c r="R61" s="11" t="n">
        <v>20.7781</v>
      </c>
      <c r="S61" s="11" t="n">
        <v>21.8182</v>
      </c>
      <c r="T61" s="11" t="n">
        <v>22.8055</v>
      </c>
      <c r="U61" s="11" t="n">
        <v>23.4322</v>
      </c>
      <c r="V61" s="11" t="n">
        <v>24.5955</v>
      </c>
      <c r="W61" s="11" t="n">
        <v>3.5135</v>
      </c>
      <c r="X61" s="11" t="n">
        <v>8.0113</v>
      </c>
      <c r="Y61" s="11" t="n">
        <v>8.940899999999999</v>
      </c>
      <c r="Z61" s="11" t="n">
        <v>9.534599999999999</v>
      </c>
      <c r="AA61" s="11" t="n">
        <v>20.7781</v>
      </c>
      <c r="AB61" s="11" t="n">
        <v>24.5955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5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40" customWidth="1" min="29" max="29"/>
  </cols>
  <sheetData>
    <row r="1">
      <c r="A1" s="1" t="inlineStr">
        <is>
          <t>사이언스아츠 현금흐름표</t>
        </is>
      </c>
    </row>
    <row r="2">
      <c r="A2" s="2" t="inlineStr">
        <is>
          <t>결산기 기준(27.2Q = 2027년 결산기 2분기) · 8월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FY21</t>
        </is>
      </c>
      <c r="X3" s="4" t="inlineStr">
        <is>
          <t>FY22</t>
        </is>
      </c>
      <c r="Y3" s="4" t="inlineStr">
        <is>
          <t>FY23</t>
        </is>
      </c>
      <c r="Z3" s="4" t="inlineStr">
        <is>
          <t>FY24</t>
        </is>
      </c>
      <c r="AA3" s="4" t="inlineStr">
        <is>
          <t>FY25</t>
        </is>
      </c>
      <c r="AB3" s="4" t="inlineStr">
        <is>
          <t>FY26</t>
        </is>
      </c>
      <c r="AC3" s="4" t="inlineStr">
        <is>
          <t>출처</t>
        </is>
      </c>
    </row>
    <row r="4">
      <c r="A4" s="10" t="inlineStr">
        <is>
          <t>법인세차감전 순이익</t>
        </is>
      </c>
      <c r="D4" s="11" t="n">
        <v>-0.2804</v>
      </c>
      <c r="F4" s="11" t="n">
        <v>0.0984</v>
      </c>
      <c r="H4" s="11" t="n">
        <v>-0.361</v>
      </c>
      <c r="J4" s="11" t="n">
        <v>-0.7247</v>
      </c>
      <c r="L4" s="11" t="n">
        <v>-0.1699</v>
      </c>
      <c r="N4" s="11" t="n">
        <v>-0.34</v>
      </c>
      <c r="P4" s="11" t="n">
        <v>0.1744</v>
      </c>
      <c r="R4" s="11" t="n">
        <v>0.927</v>
      </c>
      <c r="T4" s="11" t="n">
        <v>1.0329</v>
      </c>
      <c r="V4" s="11" t="n">
        <v>2.6277</v>
      </c>
      <c r="W4" s="11" t="n">
        <v>-0.9567</v>
      </c>
      <c r="X4" s="11" t="n">
        <v>0.0984</v>
      </c>
      <c r="Y4" s="11" t="n">
        <v>-0.7247</v>
      </c>
      <c r="Z4" s="11" t="n">
        <v>-0.34</v>
      </c>
      <c r="AA4" s="11" t="n">
        <v>0.927</v>
      </c>
      <c r="AB4" s="11" t="n">
        <v>2.6277</v>
      </c>
      <c r="AC4" s="7" t="inlineStr">
        <is>
          <t>결산단신 XBRL(거래소 공시, TDnet·JPX 보관소). 쓴 문서: 2026-10-15, 2026-07-15, 2026-04-14, 2026-01-14 외 16건 — '출처' 시트에 전부</t>
        </is>
      </c>
    </row>
    <row r="5">
      <c r="A5" s="10" t="inlineStr">
        <is>
          <t>감가상각비</t>
        </is>
      </c>
      <c r="D5" s="11" t="n">
        <v>0.0211</v>
      </c>
      <c r="F5" s="11" t="n">
        <v>0.04</v>
      </c>
      <c r="H5" s="11" t="n">
        <v>0.0223</v>
      </c>
      <c r="J5" s="11" t="n">
        <v>0.2167</v>
      </c>
      <c r="L5" s="11" t="n">
        <v>0.0672</v>
      </c>
      <c r="N5" s="11" t="n">
        <v>0.1364</v>
      </c>
      <c r="P5" s="11" t="n">
        <v>0.07240000000000001</v>
      </c>
      <c r="R5" s="11" t="n">
        <v>0.1588</v>
      </c>
      <c r="T5" s="11" t="n">
        <v>0.2841</v>
      </c>
      <c r="V5" s="11" t="n">
        <v>0.2864</v>
      </c>
      <c r="W5" s="11" t="n">
        <v>0.0159</v>
      </c>
      <c r="X5" s="11" t="n">
        <v>0.04</v>
      </c>
      <c r="Y5" s="11" t="n">
        <v>0.2167</v>
      </c>
      <c r="Z5" s="11" t="n">
        <v>0.1364</v>
      </c>
      <c r="AA5" s="11" t="n">
        <v>0.1588</v>
      </c>
      <c r="AB5" s="11" t="n">
        <v>0.2864</v>
      </c>
    </row>
    <row r="6">
      <c r="A6" s="10" t="inlineStr">
        <is>
          <t>상여충당금 증감</t>
        </is>
      </c>
      <c r="P6" s="11" t="n">
        <v>0</v>
      </c>
      <c r="T6" s="11" t="n">
        <v>0.0733</v>
      </c>
    </row>
    <row r="7">
      <c r="A7" s="10" t="inlineStr">
        <is>
          <t>이자·배당금 수익</t>
        </is>
      </c>
      <c r="D7" s="11" t="n">
        <v>-0</v>
      </c>
      <c r="F7" s="11" t="n">
        <v>-0.0001</v>
      </c>
      <c r="H7" s="11" t="n">
        <v>-0</v>
      </c>
      <c r="J7" s="11" t="n">
        <v>-0.0001</v>
      </c>
      <c r="L7" s="11" t="n">
        <v>-0</v>
      </c>
      <c r="N7" s="11" t="n">
        <v>-0.0005</v>
      </c>
      <c r="P7" s="11" t="n">
        <v>-0.0051</v>
      </c>
      <c r="R7" s="11" t="n">
        <v>-0.0194</v>
      </c>
      <c r="T7" s="11" t="n">
        <v>-0.0171</v>
      </c>
      <c r="V7" s="11" t="n">
        <v>-0.0361</v>
      </c>
      <c r="W7" s="11" t="n">
        <v>-0</v>
      </c>
      <c r="X7" s="11" t="n">
        <v>-0.0001</v>
      </c>
      <c r="Y7" s="11" t="n">
        <v>-0.0001</v>
      </c>
      <c r="Z7" s="11" t="n">
        <v>-0.0005</v>
      </c>
      <c r="AA7" s="11" t="n">
        <v>-0.0194</v>
      </c>
      <c r="AB7" s="11" t="n">
        <v>-0.0361</v>
      </c>
    </row>
    <row r="8">
      <c r="A8" s="10" t="inlineStr">
        <is>
          <t>보조금 수입</t>
        </is>
      </c>
      <c r="H8" s="11" t="n">
        <v>0</v>
      </c>
      <c r="J8" s="11" t="n">
        <v>0</v>
      </c>
      <c r="L8" s="11" t="n">
        <v>-0.0004</v>
      </c>
      <c r="N8" s="11" t="n">
        <v>-0.0004</v>
      </c>
      <c r="P8" s="11" t="n">
        <v>0</v>
      </c>
      <c r="R8" s="11" t="n">
        <v>0</v>
      </c>
      <c r="Y8" s="11" t="n">
        <v>0</v>
      </c>
      <c r="Z8" s="11" t="n">
        <v>-0.0004</v>
      </c>
      <c r="AA8" s="11" t="n">
        <v>0</v>
      </c>
    </row>
    <row r="9">
      <c r="A9" s="10" t="inlineStr">
        <is>
          <t>유가증권 이자</t>
        </is>
      </c>
      <c r="R9" s="11" t="n">
        <v>0</v>
      </c>
      <c r="V9" s="11" t="n">
        <v>-0.0143</v>
      </c>
      <c r="AA9" s="11" t="n">
        <v>0</v>
      </c>
      <c r="AB9" s="11" t="n">
        <v>-0.0143</v>
      </c>
    </row>
    <row r="10">
      <c r="A10" s="10" t="inlineStr">
        <is>
          <t>외환차손익</t>
        </is>
      </c>
      <c r="J10" s="11" t="n">
        <v>0</v>
      </c>
      <c r="N10" s="11" t="n">
        <v>0</v>
      </c>
      <c r="R10" s="11" t="n">
        <v>-0</v>
      </c>
      <c r="V10" s="11" t="n">
        <v>-0.0001</v>
      </c>
      <c r="Y10" s="11" t="n">
        <v>0</v>
      </c>
      <c r="Z10" s="11" t="n">
        <v>0</v>
      </c>
      <c r="AA10" s="11" t="n">
        <v>-0</v>
      </c>
      <c r="AB10" s="11" t="n">
        <v>-0.0001</v>
      </c>
    </row>
    <row r="11">
      <c r="A11" s="10" t="inlineStr">
        <is>
          <t>이자비용</t>
        </is>
      </c>
      <c r="F11" s="11" t="n">
        <v>0</v>
      </c>
      <c r="H11" s="11" t="n">
        <v>0</v>
      </c>
      <c r="J11" s="11" t="n">
        <v>0</v>
      </c>
      <c r="L11" s="11" t="n">
        <v>0.0078</v>
      </c>
      <c r="N11" s="11" t="n">
        <v>0.0162</v>
      </c>
      <c r="P11" s="11" t="n">
        <v>0.008</v>
      </c>
      <c r="R11" s="11" t="n">
        <v>0.0167</v>
      </c>
      <c r="T11" s="11" t="n">
        <v>0.0068</v>
      </c>
      <c r="V11" s="11" t="n">
        <v>0.0132</v>
      </c>
      <c r="W11" s="11" t="n">
        <v>0.0058</v>
      </c>
      <c r="X11" s="11" t="n">
        <v>0</v>
      </c>
      <c r="Y11" s="11" t="n">
        <v>0</v>
      </c>
      <c r="Z11" s="11" t="n">
        <v>0.0162</v>
      </c>
      <c r="AA11" s="11" t="n">
        <v>0.0167</v>
      </c>
      <c r="AB11" s="11" t="n">
        <v>0.0132</v>
      </c>
    </row>
    <row r="12">
      <c r="A12" s="10" t="inlineStr">
        <is>
          <t>투자유가증권 평가손익</t>
        </is>
      </c>
      <c r="D12" s="11" t="n">
        <v>0</v>
      </c>
      <c r="H12" s="11" t="n">
        <v>0.05</v>
      </c>
      <c r="J12" s="11" t="n">
        <v>0.05</v>
      </c>
      <c r="L12" s="11" t="n">
        <v>0</v>
      </c>
      <c r="N12" s="11" t="n">
        <v>0</v>
      </c>
      <c r="Y12" s="11" t="n">
        <v>0.05</v>
      </c>
      <c r="Z12" s="11" t="n">
        <v>0</v>
      </c>
    </row>
    <row r="13">
      <c r="A13" s="10" t="inlineStr">
        <is>
          <t>주식교부비</t>
        </is>
      </c>
      <c r="D13" s="11" t="n">
        <v>0.0435</v>
      </c>
      <c r="F13" s="11" t="n">
        <v>0.0435</v>
      </c>
      <c r="H13" s="11" t="n">
        <v>0</v>
      </c>
      <c r="J13" s="11" t="n">
        <v>0</v>
      </c>
      <c r="L13" s="11" t="n">
        <v>0</v>
      </c>
      <c r="N13" s="11" t="n">
        <v>0</v>
      </c>
      <c r="P13" s="11" t="n">
        <v>0.1401</v>
      </c>
      <c r="R13" s="11" t="n">
        <v>0.1401</v>
      </c>
      <c r="T13" s="11" t="n">
        <v>0</v>
      </c>
      <c r="V13" s="11" t="n">
        <v>0</v>
      </c>
      <c r="W13" s="11" t="n">
        <v>0</v>
      </c>
      <c r="X13" s="11" t="n">
        <v>0.0435</v>
      </c>
      <c r="Y13" s="11" t="n">
        <v>0</v>
      </c>
      <c r="Z13" s="11" t="n">
        <v>0</v>
      </c>
      <c r="AA13" s="11" t="n">
        <v>0.1401</v>
      </c>
      <c r="AB13" s="11" t="n">
        <v>0</v>
      </c>
    </row>
    <row r="14">
      <c r="A14" s="10" t="inlineStr">
        <is>
          <t>매출채권 증감</t>
        </is>
      </c>
      <c r="D14" s="11" t="n">
        <v>0.1132</v>
      </c>
      <c r="F14" s="11" t="n">
        <v>0.1095</v>
      </c>
      <c r="H14" s="11" t="n">
        <v>-0.07489999999999999</v>
      </c>
      <c r="J14" s="11" t="n">
        <v>-0.3056</v>
      </c>
      <c r="L14" s="11" t="n">
        <v>-0.1701</v>
      </c>
      <c r="N14" s="11" t="n">
        <v>-0.3537</v>
      </c>
      <c r="P14" s="11" t="n">
        <v>-0.1164</v>
      </c>
      <c r="R14" s="11" t="n">
        <v>-0.5014</v>
      </c>
      <c r="T14" s="11" t="n">
        <v>-0.1675</v>
      </c>
      <c r="V14" s="11" t="n">
        <v>0.3453</v>
      </c>
      <c r="W14" s="11" t="n">
        <v>-0.357</v>
      </c>
      <c r="X14" s="11" t="n">
        <v>0.1095</v>
      </c>
      <c r="Y14" s="11" t="n">
        <v>-0.3056</v>
      </c>
      <c r="Z14" s="11" t="n">
        <v>-0.3537</v>
      </c>
      <c r="AA14" s="11" t="n">
        <v>-0.5014</v>
      </c>
      <c r="AB14" s="11" t="n">
        <v>0.3453</v>
      </c>
    </row>
    <row r="15">
      <c r="A15" s="10" t="inlineStr">
        <is>
          <t>재고자산 증감</t>
        </is>
      </c>
      <c r="D15" s="11" t="n">
        <v>0.015</v>
      </c>
      <c r="F15" s="11" t="n">
        <v>-0.1531</v>
      </c>
      <c r="H15" s="11" t="n">
        <v>-0.1316</v>
      </c>
      <c r="J15" s="11" t="n">
        <v>-0.4786</v>
      </c>
      <c r="L15" s="11" t="n">
        <v>0.0175</v>
      </c>
      <c r="N15" s="11" t="n">
        <v>0.1126</v>
      </c>
      <c r="P15" s="11" t="n">
        <v>0.0402</v>
      </c>
      <c r="R15" s="11" t="n">
        <v>0.0545</v>
      </c>
      <c r="T15" s="11" t="n">
        <v>-1.0125</v>
      </c>
      <c r="V15" s="11" t="n">
        <v>-0.7013</v>
      </c>
      <c r="W15" s="11" t="n">
        <v>-0.0638</v>
      </c>
      <c r="X15" s="11" t="n">
        <v>-0.1531</v>
      </c>
      <c r="Y15" s="11" t="n">
        <v>-0.4786</v>
      </c>
      <c r="Z15" s="11" t="n">
        <v>0.1126</v>
      </c>
      <c r="AA15" s="11" t="n">
        <v>0.0545</v>
      </c>
      <c r="AB15" s="11" t="n">
        <v>-0.7013</v>
      </c>
    </row>
    <row r="16">
      <c r="A16" s="10" t="inlineStr">
        <is>
          <t>선급비용 증감</t>
        </is>
      </c>
      <c r="D16" s="11" t="n">
        <v>-0.0583</v>
      </c>
      <c r="F16" s="11" t="n">
        <v>-0.0796</v>
      </c>
      <c r="H16" s="11" t="n">
        <v>-0.08790000000000001</v>
      </c>
      <c r="J16" s="11" t="n">
        <v>-0.0625</v>
      </c>
      <c r="L16" s="11" t="n">
        <v>-0.09810000000000001</v>
      </c>
      <c r="N16" s="11" t="n">
        <v>-0.0575</v>
      </c>
      <c r="P16" s="11" t="n">
        <v>-0.0078</v>
      </c>
      <c r="R16" s="11" t="n">
        <v>-0.0379</v>
      </c>
      <c r="T16" s="11" t="n">
        <v>0.0853</v>
      </c>
      <c r="V16" s="11" t="n">
        <v>0.2185</v>
      </c>
      <c r="W16" s="11" t="n">
        <v>0.0127</v>
      </c>
      <c r="X16" s="11" t="n">
        <v>-0.0796</v>
      </c>
      <c r="Y16" s="11" t="n">
        <v>-0.0625</v>
      </c>
      <c r="Z16" s="11" t="n">
        <v>-0.0575</v>
      </c>
      <c r="AA16" s="11" t="n">
        <v>-0.0379</v>
      </c>
      <c r="AB16" s="11" t="n">
        <v>0.2185</v>
      </c>
    </row>
    <row r="17">
      <c r="A17" s="10" t="inlineStr">
        <is>
          <t>선급금 증감</t>
        </is>
      </c>
      <c r="F17" s="11" t="n">
        <v>0.0003</v>
      </c>
      <c r="J17" s="11" t="n">
        <v>0</v>
      </c>
      <c r="W17" s="11" t="n">
        <v>0.0192</v>
      </c>
      <c r="X17" s="11" t="n">
        <v>0.0003</v>
      </c>
      <c r="Y17" s="11" t="n">
        <v>0</v>
      </c>
    </row>
    <row r="18">
      <c r="A18" s="10" t="inlineStr">
        <is>
          <t>매입채무 증감</t>
        </is>
      </c>
      <c r="D18" s="11" t="n">
        <v>-0.1309</v>
      </c>
      <c r="F18" s="11" t="n">
        <v>-0.1108</v>
      </c>
      <c r="H18" s="11" t="n">
        <v>0.0711</v>
      </c>
      <c r="J18" s="11" t="n">
        <v>0.0342</v>
      </c>
      <c r="L18" s="11" t="n">
        <v>-0.0641</v>
      </c>
      <c r="N18" s="11" t="n">
        <v>-0.0917</v>
      </c>
      <c r="P18" s="11" t="n">
        <v>0.4269</v>
      </c>
      <c r="R18" s="11" t="n">
        <v>0.3289</v>
      </c>
      <c r="T18" s="11" t="n">
        <v>0.5909</v>
      </c>
      <c r="V18" s="11" t="n">
        <v>-0.1553</v>
      </c>
      <c r="W18" s="11" t="n">
        <v>0.2097</v>
      </c>
      <c r="X18" s="11" t="n">
        <v>-0.1108</v>
      </c>
      <c r="Y18" s="11" t="n">
        <v>0.0342</v>
      </c>
      <c r="Z18" s="11" t="n">
        <v>-0.0917</v>
      </c>
      <c r="AA18" s="11" t="n">
        <v>0.3289</v>
      </c>
      <c r="AB18" s="11" t="n">
        <v>-0.1553</v>
      </c>
    </row>
    <row r="19">
      <c r="A19" s="10" t="inlineStr">
        <is>
          <t>미지급금 증감</t>
        </is>
      </c>
      <c r="D19" s="11" t="n">
        <v>0.0687</v>
      </c>
      <c r="F19" s="11" t="n">
        <v>0.1689</v>
      </c>
      <c r="H19" s="11" t="n">
        <v>-0.107</v>
      </c>
      <c r="J19" s="11" t="n">
        <v>0.0336</v>
      </c>
      <c r="L19" s="11" t="n">
        <v>-0.0678</v>
      </c>
      <c r="N19" s="11" t="n">
        <v>0.0963</v>
      </c>
      <c r="P19" s="11" t="n">
        <v>-0.1207</v>
      </c>
      <c r="R19" s="11" t="n">
        <v>0.0184</v>
      </c>
      <c r="T19" s="11" t="n">
        <v>-0.0654</v>
      </c>
      <c r="V19" s="11" t="n">
        <v>-0.0286</v>
      </c>
      <c r="W19" s="11" t="n">
        <v>-0.009599999999999999</v>
      </c>
      <c r="X19" s="11" t="n">
        <v>0.1689</v>
      </c>
      <c r="Y19" s="11" t="n">
        <v>0.0336</v>
      </c>
      <c r="Z19" s="11" t="n">
        <v>0.0963</v>
      </c>
      <c r="AA19" s="11" t="n">
        <v>0.0184</v>
      </c>
      <c r="AB19" s="11" t="n">
        <v>-0.0286</v>
      </c>
    </row>
    <row r="20">
      <c r="A20" s="10" t="inlineStr">
        <is>
          <t>미지급비용 증감</t>
        </is>
      </c>
      <c r="D20" s="11" t="n">
        <v>0.0539</v>
      </c>
      <c r="F20" s="11" t="n">
        <v>0.0513</v>
      </c>
      <c r="H20" s="11" t="n">
        <v>0.061</v>
      </c>
      <c r="J20" s="11" t="n">
        <v>0.2129</v>
      </c>
      <c r="L20" s="11" t="n">
        <v>-0.1038</v>
      </c>
      <c r="N20" s="11" t="n">
        <v>-0.1062</v>
      </c>
      <c r="P20" s="11" t="n">
        <v>0.024</v>
      </c>
      <c r="R20" s="11" t="n">
        <v>0.089</v>
      </c>
      <c r="T20" s="11" t="n">
        <v>0.1406</v>
      </c>
      <c r="V20" s="11" t="n">
        <v>0.1751</v>
      </c>
      <c r="W20" s="11" t="n">
        <v>0.0578</v>
      </c>
      <c r="X20" s="11" t="n">
        <v>0.0513</v>
      </c>
      <c r="Y20" s="11" t="n">
        <v>0.2129</v>
      </c>
      <c r="Z20" s="11" t="n">
        <v>-0.1062</v>
      </c>
      <c r="AA20" s="11" t="n">
        <v>0.089</v>
      </c>
      <c r="AB20" s="11" t="n">
        <v>0.1751</v>
      </c>
    </row>
    <row r="21">
      <c r="A21" s="10" t="inlineStr">
        <is>
          <t>미지급법인세(외형표준과세) 증감</t>
        </is>
      </c>
      <c r="L21" s="11" t="n">
        <v>0</v>
      </c>
      <c r="N21" s="11" t="n">
        <v>0</v>
      </c>
      <c r="P21" s="11" t="n">
        <v>0.075</v>
      </c>
      <c r="R21" s="11" t="n">
        <v>0.1554</v>
      </c>
      <c r="T21" s="11" t="n">
        <v>-0.0689</v>
      </c>
      <c r="V21" s="11" t="n">
        <v>0.0306</v>
      </c>
      <c r="Z21" s="11" t="n">
        <v>0</v>
      </c>
      <c r="AA21" s="11" t="n">
        <v>0.1554</v>
      </c>
      <c r="AB21" s="11" t="n">
        <v>0.0306</v>
      </c>
    </row>
    <row r="22">
      <c r="A22" s="5" t="inlineStr">
        <is>
          <t>선수수익 증감</t>
        </is>
      </c>
      <c r="D22" s="6" t="n">
        <v>0.1291</v>
      </c>
      <c r="F22" s="6" t="n">
        <v>0.8798</v>
      </c>
      <c r="H22" s="6" t="n">
        <v>0.3011</v>
      </c>
      <c r="J22" s="6" t="n">
        <v>0.4375</v>
      </c>
      <c r="L22" s="6" t="n">
        <v>0.4099</v>
      </c>
      <c r="N22" s="6" t="n">
        <v>0.3681</v>
      </c>
      <c r="P22" s="6" t="n">
        <v>0.6568000000000001</v>
      </c>
      <c r="R22" s="6" t="n">
        <v>1.3712</v>
      </c>
      <c r="T22" s="6" t="n">
        <v>0.6191</v>
      </c>
      <c r="V22" s="6" t="n">
        <v>1.8485</v>
      </c>
      <c r="W22" s="6" t="n">
        <v>0.09130000000000001</v>
      </c>
      <c r="X22" s="6" t="n">
        <v>0.8798</v>
      </c>
      <c r="Y22" s="6" t="n">
        <v>0.4375</v>
      </c>
      <c r="Z22" s="6" t="n">
        <v>0.3681</v>
      </c>
      <c r="AA22" s="6" t="n">
        <v>1.3712</v>
      </c>
      <c r="AB22" s="6" t="n">
        <v>1.8485</v>
      </c>
    </row>
    <row r="23">
      <c r="A23" s="10" t="inlineStr">
        <is>
          <t>예수금 증감</t>
        </is>
      </c>
      <c r="F23" s="11" t="n">
        <v>-0.0014</v>
      </c>
      <c r="J23" s="11" t="n">
        <v>0.0167</v>
      </c>
      <c r="N23" s="11" t="n">
        <v>0.0276</v>
      </c>
      <c r="R23" s="11" t="n">
        <v>0.0291</v>
      </c>
      <c r="V23" s="11" t="n">
        <v>-0.0332</v>
      </c>
      <c r="W23" s="11" t="n">
        <v>0.0037</v>
      </c>
      <c r="X23" s="11" t="n">
        <v>-0.0014</v>
      </c>
      <c r="Y23" s="11" t="n">
        <v>0.0167</v>
      </c>
      <c r="Z23" s="11" t="n">
        <v>0.0276</v>
      </c>
      <c r="AA23" s="11" t="n">
        <v>0.0291</v>
      </c>
      <c r="AB23" s="11" t="n">
        <v>-0.0332</v>
      </c>
    </row>
    <row r="24">
      <c r="A24" s="10" t="inlineStr">
        <is>
          <t>미지급 소비세 증감</t>
        </is>
      </c>
      <c r="D24" s="11" t="n">
        <v>0.0051</v>
      </c>
      <c r="F24" s="11" t="n">
        <v>0.09619999999999999</v>
      </c>
      <c r="H24" s="11" t="n">
        <v>-0.0993</v>
      </c>
      <c r="J24" s="11" t="n">
        <v>-0.1373</v>
      </c>
      <c r="L24" s="11" t="n">
        <v>0.0992</v>
      </c>
      <c r="N24" s="11" t="n">
        <v>0.2022</v>
      </c>
      <c r="P24" s="11" t="n">
        <v>-0.0188</v>
      </c>
      <c r="R24" s="11" t="n">
        <v>0.1754</v>
      </c>
      <c r="T24" s="11" t="n">
        <v>-0.2171</v>
      </c>
      <c r="V24" s="11" t="n">
        <v>-0.0653</v>
      </c>
      <c r="W24" s="11" t="n">
        <v>-0.0134</v>
      </c>
      <c r="X24" s="11" t="n">
        <v>0.09619999999999999</v>
      </c>
      <c r="Y24" s="11" t="n">
        <v>-0.1373</v>
      </c>
      <c r="Z24" s="11" t="n">
        <v>0.2022</v>
      </c>
      <c r="AA24" s="11" t="n">
        <v>0.1754</v>
      </c>
      <c r="AB24" s="11" t="n">
        <v>-0.0653</v>
      </c>
    </row>
    <row r="25">
      <c r="A25" s="10" t="inlineStr">
        <is>
          <t>기타</t>
        </is>
      </c>
      <c r="D25" s="11" t="n">
        <v>0.0074</v>
      </c>
      <c r="F25" s="11" t="n">
        <v>-0.0276</v>
      </c>
      <c r="H25" s="11" t="n">
        <v>0.0147</v>
      </c>
      <c r="J25" s="11" t="n">
        <v>0.0398</v>
      </c>
      <c r="L25" s="11" t="n">
        <v>-0.0056</v>
      </c>
      <c r="N25" s="11" t="n">
        <v>0.0212</v>
      </c>
      <c r="P25" s="11" t="n">
        <v>-0.0065</v>
      </c>
      <c r="R25" s="11" t="n">
        <v>0.0033</v>
      </c>
      <c r="T25" s="11" t="n">
        <v>0.0423</v>
      </c>
      <c r="V25" s="11" t="n">
        <v>-0.0145</v>
      </c>
      <c r="W25" s="11" t="n">
        <v>0.0161</v>
      </c>
      <c r="X25" s="11" t="n">
        <v>-0.0276</v>
      </c>
      <c r="Y25" s="11" t="n">
        <v>0.0398</v>
      </c>
      <c r="Z25" s="11" t="n">
        <v>0.0212</v>
      </c>
      <c r="AA25" s="11" t="n">
        <v>0.0033</v>
      </c>
      <c r="AB25" s="11" t="n">
        <v>-0.0145</v>
      </c>
    </row>
    <row r="26">
      <c r="A26" s="10" t="inlineStr">
        <is>
          <t>소계</t>
        </is>
      </c>
      <c r="D26" s="11" t="n">
        <v>-0.0125</v>
      </c>
      <c r="F26" s="11" t="n">
        <v>1.1153</v>
      </c>
      <c r="H26" s="11" t="n">
        <v>-0.3416</v>
      </c>
      <c r="J26" s="11" t="n">
        <v>-0.6673</v>
      </c>
      <c r="L26" s="11" t="n">
        <v>-0.0781</v>
      </c>
      <c r="N26" s="11" t="n">
        <v>0.0306</v>
      </c>
      <c r="P26" s="11" t="n">
        <v>1.3425</v>
      </c>
      <c r="R26" s="11" t="n">
        <v>2.909</v>
      </c>
      <c r="T26" s="11" t="n">
        <v>1.3268</v>
      </c>
      <c r="V26" s="11" t="n">
        <v>4.4967</v>
      </c>
      <c r="W26" s="11" t="n">
        <v>-0.9684</v>
      </c>
      <c r="X26" s="11" t="n">
        <v>1.1153</v>
      </c>
      <c r="Y26" s="11" t="n">
        <v>-0.6673</v>
      </c>
      <c r="Z26" s="11" t="n">
        <v>0.0306</v>
      </c>
      <c r="AA26" s="11" t="n">
        <v>2.909</v>
      </c>
      <c r="AB26" s="11" t="n">
        <v>4.4967</v>
      </c>
    </row>
    <row r="27">
      <c r="A27" s="10" t="inlineStr">
        <is>
          <t>이자·배당금 수취</t>
        </is>
      </c>
      <c r="D27" s="11" t="n">
        <v>0</v>
      </c>
      <c r="F27" s="11" t="n">
        <v>0.0001</v>
      </c>
      <c r="H27" s="11" t="n">
        <v>0</v>
      </c>
      <c r="J27" s="11" t="n">
        <v>0.0001</v>
      </c>
      <c r="L27" s="11" t="n">
        <v>0</v>
      </c>
      <c r="N27" s="11" t="n">
        <v>0.0005</v>
      </c>
      <c r="P27" s="11" t="n">
        <v>0.0051</v>
      </c>
      <c r="R27" s="11" t="n">
        <v>0.0194</v>
      </c>
      <c r="T27" s="11" t="n">
        <v>0.0171</v>
      </c>
      <c r="V27" s="11" t="n">
        <v>0.0504</v>
      </c>
      <c r="W27" s="11" t="n">
        <v>0</v>
      </c>
      <c r="X27" s="11" t="n">
        <v>0.0001</v>
      </c>
      <c r="Y27" s="11" t="n">
        <v>0.0001</v>
      </c>
      <c r="Z27" s="11" t="n">
        <v>0.0005</v>
      </c>
      <c r="AA27" s="11" t="n">
        <v>0.0194</v>
      </c>
      <c r="AB27" s="11" t="n">
        <v>0.0504</v>
      </c>
    </row>
    <row r="28">
      <c r="A28" s="10" t="inlineStr">
        <is>
          <t>업무수탁료 수취</t>
        </is>
      </c>
      <c r="F28" s="11" t="n">
        <v>0.03</v>
      </c>
      <c r="J28" s="11" t="n">
        <v>0</v>
      </c>
      <c r="W28" s="11" t="n">
        <v>0</v>
      </c>
      <c r="X28" s="11" t="n">
        <v>0.03</v>
      </c>
      <c r="Y28" s="11" t="n">
        <v>0</v>
      </c>
    </row>
    <row r="29">
      <c r="A29" s="10" t="inlineStr">
        <is>
          <t>보조금 수취</t>
        </is>
      </c>
      <c r="H29" s="11" t="n">
        <v>0</v>
      </c>
      <c r="J29" s="11" t="n">
        <v>0</v>
      </c>
      <c r="L29" s="11" t="n">
        <v>0.0004</v>
      </c>
      <c r="N29" s="11" t="n">
        <v>0.0004</v>
      </c>
      <c r="P29" s="11" t="n">
        <v>0</v>
      </c>
      <c r="R29" s="11" t="n">
        <v>0</v>
      </c>
      <c r="Y29" s="11" t="n">
        <v>0</v>
      </c>
      <c r="Z29" s="11" t="n">
        <v>0.0004</v>
      </c>
      <c r="AA29" s="11" t="n">
        <v>0</v>
      </c>
    </row>
    <row r="30">
      <c r="A30" s="10" t="inlineStr">
        <is>
          <t>포상금 수취</t>
        </is>
      </c>
      <c r="D30" s="11" t="n">
        <v>0</v>
      </c>
      <c r="H30" s="11" t="n">
        <v>0.0009</v>
      </c>
      <c r="L30" s="11" t="n">
        <v>0</v>
      </c>
    </row>
    <row r="31">
      <c r="A31" s="10" t="inlineStr">
        <is>
          <t>포상금 수취</t>
        </is>
      </c>
      <c r="F31" s="11" t="n">
        <v>0</v>
      </c>
      <c r="J31" s="11" t="n">
        <v>0.0009</v>
      </c>
      <c r="N31" s="11" t="n">
        <v>0</v>
      </c>
      <c r="X31" s="11" t="n">
        <v>0</v>
      </c>
      <c r="Y31" s="11" t="n">
        <v>0.0009</v>
      </c>
      <c r="Z31" s="11" t="n">
        <v>0</v>
      </c>
    </row>
    <row r="32">
      <c r="A32" s="10" t="inlineStr">
        <is>
          <t>이자 지급</t>
        </is>
      </c>
      <c r="F32" s="11" t="n">
        <v>0</v>
      </c>
      <c r="H32" s="11" t="n">
        <v>0</v>
      </c>
      <c r="J32" s="11" t="n">
        <v>0</v>
      </c>
      <c r="L32" s="11" t="n">
        <v>-0.008800000000000001</v>
      </c>
      <c r="N32" s="11" t="n">
        <v>-0.0171</v>
      </c>
      <c r="P32" s="11" t="n">
        <v>-0.008</v>
      </c>
      <c r="R32" s="11" t="n">
        <v>-0.0165</v>
      </c>
      <c r="T32" s="11" t="n">
        <v>-0.0068</v>
      </c>
      <c r="V32" s="11" t="n">
        <v>-0.0131</v>
      </c>
      <c r="W32" s="11" t="n">
        <v>-0.0056</v>
      </c>
      <c r="X32" s="11" t="n">
        <v>0</v>
      </c>
      <c r="Y32" s="11" t="n">
        <v>0</v>
      </c>
      <c r="Z32" s="11" t="n">
        <v>-0.0171</v>
      </c>
      <c r="AA32" s="11" t="n">
        <v>-0.0165</v>
      </c>
      <c r="AB32" s="11" t="n">
        <v>-0.0131</v>
      </c>
    </row>
    <row r="33">
      <c r="A33" s="10" t="inlineStr">
        <is>
          <t>법인세 납부</t>
        </is>
      </c>
      <c r="D33" s="11" t="n">
        <v>-0.0029</v>
      </c>
      <c r="F33" s="11" t="n">
        <v>-0.0029</v>
      </c>
      <c r="H33" s="11" t="n">
        <v>-0.0029</v>
      </c>
      <c r="J33" s="11" t="n">
        <v>-0.0029</v>
      </c>
      <c r="L33" s="11" t="n">
        <v>-0.0029</v>
      </c>
      <c r="N33" s="11" t="n">
        <v>-0.0029</v>
      </c>
      <c r="P33" s="11" t="n">
        <v>-0.0049</v>
      </c>
      <c r="R33" s="11" t="n">
        <v>-0.0049</v>
      </c>
      <c r="T33" s="11" t="n">
        <v>-0.2134</v>
      </c>
      <c r="V33" s="11" t="n">
        <v>-0.4022</v>
      </c>
      <c r="W33" s="11" t="n">
        <v>-0.0029</v>
      </c>
      <c r="X33" s="11" t="n">
        <v>-0.0029</v>
      </c>
      <c r="Y33" s="11" t="n">
        <v>-0.0029</v>
      </c>
      <c r="Z33" s="11" t="n">
        <v>-0.0029</v>
      </c>
      <c r="AA33" s="11" t="n">
        <v>-0.0049</v>
      </c>
      <c r="AB33" s="11" t="n">
        <v>-0.4022</v>
      </c>
    </row>
    <row r="34">
      <c r="A34" s="10" t="inlineStr">
        <is>
          <t>영업활동 현금흐름</t>
        </is>
      </c>
      <c r="D34" s="11" t="n">
        <v>-0.0153</v>
      </c>
      <c r="F34" s="11" t="n">
        <v>1.1425</v>
      </c>
      <c r="H34" s="11" t="n">
        <v>-0.3436</v>
      </c>
      <c r="J34" s="11" t="n">
        <v>-0.6692</v>
      </c>
      <c r="L34" s="11" t="n">
        <v>-0.0893</v>
      </c>
      <c r="N34" s="11" t="n">
        <v>0.0115</v>
      </c>
      <c r="P34" s="11" t="n">
        <v>1.3347</v>
      </c>
      <c r="R34" s="11" t="n">
        <v>2.907</v>
      </c>
      <c r="T34" s="11" t="n">
        <v>1.1237</v>
      </c>
      <c r="V34" s="11" t="n">
        <v>4.1318</v>
      </c>
      <c r="W34" s="11" t="n">
        <v>-0.9769</v>
      </c>
      <c r="X34" s="11" t="n">
        <v>1.1425</v>
      </c>
      <c r="Y34" s="11" t="n">
        <v>-0.6692</v>
      </c>
      <c r="Z34" s="11" t="n">
        <v>0.0115</v>
      </c>
      <c r="AA34" s="11" t="n">
        <v>2.907</v>
      </c>
      <c r="AB34" s="11" t="n">
        <v>4.1318</v>
      </c>
    </row>
    <row r="35">
      <c r="A35" s="10" t="inlineStr">
        <is>
          <t>유형자산 취득(설비투자)</t>
        </is>
      </c>
      <c r="D35" s="11" t="n">
        <v>-0.0333</v>
      </c>
      <c r="F35" s="11" t="n">
        <v>-0.1846</v>
      </c>
      <c r="H35" s="11" t="n">
        <v>-0.014</v>
      </c>
      <c r="J35" s="11" t="n">
        <v>-0.2096</v>
      </c>
      <c r="L35" s="11" t="n">
        <v>-0.4491</v>
      </c>
      <c r="N35" s="11" t="n">
        <v>-0.4753</v>
      </c>
      <c r="P35" s="11" t="n">
        <v>-0.0357</v>
      </c>
      <c r="R35" s="11" t="n">
        <v>-0.1894</v>
      </c>
      <c r="T35" s="11" t="n">
        <v>-0.0263</v>
      </c>
      <c r="V35" s="11" t="n">
        <v>-0.0441</v>
      </c>
      <c r="W35" s="11" t="n">
        <v>-0.0075</v>
      </c>
      <c r="X35" s="11" t="n">
        <v>-0.1846</v>
      </c>
      <c r="Y35" s="11" t="n">
        <v>-0.2096</v>
      </c>
      <c r="Z35" s="11" t="n">
        <v>-0.4753</v>
      </c>
      <c r="AA35" s="11" t="n">
        <v>-0.1894</v>
      </c>
      <c r="AB35" s="11" t="n">
        <v>-0.0441</v>
      </c>
    </row>
    <row r="36">
      <c r="A36" s="10" t="inlineStr">
        <is>
          <t>투자유가증권 취득</t>
        </is>
      </c>
      <c r="F36" s="11" t="n">
        <v>-0.05</v>
      </c>
      <c r="J36" s="11" t="n">
        <v>-0.1</v>
      </c>
      <c r="N36" s="11" t="n">
        <v>0</v>
      </c>
      <c r="W36" s="11" t="n">
        <v>0</v>
      </c>
      <c r="X36" s="11" t="n">
        <v>-0.05</v>
      </c>
      <c r="Y36" s="11" t="n">
        <v>-0.1</v>
      </c>
      <c r="Z36" s="11" t="n">
        <v>0</v>
      </c>
    </row>
    <row r="37">
      <c r="A37" s="10" t="inlineStr">
        <is>
          <t>자산복구부채 이행 지출</t>
        </is>
      </c>
      <c r="H37" s="11" t="n">
        <v>0</v>
      </c>
      <c r="J37" s="11" t="n">
        <v>0</v>
      </c>
      <c r="L37" s="11" t="n">
        <v>-0.07530000000000001</v>
      </c>
      <c r="N37" s="11" t="n">
        <v>-0.07530000000000001</v>
      </c>
      <c r="P37" s="11" t="n">
        <v>0</v>
      </c>
      <c r="R37" s="11" t="n">
        <v>0</v>
      </c>
      <c r="Y37" s="11" t="n">
        <v>0</v>
      </c>
      <c r="Z37" s="11" t="n">
        <v>-0.07530000000000001</v>
      </c>
      <c r="AA37" s="11" t="n">
        <v>0</v>
      </c>
    </row>
    <row r="38">
      <c r="A38" s="10" t="inlineStr">
        <is>
          <t>임차보증금 납입</t>
        </is>
      </c>
      <c r="D38" s="11" t="n">
        <v>-0.1125</v>
      </c>
      <c r="F38" s="11" t="n">
        <v>-0.1125</v>
      </c>
      <c r="H38" s="11" t="n">
        <v>0</v>
      </c>
      <c r="J38" s="11" t="n">
        <v>-0.6177</v>
      </c>
      <c r="L38" s="11" t="n">
        <v>0</v>
      </c>
      <c r="N38" s="11" t="n">
        <v>0</v>
      </c>
      <c r="P38" s="11" t="n">
        <v>-0.0072</v>
      </c>
      <c r="R38" s="11" t="n">
        <v>-0.0794</v>
      </c>
      <c r="T38" s="11" t="n">
        <v>-1.1917</v>
      </c>
      <c r="V38" s="11" t="n">
        <v>-1.1968</v>
      </c>
      <c r="W38" s="11" t="n">
        <v>0</v>
      </c>
      <c r="X38" s="11" t="n">
        <v>-0.1125</v>
      </c>
      <c r="Y38" s="11" t="n">
        <v>-0.6177</v>
      </c>
      <c r="Z38" s="11" t="n">
        <v>0</v>
      </c>
      <c r="AA38" s="11" t="n">
        <v>-0.0794</v>
      </c>
      <c r="AB38" s="11" t="n">
        <v>-1.1968</v>
      </c>
    </row>
    <row r="39">
      <c r="A39" s="10" t="inlineStr">
        <is>
          <t>임차보증금 반환</t>
        </is>
      </c>
      <c r="F39" s="11" t="n">
        <v>0.0005999999999999999</v>
      </c>
      <c r="J39" s="11" t="n">
        <v>0</v>
      </c>
      <c r="W39" s="11" t="n">
        <v>0.0005999999999999999</v>
      </c>
      <c r="X39" s="11" t="n">
        <v>0.0005999999999999999</v>
      </c>
      <c r="Y39" s="11" t="n">
        <v>0</v>
      </c>
    </row>
    <row r="40">
      <c r="A40" s="10" t="inlineStr">
        <is>
          <t>임차보증금 회수</t>
        </is>
      </c>
      <c r="H40" s="11" t="n">
        <v>0</v>
      </c>
      <c r="J40" s="11" t="n">
        <v>0</v>
      </c>
      <c r="L40" s="11" t="n">
        <v>0.2618</v>
      </c>
      <c r="N40" s="11" t="n">
        <v>0.2618</v>
      </c>
      <c r="P40" s="11" t="n">
        <v>0</v>
      </c>
      <c r="R40" s="11" t="n">
        <v>0</v>
      </c>
      <c r="Y40" s="11" t="n">
        <v>0</v>
      </c>
      <c r="Z40" s="11" t="n">
        <v>0.2618</v>
      </c>
      <c r="AA40" s="11" t="n">
        <v>0</v>
      </c>
    </row>
    <row r="41">
      <c r="A41" s="10" t="inlineStr">
        <is>
          <t>기타</t>
        </is>
      </c>
      <c r="F41" s="11" t="n">
        <v>0</v>
      </c>
      <c r="J41" s="11" t="n">
        <v>-0.144</v>
      </c>
      <c r="N41" s="11" t="n">
        <v>-0.037</v>
      </c>
      <c r="R41" s="11" t="n">
        <v>0</v>
      </c>
      <c r="X41" s="11" t="n">
        <v>0</v>
      </c>
      <c r="Y41" s="11" t="n">
        <v>-0.144</v>
      </c>
      <c r="Z41" s="11" t="n">
        <v>-0.037</v>
      </c>
      <c r="AA41" s="11" t="n">
        <v>0</v>
      </c>
    </row>
    <row r="42">
      <c r="A42" s="10" t="inlineStr">
        <is>
          <t>투자활동 현금흐름</t>
        </is>
      </c>
      <c r="D42" s="11" t="n">
        <v>-0.1458</v>
      </c>
      <c r="F42" s="11" t="n">
        <v>-0.3465</v>
      </c>
      <c r="H42" s="11" t="n">
        <v>-0.014</v>
      </c>
      <c r="J42" s="11" t="n">
        <v>-1.0713</v>
      </c>
      <c r="L42" s="11" t="n">
        <v>-0.2626</v>
      </c>
      <c r="N42" s="11" t="n">
        <v>-0.3258</v>
      </c>
      <c r="P42" s="11" t="n">
        <v>-0.0429</v>
      </c>
      <c r="R42" s="11" t="n">
        <v>-0.2688</v>
      </c>
      <c r="T42" s="11" t="n">
        <v>-1.218</v>
      </c>
      <c r="V42" s="11" t="n">
        <v>-1.241</v>
      </c>
      <c r="W42" s="11" t="n">
        <v>-0.0069</v>
      </c>
      <c r="X42" s="11" t="n">
        <v>-0.3465</v>
      </c>
      <c r="Y42" s="11" t="n">
        <v>-1.0713</v>
      </c>
      <c r="Z42" s="11" t="n">
        <v>-0.3258</v>
      </c>
      <c r="AA42" s="11" t="n">
        <v>-0.2688</v>
      </c>
      <c r="AB42" s="11" t="n">
        <v>-1.241</v>
      </c>
    </row>
    <row r="43">
      <c r="A43" s="10" t="inlineStr">
        <is>
          <t>단기차입</t>
        </is>
      </c>
      <c r="N43" s="11" t="n">
        <v>0</v>
      </c>
      <c r="R43" s="11" t="n">
        <v>0.5</v>
      </c>
      <c r="V43" s="11" t="n">
        <v>0</v>
      </c>
      <c r="Z43" s="11" t="n">
        <v>0</v>
      </c>
      <c r="AA43" s="11" t="n">
        <v>0.5</v>
      </c>
      <c r="AB43" s="11" t="n">
        <v>0</v>
      </c>
    </row>
    <row r="44">
      <c r="A44" s="10" t="inlineStr">
        <is>
          <t>단기차입금 상환</t>
        </is>
      </c>
      <c r="N44" s="11" t="n">
        <v>0</v>
      </c>
      <c r="R44" s="11" t="n">
        <v>-0.5</v>
      </c>
      <c r="V44" s="11" t="n">
        <v>0</v>
      </c>
      <c r="Z44" s="11" t="n">
        <v>0</v>
      </c>
      <c r="AA44" s="11" t="n">
        <v>-0.5</v>
      </c>
      <c r="AB44" s="11" t="n">
        <v>0</v>
      </c>
    </row>
    <row r="45">
      <c r="A45" s="10" t="inlineStr">
        <is>
          <t>장기차입</t>
        </is>
      </c>
      <c r="H45" s="11" t="n">
        <v>0</v>
      </c>
      <c r="J45" s="11" t="n">
        <v>0</v>
      </c>
      <c r="L45" s="11" t="n">
        <v>1.09</v>
      </c>
      <c r="N45" s="11" t="n">
        <v>1.09</v>
      </c>
      <c r="P45" s="11" t="n">
        <v>0</v>
      </c>
      <c r="R45" s="11" t="n">
        <v>0</v>
      </c>
      <c r="Y45" s="11" t="n">
        <v>0</v>
      </c>
      <c r="Z45" s="11" t="n">
        <v>1.09</v>
      </c>
      <c r="AA45" s="11" t="n">
        <v>0</v>
      </c>
    </row>
    <row r="46">
      <c r="A46" s="10" t="inlineStr">
        <is>
          <t>장기차입금 상환</t>
        </is>
      </c>
      <c r="F46" s="11" t="n">
        <v>0</v>
      </c>
      <c r="H46" s="11" t="n">
        <v>0</v>
      </c>
      <c r="J46" s="11" t="n">
        <v>0</v>
      </c>
      <c r="L46" s="11" t="n">
        <v>-0.09080000000000001</v>
      </c>
      <c r="N46" s="11" t="n">
        <v>-0.1998</v>
      </c>
      <c r="P46" s="11" t="n">
        <v>-0.109</v>
      </c>
      <c r="R46" s="11" t="n">
        <v>-0.2179</v>
      </c>
      <c r="T46" s="11" t="n">
        <v>-0.109</v>
      </c>
      <c r="V46" s="11" t="n">
        <v>-0.2179</v>
      </c>
      <c r="W46" s="11" t="n">
        <v>-0.6483</v>
      </c>
      <c r="X46" s="11" t="n">
        <v>0</v>
      </c>
      <c r="Y46" s="11" t="n">
        <v>0</v>
      </c>
      <c r="Z46" s="11" t="n">
        <v>-0.1998</v>
      </c>
      <c r="AA46" s="11" t="n">
        <v>-0.2179</v>
      </c>
      <c r="AB46" s="11" t="n">
        <v>-0.2179</v>
      </c>
    </row>
    <row r="47">
      <c r="A47" s="10" t="inlineStr">
        <is>
          <t>주식 발행</t>
        </is>
      </c>
      <c r="L47" s="11" t="n">
        <v>0</v>
      </c>
      <c r="N47" s="11" t="n">
        <v>0</v>
      </c>
      <c r="P47" s="11" t="n">
        <v>7.6721</v>
      </c>
      <c r="R47" s="11" t="n">
        <v>7.6721</v>
      </c>
      <c r="T47" s="11" t="n">
        <v>0</v>
      </c>
      <c r="V47" s="11" t="n">
        <v>0</v>
      </c>
      <c r="Z47" s="11" t="n">
        <v>0</v>
      </c>
      <c r="AA47" s="11" t="n">
        <v>7.6721</v>
      </c>
      <c r="AB47" s="11" t="n">
        <v>0</v>
      </c>
    </row>
    <row r="48">
      <c r="A48" s="10" t="inlineStr">
        <is>
          <t>자기주식 취득</t>
        </is>
      </c>
      <c r="L48" s="11" t="n">
        <v>0</v>
      </c>
      <c r="N48" s="11" t="n">
        <v>0</v>
      </c>
      <c r="P48" s="11" t="n">
        <v>-0.0001</v>
      </c>
      <c r="R48" s="11" t="n">
        <v>-0.0001</v>
      </c>
      <c r="T48" s="11" t="n">
        <v>0</v>
      </c>
      <c r="V48" s="11" t="n">
        <v>0</v>
      </c>
      <c r="Z48" s="11" t="n">
        <v>0</v>
      </c>
      <c r="AA48" s="11" t="n">
        <v>-0.0001</v>
      </c>
      <c r="AB48" s="11" t="n">
        <v>0</v>
      </c>
    </row>
    <row r="49">
      <c r="A49" s="10" t="inlineStr">
        <is>
          <t>자기주식 처분</t>
        </is>
      </c>
      <c r="D49" s="11" t="n">
        <v>3.1029</v>
      </c>
      <c r="F49" s="11" t="n">
        <v>3.2379</v>
      </c>
      <c r="H49" s="11" t="n">
        <v>0.149</v>
      </c>
      <c r="J49" s="11" t="n">
        <v>0.149</v>
      </c>
      <c r="L49" s="11" t="n">
        <v>0</v>
      </c>
      <c r="N49" s="11" t="n">
        <v>0</v>
      </c>
      <c r="P49" s="11" t="n">
        <v>0</v>
      </c>
      <c r="R49" s="11" t="n">
        <v>0.077</v>
      </c>
      <c r="T49" s="11" t="n">
        <v>0.047</v>
      </c>
      <c r="V49" s="11" t="n">
        <v>0.047</v>
      </c>
      <c r="W49" s="11" t="n">
        <v>0.5014999999999999</v>
      </c>
      <c r="X49" s="11" t="n">
        <v>3.2379</v>
      </c>
      <c r="Y49" s="11" t="n">
        <v>0.149</v>
      </c>
      <c r="Z49" s="11" t="n">
        <v>0</v>
      </c>
      <c r="AA49" s="11" t="n">
        <v>0.077</v>
      </c>
      <c r="AB49" s="11" t="n">
        <v>0.047</v>
      </c>
    </row>
    <row r="50">
      <c r="A50" s="10" t="inlineStr">
        <is>
          <t>재무활동 현금흐름</t>
        </is>
      </c>
      <c r="D50" s="11" t="n">
        <v>3.1029</v>
      </c>
      <c r="F50" s="11" t="n">
        <v>3.2379</v>
      </c>
      <c r="H50" s="11" t="n">
        <v>0.149</v>
      </c>
      <c r="J50" s="11" t="n">
        <v>0.149</v>
      </c>
      <c r="L50" s="11" t="n">
        <v>0.9992</v>
      </c>
      <c r="N50" s="11" t="n">
        <v>0.8902</v>
      </c>
      <c r="P50" s="11" t="n">
        <v>7.563</v>
      </c>
      <c r="R50" s="11" t="n">
        <v>7.531</v>
      </c>
      <c r="T50" s="11" t="n">
        <v>-0.062</v>
      </c>
      <c r="V50" s="11" t="n">
        <v>-0.1709</v>
      </c>
      <c r="W50" s="11" t="n">
        <v>-0.1468</v>
      </c>
      <c r="X50" s="11" t="n">
        <v>3.2379</v>
      </c>
      <c r="Y50" s="11" t="n">
        <v>0.149</v>
      </c>
      <c r="Z50" s="11" t="n">
        <v>0.8902</v>
      </c>
      <c r="AA50" s="11" t="n">
        <v>7.531</v>
      </c>
      <c r="AB50" s="11" t="n">
        <v>-0.1709</v>
      </c>
    </row>
    <row r="51">
      <c r="A51" s="10" t="inlineStr">
        <is>
          <t>현금성자산 환산차이</t>
        </is>
      </c>
      <c r="F51" s="11" t="n">
        <v>0</v>
      </c>
      <c r="J51" s="11" t="n">
        <v>0</v>
      </c>
      <c r="L51" s="11" t="n">
        <v>0</v>
      </c>
      <c r="N51" s="11" t="n">
        <v>-0</v>
      </c>
      <c r="P51" s="11" t="n">
        <v>0</v>
      </c>
      <c r="R51" s="11" t="n">
        <v>0</v>
      </c>
      <c r="T51" s="11" t="n">
        <v>0.0001</v>
      </c>
      <c r="V51" s="11" t="n">
        <v>0.0001</v>
      </c>
      <c r="X51" s="11" t="n">
        <v>0</v>
      </c>
      <c r="Y51" s="11" t="n">
        <v>0</v>
      </c>
      <c r="Z51" s="11" t="n">
        <v>-0</v>
      </c>
      <c r="AA51" s="11" t="n">
        <v>0</v>
      </c>
      <c r="AB51" s="11" t="n">
        <v>0.0001</v>
      </c>
    </row>
    <row r="52">
      <c r="A52" s="10" t="inlineStr">
        <is>
          <t>현금성자산 증감</t>
        </is>
      </c>
      <c r="D52" s="11" t="n">
        <v>2.9417</v>
      </c>
      <c r="F52" s="11" t="n">
        <v>4.0338</v>
      </c>
      <c r="H52" s="11" t="n">
        <v>-0.2085</v>
      </c>
      <c r="J52" s="11" t="n">
        <v>-1.5915</v>
      </c>
      <c r="L52" s="11" t="n">
        <v>0.6473</v>
      </c>
      <c r="N52" s="11" t="n">
        <v>0.5758</v>
      </c>
      <c r="P52" s="11" t="n">
        <v>8.854900000000001</v>
      </c>
      <c r="R52" s="11" t="n">
        <v>10.1693</v>
      </c>
      <c r="T52" s="11" t="n">
        <v>-0.1562</v>
      </c>
      <c r="V52" s="11" t="n">
        <v>2.72</v>
      </c>
      <c r="W52" s="11" t="n">
        <v>-1.1306</v>
      </c>
      <c r="X52" s="11" t="n">
        <v>4.0338</v>
      </c>
      <c r="Y52" s="11" t="n">
        <v>-1.5915</v>
      </c>
      <c r="Z52" s="11" t="n">
        <v>0.5758</v>
      </c>
      <c r="AA52" s="11" t="n">
        <v>10.1693</v>
      </c>
      <c r="AB52" s="11" t="n">
        <v>2.72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40" customWidth="1" min="29" max="29"/>
  </cols>
  <sheetData>
    <row r="1">
      <c r="A1" s="1" t="inlineStr">
        <is>
          <t>사이언스아츠 부문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FY21</t>
        </is>
      </c>
      <c r="X3" s="4" t="inlineStr">
        <is>
          <t>FY22</t>
        </is>
      </c>
      <c r="Y3" s="4" t="inlineStr">
        <is>
          <t>FY23</t>
        </is>
      </c>
      <c r="Z3" s="4" t="inlineStr">
        <is>
          <t>FY24</t>
        </is>
      </c>
      <c r="AA3" s="4" t="inlineStr">
        <is>
          <t>FY25</t>
        </is>
      </c>
      <c r="AB3" s="4" t="inlineStr">
        <is>
          <t>FY26</t>
        </is>
      </c>
      <c r="AC3" s="4" t="inlineStr">
        <is>
          <t>출처</t>
        </is>
      </c>
    </row>
    <row r="4">
      <c r="A4" s="10" t="inlineStr">
        <is>
          <t>BuddycomBusinessReportableSegmentMember · 외부 고객 매출</t>
        </is>
      </c>
      <c r="Y4" s="11" t="n">
        <v>7.6166</v>
      </c>
      <c r="Z4" s="11" t="n">
        <v>11.7936</v>
      </c>
      <c r="AA4" s="11" t="n">
        <v>16.5307</v>
      </c>
      <c r="AB4" s="11" t="n">
        <v>21.3395</v>
      </c>
      <c r="AC4" s="7" t="inlineStr">
        <is>
          <t>결산단신 XBRL(거래소 공시, TDnet·JPX 보관소). 쓴 문서: 2026-10-15, 2026-07-15, 2026-04-14, 2026-01-14 외 16건 — '출처' 시트에 전부</t>
        </is>
      </c>
    </row>
    <row r="5">
      <c r="A5" s="10" t="inlineStr">
        <is>
          <t>ReportableSegmentsMember · 외부 고객 매출</t>
        </is>
      </c>
      <c r="K5" s="11" t="n">
        <v>3.0307</v>
      </c>
      <c r="L5" s="11" t="n">
        <v>2.5389</v>
      </c>
      <c r="M5" s="11" t="n">
        <v>3.1784</v>
      </c>
      <c r="N5" s="11" t="n">
        <v>3.0457</v>
      </c>
      <c r="O5" s="11" t="n">
        <v>3.3965</v>
      </c>
      <c r="P5" s="11" t="n">
        <v>3.881</v>
      </c>
      <c r="Q5" s="11" t="n">
        <v>4.3089</v>
      </c>
      <c r="R5" s="11" t="n">
        <v>4.9443</v>
      </c>
      <c r="S5" s="11" t="n">
        <v>5.1506</v>
      </c>
      <c r="T5" s="11" t="n">
        <v>5.1279</v>
      </c>
      <c r="U5" s="11" t="n">
        <v>5.3671</v>
      </c>
      <c r="V5" s="11" t="n">
        <v>5.694</v>
      </c>
      <c r="Y5" s="11" t="n">
        <v>7.6166</v>
      </c>
      <c r="Z5" s="11" t="n">
        <v>11.7936</v>
      </c>
      <c r="AA5" s="11" t="n">
        <v>16.5307</v>
      </c>
      <c r="AB5" s="11" t="n">
        <v>21.3395</v>
      </c>
    </row>
    <row r="6">
      <c r="A6" s="10" t="inlineStr">
        <is>
          <t>OperatingSegmentsNotIncludedInReportableSegmentsAndOtherRevenueGeneratingBusinessActivitiesMember · 외부 고객 매출</t>
        </is>
      </c>
      <c r="K6" s="11" t="n">
        <v>0.0137</v>
      </c>
      <c r="L6" s="11" t="n">
        <v>0.0137</v>
      </c>
      <c r="M6" s="11" t="n">
        <v>0.0134</v>
      </c>
      <c r="N6" s="11" t="n">
        <v>0.0132</v>
      </c>
      <c r="O6" s="11" t="n">
        <v>0.0132</v>
      </c>
      <c r="P6" s="11" t="n">
        <v>0.0008</v>
      </c>
      <c r="Q6" s="11" t="n">
        <v>0.0008</v>
      </c>
      <c r="R6" s="11" t="n">
        <v>0.0008</v>
      </c>
      <c r="S6" s="11" t="n">
        <v>0.0008</v>
      </c>
      <c r="T6" s="11" t="n">
        <v>0.0008</v>
      </c>
      <c r="U6" s="11" t="n">
        <v>0.0007</v>
      </c>
      <c r="V6" s="11" t="n">
        <v>0.0005</v>
      </c>
      <c r="Y6" s="11" t="n">
        <v>0.102</v>
      </c>
      <c r="Z6" s="11" t="n">
        <v>0.0541</v>
      </c>
      <c r="AA6" s="11" t="n">
        <v>0.0155</v>
      </c>
      <c r="AB6" s="11" t="n">
        <v>0.0027</v>
      </c>
    </row>
    <row r="7">
      <c r="A7" s="10" t="inlineStr">
        <is>
          <t>TotalOfReportableSegmentsAndOthersMember · 외부 고객 매출</t>
        </is>
      </c>
      <c r="K7" s="11" t="n">
        <v>3.0444</v>
      </c>
      <c r="L7" s="11" t="n">
        <v>2.5526</v>
      </c>
      <c r="M7" s="11" t="n">
        <v>3.1918</v>
      </c>
      <c r="N7" s="11" t="n">
        <v>3.0589</v>
      </c>
      <c r="O7" s="11" t="n">
        <v>3.4098</v>
      </c>
      <c r="P7" s="11" t="n">
        <v>3.8818</v>
      </c>
      <c r="Q7" s="11" t="n">
        <v>4.3096</v>
      </c>
      <c r="R7" s="11" t="n">
        <v>4.945</v>
      </c>
      <c r="S7" s="11" t="n">
        <v>5.1513</v>
      </c>
      <c r="T7" s="11" t="n">
        <v>5.1287</v>
      </c>
      <c r="U7" s="11" t="n">
        <v>5.3677</v>
      </c>
      <c r="V7" s="11" t="n">
        <v>5.6945</v>
      </c>
      <c r="Y7" s="11" t="n">
        <v>7.7186</v>
      </c>
      <c r="Z7" s="11" t="n">
        <v>11.8477</v>
      </c>
      <c r="AA7" s="11" t="n">
        <v>16.5462</v>
      </c>
      <c r="AB7" s="11" t="n">
        <v>21.3422</v>
      </c>
    </row>
    <row r="8">
      <c r="A8" s="10" t="inlineStr">
        <is>
          <t>ReconcilingItemsMember · 외부 고객 매출</t>
        </is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  <c r="V8" s="11" t="n">
        <v>0</v>
      </c>
      <c r="Y8" s="11" t="n">
        <v>0</v>
      </c>
      <c r="Z8" s="11" t="n">
        <v>0</v>
      </c>
      <c r="AA8" s="11" t="n">
        <v>0</v>
      </c>
      <c r="AB8" s="11" t="n">
        <v>0</v>
      </c>
    </row>
    <row r="9">
      <c r="A9" s="10" t="inlineStr">
        <is>
          <t>EntityTotalMember · 외부 고객 매출</t>
        </is>
      </c>
      <c r="O9" s="11" t="n">
        <v>3.4098</v>
      </c>
      <c r="S9" s="11" t="n">
        <v>5.1513</v>
      </c>
    </row>
    <row r="10">
      <c r="A10" s="10" t="inlineStr">
        <is>
          <t>BuddycomBusinessReportableSegmentMember · 부문 간 내부매출·대체</t>
        </is>
      </c>
      <c r="K10" s="11" t="n">
        <v>0</v>
      </c>
      <c r="O10" s="11" t="n">
        <v>0</v>
      </c>
      <c r="S10" s="11" t="n">
        <v>0</v>
      </c>
    </row>
    <row r="11">
      <c r="A11" s="5" t="inlineStr">
        <is>
          <t>외부 고객 매출</t>
        </is>
      </c>
      <c r="K11" s="6" t="n">
        <v>3.0444</v>
      </c>
      <c r="L11" s="6" t="n">
        <v>2.5526</v>
      </c>
      <c r="M11" s="6" t="n">
        <v>3.1918</v>
      </c>
      <c r="N11" s="6" t="n">
        <v>3.0589</v>
      </c>
      <c r="O11" s="6" t="n">
        <v>3.4098</v>
      </c>
      <c r="P11" s="6" t="n">
        <v>3.8818</v>
      </c>
      <c r="Q11" s="6" t="n">
        <v>4.3096</v>
      </c>
      <c r="R11" s="6" t="n">
        <v>4.945</v>
      </c>
      <c r="Y11" s="6" t="n">
        <v>7.7186</v>
      </c>
      <c r="Z11" s="6" t="n">
        <v>11.8477</v>
      </c>
      <c r="AA11" s="6" t="n">
        <v>16.5462</v>
      </c>
      <c r="AB11" s="6" t="n">
        <v>21.3422</v>
      </c>
    </row>
    <row r="12">
      <c r="A12" s="10" t="inlineStr">
        <is>
          <t>BuddycomBusinessReportableSegmentMember · 부문 간 내부매출·대체</t>
        </is>
      </c>
      <c r="Y12" s="11" t="n">
        <v>0</v>
      </c>
      <c r="Z12" s="11" t="n">
        <v>0</v>
      </c>
      <c r="AA12" s="11" t="n">
        <v>0</v>
      </c>
      <c r="AB12" s="11" t="n">
        <v>0</v>
      </c>
    </row>
    <row r="13">
      <c r="A13" s="10" t="inlineStr">
        <is>
          <t>ReportableSegmentsMember · 부문 간 내부매출·대체</t>
        </is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</row>
    <row r="14">
      <c r="A14" s="10" t="inlineStr">
        <is>
          <t>OperatingSegmentsNotIncludedInReportableSegmentsAndOtherRevenueGeneratingBusinessActivitiesMember · 부문 간 내부매출·대체</t>
        </is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  <c r="V14" s="11" t="n">
        <v>0</v>
      </c>
      <c r="Y14" s="11" t="n">
        <v>0</v>
      </c>
      <c r="Z14" s="11" t="n">
        <v>0</v>
      </c>
      <c r="AA14" s="11" t="n">
        <v>0</v>
      </c>
      <c r="AB14" s="11" t="n">
        <v>0</v>
      </c>
    </row>
    <row r="15">
      <c r="A15" s="10" t="inlineStr">
        <is>
          <t>TotalOfReportableSegmentsAndOthersMember · 부문 간 내부매출·대체</t>
        </is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</row>
    <row r="16">
      <c r="A16" s="10" t="inlineStr">
        <is>
          <t>ReconcilingItemsMember · 부문 간 내부매출·대체</t>
        </is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  <c r="V16" s="11" t="n">
        <v>0</v>
      </c>
      <c r="Y16" s="11" t="n">
        <v>0</v>
      </c>
      <c r="Z16" s="11" t="n">
        <v>0</v>
      </c>
      <c r="AA16" s="11" t="n">
        <v>0</v>
      </c>
      <c r="AB16" s="11" t="n">
        <v>0</v>
      </c>
    </row>
    <row r="17">
      <c r="A17" s="10" t="inlineStr">
        <is>
          <t>EntityTotalMember · 부문 간 내부매출·대체</t>
        </is>
      </c>
      <c r="O17" s="11" t="n">
        <v>0</v>
      </c>
      <c r="S17" s="11" t="n">
        <v>0</v>
      </c>
    </row>
    <row r="18">
      <c r="A18" s="10" t="inlineStr">
        <is>
          <t>BuddycomBusinessReportableSegmentMember · 계</t>
        </is>
      </c>
      <c r="K18" s="11" t="n">
        <v>3.0307</v>
      </c>
      <c r="O18" s="11" t="n">
        <v>3.3965</v>
      </c>
      <c r="S18" s="11" t="n">
        <v>5.1506</v>
      </c>
    </row>
    <row r="19">
      <c r="A19" s="10" t="inlineStr">
        <is>
          <t>부문 간 내부매출·대체</t>
        </is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Y19" s="11" t="n">
        <v>0</v>
      </c>
      <c r="Z19" s="11" t="n">
        <v>0</v>
      </c>
      <c r="AA19" s="11" t="n">
        <v>0</v>
      </c>
      <c r="AB19" s="11" t="n">
        <v>0</v>
      </c>
    </row>
    <row r="20">
      <c r="A20" s="10" t="inlineStr">
        <is>
          <t>BuddycomBusinessReportableSegmentMember · 계</t>
        </is>
      </c>
      <c r="Y20" s="11" t="n">
        <v>7.6166</v>
      </c>
      <c r="Z20" s="11" t="n">
        <v>11.7936</v>
      </c>
      <c r="AA20" s="11" t="n">
        <v>16.5307</v>
      </c>
      <c r="AB20" s="11" t="n">
        <v>21.3395</v>
      </c>
    </row>
    <row r="21">
      <c r="A21" s="10" t="inlineStr">
        <is>
          <t>ReportableSegmentsMember · 계</t>
        </is>
      </c>
      <c r="K21" s="11" t="n">
        <v>3.0307</v>
      </c>
      <c r="L21" s="11" t="n">
        <v>2.5389</v>
      </c>
      <c r="M21" s="11" t="n">
        <v>3.1784</v>
      </c>
      <c r="N21" s="11" t="n">
        <v>3.0457</v>
      </c>
      <c r="O21" s="11" t="n">
        <v>3.3965</v>
      </c>
      <c r="P21" s="11" t="n">
        <v>3.881</v>
      </c>
      <c r="Q21" s="11" t="n">
        <v>4.3089</v>
      </c>
      <c r="R21" s="11" t="n">
        <v>4.9443</v>
      </c>
      <c r="S21" s="11" t="n">
        <v>5.1506</v>
      </c>
      <c r="T21" s="11" t="n">
        <v>5.1279</v>
      </c>
      <c r="U21" s="11" t="n">
        <v>5.3671</v>
      </c>
      <c r="V21" s="11" t="n">
        <v>5.694</v>
      </c>
      <c r="Y21" s="11" t="n">
        <v>7.6166</v>
      </c>
      <c r="Z21" s="11" t="n">
        <v>11.7936</v>
      </c>
      <c r="AA21" s="11" t="n">
        <v>16.5307</v>
      </c>
      <c r="AB21" s="11" t="n">
        <v>21.3395</v>
      </c>
    </row>
    <row r="22">
      <c r="A22" s="10" t="inlineStr">
        <is>
          <t>OperatingSegmentsNotIncludedInReportableSegmentsAndOtherRevenueGeneratingBusinessActivitiesMember · 계</t>
        </is>
      </c>
      <c r="K22" s="11" t="n">
        <v>0.0137</v>
      </c>
      <c r="L22" s="11" t="n">
        <v>0.0137</v>
      </c>
      <c r="M22" s="11" t="n">
        <v>0.0134</v>
      </c>
      <c r="N22" s="11" t="n">
        <v>0.0132</v>
      </c>
      <c r="O22" s="11" t="n">
        <v>0.0132</v>
      </c>
      <c r="P22" s="11" t="n">
        <v>0.0008</v>
      </c>
      <c r="Q22" s="11" t="n">
        <v>0.0008</v>
      </c>
      <c r="R22" s="11" t="n">
        <v>0.0008</v>
      </c>
      <c r="S22" s="11" t="n">
        <v>0.0008</v>
      </c>
      <c r="T22" s="11" t="n">
        <v>0.0008</v>
      </c>
      <c r="U22" s="11" t="n">
        <v>0.0007</v>
      </c>
      <c r="V22" s="11" t="n">
        <v>0.0005</v>
      </c>
      <c r="Y22" s="11" t="n">
        <v>0.102</v>
      </c>
      <c r="Z22" s="11" t="n">
        <v>0.0541</v>
      </c>
      <c r="AA22" s="11" t="n">
        <v>0.0155</v>
      </c>
      <c r="AB22" s="11" t="n">
        <v>0.0027</v>
      </c>
    </row>
    <row r="23">
      <c r="A23" s="10" t="inlineStr">
        <is>
          <t>TotalOfReportableSegmentsAndOthersMember · 계</t>
        </is>
      </c>
      <c r="K23" s="11" t="n">
        <v>3.0444</v>
      </c>
      <c r="L23" s="11" t="n">
        <v>2.5526</v>
      </c>
      <c r="M23" s="11" t="n">
        <v>3.1918</v>
      </c>
      <c r="N23" s="11" t="n">
        <v>3.0589</v>
      </c>
      <c r="O23" s="11" t="n">
        <v>3.4098</v>
      </c>
      <c r="P23" s="11" t="n">
        <v>3.8818</v>
      </c>
      <c r="Q23" s="11" t="n">
        <v>4.3096</v>
      </c>
      <c r="R23" s="11" t="n">
        <v>4.945</v>
      </c>
      <c r="S23" s="11" t="n">
        <v>5.1513</v>
      </c>
      <c r="T23" s="11" t="n">
        <v>5.1287</v>
      </c>
      <c r="U23" s="11" t="n">
        <v>5.3677</v>
      </c>
      <c r="V23" s="11" t="n">
        <v>5.6945</v>
      </c>
      <c r="Y23" s="11" t="n">
        <v>7.7186</v>
      </c>
      <c r="Z23" s="11" t="n">
        <v>11.8477</v>
      </c>
      <c r="AA23" s="11" t="n">
        <v>16.5462</v>
      </c>
      <c r="AB23" s="11" t="n">
        <v>21.3422</v>
      </c>
    </row>
    <row r="24">
      <c r="A24" s="10" t="inlineStr">
        <is>
          <t>ReconcilingItemsMember · 계</t>
        </is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v>0</v>
      </c>
      <c r="U24" s="11" t="n">
        <v>0</v>
      </c>
      <c r="V24" s="11" t="n">
        <v>0</v>
      </c>
      <c r="Y24" s="11" t="n">
        <v>0</v>
      </c>
      <c r="Z24" s="11" t="n">
        <v>0</v>
      </c>
      <c r="AA24" s="11" t="n">
        <v>0</v>
      </c>
      <c r="AB24" s="11" t="n">
        <v>0</v>
      </c>
    </row>
    <row r="25">
      <c r="A25" s="10" t="inlineStr">
        <is>
          <t>EntityTotalMember · 계</t>
        </is>
      </c>
      <c r="O25" s="11" t="n">
        <v>3.4098</v>
      </c>
      <c r="S25" s="11" t="n">
        <v>5.1513</v>
      </c>
    </row>
    <row r="26">
      <c r="A26" s="10" t="inlineStr">
        <is>
          <t>BuddycomBusinessReportableSegmentMember · 부문 이익</t>
        </is>
      </c>
      <c r="K26" s="11" t="n">
        <v>-0.2165</v>
      </c>
      <c r="O26" s="11" t="n">
        <v>0.0747</v>
      </c>
      <c r="S26" s="11" t="n">
        <v>0.5649999999999999</v>
      </c>
    </row>
    <row r="27">
      <c r="A27" s="5" t="inlineStr">
        <is>
          <t>계</t>
        </is>
      </c>
      <c r="K27" s="6" t="n">
        <v>3.0444</v>
      </c>
      <c r="L27" s="6" t="n">
        <v>2.5526</v>
      </c>
      <c r="M27" s="6" t="n">
        <v>3.1918</v>
      </c>
      <c r="N27" s="6" t="n">
        <v>3.0589</v>
      </c>
      <c r="O27" s="6" t="n">
        <v>3.4098</v>
      </c>
      <c r="P27" s="6" t="n">
        <v>3.8818</v>
      </c>
      <c r="Q27" s="6" t="n">
        <v>4.3096</v>
      </c>
      <c r="R27" s="6" t="n">
        <v>4.945</v>
      </c>
      <c r="Y27" s="6" t="n">
        <v>7.7186</v>
      </c>
      <c r="Z27" s="6" t="n">
        <v>11.8477</v>
      </c>
      <c r="AA27" s="6" t="n">
        <v>16.5462</v>
      </c>
      <c r="AB27" s="6" t="n">
        <v>21.3422</v>
      </c>
    </row>
    <row r="28">
      <c r="A28" s="10" t="inlineStr">
        <is>
          <t>BuddycomBusinessReportableSegmentMember · 부문 이익</t>
        </is>
      </c>
      <c r="Y28" s="11" t="n">
        <v>-0.7507</v>
      </c>
      <c r="Z28" s="11" t="n">
        <v>-0.3579</v>
      </c>
      <c r="AA28" s="11" t="n">
        <v>1.0594</v>
      </c>
      <c r="AB28" s="11" t="n">
        <v>2.6178</v>
      </c>
    </row>
    <row r="29">
      <c r="A29" s="10" t="inlineStr">
        <is>
          <t>ReportableSegmentsMember · 부문 이익</t>
        </is>
      </c>
      <c r="K29" s="11" t="n">
        <v>-0.2165</v>
      </c>
      <c r="L29" s="11" t="n">
        <v>0.0396</v>
      </c>
      <c r="M29" s="11" t="n">
        <v>-0.2129</v>
      </c>
      <c r="N29" s="11" t="n">
        <v>0.0319</v>
      </c>
      <c r="O29" s="11" t="n">
        <v>0.0747</v>
      </c>
      <c r="P29" s="11" t="n">
        <v>0.2382</v>
      </c>
      <c r="Q29" s="11" t="n">
        <v>0.2474</v>
      </c>
      <c r="R29" s="11" t="n">
        <v>0.4991</v>
      </c>
      <c r="S29" s="11" t="n">
        <v>0.5649999999999999</v>
      </c>
      <c r="T29" s="11" t="n">
        <v>0.483</v>
      </c>
      <c r="U29" s="11" t="n">
        <v>0.4426</v>
      </c>
      <c r="V29" s="11" t="n">
        <v>1.1273</v>
      </c>
      <c r="Y29" s="11" t="n">
        <v>-0.7507</v>
      </c>
      <c r="Z29" s="11" t="n">
        <v>-0.3579</v>
      </c>
      <c r="AA29" s="11" t="n">
        <v>1.0594</v>
      </c>
      <c r="AB29" s="11" t="n">
        <v>2.6178</v>
      </c>
    </row>
    <row r="30">
      <c r="A30" s="10" t="inlineStr">
        <is>
          <t>OperatingSegmentsNotIncludedInReportableSegmentsAndOtherRevenueGeneratingBusinessActivitiesMember · 부문 이익</t>
        </is>
      </c>
      <c r="K30" s="11" t="n">
        <v>0.0114</v>
      </c>
      <c r="L30" s="11" t="n">
        <v>0.0112</v>
      </c>
      <c r="M30" s="11" t="n">
        <v>0.0114</v>
      </c>
      <c r="N30" s="11" t="n">
        <v>0.0112</v>
      </c>
      <c r="O30" s="11" t="n">
        <v>0.0114</v>
      </c>
      <c r="P30" s="11" t="n">
        <v>0.0005</v>
      </c>
      <c r="Q30" s="11" t="n">
        <v>0.0005999999999999999</v>
      </c>
      <c r="R30" s="11" t="n">
        <v>0.0007</v>
      </c>
      <c r="S30" s="11" t="n">
        <v>0.0005999999999999999</v>
      </c>
      <c r="T30" s="11" t="n">
        <v>0.0005999999999999999</v>
      </c>
      <c r="U30" s="11" t="n">
        <v>0.0005</v>
      </c>
      <c r="V30" s="11" t="n">
        <v>0.0004</v>
      </c>
      <c r="Y30" s="11" t="n">
        <v>0.0799</v>
      </c>
      <c r="Z30" s="11" t="n">
        <v>0.0451</v>
      </c>
      <c r="AA30" s="11" t="n">
        <v>0.0132</v>
      </c>
      <c r="AB30" s="11" t="n">
        <v>0.0022</v>
      </c>
    </row>
    <row r="31">
      <c r="A31" s="10" t="inlineStr">
        <is>
          <t>TotalOfReportableSegmentsAndOthersMember · 부문 이익</t>
        </is>
      </c>
      <c r="K31" s="11" t="n">
        <v>-0.2052</v>
      </c>
      <c r="L31" s="11" t="n">
        <v>0.0508</v>
      </c>
      <c r="M31" s="11" t="n">
        <v>-0.2015</v>
      </c>
      <c r="N31" s="11" t="n">
        <v>0.0431</v>
      </c>
      <c r="O31" s="11" t="n">
        <v>0.0861</v>
      </c>
      <c r="P31" s="11" t="n">
        <v>0.2386</v>
      </c>
      <c r="Q31" s="11" t="n">
        <v>0.248</v>
      </c>
      <c r="R31" s="11" t="n">
        <v>0.4999</v>
      </c>
      <c r="S31" s="11" t="n">
        <v>0.5656</v>
      </c>
      <c r="T31" s="11" t="n">
        <v>0.4837</v>
      </c>
      <c r="U31" s="11" t="n">
        <v>0.4431</v>
      </c>
      <c r="V31" s="11" t="n">
        <v>1.1277</v>
      </c>
      <c r="Y31" s="11" t="n">
        <v>-0.6708</v>
      </c>
      <c r="Z31" s="11" t="n">
        <v>-0.3127</v>
      </c>
      <c r="AA31" s="11" t="n">
        <v>1.0726</v>
      </c>
      <c r="AB31" s="11" t="n">
        <v>2.62</v>
      </c>
    </row>
    <row r="32">
      <c r="A32" s="10" t="inlineStr">
        <is>
          <t>ReconcilingItemsMember · 부문 이익</t>
        </is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</v>
      </c>
      <c r="T32" s="11" t="n">
        <v>0</v>
      </c>
      <c r="U32" s="11" t="n">
        <v>0</v>
      </c>
      <c r="V32" s="11" t="n">
        <v>0</v>
      </c>
      <c r="Y32" s="11" t="n">
        <v>0</v>
      </c>
      <c r="Z32" s="11" t="n">
        <v>0</v>
      </c>
      <c r="AA32" s="11" t="n">
        <v>0</v>
      </c>
      <c r="AB32" s="11" t="n">
        <v>0</v>
      </c>
    </row>
    <row r="33">
      <c r="A33" s="10" t="inlineStr">
        <is>
          <t>EntityTotalMember · 부문 이익</t>
        </is>
      </c>
      <c r="O33" s="11" t="n">
        <v>0.0861</v>
      </c>
      <c r="S33" s="11" t="n">
        <v>0.5656</v>
      </c>
    </row>
    <row r="34">
      <c r="A34" s="5" t="inlineStr">
        <is>
          <t>부문 이익</t>
        </is>
      </c>
      <c r="K34" s="6" t="n">
        <v>-0.2052</v>
      </c>
      <c r="L34" s="6" t="n">
        <v>0.0508</v>
      </c>
      <c r="M34" s="6" t="n">
        <v>-0.2015</v>
      </c>
      <c r="N34" s="6" t="n">
        <v>0.0431</v>
      </c>
      <c r="O34" s="6" t="n">
        <v>0.0861</v>
      </c>
      <c r="P34" s="6" t="n">
        <v>0.2386</v>
      </c>
      <c r="Q34" s="6" t="n">
        <v>0.248</v>
      </c>
      <c r="R34" s="6" t="n">
        <v>0.4999</v>
      </c>
      <c r="Y34" s="6" t="n">
        <v>-0.6708</v>
      </c>
      <c r="Z34" s="6" t="n">
        <v>-0.3127</v>
      </c>
      <c r="AA34" s="6" t="n">
        <v>1.0726</v>
      </c>
      <c r="AB34" s="6" t="n">
        <v>2.62</v>
      </c>
    </row>
    <row r="35">
      <c r="A35" s="10" t="inlineStr">
        <is>
          <t>BuddycomBusinessReportableSegmentMember · 감가상각비</t>
        </is>
      </c>
      <c r="Y35" s="11" t="n">
        <v>0.2138</v>
      </c>
      <c r="Z35" s="11" t="n">
        <v>0.1358</v>
      </c>
      <c r="AA35" s="11" t="n">
        <v>0.1587</v>
      </c>
      <c r="AB35" s="11" t="n">
        <v>0.2864</v>
      </c>
    </row>
    <row r="36">
      <c r="A36" s="10" t="inlineStr">
        <is>
          <t>ReportableSegmentsMember · 감가상각비</t>
        </is>
      </c>
      <c r="Y36" s="11" t="n">
        <v>0.2138</v>
      </c>
      <c r="Z36" s="11" t="n">
        <v>0.1358</v>
      </c>
      <c r="AA36" s="11" t="n">
        <v>0.1587</v>
      </c>
      <c r="AB36" s="11" t="n">
        <v>0.2864</v>
      </c>
    </row>
    <row r="37">
      <c r="A37" s="10" t="inlineStr">
        <is>
          <t>OperatingSegmentsNotIncludedInReportableSegmentsAndOtherRevenueGeneratingBusinessActivitiesMember · 감가상각비</t>
        </is>
      </c>
      <c r="Y37" s="11" t="n">
        <v>0.0028</v>
      </c>
      <c r="Z37" s="11" t="n">
        <v>0.0005999999999999999</v>
      </c>
      <c r="AA37" s="11" t="n">
        <v>0.0001</v>
      </c>
      <c r="AB37" s="11" t="n">
        <v>0</v>
      </c>
    </row>
    <row r="38">
      <c r="A38" s="10" t="inlineStr">
        <is>
          <t>TotalOfReportableSegmentsAndOthersMember · 감가상각비</t>
        </is>
      </c>
      <c r="Y38" s="11" t="n">
        <v>0.2167</v>
      </c>
      <c r="Z38" s="11" t="n">
        <v>0.1364</v>
      </c>
      <c r="AA38" s="11" t="n">
        <v>0.1588</v>
      </c>
      <c r="AB38" s="11" t="n">
        <v>0.2864</v>
      </c>
    </row>
    <row r="39">
      <c r="A39" s="10" t="inlineStr">
        <is>
          <t>ReconcilingItemsMember · 감가상각비</t>
        </is>
      </c>
      <c r="Y39" s="11" t="n">
        <v>0</v>
      </c>
      <c r="Z39" s="11" t="n">
        <v>0</v>
      </c>
      <c r="AA39" s="11" t="n">
        <v>0</v>
      </c>
      <c r="AB39" s="11" t="n">
        <v>0</v>
      </c>
    </row>
    <row r="40">
      <c r="A40" s="10" t="inlineStr">
        <is>
          <t>감가상각비</t>
        </is>
      </c>
      <c r="Y40" s="11" t="n">
        <v>0.2167</v>
      </c>
      <c r="Z40" s="11" t="n">
        <v>0.1364</v>
      </c>
      <c r="AA40" s="11" t="n">
        <v>0.1588</v>
      </c>
      <c r="AB40" s="11" t="n">
        <v>0.2864</v>
      </c>
    </row>
    <row r="41">
      <c r="A41" s="10" t="inlineStr">
        <is>
          <t>BuddycomBusinessReportableSegmentMember · 유형·무형자산 증가액</t>
        </is>
      </c>
      <c r="Y41" s="11" t="n">
        <v>0</v>
      </c>
      <c r="Z41" s="11" t="n">
        <v>0</v>
      </c>
      <c r="AA41" s="11" t="n">
        <v>0</v>
      </c>
      <c r="AB41" s="11" t="n">
        <v>0</v>
      </c>
    </row>
    <row r="42">
      <c r="A42" s="10" t="inlineStr">
        <is>
          <t>ReportableSegmentsMember · 유형·무형자산 증가액</t>
        </is>
      </c>
      <c r="Y42" s="11" t="n">
        <v>0</v>
      </c>
      <c r="Z42" s="11" t="n">
        <v>0</v>
      </c>
      <c r="AA42" s="11" t="n">
        <v>0</v>
      </c>
      <c r="AB42" s="11" t="n">
        <v>0</v>
      </c>
    </row>
    <row r="43">
      <c r="A43" s="10" t="inlineStr">
        <is>
          <t>OperatingSegmentsNotIncludedInReportableSegmentsAndOtherRevenueGeneratingBusinessActivitiesMember · 유형·무형자산 증가액</t>
        </is>
      </c>
      <c r="Y43" s="11" t="n">
        <v>0</v>
      </c>
      <c r="Z43" s="11" t="n">
        <v>0</v>
      </c>
      <c r="AA43" s="11" t="n">
        <v>0</v>
      </c>
      <c r="AB43" s="11" t="n">
        <v>0</v>
      </c>
    </row>
    <row r="44">
      <c r="A44" s="10" t="inlineStr">
        <is>
          <t>TotalOfReportableSegmentsAndOthersMember · 유형·무형자산 증가액</t>
        </is>
      </c>
      <c r="Y44" s="11" t="n">
        <v>0</v>
      </c>
      <c r="Z44" s="11" t="n">
        <v>0</v>
      </c>
      <c r="AA44" s="11" t="n">
        <v>0</v>
      </c>
      <c r="AB44" s="11" t="n">
        <v>0</v>
      </c>
    </row>
    <row r="45">
      <c r="A45" s="10" t="inlineStr">
        <is>
          <t>ReconcilingItemsMember · 유형·무형자산 증가액</t>
        </is>
      </c>
      <c r="Y45" s="11" t="n">
        <v>1.0407</v>
      </c>
      <c r="Z45" s="11" t="n">
        <v>0.09470000000000001</v>
      </c>
      <c r="AA45" s="11" t="n">
        <v>0.1686</v>
      </c>
      <c r="AB45" s="11" t="n">
        <v>0.0409</v>
      </c>
    </row>
    <row r="46">
      <c r="A46" s="10" t="inlineStr">
        <is>
          <t>유형·무형자산 증가액</t>
        </is>
      </c>
      <c r="Y46" s="11" t="n">
        <v>1.0407</v>
      </c>
      <c r="Z46" s="11" t="n">
        <v>0.09470000000000001</v>
      </c>
      <c r="AA46" s="11" t="n">
        <v>0.1686</v>
      </c>
      <c r="AB46" s="11" t="n">
        <v>0.0409</v>
      </c>
    </row>
    <row r="47">
      <c r="A47" s="10" t="inlineStr">
        <is>
          <t>BuddycomBusinessReportableSegmentMember · 외부 고객 매출</t>
        </is>
      </c>
      <c r="K47" s="11" t="n">
        <v>3.0307</v>
      </c>
      <c r="O47" s="11" t="n">
        <v>3.3965</v>
      </c>
      <c r="S47" s="11" t="n">
        <v>5.1506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2" t="inlineStr">
        <is>
          <t>공시일</t>
        </is>
      </c>
      <c r="B3" s="12" t="inlineStr">
        <is>
          <t>문서</t>
        </is>
      </c>
      <c r="C3" s="12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https://www2.jpx.co.jp/disc/44120/140120261014550912.pdf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https://www2.jpx.co.jp/disc/44120/140120260714593441.pdf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https://www2.jpx.co.jp/disc/44120/140120260413502987.pdf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https://www2.jpx.co.jp/disc/44120/140120260114533123.pdf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https://www2.jpx.co.jp/disc/44120/140120251015573534.pdf</t>
        </is>
      </c>
    </row>
    <row r="9">
      <c r="A9" t="inlineStr">
        <is>
          <t>2025-07-15</t>
        </is>
      </c>
      <c r="B9" t="inlineStr">
        <is>
          <t>2025년 8월 결산기 ３분기 결산단신</t>
        </is>
      </c>
      <c r="C9" t="inlineStr">
        <is>
          <t>https://www2.jpx.co.jp/disc/44120/140120250714514128.pdf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https://www2.jpx.co.jp/disc/44120/140120250411513833.pdf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https://www2.jpx.co.jp/disc/44120/140120250110549614.pdf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https://www2.jpx.co.jp/disc/44120/140120241011597502.pdf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https://www2.jpx.co.jp/disc/44120/140120240711547988.pdf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https://www2.jpx.co.jp/disc/44120/140120240410568555.pdf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https://www2.jpx.co.jp/disc/44120/140120240111513661.pdf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https://www2.jpx.co.jp/disc/44120/140120231012566163.pdf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https://www2.jpx.co.jp/disc/44120/140120230713522053.pdf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https://www2.jpx.co.jp/disc/44120/140120230413546892.pdf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https://www2.jpx.co.jp/disc/44120/140120230112588645.pdf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https://www2.jpx.co.jp/disc/44120/140120221013544210.pdf</t>
        </is>
      </c>
    </row>
    <row r="21">
      <c r="A21" t="inlineStr">
        <is>
          <t>2022-07-15</t>
        </is>
      </c>
      <c r="B21" t="inlineStr">
        <is>
          <t>2022년 8월 결산기 ３분기 결산단신</t>
        </is>
      </c>
      <c r="C21" t="inlineStr">
        <is>
          <t>https://www2.jpx.co.jp/disc/44120/140120220714599776.pdf</t>
        </is>
      </c>
    </row>
    <row r="22">
      <c r="A22" t="inlineStr">
        <is>
          <t>2022-04-14</t>
        </is>
      </c>
      <c r="B22" t="inlineStr">
        <is>
          <t>2022년 8월 결산기 ２분기 결산단신</t>
        </is>
      </c>
      <c r="C22" t="inlineStr">
        <is>
          <t>https://www2.jpx.co.jp/disc/44120/140120220413521461.pdf</t>
        </is>
      </c>
    </row>
    <row r="23">
      <c r="A23" t="inlineStr">
        <is>
          <t>2022-01-14</t>
        </is>
      </c>
      <c r="B23" t="inlineStr">
        <is>
          <t>2022년 8월 결산기 １분기 결산단신</t>
        </is>
      </c>
      <c r="C23" t="inlineStr">
        <is>
          <t>https://www2.jpx.co.jp/disc/44120/140120220113567580.pdf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2026-10-25T06:59:49Z</dcterms:created>
  <dcterms:modified xmlns:dcterms="http://purl.org/dc/terms/" xmlns:xsi="http://www.w3.org/2001/XMLSchema-instance" xsi:type="dcterms:W3CDTF">2026-10-25T06:59:50Z</dcterms:modified>
</cp:coreProperties>
</file>