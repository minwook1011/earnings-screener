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2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사이언스아츠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8월 결산 · 일본 기준 · 2026.4Q = 2026년 8월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2024.1Q</t>
        </is>
      </c>
      <c r="D3" s="5" t="inlineStr">
        <is>
          <t>2024.2Q</t>
        </is>
      </c>
      <c r="E3" s="5" t="inlineStr">
        <is>
          <t>2024.3Q</t>
        </is>
      </c>
      <c r="F3" s="5" t="inlineStr">
        <is>
          <t>2024.4Q</t>
        </is>
      </c>
      <c r="G3" s="5" t="inlineStr">
        <is>
          <t>2025.1Q</t>
        </is>
      </c>
      <c r="H3" s="5" t="inlineStr">
        <is>
          <t>2025.2Q</t>
        </is>
      </c>
      <c r="I3" s="5" t="inlineStr">
        <is>
          <t>2025.3Q</t>
        </is>
      </c>
      <c r="J3" s="5" t="inlineStr">
        <is>
          <t>2025.4Q</t>
        </is>
      </c>
      <c r="K3" s="5" t="inlineStr">
        <is>
          <t>2026.1Q</t>
        </is>
      </c>
      <c r="L3" s="5" t="inlineStr">
        <is>
          <t>2026.2Q</t>
        </is>
      </c>
      <c r="M3" s="5" t="inlineStr">
        <is>
          <t>2026.3Q</t>
        </is>
      </c>
      <c r="N3" s="5" t="inlineStr">
        <is>
          <t>2026.4Q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304.444</v>
      </c>
      <c r="D4" s="12" t="n">
        <v>255.263</v>
      </c>
      <c r="E4" s="12" t="n">
        <v>319.179</v>
      </c>
      <c r="F4" s="12" t="n">
        <v>305.889</v>
      </c>
      <c r="G4" s="12" t="n">
        <v>340.978</v>
      </c>
      <c r="H4" s="12" t="n">
        <v>388.176</v>
      </c>
      <c r="I4" s="12" t="n">
        <v>430.963</v>
      </c>
      <c r="J4" s="12" t="n">
        <v>494.503</v>
      </c>
      <c r="K4" s="12" t="n">
        <v>515.133</v>
      </c>
      <c r="L4" s="12" t="n">
        <v>512.866</v>
      </c>
      <c r="M4" s="12" t="n">
        <v>536.773</v>
      </c>
      <c r="N4" s="12" t="n">
        <v>569.446</v>
      </c>
      <c r="O4" s="11" t="n"/>
      <c r="P4" s="12" t="n"/>
      <c r="Q4" s="12" t="n"/>
      <c r="R4" s="12" t="n"/>
      <c r="S4" s="12" t="n">
        <v>365.992</v>
      </c>
      <c r="T4" s="12" t="n">
        <v>659.9880000000001</v>
      </c>
      <c r="U4" s="12" t="n">
        <v>771.862</v>
      </c>
      <c r="V4" s="12" t="n">
        <v>1184.775</v>
      </c>
      <c r="W4" s="12" t="n">
        <v>1654.62</v>
      </c>
      <c r="X4" s="12" t="n">
        <v>2134.218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BuddycomBusinessReportableSegmentMember</t>
        </is>
      </c>
      <c r="B7" s="10" t="n"/>
      <c r="C7" s="19" t="n">
        <v>303.07</v>
      </c>
      <c r="D7" s="20" t="n">
        <v>253.889</v>
      </c>
      <c r="E7" s="20" t="n">
        <v>317.837</v>
      </c>
      <c r="F7" s="20" t="n">
        <v>304.565</v>
      </c>
      <c r="G7" s="20" t="n">
        <v>339.653</v>
      </c>
      <c r="H7" s="20" t="n">
        <v>388.101</v>
      </c>
      <c r="I7" s="20" t="n">
        <v>430.888</v>
      </c>
      <c r="J7" s="20" t="n">
        <v>494.428</v>
      </c>
      <c r="K7" s="20" t="n">
        <v>515.058</v>
      </c>
      <c r="L7" s="20" t="n">
        <v>512.7910000000001</v>
      </c>
      <c r="M7" s="20" t="n">
        <v>536.706</v>
      </c>
      <c r="N7" s="20" t="n">
        <v>569.396</v>
      </c>
      <c r="O7" s="19" t="n"/>
      <c r="P7" s="20" t="n"/>
      <c r="Q7" s="20" t="n"/>
      <c r="R7" s="20" t="n"/>
      <c r="S7" s="20" t="n"/>
      <c r="T7" s="20" t="n"/>
      <c r="U7" s="20" t="n">
        <v>761.664</v>
      </c>
      <c r="V7" s="20" t="n">
        <v>1179.361</v>
      </c>
      <c r="W7" s="20" t="n">
        <v>1653.07</v>
      </c>
      <c r="X7" s="20" t="n">
        <v>2133.951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기타</t>
        </is>
      </c>
      <c r="B10" s="10" t="n"/>
      <c r="C10" s="19" t="n">
        <v>1.374</v>
      </c>
      <c r="D10" s="20" t="n">
        <v>1.374</v>
      </c>
      <c r="E10" s="20" t="n">
        <v>1.341</v>
      </c>
      <c r="F10" s="20" t="n">
        <v>1.325</v>
      </c>
      <c r="G10" s="20" t="n">
        <v>1.325</v>
      </c>
      <c r="H10" s="20" t="n">
        <v>0.075</v>
      </c>
      <c r="I10" s="20" t="n">
        <v>0.075</v>
      </c>
      <c r="J10" s="20" t="n">
        <v>0.075</v>
      </c>
      <c r="K10" s="20" t="n">
        <v>0.075</v>
      </c>
      <c r="L10" s="20" t="n">
        <v>0.075</v>
      </c>
      <c r="M10" s="20" t="n">
        <v>0.066</v>
      </c>
      <c r="N10" s="20" t="n">
        <v>0.05</v>
      </c>
      <c r="O10" s="19" t="n"/>
      <c r="P10" s="20" t="n"/>
      <c r="Q10" s="20" t="n"/>
      <c r="R10" s="20" t="n"/>
      <c r="S10" s="20" t="n"/>
      <c r="T10" s="20" t="n"/>
      <c r="U10" s="20" t="n">
        <v>10.198</v>
      </c>
      <c r="V10" s="20" t="n">
        <v>5.414</v>
      </c>
      <c r="W10" s="20" t="n">
        <v>1.55</v>
      </c>
      <c r="X10" s="20" t="n">
        <v>0.266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EntityTotalMember</t>
        </is>
      </c>
      <c r="B13" s="10" t="n"/>
      <c r="C13" s="19" t="n"/>
      <c r="D13" s="20" t="n"/>
      <c r="E13" s="20" t="n"/>
      <c r="F13" s="20" t="n"/>
      <c r="G13" s="20" t="n">
        <v>340.978</v>
      </c>
      <c r="H13" s="20" t="n"/>
      <c r="I13" s="20" t="n"/>
      <c r="J13" s="20" t="n"/>
      <c r="K13" s="20" t="n">
        <v>515.133</v>
      </c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>
        <v>167.321</v>
      </c>
      <c r="D17" s="20" t="n">
        <v>101.381</v>
      </c>
      <c r="E17" s="20" t="n">
        <v>123.822</v>
      </c>
      <c r="F17" s="20" t="n">
        <v>114.182</v>
      </c>
      <c r="G17" s="20" t="n">
        <v>131.335</v>
      </c>
      <c r="H17" s="20" t="n">
        <v>152.764</v>
      </c>
      <c r="I17" s="20" t="n">
        <v>159.303</v>
      </c>
      <c r="J17" s="20" t="n">
        <v>201.223</v>
      </c>
      <c r="K17" s="20" t="n">
        <v>193.579</v>
      </c>
      <c r="L17" s="20" t="n">
        <v>190.86</v>
      </c>
      <c r="M17" s="20" t="n">
        <v>201.135</v>
      </c>
      <c r="N17" s="20" t="n">
        <v>199.226</v>
      </c>
      <c r="O17" s="19" t="n"/>
      <c r="P17" s="20" t="n"/>
      <c r="Q17" s="20" t="n"/>
      <c r="R17" s="20" t="n"/>
      <c r="S17" s="20" t="n">
        <v>100.736</v>
      </c>
      <c r="T17" s="20" t="n">
        <v>224.629</v>
      </c>
      <c r="U17" s="20" t="n">
        <v>281.62</v>
      </c>
      <c r="V17" s="20" t="n">
        <v>506.706</v>
      </c>
      <c r="W17" s="20" t="n">
        <v>644.625</v>
      </c>
      <c r="X17" s="20" t="n">
        <v>784.8</v>
      </c>
      <c r="Y17" s="19" t="n"/>
      <c r="Z17" s="20" t="n"/>
      <c r="AA17" s="20" t="n"/>
      <c r="AB17" s="20" t="n"/>
      <c r="AC17" s="20" t="n"/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IF(OR(G17="",C17=""),"",IF(C17&lt;=0,"",IFERROR(G17/C17-1,"")))</f>
        <v/>
      </c>
      <c r="H18" s="15">
        <f>IF(OR(H17="",D17=""),"",IF(D17&lt;=0,"",IFERROR(H17/D17-1,"")))</f>
        <v/>
      </c>
      <c r="I18" s="15">
        <f>IF(OR(I17="",E17=""),"",IF(E17&lt;=0,"",IFERROR(I17/E17-1,"")))</f>
        <v/>
      </c>
      <c r="J18" s="15">
        <f>IF(OR(J17="",F17=""),"",IF(F17&lt;=0,"",IFERROR(J17/F17-1,"")))</f>
        <v/>
      </c>
      <c r="K18" s="15">
        <f>IF(OR(K17="",G17=""),"",IF(G17&lt;=0,"",IFERROR(K17/G17-1,"")))</f>
        <v/>
      </c>
      <c r="L18" s="15">
        <f>IF(OR(L17="",H17=""),"",IF(H17&lt;=0,"",IFERROR(L17/H17-1,"")))</f>
        <v/>
      </c>
      <c r="M18" s="15">
        <f>IF(OR(M17="",I17=""),"",IF(I17&lt;=0,"",IFERROR(M17/I17-1,"")))</f>
        <v/>
      </c>
      <c r="N18" s="15">
        <f>IF(OR(N17="",J17=""),"",IF(J17&lt;=0,"",IFERROR(N17/J17-1,"")))</f>
        <v/>
      </c>
      <c r="O18" s="14" t="n"/>
      <c r="P18" s="15">
        <f>IF(OR(P17="",O17=""),"",IF(O17&lt;=0,"",IFERROR(P17/O17-1,"")))</f>
        <v/>
      </c>
      <c r="Q18" s="15">
        <f>IF(OR(Q17="",P17=""),"",IF(P17&lt;=0,"",IFERROR(Q17/P17-1,"")))</f>
        <v/>
      </c>
      <c r="R18" s="15">
        <f>IF(OR(R17="",Q17=""),"",IF(Q17&lt;=0,"",IFERROR(R17/Q17-1,"")))</f>
        <v/>
      </c>
      <c r="S18" s="15">
        <f>IF(OR(S17="",R17=""),"",IF(R17&lt;=0,"",IFERROR(S17/R17-1,"")))</f>
        <v/>
      </c>
      <c r="T18" s="15">
        <f>IF(OR(T17="",S17=""),"",IF(S17&lt;=0,"",IFERROR(T17/S17-1,"")))</f>
        <v/>
      </c>
      <c r="U18" s="15">
        <f>IF(OR(U17="",T17=""),"",IF(T17&lt;=0,"",IFERROR(U17/T17-1,"")))</f>
        <v/>
      </c>
      <c r="V18" s="15">
        <f>IF(OR(V17="",U17=""),"",IF(U17&lt;=0,"",IFERROR(V17/U17-1,"")))</f>
        <v/>
      </c>
      <c r="W18" s="15">
        <f>IF(OR(W17="",V17=""),"",IF(V17&lt;=0,"",IFERROR(W17/V17-1,"")))</f>
        <v/>
      </c>
      <c r="X18" s="15">
        <f>IF(OR(X17="",W17=""),"",IF(W17&lt;=0,"",IFERROR(X17/W17-1,"")))</f>
        <v/>
      </c>
      <c r="Y18" s="14">
        <f>IF(OR(Y17="",X17=""),"",IF(X17&lt;=0,"",IFERROR(Y17/X17-1,"")))</f>
        <v/>
      </c>
      <c r="Z18" s="15">
        <f>IF(OR(Z17="",Y17=""),"",IF(Y17&lt;=0,"",IFERROR(Z17/Y17-1,"")))</f>
        <v/>
      </c>
      <c r="AA18" s="15">
        <f>IF(OR(AA17="",Z17=""),"",IF(Z17&lt;=0,"",IFERROR(AA17/Z17-1,"")))</f>
        <v/>
      </c>
      <c r="AB18" s="15">
        <f>IF(OR(AB17="",AA17=""),"",IF(AA17&lt;=0,"",IFERROR(AB17/AA17-1,"")))</f>
        <v/>
      </c>
      <c r="AC18" s="15">
        <f>IF(OR(AC17="",AB17=""),"",IF(AB17&lt;=0,"",IFERROR(AC17/AB17-1,"")))</f>
        <v/>
      </c>
    </row>
    <row r="19">
      <c r="A19" s="18" t="inlineStr">
        <is>
          <t>매출총이익</t>
        </is>
      </c>
      <c r="B19" s="10" t="n"/>
      <c r="C19" s="19">
        <f>IF(OR(C4="",C17=""),"",IFERROR(C4-C17,""))</f>
        <v/>
      </c>
      <c r="D19" s="20">
        <f>IF(OR(D4="",D17=""),"",IFERROR(D4-D17,""))</f>
        <v/>
      </c>
      <c r="E19" s="20">
        <f>IF(OR(E4="",E17=""),"",IFERROR(E4-E17,""))</f>
        <v/>
      </c>
      <c r="F19" s="20">
        <f>IF(OR(F4="",F17=""),"",IFERROR(F4-F17,""))</f>
        <v/>
      </c>
      <c r="G19" s="20">
        <f>IF(OR(G4="",G17=""),"",IFERROR(G4-G17,""))</f>
        <v/>
      </c>
      <c r="H19" s="20">
        <f>IF(OR(H4="",H17=""),"",IFERROR(H4-H17,""))</f>
        <v/>
      </c>
      <c r="I19" s="20">
        <f>IF(OR(I4="",I17=""),"",IFERROR(I4-I17,""))</f>
        <v/>
      </c>
      <c r="J19" s="20">
        <f>IF(OR(J4="",J17=""),"",IFERROR(J4-J17,""))</f>
        <v/>
      </c>
      <c r="K19" s="20">
        <f>IF(OR(K4="",K17=""),"",IFERROR(K4-K17,""))</f>
        <v/>
      </c>
      <c r="L19" s="20">
        <f>IF(OR(L4="",L17=""),"",IFERROR(L4-L17,""))</f>
        <v/>
      </c>
      <c r="M19" s="20">
        <f>IF(OR(M4="",M17=""),"",IFERROR(M4-M17,""))</f>
        <v/>
      </c>
      <c r="N19" s="20">
        <f>IF(OR(N4="",N17=""),"",IFERROR(N4-N17,""))</f>
        <v/>
      </c>
      <c r="O19" s="19">
        <f>IF(OR(O4="",O17=""),"",IFERROR(O4-O17,""))</f>
        <v/>
      </c>
      <c r="P19" s="20">
        <f>IF(OR(P4="",P17=""),"",IFERROR(P4-P17,""))</f>
        <v/>
      </c>
      <c r="Q19" s="20">
        <f>IF(OR(Q4="",Q17=""),"",IFERROR(Q4-Q17,""))</f>
        <v/>
      </c>
      <c r="R19" s="20">
        <f>IF(OR(R4="",R17=""),"",IFERROR(R4-R17,""))</f>
        <v/>
      </c>
      <c r="S19" s="20">
        <f>IF(OR(S4="",S17=""),"",IFERROR(S4-S17,""))</f>
        <v/>
      </c>
      <c r="T19" s="20">
        <f>IF(OR(T4="",T17=""),"",IFERROR(T4-T17,""))</f>
        <v/>
      </c>
      <c r="U19" s="20">
        <f>IF(OR(U4="",U17=""),"",IFERROR(U4-U17,""))</f>
        <v/>
      </c>
      <c r="V19" s="20">
        <f>IF(OR(V4="",V17=""),"",IFERROR(V4-V17,""))</f>
        <v/>
      </c>
      <c r="W19" s="20">
        <f>IF(OR(W4="",W17=""),"",IFERROR(W4-W17,""))</f>
        <v/>
      </c>
      <c r="X19" s="20">
        <f>IF(OR(X4="",X17=""),"",IFERROR(X4-X17,""))</f>
        <v/>
      </c>
      <c r="Y19" s="19" t="n"/>
      <c r="Z19" s="20" t="n"/>
      <c r="AA19" s="20" t="n"/>
      <c r="AB19" s="20" t="n"/>
      <c r="AC19" s="20" t="n"/>
    </row>
    <row r="20">
      <c r="A20" s="13" t="inlineStr">
        <is>
          <t>GPM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IF(OR(G19="",C19=""),"",IF(C19&lt;=0,"",IFERROR(G19/C19-1,"")))</f>
        <v/>
      </c>
      <c r="H21" s="15">
        <f>IF(OR(H19="",D19=""),"",IF(D19&lt;=0,"",IFERROR(H19/D19-1,"")))</f>
        <v/>
      </c>
      <c r="I21" s="15">
        <f>IF(OR(I19="",E19=""),"",IF(E19&lt;=0,"",IFERROR(I19/E19-1,"")))</f>
        <v/>
      </c>
      <c r="J21" s="15">
        <f>IF(OR(J19="",F19=""),"",IF(F19&lt;=0,"",IFERROR(J19/F19-1,"")))</f>
        <v/>
      </c>
      <c r="K21" s="15">
        <f>IF(OR(K19="",G19=""),"",IF(G19&lt;=0,"",IFERROR(K19/G19-1,"")))</f>
        <v/>
      </c>
      <c r="L21" s="15">
        <f>IF(OR(L19="",H19=""),"",IF(H19&lt;=0,"",IFERROR(L19/H19-1,"")))</f>
        <v/>
      </c>
      <c r="M21" s="15">
        <f>IF(OR(M19="",I19=""),"",IF(I19&lt;=0,"",IFERROR(M19/I19-1,"")))</f>
        <v/>
      </c>
      <c r="N21" s="15">
        <f>IF(OR(N19="",J19=""),"",IF(J19&lt;=0,"",IFERROR(N19/J19-1,"")))</f>
        <v/>
      </c>
      <c r="O21" s="14" t="n"/>
      <c r="P21" s="15">
        <f>IF(OR(P19="",O19=""),"",IF(O19&lt;=0,"",IFERROR(P19/O19-1,"")))</f>
        <v/>
      </c>
      <c r="Q21" s="15">
        <f>IF(OR(Q19="",P19=""),"",IF(P19&lt;=0,"",IFERROR(Q19/P19-1,"")))</f>
        <v/>
      </c>
      <c r="R21" s="15">
        <f>IF(OR(R19="",Q19=""),"",IF(Q19&lt;=0,"",IFERROR(R19/Q19-1,"")))</f>
        <v/>
      </c>
      <c r="S21" s="15">
        <f>IF(OR(S19="",R19=""),"",IF(R19&lt;=0,"",IFERROR(S19/R19-1,"")))</f>
        <v/>
      </c>
      <c r="T21" s="15">
        <f>IF(OR(T19="",S19=""),"",IF(S19&lt;=0,"",IFERROR(T19/S19-1,"")))</f>
        <v/>
      </c>
      <c r="U21" s="15">
        <f>IF(OR(U19="",T19=""),"",IF(T19&lt;=0,"",IFERROR(U19/T19-1,"")))</f>
        <v/>
      </c>
      <c r="V21" s="15">
        <f>IF(OR(V19="",U19=""),"",IF(U19&lt;=0,"",IFERROR(V19/U19-1,"")))</f>
        <v/>
      </c>
      <c r="W21" s="15">
        <f>IF(OR(W19="",V19=""),"",IF(V19&lt;=0,"",IFERROR(W19/V19-1,"")))</f>
        <v/>
      </c>
      <c r="X21" s="15">
        <f>IF(OR(X19="",W19=""),"",IF(W19&lt;=0,"",IFERROR(X19/W19-1,"")))</f>
        <v/>
      </c>
      <c r="Y21" s="14">
        <f>IF(OR(Y19="",X19=""),"",IF(X19&lt;=0,"",IFERROR(Y19/X19-1,"")))</f>
        <v/>
      </c>
      <c r="Z21" s="15">
        <f>IF(OR(Z19="",Y19=""),"",IF(Y19&lt;=0,"",IFERROR(Z19/Y19-1,"")))</f>
        <v/>
      </c>
      <c r="AA21" s="15">
        <f>IF(OR(AA19="",Z19=""),"",IF(Z19&lt;=0,"",IFERROR(AA19/Z19-1,"")))</f>
        <v/>
      </c>
      <c r="AB21" s="15">
        <f>IF(OR(AB19="",AA19=""),"",IF(AA19&lt;=0,"",IFERROR(AB19/AA19-1,"")))</f>
        <v/>
      </c>
      <c r="AC21" s="15">
        <f>IF(OR(AC19="",AB19=""),"",IF(AB19&lt;=0,"",IFERROR(AC19/AB19-1,"")))</f>
        <v/>
      </c>
    </row>
    <row r="22">
      <c r="A22" s="23" t="inlineStr">
        <is>
          <t>판매관리비</t>
        </is>
      </c>
      <c r="B22" s="23" t="n"/>
      <c r="C22" s="24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  <c r="M22" s="23" t="n"/>
      <c r="N22" s="23" t="n"/>
      <c r="O22" s="24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4" t="n"/>
      <c r="Z22" s="23" t="n"/>
      <c r="AA22" s="23" t="n"/>
      <c r="AB22" s="23" t="n"/>
      <c r="AC22" s="23" t="n"/>
    </row>
    <row r="23">
      <c r="A23" s="18" t="inlineStr">
        <is>
          <t>전체 판관비</t>
        </is>
      </c>
      <c r="B23" s="10" t="n"/>
      <c r="C23" s="19" t="n">
        <v>157.64</v>
      </c>
      <c r="D23" s="20" t="n">
        <v>148.802</v>
      </c>
      <c r="E23" s="20" t="n">
        <v>215.503</v>
      </c>
      <c r="F23" s="20" t="n">
        <v>187.399</v>
      </c>
      <c r="G23" s="20" t="n">
        <v>201.036</v>
      </c>
      <c r="H23" s="20" t="n">
        <v>211.547</v>
      </c>
      <c r="I23" s="20" t="n">
        <v>246.862</v>
      </c>
      <c r="J23" s="20" t="n">
        <v>243.294</v>
      </c>
      <c r="K23" s="20" t="n">
        <v>264.995</v>
      </c>
      <c r="L23" s="20" t="n">
        <v>273.641</v>
      </c>
      <c r="M23" s="20" t="n">
        <v>291.327</v>
      </c>
      <c r="N23" s="20" t="n">
        <v>257.451</v>
      </c>
      <c r="O23" s="19" t="n"/>
      <c r="P23" s="20" t="n"/>
      <c r="Q23" s="20" t="n"/>
      <c r="R23" s="20" t="n"/>
      <c r="S23" s="20" t="n">
        <v>362.455</v>
      </c>
      <c r="T23" s="20" t="n">
        <v>424.05</v>
      </c>
      <c r="U23" s="20" t="n">
        <v>557.324</v>
      </c>
      <c r="V23" s="20" t="n">
        <v>709.3440000000001</v>
      </c>
      <c r="W23" s="20" t="n">
        <v>902.739</v>
      </c>
      <c r="X23" s="20" t="n">
        <v>1087.414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-20.517</v>
      </c>
      <c r="D25" s="12" t="n">
        <v>5.08</v>
      </c>
      <c r="E25" s="12" t="n">
        <v>-20.146</v>
      </c>
      <c r="F25" s="12" t="n">
        <v>4.308</v>
      </c>
      <c r="G25" s="12" t="n">
        <v>8.606</v>
      </c>
      <c r="H25" s="12" t="n">
        <v>23.864</v>
      </c>
      <c r="I25" s="12" t="n">
        <v>24.799</v>
      </c>
      <c r="J25" s="12" t="n">
        <v>49.987</v>
      </c>
      <c r="K25" s="12" t="n">
        <v>56.558</v>
      </c>
      <c r="L25" s="12" t="n">
        <v>48.366</v>
      </c>
      <c r="M25" s="12" t="n">
        <v>44.309</v>
      </c>
      <c r="N25" s="12" t="n">
        <v>112.769</v>
      </c>
      <c r="O25" s="11" t="n"/>
      <c r="P25" s="12" t="n"/>
      <c r="Q25" s="12" t="n"/>
      <c r="R25" s="12" t="n"/>
      <c r="S25" s="12" t="n">
        <v>-97.199</v>
      </c>
      <c r="T25" s="12" t="n">
        <v>11.307</v>
      </c>
      <c r="U25" s="12" t="n">
        <v>-67.08199999999999</v>
      </c>
      <c r="V25" s="12" t="n">
        <v>-31.275</v>
      </c>
      <c r="W25" s="12" t="n">
        <v>107.256</v>
      </c>
      <c r="X25" s="12" t="n">
        <v>262.002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IF(O23="","",O23)</f>
        <v/>
      </c>
      <c r="P29" s="12">
        <f>IF(P23="","",P23)</f>
        <v/>
      </c>
      <c r="Q29" s="12">
        <f>IF(Q23="","",Q23)</f>
        <v/>
      </c>
      <c r="R29" s="12">
        <f>IF(R23="","",R23)</f>
        <v/>
      </c>
      <c r="S29" s="12">
        <f>IF(S23="","",S23)</f>
        <v/>
      </c>
      <c r="T29" s="12">
        <f>IF(T23="","",T23)</f>
        <v/>
      </c>
      <c r="U29" s="12">
        <f>IF(U23="","",U23)</f>
        <v/>
      </c>
      <c r="V29" s="12">
        <f>IF(V23="","",V23)</f>
        <v/>
      </c>
      <c r="W29" s="12">
        <f>IF(W23="","",W23)</f>
        <v/>
      </c>
      <c r="X29" s="12">
        <f>IF(X23="","",X23)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/>
      <c r="D43" s="20" t="n"/>
      <c r="E43" s="20" t="n">
        <v>0</v>
      </c>
      <c r="F43" s="20" t="n">
        <v>0</v>
      </c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/>
      <c r="R43" s="20" t="n"/>
      <c r="S43" s="20" t="n"/>
      <c r="T43" s="20" t="n">
        <v>0</v>
      </c>
      <c r="U43" s="20" t="n">
        <v>4.999</v>
      </c>
      <c r="V43" s="20" t="n">
        <v>0</v>
      </c>
      <c r="W43" s="20" t="n"/>
      <c r="X43" s="20" t="n"/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0.04</v>
      </c>
      <c r="D45" s="20" t="n">
        <v>0.008999999999999999</v>
      </c>
      <c r="E45" s="20" t="n">
        <v>0.003</v>
      </c>
      <c r="F45" s="20" t="n">
        <v>0.045</v>
      </c>
      <c r="G45" s="20" t="n">
        <v>0.018</v>
      </c>
      <c r="H45" s="20" t="n">
        <v>0.591</v>
      </c>
      <c r="I45" s="20" t="n">
        <v>0.047</v>
      </c>
      <c r="J45" s="20" t="n">
        <v>1.398</v>
      </c>
      <c r="K45" s="20" t="n">
        <v>0.048</v>
      </c>
      <c r="L45" s="20" t="n">
        <v>1.659</v>
      </c>
      <c r="M45" s="20" t="n">
        <v>0.408</v>
      </c>
      <c r="N45" s="20" t="n">
        <v>3.019</v>
      </c>
      <c r="O45" s="19" t="n"/>
      <c r="P45" s="20" t="n"/>
      <c r="Q45" s="20" t="n"/>
      <c r="R45" s="20" t="n"/>
      <c r="S45" s="20" t="n">
        <v>2.762</v>
      </c>
      <c r="T45" s="20" t="n">
        <v>3.378</v>
      </c>
      <c r="U45" s="20" t="n">
        <v>0.1</v>
      </c>
      <c r="V45" s="20" t="n">
        <v>0.097</v>
      </c>
      <c r="W45" s="20" t="n">
        <v>2.054</v>
      </c>
      <c r="X45" s="20" t="n">
        <v>5.134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0.475</v>
      </c>
      <c r="D47" s="20" t="n">
        <v>1.126</v>
      </c>
      <c r="E47" s="20" t="n">
        <v>0.741</v>
      </c>
      <c r="F47" s="20" t="n">
        <v>0.479</v>
      </c>
      <c r="G47" s="20" t="n">
        <v>14.821</v>
      </c>
      <c r="H47" s="20" t="n">
        <v>0.819</v>
      </c>
      <c r="I47" s="20" t="n">
        <v>0.556</v>
      </c>
      <c r="J47" s="20" t="n">
        <v>0.414</v>
      </c>
      <c r="K47" s="20" t="n">
        <v>1.742</v>
      </c>
      <c r="L47" s="20" t="n">
        <v>1.597</v>
      </c>
      <c r="M47" s="20" t="n">
        <v>0.517</v>
      </c>
      <c r="N47" s="20" t="n">
        <v>0.505</v>
      </c>
      <c r="O47" s="19" t="n"/>
      <c r="P47" s="20" t="n"/>
      <c r="Q47" s="20" t="n"/>
      <c r="R47" s="20" t="n"/>
      <c r="S47" s="20" t="n">
        <v>1.229</v>
      </c>
      <c r="T47" s="20" t="n">
        <v>4.845</v>
      </c>
      <c r="U47" s="20" t="n">
        <v>0.485</v>
      </c>
      <c r="V47" s="20" t="n">
        <v>2.821</v>
      </c>
      <c r="W47" s="20" t="n">
        <v>16.61</v>
      </c>
      <c r="X47" s="20" t="n">
        <v>4.361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-20.953</v>
      </c>
      <c r="D49" s="12" t="n">
        <v>3.965</v>
      </c>
      <c r="E49" s="12" t="n">
        <v>-20.886</v>
      </c>
      <c r="F49" s="12" t="n">
        <v>3.874</v>
      </c>
      <c r="G49" s="12" t="n">
        <v>-6.195</v>
      </c>
      <c r="H49" s="12" t="n">
        <v>23.634</v>
      </c>
      <c r="I49" s="12" t="n">
        <v>24.289</v>
      </c>
      <c r="J49" s="12" t="n">
        <v>50.972</v>
      </c>
      <c r="K49" s="12" t="n">
        <v>54.864</v>
      </c>
      <c r="L49" s="12" t="n">
        <v>48.428</v>
      </c>
      <c r="M49" s="12" t="n">
        <v>44.2</v>
      </c>
      <c r="N49" s="12" t="n">
        <v>115.283</v>
      </c>
      <c r="O49" s="11" t="n"/>
      <c r="P49" s="12" t="n"/>
      <c r="Q49" s="12" t="n"/>
      <c r="R49" s="12" t="n"/>
      <c r="S49" s="12" t="n">
        <v>-95.666</v>
      </c>
      <c r="T49" s="12" t="n">
        <v>9.84</v>
      </c>
      <c r="U49" s="12" t="n">
        <v>-72.468</v>
      </c>
      <c r="V49" s="12" t="n">
        <v>-34</v>
      </c>
      <c r="W49" s="12" t="n">
        <v>92.7</v>
      </c>
      <c r="X49" s="12" t="n">
        <v>262.775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3" t="inlineStr">
        <is>
          <t>YoY</t>
        </is>
      </c>
      <c r="B50" s="10" t="n"/>
      <c r="C50" s="14" t="n"/>
      <c r="D50" s="15" t="n"/>
      <c r="E50" s="15" t="n"/>
      <c r="F50" s="15" t="n"/>
      <c r="G50" s="15">
        <f>IF(OR(G49="",C49=""),"",IF(C49&lt;=0,"",IFERROR(G49/C49-1,"")))</f>
        <v/>
      </c>
      <c r="H50" s="15">
        <f>IF(OR(H49="",D49=""),"",IF(D49&lt;=0,"",IFERROR(H49/D49-1,"")))</f>
        <v/>
      </c>
      <c r="I50" s="15">
        <f>IF(OR(I49="",E49=""),"",IF(E49&lt;=0,"",IFERROR(I49/E49-1,"")))</f>
        <v/>
      </c>
      <c r="J50" s="15">
        <f>IF(OR(J49="",F49=""),"",IF(F49&lt;=0,"",IFERROR(J49/F49-1,"")))</f>
        <v/>
      </c>
      <c r="K50" s="15">
        <f>IF(OR(K49="",G49=""),"",IF(G49&lt;=0,"",IFERROR(K49/G49-1,"")))</f>
        <v/>
      </c>
      <c r="L50" s="15">
        <f>IF(OR(L49="",H49=""),"",IF(H49&lt;=0,"",IFERROR(L49/H49-1,"")))</f>
        <v/>
      </c>
      <c r="M50" s="15">
        <f>IF(OR(M49="",I49=""),"",IF(I49&lt;=0,"",IFERROR(M49/I49-1,"")))</f>
        <v/>
      </c>
      <c r="N50" s="15">
        <f>IF(OR(N49="",J49=""),"",IF(J49&lt;=0,"",IFERROR(N49/J49-1,"")))</f>
        <v/>
      </c>
      <c r="O50" s="14" t="n"/>
      <c r="P50" s="15">
        <f>IF(OR(P49="",O49=""),"",IF(O49&lt;=0,"",IFERROR(P49/O49-1,"")))</f>
        <v/>
      </c>
      <c r="Q50" s="15">
        <f>IF(OR(Q49="",P49=""),"",IF(P49&lt;=0,"",IFERROR(Q49/P49-1,"")))</f>
        <v/>
      </c>
      <c r="R50" s="15">
        <f>IF(OR(R49="",Q49=""),"",IF(Q49&lt;=0,"",IFERROR(R49/Q49-1,"")))</f>
        <v/>
      </c>
      <c r="S50" s="15">
        <f>IF(OR(S49="",R49=""),"",IF(R49&lt;=0,"",IFERROR(S49/R49-1,"")))</f>
        <v/>
      </c>
      <c r="T50" s="15">
        <f>IF(OR(T49="",S49=""),"",IF(S49&lt;=0,"",IFERROR(T49/S49-1,"")))</f>
        <v/>
      </c>
      <c r="U50" s="15">
        <f>IF(OR(U49="",T49=""),"",IF(T49&lt;=0,"",IFERROR(U49/T49-1,"")))</f>
        <v/>
      </c>
      <c r="V50" s="15">
        <f>IF(OR(V49="",U49=""),"",IF(U49&lt;=0,"",IFERROR(V49/U49-1,"")))</f>
        <v/>
      </c>
      <c r="W50" s="15">
        <f>IF(OR(W49="",V49=""),"",IF(V49&lt;=0,"",IFERROR(W49/V49-1,"")))</f>
        <v/>
      </c>
      <c r="X50" s="15">
        <f>IF(OR(X49="",W49=""),"",IF(W49&lt;=0,"",IFERROR(X49/W49-1,"")))</f>
        <v/>
      </c>
      <c r="Y50" s="14">
        <f>IF(OR(Y49="",X49=""),"",IF(X49&lt;=0,"",IFERROR(Y49/X49-1,"")))</f>
        <v/>
      </c>
      <c r="Z50" s="15">
        <f>IF(OR(Z49="",Y49=""),"",IF(Y49&lt;=0,"",IFERROR(Z49/Y49-1,"")))</f>
        <v/>
      </c>
      <c r="AA50" s="15">
        <f>IF(OR(AA49="",Z49=""),"",IF(Z49&lt;=0,"",IFERROR(AA49/Z49-1,"")))</f>
        <v/>
      </c>
      <c r="AB50" s="15">
        <f>IF(OR(AB49="",AA49=""),"",IF(AA49&lt;=0,"",IFERROR(AB49/AA49-1,"")))</f>
        <v/>
      </c>
      <c r="AC50" s="15">
        <f>IF(OR(AC49="",AB49=""),"",IF(AB49&lt;=0,"",IFERROR(AC49/AB49-1,"")))</f>
        <v/>
      </c>
    </row>
    <row r="51">
      <c r="A51" s="18" t="inlineStr">
        <is>
          <t>법인세비용(수익)</t>
        </is>
      </c>
      <c r="B51" s="10" t="n"/>
      <c r="C51" s="19" t="n">
        <v>-0.672</v>
      </c>
      <c r="D51" s="20" t="n">
        <v>-0.285</v>
      </c>
      <c r="E51" s="20" t="n">
        <v>-0.254</v>
      </c>
      <c r="F51" s="20" t="n">
        <v>-0.9399999999999999</v>
      </c>
      <c r="G51" s="20" t="n">
        <v>-0.721</v>
      </c>
      <c r="H51" s="20" t="n">
        <v>3.213</v>
      </c>
      <c r="I51" s="20" t="n">
        <v>5.181</v>
      </c>
      <c r="J51" s="20" t="n">
        <v>-27.145</v>
      </c>
      <c r="K51" s="20" t="n">
        <v>7.207</v>
      </c>
      <c r="L51" s="20" t="n">
        <v>9.010999999999999</v>
      </c>
      <c r="M51" s="20" t="n">
        <v>5.72</v>
      </c>
      <c r="N51" s="20" t="n">
        <v>-13.909</v>
      </c>
      <c r="O51" s="19" t="n"/>
      <c r="P51" s="20" t="n"/>
      <c r="Q51" s="20" t="n"/>
      <c r="R51" s="20" t="n"/>
      <c r="S51" s="20" t="n">
        <v>-0.378</v>
      </c>
      <c r="T51" s="20" t="n">
        <v>0.834</v>
      </c>
      <c r="U51" s="20" t="n">
        <v>8.869</v>
      </c>
      <c r="V51" s="20" t="n">
        <v>-2.151</v>
      </c>
      <c r="W51" s="20" t="n">
        <v>-19.472</v>
      </c>
      <c r="X51" s="20" t="n">
        <v>8.029</v>
      </c>
      <c r="Y51" s="19">
        <f>IF(OR(Y49="",Y52=""),"",IFERROR(MAX(Y49,0)*Y52,""))</f>
        <v/>
      </c>
      <c r="Z51" s="20">
        <f>IF(OR(Z49="",Z52=""),"",IFERROR(MAX(Z49,0)*Z52,""))</f>
        <v/>
      </c>
      <c r="AA51" s="20">
        <f>IF(OR(AA49="",AA52=""),"",IFERROR(MAX(AA49,0)*AA52,""))</f>
        <v/>
      </c>
      <c r="AB51" s="20">
        <f>IF(OR(AB49="",AB52=""),"",IFERROR(MAX(AB49,0)*AB52,""))</f>
        <v/>
      </c>
      <c r="AC51" s="20">
        <f>IF(OR(AC49="",AC52=""),"",IFERROR(MAX(AC49,0)*AC52,""))</f>
        <v/>
      </c>
    </row>
    <row r="52">
      <c r="A52" s="13" t="inlineStr">
        <is>
          <t>법인세율</t>
        </is>
      </c>
      <c r="B52" s="10" t="inlineStr">
        <is>
          <t>MW 기본 30%</t>
        </is>
      </c>
      <c r="C52" s="14">
        <f>IF(OR(C51="",C49=""),"",IFERROR(C51/C49,""))</f>
        <v/>
      </c>
      <c r="D52" s="15">
        <f>IF(OR(D51="",D49=""),"",IFERROR(D51/D49,""))</f>
        <v/>
      </c>
      <c r="E52" s="15">
        <f>IF(OR(E51="",E49=""),"",IFERROR(E51/E49,""))</f>
        <v/>
      </c>
      <c r="F52" s="15">
        <f>IF(OR(F51="",F49=""),"",IFERROR(F51/F49,""))</f>
        <v/>
      </c>
      <c r="G52" s="15">
        <f>IF(OR(G51="",G49=""),"",IFERROR(G51/G49,""))</f>
        <v/>
      </c>
      <c r="H52" s="15">
        <f>IF(OR(H51="",H49=""),"",IFERROR(H51/H49,""))</f>
        <v/>
      </c>
      <c r="I52" s="15">
        <f>IF(OR(I51="",I49=""),"",IFERROR(I51/I49,""))</f>
        <v/>
      </c>
      <c r="J52" s="15">
        <f>IF(OR(J51="",J49=""),"",IFERROR(J51/J49,""))</f>
        <v/>
      </c>
      <c r="K52" s="15">
        <f>IF(OR(K51="",K49=""),"",IFERROR(K51/K49,""))</f>
        <v/>
      </c>
      <c r="L52" s="15">
        <f>IF(OR(L51="",L49=""),"",IFERROR(L51/L49,""))</f>
        <v/>
      </c>
      <c r="M52" s="15">
        <f>IF(OR(M51="",M49=""),"",IFERROR(M51/M49,""))</f>
        <v/>
      </c>
      <c r="N52" s="15">
        <f>IF(OR(N51="",N49=""),"",IFERROR(N51/N49,""))</f>
        <v/>
      </c>
      <c r="O52" s="14">
        <f>IF(OR(O51="",O49=""),"",IFERROR(O51/O49,""))</f>
        <v/>
      </c>
      <c r="P52" s="15">
        <f>IF(OR(P51="",P49=""),"",IFERROR(P51/P49,""))</f>
        <v/>
      </c>
      <c r="Q52" s="15">
        <f>IF(OR(Q51="",Q49=""),"",IFERROR(Q51/Q49,""))</f>
        <v/>
      </c>
      <c r="R52" s="15">
        <f>IF(OR(R51="",R49=""),"",IFERROR(R51/R49,""))</f>
        <v/>
      </c>
      <c r="S52" s="15">
        <f>IF(OR(S51="",S49=""),"",IFERROR(S51/S49,""))</f>
        <v/>
      </c>
      <c r="T52" s="15">
        <f>IF(OR(T51="",T49=""),"",IFERROR(T51/T49,""))</f>
        <v/>
      </c>
      <c r="U52" s="15">
        <f>IF(OR(U51="",U49=""),"",IFERROR(U51/U49,""))</f>
        <v/>
      </c>
      <c r="V52" s="15">
        <f>IF(OR(V51="",V49=""),"",IFERROR(V51/V49,""))</f>
        <v/>
      </c>
      <c r="W52" s="15">
        <f>IF(OR(W51="",W49=""),"",IFERROR(W51/W49,""))</f>
        <v/>
      </c>
      <c r="X52" s="15">
        <f>IF(OR(X51="",X49=""),"",IFERROR(X51/X49,""))</f>
        <v/>
      </c>
      <c r="Y52" s="25" t="n">
        <v>0.3</v>
      </c>
      <c r="Z52" s="26" t="n">
        <v>0.3</v>
      </c>
      <c r="AA52" s="26" t="n">
        <v>0.3</v>
      </c>
      <c r="AB52" s="26" t="n">
        <v>0.3</v>
      </c>
      <c r="AC52" s="26" t="n">
        <v>0.3</v>
      </c>
    </row>
    <row r="53">
      <c r="A53" s="9" t="inlineStr">
        <is>
          <t>당기순이익(손실)</t>
        </is>
      </c>
      <c r="B53" s="10" t="n"/>
      <c r="C53" s="11" t="n">
        <v>-20.28</v>
      </c>
      <c r="D53" s="12" t="n">
        <v>4.249</v>
      </c>
      <c r="E53" s="12" t="n">
        <v>-20.631</v>
      </c>
      <c r="F53" s="12" t="n">
        <v>4.814</v>
      </c>
      <c r="G53" s="12" t="n">
        <v>-5.474</v>
      </c>
      <c r="H53" s="12" t="n">
        <v>20.421</v>
      </c>
      <c r="I53" s="12" t="n">
        <v>19.108</v>
      </c>
      <c r="J53" s="12" t="n">
        <v>78.117</v>
      </c>
      <c r="K53" s="12" t="n">
        <v>47.656</v>
      </c>
      <c r="L53" s="12" t="n">
        <v>39.418</v>
      </c>
      <c r="M53" s="12" t="n">
        <v>38.48</v>
      </c>
      <c r="N53" s="12" t="n">
        <v>129.192</v>
      </c>
      <c r="O53" s="11" t="n"/>
      <c r="P53" s="12" t="n"/>
      <c r="Q53" s="12" t="n"/>
      <c r="R53" s="12" t="n"/>
      <c r="S53" s="12" t="n">
        <v>-95.288</v>
      </c>
      <c r="T53" s="12" t="n">
        <v>9.006</v>
      </c>
      <c r="U53" s="12" t="n">
        <v>-81.33799999999999</v>
      </c>
      <c r="V53" s="12" t="n">
        <v>-31.848</v>
      </c>
      <c r="W53" s="12" t="n">
        <v>112.172</v>
      </c>
      <c r="X53" s="12" t="n">
        <v>254.746</v>
      </c>
      <c r="Y53" s="11">
        <f>IF(OR(Y49=""),"",IFERROR(Y49-Y51,""))</f>
        <v/>
      </c>
      <c r="Z53" s="12">
        <f>IF(OR(Z49=""),"",IFERROR(Z49-Z51,""))</f>
        <v/>
      </c>
      <c r="AA53" s="12">
        <f>IF(OR(AA49=""),"",IFERROR(AA49-AA51,""))</f>
        <v/>
      </c>
      <c r="AB53" s="12">
        <f>IF(OR(AB49=""),"",IFERROR(AB49-AB51,""))</f>
        <v/>
      </c>
      <c r="AC53" s="12">
        <f>IF(OR(AC49=""),"",IFERROR(AC49-AC51,""))</f>
        <v/>
      </c>
    </row>
    <row r="54">
      <c r="A54" s="13" t="inlineStr">
        <is>
          <t>YoY</t>
        </is>
      </c>
      <c r="B54" s="10" t="n"/>
      <c r="C54" s="14" t="n"/>
      <c r="D54" s="15" t="n"/>
      <c r="E54" s="15" t="n"/>
      <c r="F54" s="15" t="n"/>
      <c r="G54" s="15">
        <f>IF(OR(G53="",C53=""),"",IF(C53&lt;=0,"",IFERROR(G53/C53-1,"")))</f>
        <v/>
      </c>
      <c r="H54" s="15">
        <f>IF(OR(H53="",D53=""),"",IF(D53&lt;=0,"",IFERROR(H53/D53-1,"")))</f>
        <v/>
      </c>
      <c r="I54" s="15">
        <f>IF(OR(I53="",E53=""),"",IF(E53&lt;=0,"",IFERROR(I53/E53-1,"")))</f>
        <v/>
      </c>
      <c r="J54" s="15">
        <f>IF(OR(J53="",F53=""),"",IF(F53&lt;=0,"",IFERROR(J53/F53-1,"")))</f>
        <v/>
      </c>
      <c r="K54" s="15">
        <f>IF(OR(K53="",G53=""),"",IF(G53&lt;=0,"",IFERROR(K53/G53-1,"")))</f>
        <v/>
      </c>
      <c r="L54" s="15">
        <f>IF(OR(L53="",H53=""),"",IF(H53&lt;=0,"",IFERROR(L53/H53-1,"")))</f>
        <v/>
      </c>
      <c r="M54" s="15">
        <f>IF(OR(M53="",I53=""),"",IF(I53&lt;=0,"",IFERROR(M53/I53-1,"")))</f>
        <v/>
      </c>
      <c r="N54" s="15">
        <f>IF(OR(N53="",J53=""),"",IF(J53&lt;=0,"",IFERROR(N53/J53-1,"")))</f>
        <v/>
      </c>
      <c r="O54" s="14" t="n"/>
      <c r="P54" s="15">
        <f>IF(OR(P53="",O53=""),"",IF(O53&lt;=0,"",IFERROR(P53/O53-1,"")))</f>
        <v/>
      </c>
      <c r="Q54" s="15">
        <f>IF(OR(Q53="",P53=""),"",IF(P53&lt;=0,"",IFERROR(Q53/P53-1,"")))</f>
        <v/>
      </c>
      <c r="R54" s="15">
        <f>IF(OR(R53="",Q53=""),"",IF(Q53&lt;=0,"",IFERROR(R53/Q53-1,"")))</f>
        <v/>
      </c>
      <c r="S54" s="15">
        <f>IF(OR(S53="",R53=""),"",IF(R53&lt;=0,"",IFERROR(S53/R53-1,"")))</f>
        <v/>
      </c>
      <c r="T54" s="15">
        <f>IF(OR(T53="",S53=""),"",IF(S53&lt;=0,"",IFERROR(T53/S53-1,"")))</f>
        <v/>
      </c>
      <c r="U54" s="15">
        <f>IF(OR(U53="",T53=""),"",IF(T53&lt;=0,"",IFERROR(U53/T53-1,"")))</f>
        <v/>
      </c>
      <c r="V54" s="15">
        <f>IF(OR(V53="",U53=""),"",IF(U53&lt;=0,"",IFERROR(V53/U53-1,"")))</f>
        <v/>
      </c>
      <c r="W54" s="15">
        <f>IF(OR(W53="",V53=""),"",IF(V53&lt;=0,"",IFERROR(W53/V53-1,"")))</f>
        <v/>
      </c>
      <c r="X54" s="15">
        <f>IF(OR(X53="",W53=""),"",IF(W53&lt;=0,"",IFERROR(X53/W53-1,"")))</f>
        <v/>
      </c>
      <c r="Y54" s="14">
        <f>IF(OR(Y53="",X53=""),"",IF(X53&lt;=0,"",IFERROR(Y53/X53-1,"")))</f>
        <v/>
      </c>
      <c r="Z54" s="15">
        <f>IF(OR(Z53="",Y53=""),"",IF(Y53&lt;=0,"",IFERROR(Z53/Y53-1,"")))</f>
        <v/>
      </c>
      <c r="AA54" s="15">
        <f>IF(OR(AA53="",Z53=""),"",IF(Z53&lt;=0,"",IFERROR(AA53/Z53-1,"")))</f>
        <v/>
      </c>
      <c r="AB54" s="15">
        <f>IF(OR(AB53="",AA53=""),"",IF(AA53&lt;=0,"",IFERROR(AB53/AA53-1,"")))</f>
        <v/>
      </c>
      <c r="AC54" s="15">
        <f>IF(OR(AC53="",AB53=""),"",IF(AB53&lt;=0,"",IFERROR(AC53/AB53-1,"")))</f>
        <v/>
      </c>
    </row>
    <row r="55">
      <c r="A55" s="9" t="inlineStr">
        <is>
          <t>지배주주 순이익</t>
        </is>
      </c>
      <c r="B55" s="10" t="n"/>
      <c r="C55" s="11" t="n">
        <v>-20.28</v>
      </c>
      <c r="D55" s="12" t="n">
        <v>4.249</v>
      </c>
      <c r="E55" s="12" t="n">
        <v>-20.631</v>
      </c>
      <c r="F55" s="12" t="n">
        <v>4.814</v>
      </c>
      <c r="G55" s="12" t="n">
        <v>-5.474</v>
      </c>
      <c r="H55" s="12" t="n">
        <v>20.421</v>
      </c>
      <c r="I55" s="12" t="n">
        <v>19.108</v>
      </c>
      <c r="J55" s="12" t="n">
        <v>78.117</v>
      </c>
      <c r="K55" s="12" t="n">
        <v>47.656</v>
      </c>
      <c r="L55" s="12" t="n">
        <v>39.418</v>
      </c>
      <c r="M55" s="12" t="n">
        <v>38.48</v>
      </c>
      <c r="N55" s="12" t="n">
        <v>129.192</v>
      </c>
      <c r="O55" s="11" t="n"/>
      <c r="P55" s="12" t="n"/>
      <c r="Q55" s="12" t="n"/>
      <c r="R55" s="12" t="n"/>
      <c r="S55" s="12" t="n">
        <v>-95.288</v>
      </c>
      <c r="T55" s="12" t="n">
        <v>9.006</v>
      </c>
      <c r="U55" s="12" t="n">
        <v>-81.33799999999999</v>
      </c>
      <c r="V55" s="12" t="n">
        <v>-31.848</v>
      </c>
      <c r="W55" s="12" t="n">
        <v>112.172</v>
      </c>
      <c r="X55" s="12" t="n">
        <v>254.746</v>
      </c>
      <c r="Y55" s="11">
        <f>IF(OR(Y53="",Y56=""),"",IFERROR(Y53*Y56,""))</f>
        <v/>
      </c>
      <c r="Z55" s="12">
        <f>IF(OR(Z53="",Z56=""),"",IFERROR(Z53*Z56,""))</f>
        <v/>
      </c>
      <c r="AA55" s="12">
        <f>IF(OR(AA53="",AA56=""),"",IFERROR(AA53*AA56,""))</f>
        <v/>
      </c>
      <c r="AB55" s="12">
        <f>IF(OR(AB53="",AB56=""),"",IFERROR(AB53*AB56,""))</f>
        <v/>
      </c>
      <c r="AC55" s="12">
        <f>IF(OR(AC53="",AC56=""),"",IFERROR(AC53*AC56,""))</f>
        <v/>
      </c>
    </row>
    <row r="56">
      <c r="A56" s="13" t="inlineStr">
        <is>
          <t>지배주주 순이익률</t>
        </is>
      </c>
      <c r="B56" s="10" t="inlineStr">
        <is>
          <t>MW 기본 100%</t>
        </is>
      </c>
      <c r="C56" s="14">
        <f>IF(OR(C55="",C53=""),"",IFERROR(C55/C53,""))</f>
        <v/>
      </c>
      <c r="D56" s="15">
        <f>IF(OR(D55="",D53=""),"",IFERROR(D55/D53,""))</f>
        <v/>
      </c>
      <c r="E56" s="15">
        <f>IF(OR(E55="",E53=""),"",IFERROR(E55/E53,""))</f>
        <v/>
      </c>
      <c r="F56" s="15">
        <f>IF(OR(F55="",F53=""),"",IFERROR(F55/F53,""))</f>
        <v/>
      </c>
      <c r="G56" s="15">
        <f>IF(OR(G55="",G53=""),"",IFERROR(G55/G53,""))</f>
        <v/>
      </c>
      <c r="H56" s="15">
        <f>IF(OR(H55="",H53=""),"",IFERROR(H55/H53,""))</f>
        <v/>
      </c>
      <c r="I56" s="15">
        <f>IF(OR(I55="",I53=""),"",IFERROR(I55/I53,""))</f>
        <v/>
      </c>
      <c r="J56" s="15">
        <f>IF(OR(J55="",J53=""),"",IFERROR(J55/J53,""))</f>
        <v/>
      </c>
      <c r="K56" s="15">
        <f>IF(OR(K55="",K53=""),"",IFERROR(K55/K53,""))</f>
        <v/>
      </c>
      <c r="L56" s="15">
        <f>IF(OR(L55="",L53=""),"",IFERROR(L55/L53,""))</f>
        <v/>
      </c>
      <c r="M56" s="15">
        <f>IF(OR(M55="",M53=""),"",IFERROR(M55/M53,""))</f>
        <v/>
      </c>
      <c r="N56" s="15">
        <f>IF(OR(N55="",N53=""),"",IFERROR(N55/N53,""))</f>
        <v/>
      </c>
      <c r="O56" s="14">
        <f>IF(OR(O55="",O53=""),"",IFERROR(O55/O53,""))</f>
        <v/>
      </c>
      <c r="P56" s="15">
        <f>IF(OR(P55="",P53=""),"",IFERROR(P55/P53,""))</f>
        <v/>
      </c>
      <c r="Q56" s="15">
        <f>IF(OR(Q55="",Q53=""),"",IFERROR(Q55/Q53,""))</f>
        <v/>
      </c>
      <c r="R56" s="15">
        <f>IF(OR(R55="",R53=""),"",IFERROR(R55/R53,""))</f>
        <v/>
      </c>
      <c r="S56" s="15">
        <f>IF(OR(S55="",S53=""),"",IFERROR(S55/S53,""))</f>
        <v/>
      </c>
      <c r="T56" s="15">
        <f>IF(OR(T55="",T53=""),"",IFERROR(T55/T53,""))</f>
        <v/>
      </c>
      <c r="U56" s="15">
        <f>IF(OR(U55="",U53=""),"",IFERROR(U55/U53,""))</f>
        <v/>
      </c>
      <c r="V56" s="15">
        <f>IF(OR(V55="",V53=""),"",IFERROR(V55/V53,""))</f>
        <v/>
      </c>
      <c r="W56" s="15">
        <f>IF(OR(W55="",W53=""),"",IFERROR(W55/W53,""))</f>
        <v/>
      </c>
      <c r="X56" s="15">
        <f>IF(OR(X55="",X53=""),"",IFERROR(X55/X53,""))</f>
        <v/>
      </c>
      <c r="Y56" s="25" t="n">
        <v>1</v>
      </c>
      <c r="Z56" s="26" t="n">
        <v>1</v>
      </c>
      <c r="AA56" s="26" t="n">
        <v>1</v>
      </c>
      <c r="AB56" s="26" t="n">
        <v>1</v>
      </c>
      <c r="AC56" s="26" t="n">
        <v>1</v>
      </c>
    </row>
    <row r="57">
      <c r="A57" s="13" t="inlineStr">
        <is>
          <t>지배주주 순이익 YoY</t>
        </is>
      </c>
      <c r="B57" s="10" t="n"/>
      <c r="C57" s="14" t="n"/>
      <c r="D57" s="15" t="n"/>
      <c r="E57" s="15" t="n"/>
      <c r="F57" s="15" t="n"/>
      <c r="G57" s="15">
        <f>IF(OR(G55="",C55=""),"",IF(C55&lt;=0,"",IFERROR(G55/C55-1,"")))</f>
        <v/>
      </c>
      <c r="H57" s="15">
        <f>IF(OR(H55="",D55=""),"",IF(D55&lt;=0,"",IFERROR(H55/D55-1,"")))</f>
        <v/>
      </c>
      <c r="I57" s="15">
        <f>IF(OR(I55="",E55=""),"",IF(E55&lt;=0,"",IFERROR(I55/E55-1,"")))</f>
        <v/>
      </c>
      <c r="J57" s="15">
        <f>IF(OR(J55="",F55=""),"",IF(F55&lt;=0,"",IFERROR(J55/F55-1,"")))</f>
        <v/>
      </c>
      <c r="K57" s="15">
        <f>IF(OR(K55="",G55=""),"",IF(G55&lt;=0,"",IFERROR(K55/G55-1,"")))</f>
        <v/>
      </c>
      <c r="L57" s="15">
        <f>IF(OR(L55="",H55=""),"",IF(H55&lt;=0,"",IFERROR(L55/H55-1,"")))</f>
        <v/>
      </c>
      <c r="M57" s="15">
        <f>IF(OR(M55="",I55=""),"",IF(I55&lt;=0,"",IFERROR(M55/I55-1,"")))</f>
        <v/>
      </c>
      <c r="N57" s="15">
        <f>IF(OR(N55="",J55=""),"",IF(J55&lt;=0,"",IFERROR(N55/J55-1,"")))</f>
        <v/>
      </c>
      <c r="O57" s="14" t="n"/>
      <c r="P57" s="15">
        <f>IF(OR(P55="",O55=""),"",IF(O55&lt;=0,"",IFERROR(P55/O55-1,"")))</f>
        <v/>
      </c>
      <c r="Q57" s="15">
        <f>IF(OR(Q55="",P55=""),"",IF(P55&lt;=0,"",IFERROR(Q55/P55-1,"")))</f>
        <v/>
      </c>
      <c r="R57" s="15">
        <f>IF(OR(R55="",Q55=""),"",IF(Q55&lt;=0,"",IFERROR(R55/Q55-1,"")))</f>
        <v/>
      </c>
      <c r="S57" s="15">
        <f>IF(OR(S55="",R55=""),"",IF(R55&lt;=0,"",IFERROR(S55/R55-1,"")))</f>
        <v/>
      </c>
      <c r="T57" s="15">
        <f>IF(OR(T55="",S55=""),"",IF(S55&lt;=0,"",IFERROR(T55/S55-1,"")))</f>
        <v/>
      </c>
      <c r="U57" s="15">
        <f>IF(OR(U55="",T55=""),"",IF(T55&lt;=0,"",IFERROR(U55/T55-1,"")))</f>
        <v/>
      </c>
      <c r="V57" s="15">
        <f>IF(OR(V55="",U55=""),"",IF(U55&lt;=0,"",IFERROR(V55/U55-1,"")))</f>
        <v/>
      </c>
      <c r="W57" s="15">
        <f>IF(OR(W55="",V55=""),"",IF(V55&lt;=0,"",IFERROR(W55/V55-1,"")))</f>
        <v/>
      </c>
      <c r="X57" s="15">
        <f>IF(OR(X55="",W55=""),"",IF(W55&lt;=0,"",IFERROR(X55/W55-1,"")))</f>
        <v/>
      </c>
      <c r="Y57" s="14">
        <f>IF(OR(Y55="",X55=""),"",IF(X55&lt;=0,"",IFERROR(Y55/X55-1,"")))</f>
        <v/>
      </c>
      <c r="Z57" s="15">
        <f>IF(OR(Z55="",Y55=""),"",IF(Y55&lt;=0,"",IFERROR(Z55/Y55-1,"")))</f>
        <v/>
      </c>
      <c r="AA57" s="15">
        <f>IF(OR(AA55="",Z55=""),"",IF(Z55&lt;=0,"",IFERROR(AA55/Z55-1,"")))</f>
        <v/>
      </c>
      <c r="AB57" s="15">
        <f>IF(OR(AB55="",AA55=""),"",IF(AA55&lt;=0,"",IFERROR(AB55/AA55-1,"")))</f>
        <v/>
      </c>
      <c r="AC57" s="15">
        <f>IF(OR(AC55="",AB55=""),"",IF(AB55&lt;=0,"",IFERROR(AC55/AB55-1,"")))</f>
        <v/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(2026.10.28)</t>
        </is>
      </c>
      <c r="B59" s="27" t="n">
        <v>1301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8230000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IF(O26="","",O26)</f>
        <v/>
      </c>
      <c r="P62" s="15">
        <f>IF(P26="","",P26)</f>
        <v/>
      </c>
      <c r="Q62" s="15">
        <f>IF(Q26="","",Q26)</f>
        <v/>
      </c>
      <c r="R62" s="15">
        <f>IF(R26="","",R26)</f>
        <v/>
      </c>
      <c r="S62" s="15">
        <f>IF(S26="","",S26)</f>
        <v/>
      </c>
      <c r="T62" s="15">
        <f>IF(T26="","",T26)</f>
        <v/>
      </c>
      <c r="U62" s="15">
        <f>IF(U26="","",U26)</f>
        <v/>
      </c>
      <c r="V62" s="15">
        <f>IF(V26="","",V26)</f>
        <v/>
      </c>
      <c r="W62" s="15">
        <f>IF(W26="","",W26)</f>
        <v/>
      </c>
      <c r="X62" s="15">
        <f>IF(X26="","",X26)</f>
        <v/>
      </c>
      <c r="Y62" s="14">
        <f>IF(Y26="","",Y26)</f>
        <v/>
      </c>
      <c r="Z62" s="15">
        <f>IF(Z26="","",Z26)</f>
        <v/>
      </c>
      <c r="AA62" s="15">
        <f>IF(AA26="","",AA26)</f>
        <v/>
      </c>
      <c r="AB62" s="15">
        <f>IF(AB26="","",AB26)</f>
        <v/>
      </c>
      <c r="AC62" s="15">
        <f>IF(AC26="","",AC26)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IF(OR(P55="",O55=""),"",IFERROR(P55/O55-1,""))</f>
        <v/>
      </c>
      <c r="Q63" s="15">
        <f>IF(OR(Q55="",P55=""),"",IFERROR(Q55/P55-1,""))</f>
        <v/>
      </c>
      <c r="R63" s="15">
        <f>IF(OR(R55="",Q55=""),"",IFERROR(R55/Q55-1,""))</f>
        <v/>
      </c>
      <c r="S63" s="15">
        <f>IF(OR(S55="",R55=""),"",IFERROR(S55/R55-1,""))</f>
        <v/>
      </c>
      <c r="T63" s="15">
        <f>IF(OR(T55="",S55=""),"",IFERROR(T55/S55-1,""))</f>
        <v/>
      </c>
      <c r="U63" s="15">
        <f>IF(OR(U55="",T55=""),"",IFERROR(U55/T55-1,""))</f>
        <v/>
      </c>
      <c r="V63" s="15">
        <f>IF(OR(V55="",U55=""),"",IFERROR(V55/U55-1,""))</f>
        <v/>
      </c>
      <c r="W63" s="15">
        <f>IF(OR(W55="",V55=""),"",IFERROR(W55/V55-1,""))</f>
        <v/>
      </c>
      <c r="X63" s="15">
        <f>IF(OR(X55="",W55=""),"",IFERROR(X55/W55-1,""))</f>
        <v/>
      </c>
      <c r="Y63" s="14">
        <f>IF(OR(Y55="",X55=""),"",IFERROR(Y55/X55-1,""))</f>
        <v/>
      </c>
      <c r="Z63" s="15">
        <f>IF(OR(Z55="",Y55=""),"",IFERROR(Z55/Y55-1,""))</f>
        <v/>
      </c>
      <c r="AA63" s="15">
        <f>IF(OR(AA55="",Z55=""),"",IFERROR(AA55/Z55-1,""))</f>
        <v/>
      </c>
      <c r="AB63" s="15">
        <f>IF(OR(AB55="",AA55=""),"",IFERROR(AB55/AA55-1,""))</f>
        <v/>
      </c>
      <c r="AC63" s="15">
        <f>IF(OR(AC55="",AB55=""),"",IFERROR(AC55/AB55-1,""))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IF(OR($B$61="",X55=""),"",IFERROR($B$61/X55,""))</f>
        <v/>
      </c>
      <c r="Y64" s="30">
        <f>IF(OR($B$61="",Y55=""),"",IFERROR($B$61/Y55,""))</f>
        <v/>
      </c>
      <c r="Z64" s="31">
        <f>IF(OR($B$61="",Z55=""),"",IFERROR($B$61/Z55,""))</f>
        <v/>
      </c>
      <c r="AA64" s="31">
        <f>IF(OR($B$61="",AA55=""),"",IFERROR($B$61/AA55,""))</f>
        <v/>
      </c>
      <c r="AB64" s="31">
        <f>IF(OR($B$61="",AB55=""),"",IFERROR($B$61/AB55,""))</f>
        <v/>
      </c>
      <c r="AC64" s="31">
        <f>IF(OR($B$61="",AC55=""),"",IFERROR($B$61/AC55,""))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IF(OR(O55="",$B$60=""),"",IFERROR(O55*1000000.0/$B$60,""))</f>
        <v/>
      </c>
      <c r="P66" s="29">
        <f>IF(OR(P55="",$B$60=""),"",IFERROR(P55*1000000.0/$B$60,""))</f>
        <v/>
      </c>
      <c r="Q66" s="29">
        <f>IF(OR(Q55="",$B$60=""),"",IFERROR(Q55*1000000.0/$B$60,""))</f>
        <v/>
      </c>
      <c r="R66" s="29">
        <f>IF(OR(R55="",$B$60=""),"",IFERROR(R55*1000000.0/$B$60,""))</f>
        <v/>
      </c>
      <c r="S66" s="29">
        <f>IF(OR(S55="",$B$60=""),"",IFERROR(S55*1000000.0/$B$60,""))</f>
        <v/>
      </c>
      <c r="T66" s="29">
        <f>IF(OR(T55="",$B$60=""),"",IFERROR(T55*1000000.0/$B$60,""))</f>
        <v/>
      </c>
      <c r="U66" s="29">
        <f>IF(OR(U55="",$B$60=""),"",IFERROR(U55*1000000.0/$B$60,""))</f>
        <v/>
      </c>
      <c r="V66" s="29">
        <f>IF(OR(V55="",$B$60=""),"",IFERROR(V55*1000000.0/$B$60,""))</f>
        <v/>
      </c>
      <c r="W66" s="29">
        <f>IF(OR(W55="",$B$60=""),"",IFERROR(W55*1000000.0/$B$60,""))</f>
        <v/>
      </c>
      <c r="X66" s="29">
        <f>IF(OR(X55="",$B$60=""),"",IFERROR(X55*1000000.0/$B$60,""))</f>
        <v/>
      </c>
      <c r="Y66" s="28">
        <f>IF(OR(Y55="",$B$60=""),"",IFERROR(Y55*1000000.0/$B$60,""))</f>
        <v/>
      </c>
      <c r="Z66" s="29">
        <f>IF(OR(Z55="",$B$60=""),"",IFERROR(Z55*1000000.0/$B$60,""))</f>
        <v/>
      </c>
      <c r="AA66" s="29">
        <f>IF(OR(AA55="",$B$60=""),"",IFERROR(AA55*1000000.0/$B$60,""))</f>
        <v/>
      </c>
      <c r="AB66" s="29">
        <f>IF(OR(AB55="",$B$60=""),"",IFERROR(AB55*1000000.0/$B$60,""))</f>
        <v/>
      </c>
      <c r="AC66" s="29">
        <f>IF(OR(AC55="",$B$60=""),"",IFERROR(AC55*1000000.0/$B$60,""))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IF(OR(Y55="",Y65=""),"",IFERROR(Y55*Y65,""))</f>
        <v/>
      </c>
      <c r="Z78" s="20">
        <f>IF(OR(Z55="",Z65=""),"",IFERROR(Z55*Z65,""))</f>
        <v/>
      </c>
      <c r="AA78" s="20">
        <f>IF(OR(AA55="",AA65=""),"",IFERROR(AA55*AA65,""))</f>
        <v/>
      </c>
      <c r="AB78" s="20">
        <f>IF(OR(AB55="",AB65=""),"",IFERROR(AB55*AB65,""))</f>
        <v/>
      </c>
      <c r="AC78" s="20">
        <f>IF(OR(AC55="",AC65=""),"",IFERROR(AC55*AC65,""))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2026.10.28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2024.1Q</t>
        </is>
      </c>
      <c r="D89" s="5" t="inlineStr">
        <is>
          <t>2024.2Q</t>
        </is>
      </c>
      <c r="E89" s="5" t="inlineStr">
        <is>
          <t>2024.3Q</t>
        </is>
      </c>
      <c r="F89" s="5" t="inlineStr">
        <is>
          <t>2024.4Q</t>
        </is>
      </c>
      <c r="G89" s="5" t="inlineStr">
        <is>
          <t>2025.1Q</t>
        </is>
      </c>
      <c r="H89" s="5" t="inlineStr">
        <is>
          <t>2025.2Q</t>
        </is>
      </c>
      <c r="I89" s="5" t="inlineStr">
        <is>
          <t>2025.3Q</t>
        </is>
      </c>
      <c r="J89" s="5" t="inlineStr">
        <is>
          <t>2025.4Q</t>
        </is>
      </c>
      <c r="K89" s="5" t="inlineStr">
        <is>
          <t>2026.1Q</t>
        </is>
      </c>
      <c r="L89" s="5" t="inlineStr">
        <is>
          <t>2026.2Q</t>
        </is>
      </c>
      <c r="M89" s="5" t="inlineStr">
        <is>
          <t>2026.3Q</t>
        </is>
      </c>
      <c r="N89" s="5" t="inlineStr">
        <is>
          <t>2026.4Q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304.444</v>
      </c>
      <c r="D90" s="12" t="n">
        <v>255.263</v>
      </c>
      <c r="E90" s="12" t="n">
        <v>319.179</v>
      </c>
      <c r="F90" s="12" t="n">
        <v>305.889</v>
      </c>
      <c r="G90" s="12" t="n">
        <v>340.978</v>
      </c>
      <c r="H90" s="12" t="n">
        <v>388.176</v>
      </c>
      <c r="I90" s="12" t="n">
        <v>430.963</v>
      </c>
      <c r="J90" s="12" t="n">
        <v>494.503</v>
      </c>
      <c r="K90" s="12" t="n">
        <v>515.133</v>
      </c>
      <c r="L90" s="12" t="n">
        <v>512.866</v>
      </c>
      <c r="M90" s="12" t="n">
        <v>536.773</v>
      </c>
      <c r="N90" s="12" t="n">
        <v>569.446</v>
      </c>
      <c r="T90" s="12" t="n">
        <v>206.998</v>
      </c>
      <c r="U90" s="12" t="n">
        <v>218.949</v>
      </c>
      <c r="V90" s="12" t="n">
        <v>305.889</v>
      </c>
      <c r="W90" s="12" t="n">
        <v>494.503</v>
      </c>
      <c r="X90" s="12" t="n">
        <v>569.446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매출원가</t>
        </is>
      </c>
      <c r="C92" s="20" t="n">
        <v>167.321</v>
      </c>
      <c r="D92" s="20" t="n">
        <v>101.381</v>
      </c>
      <c r="E92" s="20" t="n">
        <v>123.822</v>
      </c>
      <c r="F92" s="20" t="n">
        <v>114.182</v>
      </c>
      <c r="G92" s="20" t="n">
        <v>131.335</v>
      </c>
      <c r="H92" s="20" t="n">
        <v>152.764</v>
      </c>
      <c r="I92" s="20" t="n">
        <v>159.303</v>
      </c>
      <c r="J92" s="20" t="n">
        <v>201.223</v>
      </c>
      <c r="K92" s="20" t="n">
        <v>193.579</v>
      </c>
      <c r="L92" s="20" t="n">
        <v>190.86</v>
      </c>
      <c r="M92" s="20" t="n">
        <v>201.135</v>
      </c>
      <c r="N92" s="20" t="n">
        <v>199.226</v>
      </c>
      <c r="T92" s="20" t="n">
        <v>78.556</v>
      </c>
      <c r="U92" s="20" t="n">
        <v>90.54600000000001</v>
      </c>
      <c r="V92" s="20" t="n">
        <v>114.182</v>
      </c>
      <c r="W92" s="20" t="n">
        <v>201.223</v>
      </c>
      <c r="X92" s="20" t="n">
        <v>199.226</v>
      </c>
    </row>
    <row r="93">
      <c r="A93" s="43" t="inlineStr">
        <is>
          <t>YoY</t>
        </is>
      </c>
      <c r="B93" s="3" t="inlineStr">
        <is>
          <t>전년 같은 분기·전년 대비</t>
        </is>
      </c>
      <c r="G93" s="15">
        <f>IF(OR(G92="",C92=""),"",IF(G92*C92&lt;=0,"",IFERROR(G92/C92-1,"")))</f>
        <v/>
      </c>
      <c r="H93" s="15">
        <f>IF(OR(H92="",D92=""),"",IF(H92*D92&lt;=0,"",IFERROR(H92/D92-1,"")))</f>
        <v/>
      </c>
      <c r="I93" s="15">
        <f>IF(OR(I92="",E92=""),"",IF(I92*E92&lt;=0,"",IFERROR(I92/E92-1,"")))</f>
        <v/>
      </c>
      <c r="J93" s="15">
        <f>IF(OR(J92="",F92=""),"",IF(J92*F92&lt;=0,"",IFERROR(J92/F92-1,"")))</f>
        <v/>
      </c>
      <c r="K93" s="15">
        <f>IF(OR(K92="",G92=""),"",IF(K92*G92&lt;=0,"",IFERROR(K92/G92-1,"")))</f>
        <v/>
      </c>
      <c r="L93" s="15">
        <f>IF(OR(L92="",H92=""),"",IF(L92*H92&lt;=0,"",IFERROR(L92/H92-1,"")))</f>
        <v/>
      </c>
      <c r="M93" s="15">
        <f>IF(OR(M92="",I92=""),"",IF(M92*I92&lt;=0,"",IFERROR(M92/I92-1,"")))</f>
        <v/>
      </c>
      <c r="N93" s="15">
        <f>IF(OR(N92="",J92=""),"",IF(N92*J92&lt;=0,"",IFERROR(N92/J92-1,"")))</f>
        <v/>
      </c>
      <c r="T93" s="15">
        <f>IF(OR(T92="",S92=""),"",IF(T92*S92&lt;=0,"",IFERROR(T92/S92-1,"")))</f>
        <v/>
      </c>
      <c r="U93" s="15">
        <f>IF(OR(U92="",T92=""),"",IF(U92*T92&lt;=0,"",IFERROR(U92/T92-1,"")))</f>
        <v/>
      </c>
      <c r="V93" s="15">
        <f>IF(OR(V92="",U92=""),"",IF(V92*U92&lt;=0,"",IFERROR(V92/U92-1,"")))</f>
        <v/>
      </c>
      <c r="W93" s="15">
        <f>IF(OR(W92="",V92=""),"",IF(W92*V92&lt;=0,"",IFERROR(W92/V92-1,"")))</f>
        <v/>
      </c>
      <c r="X93" s="15">
        <f>IF(OR(X92="",W92=""),"",IF(X92*W92&lt;=0,"",IFERROR(X92/W92-1,"")))</f>
        <v/>
      </c>
    </row>
    <row r="94">
      <c r="A94" s="9" t="inlineStr">
        <is>
          <t>매출총이익</t>
        </is>
      </c>
      <c r="C94" s="12" t="n">
        <v>137.122</v>
      </c>
      <c r="D94" s="12" t="n">
        <v>153.882</v>
      </c>
      <c r="E94" s="12" t="n">
        <v>195.357</v>
      </c>
      <c r="F94" s="12" t="n">
        <v>191.707</v>
      </c>
      <c r="G94" s="12" t="n">
        <v>209.643</v>
      </c>
      <c r="H94" s="12" t="n">
        <v>235.411</v>
      </c>
      <c r="I94" s="12" t="n">
        <v>271.661</v>
      </c>
      <c r="J94" s="12" t="n">
        <v>293.28</v>
      </c>
      <c r="K94" s="12" t="n">
        <v>321.554</v>
      </c>
      <c r="L94" s="12" t="n">
        <v>322.006</v>
      </c>
      <c r="M94" s="12" t="n">
        <v>335.637</v>
      </c>
      <c r="N94" s="12" t="n">
        <v>370.22</v>
      </c>
      <c r="T94" s="12" t="n">
        <v>128.441</v>
      </c>
      <c r="U94" s="12" t="n">
        <v>128.404</v>
      </c>
      <c r="V94" s="12" t="n">
        <v>191.707</v>
      </c>
      <c r="W94" s="12" t="n">
        <v>293.28</v>
      </c>
      <c r="X94" s="12" t="n">
        <v>370.22</v>
      </c>
    </row>
    <row r="95">
      <c r="A95" s="43" t="inlineStr">
        <is>
          <t>YoY</t>
        </is>
      </c>
      <c r="B95" s="3" t="inlineStr">
        <is>
          <t>전년 같은 분기·전년 대비</t>
        </is>
      </c>
      <c r="G95" s="15">
        <f>IF(OR(G94="",C94=""),"",IF(C94&lt;=0,"",IFERROR(G94/C94-1,"")))</f>
        <v/>
      </c>
      <c r="H95" s="15">
        <f>IF(OR(H94="",D94=""),"",IF(D94&lt;=0,"",IFERROR(H94/D94-1,"")))</f>
        <v/>
      </c>
      <c r="I95" s="15">
        <f>IF(OR(I94="",E94=""),"",IF(E94&lt;=0,"",IFERROR(I94/E94-1,"")))</f>
        <v/>
      </c>
      <c r="J95" s="15">
        <f>IF(OR(J94="",F94=""),"",IF(F94&lt;=0,"",IFERROR(J94/F94-1,"")))</f>
        <v/>
      </c>
      <c r="K95" s="15">
        <f>IF(OR(K94="",G94=""),"",IF(G94&lt;=0,"",IFERROR(K94/G94-1,"")))</f>
        <v/>
      </c>
      <c r="L95" s="15">
        <f>IF(OR(L94="",H94=""),"",IF(H94&lt;=0,"",IFERROR(L94/H94-1,"")))</f>
        <v/>
      </c>
      <c r="M95" s="15">
        <f>IF(OR(M94="",I94=""),"",IF(I94&lt;=0,"",IFERROR(M94/I94-1,"")))</f>
        <v/>
      </c>
      <c r="N95" s="15">
        <f>IF(OR(N94="",J94=""),"",IF(J94&lt;=0,"",IFERROR(N94/J94-1,"")))</f>
        <v/>
      </c>
      <c r="T95" s="15">
        <f>IF(OR(T94="",S94=""),"",IF(S94&lt;=0,"",IFERROR(T94/S94-1,"")))</f>
        <v/>
      </c>
      <c r="U95" s="15">
        <f>IF(OR(U94="",T94=""),"",IF(T94&lt;=0,"",IFERROR(U94/T94-1,"")))</f>
        <v/>
      </c>
      <c r="V95" s="15">
        <f>IF(OR(V94="",U94=""),"",IF(U94&lt;=0,"",IFERROR(V94/U94-1,"")))</f>
        <v/>
      </c>
      <c r="W95" s="15">
        <f>IF(OR(W94="",V94=""),"",IF(V94&lt;=0,"",IFERROR(W94/V94-1,"")))</f>
        <v/>
      </c>
      <c r="X95" s="15">
        <f>IF(OR(X94="",W94=""),"",IF(W94&lt;=0,"",IFERROR(X94/W94-1,"")))</f>
        <v/>
      </c>
    </row>
    <row r="96">
      <c r="A96" s="18" t="inlineStr">
        <is>
          <t>판매비와 관리비</t>
        </is>
      </c>
      <c r="C96" s="20" t="n">
        <v>157.64</v>
      </c>
      <c r="D96" s="20" t="n">
        <v>148.802</v>
      </c>
      <c r="E96" s="20" t="n">
        <v>215.503</v>
      </c>
      <c r="F96" s="20" t="n">
        <v>187.399</v>
      </c>
      <c r="G96" s="20" t="n">
        <v>201.036</v>
      </c>
      <c r="H96" s="20" t="n">
        <v>211.547</v>
      </c>
      <c r="I96" s="20" t="n">
        <v>246.862</v>
      </c>
      <c r="J96" s="20" t="n">
        <v>243.294</v>
      </c>
      <c r="K96" s="20" t="n">
        <v>264.995</v>
      </c>
      <c r="L96" s="20" t="n">
        <v>273.641</v>
      </c>
      <c r="M96" s="20" t="n">
        <v>291.327</v>
      </c>
      <c r="N96" s="20" t="n">
        <v>257.451</v>
      </c>
      <c r="T96" s="20" t="n">
        <v>121.925</v>
      </c>
      <c r="U96" s="20" t="n">
        <v>164.069</v>
      </c>
      <c r="V96" s="20" t="n">
        <v>187.399</v>
      </c>
      <c r="W96" s="20" t="n">
        <v>243.294</v>
      </c>
      <c r="X96" s="20" t="n">
        <v>257.451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IF(OR(G96="",C96=""),"",IF(G96*C96&lt;=0,"",IFERROR(G96/C96-1,"")))</f>
        <v/>
      </c>
      <c r="H97" s="15">
        <f>IF(OR(H96="",D96=""),"",IF(H96*D96&lt;=0,"",IFERROR(H96/D96-1,"")))</f>
        <v/>
      </c>
      <c r="I97" s="15">
        <f>IF(OR(I96="",E96=""),"",IF(I96*E96&lt;=0,"",IFERROR(I96/E96-1,"")))</f>
        <v/>
      </c>
      <c r="J97" s="15">
        <f>IF(OR(J96="",F96=""),"",IF(J96*F96&lt;=0,"",IFERROR(J96/F96-1,"")))</f>
        <v/>
      </c>
      <c r="K97" s="15">
        <f>IF(OR(K96="",G96=""),"",IF(K96*G96&lt;=0,"",IFERROR(K96/G96-1,"")))</f>
        <v/>
      </c>
      <c r="L97" s="15">
        <f>IF(OR(L96="",H96=""),"",IF(L96*H96&lt;=0,"",IFERROR(L96/H96-1,"")))</f>
        <v/>
      </c>
      <c r="M97" s="15">
        <f>IF(OR(M96="",I96=""),"",IF(M96*I96&lt;=0,"",IFERROR(M96/I96-1,"")))</f>
        <v/>
      </c>
      <c r="N97" s="15">
        <f>IF(OR(N96="",J96=""),"",IF(N96*J96&lt;=0,"",IFERROR(N96/J96-1,"")))</f>
        <v/>
      </c>
      <c r="T97" s="15">
        <f>IF(OR(T96="",S96=""),"",IF(T96*S96&lt;=0,"",IFERROR(T96/S96-1,"")))</f>
        <v/>
      </c>
      <c r="U97" s="15">
        <f>IF(OR(U96="",T96=""),"",IF(U96*T96&lt;=0,"",IFERROR(U96/T96-1,"")))</f>
        <v/>
      </c>
      <c r="V97" s="15">
        <f>IF(OR(V96="",U96=""),"",IF(V96*U96&lt;=0,"",IFERROR(V96/U96-1,"")))</f>
        <v/>
      </c>
      <c r="W97" s="15">
        <f>IF(OR(W96="",V96=""),"",IF(W96*V96&lt;=0,"",IFERROR(W96/V96-1,"")))</f>
        <v/>
      </c>
      <c r="X97" s="15">
        <f>IF(OR(X96="",W96=""),"",IF(X96*W96&lt;=0,"",IFERROR(X96/W96-1,"")))</f>
        <v/>
      </c>
    </row>
    <row r="98">
      <c r="A98" s="9" t="inlineStr">
        <is>
          <t>영업이익</t>
        </is>
      </c>
      <c r="C98" s="12" t="n">
        <v>-20.517</v>
      </c>
      <c r="D98" s="12" t="n">
        <v>5.08</v>
      </c>
      <c r="E98" s="12" t="n">
        <v>-20.146</v>
      </c>
      <c r="F98" s="12" t="n">
        <v>4.308</v>
      </c>
      <c r="G98" s="12" t="n">
        <v>8.606</v>
      </c>
      <c r="H98" s="12" t="n">
        <v>23.864</v>
      </c>
      <c r="I98" s="12" t="n">
        <v>24.799</v>
      </c>
      <c r="J98" s="12" t="n">
        <v>49.987</v>
      </c>
      <c r="K98" s="12" t="n">
        <v>56.558</v>
      </c>
      <c r="L98" s="12" t="n">
        <v>48.366</v>
      </c>
      <c r="M98" s="12" t="n">
        <v>44.309</v>
      </c>
      <c r="N98" s="12" t="n">
        <v>112.769</v>
      </c>
      <c r="T98" s="12" t="n">
        <v>6.516</v>
      </c>
      <c r="U98" s="12" t="n">
        <v>-35.666</v>
      </c>
      <c r="V98" s="12" t="n">
        <v>4.308</v>
      </c>
      <c r="W98" s="12" t="n">
        <v>49.987</v>
      </c>
      <c r="X98" s="12" t="n">
        <v>112.769</v>
      </c>
    </row>
    <row r="99">
      <c r="A99" s="43" t="inlineStr">
        <is>
          <t>OPM</t>
        </is>
      </c>
      <c r="B99" s="3" t="inlineStr">
        <is>
          <t>영업이익 ÷ 매출</t>
        </is>
      </c>
      <c r="C99" s="15">
        <f>IF(OR(C98="",C90=""),"",IF(C90&lt;=0,"",IFERROR(C98/C90,"")))</f>
        <v/>
      </c>
      <c r="D99" s="15">
        <f>IF(OR(D98="",D90=""),"",IF(D90&lt;=0,"",IFERROR(D98/D90,"")))</f>
        <v/>
      </c>
      <c r="E99" s="15">
        <f>IF(OR(E98="",E90=""),"",IF(E90&lt;=0,"",IFERROR(E98/E90,"")))</f>
        <v/>
      </c>
      <c r="F99" s="15">
        <f>IF(OR(F98="",F90=""),"",IF(F90&lt;=0,"",IFERROR(F98/F90,"")))</f>
        <v/>
      </c>
      <c r="G99" s="15">
        <f>IF(OR(G98="",G90=""),"",IF(G90&lt;=0,"",IFERROR(G98/G90,"")))</f>
        <v/>
      </c>
      <c r="H99" s="15">
        <f>IF(OR(H98="",H90=""),"",IF(H90&lt;=0,"",IFERROR(H98/H90,"")))</f>
        <v/>
      </c>
      <c r="I99" s="15">
        <f>IF(OR(I98="",I90=""),"",IF(I90&lt;=0,"",IFERROR(I98/I90,"")))</f>
        <v/>
      </c>
      <c r="J99" s="15">
        <f>IF(OR(J98="",J90=""),"",IF(J90&lt;=0,"",IFERROR(J98/J90,"")))</f>
        <v/>
      </c>
      <c r="K99" s="15">
        <f>IF(OR(K98="",K90=""),"",IF(K90&lt;=0,"",IFERROR(K98/K90,"")))</f>
        <v/>
      </c>
      <c r="L99" s="15">
        <f>IF(OR(L98="",L90=""),"",IF(L90&lt;=0,"",IFERROR(L98/L90,"")))</f>
        <v/>
      </c>
      <c r="M99" s="15">
        <f>IF(OR(M98="",M90=""),"",IF(M90&lt;=0,"",IFERROR(M98/M90,"")))</f>
        <v/>
      </c>
      <c r="N99" s="15">
        <f>IF(OR(N98="",N90=""),"",IF(N90&lt;=0,"",IFERROR(N98/N90,"")))</f>
        <v/>
      </c>
      <c r="T99" s="15">
        <f>IF(OR(T98="",T90=""),"",IF(T90&lt;=0,"",IFERROR(T98/T90,"")))</f>
        <v/>
      </c>
      <c r="U99" s="15">
        <f>IF(OR(U98="",U90=""),"",IF(U90&lt;=0,"",IFERROR(U98/U90,"")))</f>
        <v/>
      </c>
      <c r="V99" s="15">
        <f>IF(OR(V98="",V90=""),"",IF(V90&lt;=0,"",IFERROR(V98/V90,"")))</f>
        <v/>
      </c>
      <c r="W99" s="15">
        <f>IF(OR(W98="",W90=""),"",IF(W90&lt;=0,"",IFERROR(W98/W90,"")))</f>
        <v/>
      </c>
      <c r="X99" s="15">
        <f>IF(OR(X98="",X90=""),"",IF(X90&lt;=0,"",IFERROR(X98/X90,"")))</f>
        <v/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IF(OR(G98="",C98=""),"",IF(C98&lt;=0,"",IFERROR(G98/C98-1,"")))</f>
        <v/>
      </c>
      <c r="H100" s="15">
        <f>IF(OR(H98="",D98=""),"",IF(D98&lt;=0,"",IFERROR(H98/D98-1,"")))</f>
        <v/>
      </c>
      <c r="I100" s="15">
        <f>IF(OR(I98="",E98=""),"",IF(E98&lt;=0,"",IFERROR(I98/E98-1,"")))</f>
        <v/>
      </c>
      <c r="J100" s="15">
        <f>IF(OR(J98="",F98=""),"",IF(F98&lt;=0,"",IFERROR(J98/F98-1,"")))</f>
        <v/>
      </c>
      <c r="K100" s="15">
        <f>IF(OR(K98="",G98=""),"",IF(G98&lt;=0,"",IFERROR(K98/G98-1,"")))</f>
        <v/>
      </c>
      <c r="L100" s="15">
        <f>IF(OR(L98="",H98=""),"",IF(H98&lt;=0,"",IFERROR(L98/H98-1,"")))</f>
        <v/>
      </c>
      <c r="M100" s="15">
        <f>IF(OR(M98="",I98=""),"",IF(I98&lt;=0,"",IFERROR(M98/I98-1,"")))</f>
        <v/>
      </c>
      <c r="N100" s="15">
        <f>IF(OR(N98="",J98=""),"",IF(J98&lt;=0,"",IFERROR(N98/J98-1,"")))</f>
        <v/>
      </c>
      <c r="T100" s="15">
        <f>IF(OR(T98="",S98=""),"",IF(S98&lt;=0,"",IFERROR(T98/S98-1,"")))</f>
        <v/>
      </c>
      <c r="U100" s="15">
        <f>IF(OR(U98="",T98=""),"",IF(T98&lt;=0,"",IFERROR(U98/T98-1,"")))</f>
        <v/>
      </c>
      <c r="V100" s="15">
        <f>IF(OR(V98="",U98=""),"",IF(U98&lt;=0,"",IFERROR(V98/U98-1,"")))</f>
        <v/>
      </c>
      <c r="W100" s="15">
        <f>IF(OR(W98="",V98=""),"",IF(V98&lt;=0,"",IFERROR(W98/V98-1,"")))</f>
        <v/>
      </c>
      <c r="X100" s="15">
        <f>IF(OR(X98="",W98=""),"",IF(W98&lt;=0,"",IFERROR(X98/W98-1,"")))</f>
        <v/>
      </c>
    </row>
    <row r="101">
      <c r="A101" s="18" t="inlineStr">
        <is>
          <t>이자수익</t>
        </is>
      </c>
      <c r="C101" s="20" t="n">
        <v>0</v>
      </c>
      <c r="D101" s="20" t="n">
        <v>0.003</v>
      </c>
      <c r="E101" s="20" t="n">
        <v>0.003</v>
      </c>
      <c r="F101" s="20" t="n">
        <v>0.044</v>
      </c>
      <c r="G101" s="20" t="n">
        <v>0.016</v>
      </c>
      <c r="H101" s="20" t="n">
        <v>0.497</v>
      </c>
      <c r="I101" s="20" t="n">
        <v>0.036</v>
      </c>
      <c r="J101" s="20" t="n">
        <v>1.393</v>
      </c>
      <c r="K101" s="20" t="n">
        <v>0.047</v>
      </c>
      <c r="L101" s="20" t="n">
        <v>1.659</v>
      </c>
      <c r="M101" s="20" t="n">
        <v>0.065</v>
      </c>
      <c r="N101" s="20" t="n">
        <v>1.838</v>
      </c>
      <c r="T101" s="20" t="n">
        <v>0.003</v>
      </c>
      <c r="U101" s="20" t="n">
        <v>0.003</v>
      </c>
      <c r="V101" s="20" t="n">
        <v>0.044</v>
      </c>
      <c r="W101" s="20" t="n">
        <v>1.393</v>
      </c>
      <c r="X101" s="20" t="n">
        <v>1.838</v>
      </c>
    </row>
    <row r="102">
      <c r="A102" s="18" t="inlineStr">
        <is>
          <t>보조금 수입</t>
        </is>
      </c>
      <c r="C102" s="20" t="n">
        <v>0.04</v>
      </c>
      <c r="D102" s="20" t="n">
        <v>0</v>
      </c>
      <c r="E102" s="20" t="n">
        <v>0</v>
      </c>
      <c r="F102" s="20" t="n">
        <v>0</v>
      </c>
      <c r="G102" s="20" t="n">
        <v>0</v>
      </c>
      <c r="H102" s="20" t="n">
        <v>0</v>
      </c>
      <c r="I102" s="20" t="n">
        <v>0</v>
      </c>
      <c r="J102" s="20" t="n">
        <v>0</v>
      </c>
      <c r="U102" s="20" t="n">
        <v>0</v>
      </c>
      <c r="V102" s="20" t="n">
        <v>0</v>
      </c>
      <c r="W102" s="20" t="n">
        <v>0</v>
      </c>
    </row>
    <row r="103">
      <c r="A103" s="18" t="inlineStr">
        <is>
          <t>포상금 수익</t>
        </is>
      </c>
      <c r="E103" s="20" t="n">
        <v>0</v>
      </c>
      <c r="F103" s="20" t="n">
        <v>0</v>
      </c>
      <c r="T103" s="20" t="n">
        <v>0</v>
      </c>
      <c r="U103" s="20" t="n">
        <v>0</v>
      </c>
      <c r="V103" s="20" t="n">
        <v>0</v>
      </c>
    </row>
    <row r="104">
      <c r="A104" s="18" t="inlineStr">
        <is>
          <t>업무수탁료</t>
        </is>
      </c>
      <c r="T104" s="20" t="n">
        <v>0</v>
      </c>
      <c r="U104" s="20" t="n">
        <v>0</v>
      </c>
    </row>
    <row r="105">
      <c r="A105" s="18" t="inlineStr">
        <is>
          <t>유가증권 이자</t>
        </is>
      </c>
      <c r="J105" s="20" t="n">
        <v>0</v>
      </c>
      <c r="N105" s="20" t="n">
        <v>1.103</v>
      </c>
      <c r="W105" s="20" t="n">
        <v>0</v>
      </c>
      <c r="X105" s="20" t="n">
        <v>1.103</v>
      </c>
    </row>
    <row r="106">
      <c r="A106" s="18" t="inlineStr">
        <is>
          <t>기타</t>
        </is>
      </c>
      <c r="C106" s="20" t="n">
        <v>0</v>
      </c>
      <c r="D106" s="20" t="n">
        <v>0.006</v>
      </c>
      <c r="E106" s="20" t="n">
        <v>0</v>
      </c>
      <c r="F106" s="20" t="n">
        <v>0</v>
      </c>
      <c r="G106" s="20" t="n">
        <v>0.002</v>
      </c>
      <c r="H106" s="20" t="n">
        <v>0.093</v>
      </c>
      <c r="I106" s="20" t="n">
        <v>0.011</v>
      </c>
      <c r="J106" s="20" t="n">
        <v>0.006</v>
      </c>
      <c r="K106" s="20" t="n">
        <v>0</v>
      </c>
      <c r="L106" s="20" t="n">
        <v>0</v>
      </c>
      <c r="M106" s="20" t="n">
        <v>0.02</v>
      </c>
      <c r="N106" s="20" t="n">
        <v>0.077</v>
      </c>
      <c r="T106" s="20" t="n">
        <v>0</v>
      </c>
      <c r="U106" s="20" t="n">
        <v>0</v>
      </c>
      <c r="V106" s="20" t="n">
        <v>0</v>
      </c>
      <c r="W106" s="20" t="n">
        <v>0.006</v>
      </c>
      <c r="X106" s="20" t="n">
        <v>0.077</v>
      </c>
    </row>
    <row r="107">
      <c r="A107" s="18" t="inlineStr">
        <is>
          <t>영업외수익 합계</t>
        </is>
      </c>
      <c r="C107" s="20" t="n">
        <v>0.04</v>
      </c>
      <c r="D107" s="20" t="n">
        <v>0.008999999999999999</v>
      </c>
      <c r="E107" s="20" t="n">
        <v>0.003</v>
      </c>
      <c r="F107" s="20" t="n">
        <v>0.045</v>
      </c>
      <c r="G107" s="20" t="n">
        <v>0.018</v>
      </c>
      <c r="H107" s="20" t="n">
        <v>0.591</v>
      </c>
      <c r="I107" s="20" t="n">
        <v>0.047</v>
      </c>
      <c r="J107" s="20" t="n">
        <v>1.398</v>
      </c>
      <c r="K107" s="20" t="n">
        <v>0.048</v>
      </c>
      <c r="L107" s="20" t="n">
        <v>1.659</v>
      </c>
      <c r="M107" s="20" t="n">
        <v>0.408</v>
      </c>
      <c r="N107" s="20" t="n">
        <v>3.019</v>
      </c>
      <c r="T107" s="20" t="n">
        <v>0.003</v>
      </c>
      <c r="U107" s="20" t="n">
        <v>0.003</v>
      </c>
      <c r="V107" s="20" t="n">
        <v>0.045</v>
      </c>
      <c r="W107" s="20" t="n">
        <v>1.398</v>
      </c>
      <c r="X107" s="20" t="n">
        <v>3.019</v>
      </c>
    </row>
    <row r="108">
      <c r="A108" s="43" t="inlineStr">
        <is>
          <t>YoY</t>
        </is>
      </c>
      <c r="B108" s="3" t="inlineStr">
        <is>
          <t>전년 같은 분기·전년 대비</t>
        </is>
      </c>
      <c r="G108" s="15">
        <f>IF(OR(G107="",C107=""),"",IF(G107*C107&lt;=0,"",IFERROR(G107/C107-1,"")))</f>
        <v/>
      </c>
      <c r="H108" s="15">
        <f>IF(OR(H107="",D107=""),"",IF(H107*D107&lt;=0,"",IFERROR(H107/D107-1,"")))</f>
        <v/>
      </c>
      <c r="I108" s="15">
        <f>IF(OR(I107="",E107=""),"",IF(I107*E107&lt;=0,"",IFERROR(I107/E107-1,"")))</f>
        <v/>
      </c>
      <c r="J108" s="15">
        <f>IF(OR(J107="",F107=""),"",IF(J107*F107&lt;=0,"",IFERROR(J107/F107-1,"")))</f>
        <v/>
      </c>
      <c r="K108" s="15">
        <f>IF(OR(K107="",G107=""),"",IF(K107*G107&lt;=0,"",IFERROR(K107/G107-1,"")))</f>
        <v/>
      </c>
      <c r="L108" s="15">
        <f>IF(OR(L107="",H107=""),"",IF(L107*H107&lt;=0,"",IFERROR(L107/H107-1,"")))</f>
        <v/>
      </c>
      <c r="M108" s="15">
        <f>IF(OR(M107="",I107=""),"",IF(M107*I107&lt;=0,"",IFERROR(M107/I107-1,"")))</f>
        <v/>
      </c>
      <c r="N108" s="15">
        <f>IF(OR(N107="",J107=""),"",IF(N107*J107&lt;=0,"",IFERROR(N107/J107-1,"")))</f>
        <v/>
      </c>
      <c r="T108" s="15">
        <f>IF(OR(T107="",S107=""),"",IF(T107*S107&lt;=0,"",IFERROR(T107/S107-1,"")))</f>
        <v/>
      </c>
      <c r="U108" s="15">
        <f>IF(OR(U107="",T107=""),"",IF(U107*T107&lt;=0,"",IFERROR(U107/T107-1,"")))</f>
        <v/>
      </c>
      <c r="V108" s="15">
        <f>IF(OR(V107="",U107=""),"",IF(V107*U107&lt;=0,"",IFERROR(V107/U107-1,"")))</f>
        <v/>
      </c>
      <c r="W108" s="15">
        <f>IF(OR(W107="",V107=""),"",IF(W107*V107&lt;=0,"",IFERROR(W107/V107-1,"")))</f>
        <v/>
      </c>
      <c r="X108" s="15">
        <f>IF(OR(X107="",W107=""),"",IF(X107*W107&lt;=0,"",IFERROR(X107/W107-1,"")))</f>
        <v/>
      </c>
    </row>
    <row r="109">
      <c r="A109" s="18" t="inlineStr">
        <is>
          <t>이자비용</t>
        </is>
      </c>
      <c r="C109" s="20" t="n">
        <v>0.355</v>
      </c>
      <c r="D109" s="20" t="n">
        <v>0.43</v>
      </c>
      <c r="E109" s="20" t="n">
        <v>0.424</v>
      </c>
      <c r="F109" s="20" t="n">
        <v>0.41</v>
      </c>
      <c r="G109" s="20" t="n">
        <v>0.406</v>
      </c>
      <c r="H109" s="20" t="n">
        <v>0.394</v>
      </c>
      <c r="I109" s="20" t="n">
        <v>0.484</v>
      </c>
      <c r="J109" s="20" t="n">
        <v>0.383</v>
      </c>
      <c r="K109" s="20" t="n">
        <v>0.349</v>
      </c>
      <c r="L109" s="20" t="n">
        <v>0.331</v>
      </c>
      <c r="M109" s="20" t="n">
        <v>0.334</v>
      </c>
      <c r="N109" s="20" t="n">
        <v>0.311</v>
      </c>
      <c r="U109" s="20" t="n">
        <v>0</v>
      </c>
      <c r="V109" s="20" t="n">
        <v>0.41</v>
      </c>
      <c r="W109" s="20" t="n">
        <v>0.383</v>
      </c>
      <c r="X109" s="20" t="n">
        <v>0.311</v>
      </c>
    </row>
    <row r="110">
      <c r="A110" s="18" t="inlineStr">
        <is>
          <t>외환차손</t>
        </is>
      </c>
      <c r="C110" s="20" t="n">
        <v>0.119</v>
      </c>
      <c r="D110" s="20" t="n">
        <v>0.696</v>
      </c>
      <c r="E110" s="20" t="n">
        <v>0.318</v>
      </c>
      <c r="F110" s="20" t="n">
        <v>0.066</v>
      </c>
      <c r="G110" s="20" t="n">
        <v>0.4</v>
      </c>
      <c r="H110" s="20" t="n">
        <v>0.35</v>
      </c>
      <c r="I110" s="20" t="n">
        <v>0.07000000000000001</v>
      </c>
      <c r="J110" s="20" t="n">
        <v>-0.082</v>
      </c>
      <c r="K110" s="20" t="n">
        <v>1.355</v>
      </c>
      <c r="L110" s="20" t="n">
        <v>1.169</v>
      </c>
      <c r="M110" s="20" t="n">
        <v>0.155</v>
      </c>
      <c r="N110" s="20" t="n">
        <v>0.05</v>
      </c>
      <c r="T110" s="20" t="n">
        <v>-0.127</v>
      </c>
      <c r="U110" s="20" t="n">
        <v>0.089</v>
      </c>
      <c r="V110" s="20" t="n">
        <v>0.066</v>
      </c>
      <c r="W110" s="20" t="n">
        <v>-0.082</v>
      </c>
      <c r="X110" s="20" t="n">
        <v>0.05</v>
      </c>
    </row>
    <row r="111">
      <c r="A111" s="18" t="inlineStr">
        <is>
          <t>주식교부비</t>
        </is>
      </c>
      <c r="C111" s="20" t="n">
        <v>0</v>
      </c>
      <c r="D111" s="20" t="n">
        <v>0</v>
      </c>
      <c r="E111" s="20" t="n">
        <v>0</v>
      </c>
      <c r="F111" s="20" t="n">
        <v>0</v>
      </c>
      <c r="G111" s="20" t="n">
        <v>14.011</v>
      </c>
      <c r="H111" s="20" t="n">
        <v>0</v>
      </c>
      <c r="I111" s="20" t="n">
        <v>0</v>
      </c>
      <c r="J111" s="20" t="n">
        <v>0</v>
      </c>
      <c r="K111" s="20" t="n">
        <v>0</v>
      </c>
      <c r="L111" s="20" t="n">
        <v>0</v>
      </c>
      <c r="M111" s="20" t="n">
        <v>0</v>
      </c>
      <c r="N111" s="20" t="n">
        <v>0</v>
      </c>
      <c r="T111" s="20" t="n">
        <v>0</v>
      </c>
      <c r="U111" s="20" t="n">
        <v>0</v>
      </c>
      <c r="V111" s="20" t="n">
        <v>0</v>
      </c>
      <c r="W111" s="20" t="n">
        <v>0</v>
      </c>
      <c r="X111" s="20" t="n">
        <v>0</v>
      </c>
    </row>
    <row r="112">
      <c r="A112" s="18" t="inlineStr">
        <is>
          <t>기타</t>
        </is>
      </c>
      <c r="C112" s="20" t="n">
        <v>0</v>
      </c>
      <c r="D112" s="20" t="n">
        <v>0</v>
      </c>
      <c r="E112" s="20" t="n">
        <v>0</v>
      </c>
      <c r="F112" s="20" t="n">
        <v>0.002</v>
      </c>
      <c r="G112" s="20" t="n">
        <v>0.002</v>
      </c>
      <c r="H112" s="20" t="n">
        <v>0.075</v>
      </c>
      <c r="I112" s="20" t="n">
        <v>0.003</v>
      </c>
      <c r="J112" s="20" t="n">
        <v>0.113</v>
      </c>
      <c r="K112" s="20" t="n">
        <v>0.037</v>
      </c>
      <c r="L112" s="20" t="n">
        <v>0.097</v>
      </c>
      <c r="M112" s="20" t="n">
        <v>0.028</v>
      </c>
      <c r="N112" s="20" t="n">
        <v>0.143</v>
      </c>
      <c r="T112" s="20" t="n">
        <v>-0.003</v>
      </c>
      <c r="U112" s="20" t="n">
        <v>0</v>
      </c>
      <c r="V112" s="20" t="n">
        <v>0.002</v>
      </c>
      <c r="W112" s="20" t="n">
        <v>0.113</v>
      </c>
      <c r="X112" s="20" t="n">
        <v>0.143</v>
      </c>
    </row>
    <row r="113">
      <c r="A113" s="18" t="inlineStr">
        <is>
          <t>영업외비용 합계</t>
        </is>
      </c>
      <c r="C113" s="20" t="n">
        <v>0.475</v>
      </c>
      <c r="D113" s="20" t="n">
        <v>1.126</v>
      </c>
      <c r="E113" s="20" t="n">
        <v>0.741</v>
      </c>
      <c r="F113" s="20" t="n">
        <v>0.479</v>
      </c>
      <c r="G113" s="20" t="n">
        <v>14.821</v>
      </c>
      <c r="H113" s="20" t="n">
        <v>0.819</v>
      </c>
      <c r="I113" s="20" t="n">
        <v>0.556</v>
      </c>
      <c r="J113" s="20" t="n">
        <v>0.414</v>
      </c>
      <c r="K113" s="20" t="n">
        <v>1.742</v>
      </c>
      <c r="L113" s="20" t="n">
        <v>1.597</v>
      </c>
      <c r="M113" s="20" t="n">
        <v>0.517</v>
      </c>
      <c r="N113" s="20" t="n">
        <v>0.505</v>
      </c>
      <c r="T113" s="20" t="n">
        <v>-0.13</v>
      </c>
      <c r="U113" s="20" t="n">
        <v>0.08799999999999999</v>
      </c>
      <c r="V113" s="20" t="n">
        <v>0.479</v>
      </c>
      <c r="W113" s="20" t="n">
        <v>0.414</v>
      </c>
      <c r="X113" s="20" t="n">
        <v>0.505</v>
      </c>
    </row>
    <row r="114">
      <c r="A114" s="43" t="inlineStr">
        <is>
          <t>YoY</t>
        </is>
      </c>
      <c r="B114" s="3" t="inlineStr">
        <is>
          <t>전년 같은 분기·전년 대비</t>
        </is>
      </c>
      <c r="G114" s="15">
        <f>IF(OR(G113="",C113=""),"",IF(G113*C113&lt;=0,"",IFERROR(G113/C113-1,"")))</f>
        <v/>
      </c>
      <c r="H114" s="15">
        <f>IF(OR(H113="",D113=""),"",IF(H113*D113&lt;=0,"",IFERROR(H113/D113-1,"")))</f>
        <v/>
      </c>
      <c r="I114" s="15">
        <f>IF(OR(I113="",E113=""),"",IF(I113*E113&lt;=0,"",IFERROR(I113/E113-1,"")))</f>
        <v/>
      </c>
      <c r="J114" s="15">
        <f>IF(OR(J113="",F113=""),"",IF(J113*F113&lt;=0,"",IFERROR(J113/F113-1,"")))</f>
        <v/>
      </c>
      <c r="K114" s="15">
        <f>IF(OR(K113="",G113=""),"",IF(K113*G113&lt;=0,"",IFERROR(K113/G113-1,"")))</f>
        <v/>
      </c>
      <c r="L114" s="15">
        <f>IF(OR(L113="",H113=""),"",IF(L113*H113&lt;=0,"",IFERROR(L113/H113-1,"")))</f>
        <v/>
      </c>
      <c r="M114" s="15">
        <f>IF(OR(M113="",I113=""),"",IF(M113*I113&lt;=0,"",IFERROR(M113/I113-1,"")))</f>
        <v/>
      </c>
      <c r="N114" s="15">
        <f>IF(OR(N113="",J113=""),"",IF(N113*J113&lt;=0,"",IFERROR(N113/J113-1,"")))</f>
        <v/>
      </c>
      <c r="T114" s="15">
        <f>IF(OR(T113="",S113=""),"",IF(T113*S113&lt;=0,"",IFERROR(T113/S113-1,"")))</f>
        <v/>
      </c>
      <c r="U114" s="15">
        <f>IF(OR(U113="",T113=""),"",IF(U113*T113&lt;=0,"",IFERROR(U113/T113-1,"")))</f>
        <v/>
      </c>
      <c r="V114" s="15">
        <f>IF(OR(V113="",U113=""),"",IF(V113*U113&lt;=0,"",IFERROR(V113/U113-1,"")))</f>
        <v/>
      </c>
      <c r="W114" s="15">
        <f>IF(OR(W113="",V113=""),"",IF(W113*V113&lt;=0,"",IFERROR(W113/V113-1,"")))</f>
        <v/>
      </c>
      <c r="X114" s="15">
        <f>IF(OR(X113="",W113=""),"",IF(X113*W113&lt;=0,"",IFERROR(X113/W113-1,"")))</f>
        <v/>
      </c>
    </row>
    <row r="115">
      <c r="A115" s="9" t="inlineStr">
        <is>
          <t>경상이익</t>
        </is>
      </c>
      <c r="C115" s="12" t="n">
        <v>-20.953</v>
      </c>
      <c r="D115" s="12" t="n">
        <v>3.965</v>
      </c>
      <c r="E115" s="12" t="n">
        <v>-20.886</v>
      </c>
      <c r="F115" s="12" t="n">
        <v>3.874</v>
      </c>
      <c r="G115" s="12" t="n">
        <v>-6.195</v>
      </c>
      <c r="H115" s="12" t="n">
        <v>23.634</v>
      </c>
      <c r="I115" s="12" t="n">
        <v>24.289</v>
      </c>
      <c r="J115" s="12" t="n">
        <v>50.972</v>
      </c>
      <c r="K115" s="12" t="n">
        <v>54.864</v>
      </c>
      <c r="L115" s="12" t="n">
        <v>48.428</v>
      </c>
      <c r="M115" s="12" t="n">
        <v>44.2</v>
      </c>
      <c r="N115" s="12" t="n">
        <v>115.283</v>
      </c>
      <c r="T115" s="12" t="n">
        <v>6.649</v>
      </c>
      <c r="U115" s="12" t="n">
        <v>-35.751</v>
      </c>
      <c r="V115" s="12" t="n">
        <v>3.874</v>
      </c>
      <c r="W115" s="12" t="n">
        <v>50.972</v>
      </c>
      <c r="X115" s="12" t="n">
        <v>115.283</v>
      </c>
    </row>
    <row r="116">
      <c r="A116" s="43" t="inlineStr">
        <is>
          <t>YoY</t>
        </is>
      </c>
      <c r="B116" s="3" t="inlineStr">
        <is>
          <t>전년 같은 분기·전년 대비</t>
        </is>
      </c>
      <c r="G116" s="15">
        <f>IF(OR(G115="",C115=""),"",IF(C115&lt;=0,"",IFERROR(G115/C115-1,"")))</f>
        <v/>
      </c>
      <c r="H116" s="15">
        <f>IF(OR(H115="",D115=""),"",IF(D115&lt;=0,"",IFERROR(H115/D115-1,"")))</f>
        <v/>
      </c>
      <c r="I116" s="15">
        <f>IF(OR(I115="",E115=""),"",IF(E115&lt;=0,"",IFERROR(I115/E115-1,"")))</f>
        <v/>
      </c>
      <c r="J116" s="15">
        <f>IF(OR(J115="",F115=""),"",IF(F115&lt;=0,"",IFERROR(J115/F115-1,"")))</f>
        <v/>
      </c>
      <c r="K116" s="15">
        <f>IF(OR(K115="",G115=""),"",IF(G115&lt;=0,"",IFERROR(K115/G115-1,"")))</f>
        <v/>
      </c>
      <c r="L116" s="15">
        <f>IF(OR(L115="",H115=""),"",IF(H115&lt;=0,"",IFERROR(L115/H115-1,"")))</f>
        <v/>
      </c>
      <c r="M116" s="15">
        <f>IF(OR(M115="",I115=""),"",IF(I115&lt;=0,"",IFERROR(M115/I115-1,"")))</f>
        <v/>
      </c>
      <c r="N116" s="15">
        <f>IF(OR(N115="",J115=""),"",IF(J115&lt;=0,"",IFERROR(N115/J115-1,"")))</f>
        <v/>
      </c>
      <c r="T116" s="15">
        <f>IF(OR(T115="",S115=""),"",IF(S115&lt;=0,"",IFERROR(T115/S115-1,"")))</f>
        <v/>
      </c>
      <c r="U116" s="15">
        <f>IF(OR(U115="",T115=""),"",IF(T115&lt;=0,"",IFERROR(U115/T115-1,"")))</f>
        <v/>
      </c>
      <c r="V116" s="15">
        <f>IF(OR(V115="",U115=""),"",IF(U115&lt;=0,"",IFERROR(V115/U115-1,"")))</f>
        <v/>
      </c>
      <c r="W116" s="15">
        <f>IF(OR(W115="",V115=""),"",IF(V115&lt;=0,"",IFERROR(W115/V115-1,"")))</f>
        <v/>
      </c>
      <c r="X116" s="15">
        <f>IF(OR(X115="",W115=""),"",IF(W115&lt;=0,"",IFERROR(X115/W115-1,"")))</f>
        <v/>
      </c>
    </row>
    <row r="117">
      <c r="A117" s="18" t="inlineStr">
        <is>
          <t>투자유가증권 평가손실</t>
        </is>
      </c>
      <c r="E117" s="20" t="n">
        <v>0</v>
      </c>
      <c r="F117" s="20" t="n">
        <v>0</v>
      </c>
      <c r="T117" s="20" t="n">
        <v>0</v>
      </c>
      <c r="U117" s="20" t="n">
        <v>0</v>
      </c>
      <c r="V117" s="20" t="n">
        <v>0</v>
      </c>
    </row>
    <row r="118">
      <c r="A118" s="18" t="inlineStr">
        <is>
          <t>특별손실 합계</t>
        </is>
      </c>
      <c r="E118" s="20" t="n">
        <v>0</v>
      </c>
      <c r="F118" s="20" t="n">
        <v>0</v>
      </c>
      <c r="T118" s="20" t="n">
        <v>0</v>
      </c>
      <c r="U118" s="20" t="n">
        <v>0</v>
      </c>
      <c r="V118" s="20" t="n">
        <v>0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T119" s="15">
        <f>IF(OR(T118="",S118=""),"",IF(T118*S118&lt;=0,"",IFERROR(T118/S118-1,"")))</f>
        <v/>
      </c>
      <c r="U119" s="15">
        <f>IF(OR(U118="",T118=""),"",IF(U118*T118&lt;=0,"",IFERROR(U118/T118-1,"")))</f>
        <v/>
      </c>
      <c r="V119" s="15">
        <f>IF(OR(V118="",U118=""),"",IF(V118*U118&lt;=0,"",IFERROR(V118/U118-1,"")))</f>
        <v/>
      </c>
    </row>
    <row r="120">
      <c r="A120" s="9" t="inlineStr">
        <is>
          <t>법인세차감전 순이익</t>
        </is>
      </c>
      <c r="C120" s="12" t="n">
        <v>-20.953</v>
      </c>
      <c r="D120" s="12" t="n">
        <v>3.965</v>
      </c>
      <c r="E120" s="12" t="n">
        <v>-20.886</v>
      </c>
      <c r="F120" s="12" t="n">
        <v>3.874</v>
      </c>
      <c r="G120" s="12" t="n">
        <v>-6.195</v>
      </c>
      <c r="H120" s="12" t="n">
        <v>23.634</v>
      </c>
      <c r="I120" s="12" t="n">
        <v>24.289</v>
      </c>
      <c r="J120" s="12" t="n">
        <v>50.972</v>
      </c>
      <c r="K120" s="12" t="n">
        <v>54.864</v>
      </c>
      <c r="L120" s="12" t="n">
        <v>48.428</v>
      </c>
      <c r="M120" s="12" t="n">
        <v>44.2</v>
      </c>
      <c r="N120" s="12" t="n">
        <v>115.283</v>
      </c>
      <c r="T120" s="12" t="n">
        <v>6.649</v>
      </c>
      <c r="U120" s="12" t="n">
        <v>-35.751</v>
      </c>
      <c r="V120" s="12" t="n">
        <v>3.874</v>
      </c>
      <c r="W120" s="12" t="n">
        <v>50.972</v>
      </c>
      <c r="X120" s="12" t="n">
        <v>115.283</v>
      </c>
    </row>
    <row r="121">
      <c r="A121" s="43" t="inlineStr">
        <is>
          <t>YoY</t>
        </is>
      </c>
      <c r="B121" s="3" t="inlineStr">
        <is>
          <t>전년 같은 분기·전년 대비</t>
        </is>
      </c>
      <c r="G121" s="15">
        <f>IF(OR(G120="",C120=""),"",IF(C120&lt;=0,"",IFERROR(G120/C120-1,"")))</f>
        <v/>
      </c>
      <c r="H121" s="15">
        <f>IF(OR(H120="",D120=""),"",IF(D120&lt;=0,"",IFERROR(H120/D120-1,"")))</f>
        <v/>
      </c>
      <c r="I121" s="15">
        <f>IF(OR(I120="",E120=""),"",IF(E120&lt;=0,"",IFERROR(I120/E120-1,"")))</f>
        <v/>
      </c>
      <c r="J121" s="15">
        <f>IF(OR(J120="",F120=""),"",IF(F120&lt;=0,"",IFERROR(J120/F120-1,"")))</f>
        <v/>
      </c>
      <c r="K121" s="15">
        <f>IF(OR(K120="",G120=""),"",IF(G120&lt;=0,"",IFERROR(K120/G120-1,"")))</f>
        <v/>
      </c>
      <c r="L121" s="15">
        <f>IF(OR(L120="",H120=""),"",IF(H120&lt;=0,"",IFERROR(L120/H120-1,"")))</f>
        <v/>
      </c>
      <c r="M121" s="15">
        <f>IF(OR(M120="",I120=""),"",IF(I120&lt;=0,"",IFERROR(M120/I120-1,"")))</f>
        <v/>
      </c>
      <c r="N121" s="15">
        <f>IF(OR(N120="",J120=""),"",IF(J120&lt;=0,"",IFERROR(N120/J120-1,"")))</f>
        <v/>
      </c>
      <c r="T121" s="15">
        <f>IF(OR(T120="",S120=""),"",IF(S120&lt;=0,"",IFERROR(T120/S120-1,"")))</f>
        <v/>
      </c>
      <c r="U121" s="15">
        <f>IF(OR(U120="",T120=""),"",IF(T120&lt;=0,"",IFERROR(U120/T120-1,"")))</f>
        <v/>
      </c>
      <c r="V121" s="15">
        <f>IF(OR(V120="",U120=""),"",IF(U120&lt;=0,"",IFERROR(V120/U120-1,"")))</f>
        <v/>
      </c>
      <c r="W121" s="15">
        <f>IF(OR(W120="",V120=""),"",IF(V120&lt;=0,"",IFERROR(W120/V120-1,"")))</f>
        <v/>
      </c>
      <c r="X121" s="15">
        <f>IF(OR(X120="",W120=""),"",IF(W120&lt;=0,"",IFERROR(X120/W120-1,"")))</f>
        <v/>
      </c>
    </row>
    <row r="122">
      <c r="A122" s="18" t="inlineStr">
        <is>
          <t>법인세·주민세·사업세</t>
        </is>
      </c>
      <c r="C122" s="20" t="n">
        <v>0.07199999999999999</v>
      </c>
      <c r="D122" s="20" t="n">
        <v>0.073</v>
      </c>
      <c r="E122" s="20" t="n">
        <v>0.07199999999999999</v>
      </c>
      <c r="F122" s="20" t="n">
        <v>0.313</v>
      </c>
      <c r="G122" s="20" t="n">
        <v>0.572</v>
      </c>
      <c r="H122" s="20" t="n">
        <v>4.416</v>
      </c>
      <c r="I122" s="20" t="n">
        <v>5.725</v>
      </c>
      <c r="J122" s="20" t="n">
        <v>10.365</v>
      </c>
      <c r="K122" s="20" t="n">
        <v>7.805</v>
      </c>
      <c r="L122" s="20" t="n">
        <v>7.481</v>
      </c>
      <c r="M122" s="20" t="n">
        <v>9.351000000000001</v>
      </c>
      <c r="N122" s="20" t="n">
        <v>11.968</v>
      </c>
      <c r="T122" s="20" t="n">
        <v>0.073</v>
      </c>
      <c r="U122" s="20" t="n">
        <v>0.073</v>
      </c>
      <c r="V122" s="20" t="n">
        <v>0.313</v>
      </c>
      <c r="W122" s="20" t="n">
        <v>10.365</v>
      </c>
      <c r="X122" s="20" t="n">
        <v>11.968</v>
      </c>
    </row>
    <row r="123">
      <c r="A123" s="18" t="inlineStr">
        <is>
          <t>법인세 조정액</t>
        </is>
      </c>
      <c r="C123" s="20" t="n">
        <v>-0.745</v>
      </c>
      <c r="D123" s="20" t="n">
        <v>-0.357</v>
      </c>
      <c r="E123" s="20" t="n">
        <v>-0.327</v>
      </c>
      <c r="F123" s="20" t="n">
        <v>-1.252</v>
      </c>
      <c r="G123" s="20" t="n">
        <v>-1.294</v>
      </c>
      <c r="H123" s="20" t="n">
        <v>-1.202</v>
      </c>
      <c r="I123" s="20" t="n">
        <v>-0.544</v>
      </c>
      <c r="J123" s="20" t="n">
        <v>-37.511</v>
      </c>
      <c r="K123" s="20" t="n">
        <v>-0.597</v>
      </c>
      <c r="L123" s="20" t="n">
        <v>1.528</v>
      </c>
      <c r="M123" s="20" t="n">
        <v>-3.63</v>
      </c>
      <c r="N123" s="20" t="n">
        <v>-25.876</v>
      </c>
      <c r="T123" s="20" t="n">
        <v>-0.533</v>
      </c>
      <c r="U123" s="20" t="n">
        <v>9.411</v>
      </c>
      <c r="V123" s="20" t="n">
        <v>-1.252</v>
      </c>
      <c r="W123" s="20" t="n">
        <v>-37.511</v>
      </c>
      <c r="X123" s="20" t="n">
        <v>-25.876</v>
      </c>
    </row>
    <row r="124">
      <c r="A124" s="18" t="inlineStr">
        <is>
          <t>법인세 등 합계</t>
        </is>
      </c>
      <c r="C124" s="20" t="n">
        <v>-0.672</v>
      </c>
      <c r="D124" s="20" t="n">
        <v>-0.285</v>
      </c>
      <c r="E124" s="20" t="n">
        <v>-0.254</v>
      </c>
      <c r="F124" s="20" t="n">
        <v>-0.9399999999999999</v>
      </c>
      <c r="G124" s="20" t="n">
        <v>-0.721</v>
      </c>
      <c r="H124" s="20" t="n">
        <v>3.213</v>
      </c>
      <c r="I124" s="20" t="n">
        <v>5.181</v>
      </c>
      <c r="J124" s="20" t="n">
        <v>-27.145</v>
      </c>
      <c r="K124" s="20" t="n">
        <v>7.207</v>
      </c>
      <c r="L124" s="20" t="n">
        <v>9.010999999999999</v>
      </c>
      <c r="M124" s="20" t="n">
        <v>5.72</v>
      </c>
      <c r="N124" s="20" t="n">
        <v>-13.909</v>
      </c>
      <c r="T124" s="20" t="n">
        <v>-0.46</v>
      </c>
      <c r="U124" s="20" t="n">
        <v>9.483000000000001</v>
      </c>
      <c r="V124" s="20" t="n">
        <v>-0.9399999999999999</v>
      </c>
      <c r="W124" s="20" t="n">
        <v>-27.145</v>
      </c>
      <c r="X124" s="20" t="n">
        <v>-13.909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IF(OR(G124="",C124=""),"",IF(G124*C124&lt;=0,"",IFERROR(G124/C124-1,"")))</f>
        <v/>
      </c>
      <c r="H125" s="15">
        <f>IF(OR(H124="",D124=""),"",IF(H124*D124&lt;=0,"",IFERROR(H124/D124-1,"")))</f>
        <v/>
      </c>
      <c r="I125" s="15">
        <f>IF(OR(I124="",E124=""),"",IF(I124*E124&lt;=0,"",IFERROR(I124/E124-1,"")))</f>
        <v/>
      </c>
      <c r="J125" s="15">
        <f>IF(OR(J124="",F124=""),"",IF(J124*F124&lt;=0,"",IFERROR(J124/F124-1,"")))</f>
        <v/>
      </c>
      <c r="K125" s="15">
        <f>IF(OR(K124="",G124=""),"",IF(K124*G124&lt;=0,"",IFERROR(K124/G124-1,"")))</f>
        <v/>
      </c>
      <c r="L125" s="15">
        <f>IF(OR(L124="",H124=""),"",IF(L124*H124&lt;=0,"",IFERROR(L124/H124-1,"")))</f>
        <v/>
      </c>
      <c r="M125" s="15">
        <f>IF(OR(M124="",I124=""),"",IF(M124*I124&lt;=0,"",IFERROR(M124/I124-1,"")))</f>
        <v/>
      </c>
      <c r="N125" s="15">
        <f>IF(OR(N124="",J124=""),"",IF(N124*J124&lt;=0,"",IFERROR(N124/J124-1,"")))</f>
        <v/>
      </c>
      <c r="T125" s="15">
        <f>IF(OR(T124="",S124=""),"",IF(T124*S124&lt;=0,"",IFERROR(T124/S124-1,"")))</f>
        <v/>
      </c>
      <c r="U125" s="15">
        <f>IF(OR(U124="",T124=""),"",IF(U124*T124&lt;=0,"",IFERROR(U124/T124-1,"")))</f>
        <v/>
      </c>
      <c r="V125" s="15">
        <f>IF(OR(V124="",U124=""),"",IF(V124*U124&lt;=0,"",IFERROR(V124/U124-1,"")))</f>
        <v/>
      </c>
      <c r="W125" s="15">
        <f>IF(OR(W124="",V124=""),"",IF(W124*V124&lt;=0,"",IFERROR(W124/V124-1,"")))</f>
        <v/>
      </c>
      <c r="X125" s="15">
        <f>IF(OR(X124="",W124=""),"",IF(X124*W124&lt;=0,"",IFERROR(X124/W124-1,"")))</f>
        <v/>
      </c>
    </row>
    <row r="126">
      <c r="A126" s="9" t="inlineStr">
        <is>
          <t>순이익</t>
        </is>
      </c>
      <c r="C126" s="12" t="n">
        <v>-20.28</v>
      </c>
      <c r="D126" s="12" t="n">
        <v>4.249</v>
      </c>
      <c r="E126" s="12" t="n">
        <v>-20.631</v>
      </c>
      <c r="F126" s="12" t="n">
        <v>4.814</v>
      </c>
      <c r="G126" s="12" t="n">
        <v>-5.474</v>
      </c>
      <c r="H126" s="12" t="n">
        <v>20.421</v>
      </c>
      <c r="I126" s="12" t="n">
        <v>19.108</v>
      </c>
      <c r="J126" s="12" t="n">
        <v>78.117</v>
      </c>
      <c r="K126" s="12" t="n">
        <v>47.656</v>
      </c>
      <c r="L126" s="12" t="n">
        <v>39.418</v>
      </c>
      <c r="M126" s="12" t="n">
        <v>38.48</v>
      </c>
      <c r="N126" s="12" t="n">
        <v>129.192</v>
      </c>
      <c r="T126" s="12" t="n">
        <v>7.11</v>
      </c>
      <c r="U126" s="12" t="n">
        <v>-45.236</v>
      </c>
      <c r="V126" s="12" t="n">
        <v>4.814</v>
      </c>
      <c r="W126" s="12" t="n">
        <v>78.117</v>
      </c>
      <c r="X126" s="12" t="n">
        <v>129.192</v>
      </c>
    </row>
    <row r="127">
      <c r="A127" s="43" t="inlineStr">
        <is>
          <t>YoY</t>
        </is>
      </c>
      <c r="B127" s="3" t="inlineStr">
        <is>
          <t>전년 같은 분기·전년 대비</t>
        </is>
      </c>
      <c r="G127" s="15">
        <f>IF(OR(G126="",C126=""),"",IF(C126&lt;=0,"",IFERROR(G126/C126-1,"")))</f>
        <v/>
      </c>
      <c r="H127" s="15">
        <f>IF(OR(H126="",D126=""),"",IF(D126&lt;=0,"",IFERROR(H126/D126-1,"")))</f>
        <v/>
      </c>
      <c r="I127" s="15">
        <f>IF(OR(I126="",E126=""),"",IF(E126&lt;=0,"",IFERROR(I126/E126-1,"")))</f>
        <v/>
      </c>
      <c r="J127" s="15">
        <f>IF(OR(J126="",F126=""),"",IF(F126&lt;=0,"",IFERROR(J126/F126-1,"")))</f>
        <v/>
      </c>
      <c r="K127" s="15">
        <f>IF(OR(K126="",G126=""),"",IF(G126&lt;=0,"",IFERROR(K126/G126-1,"")))</f>
        <v/>
      </c>
      <c r="L127" s="15">
        <f>IF(OR(L126="",H126=""),"",IF(H126&lt;=0,"",IFERROR(L126/H126-1,"")))</f>
        <v/>
      </c>
      <c r="M127" s="15">
        <f>IF(OR(M126="",I126=""),"",IF(I126&lt;=0,"",IFERROR(M126/I126-1,"")))</f>
        <v/>
      </c>
      <c r="N127" s="15">
        <f>IF(OR(N126="",J126=""),"",IF(J126&lt;=0,"",IFERROR(N126/J126-1,"")))</f>
        <v/>
      </c>
      <c r="T127" s="15">
        <f>IF(OR(T126="",S126=""),"",IF(S126&lt;=0,"",IFERROR(T126/S126-1,"")))</f>
        <v/>
      </c>
      <c r="U127" s="15">
        <f>IF(OR(U126="",T126=""),"",IF(T126&lt;=0,"",IFERROR(U126/T126-1,"")))</f>
        <v/>
      </c>
      <c r="V127" s="15">
        <f>IF(OR(V126="",U126=""),"",IF(U126&lt;=0,"",IFERROR(V126/U126-1,"")))</f>
        <v/>
      </c>
      <c r="W127" s="15">
        <f>IF(OR(W126="",V126=""),"",IF(V126&lt;=0,"",IFERROR(W126/V126-1,"")))</f>
        <v/>
      </c>
      <c r="X127" s="15">
        <f>IF(OR(X126="",W126=""),"",IF(W126&lt;=0,"",IFERROR(X126/W126-1,"")))</f>
        <v/>
      </c>
    </row>
    <row r="129">
      <c r="A129" s="16" t="inlineStr">
        <is>
          <t>부문 · 전 항목</t>
        </is>
      </c>
      <c r="B129" s="42" t="inlineStr">
        <is>
          <t>부문 · 항목</t>
        </is>
      </c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</row>
    <row r="130">
      <c r="A130" s="5" t="inlineStr">
        <is>
          <t>항목</t>
        </is>
      </c>
      <c r="B130" s="5" t="inlineStr">
        <is>
          <t>참고</t>
        </is>
      </c>
      <c r="C130" s="5" t="inlineStr">
        <is>
          <t>2024.1Q</t>
        </is>
      </c>
      <c r="D130" s="5" t="inlineStr">
        <is>
          <t>2024.2Q</t>
        </is>
      </c>
      <c r="E130" s="5" t="inlineStr">
        <is>
          <t>2024.3Q</t>
        </is>
      </c>
      <c r="F130" s="5" t="inlineStr">
        <is>
          <t>2024.4Q</t>
        </is>
      </c>
      <c r="G130" s="5" t="inlineStr">
        <is>
          <t>2025.1Q</t>
        </is>
      </c>
      <c r="H130" s="5" t="inlineStr">
        <is>
          <t>2025.2Q</t>
        </is>
      </c>
      <c r="I130" s="5" t="inlineStr">
        <is>
          <t>2025.3Q</t>
        </is>
      </c>
      <c r="J130" s="5" t="inlineStr">
        <is>
          <t>2025.4Q</t>
        </is>
      </c>
      <c r="K130" s="5" t="inlineStr">
        <is>
          <t>2026.1Q</t>
        </is>
      </c>
      <c r="L130" s="5" t="inlineStr">
        <is>
          <t>2026.2Q</t>
        </is>
      </c>
      <c r="M130" s="5" t="inlineStr">
        <is>
          <t>2026.3Q</t>
        </is>
      </c>
      <c r="N130" s="5" t="inlineStr">
        <is>
          <t>2026.4Q</t>
        </is>
      </c>
      <c r="O130" s="5" t="inlineStr">
        <is>
          <t>2017</t>
        </is>
      </c>
      <c r="P130" s="5" t="inlineStr">
        <is>
          <t>2018</t>
        </is>
      </c>
      <c r="Q130" s="5" t="inlineStr">
        <is>
          <t>2019</t>
        </is>
      </c>
      <c r="R130" s="5" t="inlineStr">
        <is>
          <t>2020</t>
        </is>
      </c>
      <c r="S130" s="5" t="inlineStr">
        <is>
          <t>2021</t>
        </is>
      </c>
      <c r="T130" s="5" t="inlineStr">
        <is>
          <t>2022</t>
        </is>
      </c>
      <c r="U130" s="5" t="inlineStr">
        <is>
          <t>2023</t>
        </is>
      </c>
      <c r="V130" s="5" t="inlineStr">
        <is>
          <t>2024</t>
        </is>
      </c>
      <c r="W130" s="5" t="inlineStr">
        <is>
          <t>2025</t>
        </is>
      </c>
      <c r="X130" s="5" t="inlineStr">
        <is>
          <t>2026</t>
        </is>
      </c>
      <c r="Y130" s="5" t="inlineStr">
        <is>
          <t>2027(MW)</t>
        </is>
      </c>
      <c r="Z130" s="5" t="inlineStr">
        <is>
          <t>2028(MW)</t>
        </is>
      </c>
      <c r="AA130" s="5" t="inlineStr">
        <is>
          <t>2029(MW)</t>
        </is>
      </c>
      <c r="AB130" s="5" t="inlineStr">
        <is>
          <t>2030(MW)</t>
        </is>
      </c>
      <c r="AC130" s="5" t="inlineStr">
        <is>
          <t>2031(MW)</t>
        </is>
      </c>
    </row>
    <row r="131">
      <c r="A131" s="18" t="inlineStr">
        <is>
          <t>BuddycomBusinessReportableSegmentMember · 외부 고객 매출</t>
        </is>
      </c>
      <c r="C131" s="20" t="n">
        <v>303.07</v>
      </c>
      <c r="D131" s="20" t="n">
        <v>253.889</v>
      </c>
      <c r="E131" s="20" t="n">
        <v>317.837</v>
      </c>
      <c r="F131" s="20" t="n">
        <v>304.565</v>
      </c>
      <c r="G131" s="20" t="n">
        <v>339.653</v>
      </c>
      <c r="H131" s="20" t="n">
        <v>388.101</v>
      </c>
      <c r="I131" s="20" t="n">
        <v>430.888</v>
      </c>
      <c r="J131" s="20" t="n">
        <v>494.428</v>
      </c>
      <c r="K131" s="20" t="n">
        <v>515.058</v>
      </c>
      <c r="L131" s="20" t="n">
        <v>512.7910000000001</v>
      </c>
      <c r="M131" s="20" t="n">
        <v>536.706</v>
      </c>
      <c r="N131" s="20" t="n">
        <v>569.396</v>
      </c>
      <c r="V131" s="20" t="n">
        <v>304.565</v>
      </c>
      <c r="W131" s="20" t="n">
        <v>494.428</v>
      </c>
      <c r="X131" s="20" t="n">
        <v>569.396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IF(OR(G131="",C131=""),"",IF(C131&lt;=0,"",IFERROR(G131/C131-1,"")))</f>
        <v/>
      </c>
      <c r="H132" s="15">
        <f>IF(OR(H131="",D131=""),"",IF(D131&lt;=0,"",IFERROR(H131/D131-1,"")))</f>
        <v/>
      </c>
      <c r="I132" s="15">
        <f>IF(OR(I131="",E131=""),"",IF(E131&lt;=0,"",IFERROR(I131/E131-1,"")))</f>
        <v/>
      </c>
      <c r="J132" s="15">
        <f>IF(OR(J131="",F131=""),"",IF(F131&lt;=0,"",IFERROR(J131/F131-1,"")))</f>
        <v/>
      </c>
      <c r="K132" s="15">
        <f>IF(OR(K131="",G131=""),"",IF(G131&lt;=0,"",IFERROR(K131/G131-1,"")))</f>
        <v/>
      </c>
      <c r="L132" s="15">
        <f>IF(OR(L131="",H131=""),"",IF(H131&lt;=0,"",IFERROR(L131/H131-1,"")))</f>
        <v/>
      </c>
      <c r="M132" s="15">
        <f>IF(OR(M131="",I131=""),"",IF(I131&lt;=0,"",IFERROR(M131/I131-1,"")))</f>
        <v/>
      </c>
      <c r="N132" s="15">
        <f>IF(OR(N131="",J131=""),"",IF(J131&lt;=0,"",IFERROR(N131/J131-1,"")))</f>
        <v/>
      </c>
      <c r="V132" s="15">
        <f>IF(OR(V131="",U131=""),"",IF(U131&lt;=0,"",IFERROR(V131/U131-1,"")))</f>
        <v/>
      </c>
      <c r="W132" s="15">
        <f>IF(OR(W131="",V131=""),"",IF(V131&lt;=0,"",IFERROR(W131/V131-1,"")))</f>
        <v/>
      </c>
      <c r="X132" s="15">
        <f>IF(OR(X131="",W131=""),"",IF(W131&lt;=0,"",IFERROR(X131/W131-1,"")))</f>
        <v/>
      </c>
    </row>
    <row r="133">
      <c r="A133" s="18" t="inlineStr">
        <is>
          <t>보고부문 합계 · 외부 고객 매출</t>
        </is>
      </c>
      <c r="C133" s="20" t="n">
        <v>303.07</v>
      </c>
      <c r="D133" s="20" t="n">
        <v>253.889</v>
      </c>
      <c r="E133" s="20" t="n">
        <v>317.837</v>
      </c>
      <c r="F133" s="20" t="n">
        <v>304.565</v>
      </c>
      <c r="G133" s="20" t="n">
        <v>339.653</v>
      </c>
      <c r="H133" s="20" t="n">
        <v>388.101</v>
      </c>
      <c r="I133" s="20" t="n">
        <v>430.888</v>
      </c>
      <c r="J133" s="20" t="n">
        <v>494.428</v>
      </c>
      <c r="K133" s="20" t="n">
        <v>515.058</v>
      </c>
      <c r="L133" s="20" t="n">
        <v>512.7910000000001</v>
      </c>
      <c r="M133" s="20" t="n">
        <v>536.706</v>
      </c>
      <c r="N133" s="20" t="n">
        <v>569.396</v>
      </c>
      <c r="V133" s="20" t="n">
        <v>304.565</v>
      </c>
      <c r="W133" s="20" t="n">
        <v>494.428</v>
      </c>
      <c r="X133" s="20" t="n">
        <v>569.396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5">
      <c r="A135" s="18" t="inlineStr">
        <is>
          <t>기타 · 외부 고객 매출</t>
        </is>
      </c>
      <c r="C135" s="20" t="n">
        <v>1.374</v>
      </c>
      <c r="D135" s="20" t="n">
        <v>1.374</v>
      </c>
      <c r="E135" s="20" t="n">
        <v>1.341</v>
      </c>
      <c r="F135" s="20" t="n">
        <v>1.325</v>
      </c>
      <c r="G135" s="20" t="n">
        <v>1.325</v>
      </c>
      <c r="H135" s="20" t="n">
        <v>0.075</v>
      </c>
      <c r="I135" s="20" t="n">
        <v>0.075</v>
      </c>
      <c r="J135" s="20" t="n">
        <v>0.075</v>
      </c>
      <c r="K135" s="20" t="n">
        <v>0.075</v>
      </c>
      <c r="L135" s="20" t="n">
        <v>0.075</v>
      </c>
      <c r="M135" s="20" t="n">
        <v>0.066</v>
      </c>
      <c r="N135" s="20" t="n">
        <v>0.05</v>
      </c>
      <c r="V135" s="20" t="n">
        <v>1.325</v>
      </c>
      <c r="W135" s="20" t="n">
        <v>0.075</v>
      </c>
      <c r="X135" s="20" t="n">
        <v>0.05</v>
      </c>
    </row>
    <row r="136">
      <c r="A136" s="43" t="inlineStr">
        <is>
          <t>YoY</t>
        </is>
      </c>
      <c r="B136" s="3" t="inlineStr">
        <is>
          <t>전년 같은 분기·전년 대비</t>
        </is>
      </c>
      <c r="G136" s="15">
        <f>IF(OR(G135="",C135=""),"",IF(C135&lt;=0,"",IFERROR(G135/C135-1,"")))</f>
        <v/>
      </c>
      <c r="H136" s="15">
        <f>IF(OR(H135="",D135=""),"",IF(D135&lt;=0,"",IFERROR(H135/D135-1,"")))</f>
        <v/>
      </c>
      <c r="I136" s="15">
        <f>IF(OR(I135="",E135=""),"",IF(E135&lt;=0,"",IFERROR(I135/E135-1,"")))</f>
        <v/>
      </c>
      <c r="J136" s="15">
        <f>IF(OR(J135="",F135=""),"",IF(F135&lt;=0,"",IFERROR(J135/F135-1,"")))</f>
        <v/>
      </c>
      <c r="K136" s="15">
        <f>IF(OR(K135="",G135=""),"",IF(G135&lt;=0,"",IFERROR(K135/G135-1,"")))</f>
        <v/>
      </c>
      <c r="L136" s="15">
        <f>IF(OR(L135="",H135=""),"",IF(H135&lt;=0,"",IFERROR(L135/H135-1,"")))</f>
        <v/>
      </c>
      <c r="M136" s="15">
        <f>IF(OR(M135="",I135=""),"",IF(I135&lt;=0,"",IFERROR(M135/I135-1,"")))</f>
        <v/>
      </c>
      <c r="N136" s="15">
        <f>IF(OR(N135="",J135=""),"",IF(J135&lt;=0,"",IFERROR(N135/J135-1,"")))</f>
        <v/>
      </c>
      <c r="V136" s="15">
        <f>IF(OR(V135="",U135=""),"",IF(U135&lt;=0,"",IFERROR(V135/U135-1,"")))</f>
        <v/>
      </c>
      <c r="W136" s="15">
        <f>IF(OR(W135="",V135=""),"",IF(V135&lt;=0,"",IFERROR(W135/V135-1,"")))</f>
        <v/>
      </c>
      <c r="X136" s="15">
        <f>IF(OR(X135="",W135=""),"",IF(W135&lt;=0,"",IFERROR(X135/W135-1,"")))</f>
        <v/>
      </c>
    </row>
    <row r="137">
      <c r="A137" s="18" t="inlineStr">
        <is>
          <t>합계 · 외부 고객 매출</t>
        </is>
      </c>
      <c r="C137" s="20" t="n">
        <v>304.444</v>
      </c>
      <c r="D137" s="20" t="n">
        <v>255.263</v>
      </c>
      <c r="E137" s="20" t="n">
        <v>319.179</v>
      </c>
      <c r="F137" s="20" t="n">
        <v>305.889</v>
      </c>
      <c r="G137" s="20" t="n">
        <v>340.978</v>
      </c>
      <c r="H137" s="20" t="n">
        <v>388.176</v>
      </c>
      <c r="I137" s="20" t="n">
        <v>430.963</v>
      </c>
      <c r="J137" s="20" t="n">
        <v>494.503</v>
      </c>
      <c r="K137" s="20" t="n">
        <v>515.133</v>
      </c>
      <c r="L137" s="20" t="n">
        <v>512.866</v>
      </c>
      <c r="M137" s="20" t="n">
        <v>536.773</v>
      </c>
      <c r="N137" s="20" t="n">
        <v>569.446</v>
      </c>
      <c r="V137" s="20" t="n">
        <v>305.889</v>
      </c>
      <c r="W137" s="20" t="n">
        <v>494.503</v>
      </c>
      <c r="X137" s="20" t="n">
        <v>569.446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IF(OR(G137="",C137=""),"",IF(C137&lt;=0,"",IFERROR(G137/C137-1,"")))</f>
        <v/>
      </c>
      <c r="H138" s="15">
        <f>IF(OR(H137="",D137=""),"",IF(D137&lt;=0,"",IFERROR(H137/D137-1,"")))</f>
        <v/>
      </c>
      <c r="I138" s="15">
        <f>IF(OR(I137="",E137=""),"",IF(E137&lt;=0,"",IFERROR(I137/E137-1,"")))</f>
        <v/>
      </c>
      <c r="J138" s="15">
        <f>IF(OR(J137="",F137=""),"",IF(F137&lt;=0,"",IFERROR(J137/F137-1,"")))</f>
        <v/>
      </c>
      <c r="K138" s="15">
        <f>IF(OR(K137="",G137=""),"",IF(G137&lt;=0,"",IFERROR(K137/G137-1,"")))</f>
        <v/>
      </c>
      <c r="L138" s="15">
        <f>IF(OR(L137="",H137=""),"",IF(H137&lt;=0,"",IFERROR(L137/H137-1,"")))</f>
        <v/>
      </c>
      <c r="M138" s="15">
        <f>IF(OR(M137="",I137=""),"",IF(I137&lt;=0,"",IFERROR(M137/I137-1,"")))</f>
        <v/>
      </c>
      <c r="N138" s="15">
        <f>IF(OR(N137="",J137=""),"",IF(J137&lt;=0,"",IFERROR(N137/J137-1,"")))</f>
        <v/>
      </c>
      <c r="V138" s="15">
        <f>IF(OR(V137="",U137=""),"",IF(U137&lt;=0,"",IFERROR(V137/U137-1,"")))</f>
        <v/>
      </c>
      <c r="W138" s="15">
        <f>IF(OR(W137="",V137=""),"",IF(V137&lt;=0,"",IFERROR(W137/V137-1,"")))</f>
        <v/>
      </c>
      <c r="X138" s="15">
        <f>IF(OR(X137="",W137=""),"",IF(W137&lt;=0,"",IFERROR(X137/W137-1,"")))</f>
        <v/>
      </c>
    </row>
    <row r="139">
      <c r="A139" s="18" t="inlineStr">
        <is>
          <t>조정액 · 외부 고객 매출</t>
        </is>
      </c>
      <c r="C139" s="20" t="n">
        <v>0</v>
      </c>
      <c r="D139" s="20" t="n">
        <v>0</v>
      </c>
      <c r="E139" s="20" t="n">
        <v>0</v>
      </c>
      <c r="F139" s="20" t="n">
        <v>0</v>
      </c>
      <c r="G139" s="20" t="n">
        <v>0</v>
      </c>
      <c r="H139" s="20" t="n">
        <v>0</v>
      </c>
      <c r="I139" s="20" t="n">
        <v>0</v>
      </c>
      <c r="J139" s="20" t="n">
        <v>0</v>
      </c>
      <c r="K139" s="20" t="n">
        <v>0</v>
      </c>
      <c r="L139" s="20" t="n">
        <v>0</v>
      </c>
      <c r="M139" s="20" t="n">
        <v>0</v>
      </c>
      <c r="N139" s="20" t="n">
        <v>0</v>
      </c>
      <c r="V139" s="20" t="n">
        <v>0</v>
      </c>
      <c r="W139" s="20" t="n">
        <v>0</v>
      </c>
      <c r="X139" s="20" t="n">
        <v>0</v>
      </c>
    </row>
    <row r="140">
      <c r="A140" s="18" t="inlineStr">
        <is>
          <t>EntityTotalMember · 외부 고객 매출</t>
        </is>
      </c>
      <c r="G140" s="20" t="n">
        <v>340.978</v>
      </c>
      <c r="K140" s="20" t="n">
        <v>515.133</v>
      </c>
    </row>
    <row r="141">
      <c r="A141" s="9" t="inlineStr">
        <is>
          <t>외부 고객 매출</t>
        </is>
      </c>
      <c r="C141" s="12" t="n">
        <v>304.444</v>
      </c>
      <c r="D141" s="12" t="n">
        <v>255.263</v>
      </c>
      <c r="E141" s="12" t="n">
        <v>319.179</v>
      </c>
      <c r="F141" s="12" t="n">
        <v>305.889</v>
      </c>
      <c r="G141" s="12" t="n">
        <v>340.978</v>
      </c>
      <c r="H141" s="12" t="n">
        <v>388.176</v>
      </c>
      <c r="I141" s="12" t="n">
        <v>430.963</v>
      </c>
      <c r="J141" s="12" t="n">
        <v>494.503</v>
      </c>
      <c r="V141" s="12" t="n">
        <v>305.889</v>
      </c>
      <c r="W141" s="12" t="n">
        <v>494.503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</row>
    <row r="143">
      <c r="A143" s="18" t="inlineStr">
        <is>
          <t>BuddycomBusinessReportableSegmentMember · 부문 간 내부매출·대체</t>
        </is>
      </c>
      <c r="C143" s="20" t="n">
        <v>0</v>
      </c>
      <c r="D143" s="20" t="n">
        <v>0</v>
      </c>
      <c r="E143" s="20" t="n">
        <v>0</v>
      </c>
      <c r="F143" s="20" t="n">
        <v>0</v>
      </c>
      <c r="G143" s="20" t="n">
        <v>0</v>
      </c>
      <c r="H143" s="20" t="n">
        <v>0</v>
      </c>
      <c r="I143" s="20" t="n">
        <v>0</v>
      </c>
      <c r="J143" s="20" t="n">
        <v>0</v>
      </c>
      <c r="K143" s="20" t="n">
        <v>0</v>
      </c>
      <c r="L143" s="20" t="n">
        <v>0</v>
      </c>
      <c r="M143" s="20" t="n">
        <v>0</v>
      </c>
      <c r="N143" s="20" t="n">
        <v>0</v>
      </c>
      <c r="V143" s="20" t="n">
        <v>0</v>
      </c>
      <c r="W143" s="20" t="n">
        <v>0</v>
      </c>
      <c r="X143" s="20" t="n">
        <v>0</v>
      </c>
    </row>
    <row r="144">
      <c r="A144" s="18" t="inlineStr">
        <is>
          <t>보고부문 합계 · 부문 간 내부매출·대체</t>
        </is>
      </c>
      <c r="C144" s="20" t="n">
        <v>0</v>
      </c>
      <c r="D144" s="20" t="n">
        <v>0</v>
      </c>
      <c r="E144" s="20" t="n">
        <v>0</v>
      </c>
      <c r="F144" s="20" t="n">
        <v>0</v>
      </c>
      <c r="G144" s="20" t="n">
        <v>0</v>
      </c>
      <c r="H144" s="20" t="n">
        <v>0</v>
      </c>
      <c r="I144" s="20" t="n">
        <v>0</v>
      </c>
      <c r="J144" s="20" t="n">
        <v>0</v>
      </c>
      <c r="K144" s="20" t="n">
        <v>0</v>
      </c>
      <c r="L144" s="20" t="n">
        <v>0</v>
      </c>
      <c r="M144" s="20" t="n">
        <v>0</v>
      </c>
      <c r="N144" s="20" t="n">
        <v>0</v>
      </c>
      <c r="V144" s="20" t="n">
        <v>0</v>
      </c>
      <c r="W144" s="20" t="n">
        <v>0</v>
      </c>
      <c r="X144" s="20" t="n">
        <v>0</v>
      </c>
    </row>
    <row r="145">
      <c r="A145" s="18" t="inlineStr">
        <is>
          <t>기타 · 부문 간 내부매출·대체</t>
        </is>
      </c>
      <c r="C145" s="20" t="n">
        <v>0</v>
      </c>
      <c r="D145" s="20" t="n">
        <v>0</v>
      </c>
      <c r="E145" s="20" t="n">
        <v>0</v>
      </c>
      <c r="F145" s="20" t="n">
        <v>0</v>
      </c>
      <c r="G145" s="20" t="n">
        <v>0</v>
      </c>
      <c r="H145" s="20" t="n">
        <v>0</v>
      </c>
      <c r="I145" s="20" t="n">
        <v>0</v>
      </c>
      <c r="J145" s="20" t="n">
        <v>0</v>
      </c>
      <c r="K145" s="20" t="n">
        <v>0</v>
      </c>
      <c r="L145" s="20" t="n">
        <v>0</v>
      </c>
      <c r="M145" s="20" t="n">
        <v>0</v>
      </c>
      <c r="N145" s="20" t="n">
        <v>0</v>
      </c>
      <c r="V145" s="20" t="n">
        <v>0</v>
      </c>
      <c r="W145" s="20" t="n">
        <v>0</v>
      </c>
      <c r="X145" s="20" t="n">
        <v>0</v>
      </c>
    </row>
    <row r="146">
      <c r="A146" s="18" t="inlineStr">
        <is>
          <t>합계 · 부문 간 내부매출·대체</t>
        </is>
      </c>
      <c r="C146" s="20" t="n">
        <v>0</v>
      </c>
      <c r="D146" s="20" t="n">
        <v>0</v>
      </c>
      <c r="E146" s="20" t="n">
        <v>0</v>
      </c>
      <c r="F146" s="20" t="n">
        <v>0</v>
      </c>
      <c r="G146" s="20" t="n">
        <v>0</v>
      </c>
      <c r="H146" s="20" t="n">
        <v>0</v>
      </c>
      <c r="I146" s="20" t="n">
        <v>0</v>
      </c>
      <c r="J146" s="20" t="n">
        <v>0</v>
      </c>
      <c r="K146" s="20" t="n">
        <v>0</v>
      </c>
      <c r="L146" s="20" t="n">
        <v>0</v>
      </c>
      <c r="M146" s="20" t="n">
        <v>0</v>
      </c>
      <c r="N146" s="20" t="n">
        <v>0</v>
      </c>
      <c r="V146" s="20" t="n">
        <v>0</v>
      </c>
      <c r="W146" s="20" t="n">
        <v>0</v>
      </c>
      <c r="X146" s="20" t="n">
        <v>0</v>
      </c>
    </row>
    <row r="147">
      <c r="A147" s="18" t="inlineStr">
        <is>
          <t>조정액 · 부문 간 내부매출·대체</t>
        </is>
      </c>
      <c r="C147" s="20" t="n">
        <v>0</v>
      </c>
      <c r="D147" s="20" t="n">
        <v>0</v>
      </c>
      <c r="E147" s="20" t="n">
        <v>0</v>
      </c>
      <c r="F147" s="20" t="n">
        <v>0</v>
      </c>
      <c r="G147" s="20" t="n">
        <v>0</v>
      </c>
      <c r="H147" s="20" t="n">
        <v>0</v>
      </c>
      <c r="I147" s="20" t="n">
        <v>0</v>
      </c>
      <c r="J147" s="20" t="n">
        <v>0</v>
      </c>
      <c r="K147" s="20" t="n">
        <v>0</v>
      </c>
      <c r="L147" s="20" t="n">
        <v>0</v>
      </c>
      <c r="M147" s="20" t="n">
        <v>0</v>
      </c>
      <c r="N147" s="20" t="n">
        <v>0</v>
      </c>
      <c r="V147" s="20" t="n">
        <v>0</v>
      </c>
      <c r="W147" s="20" t="n">
        <v>0</v>
      </c>
      <c r="X147" s="20" t="n">
        <v>0</v>
      </c>
    </row>
    <row r="148">
      <c r="A148" s="18" t="inlineStr">
        <is>
          <t>EntityTotalMember · 부문 간 내부매출·대체</t>
        </is>
      </c>
      <c r="G148" s="20" t="n">
        <v>0</v>
      </c>
      <c r="K148" s="20" t="n">
        <v>0</v>
      </c>
    </row>
    <row r="149">
      <c r="A149" s="18" t="inlineStr">
        <is>
          <t>부문 간 내부매출·대체</t>
        </is>
      </c>
      <c r="C149" s="20" t="n">
        <v>0</v>
      </c>
      <c r="D149" s="20" t="n">
        <v>0</v>
      </c>
      <c r="E149" s="20" t="n">
        <v>0</v>
      </c>
      <c r="F149" s="20" t="n">
        <v>0</v>
      </c>
      <c r="G149" s="20" t="n">
        <v>0</v>
      </c>
      <c r="H149" s="20" t="n">
        <v>0</v>
      </c>
      <c r="I149" s="20" t="n">
        <v>0</v>
      </c>
      <c r="J149" s="20" t="n">
        <v>0</v>
      </c>
      <c r="V149" s="20" t="n">
        <v>0</v>
      </c>
      <c r="W149" s="20" t="n">
        <v>0</v>
      </c>
    </row>
    <row r="150">
      <c r="A150" s="18" t="inlineStr">
        <is>
          <t>BuddycomBusinessReportableSegmentMember · 계</t>
        </is>
      </c>
      <c r="C150" s="20" t="n">
        <v>303.07</v>
      </c>
      <c r="D150" s="20" t="n">
        <v>253.889</v>
      </c>
      <c r="E150" s="20" t="n">
        <v>317.837</v>
      </c>
      <c r="F150" s="20" t="n">
        <v>304.565</v>
      </c>
      <c r="G150" s="20" t="n">
        <v>339.653</v>
      </c>
      <c r="H150" s="20" t="n">
        <v>388.101</v>
      </c>
      <c r="I150" s="20" t="n">
        <v>430.888</v>
      </c>
      <c r="J150" s="20" t="n">
        <v>494.428</v>
      </c>
      <c r="K150" s="20" t="n">
        <v>515.058</v>
      </c>
      <c r="L150" s="20" t="n">
        <v>512.7910000000001</v>
      </c>
      <c r="M150" s="20" t="n">
        <v>536.706</v>
      </c>
      <c r="N150" s="20" t="n">
        <v>569.396</v>
      </c>
      <c r="V150" s="20" t="n">
        <v>304.565</v>
      </c>
      <c r="W150" s="20" t="n">
        <v>494.428</v>
      </c>
      <c r="X150" s="20" t="n">
        <v>569.396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  <c r="X151" s="15">
        <f>IF(OR(X150="",W150=""),"",IF(W150&lt;=0,"",IFERROR(X150/W150-1,"")))</f>
        <v/>
      </c>
    </row>
    <row r="152">
      <c r="A152" s="18" t="inlineStr">
        <is>
          <t>보고부문 합계 · 계</t>
        </is>
      </c>
      <c r="C152" s="20" t="n">
        <v>303.07</v>
      </c>
      <c r="D152" s="20" t="n">
        <v>253.889</v>
      </c>
      <c r="E152" s="20" t="n">
        <v>317.837</v>
      </c>
      <c r="F152" s="20" t="n">
        <v>304.565</v>
      </c>
      <c r="G152" s="20" t="n">
        <v>339.653</v>
      </c>
      <c r="H152" s="20" t="n">
        <v>388.101</v>
      </c>
      <c r="I152" s="20" t="n">
        <v>430.888</v>
      </c>
      <c r="J152" s="20" t="n">
        <v>494.428</v>
      </c>
      <c r="K152" s="20" t="n">
        <v>515.058</v>
      </c>
      <c r="L152" s="20" t="n">
        <v>512.7910000000001</v>
      </c>
      <c r="M152" s="20" t="n">
        <v>536.706</v>
      </c>
      <c r="N152" s="20" t="n">
        <v>569.396</v>
      </c>
      <c r="V152" s="20" t="n">
        <v>304.565</v>
      </c>
      <c r="W152" s="20" t="n">
        <v>494.428</v>
      </c>
      <c r="X152" s="20" t="n">
        <v>569.396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N153" s="15">
        <f>IF(OR(N152="",J152=""),"",IF(J152&lt;=0,"",IFERROR(N152/J152-1,"")))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18" t="inlineStr">
        <is>
          <t>기타 · 계</t>
        </is>
      </c>
      <c r="C154" s="20" t="n">
        <v>1.374</v>
      </c>
      <c r="D154" s="20" t="n">
        <v>1.374</v>
      </c>
      <c r="E154" s="20" t="n">
        <v>1.341</v>
      </c>
      <c r="F154" s="20" t="n">
        <v>1.325</v>
      </c>
      <c r="G154" s="20" t="n">
        <v>1.325</v>
      </c>
      <c r="H154" s="20" t="n">
        <v>0.075</v>
      </c>
      <c r="I154" s="20" t="n">
        <v>0.075</v>
      </c>
      <c r="J154" s="20" t="n">
        <v>0.075</v>
      </c>
      <c r="K154" s="20" t="n">
        <v>0.075</v>
      </c>
      <c r="L154" s="20" t="n">
        <v>0.075</v>
      </c>
      <c r="M154" s="20" t="n">
        <v>0.066</v>
      </c>
      <c r="N154" s="20" t="n">
        <v>0.05</v>
      </c>
      <c r="V154" s="20" t="n">
        <v>1.325</v>
      </c>
      <c r="W154" s="20" t="n">
        <v>0.075</v>
      </c>
      <c r="X154" s="20" t="n">
        <v>0.05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L155" s="15">
        <f>IF(OR(L154="",H154=""),"",IF(H154&lt;=0,"",IFERROR(L154/H154-1,"")))</f>
        <v/>
      </c>
      <c r="M155" s="15">
        <f>IF(OR(M154="",I154=""),"",IF(I154&lt;=0,"",IFERROR(M154/I154-1,"")))</f>
        <v/>
      </c>
      <c r="N155" s="15">
        <f>IF(OR(N154="",J154=""),"",IF(J154&lt;=0,"",IFERROR(N154/J154-1,"")))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  <c r="X155" s="15">
        <f>IF(OR(X154="",W154=""),"",IF(W154&lt;=0,"",IFERROR(X154/W154-1,"")))</f>
        <v/>
      </c>
    </row>
    <row r="156">
      <c r="A156" s="18" t="inlineStr">
        <is>
          <t>합계 · 계</t>
        </is>
      </c>
      <c r="C156" s="20" t="n">
        <v>304.444</v>
      </c>
      <c r="D156" s="20" t="n">
        <v>255.263</v>
      </c>
      <c r="E156" s="20" t="n">
        <v>319.179</v>
      </c>
      <c r="F156" s="20" t="n">
        <v>305.889</v>
      </c>
      <c r="G156" s="20" t="n">
        <v>340.978</v>
      </c>
      <c r="H156" s="20" t="n">
        <v>388.176</v>
      </c>
      <c r="I156" s="20" t="n">
        <v>430.963</v>
      </c>
      <c r="J156" s="20" t="n">
        <v>494.503</v>
      </c>
      <c r="K156" s="20" t="n">
        <v>515.133</v>
      </c>
      <c r="L156" s="20" t="n">
        <v>512.866</v>
      </c>
      <c r="M156" s="20" t="n">
        <v>536.773</v>
      </c>
      <c r="N156" s="20" t="n">
        <v>569.446</v>
      </c>
      <c r="V156" s="20" t="n">
        <v>305.889</v>
      </c>
      <c r="W156" s="20" t="n">
        <v>494.503</v>
      </c>
      <c r="X156" s="20" t="n">
        <v>569.446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H157" s="15">
        <f>IF(OR(H156="",D156=""),"",IF(D156&lt;=0,"",IFERROR(H156/D156-1,"")))</f>
        <v/>
      </c>
      <c r="I157" s="15">
        <f>IF(OR(I156="",E156=""),"",IF(E156&lt;=0,"",IFERROR(I156/E156-1,"")))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L157" s="15">
        <f>IF(OR(L156="",H156=""),"",IF(H156&lt;=0,"",IFERROR(L156/H156-1,"")))</f>
        <v/>
      </c>
      <c r="M157" s="15">
        <f>IF(OR(M156="",I156=""),"",IF(I156&lt;=0,"",IFERROR(M156/I156-1,"")))</f>
        <v/>
      </c>
      <c r="N157" s="15">
        <f>IF(OR(N156="",J156=""),"",IF(J156&lt;=0,"",IFERROR(N156/J156-1,"")))</f>
        <v/>
      </c>
      <c r="V157" s="15">
        <f>IF(OR(V156="",U156=""),"",IF(U156&lt;=0,"",IFERROR(V156/U156-1,"")))</f>
        <v/>
      </c>
      <c r="W157" s="15">
        <f>IF(OR(W156="",V156=""),"",IF(V156&lt;=0,"",IFERROR(W156/V156-1,"")))</f>
        <v/>
      </c>
      <c r="X157" s="15">
        <f>IF(OR(X156="",W156=""),"",IF(W156&lt;=0,"",IFERROR(X156/W156-1,"")))</f>
        <v/>
      </c>
    </row>
    <row r="158">
      <c r="A158" s="18" t="inlineStr">
        <is>
          <t>조정액 · 계</t>
        </is>
      </c>
      <c r="C158" s="20" t="n">
        <v>0</v>
      </c>
      <c r="D158" s="20" t="n">
        <v>0</v>
      </c>
      <c r="E158" s="20" t="n">
        <v>0</v>
      </c>
      <c r="F158" s="20" t="n">
        <v>0</v>
      </c>
      <c r="G158" s="20" t="n">
        <v>0</v>
      </c>
      <c r="H158" s="20" t="n">
        <v>0</v>
      </c>
      <c r="I158" s="20" t="n">
        <v>0</v>
      </c>
      <c r="J158" s="20" t="n">
        <v>0</v>
      </c>
      <c r="K158" s="20" t="n">
        <v>0</v>
      </c>
      <c r="L158" s="20" t="n">
        <v>0</v>
      </c>
      <c r="M158" s="20" t="n">
        <v>0</v>
      </c>
      <c r="N158" s="20" t="n">
        <v>0</v>
      </c>
      <c r="V158" s="20" t="n">
        <v>0</v>
      </c>
      <c r="W158" s="20" t="n">
        <v>0</v>
      </c>
      <c r="X158" s="20" t="n">
        <v>0</v>
      </c>
    </row>
    <row r="159">
      <c r="A159" s="18" t="inlineStr">
        <is>
          <t>EntityTotalMember · 계</t>
        </is>
      </c>
      <c r="G159" s="20" t="n">
        <v>340.978</v>
      </c>
      <c r="K159" s="20" t="n">
        <v>515.133</v>
      </c>
    </row>
    <row r="160">
      <c r="A160" s="9" t="inlineStr">
        <is>
          <t>계</t>
        </is>
      </c>
      <c r="C160" s="12" t="n">
        <v>304.444</v>
      </c>
      <c r="D160" s="12" t="n">
        <v>255.263</v>
      </c>
      <c r="E160" s="12" t="n">
        <v>319.179</v>
      </c>
      <c r="F160" s="12" t="n">
        <v>305.889</v>
      </c>
      <c r="G160" s="12" t="n">
        <v>340.978</v>
      </c>
      <c r="H160" s="12" t="n">
        <v>388.176</v>
      </c>
      <c r="I160" s="12" t="n">
        <v>430.963</v>
      </c>
      <c r="J160" s="12" t="n">
        <v>494.503</v>
      </c>
      <c r="V160" s="12" t="n">
        <v>305.889</v>
      </c>
      <c r="W160" s="12" t="n">
        <v>494.503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I161" s="15">
        <f>IF(OR(I160="",E160=""),"",IF(E160&lt;=0,"",IFERROR(I160/E160-1,"")))</f>
        <v/>
      </c>
      <c r="J161" s="15">
        <f>IF(OR(J160="",F160=""),"",IF(F160&lt;=0,"",IFERROR(J160/F160-1,"")))</f>
        <v/>
      </c>
      <c r="V161" s="15">
        <f>IF(OR(V160="",U160=""),"",IF(U160&lt;=0,"",IFERROR(V160/U160-1,"")))</f>
        <v/>
      </c>
      <c r="W161" s="15">
        <f>IF(OR(W160="",V160=""),"",IF(V160&lt;=0,"",IFERROR(W160/V160-1,"")))</f>
        <v/>
      </c>
    </row>
    <row r="162">
      <c r="A162" s="18" t="inlineStr">
        <is>
          <t>BuddycomBusinessReportableSegmentMember · 부문 이익</t>
        </is>
      </c>
      <c r="C162" s="20" t="n">
        <v>-21.655</v>
      </c>
      <c r="D162" s="20" t="n">
        <v>3.962</v>
      </c>
      <c r="E162" s="20" t="n">
        <v>-21.286</v>
      </c>
      <c r="F162" s="20" t="n">
        <v>3.193</v>
      </c>
      <c r="G162" s="20" t="n">
        <v>7.466</v>
      </c>
      <c r="H162" s="20" t="n">
        <v>23.815</v>
      </c>
      <c r="I162" s="20" t="n">
        <v>24.741</v>
      </c>
      <c r="J162" s="20" t="n">
        <v>49.915</v>
      </c>
      <c r="K162" s="20" t="n">
        <v>56.497</v>
      </c>
      <c r="L162" s="20" t="n">
        <v>48.304</v>
      </c>
      <c r="M162" s="20" t="n">
        <v>44.256</v>
      </c>
      <c r="N162" s="20" t="n">
        <v>112.725</v>
      </c>
      <c r="V162" s="20" t="n">
        <v>3.193</v>
      </c>
      <c r="W162" s="20" t="n">
        <v>49.915</v>
      </c>
      <c r="X162" s="20" t="n">
        <v>112.725</v>
      </c>
    </row>
    <row r="163">
      <c r="A163" s="43" t="inlineStr">
        <is>
          <t>OPM</t>
        </is>
      </c>
      <c r="B163" s="3" t="inlineStr">
        <is>
          <t>영업이익 ÷ 매출</t>
        </is>
      </c>
      <c r="C163" s="15">
        <f>IF(OR(C162="",C150=""),"",IF(C150&lt;=0,"",IFERROR(C162/C150,"")))</f>
        <v/>
      </c>
      <c r="D163" s="15">
        <f>IF(OR(D162="",D150=""),"",IF(D150&lt;=0,"",IFERROR(D162/D150,"")))</f>
        <v/>
      </c>
      <c r="E163" s="15">
        <f>IF(OR(E162="",E150=""),"",IF(E150&lt;=0,"",IFERROR(E162/E150,"")))</f>
        <v/>
      </c>
      <c r="F163" s="15">
        <f>IF(OR(F162="",F150=""),"",IF(F150&lt;=0,"",IFERROR(F162/F150,"")))</f>
        <v/>
      </c>
      <c r="G163" s="15">
        <f>IF(OR(G162="",G150=""),"",IF(G150&lt;=0,"",IFERROR(G162/G150,"")))</f>
        <v/>
      </c>
      <c r="H163" s="15">
        <f>IF(OR(H162="",H150=""),"",IF(H150&lt;=0,"",IFERROR(H162/H150,"")))</f>
        <v/>
      </c>
      <c r="I163" s="15">
        <f>IF(OR(I162="",I150=""),"",IF(I150&lt;=0,"",IFERROR(I162/I150,"")))</f>
        <v/>
      </c>
      <c r="J163" s="15">
        <f>IF(OR(J162="",J150=""),"",IF(J150&lt;=0,"",IFERROR(J162/J150,"")))</f>
        <v/>
      </c>
      <c r="K163" s="15">
        <f>IF(OR(K162="",K150=""),"",IF(K150&lt;=0,"",IFERROR(K162/K150,"")))</f>
        <v/>
      </c>
      <c r="L163" s="15">
        <f>IF(OR(L162="",L150=""),"",IF(L150&lt;=0,"",IFERROR(L162/L150,"")))</f>
        <v/>
      </c>
      <c r="M163" s="15">
        <f>IF(OR(M162="",M150=""),"",IF(M150&lt;=0,"",IFERROR(M162/M150,"")))</f>
        <v/>
      </c>
      <c r="N163" s="15">
        <f>IF(OR(N162="",N150=""),"",IF(N150&lt;=0,"",IFERROR(N162/N150,"")))</f>
        <v/>
      </c>
      <c r="V163" s="15">
        <f>IF(OR(V162="",V150=""),"",IF(V150&lt;=0,"",IFERROR(V162/V150,"")))</f>
        <v/>
      </c>
      <c r="W163" s="15">
        <f>IF(OR(W162="",W150=""),"",IF(W150&lt;=0,"",IFERROR(W162/W150,"")))</f>
        <v/>
      </c>
      <c r="X163" s="15">
        <f>IF(OR(X162="",X150=""),"",IF(X150&lt;=0,"",IFERROR(X162/X150,"")))</f>
        <v/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IF(OR(G162="",C162=""),"",IF(C162&lt;=0,"",IFERROR(G162/C162-1,"")))</f>
        <v/>
      </c>
      <c r="H164" s="15">
        <f>IF(OR(H162="",D162=""),"",IF(D162&lt;=0,"",IFERROR(H162/D162-1,"")))</f>
        <v/>
      </c>
      <c r="I164" s="15">
        <f>IF(OR(I162="",E162=""),"",IF(E162&lt;=0,"",IFERROR(I162/E162-1,"")))</f>
        <v/>
      </c>
      <c r="J164" s="15">
        <f>IF(OR(J162="",F162=""),"",IF(F162&lt;=0,"",IFERROR(J162/F162-1,"")))</f>
        <v/>
      </c>
      <c r="K164" s="15">
        <f>IF(OR(K162="",G162=""),"",IF(G162&lt;=0,"",IFERROR(K162/G162-1,"")))</f>
        <v/>
      </c>
      <c r="L164" s="15">
        <f>IF(OR(L162="",H162=""),"",IF(H162&lt;=0,"",IFERROR(L162/H162-1,"")))</f>
        <v/>
      </c>
      <c r="M164" s="15">
        <f>IF(OR(M162="",I162=""),"",IF(I162&lt;=0,"",IFERROR(M162/I162-1,"")))</f>
        <v/>
      </c>
      <c r="N164" s="15">
        <f>IF(OR(N162="",J162=""),"",IF(J162&lt;=0,"",IFERROR(N162/J162-1,"")))</f>
        <v/>
      </c>
      <c r="V164" s="15">
        <f>IF(OR(V162="",U162=""),"",IF(U162&lt;=0,"",IFERROR(V162/U162-1,"")))</f>
        <v/>
      </c>
      <c r="W164" s="15">
        <f>IF(OR(W162="",V162=""),"",IF(V162&lt;=0,"",IFERROR(W162/V162-1,"")))</f>
        <v/>
      </c>
      <c r="X164" s="15">
        <f>IF(OR(X162="",W162=""),"",IF(W162&lt;=0,"",IFERROR(X162/W162-1,"")))</f>
        <v/>
      </c>
    </row>
    <row r="165">
      <c r="A165" s="18" t="inlineStr">
        <is>
          <t>보고부문 합계 · 부문 이익</t>
        </is>
      </c>
      <c r="C165" s="20" t="n">
        <v>-21.655</v>
      </c>
      <c r="D165" s="20" t="n">
        <v>3.962</v>
      </c>
      <c r="E165" s="20" t="n">
        <v>-21.286</v>
      </c>
      <c r="F165" s="20" t="n">
        <v>3.193</v>
      </c>
      <c r="G165" s="20" t="n">
        <v>7.466</v>
      </c>
      <c r="H165" s="20" t="n">
        <v>23.815</v>
      </c>
      <c r="I165" s="20" t="n">
        <v>24.741</v>
      </c>
      <c r="J165" s="20" t="n">
        <v>49.915</v>
      </c>
      <c r="K165" s="20" t="n">
        <v>56.497</v>
      </c>
      <c r="L165" s="20" t="n">
        <v>48.304</v>
      </c>
      <c r="M165" s="20" t="n">
        <v>44.256</v>
      </c>
      <c r="N165" s="20" t="n">
        <v>112.725</v>
      </c>
      <c r="V165" s="20" t="n">
        <v>3.193</v>
      </c>
      <c r="W165" s="20" t="n">
        <v>49.915</v>
      </c>
      <c r="X165" s="20" t="n">
        <v>112.725</v>
      </c>
    </row>
    <row r="166">
      <c r="A166" s="43" t="inlineStr">
        <is>
          <t>OPM</t>
        </is>
      </c>
      <c r="B166" s="3" t="inlineStr">
        <is>
          <t>영업이익 ÷ 매출</t>
        </is>
      </c>
      <c r="C166" s="15">
        <f>IF(OR(C165="",C152=""),"",IF(C152&lt;=0,"",IFERROR(C165/C152,"")))</f>
        <v/>
      </c>
      <c r="D166" s="15">
        <f>IF(OR(D165="",D152=""),"",IF(D152&lt;=0,"",IFERROR(D165/D152,"")))</f>
        <v/>
      </c>
      <c r="E166" s="15">
        <f>IF(OR(E165="",E152=""),"",IF(E152&lt;=0,"",IFERROR(E165/E152,"")))</f>
        <v/>
      </c>
      <c r="F166" s="15">
        <f>IF(OR(F165="",F152=""),"",IF(F152&lt;=0,"",IFERROR(F165/F152,"")))</f>
        <v/>
      </c>
      <c r="G166" s="15">
        <f>IF(OR(G165="",G152=""),"",IF(G152&lt;=0,"",IFERROR(G165/G152,"")))</f>
        <v/>
      </c>
      <c r="H166" s="15">
        <f>IF(OR(H165="",H152=""),"",IF(H152&lt;=0,"",IFERROR(H165/H152,"")))</f>
        <v/>
      </c>
      <c r="I166" s="15">
        <f>IF(OR(I165="",I152=""),"",IF(I152&lt;=0,"",IFERROR(I165/I152,"")))</f>
        <v/>
      </c>
      <c r="J166" s="15">
        <f>IF(OR(J165="",J152=""),"",IF(J152&lt;=0,"",IFERROR(J165/J152,"")))</f>
        <v/>
      </c>
      <c r="K166" s="15">
        <f>IF(OR(K165="",K152=""),"",IF(K152&lt;=0,"",IFERROR(K165/K152,"")))</f>
        <v/>
      </c>
      <c r="L166" s="15">
        <f>IF(OR(L165="",L152=""),"",IF(L152&lt;=0,"",IFERROR(L165/L152,"")))</f>
        <v/>
      </c>
      <c r="M166" s="15">
        <f>IF(OR(M165="",M152=""),"",IF(M152&lt;=0,"",IFERROR(M165/M152,"")))</f>
        <v/>
      </c>
      <c r="N166" s="15">
        <f>IF(OR(N165="",N152=""),"",IF(N152&lt;=0,"",IFERROR(N165/N152,"")))</f>
        <v/>
      </c>
      <c r="V166" s="15">
        <f>IF(OR(V165="",V152=""),"",IF(V152&lt;=0,"",IFERROR(V165/V152,"")))</f>
        <v/>
      </c>
      <c r="W166" s="15">
        <f>IF(OR(W165="",W152=""),"",IF(W152&lt;=0,"",IFERROR(W165/W152,"")))</f>
        <v/>
      </c>
      <c r="X166" s="15">
        <f>IF(OR(X165="",X152=""),"",IF(X152&lt;=0,"",IFERROR(X165/X152,"")))</f>
        <v/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IF(OR(G165="",C165=""),"",IF(C165&lt;=0,"",IFERROR(G165/C165-1,"")))</f>
        <v/>
      </c>
      <c r="H167" s="15">
        <f>IF(OR(H165="",D165=""),"",IF(D165&lt;=0,"",IFERROR(H165/D165-1,"")))</f>
        <v/>
      </c>
      <c r="I167" s="15">
        <f>IF(OR(I165="",E165=""),"",IF(E165&lt;=0,"",IFERROR(I165/E165-1,"")))</f>
        <v/>
      </c>
      <c r="J167" s="15">
        <f>IF(OR(J165="",F165=""),"",IF(F165&lt;=0,"",IFERROR(J165/F165-1,"")))</f>
        <v/>
      </c>
      <c r="K167" s="15">
        <f>IF(OR(K165="",G165=""),"",IF(G165&lt;=0,"",IFERROR(K165/G165-1,"")))</f>
        <v/>
      </c>
      <c r="L167" s="15">
        <f>IF(OR(L165="",H165=""),"",IF(H165&lt;=0,"",IFERROR(L165/H165-1,"")))</f>
        <v/>
      </c>
      <c r="M167" s="15">
        <f>IF(OR(M165="",I165=""),"",IF(I165&lt;=0,"",IFERROR(M165/I165-1,"")))</f>
        <v/>
      </c>
      <c r="N167" s="15">
        <f>IF(OR(N165="",J165=""),"",IF(J165&lt;=0,"",IFERROR(N165/J165-1,"")))</f>
        <v/>
      </c>
      <c r="V167" s="15">
        <f>IF(OR(V165="",U165=""),"",IF(U165&lt;=0,"",IFERROR(V165/U165-1,"")))</f>
        <v/>
      </c>
      <c r="W167" s="15">
        <f>IF(OR(W165="",V165=""),"",IF(V165&lt;=0,"",IFERROR(W165/V165-1,"")))</f>
        <v/>
      </c>
      <c r="X167" s="15">
        <f>IF(OR(X165="",W165=""),"",IF(W165&lt;=0,"",IFERROR(X165/W165-1,"")))</f>
        <v/>
      </c>
    </row>
    <row r="168">
      <c r="A168" s="18" t="inlineStr">
        <is>
          <t>기타 · 부문 이익</t>
        </is>
      </c>
      <c r="C168" s="20" t="n">
        <v>1.137</v>
      </c>
      <c r="D168" s="20" t="n">
        <v>1.118</v>
      </c>
      <c r="E168" s="20" t="n">
        <v>1.14</v>
      </c>
      <c r="F168" s="20" t="n">
        <v>1.115</v>
      </c>
      <c r="G168" s="20" t="n">
        <v>1.14</v>
      </c>
      <c r="H168" s="20" t="n">
        <v>0.048</v>
      </c>
      <c r="I168" s="20" t="n">
        <v>0.059</v>
      </c>
      <c r="J168" s="20" t="n">
        <v>0.07099999999999999</v>
      </c>
      <c r="K168" s="20" t="n">
        <v>0.061</v>
      </c>
      <c r="L168" s="20" t="n">
        <v>0.061</v>
      </c>
      <c r="M168" s="20" t="n">
        <v>0.054</v>
      </c>
      <c r="N168" s="20" t="n">
        <v>0.044</v>
      </c>
      <c r="V168" s="20" t="n">
        <v>1.115</v>
      </c>
      <c r="W168" s="20" t="n">
        <v>0.07099999999999999</v>
      </c>
      <c r="X168" s="20" t="n">
        <v>0.044</v>
      </c>
    </row>
    <row r="169">
      <c r="A169" s="43" t="inlineStr">
        <is>
          <t>OPM</t>
        </is>
      </c>
      <c r="B169" s="3" t="inlineStr">
        <is>
          <t>영업이익 ÷ 매출</t>
        </is>
      </c>
      <c r="C169" s="15">
        <f>IF(OR(C168="",C154=""),"",IF(C154&lt;=0,"",IFERROR(C168/C154,"")))</f>
        <v/>
      </c>
      <c r="D169" s="15">
        <f>IF(OR(D168="",D154=""),"",IF(D154&lt;=0,"",IFERROR(D168/D154,"")))</f>
        <v/>
      </c>
      <c r="E169" s="15">
        <f>IF(OR(E168="",E154=""),"",IF(E154&lt;=0,"",IFERROR(E168/E154,"")))</f>
        <v/>
      </c>
      <c r="F169" s="15">
        <f>IF(OR(F168="",F154=""),"",IF(F154&lt;=0,"",IFERROR(F168/F154,"")))</f>
        <v/>
      </c>
      <c r="G169" s="15">
        <f>IF(OR(G168="",G154=""),"",IF(G154&lt;=0,"",IFERROR(G168/G154,"")))</f>
        <v/>
      </c>
      <c r="H169" s="15">
        <f>IF(OR(H168="",H154=""),"",IF(H154&lt;=0,"",IFERROR(H168/H154,"")))</f>
        <v/>
      </c>
      <c r="I169" s="15">
        <f>IF(OR(I168="",I154=""),"",IF(I154&lt;=0,"",IFERROR(I168/I154,"")))</f>
        <v/>
      </c>
      <c r="J169" s="15">
        <f>IF(OR(J168="",J154=""),"",IF(J154&lt;=0,"",IFERROR(J168/J154,"")))</f>
        <v/>
      </c>
      <c r="K169" s="15">
        <f>IF(OR(K168="",K154=""),"",IF(K154&lt;=0,"",IFERROR(K168/K154,"")))</f>
        <v/>
      </c>
      <c r="L169" s="15">
        <f>IF(OR(L168="",L154=""),"",IF(L154&lt;=0,"",IFERROR(L168/L154,"")))</f>
        <v/>
      </c>
      <c r="M169" s="15">
        <f>IF(OR(M168="",M154=""),"",IF(M154&lt;=0,"",IFERROR(M168/M154,"")))</f>
        <v/>
      </c>
      <c r="N169" s="15">
        <f>IF(OR(N168="",N154=""),"",IF(N154&lt;=0,"",IFERROR(N168/N154,"")))</f>
        <v/>
      </c>
      <c r="V169" s="15">
        <f>IF(OR(V168="",V154=""),"",IF(V154&lt;=0,"",IFERROR(V168/V154,"")))</f>
        <v/>
      </c>
      <c r="W169" s="15">
        <f>IF(OR(W168="",W154=""),"",IF(W154&lt;=0,"",IFERROR(W168/W154,"")))</f>
        <v/>
      </c>
      <c r="X169" s="15">
        <f>IF(OR(X168="",X154=""),"",IF(X154&lt;=0,"",IFERROR(X168/X154,"")))</f>
        <v/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IF(OR(G168="",C168=""),"",IF(C168&lt;=0,"",IFERROR(G168/C168-1,"")))</f>
        <v/>
      </c>
      <c r="H170" s="15">
        <f>IF(OR(H168="",D168=""),"",IF(D168&lt;=0,"",IFERROR(H168/D168-1,"")))</f>
        <v/>
      </c>
      <c r="I170" s="15">
        <f>IF(OR(I168="",E168=""),"",IF(E168&lt;=0,"",IFERROR(I168/E168-1,"")))</f>
        <v/>
      </c>
      <c r="J170" s="15">
        <f>IF(OR(J168="",F168=""),"",IF(F168&lt;=0,"",IFERROR(J168/F168-1,"")))</f>
        <v/>
      </c>
      <c r="K170" s="15">
        <f>IF(OR(K168="",G168=""),"",IF(G168&lt;=0,"",IFERROR(K168/G168-1,"")))</f>
        <v/>
      </c>
      <c r="L170" s="15">
        <f>IF(OR(L168="",H168=""),"",IF(H168&lt;=0,"",IFERROR(L168/H168-1,"")))</f>
        <v/>
      </c>
      <c r="M170" s="15">
        <f>IF(OR(M168="",I168=""),"",IF(I168&lt;=0,"",IFERROR(M168/I168-1,"")))</f>
        <v/>
      </c>
      <c r="N170" s="15">
        <f>IF(OR(N168="",J168=""),"",IF(J168&lt;=0,"",IFERROR(N168/J168-1,"")))</f>
        <v/>
      </c>
      <c r="V170" s="15">
        <f>IF(OR(V168="",U168=""),"",IF(U168&lt;=0,"",IFERROR(V168/U168-1,"")))</f>
        <v/>
      </c>
      <c r="W170" s="15">
        <f>IF(OR(W168="",V168=""),"",IF(V168&lt;=0,"",IFERROR(W168/V168-1,"")))</f>
        <v/>
      </c>
      <c r="X170" s="15">
        <f>IF(OR(X168="",W168=""),"",IF(W168&lt;=0,"",IFERROR(X168/W168-1,"")))</f>
        <v/>
      </c>
    </row>
    <row r="171">
      <c r="A171" s="18" t="inlineStr">
        <is>
          <t>합계 · 부문 이익</t>
        </is>
      </c>
      <c r="C171" s="20" t="n">
        <v>-20.517</v>
      </c>
      <c r="D171" s="20" t="n">
        <v>5.08</v>
      </c>
      <c r="E171" s="20" t="n">
        <v>-20.146</v>
      </c>
      <c r="F171" s="20" t="n">
        <v>4.308</v>
      </c>
      <c r="G171" s="20" t="n">
        <v>8.606</v>
      </c>
      <c r="H171" s="20" t="n">
        <v>23.864</v>
      </c>
      <c r="I171" s="20" t="n">
        <v>24.799</v>
      </c>
      <c r="J171" s="20" t="n">
        <v>49.987</v>
      </c>
      <c r="K171" s="20" t="n">
        <v>56.558</v>
      </c>
      <c r="L171" s="20" t="n">
        <v>48.366</v>
      </c>
      <c r="M171" s="20" t="n">
        <v>44.309</v>
      </c>
      <c r="N171" s="20" t="n">
        <v>112.769</v>
      </c>
      <c r="V171" s="20" t="n">
        <v>4.308</v>
      </c>
      <c r="W171" s="20" t="n">
        <v>49.987</v>
      </c>
      <c r="X171" s="20" t="n">
        <v>112.769</v>
      </c>
    </row>
    <row r="172">
      <c r="A172" s="43" t="inlineStr">
        <is>
          <t>OPM</t>
        </is>
      </c>
      <c r="B172" s="3" t="inlineStr">
        <is>
          <t>영업이익 ÷ 매출</t>
        </is>
      </c>
      <c r="C172" s="15">
        <f>IF(OR(C171="",C156=""),"",IF(C156&lt;=0,"",IFERROR(C171/C156,"")))</f>
        <v/>
      </c>
      <c r="D172" s="15">
        <f>IF(OR(D171="",D156=""),"",IF(D156&lt;=0,"",IFERROR(D171/D156,"")))</f>
        <v/>
      </c>
      <c r="E172" s="15">
        <f>IF(OR(E171="",E156=""),"",IF(E156&lt;=0,"",IFERROR(E171/E156,"")))</f>
        <v/>
      </c>
      <c r="F172" s="15">
        <f>IF(OR(F171="",F156=""),"",IF(F156&lt;=0,"",IFERROR(F171/F156,"")))</f>
        <v/>
      </c>
      <c r="G172" s="15">
        <f>IF(OR(G171="",G156=""),"",IF(G156&lt;=0,"",IFERROR(G171/G156,"")))</f>
        <v/>
      </c>
      <c r="H172" s="15">
        <f>IF(OR(H171="",H156=""),"",IF(H156&lt;=0,"",IFERROR(H171/H156,"")))</f>
        <v/>
      </c>
      <c r="I172" s="15">
        <f>IF(OR(I171="",I156=""),"",IF(I156&lt;=0,"",IFERROR(I171/I156,"")))</f>
        <v/>
      </c>
      <c r="J172" s="15">
        <f>IF(OR(J171="",J156=""),"",IF(J156&lt;=0,"",IFERROR(J171/J156,"")))</f>
        <v/>
      </c>
      <c r="K172" s="15">
        <f>IF(OR(K171="",K156=""),"",IF(K156&lt;=0,"",IFERROR(K171/K156,"")))</f>
        <v/>
      </c>
      <c r="L172" s="15">
        <f>IF(OR(L171="",L156=""),"",IF(L156&lt;=0,"",IFERROR(L171/L156,"")))</f>
        <v/>
      </c>
      <c r="M172" s="15">
        <f>IF(OR(M171="",M156=""),"",IF(M156&lt;=0,"",IFERROR(M171/M156,"")))</f>
        <v/>
      </c>
      <c r="N172" s="15">
        <f>IF(OR(N171="",N156=""),"",IF(N156&lt;=0,"",IFERROR(N171/N156,"")))</f>
        <v/>
      </c>
      <c r="V172" s="15">
        <f>IF(OR(V171="",V156=""),"",IF(V156&lt;=0,"",IFERROR(V171/V156,"")))</f>
        <v/>
      </c>
      <c r="W172" s="15">
        <f>IF(OR(W171="",W156=""),"",IF(W156&lt;=0,"",IFERROR(W171/W156,"")))</f>
        <v/>
      </c>
      <c r="X172" s="15">
        <f>IF(OR(X171="",X156=""),"",IF(X156&lt;=0,"",IFERROR(X171/X156,"")))</f>
        <v/>
      </c>
    </row>
    <row r="173">
      <c r="A173" s="43" t="inlineStr">
        <is>
          <t>YoY</t>
        </is>
      </c>
      <c r="B173" s="3" t="inlineStr">
        <is>
          <t>전년 같은 분기·전년 대비</t>
        </is>
      </c>
      <c r="G173" s="15">
        <f>IF(OR(G171="",C171=""),"",IF(C171&lt;=0,"",IFERROR(G171/C171-1,"")))</f>
        <v/>
      </c>
      <c r="H173" s="15">
        <f>IF(OR(H171="",D171=""),"",IF(D171&lt;=0,"",IFERROR(H171/D171-1,"")))</f>
        <v/>
      </c>
      <c r="I173" s="15">
        <f>IF(OR(I171="",E171=""),"",IF(E171&lt;=0,"",IFERROR(I171/E171-1,"")))</f>
        <v/>
      </c>
      <c r="J173" s="15">
        <f>IF(OR(J171="",F171=""),"",IF(F171&lt;=0,"",IFERROR(J171/F171-1,"")))</f>
        <v/>
      </c>
      <c r="K173" s="15">
        <f>IF(OR(K171="",G171=""),"",IF(G171&lt;=0,"",IFERROR(K171/G171-1,"")))</f>
        <v/>
      </c>
      <c r="L173" s="15">
        <f>IF(OR(L171="",H171=""),"",IF(H171&lt;=0,"",IFERROR(L171/H171-1,"")))</f>
        <v/>
      </c>
      <c r="M173" s="15">
        <f>IF(OR(M171="",I171=""),"",IF(I171&lt;=0,"",IFERROR(M171/I171-1,"")))</f>
        <v/>
      </c>
      <c r="N173" s="15">
        <f>IF(OR(N171="",J171=""),"",IF(J171&lt;=0,"",IFERROR(N171/J171-1,"")))</f>
        <v/>
      </c>
      <c r="V173" s="15">
        <f>IF(OR(V171="",U171=""),"",IF(U171&lt;=0,"",IFERROR(V171/U171-1,"")))</f>
        <v/>
      </c>
      <c r="W173" s="15">
        <f>IF(OR(W171="",V171=""),"",IF(V171&lt;=0,"",IFERROR(W171/V171-1,"")))</f>
        <v/>
      </c>
      <c r="X173" s="15">
        <f>IF(OR(X171="",W171=""),"",IF(W171&lt;=0,"",IFERROR(X171/W171-1,"")))</f>
        <v/>
      </c>
    </row>
    <row r="174">
      <c r="A174" s="18" t="inlineStr">
        <is>
          <t>조정액 · 부문 이익</t>
        </is>
      </c>
      <c r="C174" s="20" t="n">
        <v>0</v>
      </c>
      <c r="D174" s="20" t="n">
        <v>0</v>
      </c>
      <c r="E174" s="20" t="n">
        <v>0</v>
      </c>
      <c r="F174" s="20" t="n">
        <v>0</v>
      </c>
      <c r="G174" s="20" t="n">
        <v>0</v>
      </c>
      <c r="H174" s="20" t="n">
        <v>0</v>
      </c>
      <c r="I174" s="20" t="n">
        <v>0</v>
      </c>
      <c r="J174" s="20" t="n">
        <v>0</v>
      </c>
      <c r="K174" s="20" t="n">
        <v>0</v>
      </c>
      <c r="L174" s="20" t="n">
        <v>0</v>
      </c>
      <c r="M174" s="20" t="n">
        <v>0</v>
      </c>
      <c r="N174" s="20" t="n">
        <v>0</v>
      </c>
      <c r="V174" s="20" t="n">
        <v>0</v>
      </c>
      <c r="W174" s="20" t="n">
        <v>0</v>
      </c>
      <c r="X174" s="20" t="n">
        <v>0</v>
      </c>
    </row>
    <row r="175">
      <c r="A175" s="18" t="inlineStr">
        <is>
          <t>EntityTotalMember · 부문 이익</t>
        </is>
      </c>
      <c r="G175" s="20" t="n">
        <v>8.606</v>
      </c>
      <c r="K175" s="20" t="n">
        <v>56.558</v>
      </c>
    </row>
    <row r="176">
      <c r="A176" s="9" t="inlineStr">
        <is>
          <t>부문 이익</t>
        </is>
      </c>
      <c r="C176" s="12" t="n">
        <v>-20.517</v>
      </c>
      <c r="D176" s="12" t="n">
        <v>5.08</v>
      </c>
      <c r="E176" s="12" t="n">
        <v>-20.146</v>
      </c>
      <c r="F176" s="12" t="n">
        <v>4.308</v>
      </c>
      <c r="G176" s="12" t="n">
        <v>8.606</v>
      </c>
      <c r="H176" s="12" t="n">
        <v>23.864</v>
      </c>
      <c r="I176" s="12" t="n">
        <v>24.799</v>
      </c>
      <c r="J176" s="12" t="n">
        <v>49.987</v>
      </c>
      <c r="V176" s="12" t="n">
        <v>4.308</v>
      </c>
      <c r="W176" s="12" t="n">
        <v>49.987</v>
      </c>
    </row>
    <row r="177">
      <c r="A177" s="43" t="inlineStr">
        <is>
          <t>OPM</t>
        </is>
      </c>
      <c r="B177" s="3" t="inlineStr">
        <is>
          <t>영업이익 ÷ 매출</t>
        </is>
      </c>
      <c r="C177" s="15">
        <f>IF(OR(C176="",C141=""),"",IF(C141&lt;=0,"",IFERROR(C176/C141,"")))</f>
        <v/>
      </c>
      <c r="D177" s="15">
        <f>IF(OR(D176="",D141=""),"",IF(D141&lt;=0,"",IFERROR(D176/D141,"")))</f>
        <v/>
      </c>
      <c r="E177" s="15">
        <f>IF(OR(E176="",E141=""),"",IF(E141&lt;=0,"",IFERROR(E176/E141,"")))</f>
        <v/>
      </c>
      <c r="F177" s="15">
        <f>IF(OR(F176="",F141=""),"",IF(F141&lt;=0,"",IFERROR(F176/F141,"")))</f>
        <v/>
      </c>
      <c r="G177" s="15">
        <f>IF(OR(G176="",G141=""),"",IF(G141&lt;=0,"",IFERROR(G176/G141,"")))</f>
        <v/>
      </c>
      <c r="H177" s="15">
        <f>IF(OR(H176="",H141=""),"",IF(H141&lt;=0,"",IFERROR(H176/H141,"")))</f>
        <v/>
      </c>
      <c r="I177" s="15">
        <f>IF(OR(I176="",I141=""),"",IF(I141&lt;=0,"",IFERROR(I176/I141,"")))</f>
        <v/>
      </c>
      <c r="J177" s="15">
        <f>IF(OR(J176="",J141=""),"",IF(J141&lt;=0,"",IFERROR(J176/J141,"")))</f>
        <v/>
      </c>
      <c r="V177" s="15">
        <f>IF(OR(V176="",V141=""),"",IF(V141&lt;=0,"",IFERROR(V176/V141,"")))</f>
        <v/>
      </c>
      <c r="W177" s="15">
        <f>IF(OR(W176="",W141=""),"",IF(W141&lt;=0,"",IFERROR(W176/W141,"")))</f>
        <v/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IF(OR(G176="",C176=""),"",IF(C176&lt;=0,"",IFERROR(G176/C176-1,"")))</f>
        <v/>
      </c>
      <c r="H178" s="15">
        <f>IF(OR(H176="",D176=""),"",IF(D176&lt;=0,"",IFERROR(H176/D176-1,"")))</f>
        <v/>
      </c>
      <c r="I178" s="15">
        <f>IF(OR(I176="",E176=""),"",IF(E176&lt;=0,"",IFERROR(I176/E176-1,"")))</f>
        <v/>
      </c>
      <c r="J178" s="15">
        <f>IF(OR(J176="",F176=""),"",IF(F176&lt;=0,"",IFERROR(J176/F176-1,"")))</f>
        <v/>
      </c>
      <c r="V178" s="15">
        <f>IF(OR(V176="",U176=""),"",IF(U176&lt;=0,"",IFERROR(V176/U176-1,"")))</f>
        <v/>
      </c>
      <c r="W178" s="15">
        <f>IF(OR(W176="",V176=""),"",IF(V176&lt;=0,"",IFERROR(W176/V176-1,"")))</f>
        <v/>
      </c>
    </row>
    <row r="180">
      <c r="A180" s="16" t="inlineStr">
        <is>
          <t>현금흐름표 · 전 항목</t>
        </is>
      </c>
      <c r="B180" s="42" t="inlineStr">
        <is>
          <t>분기 = 결산기 첫날부터 누계(공시 그대로)</t>
        </is>
      </c>
      <c r="C180" s="16" t="n"/>
      <c r="D180" s="16" t="n"/>
      <c r="E180" s="16" t="n"/>
      <c r="F180" s="16" t="n"/>
      <c r="G180" s="16" t="n"/>
      <c r="H180" s="16" t="n"/>
      <c r="I180" s="16" t="n"/>
      <c r="J180" s="16" t="n"/>
      <c r="K180" s="16" t="n"/>
      <c r="L180" s="16" t="n"/>
      <c r="M180" s="16" t="n"/>
      <c r="N180" s="16" t="n"/>
      <c r="O180" s="16" t="n"/>
      <c r="P180" s="16" t="n"/>
      <c r="Q180" s="16" t="n"/>
      <c r="R180" s="16" t="n"/>
      <c r="S180" s="16" t="n"/>
      <c r="T180" s="16" t="n"/>
      <c r="U180" s="16" t="n"/>
      <c r="V180" s="16" t="n"/>
      <c r="W180" s="16" t="n"/>
      <c r="X180" s="16" t="n"/>
      <c r="Y180" s="16" t="n"/>
      <c r="Z180" s="16" t="n"/>
      <c r="AA180" s="16" t="n"/>
      <c r="AB180" s="16" t="n"/>
      <c r="AC180" s="16" t="n"/>
    </row>
    <row r="181">
      <c r="A181" s="5" t="inlineStr">
        <is>
          <t>항목</t>
        </is>
      </c>
      <c r="B181" s="5" t="inlineStr">
        <is>
          <t>참고</t>
        </is>
      </c>
      <c r="C181" s="5" t="inlineStr">
        <is>
          <t>2024.1Q</t>
        </is>
      </c>
      <c r="D181" s="5" t="inlineStr">
        <is>
          <t>2024.2Q</t>
        </is>
      </c>
      <c r="E181" s="5" t="inlineStr">
        <is>
          <t>2024.3Q</t>
        </is>
      </c>
      <c r="F181" s="5" t="inlineStr">
        <is>
          <t>2024.4Q</t>
        </is>
      </c>
      <c r="G181" s="5" t="inlineStr">
        <is>
          <t>2025.1Q</t>
        </is>
      </c>
      <c r="H181" s="5" t="inlineStr">
        <is>
          <t>2025.2Q</t>
        </is>
      </c>
      <c r="I181" s="5" t="inlineStr">
        <is>
          <t>2025.3Q</t>
        </is>
      </c>
      <c r="J181" s="5" t="inlineStr">
        <is>
          <t>2025.4Q</t>
        </is>
      </c>
      <c r="K181" s="5" t="inlineStr">
        <is>
          <t>2026.1Q</t>
        </is>
      </c>
      <c r="L181" s="5" t="inlineStr">
        <is>
          <t>2026.2Q</t>
        </is>
      </c>
      <c r="M181" s="5" t="inlineStr">
        <is>
          <t>2026.3Q</t>
        </is>
      </c>
      <c r="N181" s="5" t="inlineStr">
        <is>
          <t>2026.4Q</t>
        </is>
      </c>
      <c r="O181" s="5" t="inlineStr">
        <is>
          <t>2017</t>
        </is>
      </c>
      <c r="P181" s="5" t="inlineStr">
        <is>
          <t>2018</t>
        </is>
      </c>
      <c r="Q181" s="5" t="inlineStr">
        <is>
          <t>2019</t>
        </is>
      </c>
      <c r="R181" s="5" t="inlineStr">
        <is>
          <t>2020</t>
        </is>
      </c>
      <c r="S181" s="5" t="inlineStr">
        <is>
          <t>2021</t>
        </is>
      </c>
      <c r="T181" s="5" t="inlineStr">
        <is>
          <t>2022</t>
        </is>
      </c>
      <c r="U181" s="5" t="inlineStr">
        <is>
          <t>2023</t>
        </is>
      </c>
      <c r="V181" s="5" t="inlineStr">
        <is>
          <t>2024</t>
        </is>
      </c>
      <c r="W181" s="5" t="inlineStr">
        <is>
          <t>2025</t>
        </is>
      </c>
      <c r="X181" s="5" t="inlineStr">
        <is>
          <t>2026</t>
        </is>
      </c>
      <c r="Y181" s="5" t="inlineStr">
        <is>
          <t>2027(MW)</t>
        </is>
      </c>
      <c r="Z181" s="5" t="inlineStr">
        <is>
          <t>2028(MW)</t>
        </is>
      </c>
      <c r="AA181" s="5" t="inlineStr">
        <is>
          <t>2029(MW)</t>
        </is>
      </c>
      <c r="AB181" s="5" t="inlineStr">
        <is>
          <t>2030(MW)</t>
        </is>
      </c>
      <c r="AC181" s="5" t="inlineStr">
        <is>
          <t>2031(MW)</t>
        </is>
      </c>
    </row>
    <row r="182">
      <c r="A182" s="9" t="inlineStr">
        <is>
          <t>법인세차감전 순이익</t>
        </is>
      </c>
      <c r="D182" s="12" t="n">
        <v>-16.988</v>
      </c>
      <c r="F182" s="12" t="n">
        <v>-34</v>
      </c>
      <c r="H182" s="12" t="n">
        <v>17.439</v>
      </c>
      <c r="J182" s="12" t="n">
        <v>92.7</v>
      </c>
      <c r="L182" s="12" t="n">
        <v>103.292</v>
      </c>
      <c r="N182" s="12" t="n">
        <v>262.775</v>
      </c>
      <c r="S182" s="12" t="n">
        <v>-95.666</v>
      </c>
      <c r="T182" s="12" t="n">
        <v>9.84</v>
      </c>
      <c r="U182" s="12" t="n">
        <v>-72.468</v>
      </c>
      <c r="V182" s="12" t="n">
        <v>-34</v>
      </c>
      <c r="W182" s="12" t="n">
        <v>92.7</v>
      </c>
      <c r="X182" s="12" t="n">
        <v>262.775</v>
      </c>
    </row>
    <row r="183">
      <c r="A183" s="18" t="inlineStr">
        <is>
          <t>감가상각비</t>
        </is>
      </c>
      <c r="D183" s="20" t="n">
        <v>6.718</v>
      </c>
      <c r="F183" s="20" t="n">
        <v>13.64</v>
      </c>
      <c r="H183" s="20" t="n">
        <v>7.239</v>
      </c>
      <c r="J183" s="20" t="n">
        <v>15.884</v>
      </c>
      <c r="L183" s="20" t="n">
        <v>28.413</v>
      </c>
      <c r="N183" s="20" t="n">
        <v>28.641</v>
      </c>
      <c r="S183" s="20" t="n">
        <v>1.594</v>
      </c>
      <c r="T183" s="20" t="n">
        <v>3.997</v>
      </c>
      <c r="U183" s="20" t="n">
        <v>21.665</v>
      </c>
      <c r="V183" s="20" t="n">
        <v>13.64</v>
      </c>
      <c r="W183" s="20" t="n">
        <v>15.884</v>
      </c>
      <c r="X183" s="20" t="n">
        <v>28.641</v>
      </c>
    </row>
    <row r="184">
      <c r="A184" s="18" t="inlineStr">
        <is>
          <t>상여충당금 증감</t>
        </is>
      </c>
      <c r="H184" s="20" t="n">
        <v>0</v>
      </c>
      <c r="L184" s="20" t="n">
        <v>7.326</v>
      </c>
    </row>
    <row r="185">
      <c r="A185" s="18" t="inlineStr">
        <is>
          <t>이자·배당금 수익</t>
        </is>
      </c>
      <c r="D185" s="20" t="n">
        <v>-0.003</v>
      </c>
      <c r="F185" s="20" t="n">
        <v>-0.05</v>
      </c>
      <c r="H185" s="20" t="n">
        <v>-0.513</v>
      </c>
      <c r="J185" s="20" t="n">
        <v>-1.942</v>
      </c>
      <c r="L185" s="20" t="n">
        <v>-1.706</v>
      </c>
      <c r="N185" s="20" t="n">
        <v>-3.609</v>
      </c>
      <c r="S185" s="20" t="n">
        <v>-0.004</v>
      </c>
      <c r="T185" s="20" t="n">
        <v>-0.005</v>
      </c>
      <c r="U185" s="20" t="n">
        <v>-0.006</v>
      </c>
      <c r="V185" s="20" t="n">
        <v>-0.05</v>
      </c>
      <c r="W185" s="20" t="n">
        <v>-1.942</v>
      </c>
      <c r="X185" s="20" t="n">
        <v>-3.609</v>
      </c>
    </row>
    <row r="186">
      <c r="A186" s="18" t="inlineStr">
        <is>
          <t>보조금 수입</t>
        </is>
      </c>
      <c r="D186" s="20" t="n">
        <v>-0.04</v>
      </c>
      <c r="F186" s="20" t="n">
        <v>-0.04</v>
      </c>
      <c r="H186" s="20" t="n">
        <v>0</v>
      </c>
      <c r="J186" s="20" t="n">
        <v>0</v>
      </c>
      <c r="U186" s="20" t="n">
        <v>0</v>
      </c>
      <c r="V186" s="20" t="n">
        <v>-0.04</v>
      </c>
      <c r="W186" s="20" t="n">
        <v>0</v>
      </c>
    </row>
    <row r="187">
      <c r="A187" s="18" t="inlineStr">
        <is>
          <t>유가증권 이자</t>
        </is>
      </c>
      <c r="J187" s="20" t="n">
        <v>0</v>
      </c>
      <c r="N187" s="20" t="n">
        <v>-1.426</v>
      </c>
      <c r="W187" s="20" t="n">
        <v>0</v>
      </c>
      <c r="X187" s="20" t="n">
        <v>-1.426</v>
      </c>
    </row>
    <row r="188">
      <c r="A188" s="18" t="inlineStr">
        <is>
          <t>외환차손익</t>
        </is>
      </c>
      <c r="F188" s="20" t="n">
        <v>0.004</v>
      </c>
      <c r="J188" s="20" t="n">
        <v>-0.001</v>
      </c>
      <c r="N188" s="20" t="n">
        <v>-0.006</v>
      </c>
      <c r="U188" s="20" t="n">
        <v>0</v>
      </c>
      <c r="V188" s="20" t="n">
        <v>0.004</v>
      </c>
      <c r="W188" s="20" t="n">
        <v>-0.001</v>
      </c>
      <c r="X188" s="20" t="n">
        <v>-0.006</v>
      </c>
    </row>
    <row r="189">
      <c r="A189" s="18" t="inlineStr">
        <is>
          <t>이자비용</t>
        </is>
      </c>
      <c r="D189" s="20" t="n">
        <v>0.785</v>
      </c>
      <c r="F189" s="20" t="n">
        <v>1.619</v>
      </c>
      <c r="H189" s="20" t="n">
        <v>0.8</v>
      </c>
      <c r="J189" s="20" t="n">
        <v>1.667</v>
      </c>
      <c r="L189" s="20" t="n">
        <v>0.68</v>
      </c>
      <c r="N189" s="20" t="n">
        <v>1.325</v>
      </c>
      <c r="S189" s="20" t="n">
        <v>0.576</v>
      </c>
      <c r="T189" s="20" t="n">
        <v>0</v>
      </c>
      <c r="U189" s="20" t="n">
        <v>0</v>
      </c>
      <c r="V189" s="20" t="n">
        <v>1.619</v>
      </c>
      <c r="W189" s="20" t="n">
        <v>1.667</v>
      </c>
      <c r="X189" s="20" t="n">
        <v>1.325</v>
      </c>
    </row>
    <row r="190">
      <c r="A190" s="18" t="inlineStr">
        <is>
          <t>투자유가증권 평가손익</t>
        </is>
      </c>
      <c r="D190" s="20" t="n">
        <v>0</v>
      </c>
      <c r="F190" s="20" t="n">
        <v>0</v>
      </c>
      <c r="U190" s="20" t="n">
        <v>4.999</v>
      </c>
      <c r="V190" s="20" t="n">
        <v>0</v>
      </c>
    </row>
    <row r="191">
      <c r="A191" s="18" t="inlineStr">
        <is>
          <t>주식교부비</t>
        </is>
      </c>
      <c r="D191" s="20" t="n">
        <v>0</v>
      </c>
      <c r="F191" s="20" t="n">
        <v>0</v>
      </c>
      <c r="H191" s="20" t="n">
        <v>14.011</v>
      </c>
      <c r="J191" s="20" t="n">
        <v>14.011</v>
      </c>
      <c r="L191" s="20" t="n">
        <v>0</v>
      </c>
      <c r="N191" s="20" t="n">
        <v>0</v>
      </c>
      <c r="S191" s="20" t="n">
        <v>0</v>
      </c>
      <c r="T191" s="20" t="n">
        <v>4.353</v>
      </c>
      <c r="U191" s="20" t="n">
        <v>0</v>
      </c>
      <c r="V191" s="20" t="n">
        <v>0</v>
      </c>
      <c r="W191" s="20" t="n">
        <v>14.011</v>
      </c>
      <c r="X191" s="20" t="n">
        <v>0</v>
      </c>
    </row>
    <row r="192">
      <c r="A192" s="18" t="inlineStr">
        <is>
          <t>매출채권 증감</t>
        </is>
      </c>
      <c r="D192" s="20" t="n">
        <v>-17.01</v>
      </c>
      <c r="F192" s="20" t="n">
        <v>-35.365</v>
      </c>
      <c r="H192" s="20" t="n">
        <v>-11.636</v>
      </c>
      <c r="J192" s="20" t="n">
        <v>-50.145</v>
      </c>
      <c r="L192" s="20" t="n">
        <v>-16.752</v>
      </c>
      <c r="N192" s="20" t="n">
        <v>34.528</v>
      </c>
      <c r="S192" s="20" t="n">
        <v>-35.703</v>
      </c>
      <c r="T192" s="20" t="n">
        <v>10.947</v>
      </c>
      <c r="U192" s="20" t="n">
        <v>-30.557</v>
      </c>
      <c r="V192" s="20" t="n">
        <v>-35.365</v>
      </c>
      <c r="W192" s="20" t="n">
        <v>-50.145</v>
      </c>
      <c r="X192" s="20" t="n">
        <v>34.528</v>
      </c>
    </row>
    <row r="193">
      <c r="A193" s="18" t="inlineStr">
        <is>
          <t>재고자산 증감</t>
        </is>
      </c>
      <c r="D193" s="20" t="n">
        <v>1.754</v>
      </c>
      <c r="F193" s="20" t="n">
        <v>11.264</v>
      </c>
      <c r="H193" s="20" t="n">
        <v>4.023</v>
      </c>
      <c r="J193" s="20" t="n">
        <v>5.448</v>
      </c>
      <c r="L193" s="20" t="n">
        <v>-101.247</v>
      </c>
      <c r="N193" s="20" t="n">
        <v>-70.125</v>
      </c>
      <c r="S193" s="20" t="n">
        <v>-6.379</v>
      </c>
      <c r="T193" s="20" t="n">
        <v>-15.307</v>
      </c>
      <c r="U193" s="20" t="n">
        <v>-47.863</v>
      </c>
      <c r="V193" s="20" t="n">
        <v>11.264</v>
      </c>
      <c r="W193" s="20" t="n">
        <v>5.448</v>
      </c>
      <c r="X193" s="20" t="n">
        <v>-70.125</v>
      </c>
    </row>
    <row r="194">
      <c r="A194" s="18" t="inlineStr">
        <is>
          <t>선급비용 증감</t>
        </is>
      </c>
      <c r="D194" s="20" t="n">
        <v>-9.808999999999999</v>
      </c>
      <c r="F194" s="20" t="n">
        <v>-5.755</v>
      </c>
      <c r="H194" s="20" t="n">
        <v>-0.782</v>
      </c>
      <c r="J194" s="20" t="n">
        <v>-3.788</v>
      </c>
      <c r="L194" s="20" t="n">
        <v>8.529</v>
      </c>
      <c r="N194" s="20" t="n">
        <v>21.848</v>
      </c>
      <c r="S194" s="20" t="n">
        <v>1.266</v>
      </c>
      <c r="T194" s="20" t="n">
        <v>-7.964</v>
      </c>
      <c r="U194" s="20" t="n">
        <v>-6.249</v>
      </c>
      <c r="V194" s="20" t="n">
        <v>-5.755</v>
      </c>
      <c r="W194" s="20" t="n">
        <v>-3.788</v>
      </c>
      <c r="X194" s="20" t="n">
        <v>21.848</v>
      </c>
    </row>
    <row r="195">
      <c r="A195" s="18" t="inlineStr">
        <is>
          <t>선급금 증감</t>
        </is>
      </c>
      <c r="S195" s="20" t="n">
        <v>1.92</v>
      </c>
      <c r="T195" s="20" t="n">
        <v>0.029</v>
      </c>
      <c r="U195" s="20" t="n">
        <v>0</v>
      </c>
    </row>
    <row r="196">
      <c r="A196" s="18" t="inlineStr">
        <is>
          <t>매입채무 증감</t>
        </is>
      </c>
      <c r="D196" s="20" t="n">
        <v>-6.408</v>
      </c>
      <c r="F196" s="20" t="n">
        <v>-9.173999999999999</v>
      </c>
      <c r="H196" s="20" t="n">
        <v>42.686</v>
      </c>
      <c r="J196" s="20" t="n">
        <v>32.89</v>
      </c>
      <c r="L196" s="20" t="n">
        <v>59.091</v>
      </c>
      <c r="N196" s="20" t="n">
        <v>-15.531</v>
      </c>
      <c r="S196" s="20" t="n">
        <v>20.973</v>
      </c>
      <c r="T196" s="20" t="n">
        <v>-11.078</v>
      </c>
      <c r="U196" s="20" t="n">
        <v>3.423</v>
      </c>
      <c r="V196" s="20" t="n">
        <v>-9.173999999999999</v>
      </c>
      <c r="W196" s="20" t="n">
        <v>32.89</v>
      </c>
      <c r="X196" s="20" t="n">
        <v>-15.531</v>
      </c>
    </row>
    <row r="197">
      <c r="A197" s="18" t="inlineStr">
        <is>
          <t>미지급금 증감</t>
        </is>
      </c>
      <c r="D197" s="20" t="n">
        <v>-6.775</v>
      </c>
      <c r="F197" s="20" t="n">
        <v>9.632</v>
      </c>
      <c r="H197" s="20" t="n">
        <v>-12.074</v>
      </c>
      <c r="J197" s="20" t="n">
        <v>1.842</v>
      </c>
      <c r="L197" s="20" t="n">
        <v>-6.535</v>
      </c>
      <c r="N197" s="20" t="n">
        <v>-2.863</v>
      </c>
      <c r="S197" s="20" t="n">
        <v>-0.959</v>
      </c>
      <c r="T197" s="20" t="n">
        <v>16.891</v>
      </c>
      <c r="U197" s="20" t="n">
        <v>3.363</v>
      </c>
      <c r="V197" s="20" t="n">
        <v>9.632</v>
      </c>
      <c r="W197" s="20" t="n">
        <v>1.842</v>
      </c>
      <c r="X197" s="20" t="n">
        <v>-2.863</v>
      </c>
    </row>
    <row r="198">
      <c r="A198" s="18" t="inlineStr">
        <is>
          <t>미지급비용 증감</t>
        </is>
      </c>
      <c r="D198" s="20" t="n">
        <v>-10.377</v>
      </c>
      <c r="F198" s="20" t="n">
        <v>-10.623</v>
      </c>
      <c r="H198" s="20" t="n">
        <v>2.401</v>
      </c>
      <c r="J198" s="20" t="n">
        <v>8.896000000000001</v>
      </c>
      <c r="L198" s="20" t="n">
        <v>14.057</v>
      </c>
      <c r="N198" s="20" t="n">
        <v>17.511</v>
      </c>
      <c r="S198" s="20" t="n">
        <v>5.779</v>
      </c>
      <c r="T198" s="20" t="n">
        <v>5.131</v>
      </c>
      <c r="U198" s="20" t="n">
        <v>21.293</v>
      </c>
      <c r="V198" s="20" t="n">
        <v>-10.623</v>
      </c>
      <c r="W198" s="20" t="n">
        <v>8.896000000000001</v>
      </c>
      <c r="X198" s="20" t="n">
        <v>17.511</v>
      </c>
    </row>
    <row r="199">
      <c r="A199" s="18" t="inlineStr">
        <is>
          <t>미지급법인세(외형표준과세) 증감</t>
        </is>
      </c>
      <c r="D199" s="20" t="n">
        <v>0</v>
      </c>
      <c r="F199" s="20" t="n">
        <v>0</v>
      </c>
      <c r="H199" s="20" t="n">
        <v>7.497</v>
      </c>
      <c r="J199" s="20" t="n">
        <v>15.54</v>
      </c>
      <c r="L199" s="20" t="n">
        <v>-6.892</v>
      </c>
      <c r="N199" s="20" t="n">
        <v>3.056</v>
      </c>
      <c r="V199" s="20" t="n">
        <v>0</v>
      </c>
      <c r="W199" s="20" t="n">
        <v>15.54</v>
      </c>
      <c r="X199" s="20" t="n">
        <v>3.056</v>
      </c>
    </row>
    <row r="200">
      <c r="A200" s="18" t="inlineStr">
        <is>
          <t>선수수익 증감</t>
        </is>
      </c>
      <c r="D200" s="20" t="n">
        <v>40.994</v>
      </c>
      <c r="F200" s="20" t="n">
        <v>36.813</v>
      </c>
      <c r="H200" s="20" t="n">
        <v>65.681</v>
      </c>
      <c r="J200" s="20" t="n">
        <v>137.117</v>
      </c>
      <c r="L200" s="20" t="n">
        <v>61.91</v>
      </c>
      <c r="N200" s="20" t="n">
        <v>184.848</v>
      </c>
      <c r="S200" s="20" t="n">
        <v>9.128</v>
      </c>
      <c r="T200" s="20" t="n">
        <v>87.982</v>
      </c>
      <c r="U200" s="20" t="n">
        <v>43.755</v>
      </c>
      <c r="V200" s="20" t="n">
        <v>36.813</v>
      </c>
      <c r="W200" s="20" t="n">
        <v>137.117</v>
      </c>
      <c r="X200" s="20" t="n">
        <v>184.848</v>
      </c>
    </row>
    <row r="201">
      <c r="A201" s="18" t="inlineStr">
        <is>
          <t>예수금 증감</t>
        </is>
      </c>
      <c r="F201" s="20" t="n">
        <v>2.759</v>
      </c>
      <c r="J201" s="20" t="n">
        <v>2.909</v>
      </c>
      <c r="N201" s="20" t="n">
        <v>-3.321</v>
      </c>
      <c r="S201" s="20" t="n">
        <v>0.366</v>
      </c>
      <c r="T201" s="20" t="n">
        <v>-0.143</v>
      </c>
      <c r="U201" s="20" t="n">
        <v>1.668</v>
      </c>
      <c r="V201" s="20" t="n">
        <v>2.759</v>
      </c>
      <c r="W201" s="20" t="n">
        <v>2.909</v>
      </c>
      <c r="X201" s="20" t="n">
        <v>-3.321</v>
      </c>
    </row>
    <row r="202">
      <c r="A202" s="18" t="inlineStr">
        <is>
          <t>미지급 소비세 증감</t>
        </is>
      </c>
      <c r="D202" s="20" t="n">
        <v>9.917</v>
      </c>
      <c r="F202" s="20" t="n">
        <v>20.218</v>
      </c>
      <c r="H202" s="20" t="n">
        <v>-1.878</v>
      </c>
      <c r="J202" s="20" t="n">
        <v>17.536</v>
      </c>
      <c r="L202" s="20" t="n">
        <v>-21.713</v>
      </c>
      <c r="N202" s="20" t="n">
        <v>-6.527</v>
      </c>
      <c r="S202" s="20" t="n">
        <v>-1.337</v>
      </c>
      <c r="T202" s="20" t="n">
        <v>9.618</v>
      </c>
      <c r="U202" s="20" t="n">
        <v>-13.731</v>
      </c>
      <c r="V202" s="20" t="n">
        <v>20.218</v>
      </c>
      <c r="W202" s="20" t="n">
        <v>17.536</v>
      </c>
      <c r="X202" s="20" t="n">
        <v>-6.527</v>
      </c>
    </row>
    <row r="203">
      <c r="A203" s="18" t="inlineStr">
        <is>
          <t>기타</t>
        </is>
      </c>
      <c r="D203" s="20" t="n">
        <v>-0.5649999999999999</v>
      </c>
      <c r="F203" s="20" t="n">
        <v>2.12</v>
      </c>
      <c r="H203" s="20" t="n">
        <v>-0.65</v>
      </c>
      <c r="J203" s="20" t="n">
        <v>0.334</v>
      </c>
      <c r="L203" s="20" t="n">
        <v>4.225</v>
      </c>
      <c r="N203" s="20" t="n">
        <v>-1.449</v>
      </c>
      <c r="S203" s="20" t="n">
        <v>1.607</v>
      </c>
      <c r="T203" s="20" t="n">
        <v>-2.757</v>
      </c>
      <c r="U203" s="20" t="n">
        <v>3.98</v>
      </c>
      <c r="V203" s="20" t="n">
        <v>2.12</v>
      </c>
      <c r="W203" s="20" t="n">
        <v>0.334</v>
      </c>
      <c r="X203" s="20" t="n">
        <v>-1.449</v>
      </c>
    </row>
    <row r="204">
      <c r="A204" s="18" t="inlineStr">
        <is>
          <t>소계</t>
        </is>
      </c>
      <c r="D204" s="20" t="n">
        <v>-7.808</v>
      </c>
      <c r="F204" s="20" t="n">
        <v>3.063</v>
      </c>
      <c r="H204" s="20" t="n">
        <v>134.246</v>
      </c>
      <c r="J204" s="20" t="n">
        <v>290.904</v>
      </c>
      <c r="L204" s="20" t="n">
        <v>132.68</v>
      </c>
      <c r="N204" s="20" t="n">
        <v>449.673</v>
      </c>
      <c r="S204" s="20" t="n">
        <v>-96.83799999999999</v>
      </c>
      <c r="T204" s="20" t="n">
        <v>111.533</v>
      </c>
      <c r="U204" s="20" t="n">
        <v>-66.726</v>
      </c>
      <c r="V204" s="20" t="n">
        <v>3.063</v>
      </c>
      <c r="W204" s="20" t="n">
        <v>290.904</v>
      </c>
      <c r="X204" s="20" t="n">
        <v>449.673</v>
      </c>
    </row>
    <row r="205">
      <c r="A205" s="18" t="inlineStr">
        <is>
          <t>이자·배당금 수취</t>
        </is>
      </c>
      <c r="D205" s="20" t="n">
        <v>0.003</v>
      </c>
      <c r="F205" s="20" t="n">
        <v>0.05</v>
      </c>
      <c r="H205" s="20" t="n">
        <v>0.513</v>
      </c>
      <c r="J205" s="20" t="n">
        <v>1.942</v>
      </c>
      <c r="L205" s="20" t="n">
        <v>1.706</v>
      </c>
      <c r="N205" s="20" t="n">
        <v>5.036</v>
      </c>
      <c r="S205" s="20" t="n">
        <v>0.004</v>
      </c>
      <c r="T205" s="20" t="n">
        <v>0.005</v>
      </c>
      <c r="U205" s="20" t="n">
        <v>0.006</v>
      </c>
      <c r="V205" s="20" t="n">
        <v>0.05</v>
      </c>
      <c r="W205" s="20" t="n">
        <v>1.942</v>
      </c>
      <c r="X205" s="20" t="n">
        <v>5.036</v>
      </c>
    </row>
    <row r="206">
      <c r="A206" s="18" t="inlineStr">
        <is>
          <t>업무수탁료 수취</t>
        </is>
      </c>
      <c r="S206" s="20" t="n">
        <v>0</v>
      </c>
      <c r="T206" s="20" t="n">
        <v>3</v>
      </c>
      <c r="U206" s="20" t="n">
        <v>0</v>
      </c>
    </row>
    <row r="207">
      <c r="A207" s="18" t="inlineStr">
        <is>
          <t>보조금 수취</t>
        </is>
      </c>
      <c r="D207" s="20" t="n">
        <v>0.04</v>
      </c>
      <c r="F207" s="20" t="n">
        <v>0.04</v>
      </c>
      <c r="H207" s="20" t="n">
        <v>0</v>
      </c>
      <c r="J207" s="20" t="n">
        <v>0</v>
      </c>
      <c r="U207" s="20" t="n">
        <v>0</v>
      </c>
      <c r="V207" s="20" t="n">
        <v>0.04</v>
      </c>
      <c r="W207" s="20" t="n">
        <v>0</v>
      </c>
    </row>
    <row r="208">
      <c r="A208" s="18" t="inlineStr">
        <is>
          <t>포상금 수취</t>
        </is>
      </c>
      <c r="D208" s="20" t="n">
        <v>0</v>
      </c>
      <c r="F208" s="20" t="n">
        <v>0</v>
      </c>
      <c r="T208" s="20" t="n">
        <v>0</v>
      </c>
      <c r="U208" s="20" t="n">
        <v>0.09</v>
      </c>
      <c r="V208" s="20" t="n">
        <v>0</v>
      </c>
    </row>
    <row r="209">
      <c r="A209" s="18" t="inlineStr">
        <is>
          <t>이자 지급</t>
        </is>
      </c>
      <c r="D209" s="20" t="n">
        <v>-0.877</v>
      </c>
      <c r="F209" s="20" t="n">
        <v>-1.714</v>
      </c>
      <c r="H209" s="20" t="n">
        <v>-0.799</v>
      </c>
      <c r="J209" s="20" t="n">
        <v>-1.654</v>
      </c>
      <c r="L209" s="20" t="n">
        <v>-0.676</v>
      </c>
      <c r="N209" s="20" t="n">
        <v>-1.31</v>
      </c>
      <c r="S209" s="20" t="n">
        <v>-0.5629999999999999</v>
      </c>
      <c r="T209" s="20" t="n">
        <v>0</v>
      </c>
      <c r="U209" s="20" t="n">
        <v>0</v>
      </c>
      <c r="V209" s="20" t="n">
        <v>-1.714</v>
      </c>
      <c r="W209" s="20" t="n">
        <v>-1.654</v>
      </c>
      <c r="X209" s="20" t="n">
        <v>-1.31</v>
      </c>
    </row>
    <row r="210">
      <c r="A210" s="18" t="inlineStr">
        <is>
          <t>법인세 납부</t>
        </is>
      </c>
      <c r="D210" s="20" t="n">
        <v>-0.29</v>
      </c>
      <c r="F210" s="20" t="n">
        <v>-0.29</v>
      </c>
      <c r="H210" s="20" t="n">
        <v>-0.485</v>
      </c>
      <c r="J210" s="20" t="n">
        <v>-0.485</v>
      </c>
      <c r="L210" s="20" t="n">
        <v>-21.342</v>
      </c>
      <c r="N210" s="20" t="n">
        <v>-40.216</v>
      </c>
      <c r="S210" s="20" t="n">
        <v>-0.29</v>
      </c>
      <c r="T210" s="20" t="n">
        <v>-0.29</v>
      </c>
      <c r="U210" s="20" t="n">
        <v>-0.29</v>
      </c>
      <c r="V210" s="20" t="n">
        <v>-0.29</v>
      </c>
      <c r="W210" s="20" t="n">
        <v>-0.485</v>
      </c>
      <c r="X210" s="20" t="n">
        <v>-40.216</v>
      </c>
    </row>
    <row r="211">
      <c r="A211" s="9" t="inlineStr">
        <is>
          <t>영업활동 현금흐름</t>
        </is>
      </c>
      <c r="D211" s="12" t="n">
        <v>-8.933</v>
      </c>
      <c r="F211" s="12" t="n">
        <v>1.149</v>
      </c>
      <c r="H211" s="12" t="n">
        <v>133.474</v>
      </c>
      <c r="J211" s="12" t="n">
        <v>290.705</v>
      </c>
      <c r="L211" s="12" t="n">
        <v>112.367</v>
      </c>
      <c r="N211" s="12" t="n">
        <v>413.183</v>
      </c>
      <c r="S211" s="12" t="n">
        <v>-97.687</v>
      </c>
      <c r="T211" s="12" t="n">
        <v>114.249</v>
      </c>
      <c r="U211" s="12" t="n">
        <v>-66.91800000000001</v>
      </c>
      <c r="V211" s="12" t="n">
        <v>1.149</v>
      </c>
      <c r="W211" s="12" t="n">
        <v>290.705</v>
      </c>
      <c r="X211" s="12" t="n">
        <v>413.183</v>
      </c>
    </row>
    <row r="212">
      <c r="A212" s="18" t="inlineStr">
        <is>
          <t>유형자산 취득(설비투자)</t>
        </is>
      </c>
      <c r="D212" s="20" t="n">
        <v>-44.906</v>
      </c>
      <c r="F212" s="20" t="n">
        <v>-47.532</v>
      </c>
      <c r="H212" s="20" t="n">
        <v>-3.573</v>
      </c>
      <c r="J212" s="20" t="n">
        <v>-18.939</v>
      </c>
      <c r="L212" s="20" t="n">
        <v>-2.626</v>
      </c>
      <c r="N212" s="20" t="n">
        <v>-4.413</v>
      </c>
      <c r="S212" s="20" t="n">
        <v>-0.753</v>
      </c>
      <c r="T212" s="20" t="n">
        <v>-18.462</v>
      </c>
      <c r="U212" s="20" t="n">
        <v>-20.958</v>
      </c>
      <c r="V212" s="20" t="n">
        <v>-47.532</v>
      </c>
      <c r="W212" s="20" t="n">
        <v>-18.939</v>
      </c>
      <c r="X212" s="20" t="n">
        <v>-4.413</v>
      </c>
    </row>
    <row r="213">
      <c r="A213" s="18" t="inlineStr">
        <is>
          <t>투자유가증권 취득</t>
        </is>
      </c>
      <c r="F213" s="20" t="n">
        <v>0</v>
      </c>
      <c r="S213" s="20" t="n">
        <v>0</v>
      </c>
      <c r="T213" s="20" t="n">
        <v>-5</v>
      </c>
      <c r="U213" s="20" t="n">
        <v>-10</v>
      </c>
      <c r="V213" s="20" t="n">
        <v>0</v>
      </c>
    </row>
    <row r="214">
      <c r="A214" s="18" t="inlineStr">
        <is>
          <t>자산복구부채 이행 지출</t>
        </is>
      </c>
      <c r="D214" s="20" t="n">
        <v>-7.53</v>
      </c>
      <c r="F214" s="20" t="n">
        <v>-7.53</v>
      </c>
      <c r="H214" s="20" t="n">
        <v>0</v>
      </c>
      <c r="J214" s="20" t="n">
        <v>0</v>
      </c>
      <c r="U214" s="20" t="n">
        <v>0</v>
      </c>
      <c r="V214" s="20" t="n">
        <v>-7.53</v>
      </c>
      <c r="W214" s="20" t="n">
        <v>0</v>
      </c>
    </row>
    <row r="215">
      <c r="A215" s="18" t="inlineStr">
        <is>
          <t>임차보증금 납입</t>
        </is>
      </c>
      <c r="D215" s="20" t="n">
        <v>0</v>
      </c>
      <c r="F215" s="20" t="n">
        <v>0</v>
      </c>
      <c r="H215" s="20" t="n">
        <v>-0.72</v>
      </c>
      <c r="J215" s="20" t="n">
        <v>-7.943</v>
      </c>
      <c r="L215" s="20" t="n">
        <v>-119.172</v>
      </c>
      <c r="N215" s="20" t="n">
        <v>-119.684</v>
      </c>
      <c r="S215" s="20" t="n">
        <v>0</v>
      </c>
      <c r="T215" s="20" t="n">
        <v>-11.25</v>
      </c>
      <c r="U215" s="20" t="n">
        <v>-61.773</v>
      </c>
      <c r="V215" s="20" t="n">
        <v>0</v>
      </c>
      <c r="W215" s="20" t="n">
        <v>-7.943</v>
      </c>
      <c r="X215" s="20" t="n">
        <v>-119.684</v>
      </c>
    </row>
    <row r="216">
      <c r="A216" s="18" t="inlineStr">
        <is>
          <t>임차보증금 반환</t>
        </is>
      </c>
      <c r="S216" s="20" t="n">
        <v>0.062</v>
      </c>
      <c r="T216" s="20" t="n">
        <v>0.057</v>
      </c>
      <c r="U216" s="20" t="n">
        <v>0</v>
      </c>
    </row>
    <row r="217">
      <c r="A217" s="18" t="inlineStr">
        <is>
          <t>임차보증금 회수</t>
        </is>
      </c>
      <c r="D217" s="20" t="n">
        <v>26.178</v>
      </c>
      <c r="F217" s="20" t="n">
        <v>26.178</v>
      </c>
      <c r="H217" s="20" t="n">
        <v>0</v>
      </c>
      <c r="J217" s="20" t="n">
        <v>0</v>
      </c>
      <c r="U217" s="20" t="n">
        <v>0</v>
      </c>
      <c r="V217" s="20" t="n">
        <v>26.178</v>
      </c>
      <c r="W217" s="20" t="n">
        <v>0</v>
      </c>
    </row>
    <row r="218">
      <c r="A218" s="18" t="inlineStr">
        <is>
          <t>기타</t>
        </is>
      </c>
      <c r="F218" s="20" t="n">
        <v>-3.7</v>
      </c>
      <c r="J218" s="20" t="n">
        <v>0</v>
      </c>
      <c r="T218" s="20" t="n">
        <v>0</v>
      </c>
      <c r="U218" s="20" t="n">
        <v>-14.4</v>
      </c>
      <c r="V218" s="20" t="n">
        <v>-3.7</v>
      </c>
      <c r="W218" s="20" t="n">
        <v>0</v>
      </c>
    </row>
    <row r="219">
      <c r="A219" s="9" t="inlineStr">
        <is>
          <t>투자활동 현금흐름</t>
        </is>
      </c>
      <c r="D219" s="12" t="n">
        <v>-26.257</v>
      </c>
      <c r="F219" s="12" t="n">
        <v>-32.583</v>
      </c>
      <c r="H219" s="12" t="n">
        <v>-4.293</v>
      </c>
      <c r="J219" s="12" t="n">
        <v>-26.883</v>
      </c>
      <c r="L219" s="12" t="n">
        <v>-121.799</v>
      </c>
      <c r="N219" s="12" t="n">
        <v>-124.098</v>
      </c>
      <c r="S219" s="12" t="n">
        <v>-0.6909999999999999</v>
      </c>
      <c r="T219" s="12" t="n">
        <v>-34.654</v>
      </c>
      <c r="U219" s="12" t="n">
        <v>-107.132</v>
      </c>
      <c r="V219" s="12" t="n">
        <v>-32.583</v>
      </c>
      <c r="W219" s="12" t="n">
        <v>-26.883</v>
      </c>
      <c r="X219" s="12" t="n">
        <v>-124.098</v>
      </c>
    </row>
    <row r="220">
      <c r="A220" s="18" t="inlineStr">
        <is>
          <t>단기차입</t>
        </is>
      </c>
      <c r="F220" s="20" t="n">
        <v>0</v>
      </c>
      <c r="J220" s="20" t="n">
        <v>50</v>
      </c>
      <c r="N220" s="20" t="n">
        <v>0</v>
      </c>
      <c r="V220" s="20" t="n">
        <v>0</v>
      </c>
      <c r="W220" s="20" t="n">
        <v>50</v>
      </c>
      <c r="X220" s="20" t="n">
        <v>0</v>
      </c>
    </row>
    <row r="221">
      <c r="A221" s="18" t="inlineStr">
        <is>
          <t>단기차입금 상환</t>
        </is>
      </c>
      <c r="F221" s="20" t="n">
        <v>0</v>
      </c>
      <c r="J221" s="20" t="n">
        <v>-50</v>
      </c>
      <c r="N221" s="20" t="n">
        <v>0</v>
      </c>
      <c r="V221" s="20" t="n">
        <v>0</v>
      </c>
      <c r="W221" s="20" t="n">
        <v>-50</v>
      </c>
      <c r="X221" s="20" t="n">
        <v>0</v>
      </c>
    </row>
    <row r="222">
      <c r="A222" s="18" t="inlineStr">
        <is>
          <t>장기차입</t>
        </is>
      </c>
      <c r="D222" s="20" t="n">
        <v>109</v>
      </c>
      <c r="F222" s="20" t="n">
        <v>109</v>
      </c>
      <c r="H222" s="20" t="n">
        <v>0</v>
      </c>
      <c r="J222" s="20" t="n">
        <v>0</v>
      </c>
      <c r="U222" s="20" t="n">
        <v>0</v>
      </c>
      <c r="V222" s="20" t="n">
        <v>109</v>
      </c>
      <c r="W222" s="20" t="n">
        <v>0</v>
      </c>
    </row>
    <row r="223">
      <c r="A223" s="18" t="inlineStr">
        <is>
          <t>장기차입금 상환</t>
        </is>
      </c>
      <c r="D223" s="20" t="n">
        <v>-9.08</v>
      </c>
      <c r="F223" s="20" t="n">
        <v>-19.976</v>
      </c>
      <c r="H223" s="20" t="n">
        <v>-10.896</v>
      </c>
      <c r="J223" s="20" t="n">
        <v>-21.792</v>
      </c>
      <c r="L223" s="20" t="n">
        <v>-10.896</v>
      </c>
      <c r="N223" s="20" t="n">
        <v>-21.792</v>
      </c>
      <c r="S223" s="20" t="n">
        <v>-64.82899999999999</v>
      </c>
      <c r="T223" s="20" t="n">
        <v>0</v>
      </c>
      <c r="U223" s="20" t="n">
        <v>0</v>
      </c>
      <c r="V223" s="20" t="n">
        <v>-19.976</v>
      </c>
      <c r="W223" s="20" t="n">
        <v>-21.792</v>
      </c>
      <c r="X223" s="20" t="n">
        <v>-21.792</v>
      </c>
    </row>
    <row r="224">
      <c r="A224" s="18" t="inlineStr">
        <is>
          <t>주식 발행</t>
        </is>
      </c>
      <c r="D224" s="20" t="n">
        <v>0</v>
      </c>
      <c r="F224" s="20" t="n">
        <v>0</v>
      </c>
      <c r="H224" s="20" t="n">
        <v>767.208</v>
      </c>
      <c r="J224" s="20" t="n">
        <v>767.208</v>
      </c>
      <c r="L224" s="20" t="n">
        <v>0</v>
      </c>
      <c r="N224" s="20" t="n">
        <v>0</v>
      </c>
      <c r="V224" s="20" t="n">
        <v>0</v>
      </c>
      <c r="W224" s="20" t="n">
        <v>767.208</v>
      </c>
      <c r="X224" s="20" t="n">
        <v>0</v>
      </c>
    </row>
    <row r="225">
      <c r="A225" s="18" t="inlineStr">
        <is>
          <t>자기주식 취득</t>
        </is>
      </c>
      <c r="D225" s="20" t="n">
        <v>0</v>
      </c>
      <c r="F225" s="20" t="n">
        <v>0</v>
      </c>
      <c r="H225" s="20" t="n">
        <v>-0.011</v>
      </c>
      <c r="J225" s="20" t="n">
        <v>-0.011</v>
      </c>
      <c r="L225" s="20" t="n">
        <v>0</v>
      </c>
      <c r="N225" s="20" t="n">
        <v>0</v>
      </c>
      <c r="V225" s="20" t="n">
        <v>0</v>
      </c>
      <c r="W225" s="20" t="n">
        <v>-0.011</v>
      </c>
      <c r="X225" s="20" t="n">
        <v>0</v>
      </c>
    </row>
    <row r="226">
      <c r="A226" s="18" t="inlineStr">
        <is>
          <t>자기주식 처분</t>
        </is>
      </c>
      <c r="D226" s="20" t="n">
        <v>0</v>
      </c>
      <c r="F226" s="20" t="n">
        <v>0</v>
      </c>
      <c r="H226" s="20" t="n">
        <v>0</v>
      </c>
      <c r="J226" s="20" t="n">
        <v>7.7</v>
      </c>
      <c r="L226" s="20" t="n">
        <v>4.7</v>
      </c>
      <c r="N226" s="20" t="n">
        <v>4.7</v>
      </c>
      <c r="S226" s="20" t="n">
        <v>50.15</v>
      </c>
      <c r="T226" s="20" t="n">
        <v>323.787</v>
      </c>
      <c r="U226" s="20" t="n">
        <v>14.9</v>
      </c>
      <c r="V226" s="20" t="n">
        <v>0</v>
      </c>
      <c r="W226" s="20" t="n">
        <v>7.7</v>
      </c>
      <c r="X226" s="20" t="n">
        <v>4.7</v>
      </c>
    </row>
    <row r="227">
      <c r="A227" s="9" t="inlineStr">
        <is>
          <t>재무활동 현금흐름</t>
        </is>
      </c>
      <c r="D227" s="12" t="n">
        <v>99.92</v>
      </c>
      <c r="F227" s="12" t="n">
        <v>89.024</v>
      </c>
      <c r="H227" s="12" t="n">
        <v>756.3</v>
      </c>
      <c r="J227" s="12" t="n">
        <v>753.104</v>
      </c>
      <c r="L227" s="12" t="n">
        <v>-6.196</v>
      </c>
      <c r="N227" s="12" t="n">
        <v>-17.092</v>
      </c>
      <c r="S227" s="12" t="n">
        <v>-14.679</v>
      </c>
      <c r="T227" s="12" t="n">
        <v>323.787</v>
      </c>
      <c r="U227" s="12" t="n">
        <v>14.9</v>
      </c>
      <c r="V227" s="12" t="n">
        <v>89.024</v>
      </c>
      <c r="W227" s="12" t="n">
        <v>753.104</v>
      </c>
      <c r="X227" s="12" t="n">
        <v>-17.092</v>
      </c>
    </row>
    <row r="228">
      <c r="A228" s="18" t="inlineStr">
        <is>
          <t>현금성자산 환산차이</t>
        </is>
      </c>
      <c r="D228" s="20" t="n">
        <v>0</v>
      </c>
      <c r="F228" s="20" t="n">
        <v>-0.004</v>
      </c>
      <c r="H228" s="20" t="n">
        <v>0.003</v>
      </c>
      <c r="J228" s="20" t="n">
        <v>0.001</v>
      </c>
      <c r="L228" s="20" t="n">
        <v>0.006</v>
      </c>
      <c r="N228" s="20" t="n">
        <v>0.006</v>
      </c>
      <c r="T228" s="20" t="n">
        <v>0</v>
      </c>
      <c r="U228" s="20" t="n">
        <v>0</v>
      </c>
      <c r="V228" s="20" t="n">
        <v>-0.004</v>
      </c>
      <c r="W228" s="20" t="n">
        <v>0.001</v>
      </c>
      <c r="X228" s="20" t="n">
        <v>0.006</v>
      </c>
    </row>
    <row r="229">
      <c r="A229" s="18" t="inlineStr">
        <is>
          <t>현금성자산 증감</t>
        </is>
      </c>
      <c r="D229" s="20" t="n">
        <v>64.729</v>
      </c>
      <c r="F229" s="20" t="n">
        <v>57.584</v>
      </c>
      <c r="H229" s="20" t="n">
        <v>885.485</v>
      </c>
      <c r="J229" s="20" t="n">
        <v>1016.928</v>
      </c>
      <c r="L229" s="20" t="n">
        <v>-15.621</v>
      </c>
      <c r="N229" s="20" t="n">
        <v>271.999</v>
      </c>
      <c r="S229" s="20" t="n">
        <v>-113.057</v>
      </c>
      <c r="T229" s="20" t="n">
        <v>403.381</v>
      </c>
      <c r="U229" s="20" t="n">
        <v>-159.151</v>
      </c>
      <c r="V229" s="20" t="n">
        <v>57.584</v>
      </c>
      <c r="W229" s="20" t="n">
        <v>1016.928</v>
      </c>
      <c r="X229" s="20" t="n">
        <v>271.999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사이언스아츠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2025.4Q</t>
        </is>
      </c>
      <c r="D3" s="5" t="inlineStr">
        <is>
          <t>2026.1Q</t>
        </is>
      </c>
      <c r="E3" s="5" t="inlineStr">
        <is>
          <t>2026.2Q</t>
        </is>
      </c>
      <c r="F3" s="5" t="inlineStr">
        <is>
          <t>2026.3Q</t>
        </is>
      </c>
      <c r="G3" s="5" t="inlineStr">
        <is>
          <t>2026.4Q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1834.628</v>
      </c>
      <c r="D5" s="12" t="n">
        <v>1830.082</v>
      </c>
      <c r="E5" s="12" t="n">
        <v>1945.305</v>
      </c>
      <c r="F5" s="12" t="n">
        <v>2020.426</v>
      </c>
      <c r="G5" s="12" t="n">
        <v>2139</v>
      </c>
      <c r="H5" s="11" t="n">
        <v>739.423</v>
      </c>
      <c r="I5" s="12" t="n">
        <v>667.708</v>
      </c>
      <c r="J5" s="12" t="n">
        <v>752.49</v>
      </c>
      <c r="K5" s="12" t="n">
        <v>1834.628</v>
      </c>
      <c r="L5" s="12" t="n">
        <v>2139</v>
      </c>
    </row>
    <row r="6">
      <c r="A6" s="18" t="inlineStr">
        <is>
          <t>현금및현금성자산</t>
        </is>
      </c>
      <c r="B6" s="10" t="n"/>
      <c r="C6" s="19" t="n">
        <v>1579.273</v>
      </c>
      <c r="D6" s="20" t="n">
        <v>1586.138</v>
      </c>
      <c r="E6" s="20" t="n">
        <v>1563.651</v>
      </c>
      <c r="F6" s="20" t="n">
        <v>1146.488</v>
      </c>
      <c r="G6" s="20" t="n">
        <v>1352.124</v>
      </c>
      <c r="H6" s="19" t="n">
        <v>663.9109999999999</v>
      </c>
      <c r="I6" s="20" t="n">
        <v>504.759</v>
      </c>
      <c r="J6" s="20" t="n">
        <v>562.3440000000001</v>
      </c>
      <c r="K6" s="20" t="n">
        <v>1579.273</v>
      </c>
      <c r="L6" s="20" t="n">
        <v>1352.124</v>
      </c>
    </row>
    <row r="7">
      <c r="A7" s="18" t="inlineStr">
        <is>
          <t>단기금융상품</t>
        </is>
      </c>
      <c r="B7" s="10" t="n"/>
      <c r="C7" s="19" t="n">
        <v>0</v>
      </c>
      <c r="D7" s="20" t="n"/>
      <c r="E7" s="20" t="n"/>
      <c r="F7" s="20" t="n">
        <v>499.536</v>
      </c>
      <c r="G7" s="20" t="n">
        <v>499.147</v>
      </c>
      <c r="H7" s="19" t="n"/>
      <c r="I7" s="20" t="n"/>
      <c r="J7" s="20" t="n"/>
      <c r="K7" s="20" t="n">
        <v>0</v>
      </c>
      <c r="L7" s="20" t="n">
        <v>499.147</v>
      </c>
    </row>
    <row r="8">
      <c r="A8" s="18" t="inlineStr">
        <is>
          <t>매출채권</t>
        </is>
      </c>
      <c r="B8" s="10" t="n"/>
      <c r="C8" s="19" t="n">
        <v>151.513</v>
      </c>
      <c r="D8" s="20" t="n">
        <v>142.252</v>
      </c>
      <c r="E8" s="20" t="n">
        <v>168.265</v>
      </c>
      <c r="F8" s="20" t="n">
        <v>184.567</v>
      </c>
      <c r="G8" s="20" t="n">
        <v>116.984</v>
      </c>
      <c r="H8" s="19" t="n">
        <v>35.445</v>
      </c>
      <c r="I8" s="20" t="n">
        <v>66.002</v>
      </c>
      <c r="J8" s="20" t="n">
        <v>101.368</v>
      </c>
      <c r="K8" s="20" t="n">
        <v>151.513</v>
      </c>
      <c r="L8" s="20" t="n">
        <v>116.984</v>
      </c>
    </row>
    <row r="9">
      <c r="A9" s="18" t="inlineStr">
        <is>
          <t>재고자산</t>
        </is>
      </c>
      <c r="B9" s="10" t="n"/>
      <c r="C9" s="19" t="n">
        <v>60.05</v>
      </c>
      <c r="D9" s="20" t="n">
        <v>72.887</v>
      </c>
      <c r="E9" s="20" t="n">
        <v>161.298</v>
      </c>
      <c r="F9" s="20" t="n">
        <v>140.9</v>
      </c>
      <c r="G9" s="20" t="n">
        <v>130.176</v>
      </c>
      <c r="H9" s="19" t="n">
        <v>28.9</v>
      </c>
      <c r="I9" s="20" t="n">
        <v>76.76300000000001</v>
      </c>
      <c r="J9" s="20" t="n">
        <v>65.499</v>
      </c>
      <c r="K9" s="20" t="n">
        <v>60.05</v>
      </c>
      <c r="L9" s="20" t="n">
        <v>130.176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243.178</v>
      </c>
      <c r="D11" s="12" t="n">
        <v>351.735</v>
      </c>
      <c r="E11" s="12" t="n">
        <v>335.247</v>
      </c>
      <c r="F11" s="12" t="n">
        <v>322.795</v>
      </c>
      <c r="G11" s="12" t="n">
        <v>320.555</v>
      </c>
      <c r="H11" s="11" t="n">
        <v>61.704</v>
      </c>
      <c r="I11" s="12" t="n">
        <v>226.381</v>
      </c>
      <c r="J11" s="12" t="n">
        <v>200.968</v>
      </c>
      <c r="K11" s="12" t="n">
        <v>243.178</v>
      </c>
      <c r="L11" s="12" t="n">
        <v>320.555</v>
      </c>
    </row>
    <row r="12">
      <c r="A12" s="18" t="inlineStr">
        <is>
          <t>유형자산</t>
        </is>
      </c>
      <c r="B12" s="10" t="n"/>
      <c r="C12" s="19" t="n">
        <v>109.69</v>
      </c>
      <c r="D12" s="20" t="n">
        <v>98.50700000000001</v>
      </c>
      <c r="E12" s="20" t="n">
        <v>83.57899999999999</v>
      </c>
      <c r="F12" s="20" t="n">
        <v>67.646</v>
      </c>
      <c r="G12" s="20" t="n">
        <v>39.088</v>
      </c>
      <c r="H12" s="19" t="n">
        <v>30.479</v>
      </c>
      <c r="I12" s="20" t="n">
        <v>112.887</v>
      </c>
      <c r="J12" s="20" t="n">
        <v>108.718</v>
      </c>
      <c r="K12" s="20" t="n">
        <v>109.69</v>
      </c>
      <c r="L12" s="20" t="n">
        <v>39.088</v>
      </c>
    </row>
    <row r="13">
      <c r="A13" s="18" t="inlineStr">
        <is>
          <t>무형자산</t>
        </is>
      </c>
      <c r="B13" s="10" t="n"/>
      <c r="C13" s="19" t="n"/>
      <c r="D13" s="20" t="n"/>
      <c r="E13" s="20" t="n"/>
      <c r="F13" s="20" t="n"/>
      <c r="G13" s="20" t="n"/>
      <c r="H13" s="19" t="n"/>
      <c r="I13" s="20" t="n"/>
      <c r="J13" s="20" t="n"/>
      <c r="K13" s="20" t="n"/>
      <c r="L13" s="20" t="n"/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2077.806</v>
      </c>
      <c r="D16" s="12" t="n">
        <v>2181.818</v>
      </c>
      <c r="E16" s="12" t="n">
        <v>2280.552</v>
      </c>
      <c r="F16" s="12" t="n">
        <v>2343.222</v>
      </c>
      <c r="G16" s="12" t="n">
        <v>2459.555</v>
      </c>
      <c r="H16" s="11" t="n">
        <v>801.128</v>
      </c>
      <c r="I16" s="12" t="n">
        <v>894.09</v>
      </c>
      <c r="J16" s="12" t="n">
        <v>953.458</v>
      </c>
      <c r="K16" s="12" t="n">
        <v>2077.806</v>
      </c>
      <c r="L16" s="12" t="n">
        <v>2459.555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610.6900000000001</v>
      </c>
      <c r="D18" s="12" t="n">
        <v>668.302</v>
      </c>
      <c r="E18" s="12" t="n">
        <v>710.889</v>
      </c>
      <c r="F18" s="12" t="n">
        <v>737.929</v>
      </c>
      <c r="G18" s="12" t="n">
        <v>775.458</v>
      </c>
      <c r="H18" s="11" t="n">
        <v>206.162</v>
      </c>
      <c r="I18" s="12" t="n">
        <v>315.182</v>
      </c>
      <c r="J18" s="12" t="n">
        <v>384.322</v>
      </c>
      <c r="K18" s="12" t="n">
        <v>610.6900000000001</v>
      </c>
      <c r="L18" s="12" t="n">
        <v>775.458</v>
      </c>
    </row>
    <row r="19">
      <c r="A19" s="18" t="inlineStr">
        <is>
          <t>매입채무</t>
        </is>
      </c>
      <c r="B19" s="10" t="n"/>
      <c r="C19" s="19" t="n">
        <v>40.193</v>
      </c>
      <c r="D19" s="20" t="n">
        <v>67.675</v>
      </c>
      <c r="E19" s="20" t="n">
        <v>99.285</v>
      </c>
      <c r="F19" s="20" t="n">
        <v>28.691</v>
      </c>
      <c r="G19" s="20" t="n">
        <v>24.661</v>
      </c>
      <c r="H19" s="19" t="n">
        <v>13.053</v>
      </c>
      <c r="I19" s="20" t="n">
        <v>16.477</v>
      </c>
      <c r="J19" s="20" t="n">
        <v>7.302</v>
      </c>
      <c r="K19" s="20" t="n">
        <v>40.193</v>
      </c>
      <c r="L19" s="20" t="n">
        <v>24.661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>
        <v>40.137</v>
      </c>
      <c r="D21" s="20" t="n">
        <v>37.938</v>
      </c>
      <c r="E21" s="20" t="n">
        <v>35.739</v>
      </c>
      <c r="F21" s="20" t="n">
        <v>33.54</v>
      </c>
      <c r="G21" s="20" t="n">
        <v>31.341</v>
      </c>
      <c r="H21" s="19" t="n"/>
      <c r="I21" s="20" t="n">
        <v>0</v>
      </c>
      <c r="J21" s="20" t="n">
        <v>48.933</v>
      </c>
      <c r="K21" s="20" t="n">
        <v>40.137</v>
      </c>
      <c r="L21" s="20" t="n">
        <v>31.341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73.14400000000001</v>
      </c>
      <c r="D23" s="12" t="n">
        <v>70.187</v>
      </c>
      <c r="E23" s="12" t="n">
        <v>67.337</v>
      </c>
      <c r="F23" s="12" t="n">
        <v>64.48699999999999</v>
      </c>
      <c r="G23" s="12" t="n">
        <v>14.099</v>
      </c>
      <c r="H23" s="11" t="n">
        <v>24.356</v>
      </c>
      <c r="I23" s="12" t="n">
        <v>70.49299999999999</v>
      </c>
      <c r="J23" s="12" t="n">
        <v>92.56999999999999</v>
      </c>
      <c r="K23" s="12" t="n">
        <v>73.14400000000001</v>
      </c>
      <c r="L23" s="12" t="n">
        <v>14.099</v>
      </c>
    </row>
    <row r="24">
      <c r="A24" s="18" t="inlineStr">
        <is>
          <t>장기차입금</t>
        </is>
      </c>
      <c r="B24" s="10" t="n"/>
      <c r="C24" s="19" t="n">
        <v>27.095</v>
      </c>
      <c r="D24" s="20" t="n">
        <v>23.846</v>
      </c>
      <c r="E24" s="20" t="n">
        <v>20.597</v>
      </c>
      <c r="F24" s="20" t="n">
        <v>17.348</v>
      </c>
      <c r="G24" s="20" t="n">
        <v>14.099</v>
      </c>
      <c r="H24" s="19" t="n"/>
      <c r="I24" s="20" t="n">
        <v>0</v>
      </c>
      <c r="J24" s="20" t="n">
        <v>40.091</v>
      </c>
      <c r="K24" s="20" t="n">
        <v>27.095</v>
      </c>
      <c r="L24" s="20" t="n">
        <v>14.099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683.8339999999999</v>
      </c>
      <c r="D27" s="12" t="n">
        <v>738.489</v>
      </c>
      <c r="E27" s="12" t="n">
        <v>778.227</v>
      </c>
      <c r="F27" s="12" t="n">
        <v>802.4160000000001</v>
      </c>
      <c r="G27" s="12" t="n">
        <v>789.557</v>
      </c>
      <c r="H27" s="11" t="n">
        <v>230.518</v>
      </c>
      <c r="I27" s="12" t="n">
        <v>385.675</v>
      </c>
      <c r="J27" s="12" t="n">
        <v>476.892</v>
      </c>
      <c r="K27" s="12" t="n">
        <v>683.8339999999999</v>
      </c>
      <c r="L27" s="12" t="n">
        <v>789.557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1393.972</v>
      </c>
      <c r="D31" s="12" t="n">
        <v>1443.329</v>
      </c>
      <c r="E31" s="12" t="n">
        <v>1502.325</v>
      </c>
      <c r="F31" s="12" t="n">
        <v>1540.805</v>
      </c>
      <c r="G31" s="12" t="n">
        <v>1669.998</v>
      </c>
      <c r="H31" s="11" t="n">
        <v>570.609</v>
      </c>
      <c r="I31" s="12" t="n">
        <v>508.414</v>
      </c>
      <c r="J31" s="12" t="n">
        <v>476.565</v>
      </c>
      <c r="K31" s="12" t="n">
        <v>1393.972</v>
      </c>
      <c r="L31" s="12" t="n">
        <v>1669.998</v>
      </c>
    </row>
    <row r="32">
      <c r="A32" s="18" t="inlineStr">
        <is>
          <t>자본금</t>
        </is>
      </c>
      <c r="B32" s="10" t="n"/>
      <c r="C32" s="19" t="n">
        <v>450.894</v>
      </c>
      <c r="D32" s="20" t="n">
        <v>450.894</v>
      </c>
      <c r="E32" s="20" t="n">
        <v>459.183</v>
      </c>
      <c r="F32" s="20" t="n">
        <v>459.183</v>
      </c>
      <c r="G32" s="20" t="n">
        <v>459.183</v>
      </c>
      <c r="H32" s="19" t="n">
        <v>50</v>
      </c>
      <c r="I32" s="20" t="n">
        <v>52.121</v>
      </c>
      <c r="J32" s="20" t="n">
        <v>52.121</v>
      </c>
      <c r="K32" s="20" t="n">
        <v>450.894</v>
      </c>
      <c r="L32" s="20" t="n">
        <v>459.183</v>
      </c>
    </row>
    <row r="33">
      <c r="A33" s="18" t="inlineStr">
        <is>
          <t>이익잉여금</t>
        </is>
      </c>
      <c r="B33" s="10" t="n"/>
      <c r="C33" s="19" t="n">
        <v>-241.584</v>
      </c>
      <c r="D33" s="20" t="n">
        <v>-193.927</v>
      </c>
      <c r="E33" s="20" t="n">
        <v>-154.51</v>
      </c>
      <c r="F33" s="20" t="n">
        <v>-116.03</v>
      </c>
      <c r="G33" s="20" t="n">
        <v>13.161</v>
      </c>
      <c r="H33" s="19" t="n">
        <v>-240.57</v>
      </c>
      <c r="I33" s="20" t="n">
        <v>-321.908</v>
      </c>
      <c r="J33" s="20" t="n">
        <v>-353.756</v>
      </c>
      <c r="K33" s="20" t="n">
        <v>-241.584</v>
      </c>
      <c r="L33" s="20" t="n">
        <v>13.161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1393.972</v>
      </c>
      <c r="D35" s="12" t="n">
        <v>1443.329</v>
      </c>
      <c r="E35" s="12" t="n">
        <v>1502.325</v>
      </c>
      <c r="F35" s="12" t="n">
        <v>1540.805</v>
      </c>
      <c r="G35" s="12" t="n">
        <v>1669.998</v>
      </c>
      <c r="H35" s="11" t="n">
        <v>570.609</v>
      </c>
      <c r="I35" s="12" t="n">
        <v>508.414</v>
      </c>
      <c r="J35" s="12" t="n">
        <v>476.565</v>
      </c>
      <c r="K35" s="12" t="n">
        <v>1393.972</v>
      </c>
      <c r="L35" s="12" t="n">
        <v>1669.998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290.705</v>
      </c>
      <c r="D37" s="12" t="n"/>
      <c r="E37" s="12" t="n">
        <v>269.598</v>
      </c>
      <c r="F37" s="12" t="n"/>
      <c r="G37" s="12" t="n">
        <v>413.183</v>
      </c>
      <c r="H37" s="11" t="n">
        <v>114.249</v>
      </c>
      <c r="I37" s="12" t="n">
        <v>-66.91800000000001</v>
      </c>
      <c r="J37" s="12" t="n">
        <v>1.149</v>
      </c>
      <c r="K37" s="12" t="n">
        <v>290.705</v>
      </c>
      <c r="L37" s="12" t="n">
        <v>413.183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18.939</v>
      </c>
      <c r="D38" s="20" t="n"/>
      <c r="E38" s="20" t="n">
        <v>17.992</v>
      </c>
      <c r="F38" s="20" t="n"/>
      <c r="G38" s="20" t="n">
        <v>4.413</v>
      </c>
      <c r="H38" s="19" t="n">
        <v>18.462</v>
      </c>
      <c r="I38" s="20" t="n">
        <v>20.958</v>
      </c>
      <c r="J38" s="20" t="n">
        <v>47.532</v>
      </c>
      <c r="K38" s="20" t="n">
        <v>18.939</v>
      </c>
      <c r="L38" s="20" t="n">
        <v>4.413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/>
      <c r="G40" s="20" t="n"/>
      <c r="H40" s="19" t="n"/>
      <c r="I40" s="20" t="n"/>
      <c r="J40" s="20" t="n"/>
      <c r="K40" s="20" t="n"/>
      <c r="L40" s="20" t="n"/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IFERROR(IF((IF(COUNT('연간'!G55:J55)&lt;4,"",SUM('연간'!G55:J55)))&lt;=0,"적자",C28/(IF(COUNT('연간'!G55:J55)&lt;4,"",SUM('연간'!G55:J55)))),"")</f>
        <v/>
      </c>
      <c r="D49" s="47">
        <f>IFERROR(IF((IF(COUNT('연간'!H55:K55)&lt;4,"",SUM('연간'!H55:K55)))&lt;=0,"적자",D28/(IF(COUNT('연간'!H55:K55)&lt;4,"",SUM('연간'!H55:K55)))),"")</f>
        <v/>
      </c>
      <c r="E49" s="47">
        <f>IFERROR(IF((IF(COUNT('연간'!I55:L55)&lt;4,"",SUM('연간'!I55:L55)))&lt;=0,"적자",E28/(IF(COUNT('연간'!I55:L55)&lt;4,"",SUM('연간'!I55:L55)))),"")</f>
        <v/>
      </c>
      <c r="F49" s="47">
        <f>IFERROR(IF((IF(COUNT('연간'!J55:M55)&lt;4,"",SUM('연간'!J55:M55)))&lt;=0,"적자",F28/(IF(COUNT('연간'!J55:M55)&lt;4,"",SUM('연간'!J55:M55)))),"")</f>
        <v/>
      </c>
      <c r="G49" s="47">
        <f>IFERROR(IF((IF(COUNT('연간'!K55:N55)&lt;4,"",SUM('연간'!K55:N55)))&lt;=0,"적자",G28/(IF(COUNT('연간'!K55:N55)&lt;4,"",SUM('연간'!K55:N55)))),"")</f>
        <v/>
      </c>
      <c r="H49" s="46">
        <f>IFERROR(IF(('연간'!T55)&lt;=0,"적자",H28/('연간'!T55)),"")</f>
        <v/>
      </c>
      <c r="I49" s="47">
        <f>IFERROR(IF(('연간'!U55)&lt;=0,"적자",I28/('연간'!U55)),"")</f>
        <v/>
      </c>
      <c r="J49" s="47">
        <f>IFERROR(IF(('연간'!V55)&lt;=0,"적자",J28/('연간'!V55)),"")</f>
        <v/>
      </c>
      <c r="K49" s="47">
        <f>IFERROR(IF(('연간'!W55)&lt;=0,"적자",K28/('연간'!W55)),"")</f>
        <v/>
      </c>
      <c r="L49" s="47">
        <f>IFERROR(IF(('연간'!X55)&lt;=0,"적자",L28/('연간'!X55)),"")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IFERROR((IF(COUNT('연간'!G55:J55)&lt;4,"",SUM('연간'!G55:J55)))/C31,"")</f>
        <v/>
      </c>
      <c r="D51" s="36">
        <f>IFERROR((IF(COUNT('연간'!H55:K55)&lt;4,"",SUM('연간'!H55:K55)))/D31,"")</f>
        <v/>
      </c>
      <c r="E51" s="36">
        <f>IFERROR((IF(COUNT('연간'!I55:L55)&lt;4,"",SUM('연간'!I55:L55)))/E31,"")</f>
        <v/>
      </c>
      <c r="F51" s="36">
        <f>IFERROR((IF(COUNT('연간'!J55:M55)&lt;4,"",SUM('연간'!J55:M55)))/F31,"")</f>
        <v/>
      </c>
      <c r="G51" s="36">
        <f>IFERROR((IF(COUNT('연간'!K55:N55)&lt;4,"",SUM('연간'!K55:N55)))/G31,"")</f>
        <v/>
      </c>
      <c r="H51" s="35">
        <f>IFERROR(('연간'!T55)/H31,"")</f>
        <v/>
      </c>
      <c r="I51" s="36">
        <f>IFERROR(('연간'!U55)/I31,"")</f>
        <v/>
      </c>
      <c r="J51" s="36">
        <f>IFERROR(('연간'!V55)/J31,"")</f>
        <v/>
      </c>
      <c r="K51" s="36">
        <f>IFERROR(('연간'!W55)/K31,"")</f>
        <v/>
      </c>
      <c r="L51" s="36">
        <f>IFERROR(('연간'!X55)/L31,"")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IFERROR((IF(COUNT('연간'!G53:J53)&lt;4,"",SUM('연간'!G53:J53)))/C16,"")</f>
        <v/>
      </c>
      <c r="D52" s="36">
        <f>IFERROR((IF(COUNT('연간'!H53:K53)&lt;4,"",SUM('연간'!H53:K53)))/D16,"")</f>
        <v/>
      </c>
      <c r="E52" s="36">
        <f>IFERROR((IF(COUNT('연간'!I53:L53)&lt;4,"",SUM('연간'!I53:L53)))/E16,"")</f>
        <v/>
      </c>
      <c r="F52" s="36">
        <f>IFERROR((IF(COUNT('연간'!J53:M53)&lt;4,"",SUM('연간'!J53:M53)))/F16,"")</f>
        <v/>
      </c>
      <c r="G52" s="36">
        <f>IFERROR((IF(COUNT('연간'!K53:N53)&lt;4,"",SUM('연간'!K53:N53)))/G16,"")</f>
        <v/>
      </c>
      <c r="H52" s="35">
        <f>IFERROR(('연간'!T53)/H16,"")</f>
        <v/>
      </c>
      <c r="I52" s="36">
        <f>IFERROR(('연간'!U53)/I16,"")</f>
        <v/>
      </c>
      <c r="J52" s="36">
        <f>IFERROR(('연간'!V53)/J16,"")</f>
        <v/>
      </c>
      <c r="K52" s="36">
        <f>IFERROR(('연간'!W53)/K16,"")</f>
        <v/>
      </c>
      <c r="L52" s="36">
        <f>IFERROR(('연간'!X53)/L16,"")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IFERROR((IF(COUNT('연간'!G19:J19)&lt;4,"",SUM('연간'!G19:J19)))/(IF(COUNT('연간'!G4:J4)&lt;4,"",SUM('연간'!G4:J4))),"")</f>
        <v/>
      </c>
      <c r="D54" s="36">
        <f>IFERROR((IF(COUNT('연간'!H19:K19)&lt;4,"",SUM('연간'!H19:K19)))/(IF(COUNT('연간'!H4:K4)&lt;4,"",SUM('연간'!H4:K4))),"")</f>
        <v/>
      </c>
      <c r="E54" s="36">
        <f>IFERROR((IF(COUNT('연간'!I19:L19)&lt;4,"",SUM('연간'!I19:L19)))/(IF(COUNT('연간'!I4:L4)&lt;4,"",SUM('연간'!I4:L4))),"")</f>
        <v/>
      </c>
      <c r="F54" s="36">
        <f>IFERROR((IF(COUNT('연간'!J19:M19)&lt;4,"",SUM('연간'!J19:M19)))/(IF(COUNT('연간'!J4:M4)&lt;4,"",SUM('연간'!J4:M4))),"")</f>
        <v/>
      </c>
      <c r="G54" s="36">
        <f>IFERROR((IF(COUNT('연간'!K19:N19)&lt;4,"",SUM('연간'!K19:N19)))/(IF(COUNT('연간'!K4:N4)&lt;4,"",SUM('연간'!K4:N4))),"")</f>
        <v/>
      </c>
      <c r="H54" s="35">
        <f>IFERROR(('연간'!T19)/('연간'!T4),"")</f>
        <v/>
      </c>
      <c r="I54" s="36">
        <f>IFERROR(('연간'!U19)/('연간'!U4),"")</f>
        <v/>
      </c>
      <c r="J54" s="36">
        <f>IFERROR(('연간'!V19)/('연간'!V4),"")</f>
        <v/>
      </c>
      <c r="K54" s="36">
        <f>IFERROR(('연간'!W19)/('연간'!W4),"")</f>
        <v/>
      </c>
      <c r="L54" s="36">
        <f>IFERROR(('연간'!X19)/('연간'!X4),"")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IFERROR((IF(COUNT('연간'!G53:J53)&lt;4,"",SUM('연간'!G53:J53)))/(IF(COUNT('연간'!G4:J4)&lt;4,"",SUM('연간'!G4:J4))),"")</f>
        <v/>
      </c>
      <c r="D56" s="36">
        <f>IFERROR((IF(COUNT('연간'!H53:K53)&lt;4,"",SUM('연간'!H53:K53)))/(IF(COUNT('연간'!H4:K4)&lt;4,"",SUM('연간'!H4:K4))),"")</f>
        <v/>
      </c>
      <c r="E56" s="36">
        <f>IFERROR((IF(COUNT('연간'!I53:L53)&lt;4,"",SUM('연간'!I53:L53)))/(IF(COUNT('연간'!I4:L4)&lt;4,"",SUM('연간'!I4:L4))),"")</f>
        <v/>
      </c>
      <c r="F56" s="36">
        <f>IFERROR((IF(COUNT('연간'!J53:M53)&lt;4,"",SUM('연간'!J53:M53)))/(IF(COUNT('연간'!J4:M4)&lt;4,"",SUM('연간'!J4:M4))),"")</f>
        <v/>
      </c>
      <c r="G56" s="36">
        <f>IFERROR((IF(COUNT('연간'!K53:N53)&lt;4,"",SUM('연간'!K53:N53)))/(IF(COUNT('연간'!K4:N4)&lt;4,"",SUM('연간'!K4:N4))),"")</f>
        <v/>
      </c>
      <c r="H56" s="35">
        <f>IFERROR(('연간'!T53)/('연간'!T4),"")</f>
        <v/>
      </c>
      <c r="I56" s="36">
        <f>IFERROR(('연간'!U53)/('연간'!U4),"")</f>
        <v/>
      </c>
      <c r="J56" s="36">
        <f>IFERROR(('연간'!V53)/('연간'!V4),"")</f>
        <v/>
      </c>
      <c r="K56" s="36">
        <f>IFERROR(('연간'!W53)/('연간'!W4),"")</f>
        <v/>
      </c>
      <c r="L56" s="36">
        <f>IFERROR(('연간'!X53)/('연간'!X4),"")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IFERROR(C9/(IF(COUNT('연간'!G17:J17)&lt;4,"",SUM('연간'!G17:J17)))*365,"")</f>
        <v/>
      </c>
      <c r="D60" s="49">
        <f>IFERROR(D9/(IF(COUNT('연간'!H17:K17)&lt;4,"",SUM('연간'!H17:K17)))*365,"")</f>
        <v/>
      </c>
      <c r="E60" s="49">
        <f>IFERROR(E9/(IF(COUNT('연간'!I17:L17)&lt;4,"",SUM('연간'!I17:L17)))*365,"")</f>
        <v/>
      </c>
      <c r="F60" s="49">
        <f>IFERROR(F9/(IF(COUNT('연간'!J17:M17)&lt;4,"",SUM('연간'!J17:M17)))*365,"")</f>
        <v/>
      </c>
      <c r="G60" s="49">
        <f>IFERROR(G9/(IF(COUNT('연간'!K17:N17)&lt;4,"",SUM('연간'!K17:N17)))*365,"")</f>
        <v/>
      </c>
      <c r="H60" s="48">
        <f>IFERROR(H9/('연간'!T17)*365,"")</f>
        <v/>
      </c>
      <c r="I60" s="49">
        <f>IFERROR(I9/('연간'!U17)*365,"")</f>
        <v/>
      </c>
      <c r="J60" s="49">
        <f>IFERROR(J9/('연간'!V17)*365,"")</f>
        <v/>
      </c>
      <c r="K60" s="49">
        <f>IFERROR(K9/('연간'!W17)*365,"")</f>
        <v/>
      </c>
      <c r="L60" s="49">
        <f>IFERROR(L9/('연간'!X17)*365,"")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IFERROR(C19/(IF(COUNT('연간'!G17:J17)&lt;4,"",SUM('연간'!G17:J17)))*365,"")</f>
        <v/>
      </c>
      <c r="D61" s="49">
        <f>IFERROR(D19/(IF(COUNT('연간'!H17:K17)&lt;4,"",SUM('연간'!H17:K17)))*365,"")</f>
        <v/>
      </c>
      <c r="E61" s="49">
        <f>IFERROR(E19/(IF(COUNT('연간'!I17:L17)&lt;4,"",SUM('연간'!I17:L17)))*365,"")</f>
        <v/>
      </c>
      <c r="F61" s="49">
        <f>IFERROR(F19/(IF(COUNT('연간'!J17:M17)&lt;4,"",SUM('연간'!J17:M17)))*365,"")</f>
        <v/>
      </c>
      <c r="G61" s="49">
        <f>IFERROR(G19/(IF(COUNT('연간'!K17:N17)&lt;4,"",SUM('연간'!K17:N17)))*365,"")</f>
        <v/>
      </c>
      <c r="H61" s="48">
        <f>IFERROR(H19/('연간'!T17)*365,"")</f>
        <v/>
      </c>
      <c r="I61" s="49">
        <f>IFERROR(I19/('연간'!U17)*365,"")</f>
        <v/>
      </c>
      <c r="J61" s="49">
        <f>IFERROR(J19/('연간'!V17)*365,"")</f>
        <v/>
      </c>
      <c r="K61" s="49">
        <f>IFERROR(K19/('연간'!W17)*365,"")</f>
        <v/>
      </c>
      <c r="L61" s="49">
        <f>IFERROR(L19/('연간'!X17)*365,"")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IF(C37="","",IFERROR(C37/(IF(COUNT('연간'!G53:J53)&lt;4,"",SUM('연간'!G53:J53))),""))</f>
        <v/>
      </c>
      <c r="D64" s="31">
        <f>IF(D37="","",IFERROR(D37/(IF(COUNT('연간'!H53:K53)&lt;4,"",SUM('연간'!H53:K53))),""))</f>
        <v/>
      </c>
      <c r="E64" s="31">
        <f>IF(E37="","",IFERROR(E37/(IF(COUNT('연간'!I53:L53)&lt;4,"",SUM('연간'!I53:L53))),""))</f>
        <v/>
      </c>
      <c r="F64" s="31">
        <f>IF(F37="","",IFERROR(F37/(IF(COUNT('연간'!J53:M53)&lt;4,"",SUM('연간'!J53:M53))),""))</f>
        <v/>
      </c>
      <c r="G64" s="31">
        <f>IF(G37="","",IFERROR(G37/(IF(COUNT('연간'!K53:N53)&lt;4,"",SUM('연간'!K53:N53))),""))</f>
        <v/>
      </c>
      <c r="H64" s="30">
        <f>IF(H37="","",IFERROR(H37/('연간'!T53),""))</f>
        <v/>
      </c>
      <c r="I64" s="31">
        <f>IF(I37="","",IFERROR(I37/('연간'!U53),""))</f>
        <v/>
      </c>
      <c r="J64" s="31">
        <f>IF(J37="","",IFERROR(J37/('연간'!V53),""))</f>
        <v/>
      </c>
      <c r="K64" s="31">
        <f>IF(K37="","",IFERROR(K37/('연간'!W53),""))</f>
        <v/>
      </c>
      <c r="L64" s="31">
        <f>IF(L37="","",IFERROR(L37/('연간'!X53),""))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IF(C40="","",IFERROR(C40/(IF(COUNT('연간'!G55:J55)&lt;4,"",SUM('연간'!G55:J55))),""))</f>
        <v/>
      </c>
      <c r="D67" s="36">
        <f>IF(D40="","",IFERROR(D40/(IF(COUNT('연간'!H55:K55)&lt;4,"",SUM('연간'!H55:K55))),""))</f>
        <v/>
      </c>
      <c r="E67" s="36">
        <f>IF(E40="","",IFERROR(E40/(IF(COUNT('연간'!I55:L55)&lt;4,"",SUM('연간'!I55:L55))),""))</f>
        <v/>
      </c>
      <c r="F67" s="36">
        <f>IF(F40="","",IFERROR(F40/(IF(COUNT('연간'!J55:M55)&lt;4,"",SUM('연간'!J55:M55))),""))</f>
        <v/>
      </c>
      <c r="G67" s="36">
        <f>IF(G40="","",IFERROR(G40/(IF(COUNT('연간'!K55:N55)&lt;4,"",SUM('연간'!K55:N55))),""))</f>
        <v/>
      </c>
      <c r="H67" s="35">
        <f>IF(H40="","",IFERROR(H40/('연간'!T55),""))</f>
        <v/>
      </c>
      <c r="I67" s="36">
        <f>IF(I40="","",IFERROR(I40/('연간'!U55),""))</f>
        <v/>
      </c>
      <c r="J67" s="36">
        <f>IF(J40="","",IFERROR(J40/('연간'!V55),""))</f>
        <v/>
      </c>
      <c r="K67" s="36">
        <f>IF(K40="","",IFERROR(K40/('연간'!W55),""))</f>
        <v/>
      </c>
      <c r="L67" s="36">
        <f>IF(L40="","",IFERROR(L40/('연간'!X55),""))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2025.4Q</t>
        </is>
      </c>
      <c r="D70" s="5" t="inlineStr">
        <is>
          <t>2026.1Q</t>
        </is>
      </c>
      <c r="E70" s="5" t="inlineStr">
        <is>
          <t>2026.2Q</t>
        </is>
      </c>
      <c r="F70" s="5" t="inlineStr">
        <is>
          <t>2026.3Q</t>
        </is>
      </c>
      <c r="G70" s="5" t="inlineStr">
        <is>
          <t>2026.4Q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1579.273</v>
      </c>
      <c r="D71" s="20" t="n">
        <v>1586.138</v>
      </c>
      <c r="E71" s="20" t="n">
        <v>1563.651</v>
      </c>
      <c r="F71" s="20" t="n">
        <v>1146.488</v>
      </c>
      <c r="G71" s="20" t="n">
        <v>1352.124</v>
      </c>
      <c r="H71" s="20" t="n">
        <v>663.9109999999999</v>
      </c>
      <c r="I71" s="20" t="n">
        <v>504.759</v>
      </c>
      <c r="J71" s="20" t="n">
        <v>562.3440000000001</v>
      </c>
      <c r="K71" s="20" t="n">
        <v>1579.273</v>
      </c>
      <c r="L71" s="20" t="n">
        <v>1352.124</v>
      </c>
    </row>
    <row r="72">
      <c r="A72" s="18" t="inlineStr">
        <is>
          <t>매출채권</t>
        </is>
      </c>
      <c r="C72" s="20" t="n">
        <v>151.513</v>
      </c>
      <c r="D72" s="20" t="n">
        <v>142.252</v>
      </c>
      <c r="E72" s="20" t="n">
        <v>168.265</v>
      </c>
      <c r="F72" s="20" t="n">
        <v>184.567</v>
      </c>
      <c r="G72" s="20" t="n">
        <v>116.984</v>
      </c>
      <c r="H72" s="20" t="n">
        <v>35.445</v>
      </c>
      <c r="I72" s="20" t="n">
        <v>66.002</v>
      </c>
      <c r="J72" s="20" t="n">
        <v>101.368</v>
      </c>
      <c r="K72" s="20" t="n">
        <v>151.513</v>
      </c>
      <c r="L72" s="20" t="n">
        <v>116.984</v>
      </c>
    </row>
    <row r="73">
      <c r="A73" s="18" t="inlineStr">
        <is>
          <t>유가증권</t>
        </is>
      </c>
      <c r="C73" s="20" t="n">
        <v>0</v>
      </c>
      <c r="F73" s="20" t="n">
        <v>499.536</v>
      </c>
      <c r="G73" s="20" t="n">
        <v>499.147</v>
      </c>
      <c r="K73" s="20" t="n">
        <v>0</v>
      </c>
      <c r="L73" s="20" t="n">
        <v>499.147</v>
      </c>
    </row>
    <row r="74">
      <c r="A74" s="18" t="inlineStr">
        <is>
          <t>상품</t>
        </is>
      </c>
      <c r="C74" s="20" t="n">
        <v>60.042</v>
      </c>
      <c r="D74" s="20" t="n">
        <v>72.875</v>
      </c>
      <c r="E74" s="20" t="n">
        <v>161.286</v>
      </c>
      <c r="F74" s="20" t="n">
        <v>140.877</v>
      </c>
      <c r="G74" s="20" t="n">
        <v>130.151</v>
      </c>
      <c r="H74" s="20" t="n">
        <v>28.883</v>
      </c>
      <c r="I74" s="20" t="n">
        <v>76.74299999999999</v>
      </c>
      <c r="J74" s="20" t="n">
        <v>65.492</v>
      </c>
      <c r="K74" s="20" t="n">
        <v>60.042</v>
      </c>
      <c r="L74" s="20" t="n">
        <v>130.151</v>
      </c>
    </row>
    <row r="75">
      <c r="A75" s="18" t="inlineStr">
        <is>
          <t>저장품</t>
        </is>
      </c>
      <c r="C75" s="20" t="n">
        <v>0.008</v>
      </c>
      <c r="D75" s="20" t="n">
        <v>0.012</v>
      </c>
      <c r="E75" s="20" t="n">
        <v>0.012</v>
      </c>
      <c r="F75" s="20" t="n">
        <v>0.023</v>
      </c>
      <c r="G75" s="20" t="n">
        <v>0.025</v>
      </c>
      <c r="H75" s="20" t="n">
        <v>0.017</v>
      </c>
      <c r="I75" s="20" t="n">
        <v>0.02</v>
      </c>
      <c r="J75" s="20" t="n">
        <v>0.007</v>
      </c>
      <c r="K75" s="20" t="n">
        <v>0.008</v>
      </c>
      <c r="L75" s="20" t="n">
        <v>0.025</v>
      </c>
    </row>
    <row r="76">
      <c r="A76" s="18" t="inlineStr">
        <is>
          <t>선급금</t>
        </is>
      </c>
      <c r="H76" s="20" t="n">
        <v>0</v>
      </c>
    </row>
    <row r="77">
      <c r="A77" s="18" t="inlineStr">
        <is>
          <t>선급비용</t>
        </is>
      </c>
      <c r="C77" s="20" t="n">
        <v>43.735</v>
      </c>
      <c r="G77" s="20" t="n">
        <v>38.572</v>
      </c>
      <c r="H77" s="20" t="n">
        <v>11.166</v>
      </c>
      <c r="I77" s="20" t="n">
        <v>17.416</v>
      </c>
      <c r="J77" s="20" t="n">
        <v>23.266</v>
      </c>
      <c r="K77" s="20" t="n">
        <v>43.735</v>
      </c>
      <c r="L77" s="20" t="n">
        <v>38.572</v>
      </c>
    </row>
    <row r="78">
      <c r="A78" s="18" t="inlineStr">
        <is>
          <t>기타</t>
        </is>
      </c>
      <c r="C78" s="20" t="n">
        <v>0.054</v>
      </c>
      <c r="D78" s="20" t="n">
        <v>28.804</v>
      </c>
      <c r="E78" s="20" t="n">
        <v>52.087</v>
      </c>
      <c r="F78" s="20" t="n">
        <v>48.934</v>
      </c>
      <c r="G78" s="20" t="n">
        <v>1.994</v>
      </c>
      <c r="H78" s="20" t="n">
        <v>0</v>
      </c>
      <c r="I78" s="20" t="n">
        <v>2.765</v>
      </c>
      <c r="J78" s="20" t="n">
        <v>0.011</v>
      </c>
      <c r="K78" s="20" t="n">
        <v>0.054</v>
      </c>
      <c r="L78" s="20" t="n">
        <v>1.994</v>
      </c>
    </row>
    <row r="79">
      <c r="A79" s="9" t="inlineStr">
        <is>
          <t>유동자산 합계</t>
        </is>
      </c>
      <c r="C79" s="12" t="n">
        <v>1834.628</v>
      </c>
      <c r="D79" s="12" t="n">
        <v>1830.082</v>
      </c>
      <c r="E79" s="12" t="n">
        <v>1945.305</v>
      </c>
      <c r="F79" s="12" t="n">
        <v>2020.426</v>
      </c>
      <c r="G79" s="12" t="n">
        <v>2139</v>
      </c>
      <c r="H79" s="12" t="n">
        <v>739.423</v>
      </c>
      <c r="I79" s="12" t="n">
        <v>667.708</v>
      </c>
      <c r="J79" s="12" t="n">
        <v>752.49</v>
      </c>
      <c r="K79" s="12" t="n">
        <v>1834.628</v>
      </c>
      <c r="L79" s="12" t="n">
        <v>2139</v>
      </c>
    </row>
    <row r="80">
      <c r="A80" s="18" t="inlineStr">
        <is>
          <t>건물</t>
        </is>
      </c>
      <c r="C80" s="20" t="n">
        <v>99.554</v>
      </c>
      <c r="G80" s="20" t="n">
        <v>53.936</v>
      </c>
      <c r="H80" s="20" t="n">
        <v>26.564</v>
      </c>
      <c r="I80" s="20" t="n">
        <v>96.94199999999999</v>
      </c>
      <c r="J80" s="20" t="n">
        <v>98.029</v>
      </c>
      <c r="K80" s="20" t="n">
        <v>99.554</v>
      </c>
      <c r="L80" s="20" t="n">
        <v>53.936</v>
      </c>
    </row>
    <row r="81">
      <c r="A81" s="18" t="inlineStr">
        <is>
          <t>감가상각누계액</t>
        </is>
      </c>
      <c r="C81" s="20" t="n">
        <v>-23.79</v>
      </c>
      <c r="G81" s="20" t="n">
        <v>-37.654</v>
      </c>
      <c r="H81" s="20" t="n">
        <v>-7.43</v>
      </c>
      <c r="I81" s="20" t="n">
        <v>-6.012</v>
      </c>
      <c r="J81" s="20" t="n">
        <v>-14.851</v>
      </c>
      <c r="K81" s="20" t="n">
        <v>-23.79</v>
      </c>
      <c r="L81" s="20" t="n">
        <v>-37.654</v>
      </c>
    </row>
    <row r="82">
      <c r="A82" s="18" t="inlineStr">
        <is>
          <t>건물(순액)</t>
        </is>
      </c>
      <c r="C82" s="20" t="n">
        <v>75.764</v>
      </c>
      <c r="G82" s="20" t="n">
        <v>16.282</v>
      </c>
      <c r="H82" s="20" t="n">
        <v>19.134</v>
      </c>
      <c r="I82" s="20" t="n">
        <v>90.929</v>
      </c>
      <c r="J82" s="20" t="n">
        <v>83.178</v>
      </c>
      <c r="K82" s="20" t="n">
        <v>75.764</v>
      </c>
      <c r="L82" s="20" t="n">
        <v>16.282</v>
      </c>
    </row>
    <row r="83">
      <c r="A83" s="18" t="inlineStr">
        <is>
          <t>차량운반구</t>
        </is>
      </c>
      <c r="C83" s="20" t="n">
        <v>10.905</v>
      </c>
      <c r="G83" s="20" t="n">
        <v>10.905</v>
      </c>
      <c r="H83" s="20" t="n">
        <v>2.245</v>
      </c>
      <c r="I83" s="20" t="n">
        <v>2.245</v>
      </c>
      <c r="J83" s="20" t="n">
        <v>2.245</v>
      </c>
      <c r="K83" s="20" t="n">
        <v>10.905</v>
      </c>
      <c r="L83" s="20" t="n">
        <v>10.905</v>
      </c>
    </row>
    <row r="84">
      <c r="A84" s="18" t="inlineStr">
        <is>
          <t>감가상각누계액</t>
        </is>
      </c>
      <c r="C84" s="20" t="n">
        <v>-3.007</v>
      </c>
      <c r="G84" s="20" t="n">
        <v>-5.312</v>
      </c>
      <c r="H84" s="20" t="n">
        <v>-0.421</v>
      </c>
      <c r="I84" s="20" t="n">
        <v>-0.982</v>
      </c>
      <c r="J84" s="20" t="n">
        <v>-1.543</v>
      </c>
      <c r="K84" s="20" t="n">
        <v>-3.007</v>
      </c>
      <c r="L84" s="20" t="n">
        <v>-5.312</v>
      </c>
    </row>
    <row r="85">
      <c r="A85" s="18" t="inlineStr">
        <is>
          <t>차량운반구(순액)</t>
        </is>
      </c>
      <c r="C85" s="20" t="n">
        <v>7.898</v>
      </c>
      <c r="G85" s="20" t="n">
        <v>5.592</v>
      </c>
      <c r="H85" s="20" t="n">
        <v>1.824</v>
      </c>
      <c r="I85" s="20" t="n">
        <v>1.263</v>
      </c>
      <c r="J85" s="20" t="n">
        <v>0.701</v>
      </c>
      <c r="K85" s="20" t="n">
        <v>7.898</v>
      </c>
      <c r="L85" s="20" t="n">
        <v>5.592</v>
      </c>
    </row>
    <row r="86">
      <c r="A86" s="18" t="inlineStr">
        <is>
          <t>공구·기구·비품</t>
        </is>
      </c>
      <c r="C86" s="20" t="n">
        <v>35.606</v>
      </c>
      <c r="G86" s="20" t="n">
        <v>39.263</v>
      </c>
      <c r="H86" s="20" t="n">
        <v>7.797</v>
      </c>
      <c r="I86" s="20" t="n">
        <v>20.55</v>
      </c>
      <c r="J86" s="20" t="n">
        <v>28.934</v>
      </c>
      <c r="K86" s="20" t="n">
        <v>35.606</v>
      </c>
      <c r="L86" s="20" t="n">
        <v>39.263</v>
      </c>
    </row>
    <row r="87">
      <c r="A87" s="18" t="inlineStr">
        <is>
          <t>감가상각누계액</t>
        </is>
      </c>
      <c r="C87" s="20" t="n">
        <v>-12.585</v>
      </c>
      <c r="G87" s="20" t="n">
        <v>-25.057</v>
      </c>
      <c r="H87" s="20" t="n">
        <v>-1.284</v>
      </c>
      <c r="I87" s="20" t="n">
        <v>-2.862</v>
      </c>
      <c r="J87" s="20" t="n">
        <v>-7.103</v>
      </c>
      <c r="K87" s="20" t="n">
        <v>-12.585</v>
      </c>
      <c r="L87" s="20" t="n">
        <v>-25.057</v>
      </c>
    </row>
    <row r="88">
      <c r="A88" s="18" t="inlineStr">
        <is>
          <t>공구·기구·비품(순액)</t>
        </is>
      </c>
      <c r="C88" s="20" t="n">
        <v>23.021</v>
      </c>
      <c r="G88" s="20" t="n">
        <v>14.205</v>
      </c>
      <c r="H88" s="20" t="n">
        <v>6.513</v>
      </c>
      <c r="I88" s="20" t="n">
        <v>17.687</v>
      </c>
      <c r="J88" s="20" t="n">
        <v>21.83</v>
      </c>
      <c r="K88" s="20" t="n">
        <v>23.021</v>
      </c>
      <c r="L88" s="20" t="n">
        <v>14.205</v>
      </c>
    </row>
    <row r="89">
      <c r="A89" s="18" t="inlineStr">
        <is>
          <t>토지</t>
        </is>
      </c>
      <c r="C89" s="20" t="n">
        <v>3.007</v>
      </c>
      <c r="G89" s="20" t="n">
        <v>3.007</v>
      </c>
      <c r="H89" s="20" t="n">
        <v>3.007</v>
      </c>
      <c r="I89" s="20" t="n">
        <v>3.007</v>
      </c>
      <c r="J89" s="20" t="n">
        <v>3.007</v>
      </c>
      <c r="K89" s="20" t="n">
        <v>3.007</v>
      </c>
      <c r="L89" s="20" t="n">
        <v>3.007</v>
      </c>
    </row>
    <row r="90">
      <c r="A90" s="18" t="inlineStr">
        <is>
          <t>유형자산 합계</t>
        </is>
      </c>
      <c r="C90" s="20" t="n">
        <v>109.69</v>
      </c>
      <c r="D90" s="20" t="n">
        <v>98.50700000000001</v>
      </c>
      <c r="E90" s="20" t="n">
        <v>83.57899999999999</v>
      </c>
      <c r="F90" s="20" t="n">
        <v>67.646</v>
      </c>
      <c r="G90" s="20" t="n">
        <v>39.088</v>
      </c>
      <c r="H90" s="20" t="n">
        <v>30.479</v>
      </c>
      <c r="I90" s="20" t="n">
        <v>112.887</v>
      </c>
      <c r="J90" s="20" t="n">
        <v>108.718</v>
      </c>
      <c r="K90" s="20" t="n">
        <v>109.69</v>
      </c>
      <c r="L90" s="20" t="n">
        <v>39.088</v>
      </c>
    </row>
    <row r="91">
      <c r="A91" s="18" t="inlineStr">
        <is>
          <t>투자유가증권</t>
        </is>
      </c>
      <c r="C91" s="20" t="n">
        <v>10</v>
      </c>
      <c r="G91" s="20" t="n">
        <v>10</v>
      </c>
      <c r="H91" s="20" t="n">
        <v>5</v>
      </c>
      <c r="I91" s="20" t="n">
        <v>10</v>
      </c>
      <c r="J91" s="20" t="n">
        <v>10</v>
      </c>
      <c r="K91" s="20" t="n">
        <v>10</v>
      </c>
      <c r="L91" s="20" t="n">
        <v>10</v>
      </c>
    </row>
    <row r="92">
      <c r="A92" s="18" t="inlineStr">
        <is>
          <t>장기선급비용</t>
        </is>
      </c>
      <c r="C92" s="20" t="n">
        <v>2.04</v>
      </c>
      <c r="G92" s="20" t="n">
        <v>1.919</v>
      </c>
      <c r="H92" s="20" t="n">
        <v>0.011</v>
      </c>
      <c r="I92" s="20" t="n">
        <v>1.106</v>
      </c>
      <c r="J92" s="20" t="n">
        <v>2.407</v>
      </c>
      <c r="K92" s="20" t="n">
        <v>2.04</v>
      </c>
      <c r="L92" s="20" t="n">
        <v>1.919</v>
      </c>
    </row>
    <row r="93">
      <c r="A93" s="18" t="inlineStr">
        <is>
          <t>임차보증금·보증금</t>
        </is>
      </c>
      <c r="H93" s="20" t="n">
        <v>26.178</v>
      </c>
      <c r="I93" s="20" t="n">
        <v>87.952</v>
      </c>
    </row>
    <row r="94">
      <c r="A94" s="18" t="inlineStr">
        <is>
          <t>임차보증금</t>
        </is>
      </c>
      <c r="C94" s="20" t="n">
        <v>69.717</v>
      </c>
      <c r="G94" s="20" t="n">
        <v>189.402</v>
      </c>
      <c r="I94" s="20" t="n">
        <v>87.952</v>
      </c>
      <c r="J94" s="20" t="n">
        <v>61.773</v>
      </c>
      <c r="K94" s="20" t="n">
        <v>69.717</v>
      </c>
      <c r="L94" s="20" t="n">
        <v>189.402</v>
      </c>
    </row>
    <row r="95">
      <c r="A95" s="18" t="inlineStr">
        <is>
          <t>이연법인세자산</t>
        </is>
      </c>
      <c r="C95" s="20" t="n">
        <v>33.82</v>
      </c>
      <c r="G95" s="20" t="n">
        <v>62.396</v>
      </c>
      <c r="J95" s="20" t="n">
        <v>0</v>
      </c>
      <c r="K95" s="20" t="n">
        <v>33.82</v>
      </c>
      <c r="L95" s="20" t="n">
        <v>62.396</v>
      </c>
    </row>
    <row r="96">
      <c r="A96" s="18" t="inlineStr">
        <is>
          <t>기타</t>
        </is>
      </c>
      <c r="C96" s="20" t="n">
        <v>17.908</v>
      </c>
      <c r="G96" s="20" t="n">
        <v>17.748</v>
      </c>
      <c r="H96" s="20" t="n">
        <v>0.035</v>
      </c>
      <c r="I96" s="20" t="n">
        <v>14.435</v>
      </c>
      <c r="J96" s="20" t="n">
        <v>18.068</v>
      </c>
      <c r="K96" s="20" t="n">
        <v>17.908</v>
      </c>
      <c r="L96" s="20" t="n">
        <v>17.748</v>
      </c>
    </row>
    <row r="97">
      <c r="A97" s="18" t="inlineStr">
        <is>
          <t>투자 및 기타자산 합계</t>
        </is>
      </c>
      <c r="C97" s="20" t="n">
        <v>133.487</v>
      </c>
      <c r="D97" s="20" t="n">
        <v>253.227</v>
      </c>
      <c r="E97" s="20" t="n">
        <v>251.668</v>
      </c>
      <c r="F97" s="20" t="n">
        <v>255.148</v>
      </c>
      <c r="G97" s="20" t="n">
        <v>281.467</v>
      </c>
      <c r="H97" s="20" t="n">
        <v>31.225</v>
      </c>
      <c r="I97" s="20" t="n">
        <v>113.494</v>
      </c>
      <c r="J97" s="20" t="n">
        <v>92.249</v>
      </c>
      <c r="K97" s="20" t="n">
        <v>133.487</v>
      </c>
      <c r="L97" s="20" t="n">
        <v>281.467</v>
      </c>
    </row>
    <row r="98">
      <c r="A98" s="9" t="inlineStr">
        <is>
          <t>비유동자산 합계</t>
        </is>
      </c>
      <c r="C98" s="12" t="n">
        <v>243.178</v>
      </c>
      <c r="D98" s="12" t="n">
        <v>351.735</v>
      </c>
      <c r="E98" s="12" t="n">
        <v>335.247</v>
      </c>
      <c r="F98" s="12" t="n">
        <v>322.795</v>
      </c>
      <c r="G98" s="12" t="n">
        <v>320.555</v>
      </c>
      <c r="H98" s="12" t="n">
        <v>61.704</v>
      </c>
      <c r="I98" s="12" t="n">
        <v>226.381</v>
      </c>
      <c r="J98" s="12" t="n">
        <v>200.968</v>
      </c>
      <c r="K98" s="12" t="n">
        <v>243.178</v>
      </c>
      <c r="L98" s="12" t="n">
        <v>320.555</v>
      </c>
    </row>
    <row r="99">
      <c r="A99" s="9" t="inlineStr">
        <is>
          <t>자산 합계</t>
        </is>
      </c>
      <c r="C99" s="12" t="n">
        <v>2077.806</v>
      </c>
      <c r="D99" s="12" t="n">
        <v>2181.818</v>
      </c>
      <c r="E99" s="12" t="n">
        <v>2280.552</v>
      </c>
      <c r="F99" s="12" t="n">
        <v>2343.222</v>
      </c>
      <c r="G99" s="12" t="n">
        <v>2459.555</v>
      </c>
      <c r="H99" s="12" t="n">
        <v>801.128</v>
      </c>
      <c r="I99" s="12" t="n">
        <v>894.09</v>
      </c>
      <c r="J99" s="12" t="n">
        <v>953.458</v>
      </c>
      <c r="K99" s="12" t="n">
        <v>2077.806</v>
      </c>
      <c r="L99" s="12" t="n">
        <v>2459.555</v>
      </c>
    </row>
    <row r="100">
      <c r="A100" s="18" t="inlineStr">
        <is>
          <t>매입채무</t>
        </is>
      </c>
      <c r="C100" s="20" t="n">
        <v>40.193</v>
      </c>
      <c r="D100" s="20" t="n">
        <v>67.675</v>
      </c>
      <c r="E100" s="20" t="n">
        <v>99.285</v>
      </c>
      <c r="F100" s="20" t="n">
        <v>28.691</v>
      </c>
      <c r="G100" s="20" t="n">
        <v>24.661</v>
      </c>
      <c r="H100" s="20" t="n">
        <v>13.053</v>
      </c>
      <c r="I100" s="20" t="n">
        <v>16.477</v>
      </c>
      <c r="J100" s="20" t="n">
        <v>7.302</v>
      </c>
      <c r="K100" s="20" t="n">
        <v>40.193</v>
      </c>
      <c r="L100" s="20" t="n">
        <v>24.661</v>
      </c>
    </row>
    <row r="101">
      <c r="A101" s="18" t="inlineStr">
        <is>
          <t>1년 내 상환 장기차입금</t>
        </is>
      </c>
      <c r="C101" s="20" t="n">
        <v>40.137</v>
      </c>
      <c r="D101" s="20" t="n">
        <v>37.938</v>
      </c>
      <c r="E101" s="20" t="n">
        <v>35.739</v>
      </c>
      <c r="F101" s="20" t="n">
        <v>33.54</v>
      </c>
      <c r="G101" s="20" t="n">
        <v>31.341</v>
      </c>
      <c r="I101" s="20" t="n">
        <v>0</v>
      </c>
      <c r="J101" s="20" t="n">
        <v>48.933</v>
      </c>
      <c r="K101" s="20" t="n">
        <v>40.137</v>
      </c>
      <c r="L101" s="20" t="n">
        <v>31.341</v>
      </c>
    </row>
    <row r="102">
      <c r="A102" s="18" t="inlineStr">
        <is>
          <t>미지급금</t>
        </is>
      </c>
      <c r="C102" s="20" t="n">
        <v>36.869</v>
      </c>
      <c r="G102" s="20" t="n">
        <v>33.68</v>
      </c>
      <c r="H102" s="20" t="n">
        <v>21.705</v>
      </c>
      <c r="I102" s="20" t="n">
        <v>65.319</v>
      </c>
      <c r="J102" s="20" t="n">
        <v>37.109</v>
      </c>
      <c r="K102" s="20" t="n">
        <v>36.869</v>
      </c>
      <c r="L102" s="20" t="n">
        <v>33.68</v>
      </c>
    </row>
    <row r="103">
      <c r="A103" s="18" t="inlineStr">
        <is>
          <t>미지급비용</t>
        </is>
      </c>
      <c r="C103" s="20" t="n">
        <v>39.292</v>
      </c>
      <c r="G103" s="20" t="n">
        <v>56.803</v>
      </c>
      <c r="H103" s="20" t="n">
        <v>19.725</v>
      </c>
      <c r="I103" s="20" t="n">
        <v>41.018</v>
      </c>
      <c r="J103" s="20" t="n">
        <v>30.395</v>
      </c>
      <c r="K103" s="20" t="n">
        <v>39.292</v>
      </c>
      <c r="L103" s="20" t="n">
        <v>56.803</v>
      </c>
    </row>
    <row r="104">
      <c r="A104" s="18" t="inlineStr">
        <is>
          <t>미지급법인세</t>
        </is>
      </c>
      <c r="C104" s="20" t="n">
        <v>36.663</v>
      </c>
      <c r="D104" s="20" t="n">
        <v>12.077</v>
      </c>
      <c r="E104" s="20" t="n">
        <v>23.935</v>
      </c>
      <c r="F104" s="20" t="n">
        <v>19.116</v>
      </c>
      <c r="G104" s="20" t="n">
        <v>36.327</v>
      </c>
      <c r="H104" s="20" t="n">
        <v>0.29</v>
      </c>
      <c r="I104" s="20" t="n">
        <v>0.29</v>
      </c>
      <c r="J104" s="20" t="n">
        <v>0.53</v>
      </c>
      <c r="K104" s="20" t="n">
        <v>36.663</v>
      </c>
      <c r="L104" s="20" t="n">
        <v>36.327</v>
      </c>
    </row>
    <row r="105">
      <c r="A105" s="18" t="inlineStr">
        <is>
          <t>상여충당금</t>
        </is>
      </c>
      <c r="C105" s="20" t="n">
        <v>0</v>
      </c>
      <c r="D105" s="20" t="n">
        <v>3.629</v>
      </c>
      <c r="E105" s="20" t="n">
        <v>7.326</v>
      </c>
      <c r="F105" s="20" t="n">
        <v>11.182</v>
      </c>
      <c r="K105" s="20" t="n">
        <v>0</v>
      </c>
    </row>
    <row r="106">
      <c r="A106" s="18" t="inlineStr">
        <is>
          <t>미지급 소비세</t>
        </is>
      </c>
      <c r="C106" s="20" t="n">
        <v>37.755</v>
      </c>
      <c r="G106" s="20" t="n">
        <v>31.228</v>
      </c>
      <c r="H106" s="20" t="n">
        <v>13.731</v>
      </c>
      <c r="I106" s="20" t="n">
        <v>0</v>
      </c>
      <c r="J106" s="20" t="n">
        <v>20.218</v>
      </c>
      <c r="K106" s="20" t="n">
        <v>37.755</v>
      </c>
      <c r="L106" s="20" t="n">
        <v>31.228</v>
      </c>
    </row>
    <row r="107">
      <c r="A107" s="18" t="inlineStr">
        <is>
          <t>예수금</t>
        </is>
      </c>
      <c r="C107" s="20" t="n">
        <v>9.225</v>
      </c>
      <c r="G107" s="20" t="n">
        <v>5.903</v>
      </c>
      <c r="H107" s="20" t="n">
        <v>1.887</v>
      </c>
      <c r="I107" s="20" t="n">
        <v>3.556</v>
      </c>
      <c r="J107" s="20" t="n">
        <v>6.316</v>
      </c>
      <c r="K107" s="20" t="n">
        <v>9.225</v>
      </c>
      <c r="L107" s="20" t="n">
        <v>5.903</v>
      </c>
    </row>
    <row r="108">
      <c r="A108" s="18" t="inlineStr">
        <is>
          <t>선수수익</t>
        </is>
      </c>
      <c r="C108" s="20" t="n">
        <v>370.552</v>
      </c>
      <c r="D108" s="20" t="n">
        <v>444.351</v>
      </c>
      <c r="E108" s="20" t="n">
        <v>432.462</v>
      </c>
      <c r="F108" s="20" t="n">
        <v>515.713</v>
      </c>
      <c r="G108" s="20" t="n">
        <v>555.4</v>
      </c>
      <c r="H108" s="20" t="n">
        <v>135.768</v>
      </c>
      <c r="I108" s="20" t="n">
        <v>180.99</v>
      </c>
      <c r="J108" s="20" t="n">
        <v>233.434</v>
      </c>
      <c r="K108" s="20" t="n">
        <v>370.552</v>
      </c>
      <c r="L108" s="20" t="n">
        <v>555.4</v>
      </c>
    </row>
    <row r="109">
      <c r="A109" s="18" t="inlineStr">
        <is>
          <t>자산복구부채</t>
        </is>
      </c>
      <c r="H109" s="20" t="n">
        <v>0</v>
      </c>
      <c r="I109" s="20" t="n">
        <v>7.53</v>
      </c>
      <c r="J109" s="20" t="n">
        <v>0</v>
      </c>
    </row>
    <row r="110">
      <c r="A110" s="18" t="inlineStr">
        <is>
          <t>기타</t>
        </is>
      </c>
      <c r="C110" s="20" t="n">
        <v>0</v>
      </c>
      <c r="D110" s="20" t="n">
        <v>102.63</v>
      </c>
      <c r="E110" s="20" t="n">
        <v>112.14</v>
      </c>
      <c r="F110" s="20" t="n">
        <v>129.685</v>
      </c>
      <c r="G110" s="20" t="n">
        <v>0.109</v>
      </c>
      <c r="H110" s="20" t="n">
        <v>57.05</v>
      </c>
      <c r="I110" s="20" t="n">
        <v>0</v>
      </c>
      <c r="J110" s="20" t="n">
        <v>0.082</v>
      </c>
      <c r="K110" s="20" t="n">
        <v>0</v>
      </c>
      <c r="L110" s="20" t="n">
        <v>0.109</v>
      </c>
    </row>
    <row r="111">
      <c r="A111" s="9" t="inlineStr">
        <is>
          <t>유동부채 합계</t>
        </is>
      </c>
      <c r="C111" s="12" t="n">
        <v>610.6900000000001</v>
      </c>
      <c r="D111" s="12" t="n">
        <v>668.302</v>
      </c>
      <c r="E111" s="12" t="n">
        <v>710.889</v>
      </c>
      <c r="F111" s="12" t="n">
        <v>737.929</v>
      </c>
      <c r="G111" s="12" t="n">
        <v>775.458</v>
      </c>
      <c r="H111" s="12" t="n">
        <v>206.162</v>
      </c>
      <c r="I111" s="12" t="n">
        <v>315.182</v>
      </c>
      <c r="J111" s="12" t="n">
        <v>384.322</v>
      </c>
      <c r="K111" s="12" t="n">
        <v>610.6900000000001</v>
      </c>
      <c r="L111" s="12" t="n">
        <v>775.458</v>
      </c>
    </row>
    <row r="112">
      <c r="A112" s="18" t="inlineStr">
        <is>
          <t>장기선수수익</t>
        </is>
      </c>
      <c r="H112" s="20" t="n">
        <v>17.097</v>
      </c>
      <c r="I112" s="20" t="n">
        <v>15.631</v>
      </c>
      <c r="J112" s="20" t="n">
        <v>10.531</v>
      </c>
    </row>
    <row r="113">
      <c r="A113" s="18" t="inlineStr">
        <is>
          <t>장기차입금</t>
        </is>
      </c>
      <c r="C113" s="20" t="n">
        <v>27.095</v>
      </c>
      <c r="D113" s="20" t="n">
        <v>23.846</v>
      </c>
      <c r="E113" s="20" t="n">
        <v>20.597</v>
      </c>
      <c r="F113" s="20" t="n">
        <v>17.348</v>
      </c>
      <c r="G113" s="20" t="n">
        <v>14.099</v>
      </c>
      <c r="I113" s="20" t="n">
        <v>0</v>
      </c>
      <c r="J113" s="20" t="n">
        <v>40.091</v>
      </c>
      <c r="K113" s="20" t="n">
        <v>27.095</v>
      </c>
      <c r="L113" s="20" t="n">
        <v>14.099</v>
      </c>
    </row>
    <row r="114">
      <c r="A114" s="18" t="inlineStr">
        <is>
          <t>기타</t>
        </is>
      </c>
      <c r="H114" s="20" t="n">
        <v>17.929</v>
      </c>
      <c r="I114" s="20" t="n">
        <v>25.043</v>
      </c>
      <c r="J114" s="20" t="n">
        <v>17.261</v>
      </c>
    </row>
    <row r="115">
      <c r="A115" s="18" t="inlineStr">
        <is>
          <t>이연법인세부채</t>
        </is>
      </c>
      <c r="C115" s="20" t="n">
        <v>0</v>
      </c>
      <c r="H115" s="20" t="n">
        <v>0.832</v>
      </c>
      <c r="I115" s="20" t="n">
        <v>9.412000000000001</v>
      </c>
      <c r="J115" s="20" t="n">
        <v>6.73</v>
      </c>
      <c r="K115" s="20" t="n">
        <v>0</v>
      </c>
    </row>
    <row r="116">
      <c r="A116" s="18" t="inlineStr">
        <is>
          <t>자산복구부채</t>
        </is>
      </c>
      <c r="C116" s="20" t="n">
        <v>46.049</v>
      </c>
      <c r="D116" s="20" t="n">
        <v>46.341</v>
      </c>
      <c r="E116" s="20" t="n">
        <v>46.74</v>
      </c>
      <c r="F116" s="20" t="n">
        <v>47.139</v>
      </c>
      <c r="G116" s="20" t="n">
        <v>0</v>
      </c>
      <c r="H116" s="20" t="n">
        <v>6.426</v>
      </c>
      <c r="I116" s="20" t="n">
        <v>45.45</v>
      </c>
      <c r="J116" s="20" t="n">
        <v>45.749</v>
      </c>
      <c r="K116" s="20" t="n">
        <v>46.049</v>
      </c>
      <c r="L116" s="20" t="n">
        <v>0</v>
      </c>
    </row>
    <row r="117">
      <c r="A117" s="9" t="inlineStr">
        <is>
          <t>비유동부채 합계</t>
        </is>
      </c>
      <c r="C117" s="12" t="n">
        <v>73.14400000000001</v>
      </c>
      <c r="D117" s="12" t="n">
        <v>70.187</v>
      </c>
      <c r="E117" s="12" t="n">
        <v>67.337</v>
      </c>
      <c r="F117" s="12" t="n">
        <v>64.48699999999999</v>
      </c>
      <c r="G117" s="12" t="n">
        <v>14.099</v>
      </c>
      <c r="H117" s="12" t="n">
        <v>24.356</v>
      </c>
      <c r="I117" s="12" t="n">
        <v>70.49299999999999</v>
      </c>
      <c r="J117" s="12" t="n">
        <v>92.56999999999999</v>
      </c>
      <c r="K117" s="12" t="n">
        <v>73.14400000000001</v>
      </c>
      <c r="L117" s="12" t="n">
        <v>14.099</v>
      </c>
    </row>
    <row r="118">
      <c r="A118" s="9" t="inlineStr">
        <is>
          <t>부채 합계</t>
        </is>
      </c>
      <c r="C118" s="12" t="n">
        <v>683.8339999999999</v>
      </c>
      <c r="D118" s="12" t="n">
        <v>738.489</v>
      </c>
      <c r="E118" s="12" t="n">
        <v>778.227</v>
      </c>
      <c r="F118" s="12" t="n">
        <v>802.4160000000001</v>
      </c>
      <c r="G118" s="12" t="n">
        <v>789.557</v>
      </c>
      <c r="H118" s="12" t="n">
        <v>230.518</v>
      </c>
      <c r="I118" s="12" t="n">
        <v>385.675</v>
      </c>
      <c r="J118" s="12" t="n">
        <v>476.892</v>
      </c>
      <c r="K118" s="12" t="n">
        <v>683.8339999999999</v>
      </c>
      <c r="L118" s="12" t="n">
        <v>789.557</v>
      </c>
    </row>
    <row r="119">
      <c r="A119" s="18" t="inlineStr">
        <is>
          <t>자본금</t>
        </is>
      </c>
      <c r="C119" s="20" t="n">
        <v>450.894</v>
      </c>
      <c r="D119" s="20" t="n">
        <v>450.894</v>
      </c>
      <c r="E119" s="20" t="n">
        <v>459.183</v>
      </c>
      <c r="F119" s="20" t="n">
        <v>459.183</v>
      </c>
      <c r="G119" s="20" t="n">
        <v>459.183</v>
      </c>
      <c r="H119" s="20" t="n">
        <v>50</v>
      </c>
      <c r="I119" s="20" t="n">
        <v>52.121</v>
      </c>
      <c r="J119" s="20" t="n">
        <v>52.121</v>
      </c>
      <c r="K119" s="20" t="n">
        <v>450.894</v>
      </c>
      <c r="L119" s="20" t="n">
        <v>459.183</v>
      </c>
    </row>
    <row r="120">
      <c r="A120" s="18" t="inlineStr">
        <is>
          <t>자본준비금</t>
        </is>
      </c>
      <c r="C120" s="20" t="n">
        <v>400.894</v>
      </c>
      <c r="G120" s="20" t="n">
        <v>409.183</v>
      </c>
      <c r="H120" s="20" t="n">
        <v>0</v>
      </c>
      <c r="I120" s="20" t="n">
        <v>2.121</v>
      </c>
      <c r="J120" s="20" t="n">
        <v>2.121</v>
      </c>
      <c r="K120" s="20" t="n">
        <v>400.894</v>
      </c>
      <c r="L120" s="20" t="n">
        <v>409.183</v>
      </c>
    </row>
    <row r="121">
      <c r="A121" s="18" t="inlineStr">
        <is>
          <t>기타자본잉여금</t>
        </is>
      </c>
      <c r="C121" s="20" t="n">
        <v>787.247</v>
      </c>
      <c r="G121" s="20" t="n">
        <v>791.777</v>
      </c>
      <c r="H121" s="20" t="n">
        <v>765.438</v>
      </c>
      <c r="I121" s="20" t="n">
        <v>779.83</v>
      </c>
      <c r="J121" s="20" t="n">
        <v>779.83</v>
      </c>
      <c r="K121" s="20" t="n">
        <v>787.247</v>
      </c>
      <c r="L121" s="20" t="n">
        <v>791.777</v>
      </c>
    </row>
    <row r="122">
      <c r="A122" s="18" t="inlineStr">
        <is>
          <t>자본잉여금 합계</t>
        </is>
      </c>
      <c r="C122" s="20" t="n">
        <v>1188.141</v>
      </c>
      <c r="D122" s="20" t="n">
        <v>1189.785</v>
      </c>
      <c r="E122" s="20" t="n">
        <v>1200.961</v>
      </c>
      <c r="F122" s="20" t="n">
        <v>1200.961</v>
      </c>
      <c r="G122" s="20" t="n">
        <v>1200.961</v>
      </c>
      <c r="H122" s="20" t="n">
        <v>765.438</v>
      </c>
      <c r="I122" s="20" t="n">
        <v>781.951</v>
      </c>
      <c r="J122" s="20" t="n">
        <v>781.951</v>
      </c>
      <c r="K122" s="20" t="n">
        <v>1188.141</v>
      </c>
      <c r="L122" s="20" t="n">
        <v>1200.961</v>
      </c>
    </row>
    <row r="123">
      <c r="A123" s="18" t="inlineStr">
        <is>
          <t>이월이익잉여금</t>
        </is>
      </c>
      <c r="C123" s="20" t="n">
        <v>-241.584</v>
      </c>
      <c r="G123" s="20" t="n">
        <v>13.161</v>
      </c>
      <c r="H123" s="20" t="n">
        <v>-240.57</v>
      </c>
      <c r="I123" s="20" t="n">
        <v>-321.908</v>
      </c>
      <c r="J123" s="20" t="n">
        <v>-353.756</v>
      </c>
      <c r="K123" s="20" t="n">
        <v>-241.584</v>
      </c>
      <c r="L123" s="20" t="n">
        <v>13.161</v>
      </c>
    </row>
    <row r="124">
      <c r="A124" s="18" t="inlineStr">
        <is>
          <t>이익잉여금 합계</t>
        </is>
      </c>
      <c r="C124" s="20" t="n">
        <v>-241.584</v>
      </c>
      <c r="D124" s="20" t="n">
        <v>-193.927</v>
      </c>
      <c r="E124" s="20" t="n">
        <v>-154.51</v>
      </c>
      <c r="F124" s="20" t="n">
        <v>-116.03</v>
      </c>
      <c r="G124" s="20" t="n">
        <v>13.161</v>
      </c>
      <c r="H124" s="20" t="n">
        <v>-240.57</v>
      </c>
      <c r="I124" s="20" t="n">
        <v>-321.908</v>
      </c>
      <c r="J124" s="20" t="n">
        <v>-353.756</v>
      </c>
      <c r="K124" s="20" t="n">
        <v>-241.584</v>
      </c>
      <c r="L124" s="20" t="n">
        <v>13.161</v>
      </c>
    </row>
    <row r="125">
      <c r="A125" s="18" t="inlineStr">
        <is>
          <t>자기주식</t>
        </is>
      </c>
      <c r="C125" s="20" t="n">
        <v>-3.479</v>
      </c>
      <c r="D125" s="20" t="n">
        <v>-3.422</v>
      </c>
      <c r="E125" s="20" t="n">
        <v>-3.309</v>
      </c>
      <c r="F125" s="20" t="n">
        <v>-3.309</v>
      </c>
      <c r="G125" s="20" t="n">
        <v>-3.309</v>
      </c>
      <c r="H125" s="20" t="n">
        <v>-4.258</v>
      </c>
      <c r="I125" s="20" t="n">
        <v>-3.75</v>
      </c>
      <c r="J125" s="20" t="n">
        <v>-3.75</v>
      </c>
      <c r="K125" s="20" t="n">
        <v>-3.479</v>
      </c>
      <c r="L125" s="20" t="n">
        <v>-3.309</v>
      </c>
    </row>
    <row r="126">
      <c r="A126" s="9" t="inlineStr">
        <is>
          <t>주주자본 합계</t>
        </is>
      </c>
      <c r="C126" s="12" t="n">
        <v>1393.972</v>
      </c>
      <c r="D126" s="12" t="n">
        <v>1443.329</v>
      </c>
      <c r="E126" s="12" t="n">
        <v>1502.325</v>
      </c>
      <c r="F126" s="12" t="n">
        <v>1540.805</v>
      </c>
      <c r="G126" s="12" t="n">
        <v>1669.998</v>
      </c>
      <c r="H126" s="12" t="n">
        <v>570.609</v>
      </c>
      <c r="I126" s="12" t="n">
        <v>508.414</v>
      </c>
      <c r="J126" s="12" t="n">
        <v>476.565</v>
      </c>
      <c r="K126" s="12" t="n">
        <v>1393.972</v>
      </c>
      <c r="L126" s="12" t="n">
        <v>1669.998</v>
      </c>
    </row>
    <row r="127">
      <c r="A127" s="9" t="inlineStr">
        <is>
          <t>순자산 합계</t>
        </is>
      </c>
      <c r="C127" s="12" t="n">
        <v>1393.972</v>
      </c>
      <c r="D127" s="12" t="n">
        <v>1443.329</v>
      </c>
      <c r="E127" s="12" t="n">
        <v>1502.325</v>
      </c>
      <c r="F127" s="12" t="n">
        <v>1540.805</v>
      </c>
      <c r="G127" s="12" t="n">
        <v>1669.998</v>
      </c>
      <c r="H127" s="12" t="n">
        <v>570.609</v>
      </c>
      <c r="I127" s="12" t="n">
        <v>508.414</v>
      </c>
      <c r="J127" s="12" t="n">
        <v>476.565</v>
      </c>
      <c r="K127" s="12" t="n">
        <v>1393.972</v>
      </c>
      <c r="L127" s="12" t="n">
        <v>1669.998</v>
      </c>
    </row>
    <row r="128">
      <c r="A128" s="9" t="inlineStr">
        <is>
          <t>부채·순자산 합계</t>
        </is>
      </c>
      <c r="C128" s="12" t="n">
        <v>2077.806</v>
      </c>
      <c r="D128" s="12" t="n">
        <v>2181.818</v>
      </c>
      <c r="E128" s="12" t="n">
        <v>2280.552</v>
      </c>
      <c r="F128" s="12" t="n">
        <v>2343.222</v>
      </c>
      <c r="G128" s="12" t="n">
        <v>2459.555</v>
      </c>
      <c r="H128" s="12" t="n">
        <v>801.128</v>
      </c>
      <c r="I128" s="12" t="n">
        <v>894.09</v>
      </c>
      <c r="J128" s="12" t="n">
        <v>953.458</v>
      </c>
      <c r="K128" s="12" t="n">
        <v>2077.806</v>
      </c>
      <c r="L128" s="12" t="n">
        <v>2459.555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2026-10-15</t>
        </is>
      </c>
      <c r="B4" t="inlineStr">
        <is>
          <t>2026년 8월 결산기 연간 결산단신</t>
        </is>
      </c>
      <c r="C4" t="inlineStr">
        <is>
          <t>https://www2.jpx.co.jp/disc/44120/140120261014550912.pdf</t>
        </is>
      </c>
    </row>
    <row r="5">
      <c r="A5" t="inlineStr">
        <is>
          <t>2026-07-15</t>
        </is>
      </c>
      <c r="B5" t="inlineStr">
        <is>
          <t>2026년 8월 결산기 ３분기 결산단신</t>
        </is>
      </c>
      <c r="C5" t="inlineStr">
        <is>
          <t>https://www2.jpx.co.jp/disc/44120/140120260714593441.pdf</t>
        </is>
      </c>
    </row>
    <row r="6">
      <c r="A6" t="inlineStr">
        <is>
          <t>2026-04-14</t>
        </is>
      </c>
      <c r="B6" t="inlineStr">
        <is>
          <t>2026년 8월 결산기 ２분기 결산단신</t>
        </is>
      </c>
      <c r="C6" t="inlineStr">
        <is>
          <t>https://www2.jpx.co.jp/disc/44120/140120260413502987.pdf</t>
        </is>
      </c>
    </row>
    <row r="7">
      <c r="A7" t="inlineStr">
        <is>
          <t>2026-01-14</t>
        </is>
      </c>
      <c r="B7" t="inlineStr">
        <is>
          <t>2026년 8월 결산기 １분기 결산단신</t>
        </is>
      </c>
      <c r="C7" t="inlineStr">
        <is>
          <t>https://www2.jpx.co.jp/disc/44120/140120260114533123.pdf</t>
        </is>
      </c>
    </row>
    <row r="8">
      <c r="A8" t="inlineStr">
        <is>
          <t>2025-10-15</t>
        </is>
      </c>
      <c r="B8" t="inlineStr">
        <is>
          <t>2025년 8월 결산기 연간 결산단신</t>
        </is>
      </c>
      <c r="C8" t="inlineStr">
        <is>
          <t>https://www2.jpx.co.jp/disc/44120/140120251015573534.pdf</t>
        </is>
      </c>
    </row>
    <row r="9">
      <c r="A9" t="inlineStr">
        <is>
          <t>2025-07-15</t>
        </is>
      </c>
      <c r="B9" t="inlineStr">
        <is>
          <t>2025년 8월 결산기 ３분기 결산단신</t>
        </is>
      </c>
      <c r="C9" t="inlineStr">
        <is>
          <t>https://www2.jpx.co.jp/disc/44120/140120250714514128.pdf</t>
        </is>
      </c>
    </row>
    <row r="10">
      <c r="A10" t="inlineStr">
        <is>
          <t>2025-04-14</t>
        </is>
      </c>
      <c r="B10" t="inlineStr">
        <is>
          <t>2025년 8월 결산기 ２분기 결산단신</t>
        </is>
      </c>
      <c r="C10" t="inlineStr">
        <is>
          <t>https://www2.jpx.co.jp/disc/44120/140120250411513833.pdf</t>
        </is>
      </c>
    </row>
    <row r="11">
      <c r="A11" t="inlineStr">
        <is>
          <t>2025-01-14</t>
        </is>
      </c>
      <c r="B11" t="inlineStr">
        <is>
          <t>2025년 8월 결산기 １분기 결산단신</t>
        </is>
      </c>
      <c r="C11" t="inlineStr">
        <is>
          <t>https://www2.jpx.co.jp/disc/44120/140120250110549614.pdf</t>
        </is>
      </c>
    </row>
    <row r="12">
      <c r="A12" t="inlineStr">
        <is>
          <t>2024-10-15</t>
        </is>
      </c>
      <c r="B12" t="inlineStr">
        <is>
          <t>2024년 8월 결산기 연간 결산단신</t>
        </is>
      </c>
      <c r="C12" t="inlineStr">
        <is>
          <t>https://www2.jpx.co.jp/disc/44120/140120241011597502.pdf</t>
        </is>
      </c>
    </row>
    <row r="13">
      <c r="A13" t="inlineStr">
        <is>
          <t>2024-07-12</t>
        </is>
      </c>
      <c r="B13" t="inlineStr">
        <is>
          <t>2024년 8월 결산기 ３분기 결산단신</t>
        </is>
      </c>
      <c r="C13" t="inlineStr">
        <is>
          <t>https://www2.jpx.co.jp/disc/44120/140120240711547988.pdf</t>
        </is>
      </c>
    </row>
    <row r="14">
      <c r="A14" t="inlineStr">
        <is>
          <t>2024-04-12</t>
        </is>
      </c>
      <c r="B14" t="inlineStr">
        <is>
          <t>2024년 8월 결산기 ２분기 결산단신</t>
        </is>
      </c>
      <c r="C14" t="inlineStr">
        <is>
          <t>https://www2.jpx.co.jp/disc/44120/140120240410568555.pdf</t>
        </is>
      </c>
    </row>
    <row r="15">
      <c r="A15" t="inlineStr">
        <is>
          <t>2024-01-12</t>
        </is>
      </c>
      <c r="B15" t="inlineStr">
        <is>
          <t>2024년 8월 결산기 １분기 결산단신</t>
        </is>
      </c>
      <c r="C15" t="inlineStr">
        <is>
          <t>https://www2.jpx.co.jp/disc/44120/140120240111513661.pdf</t>
        </is>
      </c>
    </row>
    <row r="16">
      <c r="A16" t="inlineStr">
        <is>
          <t>2023-10-13</t>
        </is>
      </c>
      <c r="B16" t="inlineStr">
        <is>
          <t>2023년 8월 결산기 연간 결산단신</t>
        </is>
      </c>
      <c r="C16" t="inlineStr">
        <is>
          <t>https://www2.jpx.co.jp/disc/44120/140120231012566163.pdf</t>
        </is>
      </c>
    </row>
    <row r="17">
      <c r="A17" t="inlineStr">
        <is>
          <t>2023-07-14</t>
        </is>
      </c>
      <c r="B17" t="inlineStr">
        <is>
          <t>2023년 8월 결산기 ３분기 결산단신</t>
        </is>
      </c>
      <c r="C17" t="inlineStr">
        <is>
          <t>https://www2.jpx.co.jp/disc/44120/140120230713522053.pdf</t>
        </is>
      </c>
    </row>
    <row r="18">
      <c r="A18" t="inlineStr">
        <is>
          <t>2023-04-14</t>
        </is>
      </c>
      <c r="B18" t="inlineStr">
        <is>
          <t>2023년 8월 결산기 ２분기 결산단신</t>
        </is>
      </c>
      <c r="C18" t="inlineStr">
        <is>
          <t>https://www2.jpx.co.jp/disc/44120/140120230413546892.pdf</t>
        </is>
      </c>
    </row>
    <row r="19">
      <c r="A19" t="inlineStr">
        <is>
          <t>2023-01-13</t>
        </is>
      </c>
      <c r="B19" t="inlineStr">
        <is>
          <t>2023년 8월 결산기 １분기 결산단신</t>
        </is>
      </c>
      <c r="C19" t="inlineStr">
        <is>
          <t>https://www2.jpx.co.jp/disc/44120/140120230112588645.pdf</t>
        </is>
      </c>
    </row>
    <row r="20">
      <c r="A20" t="inlineStr">
        <is>
          <t>2022-10-14</t>
        </is>
      </c>
      <c r="B20" t="inlineStr">
        <is>
          <t>2022년 8월 결산기 연간 결산단신</t>
        </is>
      </c>
      <c r="C20" t="inlineStr">
        <is>
          <t>https://www2.jpx.co.jp/disc/44120/140120221013544210.pdf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2026-10-28T07:03:00Z</dcterms:created>
  <dcterms:modified xmlns:dcterms="http://purl.org/dc/terms/" xmlns:xsi="http://www.w3.org/2001/XMLSchema-instance" xsi:type="dcterms:W3CDTF">2026-10-28T07:03:01Z</dcterms:modified>
</cp:coreProperties>
</file>