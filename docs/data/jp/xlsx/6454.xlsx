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6454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21720</v>
      </c>
      <c r="D4" s="12" t="n">
        <v>22412</v>
      </c>
      <c r="E4" s="12" t="n">
        <v>21306</v>
      </c>
      <c r="F4" s="12" t="n">
        <v>22588</v>
      </c>
      <c r="G4" s="12" t="n">
        <v>22293</v>
      </c>
      <c r="H4" s="12" t="n">
        <v>24129</v>
      </c>
      <c r="I4" s="12" t="n">
        <v>22829</v>
      </c>
      <c r="J4" s="12" t="n">
        <v>24240</v>
      </c>
      <c r="K4" s="12" t="n">
        <v>24448</v>
      </c>
      <c r="L4" s="12" t="n">
        <v>25635</v>
      </c>
      <c r="M4" s="12" t="n">
        <v>25284</v>
      </c>
      <c r="N4" s="12" t="n">
        <v>28334</v>
      </c>
      <c r="O4" s="11" t="n">
        <v>66967</v>
      </c>
      <c r="P4" s="12" t="n">
        <v>68138</v>
      </c>
      <c r="Q4" s="12" t="n">
        <v>70118</v>
      </c>
      <c r="R4" s="12" t="n">
        <v>69671</v>
      </c>
      <c r="S4" s="12" t="n">
        <v>64029</v>
      </c>
      <c r="T4" s="12" t="n">
        <v>73958</v>
      </c>
      <c r="U4" s="12" t="n">
        <v>84316</v>
      </c>
      <c r="V4" s="12" t="n">
        <v>86638</v>
      </c>
      <c r="W4" s="12" t="n">
        <v>91839</v>
      </c>
      <c r="X4" s="12" t="n">
        <v>99607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OfficeEquipmentReportableSegmentsMember</t>
        </is>
      </c>
      <c r="B7" s="10" t="n"/>
      <c r="C7" s="19" t="n">
        <v>5110</v>
      </c>
      <c r="D7" s="20" t="n">
        <v>5358</v>
      </c>
      <c r="E7" s="20" t="n">
        <v>5364</v>
      </c>
      <c r="F7" s="20" t="n">
        <v>5321</v>
      </c>
      <c r="G7" s="20" t="n">
        <v>5340</v>
      </c>
      <c r="H7" s="20" t="n">
        <v>5702</v>
      </c>
      <c r="I7" s="20" t="n">
        <v>5515</v>
      </c>
      <c r="J7" s="20" t="n">
        <v>5352</v>
      </c>
      <c r="K7" s="20" t="n">
        <v>5247</v>
      </c>
      <c r="L7" s="20" t="n">
        <v>5337</v>
      </c>
      <c r="M7" s="20" t="n">
        <v>5502</v>
      </c>
      <c r="N7" s="20" t="n">
        <v>5783</v>
      </c>
      <c r="O7" s="19" t="n"/>
      <c r="P7" s="20" t="n"/>
      <c r="Q7" s="20" t="n"/>
      <c r="R7" s="20" t="n"/>
      <c r="S7" s="20" t="n"/>
      <c r="T7" s="20" t="n"/>
      <c r="U7" s="20" t="n"/>
      <c r="V7" s="20" t="n">
        <v>21006</v>
      </c>
      <c r="W7" s="20" t="n">
        <v>21878</v>
      </c>
      <c r="X7" s="20" t="n">
        <v>21438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IndustrialEquipmentReportableSegmentsMember</t>
        </is>
      </c>
      <c r="B10" s="10" t="n"/>
      <c r="C10" s="19" t="n">
        <v>15860</v>
      </c>
      <c r="D10" s="20" t="n">
        <v>16165</v>
      </c>
      <c r="E10" s="20" t="n">
        <v>15156</v>
      </c>
      <c r="F10" s="20" t="n">
        <v>16456</v>
      </c>
      <c r="G10" s="20" t="n">
        <v>16121</v>
      </c>
      <c r="H10" s="20" t="n">
        <v>17557</v>
      </c>
      <c r="I10" s="20" t="n">
        <v>16573</v>
      </c>
      <c r="J10" s="20" t="n">
        <v>18117</v>
      </c>
      <c r="K10" s="20" t="n">
        <v>18464</v>
      </c>
      <c r="L10" s="20" t="n">
        <v>19516</v>
      </c>
      <c r="M10" s="20" t="n">
        <v>19059</v>
      </c>
      <c r="N10" s="20" t="n">
        <v>21790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62392</v>
      </c>
      <c r="W10" s="20" t="n">
        <v>66707</v>
      </c>
      <c r="X10" s="20" t="n">
        <v>75156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HCREquipmentReportableSegmentsMember</t>
        </is>
      </c>
      <c r="B13" s="10" t="n"/>
      <c r="C13" s="19" t="n">
        <v>750</v>
      </c>
      <c r="D13" s="20" t="n">
        <v>889</v>
      </c>
      <c r="E13" s="20" t="n">
        <v>786</v>
      </c>
      <c r="F13" s="20" t="n">
        <v>809</v>
      </c>
      <c r="G13" s="20" t="n">
        <v>832</v>
      </c>
      <c r="H13" s="20" t="n">
        <v>870</v>
      </c>
      <c r="I13" s="20" t="n">
        <v>742</v>
      </c>
      <c r="J13" s="20" t="n">
        <v>770</v>
      </c>
      <c r="K13" s="20" t="n">
        <v>737</v>
      </c>
      <c r="L13" s="20" t="n">
        <v>783</v>
      </c>
      <c r="M13" s="20" t="n">
        <v>722</v>
      </c>
      <c r="N13" s="20" t="n">
        <v>760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3239</v>
      </c>
      <c r="W13" s="20" t="n">
        <v>3253</v>
      </c>
      <c r="X13" s="20" t="n">
        <v>3012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>
        <v>22588</v>
      </c>
      <c r="G16" s="20" t="n"/>
      <c r="H16" s="20" t="n"/>
      <c r="I16" s="20" t="n"/>
      <c r="J16" s="20" t="n">
        <v>24240</v>
      </c>
      <c r="K16" s="20" t="n"/>
      <c r="L16" s="20" t="n"/>
      <c r="M16" s="20" t="n"/>
      <c r="N16" s="20" t="n">
        <v>28334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11903</v>
      </c>
      <c r="D20" s="20" t="n">
        <v>12115</v>
      </c>
      <c r="E20" s="20" t="n">
        <v>11541</v>
      </c>
      <c r="F20" s="20" t="n">
        <v>11504</v>
      </c>
      <c r="G20" s="20" t="n">
        <v>11727</v>
      </c>
      <c r="H20" s="20" t="n">
        <v>12514</v>
      </c>
      <c r="I20" s="20" t="n">
        <v>12193</v>
      </c>
      <c r="J20" s="20" t="n">
        <v>11934</v>
      </c>
      <c r="K20" s="20" t="n">
        <v>12284</v>
      </c>
      <c r="L20" s="20" t="n">
        <v>13305</v>
      </c>
      <c r="M20" s="20" t="n">
        <v>12986</v>
      </c>
      <c r="N20" s="20" t="n">
        <v>13775</v>
      </c>
      <c r="O20" s="19" t="n">
        <v>40385</v>
      </c>
      <c r="P20" s="20" t="n">
        <v>41683</v>
      </c>
      <c r="Q20" s="20" t="n">
        <v>42387</v>
      </c>
      <c r="R20" s="20" t="n">
        <v>40544</v>
      </c>
      <c r="S20" s="20" t="n">
        <v>36704</v>
      </c>
      <c r="T20" s="20" t="n">
        <v>42569</v>
      </c>
      <c r="U20" s="20" t="n">
        <v>48187</v>
      </c>
      <c r="V20" s="20" t="n">
        <v>46781</v>
      </c>
      <c r="W20" s="20" t="n">
        <v>47938</v>
      </c>
      <c r="X20" s="20" t="n">
        <v>50509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6676</v>
      </c>
      <c r="D24" s="20" t="n">
        <v>7068</v>
      </c>
      <c r="E24" s="20" t="n">
        <v>7044</v>
      </c>
      <c r="F24" s="20" t="n">
        <v>7094</v>
      </c>
      <c r="G24" s="20" t="n">
        <v>7139</v>
      </c>
      <c r="H24" s="20" t="n">
        <v>7553</v>
      </c>
      <c r="I24" s="20" t="n">
        <v>7646</v>
      </c>
      <c r="J24" s="20" t="n">
        <v>7410</v>
      </c>
      <c r="K24" s="20" t="n">
        <v>7592</v>
      </c>
      <c r="L24" s="20" t="n">
        <v>8026</v>
      </c>
      <c r="M24" s="20" t="n">
        <v>8498</v>
      </c>
      <c r="N24" s="20" t="n">
        <v>8680</v>
      </c>
      <c r="O24" s="19" t="n">
        <v>20259</v>
      </c>
      <c r="P24" s="20" t="n">
        <v>20314</v>
      </c>
      <c r="Q24" s="20" t="n">
        <v>20580</v>
      </c>
      <c r="R24" s="20" t="n">
        <v>21541</v>
      </c>
      <c r="S24" s="20" t="n">
        <v>20639</v>
      </c>
      <c r="T24" s="20" t="n">
        <v>23889</v>
      </c>
      <c r="U24" s="20" t="n">
        <v>26203</v>
      </c>
      <c r="V24" s="20" t="n">
        <v>27256</v>
      </c>
      <c r="W24" s="20" t="n">
        <v>29432</v>
      </c>
      <c r="X24" s="20" t="n">
        <v>31526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3139</v>
      </c>
      <c r="D25" s="12" t="n">
        <v>3230</v>
      </c>
      <c r="E25" s="12" t="n">
        <v>2722</v>
      </c>
      <c r="F25" s="12" t="n">
        <v>3988</v>
      </c>
      <c r="G25" s="12" t="n">
        <v>3428</v>
      </c>
      <c r="H25" s="12" t="n">
        <v>4061</v>
      </c>
      <c r="I25" s="12" t="n">
        <v>2991</v>
      </c>
      <c r="J25" s="12" t="n">
        <v>4894</v>
      </c>
      <c r="K25" s="12" t="n">
        <v>4573</v>
      </c>
      <c r="L25" s="12" t="n">
        <v>4303</v>
      </c>
      <c r="M25" s="12" t="n">
        <v>3801</v>
      </c>
      <c r="N25" s="12" t="n">
        <v>5879</v>
      </c>
      <c r="O25" s="11" t="n">
        <v>6323</v>
      </c>
      <c r="P25" s="12" t="n">
        <v>6139</v>
      </c>
      <c r="Q25" s="12" t="n">
        <v>7150</v>
      </c>
      <c r="R25" s="12" t="n">
        <v>7586</v>
      </c>
      <c r="S25" s="12" t="n">
        <v>6685</v>
      </c>
      <c r="T25" s="12" t="n">
        <v>7498</v>
      </c>
      <c r="U25" s="12" t="n">
        <v>9926</v>
      </c>
      <c r="V25" s="12" t="n">
        <v>12601</v>
      </c>
      <c r="W25" s="12" t="n">
        <v>14468</v>
      </c>
      <c r="X25" s="12" t="n">
        <v>17571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69</v>
      </c>
      <c r="D41" s="20" t="n">
        <v>1</v>
      </c>
      <c r="E41" s="20" t="n">
        <v>0</v>
      </c>
      <c r="F41" s="20" t="n">
        <v>199</v>
      </c>
      <c r="G41" s="20" t="n">
        <v>280</v>
      </c>
      <c r="H41" s="20" t="n">
        <v>18</v>
      </c>
      <c r="I41" s="20" t="n">
        <v>8</v>
      </c>
      <c r="J41" s="20" t="n">
        <v>55</v>
      </c>
      <c r="K41" s="20" t="n">
        <v>146</v>
      </c>
      <c r="L41" s="20" t="n">
        <v>1</v>
      </c>
      <c r="M41" s="20" t="n">
        <v>38</v>
      </c>
      <c r="N41" s="20" t="n">
        <v>286</v>
      </c>
      <c r="O41" s="19" t="n">
        <v>17</v>
      </c>
      <c r="P41" s="20" t="n">
        <v>32</v>
      </c>
      <c r="Q41" s="20" t="n">
        <v>77</v>
      </c>
      <c r="R41" s="20" t="n">
        <v>553</v>
      </c>
      <c r="S41" s="20" t="n">
        <v>256</v>
      </c>
      <c r="T41" s="20" t="n">
        <v>3</v>
      </c>
      <c r="U41" s="20" t="n">
        <v>42</v>
      </c>
      <c r="V41" s="20" t="n">
        <v>70</v>
      </c>
      <c r="W41" s="20" t="n">
        <v>505</v>
      </c>
      <c r="X41" s="20" t="n">
        <v>240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7</v>
      </c>
      <c r="D43" s="20" t="n">
        <v>36</v>
      </c>
      <c r="E43" s="20" t="n">
        <v>38</v>
      </c>
      <c r="F43" s="20" t="n">
        <v>1</v>
      </c>
      <c r="G43" s="20" t="n">
        <v>4</v>
      </c>
      <c r="H43" s="20" t="n">
        <v>19</v>
      </c>
      <c r="I43" s="20" t="n">
        <v>82</v>
      </c>
      <c r="J43" s="20" t="n">
        <v>16</v>
      </c>
      <c r="K43" s="20" t="n">
        <v>2</v>
      </c>
      <c r="L43" s="20" t="n">
        <v>26</v>
      </c>
      <c r="M43" s="20" t="n">
        <v>36</v>
      </c>
      <c r="N43" s="20" t="n">
        <v>207</v>
      </c>
      <c r="O43" s="19" t="n">
        <v>123</v>
      </c>
      <c r="P43" s="20" t="n">
        <v>36</v>
      </c>
      <c r="Q43" s="20" t="n">
        <v>206</v>
      </c>
      <c r="R43" s="20" t="n">
        <v>526</v>
      </c>
      <c r="S43" s="20" t="n">
        <v>50</v>
      </c>
      <c r="T43" s="20" t="n">
        <v>36</v>
      </c>
      <c r="U43" s="20" t="n">
        <v>253</v>
      </c>
      <c r="V43" s="20" t="n">
        <v>88</v>
      </c>
      <c r="W43" s="20" t="n">
        <v>106</v>
      </c>
      <c r="X43" s="20" t="n">
        <v>80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125</v>
      </c>
      <c r="D45" s="20" t="n">
        <v>-204</v>
      </c>
      <c r="E45" s="20" t="n">
        <v>569</v>
      </c>
      <c r="F45" s="20" t="n">
        <v>600</v>
      </c>
      <c r="G45" s="20" t="n">
        <v>-264</v>
      </c>
      <c r="H45" s="20" t="n">
        <v>383</v>
      </c>
      <c r="I45" s="20" t="n">
        <v>18</v>
      </c>
      <c r="J45" s="20" t="n">
        <v>258</v>
      </c>
      <c r="K45" s="20" t="n">
        <v>128</v>
      </c>
      <c r="L45" s="20" t="n">
        <v>404</v>
      </c>
      <c r="M45" s="20" t="n">
        <v>194</v>
      </c>
      <c r="N45" s="20" t="n">
        <v>261</v>
      </c>
      <c r="O45" s="19" t="n">
        <v>367</v>
      </c>
      <c r="P45" s="20" t="n">
        <v>375</v>
      </c>
      <c r="Q45" s="20" t="n">
        <v>347</v>
      </c>
      <c r="R45" s="20" t="n">
        <v>335</v>
      </c>
      <c r="S45" s="20" t="n">
        <v>324</v>
      </c>
      <c r="T45" s="20" t="n">
        <v>874</v>
      </c>
      <c r="U45" s="20" t="n">
        <v>669</v>
      </c>
      <c r="V45" s="20" t="n">
        <v>1198</v>
      </c>
      <c r="W45" s="20" t="n">
        <v>737</v>
      </c>
      <c r="X45" s="20" t="n">
        <v>984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24</v>
      </c>
      <c r="D47" s="20" t="n">
        <v>-2</v>
      </c>
      <c r="E47" s="20" t="n">
        <v>38</v>
      </c>
      <c r="F47" s="20" t="n">
        <v>17</v>
      </c>
      <c r="G47" s="20" t="n">
        <v>585</v>
      </c>
      <c r="H47" s="20" t="n">
        <v>-551</v>
      </c>
      <c r="I47" s="20" t="n">
        <v>345</v>
      </c>
      <c r="J47" s="20" t="n">
        <v>184</v>
      </c>
      <c r="K47" s="20" t="n">
        <v>-87</v>
      </c>
      <c r="L47" s="20" t="n">
        <v>-44</v>
      </c>
      <c r="M47" s="20" t="n">
        <v>120</v>
      </c>
      <c r="N47" s="20" t="n">
        <v>125</v>
      </c>
      <c r="O47" s="19" t="n">
        <v>234</v>
      </c>
      <c r="P47" s="20" t="n">
        <v>438</v>
      </c>
      <c r="Q47" s="20" t="n">
        <v>244</v>
      </c>
      <c r="R47" s="20" t="n">
        <v>516</v>
      </c>
      <c r="S47" s="20" t="n">
        <v>183</v>
      </c>
      <c r="T47" s="20" t="n">
        <v>90</v>
      </c>
      <c r="U47" s="20" t="n">
        <v>84</v>
      </c>
      <c r="V47" s="20" t="n">
        <v>82</v>
      </c>
      <c r="W47" s="20" t="n">
        <v>396</v>
      </c>
      <c r="X47" s="20" t="n">
        <v>173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3303</v>
      </c>
      <c r="D49" s="12" t="n">
        <v>2993</v>
      </c>
      <c r="E49" s="12" t="n">
        <v>3215</v>
      </c>
      <c r="F49" s="12" t="n">
        <v>4770</v>
      </c>
      <c r="G49" s="12" t="n">
        <v>2854</v>
      </c>
      <c r="H49" s="12" t="n">
        <v>4994</v>
      </c>
      <c r="I49" s="12" t="n">
        <v>2590</v>
      </c>
      <c r="J49" s="12" t="n">
        <v>5008</v>
      </c>
      <c r="K49" s="12" t="n">
        <v>4930</v>
      </c>
      <c r="L49" s="12" t="n">
        <v>4728</v>
      </c>
      <c r="M49" s="12" t="n">
        <v>3875</v>
      </c>
      <c r="N49" s="12" t="n">
        <v>6093</v>
      </c>
      <c r="O49" s="11" t="n">
        <v>6349</v>
      </c>
      <c r="P49" s="12" t="n">
        <v>6072</v>
      </c>
      <c r="Q49" s="12" t="n">
        <v>7124</v>
      </c>
      <c r="R49" s="12" t="n">
        <v>7432</v>
      </c>
      <c r="S49" s="12" t="n">
        <v>7032</v>
      </c>
      <c r="T49" s="12" t="n">
        <v>8249</v>
      </c>
      <c r="U49" s="12" t="n">
        <v>10300</v>
      </c>
      <c r="V49" s="12" t="n">
        <v>13699</v>
      </c>
      <c r="W49" s="12" t="n">
        <v>15208</v>
      </c>
      <c r="X49" s="12" t="n">
        <v>18541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635</v>
      </c>
      <c r="D50" s="20" t="n">
        <v>589</v>
      </c>
      <c r="E50" s="20" t="n">
        <v>770</v>
      </c>
      <c r="F50" s="20" t="n">
        <v>1430</v>
      </c>
      <c r="G50" s="20" t="n">
        <v>740</v>
      </c>
      <c r="H50" s="20" t="n">
        <v>1332</v>
      </c>
      <c r="I50" s="20" t="n">
        <v>475</v>
      </c>
      <c r="J50" s="20" t="n">
        <v>1411</v>
      </c>
      <c r="K50" s="20" t="n">
        <v>1236</v>
      </c>
      <c r="L50" s="20" t="n">
        <v>1114</v>
      </c>
      <c r="M50" s="20" t="n">
        <v>885</v>
      </c>
      <c r="N50" s="20" t="n">
        <v>1767</v>
      </c>
      <c r="O50" s="19" t="n">
        <v>1618</v>
      </c>
      <c r="P50" s="20" t="n">
        <v>1419</v>
      </c>
      <c r="Q50" s="20" t="n">
        <v>2055</v>
      </c>
      <c r="R50" s="20" t="n">
        <v>1920</v>
      </c>
      <c r="S50" s="20" t="n">
        <v>1887</v>
      </c>
      <c r="T50" s="20" t="n">
        <v>2164</v>
      </c>
      <c r="U50" s="20" t="n">
        <v>2675</v>
      </c>
      <c r="V50" s="20" t="n">
        <v>3262</v>
      </c>
      <c r="W50" s="20" t="n">
        <v>3977</v>
      </c>
      <c r="X50" s="20" t="n">
        <v>4646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2668</v>
      </c>
      <c r="D52" s="12" t="n">
        <v>2404</v>
      </c>
      <c r="E52" s="12" t="n">
        <v>2446</v>
      </c>
      <c r="F52" s="12" t="n">
        <v>3339</v>
      </c>
      <c r="G52" s="12" t="n">
        <v>2114</v>
      </c>
      <c r="H52" s="12" t="n">
        <v>3662</v>
      </c>
      <c r="I52" s="12" t="n">
        <v>2116</v>
      </c>
      <c r="J52" s="12" t="n">
        <v>3596</v>
      </c>
      <c r="K52" s="12" t="n">
        <v>3694</v>
      </c>
      <c r="L52" s="12" t="n">
        <v>3614</v>
      </c>
      <c r="M52" s="12" t="n">
        <v>2991</v>
      </c>
      <c r="N52" s="12" t="n">
        <v>4326</v>
      </c>
      <c r="O52" s="11" t="n">
        <v>4731</v>
      </c>
      <c r="P52" s="12" t="n">
        <v>4653</v>
      </c>
      <c r="Q52" s="12" t="n">
        <v>5068</v>
      </c>
      <c r="R52" s="12" t="n">
        <v>5511</v>
      </c>
      <c r="S52" s="12" t="n">
        <v>5145</v>
      </c>
      <c r="T52" s="12" t="n">
        <v>6085</v>
      </c>
      <c r="U52" s="12" t="n">
        <v>7624</v>
      </c>
      <c r="V52" s="12" t="n">
        <v>10437</v>
      </c>
      <c r="W52" s="12" t="n">
        <v>11231</v>
      </c>
      <c r="X52" s="12" t="n">
        <v>13895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2669</v>
      </c>
      <c r="D53" s="12" t="n">
        <v>2402</v>
      </c>
      <c r="E53" s="12" t="n">
        <v>2446</v>
      </c>
      <c r="F53" s="12" t="n">
        <v>3340</v>
      </c>
      <c r="G53" s="12" t="n">
        <v>2113</v>
      </c>
      <c r="H53" s="12" t="n">
        <v>3656</v>
      </c>
      <c r="I53" s="12" t="n">
        <v>2116</v>
      </c>
      <c r="J53" s="12" t="n">
        <v>3595</v>
      </c>
      <c r="K53" s="12" t="n">
        <v>3693</v>
      </c>
      <c r="L53" s="12" t="n">
        <v>3614</v>
      </c>
      <c r="M53" s="12" t="n">
        <v>2989</v>
      </c>
      <c r="N53" s="12" t="n">
        <v>4323</v>
      </c>
      <c r="O53" s="11" t="n">
        <v>4726</v>
      </c>
      <c r="P53" s="12" t="n">
        <v>4654</v>
      </c>
      <c r="Q53" s="12" t="n">
        <v>5064</v>
      </c>
      <c r="R53" s="12" t="n">
        <v>5510</v>
      </c>
      <c r="S53" s="12" t="n">
        <v>5153</v>
      </c>
      <c r="T53" s="12" t="n">
        <v>6090</v>
      </c>
      <c r="U53" s="12" t="n">
        <v>7619</v>
      </c>
      <c r="V53" s="12" t="n">
        <v>10435</v>
      </c>
      <c r="W53" s="12" t="n">
        <v>11225</v>
      </c>
      <c r="X53" s="12" t="n">
        <v>13891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(2026.10.26)</t>
        </is>
      </c>
      <c r="B56" s="27" t="n">
        <v>1925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186149704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2026.10.26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21720</v>
      </c>
      <c r="D87" s="12" t="n">
        <v>22412</v>
      </c>
      <c r="E87" s="12" t="n">
        <v>21306</v>
      </c>
      <c r="F87" s="12" t="n">
        <v>22588</v>
      </c>
      <c r="G87" s="12" t="n">
        <v>22293</v>
      </c>
      <c r="H87" s="12" t="n">
        <v>24129</v>
      </c>
      <c r="I87" s="12" t="n">
        <v>22829</v>
      </c>
      <c r="J87" s="12" t="n">
        <v>24240</v>
      </c>
      <c r="K87" s="12" t="n">
        <v>24448</v>
      </c>
      <c r="L87" s="12" t="n">
        <v>25635</v>
      </c>
      <c r="M87" s="12" t="n">
        <v>25284</v>
      </c>
      <c r="N87" s="12" t="n">
        <v>28334</v>
      </c>
      <c r="T87" s="12" t="n">
        <v>19519</v>
      </c>
      <c r="U87" s="12" t="n">
        <v>20436</v>
      </c>
      <c r="V87" s="12" t="n">
        <v>21306</v>
      </c>
      <c r="W87" s="12" t="n">
        <v>22829</v>
      </c>
      <c r="X87" s="12" t="n">
        <v>25284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11903</v>
      </c>
      <c r="D89" s="20" t="n">
        <v>12115</v>
      </c>
      <c r="E89" s="20" t="n">
        <v>11541</v>
      </c>
      <c r="F89" s="20" t="n">
        <v>11504</v>
      </c>
      <c r="G89" s="20" t="n">
        <v>11727</v>
      </c>
      <c r="H89" s="20" t="n">
        <v>12514</v>
      </c>
      <c r="I89" s="20" t="n">
        <v>12193</v>
      </c>
      <c r="J89" s="20" t="n">
        <v>11934</v>
      </c>
      <c r="K89" s="20" t="n">
        <v>12284</v>
      </c>
      <c r="L89" s="20" t="n">
        <v>13305</v>
      </c>
      <c r="M89" s="20" t="n">
        <v>12986</v>
      </c>
      <c r="N89" s="20" t="n">
        <v>13775</v>
      </c>
      <c r="T89" s="20" t="n">
        <v>11402</v>
      </c>
      <c r="U89" s="20" t="n">
        <v>11670</v>
      </c>
      <c r="V89" s="20" t="n">
        <v>11541</v>
      </c>
      <c r="W89" s="20" t="n">
        <v>12193</v>
      </c>
      <c r="X89" s="20" t="n">
        <v>12986</v>
      </c>
    </row>
    <row r="90">
      <c r="A90" s="9" t="inlineStr">
        <is>
          <t>매출총이익</t>
        </is>
      </c>
      <c r="C90" s="12" t="n">
        <v>9816</v>
      </c>
      <c r="D90" s="12" t="n">
        <v>10298</v>
      </c>
      <c r="E90" s="12" t="n">
        <v>9765</v>
      </c>
      <c r="F90" s="12" t="n">
        <v>11083</v>
      </c>
      <c r="G90" s="12" t="n">
        <v>10567</v>
      </c>
      <c r="H90" s="12" t="n">
        <v>11614</v>
      </c>
      <c r="I90" s="12" t="n">
        <v>10636</v>
      </c>
      <c r="J90" s="12" t="n">
        <v>12305</v>
      </c>
      <c r="K90" s="12" t="n">
        <v>12164</v>
      </c>
      <c r="L90" s="12" t="n">
        <v>12330</v>
      </c>
      <c r="M90" s="12" t="n">
        <v>12298</v>
      </c>
      <c r="N90" s="12" t="n">
        <v>14559</v>
      </c>
      <c r="T90" s="12" t="n">
        <v>8116</v>
      </c>
      <c r="U90" s="12" t="n">
        <v>8766</v>
      </c>
      <c r="V90" s="12" t="n">
        <v>9765</v>
      </c>
      <c r="W90" s="12" t="n">
        <v>10636</v>
      </c>
      <c r="X90" s="12" t="n">
        <v>12298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급여</t>
        </is>
      </c>
      <c r="C92" s="20" t="n">
        <v>1564</v>
      </c>
      <c r="D92" s="20" t="n">
        <v>1579</v>
      </c>
      <c r="F92" s="20" t="n">
        <v>1645</v>
      </c>
      <c r="G92" s="20" t="n">
        <v>1656</v>
      </c>
      <c r="H92" s="20" t="n">
        <v>1684</v>
      </c>
      <c r="J92" s="20" t="n">
        <v>1678</v>
      </c>
      <c r="K92" s="20" t="n">
        <v>1758</v>
      </c>
      <c r="L92" s="20" t="n">
        <v>1831</v>
      </c>
      <c r="N92" s="20" t="n">
        <v>1981</v>
      </c>
    </row>
    <row r="93">
      <c r="A93" s="18" t="inlineStr">
        <is>
          <t>상여충당금 전입</t>
        </is>
      </c>
      <c r="C93" s="20" t="n">
        <v>940</v>
      </c>
      <c r="D93" s="20" t="n">
        <v>-959</v>
      </c>
      <c r="F93" s="20" t="n">
        <v>984</v>
      </c>
      <c r="G93" s="20" t="n">
        <v>857</v>
      </c>
      <c r="H93" s="20" t="n">
        <v>-817</v>
      </c>
      <c r="J93" s="20" t="n">
        <v>1177</v>
      </c>
      <c r="K93" s="20" t="n">
        <v>1086</v>
      </c>
      <c r="L93" s="20" t="n">
        <v>-994</v>
      </c>
      <c r="N93" s="20" t="n">
        <v>1405</v>
      </c>
    </row>
    <row r="94">
      <c r="A94" s="18" t="inlineStr">
        <is>
          <t>임원 상여충당금 전입</t>
        </is>
      </c>
      <c r="C94" s="20" t="n">
        <v>25</v>
      </c>
      <c r="D94" s="20" t="n">
        <v>30</v>
      </c>
      <c r="F94" s="20" t="n">
        <v>29</v>
      </c>
      <c r="G94" s="20" t="n">
        <v>24</v>
      </c>
      <c r="H94" s="20" t="n">
        <v>30</v>
      </c>
      <c r="J94" s="20" t="n">
        <v>35</v>
      </c>
      <c r="K94" s="20" t="n">
        <v>33</v>
      </c>
      <c r="L94" s="20" t="n">
        <v>31</v>
      </c>
      <c r="N94" s="20" t="n">
        <v>34</v>
      </c>
    </row>
    <row r="95">
      <c r="A95" s="18" t="inlineStr">
        <is>
          <t>퇴직급여비용</t>
        </is>
      </c>
      <c r="C95" s="20" t="n">
        <v>202</v>
      </c>
      <c r="D95" s="20" t="n">
        <v>201</v>
      </c>
      <c r="F95" s="20" t="n">
        <v>86</v>
      </c>
      <c r="G95" s="20" t="n">
        <v>82</v>
      </c>
      <c r="H95" s="20" t="n">
        <v>81</v>
      </c>
      <c r="J95" s="20" t="n">
        <v>-17</v>
      </c>
      <c r="K95" s="20" t="n">
        <v>-19</v>
      </c>
      <c r="L95" s="20" t="n">
        <v>-16</v>
      </c>
      <c r="N95" s="20" t="n">
        <v>-161</v>
      </c>
    </row>
    <row r="96">
      <c r="A96" s="18" t="inlineStr">
        <is>
          <t>Packing And Shipping Expenses SGA</t>
        </is>
      </c>
      <c r="C96" s="20" t="n">
        <v>820</v>
      </c>
      <c r="D96" s="20" t="n">
        <v>835</v>
      </c>
      <c r="F96" s="20" t="n">
        <v>968</v>
      </c>
      <c r="G96" s="20" t="n">
        <v>1035</v>
      </c>
      <c r="H96" s="20" t="n">
        <v>1080</v>
      </c>
      <c r="J96" s="20" t="n">
        <v>968</v>
      </c>
      <c r="K96" s="20" t="n">
        <v>1024</v>
      </c>
      <c r="L96" s="20" t="n">
        <v>1037</v>
      </c>
      <c r="N96" s="20" t="n">
        <v>1222</v>
      </c>
    </row>
    <row r="97">
      <c r="A97" s="18" t="inlineStr">
        <is>
          <t>Promotion Expenses SGA</t>
        </is>
      </c>
      <c r="C97" s="20" t="n">
        <v>326</v>
      </c>
      <c r="D97" s="20" t="n">
        <v>466</v>
      </c>
      <c r="F97" s="20" t="n">
        <v>340</v>
      </c>
      <c r="G97" s="20" t="n">
        <v>452</v>
      </c>
      <c r="H97" s="20" t="n">
        <v>410</v>
      </c>
      <c r="J97" s="20" t="n">
        <v>334</v>
      </c>
      <c r="K97" s="20" t="n">
        <v>348</v>
      </c>
      <c r="L97" s="20" t="n">
        <v>546</v>
      </c>
      <c r="N97" s="20" t="n">
        <v>379</v>
      </c>
    </row>
    <row r="98">
      <c r="A98" s="18" t="inlineStr">
        <is>
          <t>감가상각비</t>
        </is>
      </c>
      <c r="C98" s="20" t="n">
        <v>298</v>
      </c>
      <c r="D98" s="20" t="n">
        <v>306</v>
      </c>
      <c r="F98" s="20" t="n">
        <v>315</v>
      </c>
      <c r="G98" s="20" t="n">
        <v>317</v>
      </c>
      <c r="H98" s="20" t="n">
        <v>326</v>
      </c>
      <c r="J98" s="20" t="n">
        <v>333</v>
      </c>
      <c r="K98" s="20" t="n">
        <v>327</v>
      </c>
      <c r="L98" s="20" t="n">
        <v>328</v>
      </c>
      <c r="N98" s="20" t="n">
        <v>343</v>
      </c>
    </row>
    <row r="99">
      <c r="A99" s="18" t="inlineStr">
        <is>
          <t>대손충당금 전입</t>
        </is>
      </c>
      <c r="C99" s="20" t="n">
        <v>0</v>
      </c>
      <c r="D99" s="20" t="n">
        <v>0</v>
      </c>
      <c r="F99" s="20" t="n">
        <v>-0</v>
      </c>
      <c r="G99" s="20" t="n">
        <v>0</v>
      </c>
      <c r="H99" s="20" t="n">
        <v>0</v>
      </c>
      <c r="J99" s="20" t="n">
        <v>-0</v>
      </c>
      <c r="K99" s="20" t="n">
        <v>10</v>
      </c>
      <c r="L99" s="20" t="n">
        <v>6</v>
      </c>
      <c r="N99" s="20" t="n">
        <v>-1</v>
      </c>
    </row>
    <row r="100">
      <c r="A100" s="18" t="inlineStr">
        <is>
          <t>기타</t>
        </is>
      </c>
      <c r="C100" s="20" t="n">
        <v>2500</v>
      </c>
      <c r="D100" s="20" t="n">
        <v>4611</v>
      </c>
      <c r="F100" s="20" t="n">
        <v>2724</v>
      </c>
      <c r="G100" s="20" t="n">
        <v>2715</v>
      </c>
      <c r="H100" s="20" t="n">
        <v>4758</v>
      </c>
      <c r="J100" s="20" t="n">
        <v>2900</v>
      </c>
      <c r="K100" s="20" t="n">
        <v>3023</v>
      </c>
      <c r="L100" s="20" t="n">
        <v>5258</v>
      </c>
      <c r="N100" s="20" t="n">
        <v>3475</v>
      </c>
    </row>
    <row r="101">
      <c r="A101" s="18" t="inlineStr">
        <is>
          <t>판매비와 관리비 합계</t>
        </is>
      </c>
      <c r="C101" s="20" t="n">
        <v>6676</v>
      </c>
      <c r="D101" s="20" t="n">
        <v>7068</v>
      </c>
      <c r="E101" s="20" t="n">
        <v>7044</v>
      </c>
      <c r="F101" s="20" t="n">
        <v>7094</v>
      </c>
      <c r="G101" s="20" t="n">
        <v>7139</v>
      </c>
      <c r="H101" s="20" t="n">
        <v>7553</v>
      </c>
      <c r="I101" s="20" t="n">
        <v>7646</v>
      </c>
      <c r="J101" s="20" t="n">
        <v>7410</v>
      </c>
      <c r="K101" s="20" t="n">
        <v>7592</v>
      </c>
      <c r="L101" s="20" t="n">
        <v>8026</v>
      </c>
      <c r="M101" s="20" t="n">
        <v>8498</v>
      </c>
      <c r="N101" s="20" t="n">
        <v>8680</v>
      </c>
      <c r="T101" s="20" t="n">
        <v>6301</v>
      </c>
      <c r="U101" s="20" t="n">
        <v>6435</v>
      </c>
      <c r="V101" s="20" t="n">
        <v>7044</v>
      </c>
      <c r="W101" s="20" t="n">
        <v>7646</v>
      </c>
      <c r="X101" s="20" t="n">
        <v>8498</v>
      </c>
    </row>
    <row r="102">
      <c r="A102" s="9" t="inlineStr">
        <is>
          <t>영업이익</t>
        </is>
      </c>
      <c r="C102" s="12" t="n">
        <v>3139</v>
      </c>
      <c r="D102" s="12" t="n">
        <v>3230</v>
      </c>
      <c r="E102" s="12" t="n">
        <v>2722</v>
      </c>
      <c r="F102" s="12" t="n">
        <v>3988</v>
      </c>
      <c r="G102" s="12" t="n">
        <v>3428</v>
      </c>
      <c r="H102" s="12" t="n">
        <v>4061</v>
      </c>
      <c r="I102" s="12" t="n">
        <v>2991</v>
      </c>
      <c r="J102" s="12" t="n">
        <v>4894</v>
      </c>
      <c r="K102" s="12" t="n">
        <v>4573</v>
      </c>
      <c r="L102" s="12" t="n">
        <v>4303</v>
      </c>
      <c r="M102" s="12" t="n">
        <v>3801</v>
      </c>
      <c r="N102" s="12" t="n">
        <v>5879</v>
      </c>
      <c r="T102" s="12" t="n">
        <v>1815</v>
      </c>
      <c r="U102" s="12" t="n">
        <v>2331</v>
      </c>
      <c r="V102" s="12" t="n">
        <v>2722</v>
      </c>
      <c r="W102" s="12" t="n">
        <v>2991</v>
      </c>
      <c r="X102" s="12" t="n">
        <v>3801</v>
      </c>
    </row>
    <row r="103">
      <c r="A103" s="43" t="inlineStr">
        <is>
          <t>OPM</t>
        </is>
      </c>
      <c r="B103" s="3" t="inlineStr">
        <is>
          <t>영업이익 ÷ 매출</t>
        </is>
      </c>
      <c r="C103" s="15">
        <f>IF(OR(C102="",C87=""),"",IF(C87&lt;=0,"",IFERROR(C102/C87,"")))</f>
        <v/>
      </c>
      <c r="D103" s="15">
        <f>IF(OR(D102="",D87=""),"",IF(D87&lt;=0,"",IFERROR(D102/D87,"")))</f>
        <v/>
      </c>
      <c r="E103" s="15">
        <f>IF(OR(E102="",E87=""),"",IF(E87&lt;=0,"",IFERROR(E102/E87,"")))</f>
        <v/>
      </c>
      <c r="F103" s="15">
        <f>IF(OR(F102="",F87=""),"",IF(F87&lt;=0,"",IFERROR(F102/F87,"")))</f>
        <v/>
      </c>
      <c r="G103" s="15">
        <f>IF(OR(G102="",G87=""),"",IF(G87&lt;=0,"",IFERROR(G102/G87,"")))</f>
        <v/>
      </c>
      <c r="H103" s="15">
        <f>IF(OR(H102="",H87=""),"",IF(H87&lt;=0,"",IFERROR(H102/H87,"")))</f>
        <v/>
      </c>
      <c r="I103" s="15">
        <f>IF(OR(I102="",I87=""),"",IF(I87&lt;=0,"",IFERROR(I102/I87,"")))</f>
        <v/>
      </c>
      <c r="J103" s="15">
        <f>IF(OR(J102="",J87=""),"",IF(J87&lt;=0,"",IFERROR(J102/J87,"")))</f>
        <v/>
      </c>
      <c r="K103" s="15">
        <f>IF(OR(K102="",K87=""),"",IF(K87&lt;=0,"",IFERROR(K102/K87,"")))</f>
        <v/>
      </c>
      <c r="L103" s="15">
        <f>IF(OR(L102="",L87=""),"",IF(L87&lt;=0,"",IFERROR(L102/L87,"")))</f>
        <v/>
      </c>
      <c r="M103" s="15">
        <f>IF(OR(M102="",M87=""),"",IF(M87&lt;=0,"",IFERROR(M102/M87,"")))</f>
        <v/>
      </c>
      <c r="N103" s="15">
        <f>IF(OR(N102="",N87=""),"",IF(N87&lt;=0,"",IFERROR(N102/N87,"")))</f>
        <v/>
      </c>
      <c r="T103" s="15">
        <f>IF(OR(T102="",T87=""),"",IF(T87&lt;=0,"",IFERROR(T102/T87,"")))</f>
        <v/>
      </c>
      <c r="U103" s="15">
        <f>IF(OR(U102="",U87=""),"",IF(U87&lt;=0,"",IFERROR(U102/U87,"")))</f>
        <v/>
      </c>
      <c r="V103" s="15">
        <f>IF(OR(V102="",V87=""),"",IF(V87&lt;=0,"",IFERROR(V102/V87,"")))</f>
        <v/>
      </c>
      <c r="W103" s="15">
        <f>IF(OR(W102="",W87=""),"",IF(W87&lt;=0,"",IFERROR(W102/W87,"")))</f>
        <v/>
      </c>
      <c r="X103" s="15">
        <f>IF(OR(X102="",X87=""),"",IF(X87&lt;=0,"",IFERROR(X102/X87,"")))</f>
        <v/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IF(OR(G102="",C102=""),"",IF(C102&lt;=0,"",IFERROR(G102/C102-1,"")))</f>
        <v/>
      </c>
      <c r="H104" s="15">
        <f>IF(OR(H102="",D102=""),"",IF(D102&lt;=0,"",IFERROR(H102/D102-1,"")))</f>
        <v/>
      </c>
      <c r="I104" s="15">
        <f>IF(OR(I102="",E102=""),"",IF(E102&lt;=0,"",IFERROR(I102/E102-1,"")))</f>
        <v/>
      </c>
      <c r="J104" s="15">
        <f>IF(OR(J102="",F102=""),"",IF(F102&lt;=0,"",IFERROR(J102/F102-1,"")))</f>
        <v/>
      </c>
      <c r="K104" s="15">
        <f>IF(OR(K102="",G102=""),"",IF(G102&lt;=0,"",IFERROR(K102/G102-1,"")))</f>
        <v/>
      </c>
      <c r="L104" s="15">
        <f>IF(OR(L102="",H102=""),"",IF(H102&lt;=0,"",IFERROR(L102/H102-1,"")))</f>
        <v/>
      </c>
      <c r="M104" s="15">
        <f>IF(OR(M102="",I102=""),"",IF(I102&lt;=0,"",IFERROR(M102/I102-1,"")))</f>
        <v/>
      </c>
      <c r="N104" s="15">
        <f>IF(OR(N102="",J102=""),"",IF(J102&lt;=0,"",IFERROR(N102/J102-1,"")))</f>
        <v/>
      </c>
      <c r="T104" s="15">
        <f>IF(OR(T102="",S102=""),"",IF(S102&lt;=0,"",IFERROR(T102/S102-1,"")))</f>
        <v/>
      </c>
      <c r="U104" s="15">
        <f>IF(OR(U102="",T102=""),"",IF(T102&lt;=0,"",IFERROR(U102/T102-1,"")))</f>
        <v/>
      </c>
      <c r="V104" s="15">
        <f>IF(OR(V102="",U102=""),"",IF(U102&lt;=0,"",IFERROR(V102/U102-1,"")))</f>
        <v/>
      </c>
      <c r="W104" s="15">
        <f>IF(OR(W102="",V102=""),"",IF(V102&lt;=0,"",IFERROR(W102/V102-1,"")))</f>
        <v/>
      </c>
      <c r="X104" s="15">
        <f>IF(OR(X102="",W102=""),"",IF(W102&lt;=0,"",IFERROR(X102/W102-1,"")))</f>
        <v/>
      </c>
    </row>
    <row r="105">
      <c r="A105" s="18" t="inlineStr">
        <is>
          <t>이자수익</t>
        </is>
      </c>
      <c r="C105" s="20" t="n">
        <v>28</v>
      </c>
      <c r="D105" s="20" t="n">
        <v>57</v>
      </c>
      <c r="E105" s="20" t="n">
        <v>63</v>
      </c>
      <c r="F105" s="20" t="n">
        <v>75</v>
      </c>
      <c r="G105" s="20" t="n">
        <v>48</v>
      </c>
      <c r="H105" s="20" t="n">
        <v>122</v>
      </c>
      <c r="I105" s="20" t="n">
        <v>54</v>
      </c>
      <c r="J105" s="20" t="n">
        <v>130</v>
      </c>
      <c r="K105" s="20" t="n">
        <v>66</v>
      </c>
      <c r="L105" s="20" t="n">
        <v>135</v>
      </c>
      <c r="M105" s="20" t="n">
        <v>88</v>
      </c>
      <c r="N105" s="20" t="n">
        <v>89</v>
      </c>
      <c r="T105" s="20" t="n">
        <v>13</v>
      </c>
      <c r="U105" s="20" t="n">
        <v>14</v>
      </c>
      <c r="V105" s="20" t="n">
        <v>63</v>
      </c>
      <c r="W105" s="20" t="n">
        <v>54</v>
      </c>
      <c r="X105" s="20" t="n">
        <v>88</v>
      </c>
    </row>
    <row r="106">
      <c r="A106" s="18" t="inlineStr">
        <is>
          <t>배당금수익</t>
        </is>
      </c>
      <c r="C106" s="20" t="n">
        <v>20</v>
      </c>
      <c r="D106" s="20" t="n">
        <v>74</v>
      </c>
      <c r="E106" s="20" t="n">
        <v>14</v>
      </c>
      <c r="F106" s="20" t="n">
        <v>81</v>
      </c>
      <c r="G106" s="20" t="n">
        <v>20</v>
      </c>
      <c r="H106" s="20" t="n">
        <v>92</v>
      </c>
      <c r="I106" s="20" t="n">
        <v>15</v>
      </c>
      <c r="J106" s="20" t="n">
        <v>104</v>
      </c>
      <c r="K106" s="20" t="n">
        <v>24</v>
      </c>
      <c r="L106" s="20" t="n">
        <v>107</v>
      </c>
      <c r="M106" s="20" t="n">
        <v>21</v>
      </c>
      <c r="N106" s="20" t="n">
        <v>113</v>
      </c>
      <c r="T106" s="20" t="n">
        <v>11</v>
      </c>
      <c r="U106" s="20" t="n">
        <v>11</v>
      </c>
      <c r="V106" s="20" t="n">
        <v>14</v>
      </c>
      <c r="W106" s="20" t="n">
        <v>15</v>
      </c>
      <c r="X106" s="20" t="n">
        <v>21</v>
      </c>
    </row>
    <row r="107">
      <c r="A107" s="18" t="inlineStr">
        <is>
          <t>외환차익</t>
        </is>
      </c>
      <c r="C107" s="20" t="n">
        <v>41</v>
      </c>
      <c r="D107" s="20" t="n">
        <v>-386</v>
      </c>
      <c r="E107" s="20" t="n">
        <v>463</v>
      </c>
      <c r="F107" s="20" t="n">
        <v>416</v>
      </c>
      <c r="G107" s="20" t="n">
        <v>-416</v>
      </c>
      <c r="H107" s="20" t="n">
        <v>112</v>
      </c>
      <c r="I107" s="20" t="n">
        <v>-112</v>
      </c>
      <c r="J107" s="20" t="n">
        <v>0</v>
      </c>
      <c r="M107" s="20" t="n">
        <v>30</v>
      </c>
      <c r="T107" s="20" t="n">
        <v>485</v>
      </c>
      <c r="U107" s="20" t="n">
        <v>-108</v>
      </c>
      <c r="V107" s="20" t="n">
        <v>463</v>
      </c>
      <c r="W107" s="20" t="n">
        <v>-112</v>
      </c>
      <c r="X107" s="20" t="n">
        <v>30</v>
      </c>
    </row>
    <row r="108">
      <c r="A108" s="18" t="inlineStr">
        <is>
          <t>보조금 수입</t>
        </is>
      </c>
      <c r="T108" s="20" t="n">
        <v>1</v>
      </c>
      <c r="U108" s="20" t="n">
        <v>0</v>
      </c>
    </row>
    <row r="109">
      <c r="A109" s="18" t="inlineStr">
        <is>
          <t>기타</t>
        </is>
      </c>
      <c r="C109" s="20" t="n">
        <v>36</v>
      </c>
      <c r="D109" s="20" t="n">
        <v>52</v>
      </c>
      <c r="E109" s="20" t="n">
        <v>9</v>
      </c>
      <c r="F109" s="20" t="n">
        <v>27</v>
      </c>
      <c r="G109" s="20" t="n">
        <v>84</v>
      </c>
      <c r="H109" s="20" t="n">
        <v>56</v>
      </c>
      <c r="I109" s="20" t="n">
        <v>48</v>
      </c>
      <c r="J109" s="20" t="n">
        <v>24</v>
      </c>
      <c r="K109" s="20" t="n">
        <v>36</v>
      </c>
      <c r="L109" s="20" t="n">
        <v>71</v>
      </c>
      <c r="M109" s="20" t="n">
        <v>45</v>
      </c>
      <c r="N109" s="20" t="n">
        <v>58</v>
      </c>
      <c r="T109" s="20" t="n">
        <v>23</v>
      </c>
      <c r="U109" s="20" t="n">
        <v>14</v>
      </c>
      <c r="V109" s="20" t="n">
        <v>9</v>
      </c>
      <c r="W109" s="20" t="n">
        <v>48</v>
      </c>
      <c r="X109" s="20" t="n">
        <v>45</v>
      </c>
    </row>
    <row r="110">
      <c r="A110" s="18" t="inlineStr">
        <is>
          <t>영업외수익 합계</t>
        </is>
      </c>
      <c r="C110" s="20" t="n">
        <v>125</v>
      </c>
      <c r="D110" s="20" t="n">
        <v>-204</v>
      </c>
      <c r="E110" s="20" t="n">
        <v>569</v>
      </c>
      <c r="F110" s="20" t="n">
        <v>600</v>
      </c>
      <c r="G110" s="20" t="n">
        <v>-264</v>
      </c>
      <c r="H110" s="20" t="n">
        <v>383</v>
      </c>
      <c r="I110" s="20" t="n">
        <v>18</v>
      </c>
      <c r="J110" s="20" t="n">
        <v>258</v>
      </c>
      <c r="K110" s="20" t="n">
        <v>128</v>
      </c>
      <c r="L110" s="20" t="n">
        <v>404</v>
      </c>
      <c r="M110" s="20" t="n">
        <v>194</v>
      </c>
      <c r="N110" s="20" t="n">
        <v>261</v>
      </c>
      <c r="T110" s="20" t="n">
        <v>552</v>
      </c>
      <c r="U110" s="20" t="n">
        <v>-48</v>
      </c>
      <c r="V110" s="20" t="n">
        <v>569</v>
      </c>
      <c r="W110" s="20" t="n">
        <v>18</v>
      </c>
      <c r="X110" s="20" t="n">
        <v>194</v>
      </c>
    </row>
    <row r="111">
      <c r="A111" s="18" t="inlineStr">
        <is>
          <t>이자비용</t>
        </is>
      </c>
      <c r="C111" s="20" t="n">
        <v>9</v>
      </c>
      <c r="D111" s="20" t="n">
        <v>10</v>
      </c>
      <c r="E111" s="20" t="n">
        <v>8</v>
      </c>
      <c r="F111" s="20" t="n">
        <v>7</v>
      </c>
      <c r="G111" s="20" t="n">
        <v>5</v>
      </c>
      <c r="H111" s="20" t="n">
        <v>6</v>
      </c>
      <c r="I111" s="20" t="n">
        <v>7</v>
      </c>
      <c r="J111" s="20" t="n">
        <v>6</v>
      </c>
      <c r="K111" s="20" t="n">
        <v>6</v>
      </c>
      <c r="L111" s="20" t="n">
        <v>7</v>
      </c>
      <c r="M111" s="20" t="n">
        <v>6</v>
      </c>
      <c r="N111" s="20" t="n">
        <v>11</v>
      </c>
      <c r="T111" s="20" t="n">
        <v>13</v>
      </c>
      <c r="U111" s="20" t="n">
        <v>9</v>
      </c>
      <c r="V111" s="20" t="n">
        <v>8</v>
      </c>
      <c r="W111" s="20" t="n">
        <v>7</v>
      </c>
      <c r="X111" s="20" t="n">
        <v>6</v>
      </c>
    </row>
    <row r="112">
      <c r="A112" s="18" t="inlineStr">
        <is>
          <t>세금과공과</t>
        </is>
      </c>
      <c r="T112" s="20" t="n">
        <v>2</v>
      </c>
      <c r="U112" s="20" t="n">
        <v>2</v>
      </c>
    </row>
    <row r="113">
      <c r="A113" s="18" t="inlineStr">
        <is>
          <t>외환차손</t>
        </is>
      </c>
      <c r="F113" s="20" t="n">
        <v>0</v>
      </c>
      <c r="G113" s="20" t="n">
        <v>569</v>
      </c>
      <c r="J113" s="20" t="n">
        <v>168</v>
      </c>
      <c r="K113" s="20" t="n">
        <v>-111</v>
      </c>
      <c r="N113" s="20" t="n">
        <v>86</v>
      </c>
    </row>
    <row r="114">
      <c r="A114" s="18" t="inlineStr">
        <is>
          <t>기타</t>
        </is>
      </c>
      <c r="C114" s="20" t="n">
        <v>15</v>
      </c>
      <c r="D114" s="20" t="n">
        <v>-11</v>
      </c>
      <c r="E114" s="20" t="n">
        <v>7</v>
      </c>
      <c r="F114" s="20" t="n">
        <v>9</v>
      </c>
      <c r="G114" s="20" t="n">
        <v>11</v>
      </c>
      <c r="H114" s="20" t="n">
        <v>12</v>
      </c>
      <c r="I114" s="20" t="n">
        <v>14</v>
      </c>
      <c r="J114" s="20" t="n">
        <v>9</v>
      </c>
      <c r="K114" s="20" t="n">
        <v>18</v>
      </c>
      <c r="L114" s="20" t="n">
        <v>6</v>
      </c>
      <c r="M114" s="20" t="n">
        <v>6</v>
      </c>
      <c r="N114" s="20" t="n">
        <v>26</v>
      </c>
      <c r="T114" s="20" t="n">
        <v>7</v>
      </c>
      <c r="U114" s="20" t="n">
        <v>8</v>
      </c>
      <c r="V114" s="20" t="n">
        <v>7</v>
      </c>
      <c r="W114" s="20" t="n">
        <v>14</v>
      </c>
      <c r="X114" s="20" t="n">
        <v>6</v>
      </c>
    </row>
    <row r="115">
      <c r="A115" s="18" t="inlineStr">
        <is>
          <t>영업외비용 합계</t>
        </is>
      </c>
      <c r="C115" s="20" t="n">
        <v>24</v>
      </c>
      <c r="D115" s="20" t="n">
        <v>-2</v>
      </c>
      <c r="E115" s="20" t="n">
        <v>38</v>
      </c>
      <c r="F115" s="20" t="n">
        <v>17</v>
      </c>
      <c r="G115" s="20" t="n">
        <v>585</v>
      </c>
      <c r="H115" s="20" t="n">
        <v>-551</v>
      </c>
      <c r="I115" s="20" t="n">
        <v>345</v>
      </c>
      <c r="J115" s="20" t="n">
        <v>184</v>
      </c>
      <c r="K115" s="20" t="n">
        <v>-87</v>
      </c>
      <c r="L115" s="20" t="n">
        <v>-44</v>
      </c>
      <c r="M115" s="20" t="n">
        <v>120</v>
      </c>
      <c r="N115" s="20" t="n">
        <v>125</v>
      </c>
      <c r="T115" s="20" t="n">
        <v>22</v>
      </c>
      <c r="U115" s="20" t="n">
        <v>22</v>
      </c>
      <c r="V115" s="20" t="n">
        <v>38</v>
      </c>
      <c r="W115" s="20" t="n">
        <v>345</v>
      </c>
      <c r="X115" s="20" t="n">
        <v>120</v>
      </c>
    </row>
    <row r="116">
      <c r="A116" s="9" t="inlineStr">
        <is>
          <t>경상이익</t>
        </is>
      </c>
      <c r="C116" s="12" t="n">
        <v>3240</v>
      </c>
      <c r="D116" s="12" t="n">
        <v>3027</v>
      </c>
      <c r="E116" s="12" t="n">
        <v>3254</v>
      </c>
      <c r="F116" s="12" t="n">
        <v>4572</v>
      </c>
      <c r="G116" s="12" t="n">
        <v>2578</v>
      </c>
      <c r="H116" s="12" t="n">
        <v>4995</v>
      </c>
      <c r="I116" s="12" t="n">
        <v>2664</v>
      </c>
      <c r="J116" s="12" t="n">
        <v>4968</v>
      </c>
      <c r="K116" s="12" t="n">
        <v>4787</v>
      </c>
      <c r="L116" s="12" t="n">
        <v>4752</v>
      </c>
      <c r="M116" s="12" t="n">
        <v>3875</v>
      </c>
      <c r="N116" s="12" t="n">
        <v>6015</v>
      </c>
      <c r="T116" s="12" t="n">
        <v>2345</v>
      </c>
      <c r="U116" s="12" t="n">
        <v>2261</v>
      </c>
      <c r="V116" s="12" t="n">
        <v>3254</v>
      </c>
      <c r="W116" s="12" t="n">
        <v>2664</v>
      </c>
      <c r="X116" s="12" t="n">
        <v>3875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고정자산 매각이익</t>
        </is>
      </c>
      <c r="C118" s="20" t="n">
        <v>0</v>
      </c>
      <c r="D118" s="20" t="n">
        <v>1</v>
      </c>
      <c r="E118" s="20" t="n">
        <v>0</v>
      </c>
      <c r="F118" s="20" t="n">
        <v>0</v>
      </c>
      <c r="G118" s="20" t="n">
        <v>1</v>
      </c>
      <c r="H118" s="20" t="n">
        <v>0</v>
      </c>
      <c r="I118" s="20" t="n">
        <v>9</v>
      </c>
      <c r="J118" s="20" t="n">
        <v>55</v>
      </c>
      <c r="K118" s="20" t="n">
        <v>0</v>
      </c>
      <c r="L118" s="20" t="n">
        <v>2</v>
      </c>
      <c r="M118" s="20" t="n">
        <v>38</v>
      </c>
      <c r="N118" s="20" t="n">
        <v>34</v>
      </c>
      <c r="T118" s="20" t="n">
        <v>0</v>
      </c>
      <c r="U118" s="20" t="n">
        <v>28</v>
      </c>
      <c r="V118" s="20" t="n">
        <v>0</v>
      </c>
      <c r="W118" s="20" t="n">
        <v>9</v>
      </c>
      <c r="X118" s="20" t="n">
        <v>38</v>
      </c>
    </row>
    <row r="119">
      <c r="A119" s="18" t="inlineStr">
        <is>
          <t>투자유가증권 매각이익</t>
        </is>
      </c>
      <c r="C119" s="20" t="n">
        <v>69</v>
      </c>
      <c r="D119" s="20" t="n">
        <v>0</v>
      </c>
      <c r="E119" s="20" t="n">
        <v>0</v>
      </c>
      <c r="F119" s="20" t="n">
        <v>199</v>
      </c>
      <c r="G119" s="20" t="n">
        <v>278</v>
      </c>
      <c r="H119" s="20" t="n">
        <v>18</v>
      </c>
      <c r="I119" s="20" t="n">
        <v>0</v>
      </c>
      <c r="J119" s="20" t="n">
        <v>0</v>
      </c>
      <c r="K119" s="20" t="n">
        <v>145</v>
      </c>
      <c r="L119" s="20" t="n">
        <v>0</v>
      </c>
      <c r="M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v>0</v>
      </c>
    </row>
    <row r="120">
      <c r="A120" s="18" t="inlineStr">
        <is>
          <t>부의 영업권 발생이익</t>
        </is>
      </c>
      <c r="J120" s="20" t="n">
        <v>0</v>
      </c>
      <c r="N120" s="20" t="n">
        <v>219</v>
      </c>
    </row>
    <row r="121">
      <c r="A121" s="18" t="inlineStr">
        <is>
          <t>단계적 취득 차익</t>
        </is>
      </c>
      <c r="J121" s="20" t="n">
        <v>0</v>
      </c>
      <c r="N121" s="20" t="n">
        <v>31</v>
      </c>
    </row>
    <row r="122">
      <c r="A122" s="18" t="inlineStr">
        <is>
          <t>특별이익 합계</t>
        </is>
      </c>
      <c r="C122" s="20" t="n">
        <v>69</v>
      </c>
      <c r="D122" s="20" t="n">
        <v>1</v>
      </c>
      <c r="E122" s="20" t="n">
        <v>0</v>
      </c>
      <c r="F122" s="20" t="n">
        <v>199</v>
      </c>
      <c r="G122" s="20" t="n">
        <v>280</v>
      </c>
      <c r="H122" s="20" t="n">
        <v>18</v>
      </c>
      <c r="I122" s="20" t="n">
        <v>8</v>
      </c>
      <c r="J122" s="20" t="n">
        <v>55</v>
      </c>
      <c r="K122" s="20" t="n">
        <v>146</v>
      </c>
      <c r="L122" s="20" t="n">
        <v>1</v>
      </c>
      <c r="M122" s="20" t="n">
        <v>38</v>
      </c>
      <c r="N122" s="20" t="n">
        <v>286</v>
      </c>
      <c r="T122" s="20" t="n">
        <v>0</v>
      </c>
      <c r="U122" s="20" t="n">
        <v>28</v>
      </c>
      <c r="V122" s="20" t="n">
        <v>0</v>
      </c>
      <c r="W122" s="20" t="n">
        <v>8</v>
      </c>
      <c r="X122" s="20" t="n">
        <v>38</v>
      </c>
    </row>
    <row r="123">
      <c r="A123" s="18" t="inlineStr">
        <is>
          <t>고정자산 매각손실</t>
        </is>
      </c>
      <c r="D123" s="20" t="n">
        <v>0</v>
      </c>
      <c r="E123" s="20" t="n">
        <v>0</v>
      </c>
      <c r="H123" s="20" t="n">
        <v>0</v>
      </c>
      <c r="I123" s="20" t="n">
        <v>9</v>
      </c>
      <c r="J123" s="20" t="n">
        <v>0</v>
      </c>
      <c r="K123" s="20" t="n">
        <v>0</v>
      </c>
      <c r="L123" s="20" t="n">
        <v>1</v>
      </c>
      <c r="M123" s="20" t="n">
        <v>0</v>
      </c>
      <c r="N123" s="20" t="n">
        <v>0</v>
      </c>
      <c r="T123" s="20" t="n">
        <v>0</v>
      </c>
      <c r="U123" s="20" t="n">
        <v>0</v>
      </c>
      <c r="V123" s="20" t="n">
        <v>0</v>
      </c>
      <c r="W123" s="20" t="n">
        <v>9</v>
      </c>
      <c r="X123" s="20" t="n">
        <v>0</v>
      </c>
    </row>
    <row r="124">
      <c r="A124" s="18" t="inlineStr">
        <is>
          <t>고정자산 폐기손실</t>
        </is>
      </c>
      <c r="C124" s="20" t="n">
        <v>7</v>
      </c>
      <c r="D124" s="20" t="n">
        <v>36</v>
      </c>
      <c r="E124" s="20" t="n">
        <v>-4</v>
      </c>
      <c r="F124" s="20" t="n">
        <v>1</v>
      </c>
      <c r="G124" s="20" t="n">
        <v>3</v>
      </c>
      <c r="H124" s="20" t="n">
        <v>7</v>
      </c>
      <c r="I124" s="20" t="n">
        <v>10</v>
      </c>
      <c r="J124" s="20" t="n">
        <v>16</v>
      </c>
      <c r="K124" s="20" t="n">
        <v>2</v>
      </c>
      <c r="L124" s="20" t="n">
        <v>6</v>
      </c>
      <c r="M124" s="20" t="n">
        <v>12</v>
      </c>
      <c r="N124" s="20" t="n">
        <v>4</v>
      </c>
      <c r="T124" s="20" t="n">
        <v>19</v>
      </c>
      <c r="U124" s="20" t="n">
        <v>10</v>
      </c>
      <c r="V124" s="20" t="n">
        <v>-4</v>
      </c>
      <c r="W124" s="20" t="n">
        <v>10</v>
      </c>
      <c r="X124" s="20" t="n">
        <v>12</v>
      </c>
    </row>
    <row r="125">
      <c r="A125" s="18" t="inlineStr">
        <is>
          <t>투자유가증권 평가손실</t>
        </is>
      </c>
      <c r="D125" s="20" t="n">
        <v>0</v>
      </c>
      <c r="E125" s="20" t="n">
        <v>0</v>
      </c>
      <c r="H125" s="20" t="n">
        <v>12</v>
      </c>
      <c r="I125" s="20" t="n">
        <v>0</v>
      </c>
      <c r="L125" s="20" t="n">
        <v>18</v>
      </c>
      <c r="M125" s="20" t="n">
        <v>24</v>
      </c>
      <c r="V125" s="20" t="n">
        <v>0</v>
      </c>
      <c r="W125" s="20" t="n">
        <v>0</v>
      </c>
      <c r="X125" s="20" t="n">
        <v>24</v>
      </c>
    </row>
    <row r="126">
      <c r="A126" s="18" t="inlineStr">
        <is>
          <t>투자유가증권 매각손실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U126" s="20" t="n">
        <v>0</v>
      </c>
      <c r="V126" s="20" t="n">
        <v>0</v>
      </c>
      <c r="W126" s="20" t="n">
        <v>0</v>
      </c>
    </row>
    <row r="127">
      <c r="A127" s="18" t="inlineStr">
        <is>
          <t>손상차손</t>
        </is>
      </c>
      <c r="C127" s="20" t="n">
        <v>0</v>
      </c>
      <c r="D127" s="20" t="n">
        <v>0</v>
      </c>
      <c r="E127" s="20" t="n">
        <v>15</v>
      </c>
      <c r="T127" s="20" t="n">
        <v>0</v>
      </c>
      <c r="U127" s="20" t="n">
        <v>138</v>
      </c>
      <c r="V127" s="20" t="n">
        <v>15</v>
      </c>
    </row>
    <row r="128">
      <c r="A128" s="18" t="inlineStr">
        <is>
          <t>Provision For Removal Expenses Of Noncurrent Assets EL</t>
        </is>
      </c>
      <c r="J128" s="20" t="n">
        <v>0</v>
      </c>
      <c r="N128" s="20" t="n">
        <v>203</v>
      </c>
    </row>
    <row r="129">
      <c r="A129" s="18" t="inlineStr">
        <is>
          <t>특별손실 합계</t>
        </is>
      </c>
      <c r="C129" s="20" t="n">
        <v>7</v>
      </c>
      <c r="D129" s="20" t="n">
        <v>36</v>
      </c>
      <c r="E129" s="20" t="n">
        <v>38</v>
      </c>
      <c r="F129" s="20" t="n">
        <v>1</v>
      </c>
      <c r="G129" s="20" t="n">
        <v>4</v>
      </c>
      <c r="H129" s="20" t="n">
        <v>19</v>
      </c>
      <c r="I129" s="20" t="n">
        <v>82</v>
      </c>
      <c r="J129" s="20" t="n">
        <v>16</v>
      </c>
      <c r="K129" s="20" t="n">
        <v>2</v>
      </c>
      <c r="L129" s="20" t="n">
        <v>26</v>
      </c>
      <c r="M129" s="20" t="n">
        <v>36</v>
      </c>
      <c r="N129" s="20" t="n">
        <v>207</v>
      </c>
      <c r="T129" s="20" t="n">
        <v>19</v>
      </c>
      <c r="U129" s="20" t="n">
        <v>168</v>
      </c>
      <c r="V129" s="20" t="n">
        <v>38</v>
      </c>
      <c r="W129" s="20" t="n">
        <v>82</v>
      </c>
      <c r="X129" s="20" t="n">
        <v>36</v>
      </c>
    </row>
    <row r="130">
      <c r="A130" s="9" t="inlineStr">
        <is>
          <t>법인세차감전 순이익</t>
        </is>
      </c>
      <c r="C130" s="12" t="n">
        <v>3303</v>
      </c>
      <c r="D130" s="12" t="n">
        <v>2993</v>
      </c>
      <c r="E130" s="12" t="n">
        <v>3215</v>
      </c>
      <c r="F130" s="12" t="n">
        <v>4770</v>
      </c>
      <c r="G130" s="12" t="n">
        <v>2854</v>
      </c>
      <c r="H130" s="12" t="n">
        <v>4994</v>
      </c>
      <c r="I130" s="12" t="n">
        <v>2590</v>
      </c>
      <c r="J130" s="12" t="n">
        <v>5008</v>
      </c>
      <c r="K130" s="12" t="n">
        <v>4930</v>
      </c>
      <c r="L130" s="12" t="n">
        <v>4728</v>
      </c>
      <c r="M130" s="12" t="n">
        <v>3875</v>
      </c>
      <c r="N130" s="12" t="n">
        <v>6093</v>
      </c>
      <c r="T130" s="12" t="n">
        <v>2327</v>
      </c>
      <c r="U130" s="12" t="n">
        <v>2122</v>
      </c>
      <c r="V130" s="12" t="n">
        <v>3215</v>
      </c>
      <c r="W130" s="12" t="n">
        <v>2590</v>
      </c>
      <c r="X130" s="12" t="n">
        <v>3875</v>
      </c>
    </row>
    <row r="131">
      <c r="A131" s="18" t="inlineStr">
        <is>
          <t>법인세 등</t>
        </is>
      </c>
      <c r="C131" s="20" t="n">
        <v>635</v>
      </c>
      <c r="D131" s="20" t="n">
        <v>589</v>
      </c>
      <c r="E131" s="20" t="n">
        <v>770</v>
      </c>
      <c r="F131" s="20" t="n">
        <v>1430</v>
      </c>
      <c r="G131" s="20" t="n">
        <v>740</v>
      </c>
      <c r="H131" s="20" t="n">
        <v>1332</v>
      </c>
      <c r="I131" s="20" t="n">
        <v>475</v>
      </c>
      <c r="J131" s="20" t="n">
        <v>1411</v>
      </c>
      <c r="K131" s="20" t="n">
        <v>1236</v>
      </c>
      <c r="L131" s="20" t="n">
        <v>1114</v>
      </c>
      <c r="M131" s="20" t="n">
        <v>885</v>
      </c>
      <c r="N131" s="20" t="n">
        <v>1767</v>
      </c>
      <c r="T131" s="20" t="n">
        <v>575</v>
      </c>
      <c r="U131" s="20" t="n">
        <v>373</v>
      </c>
      <c r="V131" s="20" t="n">
        <v>770</v>
      </c>
      <c r="W131" s="20" t="n">
        <v>475</v>
      </c>
      <c r="X131" s="20" t="n">
        <v>885</v>
      </c>
    </row>
    <row r="132">
      <c r="A132" s="9" t="inlineStr">
        <is>
          <t>순이익</t>
        </is>
      </c>
      <c r="C132" s="12" t="n">
        <v>2668</v>
      </c>
      <c r="D132" s="12" t="n">
        <v>2404</v>
      </c>
      <c r="E132" s="12" t="n">
        <v>2446</v>
      </c>
      <c r="F132" s="12" t="n">
        <v>3339</v>
      </c>
      <c r="G132" s="12" t="n">
        <v>2114</v>
      </c>
      <c r="H132" s="12" t="n">
        <v>3662</v>
      </c>
      <c r="I132" s="12" t="n">
        <v>2116</v>
      </c>
      <c r="J132" s="12" t="n">
        <v>3596</v>
      </c>
      <c r="K132" s="12" t="n">
        <v>3694</v>
      </c>
      <c r="L132" s="12" t="n">
        <v>3614</v>
      </c>
      <c r="M132" s="12" t="n">
        <v>2991</v>
      </c>
      <c r="N132" s="12" t="n">
        <v>4326</v>
      </c>
      <c r="T132" s="12" t="n">
        <v>1752</v>
      </c>
      <c r="U132" s="12" t="n">
        <v>1748</v>
      </c>
      <c r="V132" s="12" t="n">
        <v>2446</v>
      </c>
      <c r="W132" s="12" t="n">
        <v>2116</v>
      </c>
      <c r="X132" s="12" t="n">
        <v>2991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비지배주주 순이익</t>
        </is>
      </c>
      <c r="C134" s="12" t="n">
        <v>-1</v>
      </c>
      <c r="D134" s="12" t="n">
        <v>2</v>
      </c>
      <c r="E134" s="12" t="n">
        <v>-1</v>
      </c>
      <c r="F134" s="12" t="n">
        <v>-1</v>
      </c>
      <c r="G134" s="12" t="n">
        <v>1</v>
      </c>
      <c r="H134" s="12" t="n">
        <v>6</v>
      </c>
      <c r="I134" s="12" t="n">
        <v>-1</v>
      </c>
      <c r="J134" s="12" t="n">
        <v>0</v>
      </c>
      <c r="K134" s="12" t="n">
        <v>1</v>
      </c>
      <c r="L134" s="12" t="n">
        <v>1</v>
      </c>
      <c r="M134" s="12" t="n">
        <v>1</v>
      </c>
      <c r="N134" s="12" t="n">
        <v>2</v>
      </c>
      <c r="T134" s="12" t="n">
        <v>0</v>
      </c>
      <c r="U134" s="12" t="n">
        <v>1</v>
      </c>
      <c r="V134" s="12" t="n">
        <v>-1</v>
      </c>
      <c r="W134" s="12" t="n">
        <v>-1</v>
      </c>
      <c r="X134" s="12" t="n">
        <v>1</v>
      </c>
    </row>
    <row r="135">
      <c r="A135" s="9" t="inlineStr">
        <is>
          <t>지배주주 순이익</t>
        </is>
      </c>
      <c r="C135" s="12" t="n">
        <v>2669</v>
      </c>
      <c r="D135" s="12" t="n">
        <v>2402</v>
      </c>
      <c r="E135" s="12" t="n">
        <v>2446</v>
      </c>
      <c r="F135" s="12" t="n">
        <v>3340</v>
      </c>
      <c r="G135" s="12" t="n">
        <v>2113</v>
      </c>
      <c r="H135" s="12" t="n">
        <v>3656</v>
      </c>
      <c r="I135" s="12" t="n">
        <v>2116</v>
      </c>
      <c r="J135" s="12" t="n">
        <v>3595</v>
      </c>
      <c r="K135" s="12" t="n">
        <v>3693</v>
      </c>
      <c r="L135" s="12" t="n">
        <v>3614</v>
      </c>
      <c r="M135" s="12" t="n">
        <v>2989</v>
      </c>
      <c r="N135" s="12" t="n">
        <v>4323</v>
      </c>
      <c r="T135" s="12" t="n">
        <v>1752</v>
      </c>
      <c r="U135" s="12" t="n">
        <v>1748</v>
      </c>
      <c r="V135" s="12" t="n">
        <v>2446</v>
      </c>
      <c r="W135" s="12" t="n">
        <v>2116</v>
      </c>
      <c r="X135" s="12" t="n">
        <v>2989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8">
      <c r="A138" s="16" t="inlineStr">
        <is>
          <t>포괄손익 · 전 항목</t>
        </is>
      </c>
      <c r="B138" s="42" t="inlineStr">
        <is>
          <t>분기 = 3개월 단독</t>
        </is>
      </c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2024.2Q</t>
        </is>
      </c>
      <c r="D139" s="5" t="inlineStr">
        <is>
          <t>2024.3Q</t>
        </is>
      </c>
      <c r="E139" s="5" t="inlineStr">
        <is>
          <t>2024.4Q</t>
        </is>
      </c>
      <c r="F139" s="5" t="inlineStr">
        <is>
          <t>2025.1Q</t>
        </is>
      </c>
      <c r="G139" s="5" t="inlineStr">
        <is>
          <t>2025.2Q</t>
        </is>
      </c>
      <c r="H139" s="5" t="inlineStr">
        <is>
          <t>2025.3Q</t>
        </is>
      </c>
      <c r="I139" s="5" t="inlineStr">
        <is>
          <t>2025.4Q</t>
        </is>
      </c>
      <c r="J139" s="5" t="inlineStr">
        <is>
          <t>2026.1Q</t>
        </is>
      </c>
      <c r="K139" s="5" t="inlineStr">
        <is>
          <t>2026.2Q</t>
        </is>
      </c>
      <c r="L139" s="5" t="inlineStr">
        <is>
          <t>2026.3Q</t>
        </is>
      </c>
      <c r="M139" s="5" t="inlineStr">
        <is>
          <t>2026.4Q</t>
        </is>
      </c>
      <c r="N139" s="5" t="inlineStr">
        <is>
          <t>2027.1Q</t>
        </is>
      </c>
      <c r="O139" s="5" t="inlineStr">
        <is>
          <t>2017</t>
        </is>
      </c>
      <c r="P139" s="5" t="inlineStr">
        <is>
          <t>2018</t>
        </is>
      </c>
      <c r="Q139" s="5" t="inlineStr">
        <is>
          <t>2019</t>
        </is>
      </c>
      <c r="R139" s="5" t="inlineStr">
        <is>
          <t>2020</t>
        </is>
      </c>
      <c r="S139" s="5" t="inlineStr">
        <is>
          <t>2021</t>
        </is>
      </c>
      <c r="T139" s="5" t="inlineStr">
        <is>
          <t>2022</t>
        </is>
      </c>
      <c r="U139" s="5" t="inlineStr">
        <is>
          <t>2023</t>
        </is>
      </c>
      <c r="V139" s="5" t="inlineStr">
        <is>
          <t>2024</t>
        </is>
      </c>
      <c r="W139" s="5" t="inlineStr">
        <is>
          <t>2025</t>
        </is>
      </c>
      <c r="X139" s="5" t="inlineStr">
        <is>
          <t>2026</t>
        </is>
      </c>
      <c r="Y139" s="5" t="inlineStr">
        <is>
          <t>2027(MW)</t>
        </is>
      </c>
      <c r="Z139" s="5" t="inlineStr">
        <is>
          <t>2028(MW)</t>
        </is>
      </c>
      <c r="AA139" s="5" t="inlineStr">
        <is>
          <t>2029(MW)</t>
        </is>
      </c>
      <c r="AB139" s="5" t="inlineStr">
        <is>
          <t>2030(MW)</t>
        </is>
      </c>
      <c r="AC139" s="5" t="inlineStr">
        <is>
          <t>2031(MW)</t>
        </is>
      </c>
    </row>
    <row r="140">
      <c r="A140" s="9" t="inlineStr">
        <is>
          <t>순이익</t>
        </is>
      </c>
      <c r="C140" s="12" t="n">
        <v>2668</v>
      </c>
      <c r="D140" s="12" t="n">
        <v>2404</v>
      </c>
      <c r="E140" s="12" t="n">
        <v>2446</v>
      </c>
      <c r="F140" s="12" t="n">
        <v>3339</v>
      </c>
      <c r="G140" s="12" t="n">
        <v>2114</v>
      </c>
      <c r="H140" s="12" t="n">
        <v>3662</v>
      </c>
      <c r="I140" s="12" t="n">
        <v>2116</v>
      </c>
      <c r="J140" s="12" t="n">
        <v>3596</v>
      </c>
      <c r="K140" s="12" t="n">
        <v>3694</v>
      </c>
      <c r="L140" s="12" t="n">
        <v>3614</v>
      </c>
      <c r="M140" s="12" t="n">
        <v>2991</v>
      </c>
      <c r="N140" s="12" t="n">
        <v>4326</v>
      </c>
      <c r="T140" s="12" t="n">
        <v>1752</v>
      </c>
      <c r="U140" s="12" t="n">
        <v>1748</v>
      </c>
      <c r="V140" s="12" t="n">
        <v>2446</v>
      </c>
      <c r="W140" s="12" t="n">
        <v>2116</v>
      </c>
      <c r="X140" s="12" t="n">
        <v>2991</v>
      </c>
    </row>
    <row r="141">
      <c r="A141" s="18" t="inlineStr">
        <is>
          <t>기타유가증권 평가차액</t>
        </is>
      </c>
      <c r="C141" s="20" t="n">
        <v>418</v>
      </c>
      <c r="D141" s="20" t="n">
        <v>-255</v>
      </c>
      <c r="E141" s="20" t="n">
        <v>568</v>
      </c>
      <c r="F141" s="20" t="n">
        <v>20</v>
      </c>
      <c r="G141" s="20" t="n">
        <v>-423</v>
      </c>
      <c r="H141" s="20" t="n">
        <v>677</v>
      </c>
      <c r="I141" s="20" t="n">
        <v>-170</v>
      </c>
      <c r="J141" s="20" t="n">
        <v>-66</v>
      </c>
      <c r="K141" s="20" t="n">
        <v>686</v>
      </c>
      <c r="L141" s="20" t="n">
        <v>349</v>
      </c>
      <c r="M141" s="20" t="n">
        <v>415</v>
      </c>
      <c r="N141" s="20" t="n">
        <v>650</v>
      </c>
      <c r="T141" s="20" t="n">
        <v>214</v>
      </c>
      <c r="U141" s="20" t="n">
        <v>-100</v>
      </c>
      <c r="V141" s="20" t="n">
        <v>568</v>
      </c>
      <c r="W141" s="20" t="n">
        <v>-170</v>
      </c>
      <c r="X141" s="20" t="n">
        <v>415</v>
      </c>
    </row>
    <row r="142">
      <c r="A142" s="18" t="inlineStr">
        <is>
          <t>해외사업환산조정</t>
        </is>
      </c>
      <c r="C142" s="20" t="n">
        <v>764</v>
      </c>
      <c r="D142" s="20" t="n">
        <v>-583</v>
      </c>
      <c r="E142" s="20" t="n">
        <v>981</v>
      </c>
      <c r="F142" s="20" t="n">
        <v>1651</v>
      </c>
      <c r="G142" s="20" t="n">
        <v>-1503</v>
      </c>
      <c r="H142" s="20" t="n">
        <v>1400</v>
      </c>
      <c r="I142" s="20" t="n">
        <v>-1074</v>
      </c>
      <c r="J142" s="20" t="n">
        <v>-146</v>
      </c>
      <c r="K142" s="20" t="n">
        <v>1008</v>
      </c>
      <c r="L142" s="20" t="n">
        <v>1845</v>
      </c>
      <c r="M142" s="20" t="n">
        <v>601</v>
      </c>
      <c r="N142" s="20" t="n">
        <v>495</v>
      </c>
      <c r="T142" s="20" t="n">
        <v>1066</v>
      </c>
      <c r="U142" s="20" t="n">
        <v>341</v>
      </c>
      <c r="V142" s="20" t="n">
        <v>981</v>
      </c>
      <c r="W142" s="20" t="n">
        <v>-1074</v>
      </c>
      <c r="X142" s="20" t="n">
        <v>601</v>
      </c>
    </row>
    <row r="143">
      <c r="A143" s="18" t="inlineStr">
        <is>
          <t>퇴직급여 조정액</t>
        </is>
      </c>
      <c r="C143" s="20" t="n">
        <v>88</v>
      </c>
      <c r="D143" s="20" t="n">
        <v>89</v>
      </c>
      <c r="E143" s="20" t="n">
        <v>2455</v>
      </c>
      <c r="F143" s="20" t="n">
        <v>-29</v>
      </c>
      <c r="G143" s="20" t="n">
        <v>-30</v>
      </c>
      <c r="H143" s="20" t="n">
        <v>-30</v>
      </c>
      <c r="I143" s="20" t="n">
        <v>1433</v>
      </c>
      <c r="J143" s="20" t="n">
        <v>-122</v>
      </c>
      <c r="K143" s="20" t="n">
        <v>-122</v>
      </c>
      <c r="L143" s="20" t="n">
        <v>-122</v>
      </c>
      <c r="M143" s="20" t="n">
        <v>1993</v>
      </c>
      <c r="N143" s="20" t="n">
        <v>-254</v>
      </c>
      <c r="T143" s="20" t="n">
        <v>-231</v>
      </c>
      <c r="U143" s="20" t="n">
        <v>-493</v>
      </c>
      <c r="V143" s="20" t="n">
        <v>2455</v>
      </c>
      <c r="W143" s="20" t="n">
        <v>1433</v>
      </c>
      <c r="X143" s="20" t="n">
        <v>1993</v>
      </c>
    </row>
    <row r="144">
      <c r="A144" s="18" t="inlineStr">
        <is>
          <t>기타포괄손익 합계</t>
        </is>
      </c>
      <c r="C144" s="20" t="n">
        <v>1271</v>
      </c>
      <c r="D144" s="20" t="n">
        <v>-751</v>
      </c>
      <c r="E144" s="20" t="n">
        <v>4006</v>
      </c>
      <c r="F144" s="20" t="n">
        <v>1642</v>
      </c>
      <c r="G144" s="20" t="n">
        <v>-1956</v>
      </c>
      <c r="H144" s="20" t="n">
        <v>2047</v>
      </c>
      <c r="I144" s="20" t="n">
        <v>176</v>
      </c>
      <c r="J144" s="20" t="n">
        <v>-335</v>
      </c>
      <c r="K144" s="20" t="n">
        <v>1573</v>
      </c>
      <c r="L144" s="20" t="n">
        <v>2072</v>
      </c>
      <c r="M144" s="20" t="n">
        <v>3010</v>
      </c>
      <c r="N144" s="20" t="n">
        <v>890</v>
      </c>
      <c r="T144" s="20" t="n">
        <v>1047</v>
      </c>
      <c r="U144" s="20" t="n">
        <v>-253</v>
      </c>
      <c r="V144" s="20" t="n">
        <v>4006</v>
      </c>
      <c r="W144" s="20" t="n">
        <v>176</v>
      </c>
      <c r="X144" s="20" t="n">
        <v>3010</v>
      </c>
    </row>
    <row r="145">
      <c r="A145" s="9" t="inlineStr">
        <is>
          <t>포괄이익</t>
        </is>
      </c>
      <c r="C145" s="12" t="n">
        <v>3939</v>
      </c>
      <c r="D145" s="12" t="n">
        <v>1653</v>
      </c>
      <c r="E145" s="12" t="n">
        <v>6451</v>
      </c>
      <c r="F145" s="12" t="n">
        <v>4981</v>
      </c>
      <c r="G145" s="12" t="n">
        <v>158</v>
      </c>
      <c r="H145" s="12" t="n">
        <v>5710</v>
      </c>
      <c r="I145" s="12" t="n">
        <v>2291</v>
      </c>
      <c r="J145" s="12" t="n">
        <v>3261</v>
      </c>
      <c r="K145" s="12" t="n">
        <v>5268</v>
      </c>
      <c r="L145" s="12" t="n">
        <v>5685</v>
      </c>
      <c r="M145" s="12" t="n">
        <v>6001</v>
      </c>
      <c r="N145" s="12" t="n">
        <v>5217</v>
      </c>
      <c r="T145" s="12" t="n">
        <v>2799</v>
      </c>
      <c r="U145" s="12" t="n">
        <v>1495</v>
      </c>
      <c r="V145" s="12" t="n">
        <v>6451</v>
      </c>
      <c r="W145" s="12" t="n">
        <v>2291</v>
      </c>
      <c r="X145" s="12" t="n">
        <v>6001</v>
      </c>
    </row>
    <row r="146">
      <c r="A146" s="9" t="inlineStr">
        <is>
          <t>지배주주 포괄이익</t>
        </is>
      </c>
      <c r="C146" s="12" t="n">
        <v>3936</v>
      </c>
      <c r="D146" s="12" t="n">
        <v>1655</v>
      </c>
      <c r="E146" s="12" t="n">
        <v>6448</v>
      </c>
      <c r="F146" s="12" t="n">
        <v>4974</v>
      </c>
      <c r="G146" s="12" t="n">
        <v>154</v>
      </c>
      <c r="H146" s="12" t="n">
        <v>5702</v>
      </c>
      <c r="I146" s="12" t="n">
        <v>2298</v>
      </c>
      <c r="J146" s="12" t="n">
        <v>3258</v>
      </c>
      <c r="K146" s="12" t="n">
        <v>5263</v>
      </c>
      <c r="L146" s="12" t="n">
        <v>5672</v>
      </c>
      <c r="M146" s="12" t="n">
        <v>5996</v>
      </c>
      <c r="N146" s="12" t="n">
        <v>5212</v>
      </c>
      <c r="T146" s="12" t="n">
        <v>2793</v>
      </c>
      <c r="U146" s="12" t="n">
        <v>1494</v>
      </c>
      <c r="V146" s="12" t="n">
        <v>6448</v>
      </c>
      <c r="W146" s="12" t="n">
        <v>2298</v>
      </c>
      <c r="X146" s="12" t="n">
        <v>5996</v>
      </c>
    </row>
    <row r="147">
      <c r="A147" s="9" t="inlineStr">
        <is>
          <t>비지배주주 포괄이익</t>
        </is>
      </c>
      <c r="C147" s="12" t="n">
        <v>3</v>
      </c>
      <c r="D147" s="12" t="n">
        <v>-2</v>
      </c>
      <c r="E147" s="12" t="n">
        <v>3</v>
      </c>
      <c r="F147" s="12" t="n">
        <v>6</v>
      </c>
      <c r="G147" s="12" t="n">
        <v>4</v>
      </c>
      <c r="H147" s="12" t="n">
        <v>9</v>
      </c>
      <c r="I147" s="12" t="n">
        <v>-8</v>
      </c>
      <c r="J147" s="12" t="n">
        <v>3</v>
      </c>
      <c r="K147" s="12" t="n">
        <v>5</v>
      </c>
      <c r="L147" s="12" t="n">
        <v>13</v>
      </c>
      <c r="M147" s="12" t="n">
        <v>5</v>
      </c>
      <c r="N147" s="12" t="n">
        <v>4</v>
      </c>
      <c r="T147" s="12" t="n">
        <v>4</v>
      </c>
      <c r="U147" s="12" t="n">
        <v>2</v>
      </c>
      <c r="V147" s="12" t="n">
        <v>3</v>
      </c>
      <c r="W147" s="12" t="n">
        <v>-8</v>
      </c>
      <c r="X147" s="12" t="n">
        <v>5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2024.2Q</t>
        </is>
      </c>
      <c r="D150" s="5" t="inlineStr">
        <is>
          <t>2024.3Q</t>
        </is>
      </c>
      <c r="E150" s="5" t="inlineStr">
        <is>
          <t>2024.4Q</t>
        </is>
      </c>
      <c r="F150" s="5" t="inlineStr">
        <is>
          <t>2025.1Q</t>
        </is>
      </c>
      <c r="G150" s="5" t="inlineStr">
        <is>
          <t>2025.2Q</t>
        </is>
      </c>
      <c r="H150" s="5" t="inlineStr">
        <is>
          <t>2025.3Q</t>
        </is>
      </c>
      <c r="I150" s="5" t="inlineStr">
        <is>
          <t>2025.4Q</t>
        </is>
      </c>
      <c r="J150" s="5" t="inlineStr">
        <is>
          <t>2026.1Q</t>
        </is>
      </c>
      <c r="K150" s="5" t="inlineStr">
        <is>
          <t>2026.2Q</t>
        </is>
      </c>
      <c r="L150" s="5" t="inlineStr">
        <is>
          <t>2026.3Q</t>
        </is>
      </c>
      <c r="M150" s="5" t="inlineStr">
        <is>
          <t>2026.4Q</t>
        </is>
      </c>
      <c r="N150" s="5" t="inlineStr">
        <is>
          <t>2027.1Q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OfficeEquipmentReportableSegmentsMember · 외부 고객 매출</t>
        </is>
      </c>
      <c r="C151" s="20" t="n">
        <v>5110</v>
      </c>
      <c r="D151" s="20" t="n">
        <v>5358</v>
      </c>
      <c r="E151" s="20" t="n">
        <v>5364</v>
      </c>
      <c r="F151" s="20" t="n">
        <v>5321</v>
      </c>
      <c r="G151" s="20" t="n">
        <v>5340</v>
      </c>
      <c r="H151" s="20" t="n">
        <v>5702</v>
      </c>
      <c r="I151" s="20" t="n">
        <v>5515</v>
      </c>
      <c r="J151" s="20" t="n">
        <v>5352</v>
      </c>
      <c r="K151" s="20" t="n">
        <v>5247</v>
      </c>
      <c r="L151" s="20" t="n">
        <v>5337</v>
      </c>
      <c r="M151" s="20" t="n">
        <v>5502</v>
      </c>
      <c r="N151" s="20" t="n">
        <v>5783</v>
      </c>
      <c r="V151" s="20" t="n">
        <v>5364</v>
      </c>
      <c r="W151" s="20" t="n">
        <v>5515</v>
      </c>
      <c r="X151" s="20" t="n">
        <v>5502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IndustrialEquipmentReportableSegmentsMember · 외부 고객 매출</t>
        </is>
      </c>
      <c r="C153" s="20" t="n">
        <v>15860</v>
      </c>
      <c r="D153" s="20" t="n">
        <v>16165</v>
      </c>
      <c r="E153" s="20" t="n">
        <v>15156</v>
      </c>
      <c r="F153" s="20" t="n">
        <v>16456</v>
      </c>
      <c r="G153" s="20" t="n">
        <v>16121</v>
      </c>
      <c r="H153" s="20" t="n">
        <v>17557</v>
      </c>
      <c r="I153" s="20" t="n">
        <v>16573</v>
      </c>
      <c r="J153" s="20" t="n">
        <v>18117</v>
      </c>
      <c r="K153" s="20" t="n">
        <v>18464</v>
      </c>
      <c r="L153" s="20" t="n">
        <v>19516</v>
      </c>
      <c r="M153" s="20" t="n">
        <v>19059</v>
      </c>
      <c r="N153" s="20" t="n">
        <v>21790</v>
      </c>
      <c r="V153" s="20" t="n">
        <v>15156</v>
      </c>
      <c r="W153" s="20" t="n">
        <v>16573</v>
      </c>
      <c r="X153" s="20" t="n">
        <v>19059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HCREquipmentReportableSegmentsMember · 외부 고객 매출</t>
        </is>
      </c>
      <c r="C155" s="20" t="n">
        <v>750</v>
      </c>
      <c r="D155" s="20" t="n">
        <v>889</v>
      </c>
      <c r="E155" s="20" t="n">
        <v>786</v>
      </c>
      <c r="F155" s="20" t="n">
        <v>809</v>
      </c>
      <c r="G155" s="20" t="n">
        <v>832</v>
      </c>
      <c r="H155" s="20" t="n">
        <v>870</v>
      </c>
      <c r="I155" s="20" t="n">
        <v>742</v>
      </c>
      <c r="J155" s="20" t="n">
        <v>770</v>
      </c>
      <c r="K155" s="20" t="n">
        <v>737</v>
      </c>
      <c r="L155" s="20" t="n">
        <v>783</v>
      </c>
      <c r="M155" s="20" t="n">
        <v>722</v>
      </c>
      <c r="N155" s="20" t="n">
        <v>760</v>
      </c>
      <c r="V155" s="20" t="n">
        <v>786</v>
      </c>
      <c r="W155" s="20" t="n">
        <v>742</v>
      </c>
      <c r="X155" s="20" t="n">
        <v>722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조정액 · 외부 고객 매출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9" t="inlineStr">
        <is>
          <t>외부 고객 매출</t>
        </is>
      </c>
      <c r="C158" s="12" t="n">
        <v>21720</v>
      </c>
      <c r="D158" s="12" t="n">
        <v>22412</v>
      </c>
      <c r="E158" s="12" t="n">
        <v>21306</v>
      </c>
      <c r="F158" s="12" t="n">
        <v>22588</v>
      </c>
      <c r="G158" s="12" t="n">
        <v>22293</v>
      </c>
      <c r="H158" s="12" t="n">
        <v>24129</v>
      </c>
      <c r="I158" s="12" t="n">
        <v>22829</v>
      </c>
      <c r="V158" s="12" t="n">
        <v>21306</v>
      </c>
      <c r="W158" s="12" t="n">
        <v>22829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EntityTotalMember · 외부 고객 매출</t>
        </is>
      </c>
      <c r="F160" s="20" t="n">
        <v>22588</v>
      </c>
      <c r="J160" s="20" t="n">
        <v>24240</v>
      </c>
      <c r="N160" s="20" t="n">
        <v>28334</v>
      </c>
    </row>
    <row r="161">
      <c r="A161" s="18" t="inlineStr">
        <is>
          <t>OfficeEquipmentReportableSegmentsMember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IndustrialEquipmentReportableSegmentsMember · 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18" t="inlineStr">
        <is>
          <t>HCREquipmentReportableSegmentsMember · 부문 간 내부매출·대체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18" t="inlineStr">
        <is>
          <t>조정액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V164" s="20" t="n">
        <v>0</v>
      </c>
      <c r="W164" s="20" t="n">
        <v>0</v>
      </c>
      <c r="X164" s="20" t="n">
        <v>0</v>
      </c>
    </row>
    <row r="165">
      <c r="A165" s="18" t="inlineStr">
        <is>
          <t>부문 간 내부매출·대체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V165" s="20" t="n">
        <v>0</v>
      </c>
      <c r="W165" s="20" t="n">
        <v>0</v>
      </c>
    </row>
    <row r="166">
      <c r="A166" s="18" t="inlineStr">
        <is>
          <t>EntityTotalMember · 부문 간 내부매출·대체</t>
        </is>
      </c>
      <c r="F166" s="20" t="n">
        <v>0</v>
      </c>
      <c r="J166" s="20" t="n">
        <v>0</v>
      </c>
      <c r="N166" s="20" t="n">
        <v>0</v>
      </c>
    </row>
    <row r="167">
      <c r="A167" s="18" t="inlineStr">
        <is>
          <t>OfficeEquipmentReportableSegmentsMember · 계</t>
        </is>
      </c>
      <c r="C167" s="20" t="n">
        <v>5110</v>
      </c>
      <c r="D167" s="20" t="n">
        <v>5358</v>
      </c>
      <c r="E167" s="20" t="n">
        <v>5364</v>
      </c>
      <c r="F167" s="20" t="n">
        <v>5321</v>
      </c>
      <c r="G167" s="20" t="n">
        <v>5340</v>
      </c>
      <c r="H167" s="20" t="n">
        <v>5702</v>
      </c>
      <c r="I167" s="20" t="n">
        <v>5515</v>
      </c>
      <c r="J167" s="20" t="n">
        <v>5352</v>
      </c>
      <c r="K167" s="20" t="n">
        <v>5247</v>
      </c>
      <c r="L167" s="20" t="n">
        <v>5337</v>
      </c>
      <c r="M167" s="20" t="n">
        <v>5502</v>
      </c>
      <c r="N167" s="20" t="n">
        <v>5783</v>
      </c>
      <c r="V167" s="20" t="n">
        <v>5364</v>
      </c>
      <c r="W167" s="20" t="n">
        <v>5515</v>
      </c>
      <c r="X167" s="20" t="n">
        <v>5502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IndustrialEquipmentReportableSegmentsMember · 계</t>
        </is>
      </c>
      <c r="C169" s="20" t="n">
        <v>15860</v>
      </c>
      <c r="D169" s="20" t="n">
        <v>16165</v>
      </c>
      <c r="E169" s="20" t="n">
        <v>15156</v>
      </c>
      <c r="F169" s="20" t="n">
        <v>16456</v>
      </c>
      <c r="G169" s="20" t="n">
        <v>16121</v>
      </c>
      <c r="H169" s="20" t="n">
        <v>17557</v>
      </c>
      <c r="I169" s="20" t="n">
        <v>16573</v>
      </c>
      <c r="J169" s="20" t="n">
        <v>18117</v>
      </c>
      <c r="K169" s="20" t="n">
        <v>18464</v>
      </c>
      <c r="L169" s="20" t="n">
        <v>19516</v>
      </c>
      <c r="M169" s="20" t="n">
        <v>19059</v>
      </c>
      <c r="N169" s="20" t="n">
        <v>21790</v>
      </c>
      <c r="V169" s="20" t="n">
        <v>15156</v>
      </c>
      <c r="W169" s="20" t="n">
        <v>16573</v>
      </c>
      <c r="X169" s="20" t="n">
        <v>19059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HCREquipmentReportableSegmentsMember · 계</t>
        </is>
      </c>
      <c r="C171" s="20" t="n">
        <v>750</v>
      </c>
      <c r="D171" s="20" t="n">
        <v>889</v>
      </c>
      <c r="E171" s="20" t="n">
        <v>786</v>
      </c>
      <c r="F171" s="20" t="n">
        <v>809</v>
      </c>
      <c r="G171" s="20" t="n">
        <v>832</v>
      </c>
      <c r="H171" s="20" t="n">
        <v>870</v>
      </c>
      <c r="I171" s="20" t="n">
        <v>742</v>
      </c>
      <c r="J171" s="20" t="n">
        <v>770</v>
      </c>
      <c r="K171" s="20" t="n">
        <v>737</v>
      </c>
      <c r="L171" s="20" t="n">
        <v>783</v>
      </c>
      <c r="M171" s="20" t="n">
        <v>722</v>
      </c>
      <c r="N171" s="20" t="n">
        <v>760</v>
      </c>
      <c r="V171" s="20" t="n">
        <v>786</v>
      </c>
      <c r="W171" s="20" t="n">
        <v>742</v>
      </c>
      <c r="X171" s="20" t="n">
        <v>722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조정액 · 계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V173" s="20" t="n">
        <v>0</v>
      </c>
      <c r="W173" s="20" t="n">
        <v>0</v>
      </c>
      <c r="X173" s="20" t="n">
        <v>0</v>
      </c>
    </row>
    <row r="174">
      <c r="A174" s="9" t="inlineStr">
        <is>
          <t>계</t>
        </is>
      </c>
      <c r="C174" s="12" t="n">
        <v>21720</v>
      </c>
      <c r="D174" s="12" t="n">
        <v>22412</v>
      </c>
      <c r="E174" s="12" t="n">
        <v>21306</v>
      </c>
      <c r="F174" s="12" t="n">
        <v>22588</v>
      </c>
      <c r="G174" s="12" t="n">
        <v>22293</v>
      </c>
      <c r="H174" s="12" t="n">
        <v>24129</v>
      </c>
      <c r="I174" s="12" t="n">
        <v>22829</v>
      </c>
      <c r="V174" s="12" t="n">
        <v>21306</v>
      </c>
      <c r="W174" s="12" t="n">
        <v>22829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EntityTotalMember · 계</t>
        </is>
      </c>
      <c r="F176" s="20" t="n">
        <v>22588</v>
      </c>
      <c r="J176" s="20" t="n">
        <v>24240</v>
      </c>
      <c r="N176" s="20" t="n">
        <v>28334</v>
      </c>
    </row>
    <row r="177">
      <c r="A177" s="18" t="inlineStr">
        <is>
          <t>OfficeEquipmentReportableSegmentsMember · 부문 이익</t>
        </is>
      </c>
      <c r="C177" s="20" t="n">
        <v>874</v>
      </c>
      <c r="D177" s="20" t="n">
        <v>1044</v>
      </c>
      <c r="E177" s="20" t="n">
        <v>1062</v>
      </c>
      <c r="F177" s="20" t="n">
        <v>1085</v>
      </c>
      <c r="G177" s="20" t="n">
        <v>1035</v>
      </c>
      <c r="H177" s="20" t="n">
        <v>1177</v>
      </c>
      <c r="I177" s="20" t="n">
        <v>1180</v>
      </c>
      <c r="J177" s="20" t="n">
        <v>988</v>
      </c>
      <c r="K177" s="20" t="n">
        <v>857</v>
      </c>
      <c r="L177" s="20" t="n">
        <v>890</v>
      </c>
      <c r="M177" s="20" t="n">
        <v>852</v>
      </c>
      <c r="N177" s="20" t="n">
        <v>1034</v>
      </c>
      <c r="V177" s="20" t="n">
        <v>1062</v>
      </c>
      <c r="W177" s="20" t="n">
        <v>1180</v>
      </c>
      <c r="X177" s="20" t="n">
        <v>852</v>
      </c>
    </row>
    <row r="178">
      <c r="A178" s="43" t="inlineStr">
        <is>
          <t>OPM</t>
        </is>
      </c>
      <c r="B178" s="3" t="inlineStr">
        <is>
          <t>영업이익 ÷ 매출</t>
        </is>
      </c>
      <c r="C178" s="15">
        <f>IF(OR(C177="",C167=""),"",IF(C167&lt;=0,"",IFERROR(C177/C167,"")))</f>
        <v/>
      </c>
      <c r="D178" s="15">
        <f>IF(OR(D177="",D167=""),"",IF(D167&lt;=0,"",IFERROR(D177/D167,"")))</f>
        <v/>
      </c>
      <c r="E178" s="15">
        <f>IF(OR(E177="",E167=""),"",IF(E167&lt;=0,"",IFERROR(E177/E167,"")))</f>
        <v/>
      </c>
      <c r="F178" s="15">
        <f>IF(OR(F177="",F167=""),"",IF(F167&lt;=0,"",IFERROR(F177/F167,"")))</f>
        <v/>
      </c>
      <c r="G178" s="15">
        <f>IF(OR(G177="",G167=""),"",IF(G167&lt;=0,"",IFERROR(G177/G167,"")))</f>
        <v/>
      </c>
      <c r="H178" s="15">
        <f>IF(OR(H177="",H167=""),"",IF(H167&lt;=0,"",IFERROR(H177/H167,"")))</f>
        <v/>
      </c>
      <c r="I178" s="15">
        <f>IF(OR(I177="",I167=""),"",IF(I167&lt;=0,"",IFERROR(I177/I167,"")))</f>
        <v/>
      </c>
      <c r="J178" s="15">
        <f>IF(OR(J177="",J167=""),"",IF(J167&lt;=0,"",IFERROR(J177/J167,"")))</f>
        <v/>
      </c>
      <c r="K178" s="15">
        <f>IF(OR(K177="",K167=""),"",IF(K167&lt;=0,"",IFERROR(K177/K167,"")))</f>
        <v/>
      </c>
      <c r="L178" s="15">
        <f>IF(OR(L177="",L167=""),"",IF(L167&lt;=0,"",IFERROR(L177/L167,"")))</f>
        <v/>
      </c>
      <c r="M178" s="15">
        <f>IF(OR(M177="",M167=""),"",IF(M167&lt;=0,"",IFERROR(M177/M167,"")))</f>
        <v/>
      </c>
      <c r="N178" s="15">
        <f>IF(OR(N177="",N167=""),"",IF(N167&lt;=0,"",IFERROR(N177/N167,"")))</f>
        <v/>
      </c>
      <c r="V178" s="15">
        <f>IF(OR(V177="",V167=""),"",IF(V167&lt;=0,"",IFERROR(V177/V167,"")))</f>
        <v/>
      </c>
      <c r="W178" s="15">
        <f>IF(OR(W177="",W167=""),"",IF(W167&lt;=0,"",IFERROR(W177/W167,"")))</f>
        <v/>
      </c>
      <c r="X178" s="15">
        <f>IF(OR(X177="",X167=""),"",IF(X167&lt;=0,"",IFERROR(X177/X167,"")))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IF(OR(G177="",C177=""),"",IF(C177&lt;=0,"",IFERROR(G177/C177-1,"")))</f>
        <v/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J179" s="15">
        <f>IF(OR(J177="",F177=""),"",IF(F177&lt;=0,"",IFERROR(J177/F177-1,"")))</f>
        <v/>
      </c>
      <c r="K179" s="15">
        <f>IF(OR(K177="",G177=""),"",IF(G177&lt;=0,"",IFERROR(K177/G177-1,"")))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N179" s="15">
        <f>IF(OR(N177="",J177=""),"",IF(J177&lt;=0,"",IFERROR(N177/J177-1,"")))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IndustrialEquipmentReportableSegmentsMember · 부문 이익</t>
        </is>
      </c>
      <c r="C180" s="20" t="n">
        <v>3198</v>
      </c>
      <c r="D180" s="20" t="n">
        <v>3270</v>
      </c>
      <c r="E180" s="20" t="n">
        <v>2765</v>
      </c>
      <c r="F180" s="20" t="n">
        <v>3981</v>
      </c>
      <c r="G180" s="20" t="n">
        <v>3472</v>
      </c>
      <c r="H180" s="20" t="n">
        <v>4110</v>
      </c>
      <c r="I180" s="20" t="n">
        <v>3032</v>
      </c>
      <c r="J180" s="20" t="n">
        <v>5141</v>
      </c>
      <c r="K180" s="20" t="n">
        <v>4855</v>
      </c>
      <c r="L180" s="20" t="n">
        <v>4625</v>
      </c>
      <c r="M180" s="20" t="n">
        <v>4334</v>
      </c>
      <c r="N180" s="20" t="n">
        <v>6245</v>
      </c>
      <c r="V180" s="20" t="n">
        <v>2765</v>
      </c>
      <c r="W180" s="20" t="n">
        <v>3032</v>
      </c>
      <c r="X180" s="20" t="n">
        <v>4334</v>
      </c>
    </row>
    <row r="181">
      <c r="A181" s="43" t="inlineStr">
        <is>
          <t>OPM</t>
        </is>
      </c>
      <c r="B181" s="3" t="inlineStr">
        <is>
          <t>영업이익 ÷ 매출</t>
        </is>
      </c>
      <c r="C181" s="15">
        <f>IF(OR(C180="",C169=""),"",IF(C169&lt;=0,"",IFERROR(C180/C169,"")))</f>
        <v/>
      </c>
      <c r="D181" s="15">
        <f>IF(OR(D180="",D169=""),"",IF(D169&lt;=0,"",IFERROR(D180/D169,"")))</f>
        <v/>
      </c>
      <c r="E181" s="15">
        <f>IF(OR(E180="",E169=""),"",IF(E169&lt;=0,"",IFERROR(E180/E169,"")))</f>
        <v/>
      </c>
      <c r="F181" s="15">
        <f>IF(OR(F180="",F169=""),"",IF(F169&lt;=0,"",IFERROR(F180/F169,"")))</f>
        <v/>
      </c>
      <c r="G181" s="15">
        <f>IF(OR(G180="",G169=""),"",IF(G169&lt;=0,"",IFERROR(G180/G169,"")))</f>
        <v/>
      </c>
      <c r="H181" s="15">
        <f>IF(OR(H180="",H169=""),"",IF(H169&lt;=0,"",IFERROR(H180/H169,"")))</f>
        <v/>
      </c>
      <c r="I181" s="15">
        <f>IF(OR(I180="",I169=""),"",IF(I169&lt;=0,"",IFERROR(I180/I169,"")))</f>
        <v/>
      </c>
      <c r="J181" s="15">
        <f>IF(OR(J180="",J169=""),"",IF(J169&lt;=0,"",IFERROR(J180/J169,"")))</f>
        <v/>
      </c>
      <c r="K181" s="15">
        <f>IF(OR(K180="",K169=""),"",IF(K169&lt;=0,"",IFERROR(K180/K169,"")))</f>
        <v/>
      </c>
      <c r="L181" s="15">
        <f>IF(OR(L180="",L169=""),"",IF(L169&lt;=0,"",IFERROR(L180/L169,"")))</f>
        <v/>
      </c>
      <c r="M181" s="15">
        <f>IF(OR(M180="",M169=""),"",IF(M169&lt;=0,"",IFERROR(M180/M169,"")))</f>
        <v/>
      </c>
      <c r="N181" s="15">
        <f>IF(OR(N180="",N169=""),"",IF(N169&lt;=0,"",IFERROR(N180/N169,"")))</f>
        <v/>
      </c>
      <c r="V181" s="15">
        <f>IF(OR(V180="",V169=""),"",IF(V169&lt;=0,"",IFERROR(V180/V169,"")))</f>
        <v/>
      </c>
      <c r="W181" s="15">
        <f>IF(OR(W180="",W169=""),"",IF(W169&lt;=0,"",IFERROR(W180/W169,"")))</f>
        <v/>
      </c>
      <c r="X181" s="15">
        <f>IF(OR(X180="",X169=""),"",IF(X169&lt;=0,"",IFERROR(X180/X169,"")))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IF(OR(G180="",C180=""),"",IF(C180&lt;=0,"",IFERROR(G180/C180-1,"")))</f>
        <v/>
      </c>
      <c r="H182" s="15">
        <f>IF(OR(H180="",D180=""),"",IF(D180&lt;=0,"",IFERROR(H180/D180-1,"")))</f>
        <v/>
      </c>
      <c r="I182" s="15">
        <f>IF(OR(I180="",E180=""),"",IF(E180&lt;=0,"",IFERROR(I180/E180-1,"")))</f>
        <v/>
      </c>
      <c r="J182" s="15">
        <f>IF(OR(J180="",F180=""),"",IF(F180&lt;=0,"",IFERROR(J180/F180-1,"")))</f>
        <v/>
      </c>
      <c r="K182" s="15">
        <f>IF(OR(K180="",G180=""),"",IF(G180&lt;=0,"",IFERROR(K180/G180-1,"")))</f>
        <v/>
      </c>
      <c r="L182" s="15">
        <f>IF(OR(L180="",H180=""),"",IF(H180&lt;=0,"",IFERROR(L180/H180-1,"")))</f>
        <v/>
      </c>
      <c r="M182" s="15">
        <f>IF(OR(M180="",I180=""),"",IF(I180&lt;=0,"",IFERROR(M180/I180-1,"")))</f>
        <v/>
      </c>
      <c r="N182" s="15">
        <f>IF(OR(N180="",J180=""),"",IF(J180&lt;=0,"",IFERROR(N180/J180-1,"")))</f>
        <v/>
      </c>
      <c r="V182" s="15">
        <f>IF(OR(V180="",U180=""),"",IF(U180&lt;=0,"",IFERROR(V180/U180-1,"")))</f>
        <v/>
      </c>
      <c r="W182" s="15">
        <f>IF(OR(W180="",V180=""),"",IF(V180&lt;=0,"",IFERROR(W180/V180-1,"")))</f>
        <v/>
      </c>
      <c r="X182" s="15">
        <f>IF(OR(X180="",W180=""),"",IF(W180&lt;=0,"",IFERROR(X180/W180-1,"")))</f>
        <v/>
      </c>
    </row>
    <row r="183">
      <c r="A183" s="18" t="inlineStr">
        <is>
          <t>HCREquipmentReportableSegmentsMember · 부문 이익</t>
        </is>
      </c>
      <c r="C183" s="20" t="n">
        <v>-29</v>
      </c>
      <c r="D183" s="20" t="n">
        <v>2</v>
      </c>
      <c r="E183" s="20" t="n">
        <v>10</v>
      </c>
      <c r="F183" s="20" t="n">
        <v>-7</v>
      </c>
      <c r="G183" s="20" t="n">
        <v>-38</v>
      </c>
      <c r="H183" s="20" t="n">
        <v>-22</v>
      </c>
      <c r="I183" s="20" t="n">
        <v>-15</v>
      </c>
      <c r="J183" s="20" t="n">
        <v>2</v>
      </c>
      <c r="K183" s="20" t="n">
        <v>-21</v>
      </c>
      <c r="L183" s="20" t="n">
        <v>10</v>
      </c>
      <c r="M183" s="20" t="n">
        <v>-33</v>
      </c>
      <c r="N183" s="20" t="n">
        <v>-6</v>
      </c>
      <c r="V183" s="20" t="n">
        <v>10</v>
      </c>
      <c r="W183" s="20" t="n">
        <v>-15</v>
      </c>
      <c r="X183" s="20" t="n">
        <v>-33</v>
      </c>
    </row>
    <row r="184">
      <c r="A184" s="43" t="inlineStr">
        <is>
          <t>OPM</t>
        </is>
      </c>
      <c r="B184" s="3" t="inlineStr">
        <is>
          <t>영업이익 ÷ 매출</t>
        </is>
      </c>
      <c r="C184" s="15">
        <f>IF(OR(C183="",C171=""),"",IF(C171&lt;=0,"",IFERROR(C183/C171,"")))</f>
        <v/>
      </c>
      <c r="D184" s="15">
        <f>IF(OR(D183="",D171=""),"",IF(D171&lt;=0,"",IFERROR(D183/D171,"")))</f>
        <v/>
      </c>
      <c r="E184" s="15">
        <f>IF(OR(E183="",E171=""),"",IF(E171&lt;=0,"",IFERROR(E183/E171,"")))</f>
        <v/>
      </c>
      <c r="F184" s="15">
        <f>IF(OR(F183="",F171=""),"",IF(F171&lt;=0,"",IFERROR(F183/F171,"")))</f>
        <v/>
      </c>
      <c r="G184" s="15">
        <f>IF(OR(G183="",G171=""),"",IF(G171&lt;=0,"",IFERROR(G183/G171,"")))</f>
        <v/>
      </c>
      <c r="H184" s="15">
        <f>IF(OR(H183="",H171=""),"",IF(H171&lt;=0,"",IFERROR(H183/H171,"")))</f>
        <v/>
      </c>
      <c r="I184" s="15">
        <f>IF(OR(I183="",I171=""),"",IF(I171&lt;=0,"",IFERROR(I183/I171,"")))</f>
        <v/>
      </c>
      <c r="J184" s="15">
        <f>IF(OR(J183="",J171=""),"",IF(J171&lt;=0,"",IFERROR(J183/J171,"")))</f>
        <v/>
      </c>
      <c r="K184" s="15">
        <f>IF(OR(K183="",K171=""),"",IF(K171&lt;=0,"",IFERROR(K183/K171,"")))</f>
        <v/>
      </c>
      <c r="L184" s="15">
        <f>IF(OR(L183="",L171=""),"",IF(L171&lt;=0,"",IFERROR(L183/L171,"")))</f>
        <v/>
      </c>
      <c r="M184" s="15">
        <f>IF(OR(M183="",M171=""),"",IF(M171&lt;=0,"",IFERROR(M183/M171,"")))</f>
        <v/>
      </c>
      <c r="N184" s="15">
        <f>IF(OR(N183="",N171=""),"",IF(N171&lt;=0,"",IFERROR(N183/N171,"")))</f>
        <v/>
      </c>
      <c r="V184" s="15">
        <f>IF(OR(V183="",V171=""),"",IF(V171&lt;=0,"",IFERROR(V183/V171,"")))</f>
        <v/>
      </c>
      <c r="W184" s="15">
        <f>IF(OR(W183="",W171=""),"",IF(W171&lt;=0,"",IFERROR(W183/W171,"")))</f>
        <v/>
      </c>
      <c r="X184" s="15">
        <f>IF(OR(X183="",X171=""),"",IF(X171&lt;=0,"",IFERROR(X183/X171,"")))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IF(OR(G183="",C183=""),"",IF(C183&lt;=0,"",IFERROR(G183/C183-1,"")))</f>
        <v/>
      </c>
      <c r="H185" s="15">
        <f>IF(OR(H183="",D183=""),"",IF(D183&lt;=0,"",IFERROR(H183/D183-1,"")))</f>
        <v/>
      </c>
      <c r="I185" s="15">
        <f>IF(OR(I183="",E183=""),"",IF(E183&lt;=0,"",IFERROR(I183/E183-1,"")))</f>
        <v/>
      </c>
      <c r="J185" s="15">
        <f>IF(OR(J183="",F183=""),"",IF(F183&lt;=0,"",IFERROR(J183/F183-1,"")))</f>
        <v/>
      </c>
      <c r="K185" s="15">
        <f>IF(OR(K183="",G183=""),"",IF(G183&lt;=0,"",IFERROR(K183/G183-1,"")))</f>
        <v/>
      </c>
      <c r="L185" s="15">
        <f>IF(OR(L183="",H183=""),"",IF(H183&lt;=0,"",IFERROR(L183/H183-1,"")))</f>
        <v/>
      </c>
      <c r="M185" s="15">
        <f>IF(OR(M183="",I183=""),"",IF(I183&lt;=0,"",IFERROR(M183/I183-1,"")))</f>
        <v/>
      </c>
      <c r="N185" s="15">
        <f>IF(OR(N183="",J183=""),"",IF(J183&lt;=0,"",IFERROR(N183/J183-1,"")))</f>
        <v/>
      </c>
      <c r="V185" s="15">
        <f>IF(OR(V183="",U183=""),"",IF(U183&lt;=0,"",IFERROR(V183/U183-1,"")))</f>
        <v/>
      </c>
      <c r="W185" s="15">
        <f>IF(OR(W183="",V183=""),"",IF(V183&lt;=0,"",IFERROR(W183/V183-1,"")))</f>
        <v/>
      </c>
      <c r="X185" s="15">
        <f>IF(OR(X183="",W183=""),"",IF(W183&lt;=0,"",IFERROR(X183/W183-1,"")))</f>
        <v/>
      </c>
    </row>
    <row r="186">
      <c r="A186" s="18" t="inlineStr">
        <is>
          <t>조정액 · 부문 이익</t>
        </is>
      </c>
      <c r="C186" s="20" t="n">
        <v>-902</v>
      </c>
      <c r="D186" s="20" t="n">
        <v>-1086</v>
      </c>
      <c r="E186" s="20" t="n">
        <v>-1116</v>
      </c>
      <c r="F186" s="20" t="n">
        <v>-1070</v>
      </c>
      <c r="G186" s="20" t="n">
        <v>-1041</v>
      </c>
      <c r="H186" s="20" t="n">
        <v>-1205</v>
      </c>
      <c r="I186" s="20" t="n">
        <v>-1206</v>
      </c>
      <c r="J186" s="20" t="n">
        <v>-1238</v>
      </c>
      <c r="K186" s="20" t="n">
        <v>-1117</v>
      </c>
      <c r="L186" s="20" t="n">
        <v>-1220</v>
      </c>
      <c r="M186" s="20" t="n">
        <v>-1354</v>
      </c>
      <c r="N186" s="20" t="n">
        <v>-1394</v>
      </c>
      <c r="V186" s="20" t="n">
        <v>-1116</v>
      </c>
      <c r="W186" s="20" t="n">
        <v>-1206</v>
      </c>
      <c r="X186" s="20" t="n">
        <v>-1354</v>
      </c>
    </row>
    <row r="187">
      <c r="A187" s="9" t="inlineStr">
        <is>
          <t>부문 이익(손실)</t>
        </is>
      </c>
      <c r="C187" s="12" t="n">
        <v>3139</v>
      </c>
      <c r="D187" s="12" t="n">
        <v>3230</v>
      </c>
      <c r="E187" s="12" t="n">
        <v>2722</v>
      </c>
      <c r="F187" s="12" t="n">
        <v>3988</v>
      </c>
      <c r="G187" s="12" t="n">
        <v>3428</v>
      </c>
      <c r="H187" s="12" t="n">
        <v>4061</v>
      </c>
      <c r="I187" s="12" t="n">
        <v>2991</v>
      </c>
      <c r="V187" s="12" t="n">
        <v>2722</v>
      </c>
      <c r="W187" s="12" t="n">
        <v>2991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IF(OR(C187="",C158=""),"",IF(C158&lt;=0,"",IFERROR(C187/C158,"")))</f>
        <v/>
      </c>
      <c r="D188" s="15">
        <f>IF(OR(D187="",D158=""),"",IF(D158&lt;=0,"",IFERROR(D187/D158,"")))</f>
        <v/>
      </c>
      <c r="E188" s="15">
        <f>IF(OR(E187="",E158=""),"",IF(E158&lt;=0,"",IFERROR(E187/E158,"")))</f>
        <v/>
      </c>
      <c r="F188" s="15">
        <f>IF(OR(F187="",F158=""),"",IF(F158&lt;=0,"",IFERROR(F187/F158,"")))</f>
        <v/>
      </c>
      <c r="G188" s="15">
        <f>IF(OR(G187="",G158=""),"",IF(G158&lt;=0,"",IFERROR(G187/G158,"")))</f>
        <v/>
      </c>
      <c r="H188" s="15">
        <f>IF(OR(H187="",H158=""),"",IF(H158&lt;=0,"",IFERROR(H187/H158,"")))</f>
        <v/>
      </c>
      <c r="I188" s="15">
        <f>IF(OR(I187="",I158=""),"",IF(I158&lt;=0,"",IFERROR(I187/I158,"")))</f>
        <v/>
      </c>
      <c r="V188" s="15">
        <f>IF(OR(V187="",V158=""),"",IF(V158&lt;=0,"",IFERROR(V187/V158,"")))</f>
        <v/>
      </c>
      <c r="W188" s="15">
        <f>IF(OR(W187="",W158=""),"",IF(W158&lt;=0,"",IFERROR(W187/W158,"")))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I189" s="15">
        <f>IF(OR(I187="",E187=""),"",IF(E187&lt;=0,"",IFERROR(I187/E187-1,"")))</f>
        <v/>
      </c>
      <c r="V189" s="15">
        <f>IF(OR(V187="",U187=""),"",IF(U187&lt;=0,"",IFERROR(V187/U187-1,"")))</f>
        <v/>
      </c>
      <c r="W189" s="15">
        <f>IF(OR(W187="",V187=""),"",IF(V187&lt;=0,"",IFERROR(W187/V187-1,"")))</f>
        <v/>
      </c>
    </row>
    <row r="190">
      <c r="A190" s="18" t="inlineStr">
        <is>
          <t>EntityTotalMember · 부문 이익</t>
        </is>
      </c>
      <c r="F190" s="20" t="n">
        <v>3988</v>
      </c>
      <c r="J190" s="20" t="n">
        <v>4894</v>
      </c>
      <c r="N190" s="20" t="n">
        <v>5879</v>
      </c>
    </row>
    <row r="192">
      <c r="A192" s="16" t="inlineStr">
        <is>
          <t>현금흐름표 · 전 항목</t>
        </is>
      </c>
      <c r="B192" s="42" t="inlineStr">
        <is>
          <t>분기 = 결산기 첫날부터 누계(공시 그대로)</t>
        </is>
      </c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</row>
    <row r="193">
      <c r="A193" s="5" t="inlineStr">
        <is>
          <t>항목</t>
        </is>
      </c>
      <c r="B193" s="5" t="inlineStr">
        <is>
          <t>참고</t>
        </is>
      </c>
      <c r="C193" s="5" t="inlineStr">
        <is>
          <t>2024.2Q</t>
        </is>
      </c>
      <c r="D193" s="5" t="inlineStr">
        <is>
          <t>2024.3Q</t>
        </is>
      </c>
      <c r="E193" s="5" t="inlineStr">
        <is>
          <t>2024.4Q</t>
        </is>
      </c>
      <c r="F193" s="5" t="inlineStr">
        <is>
          <t>2025.1Q</t>
        </is>
      </c>
      <c r="G193" s="5" t="inlineStr">
        <is>
          <t>2025.2Q</t>
        </is>
      </c>
      <c r="H193" s="5" t="inlineStr">
        <is>
          <t>2025.3Q</t>
        </is>
      </c>
      <c r="I193" s="5" t="inlineStr">
        <is>
          <t>2025.4Q</t>
        </is>
      </c>
      <c r="J193" s="5" t="inlineStr">
        <is>
          <t>2026.1Q</t>
        </is>
      </c>
      <c r="K193" s="5" t="inlineStr">
        <is>
          <t>2026.2Q</t>
        </is>
      </c>
      <c r="L193" s="5" t="inlineStr">
        <is>
          <t>2026.3Q</t>
        </is>
      </c>
      <c r="M193" s="5" t="inlineStr">
        <is>
          <t>2026.4Q</t>
        </is>
      </c>
      <c r="N193" s="5" t="inlineStr">
        <is>
          <t>2027.1Q</t>
        </is>
      </c>
      <c r="O193" s="5" t="inlineStr">
        <is>
          <t>2017</t>
        </is>
      </c>
      <c r="P193" s="5" t="inlineStr">
        <is>
          <t>2018</t>
        </is>
      </c>
      <c r="Q193" s="5" t="inlineStr">
        <is>
          <t>2019</t>
        </is>
      </c>
      <c r="R193" s="5" t="inlineStr">
        <is>
          <t>2020</t>
        </is>
      </c>
      <c r="S193" s="5" t="inlineStr">
        <is>
          <t>2021</t>
        </is>
      </c>
      <c r="T193" s="5" t="inlineStr">
        <is>
          <t>2022</t>
        </is>
      </c>
      <c r="U193" s="5" t="inlineStr">
        <is>
          <t>2023</t>
        </is>
      </c>
      <c r="V193" s="5" t="inlineStr">
        <is>
          <t>2024</t>
        </is>
      </c>
      <c r="W193" s="5" t="inlineStr">
        <is>
          <t>2025</t>
        </is>
      </c>
      <c r="X193" s="5" t="inlineStr">
        <is>
          <t>2026</t>
        </is>
      </c>
      <c r="Y193" s="5" t="inlineStr">
        <is>
          <t>2027(MW)</t>
        </is>
      </c>
      <c r="Z193" s="5" t="inlineStr">
        <is>
          <t>2028(MW)</t>
        </is>
      </c>
      <c r="AA193" s="5" t="inlineStr">
        <is>
          <t>2029(MW)</t>
        </is>
      </c>
      <c r="AB193" s="5" t="inlineStr">
        <is>
          <t>2030(MW)</t>
        </is>
      </c>
      <c r="AC193" s="5" t="inlineStr">
        <is>
          <t>2031(MW)</t>
        </is>
      </c>
    </row>
    <row r="194">
      <c r="A194" s="9" t="inlineStr">
        <is>
          <t>법인세차감전 순이익</t>
        </is>
      </c>
      <c r="C194" s="12" t="n">
        <v>7491</v>
      </c>
      <c r="D194" s="12" t="n">
        <v>10484</v>
      </c>
      <c r="E194" s="12" t="n">
        <v>13699</v>
      </c>
      <c r="F194" s="12" t="n">
        <v>4770</v>
      </c>
      <c r="G194" s="12" t="n">
        <v>7624</v>
      </c>
      <c r="H194" s="12" t="n">
        <v>12618</v>
      </c>
      <c r="I194" s="12" t="n">
        <v>15208</v>
      </c>
      <c r="J194" s="12" t="n">
        <v>5008</v>
      </c>
      <c r="K194" s="12" t="n">
        <v>9938</v>
      </c>
      <c r="L194" s="12" t="n">
        <v>14666</v>
      </c>
      <c r="M194" s="12" t="n">
        <v>18541</v>
      </c>
      <c r="N194" s="12" t="n">
        <v>6093</v>
      </c>
      <c r="O194" s="12" t="n">
        <v>6349</v>
      </c>
      <c r="P194" s="12" t="n">
        <v>6072</v>
      </c>
      <c r="Q194" s="12" t="n">
        <v>7124</v>
      </c>
      <c r="R194" s="12" t="n">
        <v>7432</v>
      </c>
      <c r="S194" s="12" t="n">
        <v>7032</v>
      </c>
      <c r="T194" s="12" t="n">
        <v>8249</v>
      </c>
      <c r="U194" s="12" t="n">
        <v>10300</v>
      </c>
      <c r="V194" s="12" t="n">
        <v>13699</v>
      </c>
      <c r="W194" s="12" t="n">
        <v>15208</v>
      </c>
      <c r="X194" s="12" t="n">
        <v>18541</v>
      </c>
    </row>
    <row r="195">
      <c r="A195" s="18" t="inlineStr">
        <is>
          <t>감가상각비</t>
        </is>
      </c>
      <c r="C195" s="20" t="n">
        <v>1509</v>
      </c>
      <c r="D195" s="20" t="n">
        <v>2259</v>
      </c>
      <c r="E195" s="20" t="n">
        <v>3054</v>
      </c>
      <c r="F195" s="20" t="n">
        <v>786</v>
      </c>
      <c r="G195" s="20" t="n">
        <v>1621</v>
      </c>
      <c r="H195" s="20" t="n">
        <v>2467</v>
      </c>
      <c r="I195" s="20" t="n">
        <v>3309</v>
      </c>
      <c r="J195" s="20" t="n">
        <v>844</v>
      </c>
      <c r="K195" s="20" t="n">
        <v>1684</v>
      </c>
      <c r="L195" s="20" t="n">
        <v>2526</v>
      </c>
      <c r="M195" s="20" t="n">
        <v>3422</v>
      </c>
      <c r="N195" s="20" t="n">
        <v>935</v>
      </c>
      <c r="O195" s="20" t="n">
        <v>2036</v>
      </c>
      <c r="P195" s="20" t="n">
        <v>2169</v>
      </c>
      <c r="Q195" s="20" t="n">
        <v>2262</v>
      </c>
      <c r="R195" s="20" t="n">
        <v>2466</v>
      </c>
      <c r="S195" s="20" t="n">
        <v>2522</v>
      </c>
      <c r="T195" s="20" t="n">
        <v>2811</v>
      </c>
      <c r="U195" s="20" t="n">
        <v>3022</v>
      </c>
      <c r="V195" s="20" t="n">
        <v>3054</v>
      </c>
      <c r="W195" s="20" t="n">
        <v>3309</v>
      </c>
      <c r="X195" s="20" t="n">
        <v>3422</v>
      </c>
    </row>
    <row r="196">
      <c r="A196" s="18" t="inlineStr">
        <is>
          <t>Amortization Of Negative Goodwill Ope CF</t>
        </is>
      </c>
      <c r="O196" s="20" t="n">
        <v>-7</v>
      </c>
      <c r="P196" s="20" t="n">
        <v>-7</v>
      </c>
      <c r="Q196" s="20" t="n">
        <v>-7</v>
      </c>
      <c r="R196" s="20" t="n">
        <v>0</v>
      </c>
    </row>
    <row r="197">
      <c r="A197" s="18" t="inlineStr">
        <is>
          <t>손상차손</t>
        </is>
      </c>
      <c r="C197" s="20" t="n">
        <v>0</v>
      </c>
      <c r="D197" s="20" t="n">
        <v>0</v>
      </c>
      <c r="E197" s="20" t="n">
        <v>15</v>
      </c>
      <c r="I197" s="20" t="n">
        <v>62</v>
      </c>
      <c r="M197" s="20" t="n">
        <v>0</v>
      </c>
      <c r="O197" s="20" t="n">
        <v>103</v>
      </c>
      <c r="P197" s="20" t="n">
        <v>13</v>
      </c>
      <c r="Q197" s="20" t="n">
        <v>11</v>
      </c>
      <c r="R197" s="20" t="n">
        <v>21</v>
      </c>
      <c r="S197" s="20" t="n">
        <v>0</v>
      </c>
      <c r="T197" s="20" t="n">
        <v>0</v>
      </c>
      <c r="U197" s="20" t="n">
        <v>185</v>
      </c>
      <c r="V197" s="20" t="n">
        <v>15</v>
      </c>
      <c r="W197" s="20" t="n">
        <v>62</v>
      </c>
      <c r="X197" s="20" t="n">
        <v>0</v>
      </c>
    </row>
    <row r="198">
      <c r="A198" s="18" t="inlineStr">
        <is>
          <t>영업권 상각</t>
        </is>
      </c>
      <c r="J198" s="20" t="n">
        <v>0</v>
      </c>
      <c r="N198" s="20" t="n">
        <v>45</v>
      </c>
      <c r="O198" s="20" t="n">
        <v>140</v>
      </c>
      <c r="P198" s="20" t="n">
        <v>137</v>
      </c>
      <c r="Q198" s="20" t="n">
        <v>138</v>
      </c>
      <c r="R198" s="20" t="n">
        <v>0</v>
      </c>
    </row>
    <row r="199">
      <c r="A199" s="18" t="inlineStr">
        <is>
          <t>대손충당금 증감</t>
        </is>
      </c>
      <c r="C199" s="20" t="n">
        <v>-0</v>
      </c>
      <c r="D199" s="20" t="n">
        <v>0</v>
      </c>
      <c r="E199" s="20" t="n">
        <v>-1</v>
      </c>
      <c r="F199" s="20" t="n">
        <v>-0</v>
      </c>
      <c r="G199" s="20" t="n">
        <v>-0</v>
      </c>
      <c r="H199" s="20" t="n">
        <v>0</v>
      </c>
      <c r="I199" s="20" t="n">
        <v>6</v>
      </c>
      <c r="J199" s="20" t="n">
        <v>-0</v>
      </c>
      <c r="K199" s="20" t="n">
        <v>14</v>
      </c>
      <c r="L199" s="20" t="n">
        <v>13</v>
      </c>
      <c r="M199" s="20" t="n">
        <v>110</v>
      </c>
      <c r="N199" s="20" t="n">
        <v>11</v>
      </c>
      <c r="O199" s="20" t="n">
        <v>-14</v>
      </c>
      <c r="P199" s="20" t="n">
        <v>-0</v>
      </c>
      <c r="Q199" s="20" t="n">
        <v>-0</v>
      </c>
      <c r="R199" s="20" t="n">
        <v>-0</v>
      </c>
      <c r="S199" s="20" t="n">
        <v>3</v>
      </c>
      <c r="T199" s="20" t="n">
        <v>2</v>
      </c>
      <c r="U199" s="20" t="n">
        <v>-0</v>
      </c>
      <c r="V199" s="20" t="n">
        <v>-1</v>
      </c>
      <c r="W199" s="20" t="n">
        <v>6</v>
      </c>
      <c r="X199" s="20" t="n">
        <v>110</v>
      </c>
    </row>
    <row r="200">
      <c r="A200" s="18" t="inlineStr">
        <is>
          <t>상여충당금 증감</t>
        </is>
      </c>
      <c r="C200" s="20" t="n">
        <v>568</v>
      </c>
      <c r="D200" s="20" t="n">
        <v>-1096</v>
      </c>
      <c r="E200" s="20" t="n">
        <v>222</v>
      </c>
      <c r="F200" s="20" t="n">
        <v>-1141</v>
      </c>
      <c r="G200" s="20" t="n">
        <v>263</v>
      </c>
      <c r="H200" s="20" t="n">
        <v>-1145</v>
      </c>
      <c r="I200" s="20" t="n">
        <v>24</v>
      </c>
      <c r="J200" s="20" t="n">
        <v>-874</v>
      </c>
      <c r="K200" s="20" t="n">
        <v>900</v>
      </c>
      <c r="L200" s="20" t="n">
        <v>-1113</v>
      </c>
      <c r="M200" s="20" t="n">
        <v>342</v>
      </c>
      <c r="N200" s="20" t="n">
        <v>-846</v>
      </c>
      <c r="O200" s="20" t="n">
        <v>298</v>
      </c>
      <c r="P200" s="20" t="n">
        <v>46</v>
      </c>
      <c r="Q200" s="20" t="n">
        <v>-11</v>
      </c>
      <c r="R200" s="20" t="n">
        <v>-22</v>
      </c>
      <c r="S200" s="20" t="n">
        <v>104</v>
      </c>
      <c r="T200" s="20" t="n">
        <v>-1</v>
      </c>
      <c r="U200" s="20" t="n">
        <v>787</v>
      </c>
      <c r="V200" s="20" t="n">
        <v>222</v>
      </c>
      <c r="W200" s="20" t="n">
        <v>24</v>
      </c>
      <c r="X200" s="20" t="n">
        <v>342</v>
      </c>
    </row>
    <row r="201">
      <c r="A201" s="18" t="inlineStr">
        <is>
          <t>임원 상여충당금 증감</t>
        </is>
      </c>
      <c r="C201" s="20" t="n">
        <v>-29</v>
      </c>
      <c r="D201" s="20" t="n">
        <v>1</v>
      </c>
      <c r="E201" s="20" t="n">
        <v>23</v>
      </c>
      <c r="F201" s="20" t="n">
        <v>-74</v>
      </c>
      <c r="G201" s="20" t="n">
        <v>-49</v>
      </c>
      <c r="H201" s="20" t="n">
        <v>-19</v>
      </c>
      <c r="I201" s="20" t="n">
        <v>1</v>
      </c>
      <c r="J201" s="20" t="n">
        <v>-68</v>
      </c>
      <c r="K201" s="20" t="n">
        <v>-35</v>
      </c>
      <c r="L201" s="20" t="n">
        <v>-4</v>
      </c>
      <c r="M201" s="20" t="n">
        <v>22</v>
      </c>
      <c r="N201" s="20" t="n">
        <v>-91</v>
      </c>
      <c r="O201" s="20" t="n">
        <v>9</v>
      </c>
      <c r="P201" s="20" t="n">
        <v>-11</v>
      </c>
      <c r="Q201" s="20" t="n">
        <v>2</v>
      </c>
      <c r="R201" s="20" t="n">
        <v>-0</v>
      </c>
      <c r="S201" s="20" t="n">
        <v>13</v>
      </c>
      <c r="T201" s="20" t="n">
        <v>-8</v>
      </c>
      <c r="U201" s="20" t="n">
        <v>30</v>
      </c>
      <c r="V201" s="20" t="n">
        <v>23</v>
      </c>
      <c r="W201" s="20" t="n">
        <v>1</v>
      </c>
      <c r="X201" s="20" t="n">
        <v>22</v>
      </c>
    </row>
    <row r="202">
      <c r="A202" s="18" t="inlineStr">
        <is>
          <t>제품보증 충당금 증감</t>
        </is>
      </c>
      <c r="C202" s="20" t="n">
        <v>-6</v>
      </c>
      <c r="D202" s="20" t="n">
        <v>47</v>
      </c>
      <c r="E202" s="20" t="n">
        <v>34</v>
      </c>
      <c r="F202" s="20" t="n">
        <v>-9</v>
      </c>
      <c r="G202" s="20" t="n">
        <v>10</v>
      </c>
      <c r="H202" s="20" t="n">
        <v>-3</v>
      </c>
      <c r="I202" s="20" t="n">
        <v>281</v>
      </c>
      <c r="J202" s="20" t="n">
        <v>-19</v>
      </c>
      <c r="K202" s="20" t="n">
        <v>-72</v>
      </c>
      <c r="L202" s="20" t="n">
        <v>-1</v>
      </c>
      <c r="M202" s="20" t="n">
        <v>247</v>
      </c>
      <c r="N202" s="20" t="n">
        <v>-123</v>
      </c>
      <c r="O202" s="20" t="n">
        <v>-3</v>
      </c>
      <c r="P202" s="20" t="n">
        <v>-0</v>
      </c>
      <c r="Q202" s="20" t="n">
        <v>83</v>
      </c>
      <c r="R202" s="20" t="n">
        <v>-25</v>
      </c>
      <c r="S202" s="20" t="n">
        <v>-18</v>
      </c>
      <c r="T202" s="20" t="n">
        <v>88</v>
      </c>
      <c r="U202" s="20" t="n">
        <v>-55</v>
      </c>
      <c r="V202" s="20" t="n">
        <v>34</v>
      </c>
      <c r="W202" s="20" t="n">
        <v>281</v>
      </c>
      <c r="X202" s="20" t="n">
        <v>247</v>
      </c>
    </row>
    <row r="203">
      <c r="A203" s="18" t="inlineStr">
        <is>
          <t>기타 충당금 증감</t>
        </is>
      </c>
      <c r="D203" s="20" t="n">
        <v>26</v>
      </c>
    </row>
    <row r="204">
      <c r="A204" s="18" t="inlineStr">
        <is>
          <t>Increase Decrease In Provision Of Noncurrent Assets Removal Ope CF</t>
        </is>
      </c>
      <c r="D204" s="20" t="n">
        <v>26</v>
      </c>
      <c r="E204" s="20" t="n">
        <v>26</v>
      </c>
      <c r="H204" s="20" t="n">
        <v>-26</v>
      </c>
      <c r="I204" s="20" t="n">
        <v>-26</v>
      </c>
      <c r="J204" s="20" t="n">
        <v>0</v>
      </c>
      <c r="L204" s="20" t="n">
        <v>0</v>
      </c>
      <c r="M204" s="20" t="n">
        <v>0</v>
      </c>
      <c r="N204" s="20" t="n">
        <v>203</v>
      </c>
      <c r="U204" s="20" t="n">
        <v>0</v>
      </c>
      <c r="V204" s="20" t="n">
        <v>26</v>
      </c>
      <c r="W204" s="20" t="n">
        <v>-26</v>
      </c>
      <c r="X204" s="20" t="n">
        <v>0</v>
      </c>
    </row>
    <row r="205">
      <c r="A205" s="18" t="inlineStr">
        <is>
          <t>퇴직급여자산 증감</t>
        </is>
      </c>
      <c r="I205" s="20" t="n">
        <v>-173</v>
      </c>
      <c r="J205" s="20" t="n">
        <v>-454</v>
      </c>
      <c r="M205" s="20" t="n">
        <v>-1729</v>
      </c>
      <c r="N205" s="20" t="n">
        <v>-549</v>
      </c>
      <c r="W205" s="20" t="n">
        <v>-173</v>
      </c>
      <c r="X205" s="20" t="n">
        <v>-1729</v>
      </c>
    </row>
    <row r="206">
      <c r="A206" s="18" t="inlineStr">
        <is>
          <t>퇴직급여부채 증감</t>
        </is>
      </c>
      <c r="C206" s="20" t="n">
        <v>-16</v>
      </c>
      <c r="D206" s="20" t="n">
        <v>-174</v>
      </c>
      <c r="E206" s="20" t="n">
        <v>-629</v>
      </c>
      <c r="F206" s="20" t="n">
        <v>-394</v>
      </c>
      <c r="G206" s="20" t="n">
        <v>-927</v>
      </c>
      <c r="H206" s="20" t="n">
        <v>-1302</v>
      </c>
      <c r="I206" s="20" t="n">
        <v>-1667</v>
      </c>
      <c r="J206" s="20" t="n">
        <v>40</v>
      </c>
      <c r="K206" s="20" t="n">
        <v>-966</v>
      </c>
      <c r="L206" s="20" t="n">
        <v>-1336</v>
      </c>
      <c r="M206" s="20" t="n">
        <v>-97</v>
      </c>
      <c r="N206" s="20" t="n">
        <v>-414</v>
      </c>
      <c r="O206" s="20" t="n">
        <v>713</v>
      </c>
      <c r="P206" s="20" t="n">
        <v>931</v>
      </c>
      <c r="Q206" s="20" t="n">
        <v>201</v>
      </c>
      <c r="R206" s="20" t="n">
        <v>130</v>
      </c>
      <c r="S206" s="20" t="n">
        <v>309</v>
      </c>
      <c r="T206" s="20" t="n">
        <v>-174</v>
      </c>
      <c r="U206" s="20" t="n">
        <v>-404</v>
      </c>
      <c r="V206" s="20" t="n">
        <v>-629</v>
      </c>
      <c r="W206" s="20" t="n">
        <v>-1667</v>
      </c>
      <c r="X206" s="20" t="n">
        <v>-97</v>
      </c>
    </row>
    <row r="207">
      <c r="A207" s="18" t="inlineStr">
        <is>
          <t>이자·배당금 수익</t>
        </is>
      </c>
      <c r="C207" s="20" t="n">
        <v>-173</v>
      </c>
      <c r="D207" s="20" t="n">
        <v>-303</v>
      </c>
      <c r="E207" s="20" t="n">
        <v>-381</v>
      </c>
      <c r="F207" s="20" t="n">
        <v>-156</v>
      </c>
      <c r="G207" s="20" t="n">
        <v>-224</v>
      </c>
      <c r="H207" s="20" t="n">
        <v>-439</v>
      </c>
      <c r="I207" s="20" t="n">
        <v>-507</v>
      </c>
      <c r="J207" s="20" t="n">
        <v>-234</v>
      </c>
      <c r="K207" s="20" t="n">
        <v>-325</v>
      </c>
      <c r="L207" s="20" t="n">
        <v>-566</v>
      </c>
      <c r="M207" s="20" t="n">
        <v>-676</v>
      </c>
      <c r="N207" s="20" t="n">
        <v>-203</v>
      </c>
      <c r="O207" s="20" t="n">
        <v>-207</v>
      </c>
      <c r="P207" s="20" t="n">
        <v>-213</v>
      </c>
      <c r="Q207" s="20" t="n">
        <v>-213</v>
      </c>
      <c r="R207" s="20" t="n">
        <v>-222</v>
      </c>
      <c r="S207" s="20" t="n">
        <v>-178</v>
      </c>
      <c r="T207" s="20" t="n">
        <v>-198</v>
      </c>
      <c r="U207" s="20" t="n">
        <v>-255</v>
      </c>
      <c r="V207" s="20" t="n">
        <v>-381</v>
      </c>
      <c r="W207" s="20" t="n">
        <v>-507</v>
      </c>
      <c r="X207" s="20" t="n">
        <v>-676</v>
      </c>
    </row>
    <row r="208">
      <c r="A208" s="18" t="inlineStr">
        <is>
          <t>이자비용</t>
        </is>
      </c>
      <c r="C208" s="20" t="n">
        <v>17</v>
      </c>
      <c r="D208" s="20" t="n">
        <v>27</v>
      </c>
      <c r="E208" s="20" t="n">
        <v>35</v>
      </c>
      <c r="F208" s="20" t="n">
        <v>7</v>
      </c>
      <c r="G208" s="20" t="n">
        <v>12</v>
      </c>
      <c r="H208" s="20" t="n">
        <v>18</v>
      </c>
      <c r="I208" s="20" t="n">
        <v>25</v>
      </c>
      <c r="J208" s="20" t="n">
        <v>6</v>
      </c>
      <c r="K208" s="20" t="n">
        <v>12</v>
      </c>
      <c r="L208" s="20" t="n">
        <v>19</v>
      </c>
      <c r="M208" s="20" t="n">
        <v>25</v>
      </c>
      <c r="N208" s="20" t="n">
        <v>11</v>
      </c>
      <c r="O208" s="20" t="n">
        <v>45</v>
      </c>
      <c r="P208" s="20" t="n">
        <v>39</v>
      </c>
      <c r="Q208" s="20" t="n">
        <v>38</v>
      </c>
      <c r="R208" s="20" t="n">
        <v>39</v>
      </c>
      <c r="S208" s="20" t="n">
        <v>42</v>
      </c>
      <c r="T208" s="20" t="n">
        <v>57</v>
      </c>
      <c r="U208" s="20" t="n">
        <v>41</v>
      </c>
      <c r="V208" s="20" t="n">
        <v>35</v>
      </c>
      <c r="W208" s="20" t="n">
        <v>25</v>
      </c>
      <c r="X208" s="20" t="n">
        <v>25</v>
      </c>
    </row>
    <row r="209">
      <c r="A209" s="18" t="inlineStr">
        <is>
          <t>외환차손익</t>
        </is>
      </c>
      <c r="C209" s="20" t="n">
        <v>-456</v>
      </c>
      <c r="D209" s="20" t="n">
        <v>-254</v>
      </c>
      <c r="E209" s="20" t="n">
        <v>-576</v>
      </c>
      <c r="F209" s="20" t="n">
        <v>-325</v>
      </c>
      <c r="G209" s="20" t="n">
        <v>468</v>
      </c>
      <c r="H209" s="20" t="n">
        <v>32</v>
      </c>
      <c r="I209" s="20" t="n">
        <v>401</v>
      </c>
      <c r="J209" s="20" t="n">
        <v>147</v>
      </c>
      <c r="K209" s="20" t="n">
        <v>49</v>
      </c>
      <c r="L209" s="20" t="n">
        <v>-73</v>
      </c>
      <c r="M209" s="20" t="n">
        <v>-47</v>
      </c>
      <c r="N209" s="20" t="n">
        <v>21</v>
      </c>
      <c r="O209" s="20" t="n">
        <v>3</v>
      </c>
      <c r="P209" s="20" t="n">
        <v>38</v>
      </c>
      <c r="Q209" s="20" t="n">
        <v>-4</v>
      </c>
      <c r="R209" s="20" t="n">
        <v>47</v>
      </c>
      <c r="S209" s="20" t="n">
        <v>-166</v>
      </c>
      <c r="T209" s="20" t="n">
        <v>-391</v>
      </c>
      <c r="U209" s="20" t="n">
        <v>-321</v>
      </c>
      <c r="V209" s="20" t="n">
        <v>-576</v>
      </c>
      <c r="W209" s="20" t="n">
        <v>401</v>
      </c>
      <c r="X209" s="20" t="n">
        <v>-47</v>
      </c>
    </row>
    <row r="210">
      <c r="A210" s="18" t="inlineStr">
        <is>
          <t>부의 영업권 발생이익</t>
        </is>
      </c>
      <c r="J210" s="20" t="n">
        <v>0</v>
      </c>
      <c r="N210" s="20" t="n">
        <v>-219</v>
      </c>
    </row>
    <row r="211">
      <c r="A211" s="18" t="inlineStr">
        <is>
          <t>단계적 취득 차손익</t>
        </is>
      </c>
      <c r="J211" s="20" t="n">
        <v>0</v>
      </c>
      <c r="N211" s="20" t="n">
        <v>-31</v>
      </c>
    </row>
    <row r="212">
      <c r="A212" s="18" t="inlineStr">
        <is>
          <t>고정자산 폐기손실</t>
        </is>
      </c>
      <c r="C212" s="20" t="n">
        <v>14</v>
      </c>
      <c r="D212" s="20" t="n">
        <v>50</v>
      </c>
      <c r="E212" s="20" t="n">
        <v>46</v>
      </c>
      <c r="F212" s="20" t="n">
        <v>1</v>
      </c>
      <c r="G212" s="20" t="n">
        <v>4</v>
      </c>
      <c r="H212" s="20" t="n">
        <v>11</v>
      </c>
      <c r="I212" s="20" t="n">
        <v>21</v>
      </c>
      <c r="J212" s="20" t="n">
        <v>16</v>
      </c>
      <c r="K212" s="20" t="n">
        <v>18</v>
      </c>
      <c r="L212" s="20" t="n">
        <v>24</v>
      </c>
      <c r="M212" s="20" t="n">
        <v>36</v>
      </c>
      <c r="N212" s="20" t="n">
        <v>4</v>
      </c>
      <c r="O212" s="20" t="n">
        <v>20</v>
      </c>
      <c r="P212" s="20" t="n">
        <v>22</v>
      </c>
      <c r="Q212" s="20" t="n">
        <v>191</v>
      </c>
      <c r="R212" s="20" t="n">
        <v>212</v>
      </c>
      <c r="S212" s="20" t="n">
        <v>16</v>
      </c>
      <c r="T212" s="20" t="n">
        <v>36</v>
      </c>
      <c r="U212" s="20" t="n">
        <v>48</v>
      </c>
      <c r="V212" s="20" t="n">
        <v>46</v>
      </c>
      <c r="W212" s="20" t="n">
        <v>21</v>
      </c>
      <c r="X212" s="20" t="n">
        <v>36</v>
      </c>
    </row>
    <row r="213">
      <c r="A213" s="18" t="inlineStr">
        <is>
          <t>고정자산 매각손익</t>
        </is>
      </c>
      <c r="C213" s="20" t="n">
        <v>-0</v>
      </c>
      <c r="D213" s="20" t="n">
        <v>-1</v>
      </c>
      <c r="E213" s="20" t="n">
        <v>-1</v>
      </c>
      <c r="F213" s="20" t="n">
        <v>-0</v>
      </c>
      <c r="G213" s="20" t="n">
        <v>-1</v>
      </c>
      <c r="H213" s="20" t="n">
        <v>-1</v>
      </c>
      <c r="I213" s="20" t="n">
        <v>-0</v>
      </c>
      <c r="J213" s="20" t="n">
        <v>-55</v>
      </c>
      <c r="K213" s="20" t="n">
        <v>-55</v>
      </c>
      <c r="L213" s="20" t="n">
        <v>-56</v>
      </c>
      <c r="M213" s="20" t="n">
        <v>-93</v>
      </c>
      <c r="N213" s="20" t="n">
        <v>-34</v>
      </c>
      <c r="O213" s="20" t="n">
        <v>-17</v>
      </c>
      <c r="P213" s="20" t="n">
        <v>-32</v>
      </c>
      <c r="Q213" s="20" t="n">
        <v>-59</v>
      </c>
      <c r="R213" s="20" t="n">
        <v>-16</v>
      </c>
      <c r="S213" s="20" t="n">
        <v>-0</v>
      </c>
      <c r="T213" s="20" t="n">
        <v>-3</v>
      </c>
      <c r="U213" s="20" t="n">
        <v>-33</v>
      </c>
      <c r="V213" s="20" t="n">
        <v>-1</v>
      </c>
      <c r="W213" s="20" t="n">
        <v>-0</v>
      </c>
      <c r="X213" s="20" t="n">
        <v>-93</v>
      </c>
    </row>
    <row r="214">
      <c r="A214" s="18" t="inlineStr">
        <is>
          <t>Amount Of Customs Refund For The Past Fiscal Year Ope CF</t>
        </is>
      </c>
      <c r="Q214" s="20" t="n">
        <v>0</v>
      </c>
      <c r="R214" s="20" t="n">
        <v>-217</v>
      </c>
      <c r="S214" s="20" t="n">
        <v>-226</v>
      </c>
      <c r="T214" s="20" t="n">
        <v>0</v>
      </c>
    </row>
    <row r="215">
      <c r="A215" s="18" t="inlineStr">
        <is>
          <t>투자유가증권 매각손익</t>
        </is>
      </c>
      <c r="C215" s="20" t="n">
        <v>-69</v>
      </c>
      <c r="D215" s="20" t="n">
        <v>-69</v>
      </c>
      <c r="E215" s="20" t="n">
        <v>-69</v>
      </c>
      <c r="F215" s="20" t="n">
        <v>-199</v>
      </c>
      <c r="G215" s="20" t="n">
        <v>-477</v>
      </c>
      <c r="H215" s="20" t="n">
        <v>-495</v>
      </c>
      <c r="I215" s="20" t="n">
        <v>-495</v>
      </c>
      <c r="J215" s="20" t="n">
        <v>0</v>
      </c>
      <c r="K215" s="20" t="n">
        <v>-145</v>
      </c>
      <c r="L215" s="20" t="n">
        <v>-145</v>
      </c>
      <c r="M215" s="20" t="n">
        <v>-145</v>
      </c>
      <c r="O215" s="20" t="n">
        <v>0</v>
      </c>
      <c r="P215" s="20" t="n">
        <v>-0</v>
      </c>
      <c r="Q215" s="20" t="n">
        <v>-10</v>
      </c>
      <c r="R215" s="20" t="n">
        <v>-315</v>
      </c>
      <c r="S215" s="20" t="n">
        <v>-29</v>
      </c>
      <c r="T215" s="20" t="n">
        <v>0</v>
      </c>
      <c r="U215" s="20" t="n">
        <v>-9</v>
      </c>
      <c r="V215" s="20" t="n">
        <v>-69</v>
      </c>
      <c r="W215" s="20" t="n">
        <v>-495</v>
      </c>
      <c r="X215" s="20" t="n">
        <v>-145</v>
      </c>
    </row>
    <row r="216">
      <c r="A216" s="18" t="inlineStr">
        <is>
          <t>투자유가증권 평가손익</t>
        </is>
      </c>
      <c r="C216" s="20" t="n">
        <v>0</v>
      </c>
      <c r="D216" s="20" t="n">
        <v>0</v>
      </c>
      <c r="E216" s="20" t="n">
        <v>0</v>
      </c>
      <c r="G216" s="20" t="n">
        <v>0</v>
      </c>
      <c r="H216" s="20" t="n">
        <v>12</v>
      </c>
      <c r="I216" s="20" t="n">
        <v>12</v>
      </c>
      <c r="K216" s="20" t="n">
        <v>0</v>
      </c>
      <c r="L216" s="20" t="n">
        <v>18</v>
      </c>
      <c r="M216" s="20" t="n">
        <v>42</v>
      </c>
      <c r="Q216" s="20" t="n">
        <v>0</v>
      </c>
      <c r="R216" s="20" t="n">
        <v>288</v>
      </c>
      <c r="S216" s="20" t="n">
        <v>0</v>
      </c>
      <c r="T216" s="20" t="n">
        <v>0</v>
      </c>
      <c r="U216" s="20" t="n">
        <v>18</v>
      </c>
      <c r="V216" s="20" t="n">
        <v>0</v>
      </c>
      <c r="W216" s="20" t="n">
        <v>12</v>
      </c>
      <c r="X216" s="20" t="n">
        <v>42</v>
      </c>
    </row>
    <row r="217">
      <c r="A217" s="18" t="inlineStr">
        <is>
          <t>골프회원권 매각손익</t>
        </is>
      </c>
      <c r="P217" s="20" t="n">
        <v>0</v>
      </c>
      <c r="Q217" s="20" t="n">
        <v>-5</v>
      </c>
      <c r="R217" s="20" t="n">
        <v>0</v>
      </c>
    </row>
    <row r="218">
      <c r="A218" s="18" t="inlineStr">
        <is>
          <t>화해금 수령</t>
        </is>
      </c>
      <c r="O218" s="20" t="n">
        <v>0</v>
      </c>
      <c r="P218" s="20" t="n">
        <v>-39</v>
      </c>
      <c r="Q218" s="20" t="n">
        <v>0</v>
      </c>
    </row>
    <row r="219">
      <c r="A219" s="18" t="inlineStr">
        <is>
          <t>Increase Decrease In Employee Deposits Ope CF</t>
        </is>
      </c>
      <c r="C219" s="20" t="n">
        <v>82</v>
      </c>
      <c r="D219" s="20" t="n">
        <v>737</v>
      </c>
      <c r="G219" s="20" t="n">
        <v>-85</v>
      </c>
      <c r="H219" s="20" t="n">
        <v>641</v>
      </c>
      <c r="K219" s="20" t="n">
        <v>-9</v>
      </c>
      <c r="L219" s="20" t="n">
        <v>857</v>
      </c>
    </row>
    <row r="220">
      <c r="A220" s="18" t="inlineStr">
        <is>
          <t>Increase In Employee Deposits Decrease Ope CF</t>
        </is>
      </c>
      <c r="E220" s="20" t="n">
        <v>86</v>
      </c>
      <c r="F220" s="20" t="n">
        <v>497</v>
      </c>
      <c r="I220" s="20" t="n">
        <v>-69</v>
      </c>
      <c r="J220" s="20" t="n">
        <v>639</v>
      </c>
      <c r="M220" s="20" t="n">
        <v>-1</v>
      </c>
      <c r="N220" s="20" t="n">
        <v>732</v>
      </c>
      <c r="Q220" s="20" t="n">
        <v>68</v>
      </c>
      <c r="R220" s="20" t="n">
        <v>-78</v>
      </c>
      <c r="S220" s="20" t="n">
        <v>-7</v>
      </c>
      <c r="T220" s="20" t="n">
        <v>-1</v>
      </c>
      <c r="U220" s="20" t="n">
        <v>0</v>
      </c>
      <c r="V220" s="20" t="n">
        <v>86</v>
      </c>
      <c r="W220" s="20" t="n">
        <v>-69</v>
      </c>
      <c r="X220" s="20" t="n">
        <v>-1</v>
      </c>
    </row>
    <row r="221">
      <c r="A221" s="18" t="inlineStr">
        <is>
          <t>매출채권 증감</t>
        </is>
      </c>
      <c r="C221" s="20" t="n">
        <v>-270</v>
      </c>
      <c r="D221" s="20" t="n">
        <v>-287</v>
      </c>
      <c r="E221" s="20" t="n">
        <v>-632</v>
      </c>
      <c r="F221" s="20" t="n">
        <v>502</v>
      </c>
      <c r="G221" s="20" t="n">
        <v>914</v>
      </c>
      <c r="H221" s="20" t="n">
        <v>-333</v>
      </c>
      <c r="I221" s="20" t="n">
        <v>192</v>
      </c>
      <c r="J221" s="20" t="n">
        <v>409</v>
      </c>
      <c r="K221" s="20" t="n">
        <v>-162</v>
      </c>
      <c r="L221" s="20" t="n">
        <v>-174</v>
      </c>
      <c r="M221" s="20" t="n">
        <v>-755</v>
      </c>
      <c r="N221" s="20" t="n">
        <v>-509</v>
      </c>
      <c r="O221" s="20" t="n">
        <v>-537</v>
      </c>
      <c r="P221" s="20" t="n">
        <v>-27</v>
      </c>
      <c r="Q221" s="20" t="n">
        <v>441</v>
      </c>
      <c r="R221" s="20" t="n">
        <v>701</v>
      </c>
      <c r="S221" s="20" t="n">
        <v>1042</v>
      </c>
      <c r="T221" s="20" t="n">
        <v>-940</v>
      </c>
      <c r="U221" s="20" t="n">
        <v>-714</v>
      </c>
      <c r="V221" s="20" t="n">
        <v>-632</v>
      </c>
      <c r="W221" s="20" t="n">
        <v>192</v>
      </c>
      <c r="X221" s="20" t="n">
        <v>-755</v>
      </c>
    </row>
    <row r="222">
      <c r="A222" s="18" t="inlineStr">
        <is>
          <t>재고자산 증감</t>
        </is>
      </c>
      <c r="C222" s="20" t="n">
        <v>552</v>
      </c>
      <c r="D222" s="20" t="n">
        <v>531</v>
      </c>
      <c r="E222" s="20" t="n">
        <v>887</v>
      </c>
      <c r="F222" s="20" t="n">
        <v>-235</v>
      </c>
      <c r="G222" s="20" t="n">
        <v>144</v>
      </c>
      <c r="H222" s="20" t="n">
        <v>-22</v>
      </c>
      <c r="I222" s="20" t="n">
        <v>539</v>
      </c>
      <c r="J222" s="20" t="n">
        <v>-650</v>
      </c>
      <c r="K222" s="20" t="n">
        <v>-798</v>
      </c>
      <c r="L222" s="20" t="n">
        <v>-900</v>
      </c>
      <c r="M222" s="20" t="n">
        <v>-1411</v>
      </c>
      <c r="N222" s="20" t="n">
        <v>-947</v>
      </c>
      <c r="O222" s="20" t="n">
        <v>222</v>
      </c>
      <c r="P222" s="20" t="n">
        <v>-98</v>
      </c>
      <c r="Q222" s="20" t="n">
        <v>-676</v>
      </c>
      <c r="R222" s="20" t="n">
        <v>-94</v>
      </c>
      <c r="S222" s="20" t="n">
        <v>-401</v>
      </c>
      <c r="T222" s="20" t="n">
        <v>-2230</v>
      </c>
      <c r="U222" s="20" t="n">
        <v>-2329</v>
      </c>
      <c r="V222" s="20" t="n">
        <v>887</v>
      </c>
      <c r="W222" s="20" t="n">
        <v>539</v>
      </c>
      <c r="X222" s="20" t="n">
        <v>-1411</v>
      </c>
    </row>
    <row r="223">
      <c r="A223" s="18" t="inlineStr">
        <is>
          <t>매입채무 증감</t>
        </is>
      </c>
      <c r="C223" s="20" t="n">
        <v>-128</v>
      </c>
      <c r="D223" s="20" t="n">
        <v>-239</v>
      </c>
      <c r="E223" s="20" t="n">
        <v>-610</v>
      </c>
      <c r="F223" s="20" t="n">
        <v>-117</v>
      </c>
      <c r="G223" s="20" t="n">
        <v>-234</v>
      </c>
      <c r="H223" s="20" t="n">
        <v>292</v>
      </c>
      <c r="I223" s="20" t="n">
        <v>45</v>
      </c>
      <c r="J223" s="20" t="n">
        <v>92</v>
      </c>
      <c r="K223" s="20" t="n">
        <v>43</v>
      </c>
      <c r="L223" s="20" t="n">
        <v>457</v>
      </c>
      <c r="M223" s="20" t="n">
        <v>344</v>
      </c>
      <c r="N223" s="20" t="n">
        <v>201</v>
      </c>
      <c r="O223" s="20" t="n">
        <v>-64</v>
      </c>
      <c r="P223" s="20" t="n">
        <v>-165</v>
      </c>
      <c r="Q223" s="20" t="n">
        <v>-23</v>
      </c>
      <c r="R223" s="20" t="n">
        <v>-393</v>
      </c>
      <c r="S223" s="20" t="n">
        <v>338</v>
      </c>
      <c r="T223" s="20" t="n">
        <v>523</v>
      </c>
      <c r="U223" s="20" t="n">
        <v>-70</v>
      </c>
      <c r="V223" s="20" t="n">
        <v>-610</v>
      </c>
      <c r="W223" s="20" t="n">
        <v>45</v>
      </c>
      <c r="X223" s="20" t="n">
        <v>344</v>
      </c>
    </row>
    <row r="224">
      <c r="A224" s="18" t="inlineStr">
        <is>
          <t>미수 소비세 증감</t>
        </is>
      </c>
      <c r="C224" s="20" t="n">
        <v>116</v>
      </c>
      <c r="D224" s="20" t="n">
        <v>116</v>
      </c>
      <c r="E224" s="20" t="n">
        <v>112</v>
      </c>
      <c r="F224" s="20" t="n">
        <v>0</v>
      </c>
      <c r="G224" s="20" t="n">
        <v>0</v>
      </c>
      <c r="H224" s="20" t="n">
        <v>-41</v>
      </c>
      <c r="I224" s="20" t="n">
        <v>-6</v>
      </c>
      <c r="J224" s="20" t="n">
        <v>-57</v>
      </c>
      <c r="K224" s="20" t="n">
        <v>-115</v>
      </c>
      <c r="L224" s="20" t="n">
        <v>-166</v>
      </c>
      <c r="M224" s="20" t="n">
        <v>-322</v>
      </c>
      <c r="N224" s="20" t="n">
        <v>142</v>
      </c>
      <c r="S224" s="20" t="n">
        <v>0</v>
      </c>
      <c r="T224" s="20" t="n">
        <v>-778</v>
      </c>
      <c r="U224" s="20" t="n">
        <v>665</v>
      </c>
      <c r="V224" s="20" t="n">
        <v>112</v>
      </c>
      <c r="W224" s="20" t="n">
        <v>-6</v>
      </c>
      <c r="X224" s="20" t="n">
        <v>-322</v>
      </c>
    </row>
    <row r="225">
      <c r="A225" s="18" t="inlineStr">
        <is>
          <t>미지급 소비세 증감</t>
        </is>
      </c>
      <c r="C225" s="20" t="n">
        <v>222</v>
      </c>
      <c r="D225" s="20" t="n">
        <v>315</v>
      </c>
      <c r="E225" s="20" t="n">
        <v>318</v>
      </c>
      <c r="F225" s="20" t="n">
        <v>-208</v>
      </c>
      <c r="G225" s="20" t="n">
        <v>-248</v>
      </c>
      <c r="H225" s="20" t="n">
        <v>-222</v>
      </c>
      <c r="I225" s="20" t="n">
        <v>-237</v>
      </c>
      <c r="J225" s="20" t="n">
        <v>-2</v>
      </c>
      <c r="K225" s="20" t="n">
        <v>31</v>
      </c>
      <c r="L225" s="20" t="n">
        <v>8</v>
      </c>
      <c r="M225" s="20" t="n">
        <v>26</v>
      </c>
      <c r="N225" s="20" t="n">
        <v>29</v>
      </c>
      <c r="O225" s="20" t="n">
        <v>168</v>
      </c>
      <c r="P225" s="20" t="n">
        <v>-138</v>
      </c>
      <c r="Q225" s="20" t="n">
        <v>-18</v>
      </c>
      <c r="R225" s="20" t="n">
        <v>246</v>
      </c>
      <c r="S225" s="20" t="n">
        <v>-95</v>
      </c>
      <c r="T225" s="20" t="n">
        <v>-90</v>
      </c>
      <c r="U225" s="20" t="n">
        <v>-66</v>
      </c>
      <c r="V225" s="20" t="n">
        <v>318</v>
      </c>
      <c r="W225" s="20" t="n">
        <v>-237</v>
      </c>
      <c r="X225" s="20" t="n">
        <v>26</v>
      </c>
    </row>
    <row r="226">
      <c r="A226" s="18" t="inlineStr">
        <is>
          <t>기타 자산 증감</t>
        </is>
      </c>
      <c r="C226" s="20" t="n">
        <v>21</v>
      </c>
      <c r="D226" s="20" t="n">
        <v>-176</v>
      </c>
      <c r="E226" s="20" t="n">
        <v>-129</v>
      </c>
      <c r="F226" s="20" t="n">
        <v>-23</v>
      </c>
      <c r="G226" s="20" t="n">
        <v>62</v>
      </c>
      <c r="H226" s="20" t="n">
        <v>86</v>
      </c>
      <c r="I226" s="20" t="n">
        <v>71</v>
      </c>
      <c r="J226" s="20" t="n">
        <v>-42</v>
      </c>
      <c r="K226" s="20" t="n">
        <v>-675</v>
      </c>
      <c r="L226" s="20" t="n">
        <v>-22</v>
      </c>
      <c r="M226" s="20" t="n">
        <v>218</v>
      </c>
      <c r="N226" s="20" t="n">
        <v>-389</v>
      </c>
      <c r="O226" s="20" t="n">
        <v>83</v>
      </c>
      <c r="P226" s="20" t="n">
        <v>-90</v>
      </c>
      <c r="Q226" s="20" t="n">
        <v>-92</v>
      </c>
      <c r="R226" s="20" t="n">
        <v>232</v>
      </c>
      <c r="S226" s="20" t="n">
        <v>-0</v>
      </c>
      <c r="T226" s="20" t="n">
        <v>-26</v>
      </c>
      <c r="U226" s="20" t="n">
        <v>-115</v>
      </c>
      <c r="V226" s="20" t="n">
        <v>-129</v>
      </c>
      <c r="W226" s="20" t="n">
        <v>71</v>
      </c>
      <c r="X226" s="20" t="n">
        <v>218</v>
      </c>
    </row>
    <row r="227">
      <c r="A227" s="18" t="inlineStr">
        <is>
          <t>기타 부채 증감</t>
        </is>
      </c>
      <c r="C227" s="20" t="n">
        <v>209</v>
      </c>
      <c r="D227" s="20" t="n">
        <v>562</v>
      </c>
      <c r="E227" s="20" t="n">
        <v>536</v>
      </c>
      <c r="F227" s="20" t="n">
        <v>26</v>
      </c>
      <c r="G227" s="20" t="n">
        <v>-52</v>
      </c>
      <c r="H227" s="20" t="n">
        <v>406</v>
      </c>
      <c r="I227" s="20" t="n">
        <v>-49</v>
      </c>
      <c r="J227" s="20" t="n">
        <v>79</v>
      </c>
      <c r="K227" s="20" t="n">
        <v>364</v>
      </c>
      <c r="L227" s="20" t="n">
        <v>672</v>
      </c>
      <c r="M227" s="20" t="n">
        <v>38</v>
      </c>
      <c r="N227" s="20" t="n">
        <v>715</v>
      </c>
      <c r="O227" s="20" t="n">
        <v>241</v>
      </c>
      <c r="P227" s="20" t="n">
        <v>-27</v>
      </c>
      <c r="Q227" s="20" t="n">
        <v>2</v>
      </c>
      <c r="R227" s="20" t="n">
        <v>-262</v>
      </c>
      <c r="S227" s="20" t="n">
        <v>193</v>
      </c>
      <c r="T227" s="20" t="n">
        <v>229</v>
      </c>
      <c r="U227" s="20" t="n">
        <v>199</v>
      </c>
      <c r="V227" s="20" t="n">
        <v>536</v>
      </c>
      <c r="W227" s="20" t="n">
        <v>-49</v>
      </c>
      <c r="X227" s="20" t="n">
        <v>38</v>
      </c>
    </row>
    <row r="228">
      <c r="A228" s="18" t="inlineStr">
        <is>
          <t>소계</t>
        </is>
      </c>
      <c r="C228" s="20" t="n">
        <v>9656</v>
      </c>
      <c r="D228" s="20" t="n">
        <v>12556</v>
      </c>
      <c r="E228" s="20" t="n">
        <v>16069</v>
      </c>
      <c r="F228" s="20" t="n">
        <v>3705</v>
      </c>
      <c r="G228" s="20" t="n">
        <v>8825</v>
      </c>
      <c r="H228" s="20" t="n">
        <v>12536</v>
      </c>
      <c r="I228" s="20" t="n">
        <v>16970</v>
      </c>
      <c r="J228" s="20" t="n">
        <v>4822</v>
      </c>
      <c r="K228" s="20" t="n">
        <v>9696</v>
      </c>
      <c r="L228" s="20" t="n">
        <v>14702</v>
      </c>
      <c r="M228" s="20" t="n">
        <v>18140</v>
      </c>
      <c r="N228" s="20" t="n">
        <v>4786</v>
      </c>
      <c r="O228" s="20" t="n">
        <v>9584</v>
      </c>
      <c r="P228" s="20" t="n">
        <v>8618</v>
      </c>
      <c r="Q228" s="20" t="n">
        <v>9444</v>
      </c>
      <c r="R228" s="20" t="n">
        <v>10171</v>
      </c>
      <c r="S228" s="20" t="n">
        <v>10497</v>
      </c>
      <c r="T228" s="20" t="n">
        <v>7154</v>
      </c>
      <c r="U228" s="20" t="n">
        <v>10924</v>
      </c>
      <c r="V228" s="20" t="n">
        <v>16069</v>
      </c>
      <c r="W228" s="20" t="n">
        <v>16970</v>
      </c>
      <c r="X228" s="20" t="n">
        <v>18140</v>
      </c>
    </row>
    <row r="229">
      <c r="A229" s="18" t="inlineStr">
        <is>
          <t>이자·배당금 수취</t>
        </is>
      </c>
      <c r="C229" s="20" t="n">
        <v>172</v>
      </c>
      <c r="D229" s="20" t="n">
        <v>302</v>
      </c>
      <c r="E229" s="20" t="n">
        <v>381</v>
      </c>
      <c r="F229" s="20" t="n">
        <v>157</v>
      </c>
      <c r="G229" s="20" t="n">
        <v>225</v>
      </c>
      <c r="H229" s="20" t="n">
        <v>438</v>
      </c>
      <c r="I229" s="20" t="n">
        <v>497</v>
      </c>
      <c r="J229" s="20" t="n">
        <v>238</v>
      </c>
      <c r="K229" s="20" t="n">
        <v>322</v>
      </c>
      <c r="L229" s="20" t="n">
        <v>557</v>
      </c>
      <c r="M229" s="20" t="n">
        <v>664</v>
      </c>
      <c r="N229" s="20" t="n">
        <v>207</v>
      </c>
      <c r="O229" s="20" t="n">
        <v>303</v>
      </c>
      <c r="P229" s="20" t="n">
        <v>298</v>
      </c>
      <c r="Q229" s="20" t="n">
        <v>304</v>
      </c>
      <c r="R229" s="20" t="n">
        <v>290</v>
      </c>
      <c r="S229" s="20" t="n">
        <v>230</v>
      </c>
      <c r="T229" s="20" t="n">
        <v>240</v>
      </c>
      <c r="U229" s="20" t="n">
        <v>280</v>
      </c>
      <c r="V229" s="20" t="n">
        <v>381</v>
      </c>
      <c r="W229" s="20" t="n">
        <v>497</v>
      </c>
      <c r="X229" s="20" t="n">
        <v>664</v>
      </c>
    </row>
    <row r="230">
      <c r="A230" s="18" t="inlineStr">
        <is>
          <t>이자 지급</t>
        </is>
      </c>
      <c r="C230" s="20" t="n">
        <v>-18</v>
      </c>
      <c r="D230" s="20" t="n">
        <v>-27</v>
      </c>
      <c r="E230" s="20" t="n">
        <v>-32</v>
      </c>
      <c r="F230" s="20" t="n">
        <v>-5</v>
      </c>
      <c r="G230" s="20" t="n">
        <v>-12</v>
      </c>
      <c r="H230" s="20" t="n">
        <v>-17</v>
      </c>
      <c r="I230" s="20" t="n">
        <v>-24</v>
      </c>
      <c r="J230" s="20" t="n">
        <v>-3</v>
      </c>
      <c r="K230" s="20" t="n">
        <v>-7</v>
      </c>
      <c r="L230" s="20" t="n">
        <v>-10</v>
      </c>
      <c r="M230" s="20" t="n">
        <v>-15</v>
      </c>
      <c r="N230" s="20" t="n">
        <v>-8</v>
      </c>
      <c r="O230" s="20" t="n">
        <v>-45</v>
      </c>
      <c r="P230" s="20" t="n">
        <v>-39</v>
      </c>
      <c r="Q230" s="20" t="n">
        <v>-33</v>
      </c>
      <c r="R230" s="20" t="n">
        <v>-39</v>
      </c>
      <c r="S230" s="20" t="n">
        <v>-44</v>
      </c>
      <c r="T230" s="20" t="n">
        <v>-62</v>
      </c>
      <c r="U230" s="20" t="n">
        <v>-40</v>
      </c>
      <c r="V230" s="20" t="n">
        <v>-32</v>
      </c>
      <c r="W230" s="20" t="n">
        <v>-24</v>
      </c>
      <c r="X230" s="20" t="n">
        <v>-15</v>
      </c>
    </row>
    <row r="231">
      <c r="A231" s="18" t="inlineStr">
        <is>
          <t>법인세 납부</t>
        </is>
      </c>
      <c r="C231" s="20" t="n">
        <v>-2814</v>
      </c>
      <c r="D231" s="20" t="n">
        <v>-4180</v>
      </c>
      <c r="E231" s="20" t="n">
        <v>-4298</v>
      </c>
      <c r="F231" s="20" t="n">
        <v>-1327</v>
      </c>
      <c r="G231" s="20" t="n">
        <v>-1603</v>
      </c>
      <c r="H231" s="20" t="n">
        <v>-2633</v>
      </c>
      <c r="I231" s="20" t="n">
        <v>-2855</v>
      </c>
      <c r="J231" s="20" t="n">
        <v>-2089</v>
      </c>
      <c r="K231" s="20" t="n">
        <v>-2400</v>
      </c>
      <c r="L231" s="20" t="n">
        <v>-3819</v>
      </c>
      <c r="M231" s="20" t="n">
        <v>-3990</v>
      </c>
      <c r="N231" s="20" t="n">
        <v>-2235</v>
      </c>
      <c r="O231" s="20" t="n">
        <v>-1329</v>
      </c>
      <c r="P231" s="20" t="n">
        <v>-2057</v>
      </c>
      <c r="Q231" s="20" t="n">
        <v>-1901</v>
      </c>
      <c r="R231" s="20" t="n">
        <v>-2310</v>
      </c>
      <c r="S231" s="20" t="n">
        <v>-2112</v>
      </c>
      <c r="T231" s="20" t="n">
        <v>-1703</v>
      </c>
      <c r="U231" s="20" t="n">
        <v>-2915</v>
      </c>
      <c r="V231" s="20" t="n">
        <v>-4298</v>
      </c>
      <c r="W231" s="20" t="n">
        <v>-2855</v>
      </c>
      <c r="X231" s="20" t="n">
        <v>-3990</v>
      </c>
    </row>
    <row r="232">
      <c r="A232" s="18" t="inlineStr">
        <is>
          <t>화해금 수취액</t>
        </is>
      </c>
      <c r="O232" s="20" t="n">
        <v>0</v>
      </c>
      <c r="P232" s="20" t="n">
        <v>39</v>
      </c>
      <c r="Q232" s="20" t="n">
        <v>0</v>
      </c>
    </row>
    <row r="233">
      <c r="A233" s="18" t="inlineStr">
        <is>
          <t>Amount Of Customs Refund For The Previous Year Ope CF</t>
        </is>
      </c>
      <c r="Q233" s="20" t="n">
        <v>0</v>
      </c>
      <c r="R233" s="20" t="n">
        <v>217</v>
      </c>
      <c r="S233" s="20" t="n">
        <v>226</v>
      </c>
      <c r="T233" s="20" t="n">
        <v>0</v>
      </c>
    </row>
    <row r="234">
      <c r="A234" s="9" t="inlineStr">
        <is>
          <t>영업활동 현금흐름</t>
        </is>
      </c>
      <c r="C234" s="12" t="n">
        <v>6996</v>
      </c>
      <c r="D234" s="12" t="n">
        <v>8651</v>
      </c>
      <c r="E234" s="12" t="n">
        <v>12120</v>
      </c>
      <c r="F234" s="12" t="n">
        <v>2529</v>
      </c>
      <c r="G234" s="12" t="n">
        <v>7435</v>
      </c>
      <c r="H234" s="12" t="n">
        <v>10323</v>
      </c>
      <c r="I234" s="12" t="n">
        <v>14588</v>
      </c>
      <c r="J234" s="12" t="n">
        <v>2968</v>
      </c>
      <c r="K234" s="12" t="n">
        <v>7610</v>
      </c>
      <c r="L234" s="12" t="n">
        <v>11429</v>
      </c>
      <c r="M234" s="12" t="n">
        <v>14799</v>
      </c>
      <c r="N234" s="12" t="n">
        <v>2749</v>
      </c>
      <c r="O234" s="12" t="n">
        <v>8512</v>
      </c>
      <c r="P234" s="12" t="n">
        <v>6859</v>
      </c>
      <c r="Q234" s="12" t="n">
        <v>7814</v>
      </c>
      <c r="R234" s="12" t="n">
        <v>8330</v>
      </c>
      <c r="S234" s="12" t="n">
        <v>8798</v>
      </c>
      <c r="T234" s="12" t="n">
        <v>5629</v>
      </c>
      <c r="U234" s="12" t="n">
        <v>8248</v>
      </c>
      <c r="V234" s="12" t="n">
        <v>12120</v>
      </c>
      <c r="W234" s="12" t="n">
        <v>14588</v>
      </c>
      <c r="X234" s="12" t="n">
        <v>14799</v>
      </c>
    </row>
    <row r="235">
      <c r="A235" s="18" t="inlineStr">
        <is>
          <t>정기예금 예입</t>
        </is>
      </c>
      <c r="C235" s="20" t="n">
        <v>-297</v>
      </c>
      <c r="D235" s="20" t="n">
        <v>-1441</v>
      </c>
      <c r="E235" s="20" t="n">
        <v>-1960</v>
      </c>
      <c r="F235" s="20" t="n">
        <v>-4481</v>
      </c>
      <c r="G235" s="20" t="n">
        <v>-5937</v>
      </c>
      <c r="H235" s="20" t="n">
        <v>-9319</v>
      </c>
      <c r="I235" s="20" t="n">
        <v>-11167</v>
      </c>
      <c r="J235" s="20" t="n">
        <v>-4945</v>
      </c>
      <c r="K235" s="20" t="n">
        <v>-6145</v>
      </c>
      <c r="L235" s="20" t="n">
        <v>-8673</v>
      </c>
      <c r="M235" s="20" t="n">
        <v>-10397</v>
      </c>
      <c r="N235" s="20" t="n">
        <v>-1947</v>
      </c>
      <c r="T235" s="20" t="n">
        <v>-791</v>
      </c>
      <c r="U235" s="20" t="n">
        <v>-727</v>
      </c>
      <c r="V235" s="20" t="n">
        <v>-1960</v>
      </c>
      <c r="W235" s="20" t="n">
        <v>-11167</v>
      </c>
      <c r="X235" s="20" t="n">
        <v>-10397</v>
      </c>
    </row>
    <row r="236">
      <c r="A236" s="18" t="inlineStr">
        <is>
          <t>정기예금 인출</t>
        </is>
      </c>
      <c r="C236" s="20" t="n">
        <v>145</v>
      </c>
      <c r="D236" s="20" t="n">
        <v>345</v>
      </c>
      <c r="E236" s="20" t="n">
        <v>650</v>
      </c>
      <c r="F236" s="20" t="n">
        <v>1575</v>
      </c>
      <c r="G236" s="20" t="n">
        <v>2754</v>
      </c>
      <c r="H236" s="20" t="n">
        <v>6975</v>
      </c>
      <c r="I236" s="20" t="n">
        <v>7699</v>
      </c>
      <c r="J236" s="20" t="n">
        <v>4643</v>
      </c>
      <c r="K236" s="20" t="n">
        <v>6333</v>
      </c>
      <c r="L236" s="20" t="n">
        <v>9622</v>
      </c>
      <c r="M236" s="20" t="n">
        <v>12268</v>
      </c>
      <c r="N236" s="20" t="n">
        <v>2381</v>
      </c>
      <c r="T236" s="20" t="n">
        <v>0</v>
      </c>
      <c r="U236" s="20" t="n">
        <v>976</v>
      </c>
      <c r="V236" s="20" t="n">
        <v>650</v>
      </c>
      <c r="W236" s="20" t="n">
        <v>7699</v>
      </c>
      <c r="X236" s="20" t="n">
        <v>12268</v>
      </c>
    </row>
    <row r="237">
      <c r="A237" s="18" t="inlineStr">
        <is>
          <t>유가증권 및 투자유가증권 취득 지출</t>
        </is>
      </c>
      <c r="C237" s="20" t="n">
        <v>-3201</v>
      </c>
      <c r="D237" s="20" t="n">
        <v>-4807</v>
      </c>
      <c r="E237" s="20" t="n">
        <v>-5907</v>
      </c>
      <c r="F237" s="20" t="n">
        <v>-200</v>
      </c>
      <c r="G237" s="20" t="n">
        <v>-531</v>
      </c>
      <c r="H237" s="20" t="n">
        <v>-2132</v>
      </c>
      <c r="I237" s="20" t="n">
        <v>-2732</v>
      </c>
      <c r="J237" s="20" t="n">
        <v>-2000</v>
      </c>
      <c r="K237" s="20" t="n">
        <v>-4501</v>
      </c>
      <c r="L237" s="20" t="n">
        <v>-6001</v>
      </c>
      <c r="M237" s="20" t="n">
        <v>-6001</v>
      </c>
      <c r="N237" s="20" t="n">
        <v>-0</v>
      </c>
      <c r="O237" s="20" t="n">
        <v>-3049</v>
      </c>
      <c r="P237" s="20" t="n">
        <v>-4592</v>
      </c>
      <c r="Q237" s="20" t="n">
        <v>-9182</v>
      </c>
      <c r="R237" s="20" t="n">
        <v>-8620</v>
      </c>
      <c r="S237" s="20" t="n">
        <v>-3011</v>
      </c>
      <c r="T237" s="20" t="n">
        <v>-1204</v>
      </c>
      <c r="U237" s="20" t="n">
        <v>-2603</v>
      </c>
      <c r="V237" s="20" t="n">
        <v>-5907</v>
      </c>
      <c r="W237" s="20" t="n">
        <v>-2732</v>
      </c>
      <c r="X237" s="20" t="n">
        <v>-6001</v>
      </c>
    </row>
    <row r="238">
      <c r="A238" s="18" t="inlineStr">
        <is>
          <t>유가증권·투자유가증권 매각·상환 수입</t>
        </is>
      </c>
      <c r="C238" s="20" t="n">
        <v>2984</v>
      </c>
      <c r="D238" s="20" t="n">
        <v>4984</v>
      </c>
      <c r="E238" s="20" t="n">
        <v>6484</v>
      </c>
      <c r="F238" s="20" t="n">
        <v>1782</v>
      </c>
      <c r="G238" s="20" t="n">
        <v>4069</v>
      </c>
      <c r="H238" s="20" t="n">
        <v>5835</v>
      </c>
      <c r="I238" s="20" t="n">
        <v>7435</v>
      </c>
      <c r="J238" s="20" t="n">
        <v>200</v>
      </c>
      <c r="K238" s="20" t="n">
        <v>1917</v>
      </c>
      <c r="L238" s="20" t="n">
        <v>3217</v>
      </c>
      <c r="M238" s="20" t="n">
        <v>4017</v>
      </c>
      <c r="N238" s="20" t="n">
        <v>900</v>
      </c>
      <c r="O238" s="20" t="n">
        <v>3200</v>
      </c>
      <c r="P238" s="20" t="n">
        <v>4200</v>
      </c>
      <c r="Q238" s="20" t="n">
        <v>5913</v>
      </c>
      <c r="R238" s="20" t="n">
        <v>5466</v>
      </c>
      <c r="S238" s="20" t="n">
        <v>2848</v>
      </c>
      <c r="T238" s="20" t="n">
        <v>3900</v>
      </c>
      <c r="U238" s="20" t="n">
        <v>4818</v>
      </c>
      <c r="V238" s="20" t="n">
        <v>6484</v>
      </c>
      <c r="W238" s="20" t="n">
        <v>7435</v>
      </c>
      <c r="X238" s="20" t="n">
        <v>4017</v>
      </c>
    </row>
    <row r="239">
      <c r="A239" s="18" t="inlineStr">
        <is>
          <t>유형자산 취득(설비투자)</t>
        </is>
      </c>
      <c r="C239" s="20" t="n">
        <v>-1252</v>
      </c>
      <c r="D239" s="20" t="n">
        <v>-2143</v>
      </c>
      <c r="E239" s="20" t="n">
        <v>-2708</v>
      </c>
      <c r="F239" s="20" t="n">
        <v>-731</v>
      </c>
      <c r="G239" s="20" t="n">
        <v>-1287</v>
      </c>
      <c r="H239" s="20" t="n">
        <v>-1823</v>
      </c>
      <c r="I239" s="20" t="n">
        <v>-2709</v>
      </c>
      <c r="J239" s="20" t="n">
        <v>-581</v>
      </c>
      <c r="K239" s="20" t="n">
        <v>-1257</v>
      </c>
      <c r="L239" s="20" t="n">
        <v>-2287</v>
      </c>
      <c r="M239" s="20" t="n">
        <v>-3018</v>
      </c>
      <c r="N239" s="20" t="n">
        <v>-732</v>
      </c>
      <c r="O239" s="20" t="n">
        <v>-2000</v>
      </c>
      <c r="P239" s="20" t="n">
        <v>-2546</v>
      </c>
      <c r="Q239" s="20" t="n">
        <v>-3156</v>
      </c>
      <c r="R239" s="20" t="n">
        <v>-2722</v>
      </c>
      <c r="S239" s="20" t="n">
        <v>-4943</v>
      </c>
      <c r="T239" s="20" t="n">
        <v>-4160</v>
      </c>
      <c r="U239" s="20" t="n">
        <v>-3387</v>
      </c>
      <c r="V239" s="20" t="n">
        <v>-2708</v>
      </c>
      <c r="W239" s="20" t="n">
        <v>-2709</v>
      </c>
      <c r="X239" s="20" t="n">
        <v>-3018</v>
      </c>
    </row>
    <row r="240">
      <c r="A240" s="18" t="inlineStr">
        <is>
          <t>유형자산 제각 지출</t>
        </is>
      </c>
      <c r="C240" s="20" t="n">
        <v>-5</v>
      </c>
      <c r="D240" s="20" t="n">
        <v>-10</v>
      </c>
      <c r="E240" s="20" t="n">
        <v>-18</v>
      </c>
      <c r="F240" s="20" t="n">
        <v>-0</v>
      </c>
      <c r="G240" s="20" t="n">
        <v>-0</v>
      </c>
      <c r="H240" s="20" t="n">
        <v>-5</v>
      </c>
      <c r="I240" s="20" t="n">
        <v>-37</v>
      </c>
      <c r="J240" s="20" t="n">
        <v>-3</v>
      </c>
      <c r="K240" s="20" t="n">
        <v>-4</v>
      </c>
      <c r="L240" s="20" t="n">
        <v>-19</v>
      </c>
      <c r="M240" s="20" t="n">
        <v>-23</v>
      </c>
      <c r="N240" s="20" t="n">
        <v>-4</v>
      </c>
      <c r="R240" s="20" t="n">
        <v>-69</v>
      </c>
      <c r="S240" s="20" t="n">
        <v>-150</v>
      </c>
      <c r="T240" s="20" t="n">
        <v>0</v>
      </c>
      <c r="U240" s="20" t="n">
        <v>-32</v>
      </c>
      <c r="V240" s="20" t="n">
        <v>-18</v>
      </c>
      <c r="W240" s="20" t="n">
        <v>-37</v>
      </c>
      <c r="X240" s="20" t="n">
        <v>-23</v>
      </c>
    </row>
    <row r="241">
      <c r="A241" s="18" t="inlineStr">
        <is>
          <t>유형자산 매각</t>
        </is>
      </c>
      <c r="C241" s="20" t="n">
        <v>0</v>
      </c>
      <c r="D241" s="20" t="n">
        <v>2</v>
      </c>
      <c r="E241" s="20" t="n">
        <v>2</v>
      </c>
      <c r="F241" s="20" t="n">
        <v>0</v>
      </c>
      <c r="G241" s="20" t="n">
        <v>1</v>
      </c>
      <c r="H241" s="20" t="n">
        <v>2</v>
      </c>
      <c r="I241" s="20" t="n">
        <v>53</v>
      </c>
      <c r="J241" s="20" t="n">
        <v>111</v>
      </c>
      <c r="K241" s="20" t="n">
        <v>112</v>
      </c>
      <c r="L241" s="20" t="n">
        <v>118</v>
      </c>
      <c r="M241" s="20" t="n">
        <v>161</v>
      </c>
      <c r="N241" s="20" t="n">
        <v>72</v>
      </c>
      <c r="O241" s="20" t="n">
        <v>21</v>
      </c>
      <c r="P241" s="20" t="n">
        <v>45</v>
      </c>
      <c r="Q241" s="20" t="n">
        <v>72</v>
      </c>
      <c r="R241" s="20" t="n">
        <v>153</v>
      </c>
      <c r="S241" s="20" t="n">
        <v>0</v>
      </c>
      <c r="T241" s="20" t="n">
        <v>10</v>
      </c>
      <c r="U241" s="20" t="n">
        <v>39</v>
      </c>
      <c r="V241" s="20" t="n">
        <v>2</v>
      </c>
      <c r="W241" s="20" t="n">
        <v>53</v>
      </c>
      <c r="X241" s="20" t="n">
        <v>161</v>
      </c>
    </row>
    <row r="242">
      <c r="A242" s="18" t="inlineStr">
        <is>
          <t>무형자산 취득</t>
        </is>
      </c>
      <c r="C242" s="20" t="n">
        <v>-132</v>
      </c>
      <c r="D242" s="20" t="n">
        <v>-176</v>
      </c>
      <c r="E242" s="20" t="n">
        <v>-236</v>
      </c>
      <c r="F242" s="20" t="n">
        <v>-48</v>
      </c>
      <c r="G242" s="20" t="n">
        <v>-81</v>
      </c>
      <c r="H242" s="20" t="n">
        <v>-178</v>
      </c>
      <c r="I242" s="20" t="n">
        <v>-247</v>
      </c>
      <c r="J242" s="20" t="n">
        <v>-113</v>
      </c>
      <c r="K242" s="20" t="n">
        <v>-199</v>
      </c>
      <c r="L242" s="20" t="n">
        <v>-276</v>
      </c>
      <c r="M242" s="20" t="n">
        <v>-366</v>
      </c>
      <c r="N242" s="20" t="n">
        <v>-61</v>
      </c>
      <c r="O242" s="20" t="n">
        <v>-88</v>
      </c>
      <c r="P242" s="20" t="n">
        <v>-110</v>
      </c>
      <c r="Q242" s="20" t="n">
        <v>-76</v>
      </c>
      <c r="R242" s="20" t="n">
        <v>-177</v>
      </c>
      <c r="S242" s="20" t="n">
        <v>-136</v>
      </c>
      <c r="T242" s="20" t="n">
        <v>-227</v>
      </c>
      <c r="U242" s="20" t="n">
        <v>-186</v>
      </c>
      <c r="V242" s="20" t="n">
        <v>-236</v>
      </c>
      <c r="W242" s="20" t="n">
        <v>-247</v>
      </c>
      <c r="X242" s="20" t="n">
        <v>-366</v>
      </c>
    </row>
    <row r="243">
      <c r="A243" s="18" t="inlineStr">
        <is>
          <t>무형자산 매각 수입</t>
        </is>
      </c>
      <c r="R243" s="20" t="n">
        <v>0</v>
      </c>
      <c r="S243" s="20" t="n">
        <v>0</v>
      </c>
      <c r="T243" s="20" t="n">
        <v>0</v>
      </c>
    </row>
    <row r="244">
      <c r="A244" s="18" t="inlineStr">
        <is>
          <t>대여</t>
        </is>
      </c>
      <c r="C244" s="20" t="n">
        <v>-0</v>
      </c>
      <c r="D244" s="20" t="n">
        <v>-40</v>
      </c>
      <c r="E244" s="20" t="n">
        <v>-41</v>
      </c>
      <c r="F244" s="20" t="n">
        <v>0</v>
      </c>
      <c r="G244" s="20" t="n">
        <v>-62</v>
      </c>
      <c r="H244" s="20" t="n">
        <v>-62</v>
      </c>
      <c r="I244" s="20" t="n">
        <v>-62</v>
      </c>
      <c r="K244" s="20" t="n">
        <v>-60</v>
      </c>
      <c r="L244" s="20" t="n">
        <v>-60</v>
      </c>
      <c r="M244" s="20" t="n">
        <v>-60</v>
      </c>
      <c r="O244" s="20" t="n">
        <v>-3</v>
      </c>
      <c r="P244" s="20" t="n">
        <v>-2</v>
      </c>
      <c r="Q244" s="20" t="n">
        <v>-14</v>
      </c>
      <c r="R244" s="20" t="n">
        <v>-57</v>
      </c>
      <c r="S244" s="20" t="n">
        <v>-2</v>
      </c>
      <c r="T244" s="20" t="n">
        <v>-1</v>
      </c>
      <c r="U244" s="20" t="n">
        <v>-1</v>
      </c>
      <c r="V244" s="20" t="n">
        <v>-41</v>
      </c>
      <c r="W244" s="20" t="n">
        <v>-62</v>
      </c>
      <c r="X244" s="20" t="n">
        <v>-60</v>
      </c>
    </row>
    <row r="245">
      <c r="A245" s="18" t="inlineStr">
        <is>
          <t>대여금 회수</t>
        </is>
      </c>
      <c r="C245" s="20" t="n">
        <v>11</v>
      </c>
      <c r="D245" s="20" t="n">
        <v>18</v>
      </c>
      <c r="E245" s="20" t="n">
        <v>21</v>
      </c>
      <c r="F245" s="20" t="n">
        <v>6</v>
      </c>
      <c r="G245" s="20" t="n">
        <v>9</v>
      </c>
      <c r="H245" s="20" t="n">
        <v>15</v>
      </c>
      <c r="I245" s="20" t="n">
        <v>18</v>
      </c>
      <c r="J245" s="20" t="n">
        <v>4</v>
      </c>
      <c r="K245" s="20" t="n">
        <v>6</v>
      </c>
      <c r="L245" s="20" t="n">
        <v>11</v>
      </c>
      <c r="M245" s="20" t="n">
        <v>13</v>
      </c>
      <c r="N245" s="20" t="n">
        <v>2</v>
      </c>
      <c r="O245" s="20" t="n">
        <v>112</v>
      </c>
      <c r="P245" s="20" t="n">
        <v>74</v>
      </c>
      <c r="Q245" s="20" t="n">
        <v>53</v>
      </c>
      <c r="R245" s="20" t="n">
        <v>42</v>
      </c>
      <c r="S245" s="20" t="n">
        <v>46</v>
      </c>
      <c r="T245" s="20" t="n">
        <v>36</v>
      </c>
      <c r="U245" s="20" t="n">
        <v>31</v>
      </c>
      <c r="V245" s="20" t="n">
        <v>21</v>
      </c>
      <c r="W245" s="20" t="n">
        <v>18</v>
      </c>
      <c r="X245" s="20" t="n">
        <v>13</v>
      </c>
    </row>
    <row r="246">
      <c r="A246" s="18" t="inlineStr">
        <is>
          <t>골프회원권 매각</t>
        </is>
      </c>
      <c r="P246" s="20" t="n">
        <v>0</v>
      </c>
      <c r="Q246" s="20" t="n">
        <v>6</v>
      </c>
      <c r="R246" s="20" t="n">
        <v>0</v>
      </c>
    </row>
    <row r="247">
      <c r="A247" s="18" t="inlineStr">
        <is>
          <t>자산복구부채 이행 지출</t>
        </is>
      </c>
      <c r="D247" s="20" t="n">
        <v>-0</v>
      </c>
      <c r="E247" s="20" t="n">
        <v>-0</v>
      </c>
      <c r="H247" s="20" t="n">
        <v>0</v>
      </c>
      <c r="I247" s="20" t="n">
        <v>0</v>
      </c>
      <c r="O247" s="20" t="n">
        <v>-10</v>
      </c>
      <c r="P247" s="20" t="n">
        <v>0</v>
      </c>
      <c r="S247" s="20" t="n">
        <v>0</v>
      </c>
      <c r="T247" s="20" t="n">
        <v>-4</v>
      </c>
      <c r="U247" s="20" t="n">
        <v>-14</v>
      </c>
      <c r="V247" s="20" t="n">
        <v>-0</v>
      </c>
      <c r="W247" s="20" t="n">
        <v>0</v>
      </c>
    </row>
    <row r="248">
      <c r="A248" s="18" t="inlineStr">
        <is>
          <t>연결범위 변경 자회사 주식 취득</t>
        </is>
      </c>
      <c r="J248" s="20" t="n">
        <v>0</v>
      </c>
      <c r="N248" s="20" t="n">
        <v>-1873</v>
      </c>
    </row>
    <row r="249">
      <c r="A249" s="9" t="inlineStr">
        <is>
          <t>투자활동 현금흐름</t>
        </is>
      </c>
      <c r="C249" s="12" t="n">
        <v>-1748</v>
      </c>
      <c r="D249" s="12" t="n">
        <v>-3269</v>
      </c>
      <c r="E249" s="12" t="n">
        <v>-3715</v>
      </c>
      <c r="F249" s="12" t="n">
        <v>-2097</v>
      </c>
      <c r="G249" s="12" t="n">
        <v>-1064</v>
      </c>
      <c r="H249" s="12" t="n">
        <v>-692</v>
      </c>
      <c r="I249" s="12" t="n">
        <v>-1750</v>
      </c>
      <c r="J249" s="12" t="n">
        <v>-2685</v>
      </c>
      <c r="K249" s="12" t="n">
        <v>-3797</v>
      </c>
      <c r="L249" s="12" t="n">
        <v>-4348</v>
      </c>
      <c r="M249" s="12" t="n">
        <v>-3406</v>
      </c>
      <c r="N249" s="12" t="n">
        <v>-1263</v>
      </c>
      <c r="O249" s="12" t="n">
        <v>-1816</v>
      </c>
      <c r="P249" s="12" t="n">
        <v>-2931</v>
      </c>
      <c r="Q249" s="12" t="n">
        <v>-6384</v>
      </c>
      <c r="R249" s="12" t="n">
        <v>-5986</v>
      </c>
      <c r="S249" s="12" t="n">
        <v>-5349</v>
      </c>
      <c r="T249" s="12" t="n">
        <v>-2442</v>
      </c>
      <c r="U249" s="12" t="n">
        <v>-1085</v>
      </c>
      <c r="V249" s="12" t="n">
        <v>-3715</v>
      </c>
      <c r="W249" s="12" t="n">
        <v>-1750</v>
      </c>
      <c r="X249" s="12" t="n">
        <v>-3406</v>
      </c>
    </row>
    <row r="250">
      <c r="A250" s="18" t="inlineStr">
        <is>
          <t>Proceeds From Loans Payable Fin CF</t>
        </is>
      </c>
      <c r="E250" s="20" t="n">
        <v>750</v>
      </c>
      <c r="I250" s="20" t="n">
        <v>0</v>
      </c>
      <c r="O250" s="20" t="n">
        <v>0</v>
      </c>
      <c r="P250" s="20" t="n">
        <v>150</v>
      </c>
      <c r="Q250" s="20" t="n">
        <v>0</v>
      </c>
      <c r="T250" s="20" t="n">
        <v>0</v>
      </c>
      <c r="U250" s="20" t="n">
        <v>125</v>
      </c>
      <c r="V250" s="20" t="n">
        <v>750</v>
      </c>
      <c r="W250" s="20" t="n">
        <v>0</v>
      </c>
    </row>
    <row r="251">
      <c r="A251" s="18" t="inlineStr">
        <is>
          <t>Repayments Of Loans Payable Fin CF</t>
        </is>
      </c>
      <c r="D251" s="20" t="n">
        <v>-100</v>
      </c>
      <c r="E251" s="20" t="n">
        <v>-1550</v>
      </c>
      <c r="H251" s="20" t="n">
        <v>-200</v>
      </c>
      <c r="I251" s="20" t="n">
        <v>-300</v>
      </c>
      <c r="L251" s="20" t="n">
        <v>0</v>
      </c>
      <c r="M251" s="20" t="n">
        <v>0</v>
      </c>
      <c r="O251" s="20" t="n">
        <v>0</v>
      </c>
      <c r="P251" s="20" t="n">
        <v>-150</v>
      </c>
      <c r="Q251" s="20" t="n">
        <v>0</v>
      </c>
      <c r="T251" s="20" t="n">
        <v>0</v>
      </c>
      <c r="U251" s="20" t="n">
        <v>-150</v>
      </c>
      <c r="V251" s="20" t="n">
        <v>-1550</v>
      </c>
      <c r="W251" s="20" t="n">
        <v>-300</v>
      </c>
      <c r="X251" s="20" t="n">
        <v>0</v>
      </c>
    </row>
    <row r="252">
      <c r="A252" s="18" t="inlineStr">
        <is>
          <t>장기차입금 상환</t>
        </is>
      </c>
      <c r="J252" s="20" t="n">
        <v>0</v>
      </c>
      <c r="N252" s="20" t="n">
        <v>-15</v>
      </c>
    </row>
    <row r="253">
      <c r="A253" s="18" t="inlineStr">
        <is>
          <t>자기주식 취득</t>
        </is>
      </c>
      <c r="C253" s="20" t="n">
        <v>-1335</v>
      </c>
      <c r="D253" s="20" t="n">
        <v>-2432</v>
      </c>
      <c r="E253" s="20" t="n">
        <v>-2433</v>
      </c>
      <c r="F253" s="20" t="n">
        <v>-0</v>
      </c>
      <c r="G253" s="20" t="n">
        <v>-0</v>
      </c>
      <c r="H253" s="20" t="n">
        <v>-0</v>
      </c>
      <c r="I253" s="20" t="n">
        <v>-2301</v>
      </c>
      <c r="J253" s="20" t="n">
        <v>-99</v>
      </c>
      <c r="K253" s="20" t="n">
        <v>-3411</v>
      </c>
      <c r="L253" s="20" t="n">
        <v>-5599</v>
      </c>
      <c r="M253" s="20" t="n">
        <v>-5600</v>
      </c>
      <c r="N253" s="20" t="n">
        <v>-40</v>
      </c>
      <c r="O253" s="20" t="n">
        <v>-8</v>
      </c>
      <c r="P253" s="20" t="n">
        <v>-7</v>
      </c>
      <c r="Q253" s="20" t="n">
        <v>-532</v>
      </c>
      <c r="R253" s="20" t="n">
        <v>-1</v>
      </c>
      <c r="S253" s="20" t="n">
        <v>-1976</v>
      </c>
      <c r="T253" s="20" t="n">
        <v>-744</v>
      </c>
      <c r="U253" s="20" t="n">
        <v>-0</v>
      </c>
      <c r="V253" s="20" t="n">
        <v>-2433</v>
      </c>
      <c r="W253" s="20" t="n">
        <v>-2301</v>
      </c>
      <c r="X253" s="20" t="n">
        <v>-5600</v>
      </c>
    </row>
    <row r="254">
      <c r="A254" s="18" t="inlineStr">
        <is>
          <t>자기주식 매각</t>
        </is>
      </c>
      <c r="O254" s="20" t="n">
        <v>0</v>
      </c>
      <c r="P254" s="20" t="n">
        <v>0</v>
      </c>
      <c r="Q254" s="20" t="n">
        <v>0</v>
      </c>
      <c r="R254" s="20" t="n">
        <v>0</v>
      </c>
    </row>
    <row r="255">
      <c r="A255" s="18" t="inlineStr">
        <is>
          <t>자기주식 처분</t>
        </is>
      </c>
      <c r="D255" s="20" t="n">
        <v>0</v>
      </c>
      <c r="E255" s="20" t="n">
        <v>0</v>
      </c>
      <c r="H255" s="20" t="n">
        <v>0</v>
      </c>
      <c r="I255" s="20" t="n">
        <v>0</v>
      </c>
      <c r="R255" s="20" t="n">
        <v>0</v>
      </c>
      <c r="S255" s="20" t="n">
        <v>0</v>
      </c>
      <c r="U255" s="20" t="n">
        <v>0</v>
      </c>
      <c r="V255" s="20" t="n">
        <v>0</v>
      </c>
      <c r="W255" s="20" t="n">
        <v>0</v>
      </c>
    </row>
    <row r="256">
      <c r="A256" s="18" t="inlineStr">
        <is>
          <t>배당금 지급</t>
        </is>
      </c>
      <c r="C256" s="20" t="n">
        <v>-3685</v>
      </c>
      <c r="D256" s="20" t="n">
        <v>-3686</v>
      </c>
      <c r="E256" s="20" t="n">
        <v>-3687</v>
      </c>
      <c r="F256" s="20" t="n">
        <v>-4247</v>
      </c>
      <c r="G256" s="20" t="n">
        <v>-4687</v>
      </c>
      <c r="H256" s="20" t="n">
        <v>-4692</v>
      </c>
      <c r="I256" s="20" t="n">
        <v>-4693</v>
      </c>
      <c r="J256" s="20" t="n">
        <v>-4752</v>
      </c>
      <c r="K256" s="20" t="n">
        <v>-5236</v>
      </c>
      <c r="L256" s="20" t="n">
        <v>-5238</v>
      </c>
      <c r="M256" s="20" t="n">
        <v>-5238</v>
      </c>
      <c r="N256" s="20" t="n">
        <v>-6025</v>
      </c>
      <c r="O256" s="20" t="n">
        <v>-1922</v>
      </c>
      <c r="P256" s="20" t="n">
        <v>-2070</v>
      </c>
      <c r="Q256" s="20" t="n">
        <v>-2068</v>
      </c>
      <c r="R256" s="20" t="n">
        <v>-2152</v>
      </c>
      <c r="S256" s="20" t="n">
        <v>-2248</v>
      </c>
      <c r="T256" s="20" t="n">
        <v>-2290</v>
      </c>
      <c r="U256" s="20" t="n">
        <v>-3024</v>
      </c>
      <c r="V256" s="20" t="n">
        <v>-3687</v>
      </c>
      <c r="W256" s="20" t="n">
        <v>-4693</v>
      </c>
      <c r="X256" s="20" t="n">
        <v>-5238</v>
      </c>
    </row>
    <row r="257">
      <c r="A257" s="18" t="inlineStr">
        <is>
          <t>비지배주주 배당금 지급</t>
        </is>
      </c>
      <c r="C257" s="20" t="n">
        <v>-1</v>
      </c>
      <c r="D257" s="20" t="n">
        <v>-1</v>
      </c>
      <c r="E257" s="20" t="n">
        <v>-1</v>
      </c>
      <c r="F257" s="20" t="n">
        <v>-0</v>
      </c>
      <c r="G257" s="20" t="n">
        <v>-0</v>
      </c>
      <c r="H257" s="20" t="n">
        <v>-0</v>
      </c>
      <c r="I257" s="20" t="n">
        <v>-0</v>
      </c>
      <c r="J257" s="20" t="n">
        <v>-1</v>
      </c>
      <c r="K257" s="20" t="n">
        <v>-1</v>
      </c>
      <c r="L257" s="20" t="n">
        <v>-1</v>
      </c>
      <c r="M257" s="20" t="n">
        <v>-1</v>
      </c>
      <c r="N257" s="20" t="n">
        <v>-0</v>
      </c>
      <c r="O257" s="20" t="n">
        <v>-4</v>
      </c>
      <c r="P257" s="20" t="n">
        <v>-1</v>
      </c>
      <c r="Q257" s="20" t="n">
        <v>-0</v>
      </c>
      <c r="R257" s="20" t="n">
        <v>-1</v>
      </c>
      <c r="S257" s="20" t="n">
        <v>-0</v>
      </c>
      <c r="T257" s="20" t="n">
        <v>0</v>
      </c>
      <c r="U257" s="20" t="n">
        <v>0</v>
      </c>
      <c r="V257" s="20" t="n">
        <v>-1</v>
      </c>
      <c r="W257" s="20" t="n">
        <v>-0</v>
      </c>
      <c r="X257" s="20" t="n">
        <v>-1</v>
      </c>
    </row>
    <row r="258">
      <c r="A258" s="18" t="inlineStr">
        <is>
          <t>리스부채 상환</t>
        </is>
      </c>
      <c r="C258" s="20" t="n">
        <v>-141</v>
      </c>
      <c r="D258" s="20" t="n">
        <v>-209</v>
      </c>
      <c r="E258" s="20" t="n">
        <v>-274</v>
      </c>
      <c r="F258" s="20" t="n">
        <v>-79</v>
      </c>
      <c r="G258" s="20" t="n">
        <v>-157</v>
      </c>
      <c r="H258" s="20" t="n">
        <v>-236</v>
      </c>
      <c r="I258" s="20" t="n">
        <v>-318</v>
      </c>
      <c r="J258" s="20" t="n">
        <v>-80</v>
      </c>
      <c r="K258" s="20" t="n">
        <v>-161</v>
      </c>
      <c r="L258" s="20" t="n">
        <v>-241</v>
      </c>
      <c r="M258" s="20" t="n">
        <v>-321</v>
      </c>
      <c r="N258" s="20" t="n">
        <v>-81</v>
      </c>
      <c r="O258" s="20" t="n">
        <v>-217</v>
      </c>
      <c r="P258" s="20" t="n">
        <v>-201</v>
      </c>
      <c r="Q258" s="20" t="n">
        <v>-223</v>
      </c>
      <c r="R258" s="20" t="n">
        <v>-257</v>
      </c>
      <c r="S258" s="20" t="n">
        <v>-258</v>
      </c>
      <c r="T258" s="20" t="n">
        <v>-238</v>
      </c>
      <c r="U258" s="20" t="n">
        <v>-282</v>
      </c>
      <c r="V258" s="20" t="n">
        <v>-274</v>
      </c>
      <c r="W258" s="20" t="n">
        <v>-318</v>
      </c>
      <c r="X258" s="20" t="n">
        <v>-321</v>
      </c>
    </row>
    <row r="259">
      <c r="A259" s="9" t="inlineStr">
        <is>
          <t>재무활동 현금흐름</t>
        </is>
      </c>
      <c r="C259" s="12" t="n">
        <v>-5164</v>
      </c>
      <c r="D259" s="12" t="n">
        <v>-6429</v>
      </c>
      <c r="E259" s="12" t="n">
        <v>-7196</v>
      </c>
      <c r="F259" s="12" t="n">
        <v>-4328</v>
      </c>
      <c r="G259" s="12" t="n">
        <v>-4846</v>
      </c>
      <c r="H259" s="12" t="n">
        <v>-5131</v>
      </c>
      <c r="I259" s="12" t="n">
        <v>-7614</v>
      </c>
      <c r="J259" s="12" t="n">
        <v>-4933</v>
      </c>
      <c r="K259" s="12" t="n">
        <v>-8810</v>
      </c>
      <c r="L259" s="12" t="n">
        <v>-11079</v>
      </c>
      <c r="M259" s="12" t="n">
        <v>-11161</v>
      </c>
      <c r="N259" s="12" t="n">
        <v>-6164</v>
      </c>
      <c r="O259" s="12" t="n">
        <v>-2152</v>
      </c>
      <c r="P259" s="12" t="n">
        <v>-2279</v>
      </c>
      <c r="Q259" s="12" t="n">
        <v>-2824</v>
      </c>
      <c r="R259" s="12" t="n">
        <v>-2411</v>
      </c>
      <c r="S259" s="12" t="n">
        <v>-4483</v>
      </c>
      <c r="T259" s="12" t="n">
        <v>-3274</v>
      </c>
      <c r="U259" s="12" t="n">
        <v>-3332</v>
      </c>
      <c r="V259" s="12" t="n">
        <v>-7196</v>
      </c>
      <c r="W259" s="12" t="n">
        <v>-7614</v>
      </c>
      <c r="X259" s="12" t="n">
        <v>-11161</v>
      </c>
    </row>
    <row r="260">
      <c r="A260" s="18" t="inlineStr">
        <is>
          <t>현금성자산 환산차이</t>
        </is>
      </c>
      <c r="C260" s="20" t="n">
        <v>1283</v>
      </c>
      <c r="D260" s="20" t="n">
        <v>855</v>
      </c>
      <c r="E260" s="20" t="n">
        <v>1383</v>
      </c>
      <c r="F260" s="20" t="n">
        <v>819</v>
      </c>
      <c r="G260" s="20" t="n">
        <v>-299</v>
      </c>
      <c r="H260" s="20" t="n">
        <v>450</v>
      </c>
      <c r="I260" s="20" t="n">
        <v>-220</v>
      </c>
      <c r="J260" s="20" t="n">
        <v>-4</v>
      </c>
      <c r="K260" s="20" t="n">
        <v>427</v>
      </c>
      <c r="L260" s="20" t="n">
        <v>1371</v>
      </c>
      <c r="M260" s="20" t="n">
        <v>1456</v>
      </c>
      <c r="N260" s="20" t="n">
        <v>245</v>
      </c>
      <c r="O260" s="20" t="n">
        <v>-361</v>
      </c>
      <c r="P260" s="20" t="n">
        <v>109</v>
      </c>
      <c r="Q260" s="20" t="n">
        <v>-137</v>
      </c>
      <c r="R260" s="20" t="n">
        <v>-272</v>
      </c>
      <c r="S260" s="20" t="n">
        <v>594</v>
      </c>
      <c r="T260" s="20" t="n">
        <v>1102</v>
      </c>
      <c r="U260" s="20" t="n">
        <v>721</v>
      </c>
      <c r="V260" s="20" t="n">
        <v>1383</v>
      </c>
      <c r="W260" s="20" t="n">
        <v>-220</v>
      </c>
      <c r="X260" s="20" t="n">
        <v>1456</v>
      </c>
    </row>
    <row r="261">
      <c r="A261" s="18" t="inlineStr">
        <is>
          <t>현금성자산 증감</t>
        </is>
      </c>
      <c r="C261" s="20" t="n">
        <v>1367</v>
      </c>
      <c r="D261" s="20" t="n">
        <v>-192</v>
      </c>
      <c r="E261" s="20" t="n">
        <v>2591</v>
      </c>
      <c r="F261" s="20" t="n">
        <v>-3076</v>
      </c>
      <c r="G261" s="20" t="n">
        <v>1224</v>
      </c>
      <c r="H261" s="20" t="n">
        <v>4950</v>
      </c>
      <c r="I261" s="20" t="n">
        <v>5003</v>
      </c>
      <c r="J261" s="20" t="n">
        <v>-4655</v>
      </c>
      <c r="K261" s="20" t="n">
        <v>-4569</v>
      </c>
      <c r="L261" s="20" t="n">
        <v>-2626</v>
      </c>
      <c r="M261" s="20" t="n">
        <v>1687</v>
      </c>
      <c r="N261" s="20" t="n">
        <v>-4432</v>
      </c>
      <c r="O261" s="20" t="n">
        <v>4182</v>
      </c>
      <c r="P261" s="20" t="n">
        <v>1757</v>
      </c>
      <c r="Q261" s="20" t="n">
        <v>-1532</v>
      </c>
      <c r="R261" s="20" t="n">
        <v>-340</v>
      </c>
      <c r="S261" s="20" t="n">
        <v>-440</v>
      </c>
      <c r="T261" s="20" t="n">
        <v>1014</v>
      </c>
      <c r="U261" s="20" t="n">
        <v>4552</v>
      </c>
      <c r="V261" s="20" t="n">
        <v>2591</v>
      </c>
      <c r="W261" s="20" t="n">
        <v>5003</v>
      </c>
      <c r="X261" s="20" t="n">
        <v>1687</v>
      </c>
    </row>
    <row r="262">
      <c r="A262" s="18" t="inlineStr">
        <is>
          <t>신규 연결 현금성자산 증가</t>
        </is>
      </c>
      <c r="R262" s="20" t="n">
        <v>0</v>
      </c>
      <c r="S262" s="20" t="n">
        <v>11</v>
      </c>
      <c r="T26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6454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70686</v>
      </c>
      <c r="D5" s="12" t="n">
        <v>71649</v>
      </c>
      <c r="E5" s="12" t="n">
        <v>72807</v>
      </c>
      <c r="F5" s="12" t="n">
        <v>77643</v>
      </c>
      <c r="G5" s="12" t="n">
        <v>74329</v>
      </c>
      <c r="H5" s="11" t="n">
        <v>54930</v>
      </c>
      <c r="I5" s="12" t="n">
        <v>63688</v>
      </c>
      <c r="J5" s="12" t="n">
        <v>69392</v>
      </c>
      <c r="K5" s="12" t="n">
        <v>74246</v>
      </c>
      <c r="L5" s="12" t="n">
        <v>77643</v>
      </c>
    </row>
    <row r="6">
      <c r="A6" s="18" t="inlineStr">
        <is>
          <t>현금및현금성자산</t>
        </is>
      </c>
      <c r="B6" s="10" t="n"/>
      <c r="C6" s="19" t="n">
        <v>35675</v>
      </c>
      <c r="D6" s="20" t="n">
        <v>35420</v>
      </c>
      <c r="E6" s="20" t="n">
        <v>36724</v>
      </c>
      <c r="F6" s="20" t="n">
        <v>40280</v>
      </c>
      <c r="G6" s="20" t="n">
        <v>35465</v>
      </c>
      <c r="H6" s="19" t="n">
        <v>23302</v>
      </c>
      <c r="I6" s="20" t="n">
        <v>27615</v>
      </c>
      <c r="J6" s="20" t="n">
        <v>31624</v>
      </c>
      <c r="K6" s="20" t="n">
        <v>40175</v>
      </c>
      <c r="L6" s="20" t="n">
        <v>40280</v>
      </c>
    </row>
    <row r="7">
      <c r="A7" s="18" t="inlineStr">
        <is>
          <t>단기금융상품</t>
        </is>
      </c>
      <c r="B7" s="10" t="n"/>
      <c r="C7" s="19" t="n">
        <v>4187</v>
      </c>
      <c r="D7" s="20" t="n">
        <v>3587</v>
      </c>
      <c r="E7" s="20" t="n">
        <v>3283</v>
      </c>
      <c r="F7" s="20" t="n">
        <v>3082</v>
      </c>
      <c r="G7" s="20" t="n">
        <v>2586</v>
      </c>
      <c r="H7" s="19" t="n">
        <v>4810</v>
      </c>
      <c r="I7" s="20" t="n">
        <v>6203</v>
      </c>
      <c r="J7" s="20" t="n">
        <v>6595</v>
      </c>
      <c r="K7" s="20" t="n">
        <v>3487</v>
      </c>
      <c r="L7" s="20" t="n">
        <v>3082</v>
      </c>
    </row>
    <row r="8">
      <c r="A8" s="18" t="inlineStr">
        <is>
          <t>매출채권</t>
        </is>
      </c>
      <c r="B8" s="10" t="n"/>
      <c r="C8" s="19" t="n">
        <v>15183</v>
      </c>
      <c r="D8" s="20" t="n">
        <v>14185</v>
      </c>
      <c r="E8" s="20" t="n">
        <v>13709</v>
      </c>
      <c r="F8" s="20" t="n">
        <v>14773</v>
      </c>
      <c r="G8" s="20" t="n">
        <v>15403</v>
      </c>
      <c r="H8" s="19" t="n">
        <v>13785</v>
      </c>
      <c r="I8" s="20" t="n">
        <v>14720</v>
      </c>
      <c r="J8" s="20" t="n">
        <v>15770</v>
      </c>
      <c r="K8" s="20" t="n">
        <v>14079</v>
      </c>
      <c r="L8" s="20" t="n">
        <v>14773</v>
      </c>
    </row>
    <row r="9">
      <c r="A9" s="18" t="inlineStr">
        <is>
          <t>재고자산</t>
        </is>
      </c>
      <c r="B9" s="10" t="n"/>
      <c r="C9" s="19" t="n">
        <v>13798</v>
      </c>
      <c r="D9" s="20" t="n">
        <v>14185</v>
      </c>
      <c r="E9" s="20" t="n">
        <v>14726</v>
      </c>
      <c r="F9" s="20" t="n">
        <v>15471</v>
      </c>
      <c r="G9" s="20" t="n">
        <v>16760</v>
      </c>
      <c r="H9" s="19" t="n">
        <v>11184</v>
      </c>
      <c r="I9" s="20" t="n">
        <v>13865</v>
      </c>
      <c r="J9" s="20" t="n">
        <v>13947</v>
      </c>
      <c r="K9" s="20" t="n">
        <v>13354</v>
      </c>
      <c r="L9" s="20" t="n">
        <v>15471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51290</v>
      </c>
      <c r="D11" s="12" t="n">
        <v>53718</v>
      </c>
      <c r="E11" s="12" t="n">
        <v>55201</v>
      </c>
      <c r="F11" s="12" t="n">
        <v>60286</v>
      </c>
      <c r="G11" s="12" t="n">
        <v>62680</v>
      </c>
      <c r="H11" s="11" t="n">
        <v>54113</v>
      </c>
      <c r="I11" s="12" t="n">
        <v>53054</v>
      </c>
      <c r="J11" s="12" t="n">
        <v>52324</v>
      </c>
      <c r="K11" s="12" t="n">
        <v>52329</v>
      </c>
      <c r="L11" s="12" t="n">
        <v>60286</v>
      </c>
    </row>
    <row r="12">
      <c r="A12" s="18" t="inlineStr">
        <is>
          <t>유형자산</t>
        </is>
      </c>
      <c r="B12" s="10" t="n"/>
      <c r="C12" s="19" t="n">
        <v>26615</v>
      </c>
      <c r="D12" s="20" t="n">
        <v>26812</v>
      </c>
      <c r="E12" s="20" t="n">
        <v>27453</v>
      </c>
      <c r="F12" s="20" t="n">
        <v>27398</v>
      </c>
      <c r="G12" s="20" t="n">
        <v>27720</v>
      </c>
      <c r="H12" s="19" t="n">
        <v>24963</v>
      </c>
      <c r="I12" s="20" t="n">
        <v>26017</v>
      </c>
      <c r="J12" s="20" t="n">
        <v>26357</v>
      </c>
      <c r="K12" s="20" t="n">
        <v>26632</v>
      </c>
      <c r="L12" s="20" t="n">
        <v>27398</v>
      </c>
    </row>
    <row r="13">
      <c r="A13" s="18" t="inlineStr">
        <is>
          <t>무형자산</t>
        </is>
      </c>
      <c r="B13" s="10" t="n"/>
      <c r="C13" s="19" t="n">
        <v>618</v>
      </c>
      <c r="D13" s="20" t="n">
        <v>671</v>
      </c>
      <c r="E13" s="20" t="n">
        <v>678</v>
      </c>
      <c r="F13" s="20" t="n">
        <v>719</v>
      </c>
      <c r="G13" s="20" t="n">
        <v>2021</v>
      </c>
      <c r="H13" s="19" t="n">
        <v>440</v>
      </c>
      <c r="I13" s="20" t="n">
        <v>454</v>
      </c>
      <c r="J13" s="20" t="n">
        <v>514</v>
      </c>
      <c r="K13" s="20" t="n">
        <v>566</v>
      </c>
      <c r="L13" s="20" t="n">
        <v>719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121977</v>
      </c>
      <c r="D16" s="12" t="n">
        <v>125367</v>
      </c>
      <c r="E16" s="12" t="n">
        <v>128008</v>
      </c>
      <c r="F16" s="12" t="n">
        <v>137929</v>
      </c>
      <c r="G16" s="12" t="n">
        <v>137010</v>
      </c>
      <c r="H16" s="11" t="n">
        <v>109043</v>
      </c>
      <c r="I16" s="12" t="n">
        <v>116742</v>
      </c>
      <c r="J16" s="12" t="n">
        <v>121717</v>
      </c>
      <c r="K16" s="12" t="n">
        <v>126575</v>
      </c>
      <c r="L16" s="12" t="n">
        <v>137929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14329</v>
      </c>
      <c r="D18" s="12" t="n">
        <v>16105</v>
      </c>
      <c r="E18" s="12" t="n">
        <v>15450</v>
      </c>
      <c r="F18" s="12" t="n">
        <v>16313</v>
      </c>
      <c r="G18" s="12" t="n">
        <v>17381</v>
      </c>
      <c r="H18" s="11" t="n">
        <v>14051</v>
      </c>
      <c r="I18" s="12" t="n">
        <v>15660</v>
      </c>
      <c r="J18" s="12" t="n">
        <v>14297</v>
      </c>
      <c r="K18" s="12" t="n">
        <v>14622</v>
      </c>
      <c r="L18" s="12" t="n">
        <v>16313</v>
      </c>
    </row>
    <row r="19">
      <c r="A19" s="18" t="inlineStr">
        <is>
          <t>매입채무</t>
        </is>
      </c>
      <c r="B19" s="10" t="n"/>
      <c r="C19" s="19" t="n">
        <v>3803</v>
      </c>
      <c r="D19" s="20" t="n">
        <v>3800</v>
      </c>
      <c r="E19" s="20" t="n">
        <v>4297</v>
      </c>
      <c r="F19" s="20" t="n">
        <v>4217</v>
      </c>
      <c r="G19" s="20" t="n">
        <v>4431</v>
      </c>
      <c r="H19" s="19" t="n">
        <v>4223</v>
      </c>
      <c r="I19" s="20" t="n">
        <v>4204</v>
      </c>
      <c r="J19" s="20" t="n">
        <v>3671</v>
      </c>
      <c r="K19" s="20" t="n">
        <v>3726</v>
      </c>
      <c r="L19" s="20" t="n">
        <v>4217</v>
      </c>
    </row>
    <row r="20">
      <c r="A20" s="18" t="inlineStr">
        <is>
          <t>단기차입금</t>
        </is>
      </c>
      <c r="B20" s="10" t="n"/>
      <c r="C20" s="19" t="n">
        <v>750</v>
      </c>
      <c r="D20" s="20" t="n">
        <v>750</v>
      </c>
      <c r="E20" s="20" t="n">
        <v>750</v>
      </c>
      <c r="F20" s="20" t="n">
        <v>750</v>
      </c>
      <c r="G20" s="20" t="n">
        <v>860</v>
      </c>
      <c r="H20" s="19" t="n">
        <v>2000</v>
      </c>
      <c r="I20" s="20" t="n">
        <v>1850</v>
      </c>
      <c r="J20" s="20" t="n">
        <v>1050</v>
      </c>
      <c r="K20" s="20" t="n">
        <v>750</v>
      </c>
      <c r="L20" s="20" t="n">
        <v>750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3691</v>
      </c>
      <c r="D23" s="12" t="n">
        <v>3294</v>
      </c>
      <c r="E23" s="12" t="n">
        <v>3092</v>
      </c>
      <c r="F23" s="12" t="n">
        <v>6150</v>
      </c>
      <c r="G23" s="12" t="n">
        <v>6735</v>
      </c>
      <c r="H23" s="11" t="n">
        <v>11855</v>
      </c>
      <c r="I23" s="12" t="n">
        <v>12176</v>
      </c>
      <c r="J23" s="12" t="n">
        <v>7573</v>
      </c>
      <c r="K23" s="12" t="n">
        <v>5919</v>
      </c>
      <c r="L23" s="12" t="n">
        <v>6150</v>
      </c>
    </row>
    <row r="24">
      <c r="A24" s="18" t="inlineStr">
        <is>
          <t>장기차입금</t>
        </is>
      </c>
      <c r="B24" s="10" t="n"/>
      <c r="C24" s="19" t="n">
        <v>125</v>
      </c>
      <c r="D24" s="20" t="n">
        <v>125</v>
      </c>
      <c r="E24" s="20" t="n">
        <v>125</v>
      </c>
      <c r="F24" s="20" t="n">
        <v>125</v>
      </c>
      <c r="G24" s="20" t="n">
        <v>368</v>
      </c>
      <c r="H24" s="19" t="n">
        <v>0</v>
      </c>
      <c r="I24" s="20" t="n">
        <v>125</v>
      </c>
      <c r="J24" s="20" t="n">
        <v>125</v>
      </c>
      <c r="K24" s="20" t="n">
        <v>125</v>
      </c>
      <c r="L24" s="20" t="n">
        <v>125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18021</v>
      </c>
      <c r="D27" s="12" t="n">
        <v>19400</v>
      </c>
      <c r="E27" s="12" t="n">
        <v>18542</v>
      </c>
      <c r="F27" s="12" t="n">
        <v>22464</v>
      </c>
      <c r="G27" s="12" t="n">
        <v>24117</v>
      </c>
      <c r="H27" s="11" t="n">
        <v>25907</v>
      </c>
      <c r="I27" s="12" t="n">
        <v>27836</v>
      </c>
      <c r="J27" s="12" t="n">
        <v>21870</v>
      </c>
      <c r="K27" s="12" t="n">
        <v>20541</v>
      </c>
      <c r="L27" s="12" t="n">
        <v>22464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103827</v>
      </c>
      <c r="D31" s="12" t="n">
        <v>105833</v>
      </c>
      <c r="E31" s="12" t="n">
        <v>109318</v>
      </c>
      <c r="F31" s="12" t="n">
        <v>115313</v>
      </c>
      <c r="G31" s="12" t="n">
        <v>112736</v>
      </c>
      <c r="H31" s="11" t="n">
        <v>83036</v>
      </c>
      <c r="I31" s="12" t="n">
        <v>88796</v>
      </c>
      <c r="J31" s="12" t="n">
        <v>99731</v>
      </c>
      <c r="K31" s="12" t="n">
        <v>105907</v>
      </c>
      <c r="L31" s="12" t="n">
        <v>115313</v>
      </c>
    </row>
    <row r="32">
      <c r="A32" s="18" t="inlineStr">
        <is>
          <t>자본금</t>
        </is>
      </c>
      <c r="B32" s="10" t="n"/>
      <c r="C32" s="19" t="n">
        <v>12367</v>
      </c>
      <c r="D32" s="20" t="n">
        <v>12367</v>
      </c>
      <c r="E32" s="20" t="n">
        <v>12367</v>
      </c>
      <c r="F32" s="20" t="n">
        <v>12367</v>
      </c>
      <c r="G32" s="20" t="n">
        <v>12367</v>
      </c>
      <c r="H32" s="19" t="n">
        <v>12367</v>
      </c>
      <c r="I32" s="20" t="n">
        <v>12367</v>
      </c>
      <c r="J32" s="20" t="n">
        <v>12367</v>
      </c>
      <c r="K32" s="20" t="n">
        <v>12367</v>
      </c>
      <c r="L32" s="20" t="n">
        <v>12367</v>
      </c>
    </row>
    <row r="33">
      <c r="A33" s="18" t="inlineStr">
        <is>
          <t>이익잉여금</t>
        </is>
      </c>
      <c r="B33" s="10" t="n"/>
      <c r="C33" s="19" t="n">
        <v>72566</v>
      </c>
      <c r="D33" s="20" t="n">
        <v>76259</v>
      </c>
      <c r="E33" s="20" t="n">
        <v>79872</v>
      </c>
      <c r="F33" s="20" t="n">
        <v>82862</v>
      </c>
      <c r="G33" s="20" t="n">
        <v>80558</v>
      </c>
      <c r="H33" s="19" t="n">
        <v>58929</v>
      </c>
      <c r="I33" s="20" t="n">
        <v>63521</v>
      </c>
      <c r="J33" s="20" t="n">
        <v>70267</v>
      </c>
      <c r="K33" s="20" t="n">
        <v>74210</v>
      </c>
      <c r="L33" s="20" t="n">
        <v>82862</v>
      </c>
    </row>
    <row r="34">
      <c r="A34" s="18" t="inlineStr">
        <is>
          <t>비지배지분</t>
        </is>
      </c>
      <c r="B34" s="10" t="n"/>
      <c r="C34" s="19" t="n">
        <v>129</v>
      </c>
      <c r="D34" s="20" t="n">
        <v>134</v>
      </c>
      <c r="E34" s="20" t="n">
        <v>147</v>
      </c>
      <c r="F34" s="20" t="n">
        <v>152</v>
      </c>
      <c r="G34" s="20" t="n">
        <v>156</v>
      </c>
      <c r="H34" s="19" t="n">
        <v>100</v>
      </c>
      <c r="I34" s="20" t="n">
        <v>110</v>
      </c>
      <c r="J34" s="20" t="n">
        <v>116</v>
      </c>
      <c r="K34" s="20" t="n">
        <v>127</v>
      </c>
      <c r="L34" s="20" t="n">
        <v>152</v>
      </c>
    </row>
    <row r="35">
      <c r="A35" s="9" t="inlineStr">
        <is>
          <t>자본총계</t>
        </is>
      </c>
      <c r="B35" s="10" t="n"/>
      <c r="C35" s="11" t="n">
        <v>103956</v>
      </c>
      <c r="D35" s="12" t="n">
        <v>105967</v>
      </c>
      <c r="E35" s="12" t="n">
        <v>109465</v>
      </c>
      <c r="F35" s="12" t="n">
        <v>115465</v>
      </c>
      <c r="G35" s="12" t="n">
        <v>112892</v>
      </c>
      <c r="H35" s="11" t="n">
        <v>83136</v>
      </c>
      <c r="I35" s="12" t="n">
        <v>88906</v>
      </c>
      <c r="J35" s="12" t="n">
        <v>99847</v>
      </c>
      <c r="K35" s="12" t="n">
        <v>106034</v>
      </c>
      <c r="L35" s="12" t="n">
        <v>115465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15027</v>
      </c>
      <c r="D37" s="12" t="n">
        <v>14763</v>
      </c>
      <c r="E37" s="12" t="n">
        <v>15694</v>
      </c>
      <c r="F37" s="12" t="n">
        <v>14799</v>
      </c>
      <c r="G37" s="12" t="n">
        <v>14580</v>
      </c>
      <c r="H37" s="11" t="n">
        <v>5629</v>
      </c>
      <c r="I37" s="12" t="n">
        <v>8248</v>
      </c>
      <c r="J37" s="12" t="n">
        <v>12120</v>
      </c>
      <c r="K37" s="12" t="n">
        <v>14588</v>
      </c>
      <c r="L37" s="12" t="n">
        <v>14799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2871</v>
      </c>
      <c r="D38" s="20" t="n">
        <v>3044</v>
      </c>
      <c r="E38" s="20" t="n">
        <v>3518</v>
      </c>
      <c r="F38" s="20" t="n">
        <v>3384</v>
      </c>
      <c r="G38" s="20" t="n">
        <v>3483</v>
      </c>
      <c r="H38" s="19" t="n">
        <v>4387</v>
      </c>
      <c r="I38" s="20" t="n">
        <v>3573</v>
      </c>
      <c r="J38" s="20" t="n">
        <v>2944</v>
      </c>
      <c r="K38" s="20" t="n">
        <v>2956</v>
      </c>
      <c r="L38" s="20" t="n">
        <v>3384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5198</v>
      </c>
      <c r="D40" s="20" t="n">
        <v>5242</v>
      </c>
      <c r="E40" s="20" t="n">
        <v>5239</v>
      </c>
      <c r="F40" s="20" t="n">
        <v>5238</v>
      </c>
      <c r="G40" s="20" t="n">
        <v>6511</v>
      </c>
      <c r="H40" s="19" t="n">
        <v>2290</v>
      </c>
      <c r="I40" s="20" t="n">
        <v>3024</v>
      </c>
      <c r="J40" s="20" t="n">
        <v>3687</v>
      </c>
      <c r="K40" s="20" t="n">
        <v>4693</v>
      </c>
      <c r="L40" s="20" t="n">
        <v>5238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IFERROR(IF((IF(COUNT('연간'!G53:J53)&lt;4,"",SUM('연간'!G53:J53)))&lt;=0,"적자",C28/(IF(COUNT('연간'!G53:J53)&lt;4,"",SUM('연간'!G53:J53)))),"")</f>
        <v/>
      </c>
      <c r="D49" s="47">
        <f>IFERROR(IF((IF(COUNT('연간'!H53:K53)&lt;4,"",SUM('연간'!H53:K53)))&lt;=0,"적자",D28/(IF(COUNT('연간'!H53:K53)&lt;4,"",SUM('연간'!H53:K53)))),"")</f>
        <v/>
      </c>
      <c r="E49" s="47">
        <f>IFERROR(IF((IF(COUNT('연간'!I53:L53)&lt;4,"",SUM('연간'!I53:L53)))&lt;=0,"적자",E28/(IF(COUNT('연간'!I53:L53)&lt;4,"",SUM('연간'!I53:L53)))),"")</f>
        <v/>
      </c>
      <c r="F49" s="47">
        <f>IFERROR(IF((IF(COUNT('연간'!J53:M53)&lt;4,"",SUM('연간'!J53:M53)))&lt;=0,"적자",F28/(IF(COUNT('연간'!J53:M53)&lt;4,"",SUM('연간'!J53:M53)))),"")</f>
        <v/>
      </c>
      <c r="G49" s="47">
        <f>IFERROR(IF((IF(COUNT('연간'!K53:N53)&lt;4,"",SUM('연간'!K53:N53)))&lt;=0,"적자",G28/(IF(COUNT('연간'!K53:N53)&lt;4,"",SUM('연간'!K53:N53)))),"")</f>
        <v/>
      </c>
      <c r="H49" s="46">
        <f>IFERROR(IF(('연간'!T53)&lt;=0,"적자",H28/('연간'!T53)),"")</f>
        <v/>
      </c>
      <c r="I49" s="47">
        <f>IFERROR(IF(('연간'!U53)&lt;=0,"적자",I28/('연간'!U53)),"")</f>
        <v/>
      </c>
      <c r="J49" s="47">
        <f>IFERROR(IF(('연간'!V53)&lt;=0,"적자",J28/('연간'!V53)),"")</f>
        <v/>
      </c>
      <c r="K49" s="47">
        <f>IFERROR(IF(('연간'!W53)&lt;=0,"적자",K28/('연간'!W53)),"")</f>
        <v/>
      </c>
      <c r="L49" s="47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35675</v>
      </c>
      <c r="D71" s="20" t="n">
        <v>35420</v>
      </c>
      <c r="E71" s="20" t="n">
        <v>36724</v>
      </c>
      <c r="F71" s="20" t="n">
        <v>40280</v>
      </c>
      <c r="G71" s="20" t="n">
        <v>35465</v>
      </c>
      <c r="H71" s="20" t="n">
        <v>23302</v>
      </c>
      <c r="I71" s="20" t="n">
        <v>27615</v>
      </c>
      <c r="J71" s="20" t="n">
        <v>31624</v>
      </c>
      <c r="K71" s="20" t="n">
        <v>40175</v>
      </c>
      <c r="L71" s="20" t="n">
        <v>40280</v>
      </c>
    </row>
    <row r="72">
      <c r="A72" s="18" t="inlineStr">
        <is>
          <t>받을어음</t>
        </is>
      </c>
      <c r="F72" s="20" t="n">
        <v>25</v>
      </c>
      <c r="H72" s="20" t="n">
        <v>323</v>
      </c>
      <c r="I72" s="20" t="n">
        <v>350</v>
      </c>
      <c r="J72" s="20" t="n">
        <v>363</v>
      </c>
      <c r="K72" s="20" t="n">
        <v>266</v>
      </c>
      <c r="L72" s="20" t="n">
        <v>25</v>
      </c>
    </row>
    <row r="73">
      <c r="A73" s="18" t="inlineStr">
        <is>
          <t>받을어음·매출채권</t>
        </is>
      </c>
      <c r="C73" s="20" t="n">
        <v>15183</v>
      </c>
      <c r="D73" s="20" t="n">
        <v>14185</v>
      </c>
      <c r="E73" s="20" t="n">
        <v>13709</v>
      </c>
      <c r="F73" s="20" t="n">
        <v>14773</v>
      </c>
      <c r="G73" s="20" t="n">
        <v>15403</v>
      </c>
      <c r="H73" s="20" t="n">
        <v>13785</v>
      </c>
      <c r="I73" s="20" t="n">
        <v>14720</v>
      </c>
      <c r="J73" s="20" t="n">
        <v>15770</v>
      </c>
      <c r="K73" s="20" t="n">
        <v>14079</v>
      </c>
      <c r="L73" s="20" t="n">
        <v>14773</v>
      </c>
    </row>
    <row r="74">
      <c r="A74" s="18" t="inlineStr">
        <is>
          <t>전자기록채권</t>
        </is>
      </c>
      <c r="D74" s="20" t="n">
        <v>1690</v>
      </c>
      <c r="E74" s="20" t="n">
        <v>2336</v>
      </c>
      <c r="F74" s="20" t="n">
        <v>2003</v>
      </c>
      <c r="G74" s="20" t="n">
        <v>2046</v>
      </c>
      <c r="H74" s="20" t="n">
        <v>1102</v>
      </c>
      <c r="I74" s="20" t="n">
        <v>1276</v>
      </c>
      <c r="J74" s="20" t="n">
        <v>1487</v>
      </c>
      <c r="K74" s="20" t="n">
        <v>1482</v>
      </c>
      <c r="L74" s="20" t="n">
        <v>2003</v>
      </c>
    </row>
    <row r="75">
      <c r="A75" s="18" t="inlineStr">
        <is>
          <t>매출채권</t>
        </is>
      </c>
      <c r="F75" s="20" t="n">
        <v>14747</v>
      </c>
      <c r="H75" s="20" t="n">
        <v>12358</v>
      </c>
      <c r="I75" s="20" t="n">
        <v>13094</v>
      </c>
      <c r="J75" s="20" t="n">
        <v>13919</v>
      </c>
      <c r="K75" s="20" t="n">
        <v>13813</v>
      </c>
      <c r="L75" s="20" t="n">
        <v>14747</v>
      </c>
    </row>
    <row r="76">
      <c r="A76" s="18" t="inlineStr">
        <is>
          <t>유가증권</t>
        </is>
      </c>
      <c r="C76" s="20" t="n">
        <v>4187</v>
      </c>
      <c r="D76" s="20" t="n">
        <v>3587</v>
      </c>
      <c r="E76" s="20" t="n">
        <v>3283</v>
      </c>
      <c r="F76" s="20" t="n">
        <v>3082</v>
      </c>
      <c r="G76" s="20" t="n">
        <v>2586</v>
      </c>
      <c r="H76" s="20" t="n">
        <v>4810</v>
      </c>
      <c r="I76" s="20" t="n">
        <v>6203</v>
      </c>
      <c r="J76" s="20" t="n">
        <v>6595</v>
      </c>
      <c r="K76" s="20" t="n">
        <v>3487</v>
      </c>
      <c r="L76" s="20" t="n">
        <v>3082</v>
      </c>
    </row>
    <row r="77">
      <c r="A77" s="18" t="inlineStr">
        <is>
          <t>상품·제품</t>
        </is>
      </c>
      <c r="C77" s="20" t="n">
        <v>10465</v>
      </c>
      <c r="D77" s="20" t="n">
        <v>10796</v>
      </c>
      <c r="E77" s="20" t="n">
        <v>11235</v>
      </c>
      <c r="F77" s="20" t="n">
        <v>12058</v>
      </c>
      <c r="G77" s="20" t="n">
        <v>13267</v>
      </c>
      <c r="H77" s="20" t="n">
        <v>8705</v>
      </c>
      <c r="I77" s="20" t="n">
        <v>11070</v>
      </c>
      <c r="J77" s="20" t="n">
        <v>10839</v>
      </c>
      <c r="K77" s="20" t="n">
        <v>10219</v>
      </c>
      <c r="L77" s="20" t="n">
        <v>12058</v>
      </c>
    </row>
    <row r="78">
      <c r="A78" s="18" t="inlineStr">
        <is>
          <t>재공품</t>
        </is>
      </c>
      <c r="C78" s="20" t="n">
        <v>1283</v>
      </c>
      <c r="D78" s="20" t="n">
        <v>1299</v>
      </c>
      <c r="E78" s="20" t="n">
        <v>1448</v>
      </c>
      <c r="F78" s="20" t="n">
        <v>1267</v>
      </c>
      <c r="G78" s="20" t="n">
        <v>1302</v>
      </c>
      <c r="H78" s="20" t="n">
        <v>992</v>
      </c>
      <c r="I78" s="20" t="n">
        <v>989</v>
      </c>
      <c r="J78" s="20" t="n">
        <v>1026</v>
      </c>
      <c r="K78" s="20" t="n">
        <v>1121</v>
      </c>
      <c r="L78" s="20" t="n">
        <v>1267</v>
      </c>
    </row>
    <row r="79">
      <c r="A79" s="18" t="inlineStr">
        <is>
          <t>원재료</t>
        </is>
      </c>
      <c r="C79" s="20" t="n">
        <v>2050</v>
      </c>
      <c r="D79" s="20" t="n">
        <v>2090</v>
      </c>
      <c r="E79" s="20" t="n">
        <v>2043</v>
      </c>
      <c r="F79" s="20" t="n">
        <v>2146</v>
      </c>
      <c r="G79" s="20" t="n">
        <v>2191</v>
      </c>
      <c r="H79" s="20" t="n">
        <v>1487</v>
      </c>
      <c r="I79" s="20" t="n">
        <v>1806</v>
      </c>
      <c r="J79" s="20" t="n">
        <v>2082</v>
      </c>
      <c r="K79" s="20" t="n">
        <v>2014</v>
      </c>
      <c r="L79" s="20" t="n">
        <v>2146</v>
      </c>
    </row>
    <row r="80">
      <c r="A80" s="18" t="inlineStr">
        <is>
          <t>기타</t>
        </is>
      </c>
      <c r="C80" s="20" t="n">
        <v>1850</v>
      </c>
      <c r="D80" s="20" t="n">
        <v>2602</v>
      </c>
      <c r="E80" s="20" t="n">
        <v>2047</v>
      </c>
      <c r="F80" s="20" t="n">
        <v>2045</v>
      </c>
      <c r="G80" s="20" t="n">
        <v>2080</v>
      </c>
      <c r="H80" s="20" t="n">
        <v>1851</v>
      </c>
      <c r="I80" s="20" t="n">
        <v>1287</v>
      </c>
      <c r="J80" s="20" t="n">
        <v>1456</v>
      </c>
      <c r="K80" s="20" t="n">
        <v>1674</v>
      </c>
      <c r="L80" s="20" t="n">
        <v>2045</v>
      </c>
    </row>
    <row r="81">
      <c r="A81" s="18" t="inlineStr">
        <is>
          <t>대손충당금</t>
        </is>
      </c>
      <c r="C81" s="20" t="n">
        <v>-8</v>
      </c>
      <c r="D81" s="20" t="n">
        <v>-23</v>
      </c>
      <c r="E81" s="20" t="n">
        <v>-22</v>
      </c>
      <c r="F81" s="20" t="n">
        <v>-15</v>
      </c>
      <c r="G81" s="20" t="n">
        <v>-14</v>
      </c>
      <c r="H81" s="20" t="n">
        <v>-4</v>
      </c>
      <c r="I81" s="20" t="n">
        <v>-4</v>
      </c>
      <c r="J81" s="20" t="n">
        <v>-3</v>
      </c>
      <c r="K81" s="20" t="n">
        <v>-9</v>
      </c>
      <c r="L81" s="20" t="n">
        <v>-15</v>
      </c>
    </row>
    <row r="82">
      <c r="A82" s="9" t="inlineStr">
        <is>
          <t>유동자산 합계</t>
        </is>
      </c>
      <c r="C82" s="12" t="n">
        <v>70686</v>
      </c>
      <c r="D82" s="12" t="n">
        <v>71649</v>
      </c>
      <c r="E82" s="12" t="n">
        <v>72807</v>
      </c>
      <c r="F82" s="12" t="n">
        <v>77643</v>
      </c>
      <c r="G82" s="12" t="n">
        <v>74329</v>
      </c>
      <c r="H82" s="12" t="n">
        <v>54930</v>
      </c>
      <c r="I82" s="12" t="n">
        <v>63688</v>
      </c>
      <c r="J82" s="12" t="n">
        <v>69392</v>
      </c>
      <c r="K82" s="12" t="n">
        <v>74246</v>
      </c>
      <c r="L82" s="12" t="n">
        <v>77643</v>
      </c>
    </row>
    <row r="83">
      <c r="A83" s="18" t="inlineStr">
        <is>
          <t>건물·구축물(순액)</t>
        </is>
      </c>
      <c r="F83" s="20" t="n">
        <v>11133</v>
      </c>
      <c r="H83" s="20" t="n">
        <v>10445</v>
      </c>
      <c r="I83" s="20" t="n">
        <v>11317</v>
      </c>
      <c r="J83" s="20" t="n">
        <v>11196</v>
      </c>
      <c r="K83" s="20" t="n">
        <v>11008</v>
      </c>
      <c r="L83" s="20" t="n">
        <v>11133</v>
      </c>
    </row>
    <row r="84">
      <c r="A84" s="18" t="inlineStr">
        <is>
          <t>기계장치·운반구(순액)</t>
        </is>
      </c>
      <c r="F84" s="20" t="n">
        <v>5273</v>
      </c>
      <c r="H84" s="20" t="n">
        <v>4231</v>
      </c>
      <c r="I84" s="20" t="n">
        <v>4334</v>
      </c>
      <c r="J84" s="20" t="n">
        <v>4242</v>
      </c>
      <c r="K84" s="20" t="n">
        <v>4921</v>
      </c>
      <c r="L84" s="20" t="n">
        <v>5273</v>
      </c>
    </row>
    <row r="85">
      <c r="A85" s="18" t="inlineStr">
        <is>
          <t>토지</t>
        </is>
      </c>
      <c r="F85" s="20" t="n">
        <v>7381</v>
      </c>
      <c r="H85" s="20" t="n">
        <v>7193</v>
      </c>
      <c r="I85" s="20" t="n">
        <v>7191</v>
      </c>
      <c r="J85" s="20" t="n">
        <v>7211</v>
      </c>
      <c r="K85" s="20" t="n">
        <v>7397</v>
      </c>
      <c r="L85" s="20" t="n">
        <v>7381</v>
      </c>
    </row>
    <row r="86">
      <c r="A86" s="18" t="inlineStr">
        <is>
          <t>리스자산(순액)</t>
        </is>
      </c>
      <c r="F86" s="20" t="n">
        <v>665</v>
      </c>
      <c r="H86" s="20" t="n">
        <v>634</v>
      </c>
      <c r="I86" s="20" t="n">
        <v>670</v>
      </c>
      <c r="J86" s="20" t="n">
        <v>619</v>
      </c>
      <c r="K86" s="20" t="n">
        <v>641</v>
      </c>
      <c r="L86" s="20" t="n">
        <v>665</v>
      </c>
    </row>
    <row r="87">
      <c r="A87" s="18" t="inlineStr">
        <is>
          <t>건설중인자산</t>
        </is>
      </c>
      <c r="F87" s="20" t="n">
        <v>1156</v>
      </c>
      <c r="H87" s="20" t="n">
        <v>1042</v>
      </c>
      <c r="I87" s="20" t="n">
        <v>754</v>
      </c>
      <c r="J87" s="20" t="n">
        <v>1387</v>
      </c>
      <c r="K87" s="20" t="n">
        <v>893</v>
      </c>
      <c r="L87" s="20" t="n">
        <v>1156</v>
      </c>
    </row>
    <row r="88">
      <c r="A88" s="18" t="inlineStr">
        <is>
          <t>기타(순액)</t>
        </is>
      </c>
      <c r="F88" s="20" t="n">
        <v>1789</v>
      </c>
      <c r="H88" s="20" t="n">
        <v>1415</v>
      </c>
      <c r="I88" s="20" t="n">
        <v>1749</v>
      </c>
      <c r="J88" s="20" t="n">
        <v>1699</v>
      </c>
      <c r="K88" s="20" t="n">
        <v>1770</v>
      </c>
      <c r="L88" s="20" t="n">
        <v>1789</v>
      </c>
    </row>
    <row r="89">
      <c r="A89" s="18" t="inlineStr">
        <is>
          <t>유형자산</t>
        </is>
      </c>
      <c r="C89" s="20" t="n">
        <v>26615</v>
      </c>
      <c r="D89" s="20" t="n">
        <v>26812</v>
      </c>
      <c r="E89" s="20" t="n">
        <v>27453</v>
      </c>
      <c r="F89" s="20" t="n">
        <v>27398</v>
      </c>
      <c r="G89" s="20" t="n">
        <v>27720</v>
      </c>
      <c r="H89" s="20" t="n">
        <v>24963</v>
      </c>
      <c r="I89" s="20" t="n">
        <v>26017</v>
      </c>
      <c r="J89" s="20" t="n">
        <v>26357</v>
      </c>
      <c r="K89" s="20" t="n">
        <v>26632</v>
      </c>
      <c r="L89" s="20" t="n">
        <v>27398</v>
      </c>
    </row>
    <row r="90">
      <c r="A90" s="18" t="inlineStr">
        <is>
          <t>영업권</t>
        </is>
      </c>
      <c r="F90" s="20" t="n">
        <v>0</v>
      </c>
      <c r="G90" s="20" t="n">
        <v>1327</v>
      </c>
      <c r="L90" s="20" t="n">
        <v>0</v>
      </c>
    </row>
    <row r="91">
      <c r="A91" s="18" t="inlineStr">
        <is>
          <t>기타</t>
        </is>
      </c>
      <c r="F91" s="20" t="n">
        <v>719</v>
      </c>
      <c r="G91" s="20" t="n">
        <v>693</v>
      </c>
      <c r="H91" s="20" t="n">
        <v>440</v>
      </c>
      <c r="I91" s="20" t="n">
        <v>454</v>
      </c>
      <c r="J91" s="20" t="n">
        <v>514</v>
      </c>
      <c r="K91" s="20" t="n">
        <v>566</v>
      </c>
      <c r="L91" s="20" t="n">
        <v>719</v>
      </c>
    </row>
    <row r="92">
      <c r="A92" s="18" t="inlineStr">
        <is>
          <t>무형자산 합계</t>
        </is>
      </c>
      <c r="C92" s="20" t="n">
        <v>618</v>
      </c>
      <c r="D92" s="20" t="n">
        <v>671</v>
      </c>
      <c r="E92" s="20" t="n">
        <v>678</v>
      </c>
      <c r="F92" s="20" t="n">
        <v>719</v>
      </c>
      <c r="G92" s="20" t="n">
        <v>2021</v>
      </c>
      <c r="H92" s="20" t="n">
        <v>440</v>
      </c>
      <c r="I92" s="20" t="n">
        <v>454</v>
      </c>
      <c r="J92" s="20" t="n">
        <v>514</v>
      </c>
      <c r="K92" s="20" t="n">
        <v>566</v>
      </c>
      <c r="L92" s="20" t="n">
        <v>719</v>
      </c>
    </row>
    <row r="93">
      <c r="A93" s="18" t="inlineStr">
        <is>
          <t>투자유가증권</t>
        </is>
      </c>
      <c r="C93" s="20" t="n">
        <v>21485</v>
      </c>
      <c r="D93" s="20" t="n">
        <v>24073</v>
      </c>
      <c r="E93" s="20" t="n">
        <v>25067</v>
      </c>
      <c r="F93" s="20" t="n">
        <v>25049</v>
      </c>
      <c r="G93" s="20" t="n">
        <v>25630</v>
      </c>
      <c r="H93" s="20" t="n">
        <v>23766</v>
      </c>
      <c r="I93" s="20" t="n">
        <v>20701</v>
      </c>
      <c r="J93" s="20" t="n">
        <v>21408</v>
      </c>
      <c r="K93" s="20" t="n">
        <v>20448</v>
      </c>
      <c r="L93" s="20" t="n">
        <v>25049</v>
      </c>
    </row>
    <row r="94">
      <c r="A94" s="18" t="inlineStr">
        <is>
          <t>장기대여금</t>
        </is>
      </c>
      <c r="F94" s="20" t="n">
        <v>194</v>
      </c>
      <c r="H94" s="20" t="n">
        <v>101</v>
      </c>
      <c r="I94" s="20" t="n">
        <v>75</v>
      </c>
      <c r="J94" s="20" t="n">
        <v>98</v>
      </c>
      <c r="K94" s="20" t="n">
        <v>145</v>
      </c>
      <c r="L94" s="20" t="n">
        <v>194</v>
      </c>
    </row>
    <row r="95">
      <c r="A95" s="18" t="inlineStr">
        <is>
          <t>이연법인세자산</t>
        </is>
      </c>
      <c r="F95" s="20" t="n">
        <v>425</v>
      </c>
      <c r="H95" s="20" t="n">
        <v>3974</v>
      </c>
      <c r="I95" s="20" t="n">
        <v>4721</v>
      </c>
      <c r="J95" s="20" t="n">
        <v>2772</v>
      </c>
      <c r="K95" s="20" t="n">
        <v>1790</v>
      </c>
      <c r="L95" s="20" t="n">
        <v>425</v>
      </c>
    </row>
    <row r="96">
      <c r="A96" s="18" t="inlineStr">
        <is>
          <t>퇴직급여자산</t>
        </is>
      </c>
      <c r="F96" s="20" t="n">
        <v>5891</v>
      </c>
      <c r="K96" s="20" t="n">
        <v>1963</v>
      </c>
      <c r="L96" s="20" t="n">
        <v>5891</v>
      </c>
    </row>
    <row r="97">
      <c r="A97" s="18" t="inlineStr">
        <is>
          <t>기타</t>
        </is>
      </c>
      <c r="C97" s="20" t="n">
        <v>2581</v>
      </c>
      <c r="D97" s="20" t="n">
        <v>2171</v>
      </c>
      <c r="E97" s="20" t="n">
        <v>2010</v>
      </c>
      <c r="F97" s="20" t="n">
        <v>7231</v>
      </c>
      <c r="G97" s="20" t="n">
        <v>7435</v>
      </c>
      <c r="H97" s="20" t="n">
        <v>876</v>
      </c>
      <c r="I97" s="20" t="n">
        <v>1092</v>
      </c>
      <c r="J97" s="20" t="n">
        <v>1183</v>
      </c>
      <c r="K97" s="20" t="n">
        <v>793</v>
      </c>
      <c r="L97" s="20" t="n">
        <v>7231</v>
      </c>
    </row>
    <row r="98">
      <c r="A98" s="18" t="inlineStr">
        <is>
          <t>대손충당금</t>
        </is>
      </c>
      <c r="C98" s="20" t="n">
        <v>-9</v>
      </c>
      <c r="D98" s="20" t="n">
        <v>-9</v>
      </c>
      <c r="E98" s="20" t="n">
        <v>-9</v>
      </c>
      <c r="F98" s="20" t="n">
        <v>-113</v>
      </c>
      <c r="G98" s="20" t="n">
        <v>-126</v>
      </c>
      <c r="H98" s="20" t="n">
        <v>-9</v>
      </c>
      <c r="I98" s="20" t="n">
        <v>-9</v>
      </c>
      <c r="J98" s="20" t="n">
        <v>-9</v>
      </c>
      <c r="K98" s="20" t="n">
        <v>-9</v>
      </c>
      <c r="L98" s="20" t="n">
        <v>-113</v>
      </c>
    </row>
    <row r="99">
      <c r="A99" s="18" t="inlineStr">
        <is>
          <t>투자 및 기타자산 합계</t>
        </is>
      </c>
      <c r="C99" s="20" t="n">
        <v>24056</v>
      </c>
      <c r="D99" s="20" t="n">
        <v>26235</v>
      </c>
      <c r="E99" s="20" t="n">
        <v>27069</v>
      </c>
      <c r="F99" s="20" t="n">
        <v>32167</v>
      </c>
      <c r="G99" s="20" t="n">
        <v>32939</v>
      </c>
      <c r="H99" s="20" t="n">
        <v>28709</v>
      </c>
      <c r="I99" s="20" t="n">
        <v>26582</v>
      </c>
      <c r="J99" s="20" t="n">
        <v>25453</v>
      </c>
      <c r="K99" s="20" t="n">
        <v>25131</v>
      </c>
      <c r="L99" s="20" t="n">
        <v>32167</v>
      </c>
    </row>
    <row r="100">
      <c r="A100" s="9" t="inlineStr">
        <is>
          <t>비유동자산 합계</t>
        </is>
      </c>
      <c r="C100" s="12" t="n">
        <v>51290</v>
      </c>
      <c r="D100" s="12" t="n">
        <v>53718</v>
      </c>
      <c r="E100" s="12" t="n">
        <v>55201</v>
      </c>
      <c r="F100" s="12" t="n">
        <v>60286</v>
      </c>
      <c r="G100" s="12" t="n">
        <v>62680</v>
      </c>
      <c r="H100" s="12" t="n">
        <v>54113</v>
      </c>
      <c r="I100" s="12" t="n">
        <v>53054</v>
      </c>
      <c r="J100" s="12" t="n">
        <v>52324</v>
      </c>
      <c r="K100" s="12" t="n">
        <v>52329</v>
      </c>
      <c r="L100" s="12" t="n">
        <v>60286</v>
      </c>
    </row>
    <row r="101">
      <c r="A101" s="9" t="inlineStr">
        <is>
          <t>자산 합계</t>
        </is>
      </c>
      <c r="C101" s="12" t="n">
        <v>121977</v>
      </c>
      <c r="D101" s="12" t="n">
        <v>125367</v>
      </c>
      <c r="E101" s="12" t="n">
        <v>128008</v>
      </c>
      <c r="F101" s="12" t="n">
        <v>137929</v>
      </c>
      <c r="G101" s="12" t="n">
        <v>137010</v>
      </c>
      <c r="H101" s="12" t="n">
        <v>109043</v>
      </c>
      <c r="I101" s="12" t="n">
        <v>116742</v>
      </c>
      <c r="J101" s="12" t="n">
        <v>121717</v>
      </c>
      <c r="K101" s="12" t="n">
        <v>126575</v>
      </c>
      <c r="L101" s="12" t="n">
        <v>137929</v>
      </c>
    </row>
    <row r="102">
      <c r="A102" s="18" t="inlineStr">
        <is>
          <t>매입채무</t>
        </is>
      </c>
      <c r="C102" s="20" t="n">
        <v>3803</v>
      </c>
      <c r="D102" s="20" t="n">
        <v>3800</v>
      </c>
      <c r="E102" s="20" t="n">
        <v>4297</v>
      </c>
      <c r="F102" s="20" t="n">
        <v>4217</v>
      </c>
      <c r="G102" s="20" t="n">
        <v>4431</v>
      </c>
      <c r="H102" s="20" t="n">
        <v>4223</v>
      </c>
      <c r="I102" s="20" t="n">
        <v>4204</v>
      </c>
      <c r="J102" s="20" t="n">
        <v>3671</v>
      </c>
      <c r="K102" s="20" t="n">
        <v>3726</v>
      </c>
      <c r="L102" s="20" t="n">
        <v>4217</v>
      </c>
    </row>
    <row r="103">
      <c r="A103" s="18" t="inlineStr">
        <is>
          <t>단기차입금</t>
        </is>
      </c>
      <c r="C103" s="20" t="n">
        <v>750</v>
      </c>
      <c r="D103" s="20" t="n">
        <v>750</v>
      </c>
      <c r="E103" s="20" t="n">
        <v>750</v>
      </c>
      <c r="F103" s="20" t="n">
        <v>750</v>
      </c>
      <c r="G103" s="20" t="n">
        <v>860</v>
      </c>
      <c r="H103" s="20" t="n">
        <v>2000</v>
      </c>
      <c r="I103" s="20" t="n">
        <v>1850</v>
      </c>
      <c r="J103" s="20" t="n">
        <v>1050</v>
      </c>
      <c r="K103" s="20" t="n">
        <v>750</v>
      </c>
      <c r="L103" s="20" t="n">
        <v>750</v>
      </c>
    </row>
    <row r="104">
      <c r="A104" s="18" t="inlineStr">
        <is>
          <t>리스부채</t>
        </is>
      </c>
      <c r="F104" s="20" t="n">
        <v>259</v>
      </c>
      <c r="H104" s="20" t="n">
        <v>195</v>
      </c>
      <c r="I104" s="20" t="n">
        <v>247</v>
      </c>
      <c r="J104" s="20" t="n">
        <v>243</v>
      </c>
      <c r="K104" s="20" t="n">
        <v>263</v>
      </c>
      <c r="L104" s="20" t="n">
        <v>259</v>
      </c>
    </row>
    <row r="105">
      <c r="A105" s="18" t="inlineStr">
        <is>
          <t>미지급금</t>
        </is>
      </c>
      <c r="F105" s="20" t="n">
        <v>2468</v>
      </c>
      <c r="H105" s="20" t="n">
        <v>2058</v>
      </c>
      <c r="I105" s="20" t="n">
        <v>2032</v>
      </c>
      <c r="J105" s="20" t="n">
        <v>2683</v>
      </c>
      <c r="K105" s="20" t="n">
        <v>2350</v>
      </c>
      <c r="L105" s="20" t="n">
        <v>2468</v>
      </c>
    </row>
    <row r="106">
      <c r="A106" s="18" t="inlineStr">
        <is>
          <t>미지급법인세</t>
        </is>
      </c>
      <c r="C106" s="20" t="n">
        <v>1030</v>
      </c>
      <c r="D106" s="20" t="n">
        <v>1902</v>
      </c>
      <c r="E106" s="20" t="n">
        <v>1453</v>
      </c>
      <c r="F106" s="20" t="n">
        <v>2276</v>
      </c>
      <c r="G106" s="20" t="n">
        <v>1545</v>
      </c>
      <c r="H106" s="20" t="n">
        <v>1597</v>
      </c>
      <c r="I106" s="20" t="n">
        <v>2378</v>
      </c>
      <c r="J106" s="20" t="n">
        <v>989</v>
      </c>
      <c r="K106" s="20" t="n">
        <v>1938</v>
      </c>
      <c r="L106" s="20" t="n">
        <v>2276</v>
      </c>
    </row>
    <row r="107">
      <c r="A107" s="18" t="inlineStr">
        <is>
          <t>미지급 소비세</t>
        </is>
      </c>
      <c r="F107" s="20" t="n">
        <v>221</v>
      </c>
      <c r="H107" s="20" t="n">
        <v>162</v>
      </c>
      <c r="I107" s="20" t="n">
        <v>110</v>
      </c>
      <c r="J107" s="20" t="n">
        <v>416</v>
      </c>
      <c r="K107" s="20" t="n">
        <v>184</v>
      </c>
      <c r="L107" s="20" t="n">
        <v>221</v>
      </c>
    </row>
    <row r="108">
      <c r="A108" s="18" t="inlineStr">
        <is>
          <t>상여충당금</t>
        </is>
      </c>
      <c r="C108" s="20" t="n">
        <v>2006</v>
      </c>
      <c r="D108" s="20" t="n">
        <v>3788</v>
      </c>
      <c r="E108" s="20" t="n">
        <v>1778</v>
      </c>
      <c r="F108" s="20" t="n">
        <v>3238</v>
      </c>
      <c r="G108" s="20" t="n">
        <v>2401</v>
      </c>
      <c r="H108" s="20" t="n">
        <v>1834</v>
      </c>
      <c r="I108" s="20" t="n">
        <v>2622</v>
      </c>
      <c r="J108" s="20" t="n">
        <v>2855</v>
      </c>
      <c r="K108" s="20" t="n">
        <v>2881</v>
      </c>
      <c r="L108" s="20" t="n">
        <v>3238</v>
      </c>
    </row>
    <row r="109">
      <c r="A109" s="18" t="inlineStr">
        <is>
          <t>임원 상여충당금</t>
        </is>
      </c>
      <c r="C109" s="20" t="n">
        <v>35</v>
      </c>
      <c r="D109" s="20" t="n">
        <v>68</v>
      </c>
      <c r="E109" s="20" t="n">
        <v>99</v>
      </c>
      <c r="F109" s="20" t="n">
        <v>126</v>
      </c>
      <c r="G109" s="20" t="n">
        <v>34</v>
      </c>
      <c r="H109" s="20" t="n">
        <v>49</v>
      </c>
      <c r="I109" s="20" t="n">
        <v>80</v>
      </c>
      <c r="J109" s="20" t="n">
        <v>103</v>
      </c>
      <c r="K109" s="20" t="n">
        <v>104</v>
      </c>
      <c r="L109" s="20" t="n">
        <v>126</v>
      </c>
    </row>
    <row r="110">
      <c r="A110" s="18" t="inlineStr">
        <is>
          <t>제품보증 충당금</t>
        </is>
      </c>
      <c r="C110" s="20" t="n">
        <v>218</v>
      </c>
      <c r="D110" s="20" t="n">
        <v>203</v>
      </c>
      <c r="E110" s="20" t="n">
        <v>262</v>
      </c>
      <c r="F110" s="20" t="n">
        <v>443</v>
      </c>
      <c r="G110" s="20" t="n">
        <v>319</v>
      </c>
      <c r="H110" s="20" t="n">
        <v>213</v>
      </c>
      <c r="I110" s="20" t="n">
        <v>154</v>
      </c>
      <c r="J110" s="20" t="n">
        <v>189</v>
      </c>
      <c r="K110" s="20" t="n">
        <v>237</v>
      </c>
      <c r="L110" s="20" t="n">
        <v>443</v>
      </c>
    </row>
    <row r="111">
      <c r="A111" s="18" t="inlineStr">
        <is>
          <t>기타 충당금</t>
        </is>
      </c>
      <c r="I111" s="20" t="n">
        <v>0</v>
      </c>
    </row>
    <row r="112">
      <c r="A112" s="18" t="inlineStr">
        <is>
          <t>자산복구부채</t>
        </is>
      </c>
      <c r="H112" s="20" t="n">
        <v>0</v>
      </c>
      <c r="I112" s="20" t="n">
        <v>0</v>
      </c>
    </row>
    <row r="113">
      <c r="A113" s="18" t="inlineStr">
        <is>
          <t>Provision For Fixed Asset Removal Costs Provisions</t>
        </is>
      </c>
      <c r="I113" s="20" t="n">
        <v>0</v>
      </c>
      <c r="J113" s="20" t="n">
        <v>26</v>
      </c>
    </row>
    <row r="114">
      <c r="A114" s="18" t="inlineStr">
        <is>
          <t>Provision For Fixed Asset Removal Costs CL</t>
        </is>
      </c>
      <c r="F114" s="20" t="n">
        <v>0</v>
      </c>
      <c r="G114" s="20" t="n">
        <v>203</v>
      </c>
      <c r="J114" s="20" t="n">
        <v>26</v>
      </c>
      <c r="K114" s="20" t="n">
        <v>0</v>
      </c>
      <c r="L114" s="20" t="n">
        <v>0</v>
      </c>
    </row>
    <row r="115">
      <c r="A115" s="18" t="inlineStr">
        <is>
          <t>기타</t>
        </is>
      </c>
      <c r="C115" s="20" t="n">
        <v>6485</v>
      </c>
      <c r="D115" s="20" t="n">
        <v>5592</v>
      </c>
      <c r="E115" s="20" t="n">
        <v>6808</v>
      </c>
      <c r="F115" s="20" t="n">
        <v>5260</v>
      </c>
      <c r="G115" s="20" t="n">
        <v>7585</v>
      </c>
      <c r="H115" s="20" t="n">
        <v>1715</v>
      </c>
      <c r="I115" s="20" t="n">
        <v>1979</v>
      </c>
      <c r="J115" s="20" t="n">
        <v>2068</v>
      </c>
      <c r="K115" s="20" t="n">
        <v>2184</v>
      </c>
      <c r="L115" s="20" t="n">
        <v>5260</v>
      </c>
    </row>
    <row r="116">
      <c r="A116" s="9" t="inlineStr">
        <is>
          <t>유동부채 합계</t>
        </is>
      </c>
      <c r="C116" s="12" t="n">
        <v>14329</v>
      </c>
      <c r="D116" s="12" t="n">
        <v>16105</v>
      </c>
      <c r="E116" s="12" t="n">
        <v>15450</v>
      </c>
      <c r="F116" s="12" t="n">
        <v>16313</v>
      </c>
      <c r="G116" s="12" t="n">
        <v>17381</v>
      </c>
      <c r="H116" s="12" t="n">
        <v>14051</v>
      </c>
      <c r="I116" s="12" t="n">
        <v>15660</v>
      </c>
      <c r="J116" s="12" t="n">
        <v>14297</v>
      </c>
      <c r="K116" s="12" t="n">
        <v>14622</v>
      </c>
      <c r="L116" s="12" t="n">
        <v>16313</v>
      </c>
    </row>
    <row r="117">
      <c r="A117" s="18" t="inlineStr">
        <is>
          <t>장기차입금</t>
        </is>
      </c>
      <c r="C117" s="20" t="n">
        <v>125</v>
      </c>
      <c r="D117" s="20" t="n">
        <v>125</v>
      </c>
      <c r="E117" s="20" t="n">
        <v>125</v>
      </c>
      <c r="F117" s="20" t="n">
        <v>125</v>
      </c>
      <c r="G117" s="20" t="n">
        <v>368</v>
      </c>
      <c r="H117" s="20" t="n">
        <v>0</v>
      </c>
      <c r="I117" s="20" t="n">
        <v>125</v>
      </c>
      <c r="J117" s="20" t="n">
        <v>125</v>
      </c>
      <c r="K117" s="20" t="n">
        <v>125</v>
      </c>
      <c r="L117" s="20" t="n">
        <v>125</v>
      </c>
    </row>
    <row r="118">
      <c r="A118" s="18" t="inlineStr">
        <is>
          <t>리스부채</t>
        </is>
      </c>
      <c r="F118" s="20" t="n">
        <v>407</v>
      </c>
      <c r="H118" s="20" t="n">
        <v>438</v>
      </c>
      <c r="I118" s="20" t="n">
        <v>426</v>
      </c>
      <c r="J118" s="20" t="n">
        <v>348</v>
      </c>
      <c r="K118" s="20" t="n">
        <v>380</v>
      </c>
      <c r="L118" s="20" t="n">
        <v>407</v>
      </c>
    </row>
    <row r="119">
      <c r="A119" s="18" t="inlineStr">
        <is>
          <t>이연법인세부채</t>
        </is>
      </c>
      <c r="F119" s="20" t="n">
        <v>496</v>
      </c>
      <c r="H119" s="20" t="n">
        <v>15</v>
      </c>
      <c r="I119" s="20" t="n">
        <v>6</v>
      </c>
      <c r="J119" s="20" t="n">
        <v>10</v>
      </c>
      <c r="K119" s="20" t="n">
        <v>12</v>
      </c>
      <c r="L119" s="20" t="n">
        <v>496</v>
      </c>
    </row>
    <row r="120">
      <c r="A120" s="18" t="inlineStr">
        <is>
          <t>재평가 관련 이연법인세부채</t>
        </is>
      </c>
      <c r="F120" s="20" t="n">
        <v>488</v>
      </c>
      <c r="H120" s="20" t="n">
        <v>474</v>
      </c>
      <c r="I120" s="20" t="n">
        <v>474</v>
      </c>
      <c r="J120" s="20" t="n">
        <v>474</v>
      </c>
      <c r="K120" s="20" t="n">
        <v>488</v>
      </c>
      <c r="L120" s="20" t="n">
        <v>488</v>
      </c>
    </row>
    <row r="121">
      <c r="A121" s="18" t="inlineStr">
        <is>
          <t>제품보증 충당금</t>
        </is>
      </c>
      <c r="C121" s="20" t="n">
        <v>248</v>
      </c>
      <c r="D121" s="20" t="n">
        <v>210</v>
      </c>
      <c r="E121" s="20" t="n">
        <v>221</v>
      </c>
      <c r="F121" s="20" t="n">
        <v>290</v>
      </c>
      <c r="G121" s="20" t="n">
        <v>290</v>
      </c>
      <c r="H121" s="20" t="n">
        <v>12</v>
      </c>
      <c r="I121" s="20" t="n">
        <v>15</v>
      </c>
      <c r="J121" s="20" t="n">
        <v>15</v>
      </c>
      <c r="K121" s="20" t="n">
        <v>248</v>
      </c>
      <c r="L121" s="20" t="n">
        <v>290</v>
      </c>
    </row>
    <row r="122">
      <c r="A122" s="18" t="inlineStr">
        <is>
          <t>퇴직급여부채</t>
        </is>
      </c>
      <c r="C122" s="20" t="n">
        <v>2075</v>
      </c>
      <c r="D122" s="20" t="n">
        <v>1687</v>
      </c>
      <c r="E122" s="20" t="n">
        <v>1488</v>
      </c>
      <c r="F122" s="20" t="n">
        <v>4016</v>
      </c>
      <c r="G122" s="20" t="n">
        <v>4085</v>
      </c>
      <c r="H122" s="20" t="n">
        <v>10618</v>
      </c>
      <c r="I122" s="20" t="n">
        <v>10669</v>
      </c>
      <c r="J122" s="20" t="n">
        <v>6135</v>
      </c>
      <c r="K122" s="20" t="n">
        <v>4285</v>
      </c>
      <c r="L122" s="20" t="n">
        <v>4016</v>
      </c>
    </row>
    <row r="123">
      <c r="A123" s="18" t="inlineStr">
        <is>
          <t>자산복구부채</t>
        </is>
      </c>
      <c r="C123" s="20" t="n">
        <v>135</v>
      </c>
      <c r="D123" s="20" t="n">
        <v>136</v>
      </c>
      <c r="E123" s="20" t="n">
        <v>136</v>
      </c>
      <c r="F123" s="20" t="n">
        <v>136</v>
      </c>
      <c r="G123" s="20" t="n">
        <v>136</v>
      </c>
      <c r="H123" s="20" t="n">
        <v>154</v>
      </c>
      <c r="I123" s="20" t="n">
        <v>141</v>
      </c>
      <c r="J123" s="20" t="n">
        <v>135</v>
      </c>
      <c r="K123" s="20" t="n">
        <v>135</v>
      </c>
      <c r="L123" s="20" t="n">
        <v>136</v>
      </c>
    </row>
    <row r="124">
      <c r="A124" s="18" t="inlineStr">
        <is>
          <t>기타</t>
        </is>
      </c>
      <c r="C124" s="20" t="n">
        <v>1106</v>
      </c>
      <c r="D124" s="20" t="n">
        <v>1135</v>
      </c>
      <c r="E124" s="20" t="n">
        <v>1121</v>
      </c>
      <c r="F124" s="20" t="n">
        <v>1582</v>
      </c>
      <c r="G124" s="20" t="n">
        <v>1855</v>
      </c>
      <c r="H124" s="20" t="n">
        <v>142</v>
      </c>
      <c r="I124" s="20" t="n">
        <v>318</v>
      </c>
      <c r="J124" s="20" t="n">
        <v>330</v>
      </c>
      <c r="K124" s="20" t="n">
        <v>242</v>
      </c>
      <c r="L124" s="20" t="n">
        <v>1582</v>
      </c>
    </row>
    <row r="125">
      <c r="A125" s="9" t="inlineStr">
        <is>
          <t>비유동부채 합계</t>
        </is>
      </c>
      <c r="C125" s="12" t="n">
        <v>3691</v>
      </c>
      <c r="D125" s="12" t="n">
        <v>3294</v>
      </c>
      <c r="E125" s="12" t="n">
        <v>3092</v>
      </c>
      <c r="F125" s="12" t="n">
        <v>6150</v>
      </c>
      <c r="G125" s="12" t="n">
        <v>6735</v>
      </c>
      <c r="H125" s="12" t="n">
        <v>11855</v>
      </c>
      <c r="I125" s="12" t="n">
        <v>12176</v>
      </c>
      <c r="J125" s="12" t="n">
        <v>7573</v>
      </c>
      <c r="K125" s="12" t="n">
        <v>5919</v>
      </c>
      <c r="L125" s="12" t="n">
        <v>6150</v>
      </c>
    </row>
    <row r="126">
      <c r="A126" s="9" t="inlineStr">
        <is>
          <t>부채 합계</t>
        </is>
      </c>
      <c r="C126" s="12" t="n">
        <v>18021</v>
      </c>
      <c r="D126" s="12" t="n">
        <v>19400</v>
      </c>
      <c r="E126" s="12" t="n">
        <v>18542</v>
      </c>
      <c r="F126" s="12" t="n">
        <v>22464</v>
      </c>
      <c r="G126" s="12" t="n">
        <v>24117</v>
      </c>
      <c r="H126" s="12" t="n">
        <v>25907</v>
      </c>
      <c r="I126" s="12" t="n">
        <v>27836</v>
      </c>
      <c r="J126" s="12" t="n">
        <v>21870</v>
      </c>
      <c r="K126" s="12" t="n">
        <v>20541</v>
      </c>
      <c r="L126" s="12" t="n">
        <v>22464</v>
      </c>
    </row>
    <row r="127">
      <c r="A127" s="18" t="inlineStr">
        <is>
          <t>자본금</t>
        </is>
      </c>
      <c r="C127" s="20" t="n">
        <v>12367</v>
      </c>
      <c r="D127" s="20" t="n">
        <v>12367</v>
      </c>
      <c r="E127" s="20" t="n">
        <v>12367</v>
      </c>
      <c r="F127" s="20" t="n">
        <v>12367</v>
      </c>
      <c r="G127" s="20" t="n">
        <v>12367</v>
      </c>
      <c r="H127" s="20" t="n">
        <v>12367</v>
      </c>
      <c r="I127" s="20" t="n">
        <v>12367</v>
      </c>
      <c r="J127" s="20" t="n">
        <v>12367</v>
      </c>
      <c r="K127" s="20" t="n">
        <v>12367</v>
      </c>
      <c r="L127" s="20" t="n">
        <v>12367</v>
      </c>
    </row>
    <row r="128">
      <c r="A128" s="18" t="inlineStr">
        <is>
          <t>자본잉여금</t>
        </is>
      </c>
      <c r="C128" s="20" t="n">
        <v>10517</v>
      </c>
      <c r="D128" s="20" t="n">
        <v>10524</v>
      </c>
      <c r="E128" s="20" t="n">
        <v>10524</v>
      </c>
      <c r="F128" s="20" t="n">
        <v>10524</v>
      </c>
      <c r="G128" s="20" t="n">
        <v>10524</v>
      </c>
      <c r="H128" s="20" t="n">
        <v>10517</v>
      </c>
      <c r="I128" s="20" t="n">
        <v>10517</v>
      </c>
      <c r="J128" s="20" t="n">
        <v>10535</v>
      </c>
      <c r="K128" s="20" t="n">
        <v>10517</v>
      </c>
      <c r="L128" s="20" t="n">
        <v>10524</v>
      </c>
    </row>
    <row r="129">
      <c r="A129" s="18" t="inlineStr">
        <is>
          <t>이익잉여금</t>
        </is>
      </c>
      <c r="C129" s="20" t="n">
        <v>72566</v>
      </c>
      <c r="D129" s="20" t="n">
        <v>76259</v>
      </c>
      <c r="E129" s="20" t="n">
        <v>79872</v>
      </c>
      <c r="F129" s="20" t="n">
        <v>82862</v>
      </c>
      <c r="G129" s="20" t="n">
        <v>80558</v>
      </c>
      <c r="H129" s="20" t="n">
        <v>58929</v>
      </c>
      <c r="I129" s="20" t="n">
        <v>63521</v>
      </c>
      <c r="J129" s="20" t="n">
        <v>70267</v>
      </c>
      <c r="K129" s="20" t="n">
        <v>74210</v>
      </c>
      <c r="L129" s="20" t="n">
        <v>82862</v>
      </c>
    </row>
    <row r="130">
      <c r="A130" s="18" t="inlineStr">
        <is>
          <t>자기주식</t>
        </is>
      </c>
      <c r="C130" s="20" t="n">
        <v>-2421</v>
      </c>
      <c r="D130" s="20" t="n">
        <v>-5684</v>
      </c>
      <c r="E130" s="20" t="n">
        <v>-7872</v>
      </c>
      <c r="F130" s="20" t="n">
        <v>-7873</v>
      </c>
      <c r="G130" s="20" t="n">
        <v>-9035</v>
      </c>
      <c r="H130" s="20" t="n">
        <v>-413</v>
      </c>
      <c r="I130" s="20" t="n">
        <v>-414</v>
      </c>
      <c r="J130" s="20" t="n">
        <v>-2670</v>
      </c>
      <c r="K130" s="20" t="n">
        <v>-2322</v>
      </c>
      <c r="L130" s="20" t="n">
        <v>-7873</v>
      </c>
    </row>
    <row r="131">
      <c r="A131" s="9" t="inlineStr">
        <is>
          <t>주주자본 합계</t>
        </is>
      </c>
      <c r="C131" s="12" t="n">
        <v>93030</v>
      </c>
      <c r="D131" s="12" t="n">
        <v>93467</v>
      </c>
      <c r="E131" s="12" t="n">
        <v>94893</v>
      </c>
      <c r="F131" s="12" t="n">
        <v>97881</v>
      </c>
      <c r="G131" s="12" t="n">
        <v>94416</v>
      </c>
      <c r="H131" s="12" t="n">
        <v>81401</v>
      </c>
      <c r="I131" s="12" t="n">
        <v>85992</v>
      </c>
      <c r="J131" s="12" t="n">
        <v>90500</v>
      </c>
      <c r="K131" s="12" t="n">
        <v>94773</v>
      </c>
      <c r="L131" s="12" t="n">
        <v>97881</v>
      </c>
    </row>
    <row r="132">
      <c r="A132" s="18" t="inlineStr">
        <is>
          <t>기타유가증권 평가차액</t>
        </is>
      </c>
      <c r="C132" s="20" t="n">
        <v>2759</v>
      </c>
      <c r="D132" s="20" t="n">
        <v>3446</v>
      </c>
      <c r="E132" s="20" t="n">
        <v>3795</v>
      </c>
      <c r="F132" s="20" t="n">
        <v>4209</v>
      </c>
      <c r="G132" s="20" t="n">
        <v>4859</v>
      </c>
      <c r="H132" s="20" t="n">
        <v>1143</v>
      </c>
      <c r="I132" s="20" t="n">
        <v>1547</v>
      </c>
      <c r="J132" s="20" t="n">
        <v>2721</v>
      </c>
      <c r="K132" s="20" t="n">
        <v>2825</v>
      </c>
      <c r="L132" s="20" t="n">
        <v>4209</v>
      </c>
    </row>
    <row r="133">
      <c r="A133" s="18" t="inlineStr">
        <is>
          <t>토지재평가차액금</t>
        </is>
      </c>
      <c r="C133" s="20" t="n">
        <v>-353</v>
      </c>
      <c r="D133" s="20" t="n">
        <v>-353</v>
      </c>
      <c r="E133" s="20" t="n">
        <v>-353</v>
      </c>
      <c r="F133" s="20" t="n">
        <v>-353</v>
      </c>
      <c r="G133" s="20" t="n">
        <v>-353</v>
      </c>
      <c r="H133" s="20" t="n">
        <v>-339</v>
      </c>
      <c r="I133" s="20" t="n">
        <v>-339</v>
      </c>
      <c r="J133" s="20" t="n">
        <v>-339</v>
      </c>
      <c r="K133" s="20" t="n">
        <v>-353</v>
      </c>
      <c r="L133" s="20" t="n">
        <v>-353</v>
      </c>
    </row>
    <row r="134">
      <c r="A134" s="18" t="inlineStr">
        <is>
          <t>해외사업환산조정</t>
        </is>
      </c>
      <c r="C134" s="20" t="n">
        <v>5708</v>
      </c>
      <c r="D134" s="20" t="n">
        <v>6712</v>
      </c>
      <c r="E134" s="20" t="n">
        <v>8545</v>
      </c>
      <c r="F134" s="20" t="n">
        <v>9142</v>
      </c>
      <c r="G134" s="20" t="n">
        <v>9636</v>
      </c>
      <c r="H134" s="20" t="n">
        <v>1773</v>
      </c>
      <c r="I134" s="20" t="n">
        <v>2854</v>
      </c>
      <c r="J134" s="20" t="n">
        <v>5388</v>
      </c>
      <c r="K134" s="20" t="n">
        <v>5856</v>
      </c>
      <c r="L134" s="20" t="n">
        <v>9142</v>
      </c>
    </row>
    <row r="135">
      <c r="A135" s="18" t="inlineStr">
        <is>
          <t>퇴직급여 조정누계액</t>
        </is>
      </c>
      <c r="C135" s="20" t="n">
        <v>2682</v>
      </c>
      <c r="D135" s="20" t="n">
        <v>2560</v>
      </c>
      <c r="E135" s="20" t="n">
        <v>2438</v>
      </c>
      <c r="F135" s="20" t="n">
        <v>4432</v>
      </c>
      <c r="G135" s="20" t="n">
        <v>4177</v>
      </c>
      <c r="H135" s="20" t="n">
        <v>-943</v>
      </c>
      <c r="I135" s="20" t="n">
        <v>-1260</v>
      </c>
      <c r="J135" s="20" t="n">
        <v>1460</v>
      </c>
      <c r="K135" s="20" t="n">
        <v>2804</v>
      </c>
      <c r="L135" s="20" t="n">
        <v>4432</v>
      </c>
    </row>
    <row r="136">
      <c r="A136" s="18" t="inlineStr">
        <is>
          <t>기타포괄손익누계액 합계</t>
        </is>
      </c>
      <c r="C136" s="20" t="n">
        <v>10795</v>
      </c>
      <c r="D136" s="20" t="n">
        <v>12365</v>
      </c>
      <c r="E136" s="20" t="n">
        <v>14424</v>
      </c>
      <c r="F136" s="20" t="n">
        <v>17430</v>
      </c>
      <c r="G136" s="20" t="n">
        <v>18319</v>
      </c>
      <c r="H136" s="20" t="n">
        <v>1633</v>
      </c>
      <c r="I136" s="20" t="n">
        <v>2802</v>
      </c>
      <c r="J136" s="20" t="n">
        <v>9230</v>
      </c>
      <c r="K136" s="20" t="n">
        <v>11133</v>
      </c>
      <c r="L136" s="20" t="n">
        <v>17430</v>
      </c>
    </row>
    <row r="137">
      <c r="A137" s="18" t="inlineStr">
        <is>
          <t>비지배지분</t>
        </is>
      </c>
      <c r="C137" s="20" t="n">
        <v>129</v>
      </c>
      <c r="D137" s="20" t="n">
        <v>134</v>
      </c>
      <c r="E137" s="20" t="n">
        <v>147</v>
      </c>
      <c r="F137" s="20" t="n">
        <v>152</v>
      </c>
      <c r="G137" s="20" t="n">
        <v>156</v>
      </c>
      <c r="H137" s="20" t="n">
        <v>100</v>
      </c>
      <c r="I137" s="20" t="n">
        <v>110</v>
      </c>
      <c r="J137" s="20" t="n">
        <v>116</v>
      </c>
      <c r="K137" s="20" t="n">
        <v>127</v>
      </c>
      <c r="L137" s="20" t="n">
        <v>152</v>
      </c>
    </row>
    <row r="138">
      <c r="A138" s="9" t="inlineStr">
        <is>
          <t>순자산 합계</t>
        </is>
      </c>
      <c r="C138" s="12" t="n">
        <v>103956</v>
      </c>
      <c r="D138" s="12" t="n">
        <v>105967</v>
      </c>
      <c r="E138" s="12" t="n">
        <v>109465</v>
      </c>
      <c r="F138" s="12" t="n">
        <v>115465</v>
      </c>
      <c r="G138" s="12" t="n">
        <v>112892</v>
      </c>
      <c r="H138" s="12" t="n">
        <v>83136</v>
      </c>
      <c r="I138" s="12" t="n">
        <v>88906</v>
      </c>
      <c r="J138" s="12" t="n">
        <v>99847</v>
      </c>
      <c r="K138" s="12" t="n">
        <v>106034</v>
      </c>
      <c r="L138" s="12" t="n">
        <v>115465</v>
      </c>
    </row>
    <row r="139">
      <c r="A139" s="9" t="inlineStr">
        <is>
          <t>부채·순자산 합계</t>
        </is>
      </c>
      <c r="C139" s="12" t="n">
        <v>121977</v>
      </c>
      <c r="D139" s="12" t="n">
        <v>125367</v>
      </c>
      <c r="E139" s="12" t="n">
        <v>128008</v>
      </c>
      <c r="F139" s="12" t="n">
        <v>137929</v>
      </c>
      <c r="G139" s="12" t="n">
        <v>137010</v>
      </c>
      <c r="H139" s="12" t="n">
        <v>109043</v>
      </c>
      <c r="I139" s="12" t="n">
        <v>116742</v>
      </c>
      <c r="J139" s="12" t="n">
        <v>121717</v>
      </c>
      <c r="K139" s="12" t="n">
        <v>126575</v>
      </c>
      <c r="L139" s="12" t="n">
        <v>137929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1분기 결산단신</t>
        </is>
      </c>
      <c r="C4" t="inlineStr">
        <is>
          <t>https://www2.jpx.co.jp/disc/64540/140120260729502110.pdf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https://www2.jpx.co.jp/disc/64540/140120260428513722.pdf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https://www2.jpx.co.jp/disc/64540/140120260129541619.pdf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https://www2.jpx.co.jp/disc/64540/140120251029580965.pdf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https://www2.jpx.co.jp/disc/64540/140120250730523754.pdf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https://www2.jpx.co.jp/disc/64540/140120250425524939.pdf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https://www2.jpx.co.jp/disc/64540/140120250130558659.pdf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https://www2.jpx.co.jp/disc/64540/140120241001592334.pdf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https://www2.jpx.co.jp/disc/64540/140120240722552127.pdf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https://www2.jpx.co.jp/disc/64540/140120240419573519.pdf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https://www2.jpx.co.jp/disc/64540/140120240123517793.pdf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https://www2.jpx.co.jp/disc/64540/140120231020569376.pdf</t>
        </is>
      </c>
    </row>
    <row r="16">
      <c r="A16" t="inlineStr">
        <is>
          <t>2023-07-31</t>
        </is>
      </c>
      <c r="B16" t="inlineStr">
        <is>
          <t>2024년 3월 결산기 1분기 결산단신</t>
        </is>
      </c>
      <c r="C16" t="inlineStr">
        <is>
          <t>https://www2.jpx.co.jp/disc/64540/140120230720524569.pdf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https://www2.jpx.co.jp/disc/64540/140120230419549856.pdf</t>
        </is>
      </c>
    </row>
    <row r="18">
      <c r="A18" t="inlineStr">
        <is>
          <t>2023-01-31</t>
        </is>
      </c>
      <c r="B18" t="inlineStr">
        <is>
          <t>2023년 3월 결산기 3분기 결산단신</t>
        </is>
      </c>
      <c r="C18" t="inlineStr">
        <is>
          <t>https://www2.jpx.co.jp/disc/64540/140120230123592098.pdf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https://www2.jpx.co.jp/disc/64540/140120221014544807.pdf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https://www2.jpx.co.jp/disc/64540/140120220420524827.pdf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https://www2.jpx.co.jp/disc/64540/140120210421497643.pdf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https://www2.jpx.co.jp/disc/64540/140120200428401915.pdf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https://www2.jpx.co.jp/disc/64540/140120190418406570.pdf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https://www2.jpx.co.jp/disc/64540/140120180420415675.pdf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2026-10-26T10:55:25Z</dcterms:created>
  <dcterms:modified xmlns:dcterms="http://purl.org/dc/terms/" xmlns:xsi="http://www.w3.org/2001/XMLSchema-instance" xsi:type="dcterms:W3CDTF">2026-10-26T10:55:25Z</dcterms:modified>
</cp:coreProperties>
</file>