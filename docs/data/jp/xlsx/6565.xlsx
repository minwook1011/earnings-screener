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연간" sheetId="1" state="visible" r:id="rId1"/>
    <sheet xmlns:r="http://schemas.openxmlformats.org/officeDocument/2006/relationships" name="재무상태표" sheetId="2" state="visible" r:id="rId2"/>
    <sheet xmlns:r="http://schemas.openxmlformats.org/officeDocument/2006/relationships" name="섹터 데이터" sheetId="3" state="visible" r:id="rId3"/>
    <sheet xmlns:r="http://schemas.openxmlformats.org/officeDocument/2006/relationships" name="출처" sheetId="4" state="visible" r:id="rId4"/>
    <sheet xmlns:r="http://schemas.openxmlformats.org/officeDocument/2006/relationships" name="재무제표 한눈에 보기" sheetId="5" state="visible" r:id="rId5"/>
  </sheets>
  <definedNames>
    <definedName name="_xlnm.Print_Titles" localSheetId="0">'연간'!$3:$3</definedName>
    <definedName name="_xlnm.Print_Titles" localSheetId="1">'재무상태표'!$3:$3</definedName>
  </definedNames>
  <calcPr calcId="124519" fullCalcOnLoad="1"/>
</workbook>
</file>

<file path=xl/styles.xml><?xml version="1.0" encoding="utf-8"?>
<styleSheet xmlns="http://schemas.openxmlformats.org/spreadsheetml/2006/main">
  <numFmts count="7">
    <numFmt numFmtId="164" formatCode="0.0%;-0.0%;&quot;-&quot;"/>
    <numFmt numFmtId="165" formatCode="#,##0;(#,##0);&quot;-&quot;"/>
    <numFmt numFmtId="166" formatCode="0.0&quot;x&quot;;-0.0&quot;x&quot;;&quot;-&quot;"/>
    <numFmt numFmtId="167" formatCode="0.0&quot;년&quot;;-0.0&quot;년&quot;;&quot;-&quot;"/>
    <numFmt numFmtId="168" formatCode="0&quot;일&quot;;-0&quot;일&quot;;&quot;-&quot;"/>
    <numFmt numFmtId="169" formatCode="#,##0.0;\(#,##0.0\);&quot;-&quot;"/>
    <numFmt numFmtId="170" formatCode="0.0&quot;%&quot;"/>
  </numFmts>
  <fonts count="26">
    <font>
      <name val="Calibri"/>
      <family val="2"/>
      <color theme="1"/>
      <sz val="11"/>
      <scheme val="minor"/>
    </font>
    <font>
      <name val="맑은 고딕"/>
      <b val="1"/>
      <color rgb="00000000"/>
      <sz val="20"/>
    </font>
    <font>
      <name val="맑은 고딕"/>
      <color rgb="00FF0000"/>
      <sz val="11"/>
    </font>
    <font>
      <name val="맑은 고딕"/>
      <color rgb="00808080"/>
      <sz val="9"/>
    </font>
    <font>
      <name val="맑은 고딕"/>
      <color rgb="000000FF"/>
      <sz val="9"/>
    </font>
    <font>
      <name val="맑은 고딕"/>
      <b val="1"/>
      <color rgb="00000000"/>
      <sz val="10"/>
    </font>
    <font>
      <name val="맑은 고딕"/>
      <color rgb="00808080"/>
      <sz val="11"/>
    </font>
    <font>
      <name val="맑은 고딕"/>
      <b val="1"/>
      <color rgb="00FFFFFF"/>
      <sz val="11"/>
    </font>
    <font>
      <name val="맑은 고딕"/>
      <color rgb="00000000"/>
      <sz val="11"/>
    </font>
    <font>
      <name val="맑은 고딕"/>
      <color rgb="000000FF"/>
      <sz val="11"/>
    </font>
    <font>
      <name val="맑은 고딕"/>
      <b val="1"/>
      <color rgb="00000000"/>
      <sz val="11"/>
    </font>
    <font>
      <name val="맑은 고딕"/>
      <b val="1"/>
      <color rgb="000000FF"/>
      <sz val="11"/>
    </font>
    <font>
      <name val="맑은 고딕"/>
      <b val="1"/>
      <color rgb="00FF0000"/>
      <sz val="11"/>
    </font>
    <font>
      <name val="맑은 고딕"/>
      <b val="1"/>
      <color rgb="00808080"/>
      <sz val="9"/>
    </font>
    <font>
      <name val="맑은 고딕"/>
      <color rgb="00FF0000"/>
      <sz val="9"/>
    </font>
    <font>
      <name val="맑은 고딕"/>
      <b val="1"/>
      <color rgb="00FFFFFF"/>
      <sz val="9"/>
    </font>
    <font>
      <name val="맑은 고딕"/>
      <b val="1"/>
      <sz val="20"/>
    </font>
    <font>
      <name val="맑은 고딕"/>
      <color rgb="FFFF0000"/>
      <sz val="9"/>
    </font>
    <font>
      <name val="맑은 고딕"/>
      <b val="1"/>
      <color rgb="FFFFFFFF"/>
      <sz val="11"/>
    </font>
    <font>
      <name val="맑은 고딕"/>
      <b val="1"/>
      <sz val="10"/>
    </font>
    <font>
      <name val="맑은 고딕"/>
      <sz val="11"/>
    </font>
    <font>
      <name val="맑은 고딕"/>
      <color rgb="FF808080"/>
      <sz val="9"/>
    </font>
    <font>
      <name val="맑은 고딕"/>
      <b val="1"/>
      <sz val="12"/>
    </font>
    <font>
      <name val="맑은 고딕"/>
      <color rgb="00666666"/>
      <sz val="8"/>
    </font>
    <font>
      <name val="맑은 고딕"/>
      <b val="1"/>
      <sz val="9"/>
    </font>
    <font>
      <name val="맑은 고딕"/>
      <sz val="9"/>
    </font>
  </fonts>
  <fills count="9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808080"/>
      </patternFill>
    </fill>
    <fill>
      <patternFill patternType="solid">
        <fgColor rgb="00A6A6A6"/>
      </patternFill>
    </fill>
    <fill>
      <patternFill patternType="solid">
        <fgColor rgb="00DDEBF7"/>
      </patternFill>
    </fill>
    <fill>
      <patternFill patternType="solid">
        <fgColor rgb="FF808080"/>
      </patternFill>
    </fill>
    <fill>
      <patternFill patternType="solid">
        <fgColor rgb="FFD9D9D9"/>
      </patternFill>
    </fill>
    <fill>
      <patternFill patternType="solid">
        <fgColor rgb="00D9E1F2"/>
      </patternFill>
    </fill>
  </fills>
  <borders count="4">
    <border>
      <left/>
      <right/>
      <top/>
      <bottom/>
      <diagonal/>
    </border>
    <border>
      <top style="thin">
        <color rgb="007F7F7F"/>
      </top>
      <bottom style="thin">
        <color rgb="007F7F7F"/>
      </bottom>
    </border>
    <border>
      <left style="thin">
        <color rgb="007F7F7F"/>
      </left>
      <top style="thin">
        <color rgb="007F7F7F"/>
      </top>
      <bottom style="thin">
        <color rgb="007F7F7F"/>
      </bottom>
    </border>
    <border>
      <left style="thin">
        <color rgb="007F7F7F"/>
      </left>
      <top/>
      <bottom/>
    </border>
  </borders>
  <cellStyleXfs count="1">
    <xf numFmtId="0" fontId="0" fillId="0" borderId="0"/>
  </cellStyleXfs>
  <cellXfs count="6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5" fontId="10" fillId="0" borderId="3" applyAlignment="1" pivotButton="0" quotePrefix="0" xfId="0">
      <alignment horizontal="center" vertical="center"/>
    </xf>
    <xf numFmtId="165" fontId="10" fillId="0" borderId="0" applyAlignment="1" pivotButton="0" quotePrefix="0" xfId="0">
      <alignment horizontal="center" vertical="center"/>
    </xf>
    <xf numFmtId="165" fontId="11" fillId="0" borderId="3" applyAlignment="1" pivotButton="0" quotePrefix="0" xfId="0">
      <alignment horizontal="center" vertical="center"/>
    </xf>
    <xf numFmtId="165" fontId="11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indent="1"/>
    </xf>
    <xf numFmtId="164" fontId="6" fillId="0" borderId="3" applyAlignment="1" pivotButton="0" quotePrefix="0" xfId="0">
      <alignment horizontal="center" vertical="center"/>
    </xf>
    <xf numFmtId="164" fontId="6" fillId="0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3" borderId="3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165" fontId="8" fillId="0" borderId="3" applyAlignment="1" pivotButton="0" quotePrefix="0" xfId="0">
      <alignment horizontal="center" vertical="center"/>
    </xf>
    <xf numFmtId="165" fontId="8" fillId="0" borderId="0" applyAlignment="1" pivotButton="0" quotePrefix="0" xfId="0">
      <alignment horizontal="center" vertical="center"/>
    </xf>
    <xf numFmtId="165" fontId="9" fillId="0" borderId="3" applyAlignment="1" pivotButton="0" quotePrefix="0" xfId="0">
      <alignment horizontal="center" vertical="center"/>
    </xf>
    <xf numFmtId="165" fontId="9" fillId="0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164" fontId="9" fillId="0" borderId="3" applyAlignment="1" pivotButton="0" quotePrefix="0" xfId="0">
      <alignment horizontal="center" vertical="center"/>
    </xf>
    <xf numFmtId="164" fontId="9" fillId="0" borderId="0" applyAlignment="1" pivotButton="0" quotePrefix="0" xfId="0">
      <alignment horizontal="center" vertical="center"/>
    </xf>
    <xf numFmtId="3" fontId="10" fillId="0" borderId="0" applyAlignment="1" pivotButton="0" quotePrefix="0" xfId="0">
      <alignment horizontal="center" vertical="center"/>
    </xf>
    <xf numFmtId="3" fontId="8" fillId="0" borderId="3" applyAlignment="1" pivotButton="0" quotePrefix="0" xfId="0">
      <alignment horizontal="center" vertical="center"/>
    </xf>
    <xf numFmtId="3" fontId="8" fillId="0" borderId="0" applyAlignment="1" pivotButton="0" quotePrefix="0" xfId="0">
      <alignment horizontal="center" vertical="center"/>
    </xf>
    <xf numFmtId="166" fontId="8" fillId="0" borderId="3" applyAlignment="1" pivotButton="0" quotePrefix="0" xfId="0">
      <alignment horizontal="center" vertical="center"/>
    </xf>
    <xf numFmtId="166" fontId="8" fillId="0" borderId="0" applyAlignment="1" pivotButton="0" quotePrefix="0" xfId="0">
      <alignment horizontal="center" vertical="center"/>
    </xf>
    <xf numFmtId="166" fontId="9" fillId="0" borderId="3" applyAlignment="1" pivotButton="0" quotePrefix="0" xfId="0">
      <alignment horizontal="center" vertical="center"/>
    </xf>
    <xf numFmtId="166" fontId="9" fillId="0" borderId="0" applyAlignment="1" pivotButton="0" quotePrefix="0" xfId="0">
      <alignment horizontal="center" vertical="center"/>
    </xf>
    <xf numFmtId="3" fontId="10" fillId="0" borderId="3" applyAlignment="1" pivotButton="0" quotePrefix="0" xfId="0">
      <alignment horizontal="center" vertical="center"/>
    </xf>
    <xf numFmtId="164" fontId="8" fillId="0" borderId="3" applyAlignment="1" pivotButton="0" quotePrefix="0" xfId="0">
      <alignment horizontal="center" vertical="center"/>
    </xf>
    <xf numFmtId="164" fontId="8" fillId="0" borderId="0" applyAlignment="1" pivotButton="0" quotePrefix="0" xfId="0">
      <alignment horizontal="center" vertical="center"/>
    </xf>
    <xf numFmtId="164" fontId="12" fillId="0" borderId="3" applyAlignment="1" pivotButton="0" quotePrefix="0" xfId="0">
      <alignment horizontal="center" vertical="center"/>
    </xf>
    <xf numFmtId="164" fontId="12" fillId="0" borderId="0" applyAlignment="1" pivotButton="0" quotePrefix="0" xfId="0">
      <alignment horizontal="center" vertical="center"/>
    </xf>
    <xf numFmtId="0" fontId="0" fillId="0" borderId="3" pivotButton="0" quotePrefix="0" xfId="0"/>
    <xf numFmtId="0" fontId="13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5" fillId="3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14" fillId="0" borderId="0" pivotButton="0" quotePrefix="0" xfId="0"/>
    <xf numFmtId="0" fontId="8" fillId="0" borderId="0" applyAlignment="1" pivotButton="0" quotePrefix="0" xfId="0">
      <alignment horizontal="left" vertical="center" indent="1"/>
    </xf>
    <xf numFmtId="167" fontId="8" fillId="0" borderId="3" applyAlignment="1" pivotButton="0" quotePrefix="0" xfId="0">
      <alignment horizontal="center" vertical="center"/>
    </xf>
    <xf numFmtId="167" fontId="8" fillId="0" borderId="0" applyAlignment="1" pivotButton="0" quotePrefix="0" xfId="0">
      <alignment horizontal="center" vertical="center"/>
    </xf>
    <xf numFmtId="168" fontId="8" fillId="0" borderId="3" applyAlignment="1" pivotButton="0" quotePrefix="0" xfId="0">
      <alignment horizontal="center" vertical="center"/>
    </xf>
    <xf numFmtId="168" fontId="8" fillId="0" borderId="0" applyAlignment="1" pivotButton="0" quotePrefix="0" xfId="0">
      <alignment horizontal="center" vertical="center"/>
    </xf>
    <xf numFmtId="0" fontId="16" fillId="0" borderId="0" pivotButton="0" quotePrefix="0" xfId="0"/>
    <xf numFmtId="0" fontId="17" fillId="0" borderId="0" pivotButton="0" quotePrefix="0" xfId="0"/>
    <xf numFmtId="0" fontId="18" fillId="6" borderId="0" applyAlignment="1" pivotButton="0" quotePrefix="0" xfId="0">
      <alignment horizontal="center" vertical="center"/>
    </xf>
    <xf numFmtId="0" fontId="19" fillId="7" borderId="0" applyAlignment="1" pivotButton="0" quotePrefix="0" xfId="0">
      <alignment horizontal="center" vertical="center"/>
    </xf>
    <xf numFmtId="0" fontId="20" fillId="0" borderId="0" pivotButton="0" quotePrefix="0" xfId="0"/>
    <xf numFmtId="169" fontId="20" fillId="0" borderId="0" applyAlignment="1" pivotButton="0" quotePrefix="0" xfId="0">
      <alignment horizontal="center" vertical="center"/>
    </xf>
    <xf numFmtId="0" fontId="21" fillId="0" borderId="0" pivotButton="0" quotePrefix="0" xfId="0"/>
    <xf numFmtId="3" fontId="20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19" fillId="7" borderId="0" pivotButton="0" quotePrefix="0" xfId="0"/>
    <xf numFmtId="0" fontId="22" fillId="0" borderId="0" pivotButton="0" quotePrefix="0" xfId="0"/>
    <xf numFmtId="0" fontId="23" fillId="0" borderId="0" pivotButton="0" quotePrefix="0" xfId="0"/>
    <xf numFmtId="0" fontId="24" fillId="0" borderId="0" pivotButton="0" quotePrefix="0" xfId="0"/>
    <xf numFmtId="0" fontId="24" fillId="8" borderId="0" applyAlignment="1" pivotButton="0" quotePrefix="0" xfId="0">
      <alignment horizontal="center"/>
    </xf>
    <xf numFmtId="0" fontId="25" fillId="0" borderId="0" pivotButton="0" quotePrefix="0" xfId="0"/>
    <xf numFmtId="3" fontId="25" fillId="0" borderId="0" pivotButton="0" quotePrefix="0" xfId="0"/>
    <xf numFmtId="170" fontId="25" fillId="0" borderId="0" pivotButton="0" quotePrefix="0" xfId="0"/>
  </cellXfs>
  <cellStyles count="1">
    <cellStyle name="Normal" xfId="0" builtinId="0" hidden="0"/>
  </cellStyles>
  <dxfs count="1">
    <dxf>
      <font>
        <name val="맑은 고딕"/>
        <b val="1"/>
        <color rgb="00FF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매출액 (억 엔) · YoY (%)</a:t>
            </a:r>
          </a:p>
        </rich>
      </tx>
    </title>
    <plotArea>
      <barChart>
        <barDir val="col"/>
        <grouping val="clustered"/>
        <varyColors val="0"/>
        <ser>
          <idx val="0"/>
          <order val="0"/>
          <tx>
            <strRef>
              <f>'재무제표 한눈에 보기'!A5</f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'재무제표 한눈에 보기'!$B$4:$AO$4</f>
            </numRef>
          </cat>
          <val>
            <numRef>
              <f>'재무제표 한눈에 보기'!$B$5:$AO$5</f>
            </numRef>
          </val>
        </ser>
        <dLbls>
          <numFmt formatCode="#,##0"/>
          <dLblPos val="outEnd"/>
          <showLegendKey val="0"/>
          <showVal val="1"/>
          <showCatName val="0"/>
          <showSerName val="0"/>
        </dLbls>
        <gapWidth val="40"/>
        <axId val="10"/>
        <axId val="100"/>
      </barChart>
      <lineChart>
        <grouping val="standard"/>
        <ser>
          <idx val="1"/>
          <order val="1"/>
          <tx>
            <strRef>
              <f>'재무제표 한눈에 보기'!A6</f>
            </strRef>
          </tx>
          <spPr>
            <a:ln xmlns:a="http://schemas.openxmlformats.org/drawingml/2006/main">
              <a:solidFill>
                <a:srgbClr val="ED7D31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ED7D31"/>
              </a:solidFill>
              <a:ln xmlns:a="http://schemas.openxmlformats.org/drawingml/2006/main">
                <a:solidFill>
                  <a:srgbClr val="ED7D31"/>
                </a:solidFill>
                <a:prstDash val="solid"/>
              </a:ln>
            </spPr>
          </marker>
          <val>
            <numRef>
              <f>'재무제표 한눈에 보기'!$B$6:$AO$6</f>
            </numRef>
          </val>
          <smooth val="0"/>
        </ser>
        <dLbls>
          <numFmt formatCode="0&quot;%&quot;"/>
          <dLblPos val="t"/>
          <showLegendKey val="0"/>
          <showVal val="1"/>
          <showCatName val="0"/>
          <showSerName val="0"/>
        </dLbls>
        <axId val="10"/>
        <axId val="200"/>
      </line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TickMark val="none"/>
        <minorTickMark val="none"/>
        <crossAx val="10"/>
      </valAx>
      <valAx>
        <axId val="2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</a:t>
                </a:r>
              </a:p>
            </rich>
          </tx>
        </title>
        <majorTickMark val="none"/>
        <minorTickMark val="none"/>
        <crossAx val="10"/>
        <crosses val="max"/>
      </valAx>
    </plotArea>
    <legend>
      <legendPos val="t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영업이익 (억 엔) · OPM·YoY (%)</a:t>
            </a:r>
          </a:p>
        </rich>
      </tx>
    </title>
    <plotArea>
      <barChart>
        <barDir val="col"/>
        <grouping val="clustered"/>
        <varyColors val="0"/>
        <ser>
          <idx val="0"/>
          <order val="0"/>
          <tx>
            <strRef>
              <f>'재무제표 한눈에 보기'!A7</f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'재무제표 한눈에 보기'!$B$4:$AO$4</f>
            </numRef>
          </cat>
          <val>
            <numRef>
              <f>'재무제표 한눈에 보기'!$B$7:$AO$7</f>
            </numRef>
          </val>
        </ser>
        <dLbls>
          <numFmt formatCode="#,##0"/>
          <dLblPos val="outEnd"/>
          <showLegendKey val="0"/>
          <showVal val="1"/>
          <showCatName val="0"/>
          <showSerName val="0"/>
        </dLbls>
        <gapWidth val="40"/>
        <axId val="10"/>
        <axId val="100"/>
      </barChart>
      <lineChart>
        <grouping val="standard"/>
        <ser>
          <idx val="1"/>
          <order val="1"/>
          <tx>
            <strRef>
              <f>'재무제표 한눈에 보기'!A8</f>
            </strRef>
          </tx>
          <spPr>
            <a:ln xmlns:a="http://schemas.openxmlformats.org/drawingml/2006/main">
              <a:solidFill>
                <a:srgbClr val="ED7D31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ED7D31"/>
              </a:solidFill>
              <a:ln xmlns:a="http://schemas.openxmlformats.org/drawingml/2006/main">
                <a:solidFill>
                  <a:srgbClr val="ED7D31"/>
                </a:solidFill>
                <a:prstDash val="solid"/>
              </a:ln>
            </spPr>
          </marker>
          <val>
            <numRef>
              <f>'재무제표 한눈에 보기'!$B$8:$AO$8</f>
            </numRef>
          </val>
          <smooth val="0"/>
        </ser>
        <ser>
          <idx val="2"/>
          <order val="2"/>
          <tx>
            <strRef>
              <f>'재무제표 한눈에 보기'!A9</f>
            </strRef>
          </tx>
          <spPr>
            <a:ln xmlns:a="http://schemas.openxmlformats.org/drawingml/2006/main">
              <a:solidFill>
                <a:srgbClr val="A5A5A5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A5A5A5"/>
              </a:solidFill>
              <a:ln xmlns:a="http://schemas.openxmlformats.org/drawingml/2006/main">
                <a:solidFill>
                  <a:srgbClr val="A5A5A5"/>
                </a:solidFill>
                <a:prstDash val="solid"/>
              </a:ln>
            </spPr>
          </marker>
          <val>
            <numRef>
              <f>'재무제표 한눈에 보기'!$B$9:$AO$9</f>
            </numRef>
          </val>
          <smooth val="0"/>
        </ser>
        <dLbls>
          <numFmt formatCode="0&quot;%&quot;"/>
          <dLblPos val="t"/>
          <showLegendKey val="0"/>
          <showVal val="1"/>
          <showCatName val="0"/>
          <showSerName val="0"/>
        </dLbls>
        <axId val="10"/>
        <axId val="200"/>
      </line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TickMark val="none"/>
        <minorTickMark val="none"/>
        <crossAx val="10"/>
      </valAx>
      <valAx>
        <axId val="2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</a:t>
                </a:r>
              </a:p>
            </rich>
          </tx>
        </title>
        <majorTickMark val="none"/>
        <minorTickMark val="none"/>
        <crossAx val="10"/>
        <crosses val="max"/>
      </valAx>
    </plotArea>
    <legend>
      <legendPos val="t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재무 안정성 — 총 차입금·현금 (억 엔) · 부채비율 (%)</a:t>
            </a:r>
          </a:p>
        </rich>
      </tx>
    </title>
    <plotArea>
      <barChart>
        <barDir val="col"/>
        <grouping val="clustered"/>
        <varyColors val="0"/>
        <ser>
          <idx val="0"/>
          <order val="0"/>
          <tx>
            <strRef>
              <f>'재무제표 한눈에 보기'!A22</f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'재무제표 한눈에 보기'!$B$4:$AO$4</f>
            </numRef>
          </cat>
          <val>
            <numRef>
              <f>'재무제표 한눈에 보기'!$B$22:$AO$22</f>
            </numRef>
          </val>
        </ser>
        <ser>
          <idx val="1"/>
          <order val="1"/>
          <tx>
            <strRef>
              <f>'재무제표 한눈에 보기'!A23</f>
            </strRef>
          </tx>
          <spPr>
            <a:solidFill xmlns:a="http://schemas.openxmlformats.org/drawingml/2006/main">
              <a:srgbClr val="ED7D31"/>
            </a:solidFill>
            <a:ln xmlns:a="http://schemas.openxmlformats.org/drawingml/2006/main">
              <a:solidFill>
                <a:srgbClr val="ED7D31"/>
              </a:solidFill>
              <a:prstDash val="solid"/>
            </a:ln>
          </spPr>
          <cat>
            <numRef>
              <f>'재무제표 한눈에 보기'!$B$4:$AO$4</f>
            </numRef>
          </cat>
          <val>
            <numRef>
              <f>'재무제표 한눈에 보기'!$B$23:$AO$23</f>
            </numRef>
          </val>
        </ser>
        <dLbls>
          <numFmt formatCode="#,##0"/>
          <dLblPos val="outEnd"/>
          <showLegendKey val="0"/>
          <showVal val="1"/>
          <showCatName val="0"/>
          <showSerName val="0"/>
        </dLbls>
        <gapWidth val="40"/>
        <axId val="10"/>
        <axId val="100"/>
      </barChart>
      <lineChart>
        <grouping val="standard"/>
        <ser>
          <idx val="2"/>
          <order val="2"/>
          <tx>
            <strRef>
              <f>'재무제표 한눈에 보기'!A15</f>
            </strRef>
          </tx>
          <spPr>
            <a:ln xmlns:a="http://schemas.openxmlformats.org/drawingml/2006/main">
              <a:solidFill>
                <a:srgbClr val="A5A5A5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A5A5A5"/>
              </a:solidFill>
              <a:ln xmlns:a="http://schemas.openxmlformats.org/drawingml/2006/main">
                <a:solidFill>
                  <a:srgbClr val="A5A5A5"/>
                </a:solidFill>
                <a:prstDash val="solid"/>
              </a:ln>
            </spPr>
          </marker>
          <val>
            <numRef>
              <f>'재무제표 한눈에 보기'!$B$15:$AO$15</f>
            </numRef>
          </val>
          <smooth val="0"/>
        </ser>
        <dLbls>
          <numFmt formatCode="0&quot;%&quot;"/>
          <dLblPos val="t"/>
          <showLegendKey val="0"/>
          <showVal val="1"/>
          <showCatName val="0"/>
          <showSerName val="0"/>
        </dLbls>
        <axId val="10"/>
        <axId val="200"/>
      </line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TickMark val="none"/>
        <minorTickMark val="none"/>
        <crossAx val="10"/>
      </valAx>
      <valAx>
        <axId val="2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</a:t>
                </a:r>
              </a:p>
            </rich>
          </tx>
        </title>
        <majorTickMark val="none"/>
        <minorTickMark val="none"/>
        <crossAx val="10"/>
        <crosses val="max"/>
      </valAx>
    </plotArea>
    <legend>
      <legendPos val="t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25</row>
      <rowOff>0</rowOff>
    </from>
    <ext cx="864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22</col>
      <colOff>0</colOff>
      <row>25</row>
      <rowOff>0</rowOff>
    </from>
    <ext cx="8640000" cy="32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44</row>
      <rowOff>0</rowOff>
    </from>
    <ext cx="8640000" cy="32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C168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4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outlineLevel="1" width="11" customWidth="1" min="8" max="8"/>
    <col outlineLevel="1" width="11" customWidth="1" min="9" max="9"/>
    <col outlineLevel="1" width="11" customWidth="1" min="10" max="10"/>
    <col outlineLevel="1" width="11" customWidth="1" min="11" max="11"/>
    <col outlineLevel="1" width="11" customWidth="1" min="12" max="12"/>
    <col outlineLevel="1" width="11" customWidth="1" min="13" max="13"/>
    <col outlineLevel="1"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</cols>
  <sheetData>
    <row r="1" ht="30" customHeight="1">
      <c r="A1" s="1" t="inlineStr">
        <is>
          <t>6565 Model</t>
        </is>
      </c>
    </row>
    <row r="2">
      <c r="A2" s="2" t="inlineStr">
        <is>
          <t>모를 땐 보수적으로</t>
        </is>
      </c>
      <c r="B2" s="3" t="inlineStr">
        <is>
          <t>(단위: 백만엔)</t>
        </is>
      </c>
      <c r="C2" s="3" t="inlineStr">
        <is>
          <t>3월 결산 · 일본 기준 · 2027.2Q = 2027년 3월 결산기 2분기</t>
        </is>
      </c>
      <c r="Y2" s="4" t="inlineStr">
        <is>
          <t>(추정: 파란 글씨 = 직접 입력)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2024.3Q</t>
        </is>
      </c>
      <c r="D3" s="5" t="inlineStr">
        <is>
          <t>2024.4Q</t>
        </is>
      </c>
      <c r="E3" s="5" t="inlineStr">
        <is>
          <t>2025.1Q</t>
        </is>
      </c>
      <c r="F3" s="5" t="inlineStr">
        <is>
          <t>2025.2Q</t>
        </is>
      </c>
      <c r="G3" s="5" t="inlineStr">
        <is>
          <t>2025.3Q</t>
        </is>
      </c>
      <c r="H3" s="5" t="inlineStr">
        <is>
          <t>2025.4Q</t>
        </is>
      </c>
      <c r="I3" s="5" t="inlineStr">
        <is>
          <t>2026.1Q</t>
        </is>
      </c>
      <c r="J3" s="5" t="inlineStr">
        <is>
          <t>2026.2Q</t>
        </is>
      </c>
      <c r="K3" s="5" t="inlineStr">
        <is>
          <t>2026.3Q</t>
        </is>
      </c>
      <c r="L3" s="5" t="inlineStr">
        <is>
          <t>2026.4Q</t>
        </is>
      </c>
      <c r="M3" s="5" t="inlineStr">
        <is>
          <t>2027.1Q</t>
        </is>
      </c>
      <c r="N3" s="5" t="inlineStr">
        <is>
          <t>2027.2Q</t>
        </is>
      </c>
      <c r="O3" s="6" t="inlineStr">
        <is>
          <t>2017</t>
        </is>
      </c>
      <c r="P3" s="5" t="inlineStr">
        <is>
          <t>2018</t>
        </is>
      </c>
      <c r="Q3" s="5" t="inlineStr">
        <is>
          <t>2019</t>
        </is>
      </c>
      <c r="R3" s="5" t="inlineStr">
        <is>
          <t>2020</t>
        </is>
      </c>
      <c r="S3" s="5" t="inlineStr">
        <is>
          <t>2021</t>
        </is>
      </c>
      <c r="T3" s="5" t="inlineStr">
        <is>
          <t>2022</t>
        </is>
      </c>
      <c r="U3" s="5" t="inlineStr">
        <is>
          <t>2023</t>
        </is>
      </c>
      <c r="V3" s="5" t="inlineStr">
        <is>
          <t>2024</t>
        </is>
      </c>
      <c r="W3" s="5" t="inlineStr">
        <is>
          <t>2025</t>
        </is>
      </c>
      <c r="X3" s="5" t="inlineStr">
        <is>
          <t>2026</t>
        </is>
      </c>
      <c r="Y3" s="7" t="inlineStr">
        <is>
          <t>2027(MW)</t>
        </is>
      </c>
      <c r="Z3" s="8" t="inlineStr">
        <is>
          <t>2028(MW)</t>
        </is>
      </c>
      <c r="AA3" s="8" t="inlineStr">
        <is>
          <t>2029(MW)</t>
        </is>
      </c>
      <c r="AB3" s="8" t="inlineStr">
        <is>
          <t>2030(MW)</t>
        </is>
      </c>
      <c r="AC3" s="8" t="inlineStr">
        <is>
          <t>2031(MW)</t>
        </is>
      </c>
    </row>
    <row r="4">
      <c r="A4" s="9" t="inlineStr">
        <is>
          <t>매출액</t>
        </is>
      </c>
      <c r="B4" s="10" t="inlineStr">
        <is>
          <t>MW 직접 입력</t>
        </is>
      </c>
      <c r="C4" s="11" t="n">
        <v>2659.569</v>
      </c>
      <c r="D4" s="12" t="n">
        <v>2438.557</v>
      </c>
      <c r="E4" s="12" t="n">
        <v>2522.974</v>
      </c>
      <c r="F4" s="12" t="n">
        <v>2662.898</v>
      </c>
      <c r="G4" s="12" t="n">
        <v>3010.328</v>
      </c>
      <c r="H4" s="12" t="n">
        <v>2482.846</v>
      </c>
      <c r="I4" s="12" t="n">
        <v>2952.988</v>
      </c>
      <c r="J4" s="12" t="n">
        <v>3080.322</v>
      </c>
      <c r="K4" s="12" t="n">
        <v>3501.913</v>
      </c>
      <c r="L4" s="12" t="n">
        <v>2758.681</v>
      </c>
      <c r="M4" s="12" t="n">
        <v>2875.757</v>
      </c>
      <c r="N4" s="12" t="n">
        <v>3535.956</v>
      </c>
      <c r="O4" s="11" t="n">
        <v>3510.283</v>
      </c>
      <c r="P4" s="12" t="n">
        <v>4420.45</v>
      </c>
      <c r="Q4" s="12" t="n">
        <v>5514.751</v>
      </c>
      <c r="R4" s="12" t="n">
        <v>6295.918</v>
      </c>
      <c r="S4" s="12" t="n">
        <v>4739.254</v>
      </c>
      <c r="T4" s="12" t="n">
        <v>6345.315</v>
      </c>
      <c r="U4" s="12" t="n">
        <v>8796.15</v>
      </c>
      <c r="V4" s="12" t="n">
        <v>9947.923000000001</v>
      </c>
      <c r="W4" s="12" t="n">
        <v>10679.046</v>
      </c>
      <c r="X4" s="12" t="n">
        <v>12293.904</v>
      </c>
      <c r="Y4" s="13">
        <f>IF(COUNT(Y7)=0,"",SUM(Y7))</f>
        <v/>
      </c>
      <c r="Z4" s="14">
        <f>IF(COUNT(Z7)=0,"",SUM(Z7))</f>
        <v/>
      </c>
      <c r="AA4" s="14">
        <f>IF(COUNT(AA7)=0,"",SUM(AA7))</f>
        <v/>
      </c>
      <c r="AB4" s="14">
        <f>IF(COUNT(AB7)=0,"",SUM(AB7))</f>
        <v/>
      </c>
      <c r="AC4" s="14">
        <f>IF(COUNT(AC7)=0,"",SUM(AC7))</f>
        <v/>
      </c>
    </row>
    <row r="5">
      <c r="A5" s="15" t="inlineStr">
        <is>
          <t>YoY</t>
        </is>
      </c>
      <c r="B5" s="10" t="n"/>
      <c r="C5" s="16" t="n"/>
      <c r="D5" s="17" t="n"/>
      <c r="E5" s="17" t="n"/>
      <c r="F5" s="17" t="n"/>
      <c r="G5" s="17">
        <f>IF(OR(G4="",C4=""),"",IFERROR(G4/C4-1,""))</f>
        <v/>
      </c>
      <c r="H5" s="17">
        <f>IF(OR(H4="",D4=""),"",IFERROR(H4/D4-1,""))</f>
        <v/>
      </c>
      <c r="I5" s="17">
        <f>IF(OR(I4="",E4=""),"",IFERROR(I4/E4-1,""))</f>
        <v/>
      </c>
      <c r="J5" s="17">
        <f>IF(OR(J4="",F4=""),"",IFERROR(J4/F4-1,""))</f>
        <v/>
      </c>
      <c r="K5" s="17">
        <f>IF(OR(K4="",G4=""),"",IFERROR(K4/G4-1,""))</f>
        <v/>
      </c>
      <c r="L5" s="17">
        <f>IF(OR(L4="",H4=""),"",IFERROR(L4/H4-1,""))</f>
        <v/>
      </c>
      <c r="M5" s="17">
        <f>IF(OR(M4="",I4=""),"",IFERROR(M4/I4-1,""))</f>
        <v/>
      </c>
      <c r="N5" s="17">
        <f>IF(OR(N4="",J4=""),"",IFERROR(N4/J4-1,""))</f>
        <v/>
      </c>
      <c r="O5" s="16" t="n"/>
      <c r="P5" s="17">
        <f>IF(OR(P4="",O4=""),"",IFERROR(P4/O4-1,""))</f>
        <v/>
      </c>
      <c r="Q5" s="17">
        <f>IF(OR(Q4="",P4=""),"",IFERROR(Q4/P4-1,""))</f>
        <v/>
      </c>
      <c r="R5" s="17">
        <f>IF(OR(R4="",Q4=""),"",IFERROR(R4/Q4-1,""))</f>
        <v/>
      </c>
      <c r="S5" s="17">
        <f>IF(OR(S4="",R4=""),"",IFERROR(S4/R4-1,""))</f>
        <v/>
      </c>
      <c r="T5" s="17">
        <f>IF(OR(T4="",S4=""),"",IFERROR(T4/S4-1,""))</f>
        <v/>
      </c>
      <c r="U5" s="17">
        <f>IF(OR(U4="",T4=""),"",IFERROR(U4/T4-1,""))</f>
        <v/>
      </c>
      <c r="V5" s="17">
        <f>IF(OR(V4="",U4=""),"",IFERROR(V4/U4-1,""))</f>
        <v/>
      </c>
      <c r="W5" s="17">
        <f>IF(OR(W4="",V4=""),"",IFERROR(W4/V4-1,""))</f>
        <v/>
      </c>
      <c r="X5" s="17">
        <f>IF(OR(X4="",W4=""),"",IFERROR(X4/W4-1,""))</f>
        <v/>
      </c>
      <c r="Y5" s="16">
        <f>IF(OR(Y4="",X4=""),"",IFERROR(Y4/X4-1,""))</f>
        <v/>
      </c>
      <c r="Z5" s="17">
        <f>IF(OR(Z4="",Y4=""),"",IFERROR(Z4/Y4-1,""))</f>
        <v/>
      </c>
      <c r="AA5" s="17">
        <f>IF(OR(AA4="",Z4=""),"",IFERROR(AA4/Z4-1,""))</f>
        <v/>
      </c>
      <c r="AB5" s="17">
        <f>IF(OR(AB4="",AA4=""),"",IFERROR(AB4/AA4-1,""))</f>
        <v/>
      </c>
      <c r="AC5" s="17">
        <f>IF(OR(AC4="",AB4=""),"",IFERROR(AC4/AB4-1,""))</f>
        <v/>
      </c>
    </row>
    <row r="6">
      <c r="A6" s="18" t="inlineStr">
        <is>
          <t>제품별 매출 분류</t>
        </is>
      </c>
      <c r="B6" s="18" t="inlineStr">
        <is>
          <t>사업보고서 매출실적</t>
        </is>
      </c>
      <c r="C6" s="19" t="n"/>
      <c r="D6" s="18" t="n"/>
      <c r="E6" s="18" t="n"/>
      <c r="F6" s="18" t="n"/>
      <c r="G6" s="18" t="n"/>
      <c r="H6" s="18" t="n"/>
      <c r="I6" s="18" t="n"/>
      <c r="J6" s="18" t="n"/>
      <c r="K6" s="18" t="n"/>
      <c r="L6" s="18" t="n"/>
      <c r="M6" s="18" t="n"/>
      <c r="N6" s="18" t="n"/>
      <c r="O6" s="19" t="n"/>
      <c r="P6" s="18" t="n"/>
      <c r="Q6" s="18" t="n"/>
      <c r="R6" s="18" t="n"/>
      <c r="S6" s="18" t="n"/>
      <c r="T6" s="18" t="n"/>
      <c r="U6" s="18" t="n"/>
      <c r="V6" s="18" t="n"/>
      <c r="W6" s="18" t="n"/>
      <c r="X6" s="18" t="n"/>
      <c r="Y6" s="19" t="n"/>
      <c r="Z6" s="18" t="n"/>
      <c r="AA6" s="18" t="n"/>
      <c r="AB6" s="18" t="n"/>
      <c r="AC6" s="18" t="n"/>
    </row>
    <row r="7">
      <c r="A7" s="20" t="inlineStr">
        <is>
          <t>(제품별 매출 미공시 — 직접 입력)</t>
        </is>
      </c>
      <c r="B7" s="10" t="n"/>
      <c r="C7" s="21" t="n"/>
      <c r="D7" s="22" t="n"/>
      <c r="E7" s="22" t="n"/>
      <c r="F7" s="22" t="n"/>
      <c r="G7" s="22" t="n"/>
      <c r="H7" s="22" t="n"/>
      <c r="I7" s="22" t="n"/>
      <c r="J7" s="22" t="n"/>
      <c r="K7" s="22" t="n"/>
      <c r="L7" s="22" t="n"/>
      <c r="M7" s="22" t="n"/>
      <c r="N7" s="22" t="n"/>
      <c r="O7" s="21" t="n"/>
      <c r="P7" s="22" t="n"/>
      <c r="Q7" s="22" t="n"/>
      <c r="R7" s="22" t="n"/>
      <c r="S7" s="22" t="n"/>
      <c r="T7" s="22" t="n"/>
      <c r="U7" s="22" t="n"/>
      <c r="V7" s="22" t="n"/>
      <c r="W7" s="22" t="n"/>
      <c r="X7" s="22" t="n"/>
      <c r="Y7" s="23" t="n"/>
      <c r="Z7" s="24" t="n"/>
      <c r="AA7" s="24" t="n"/>
      <c r="AB7" s="24" t="n"/>
      <c r="AC7" s="24" t="n"/>
    </row>
    <row r="8">
      <c r="A8" s="15" t="inlineStr">
        <is>
          <t>비중</t>
        </is>
      </c>
      <c r="B8" s="10" t="n"/>
      <c r="C8" s="16">
        <f>IF(OR(C7="",C4=""),"",IFERROR(C7/C4,""))</f>
        <v/>
      </c>
      <c r="D8" s="17">
        <f>IF(OR(D7="",D4=""),"",IFERROR(D7/D4,""))</f>
        <v/>
      </c>
      <c r="E8" s="17">
        <f>IF(OR(E7="",E4=""),"",IFERROR(E7/E4,""))</f>
        <v/>
      </c>
      <c r="F8" s="17">
        <f>IF(OR(F7="",F4=""),"",IFERROR(F7/F4,""))</f>
        <v/>
      </c>
      <c r="G8" s="17">
        <f>IF(OR(G7="",G4=""),"",IFERROR(G7/G4,""))</f>
        <v/>
      </c>
      <c r="H8" s="17">
        <f>IF(OR(H7="",H4=""),"",IFERROR(H7/H4,""))</f>
        <v/>
      </c>
      <c r="I8" s="17">
        <f>IF(OR(I7="",I4=""),"",IFERROR(I7/I4,""))</f>
        <v/>
      </c>
      <c r="J8" s="17">
        <f>IF(OR(J7="",J4=""),"",IFERROR(J7/J4,""))</f>
        <v/>
      </c>
      <c r="K8" s="17">
        <f>IF(OR(K7="",K4=""),"",IFERROR(K7/K4,""))</f>
        <v/>
      </c>
      <c r="L8" s="17">
        <f>IF(OR(L7="",L4=""),"",IFERROR(L7/L4,""))</f>
        <v/>
      </c>
      <c r="M8" s="17">
        <f>IF(OR(M7="",M4=""),"",IFERROR(M7/M4,""))</f>
        <v/>
      </c>
      <c r="N8" s="17">
        <f>IF(OR(N7="",N4=""),"",IFERROR(N7/N4,""))</f>
        <v/>
      </c>
      <c r="O8" s="16">
        <f>IF(OR(O7="",O4=""),"",IFERROR(O7/O4,""))</f>
        <v/>
      </c>
      <c r="P8" s="17">
        <f>IF(OR(P7="",P4=""),"",IFERROR(P7/P4,""))</f>
        <v/>
      </c>
      <c r="Q8" s="17">
        <f>IF(OR(Q7="",Q4=""),"",IFERROR(Q7/Q4,""))</f>
        <v/>
      </c>
      <c r="R8" s="17">
        <f>IF(OR(R7="",R4=""),"",IFERROR(R7/R4,""))</f>
        <v/>
      </c>
      <c r="S8" s="17">
        <f>IF(OR(S7="",S4=""),"",IFERROR(S7/S4,""))</f>
        <v/>
      </c>
      <c r="T8" s="17">
        <f>IF(OR(T7="",T4=""),"",IFERROR(T7/T4,""))</f>
        <v/>
      </c>
      <c r="U8" s="17">
        <f>IF(OR(U7="",U4=""),"",IFERROR(U7/U4,""))</f>
        <v/>
      </c>
      <c r="V8" s="17">
        <f>IF(OR(V7="",V4=""),"",IFERROR(V7/V4,""))</f>
        <v/>
      </c>
      <c r="W8" s="17">
        <f>IF(OR(W7="",W4=""),"",IFERROR(W7/W4,""))</f>
        <v/>
      </c>
      <c r="X8" s="17">
        <f>IF(OR(X7="",X4=""),"",IFERROR(X7/X4,""))</f>
        <v/>
      </c>
      <c r="Y8" s="16">
        <f>IF(OR(Y7="",Y4=""),"",IFERROR(Y7/Y4,""))</f>
        <v/>
      </c>
      <c r="Z8" s="17">
        <f>IF(OR(Z7="",Z4=""),"",IFERROR(Z7/Z4,""))</f>
        <v/>
      </c>
      <c r="AA8" s="17">
        <f>IF(OR(AA7="",AA4=""),"",IFERROR(AA7/AA4,""))</f>
        <v/>
      </c>
      <c r="AB8" s="17">
        <f>IF(OR(AB7="",AB4=""),"",IFERROR(AB7/AB4,""))</f>
        <v/>
      </c>
      <c r="AC8" s="17">
        <f>IF(OR(AC7="",AC4=""),"",IFERROR(AC7/AC4,""))</f>
        <v/>
      </c>
    </row>
    <row r="9">
      <c r="A9" s="15" t="inlineStr">
        <is>
          <t>YoY</t>
        </is>
      </c>
      <c r="B9" s="10" t="n"/>
      <c r="C9" s="16" t="n"/>
      <c r="D9" s="17" t="n"/>
      <c r="E9" s="17" t="n"/>
      <c r="F9" s="17" t="n"/>
      <c r="G9" s="17">
        <f>IF(OR(G7="",C7=""),"",IFERROR(G7/C7-1,""))</f>
        <v/>
      </c>
      <c r="H9" s="17">
        <f>IF(OR(H7="",D7=""),"",IFERROR(H7/D7-1,""))</f>
        <v/>
      </c>
      <c r="I9" s="17">
        <f>IF(OR(I7="",E7=""),"",IFERROR(I7/E7-1,""))</f>
        <v/>
      </c>
      <c r="J9" s="17">
        <f>IF(OR(J7="",F7=""),"",IFERROR(J7/F7-1,""))</f>
        <v/>
      </c>
      <c r="K9" s="17">
        <f>IF(OR(K7="",G7=""),"",IFERROR(K7/G7-1,""))</f>
        <v/>
      </c>
      <c r="L9" s="17">
        <f>IF(OR(L7="",H7=""),"",IFERROR(L7/H7-1,""))</f>
        <v/>
      </c>
      <c r="M9" s="17">
        <f>IF(OR(M7="",I7=""),"",IFERROR(M7/I7-1,""))</f>
        <v/>
      </c>
      <c r="N9" s="17">
        <f>IF(OR(N7="",J7=""),"",IFERROR(N7/J7-1,""))</f>
        <v/>
      </c>
      <c r="O9" s="16" t="n"/>
      <c r="P9" s="17">
        <f>IF(OR(P7="",O7=""),"",IFERROR(P7/O7-1,""))</f>
        <v/>
      </c>
      <c r="Q9" s="17">
        <f>IF(OR(Q7="",P7=""),"",IFERROR(Q7/P7-1,""))</f>
        <v/>
      </c>
      <c r="R9" s="17">
        <f>IF(OR(R7="",Q7=""),"",IFERROR(R7/Q7-1,""))</f>
        <v/>
      </c>
      <c r="S9" s="17">
        <f>IF(OR(S7="",R7=""),"",IFERROR(S7/R7-1,""))</f>
        <v/>
      </c>
      <c r="T9" s="17">
        <f>IF(OR(T7="",S7=""),"",IFERROR(T7/S7-1,""))</f>
        <v/>
      </c>
      <c r="U9" s="17">
        <f>IF(OR(U7="",T7=""),"",IFERROR(U7/T7-1,""))</f>
        <v/>
      </c>
      <c r="V9" s="17">
        <f>IF(OR(V7="",U7=""),"",IFERROR(V7/U7-1,""))</f>
        <v/>
      </c>
      <c r="W9" s="17">
        <f>IF(OR(W7="",V7=""),"",IFERROR(W7/V7-1,""))</f>
        <v/>
      </c>
      <c r="X9" s="17">
        <f>IF(OR(X7="",W7=""),"",IFERROR(X7/W7-1,""))</f>
        <v/>
      </c>
      <c r="Y9" s="16">
        <f>IF(OR(Y7="",X7=""),"",IFERROR(Y7/X7-1,""))</f>
        <v/>
      </c>
      <c r="Z9" s="17">
        <f>IF(OR(Z7="",Y7=""),"",IFERROR(Z7/Y7-1,""))</f>
        <v/>
      </c>
      <c r="AA9" s="17">
        <f>IF(OR(AA7="",Z7=""),"",IFERROR(AA7/Z7-1,""))</f>
        <v/>
      </c>
      <c r="AB9" s="17">
        <f>IF(OR(AB7="",AA7=""),"",IFERROR(AB7/AA7-1,""))</f>
        <v/>
      </c>
      <c r="AC9" s="17">
        <f>IF(OR(AC7="",AB7=""),"",IFERROR(AC7/AB7-1,""))</f>
        <v/>
      </c>
    </row>
    <row r="10">
      <c r="A10" s="18" t="inlineStr">
        <is>
          <t>매출원가</t>
        </is>
      </c>
      <c r="B10" s="18" t="n"/>
      <c r="C10" s="19" t="n"/>
      <c r="D10" s="18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  <c r="O10" s="19" t="n"/>
      <c r="P10" s="18" t="n"/>
      <c r="Q10" s="18" t="n"/>
      <c r="R10" s="18" t="n"/>
      <c r="S10" s="18" t="n"/>
      <c r="T10" s="18" t="n"/>
      <c r="U10" s="18" t="n"/>
      <c r="V10" s="18" t="n"/>
      <c r="W10" s="18" t="n"/>
      <c r="X10" s="18" t="n"/>
      <c r="Y10" s="19" t="n"/>
      <c r="Z10" s="18" t="n"/>
      <c r="AA10" s="18" t="n"/>
      <c r="AB10" s="18" t="n"/>
      <c r="AC10" s="18" t="n"/>
    </row>
    <row r="11">
      <c r="A11" s="20" t="inlineStr">
        <is>
          <t>전체 매출원가</t>
        </is>
      </c>
      <c r="B11" s="10" t="n"/>
      <c r="C11" s="21" t="n">
        <v>1465.264</v>
      </c>
      <c r="D11" s="22" t="n">
        <v>1487.645</v>
      </c>
      <c r="E11" s="22" t="n">
        <v>1470.868</v>
      </c>
      <c r="F11" s="22" t="n">
        <v>1454.717</v>
      </c>
      <c r="G11" s="22" t="n">
        <v>1561.556</v>
      </c>
      <c r="H11" s="22" t="n">
        <v>1566.048</v>
      </c>
      <c r="I11" s="22" t="n">
        <v>1609.038</v>
      </c>
      <c r="J11" s="22" t="n">
        <v>1666.361</v>
      </c>
      <c r="K11" s="22" t="n">
        <v>1667.629</v>
      </c>
      <c r="L11" s="22" t="n">
        <v>1713.81</v>
      </c>
      <c r="M11" s="22" t="n">
        <v>1691.592</v>
      </c>
      <c r="N11" s="22" t="n">
        <v>1747.275</v>
      </c>
      <c r="O11" s="21" t="n">
        <v>2172.673</v>
      </c>
      <c r="P11" s="22" t="n">
        <v>2799.435</v>
      </c>
      <c r="Q11" s="22" t="n">
        <v>3576.843</v>
      </c>
      <c r="R11" s="22" t="n">
        <v>4402.134</v>
      </c>
      <c r="S11" s="22" t="n">
        <v>4324.323</v>
      </c>
      <c r="T11" s="22" t="n">
        <v>4986.386</v>
      </c>
      <c r="U11" s="22" t="n">
        <v>5307.282</v>
      </c>
      <c r="V11" s="22" t="n">
        <v>5752.092</v>
      </c>
      <c r="W11" s="22" t="n">
        <v>6053.189</v>
      </c>
      <c r="X11" s="22" t="n">
        <v>6656.838</v>
      </c>
      <c r="Y11" s="21" t="n"/>
      <c r="Z11" s="22" t="n"/>
      <c r="AA11" s="22" t="n"/>
      <c r="AB11" s="22" t="n"/>
      <c r="AC11" s="22" t="n"/>
    </row>
    <row r="12">
      <c r="A12" s="15" t="inlineStr">
        <is>
          <t>YoY</t>
        </is>
      </c>
      <c r="B12" s="10" t="n"/>
      <c r="C12" s="16" t="n"/>
      <c r="D12" s="17" t="n"/>
      <c r="E12" s="17" t="n"/>
      <c r="F12" s="17" t="n"/>
      <c r="G12" s="17">
        <f>IF(OR(G11="",C11=""),"",IF(C11&lt;=0,"",IFERROR(G11/C11-1,"")))</f>
        <v/>
      </c>
      <c r="H12" s="17">
        <f>IF(OR(H11="",D11=""),"",IF(D11&lt;=0,"",IFERROR(H11/D11-1,"")))</f>
        <v/>
      </c>
      <c r="I12" s="17">
        <f>IF(OR(I11="",E11=""),"",IF(E11&lt;=0,"",IFERROR(I11/E11-1,"")))</f>
        <v/>
      </c>
      <c r="J12" s="17">
        <f>IF(OR(J11="",F11=""),"",IF(F11&lt;=0,"",IFERROR(J11/F11-1,"")))</f>
        <v/>
      </c>
      <c r="K12" s="17">
        <f>IF(OR(K11="",G11=""),"",IF(G11&lt;=0,"",IFERROR(K11/G11-1,"")))</f>
        <v/>
      </c>
      <c r="L12" s="17">
        <f>IF(OR(L11="",H11=""),"",IF(H11&lt;=0,"",IFERROR(L11/H11-1,"")))</f>
        <v/>
      </c>
      <c r="M12" s="17">
        <f>IF(OR(M11="",I11=""),"",IF(I11&lt;=0,"",IFERROR(M11/I11-1,"")))</f>
        <v/>
      </c>
      <c r="N12" s="17">
        <f>IF(OR(N11="",J11=""),"",IF(J11&lt;=0,"",IFERROR(N11/J11-1,"")))</f>
        <v/>
      </c>
      <c r="O12" s="16" t="n"/>
      <c r="P12" s="17">
        <f>IF(OR(P11="",O11=""),"",IF(O11&lt;=0,"",IFERROR(P11/O11-1,"")))</f>
        <v/>
      </c>
      <c r="Q12" s="17">
        <f>IF(OR(Q11="",P11=""),"",IF(P11&lt;=0,"",IFERROR(Q11/P11-1,"")))</f>
        <v/>
      </c>
      <c r="R12" s="17">
        <f>IF(OR(R11="",Q11=""),"",IF(Q11&lt;=0,"",IFERROR(R11/Q11-1,"")))</f>
        <v/>
      </c>
      <c r="S12" s="17">
        <f>IF(OR(S11="",R11=""),"",IF(R11&lt;=0,"",IFERROR(S11/R11-1,"")))</f>
        <v/>
      </c>
      <c r="T12" s="17">
        <f>IF(OR(T11="",S11=""),"",IF(S11&lt;=0,"",IFERROR(T11/S11-1,"")))</f>
        <v/>
      </c>
      <c r="U12" s="17">
        <f>IF(OR(U11="",T11=""),"",IF(T11&lt;=0,"",IFERROR(U11/T11-1,"")))</f>
        <v/>
      </c>
      <c r="V12" s="17">
        <f>IF(OR(V11="",U11=""),"",IF(U11&lt;=0,"",IFERROR(V11/U11-1,"")))</f>
        <v/>
      </c>
      <c r="W12" s="17">
        <f>IF(OR(W11="",V11=""),"",IF(V11&lt;=0,"",IFERROR(W11/V11-1,"")))</f>
        <v/>
      </c>
      <c r="X12" s="17">
        <f>IF(OR(X11="",W11=""),"",IF(W11&lt;=0,"",IFERROR(X11/W11-1,"")))</f>
        <v/>
      </c>
      <c r="Y12" s="16">
        <f>IF(OR(Y11="",X11=""),"",IF(X11&lt;=0,"",IFERROR(Y11/X11-1,"")))</f>
        <v/>
      </c>
      <c r="Z12" s="17">
        <f>IF(OR(Z11="",Y11=""),"",IF(Y11&lt;=0,"",IFERROR(Z11/Y11-1,"")))</f>
        <v/>
      </c>
      <c r="AA12" s="17">
        <f>IF(OR(AA11="",Z11=""),"",IF(Z11&lt;=0,"",IFERROR(AA11/Z11-1,"")))</f>
        <v/>
      </c>
      <c r="AB12" s="17">
        <f>IF(OR(AB11="",AA11=""),"",IF(AA11&lt;=0,"",IFERROR(AB11/AA11-1,"")))</f>
        <v/>
      </c>
      <c r="AC12" s="17">
        <f>IF(OR(AC11="",AB11=""),"",IF(AB11&lt;=0,"",IFERROR(AC11/AB11-1,"")))</f>
        <v/>
      </c>
    </row>
    <row r="13">
      <c r="A13" s="20" t="inlineStr">
        <is>
          <t>매출총이익</t>
        </is>
      </c>
      <c r="B13" s="10" t="n"/>
      <c r="C13" s="21">
        <f>IF(OR(C4="",C11=""),"",IFERROR(C4-C11,""))</f>
        <v/>
      </c>
      <c r="D13" s="22">
        <f>IF(OR(D4="",D11=""),"",IFERROR(D4-D11,""))</f>
        <v/>
      </c>
      <c r="E13" s="22">
        <f>IF(OR(E4="",E11=""),"",IFERROR(E4-E11,""))</f>
        <v/>
      </c>
      <c r="F13" s="22">
        <f>IF(OR(F4="",F11=""),"",IFERROR(F4-F11,""))</f>
        <v/>
      </c>
      <c r="G13" s="22">
        <f>IF(OR(G4="",G11=""),"",IFERROR(G4-G11,""))</f>
        <v/>
      </c>
      <c r="H13" s="22">
        <f>IF(OR(H4="",H11=""),"",IFERROR(H4-H11,""))</f>
        <v/>
      </c>
      <c r="I13" s="22">
        <f>IF(OR(I4="",I11=""),"",IFERROR(I4-I11,""))</f>
        <v/>
      </c>
      <c r="J13" s="22">
        <f>IF(OR(J4="",J11=""),"",IFERROR(J4-J11,""))</f>
        <v/>
      </c>
      <c r="K13" s="22">
        <f>IF(OR(K4="",K11=""),"",IFERROR(K4-K11,""))</f>
        <v/>
      </c>
      <c r="L13" s="22">
        <f>IF(OR(L4="",L11=""),"",IFERROR(L4-L11,""))</f>
        <v/>
      </c>
      <c r="M13" s="22">
        <f>IF(OR(M4="",M11=""),"",IFERROR(M4-M11,""))</f>
        <v/>
      </c>
      <c r="N13" s="22">
        <f>IF(OR(N4="",N11=""),"",IFERROR(N4-N11,""))</f>
        <v/>
      </c>
      <c r="O13" s="21">
        <f>IF(OR(O4="",O11=""),"",IFERROR(O4-O11,""))</f>
        <v/>
      </c>
      <c r="P13" s="22">
        <f>IF(OR(P4="",P11=""),"",IFERROR(P4-P11,""))</f>
        <v/>
      </c>
      <c r="Q13" s="22">
        <f>IF(OR(Q4="",Q11=""),"",IFERROR(Q4-Q11,""))</f>
        <v/>
      </c>
      <c r="R13" s="22">
        <f>IF(OR(R4="",R11=""),"",IFERROR(R4-R11,""))</f>
        <v/>
      </c>
      <c r="S13" s="22">
        <f>IF(OR(S4="",S11=""),"",IFERROR(S4-S11,""))</f>
        <v/>
      </c>
      <c r="T13" s="22">
        <f>IF(OR(T4="",T11=""),"",IFERROR(T4-T11,""))</f>
        <v/>
      </c>
      <c r="U13" s="22">
        <f>IF(OR(U4="",U11=""),"",IFERROR(U4-U11,""))</f>
        <v/>
      </c>
      <c r="V13" s="22">
        <f>IF(OR(V4="",V11=""),"",IFERROR(V4-V11,""))</f>
        <v/>
      </c>
      <c r="W13" s="22">
        <f>IF(OR(W4="",W11=""),"",IFERROR(W4-W11,""))</f>
        <v/>
      </c>
      <c r="X13" s="22">
        <f>IF(OR(X4="",X11=""),"",IFERROR(X4-X11,""))</f>
        <v/>
      </c>
      <c r="Y13" s="21" t="n"/>
      <c r="Z13" s="22" t="n"/>
      <c r="AA13" s="22" t="n"/>
      <c r="AB13" s="22" t="n"/>
      <c r="AC13" s="22" t="n"/>
    </row>
    <row r="14">
      <c r="A14" s="15" t="inlineStr">
        <is>
          <t>GPM</t>
        </is>
      </c>
      <c r="B14" s="10" t="n"/>
      <c r="C14" s="16">
        <f>IF(OR(C13="",C4=""),"",IFERROR(C13/C4,""))</f>
        <v/>
      </c>
      <c r="D14" s="17">
        <f>IF(OR(D13="",D4=""),"",IFERROR(D13/D4,""))</f>
        <v/>
      </c>
      <c r="E14" s="17">
        <f>IF(OR(E13="",E4=""),"",IFERROR(E13/E4,""))</f>
        <v/>
      </c>
      <c r="F14" s="17">
        <f>IF(OR(F13="",F4=""),"",IFERROR(F13/F4,""))</f>
        <v/>
      </c>
      <c r="G14" s="17">
        <f>IF(OR(G13="",G4=""),"",IFERROR(G13/G4,""))</f>
        <v/>
      </c>
      <c r="H14" s="17">
        <f>IF(OR(H13="",H4=""),"",IFERROR(H13/H4,""))</f>
        <v/>
      </c>
      <c r="I14" s="17">
        <f>IF(OR(I13="",I4=""),"",IFERROR(I13/I4,""))</f>
        <v/>
      </c>
      <c r="J14" s="17">
        <f>IF(OR(J13="",J4=""),"",IFERROR(J13/J4,""))</f>
        <v/>
      </c>
      <c r="K14" s="17">
        <f>IF(OR(K13="",K4=""),"",IFERROR(K13/K4,""))</f>
        <v/>
      </c>
      <c r="L14" s="17">
        <f>IF(OR(L13="",L4=""),"",IFERROR(L13/L4,""))</f>
        <v/>
      </c>
      <c r="M14" s="17">
        <f>IF(OR(M13="",M4=""),"",IFERROR(M13/M4,""))</f>
        <v/>
      </c>
      <c r="N14" s="17">
        <f>IF(OR(N13="",N4=""),"",IFERROR(N13/N4,""))</f>
        <v/>
      </c>
      <c r="O14" s="16">
        <f>IF(OR(O13="",O4=""),"",IFERROR(O13/O4,""))</f>
        <v/>
      </c>
      <c r="P14" s="17">
        <f>IF(OR(P13="",P4=""),"",IFERROR(P13/P4,""))</f>
        <v/>
      </c>
      <c r="Q14" s="17">
        <f>IF(OR(Q13="",Q4=""),"",IFERROR(Q13/Q4,""))</f>
        <v/>
      </c>
      <c r="R14" s="17">
        <f>IF(OR(R13="",R4=""),"",IFERROR(R13/R4,""))</f>
        <v/>
      </c>
      <c r="S14" s="17">
        <f>IF(OR(S13="",S4=""),"",IFERROR(S13/S4,""))</f>
        <v/>
      </c>
      <c r="T14" s="17">
        <f>IF(OR(T13="",T4=""),"",IFERROR(T13/T4,""))</f>
        <v/>
      </c>
      <c r="U14" s="17">
        <f>IF(OR(U13="",U4=""),"",IFERROR(U13/U4,""))</f>
        <v/>
      </c>
      <c r="V14" s="17">
        <f>IF(OR(V13="",V4=""),"",IFERROR(V13/V4,""))</f>
        <v/>
      </c>
      <c r="W14" s="17">
        <f>IF(OR(W13="",W4=""),"",IFERROR(W13/W4,""))</f>
        <v/>
      </c>
      <c r="X14" s="17">
        <f>IF(OR(X13="",X4=""),"",IFERROR(X13/X4,""))</f>
        <v/>
      </c>
      <c r="Y14" s="16">
        <f>IF(OR(Y13="",Y4=""),"",IFERROR(Y13/Y4,""))</f>
        <v/>
      </c>
      <c r="Z14" s="17">
        <f>IF(OR(Z13="",Z4=""),"",IFERROR(Z13/Z4,""))</f>
        <v/>
      </c>
      <c r="AA14" s="17">
        <f>IF(OR(AA13="",AA4=""),"",IFERROR(AA13/AA4,""))</f>
        <v/>
      </c>
      <c r="AB14" s="17">
        <f>IF(OR(AB13="",AB4=""),"",IFERROR(AB13/AB4,""))</f>
        <v/>
      </c>
      <c r="AC14" s="17">
        <f>IF(OR(AC13="",AC4=""),"",IFERROR(AC13/AC4,""))</f>
        <v/>
      </c>
    </row>
    <row r="15">
      <c r="A15" s="15" t="inlineStr">
        <is>
          <t>YoY</t>
        </is>
      </c>
      <c r="B15" s="10" t="n"/>
      <c r="C15" s="16" t="n"/>
      <c r="D15" s="17" t="n"/>
      <c r="E15" s="17" t="n"/>
      <c r="F15" s="17" t="n"/>
      <c r="G15" s="17">
        <f>IF(OR(G13="",C13=""),"",IF(C13&lt;=0,"",IFERROR(G13/C13-1,"")))</f>
        <v/>
      </c>
      <c r="H15" s="17">
        <f>IF(OR(H13="",D13=""),"",IF(D13&lt;=0,"",IFERROR(H13/D13-1,"")))</f>
        <v/>
      </c>
      <c r="I15" s="17">
        <f>IF(OR(I13="",E13=""),"",IF(E13&lt;=0,"",IFERROR(I13/E13-1,"")))</f>
        <v/>
      </c>
      <c r="J15" s="17">
        <f>IF(OR(J13="",F13=""),"",IF(F13&lt;=0,"",IFERROR(J13/F13-1,"")))</f>
        <v/>
      </c>
      <c r="K15" s="17">
        <f>IF(OR(K13="",G13=""),"",IF(G13&lt;=0,"",IFERROR(K13/G13-1,"")))</f>
        <v/>
      </c>
      <c r="L15" s="17">
        <f>IF(OR(L13="",H13=""),"",IF(H13&lt;=0,"",IFERROR(L13/H13-1,"")))</f>
        <v/>
      </c>
      <c r="M15" s="17">
        <f>IF(OR(M13="",I13=""),"",IF(I13&lt;=0,"",IFERROR(M13/I13-1,"")))</f>
        <v/>
      </c>
      <c r="N15" s="17">
        <f>IF(OR(N13="",J13=""),"",IF(J13&lt;=0,"",IFERROR(N13/J13-1,"")))</f>
        <v/>
      </c>
      <c r="O15" s="16" t="n"/>
      <c r="P15" s="17">
        <f>IF(OR(P13="",O13=""),"",IF(O13&lt;=0,"",IFERROR(P13/O13-1,"")))</f>
        <v/>
      </c>
      <c r="Q15" s="17">
        <f>IF(OR(Q13="",P13=""),"",IF(P13&lt;=0,"",IFERROR(Q13/P13-1,"")))</f>
        <v/>
      </c>
      <c r="R15" s="17">
        <f>IF(OR(R13="",Q13=""),"",IF(Q13&lt;=0,"",IFERROR(R13/Q13-1,"")))</f>
        <v/>
      </c>
      <c r="S15" s="17">
        <f>IF(OR(S13="",R13=""),"",IF(R13&lt;=0,"",IFERROR(S13/R13-1,"")))</f>
        <v/>
      </c>
      <c r="T15" s="17">
        <f>IF(OR(T13="",S13=""),"",IF(S13&lt;=0,"",IFERROR(T13/S13-1,"")))</f>
        <v/>
      </c>
      <c r="U15" s="17">
        <f>IF(OR(U13="",T13=""),"",IF(T13&lt;=0,"",IFERROR(U13/T13-1,"")))</f>
        <v/>
      </c>
      <c r="V15" s="17">
        <f>IF(OR(V13="",U13=""),"",IF(U13&lt;=0,"",IFERROR(V13/U13-1,"")))</f>
        <v/>
      </c>
      <c r="W15" s="17">
        <f>IF(OR(W13="",V13=""),"",IF(V13&lt;=0,"",IFERROR(W13/V13-1,"")))</f>
        <v/>
      </c>
      <c r="X15" s="17">
        <f>IF(OR(X13="",W13=""),"",IF(W13&lt;=0,"",IFERROR(X13/W13-1,"")))</f>
        <v/>
      </c>
      <c r="Y15" s="16">
        <f>IF(OR(Y13="",X13=""),"",IF(X13&lt;=0,"",IFERROR(Y13/X13-1,"")))</f>
        <v/>
      </c>
      <c r="Z15" s="17">
        <f>IF(OR(Z13="",Y13=""),"",IF(Y13&lt;=0,"",IFERROR(Z13/Y13-1,"")))</f>
        <v/>
      </c>
      <c r="AA15" s="17">
        <f>IF(OR(AA13="",Z13=""),"",IF(Z13&lt;=0,"",IFERROR(AA13/Z13-1,"")))</f>
        <v/>
      </c>
      <c r="AB15" s="17">
        <f>IF(OR(AB13="",AA13=""),"",IF(AA13&lt;=0,"",IFERROR(AB13/AA13-1,"")))</f>
        <v/>
      </c>
      <c r="AC15" s="17">
        <f>IF(OR(AC13="",AB13=""),"",IF(AB13&lt;=0,"",IFERROR(AC13/AB13-1,"")))</f>
        <v/>
      </c>
    </row>
    <row r="16">
      <c r="A16" s="25" t="inlineStr">
        <is>
          <t>판매관리비</t>
        </is>
      </c>
      <c r="B16" s="25" t="n"/>
      <c r="C16" s="26" t="n"/>
      <c r="D16" s="25" t="n"/>
      <c r="E16" s="25" t="n"/>
      <c r="F16" s="25" t="n"/>
      <c r="G16" s="25" t="n"/>
      <c r="H16" s="25" t="n"/>
      <c r="I16" s="25" t="n"/>
      <c r="J16" s="25" t="n"/>
      <c r="K16" s="25" t="n"/>
      <c r="L16" s="25" t="n"/>
      <c r="M16" s="25" t="n"/>
      <c r="N16" s="25" t="n"/>
      <c r="O16" s="26" t="n"/>
      <c r="P16" s="25" t="n"/>
      <c r="Q16" s="25" t="n"/>
      <c r="R16" s="25" t="n"/>
      <c r="S16" s="25" t="n"/>
      <c r="T16" s="25" t="n"/>
      <c r="U16" s="25" t="n"/>
      <c r="V16" s="25" t="n"/>
      <c r="W16" s="25" t="n"/>
      <c r="X16" s="25" t="n"/>
      <c r="Y16" s="26" t="n"/>
      <c r="Z16" s="25" t="n"/>
      <c r="AA16" s="25" t="n"/>
      <c r="AB16" s="25" t="n"/>
      <c r="AC16" s="25" t="n"/>
    </row>
    <row r="17">
      <c r="A17" s="20" t="inlineStr">
        <is>
          <t>전체 판관비</t>
        </is>
      </c>
      <c r="B17" s="10" t="n"/>
      <c r="C17" s="21" t="n">
        <v>148.94</v>
      </c>
      <c r="D17" s="22" t="n">
        <v>155.165</v>
      </c>
      <c r="E17" s="22" t="n">
        <v>152.357</v>
      </c>
      <c r="F17" s="22" t="n">
        <v>178.658</v>
      </c>
      <c r="G17" s="22" t="n">
        <v>164.125</v>
      </c>
      <c r="H17" s="22" t="n">
        <v>167.879</v>
      </c>
      <c r="I17" s="22" t="n">
        <v>171.518</v>
      </c>
      <c r="J17" s="22" t="n">
        <v>168.705</v>
      </c>
      <c r="K17" s="22" t="n">
        <v>208.899</v>
      </c>
      <c r="L17" s="22" t="n">
        <v>195.405</v>
      </c>
      <c r="M17" s="22" t="n">
        <v>194.732</v>
      </c>
      <c r="N17" s="22" t="n">
        <v>203.234</v>
      </c>
      <c r="O17" s="21" t="n">
        <v>355.202</v>
      </c>
      <c r="P17" s="22" t="n">
        <v>428.294</v>
      </c>
      <c r="Q17" s="22" t="n">
        <v>528.1369999999999</v>
      </c>
      <c r="R17" s="22" t="n">
        <v>560.327</v>
      </c>
      <c r="S17" s="22" t="n">
        <v>370.595</v>
      </c>
      <c r="T17" s="22" t="n">
        <v>399.793</v>
      </c>
      <c r="U17" s="22" t="n">
        <v>512.183</v>
      </c>
      <c r="V17" s="22" t="n">
        <v>583.405</v>
      </c>
      <c r="W17" s="22" t="n">
        <v>663.019</v>
      </c>
      <c r="X17" s="22" t="n">
        <v>744.527</v>
      </c>
      <c r="Y17" s="21" t="n"/>
      <c r="Z17" s="22" t="n"/>
      <c r="AA17" s="22" t="n"/>
      <c r="AB17" s="22" t="n"/>
      <c r="AC17" s="22" t="n"/>
    </row>
    <row r="18">
      <c r="A18" s="15" t="inlineStr">
        <is>
          <t>YoY</t>
        </is>
      </c>
      <c r="B18" s="10" t="n"/>
      <c r="C18" s="16" t="n"/>
      <c r="D18" s="17" t="n"/>
      <c r="E18" s="17" t="n"/>
      <c r="F18" s="17" t="n"/>
      <c r="G18" s="17">
        <f>IF(OR(G17="",C17=""),"",IF(C17&lt;=0,"",IFERROR(G17/C17-1,"")))</f>
        <v/>
      </c>
      <c r="H18" s="17">
        <f>IF(OR(H17="",D17=""),"",IF(D17&lt;=0,"",IFERROR(H17/D17-1,"")))</f>
        <v/>
      </c>
      <c r="I18" s="17">
        <f>IF(OR(I17="",E17=""),"",IF(E17&lt;=0,"",IFERROR(I17/E17-1,"")))</f>
        <v/>
      </c>
      <c r="J18" s="17">
        <f>IF(OR(J17="",F17=""),"",IF(F17&lt;=0,"",IFERROR(J17/F17-1,"")))</f>
        <v/>
      </c>
      <c r="K18" s="17">
        <f>IF(OR(K17="",G17=""),"",IF(G17&lt;=0,"",IFERROR(K17/G17-1,"")))</f>
        <v/>
      </c>
      <c r="L18" s="17">
        <f>IF(OR(L17="",H17=""),"",IF(H17&lt;=0,"",IFERROR(L17/H17-1,"")))</f>
        <v/>
      </c>
      <c r="M18" s="17">
        <f>IF(OR(M17="",I17=""),"",IF(I17&lt;=0,"",IFERROR(M17/I17-1,"")))</f>
        <v/>
      </c>
      <c r="N18" s="17">
        <f>IF(OR(N17="",J17=""),"",IF(J17&lt;=0,"",IFERROR(N17/J17-1,"")))</f>
        <v/>
      </c>
      <c r="O18" s="16" t="n"/>
      <c r="P18" s="17">
        <f>IF(OR(P17="",O17=""),"",IF(O17&lt;=0,"",IFERROR(P17/O17-1,"")))</f>
        <v/>
      </c>
      <c r="Q18" s="17">
        <f>IF(OR(Q17="",P17=""),"",IF(P17&lt;=0,"",IFERROR(Q17/P17-1,"")))</f>
        <v/>
      </c>
      <c r="R18" s="17">
        <f>IF(OR(R17="",Q17=""),"",IF(Q17&lt;=0,"",IFERROR(R17/Q17-1,"")))</f>
        <v/>
      </c>
      <c r="S18" s="17">
        <f>IF(OR(S17="",R17=""),"",IF(R17&lt;=0,"",IFERROR(S17/R17-1,"")))</f>
        <v/>
      </c>
      <c r="T18" s="17">
        <f>IF(OR(T17="",S17=""),"",IF(S17&lt;=0,"",IFERROR(T17/S17-1,"")))</f>
        <v/>
      </c>
      <c r="U18" s="17">
        <f>IF(OR(U17="",T17=""),"",IF(T17&lt;=0,"",IFERROR(U17/T17-1,"")))</f>
        <v/>
      </c>
      <c r="V18" s="17">
        <f>IF(OR(V17="",U17=""),"",IF(U17&lt;=0,"",IFERROR(V17/U17-1,"")))</f>
        <v/>
      </c>
      <c r="W18" s="17">
        <f>IF(OR(W17="",V17=""),"",IF(V17&lt;=0,"",IFERROR(W17/V17-1,"")))</f>
        <v/>
      </c>
      <c r="X18" s="17">
        <f>IF(OR(X17="",W17=""),"",IF(W17&lt;=0,"",IFERROR(X17/W17-1,"")))</f>
        <v/>
      </c>
      <c r="Y18" s="16">
        <f>IF(OR(Y17="",X17=""),"",IF(X17&lt;=0,"",IFERROR(Y17/X17-1,"")))</f>
        <v/>
      </c>
      <c r="Z18" s="17">
        <f>IF(OR(Z17="",Y17=""),"",IF(Y17&lt;=0,"",IFERROR(Z17/Y17-1,"")))</f>
        <v/>
      </c>
      <c r="AA18" s="17">
        <f>IF(OR(AA17="",Z17=""),"",IF(Z17&lt;=0,"",IFERROR(AA17/Z17-1,"")))</f>
        <v/>
      </c>
      <c r="AB18" s="17">
        <f>IF(OR(AB17="",AA17=""),"",IF(AA17&lt;=0,"",IFERROR(AB17/AA17-1,"")))</f>
        <v/>
      </c>
      <c r="AC18" s="17">
        <f>IF(OR(AC17="",AB17=""),"",IF(AB17&lt;=0,"",IFERROR(AC17/AB17-1,"")))</f>
        <v/>
      </c>
    </row>
    <row r="19">
      <c r="A19" s="9" t="inlineStr">
        <is>
          <t>영업이익</t>
        </is>
      </c>
      <c r="B19" s="10" t="inlineStr">
        <is>
          <t>MW = 매출 × OPM</t>
        </is>
      </c>
      <c r="C19" s="11" t="n">
        <v>1045.364</v>
      </c>
      <c r="D19" s="12" t="n">
        <v>795.747</v>
      </c>
      <c r="E19" s="12" t="n">
        <v>899.747</v>
      </c>
      <c r="F19" s="12" t="n">
        <v>1029.524</v>
      </c>
      <c r="G19" s="12" t="n">
        <v>1284.647</v>
      </c>
      <c r="H19" s="12" t="n">
        <v>748.919</v>
      </c>
      <c r="I19" s="12" t="n">
        <v>1172.431</v>
      </c>
      <c r="J19" s="12" t="n">
        <v>1245.256</v>
      </c>
      <c r="K19" s="12" t="n">
        <v>1625.385</v>
      </c>
      <c r="L19" s="12" t="n">
        <v>849.467</v>
      </c>
      <c r="M19" s="12" t="n">
        <v>989.432</v>
      </c>
      <c r="N19" s="12" t="n">
        <v>1585.447</v>
      </c>
      <c r="O19" s="11" t="n">
        <v>982.407</v>
      </c>
      <c r="P19" s="12" t="n">
        <v>1192.72</v>
      </c>
      <c r="Q19" s="12" t="n">
        <v>1409.769</v>
      </c>
      <c r="R19" s="12" t="n">
        <v>1333.456</v>
      </c>
      <c r="S19" s="12" t="n">
        <v>44.336</v>
      </c>
      <c r="T19" s="12" t="n">
        <v>959.135</v>
      </c>
      <c r="U19" s="12" t="n">
        <v>2976.684</v>
      </c>
      <c r="V19" s="12" t="n">
        <v>3612.425</v>
      </c>
      <c r="W19" s="12" t="n">
        <v>3962.837</v>
      </c>
      <c r="X19" s="12" t="n">
        <v>4892.539</v>
      </c>
      <c r="Y19" s="11">
        <f>IF(OR(Y4="",Y20=""),"",IFERROR(Y4*Y20,""))</f>
        <v/>
      </c>
      <c r="Z19" s="12">
        <f>IF(OR(Z4="",Z20=""),"",IFERROR(Z4*Z20,""))</f>
        <v/>
      </c>
      <c r="AA19" s="12">
        <f>IF(OR(AA4="",AA20=""),"",IFERROR(AA4*AA20,""))</f>
        <v/>
      </c>
      <c r="AB19" s="12">
        <f>IF(OR(AB4="",AB20=""),"",IFERROR(AB4*AB20,""))</f>
        <v/>
      </c>
      <c r="AC19" s="12">
        <f>IF(OR(AC4="",AC20=""),"",IFERROR(AC4*AC20,""))</f>
        <v/>
      </c>
    </row>
    <row r="20">
      <c r="A20" s="15" t="inlineStr">
        <is>
          <t>OPM</t>
        </is>
      </c>
      <c r="B20" s="10" t="inlineStr">
        <is>
          <t>MW 입력</t>
        </is>
      </c>
      <c r="C20" s="16">
        <f>IF(OR(C19="",C4=""),"",IFERROR(C19/C4,""))</f>
        <v/>
      </c>
      <c r="D20" s="17">
        <f>IF(OR(D19="",D4=""),"",IFERROR(D19/D4,""))</f>
        <v/>
      </c>
      <c r="E20" s="17">
        <f>IF(OR(E19="",E4=""),"",IFERROR(E19/E4,""))</f>
        <v/>
      </c>
      <c r="F20" s="17">
        <f>IF(OR(F19="",F4=""),"",IFERROR(F19/F4,""))</f>
        <v/>
      </c>
      <c r="G20" s="17">
        <f>IF(OR(G19="",G4=""),"",IFERROR(G19/G4,""))</f>
        <v/>
      </c>
      <c r="H20" s="17">
        <f>IF(OR(H19="",H4=""),"",IFERROR(H19/H4,""))</f>
        <v/>
      </c>
      <c r="I20" s="17">
        <f>IF(OR(I19="",I4=""),"",IFERROR(I19/I4,""))</f>
        <v/>
      </c>
      <c r="J20" s="17">
        <f>IF(OR(J19="",J4=""),"",IFERROR(J19/J4,""))</f>
        <v/>
      </c>
      <c r="K20" s="17">
        <f>IF(OR(K19="",K4=""),"",IFERROR(K19/K4,""))</f>
        <v/>
      </c>
      <c r="L20" s="17">
        <f>IF(OR(L19="",L4=""),"",IFERROR(L19/L4,""))</f>
        <v/>
      </c>
      <c r="M20" s="17">
        <f>IF(OR(M19="",M4=""),"",IFERROR(M19/M4,""))</f>
        <v/>
      </c>
      <c r="N20" s="17">
        <f>IF(OR(N19="",N4=""),"",IFERROR(N19/N4,""))</f>
        <v/>
      </c>
      <c r="O20" s="16">
        <f>IF(OR(O19="",O4=""),"",IFERROR(O19/O4,""))</f>
        <v/>
      </c>
      <c r="P20" s="17">
        <f>IF(OR(P19="",P4=""),"",IFERROR(P19/P4,""))</f>
        <v/>
      </c>
      <c r="Q20" s="17">
        <f>IF(OR(Q19="",Q4=""),"",IFERROR(Q19/Q4,""))</f>
        <v/>
      </c>
      <c r="R20" s="17">
        <f>IF(OR(R19="",R4=""),"",IFERROR(R19/R4,""))</f>
        <v/>
      </c>
      <c r="S20" s="17">
        <f>IF(OR(S19="",S4=""),"",IFERROR(S19/S4,""))</f>
        <v/>
      </c>
      <c r="T20" s="17">
        <f>IF(OR(T19="",T4=""),"",IFERROR(T19/T4,""))</f>
        <v/>
      </c>
      <c r="U20" s="17">
        <f>IF(OR(U19="",U4=""),"",IFERROR(U19/U4,""))</f>
        <v/>
      </c>
      <c r="V20" s="17">
        <f>IF(OR(V19="",V4=""),"",IFERROR(V19/V4,""))</f>
        <v/>
      </c>
      <c r="W20" s="17">
        <f>IF(OR(W19="",W4=""),"",IFERROR(W19/W4,""))</f>
        <v/>
      </c>
      <c r="X20" s="17">
        <f>IF(OR(X19="",X4=""),"",IFERROR(X19/X4,""))</f>
        <v/>
      </c>
      <c r="Y20" s="27" t="n"/>
      <c r="Z20" s="28" t="n"/>
      <c r="AA20" s="28" t="n"/>
      <c r="AB20" s="28" t="n"/>
      <c r="AC20" s="28" t="n"/>
    </row>
    <row r="21">
      <c r="A21" s="15" t="inlineStr">
        <is>
          <t>증가율</t>
        </is>
      </c>
      <c r="B21" s="10" t="n"/>
      <c r="C21" s="16" t="n"/>
      <c r="D21" s="17" t="n"/>
      <c r="E21" s="17" t="n"/>
      <c r="F21" s="17" t="n"/>
      <c r="G21" s="17">
        <f>IF(OR(G19="",C19=""),"",IFERROR(G19/C19-1,""))</f>
        <v/>
      </c>
      <c r="H21" s="17">
        <f>IF(OR(H19="",D19=""),"",IFERROR(H19/D19-1,""))</f>
        <v/>
      </c>
      <c r="I21" s="17">
        <f>IF(OR(I19="",E19=""),"",IFERROR(I19/E19-1,""))</f>
        <v/>
      </c>
      <c r="J21" s="17">
        <f>IF(OR(J19="",F19=""),"",IFERROR(J19/F19-1,""))</f>
        <v/>
      </c>
      <c r="K21" s="17">
        <f>IF(OR(K19="",G19=""),"",IFERROR(K19/G19-1,""))</f>
        <v/>
      </c>
      <c r="L21" s="17">
        <f>IF(OR(L19="",H19=""),"",IFERROR(L19/H19-1,""))</f>
        <v/>
      </c>
      <c r="M21" s="17">
        <f>IF(OR(M19="",I19=""),"",IFERROR(M19/I19-1,""))</f>
        <v/>
      </c>
      <c r="N21" s="17">
        <f>IF(OR(N19="",J19=""),"",IFERROR(N19/J19-1,""))</f>
        <v/>
      </c>
      <c r="O21" s="16" t="n"/>
      <c r="P21" s="17">
        <f>IF(OR(P19="",O19=""),"",IFERROR(P19/O19-1,""))</f>
        <v/>
      </c>
      <c r="Q21" s="17">
        <f>IF(OR(Q19="",P19=""),"",IFERROR(Q19/P19-1,""))</f>
        <v/>
      </c>
      <c r="R21" s="17">
        <f>IF(OR(R19="",Q19=""),"",IFERROR(R19/Q19-1,""))</f>
        <v/>
      </c>
      <c r="S21" s="17">
        <f>IF(OR(S19="",R19=""),"",IFERROR(S19/R19-1,""))</f>
        <v/>
      </c>
      <c r="T21" s="17">
        <f>IF(OR(T19="",S19=""),"",IFERROR(T19/S19-1,""))</f>
        <v/>
      </c>
      <c r="U21" s="17">
        <f>IF(OR(U19="",T19=""),"",IFERROR(U19/T19-1,""))</f>
        <v/>
      </c>
      <c r="V21" s="17">
        <f>IF(OR(V19="",U19=""),"",IFERROR(V19/U19-1,""))</f>
        <v/>
      </c>
      <c r="W21" s="17">
        <f>IF(OR(W19="",V19=""),"",IFERROR(W19/V19-1,""))</f>
        <v/>
      </c>
      <c r="X21" s="17">
        <f>IF(OR(X19="",W19=""),"",IFERROR(X19/W19-1,""))</f>
        <v/>
      </c>
      <c r="Y21" s="16">
        <f>IF(OR(Y19="",X19=""),"",IFERROR(Y19/X19-1,""))</f>
        <v/>
      </c>
      <c r="Z21" s="17">
        <f>IF(OR(Z19="",Y19=""),"",IFERROR(Z19/Y19-1,""))</f>
        <v/>
      </c>
      <c r="AA21" s="17">
        <f>IF(OR(AA19="",Z19=""),"",IFERROR(AA19/Z19-1,""))</f>
        <v/>
      </c>
      <c r="AB21" s="17">
        <f>IF(OR(AB19="",AA19=""),"",IFERROR(AB19/AA19-1,""))</f>
        <v/>
      </c>
      <c r="AC21" s="17">
        <f>IF(OR(AC19="",AB19=""),"",IFERROR(AC19/AB19-1,""))</f>
        <v/>
      </c>
    </row>
    <row r="22">
      <c r="A22" s="18" t="inlineStr">
        <is>
          <t>비용의 성격별 분류</t>
        </is>
      </c>
      <c r="B22" s="18" t="inlineStr">
        <is>
          <t>참고 데이터</t>
        </is>
      </c>
      <c r="C22" s="19" t="n"/>
      <c r="D22" s="18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  <c r="O22" s="19" t="n"/>
      <c r="P22" s="18" t="n"/>
      <c r="Q22" s="18" t="n"/>
      <c r="R22" s="18" t="n"/>
      <c r="S22" s="18" t="n"/>
      <c r="T22" s="18" t="n"/>
      <c r="U22" s="18" t="n"/>
      <c r="V22" s="18" t="n"/>
      <c r="W22" s="18" t="n"/>
      <c r="X22" s="18" t="n"/>
      <c r="Y22" s="19" t="n"/>
      <c r="Z22" s="18" t="n"/>
      <c r="AA22" s="18" t="n"/>
      <c r="AB22" s="18" t="n"/>
      <c r="AC22" s="18" t="n"/>
    </row>
    <row r="23">
      <c r="A23" s="9" t="inlineStr">
        <is>
          <t>총 판관비</t>
        </is>
      </c>
      <c r="B23" s="10" t="n"/>
      <c r="C23" s="11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  <c r="O23" s="11">
        <f>IF(O17="","",O17)</f>
        <v/>
      </c>
      <c r="P23" s="12">
        <f>IF(P17="","",P17)</f>
        <v/>
      </c>
      <c r="Q23" s="12">
        <f>IF(Q17="","",Q17)</f>
        <v/>
      </c>
      <c r="R23" s="12">
        <f>IF(R17="","",R17)</f>
        <v/>
      </c>
      <c r="S23" s="12">
        <f>IF(S17="","",S17)</f>
        <v/>
      </c>
      <c r="T23" s="12">
        <f>IF(T17="","",T17)</f>
        <v/>
      </c>
      <c r="U23" s="12">
        <f>IF(U17="","",U17)</f>
        <v/>
      </c>
      <c r="V23" s="12">
        <f>IF(V17="","",V17)</f>
        <v/>
      </c>
      <c r="W23" s="12">
        <f>IF(W17="","",W17)</f>
        <v/>
      </c>
      <c r="X23" s="12">
        <f>IF(X17="","",X17)</f>
        <v/>
      </c>
      <c r="Y23" s="11" t="n"/>
      <c r="Z23" s="12" t="n"/>
      <c r="AA23" s="12" t="n"/>
      <c r="AB23" s="12" t="n"/>
      <c r="AC23" s="12" t="n"/>
    </row>
    <row r="24">
      <c r="A24" s="20" t="inlineStr">
        <is>
          <t>급여</t>
        </is>
      </c>
      <c r="B24" s="10" t="inlineStr">
        <is>
          <t>고정비</t>
        </is>
      </c>
      <c r="C24" s="21" t="n"/>
      <c r="D24" s="22" t="n"/>
      <c r="E24" s="22" t="n"/>
      <c r="F24" s="22" t="n"/>
      <c r="G24" s="22" t="n"/>
      <c r="H24" s="22" t="n"/>
      <c r="I24" s="22" t="n"/>
      <c r="J24" s="22" t="n"/>
      <c r="K24" s="22" t="n"/>
      <c r="L24" s="22" t="n"/>
      <c r="M24" s="22" t="n"/>
      <c r="N24" s="22" t="n"/>
      <c r="O24" s="21" t="n"/>
      <c r="P24" s="22" t="n"/>
      <c r="Q24" s="22" t="n"/>
      <c r="R24" s="22" t="n"/>
      <c r="S24" s="22" t="n"/>
      <c r="T24" s="22" t="n"/>
      <c r="U24" s="22" t="n"/>
      <c r="V24" s="22" t="n"/>
      <c r="W24" s="22" t="n"/>
      <c r="X24" s="22" t="n"/>
      <c r="Y24" s="21" t="n"/>
      <c r="Z24" s="22" t="n"/>
      <c r="AA24" s="22" t="n"/>
      <c r="AB24" s="22" t="n"/>
      <c r="AC24" s="22" t="n"/>
    </row>
    <row r="25">
      <c r="A25" s="15" t="inlineStr">
        <is>
          <t>% of Sales</t>
        </is>
      </c>
      <c r="B25" s="10" t="n"/>
      <c r="C25" s="16" t="n"/>
      <c r="D25" s="17" t="n"/>
      <c r="E25" s="17" t="n"/>
      <c r="F25" s="17" t="n"/>
      <c r="G25" s="17" t="n"/>
      <c r="H25" s="17" t="n"/>
      <c r="I25" s="17" t="n"/>
      <c r="J25" s="17" t="n"/>
      <c r="K25" s="17" t="n"/>
      <c r="L25" s="17" t="n"/>
      <c r="M25" s="17" t="n"/>
      <c r="N25" s="17" t="n"/>
      <c r="O25" s="16">
        <f>IF(OR(O24="",O4=""),"",IFERROR(O24/O4,""))</f>
        <v/>
      </c>
      <c r="P25" s="17">
        <f>IF(OR(P24="",P4=""),"",IFERROR(P24/P4,""))</f>
        <v/>
      </c>
      <c r="Q25" s="17">
        <f>IF(OR(Q24="",Q4=""),"",IFERROR(Q24/Q4,""))</f>
        <v/>
      </c>
      <c r="R25" s="17">
        <f>IF(OR(R24="",R4=""),"",IFERROR(R24/R4,""))</f>
        <v/>
      </c>
      <c r="S25" s="17">
        <f>IF(OR(S24="",S4=""),"",IFERROR(S24/S4,""))</f>
        <v/>
      </c>
      <c r="T25" s="17">
        <f>IF(OR(T24="",T4=""),"",IFERROR(T24/T4,""))</f>
        <v/>
      </c>
      <c r="U25" s="17">
        <f>IF(OR(U24="",U4=""),"",IFERROR(U24/U4,""))</f>
        <v/>
      </c>
      <c r="V25" s="17">
        <f>IF(OR(V24="",V4=""),"",IFERROR(V24/V4,""))</f>
        <v/>
      </c>
      <c r="W25" s="17">
        <f>IF(OR(W24="",W4=""),"",IFERROR(W24/W4,""))</f>
        <v/>
      </c>
      <c r="X25" s="17">
        <f>IF(OR(X24="",X4=""),"",IFERROR(X24/X4,""))</f>
        <v/>
      </c>
      <c r="Y25" s="16" t="n"/>
      <c r="Z25" s="17" t="n"/>
      <c r="AA25" s="17" t="n"/>
      <c r="AB25" s="17" t="n"/>
      <c r="AC25" s="17" t="n"/>
    </row>
    <row r="26">
      <c r="A26" s="20" t="inlineStr">
        <is>
          <t>감가상각비</t>
        </is>
      </c>
      <c r="B26" s="10" t="inlineStr">
        <is>
          <t>고정비</t>
        </is>
      </c>
      <c r="C26" s="21" t="n"/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1" t="n">
        <v>0.443</v>
      </c>
      <c r="P26" s="22" t="n">
        <v>1.564</v>
      </c>
      <c r="Q26" s="22" t="n">
        <v>2.494</v>
      </c>
      <c r="R26" s="22" t="n">
        <v>2.137</v>
      </c>
      <c r="S26" s="22" t="n">
        <v>1.502</v>
      </c>
      <c r="T26" s="22" t="n">
        <v>1.731</v>
      </c>
      <c r="U26" s="22" t="n">
        <v>1.4</v>
      </c>
      <c r="V26" s="22" t="n">
        <v>1.994</v>
      </c>
      <c r="W26" s="22" t="n">
        <v>2.332</v>
      </c>
      <c r="X26" s="22" t="n">
        <v>2.888</v>
      </c>
      <c r="Y26" s="21" t="n"/>
      <c r="Z26" s="22" t="n"/>
      <c r="AA26" s="22" t="n"/>
      <c r="AB26" s="22" t="n"/>
      <c r="AC26" s="22" t="n"/>
    </row>
    <row r="27">
      <c r="A27" s="15" t="inlineStr">
        <is>
          <t>% of Sales</t>
        </is>
      </c>
      <c r="B27" s="10" t="n"/>
      <c r="C27" s="16" t="n"/>
      <c r="D27" s="17" t="n"/>
      <c r="E27" s="17" t="n"/>
      <c r="F27" s="17" t="n"/>
      <c r="G27" s="17" t="n"/>
      <c r="H27" s="17" t="n"/>
      <c r="I27" s="17" t="n"/>
      <c r="J27" s="17" t="n"/>
      <c r="K27" s="17" t="n"/>
      <c r="L27" s="17" t="n"/>
      <c r="M27" s="17" t="n"/>
      <c r="N27" s="17" t="n"/>
      <c r="O27" s="16">
        <f>IF(OR(O26="",O4=""),"",IFERROR(O26/O4,""))</f>
        <v/>
      </c>
      <c r="P27" s="17">
        <f>IF(OR(P26="",P4=""),"",IFERROR(P26/P4,""))</f>
        <v/>
      </c>
      <c r="Q27" s="17">
        <f>IF(OR(Q26="",Q4=""),"",IFERROR(Q26/Q4,""))</f>
        <v/>
      </c>
      <c r="R27" s="17">
        <f>IF(OR(R26="",R4=""),"",IFERROR(R26/R4,""))</f>
        <v/>
      </c>
      <c r="S27" s="17">
        <f>IF(OR(S26="",S4=""),"",IFERROR(S26/S4,""))</f>
        <v/>
      </c>
      <c r="T27" s="17">
        <f>IF(OR(T26="",T4=""),"",IFERROR(T26/T4,""))</f>
        <v/>
      </c>
      <c r="U27" s="17">
        <f>IF(OR(U26="",U4=""),"",IFERROR(U26/U4,""))</f>
        <v/>
      </c>
      <c r="V27" s="17">
        <f>IF(OR(V26="",V4=""),"",IFERROR(V26/V4,""))</f>
        <v/>
      </c>
      <c r="W27" s="17">
        <f>IF(OR(W26="",W4=""),"",IFERROR(W26/W4,""))</f>
        <v/>
      </c>
      <c r="X27" s="17">
        <f>IF(OR(X26="",X4=""),"",IFERROR(X26/X4,""))</f>
        <v/>
      </c>
      <c r="Y27" s="16" t="n"/>
      <c r="Z27" s="17" t="n"/>
      <c r="AA27" s="17" t="n"/>
      <c r="AB27" s="17" t="n"/>
      <c r="AC27" s="17" t="n"/>
    </row>
    <row r="28">
      <c r="A28" s="20" t="inlineStr">
        <is>
          <t>지급수수료</t>
        </is>
      </c>
      <c r="B28" s="10" t="inlineStr">
        <is>
          <t>고정비</t>
        </is>
      </c>
      <c r="C28" s="21" t="n"/>
      <c r="D28" s="22" t="n"/>
      <c r="E28" s="22" t="n"/>
      <c r="F28" s="22" t="n"/>
      <c r="G28" s="22" t="n"/>
      <c r="H28" s="22" t="n"/>
      <c r="I28" s="22" t="n"/>
      <c r="J28" s="22" t="n"/>
      <c r="K28" s="22" t="n"/>
      <c r="L28" s="22" t="n"/>
      <c r="M28" s="22" t="n"/>
      <c r="N28" s="22" t="n"/>
      <c r="O28" s="21" t="n"/>
      <c r="P28" s="22" t="n"/>
      <c r="Q28" s="22" t="n"/>
      <c r="R28" s="22" t="n"/>
      <c r="S28" s="22" t="n"/>
      <c r="T28" s="22" t="n"/>
      <c r="U28" s="22" t="n"/>
      <c r="V28" s="22" t="n"/>
      <c r="W28" s="22" t="n"/>
      <c r="X28" s="22" t="n"/>
      <c r="Y28" s="21" t="n"/>
      <c r="Z28" s="22" t="n"/>
      <c r="AA28" s="22" t="n"/>
      <c r="AB28" s="22" t="n"/>
      <c r="AC28" s="22" t="n"/>
    </row>
    <row r="29">
      <c r="A29" s="15" t="inlineStr">
        <is>
          <t>% of Sales</t>
        </is>
      </c>
      <c r="B29" s="10" t="n"/>
      <c r="C29" s="16" t="n"/>
      <c r="D29" s="17" t="n"/>
      <c r="E29" s="17" t="n"/>
      <c r="F29" s="17" t="n"/>
      <c r="G29" s="17" t="n"/>
      <c r="H29" s="17" t="n"/>
      <c r="I29" s="17" t="n"/>
      <c r="J29" s="17" t="n"/>
      <c r="K29" s="17" t="n"/>
      <c r="L29" s="17" t="n"/>
      <c r="M29" s="17" t="n"/>
      <c r="N29" s="17" t="n"/>
      <c r="O29" s="16">
        <f>IF(OR(O28="",O4=""),"",IFERROR(O28/O4,""))</f>
        <v/>
      </c>
      <c r="P29" s="17">
        <f>IF(OR(P28="",P4=""),"",IFERROR(P28/P4,""))</f>
        <v/>
      </c>
      <c r="Q29" s="17">
        <f>IF(OR(Q28="",Q4=""),"",IFERROR(Q28/Q4,""))</f>
        <v/>
      </c>
      <c r="R29" s="17">
        <f>IF(OR(R28="",R4=""),"",IFERROR(R28/R4,""))</f>
        <v/>
      </c>
      <c r="S29" s="17">
        <f>IF(OR(S28="",S4=""),"",IFERROR(S28/S4,""))</f>
        <v/>
      </c>
      <c r="T29" s="17">
        <f>IF(OR(T28="",T4=""),"",IFERROR(T28/T4,""))</f>
        <v/>
      </c>
      <c r="U29" s="17">
        <f>IF(OR(U28="",U4=""),"",IFERROR(U28/U4,""))</f>
        <v/>
      </c>
      <c r="V29" s="17">
        <f>IF(OR(V28="",V4=""),"",IFERROR(V28/V4,""))</f>
        <v/>
      </c>
      <c r="W29" s="17">
        <f>IF(OR(W28="",W4=""),"",IFERROR(W28/W4,""))</f>
        <v/>
      </c>
      <c r="X29" s="17">
        <f>IF(OR(X28="",X4=""),"",IFERROR(X28/X4,""))</f>
        <v/>
      </c>
      <c r="Y29" s="16" t="n"/>
      <c r="Z29" s="17" t="n"/>
      <c r="AA29" s="17" t="n"/>
      <c r="AB29" s="17" t="n"/>
      <c r="AC29" s="17" t="n"/>
    </row>
    <row r="30">
      <c r="A30" s="20" t="inlineStr">
        <is>
          <t>연구개발비</t>
        </is>
      </c>
      <c r="B30" s="10" t="inlineStr">
        <is>
          <t>변동비</t>
        </is>
      </c>
      <c r="C30" s="21" t="n"/>
      <c r="D30" s="22" t="n"/>
      <c r="E30" s="22" t="n"/>
      <c r="F30" s="22" t="n"/>
      <c r="G30" s="22" t="n"/>
      <c r="H30" s="22" t="n"/>
      <c r="I30" s="22" t="n"/>
      <c r="J30" s="22" t="n"/>
      <c r="K30" s="22" t="n"/>
      <c r="L30" s="22" t="n"/>
      <c r="M30" s="22" t="n"/>
      <c r="N30" s="22" t="n"/>
      <c r="O30" s="21" t="n"/>
      <c r="P30" s="22" t="n"/>
      <c r="Q30" s="22" t="n"/>
      <c r="R30" s="22" t="n"/>
      <c r="S30" s="22" t="n"/>
      <c r="T30" s="22" t="n"/>
      <c r="U30" s="22" t="n"/>
      <c r="V30" s="22" t="n"/>
      <c r="W30" s="22" t="n"/>
      <c r="X30" s="22" t="n"/>
      <c r="Y30" s="21" t="n"/>
      <c r="Z30" s="22" t="n"/>
      <c r="AA30" s="22" t="n"/>
      <c r="AB30" s="22" t="n"/>
      <c r="AC30" s="22" t="n"/>
    </row>
    <row r="31">
      <c r="A31" s="15" t="inlineStr">
        <is>
          <t>% of Sales</t>
        </is>
      </c>
      <c r="B31" s="10" t="n"/>
      <c r="C31" s="16" t="n"/>
      <c r="D31" s="17" t="n"/>
      <c r="E31" s="17" t="n"/>
      <c r="F31" s="17" t="n"/>
      <c r="G31" s="17" t="n"/>
      <c r="H31" s="17" t="n"/>
      <c r="I31" s="17" t="n"/>
      <c r="J31" s="17" t="n"/>
      <c r="K31" s="17" t="n"/>
      <c r="L31" s="17" t="n"/>
      <c r="M31" s="17" t="n"/>
      <c r="N31" s="17" t="n"/>
      <c r="O31" s="16">
        <f>IF(OR(O30="",O4=""),"",IFERROR(O30/O4,""))</f>
        <v/>
      </c>
      <c r="P31" s="17">
        <f>IF(OR(P30="",P4=""),"",IFERROR(P30/P4,""))</f>
        <v/>
      </c>
      <c r="Q31" s="17">
        <f>IF(OR(Q30="",Q4=""),"",IFERROR(Q30/Q4,""))</f>
        <v/>
      </c>
      <c r="R31" s="17">
        <f>IF(OR(R30="",R4=""),"",IFERROR(R30/R4,""))</f>
        <v/>
      </c>
      <c r="S31" s="17">
        <f>IF(OR(S30="",S4=""),"",IFERROR(S30/S4,""))</f>
        <v/>
      </c>
      <c r="T31" s="17">
        <f>IF(OR(T30="",T4=""),"",IFERROR(T30/T4,""))</f>
        <v/>
      </c>
      <c r="U31" s="17">
        <f>IF(OR(U30="",U4=""),"",IFERROR(U30/U4,""))</f>
        <v/>
      </c>
      <c r="V31" s="17">
        <f>IF(OR(V30="",V4=""),"",IFERROR(V30/V4,""))</f>
        <v/>
      </c>
      <c r="W31" s="17">
        <f>IF(OR(W30="",W4=""),"",IFERROR(W30/W4,""))</f>
        <v/>
      </c>
      <c r="X31" s="17">
        <f>IF(OR(X30="",X4=""),"",IFERROR(X30/X4,""))</f>
        <v/>
      </c>
      <c r="Y31" s="16" t="n"/>
      <c r="Z31" s="17" t="n"/>
      <c r="AA31" s="17" t="n"/>
      <c r="AB31" s="17" t="n"/>
      <c r="AC31" s="17" t="n"/>
    </row>
    <row r="32">
      <c r="A32" s="20" t="inlineStr">
        <is>
          <t>기타비용</t>
        </is>
      </c>
      <c r="B32" s="10" t="inlineStr">
        <is>
          <t>변동비</t>
        </is>
      </c>
      <c r="C32" s="21" t="n"/>
      <c r="D32" s="22" t="n"/>
      <c r="E32" s="22" t="n"/>
      <c r="F32" s="22" t="n"/>
      <c r="G32" s="22" t="n"/>
      <c r="H32" s="22" t="n"/>
      <c r="I32" s="22" t="n"/>
      <c r="J32" s="22" t="n"/>
      <c r="K32" s="22" t="n"/>
      <c r="L32" s="22" t="n"/>
      <c r="M32" s="22" t="n"/>
      <c r="N32" s="22" t="n"/>
      <c r="O32" s="21">
        <f>IF(OR(O23="",O24="",O26="",O28="",O30=""),"",IFERROR(O23-O24-O26-O28-O30,""))</f>
        <v/>
      </c>
      <c r="P32" s="22">
        <f>IF(OR(P23="",P24="",P26="",P28="",P30=""),"",IFERROR(P23-P24-P26-P28-P30,""))</f>
        <v/>
      </c>
      <c r="Q32" s="22">
        <f>IF(OR(Q23="",Q24="",Q26="",Q28="",Q30=""),"",IFERROR(Q23-Q24-Q26-Q28-Q30,""))</f>
        <v/>
      </c>
      <c r="R32" s="22">
        <f>IF(OR(R23="",R24="",R26="",R28="",R30=""),"",IFERROR(R23-R24-R26-R28-R30,""))</f>
        <v/>
      </c>
      <c r="S32" s="22">
        <f>IF(OR(S23="",S24="",S26="",S28="",S30=""),"",IFERROR(S23-S24-S26-S28-S30,""))</f>
        <v/>
      </c>
      <c r="T32" s="22">
        <f>IF(OR(T23="",T24="",T26="",T28="",T30=""),"",IFERROR(T23-T24-T26-T28-T30,""))</f>
        <v/>
      </c>
      <c r="U32" s="22">
        <f>IF(OR(U23="",U24="",U26="",U28="",U30=""),"",IFERROR(U23-U24-U26-U28-U30,""))</f>
        <v/>
      </c>
      <c r="V32" s="22">
        <f>IF(OR(V23="",V24="",V26="",V28="",V30=""),"",IFERROR(V23-V24-V26-V28-V30,""))</f>
        <v/>
      </c>
      <c r="W32" s="22">
        <f>IF(OR(W23="",W24="",W26="",W28="",W30=""),"",IFERROR(W23-W24-W26-W28-W30,""))</f>
        <v/>
      </c>
      <c r="X32" s="22">
        <f>IF(OR(X23="",X24="",X26="",X28="",X30=""),"",IFERROR(X23-X24-X26-X28-X30,""))</f>
        <v/>
      </c>
      <c r="Y32" s="21" t="n"/>
      <c r="Z32" s="22" t="n"/>
      <c r="AA32" s="22" t="n"/>
      <c r="AB32" s="22" t="n"/>
      <c r="AC32" s="22" t="n"/>
    </row>
    <row r="33">
      <c r="A33" s="15" t="inlineStr">
        <is>
          <t>% of Sales</t>
        </is>
      </c>
      <c r="B33" s="10" t="n"/>
      <c r="C33" s="16" t="n"/>
      <c r="D33" s="17" t="n"/>
      <c r="E33" s="17" t="n"/>
      <c r="F33" s="17" t="n"/>
      <c r="G33" s="17" t="n"/>
      <c r="H33" s="17" t="n"/>
      <c r="I33" s="17" t="n"/>
      <c r="J33" s="17" t="n"/>
      <c r="K33" s="17" t="n"/>
      <c r="L33" s="17" t="n"/>
      <c r="M33" s="17" t="n"/>
      <c r="N33" s="17" t="n"/>
      <c r="O33" s="16">
        <f>IF(OR(O32="",O4=""),"",IFERROR(O32/O4,""))</f>
        <v/>
      </c>
      <c r="P33" s="17">
        <f>IF(OR(P32="",P4=""),"",IFERROR(P32/P4,""))</f>
        <v/>
      </c>
      <c r="Q33" s="17">
        <f>IF(OR(Q32="",Q4=""),"",IFERROR(Q32/Q4,""))</f>
        <v/>
      </c>
      <c r="R33" s="17">
        <f>IF(OR(R32="",R4=""),"",IFERROR(R32/R4,""))</f>
        <v/>
      </c>
      <c r="S33" s="17">
        <f>IF(OR(S32="",S4=""),"",IFERROR(S32/S4,""))</f>
        <v/>
      </c>
      <c r="T33" s="17">
        <f>IF(OR(T32="",T4=""),"",IFERROR(T32/T4,""))</f>
        <v/>
      </c>
      <c r="U33" s="17">
        <f>IF(OR(U32="",U4=""),"",IFERROR(U32/U4,""))</f>
        <v/>
      </c>
      <c r="V33" s="17">
        <f>IF(OR(V32="",V4=""),"",IFERROR(V32/V4,""))</f>
        <v/>
      </c>
      <c r="W33" s="17">
        <f>IF(OR(W32="",W4=""),"",IFERROR(W32/W4,""))</f>
        <v/>
      </c>
      <c r="X33" s="17">
        <f>IF(OR(X32="",X4=""),"",IFERROR(X32/X4,""))</f>
        <v/>
      </c>
      <c r="Y33" s="16" t="n"/>
      <c r="Z33" s="17" t="n"/>
      <c r="AA33" s="17" t="n"/>
      <c r="AB33" s="17" t="n"/>
      <c r="AC33" s="17" t="n"/>
    </row>
    <row r="34">
      <c r="A34" s="18" t="inlineStr">
        <is>
          <t>당기순이익 추정</t>
        </is>
      </c>
      <c r="B34" s="18" t="n"/>
      <c r="C34" s="19" t="n"/>
      <c r="D34" s="18" t="n"/>
      <c r="E34" s="18" t="n"/>
      <c r="F34" s="18" t="n"/>
      <c r="G34" s="18" t="n"/>
      <c r="H34" s="18" t="n"/>
      <c r="I34" s="18" t="n"/>
      <c r="J34" s="18" t="n"/>
      <c r="K34" s="18" t="n"/>
      <c r="L34" s="18" t="n"/>
      <c r="M34" s="18" t="n"/>
      <c r="N34" s="18" t="n"/>
      <c r="O34" s="19" t="n"/>
      <c r="P34" s="18" t="n"/>
      <c r="Q34" s="18" t="n"/>
      <c r="R34" s="18" t="n"/>
      <c r="S34" s="18" t="n"/>
      <c r="T34" s="18" t="n"/>
      <c r="U34" s="18" t="n"/>
      <c r="V34" s="18" t="n"/>
      <c r="W34" s="18" t="n"/>
      <c r="X34" s="18" t="n"/>
      <c r="Y34" s="19" t="n"/>
      <c r="Z34" s="18" t="n"/>
      <c r="AA34" s="18" t="n"/>
      <c r="AB34" s="18" t="n"/>
      <c r="AC34" s="18" t="n"/>
    </row>
    <row r="35">
      <c r="A35" s="20" t="inlineStr">
        <is>
          <t>특별이익</t>
        </is>
      </c>
      <c r="B35" s="10" t="n"/>
      <c r="C35" s="21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1" t="n"/>
      <c r="P35" s="22" t="n">
        <v>0</v>
      </c>
      <c r="Q35" s="22" t="n">
        <v>76.13200000000001</v>
      </c>
      <c r="R35" s="22" t="n">
        <v>311.671</v>
      </c>
      <c r="S35" s="22" t="n">
        <v>16.851</v>
      </c>
      <c r="T35" s="22" t="n">
        <v>0</v>
      </c>
      <c r="U35" s="22" t="n">
        <v>27.584</v>
      </c>
      <c r="V35" s="22" t="n">
        <v>32.598</v>
      </c>
      <c r="W35" s="22" t="n">
        <v>0</v>
      </c>
      <c r="X35" s="22" t="n"/>
      <c r="Y35" s="21">
        <f>IF(OR(Y4="",Y36=""),"",IFERROR(Y4*Y36,""))</f>
        <v/>
      </c>
      <c r="Z35" s="22">
        <f>IF(OR(Z4="",Z36=""),"",IFERROR(Z4*Z36,""))</f>
        <v/>
      </c>
      <c r="AA35" s="22">
        <f>IF(OR(AA4="",AA36=""),"",IFERROR(AA4*AA36,""))</f>
        <v/>
      </c>
      <c r="AB35" s="22">
        <f>IF(OR(AB4="",AB36=""),"",IFERROR(AB4*AB36,""))</f>
        <v/>
      </c>
      <c r="AC35" s="22">
        <f>IF(OR(AC4="",AC36=""),"",IFERROR(AC4*AC36,""))</f>
        <v/>
      </c>
    </row>
    <row r="36">
      <c r="A36" s="15" t="inlineStr">
        <is>
          <t>% of Sales</t>
        </is>
      </c>
      <c r="B36" s="10" t="inlineStr">
        <is>
          <t>MW = 최근 3년 평균</t>
        </is>
      </c>
      <c r="C36" s="16">
        <f>IF(OR(C35="",C4=""),"",IFERROR(C35/C4,""))</f>
        <v/>
      </c>
      <c r="D36" s="17">
        <f>IF(OR(D35="",D4=""),"",IFERROR(D35/D4,""))</f>
        <v/>
      </c>
      <c r="E36" s="17">
        <f>IF(OR(E35="",E4=""),"",IFERROR(E35/E4,""))</f>
        <v/>
      </c>
      <c r="F36" s="17">
        <f>IF(OR(F35="",F4=""),"",IFERROR(F35/F4,""))</f>
        <v/>
      </c>
      <c r="G36" s="17">
        <f>IF(OR(G35="",G4=""),"",IFERROR(G35/G4,""))</f>
        <v/>
      </c>
      <c r="H36" s="17">
        <f>IF(OR(H35="",H4=""),"",IFERROR(H35/H4,""))</f>
        <v/>
      </c>
      <c r="I36" s="17">
        <f>IF(OR(I35="",I4=""),"",IFERROR(I35/I4,""))</f>
        <v/>
      </c>
      <c r="J36" s="17">
        <f>IF(OR(J35="",J4=""),"",IFERROR(J35/J4,""))</f>
        <v/>
      </c>
      <c r="K36" s="17">
        <f>IF(OR(K35="",K4=""),"",IFERROR(K35/K4,""))</f>
        <v/>
      </c>
      <c r="L36" s="17">
        <f>IF(OR(L35="",L4=""),"",IFERROR(L35/L4,""))</f>
        <v/>
      </c>
      <c r="M36" s="17">
        <f>IF(OR(M35="",M4=""),"",IFERROR(M35/M4,""))</f>
        <v/>
      </c>
      <c r="N36" s="17">
        <f>IF(OR(N35="",N4=""),"",IFERROR(N35/N4,""))</f>
        <v/>
      </c>
      <c r="O36" s="16">
        <f>IF(OR(O35="",O4=""),"",IFERROR(O35/O4,""))</f>
        <v/>
      </c>
      <c r="P36" s="17">
        <f>IF(OR(P35="",P4=""),"",IFERROR(P35/P4,""))</f>
        <v/>
      </c>
      <c r="Q36" s="17">
        <f>IF(OR(Q35="",Q4=""),"",IFERROR(Q35/Q4,""))</f>
        <v/>
      </c>
      <c r="R36" s="17">
        <f>IF(OR(R35="",R4=""),"",IFERROR(R35/R4,""))</f>
        <v/>
      </c>
      <c r="S36" s="17">
        <f>IF(OR(S35="",S4=""),"",IFERROR(S35/S4,""))</f>
        <v/>
      </c>
      <c r="T36" s="17">
        <f>IF(OR(T35="",T4=""),"",IFERROR(T35/T4,""))</f>
        <v/>
      </c>
      <c r="U36" s="17">
        <f>IF(OR(U35="",U4=""),"",IFERROR(U35/U4,""))</f>
        <v/>
      </c>
      <c r="V36" s="17">
        <f>IF(OR(V35="",V4=""),"",IFERROR(V35/V4,""))</f>
        <v/>
      </c>
      <c r="W36" s="17">
        <f>IF(OR(W35="",W4=""),"",IFERROR(W35/W4,""))</f>
        <v/>
      </c>
      <c r="X36" s="17">
        <f>IF(OR(X35="",X4=""),"",IFERROR(X35/X4,""))</f>
        <v/>
      </c>
      <c r="Y36" s="27">
        <f>IFERROR(AVERAGE(V36,W36,X36),"")</f>
        <v/>
      </c>
      <c r="Z36" s="28">
        <f>Y36</f>
        <v/>
      </c>
      <c r="AA36" s="28">
        <f>Z36</f>
        <v/>
      </c>
      <c r="AB36" s="28">
        <f>AA36</f>
        <v/>
      </c>
      <c r="AC36" s="28">
        <f>AB36</f>
        <v/>
      </c>
    </row>
    <row r="37">
      <c r="A37" s="20" t="inlineStr">
        <is>
          <t>특별손실</t>
        </is>
      </c>
      <c r="B37" s="10" t="n"/>
      <c r="C37" s="21" t="n">
        <v>0</v>
      </c>
      <c r="D37" s="22" t="n">
        <v>0</v>
      </c>
      <c r="E37" s="22" t="n"/>
      <c r="F37" s="22" t="n"/>
      <c r="G37" s="22" t="n"/>
      <c r="H37" s="22" t="n"/>
      <c r="I37" s="22" t="n"/>
      <c r="J37" s="22" t="n"/>
      <c r="K37" s="22" t="n"/>
      <c r="L37" s="22" t="n"/>
      <c r="M37" s="22" t="n"/>
      <c r="N37" s="22" t="n"/>
      <c r="O37" s="21" t="n">
        <v>1.685</v>
      </c>
      <c r="P37" s="22" t="n">
        <v>1.638</v>
      </c>
      <c r="Q37" s="22" t="n">
        <v>76.54600000000001</v>
      </c>
      <c r="R37" s="22" t="n">
        <v>187.596</v>
      </c>
      <c r="S37" s="22" t="n">
        <v>0</v>
      </c>
      <c r="T37" s="22" t="n">
        <v>34.247</v>
      </c>
      <c r="U37" s="22" t="n">
        <v>84.992</v>
      </c>
      <c r="V37" s="22" t="n">
        <v>0</v>
      </c>
      <c r="W37" s="22" t="n">
        <v>0</v>
      </c>
      <c r="X37" s="22" t="n">
        <v>59.771</v>
      </c>
      <c r="Y37" s="21">
        <f>IF(OR(Y4="",Y38=""),"",IFERROR(Y4*Y38,""))</f>
        <v/>
      </c>
      <c r="Z37" s="22">
        <f>IF(OR(Z4="",Z38=""),"",IFERROR(Z4*Z38,""))</f>
        <v/>
      </c>
      <c r="AA37" s="22">
        <f>IF(OR(AA4="",AA38=""),"",IFERROR(AA4*AA38,""))</f>
        <v/>
      </c>
      <c r="AB37" s="22">
        <f>IF(OR(AB4="",AB38=""),"",IFERROR(AB4*AB38,""))</f>
        <v/>
      </c>
      <c r="AC37" s="22">
        <f>IF(OR(AC4="",AC38=""),"",IFERROR(AC4*AC38,""))</f>
        <v/>
      </c>
    </row>
    <row r="38">
      <c r="A38" s="15" t="inlineStr">
        <is>
          <t>% of Sales</t>
        </is>
      </c>
      <c r="B38" s="10" t="n"/>
      <c r="C38" s="16">
        <f>IF(OR(C37="",C4=""),"",IFERROR(C37/C4,""))</f>
        <v/>
      </c>
      <c r="D38" s="17">
        <f>IF(OR(D37="",D4=""),"",IFERROR(D37/D4,""))</f>
        <v/>
      </c>
      <c r="E38" s="17">
        <f>IF(OR(E37="",E4=""),"",IFERROR(E37/E4,""))</f>
        <v/>
      </c>
      <c r="F38" s="17">
        <f>IF(OR(F37="",F4=""),"",IFERROR(F37/F4,""))</f>
        <v/>
      </c>
      <c r="G38" s="17">
        <f>IF(OR(G37="",G4=""),"",IFERROR(G37/G4,""))</f>
        <v/>
      </c>
      <c r="H38" s="17">
        <f>IF(OR(H37="",H4=""),"",IFERROR(H37/H4,""))</f>
        <v/>
      </c>
      <c r="I38" s="17">
        <f>IF(OR(I37="",I4=""),"",IFERROR(I37/I4,""))</f>
        <v/>
      </c>
      <c r="J38" s="17">
        <f>IF(OR(J37="",J4=""),"",IFERROR(J37/J4,""))</f>
        <v/>
      </c>
      <c r="K38" s="17">
        <f>IF(OR(K37="",K4=""),"",IFERROR(K37/K4,""))</f>
        <v/>
      </c>
      <c r="L38" s="17">
        <f>IF(OR(L37="",L4=""),"",IFERROR(L37/L4,""))</f>
        <v/>
      </c>
      <c r="M38" s="17">
        <f>IF(OR(M37="",M4=""),"",IFERROR(M37/M4,""))</f>
        <v/>
      </c>
      <c r="N38" s="17">
        <f>IF(OR(N37="",N4=""),"",IFERROR(N37/N4,""))</f>
        <v/>
      </c>
      <c r="O38" s="16">
        <f>IF(OR(O37="",O4=""),"",IFERROR(O37/O4,""))</f>
        <v/>
      </c>
      <c r="P38" s="17">
        <f>IF(OR(P37="",P4=""),"",IFERROR(P37/P4,""))</f>
        <v/>
      </c>
      <c r="Q38" s="17">
        <f>IF(OR(Q37="",Q4=""),"",IFERROR(Q37/Q4,""))</f>
        <v/>
      </c>
      <c r="R38" s="17">
        <f>IF(OR(R37="",R4=""),"",IFERROR(R37/R4,""))</f>
        <v/>
      </c>
      <c r="S38" s="17">
        <f>IF(OR(S37="",S4=""),"",IFERROR(S37/S4,""))</f>
        <v/>
      </c>
      <c r="T38" s="17">
        <f>IF(OR(T37="",T4=""),"",IFERROR(T37/T4,""))</f>
        <v/>
      </c>
      <c r="U38" s="17">
        <f>IF(OR(U37="",U4=""),"",IFERROR(U37/U4,""))</f>
        <v/>
      </c>
      <c r="V38" s="17">
        <f>IF(OR(V37="",V4=""),"",IFERROR(V37/V4,""))</f>
        <v/>
      </c>
      <c r="W38" s="17">
        <f>IF(OR(W37="",W4=""),"",IFERROR(W37/W4,""))</f>
        <v/>
      </c>
      <c r="X38" s="17">
        <f>IF(OR(X37="",X4=""),"",IFERROR(X37/X4,""))</f>
        <v/>
      </c>
      <c r="Y38" s="27">
        <f>IFERROR(AVERAGE(V38,W38,X38),"")</f>
        <v/>
      </c>
      <c r="Z38" s="28">
        <f>Y38</f>
        <v/>
      </c>
      <c r="AA38" s="28">
        <f>Z38</f>
        <v/>
      </c>
      <c r="AB38" s="28">
        <f>AA38</f>
        <v/>
      </c>
      <c r="AC38" s="28">
        <f>AB38</f>
        <v/>
      </c>
    </row>
    <row r="39">
      <c r="A39" s="20" t="inlineStr">
        <is>
          <t>영업외수익</t>
        </is>
      </c>
      <c r="B39" s="10" t="n"/>
      <c r="C39" s="21" t="n">
        <v>10.079</v>
      </c>
      <c r="D39" s="22" t="n">
        <v>9.385999999999999</v>
      </c>
      <c r="E39" s="22" t="n">
        <v>7.545</v>
      </c>
      <c r="F39" s="22" t="n">
        <v>8.715</v>
      </c>
      <c r="G39" s="22" t="n">
        <v>9.959</v>
      </c>
      <c r="H39" s="22" t="n">
        <v>12.721</v>
      </c>
      <c r="I39" s="22" t="n">
        <v>9.763</v>
      </c>
      <c r="J39" s="22" t="n">
        <v>14.995</v>
      </c>
      <c r="K39" s="22" t="n">
        <v>11.075</v>
      </c>
      <c r="L39" s="22" t="n">
        <v>12.47</v>
      </c>
      <c r="M39" s="22" t="n">
        <v>9.218999999999999</v>
      </c>
      <c r="N39" s="22" t="n">
        <v>16.116</v>
      </c>
      <c r="O39" s="21" t="n">
        <v>57.583</v>
      </c>
      <c r="P39" s="22" t="n">
        <v>29.439</v>
      </c>
      <c r="Q39" s="22" t="n">
        <v>78.33499999999999</v>
      </c>
      <c r="R39" s="22" t="n">
        <v>54.764</v>
      </c>
      <c r="S39" s="22" t="n">
        <v>71.224</v>
      </c>
      <c r="T39" s="22" t="n">
        <v>71.277</v>
      </c>
      <c r="U39" s="22" t="n">
        <v>40.023</v>
      </c>
      <c r="V39" s="22" t="n">
        <v>36.167</v>
      </c>
      <c r="W39" s="22" t="n">
        <v>38.94</v>
      </c>
      <c r="X39" s="22" t="n">
        <v>48.303</v>
      </c>
      <c r="Y39" s="21">
        <f>IF(OR(Y4="",Y40=""),"",IFERROR(Y4*Y40,""))</f>
        <v/>
      </c>
      <c r="Z39" s="22">
        <f>IF(OR(Z4="",Z40=""),"",IFERROR(Z4*Z40,""))</f>
        <v/>
      </c>
      <c r="AA39" s="22">
        <f>IF(OR(AA4="",AA40=""),"",IFERROR(AA4*AA40,""))</f>
        <v/>
      </c>
      <c r="AB39" s="22">
        <f>IF(OR(AB4="",AB40=""),"",IFERROR(AB4*AB40,""))</f>
        <v/>
      </c>
      <c r="AC39" s="22">
        <f>IF(OR(AC4="",AC40=""),"",IFERROR(AC4*AC40,""))</f>
        <v/>
      </c>
    </row>
    <row r="40">
      <c r="A40" s="15" t="inlineStr">
        <is>
          <t>% of Sales</t>
        </is>
      </c>
      <c r="B40" s="10" t="n"/>
      <c r="C40" s="16">
        <f>IF(OR(C39="",C4=""),"",IFERROR(C39/C4,""))</f>
        <v/>
      </c>
      <c r="D40" s="17">
        <f>IF(OR(D39="",D4=""),"",IFERROR(D39/D4,""))</f>
        <v/>
      </c>
      <c r="E40" s="17">
        <f>IF(OR(E39="",E4=""),"",IFERROR(E39/E4,""))</f>
        <v/>
      </c>
      <c r="F40" s="17">
        <f>IF(OR(F39="",F4=""),"",IFERROR(F39/F4,""))</f>
        <v/>
      </c>
      <c r="G40" s="17">
        <f>IF(OR(G39="",G4=""),"",IFERROR(G39/G4,""))</f>
        <v/>
      </c>
      <c r="H40" s="17">
        <f>IF(OR(H39="",H4=""),"",IFERROR(H39/H4,""))</f>
        <v/>
      </c>
      <c r="I40" s="17">
        <f>IF(OR(I39="",I4=""),"",IFERROR(I39/I4,""))</f>
        <v/>
      </c>
      <c r="J40" s="17">
        <f>IF(OR(J39="",J4=""),"",IFERROR(J39/J4,""))</f>
        <v/>
      </c>
      <c r="K40" s="17">
        <f>IF(OR(K39="",K4=""),"",IFERROR(K39/K4,""))</f>
        <v/>
      </c>
      <c r="L40" s="17">
        <f>IF(OR(L39="",L4=""),"",IFERROR(L39/L4,""))</f>
        <v/>
      </c>
      <c r="M40" s="17">
        <f>IF(OR(M39="",M4=""),"",IFERROR(M39/M4,""))</f>
        <v/>
      </c>
      <c r="N40" s="17">
        <f>IF(OR(N39="",N4=""),"",IFERROR(N39/N4,""))</f>
        <v/>
      </c>
      <c r="O40" s="16">
        <f>IF(OR(O39="",O4=""),"",IFERROR(O39/O4,""))</f>
        <v/>
      </c>
      <c r="P40" s="17">
        <f>IF(OR(P39="",P4=""),"",IFERROR(P39/P4,""))</f>
        <v/>
      </c>
      <c r="Q40" s="17">
        <f>IF(OR(Q39="",Q4=""),"",IFERROR(Q39/Q4,""))</f>
        <v/>
      </c>
      <c r="R40" s="17">
        <f>IF(OR(R39="",R4=""),"",IFERROR(R39/R4,""))</f>
        <v/>
      </c>
      <c r="S40" s="17">
        <f>IF(OR(S39="",S4=""),"",IFERROR(S39/S4,""))</f>
        <v/>
      </c>
      <c r="T40" s="17">
        <f>IF(OR(T39="",T4=""),"",IFERROR(T39/T4,""))</f>
        <v/>
      </c>
      <c r="U40" s="17">
        <f>IF(OR(U39="",U4=""),"",IFERROR(U39/U4,""))</f>
        <v/>
      </c>
      <c r="V40" s="17">
        <f>IF(OR(V39="",V4=""),"",IFERROR(V39/V4,""))</f>
        <v/>
      </c>
      <c r="W40" s="17">
        <f>IF(OR(W39="",W4=""),"",IFERROR(W39/W4,""))</f>
        <v/>
      </c>
      <c r="X40" s="17">
        <f>IF(OR(X39="",X4=""),"",IFERROR(X39/X4,""))</f>
        <v/>
      </c>
      <c r="Y40" s="27">
        <f>IFERROR(AVERAGE(V40,W40,X40),"")</f>
        <v/>
      </c>
      <c r="Z40" s="28">
        <f>Y40</f>
        <v/>
      </c>
      <c r="AA40" s="28">
        <f>Z40</f>
        <v/>
      </c>
      <c r="AB40" s="28">
        <f>AA40</f>
        <v/>
      </c>
      <c r="AC40" s="28">
        <f>AB40</f>
        <v/>
      </c>
    </row>
    <row r="41">
      <c r="A41" s="20" t="inlineStr">
        <is>
          <t>영업외비용</t>
        </is>
      </c>
      <c r="B41" s="10" t="n"/>
      <c r="C41" s="21" t="n">
        <v>21.557</v>
      </c>
      <c r="D41" s="22" t="n">
        <v>20.474</v>
      </c>
      <c r="E41" s="22" t="n">
        <v>19.557</v>
      </c>
      <c r="F41" s="22" t="n">
        <v>22.191</v>
      </c>
      <c r="G41" s="22" t="n">
        <v>23.94</v>
      </c>
      <c r="H41" s="22" t="n">
        <v>27.414</v>
      </c>
      <c r="I41" s="22" t="n">
        <v>26.555</v>
      </c>
      <c r="J41" s="22" t="n">
        <v>27.435</v>
      </c>
      <c r="K41" s="22" t="n">
        <v>27.73</v>
      </c>
      <c r="L41" s="22" t="n">
        <v>28.989</v>
      </c>
      <c r="M41" s="22" t="n">
        <v>30.227</v>
      </c>
      <c r="N41" s="22" t="n">
        <v>32.284</v>
      </c>
      <c r="O41" s="21" t="n">
        <v>71.54900000000001</v>
      </c>
      <c r="P41" s="22" t="n">
        <v>76.247</v>
      </c>
      <c r="Q41" s="22" t="n">
        <v>89.755</v>
      </c>
      <c r="R41" s="22" t="n">
        <v>90.84099999999999</v>
      </c>
      <c r="S41" s="22" t="n">
        <v>89.012</v>
      </c>
      <c r="T41" s="22" t="n">
        <v>92.773</v>
      </c>
      <c r="U41" s="22" t="n">
        <v>92.548</v>
      </c>
      <c r="V41" s="22" t="n">
        <v>85.675</v>
      </c>
      <c r="W41" s="22" t="n">
        <v>93.102</v>
      </c>
      <c r="X41" s="22" t="n">
        <v>110.709</v>
      </c>
      <c r="Y41" s="21">
        <f>IF(OR(Y4="",Y42=""),"",IFERROR(Y4*Y42,""))</f>
        <v/>
      </c>
      <c r="Z41" s="22">
        <f>IF(OR(Z4="",Z42=""),"",IFERROR(Z4*Z42,""))</f>
        <v/>
      </c>
      <c r="AA41" s="22">
        <f>IF(OR(AA4="",AA42=""),"",IFERROR(AA4*AA42,""))</f>
        <v/>
      </c>
      <c r="AB41" s="22">
        <f>IF(OR(AB4="",AB42=""),"",IFERROR(AB4*AB42,""))</f>
        <v/>
      </c>
      <c r="AC41" s="22">
        <f>IF(OR(AC4="",AC42=""),"",IFERROR(AC4*AC42,""))</f>
        <v/>
      </c>
    </row>
    <row r="42">
      <c r="A42" s="15" t="inlineStr">
        <is>
          <t>% of Sales</t>
        </is>
      </c>
      <c r="B42" s="10" t="n"/>
      <c r="C42" s="16">
        <f>IF(OR(C41="",C4=""),"",IFERROR(C41/C4,""))</f>
        <v/>
      </c>
      <c r="D42" s="17">
        <f>IF(OR(D41="",D4=""),"",IFERROR(D41/D4,""))</f>
        <v/>
      </c>
      <c r="E42" s="17">
        <f>IF(OR(E41="",E4=""),"",IFERROR(E41/E4,""))</f>
        <v/>
      </c>
      <c r="F42" s="17">
        <f>IF(OR(F41="",F4=""),"",IFERROR(F41/F4,""))</f>
        <v/>
      </c>
      <c r="G42" s="17">
        <f>IF(OR(G41="",G4=""),"",IFERROR(G41/G4,""))</f>
        <v/>
      </c>
      <c r="H42" s="17">
        <f>IF(OR(H41="",H4=""),"",IFERROR(H41/H4,""))</f>
        <v/>
      </c>
      <c r="I42" s="17">
        <f>IF(OR(I41="",I4=""),"",IFERROR(I41/I4,""))</f>
        <v/>
      </c>
      <c r="J42" s="17">
        <f>IF(OR(J41="",J4=""),"",IFERROR(J41/J4,""))</f>
        <v/>
      </c>
      <c r="K42" s="17">
        <f>IF(OR(K41="",K4=""),"",IFERROR(K41/K4,""))</f>
        <v/>
      </c>
      <c r="L42" s="17">
        <f>IF(OR(L41="",L4=""),"",IFERROR(L41/L4,""))</f>
        <v/>
      </c>
      <c r="M42" s="17">
        <f>IF(OR(M41="",M4=""),"",IFERROR(M41/M4,""))</f>
        <v/>
      </c>
      <c r="N42" s="17">
        <f>IF(OR(N41="",N4=""),"",IFERROR(N41/N4,""))</f>
        <v/>
      </c>
      <c r="O42" s="16">
        <f>IF(OR(O41="",O4=""),"",IFERROR(O41/O4,""))</f>
        <v/>
      </c>
      <c r="P42" s="17">
        <f>IF(OR(P41="",P4=""),"",IFERROR(P41/P4,""))</f>
        <v/>
      </c>
      <c r="Q42" s="17">
        <f>IF(OR(Q41="",Q4=""),"",IFERROR(Q41/Q4,""))</f>
        <v/>
      </c>
      <c r="R42" s="17">
        <f>IF(OR(R41="",R4=""),"",IFERROR(R41/R4,""))</f>
        <v/>
      </c>
      <c r="S42" s="17">
        <f>IF(OR(S41="",S4=""),"",IFERROR(S41/S4,""))</f>
        <v/>
      </c>
      <c r="T42" s="17">
        <f>IF(OR(T41="",T4=""),"",IFERROR(T41/T4,""))</f>
        <v/>
      </c>
      <c r="U42" s="17">
        <f>IF(OR(U41="",U4=""),"",IFERROR(U41/U4,""))</f>
        <v/>
      </c>
      <c r="V42" s="17">
        <f>IF(OR(V41="",V4=""),"",IFERROR(V41/V4,""))</f>
        <v/>
      </c>
      <c r="W42" s="17">
        <f>IF(OR(W41="",W4=""),"",IFERROR(W41/W4,""))</f>
        <v/>
      </c>
      <c r="X42" s="17">
        <f>IF(OR(X41="",X4=""),"",IFERROR(X41/X4,""))</f>
        <v/>
      </c>
      <c r="Y42" s="27">
        <f>IFERROR(AVERAGE(V42,W42,X42),"")</f>
        <v/>
      </c>
      <c r="Z42" s="28">
        <f>Y42</f>
        <v/>
      </c>
      <c r="AA42" s="28">
        <f>Z42</f>
        <v/>
      </c>
      <c r="AB42" s="28">
        <f>AA42</f>
        <v/>
      </c>
      <c r="AC42" s="28">
        <f>AB42</f>
        <v/>
      </c>
    </row>
    <row r="43">
      <c r="A43" s="9" t="inlineStr">
        <is>
          <t>법인세비용차감전순이익(손실)</t>
        </is>
      </c>
      <c r="B43" s="10" t="n"/>
      <c r="C43" s="11" t="n">
        <v>1033.886</v>
      </c>
      <c r="D43" s="12" t="n">
        <v>817.259</v>
      </c>
      <c r="E43" s="12" t="n">
        <v>887.734</v>
      </c>
      <c r="F43" s="12" t="n">
        <v>1016.049</v>
      </c>
      <c r="G43" s="12" t="n">
        <v>1270.666</v>
      </c>
      <c r="H43" s="12" t="n">
        <v>734.226</v>
      </c>
      <c r="I43" s="12" t="n">
        <v>1155.639</v>
      </c>
      <c r="J43" s="12" t="n">
        <v>1232.816</v>
      </c>
      <c r="K43" s="12" t="n">
        <v>1608.73</v>
      </c>
      <c r="L43" s="12" t="n">
        <v>773.177</v>
      </c>
      <c r="M43" s="12" t="n">
        <v>968.423</v>
      </c>
      <c r="N43" s="12" t="n">
        <v>1569.28</v>
      </c>
      <c r="O43" s="11" t="n">
        <v>966.755</v>
      </c>
      <c r="P43" s="12" t="n">
        <v>1144.273</v>
      </c>
      <c r="Q43" s="12" t="n">
        <v>1397.935</v>
      </c>
      <c r="R43" s="12" t="n">
        <v>1421.454</v>
      </c>
      <c r="S43" s="12" t="n">
        <v>43.399</v>
      </c>
      <c r="T43" s="12" t="n">
        <v>903.391</v>
      </c>
      <c r="U43" s="12" t="n">
        <v>2866.752</v>
      </c>
      <c r="V43" s="12" t="n">
        <v>3595.516</v>
      </c>
      <c r="W43" s="12" t="n">
        <v>3908.675</v>
      </c>
      <c r="X43" s="12" t="n">
        <v>4770.362</v>
      </c>
      <c r="Y43" s="11">
        <f>IF(OR(Y19=""),"",IFERROR(Y19+N(Y35)-N(Y37)+N(Y39)-N(Y41),""))</f>
        <v/>
      </c>
      <c r="Z43" s="12">
        <f>IF(OR(Z19=""),"",IFERROR(Z19+N(Z35)-N(Z37)+N(Z39)-N(Z41),""))</f>
        <v/>
      </c>
      <c r="AA43" s="12">
        <f>IF(OR(AA19=""),"",IFERROR(AA19+N(AA35)-N(AA37)+N(AA39)-N(AA41),""))</f>
        <v/>
      </c>
      <c r="AB43" s="12">
        <f>IF(OR(AB19=""),"",IFERROR(AB19+N(AB35)-N(AB37)+N(AB39)-N(AB41),""))</f>
        <v/>
      </c>
      <c r="AC43" s="12">
        <f>IF(OR(AC19=""),"",IFERROR(AC19+N(AC35)-N(AC37)+N(AC39)-N(AC41),""))</f>
        <v/>
      </c>
    </row>
    <row r="44">
      <c r="A44" s="15" t="inlineStr">
        <is>
          <t>YoY</t>
        </is>
      </c>
      <c r="B44" s="10" t="n"/>
      <c r="C44" s="16" t="n"/>
      <c r="D44" s="17" t="n"/>
      <c r="E44" s="17" t="n"/>
      <c r="F44" s="17" t="n"/>
      <c r="G44" s="17">
        <f>IF(OR(G43="",C43=""),"",IF(C43&lt;=0,"",IFERROR(G43/C43-1,"")))</f>
        <v/>
      </c>
      <c r="H44" s="17">
        <f>IF(OR(H43="",D43=""),"",IF(D43&lt;=0,"",IFERROR(H43/D43-1,"")))</f>
        <v/>
      </c>
      <c r="I44" s="17">
        <f>IF(OR(I43="",E43=""),"",IF(E43&lt;=0,"",IFERROR(I43/E43-1,"")))</f>
        <v/>
      </c>
      <c r="J44" s="17">
        <f>IF(OR(J43="",F43=""),"",IF(F43&lt;=0,"",IFERROR(J43/F43-1,"")))</f>
        <v/>
      </c>
      <c r="K44" s="17">
        <f>IF(OR(K43="",G43=""),"",IF(G43&lt;=0,"",IFERROR(K43/G43-1,"")))</f>
        <v/>
      </c>
      <c r="L44" s="17">
        <f>IF(OR(L43="",H43=""),"",IF(H43&lt;=0,"",IFERROR(L43/H43-1,"")))</f>
        <v/>
      </c>
      <c r="M44" s="17">
        <f>IF(OR(M43="",I43=""),"",IF(I43&lt;=0,"",IFERROR(M43/I43-1,"")))</f>
        <v/>
      </c>
      <c r="N44" s="17">
        <f>IF(OR(N43="",J43=""),"",IF(J43&lt;=0,"",IFERROR(N43/J43-1,"")))</f>
        <v/>
      </c>
      <c r="O44" s="16" t="n"/>
      <c r="P44" s="17">
        <f>IF(OR(P43="",O43=""),"",IF(O43&lt;=0,"",IFERROR(P43/O43-1,"")))</f>
        <v/>
      </c>
      <c r="Q44" s="17">
        <f>IF(OR(Q43="",P43=""),"",IF(P43&lt;=0,"",IFERROR(Q43/P43-1,"")))</f>
        <v/>
      </c>
      <c r="R44" s="17">
        <f>IF(OR(R43="",Q43=""),"",IF(Q43&lt;=0,"",IFERROR(R43/Q43-1,"")))</f>
        <v/>
      </c>
      <c r="S44" s="17">
        <f>IF(OR(S43="",R43=""),"",IF(R43&lt;=0,"",IFERROR(S43/R43-1,"")))</f>
        <v/>
      </c>
      <c r="T44" s="17">
        <f>IF(OR(T43="",S43=""),"",IF(S43&lt;=0,"",IFERROR(T43/S43-1,"")))</f>
        <v/>
      </c>
      <c r="U44" s="17">
        <f>IF(OR(U43="",T43=""),"",IF(T43&lt;=0,"",IFERROR(U43/T43-1,"")))</f>
        <v/>
      </c>
      <c r="V44" s="17">
        <f>IF(OR(V43="",U43=""),"",IF(U43&lt;=0,"",IFERROR(V43/U43-1,"")))</f>
        <v/>
      </c>
      <c r="W44" s="17">
        <f>IF(OR(W43="",V43=""),"",IF(V43&lt;=0,"",IFERROR(W43/V43-1,"")))</f>
        <v/>
      </c>
      <c r="X44" s="17">
        <f>IF(OR(X43="",W43=""),"",IF(W43&lt;=0,"",IFERROR(X43/W43-1,"")))</f>
        <v/>
      </c>
      <c r="Y44" s="16">
        <f>IF(OR(Y43="",X43=""),"",IF(X43&lt;=0,"",IFERROR(Y43/X43-1,"")))</f>
        <v/>
      </c>
      <c r="Z44" s="17">
        <f>IF(OR(Z43="",Y43=""),"",IF(Y43&lt;=0,"",IFERROR(Z43/Y43-1,"")))</f>
        <v/>
      </c>
      <c r="AA44" s="17">
        <f>IF(OR(AA43="",Z43=""),"",IF(Z43&lt;=0,"",IFERROR(AA43/Z43-1,"")))</f>
        <v/>
      </c>
      <c r="AB44" s="17">
        <f>IF(OR(AB43="",AA43=""),"",IF(AA43&lt;=0,"",IFERROR(AB43/AA43-1,"")))</f>
        <v/>
      </c>
      <c r="AC44" s="17">
        <f>IF(OR(AC43="",AB43=""),"",IF(AB43&lt;=0,"",IFERROR(AC43/AB43-1,"")))</f>
        <v/>
      </c>
    </row>
    <row r="45">
      <c r="A45" s="20" t="inlineStr">
        <is>
          <t>법인세비용(수익)</t>
        </is>
      </c>
      <c r="B45" s="10" t="n"/>
      <c r="C45" s="21" t="n">
        <v>391.706</v>
      </c>
      <c r="D45" s="22" t="n">
        <v>235.699</v>
      </c>
      <c r="E45" s="22" t="n">
        <v>326.074</v>
      </c>
      <c r="F45" s="22" t="n">
        <v>391.77</v>
      </c>
      <c r="G45" s="22" t="n">
        <v>452.615</v>
      </c>
      <c r="H45" s="22" t="n">
        <v>195.75</v>
      </c>
      <c r="I45" s="22" t="n">
        <v>428.111</v>
      </c>
      <c r="J45" s="22" t="n">
        <v>476.583</v>
      </c>
      <c r="K45" s="22" t="n">
        <v>601.454</v>
      </c>
      <c r="L45" s="22" t="n">
        <v>120.517</v>
      </c>
      <c r="M45" s="22" t="n">
        <v>367</v>
      </c>
      <c r="N45" s="22" t="n">
        <v>619.282</v>
      </c>
      <c r="O45" s="21" t="n">
        <v>322.853</v>
      </c>
      <c r="P45" s="22" t="n">
        <v>421.155</v>
      </c>
      <c r="Q45" s="22" t="n">
        <v>510.919</v>
      </c>
      <c r="R45" s="22" t="n">
        <v>530.394</v>
      </c>
      <c r="S45" s="22" t="n">
        <v>33.328</v>
      </c>
      <c r="T45" s="22" t="n">
        <v>335.708</v>
      </c>
      <c r="U45" s="22" t="n">
        <v>1059.691</v>
      </c>
      <c r="V45" s="22" t="n">
        <v>1282.879</v>
      </c>
      <c r="W45" s="22" t="n">
        <v>1366.209</v>
      </c>
      <c r="X45" s="22" t="n">
        <v>1626.665</v>
      </c>
      <c r="Y45" s="21">
        <f>IF(OR(Y43="",Y46=""),"",IFERROR(MAX(Y43,0)*Y46,""))</f>
        <v/>
      </c>
      <c r="Z45" s="22">
        <f>IF(OR(Z43="",Z46=""),"",IFERROR(MAX(Z43,0)*Z46,""))</f>
        <v/>
      </c>
      <c r="AA45" s="22">
        <f>IF(OR(AA43="",AA46=""),"",IFERROR(MAX(AA43,0)*AA46,""))</f>
        <v/>
      </c>
      <c r="AB45" s="22">
        <f>IF(OR(AB43="",AB46=""),"",IFERROR(MAX(AB43,0)*AB46,""))</f>
        <v/>
      </c>
      <c r="AC45" s="22">
        <f>IF(OR(AC43="",AC46=""),"",IFERROR(MAX(AC43,0)*AC46,""))</f>
        <v/>
      </c>
    </row>
    <row r="46">
      <c r="A46" s="15" t="inlineStr">
        <is>
          <t>법인세율</t>
        </is>
      </c>
      <c r="B46" s="10" t="inlineStr">
        <is>
          <t>MW 기본 30%</t>
        </is>
      </c>
      <c r="C46" s="16">
        <f>IF(OR(C45="",C43=""),"",IFERROR(C45/C43,""))</f>
        <v/>
      </c>
      <c r="D46" s="17">
        <f>IF(OR(D45="",D43=""),"",IFERROR(D45/D43,""))</f>
        <v/>
      </c>
      <c r="E46" s="17">
        <f>IF(OR(E45="",E43=""),"",IFERROR(E45/E43,""))</f>
        <v/>
      </c>
      <c r="F46" s="17">
        <f>IF(OR(F45="",F43=""),"",IFERROR(F45/F43,""))</f>
        <v/>
      </c>
      <c r="G46" s="17">
        <f>IF(OR(G45="",G43=""),"",IFERROR(G45/G43,""))</f>
        <v/>
      </c>
      <c r="H46" s="17">
        <f>IF(OR(H45="",H43=""),"",IFERROR(H45/H43,""))</f>
        <v/>
      </c>
      <c r="I46" s="17">
        <f>IF(OR(I45="",I43=""),"",IFERROR(I45/I43,""))</f>
        <v/>
      </c>
      <c r="J46" s="17">
        <f>IF(OR(J45="",J43=""),"",IFERROR(J45/J43,""))</f>
        <v/>
      </c>
      <c r="K46" s="17">
        <f>IF(OR(K45="",K43=""),"",IFERROR(K45/K43,""))</f>
        <v/>
      </c>
      <c r="L46" s="17">
        <f>IF(OR(L45="",L43=""),"",IFERROR(L45/L43,""))</f>
        <v/>
      </c>
      <c r="M46" s="17">
        <f>IF(OR(M45="",M43=""),"",IFERROR(M45/M43,""))</f>
        <v/>
      </c>
      <c r="N46" s="17">
        <f>IF(OR(N45="",N43=""),"",IFERROR(N45/N43,""))</f>
        <v/>
      </c>
      <c r="O46" s="16">
        <f>IF(OR(O45="",O43=""),"",IFERROR(O45/O43,""))</f>
        <v/>
      </c>
      <c r="P46" s="17">
        <f>IF(OR(P45="",P43=""),"",IFERROR(P45/P43,""))</f>
        <v/>
      </c>
      <c r="Q46" s="17">
        <f>IF(OR(Q45="",Q43=""),"",IFERROR(Q45/Q43,""))</f>
        <v/>
      </c>
      <c r="R46" s="17">
        <f>IF(OR(R45="",R43=""),"",IFERROR(R45/R43,""))</f>
        <v/>
      </c>
      <c r="S46" s="17">
        <f>IF(OR(S45="",S43=""),"",IFERROR(S45/S43,""))</f>
        <v/>
      </c>
      <c r="T46" s="17">
        <f>IF(OR(T45="",T43=""),"",IFERROR(T45/T43,""))</f>
        <v/>
      </c>
      <c r="U46" s="17">
        <f>IF(OR(U45="",U43=""),"",IFERROR(U45/U43,""))</f>
        <v/>
      </c>
      <c r="V46" s="17">
        <f>IF(OR(V45="",V43=""),"",IFERROR(V45/V43,""))</f>
        <v/>
      </c>
      <c r="W46" s="17">
        <f>IF(OR(W45="",W43=""),"",IFERROR(W45/W43,""))</f>
        <v/>
      </c>
      <c r="X46" s="17">
        <f>IF(OR(X45="",X43=""),"",IFERROR(X45/X43,""))</f>
        <v/>
      </c>
      <c r="Y46" s="27" t="n">
        <v>0.3</v>
      </c>
      <c r="Z46" s="28" t="n">
        <v>0.3</v>
      </c>
      <c r="AA46" s="28" t="n">
        <v>0.3</v>
      </c>
      <c r="AB46" s="28" t="n">
        <v>0.3</v>
      </c>
      <c r="AC46" s="28" t="n">
        <v>0.3</v>
      </c>
    </row>
    <row r="47">
      <c r="A47" s="9" t="inlineStr">
        <is>
          <t>당기순이익(손실)</t>
        </is>
      </c>
      <c r="B47" s="10" t="n"/>
      <c r="C47" s="11" t="n">
        <v>642.1799999999999</v>
      </c>
      <c r="D47" s="12" t="n">
        <v>581.559</v>
      </c>
      <c r="E47" s="12" t="n">
        <v>561.659</v>
      </c>
      <c r="F47" s="12" t="n">
        <v>624.28</v>
      </c>
      <c r="G47" s="12" t="n">
        <v>818.051</v>
      </c>
      <c r="H47" s="12" t="n">
        <v>538.475</v>
      </c>
      <c r="I47" s="12" t="n">
        <v>727.527</v>
      </c>
      <c r="J47" s="12" t="n">
        <v>756.234</v>
      </c>
      <c r="K47" s="12" t="n">
        <v>1007.275</v>
      </c>
      <c r="L47" s="12" t="n">
        <v>652.66</v>
      </c>
      <c r="M47" s="12" t="n">
        <v>601.423</v>
      </c>
      <c r="N47" s="12" t="n">
        <v>949.997</v>
      </c>
      <c r="O47" s="11" t="n">
        <v>643.901</v>
      </c>
      <c r="P47" s="12" t="n">
        <v>723.117</v>
      </c>
      <c r="Q47" s="12" t="n">
        <v>887.015</v>
      </c>
      <c r="R47" s="12" t="n">
        <v>891.0599999999999</v>
      </c>
      <c r="S47" s="12" t="n">
        <v>10.071</v>
      </c>
      <c r="T47" s="12" t="n">
        <v>567.682</v>
      </c>
      <c r="U47" s="12" t="n">
        <v>1807.06</v>
      </c>
      <c r="V47" s="12" t="n">
        <v>2312.636</v>
      </c>
      <c r="W47" s="12" t="n">
        <v>2542.465</v>
      </c>
      <c r="X47" s="12" t="n">
        <v>3143.696</v>
      </c>
      <c r="Y47" s="11">
        <f>IF(OR(Y43=""),"",IFERROR(Y43-Y45,""))</f>
        <v/>
      </c>
      <c r="Z47" s="12">
        <f>IF(OR(Z43=""),"",IFERROR(Z43-Z45,""))</f>
        <v/>
      </c>
      <c r="AA47" s="12">
        <f>IF(OR(AA43=""),"",IFERROR(AA43-AA45,""))</f>
        <v/>
      </c>
      <c r="AB47" s="12">
        <f>IF(OR(AB43=""),"",IFERROR(AB43-AB45,""))</f>
        <v/>
      </c>
      <c r="AC47" s="12">
        <f>IF(OR(AC43=""),"",IFERROR(AC43-AC45,""))</f>
        <v/>
      </c>
    </row>
    <row r="48">
      <c r="A48" s="15" t="inlineStr">
        <is>
          <t>YoY</t>
        </is>
      </c>
      <c r="B48" s="10" t="n"/>
      <c r="C48" s="16" t="n"/>
      <c r="D48" s="17" t="n"/>
      <c r="E48" s="17" t="n"/>
      <c r="F48" s="17" t="n"/>
      <c r="G48" s="17">
        <f>IF(OR(G47="",C47=""),"",IF(C47&lt;=0,"",IFERROR(G47/C47-1,"")))</f>
        <v/>
      </c>
      <c r="H48" s="17">
        <f>IF(OR(H47="",D47=""),"",IF(D47&lt;=0,"",IFERROR(H47/D47-1,"")))</f>
        <v/>
      </c>
      <c r="I48" s="17">
        <f>IF(OR(I47="",E47=""),"",IF(E47&lt;=0,"",IFERROR(I47/E47-1,"")))</f>
        <v/>
      </c>
      <c r="J48" s="17">
        <f>IF(OR(J47="",F47=""),"",IF(F47&lt;=0,"",IFERROR(J47/F47-1,"")))</f>
        <v/>
      </c>
      <c r="K48" s="17">
        <f>IF(OR(K47="",G47=""),"",IF(G47&lt;=0,"",IFERROR(K47/G47-1,"")))</f>
        <v/>
      </c>
      <c r="L48" s="17">
        <f>IF(OR(L47="",H47=""),"",IF(H47&lt;=0,"",IFERROR(L47/H47-1,"")))</f>
        <v/>
      </c>
      <c r="M48" s="17">
        <f>IF(OR(M47="",I47=""),"",IF(I47&lt;=0,"",IFERROR(M47/I47-1,"")))</f>
        <v/>
      </c>
      <c r="N48" s="17">
        <f>IF(OR(N47="",J47=""),"",IF(J47&lt;=0,"",IFERROR(N47/J47-1,"")))</f>
        <v/>
      </c>
      <c r="O48" s="16" t="n"/>
      <c r="P48" s="17">
        <f>IF(OR(P47="",O47=""),"",IF(O47&lt;=0,"",IFERROR(P47/O47-1,"")))</f>
        <v/>
      </c>
      <c r="Q48" s="17">
        <f>IF(OR(Q47="",P47=""),"",IF(P47&lt;=0,"",IFERROR(Q47/P47-1,"")))</f>
        <v/>
      </c>
      <c r="R48" s="17">
        <f>IF(OR(R47="",Q47=""),"",IF(Q47&lt;=0,"",IFERROR(R47/Q47-1,"")))</f>
        <v/>
      </c>
      <c r="S48" s="17">
        <f>IF(OR(S47="",R47=""),"",IF(R47&lt;=0,"",IFERROR(S47/R47-1,"")))</f>
        <v/>
      </c>
      <c r="T48" s="17">
        <f>IF(OR(T47="",S47=""),"",IF(S47&lt;=0,"",IFERROR(T47/S47-1,"")))</f>
        <v/>
      </c>
      <c r="U48" s="17">
        <f>IF(OR(U47="",T47=""),"",IF(T47&lt;=0,"",IFERROR(U47/T47-1,"")))</f>
        <v/>
      </c>
      <c r="V48" s="17">
        <f>IF(OR(V47="",U47=""),"",IF(U47&lt;=0,"",IFERROR(V47/U47-1,"")))</f>
        <v/>
      </c>
      <c r="W48" s="17">
        <f>IF(OR(W47="",V47=""),"",IF(V47&lt;=0,"",IFERROR(W47/V47-1,"")))</f>
        <v/>
      </c>
      <c r="X48" s="17">
        <f>IF(OR(X47="",W47=""),"",IF(W47&lt;=0,"",IFERROR(X47/W47-1,"")))</f>
        <v/>
      </c>
      <c r="Y48" s="16">
        <f>IF(OR(Y47="",X47=""),"",IF(X47&lt;=0,"",IFERROR(Y47/X47-1,"")))</f>
        <v/>
      </c>
      <c r="Z48" s="17">
        <f>IF(OR(Z47="",Y47=""),"",IF(Y47&lt;=0,"",IFERROR(Z47/Y47-1,"")))</f>
        <v/>
      </c>
      <c r="AA48" s="17">
        <f>IF(OR(AA47="",Z47=""),"",IF(Z47&lt;=0,"",IFERROR(AA47/Z47-1,"")))</f>
        <v/>
      </c>
      <c r="AB48" s="17">
        <f>IF(OR(AB47="",AA47=""),"",IF(AA47&lt;=0,"",IFERROR(AB47/AA47-1,"")))</f>
        <v/>
      </c>
      <c r="AC48" s="17">
        <f>IF(OR(AC47="",AB47=""),"",IF(AB47&lt;=0,"",IFERROR(AC47/AB47-1,"")))</f>
        <v/>
      </c>
    </row>
    <row r="49">
      <c r="A49" s="9" t="inlineStr">
        <is>
          <t>지배주주 순이익</t>
        </is>
      </c>
      <c r="B49" s="10" t="n"/>
      <c r="C49" s="11" t="n">
        <v>642.1799999999999</v>
      </c>
      <c r="D49" s="12" t="n">
        <v>581.559</v>
      </c>
      <c r="E49" s="12" t="n">
        <v>561.659</v>
      </c>
      <c r="F49" s="12" t="n">
        <v>624.28</v>
      </c>
      <c r="G49" s="12" t="n">
        <v>818.051</v>
      </c>
      <c r="H49" s="12" t="n">
        <v>538.475</v>
      </c>
      <c r="I49" s="12" t="n">
        <v>727.527</v>
      </c>
      <c r="J49" s="12" t="n">
        <v>756.234</v>
      </c>
      <c r="K49" s="12" t="n">
        <v>1007.275</v>
      </c>
      <c r="L49" s="12" t="n">
        <v>652.66</v>
      </c>
      <c r="M49" s="12" t="n">
        <v>601.423</v>
      </c>
      <c r="N49" s="12" t="n">
        <v>949.997</v>
      </c>
      <c r="O49" s="11" t="n">
        <v>643.901</v>
      </c>
      <c r="P49" s="12" t="n">
        <v>723.117</v>
      </c>
      <c r="Q49" s="12" t="n">
        <v>887.015</v>
      </c>
      <c r="R49" s="12" t="n">
        <v>891.0599999999999</v>
      </c>
      <c r="S49" s="12" t="n">
        <v>10.071</v>
      </c>
      <c r="T49" s="12" t="n">
        <v>567.682</v>
      </c>
      <c r="U49" s="12" t="n">
        <v>1807.06</v>
      </c>
      <c r="V49" s="12" t="n">
        <v>2312.636</v>
      </c>
      <c r="W49" s="12" t="n">
        <v>2542.465</v>
      </c>
      <c r="X49" s="12" t="n">
        <v>3143.696</v>
      </c>
      <c r="Y49" s="11">
        <f>IF(OR(Y47="",Y50=""),"",IFERROR(Y47*Y50,""))</f>
        <v/>
      </c>
      <c r="Z49" s="12">
        <f>IF(OR(Z47="",Z50=""),"",IFERROR(Z47*Z50,""))</f>
        <v/>
      </c>
      <c r="AA49" s="12">
        <f>IF(OR(AA47="",AA50=""),"",IFERROR(AA47*AA50,""))</f>
        <v/>
      </c>
      <c r="AB49" s="12">
        <f>IF(OR(AB47="",AB50=""),"",IFERROR(AB47*AB50,""))</f>
        <v/>
      </c>
      <c r="AC49" s="12">
        <f>IF(OR(AC47="",AC50=""),"",IFERROR(AC47*AC50,""))</f>
        <v/>
      </c>
    </row>
    <row r="50">
      <c r="A50" s="15" t="inlineStr">
        <is>
          <t>지배주주 순이익률</t>
        </is>
      </c>
      <c r="B50" s="10" t="inlineStr">
        <is>
          <t>MW 기본 100%</t>
        </is>
      </c>
      <c r="C50" s="16">
        <f>IF(OR(C49="",C47=""),"",IFERROR(C49/C47,""))</f>
        <v/>
      </c>
      <c r="D50" s="17">
        <f>IF(OR(D49="",D47=""),"",IFERROR(D49/D47,""))</f>
        <v/>
      </c>
      <c r="E50" s="17">
        <f>IF(OR(E49="",E47=""),"",IFERROR(E49/E47,""))</f>
        <v/>
      </c>
      <c r="F50" s="17">
        <f>IF(OR(F49="",F47=""),"",IFERROR(F49/F47,""))</f>
        <v/>
      </c>
      <c r="G50" s="17">
        <f>IF(OR(G49="",G47=""),"",IFERROR(G49/G47,""))</f>
        <v/>
      </c>
      <c r="H50" s="17">
        <f>IF(OR(H49="",H47=""),"",IFERROR(H49/H47,""))</f>
        <v/>
      </c>
      <c r="I50" s="17">
        <f>IF(OR(I49="",I47=""),"",IFERROR(I49/I47,""))</f>
        <v/>
      </c>
      <c r="J50" s="17">
        <f>IF(OR(J49="",J47=""),"",IFERROR(J49/J47,""))</f>
        <v/>
      </c>
      <c r="K50" s="17">
        <f>IF(OR(K49="",K47=""),"",IFERROR(K49/K47,""))</f>
        <v/>
      </c>
      <c r="L50" s="17">
        <f>IF(OR(L49="",L47=""),"",IFERROR(L49/L47,""))</f>
        <v/>
      </c>
      <c r="M50" s="17">
        <f>IF(OR(M49="",M47=""),"",IFERROR(M49/M47,""))</f>
        <v/>
      </c>
      <c r="N50" s="17">
        <f>IF(OR(N49="",N47=""),"",IFERROR(N49/N47,""))</f>
        <v/>
      </c>
      <c r="O50" s="16">
        <f>IF(OR(O49="",O47=""),"",IFERROR(O49/O47,""))</f>
        <v/>
      </c>
      <c r="P50" s="17">
        <f>IF(OR(P49="",P47=""),"",IFERROR(P49/P47,""))</f>
        <v/>
      </c>
      <c r="Q50" s="17">
        <f>IF(OR(Q49="",Q47=""),"",IFERROR(Q49/Q47,""))</f>
        <v/>
      </c>
      <c r="R50" s="17">
        <f>IF(OR(R49="",R47=""),"",IFERROR(R49/R47,""))</f>
        <v/>
      </c>
      <c r="S50" s="17">
        <f>IF(OR(S49="",S47=""),"",IFERROR(S49/S47,""))</f>
        <v/>
      </c>
      <c r="T50" s="17">
        <f>IF(OR(T49="",T47=""),"",IFERROR(T49/T47,""))</f>
        <v/>
      </c>
      <c r="U50" s="17">
        <f>IF(OR(U49="",U47=""),"",IFERROR(U49/U47,""))</f>
        <v/>
      </c>
      <c r="V50" s="17">
        <f>IF(OR(V49="",V47=""),"",IFERROR(V49/V47,""))</f>
        <v/>
      </c>
      <c r="W50" s="17">
        <f>IF(OR(W49="",W47=""),"",IFERROR(W49/W47,""))</f>
        <v/>
      </c>
      <c r="X50" s="17">
        <f>IF(OR(X49="",X47=""),"",IFERROR(X49/X47,""))</f>
        <v/>
      </c>
      <c r="Y50" s="27" t="n">
        <v>1</v>
      </c>
      <c r="Z50" s="28" t="n">
        <v>1</v>
      </c>
      <c r="AA50" s="28" t="n">
        <v>1</v>
      </c>
      <c r="AB50" s="28" t="n">
        <v>1</v>
      </c>
      <c r="AC50" s="28" t="n">
        <v>1</v>
      </c>
    </row>
    <row r="51">
      <c r="A51" s="15" t="inlineStr">
        <is>
          <t>지배주주 순이익 YoY</t>
        </is>
      </c>
      <c r="B51" s="10" t="n"/>
      <c r="C51" s="16" t="n"/>
      <c r="D51" s="17" t="n"/>
      <c r="E51" s="17" t="n"/>
      <c r="F51" s="17" t="n"/>
      <c r="G51" s="17">
        <f>IF(OR(G49="",C49=""),"",IF(C49&lt;=0,"",IFERROR(G49/C49-1,"")))</f>
        <v/>
      </c>
      <c r="H51" s="17">
        <f>IF(OR(H49="",D49=""),"",IF(D49&lt;=0,"",IFERROR(H49/D49-1,"")))</f>
        <v/>
      </c>
      <c r="I51" s="17">
        <f>IF(OR(I49="",E49=""),"",IF(E49&lt;=0,"",IFERROR(I49/E49-1,"")))</f>
        <v/>
      </c>
      <c r="J51" s="17">
        <f>IF(OR(J49="",F49=""),"",IF(F49&lt;=0,"",IFERROR(J49/F49-1,"")))</f>
        <v/>
      </c>
      <c r="K51" s="17">
        <f>IF(OR(K49="",G49=""),"",IF(G49&lt;=0,"",IFERROR(K49/G49-1,"")))</f>
        <v/>
      </c>
      <c r="L51" s="17">
        <f>IF(OR(L49="",H49=""),"",IF(H49&lt;=0,"",IFERROR(L49/H49-1,"")))</f>
        <v/>
      </c>
      <c r="M51" s="17">
        <f>IF(OR(M49="",I49=""),"",IF(I49&lt;=0,"",IFERROR(M49/I49-1,"")))</f>
        <v/>
      </c>
      <c r="N51" s="17">
        <f>IF(OR(N49="",J49=""),"",IF(J49&lt;=0,"",IFERROR(N49/J49-1,"")))</f>
        <v/>
      </c>
      <c r="O51" s="16" t="n"/>
      <c r="P51" s="17">
        <f>IF(OR(P49="",O49=""),"",IF(O49&lt;=0,"",IFERROR(P49/O49-1,"")))</f>
        <v/>
      </c>
      <c r="Q51" s="17">
        <f>IF(OR(Q49="",P49=""),"",IF(P49&lt;=0,"",IFERROR(Q49/P49-1,"")))</f>
        <v/>
      </c>
      <c r="R51" s="17">
        <f>IF(OR(R49="",Q49=""),"",IF(Q49&lt;=0,"",IFERROR(R49/Q49-1,"")))</f>
        <v/>
      </c>
      <c r="S51" s="17">
        <f>IF(OR(S49="",R49=""),"",IF(R49&lt;=0,"",IFERROR(S49/R49-1,"")))</f>
        <v/>
      </c>
      <c r="T51" s="17">
        <f>IF(OR(T49="",S49=""),"",IF(S49&lt;=0,"",IFERROR(T49/S49-1,"")))</f>
        <v/>
      </c>
      <c r="U51" s="17">
        <f>IF(OR(U49="",T49=""),"",IF(T49&lt;=0,"",IFERROR(U49/T49-1,"")))</f>
        <v/>
      </c>
      <c r="V51" s="17">
        <f>IF(OR(V49="",U49=""),"",IF(U49&lt;=0,"",IFERROR(V49/U49-1,"")))</f>
        <v/>
      </c>
      <c r="W51" s="17">
        <f>IF(OR(W49="",V49=""),"",IF(V49&lt;=0,"",IFERROR(W49/V49-1,"")))</f>
        <v/>
      </c>
      <c r="X51" s="17">
        <f>IF(OR(X49="",W49=""),"",IF(W49&lt;=0,"",IFERROR(X49/W49-1,"")))</f>
        <v/>
      </c>
      <c r="Y51" s="16">
        <f>IF(OR(Y49="",X49=""),"",IF(X49&lt;=0,"",IFERROR(Y49/X49-1,"")))</f>
        <v/>
      </c>
      <c r="Z51" s="17">
        <f>IF(OR(Z49="",Y49=""),"",IF(Y49&lt;=0,"",IFERROR(Z49/Y49-1,"")))</f>
        <v/>
      </c>
      <c r="AA51" s="17">
        <f>IF(OR(AA49="",Z49=""),"",IF(Z49&lt;=0,"",IFERROR(AA49/Z49-1,"")))</f>
        <v/>
      </c>
      <c r="AB51" s="17">
        <f>IF(OR(AB49="",AA49=""),"",IF(AA49&lt;=0,"",IFERROR(AB49/AA49-1,"")))</f>
        <v/>
      </c>
      <c r="AC51" s="17">
        <f>IF(OR(AC49="",AB49=""),"",IF(AB49&lt;=0,"",IFERROR(AC49/AB49-1,"")))</f>
        <v/>
      </c>
    </row>
    <row r="52">
      <c r="A52" s="18" t="inlineStr">
        <is>
          <t>목표주가 산출</t>
        </is>
      </c>
      <c r="B52" s="18" t="n"/>
      <c r="C52" s="19" t="n"/>
      <c r="D52" s="18" t="n"/>
      <c r="E52" s="18" t="n"/>
      <c r="F52" s="18" t="n"/>
      <c r="G52" s="18" t="n"/>
      <c r="H52" s="18" t="n"/>
      <c r="I52" s="18" t="n"/>
      <c r="J52" s="18" t="n"/>
      <c r="K52" s="18" t="n"/>
      <c r="L52" s="18" t="n"/>
      <c r="M52" s="18" t="n"/>
      <c r="N52" s="18" t="n"/>
      <c r="O52" s="19" t="n"/>
      <c r="P52" s="18" t="n"/>
      <c r="Q52" s="18" t="n"/>
      <c r="R52" s="18" t="n"/>
      <c r="S52" s="18" t="n"/>
      <c r="T52" s="18" t="n"/>
      <c r="U52" s="18" t="n"/>
      <c r="V52" s="18" t="n"/>
      <c r="W52" s="18" t="n"/>
      <c r="X52" s="18" t="n"/>
      <c r="Y52" s="19" t="n"/>
      <c r="Z52" s="18" t="n"/>
      <c r="AA52" s="18" t="n"/>
      <c r="AB52" s="18" t="n"/>
      <c r="AC52" s="18" t="n"/>
    </row>
    <row r="53">
      <c r="A53" s="20" t="inlineStr">
        <is>
          <t>현재 주가 ()</t>
        </is>
      </c>
      <c r="B53" s="29" t="n"/>
      <c r="C53" s="30" t="n"/>
      <c r="D53" s="31" t="n"/>
      <c r="E53" s="31" t="n"/>
      <c r="F53" s="31" t="n"/>
      <c r="G53" s="31" t="n"/>
      <c r="H53" s="31" t="n"/>
      <c r="I53" s="31" t="n"/>
      <c r="J53" s="31" t="n"/>
      <c r="K53" s="31" t="n"/>
      <c r="L53" s="31" t="n"/>
      <c r="M53" s="31" t="n"/>
      <c r="N53" s="31" t="n"/>
      <c r="O53" s="30" t="n"/>
      <c r="P53" s="31" t="n"/>
      <c r="Q53" s="31" t="n"/>
      <c r="R53" s="31" t="n"/>
      <c r="S53" s="31" t="n"/>
      <c r="T53" s="31" t="n"/>
      <c r="U53" s="31" t="n"/>
      <c r="V53" s="31" t="n"/>
      <c r="W53" s="31" t="n"/>
      <c r="X53" s="31" t="n"/>
      <c r="Y53" s="30" t="n"/>
      <c r="Z53" s="31" t="n"/>
      <c r="AA53" s="31" t="n"/>
      <c r="AB53" s="31" t="n"/>
      <c r="AC53" s="31" t="n"/>
    </row>
    <row r="54">
      <c r="A54" s="20" t="inlineStr">
        <is>
          <t>발행주식수 (보통주)</t>
        </is>
      </c>
      <c r="B54" s="29" t="n"/>
      <c r="C54" s="30" t="n"/>
      <c r="D54" s="31" t="n"/>
      <c r="E54" s="31" t="n"/>
      <c r="F54" s="31" t="n"/>
      <c r="G54" s="31" t="n"/>
      <c r="H54" s="31" t="n"/>
      <c r="I54" s="31" t="n"/>
      <c r="J54" s="31" t="n"/>
      <c r="K54" s="31" t="n"/>
      <c r="L54" s="31" t="n"/>
      <c r="M54" s="31" t="n"/>
      <c r="N54" s="31" t="n"/>
      <c r="O54" s="30" t="n"/>
      <c r="P54" s="31" t="n"/>
      <c r="Q54" s="31" t="n"/>
      <c r="R54" s="31" t="n"/>
      <c r="S54" s="31" t="n"/>
      <c r="T54" s="31" t="n"/>
      <c r="U54" s="31" t="n"/>
      <c r="V54" s="31" t="n"/>
      <c r="W54" s="31" t="n"/>
      <c r="X54" s="31" t="n"/>
      <c r="Y54" s="30" t="n"/>
      <c r="Z54" s="31" t="n"/>
      <c r="AA54" s="31" t="n"/>
      <c r="AB54" s="31" t="n"/>
      <c r="AC54" s="31" t="n"/>
    </row>
    <row r="55">
      <c r="A55" s="20" t="inlineStr">
        <is>
          <t>시가총액 (백만엔)</t>
        </is>
      </c>
      <c r="B55" s="12">
        <f>IF(OR(B53="",B54=""),"",B53*B54/1000000.0)</f>
        <v/>
      </c>
      <c r="C55" s="21" t="n"/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1" t="n"/>
      <c r="P55" s="22" t="n"/>
      <c r="Q55" s="22" t="n"/>
      <c r="R55" s="22" t="n"/>
      <c r="S55" s="22" t="n"/>
      <c r="T55" s="22" t="n"/>
      <c r="U55" s="22" t="n"/>
      <c r="V55" s="22" t="n"/>
      <c r="W55" s="22" t="n"/>
      <c r="X55" s="22" t="n"/>
      <c r="Y55" s="21" t="n"/>
      <c r="Z55" s="22" t="n"/>
      <c r="AA55" s="22" t="n"/>
      <c r="AB55" s="22" t="n"/>
      <c r="AC55" s="22" t="n"/>
    </row>
    <row r="56">
      <c r="A56" s="15" t="inlineStr">
        <is>
          <t>OPM</t>
        </is>
      </c>
      <c r="B56" s="10" t="n"/>
      <c r="C56" s="16" t="n"/>
      <c r="D56" s="17" t="n"/>
      <c r="E56" s="17" t="n"/>
      <c r="F56" s="17" t="n"/>
      <c r="G56" s="17" t="n"/>
      <c r="H56" s="17" t="n"/>
      <c r="I56" s="17" t="n"/>
      <c r="J56" s="17" t="n"/>
      <c r="K56" s="17" t="n"/>
      <c r="L56" s="17" t="n"/>
      <c r="M56" s="17" t="n"/>
      <c r="N56" s="17" t="n"/>
      <c r="O56" s="16">
        <f>IF(O20="","",O20)</f>
        <v/>
      </c>
      <c r="P56" s="17">
        <f>IF(P20="","",P20)</f>
        <v/>
      </c>
      <c r="Q56" s="17">
        <f>IF(Q20="","",Q20)</f>
        <v/>
      </c>
      <c r="R56" s="17">
        <f>IF(R20="","",R20)</f>
        <v/>
      </c>
      <c r="S56" s="17">
        <f>IF(S20="","",S20)</f>
        <v/>
      </c>
      <c r="T56" s="17">
        <f>IF(T20="","",T20)</f>
        <v/>
      </c>
      <c r="U56" s="17">
        <f>IF(U20="","",U20)</f>
        <v/>
      </c>
      <c r="V56" s="17">
        <f>IF(V20="","",V20)</f>
        <v/>
      </c>
      <c r="W56" s="17">
        <f>IF(W20="","",W20)</f>
        <v/>
      </c>
      <c r="X56" s="17">
        <f>IF(X20="","",X20)</f>
        <v/>
      </c>
      <c r="Y56" s="16">
        <f>IF(Y20="","",Y20)</f>
        <v/>
      </c>
      <c r="Z56" s="17">
        <f>IF(Z20="","",Z20)</f>
        <v/>
      </c>
      <c r="AA56" s="17">
        <f>IF(AA20="","",AA20)</f>
        <v/>
      </c>
      <c r="AB56" s="17">
        <f>IF(AB20="","",AB20)</f>
        <v/>
      </c>
      <c r="AC56" s="17">
        <f>IF(AC20="","",AC20)</f>
        <v/>
      </c>
    </row>
    <row r="57">
      <c r="A57" s="15" t="inlineStr">
        <is>
          <t>지배주주 순이익 증가율</t>
        </is>
      </c>
      <c r="B57" s="10" t="n"/>
      <c r="C57" s="16" t="n"/>
      <c r="D57" s="17" t="n"/>
      <c r="E57" s="17" t="n"/>
      <c r="F57" s="17" t="n"/>
      <c r="G57" s="17" t="n"/>
      <c r="H57" s="17" t="n"/>
      <c r="I57" s="17" t="n"/>
      <c r="J57" s="17" t="n"/>
      <c r="K57" s="17" t="n"/>
      <c r="L57" s="17" t="n"/>
      <c r="M57" s="17" t="n"/>
      <c r="N57" s="17" t="n"/>
      <c r="O57" s="16" t="n"/>
      <c r="P57" s="17">
        <f>IF(OR(P49="",O49=""),"",IFERROR(P49/O49-1,""))</f>
        <v/>
      </c>
      <c r="Q57" s="17">
        <f>IF(OR(Q49="",P49=""),"",IFERROR(Q49/P49-1,""))</f>
        <v/>
      </c>
      <c r="R57" s="17">
        <f>IF(OR(R49="",Q49=""),"",IFERROR(R49/Q49-1,""))</f>
        <v/>
      </c>
      <c r="S57" s="17">
        <f>IF(OR(S49="",R49=""),"",IFERROR(S49/R49-1,""))</f>
        <v/>
      </c>
      <c r="T57" s="17">
        <f>IF(OR(T49="",S49=""),"",IFERROR(T49/S49-1,""))</f>
        <v/>
      </c>
      <c r="U57" s="17">
        <f>IF(OR(U49="",T49=""),"",IFERROR(U49/T49-1,""))</f>
        <v/>
      </c>
      <c r="V57" s="17">
        <f>IF(OR(V49="",U49=""),"",IFERROR(V49/U49-1,""))</f>
        <v/>
      </c>
      <c r="W57" s="17">
        <f>IF(OR(W49="",V49=""),"",IFERROR(W49/V49-1,""))</f>
        <v/>
      </c>
      <c r="X57" s="17">
        <f>IF(OR(X49="",W49=""),"",IFERROR(X49/W49-1,""))</f>
        <v/>
      </c>
      <c r="Y57" s="16">
        <f>IF(OR(Y49="",X49=""),"",IFERROR(Y49/X49-1,""))</f>
        <v/>
      </c>
      <c r="Z57" s="17">
        <f>IF(OR(Z49="",Y49=""),"",IFERROR(Z49/Y49-1,""))</f>
        <v/>
      </c>
      <c r="AA57" s="17">
        <f>IF(OR(AA49="",Z49=""),"",IFERROR(AA49/Z49-1,""))</f>
        <v/>
      </c>
      <c r="AB57" s="17">
        <f>IF(OR(AB49="",AA49=""),"",IFERROR(AB49/AA49-1,""))</f>
        <v/>
      </c>
      <c r="AC57" s="17">
        <f>IF(OR(AC49="",AB49=""),"",IFERROR(AC49/AB49-1,""))</f>
        <v/>
      </c>
    </row>
    <row r="58">
      <c r="A58" s="20" t="inlineStr">
        <is>
          <t>P/E (현재 주가)</t>
        </is>
      </c>
      <c r="B58" s="10" t="inlineStr">
        <is>
          <t>시총 ÷ 지배순이익</t>
        </is>
      </c>
      <c r="C58" s="32" t="n"/>
      <c r="D58" s="33" t="n"/>
      <c r="E58" s="33" t="n"/>
      <c r="F58" s="33" t="n"/>
      <c r="G58" s="33" t="n"/>
      <c r="H58" s="33" t="n"/>
      <c r="I58" s="33" t="n"/>
      <c r="J58" s="33" t="n"/>
      <c r="K58" s="33" t="n"/>
      <c r="L58" s="33" t="n"/>
      <c r="M58" s="33" t="n"/>
      <c r="N58" s="33" t="n"/>
      <c r="O58" s="32" t="n"/>
      <c r="P58" s="33" t="n"/>
      <c r="Q58" s="33" t="n"/>
      <c r="R58" s="33" t="n"/>
      <c r="S58" s="33" t="n"/>
      <c r="T58" s="33" t="n"/>
      <c r="U58" s="33" t="n"/>
      <c r="V58" s="33" t="n"/>
      <c r="W58" s="33" t="n"/>
      <c r="X58" s="33">
        <f>IF(OR($B$55="",X49=""),"",IFERROR($B$55/X49,""))</f>
        <v/>
      </c>
      <c r="Y58" s="32">
        <f>IF(OR($B$55="",Y49=""),"",IFERROR($B$55/Y49,""))</f>
        <v/>
      </c>
      <c r="Z58" s="33">
        <f>IF(OR($B$55="",Z49=""),"",IFERROR($B$55/Z49,""))</f>
        <v/>
      </c>
      <c r="AA58" s="33">
        <f>IF(OR($B$55="",AA49=""),"",IFERROR($B$55/AA49,""))</f>
        <v/>
      </c>
      <c r="AB58" s="33">
        <f>IF(OR($B$55="",AB49=""),"",IFERROR($B$55/AB49,""))</f>
        <v/>
      </c>
      <c r="AC58" s="33">
        <f>IF(OR($B$55="",AC49=""),"",IFERROR($B$55/AC49,""))</f>
        <v/>
      </c>
    </row>
    <row r="59">
      <c r="A59" s="20" t="inlineStr">
        <is>
          <t>Target P/E</t>
        </is>
      </c>
      <c r="B59" s="10" t="inlineStr">
        <is>
          <t>직접 입력</t>
        </is>
      </c>
      <c r="C59" s="32" t="n"/>
      <c r="D59" s="33" t="n"/>
      <c r="E59" s="33" t="n"/>
      <c r="F59" s="33" t="n"/>
      <c r="G59" s="33" t="n"/>
      <c r="H59" s="33" t="n"/>
      <c r="I59" s="33" t="n"/>
      <c r="J59" s="33" t="n"/>
      <c r="K59" s="33" t="n"/>
      <c r="L59" s="33" t="n"/>
      <c r="M59" s="33" t="n"/>
      <c r="N59" s="33" t="n"/>
      <c r="O59" s="32" t="n"/>
      <c r="P59" s="33" t="n"/>
      <c r="Q59" s="33" t="n"/>
      <c r="R59" s="33" t="n"/>
      <c r="S59" s="33" t="n"/>
      <c r="T59" s="33" t="n"/>
      <c r="U59" s="33" t="n"/>
      <c r="V59" s="33" t="n"/>
      <c r="W59" s="33" t="n"/>
      <c r="X59" s="33" t="n"/>
      <c r="Y59" s="34" t="n"/>
      <c r="Z59" s="35" t="n"/>
      <c r="AA59" s="35" t="n"/>
      <c r="AB59" s="35" t="n"/>
      <c r="AC59" s="35" t="n"/>
    </row>
    <row r="60">
      <c r="A60" s="20" t="inlineStr">
        <is>
          <t>EPS</t>
        </is>
      </c>
      <c r="B60" s="10" t="inlineStr">
        <is>
          <t>지배순이익 ÷ 주식수</t>
        </is>
      </c>
      <c r="C60" s="30" t="n"/>
      <c r="D60" s="31" t="n"/>
      <c r="E60" s="31" t="n"/>
      <c r="F60" s="31" t="n"/>
      <c r="G60" s="31" t="n"/>
      <c r="H60" s="31" t="n"/>
      <c r="I60" s="31" t="n"/>
      <c r="J60" s="31" t="n"/>
      <c r="K60" s="31" t="n"/>
      <c r="L60" s="31" t="n"/>
      <c r="M60" s="31" t="n"/>
      <c r="N60" s="31" t="n"/>
      <c r="O60" s="30">
        <f>IF(OR(O49="",$B$54=""),"",IFERROR(O49*1000000.0/$B$54,""))</f>
        <v/>
      </c>
      <c r="P60" s="31">
        <f>IF(OR(P49="",$B$54=""),"",IFERROR(P49*1000000.0/$B$54,""))</f>
        <v/>
      </c>
      <c r="Q60" s="31">
        <f>IF(OR(Q49="",$B$54=""),"",IFERROR(Q49*1000000.0/$B$54,""))</f>
        <v/>
      </c>
      <c r="R60" s="31">
        <f>IF(OR(R49="",$B$54=""),"",IFERROR(R49*1000000.0/$B$54,""))</f>
        <v/>
      </c>
      <c r="S60" s="31">
        <f>IF(OR(S49="",$B$54=""),"",IFERROR(S49*1000000.0/$B$54,""))</f>
        <v/>
      </c>
      <c r="T60" s="31">
        <f>IF(OR(T49="",$B$54=""),"",IFERROR(T49*1000000.0/$B$54,""))</f>
        <v/>
      </c>
      <c r="U60" s="31">
        <f>IF(OR(U49="",$B$54=""),"",IFERROR(U49*1000000.0/$B$54,""))</f>
        <v/>
      </c>
      <c r="V60" s="31">
        <f>IF(OR(V49="",$B$54=""),"",IFERROR(V49*1000000.0/$B$54,""))</f>
        <v/>
      </c>
      <c r="W60" s="31">
        <f>IF(OR(W49="",$B$54=""),"",IFERROR(W49*1000000.0/$B$54,""))</f>
        <v/>
      </c>
      <c r="X60" s="31">
        <f>IF(OR(X49="",$B$54=""),"",IFERROR(X49*1000000.0/$B$54,""))</f>
        <v/>
      </c>
      <c r="Y60" s="30">
        <f>IF(OR(Y49="",$B$54=""),"",IFERROR(Y49*1000000.0/$B$54,""))</f>
        <v/>
      </c>
      <c r="Z60" s="31">
        <f>IF(OR(Z49="",$B$54=""),"",IFERROR(Z49*1000000.0/$B$54,""))</f>
        <v/>
      </c>
      <c r="AA60" s="31">
        <f>IF(OR(AA49="",$B$54=""),"",IFERROR(AA49*1000000.0/$B$54,""))</f>
        <v/>
      </c>
      <c r="AB60" s="31">
        <f>IF(OR(AB49="",$B$54=""),"",IFERROR(AB49*1000000.0/$B$54,""))</f>
        <v/>
      </c>
      <c r="AC60" s="31">
        <f>IF(OR(AC49="",$B$54=""),"",IFERROR(AC49*1000000.0/$B$54,""))</f>
        <v/>
      </c>
    </row>
    <row r="61">
      <c r="A61" s="9" t="inlineStr">
        <is>
          <t>목표주가</t>
        </is>
      </c>
      <c r="B61" s="10" t="n"/>
      <c r="C61" s="36" t="n"/>
      <c r="D61" s="29" t="n"/>
      <c r="E61" s="29" t="n"/>
      <c r="F61" s="29" t="n"/>
      <c r="G61" s="29" t="n"/>
      <c r="H61" s="29" t="n"/>
      <c r="I61" s="29" t="n"/>
      <c r="J61" s="29" t="n"/>
      <c r="K61" s="29" t="n"/>
      <c r="L61" s="29" t="n"/>
      <c r="M61" s="29" t="n"/>
      <c r="N61" s="29" t="n"/>
      <c r="O61" s="36" t="n"/>
      <c r="P61" s="29" t="n"/>
      <c r="Q61" s="29" t="n"/>
      <c r="R61" s="29" t="n"/>
      <c r="S61" s="29" t="n"/>
      <c r="T61" s="29" t="n"/>
      <c r="U61" s="29" t="n"/>
      <c r="V61" s="29" t="n"/>
      <c r="W61" s="29" t="n"/>
      <c r="X61" s="29" t="n"/>
      <c r="Y61" s="36">
        <f>IF(OR(Y60="",Y59=""),"",IFERROR(Y60*Y59,""))</f>
        <v/>
      </c>
      <c r="Z61" s="29">
        <f>IF(OR(Z60="",Z59=""),"",IFERROR(Z60*Z59,""))</f>
        <v/>
      </c>
      <c r="AA61" s="29">
        <f>IF(OR(AA60="",AA59=""),"",IFERROR(AA60*AA59,""))</f>
        <v/>
      </c>
      <c r="AB61" s="29">
        <f>IF(OR(AB60="",AB59=""),"",IFERROR(AB60*AB59,""))</f>
        <v/>
      </c>
      <c r="AC61" s="29">
        <f>IF(OR(AC60="",AC59=""),"",IFERROR(AC60*AC59,""))</f>
        <v/>
      </c>
    </row>
    <row r="62">
      <c r="A62" s="20" t="inlineStr">
        <is>
          <t>상승여력</t>
        </is>
      </c>
      <c r="B62" s="10" t="n"/>
      <c r="C62" s="37" t="n"/>
      <c r="D62" s="38" t="n"/>
      <c r="E62" s="38" t="n"/>
      <c r="F62" s="38" t="n"/>
      <c r="G62" s="38" t="n"/>
      <c r="H62" s="38" t="n"/>
      <c r="I62" s="38" t="n"/>
      <c r="J62" s="38" t="n"/>
      <c r="K62" s="38" t="n"/>
      <c r="L62" s="38" t="n"/>
      <c r="M62" s="38" t="n"/>
      <c r="N62" s="38" t="n"/>
      <c r="O62" s="37" t="n"/>
      <c r="P62" s="38" t="n"/>
      <c r="Q62" s="38" t="n"/>
      <c r="R62" s="38" t="n"/>
      <c r="S62" s="38" t="n"/>
      <c r="T62" s="38" t="n"/>
      <c r="U62" s="38" t="n"/>
      <c r="V62" s="38" t="n"/>
      <c r="W62" s="38" t="n"/>
      <c r="X62" s="38" t="n"/>
      <c r="Y62" s="39">
        <f>IF(OR(Y61="",$B$53=""),"",IFERROR(Y61/$B$53-1,""))</f>
        <v/>
      </c>
      <c r="Z62" s="40">
        <f>IF(OR(Z61="",$B$53=""),"",IFERROR(Z61/$B$53-1,""))</f>
        <v/>
      </c>
      <c r="AA62" s="40">
        <f>IF(OR(AA61="",$B$53=""),"",IFERROR(AA61/$B$53-1,""))</f>
        <v/>
      </c>
      <c r="AB62" s="40">
        <f>IF(OR(AB61="",$B$53=""),"",IFERROR(AB61/$B$53-1,""))</f>
        <v/>
      </c>
      <c r="AC62" s="40">
        <f>IF(OR(AC61="",$B$53=""),"",IFERROR(AC61/$B$53-1,""))</f>
        <v/>
      </c>
    </row>
    <row r="63">
      <c r="A63" s="18" t="inlineStr">
        <is>
          <t>자산가치 산출</t>
        </is>
      </c>
      <c r="B63" s="18" t="inlineStr">
        <is>
          <t>최신 분기 BS</t>
        </is>
      </c>
      <c r="C63" s="19" t="n"/>
      <c r="D63" s="18" t="n"/>
      <c r="E63" s="18" t="n"/>
      <c r="F63" s="18" t="n"/>
      <c r="G63" s="18" t="n"/>
      <c r="H63" s="18" t="n"/>
      <c r="I63" s="18" t="n"/>
      <c r="J63" s="18" t="n"/>
      <c r="K63" s="18" t="n"/>
      <c r="L63" s="18" t="n"/>
      <c r="M63" s="18" t="n"/>
      <c r="N63" s="18" t="n"/>
      <c r="O63" s="19" t="n"/>
      <c r="P63" s="18" t="n"/>
      <c r="Q63" s="18" t="n"/>
      <c r="R63" s="18" t="n"/>
      <c r="S63" s="18" t="n"/>
      <c r="T63" s="18" t="n"/>
      <c r="U63" s="18" t="n"/>
      <c r="V63" s="18" t="n"/>
      <c r="W63" s="18" t="n"/>
      <c r="X63" s="18" t="n"/>
      <c r="Y63" s="19" t="n"/>
      <c r="Z63" s="18" t="n"/>
      <c r="AA63" s="18" t="n"/>
      <c r="AB63" s="18" t="n"/>
      <c r="AC63" s="18" t="n"/>
    </row>
    <row r="64">
      <c r="A64" s="20" t="inlineStr">
        <is>
          <t>현금및현금성자산</t>
        </is>
      </c>
      <c r="B64" s="10" t="n"/>
      <c r="C64" s="21" t="n"/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1" t="n"/>
      <c r="P64" s="22" t="n"/>
      <c r="Q64" s="22" t="n"/>
      <c r="R64" s="22" t="n"/>
      <c r="S64" s="22" t="n"/>
      <c r="T64" s="22" t="n"/>
      <c r="U64" s="22" t="n"/>
      <c r="V64" s="22" t="n"/>
      <c r="W64" s="22" t="n"/>
      <c r="X64" s="22">
        <f>'재무상태표'!G6</f>
        <v/>
      </c>
      <c r="Y64" s="21">
        <f>'재무상태표'!G6</f>
        <v/>
      </c>
      <c r="Z64" s="22">
        <f>'재무상태표'!G6</f>
        <v/>
      </c>
      <c r="AA64" s="22">
        <f>'재무상태표'!G6</f>
        <v/>
      </c>
      <c r="AB64" s="22">
        <f>'재무상태표'!G6</f>
        <v/>
      </c>
      <c r="AC64" s="22">
        <f>'재무상태표'!G6</f>
        <v/>
      </c>
    </row>
    <row r="65">
      <c r="A65" s="20" t="inlineStr">
        <is>
          <t>단기금융상품</t>
        </is>
      </c>
      <c r="B65" s="10" t="n"/>
      <c r="C65" s="21" t="n"/>
      <c r="D65" s="22" t="n"/>
      <c r="E65" s="22" t="n"/>
      <c r="F65" s="22" t="n"/>
      <c r="G65" s="22" t="n"/>
      <c r="H65" s="22" t="n"/>
      <c r="I65" s="22" t="n"/>
      <c r="J65" s="22" t="n"/>
      <c r="K65" s="22" t="n"/>
      <c r="L65" s="22" t="n"/>
      <c r="M65" s="22" t="n"/>
      <c r="N65" s="22" t="n"/>
      <c r="O65" s="21" t="n"/>
      <c r="P65" s="22" t="n"/>
      <c r="Q65" s="22" t="n"/>
      <c r="R65" s="22" t="n"/>
      <c r="S65" s="22" t="n"/>
      <c r="T65" s="22" t="n"/>
      <c r="U65" s="22" t="n"/>
      <c r="V65" s="22" t="n"/>
      <c r="W65" s="22" t="n"/>
      <c r="X65" s="22">
        <f>'재무상태표'!G7</f>
        <v/>
      </c>
      <c r="Y65" s="21">
        <f>'재무상태표'!G7</f>
        <v/>
      </c>
      <c r="Z65" s="22">
        <f>'재무상태표'!G7</f>
        <v/>
      </c>
      <c r="AA65" s="22">
        <f>'재무상태표'!G7</f>
        <v/>
      </c>
      <c r="AB65" s="22">
        <f>'재무상태표'!G7</f>
        <v/>
      </c>
      <c r="AC65" s="22">
        <f>'재무상태표'!G7</f>
        <v/>
      </c>
    </row>
    <row r="66">
      <c r="A66" s="20" t="inlineStr">
        <is>
          <t>투자부동산</t>
        </is>
      </c>
      <c r="B66" s="10" t="n"/>
      <c r="C66" s="21" t="n"/>
      <c r="D66" s="22" t="n"/>
      <c r="E66" s="22" t="n"/>
      <c r="F66" s="22" t="n"/>
      <c r="G66" s="22" t="n"/>
      <c r="H66" s="22" t="n"/>
      <c r="I66" s="22" t="n"/>
      <c r="J66" s="22" t="n"/>
      <c r="K66" s="22" t="n"/>
      <c r="L66" s="22" t="n"/>
      <c r="M66" s="22" t="n"/>
      <c r="N66" s="22" t="n"/>
      <c r="O66" s="21" t="n"/>
      <c r="P66" s="22" t="n"/>
      <c r="Q66" s="22" t="n"/>
      <c r="R66" s="22" t="n"/>
      <c r="S66" s="22" t="n"/>
      <c r="T66" s="22" t="n"/>
      <c r="U66" s="22" t="n"/>
      <c r="V66" s="22" t="n"/>
      <c r="W66" s="22" t="n"/>
      <c r="X66" s="22">
        <f>'재무상태표'!G14</f>
        <v/>
      </c>
      <c r="Y66" s="21">
        <f>'재무상태표'!G14</f>
        <v/>
      </c>
      <c r="Z66" s="22">
        <f>'재무상태표'!G14</f>
        <v/>
      </c>
      <c r="AA66" s="22">
        <f>'재무상태표'!G14</f>
        <v/>
      </c>
      <c r="AB66" s="22">
        <f>'재무상태표'!G14</f>
        <v/>
      </c>
      <c r="AC66" s="22">
        <f>'재무상태표'!G14</f>
        <v/>
      </c>
    </row>
    <row r="67">
      <c r="A67" s="20" t="inlineStr">
        <is>
          <t>지배자본</t>
        </is>
      </c>
      <c r="B67" s="10" t="n"/>
      <c r="C67" s="21" t="n"/>
      <c r="D67" s="22" t="n"/>
      <c r="E67" s="22" t="n"/>
      <c r="F67" s="22" t="n"/>
      <c r="G67" s="22" t="n"/>
      <c r="H67" s="22" t="n"/>
      <c r="I67" s="22" t="n"/>
      <c r="J67" s="22" t="n"/>
      <c r="K67" s="22" t="n"/>
      <c r="L67" s="22" t="n"/>
      <c r="M67" s="22" t="n"/>
      <c r="N67" s="22" t="n"/>
      <c r="O67" s="21" t="n"/>
      <c r="P67" s="22" t="n"/>
      <c r="Q67" s="22" t="n"/>
      <c r="R67" s="22" t="n"/>
      <c r="S67" s="22" t="n"/>
      <c r="T67" s="22" t="n"/>
      <c r="U67" s="22" t="n"/>
      <c r="V67" s="22" t="n"/>
      <c r="W67" s="22" t="n"/>
      <c r="X67" s="22">
        <f>'재무상태표'!G31</f>
        <v/>
      </c>
      <c r="Y67" s="21">
        <f>'재무상태표'!G31</f>
        <v/>
      </c>
      <c r="Z67" s="22">
        <f>'재무상태표'!G31</f>
        <v/>
      </c>
      <c r="AA67" s="22">
        <f>'재무상태표'!G31</f>
        <v/>
      </c>
      <c r="AB67" s="22">
        <f>'재무상태표'!G31</f>
        <v/>
      </c>
      <c r="AC67" s="22">
        <f>'재무상태표'!G31</f>
        <v/>
      </c>
    </row>
    <row r="68">
      <c r="A68" s="20" t="inlineStr">
        <is>
          <t>부채</t>
        </is>
      </c>
      <c r="B68" s="10" t="n"/>
      <c r="C68" s="21" t="n"/>
      <c r="D68" s="22" t="n"/>
      <c r="E68" s="22" t="n"/>
      <c r="F68" s="22" t="n"/>
      <c r="G68" s="22" t="n"/>
      <c r="H68" s="22" t="n"/>
      <c r="I68" s="22" t="n"/>
      <c r="J68" s="22" t="n"/>
      <c r="K68" s="22" t="n"/>
      <c r="L68" s="22" t="n"/>
      <c r="M68" s="22" t="n"/>
      <c r="N68" s="22" t="n"/>
      <c r="O68" s="21" t="n"/>
      <c r="P68" s="22" t="n"/>
      <c r="Q68" s="22" t="n"/>
      <c r="R68" s="22" t="n"/>
      <c r="S68" s="22" t="n"/>
      <c r="T68" s="22" t="n"/>
      <c r="U68" s="22" t="n"/>
      <c r="V68" s="22" t="n"/>
      <c r="W68" s="22" t="n"/>
      <c r="X68" s="22">
        <f>'재무상태표'!G27</f>
        <v/>
      </c>
      <c r="Y68" s="21">
        <f>'재무상태표'!G27</f>
        <v/>
      </c>
      <c r="Z68" s="22">
        <f>'재무상태표'!G27</f>
        <v/>
      </c>
      <c r="AA68" s="22">
        <f>'재무상태표'!G27</f>
        <v/>
      </c>
      <c r="AB68" s="22">
        <f>'재무상태표'!G27</f>
        <v/>
      </c>
      <c r="AC68" s="22">
        <f>'재무상태표'!G27</f>
        <v/>
      </c>
    </row>
    <row r="69">
      <c r="A69" s="15" t="inlineStr">
        <is>
          <t>부채비율</t>
        </is>
      </c>
      <c r="B69" s="10" t="n"/>
      <c r="C69" s="16" t="n"/>
      <c r="D69" s="17" t="n"/>
      <c r="E69" s="17" t="n"/>
      <c r="F69" s="17" t="n"/>
      <c r="G69" s="17" t="n"/>
      <c r="H69" s="17" t="n"/>
      <c r="I69" s="17" t="n"/>
      <c r="J69" s="17" t="n"/>
      <c r="K69" s="17" t="n"/>
      <c r="L69" s="17" t="n"/>
      <c r="M69" s="17" t="n"/>
      <c r="N69" s="17" t="n"/>
      <c r="O69" s="16" t="n"/>
      <c r="P69" s="17" t="n"/>
      <c r="Q69" s="17" t="n"/>
      <c r="R69" s="17" t="n"/>
      <c r="S69" s="17" t="n"/>
      <c r="T69" s="17" t="n"/>
      <c r="U69" s="17" t="n"/>
      <c r="V69" s="17" t="n"/>
      <c r="W69" s="17" t="n"/>
      <c r="X69" s="17">
        <f>IF(OR(X68="",X67=""),"",IFERROR(X68/X67,""))</f>
        <v/>
      </c>
      <c r="Y69" s="16">
        <f>IF(OR(Y68="",Y67=""),"",IFERROR(Y68/Y67,""))</f>
        <v/>
      </c>
      <c r="Z69" s="17">
        <f>IF(OR(Z68="",Z67=""),"",IFERROR(Z68/Z67,""))</f>
        <v/>
      </c>
      <c r="AA69" s="17">
        <f>IF(OR(AA68="",AA67=""),"",IFERROR(AA68/AA67,""))</f>
        <v/>
      </c>
      <c r="AB69" s="17">
        <f>IF(OR(AB68="",AB67=""),"",IFERROR(AB68/AB67,""))</f>
        <v/>
      </c>
      <c r="AC69" s="17">
        <f>IF(OR(AC68="",AC67=""),"",IFERROR(AC68/AC67,""))</f>
        <v/>
      </c>
    </row>
    <row r="70">
      <c r="A70" s="9" t="inlineStr">
        <is>
          <t>자산가치</t>
        </is>
      </c>
      <c r="B70" s="10" t="inlineStr">
        <is>
          <t>현금+단기금융+투자부동산</t>
        </is>
      </c>
      <c r="C70" s="11" t="n"/>
      <c r="D70" s="12" t="n"/>
      <c r="E70" s="12" t="n"/>
      <c r="F70" s="12" t="n"/>
      <c r="G70" s="12" t="n"/>
      <c r="H70" s="12" t="n"/>
      <c r="I70" s="12" t="n"/>
      <c r="J70" s="12" t="n"/>
      <c r="K70" s="12" t="n"/>
      <c r="L70" s="12" t="n"/>
      <c r="M70" s="12" t="n"/>
      <c r="N70" s="12" t="n"/>
      <c r="O70" s="11" t="n"/>
      <c r="P70" s="12" t="n"/>
      <c r="Q70" s="12" t="n"/>
      <c r="R70" s="12" t="n"/>
      <c r="S70" s="12" t="n"/>
      <c r="T70" s="12" t="n"/>
      <c r="U70" s="12" t="n"/>
      <c r="V70" s="12" t="n"/>
      <c r="W70" s="12" t="n"/>
      <c r="X70" s="12">
        <f>SUM(X64,X65,X66)</f>
        <v/>
      </c>
      <c r="Y70" s="11">
        <f>SUM(Y64,Y65,Y66)</f>
        <v/>
      </c>
      <c r="Z70" s="12">
        <f>SUM(Z64,Z65,Z66)</f>
        <v/>
      </c>
      <c r="AA70" s="12">
        <f>SUM(AA64,AA65,AA66)</f>
        <v/>
      </c>
      <c r="AB70" s="12">
        <f>SUM(AB64,AB65,AB66)</f>
        <v/>
      </c>
      <c r="AC70" s="12">
        <f>SUM(AC64,AC65,AC66)</f>
        <v/>
      </c>
    </row>
    <row r="71">
      <c r="A71" s="18" t="inlineStr">
        <is>
          <t>기업가치 산출</t>
        </is>
      </c>
      <c r="B71" s="18" t="n"/>
      <c r="C71" s="19" t="n"/>
      <c r="D71" s="18" t="n"/>
      <c r="E71" s="18" t="n"/>
      <c r="F71" s="18" t="n"/>
      <c r="G71" s="18" t="n"/>
      <c r="H71" s="18" t="n"/>
      <c r="I71" s="18" t="n"/>
      <c r="J71" s="18" t="n"/>
      <c r="K71" s="18" t="n"/>
      <c r="L71" s="18" t="n"/>
      <c r="M71" s="18" t="n"/>
      <c r="N71" s="18" t="n"/>
      <c r="O71" s="19" t="n"/>
      <c r="P71" s="18" t="n"/>
      <c r="Q71" s="18" t="n"/>
      <c r="R71" s="18" t="n"/>
      <c r="S71" s="18" t="n"/>
      <c r="T71" s="18" t="n"/>
      <c r="U71" s="18" t="n"/>
      <c r="V71" s="18" t="n"/>
      <c r="W71" s="18" t="n"/>
      <c r="X71" s="18" t="n"/>
      <c r="Y71" s="19" t="n"/>
      <c r="Z71" s="18" t="n"/>
      <c r="AA71" s="18" t="n"/>
      <c r="AB71" s="18" t="n"/>
      <c r="AC71" s="18" t="n"/>
    </row>
    <row r="72">
      <c r="A72" s="20" t="inlineStr">
        <is>
          <t>목표 시가총액 (P/E)</t>
        </is>
      </c>
      <c r="B72" s="10" t="inlineStr">
        <is>
          <t>지배순이익 × Target P/E</t>
        </is>
      </c>
      <c r="C72" s="21" t="n"/>
      <c r="D72" s="22" t="n"/>
      <c r="E72" s="22" t="n"/>
      <c r="F72" s="22" t="n"/>
      <c r="G72" s="22" t="n"/>
      <c r="H72" s="22" t="n"/>
      <c r="I72" s="22" t="n"/>
      <c r="J72" s="22" t="n"/>
      <c r="K72" s="22" t="n"/>
      <c r="L72" s="22" t="n"/>
      <c r="M72" s="22" t="n"/>
      <c r="N72" s="22" t="n"/>
      <c r="O72" s="21" t="n"/>
      <c r="P72" s="22" t="n"/>
      <c r="Q72" s="22" t="n"/>
      <c r="R72" s="22" t="n"/>
      <c r="S72" s="22" t="n"/>
      <c r="T72" s="22" t="n"/>
      <c r="U72" s="22" t="n"/>
      <c r="V72" s="22" t="n"/>
      <c r="W72" s="22" t="n"/>
      <c r="X72" s="22" t="n"/>
      <c r="Y72" s="21">
        <f>IF(OR(Y49="",Y59=""),"",IFERROR(Y49*Y59,""))</f>
        <v/>
      </c>
      <c r="Z72" s="22">
        <f>IF(OR(Z49="",Z59=""),"",IFERROR(Z49*Z59,""))</f>
        <v/>
      </c>
      <c r="AA72" s="22">
        <f>IF(OR(AA49="",AA59=""),"",IFERROR(AA49*AA59,""))</f>
        <v/>
      </c>
      <c r="AB72" s="22">
        <f>IF(OR(AB49="",AB59=""),"",IFERROR(AB49*AB59,""))</f>
        <v/>
      </c>
      <c r="AC72" s="22">
        <f>IF(OR(AC49="",AC59=""),"",IFERROR(AC49*AC59,""))</f>
        <v/>
      </c>
    </row>
    <row r="73">
      <c r="A73" s="9" t="inlineStr">
        <is>
          <t>기업가치</t>
        </is>
      </c>
      <c r="B73" s="10" t="inlineStr">
        <is>
          <t>목표시총 + 자산가치</t>
        </is>
      </c>
      <c r="C73" s="11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  <c r="O73" s="11" t="n"/>
      <c r="P73" s="12" t="n"/>
      <c r="Q73" s="12" t="n"/>
      <c r="R73" s="12" t="n"/>
      <c r="S73" s="12" t="n"/>
      <c r="T73" s="12" t="n"/>
      <c r="U73" s="12" t="n"/>
      <c r="V73" s="12" t="n"/>
      <c r="W73" s="12" t="n"/>
      <c r="X73" s="12" t="n"/>
      <c r="Y73" s="11">
        <f>IF(OR(Y72=""),"",IFERROR(Y72+Y70,""))</f>
        <v/>
      </c>
      <c r="Z73" s="12">
        <f>IF(OR(Z72=""),"",IFERROR(Z72+Z70,""))</f>
        <v/>
      </c>
      <c r="AA73" s="12">
        <f>IF(OR(AA72=""),"",IFERROR(AA72+AA70,""))</f>
        <v/>
      </c>
      <c r="AB73" s="12">
        <f>IF(OR(AB72=""),"",IFERROR(AB72+AB70,""))</f>
        <v/>
      </c>
      <c r="AC73" s="12">
        <f>IF(OR(AC72=""),"",IFERROR(AC72+AC70,""))</f>
        <v/>
      </c>
    </row>
    <row r="74">
      <c r="A74" s="20" t="inlineStr">
        <is>
          <t>현재 시가총액</t>
        </is>
      </c>
      <c r="B74" s="10" t="n"/>
      <c r="C74" s="21" t="n"/>
      <c r="D74" s="22" t="n"/>
      <c r="E74" s="22" t="n"/>
      <c r="F74" s="22" t="n"/>
      <c r="G74" s="22" t="n"/>
      <c r="H74" s="22" t="n"/>
      <c r="I74" s="22" t="n"/>
      <c r="J74" s="22" t="n"/>
      <c r="K74" s="22" t="n"/>
      <c r="L74" s="22" t="n"/>
      <c r="M74" s="22" t="n"/>
      <c r="N74" s="22" t="n"/>
      <c r="O74" s="21" t="n"/>
      <c r="P74" s="22" t="n"/>
      <c r="Q74" s="22" t="n"/>
      <c r="R74" s="22" t="n"/>
      <c r="S74" s="22" t="n"/>
      <c r="T74" s="22" t="n"/>
      <c r="U74" s="22" t="n"/>
      <c r="V74" s="22" t="n"/>
      <c r="W74" s="22" t="n"/>
      <c r="X74" s="22" t="n"/>
      <c r="Y74" s="21">
        <f>$B$55</f>
        <v/>
      </c>
      <c r="Z74" s="22">
        <f>$B$55</f>
        <v/>
      </c>
      <c r="AA74" s="22">
        <f>$B$55</f>
        <v/>
      </c>
      <c r="AB74" s="22">
        <f>$B$55</f>
        <v/>
      </c>
      <c r="AC74" s="22">
        <f>$B$55</f>
        <v/>
      </c>
    </row>
    <row r="75">
      <c r="A75" s="20" t="inlineStr">
        <is>
          <t>상승여력</t>
        </is>
      </c>
      <c r="B75" s="10" t="n"/>
      <c r="C75" s="37" t="n"/>
      <c r="D75" s="38" t="n"/>
      <c r="E75" s="38" t="n"/>
      <c r="F75" s="38" t="n"/>
      <c r="G75" s="38" t="n"/>
      <c r="H75" s="38" t="n"/>
      <c r="I75" s="38" t="n"/>
      <c r="J75" s="38" t="n"/>
      <c r="K75" s="38" t="n"/>
      <c r="L75" s="38" t="n"/>
      <c r="M75" s="38" t="n"/>
      <c r="N75" s="38" t="n"/>
      <c r="O75" s="37" t="n"/>
      <c r="P75" s="38" t="n"/>
      <c r="Q75" s="38" t="n"/>
      <c r="R75" s="38" t="n"/>
      <c r="S75" s="38" t="n"/>
      <c r="T75" s="38" t="n"/>
      <c r="U75" s="38" t="n"/>
      <c r="V75" s="38" t="n"/>
      <c r="W75" s="38" t="n"/>
      <c r="X75" s="38" t="n"/>
      <c r="Y75" s="39">
        <f>IF(OR(Y73="",Y74=""),"",IFERROR(Y73/Y74-1,""))</f>
        <v/>
      </c>
      <c r="Z75" s="40">
        <f>IF(OR(Z73="",Z74=""),"",IFERROR(Z73/Z74-1,""))</f>
        <v/>
      </c>
      <c r="AA75" s="40">
        <f>IF(OR(AA73="",AA74=""),"",IFERROR(AA73/AA74-1,""))</f>
        <v/>
      </c>
      <c r="AB75" s="40">
        <f>IF(OR(AB73="",AB74=""),"",IFERROR(AB73/AB74-1,""))</f>
        <v/>
      </c>
      <c r="AC75" s="40">
        <f>IF(OR(AC73="",AC74=""),"",IFERROR(AC73/AC74-1,""))</f>
        <v/>
      </c>
    </row>
    <row r="76">
      <c r="C76" s="41" t="n"/>
      <c r="O76" s="41" t="n"/>
      <c r="Y76" s="41" t="n"/>
    </row>
    <row r="77">
      <c r="A77" s="42" t="inlineStr">
        <is>
          <t>출처</t>
        </is>
      </c>
      <c r="C77" s="41" t="n"/>
      <c r="O77" s="41" t="n"/>
      <c r="Y77" s="41" t="n"/>
    </row>
    <row r="78">
      <c r="A78" s="43" t="inlineStr">
        <is>
          <t>결산단신 XBRL(TDnet·JPX 보관소) — 쓴 문서는 '출처' 시트</t>
        </is>
      </c>
      <c r="C78" s="41" t="n"/>
      <c r="O78" s="41" t="n"/>
      <c r="Y78" s="41" t="n"/>
    </row>
    <row r="79">
      <c r="A79" s="43" t="inlineStr">
        <is>
          <t>분기 = 누계에서 앞 분기를 뺀 3개월 값</t>
        </is>
      </c>
      <c r="C79" s="41" t="n"/>
      <c r="O79" s="41" t="n"/>
      <c r="Y79" s="41" t="n"/>
    </row>
    <row r="80">
      <c r="A80" s="43" t="inlineStr">
        <is>
          <t>주가: 야후 파이낸스 일봉</t>
        </is>
      </c>
      <c r="C80" s="41" t="n"/>
      <c r="O80" s="41" t="n"/>
      <c r="Y80" s="41" t="n"/>
    </row>
    <row r="82">
      <c r="A82" s="18" t="inlineStr">
        <is>
          <t>손익계산서 · 전 항목</t>
        </is>
      </c>
      <c r="B82" s="44" t="inlineStr">
        <is>
          <t>분기 = 3개월 단독</t>
        </is>
      </c>
      <c r="C82" s="18" t="n"/>
      <c r="D82" s="18" t="n"/>
      <c r="E82" s="18" t="n"/>
      <c r="F82" s="18" t="n"/>
      <c r="G82" s="18" t="n"/>
      <c r="H82" s="18" t="n"/>
      <c r="I82" s="18" t="n"/>
      <c r="J82" s="18" t="n"/>
      <c r="K82" s="18" t="n"/>
      <c r="L82" s="18" t="n"/>
      <c r="M82" s="18" t="n"/>
      <c r="N82" s="18" t="n"/>
      <c r="O82" s="18" t="n"/>
      <c r="P82" s="18" t="n"/>
      <c r="Q82" s="18" t="n"/>
      <c r="R82" s="18" t="n"/>
      <c r="S82" s="18" t="n"/>
      <c r="T82" s="18" t="n"/>
      <c r="U82" s="18" t="n"/>
      <c r="V82" s="18" t="n"/>
      <c r="W82" s="18" t="n"/>
      <c r="X82" s="18" t="n"/>
      <c r="Y82" s="18" t="n"/>
      <c r="Z82" s="18" t="n"/>
      <c r="AA82" s="18" t="n"/>
      <c r="AB82" s="18" t="n"/>
      <c r="AC82" s="18" t="n"/>
    </row>
    <row r="83">
      <c r="A83" s="5" t="inlineStr">
        <is>
          <t>항목</t>
        </is>
      </c>
      <c r="B83" s="5" t="inlineStr">
        <is>
          <t>참고</t>
        </is>
      </c>
      <c r="C83" s="5" t="inlineStr">
        <is>
          <t>2024.3Q</t>
        </is>
      </c>
      <c r="D83" s="5" t="inlineStr">
        <is>
          <t>2024.4Q</t>
        </is>
      </c>
      <c r="E83" s="5" t="inlineStr">
        <is>
          <t>2025.1Q</t>
        </is>
      </c>
      <c r="F83" s="5" t="inlineStr">
        <is>
          <t>2025.2Q</t>
        </is>
      </c>
      <c r="G83" s="5" t="inlineStr">
        <is>
          <t>2025.3Q</t>
        </is>
      </c>
      <c r="H83" s="5" t="inlineStr">
        <is>
          <t>2025.4Q</t>
        </is>
      </c>
      <c r="I83" s="5" t="inlineStr">
        <is>
          <t>2026.1Q</t>
        </is>
      </c>
      <c r="J83" s="5" t="inlineStr">
        <is>
          <t>2026.2Q</t>
        </is>
      </c>
      <c r="K83" s="5" t="inlineStr">
        <is>
          <t>2026.3Q</t>
        </is>
      </c>
      <c r="L83" s="5" t="inlineStr">
        <is>
          <t>2026.4Q</t>
        </is>
      </c>
      <c r="M83" s="5" t="inlineStr">
        <is>
          <t>2027.1Q</t>
        </is>
      </c>
      <c r="N83" s="5" t="inlineStr">
        <is>
          <t>2027.2Q</t>
        </is>
      </c>
      <c r="O83" s="5" t="inlineStr">
        <is>
          <t>2017</t>
        </is>
      </c>
      <c r="P83" s="5" t="inlineStr">
        <is>
          <t>2018</t>
        </is>
      </c>
      <c r="Q83" s="5" t="inlineStr">
        <is>
          <t>2019</t>
        </is>
      </c>
      <c r="R83" s="5" t="inlineStr">
        <is>
          <t>2020</t>
        </is>
      </c>
      <c r="S83" s="5" t="inlineStr">
        <is>
          <t>2021</t>
        </is>
      </c>
      <c r="T83" s="5" t="inlineStr">
        <is>
          <t>2022</t>
        </is>
      </c>
      <c r="U83" s="5" t="inlineStr">
        <is>
          <t>2023</t>
        </is>
      </c>
      <c r="V83" s="5" t="inlineStr">
        <is>
          <t>2024</t>
        </is>
      </c>
      <c r="W83" s="5" t="inlineStr">
        <is>
          <t>2025</t>
        </is>
      </c>
      <c r="X83" s="5" t="inlineStr">
        <is>
          <t>2026</t>
        </is>
      </c>
      <c r="Y83" s="5" t="inlineStr">
        <is>
          <t>2027(MW)</t>
        </is>
      </c>
      <c r="Z83" s="5" t="inlineStr">
        <is>
          <t>2028(MW)</t>
        </is>
      </c>
      <c r="AA83" s="5" t="inlineStr">
        <is>
          <t>2029(MW)</t>
        </is>
      </c>
      <c r="AB83" s="5" t="inlineStr">
        <is>
          <t>2030(MW)</t>
        </is>
      </c>
      <c r="AC83" s="5" t="inlineStr">
        <is>
          <t>2031(MW)</t>
        </is>
      </c>
    </row>
    <row r="84">
      <c r="A84" s="9" t="inlineStr">
        <is>
          <t>매출액</t>
        </is>
      </c>
      <c r="C84" s="12" t="n">
        <v>2659.569</v>
      </c>
      <c r="D84" s="12" t="n">
        <v>2438.557</v>
      </c>
      <c r="E84" s="12" t="n">
        <v>2522.974</v>
      </c>
      <c r="F84" s="12" t="n">
        <v>2662.898</v>
      </c>
      <c r="G84" s="12" t="n">
        <v>3010.328</v>
      </c>
      <c r="H84" s="12" t="n">
        <v>2482.846</v>
      </c>
      <c r="I84" s="12" t="n">
        <v>2952.988</v>
      </c>
      <c r="J84" s="12" t="n">
        <v>3080.322</v>
      </c>
      <c r="K84" s="12" t="n">
        <v>3501.913</v>
      </c>
      <c r="L84" s="12" t="n">
        <v>2758.681</v>
      </c>
      <c r="M84" s="12" t="n">
        <v>2875.757</v>
      </c>
      <c r="N84" s="12" t="n">
        <v>3535.956</v>
      </c>
      <c r="T84" s="12" t="n">
        <v>1622.366</v>
      </c>
      <c r="U84" s="12" t="n">
        <v>2305.44</v>
      </c>
      <c r="V84" s="12" t="n">
        <v>2438.557</v>
      </c>
      <c r="W84" s="12" t="n">
        <v>2482.846</v>
      </c>
      <c r="X84" s="12" t="n">
        <v>2758.681</v>
      </c>
    </row>
    <row r="85">
      <c r="A85" s="45" t="inlineStr">
        <is>
          <t>YoY</t>
        </is>
      </c>
      <c r="B85" s="3" t="inlineStr">
        <is>
          <t>전년 같은 분기·전년 대비</t>
        </is>
      </c>
      <c r="G85" s="17">
        <f>IF(OR(G84="",C84=""),"",IF(C84&lt;=0,"",IFERROR(G84/C84-1,"")))</f>
        <v/>
      </c>
      <c r="H85" s="17">
        <f>IF(OR(H84="",D84=""),"",IF(D84&lt;=0,"",IFERROR(H84/D84-1,"")))</f>
        <v/>
      </c>
      <c r="I85" s="17">
        <f>IF(OR(I84="",E84=""),"",IF(E84&lt;=0,"",IFERROR(I84/E84-1,"")))</f>
        <v/>
      </c>
      <c r="J85" s="17">
        <f>IF(OR(J84="",F84=""),"",IF(F84&lt;=0,"",IFERROR(J84/F84-1,"")))</f>
        <v/>
      </c>
      <c r="K85" s="17">
        <f>IF(OR(K84="",G84=""),"",IF(G84&lt;=0,"",IFERROR(K84/G84-1,"")))</f>
        <v/>
      </c>
      <c r="L85" s="17">
        <f>IF(OR(L84="",H84=""),"",IF(H84&lt;=0,"",IFERROR(L84/H84-1,"")))</f>
        <v/>
      </c>
      <c r="M85" s="17">
        <f>IF(OR(M84="",I84=""),"",IF(I84&lt;=0,"",IFERROR(M84/I84-1,"")))</f>
        <v/>
      </c>
      <c r="N85" s="17">
        <f>IF(OR(N84="",J84=""),"",IF(J84&lt;=0,"",IFERROR(N84/J84-1,"")))</f>
        <v/>
      </c>
      <c r="T85" s="17">
        <f>IF(OR(T84="",S84=""),"",IF(S84&lt;=0,"",IFERROR(T84/S84-1,"")))</f>
        <v/>
      </c>
      <c r="U85" s="17">
        <f>IF(OR(U84="",T84=""),"",IF(T84&lt;=0,"",IFERROR(U84/T84-1,"")))</f>
        <v/>
      </c>
      <c r="V85" s="17">
        <f>IF(OR(V84="",U84=""),"",IF(U84&lt;=0,"",IFERROR(V84/U84-1,"")))</f>
        <v/>
      </c>
      <c r="W85" s="17">
        <f>IF(OR(W84="",V84=""),"",IF(V84&lt;=0,"",IFERROR(W84/V84-1,"")))</f>
        <v/>
      </c>
      <c r="X85" s="17">
        <f>IF(OR(X84="",W84=""),"",IF(W84&lt;=0,"",IFERROR(X84/W84-1,"")))</f>
        <v/>
      </c>
    </row>
    <row r="86">
      <c r="A86" s="20" t="inlineStr">
        <is>
          <t>매출원가</t>
        </is>
      </c>
      <c r="C86" s="22" t="n">
        <v>1465.264</v>
      </c>
      <c r="D86" s="22" t="n">
        <v>1487.645</v>
      </c>
      <c r="E86" s="22" t="n">
        <v>1470.868</v>
      </c>
      <c r="F86" s="22" t="n">
        <v>1454.717</v>
      </c>
      <c r="G86" s="22" t="n">
        <v>1561.556</v>
      </c>
      <c r="H86" s="22" t="n">
        <v>1566.048</v>
      </c>
      <c r="I86" s="22" t="n">
        <v>1609.038</v>
      </c>
      <c r="J86" s="22" t="n">
        <v>1666.361</v>
      </c>
      <c r="K86" s="22" t="n">
        <v>1667.629</v>
      </c>
      <c r="L86" s="22" t="n">
        <v>1713.81</v>
      </c>
      <c r="M86" s="22" t="n">
        <v>1691.592</v>
      </c>
      <c r="N86" s="22" t="n">
        <v>1747.275</v>
      </c>
      <c r="T86" s="22" t="n">
        <v>1214.068</v>
      </c>
      <c r="U86" s="22" t="n">
        <v>1380.647</v>
      </c>
      <c r="V86" s="22" t="n">
        <v>1487.645</v>
      </c>
      <c r="W86" s="22" t="n">
        <v>1566.048</v>
      </c>
      <c r="X86" s="22" t="n">
        <v>1713.81</v>
      </c>
    </row>
    <row r="87">
      <c r="A87" s="45" t="inlineStr">
        <is>
          <t>YoY</t>
        </is>
      </c>
      <c r="B87" s="3" t="inlineStr">
        <is>
          <t>전년 같은 분기·전년 대비</t>
        </is>
      </c>
      <c r="G87" s="17">
        <f>IF(OR(G86="",C86=""),"",IF(G86*C86&lt;=0,"",IFERROR(G86/C86-1,"")))</f>
        <v/>
      </c>
      <c r="H87" s="17">
        <f>IF(OR(H86="",D86=""),"",IF(H86*D86&lt;=0,"",IFERROR(H86/D86-1,"")))</f>
        <v/>
      </c>
      <c r="I87" s="17">
        <f>IF(OR(I86="",E86=""),"",IF(I86*E86&lt;=0,"",IFERROR(I86/E86-1,"")))</f>
        <v/>
      </c>
      <c r="J87" s="17">
        <f>IF(OR(J86="",F86=""),"",IF(J86*F86&lt;=0,"",IFERROR(J86/F86-1,"")))</f>
        <v/>
      </c>
      <c r="K87" s="17">
        <f>IF(OR(K86="",G86=""),"",IF(K86*G86&lt;=0,"",IFERROR(K86/G86-1,"")))</f>
        <v/>
      </c>
      <c r="L87" s="17">
        <f>IF(OR(L86="",H86=""),"",IF(L86*H86&lt;=0,"",IFERROR(L86/H86-1,"")))</f>
        <v/>
      </c>
      <c r="M87" s="17">
        <f>IF(OR(M86="",I86=""),"",IF(M86*I86&lt;=0,"",IFERROR(M86/I86-1,"")))</f>
        <v/>
      </c>
      <c r="N87" s="17">
        <f>IF(OR(N86="",J86=""),"",IF(N86*J86&lt;=0,"",IFERROR(N86/J86-1,"")))</f>
        <v/>
      </c>
      <c r="T87" s="17">
        <f>IF(OR(T86="",S86=""),"",IF(T86*S86&lt;=0,"",IFERROR(T86/S86-1,"")))</f>
        <v/>
      </c>
      <c r="U87" s="17">
        <f>IF(OR(U86="",T86=""),"",IF(U86*T86&lt;=0,"",IFERROR(U86/T86-1,"")))</f>
        <v/>
      </c>
      <c r="V87" s="17">
        <f>IF(OR(V86="",U86=""),"",IF(V86*U86&lt;=0,"",IFERROR(V86/U86-1,"")))</f>
        <v/>
      </c>
      <c r="W87" s="17">
        <f>IF(OR(W86="",V86=""),"",IF(W86*V86&lt;=0,"",IFERROR(W86/V86-1,"")))</f>
        <v/>
      </c>
      <c r="X87" s="17">
        <f>IF(OR(X86="",W86=""),"",IF(X86*W86&lt;=0,"",IFERROR(X86/W86-1,"")))</f>
        <v/>
      </c>
    </row>
    <row r="88">
      <c r="A88" s="9" t="inlineStr">
        <is>
          <t>매출총이익</t>
        </is>
      </c>
      <c r="C88" s="12" t="n">
        <v>1194.304</v>
      </c>
      <c r="D88" s="12" t="n">
        <v>950.912</v>
      </c>
      <c r="E88" s="12" t="n">
        <v>1052.105</v>
      </c>
      <c r="F88" s="12" t="n">
        <v>1208.182</v>
      </c>
      <c r="G88" s="12" t="n">
        <v>1448.771</v>
      </c>
      <c r="H88" s="12" t="n">
        <v>916.798</v>
      </c>
      <c r="I88" s="12" t="n">
        <v>1343.95</v>
      </c>
      <c r="J88" s="12" t="n">
        <v>1413.96</v>
      </c>
      <c r="K88" s="12" t="n">
        <v>1834.285</v>
      </c>
      <c r="L88" s="12" t="n">
        <v>1044.871</v>
      </c>
      <c r="M88" s="12" t="n">
        <v>1184.164</v>
      </c>
      <c r="N88" s="12" t="n">
        <v>1788.681</v>
      </c>
      <c r="T88" s="12" t="n">
        <v>408.297</v>
      </c>
      <c r="U88" s="12" t="n">
        <v>924.793</v>
      </c>
      <c r="V88" s="12" t="n">
        <v>950.912</v>
      </c>
      <c r="W88" s="12" t="n">
        <v>916.798</v>
      </c>
      <c r="X88" s="12" t="n">
        <v>1044.871</v>
      </c>
    </row>
    <row r="89">
      <c r="A89" s="45" t="inlineStr">
        <is>
          <t>YoY</t>
        </is>
      </c>
      <c r="B89" s="3" t="inlineStr">
        <is>
          <t>전년 같은 분기·전년 대비</t>
        </is>
      </c>
      <c r="G89" s="17">
        <f>IF(OR(G88="",C88=""),"",IF(C88&lt;=0,"",IFERROR(G88/C88-1,"")))</f>
        <v/>
      </c>
      <c r="H89" s="17">
        <f>IF(OR(H88="",D88=""),"",IF(D88&lt;=0,"",IFERROR(H88/D88-1,"")))</f>
        <v/>
      </c>
      <c r="I89" s="17">
        <f>IF(OR(I88="",E88=""),"",IF(E88&lt;=0,"",IFERROR(I88/E88-1,"")))</f>
        <v/>
      </c>
      <c r="J89" s="17">
        <f>IF(OR(J88="",F88=""),"",IF(F88&lt;=0,"",IFERROR(J88/F88-1,"")))</f>
        <v/>
      </c>
      <c r="K89" s="17">
        <f>IF(OR(K88="",G88=""),"",IF(G88&lt;=0,"",IFERROR(K88/G88-1,"")))</f>
        <v/>
      </c>
      <c r="L89" s="17">
        <f>IF(OR(L88="",H88=""),"",IF(H88&lt;=0,"",IFERROR(L88/H88-1,"")))</f>
        <v/>
      </c>
      <c r="M89" s="17">
        <f>IF(OR(M88="",I88=""),"",IF(I88&lt;=0,"",IFERROR(M88/I88-1,"")))</f>
        <v/>
      </c>
      <c r="N89" s="17">
        <f>IF(OR(N88="",J88=""),"",IF(J88&lt;=0,"",IFERROR(N88/J88-1,"")))</f>
        <v/>
      </c>
      <c r="T89" s="17">
        <f>IF(OR(T88="",S88=""),"",IF(S88&lt;=0,"",IFERROR(T88/S88-1,"")))</f>
        <v/>
      </c>
      <c r="U89" s="17">
        <f>IF(OR(U88="",T88=""),"",IF(T88&lt;=0,"",IFERROR(U88/T88-1,"")))</f>
        <v/>
      </c>
      <c r="V89" s="17">
        <f>IF(OR(V88="",U88=""),"",IF(U88&lt;=0,"",IFERROR(V88/U88-1,"")))</f>
        <v/>
      </c>
      <c r="W89" s="17">
        <f>IF(OR(W88="",V88=""),"",IF(V88&lt;=0,"",IFERROR(W88/V88-1,"")))</f>
        <v/>
      </c>
      <c r="X89" s="17">
        <f>IF(OR(X88="",W88=""),"",IF(W88&lt;=0,"",IFERROR(X88/W88-1,"")))</f>
        <v/>
      </c>
    </row>
    <row r="90">
      <c r="A90" s="20" t="inlineStr">
        <is>
          <t>임원 보수</t>
        </is>
      </c>
      <c r="C90" s="22" t="n">
        <v>20.04</v>
      </c>
      <c r="D90" s="22" t="n">
        <v>31.902</v>
      </c>
      <c r="E90" s="22" t="n">
        <v>20.09</v>
      </c>
      <c r="F90" s="22" t="n">
        <v>21.96</v>
      </c>
      <c r="G90" s="22" t="n">
        <v>28.725</v>
      </c>
      <c r="H90" s="22" t="n">
        <v>28.918</v>
      </c>
      <c r="I90" s="22" t="n">
        <v>23.64</v>
      </c>
      <c r="J90" s="22" t="n">
        <v>29.2</v>
      </c>
      <c r="K90" s="22" t="n">
        <v>28.98</v>
      </c>
      <c r="L90" s="22" t="n">
        <v>42.09</v>
      </c>
      <c r="M90" s="22" t="n">
        <v>28.981</v>
      </c>
      <c r="N90" s="22" t="n">
        <v>32.724</v>
      </c>
      <c r="T90" s="22" t="n">
        <v>23.726</v>
      </c>
      <c r="U90" s="22" t="n">
        <v>32.28</v>
      </c>
      <c r="V90" s="22" t="n">
        <v>31.902</v>
      </c>
      <c r="W90" s="22" t="n">
        <v>28.918</v>
      </c>
      <c r="X90" s="22" t="n">
        <v>42.09</v>
      </c>
    </row>
    <row r="91">
      <c r="A91" s="20" t="inlineStr">
        <is>
          <t>급여 및 상여</t>
        </is>
      </c>
      <c r="C91" s="22" t="n">
        <v>29.498</v>
      </c>
      <c r="D91" s="22" t="n">
        <v>32.109</v>
      </c>
      <c r="E91" s="22" t="n">
        <v>33.472</v>
      </c>
      <c r="F91" s="22" t="n">
        <v>34.612</v>
      </c>
      <c r="G91" s="22" t="n">
        <v>30.623</v>
      </c>
      <c r="H91" s="22" t="n">
        <v>39.758</v>
      </c>
      <c r="I91" s="22" t="n">
        <v>36.439</v>
      </c>
      <c r="J91" s="22" t="n">
        <v>32.618</v>
      </c>
      <c r="K91" s="22" t="n">
        <v>43.114</v>
      </c>
      <c r="L91" s="22" t="n">
        <v>46.812</v>
      </c>
      <c r="M91" s="22" t="n">
        <v>44.997</v>
      </c>
      <c r="N91" s="22" t="n">
        <v>41.047</v>
      </c>
      <c r="T91" s="22" t="n">
        <v>30.231</v>
      </c>
      <c r="U91" s="22" t="n">
        <v>35.104</v>
      </c>
      <c r="V91" s="22" t="n">
        <v>32.109</v>
      </c>
      <c r="W91" s="22" t="n">
        <v>39.758</v>
      </c>
      <c r="X91" s="22" t="n">
        <v>46.812</v>
      </c>
    </row>
    <row r="92">
      <c r="A92" s="20" t="inlineStr">
        <is>
          <t>지급수수료</t>
        </is>
      </c>
      <c r="C92" s="22" t="n">
        <v>45.976</v>
      </c>
      <c r="E92" s="22" t="n">
        <v>46.696</v>
      </c>
      <c r="F92" s="22" t="n">
        <v>47.62</v>
      </c>
      <c r="G92" s="22" t="n">
        <v>47.581</v>
      </c>
      <c r="I92" s="22" t="n">
        <v>49.394</v>
      </c>
      <c r="J92" s="22" t="n">
        <v>45.297</v>
      </c>
      <c r="K92" s="22" t="n">
        <v>55.679</v>
      </c>
      <c r="M92" s="22" t="n">
        <v>55.691</v>
      </c>
      <c r="N92" s="22" t="n">
        <v>44.1</v>
      </c>
    </row>
    <row r="93">
      <c r="A93" s="20" t="inlineStr">
        <is>
          <t>기타</t>
        </is>
      </c>
      <c r="C93" s="22" t="n">
        <v>53.425</v>
      </c>
      <c r="D93" s="22" t="n">
        <v>-66.122</v>
      </c>
      <c r="E93" s="22" t="n">
        <v>52.098</v>
      </c>
      <c r="F93" s="22" t="n">
        <v>74.465</v>
      </c>
      <c r="G93" s="22" t="n">
        <v>57.197</v>
      </c>
      <c r="H93" s="22" t="n">
        <v>-81.879</v>
      </c>
      <c r="I93" s="22" t="n">
        <v>62.044</v>
      </c>
      <c r="J93" s="22" t="n">
        <v>61.59</v>
      </c>
      <c r="K93" s="22" t="n">
        <v>81.126</v>
      </c>
      <c r="L93" s="22" t="n">
        <v>-67.075</v>
      </c>
      <c r="M93" s="22" t="n">
        <v>65.062</v>
      </c>
      <c r="N93" s="22" t="n">
        <v>85.36199999999999</v>
      </c>
      <c r="T93" s="22" t="n">
        <v>-26.148</v>
      </c>
      <c r="U93" s="22" t="n">
        <v>-50.68</v>
      </c>
      <c r="V93" s="22" t="n">
        <v>-66.122</v>
      </c>
      <c r="W93" s="22" t="n">
        <v>-81.879</v>
      </c>
      <c r="X93" s="22" t="n">
        <v>-67.075</v>
      </c>
    </row>
    <row r="94">
      <c r="A94" s="20" t="inlineStr">
        <is>
          <t>판매비와 관리비 합계</t>
        </is>
      </c>
      <c r="C94" s="22" t="n">
        <v>148.94</v>
      </c>
      <c r="D94" s="22" t="n">
        <v>155.165</v>
      </c>
      <c r="E94" s="22" t="n">
        <v>152.357</v>
      </c>
      <c r="F94" s="22" t="n">
        <v>178.658</v>
      </c>
      <c r="G94" s="22" t="n">
        <v>164.125</v>
      </c>
      <c r="H94" s="22" t="n">
        <v>167.879</v>
      </c>
      <c r="I94" s="22" t="n">
        <v>171.518</v>
      </c>
      <c r="J94" s="22" t="n">
        <v>168.705</v>
      </c>
      <c r="K94" s="22" t="n">
        <v>208.899</v>
      </c>
      <c r="L94" s="22" t="n">
        <v>195.405</v>
      </c>
      <c r="M94" s="22" t="n">
        <v>194.732</v>
      </c>
      <c r="N94" s="22" t="n">
        <v>203.234</v>
      </c>
      <c r="T94" s="22" t="n">
        <v>116.644</v>
      </c>
      <c r="U94" s="22" t="n">
        <v>147.293</v>
      </c>
      <c r="V94" s="22" t="n">
        <v>155.165</v>
      </c>
      <c r="W94" s="22" t="n">
        <v>167.879</v>
      </c>
      <c r="X94" s="22" t="n">
        <v>195.405</v>
      </c>
    </row>
    <row r="95">
      <c r="A95" s="45" t="inlineStr">
        <is>
          <t>YoY</t>
        </is>
      </c>
      <c r="B95" s="3" t="inlineStr">
        <is>
          <t>전년 같은 분기·전년 대비</t>
        </is>
      </c>
      <c r="G95" s="17">
        <f>IF(OR(G94="",C94=""),"",IF(G94*C94&lt;=0,"",IFERROR(G94/C94-1,"")))</f>
        <v/>
      </c>
      <c r="H95" s="17">
        <f>IF(OR(H94="",D94=""),"",IF(H94*D94&lt;=0,"",IFERROR(H94/D94-1,"")))</f>
        <v/>
      </c>
      <c r="I95" s="17">
        <f>IF(OR(I94="",E94=""),"",IF(I94*E94&lt;=0,"",IFERROR(I94/E94-1,"")))</f>
        <v/>
      </c>
      <c r="J95" s="17">
        <f>IF(OR(J94="",F94=""),"",IF(J94*F94&lt;=0,"",IFERROR(J94/F94-1,"")))</f>
        <v/>
      </c>
      <c r="K95" s="17">
        <f>IF(OR(K94="",G94=""),"",IF(K94*G94&lt;=0,"",IFERROR(K94/G94-1,"")))</f>
        <v/>
      </c>
      <c r="L95" s="17">
        <f>IF(OR(L94="",H94=""),"",IF(L94*H94&lt;=0,"",IFERROR(L94/H94-1,"")))</f>
        <v/>
      </c>
      <c r="M95" s="17">
        <f>IF(OR(M94="",I94=""),"",IF(M94*I94&lt;=0,"",IFERROR(M94/I94-1,"")))</f>
        <v/>
      </c>
      <c r="N95" s="17">
        <f>IF(OR(N94="",J94=""),"",IF(N94*J94&lt;=0,"",IFERROR(N94/J94-1,"")))</f>
        <v/>
      </c>
      <c r="T95" s="17">
        <f>IF(OR(T94="",S94=""),"",IF(T94*S94&lt;=0,"",IFERROR(T94/S94-1,"")))</f>
        <v/>
      </c>
      <c r="U95" s="17">
        <f>IF(OR(U94="",T94=""),"",IF(U94*T94&lt;=0,"",IFERROR(U94/T94-1,"")))</f>
        <v/>
      </c>
      <c r="V95" s="17">
        <f>IF(OR(V94="",U94=""),"",IF(V94*U94&lt;=0,"",IFERROR(V94/U94-1,"")))</f>
        <v/>
      </c>
      <c r="W95" s="17">
        <f>IF(OR(W94="",V94=""),"",IF(W94*V94&lt;=0,"",IFERROR(W94/V94-1,"")))</f>
        <v/>
      </c>
      <c r="X95" s="17">
        <f>IF(OR(X94="",W94=""),"",IF(X94*W94&lt;=0,"",IFERROR(X94/W94-1,"")))</f>
        <v/>
      </c>
    </row>
    <row r="96">
      <c r="A96" s="9" t="inlineStr">
        <is>
          <t>영업이익</t>
        </is>
      </c>
      <c r="C96" s="12" t="n">
        <v>1045.364</v>
      </c>
      <c r="D96" s="12" t="n">
        <v>795.747</v>
      </c>
      <c r="E96" s="12" t="n">
        <v>899.747</v>
      </c>
      <c r="F96" s="12" t="n">
        <v>1029.524</v>
      </c>
      <c r="G96" s="12" t="n">
        <v>1284.647</v>
      </c>
      <c r="H96" s="12" t="n">
        <v>748.919</v>
      </c>
      <c r="I96" s="12" t="n">
        <v>1172.431</v>
      </c>
      <c r="J96" s="12" t="n">
        <v>1245.256</v>
      </c>
      <c r="K96" s="12" t="n">
        <v>1625.385</v>
      </c>
      <c r="L96" s="12" t="n">
        <v>849.467</v>
      </c>
      <c r="M96" s="12" t="n">
        <v>989.432</v>
      </c>
      <c r="N96" s="12" t="n">
        <v>1585.447</v>
      </c>
      <c r="T96" s="12" t="n">
        <v>291.654</v>
      </c>
      <c r="U96" s="12" t="n">
        <v>777.5</v>
      </c>
      <c r="V96" s="12" t="n">
        <v>795.747</v>
      </c>
      <c r="W96" s="12" t="n">
        <v>748.919</v>
      </c>
      <c r="X96" s="12" t="n">
        <v>849.467</v>
      </c>
    </row>
    <row r="97">
      <c r="A97" s="45" t="inlineStr">
        <is>
          <t>OPM</t>
        </is>
      </c>
      <c r="B97" s="3" t="inlineStr">
        <is>
          <t>영업이익 ÷ 매출</t>
        </is>
      </c>
      <c r="C97" s="17">
        <f>IF(OR(C96="",C84=""),"",IF(C84&lt;=0,"",IFERROR(C96/C84,"")))</f>
        <v/>
      </c>
      <c r="D97" s="17">
        <f>IF(OR(D96="",D84=""),"",IF(D84&lt;=0,"",IFERROR(D96/D84,"")))</f>
        <v/>
      </c>
      <c r="E97" s="17">
        <f>IF(OR(E96="",E84=""),"",IF(E84&lt;=0,"",IFERROR(E96/E84,"")))</f>
        <v/>
      </c>
      <c r="F97" s="17">
        <f>IF(OR(F96="",F84=""),"",IF(F84&lt;=0,"",IFERROR(F96/F84,"")))</f>
        <v/>
      </c>
      <c r="G97" s="17">
        <f>IF(OR(G96="",G84=""),"",IF(G84&lt;=0,"",IFERROR(G96/G84,"")))</f>
        <v/>
      </c>
      <c r="H97" s="17">
        <f>IF(OR(H96="",H84=""),"",IF(H84&lt;=0,"",IFERROR(H96/H84,"")))</f>
        <v/>
      </c>
      <c r="I97" s="17">
        <f>IF(OR(I96="",I84=""),"",IF(I84&lt;=0,"",IFERROR(I96/I84,"")))</f>
        <v/>
      </c>
      <c r="J97" s="17">
        <f>IF(OR(J96="",J84=""),"",IF(J84&lt;=0,"",IFERROR(J96/J84,"")))</f>
        <v/>
      </c>
      <c r="K97" s="17">
        <f>IF(OR(K96="",K84=""),"",IF(K84&lt;=0,"",IFERROR(K96/K84,"")))</f>
        <v/>
      </c>
      <c r="L97" s="17">
        <f>IF(OR(L96="",L84=""),"",IF(L84&lt;=0,"",IFERROR(L96/L84,"")))</f>
        <v/>
      </c>
      <c r="M97" s="17">
        <f>IF(OR(M96="",M84=""),"",IF(M84&lt;=0,"",IFERROR(M96/M84,"")))</f>
        <v/>
      </c>
      <c r="N97" s="17">
        <f>IF(OR(N96="",N84=""),"",IF(N84&lt;=0,"",IFERROR(N96/N84,"")))</f>
        <v/>
      </c>
      <c r="T97" s="17">
        <f>IF(OR(T96="",T84=""),"",IF(T84&lt;=0,"",IFERROR(T96/T84,"")))</f>
        <v/>
      </c>
      <c r="U97" s="17">
        <f>IF(OR(U96="",U84=""),"",IF(U84&lt;=0,"",IFERROR(U96/U84,"")))</f>
        <v/>
      </c>
      <c r="V97" s="17">
        <f>IF(OR(V96="",V84=""),"",IF(V84&lt;=0,"",IFERROR(V96/V84,"")))</f>
        <v/>
      </c>
      <c r="W97" s="17">
        <f>IF(OR(W96="",W84=""),"",IF(W84&lt;=0,"",IFERROR(W96/W84,"")))</f>
        <v/>
      </c>
      <c r="X97" s="17">
        <f>IF(OR(X96="",X84=""),"",IF(X84&lt;=0,"",IFERROR(X96/X84,"")))</f>
        <v/>
      </c>
    </row>
    <row r="98">
      <c r="A98" s="45" t="inlineStr">
        <is>
          <t>YoY</t>
        </is>
      </c>
      <c r="B98" s="3" t="inlineStr">
        <is>
          <t>전년 같은 분기·전년 대비</t>
        </is>
      </c>
      <c r="G98" s="17">
        <f>IF(OR(G96="",C96=""),"",IF(C96&lt;=0,"",IFERROR(G96/C96-1,"")))</f>
        <v/>
      </c>
      <c r="H98" s="17">
        <f>IF(OR(H96="",D96=""),"",IF(D96&lt;=0,"",IFERROR(H96/D96-1,"")))</f>
        <v/>
      </c>
      <c r="I98" s="17">
        <f>IF(OR(I96="",E96=""),"",IF(E96&lt;=0,"",IFERROR(I96/E96-1,"")))</f>
        <v/>
      </c>
      <c r="J98" s="17">
        <f>IF(OR(J96="",F96=""),"",IF(F96&lt;=0,"",IFERROR(J96/F96-1,"")))</f>
        <v/>
      </c>
      <c r="K98" s="17">
        <f>IF(OR(K96="",G96=""),"",IF(G96&lt;=0,"",IFERROR(K96/G96-1,"")))</f>
        <v/>
      </c>
      <c r="L98" s="17">
        <f>IF(OR(L96="",H96=""),"",IF(H96&lt;=0,"",IFERROR(L96/H96-1,"")))</f>
        <v/>
      </c>
      <c r="M98" s="17">
        <f>IF(OR(M96="",I96=""),"",IF(I96&lt;=0,"",IFERROR(M96/I96-1,"")))</f>
        <v/>
      </c>
      <c r="N98" s="17">
        <f>IF(OR(N96="",J96=""),"",IF(J96&lt;=0,"",IFERROR(N96/J96-1,"")))</f>
        <v/>
      </c>
      <c r="T98" s="17">
        <f>IF(OR(T96="",S96=""),"",IF(S96&lt;=0,"",IFERROR(T96/S96-1,"")))</f>
        <v/>
      </c>
      <c r="U98" s="17">
        <f>IF(OR(U96="",T96=""),"",IF(T96&lt;=0,"",IFERROR(U96/T96-1,"")))</f>
        <v/>
      </c>
      <c r="V98" s="17">
        <f>IF(OR(V96="",U96=""),"",IF(U96&lt;=0,"",IFERROR(V96/U96-1,"")))</f>
        <v/>
      </c>
      <c r="W98" s="17">
        <f>IF(OR(W96="",V96=""),"",IF(V96&lt;=0,"",IFERROR(W96/V96-1,"")))</f>
        <v/>
      </c>
      <c r="X98" s="17">
        <f>IF(OR(X96="",W96=""),"",IF(W96&lt;=0,"",IFERROR(X96/W96-1,"")))</f>
        <v/>
      </c>
    </row>
    <row r="99">
      <c r="A99" s="20" t="inlineStr">
        <is>
          <t>수수료 수익</t>
        </is>
      </c>
      <c r="C99" s="22" t="n">
        <v>6.227</v>
      </c>
      <c r="D99" s="22" t="n">
        <v>5.99</v>
      </c>
      <c r="E99" s="22" t="n">
        <v>5.819</v>
      </c>
      <c r="F99" s="22" t="n">
        <v>6.555</v>
      </c>
      <c r="G99" s="22" t="n">
        <v>6.09</v>
      </c>
      <c r="H99" s="22" t="n">
        <v>5.935</v>
      </c>
      <c r="I99" s="22" t="n">
        <v>6.279</v>
      </c>
      <c r="J99" s="22" t="n">
        <v>7.095</v>
      </c>
      <c r="K99" s="22" t="n">
        <v>6.1</v>
      </c>
      <c r="L99" s="22" t="n">
        <v>5.964</v>
      </c>
      <c r="M99" s="22" t="n">
        <v>6.287</v>
      </c>
      <c r="N99" s="22" t="n">
        <v>6.904</v>
      </c>
      <c r="T99" s="22" t="n">
        <v>5.314</v>
      </c>
      <c r="U99" s="22" t="n">
        <v>5.922</v>
      </c>
      <c r="V99" s="22" t="n">
        <v>5.99</v>
      </c>
      <c r="W99" s="22" t="n">
        <v>5.935</v>
      </c>
      <c r="X99" s="22" t="n">
        <v>5.964</v>
      </c>
    </row>
    <row r="100">
      <c r="A100" s="20" t="inlineStr">
        <is>
          <t>잡이익</t>
        </is>
      </c>
      <c r="C100" s="22" t="n">
        <v>3.852</v>
      </c>
      <c r="E100" s="22" t="n">
        <v>1.725</v>
      </c>
      <c r="F100" s="22" t="n">
        <v>2.16</v>
      </c>
      <c r="G100" s="22" t="n">
        <v>3.87</v>
      </c>
      <c r="I100" s="22" t="n">
        <v>3.483</v>
      </c>
      <c r="J100" s="22" t="n">
        <v>4.017</v>
      </c>
      <c r="K100" s="22" t="n">
        <v>8.858000000000001</v>
      </c>
      <c r="M100" s="22" t="n">
        <v>2.931</v>
      </c>
      <c r="N100" s="22" t="n">
        <v>1.201</v>
      </c>
    </row>
    <row r="101">
      <c r="A101" s="20" t="inlineStr">
        <is>
          <t>영업외수익 합계</t>
        </is>
      </c>
      <c r="C101" s="22" t="n">
        <v>10.079</v>
      </c>
      <c r="D101" s="22" t="n">
        <v>9.385999999999999</v>
      </c>
      <c r="E101" s="22" t="n">
        <v>7.545</v>
      </c>
      <c r="F101" s="22" t="n">
        <v>8.715</v>
      </c>
      <c r="G101" s="22" t="n">
        <v>9.959</v>
      </c>
      <c r="H101" s="22" t="n">
        <v>12.721</v>
      </c>
      <c r="I101" s="22" t="n">
        <v>9.763</v>
      </c>
      <c r="J101" s="22" t="n">
        <v>14.995</v>
      </c>
      <c r="K101" s="22" t="n">
        <v>11.075</v>
      </c>
      <c r="L101" s="22" t="n">
        <v>12.47</v>
      </c>
      <c r="M101" s="22" t="n">
        <v>9.218999999999999</v>
      </c>
      <c r="N101" s="22" t="n">
        <v>16.116</v>
      </c>
      <c r="T101" s="22" t="n">
        <v>42.441</v>
      </c>
      <c r="U101" s="22" t="n">
        <v>11.131</v>
      </c>
      <c r="V101" s="22" t="n">
        <v>9.385999999999999</v>
      </c>
      <c r="W101" s="22" t="n">
        <v>12.721</v>
      </c>
      <c r="X101" s="22" t="n">
        <v>12.47</v>
      </c>
    </row>
    <row r="102">
      <c r="A102" s="45" t="inlineStr">
        <is>
          <t>YoY</t>
        </is>
      </c>
      <c r="B102" s="3" t="inlineStr">
        <is>
          <t>전년 같은 분기·전년 대비</t>
        </is>
      </c>
      <c r="G102" s="17">
        <f>IF(OR(G101="",C101=""),"",IF(G101*C101&lt;=0,"",IFERROR(G101/C101-1,"")))</f>
        <v/>
      </c>
      <c r="H102" s="17">
        <f>IF(OR(H101="",D101=""),"",IF(H101*D101&lt;=0,"",IFERROR(H101/D101-1,"")))</f>
        <v/>
      </c>
      <c r="I102" s="17">
        <f>IF(OR(I101="",E101=""),"",IF(I101*E101&lt;=0,"",IFERROR(I101/E101-1,"")))</f>
        <v/>
      </c>
      <c r="J102" s="17">
        <f>IF(OR(J101="",F101=""),"",IF(J101*F101&lt;=0,"",IFERROR(J101/F101-1,"")))</f>
        <v/>
      </c>
      <c r="K102" s="17">
        <f>IF(OR(K101="",G101=""),"",IF(K101*G101&lt;=0,"",IFERROR(K101/G101-1,"")))</f>
        <v/>
      </c>
      <c r="L102" s="17">
        <f>IF(OR(L101="",H101=""),"",IF(L101*H101&lt;=0,"",IFERROR(L101/H101-1,"")))</f>
        <v/>
      </c>
      <c r="M102" s="17">
        <f>IF(OR(M101="",I101=""),"",IF(M101*I101&lt;=0,"",IFERROR(M101/I101-1,"")))</f>
        <v/>
      </c>
      <c r="N102" s="17">
        <f>IF(OR(N101="",J101=""),"",IF(N101*J101&lt;=0,"",IFERROR(N101/J101-1,"")))</f>
        <v/>
      </c>
      <c r="T102" s="17">
        <f>IF(OR(T101="",S101=""),"",IF(T101*S101&lt;=0,"",IFERROR(T101/S101-1,"")))</f>
        <v/>
      </c>
      <c r="U102" s="17">
        <f>IF(OR(U101="",T101=""),"",IF(U101*T101&lt;=0,"",IFERROR(U101/T101-1,"")))</f>
        <v/>
      </c>
      <c r="V102" s="17">
        <f>IF(OR(V101="",U101=""),"",IF(V101*U101&lt;=0,"",IFERROR(V101/U101-1,"")))</f>
        <v/>
      </c>
      <c r="W102" s="17">
        <f>IF(OR(W101="",V101=""),"",IF(W101*V101&lt;=0,"",IFERROR(W101/V101-1,"")))</f>
        <v/>
      </c>
      <c r="X102" s="17">
        <f>IF(OR(X101="",W101=""),"",IF(X101*W101&lt;=0,"",IFERROR(X101/W101-1,"")))</f>
        <v/>
      </c>
    </row>
    <row r="103">
      <c r="A103" s="20" t="inlineStr">
        <is>
          <t>이자비용</t>
        </is>
      </c>
      <c r="C103" s="22" t="n">
        <v>16.825</v>
      </c>
      <c r="D103" s="22" t="n">
        <v>16.287</v>
      </c>
      <c r="E103" s="22" t="n">
        <v>16.233</v>
      </c>
      <c r="F103" s="22" t="n">
        <v>18.062</v>
      </c>
      <c r="G103" s="22" t="n">
        <v>20.563</v>
      </c>
      <c r="H103" s="22" t="n">
        <v>21.397</v>
      </c>
      <c r="I103" s="22" t="n">
        <v>23.198</v>
      </c>
      <c r="J103" s="22" t="n">
        <v>23.28</v>
      </c>
      <c r="K103" s="22" t="n">
        <v>23.184</v>
      </c>
      <c r="L103" s="22" t="n">
        <v>25.732</v>
      </c>
      <c r="M103" s="22" t="n">
        <v>26.926</v>
      </c>
      <c r="N103" s="22" t="n">
        <v>29.431</v>
      </c>
      <c r="T103" s="22" t="n">
        <v>18.576</v>
      </c>
      <c r="U103" s="22" t="n">
        <v>17.241</v>
      </c>
      <c r="V103" s="22" t="n">
        <v>16.287</v>
      </c>
      <c r="W103" s="22" t="n">
        <v>21.397</v>
      </c>
      <c r="X103" s="22" t="n">
        <v>25.732</v>
      </c>
    </row>
    <row r="104">
      <c r="A104" s="20" t="inlineStr">
        <is>
          <t>잡손실</t>
        </is>
      </c>
      <c r="C104" s="22" t="n">
        <v>4.731</v>
      </c>
      <c r="E104" s="22" t="n">
        <v>3.324</v>
      </c>
      <c r="F104" s="22" t="n">
        <v>4.128</v>
      </c>
      <c r="G104" s="22" t="n">
        <v>3.377</v>
      </c>
      <c r="I104" s="22" t="n">
        <v>3.357</v>
      </c>
      <c r="J104" s="22" t="n">
        <v>4.155</v>
      </c>
      <c r="K104" s="22" t="n">
        <v>4.546</v>
      </c>
      <c r="M104" s="22" t="n">
        <v>3.301</v>
      </c>
      <c r="N104" s="22" t="n">
        <v>2.852</v>
      </c>
    </row>
    <row r="105">
      <c r="A105" s="20" t="inlineStr">
        <is>
          <t>영업외비용 합계</t>
        </is>
      </c>
      <c r="C105" s="22" t="n">
        <v>21.557</v>
      </c>
      <c r="D105" s="22" t="n">
        <v>20.474</v>
      </c>
      <c r="E105" s="22" t="n">
        <v>19.557</v>
      </c>
      <c r="F105" s="22" t="n">
        <v>22.191</v>
      </c>
      <c r="G105" s="22" t="n">
        <v>23.94</v>
      </c>
      <c r="H105" s="22" t="n">
        <v>27.414</v>
      </c>
      <c r="I105" s="22" t="n">
        <v>26.555</v>
      </c>
      <c r="J105" s="22" t="n">
        <v>27.435</v>
      </c>
      <c r="K105" s="22" t="n">
        <v>27.73</v>
      </c>
      <c r="L105" s="22" t="n">
        <v>28.989</v>
      </c>
      <c r="M105" s="22" t="n">
        <v>30.227</v>
      </c>
      <c r="N105" s="22" t="n">
        <v>32.284</v>
      </c>
      <c r="T105" s="22" t="n">
        <v>23.15</v>
      </c>
      <c r="U105" s="22" t="n">
        <v>22.114</v>
      </c>
      <c r="V105" s="22" t="n">
        <v>20.474</v>
      </c>
      <c r="W105" s="22" t="n">
        <v>27.414</v>
      </c>
      <c r="X105" s="22" t="n">
        <v>28.989</v>
      </c>
    </row>
    <row r="106">
      <c r="A106" s="45" t="inlineStr">
        <is>
          <t>YoY</t>
        </is>
      </c>
      <c r="B106" s="3" t="inlineStr">
        <is>
          <t>전년 같은 분기·전년 대비</t>
        </is>
      </c>
      <c r="G106" s="17">
        <f>IF(OR(G105="",C105=""),"",IF(G105*C105&lt;=0,"",IFERROR(G105/C105-1,"")))</f>
        <v/>
      </c>
      <c r="H106" s="17">
        <f>IF(OR(H105="",D105=""),"",IF(H105*D105&lt;=0,"",IFERROR(H105/D105-1,"")))</f>
        <v/>
      </c>
      <c r="I106" s="17">
        <f>IF(OR(I105="",E105=""),"",IF(I105*E105&lt;=0,"",IFERROR(I105/E105-1,"")))</f>
        <v/>
      </c>
      <c r="J106" s="17">
        <f>IF(OR(J105="",F105=""),"",IF(J105*F105&lt;=0,"",IFERROR(J105/F105-1,"")))</f>
        <v/>
      </c>
      <c r="K106" s="17">
        <f>IF(OR(K105="",G105=""),"",IF(K105*G105&lt;=0,"",IFERROR(K105/G105-1,"")))</f>
        <v/>
      </c>
      <c r="L106" s="17">
        <f>IF(OR(L105="",H105=""),"",IF(L105*H105&lt;=0,"",IFERROR(L105/H105-1,"")))</f>
        <v/>
      </c>
      <c r="M106" s="17">
        <f>IF(OR(M105="",I105=""),"",IF(M105*I105&lt;=0,"",IFERROR(M105/I105-1,"")))</f>
        <v/>
      </c>
      <c r="N106" s="17">
        <f>IF(OR(N105="",J105=""),"",IF(N105*J105&lt;=0,"",IFERROR(N105/J105-1,"")))</f>
        <v/>
      </c>
      <c r="T106" s="17">
        <f>IF(OR(T105="",S105=""),"",IF(T105*S105&lt;=0,"",IFERROR(T105/S105-1,"")))</f>
        <v/>
      </c>
      <c r="U106" s="17">
        <f>IF(OR(U105="",T105=""),"",IF(U105*T105&lt;=0,"",IFERROR(U105/T105-1,"")))</f>
        <v/>
      </c>
      <c r="V106" s="17">
        <f>IF(OR(V105="",U105=""),"",IF(V105*U105&lt;=0,"",IFERROR(V105/U105-1,"")))</f>
        <v/>
      </c>
      <c r="W106" s="17">
        <f>IF(OR(W105="",V105=""),"",IF(W105*V105&lt;=0,"",IFERROR(W105/V105-1,"")))</f>
        <v/>
      </c>
      <c r="X106" s="17">
        <f>IF(OR(X105="",W105=""),"",IF(X105*W105&lt;=0,"",IFERROR(X105/W105-1,"")))</f>
        <v/>
      </c>
    </row>
    <row r="107">
      <c r="A107" s="9" t="inlineStr">
        <is>
          <t>경상이익</t>
        </is>
      </c>
      <c r="C107" s="12" t="n">
        <v>1033.886</v>
      </c>
      <c r="D107" s="12" t="n">
        <v>784.66</v>
      </c>
      <c r="E107" s="12" t="n">
        <v>887.734</v>
      </c>
      <c r="F107" s="12" t="n">
        <v>1016.049</v>
      </c>
      <c r="G107" s="12" t="n">
        <v>1270.666</v>
      </c>
      <c r="H107" s="12" t="n">
        <v>734.226</v>
      </c>
      <c r="I107" s="12" t="n">
        <v>1155.639</v>
      </c>
      <c r="J107" s="12" t="n">
        <v>1232.816</v>
      </c>
      <c r="K107" s="12" t="n">
        <v>1608.73</v>
      </c>
      <c r="L107" s="12" t="n">
        <v>832.948</v>
      </c>
      <c r="M107" s="12" t="n">
        <v>968.423</v>
      </c>
      <c r="N107" s="12" t="n">
        <v>1569.28</v>
      </c>
      <c r="T107" s="12" t="n">
        <v>310.944</v>
      </c>
      <c r="U107" s="12" t="n">
        <v>766.5170000000001</v>
      </c>
      <c r="V107" s="12" t="n">
        <v>784.66</v>
      </c>
      <c r="W107" s="12" t="n">
        <v>734.226</v>
      </c>
      <c r="X107" s="12" t="n">
        <v>832.948</v>
      </c>
    </row>
    <row r="108">
      <c r="A108" s="45" t="inlineStr">
        <is>
          <t>YoY</t>
        </is>
      </c>
      <c r="B108" s="3" t="inlineStr">
        <is>
          <t>전년 같은 분기·전년 대비</t>
        </is>
      </c>
      <c r="G108" s="17">
        <f>IF(OR(G107="",C107=""),"",IF(C107&lt;=0,"",IFERROR(G107/C107-1,"")))</f>
        <v/>
      </c>
      <c r="H108" s="17">
        <f>IF(OR(H107="",D107=""),"",IF(D107&lt;=0,"",IFERROR(H107/D107-1,"")))</f>
        <v/>
      </c>
      <c r="I108" s="17">
        <f>IF(OR(I107="",E107=""),"",IF(E107&lt;=0,"",IFERROR(I107/E107-1,"")))</f>
        <v/>
      </c>
      <c r="J108" s="17">
        <f>IF(OR(J107="",F107=""),"",IF(F107&lt;=0,"",IFERROR(J107/F107-1,"")))</f>
        <v/>
      </c>
      <c r="K108" s="17">
        <f>IF(OR(K107="",G107=""),"",IF(G107&lt;=0,"",IFERROR(K107/G107-1,"")))</f>
        <v/>
      </c>
      <c r="L108" s="17">
        <f>IF(OR(L107="",H107=""),"",IF(H107&lt;=0,"",IFERROR(L107/H107-1,"")))</f>
        <v/>
      </c>
      <c r="M108" s="17">
        <f>IF(OR(M107="",I107=""),"",IF(I107&lt;=0,"",IFERROR(M107/I107-1,"")))</f>
        <v/>
      </c>
      <c r="N108" s="17">
        <f>IF(OR(N107="",J107=""),"",IF(J107&lt;=0,"",IFERROR(N107/J107-1,"")))</f>
        <v/>
      </c>
      <c r="T108" s="17">
        <f>IF(OR(T107="",S107=""),"",IF(S107&lt;=0,"",IFERROR(T107/S107-1,"")))</f>
        <v/>
      </c>
      <c r="U108" s="17">
        <f>IF(OR(U107="",T107=""),"",IF(T107&lt;=0,"",IFERROR(U107/T107-1,"")))</f>
        <v/>
      </c>
      <c r="V108" s="17">
        <f>IF(OR(V107="",U107=""),"",IF(U107&lt;=0,"",IFERROR(V107/U107-1,"")))</f>
        <v/>
      </c>
      <c r="W108" s="17">
        <f>IF(OR(W107="",V107=""),"",IF(V107&lt;=0,"",IFERROR(W107/V107-1,"")))</f>
        <v/>
      </c>
      <c r="X108" s="17">
        <f>IF(OR(X107="",W107=""),"",IF(W107&lt;=0,"",IFERROR(X107/W107-1,"")))</f>
        <v/>
      </c>
    </row>
    <row r="109">
      <c r="A109" s="20" t="inlineStr">
        <is>
          <t>건설 계획 변경 손실</t>
        </is>
      </c>
      <c r="T109" s="22" t="n">
        <v>19.247</v>
      </c>
      <c r="U109" s="22" t="n">
        <v>0</v>
      </c>
    </row>
    <row r="110">
      <c r="A110" s="20" t="inlineStr">
        <is>
          <t>고정자산 제각손실</t>
        </is>
      </c>
      <c r="C110" s="22" t="n">
        <v>0</v>
      </c>
      <c r="D110" s="22" t="n">
        <v>0</v>
      </c>
      <c r="T110" s="22" t="n">
        <v>0</v>
      </c>
      <c r="U110" s="22" t="n">
        <v>0</v>
      </c>
      <c r="V110" s="22" t="n">
        <v>0</v>
      </c>
    </row>
    <row r="111">
      <c r="A111" s="20" t="inlineStr">
        <is>
          <t>손상차손</t>
        </is>
      </c>
      <c r="C111" s="22" t="n">
        <v>0</v>
      </c>
      <c r="D111" s="22" t="n">
        <v>0</v>
      </c>
      <c r="T111" s="22" t="n">
        <v>0</v>
      </c>
      <c r="U111" s="22" t="n">
        <v>45.17</v>
      </c>
      <c r="V111" s="22" t="n">
        <v>0</v>
      </c>
    </row>
    <row r="112">
      <c r="A112" s="20" t="inlineStr">
        <is>
          <t>특별손실 합계</t>
        </is>
      </c>
      <c r="C112" s="22" t="n">
        <v>0</v>
      </c>
      <c r="D112" s="22" t="n">
        <v>0</v>
      </c>
      <c r="T112" s="22" t="n">
        <v>19.247</v>
      </c>
      <c r="U112" s="22" t="n">
        <v>45.17</v>
      </c>
      <c r="V112" s="22" t="n">
        <v>0</v>
      </c>
    </row>
    <row r="113">
      <c r="A113" s="45" t="inlineStr">
        <is>
          <t>YoY</t>
        </is>
      </c>
      <c r="B113" s="3" t="inlineStr">
        <is>
          <t>전년 같은 분기·전년 대비</t>
        </is>
      </c>
      <c r="T113" s="17">
        <f>IF(OR(T112="",S112=""),"",IF(T112*S112&lt;=0,"",IFERROR(T112/S112-1,"")))</f>
        <v/>
      </c>
      <c r="U113" s="17">
        <f>IF(OR(U112="",T112=""),"",IF(U112*T112&lt;=0,"",IFERROR(U112/T112-1,"")))</f>
        <v/>
      </c>
      <c r="V113" s="17">
        <f>IF(OR(V112="",U112=""),"",IF(V112*U112&lt;=0,"",IFERROR(V112/U112-1,"")))</f>
        <v/>
      </c>
    </row>
    <row r="114">
      <c r="A114" s="9" t="inlineStr">
        <is>
          <t>법인세차감전 순이익</t>
        </is>
      </c>
      <c r="C114" s="12" t="n">
        <v>1033.886</v>
      </c>
      <c r="D114" s="12" t="n">
        <v>817.259</v>
      </c>
      <c r="E114" s="12" t="n">
        <v>887.734</v>
      </c>
      <c r="F114" s="12" t="n">
        <v>1016.049</v>
      </c>
      <c r="G114" s="12" t="n">
        <v>1270.666</v>
      </c>
      <c r="H114" s="12" t="n">
        <v>734.226</v>
      </c>
      <c r="I114" s="12" t="n">
        <v>1155.639</v>
      </c>
      <c r="J114" s="12" t="n">
        <v>1232.816</v>
      </c>
      <c r="K114" s="12" t="n">
        <v>1608.73</v>
      </c>
      <c r="L114" s="12" t="n">
        <v>773.177</v>
      </c>
      <c r="M114" s="12" t="n">
        <v>968.423</v>
      </c>
      <c r="N114" s="12" t="n">
        <v>1569.28</v>
      </c>
      <c r="T114" s="12" t="n">
        <v>291.697</v>
      </c>
      <c r="U114" s="12" t="n">
        <v>748.932</v>
      </c>
      <c r="V114" s="12" t="n">
        <v>817.259</v>
      </c>
      <c r="W114" s="12" t="n">
        <v>734.226</v>
      </c>
      <c r="X114" s="12" t="n">
        <v>773.177</v>
      </c>
    </row>
    <row r="115">
      <c r="A115" s="45" t="inlineStr">
        <is>
          <t>YoY</t>
        </is>
      </c>
      <c r="B115" s="3" t="inlineStr">
        <is>
          <t>전년 같은 분기·전년 대비</t>
        </is>
      </c>
      <c r="G115" s="17">
        <f>IF(OR(G114="",C114=""),"",IF(C114&lt;=0,"",IFERROR(G114/C114-1,"")))</f>
        <v/>
      </c>
      <c r="H115" s="17">
        <f>IF(OR(H114="",D114=""),"",IF(D114&lt;=0,"",IFERROR(H114/D114-1,"")))</f>
        <v/>
      </c>
      <c r="I115" s="17">
        <f>IF(OR(I114="",E114=""),"",IF(E114&lt;=0,"",IFERROR(I114/E114-1,"")))</f>
        <v/>
      </c>
      <c r="J115" s="17">
        <f>IF(OR(J114="",F114=""),"",IF(F114&lt;=0,"",IFERROR(J114/F114-1,"")))</f>
        <v/>
      </c>
      <c r="K115" s="17">
        <f>IF(OR(K114="",G114=""),"",IF(G114&lt;=0,"",IFERROR(K114/G114-1,"")))</f>
        <v/>
      </c>
      <c r="L115" s="17">
        <f>IF(OR(L114="",H114=""),"",IF(H114&lt;=0,"",IFERROR(L114/H114-1,"")))</f>
        <v/>
      </c>
      <c r="M115" s="17">
        <f>IF(OR(M114="",I114=""),"",IF(I114&lt;=0,"",IFERROR(M114/I114-1,"")))</f>
        <v/>
      </c>
      <c r="N115" s="17">
        <f>IF(OR(N114="",J114=""),"",IF(J114&lt;=0,"",IFERROR(N114/J114-1,"")))</f>
        <v/>
      </c>
      <c r="T115" s="17">
        <f>IF(OR(T114="",S114=""),"",IF(S114&lt;=0,"",IFERROR(T114/S114-1,"")))</f>
        <v/>
      </c>
      <c r="U115" s="17">
        <f>IF(OR(U114="",T114=""),"",IF(T114&lt;=0,"",IFERROR(U114/T114-1,"")))</f>
        <v/>
      </c>
      <c r="V115" s="17">
        <f>IF(OR(V114="",U114=""),"",IF(U114&lt;=0,"",IFERROR(V114/U114-1,"")))</f>
        <v/>
      </c>
      <c r="W115" s="17">
        <f>IF(OR(W114="",V114=""),"",IF(V114&lt;=0,"",IFERROR(W114/V114-1,"")))</f>
        <v/>
      </c>
      <c r="X115" s="17">
        <f>IF(OR(X114="",W114=""),"",IF(W114&lt;=0,"",IFERROR(X114/W114-1,"")))</f>
        <v/>
      </c>
    </row>
    <row r="116">
      <c r="A116" s="20" t="inlineStr">
        <is>
          <t>법인세·주민세·사업세</t>
        </is>
      </c>
      <c r="C116" s="22" t="n">
        <v>384.392</v>
      </c>
      <c r="D116" s="22" t="n">
        <v>253.37</v>
      </c>
      <c r="E116" s="22" t="n">
        <v>298.987</v>
      </c>
      <c r="F116" s="22" t="n">
        <v>419.341</v>
      </c>
      <c r="G116" s="22" t="n">
        <v>476.84</v>
      </c>
      <c r="H116" s="22" t="n">
        <v>217.485</v>
      </c>
      <c r="I116" s="22" t="n">
        <v>401.648</v>
      </c>
      <c r="J116" s="22" t="n">
        <v>509.3</v>
      </c>
      <c r="K116" s="22" t="n">
        <v>590.712</v>
      </c>
      <c r="L116" s="22" t="n">
        <v>168.341</v>
      </c>
      <c r="M116" s="22" t="n">
        <v>325.309</v>
      </c>
      <c r="N116" s="22" t="n">
        <v>658.26</v>
      </c>
      <c r="T116" s="22" t="n">
        <v>112.413</v>
      </c>
      <c r="U116" s="22" t="n">
        <v>281.281</v>
      </c>
      <c r="V116" s="22" t="n">
        <v>253.37</v>
      </c>
      <c r="W116" s="22" t="n">
        <v>217.485</v>
      </c>
      <c r="X116" s="22" t="n">
        <v>168.341</v>
      </c>
    </row>
    <row r="117">
      <c r="A117" s="20" t="inlineStr">
        <is>
          <t>법인세 조정액</t>
        </is>
      </c>
      <c r="C117" s="22" t="n">
        <v>7.313</v>
      </c>
      <c r="D117" s="22" t="n">
        <v>-17.669</v>
      </c>
      <c r="E117" s="22" t="n">
        <v>27.087</v>
      </c>
      <c r="F117" s="22" t="n">
        <v>-27.57</v>
      </c>
      <c r="G117" s="22" t="n">
        <v>-24.226</v>
      </c>
      <c r="H117" s="22" t="n">
        <v>-21.734</v>
      </c>
      <c r="I117" s="22" t="n">
        <v>26.462</v>
      </c>
      <c r="J117" s="22" t="n">
        <v>-32.716</v>
      </c>
      <c r="K117" s="22" t="n">
        <v>10.741</v>
      </c>
      <c r="L117" s="22" t="n">
        <v>-47.822</v>
      </c>
      <c r="M117" s="22" t="n">
        <v>41.691</v>
      </c>
      <c r="N117" s="22" t="n">
        <v>-38.978</v>
      </c>
      <c r="T117" s="22" t="n">
        <v>-24.301</v>
      </c>
      <c r="U117" s="22" t="n">
        <v>-26.363</v>
      </c>
      <c r="V117" s="22" t="n">
        <v>-17.669</v>
      </c>
      <c r="W117" s="22" t="n">
        <v>-21.734</v>
      </c>
      <c r="X117" s="22" t="n">
        <v>-47.822</v>
      </c>
    </row>
    <row r="118">
      <c r="A118" s="20" t="inlineStr">
        <is>
          <t>법인세 등 합계</t>
        </is>
      </c>
      <c r="C118" s="22" t="n">
        <v>391.706</v>
      </c>
      <c r="D118" s="22" t="n">
        <v>235.699</v>
      </c>
      <c r="E118" s="22" t="n">
        <v>326.074</v>
      </c>
      <c r="F118" s="22" t="n">
        <v>391.77</v>
      </c>
      <c r="G118" s="22" t="n">
        <v>452.615</v>
      </c>
      <c r="H118" s="22" t="n">
        <v>195.75</v>
      </c>
      <c r="I118" s="22" t="n">
        <v>428.111</v>
      </c>
      <c r="J118" s="22" t="n">
        <v>476.583</v>
      </c>
      <c r="K118" s="22" t="n">
        <v>601.454</v>
      </c>
      <c r="L118" s="22" t="n">
        <v>120.517</v>
      </c>
      <c r="M118" s="22" t="n">
        <v>367</v>
      </c>
      <c r="N118" s="22" t="n">
        <v>619.282</v>
      </c>
      <c r="T118" s="22" t="n">
        <v>88.11199999999999</v>
      </c>
      <c r="U118" s="22" t="n">
        <v>254.917</v>
      </c>
      <c r="V118" s="22" t="n">
        <v>235.699</v>
      </c>
      <c r="W118" s="22" t="n">
        <v>195.75</v>
      </c>
      <c r="X118" s="22" t="n">
        <v>120.517</v>
      </c>
    </row>
    <row r="119">
      <c r="A119" s="45" t="inlineStr">
        <is>
          <t>YoY</t>
        </is>
      </c>
      <c r="B119" s="3" t="inlineStr">
        <is>
          <t>전년 같은 분기·전년 대비</t>
        </is>
      </c>
      <c r="G119" s="17">
        <f>IF(OR(G118="",C118=""),"",IF(G118*C118&lt;=0,"",IFERROR(G118/C118-1,"")))</f>
        <v/>
      </c>
      <c r="H119" s="17">
        <f>IF(OR(H118="",D118=""),"",IF(H118*D118&lt;=0,"",IFERROR(H118/D118-1,"")))</f>
        <v/>
      </c>
      <c r="I119" s="17">
        <f>IF(OR(I118="",E118=""),"",IF(I118*E118&lt;=0,"",IFERROR(I118/E118-1,"")))</f>
        <v/>
      </c>
      <c r="J119" s="17">
        <f>IF(OR(J118="",F118=""),"",IF(J118*F118&lt;=0,"",IFERROR(J118/F118-1,"")))</f>
        <v/>
      </c>
      <c r="K119" s="17">
        <f>IF(OR(K118="",G118=""),"",IF(K118*G118&lt;=0,"",IFERROR(K118/G118-1,"")))</f>
        <v/>
      </c>
      <c r="L119" s="17">
        <f>IF(OR(L118="",H118=""),"",IF(L118*H118&lt;=0,"",IFERROR(L118/H118-1,"")))</f>
        <v/>
      </c>
      <c r="M119" s="17">
        <f>IF(OR(M118="",I118=""),"",IF(M118*I118&lt;=0,"",IFERROR(M118/I118-1,"")))</f>
        <v/>
      </c>
      <c r="N119" s="17">
        <f>IF(OR(N118="",J118=""),"",IF(N118*J118&lt;=0,"",IFERROR(N118/J118-1,"")))</f>
        <v/>
      </c>
      <c r="T119" s="17">
        <f>IF(OR(T118="",S118=""),"",IF(T118*S118&lt;=0,"",IFERROR(T118/S118-1,"")))</f>
        <v/>
      </c>
      <c r="U119" s="17">
        <f>IF(OR(U118="",T118=""),"",IF(U118*T118&lt;=0,"",IFERROR(U118/T118-1,"")))</f>
        <v/>
      </c>
      <c r="V119" s="17">
        <f>IF(OR(V118="",U118=""),"",IF(V118*U118&lt;=0,"",IFERROR(V118/U118-1,"")))</f>
        <v/>
      </c>
      <c r="W119" s="17">
        <f>IF(OR(W118="",V118=""),"",IF(W118*V118&lt;=0,"",IFERROR(W118/V118-1,"")))</f>
        <v/>
      </c>
      <c r="X119" s="17">
        <f>IF(OR(X118="",W118=""),"",IF(X118*W118&lt;=0,"",IFERROR(X118/W118-1,"")))</f>
        <v/>
      </c>
    </row>
    <row r="120">
      <c r="A120" s="9" t="inlineStr">
        <is>
          <t>순이익</t>
        </is>
      </c>
      <c r="C120" s="12" t="n">
        <v>642.1799999999999</v>
      </c>
      <c r="D120" s="12" t="n">
        <v>581.559</v>
      </c>
      <c r="E120" s="12" t="n">
        <v>561.659</v>
      </c>
      <c r="F120" s="12" t="n">
        <v>624.28</v>
      </c>
      <c r="G120" s="12" t="n">
        <v>818.051</v>
      </c>
      <c r="H120" s="12" t="n">
        <v>538.475</v>
      </c>
      <c r="I120" s="12" t="n">
        <v>727.527</v>
      </c>
      <c r="J120" s="12" t="n">
        <v>756.234</v>
      </c>
      <c r="K120" s="12" t="n">
        <v>1007.275</v>
      </c>
      <c r="L120" s="12" t="n">
        <v>652.66</v>
      </c>
      <c r="M120" s="12" t="n">
        <v>601.423</v>
      </c>
      <c r="N120" s="12" t="n">
        <v>949.997</v>
      </c>
      <c r="T120" s="12" t="n">
        <v>203.584</v>
      </c>
      <c r="U120" s="12" t="n">
        <v>494.014</v>
      </c>
      <c r="V120" s="12" t="n">
        <v>581.559</v>
      </c>
      <c r="W120" s="12" t="n">
        <v>538.475</v>
      </c>
      <c r="X120" s="12" t="n">
        <v>652.66</v>
      </c>
    </row>
    <row r="121">
      <c r="A121" s="45" t="inlineStr">
        <is>
          <t>YoY</t>
        </is>
      </c>
      <c r="B121" s="3" t="inlineStr">
        <is>
          <t>전년 같은 분기·전년 대비</t>
        </is>
      </c>
      <c r="G121" s="17">
        <f>IF(OR(G120="",C120=""),"",IF(C120&lt;=0,"",IFERROR(G120/C120-1,"")))</f>
        <v/>
      </c>
      <c r="H121" s="17">
        <f>IF(OR(H120="",D120=""),"",IF(D120&lt;=0,"",IFERROR(H120/D120-1,"")))</f>
        <v/>
      </c>
      <c r="I121" s="17">
        <f>IF(OR(I120="",E120=""),"",IF(E120&lt;=0,"",IFERROR(I120/E120-1,"")))</f>
        <v/>
      </c>
      <c r="J121" s="17">
        <f>IF(OR(J120="",F120=""),"",IF(F120&lt;=0,"",IFERROR(J120/F120-1,"")))</f>
        <v/>
      </c>
      <c r="K121" s="17">
        <f>IF(OR(K120="",G120=""),"",IF(G120&lt;=0,"",IFERROR(K120/G120-1,"")))</f>
        <v/>
      </c>
      <c r="L121" s="17">
        <f>IF(OR(L120="",H120=""),"",IF(H120&lt;=0,"",IFERROR(L120/H120-1,"")))</f>
        <v/>
      </c>
      <c r="M121" s="17">
        <f>IF(OR(M120="",I120=""),"",IF(I120&lt;=0,"",IFERROR(M120/I120-1,"")))</f>
        <v/>
      </c>
      <c r="N121" s="17">
        <f>IF(OR(N120="",J120=""),"",IF(J120&lt;=0,"",IFERROR(N120/J120-1,"")))</f>
        <v/>
      </c>
      <c r="T121" s="17">
        <f>IF(OR(T120="",S120=""),"",IF(S120&lt;=0,"",IFERROR(T120/S120-1,"")))</f>
        <v/>
      </c>
      <c r="U121" s="17">
        <f>IF(OR(U120="",T120=""),"",IF(T120&lt;=0,"",IFERROR(U120/T120-1,"")))</f>
        <v/>
      </c>
      <c r="V121" s="17">
        <f>IF(OR(V120="",U120=""),"",IF(U120&lt;=0,"",IFERROR(V120/U120-1,"")))</f>
        <v/>
      </c>
      <c r="W121" s="17">
        <f>IF(OR(W120="",V120=""),"",IF(V120&lt;=0,"",IFERROR(W120/V120-1,"")))</f>
        <v/>
      </c>
      <c r="X121" s="17">
        <f>IF(OR(X120="",W120=""),"",IF(W120&lt;=0,"",IFERROR(X120/W120-1,"")))</f>
        <v/>
      </c>
    </row>
    <row r="123">
      <c r="A123" s="18" t="inlineStr">
        <is>
          <t>현금흐름표 · 전 항목</t>
        </is>
      </c>
      <c r="B123" s="44" t="inlineStr">
        <is>
          <t>분기 = 결산기 첫날부터 누계(공시 그대로)</t>
        </is>
      </c>
      <c r="C123" s="18" t="n"/>
      <c r="D123" s="18" t="n"/>
      <c r="E123" s="18" t="n"/>
      <c r="F123" s="18" t="n"/>
      <c r="G123" s="18" t="n"/>
      <c r="H123" s="18" t="n"/>
      <c r="I123" s="18" t="n"/>
      <c r="J123" s="18" t="n"/>
      <c r="K123" s="18" t="n"/>
      <c r="L123" s="18" t="n"/>
      <c r="M123" s="18" t="n"/>
      <c r="N123" s="18" t="n"/>
      <c r="O123" s="18" t="n"/>
      <c r="P123" s="18" t="n"/>
      <c r="Q123" s="18" t="n"/>
      <c r="R123" s="18" t="n"/>
      <c r="S123" s="18" t="n"/>
      <c r="T123" s="18" t="n"/>
      <c r="U123" s="18" t="n"/>
      <c r="V123" s="18" t="n"/>
      <c r="W123" s="18" t="n"/>
      <c r="X123" s="18" t="n"/>
      <c r="Y123" s="18" t="n"/>
      <c r="Z123" s="18" t="n"/>
      <c r="AA123" s="18" t="n"/>
      <c r="AB123" s="18" t="n"/>
      <c r="AC123" s="18" t="n"/>
    </row>
    <row r="124">
      <c r="A124" s="5" t="inlineStr">
        <is>
          <t>항목</t>
        </is>
      </c>
      <c r="B124" s="5" t="inlineStr">
        <is>
          <t>참고</t>
        </is>
      </c>
      <c r="C124" s="5" t="inlineStr">
        <is>
          <t>2024.3Q</t>
        </is>
      </c>
      <c r="D124" s="5" t="inlineStr">
        <is>
          <t>2024.4Q</t>
        </is>
      </c>
      <c r="E124" s="5" t="inlineStr">
        <is>
          <t>2025.1Q</t>
        </is>
      </c>
      <c r="F124" s="5" t="inlineStr">
        <is>
          <t>2025.2Q</t>
        </is>
      </c>
      <c r="G124" s="5" t="inlineStr">
        <is>
          <t>2025.3Q</t>
        </is>
      </c>
      <c r="H124" s="5" t="inlineStr">
        <is>
          <t>2025.4Q</t>
        </is>
      </c>
      <c r="I124" s="5" t="inlineStr">
        <is>
          <t>2026.1Q</t>
        </is>
      </c>
      <c r="J124" s="5" t="inlineStr">
        <is>
          <t>2026.2Q</t>
        </is>
      </c>
      <c r="K124" s="5" t="inlineStr">
        <is>
          <t>2026.3Q</t>
        </is>
      </c>
      <c r="L124" s="5" t="inlineStr">
        <is>
          <t>2026.4Q</t>
        </is>
      </c>
      <c r="M124" s="5" t="inlineStr">
        <is>
          <t>2027.1Q</t>
        </is>
      </c>
      <c r="N124" s="5" t="inlineStr">
        <is>
          <t>2027.2Q</t>
        </is>
      </c>
      <c r="O124" s="5" t="inlineStr">
        <is>
          <t>2017</t>
        </is>
      </c>
      <c r="P124" s="5" t="inlineStr">
        <is>
          <t>2018</t>
        </is>
      </c>
      <c r="Q124" s="5" t="inlineStr">
        <is>
          <t>2019</t>
        </is>
      </c>
      <c r="R124" s="5" t="inlineStr">
        <is>
          <t>2020</t>
        </is>
      </c>
      <c r="S124" s="5" t="inlineStr">
        <is>
          <t>2021</t>
        </is>
      </c>
      <c r="T124" s="5" t="inlineStr">
        <is>
          <t>2022</t>
        </is>
      </c>
      <c r="U124" s="5" t="inlineStr">
        <is>
          <t>2023</t>
        </is>
      </c>
      <c r="V124" s="5" t="inlineStr">
        <is>
          <t>2024</t>
        </is>
      </c>
      <c r="W124" s="5" t="inlineStr">
        <is>
          <t>2025</t>
        </is>
      </c>
      <c r="X124" s="5" t="inlineStr">
        <is>
          <t>2026</t>
        </is>
      </c>
      <c r="Y124" s="5" t="inlineStr">
        <is>
          <t>2027(MW)</t>
        </is>
      </c>
      <c r="Z124" s="5" t="inlineStr">
        <is>
          <t>2028(MW)</t>
        </is>
      </c>
      <c r="AA124" s="5" t="inlineStr">
        <is>
          <t>2029(MW)</t>
        </is>
      </c>
      <c r="AB124" s="5" t="inlineStr">
        <is>
          <t>2030(MW)</t>
        </is>
      </c>
      <c r="AC124" s="5" t="inlineStr">
        <is>
          <t>2031(MW)</t>
        </is>
      </c>
    </row>
    <row r="125">
      <c r="A125" s="9" t="inlineStr">
        <is>
          <t>법인세차감전 순이익</t>
        </is>
      </c>
      <c r="D125" s="12" t="n">
        <v>3595.516</v>
      </c>
      <c r="H125" s="12" t="n">
        <v>3908.675</v>
      </c>
      <c r="L125" s="12" t="n">
        <v>4770.362</v>
      </c>
      <c r="O125" s="12" t="n">
        <v>966.755</v>
      </c>
      <c r="P125" s="12" t="n">
        <v>1144.273</v>
      </c>
      <c r="Q125" s="12" t="n">
        <v>1397.935</v>
      </c>
      <c r="R125" s="12" t="n">
        <v>1421.454</v>
      </c>
      <c r="S125" s="12" t="n">
        <v>43.399</v>
      </c>
      <c r="T125" s="12" t="n">
        <v>903.391</v>
      </c>
      <c r="U125" s="12" t="n">
        <v>2866.752</v>
      </c>
      <c r="V125" s="12" t="n">
        <v>3595.516</v>
      </c>
      <c r="W125" s="12" t="n">
        <v>3908.675</v>
      </c>
      <c r="X125" s="12" t="n">
        <v>4770.362</v>
      </c>
    </row>
    <row r="126">
      <c r="A126" s="20" t="inlineStr">
        <is>
          <t>감가상각비</t>
        </is>
      </c>
      <c r="D126" s="22" t="n">
        <v>775.475</v>
      </c>
      <c r="H126" s="22" t="n">
        <v>853.8680000000001</v>
      </c>
      <c r="L126" s="22" t="n">
        <v>915.503</v>
      </c>
      <c r="O126" s="22" t="n">
        <v>303.416</v>
      </c>
      <c r="P126" s="22" t="n">
        <v>402.656</v>
      </c>
      <c r="Q126" s="22" t="n">
        <v>517.664</v>
      </c>
      <c r="R126" s="22" t="n">
        <v>642.72</v>
      </c>
      <c r="S126" s="22" t="n">
        <v>684.54</v>
      </c>
      <c r="T126" s="22" t="n">
        <v>764.413</v>
      </c>
      <c r="U126" s="22" t="n">
        <v>766.877</v>
      </c>
      <c r="V126" s="22" t="n">
        <v>775.475</v>
      </c>
      <c r="W126" s="22" t="n">
        <v>853.8680000000001</v>
      </c>
      <c r="X126" s="22" t="n">
        <v>915.503</v>
      </c>
    </row>
    <row r="127">
      <c r="A127" s="20" t="inlineStr">
        <is>
          <t>임원 퇴직위로 충당금 증감</t>
        </is>
      </c>
      <c r="D127" s="22" t="n">
        <v>7.74</v>
      </c>
      <c r="H127" s="22" t="n">
        <v>8.390000000000001</v>
      </c>
      <c r="L127" s="22" t="n">
        <v>8.609999999999999</v>
      </c>
      <c r="O127" s="22" t="n">
        <v>4.19</v>
      </c>
      <c r="P127" s="22" t="n">
        <v>2.89</v>
      </c>
      <c r="Q127" s="22" t="n">
        <v>6.52</v>
      </c>
      <c r="R127" s="22" t="n">
        <v>6.39</v>
      </c>
      <c r="S127" s="22" t="n">
        <v>5.91</v>
      </c>
      <c r="T127" s="22" t="n">
        <v>1.72</v>
      </c>
      <c r="U127" s="22" t="n">
        <v>7.09</v>
      </c>
      <c r="V127" s="22" t="n">
        <v>7.74</v>
      </c>
      <c r="W127" s="22" t="n">
        <v>8.390000000000001</v>
      </c>
      <c r="X127" s="22" t="n">
        <v>8.609999999999999</v>
      </c>
    </row>
    <row r="128">
      <c r="A128" s="20" t="inlineStr">
        <is>
          <t>기타 특별손익(△는 이익)</t>
        </is>
      </c>
      <c r="O128" s="22" t="n">
        <v>0</v>
      </c>
      <c r="P128" s="22" t="n">
        <v>1.196</v>
      </c>
      <c r="Q128" s="22" t="n">
        <v>0</v>
      </c>
      <c r="R128" s="22" t="n">
        <v>0</v>
      </c>
      <c r="S128" s="22" t="n">
        <v>-16.851</v>
      </c>
      <c r="T128" s="22" t="n">
        <v>19.247</v>
      </c>
      <c r="U128" s="22" t="n">
        <v>0</v>
      </c>
    </row>
    <row r="129">
      <c r="A129" s="20" t="inlineStr">
        <is>
          <t>퇴직급여충당금 증감액</t>
        </is>
      </c>
      <c r="D129" s="22" t="n">
        <v>1.125</v>
      </c>
      <c r="H129" s="22" t="n">
        <v>1.069</v>
      </c>
      <c r="L129" s="22" t="n">
        <v>0.414</v>
      </c>
      <c r="Q129" s="22" t="n">
        <v>0</v>
      </c>
      <c r="R129" s="22" t="n">
        <v>0.463</v>
      </c>
      <c r="S129" s="22" t="n">
        <v>0.875</v>
      </c>
      <c r="T129" s="22" t="n">
        <v>0.249</v>
      </c>
      <c r="U129" s="22" t="n">
        <v>1.235</v>
      </c>
      <c r="V129" s="22" t="n">
        <v>1.125</v>
      </c>
      <c r="W129" s="22" t="n">
        <v>1.069</v>
      </c>
      <c r="X129" s="22" t="n">
        <v>0.414</v>
      </c>
    </row>
    <row r="130">
      <c r="A130" s="20" t="inlineStr">
        <is>
          <t>고정자산 매각이익</t>
        </is>
      </c>
      <c r="D130" s="22" t="n">
        <v>-32.598</v>
      </c>
      <c r="H130" s="22" t="n">
        <v>0</v>
      </c>
      <c r="T130" s="22" t="n">
        <v>0</v>
      </c>
      <c r="U130" s="22" t="n">
        <v>-27.584</v>
      </c>
      <c r="V130" s="22" t="n">
        <v>-32.598</v>
      </c>
      <c r="W130" s="22" t="n">
        <v>0</v>
      </c>
    </row>
    <row r="131">
      <c r="A131" s="20" t="inlineStr">
        <is>
          <t>고정자산 제각손실</t>
        </is>
      </c>
      <c r="D131" s="22" t="n">
        <v>0</v>
      </c>
      <c r="O131" s="22" t="n">
        <v>1.685</v>
      </c>
      <c r="P131" s="22" t="n">
        <v>0.442</v>
      </c>
      <c r="Q131" s="22" t="n">
        <v>0.414</v>
      </c>
      <c r="R131" s="22" t="n">
        <v>3.484</v>
      </c>
      <c r="S131" s="22" t="n">
        <v>0</v>
      </c>
      <c r="T131" s="22" t="n">
        <v>0</v>
      </c>
      <c r="U131" s="22" t="n">
        <v>0.859</v>
      </c>
      <c r="V131" s="22" t="n">
        <v>0</v>
      </c>
    </row>
    <row r="132">
      <c r="A132" s="20" t="inlineStr">
        <is>
          <t>고정자산 압축손실</t>
        </is>
      </c>
      <c r="P132" s="22" t="n">
        <v>0</v>
      </c>
      <c r="Q132" s="22" t="n">
        <v>76.13200000000001</v>
      </c>
      <c r="R132" s="22" t="n">
        <v>0</v>
      </c>
    </row>
    <row r="133">
      <c r="A133" s="20" t="inlineStr">
        <is>
          <t>임대차계약 해약손실</t>
        </is>
      </c>
      <c r="Q133" s="22" t="n">
        <v>0</v>
      </c>
      <c r="R133" s="22" t="n">
        <v>116.052</v>
      </c>
      <c r="S133" s="22" t="n">
        <v>0</v>
      </c>
    </row>
    <row r="134">
      <c r="A134" s="20" t="inlineStr">
        <is>
          <t>손상차손</t>
        </is>
      </c>
      <c r="D134" s="22" t="n">
        <v>0</v>
      </c>
      <c r="H134" s="22" t="n">
        <v>0</v>
      </c>
      <c r="L134" s="22" t="n">
        <v>59.771</v>
      </c>
      <c r="T134" s="22" t="n">
        <v>0</v>
      </c>
      <c r="U134" s="22" t="n">
        <v>84.133</v>
      </c>
      <c r="V134" s="22" t="n">
        <v>0</v>
      </c>
      <c r="W134" s="22" t="n">
        <v>0</v>
      </c>
      <c r="X134" s="22" t="n">
        <v>59.771</v>
      </c>
    </row>
    <row r="135">
      <c r="A135" s="20" t="inlineStr">
        <is>
          <t>이자·배당금 수익</t>
        </is>
      </c>
      <c r="D135" s="22" t="n">
        <v>-0.033</v>
      </c>
      <c r="H135" s="22" t="n">
        <v>-2.043</v>
      </c>
      <c r="L135" s="22" t="n">
        <v>-9.351000000000001</v>
      </c>
      <c r="O135" s="22" t="n">
        <v>-0.015</v>
      </c>
      <c r="P135" s="22" t="n">
        <v>-0.011</v>
      </c>
      <c r="Q135" s="22" t="n">
        <v>-0.012</v>
      </c>
      <c r="R135" s="22" t="n">
        <v>-0.015</v>
      </c>
      <c r="S135" s="22" t="n">
        <v>-0.022</v>
      </c>
      <c r="T135" s="22" t="n">
        <v>-0.021</v>
      </c>
      <c r="U135" s="22" t="n">
        <v>-0.025</v>
      </c>
      <c r="V135" s="22" t="n">
        <v>-0.033</v>
      </c>
      <c r="W135" s="22" t="n">
        <v>-2.043</v>
      </c>
      <c r="X135" s="22" t="n">
        <v>-9.351000000000001</v>
      </c>
    </row>
    <row r="136">
      <c r="A136" s="20" t="inlineStr">
        <is>
          <t>이자비용</t>
        </is>
      </c>
      <c r="D136" s="22" t="n">
        <v>67.04600000000001</v>
      </c>
      <c r="H136" s="22" t="n">
        <v>76.255</v>
      </c>
      <c r="L136" s="22" t="n">
        <v>95.39400000000001</v>
      </c>
      <c r="O136" s="22" t="n">
        <v>62.856</v>
      </c>
      <c r="P136" s="22" t="n">
        <v>66.777</v>
      </c>
      <c r="Q136" s="22" t="n">
        <v>69.61799999999999</v>
      </c>
      <c r="R136" s="22" t="n">
        <v>75.587</v>
      </c>
      <c r="S136" s="22" t="n">
        <v>76.339</v>
      </c>
      <c r="T136" s="22" t="n">
        <v>76.73</v>
      </c>
      <c r="U136" s="22" t="n">
        <v>72.54600000000001</v>
      </c>
      <c r="V136" s="22" t="n">
        <v>67.04600000000001</v>
      </c>
      <c r="W136" s="22" t="n">
        <v>76.255</v>
      </c>
      <c r="X136" s="22" t="n">
        <v>95.39400000000001</v>
      </c>
    </row>
    <row r="137">
      <c r="A137" s="20" t="inlineStr">
        <is>
          <t>주식교부비 상각</t>
        </is>
      </c>
      <c r="O137" s="22" t="n">
        <v>0</v>
      </c>
      <c r="P137" s="22" t="n">
        <v>0.634</v>
      </c>
      <c r="Q137" s="22" t="n">
        <v>1.903</v>
      </c>
      <c r="R137" s="22" t="n">
        <v>1.903</v>
      </c>
      <c r="S137" s="22" t="n">
        <v>1.268</v>
      </c>
      <c r="T137" s="22" t="n">
        <v>0</v>
      </c>
    </row>
    <row r="138">
      <c r="A138" s="20" t="inlineStr">
        <is>
          <t>국고보조금</t>
        </is>
      </c>
      <c r="P138" s="22" t="n">
        <v>0</v>
      </c>
      <c r="Q138" s="22" t="n">
        <v>-76.13200000000001</v>
      </c>
      <c r="R138" s="22" t="n">
        <v>0</v>
      </c>
    </row>
    <row r="139">
      <c r="A139" s="20" t="inlineStr">
        <is>
          <t>고정자산 매각손익</t>
        </is>
      </c>
      <c r="Q139" s="22" t="n">
        <v>0</v>
      </c>
      <c r="R139" s="22" t="n">
        <v>-243.611</v>
      </c>
      <c r="S139" s="22" t="n">
        <v>0</v>
      </c>
    </row>
    <row r="140">
      <c r="A140" s="20" t="inlineStr">
        <is>
          <t>매출채권 증감</t>
        </is>
      </c>
      <c r="D140" s="22" t="n">
        <v>-21.597</v>
      </c>
      <c r="H140" s="22" t="n">
        <v>-56.912</v>
      </c>
      <c r="L140" s="22" t="n">
        <v>-179.642</v>
      </c>
      <c r="O140" s="22" t="n">
        <v>-42.534</v>
      </c>
      <c r="P140" s="22" t="n">
        <v>-34.899</v>
      </c>
      <c r="Q140" s="22" t="n">
        <v>-72.69799999999999</v>
      </c>
      <c r="R140" s="22" t="n">
        <v>41.949</v>
      </c>
      <c r="S140" s="22" t="n">
        <v>-58.614</v>
      </c>
      <c r="T140" s="22" t="n">
        <v>-90.06699999999999</v>
      </c>
      <c r="U140" s="22" t="n">
        <v>-248.891</v>
      </c>
      <c r="V140" s="22" t="n">
        <v>-21.597</v>
      </c>
      <c r="W140" s="22" t="n">
        <v>-56.912</v>
      </c>
      <c r="X140" s="22" t="n">
        <v>-179.642</v>
      </c>
    </row>
    <row r="141">
      <c r="A141" s="20" t="inlineStr">
        <is>
          <t>재고자산 증감</t>
        </is>
      </c>
      <c r="D141" s="22" t="n">
        <v>2.593</v>
      </c>
      <c r="H141" s="22" t="n">
        <v>-1.861</v>
      </c>
      <c r="L141" s="22" t="n">
        <v>-6.726</v>
      </c>
      <c r="O141" s="22" t="n">
        <v>-9.409000000000001</v>
      </c>
      <c r="P141" s="22" t="n">
        <v>4.188</v>
      </c>
      <c r="Q141" s="22" t="n">
        <v>-13.08</v>
      </c>
      <c r="R141" s="22" t="n">
        <v>6.517</v>
      </c>
      <c r="S141" s="22" t="n">
        <v>-2.941</v>
      </c>
      <c r="T141" s="22" t="n">
        <v>2.591</v>
      </c>
      <c r="U141" s="22" t="n">
        <v>-4.019</v>
      </c>
      <c r="V141" s="22" t="n">
        <v>2.593</v>
      </c>
      <c r="W141" s="22" t="n">
        <v>-1.861</v>
      </c>
      <c r="X141" s="22" t="n">
        <v>-6.726</v>
      </c>
    </row>
    <row r="142">
      <c r="A142" s="20" t="inlineStr">
        <is>
          <t>미지급·미수 소비세 등 증감액</t>
        </is>
      </c>
      <c r="D142" s="22" t="n">
        <v>-115.103</v>
      </c>
      <c r="H142" s="22" t="n">
        <v>-208.183</v>
      </c>
      <c r="L142" s="22" t="n">
        <v>366.997</v>
      </c>
      <c r="O142" s="22" t="n">
        <v>-143.264</v>
      </c>
      <c r="P142" s="22" t="n">
        <v>75.503</v>
      </c>
      <c r="Q142" s="22" t="n">
        <v>-52.726</v>
      </c>
      <c r="R142" s="22" t="n">
        <v>257.932</v>
      </c>
      <c r="S142" s="22" t="n">
        <v>-420.244</v>
      </c>
      <c r="T142" s="22" t="n">
        <v>484.985</v>
      </c>
      <c r="U142" s="22" t="n">
        <v>5.949</v>
      </c>
      <c r="V142" s="22" t="n">
        <v>-115.103</v>
      </c>
      <c r="W142" s="22" t="n">
        <v>-208.183</v>
      </c>
      <c r="X142" s="22" t="n">
        <v>366.997</v>
      </c>
    </row>
    <row r="143">
      <c r="A143" s="20" t="inlineStr">
        <is>
          <t>기타 자산 증감</t>
        </is>
      </c>
      <c r="D143" s="22" t="n">
        <v>-5.565</v>
      </c>
      <c r="H143" s="22" t="n">
        <v>20.395</v>
      </c>
      <c r="L143" s="22" t="n">
        <v>-11.367</v>
      </c>
      <c r="O143" s="22" t="n">
        <v>-50.703</v>
      </c>
      <c r="P143" s="22" t="n">
        <v>-8.092000000000001</v>
      </c>
      <c r="Q143" s="22" t="n">
        <v>1.972</v>
      </c>
      <c r="R143" s="22" t="n">
        <v>-20.039</v>
      </c>
      <c r="S143" s="22" t="n">
        <v>6.833</v>
      </c>
      <c r="T143" s="22" t="n">
        <v>15.488</v>
      </c>
      <c r="U143" s="22" t="n">
        <v>-3.974</v>
      </c>
      <c r="V143" s="22" t="n">
        <v>-5.565</v>
      </c>
      <c r="W143" s="22" t="n">
        <v>20.395</v>
      </c>
      <c r="X143" s="22" t="n">
        <v>-11.367</v>
      </c>
    </row>
    <row r="144">
      <c r="A144" s="20" t="inlineStr">
        <is>
          <t>기타 부채 증감</t>
        </is>
      </c>
      <c r="D144" s="22" t="n">
        <v>95.23399999999999</v>
      </c>
      <c r="H144" s="22" t="n">
        <v>128.397</v>
      </c>
      <c r="L144" s="22" t="n">
        <v>85.05200000000001</v>
      </c>
      <c r="O144" s="22" t="n">
        <v>152.516</v>
      </c>
      <c r="P144" s="22" t="n">
        <v>129.184</v>
      </c>
      <c r="Q144" s="22" t="n">
        <v>173.595</v>
      </c>
      <c r="R144" s="22" t="n">
        <v>89.307</v>
      </c>
      <c r="S144" s="22" t="n">
        <v>67.515</v>
      </c>
      <c r="T144" s="22" t="n">
        <v>-35.525</v>
      </c>
      <c r="U144" s="22" t="n">
        <v>116.413</v>
      </c>
      <c r="V144" s="22" t="n">
        <v>95.23399999999999</v>
      </c>
      <c r="W144" s="22" t="n">
        <v>128.397</v>
      </c>
      <c r="X144" s="22" t="n">
        <v>85.05200000000001</v>
      </c>
    </row>
    <row r="145">
      <c r="A145" s="20" t="inlineStr">
        <is>
          <t>소계</t>
        </is>
      </c>
      <c r="D145" s="22" t="n">
        <v>4369.833</v>
      </c>
      <c r="H145" s="22" t="n">
        <v>4728.051</v>
      </c>
      <c r="L145" s="22" t="n">
        <v>6095.018</v>
      </c>
      <c r="O145" s="22" t="n">
        <v>1245.492</v>
      </c>
      <c r="P145" s="22" t="n">
        <v>1784.743</v>
      </c>
      <c r="Q145" s="22" t="n">
        <v>2031.105</v>
      </c>
      <c r="R145" s="22" t="n">
        <v>2400.097</v>
      </c>
      <c r="S145" s="22" t="n">
        <v>388.007</v>
      </c>
      <c r="T145" s="22" t="n">
        <v>2143.201</v>
      </c>
      <c r="U145" s="22" t="n">
        <v>3637.361</v>
      </c>
      <c r="V145" s="22" t="n">
        <v>4369.833</v>
      </c>
      <c r="W145" s="22" t="n">
        <v>4728.051</v>
      </c>
      <c r="X145" s="22" t="n">
        <v>6095.018</v>
      </c>
    </row>
    <row r="146">
      <c r="A146" s="20" t="inlineStr">
        <is>
          <t>이자·배당금 수취</t>
        </is>
      </c>
      <c r="D146" s="22" t="n">
        <v>0.033</v>
      </c>
      <c r="H146" s="22" t="n">
        <v>2.043</v>
      </c>
      <c r="L146" s="22" t="n">
        <v>9.351000000000001</v>
      </c>
      <c r="O146" s="22" t="n">
        <v>0.015</v>
      </c>
      <c r="P146" s="22" t="n">
        <v>0.011</v>
      </c>
      <c r="Q146" s="22" t="n">
        <v>0.012</v>
      </c>
      <c r="R146" s="22" t="n">
        <v>0.015</v>
      </c>
      <c r="S146" s="22" t="n">
        <v>0.022</v>
      </c>
      <c r="T146" s="22" t="n">
        <v>0.021</v>
      </c>
      <c r="U146" s="22" t="n">
        <v>0.025</v>
      </c>
      <c r="V146" s="22" t="n">
        <v>0.033</v>
      </c>
      <c r="W146" s="22" t="n">
        <v>2.043</v>
      </c>
      <c r="X146" s="22" t="n">
        <v>9.351000000000001</v>
      </c>
    </row>
    <row r="147">
      <c r="A147" s="20" t="inlineStr">
        <is>
          <t>이자 지급</t>
        </is>
      </c>
      <c r="D147" s="22" t="n">
        <v>-66.756</v>
      </c>
      <c r="H147" s="22" t="n">
        <v>-77.054</v>
      </c>
      <c r="L147" s="22" t="n">
        <v>-95.905</v>
      </c>
      <c r="O147" s="22" t="n">
        <v>-62.835</v>
      </c>
      <c r="P147" s="22" t="n">
        <v>-66.616</v>
      </c>
      <c r="Q147" s="22" t="n">
        <v>-69.56399999999999</v>
      </c>
      <c r="R147" s="22" t="n">
        <v>-75.959</v>
      </c>
      <c r="S147" s="22" t="n">
        <v>-76.41200000000001</v>
      </c>
      <c r="T147" s="22" t="n">
        <v>-76.47799999999999</v>
      </c>
      <c r="U147" s="22" t="n">
        <v>-72.259</v>
      </c>
      <c r="V147" s="22" t="n">
        <v>-66.756</v>
      </c>
      <c r="W147" s="22" t="n">
        <v>-77.054</v>
      </c>
      <c r="X147" s="22" t="n">
        <v>-95.905</v>
      </c>
    </row>
    <row r="148">
      <c r="A148" s="20" t="inlineStr">
        <is>
          <t>법인세 납부</t>
        </is>
      </c>
      <c r="D148" s="22" t="n">
        <v>-1460.225</v>
      </c>
      <c r="H148" s="22" t="n">
        <v>-1375.923</v>
      </c>
      <c r="L148" s="22" t="n">
        <v>-1477.268</v>
      </c>
      <c r="O148" s="22" t="n">
        <v>-610.486</v>
      </c>
      <c r="P148" s="22" t="n">
        <v>-306.055</v>
      </c>
      <c r="Q148" s="22" t="n">
        <v>-497.703</v>
      </c>
      <c r="R148" s="22" t="n">
        <v>-610.177</v>
      </c>
      <c r="S148" s="22" t="n">
        <v>-321.997</v>
      </c>
      <c r="T148" s="22" t="n">
        <v>-10.274</v>
      </c>
      <c r="U148" s="22" t="n">
        <v>-568.138</v>
      </c>
      <c r="V148" s="22" t="n">
        <v>-1460.225</v>
      </c>
      <c r="W148" s="22" t="n">
        <v>-1375.923</v>
      </c>
      <c r="X148" s="22" t="n">
        <v>-1477.268</v>
      </c>
    </row>
    <row r="149">
      <c r="A149" s="9" t="inlineStr">
        <is>
          <t>영업활동 현금흐름</t>
        </is>
      </c>
      <c r="D149" s="12" t="n">
        <v>2842.884</v>
      </c>
      <c r="H149" s="12" t="n">
        <v>3277.116</v>
      </c>
      <c r="L149" s="12" t="n">
        <v>4531.195</v>
      </c>
      <c r="O149" s="12" t="n">
        <v>572.186</v>
      </c>
      <c r="P149" s="12" t="n">
        <v>1412.082</v>
      </c>
      <c r="Q149" s="12" t="n">
        <v>1463.849</v>
      </c>
      <c r="R149" s="12" t="n">
        <v>1713.975</v>
      </c>
      <c r="S149" s="12" t="n">
        <v>-10.379</v>
      </c>
      <c r="T149" s="12" t="n">
        <v>2056.47</v>
      </c>
      <c r="U149" s="12" t="n">
        <v>2996.988</v>
      </c>
      <c r="V149" s="12" t="n">
        <v>2842.884</v>
      </c>
      <c r="W149" s="12" t="n">
        <v>3277.116</v>
      </c>
      <c r="X149" s="12" t="n">
        <v>4531.195</v>
      </c>
    </row>
    <row r="150">
      <c r="A150" s="20" t="inlineStr">
        <is>
          <t>유형자산 매각</t>
        </is>
      </c>
      <c r="D150" s="22" t="n">
        <v>112</v>
      </c>
      <c r="H150" s="22" t="n">
        <v>0</v>
      </c>
      <c r="Q150" s="22" t="n">
        <v>0</v>
      </c>
      <c r="R150" s="22" t="n">
        <v>1846.191</v>
      </c>
      <c r="S150" s="22" t="n">
        <v>0</v>
      </c>
      <c r="T150" s="22" t="n">
        <v>0</v>
      </c>
      <c r="U150" s="22" t="n">
        <v>187.922</v>
      </c>
      <c r="V150" s="22" t="n">
        <v>112</v>
      </c>
      <c r="W150" s="22" t="n">
        <v>0</v>
      </c>
    </row>
    <row r="151">
      <c r="A151" s="20" t="inlineStr">
        <is>
          <t>정기예금 예입</t>
        </is>
      </c>
      <c r="H151" s="22" t="n">
        <v>0</v>
      </c>
      <c r="L151" s="22" t="n">
        <v>-600</v>
      </c>
      <c r="W151" s="22" t="n">
        <v>0</v>
      </c>
      <c r="X151" s="22" t="n">
        <v>-600</v>
      </c>
    </row>
    <row r="152">
      <c r="A152" s="20" t="inlineStr">
        <is>
          <t>정기예금 인출</t>
        </is>
      </c>
      <c r="H152" s="22" t="n">
        <v>0</v>
      </c>
      <c r="L152" s="22" t="n">
        <v>300</v>
      </c>
      <c r="W152" s="22" t="n">
        <v>0</v>
      </c>
      <c r="X152" s="22" t="n">
        <v>300</v>
      </c>
    </row>
    <row r="153">
      <c r="A153" s="20" t="inlineStr">
        <is>
          <t>유형자산 취득(설비투자)</t>
        </is>
      </c>
      <c r="D153" s="22" t="n">
        <v>-1267.552</v>
      </c>
      <c r="H153" s="22" t="n">
        <v>-3805.804</v>
      </c>
      <c r="L153" s="22" t="n">
        <v>-1593.115</v>
      </c>
      <c r="O153" s="22" t="n">
        <v>-1597.056</v>
      </c>
      <c r="P153" s="22" t="n">
        <v>-2054.587</v>
      </c>
      <c r="Q153" s="22" t="n">
        <v>-2334.895</v>
      </c>
      <c r="R153" s="22" t="n">
        <v>-2392.752</v>
      </c>
      <c r="S153" s="22" t="n">
        <v>-2072.141</v>
      </c>
      <c r="T153" s="22" t="n">
        <v>-509.876</v>
      </c>
      <c r="U153" s="22" t="n">
        <v>-376.622</v>
      </c>
      <c r="V153" s="22" t="n">
        <v>-1267.552</v>
      </c>
      <c r="W153" s="22" t="n">
        <v>-3805.804</v>
      </c>
      <c r="X153" s="22" t="n">
        <v>-1593.115</v>
      </c>
    </row>
    <row r="154">
      <c r="A154" s="20" t="inlineStr">
        <is>
          <t>투자유가증권 취득</t>
        </is>
      </c>
      <c r="Q154" s="22" t="n">
        <v>0</v>
      </c>
      <c r="R154" s="22" t="n">
        <v>-0.5</v>
      </c>
      <c r="S154" s="22" t="n">
        <v>0</v>
      </c>
    </row>
    <row r="155">
      <c r="A155" s="20" t="inlineStr">
        <is>
          <t>보증금 납입</t>
        </is>
      </c>
      <c r="D155" s="22" t="n">
        <v>-0.275</v>
      </c>
      <c r="H155" s="22" t="n">
        <v>-0.1</v>
      </c>
      <c r="L155" s="22" t="n">
        <v>-6.057</v>
      </c>
      <c r="O155" s="22" t="n">
        <v>-74.753</v>
      </c>
      <c r="P155" s="22" t="n">
        <v>-67.325</v>
      </c>
      <c r="Q155" s="22" t="n">
        <v>-59.981</v>
      </c>
      <c r="R155" s="22" t="n">
        <v>-91.714</v>
      </c>
      <c r="S155" s="22" t="n">
        <v>-10.125</v>
      </c>
      <c r="T155" s="22" t="n">
        <v>-0.448</v>
      </c>
      <c r="U155" s="22" t="n">
        <v>-4.843</v>
      </c>
      <c r="V155" s="22" t="n">
        <v>-0.275</v>
      </c>
      <c r="W155" s="22" t="n">
        <v>-0.1</v>
      </c>
      <c r="X155" s="22" t="n">
        <v>-6.057</v>
      </c>
    </row>
    <row r="156">
      <c r="A156" s="20" t="inlineStr">
        <is>
          <t>보험적립금 해약</t>
        </is>
      </c>
      <c r="Q156" s="22" t="n">
        <v>0</v>
      </c>
      <c r="R156" s="22" t="n">
        <v>8.800000000000001</v>
      </c>
      <c r="S156" s="22" t="n">
        <v>7.194</v>
      </c>
      <c r="T156" s="22" t="n">
        <v>0</v>
      </c>
    </row>
    <row r="157">
      <c r="A157" s="20" t="inlineStr">
        <is>
          <t>기타</t>
        </is>
      </c>
      <c r="D157" s="22" t="n">
        <v>-6.069</v>
      </c>
      <c r="H157" s="22" t="n">
        <v>27.135</v>
      </c>
      <c r="L157" s="22" t="n">
        <v>-109.902</v>
      </c>
      <c r="O157" s="22" t="n">
        <v>-4.477</v>
      </c>
      <c r="P157" s="22" t="n">
        <v>-9.83</v>
      </c>
      <c r="Q157" s="22" t="n">
        <v>-9.657</v>
      </c>
      <c r="R157" s="22" t="n">
        <v>-7.255</v>
      </c>
      <c r="S157" s="22" t="n">
        <v>9.17</v>
      </c>
      <c r="T157" s="22" t="n">
        <v>-5.794</v>
      </c>
      <c r="U157" s="22" t="n">
        <v>-0.883</v>
      </c>
      <c r="V157" s="22" t="n">
        <v>-6.069</v>
      </c>
      <c r="W157" s="22" t="n">
        <v>27.135</v>
      </c>
      <c r="X157" s="22" t="n">
        <v>-109.902</v>
      </c>
    </row>
    <row r="158">
      <c r="A158" s="9" t="inlineStr">
        <is>
          <t>투자활동 현금흐름</t>
        </is>
      </c>
      <c r="D158" s="12" t="n">
        <v>-1161.896</v>
      </c>
      <c r="H158" s="12" t="n">
        <v>-3778.769</v>
      </c>
      <c r="L158" s="12" t="n">
        <v>-2009.076</v>
      </c>
      <c r="O158" s="12" t="n">
        <v>-1676.287</v>
      </c>
      <c r="P158" s="12" t="n">
        <v>-2131.743</v>
      </c>
      <c r="Q158" s="12" t="n">
        <v>-2404.534</v>
      </c>
      <c r="R158" s="12" t="n">
        <v>-637.23</v>
      </c>
      <c r="S158" s="12" t="n">
        <v>-2065.902</v>
      </c>
      <c r="T158" s="12" t="n">
        <v>-516.1180000000001</v>
      </c>
      <c r="U158" s="12" t="n">
        <v>-194.427</v>
      </c>
      <c r="V158" s="12" t="n">
        <v>-1161.896</v>
      </c>
      <c r="W158" s="12" t="n">
        <v>-3778.769</v>
      </c>
      <c r="X158" s="12" t="n">
        <v>-2009.076</v>
      </c>
    </row>
    <row r="159">
      <c r="A159" s="20" t="inlineStr">
        <is>
          <t>단기차입금 순증감</t>
        </is>
      </c>
      <c r="D159" s="22" t="n">
        <v>130</v>
      </c>
      <c r="H159" s="22" t="n">
        <v>391</v>
      </c>
      <c r="L159" s="22" t="n">
        <v>-521</v>
      </c>
      <c r="O159" s="22" t="n">
        <v>410</v>
      </c>
      <c r="P159" s="22" t="n">
        <v>-410</v>
      </c>
      <c r="Q159" s="22" t="n">
        <v>0</v>
      </c>
      <c r="R159" s="22" t="n">
        <v>250</v>
      </c>
      <c r="S159" s="22" t="n">
        <v>-250</v>
      </c>
      <c r="T159" s="22" t="n">
        <v>0</v>
      </c>
      <c r="U159" s="22" t="n">
        <v>0</v>
      </c>
      <c r="V159" s="22" t="n">
        <v>130</v>
      </c>
      <c r="W159" s="22" t="n">
        <v>391</v>
      </c>
      <c r="X159" s="22" t="n">
        <v>-521</v>
      </c>
    </row>
    <row r="160">
      <c r="A160" s="20" t="inlineStr">
        <is>
          <t>장기차입</t>
        </is>
      </c>
      <c r="D160" s="22" t="n">
        <v>1050</v>
      </c>
      <c r="H160" s="22" t="n">
        <v>2400</v>
      </c>
      <c r="L160" s="22" t="n">
        <v>1700</v>
      </c>
      <c r="O160" s="22" t="n">
        <v>930</v>
      </c>
      <c r="P160" s="22" t="n">
        <v>2750</v>
      </c>
      <c r="Q160" s="22" t="n">
        <v>2900</v>
      </c>
      <c r="R160" s="22" t="n">
        <v>2000</v>
      </c>
      <c r="S160" s="22" t="n">
        <v>3200</v>
      </c>
      <c r="T160" s="22" t="n">
        <v>500</v>
      </c>
      <c r="U160" s="22" t="n">
        <v>600</v>
      </c>
      <c r="V160" s="22" t="n">
        <v>1050</v>
      </c>
      <c r="W160" s="22" t="n">
        <v>2400</v>
      </c>
      <c r="X160" s="22" t="n">
        <v>1700</v>
      </c>
    </row>
    <row r="161">
      <c r="A161" s="20" t="inlineStr">
        <is>
          <t>장기차입금 상환</t>
        </is>
      </c>
      <c r="D161" s="22" t="n">
        <v>-1758.316</v>
      </c>
      <c r="H161" s="22" t="n">
        <v>-1755.126</v>
      </c>
      <c r="L161" s="22" t="n">
        <v>-1771.066</v>
      </c>
      <c r="O161" s="22" t="n">
        <v>-597.65</v>
      </c>
      <c r="P161" s="22" t="n">
        <v>-769.076</v>
      </c>
      <c r="Q161" s="22" t="n">
        <v>-1055.796</v>
      </c>
      <c r="R161" s="22" t="n">
        <v>-2189.606</v>
      </c>
      <c r="S161" s="22" t="n">
        <v>-1467.884</v>
      </c>
      <c r="T161" s="22" t="n">
        <v>-1467.192</v>
      </c>
      <c r="U161" s="22" t="n">
        <v>-1720.902</v>
      </c>
      <c r="V161" s="22" t="n">
        <v>-1758.316</v>
      </c>
      <c r="W161" s="22" t="n">
        <v>-1755.126</v>
      </c>
      <c r="X161" s="22" t="n">
        <v>-1771.066</v>
      </c>
    </row>
    <row r="162">
      <c r="A162" s="20" t="inlineStr">
        <is>
          <t>주식 발행</t>
        </is>
      </c>
      <c r="O162" s="22" t="n">
        <v>0</v>
      </c>
      <c r="P162" s="22" t="n">
        <v>507.84</v>
      </c>
      <c r="Q162" s="22" t="n">
        <v>0</v>
      </c>
    </row>
    <row r="163">
      <c r="A163" s="20" t="inlineStr">
        <is>
          <t>배당금 지급</t>
        </is>
      </c>
      <c r="D163" s="22" t="n">
        <v>-170.092</v>
      </c>
      <c r="H163" s="22" t="n">
        <v>-226.767</v>
      </c>
      <c r="L163" s="22" t="n">
        <v>-283.501</v>
      </c>
      <c r="O163" s="22" t="n">
        <v>-22.176</v>
      </c>
      <c r="P163" s="22" t="n">
        <v>-22.176</v>
      </c>
      <c r="Q163" s="22" t="n">
        <v>-70.861</v>
      </c>
      <c r="R163" s="22" t="n">
        <v>-85.042</v>
      </c>
      <c r="S163" s="22" t="n">
        <v>-85.03700000000001</v>
      </c>
      <c r="T163" s="22" t="n">
        <v>-14.178</v>
      </c>
      <c r="U163" s="22" t="n">
        <v>-56.701</v>
      </c>
      <c r="V163" s="22" t="n">
        <v>-170.092</v>
      </c>
      <c r="W163" s="22" t="n">
        <v>-226.767</v>
      </c>
      <c r="X163" s="22" t="n">
        <v>-283.501</v>
      </c>
    </row>
    <row r="164">
      <c r="A164" s="20" t="inlineStr">
        <is>
          <t>자기주식 취득</t>
        </is>
      </c>
      <c r="D164" s="22" t="n">
        <v>-0.119</v>
      </c>
      <c r="H164" s="22" t="n">
        <v>-0.055</v>
      </c>
      <c r="L164" s="22" t="n">
        <v>0</v>
      </c>
      <c r="O164" s="22" t="n">
        <v>0</v>
      </c>
      <c r="P164" s="22" t="n">
        <v>-0.439</v>
      </c>
      <c r="Q164" s="22" t="n">
        <v>-0.154</v>
      </c>
      <c r="R164" s="22" t="n">
        <v>0</v>
      </c>
      <c r="S164" s="22" t="n">
        <v>-0.08699999999999999</v>
      </c>
      <c r="T164" s="22" t="n">
        <v>-0.042</v>
      </c>
      <c r="U164" s="22" t="n">
        <v>-0.043</v>
      </c>
      <c r="V164" s="22" t="n">
        <v>-0.119</v>
      </c>
      <c r="W164" s="22" t="n">
        <v>-0.055</v>
      </c>
      <c r="X164" s="22" t="n">
        <v>0</v>
      </c>
    </row>
    <row r="165">
      <c r="A165" s="20" t="inlineStr">
        <is>
          <t>리스부채 상환</t>
        </is>
      </c>
      <c r="D165" s="22" t="n">
        <v>-280.245</v>
      </c>
      <c r="H165" s="22" t="n">
        <v>-295.677</v>
      </c>
      <c r="L165" s="22" t="n">
        <v>-317.522</v>
      </c>
      <c r="O165" s="22" t="n">
        <v>-107.584</v>
      </c>
      <c r="P165" s="22" t="n">
        <v>-156.194</v>
      </c>
      <c r="Q165" s="22" t="n">
        <v>-196.184</v>
      </c>
      <c r="R165" s="22" t="n">
        <v>-372.364</v>
      </c>
      <c r="S165" s="22" t="n">
        <v>-242.056</v>
      </c>
      <c r="T165" s="22" t="n">
        <v>-262.207</v>
      </c>
      <c r="U165" s="22" t="n">
        <v>-270.941</v>
      </c>
      <c r="V165" s="22" t="n">
        <v>-280.245</v>
      </c>
      <c r="W165" s="22" t="n">
        <v>-295.677</v>
      </c>
      <c r="X165" s="22" t="n">
        <v>-317.522</v>
      </c>
    </row>
    <row r="166">
      <c r="A166" s="20" t="inlineStr">
        <is>
          <t>세일앤리스백 수입</t>
        </is>
      </c>
      <c r="D166" s="22" t="n">
        <v>156.161</v>
      </c>
      <c r="H166" s="22" t="n">
        <v>322.745</v>
      </c>
      <c r="L166" s="22" t="n">
        <v>462.097</v>
      </c>
      <c r="T166" s="22" t="n">
        <v>0</v>
      </c>
      <c r="U166" s="22" t="n">
        <v>145.205</v>
      </c>
      <c r="V166" s="22" t="n">
        <v>156.161</v>
      </c>
      <c r="W166" s="22" t="n">
        <v>322.745</v>
      </c>
      <c r="X166" s="22" t="n">
        <v>462.097</v>
      </c>
    </row>
    <row r="167">
      <c r="A167" s="9" t="inlineStr">
        <is>
          <t>재무활동 현금흐름</t>
        </is>
      </c>
      <c r="D167" s="12" t="n">
        <v>-872.612</v>
      </c>
      <c r="H167" s="12" t="n">
        <v>836.119</v>
      </c>
      <c r="L167" s="12" t="n">
        <v>-730.991</v>
      </c>
      <c r="O167" s="12" t="n">
        <v>612.5890000000001</v>
      </c>
      <c r="P167" s="12" t="n">
        <v>1899.954</v>
      </c>
      <c r="Q167" s="12" t="n">
        <v>1577.004</v>
      </c>
      <c r="R167" s="12" t="n">
        <v>-397.012</v>
      </c>
      <c r="S167" s="12" t="n">
        <v>1154.935</v>
      </c>
      <c r="T167" s="12" t="n">
        <v>-1243.621</v>
      </c>
      <c r="U167" s="12" t="n">
        <v>-1303.383</v>
      </c>
      <c r="V167" s="12" t="n">
        <v>-872.612</v>
      </c>
      <c r="W167" s="12" t="n">
        <v>836.119</v>
      </c>
      <c r="X167" s="12" t="n">
        <v>-730.991</v>
      </c>
    </row>
    <row r="168">
      <c r="A168" s="20" t="inlineStr">
        <is>
          <t>현금성자산 증감</t>
        </is>
      </c>
      <c r="D168" s="22" t="n">
        <v>808.376</v>
      </c>
      <c r="H168" s="22" t="n">
        <v>334.466</v>
      </c>
      <c r="L168" s="22" t="n">
        <v>1791.128</v>
      </c>
      <c r="O168" s="22" t="n">
        <v>-491.511</v>
      </c>
      <c r="P168" s="22" t="n">
        <v>1180.293</v>
      </c>
      <c r="Q168" s="22" t="n">
        <v>636.319</v>
      </c>
      <c r="R168" s="22" t="n">
        <v>679.732</v>
      </c>
      <c r="S168" s="22" t="n">
        <v>-921.347</v>
      </c>
      <c r="T168" s="22" t="n">
        <v>296.73</v>
      </c>
      <c r="U168" s="22" t="n">
        <v>1499.178</v>
      </c>
      <c r="V168" s="22" t="n">
        <v>808.376</v>
      </c>
      <c r="W168" s="22" t="n">
        <v>334.466</v>
      </c>
      <c r="X168" s="22" t="n">
        <v>1791.128</v>
      </c>
    </row>
  </sheetData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144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0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30" customHeight="1">
      <c r="A1" s="1" t="inlineStr">
        <is>
          <t>6565 재무상태표</t>
        </is>
      </c>
    </row>
    <row r="2">
      <c r="A2" s="46" t="inlineStr">
        <is>
          <t>재무비율은 기말 잔액 기준 · 분기 손익은 최근 4분기 합산(TTM)</t>
        </is>
      </c>
      <c r="B2" s="3" t="inlineStr">
        <is>
          <t>(단위: 백만엔)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2026.2Q</t>
        </is>
      </c>
      <c r="D3" s="5" t="inlineStr">
        <is>
          <t>2026.3Q</t>
        </is>
      </c>
      <c r="E3" s="5" t="inlineStr">
        <is>
          <t>2026.4Q</t>
        </is>
      </c>
      <c r="F3" s="5" t="inlineStr">
        <is>
          <t>2027.1Q</t>
        </is>
      </c>
      <c r="G3" s="5" t="inlineStr">
        <is>
          <t>2027.2Q</t>
        </is>
      </c>
      <c r="H3" s="6" t="inlineStr">
        <is>
          <t>2022</t>
        </is>
      </c>
      <c r="I3" s="5" t="inlineStr">
        <is>
          <t>2023</t>
        </is>
      </c>
      <c r="J3" s="5" t="inlineStr">
        <is>
          <t>2024</t>
        </is>
      </c>
      <c r="K3" s="5" t="inlineStr">
        <is>
          <t>2025</t>
        </is>
      </c>
      <c r="L3" s="5" t="inlineStr">
        <is>
          <t>2026</t>
        </is>
      </c>
    </row>
    <row r="4">
      <c r="A4" s="18" t="inlineStr">
        <is>
          <t>자산</t>
        </is>
      </c>
      <c r="B4" s="18" t="n"/>
      <c r="C4" s="19" t="n"/>
      <c r="D4" s="18" t="n"/>
      <c r="E4" s="18" t="n"/>
      <c r="F4" s="18" t="n"/>
      <c r="G4" s="18" t="n"/>
      <c r="H4" s="19" t="n"/>
      <c r="I4" s="18" t="n"/>
      <c r="J4" s="18" t="n"/>
      <c r="K4" s="18" t="n"/>
      <c r="L4" s="18" t="n"/>
    </row>
    <row r="5">
      <c r="A5" s="9" t="inlineStr">
        <is>
          <t>유동자산</t>
        </is>
      </c>
      <c r="B5" s="10" t="n"/>
      <c r="C5" s="11" t="n">
        <v>7991.006</v>
      </c>
      <c r="D5" s="12" t="n">
        <v>8148.774</v>
      </c>
      <c r="E5" s="12" t="n">
        <v>8972.601000000001</v>
      </c>
      <c r="F5" s="12" t="n">
        <v>7727.104</v>
      </c>
      <c r="G5" s="12" t="n">
        <v>8473.754999999999</v>
      </c>
      <c r="H5" s="11" t="n">
        <v>3733.135</v>
      </c>
      <c r="I5" s="12" t="n">
        <v>5490.632</v>
      </c>
      <c r="J5" s="12" t="n">
        <v>6312.974</v>
      </c>
      <c r="K5" s="12" t="n">
        <v>6738.203</v>
      </c>
      <c r="L5" s="12" t="n">
        <v>8972.601000000001</v>
      </c>
    </row>
    <row r="6">
      <c r="A6" s="20" t="inlineStr">
        <is>
          <t>현금및현금성자산</t>
        </is>
      </c>
      <c r="B6" s="10" t="n"/>
      <c r="C6" s="21" t="n">
        <v>6867.474</v>
      </c>
      <c r="D6" s="22" t="n">
        <v>7383.964</v>
      </c>
      <c r="E6" s="22" t="n">
        <v>8011.62</v>
      </c>
      <c r="F6" s="22" t="n">
        <v>7054.236</v>
      </c>
      <c r="G6" s="22" t="n">
        <v>7254.091</v>
      </c>
      <c r="H6" s="21" t="n">
        <v>3278.47</v>
      </c>
      <c r="I6" s="22" t="n">
        <v>4777.649</v>
      </c>
      <c r="J6" s="22" t="n">
        <v>5586.025</v>
      </c>
      <c r="K6" s="22" t="n">
        <v>5920.492</v>
      </c>
      <c r="L6" s="22" t="n">
        <v>8011.62</v>
      </c>
    </row>
    <row r="7">
      <c r="A7" s="20" t="inlineStr">
        <is>
          <t>단기금융상품</t>
        </is>
      </c>
      <c r="B7" s="10" t="n"/>
      <c r="C7" s="21" t="n"/>
      <c r="D7" s="22" t="n"/>
      <c r="E7" s="22" t="n"/>
      <c r="F7" s="22" t="n"/>
      <c r="G7" s="22" t="n"/>
      <c r="H7" s="21" t="n"/>
      <c r="I7" s="22" t="n"/>
      <c r="J7" s="22" t="n"/>
      <c r="K7" s="22" t="n"/>
      <c r="L7" s="22" t="n"/>
    </row>
    <row r="8">
      <c r="A8" s="20" t="inlineStr">
        <is>
          <t>매출채권</t>
        </is>
      </c>
      <c r="B8" s="10" t="n"/>
      <c r="C8" s="21" t="n">
        <v>783.399</v>
      </c>
      <c r="D8" s="22" t="n">
        <v>671.641</v>
      </c>
      <c r="E8" s="22" t="n">
        <v>875.056</v>
      </c>
      <c r="F8" s="22" t="n">
        <v>578.744</v>
      </c>
      <c r="G8" s="22" t="n">
        <v>1120.25</v>
      </c>
      <c r="H8" s="21" t="n">
        <v>368.012</v>
      </c>
      <c r="I8" s="22" t="n">
        <v>616.904</v>
      </c>
      <c r="J8" s="22" t="n">
        <v>638.501</v>
      </c>
      <c r="K8" s="22" t="n">
        <v>695.413</v>
      </c>
      <c r="L8" s="22" t="n">
        <v>875.056</v>
      </c>
    </row>
    <row r="9">
      <c r="A9" s="20" t="inlineStr">
        <is>
          <t>재고자산</t>
        </is>
      </c>
      <c r="B9" s="10" t="n"/>
      <c r="C9" s="21" t="n">
        <v>27.517</v>
      </c>
      <c r="D9" s="22" t="n">
        <v>34.648</v>
      </c>
      <c r="E9" s="22" t="n">
        <v>28.405</v>
      </c>
      <c r="F9" s="22" t="n">
        <v>29.552</v>
      </c>
      <c r="G9" s="22" t="n">
        <v>33.59</v>
      </c>
      <c r="H9" s="21" t="n">
        <v>18.391</v>
      </c>
      <c r="I9" s="22" t="n">
        <v>22.41</v>
      </c>
      <c r="J9" s="22" t="n">
        <v>19.817</v>
      </c>
      <c r="K9" s="22" t="n">
        <v>21.679</v>
      </c>
      <c r="L9" s="22" t="n">
        <v>28.405</v>
      </c>
    </row>
    <row r="10">
      <c r="A10" s="20" t="inlineStr">
        <is>
          <t>기타유동자산</t>
        </is>
      </c>
      <c r="B10" s="10" t="inlineStr">
        <is>
          <t>총계 − 위 항목</t>
        </is>
      </c>
      <c r="C10" s="21">
        <f>IF(OR(C5=""),"",IFERROR(C5-SUM(C6,C7,C8,C9),""))</f>
        <v/>
      </c>
      <c r="D10" s="22">
        <f>IF(OR(D5=""),"",IFERROR(D5-SUM(D6,D7,D8,D9),""))</f>
        <v/>
      </c>
      <c r="E10" s="22">
        <f>IF(OR(E5=""),"",IFERROR(E5-SUM(E6,E7,E8,E9),""))</f>
        <v/>
      </c>
      <c r="F10" s="22">
        <f>IF(OR(F5=""),"",IFERROR(F5-SUM(F6,F7,F8,F9),""))</f>
        <v/>
      </c>
      <c r="G10" s="22">
        <f>IF(OR(G5=""),"",IFERROR(G5-SUM(G6,G7,G8,G9),""))</f>
        <v/>
      </c>
      <c r="H10" s="21">
        <f>IF(OR(H5=""),"",IFERROR(H5-SUM(H6,H7,H8,H9),""))</f>
        <v/>
      </c>
      <c r="I10" s="22">
        <f>IF(OR(I5=""),"",IFERROR(I5-SUM(I6,I7,I8,I9),""))</f>
        <v/>
      </c>
      <c r="J10" s="22">
        <f>IF(OR(J5=""),"",IFERROR(J5-SUM(J6,J7,J8,J9),""))</f>
        <v/>
      </c>
      <c r="K10" s="22">
        <f>IF(OR(K5=""),"",IFERROR(K5-SUM(K6,K7,K8,K9),""))</f>
        <v/>
      </c>
      <c r="L10" s="22">
        <f>IF(OR(L5=""),"",IFERROR(L5-SUM(L6,L7,L8,L9),""))</f>
        <v/>
      </c>
    </row>
    <row r="11">
      <c r="A11" s="9" t="inlineStr">
        <is>
          <t>비유동자산</t>
        </is>
      </c>
      <c r="B11" s="10" t="n"/>
      <c r="C11" s="11" t="n">
        <v>20031.94</v>
      </c>
      <c r="D11" s="12" t="n">
        <v>19979.39</v>
      </c>
      <c r="E11" s="12" t="n">
        <v>20357.214</v>
      </c>
      <c r="F11" s="12" t="n">
        <v>20725.754</v>
      </c>
      <c r="G11" s="12" t="n">
        <v>21306.487</v>
      </c>
      <c r="H11" s="11" t="n">
        <v>16707.912</v>
      </c>
      <c r="I11" s="12" t="n">
        <v>16121.102</v>
      </c>
      <c r="J11" s="12" t="n">
        <v>16547.702</v>
      </c>
      <c r="K11" s="12" t="n">
        <v>19547.376</v>
      </c>
      <c r="L11" s="12" t="n">
        <v>20357.214</v>
      </c>
    </row>
    <row r="12">
      <c r="A12" s="20" t="inlineStr">
        <is>
          <t>유형자산</t>
        </is>
      </c>
      <c r="B12" s="10" t="n"/>
      <c r="C12" s="21" t="n">
        <v>19169.847</v>
      </c>
      <c r="D12" s="22" t="n">
        <v>19123.989</v>
      </c>
      <c r="E12" s="22" t="n">
        <v>19339.609</v>
      </c>
      <c r="F12" s="22" t="n">
        <v>19741.034</v>
      </c>
      <c r="G12" s="22" t="n">
        <v>20273.924</v>
      </c>
      <c r="H12" s="21" t="n">
        <v>15911.696</v>
      </c>
      <c r="I12" s="22" t="n">
        <v>15285.132</v>
      </c>
      <c r="J12" s="22" t="n">
        <v>15698.53</v>
      </c>
      <c r="K12" s="22" t="n">
        <v>18690.347</v>
      </c>
      <c r="L12" s="22" t="n">
        <v>19339.609</v>
      </c>
    </row>
    <row r="13">
      <c r="A13" s="20" t="inlineStr">
        <is>
          <t>무형자산</t>
        </is>
      </c>
      <c r="B13" s="10" t="n"/>
      <c r="C13" s="21" t="n">
        <v>29.778</v>
      </c>
      <c r="D13" s="22" t="n">
        <v>29.348</v>
      </c>
      <c r="E13" s="22" t="n">
        <v>35.305</v>
      </c>
      <c r="F13" s="22" t="n">
        <v>33.983</v>
      </c>
      <c r="G13" s="22" t="n">
        <v>32.75</v>
      </c>
      <c r="H13" s="21" t="n">
        <v>30.235</v>
      </c>
      <c r="I13" s="22" t="n">
        <v>28.09</v>
      </c>
      <c r="J13" s="22" t="n">
        <v>30.467</v>
      </c>
      <c r="K13" s="22" t="n">
        <v>31.161</v>
      </c>
      <c r="L13" s="22" t="n">
        <v>35.305</v>
      </c>
    </row>
    <row r="14">
      <c r="A14" s="20" t="inlineStr">
        <is>
          <t>투자부동산</t>
        </is>
      </c>
      <c r="B14" s="10" t="n"/>
      <c r="C14" s="21" t="n"/>
      <c r="D14" s="22" t="n"/>
      <c r="E14" s="22" t="n"/>
      <c r="F14" s="22" t="n"/>
      <c r="G14" s="22" t="n"/>
      <c r="H14" s="21" t="n"/>
      <c r="I14" s="22" t="n"/>
      <c r="J14" s="22" t="n"/>
      <c r="K14" s="22" t="n"/>
      <c r="L14" s="22" t="n"/>
    </row>
    <row r="15">
      <c r="A15" s="20" t="inlineStr">
        <is>
          <t>기타비유동자산</t>
        </is>
      </c>
      <c r="B15" s="10" t="inlineStr">
        <is>
          <t>총계 − 위 항목</t>
        </is>
      </c>
      <c r="C15" s="21">
        <f>IF(OR(C11=""),"",IFERROR(C11-SUM(C12,C13,C14),""))</f>
        <v/>
      </c>
      <c r="D15" s="22">
        <f>IF(OR(D11=""),"",IFERROR(D11-SUM(D12,D13,D14),""))</f>
        <v/>
      </c>
      <c r="E15" s="22">
        <f>IF(OR(E11=""),"",IFERROR(E11-SUM(E12,E13,E14),""))</f>
        <v/>
      </c>
      <c r="F15" s="22">
        <f>IF(OR(F11=""),"",IFERROR(F11-SUM(F12,F13,F14),""))</f>
        <v/>
      </c>
      <c r="G15" s="22">
        <f>IF(OR(G11=""),"",IFERROR(G11-SUM(G12,G13,G14),""))</f>
        <v/>
      </c>
      <c r="H15" s="21">
        <f>IF(OR(H11=""),"",IFERROR(H11-SUM(H12,H13,H14),""))</f>
        <v/>
      </c>
      <c r="I15" s="22">
        <f>IF(OR(I11=""),"",IFERROR(I11-SUM(I12,I13,I14),""))</f>
        <v/>
      </c>
      <c r="J15" s="22">
        <f>IF(OR(J11=""),"",IFERROR(J11-SUM(J12,J13,J14),""))</f>
        <v/>
      </c>
      <c r="K15" s="22">
        <f>IF(OR(K11=""),"",IFERROR(K11-SUM(K12,K13,K14),""))</f>
        <v/>
      </c>
      <c r="L15" s="22">
        <f>IF(OR(L11=""),"",IFERROR(L11-SUM(L12,L13,L14),""))</f>
        <v/>
      </c>
    </row>
    <row r="16">
      <c r="A16" s="9" t="inlineStr">
        <is>
          <t>자산총계</t>
        </is>
      </c>
      <c r="B16" s="10" t="n"/>
      <c r="C16" s="11" t="n">
        <v>28022.946</v>
      </c>
      <c r="D16" s="12" t="n">
        <v>28128.165</v>
      </c>
      <c r="E16" s="12" t="n">
        <v>29329.816</v>
      </c>
      <c r="F16" s="12" t="n">
        <v>28452.859</v>
      </c>
      <c r="G16" s="12" t="n">
        <v>29780.242</v>
      </c>
      <c r="H16" s="11" t="n">
        <v>20441.048</v>
      </c>
      <c r="I16" s="12" t="n">
        <v>21611.734</v>
      </c>
      <c r="J16" s="12" t="n">
        <v>22860.676</v>
      </c>
      <c r="K16" s="12" t="n">
        <v>26285.579</v>
      </c>
      <c r="L16" s="12" t="n">
        <v>29329.816</v>
      </c>
    </row>
    <row r="17">
      <c r="A17" s="18" t="inlineStr">
        <is>
          <t>부채</t>
        </is>
      </c>
      <c r="B17" s="18" t="n"/>
      <c r="C17" s="19" t="n"/>
      <c r="D17" s="18" t="n"/>
      <c r="E17" s="18" t="n"/>
      <c r="F17" s="18" t="n"/>
      <c r="G17" s="18" t="n"/>
      <c r="H17" s="19" t="n"/>
      <c r="I17" s="18" t="n"/>
      <c r="J17" s="18" t="n"/>
      <c r="K17" s="18" t="n"/>
      <c r="L17" s="18" t="n"/>
    </row>
    <row r="18">
      <c r="A18" s="9" t="inlineStr">
        <is>
          <t>유동부채</t>
        </is>
      </c>
      <c r="B18" s="10" t="n"/>
      <c r="C18" s="11" t="n">
        <v>5388.428</v>
      </c>
      <c r="D18" s="12" t="n">
        <v>4288.562</v>
      </c>
      <c r="E18" s="12" t="n">
        <v>4500.873</v>
      </c>
      <c r="F18" s="12" t="n">
        <v>3809.094</v>
      </c>
      <c r="G18" s="12" t="n">
        <v>4525.323</v>
      </c>
      <c r="H18" s="11" t="n">
        <v>3250.028</v>
      </c>
      <c r="I18" s="12" t="n">
        <v>3982.164</v>
      </c>
      <c r="J18" s="12" t="n">
        <v>4056.679</v>
      </c>
      <c r="K18" s="12" t="n">
        <v>4568.778</v>
      </c>
      <c r="L18" s="12" t="n">
        <v>4500.873</v>
      </c>
    </row>
    <row r="19">
      <c r="A19" s="20" t="inlineStr">
        <is>
          <t>매입채무</t>
        </is>
      </c>
      <c r="B19" s="10" t="n"/>
      <c r="C19" s="21" t="n"/>
      <c r="D19" s="22" t="n"/>
      <c r="E19" s="22" t="n"/>
      <c r="F19" s="22" t="n"/>
      <c r="G19" s="22" t="n"/>
      <c r="H19" s="21" t="n"/>
      <c r="I19" s="22" t="n"/>
      <c r="J19" s="22" t="n"/>
      <c r="K19" s="22" t="n"/>
      <c r="L19" s="22" t="n"/>
    </row>
    <row r="20">
      <c r="A20" s="20" t="inlineStr">
        <is>
          <t>단기차입금</t>
        </is>
      </c>
      <c r="B20" s="10" t="n"/>
      <c r="C20" s="21" t="n">
        <v>548</v>
      </c>
      <c r="D20" s="22" t="n">
        <v>0</v>
      </c>
      <c r="E20" s="22" t="n">
        <v>0</v>
      </c>
      <c r="F20" s="22" t="n"/>
      <c r="G20" s="22" t="n"/>
      <c r="H20" s="21" t="n"/>
      <c r="I20" s="22" t="n">
        <v>0</v>
      </c>
      <c r="J20" s="22" t="n">
        <v>130</v>
      </c>
      <c r="K20" s="22" t="n">
        <v>521</v>
      </c>
      <c r="L20" s="22" t="n">
        <v>0</v>
      </c>
    </row>
    <row r="21">
      <c r="A21" s="20" t="inlineStr">
        <is>
          <t>유동성장기부채</t>
        </is>
      </c>
      <c r="B21" s="10" t="n"/>
      <c r="C21" s="21" t="n">
        <v>1575.326</v>
      </c>
      <c r="D21" s="22" t="n">
        <v>1548.666</v>
      </c>
      <c r="E21" s="22" t="n">
        <v>1482.806</v>
      </c>
      <c r="F21" s="22" t="n">
        <v>1547.447</v>
      </c>
      <c r="G21" s="22" t="n">
        <v>1507.418</v>
      </c>
      <c r="H21" s="21" t="n">
        <v>1525.092</v>
      </c>
      <c r="I21" s="22" t="n">
        <v>1547.394</v>
      </c>
      <c r="J21" s="22" t="n">
        <v>1621.626</v>
      </c>
      <c r="K21" s="22" t="n">
        <v>1670.506</v>
      </c>
      <c r="L21" s="22" t="n">
        <v>1482.806</v>
      </c>
    </row>
    <row r="22">
      <c r="A22" s="20" t="inlineStr">
        <is>
          <t>기타유동부채</t>
        </is>
      </c>
      <c r="B22" s="10" t="inlineStr">
        <is>
          <t>총계 − 위 항목</t>
        </is>
      </c>
      <c r="C22" s="21">
        <f>IF(OR(C18=""),"",IFERROR(C18-SUM(C19,C20,C21),""))</f>
        <v/>
      </c>
      <c r="D22" s="22">
        <f>IF(OR(D18=""),"",IFERROR(D18-SUM(D19,D20,D21),""))</f>
        <v/>
      </c>
      <c r="E22" s="22">
        <f>IF(OR(E18=""),"",IFERROR(E18-SUM(E19,E20,E21),""))</f>
        <v/>
      </c>
      <c r="F22" s="22">
        <f>IF(OR(F18=""),"",IFERROR(F18-SUM(F19,F20,F21),""))</f>
        <v/>
      </c>
      <c r="G22" s="22">
        <f>IF(OR(G18=""),"",IFERROR(G18-SUM(G19,G20,G21),""))</f>
        <v/>
      </c>
      <c r="H22" s="21">
        <f>IF(OR(H18=""),"",IFERROR(H18-SUM(H19,H20,H21),""))</f>
        <v/>
      </c>
      <c r="I22" s="22">
        <f>IF(OR(I18=""),"",IFERROR(I18-SUM(I19,I20,I21),""))</f>
        <v/>
      </c>
      <c r="J22" s="22">
        <f>IF(OR(J18=""),"",IFERROR(J18-SUM(J19,J20,J21),""))</f>
        <v/>
      </c>
      <c r="K22" s="22">
        <f>IF(OR(K18=""),"",IFERROR(K18-SUM(K19,K20,K21),""))</f>
        <v/>
      </c>
      <c r="L22" s="22">
        <f>IF(OR(L18=""),"",IFERROR(L18-SUM(L19,L20,L21),""))</f>
        <v/>
      </c>
    </row>
    <row r="23">
      <c r="A23" s="9" t="inlineStr">
        <is>
          <t>비유동부채</t>
        </is>
      </c>
      <c r="B23" s="10" t="n"/>
      <c r="C23" s="11" t="n">
        <v>8685.198</v>
      </c>
      <c r="D23" s="12" t="n">
        <v>8883.008</v>
      </c>
      <c r="E23" s="12" t="n">
        <v>9219.689</v>
      </c>
      <c r="F23" s="12" t="n">
        <v>8915.183000000001</v>
      </c>
      <c r="G23" s="12" t="n">
        <v>8576.339</v>
      </c>
      <c r="H23" s="11" t="n">
        <v>10650.276</v>
      </c>
      <c r="I23" s="12" t="n">
        <v>9338.511</v>
      </c>
      <c r="J23" s="12" t="n">
        <v>8370.529</v>
      </c>
      <c r="K23" s="12" t="n">
        <v>8967.732</v>
      </c>
      <c r="L23" s="12" t="n">
        <v>9219.689</v>
      </c>
    </row>
    <row r="24">
      <c r="A24" s="20" t="inlineStr">
        <is>
          <t>장기차입금</t>
        </is>
      </c>
      <c r="B24" s="10" t="n"/>
      <c r="C24" s="21" t="n">
        <v>5243.858</v>
      </c>
      <c r="D24" s="22" t="n">
        <v>5460.009</v>
      </c>
      <c r="E24" s="22" t="n">
        <v>5650.32</v>
      </c>
      <c r="F24" s="22" t="n">
        <v>5559.41</v>
      </c>
      <c r="G24" s="22" t="n">
        <v>5226.44</v>
      </c>
      <c r="H24" s="21" t="n">
        <v>6863.444</v>
      </c>
      <c r="I24" s="22" t="n">
        <v>5720.24</v>
      </c>
      <c r="J24" s="22" t="n">
        <v>4937.692</v>
      </c>
      <c r="K24" s="22" t="n">
        <v>5533.686</v>
      </c>
      <c r="L24" s="22" t="n">
        <v>5650.32</v>
      </c>
    </row>
    <row r="25">
      <c r="A25" s="20" t="inlineStr">
        <is>
          <t>사채</t>
        </is>
      </c>
      <c r="B25" s="10" t="n"/>
      <c r="C25" s="21" t="n"/>
      <c r="D25" s="22" t="n"/>
      <c r="E25" s="22" t="n"/>
      <c r="F25" s="22" t="n"/>
      <c r="G25" s="22" t="n"/>
      <c r="H25" s="21" t="n"/>
      <c r="I25" s="22" t="n"/>
      <c r="J25" s="22" t="n"/>
      <c r="K25" s="22" t="n"/>
      <c r="L25" s="22" t="n"/>
    </row>
    <row r="26">
      <c r="A26" s="20" t="inlineStr">
        <is>
          <t>기타비유동부채</t>
        </is>
      </c>
      <c r="B26" s="10" t="inlineStr">
        <is>
          <t>총계 − 위 항목</t>
        </is>
      </c>
      <c r="C26" s="21">
        <f>IF(OR(C23=""),"",IFERROR(C23-SUM(C24,C25),""))</f>
        <v/>
      </c>
      <c r="D26" s="22">
        <f>IF(OR(D23=""),"",IFERROR(D23-SUM(D24,D25),""))</f>
        <v/>
      </c>
      <c r="E26" s="22">
        <f>IF(OR(E23=""),"",IFERROR(E23-SUM(E24,E25),""))</f>
        <v/>
      </c>
      <c r="F26" s="22">
        <f>IF(OR(F23=""),"",IFERROR(F23-SUM(F24,F25),""))</f>
        <v/>
      </c>
      <c r="G26" s="22">
        <f>IF(OR(G23=""),"",IFERROR(G23-SUM(G24,G25),""))</f>
        <v/>
      </c>
      <c r="H26" s="21">
        <f>IF(OR(H23=""),"",IFERROR(H23-SUM(H24,H25),""))</f>
        <v/>
      </c>
      <c r="I26" s="22">
        <f>IF(OR(I23=""),"",IFERROR(I23-SUM(I24,I25),""))</f>
        <v/>
      </c>
      <c r="J26" s="22">
        <f>IF(OR(J23=""),"",IFERROR(J23-SUM(J24,J25),""))</f>
        <v/>
      </c>
      <c r="K26" s="22">
        <f>IF(OR(K23=""),"",IFERROR(K23-SUM(K24,K25),""))</f>
        <v/>
      </c>
      <c r="L26" s="22">
        <f>IF(OR(L23=""),"",IFERROR(L23-SUM(L24,L25),""))</f>
        <v/>
      </c>
    </row>
    <row r="27">
      <c r="A27" s="9" t="inlineStr">
        <is>
          <t>부채총계</t>
        </is>
      </c>
      <c r="B27" s="10" t="n"/>
      <c r="C27" s="11" t="n">
        <v>14073.627</v>
      </c>
      <c r="D27" s="12" t="n">
        <v>13171.57</v>
      </c>
      <c r="E27" s="12" t="n">
        <v>13720.562</v>
      </c>
      <c r="F27" s="12" t="n">
        <v>12724.277</v>
      </c>
      <c r="G27" s="12" t="n">
        <v>13101.663</v>
      </c>
      <c r="H27" s="11" t="n">
        <v>13900.304</v>
      </c>
      <c r="I27" s="12" t="n">
        <v>13320.676</v>
      </c>
      <c r="J27" s="12" t="n">
        <v>12427.209</v>
      </c>
      <c r="K27" s="12" t="n">
        <v>13536.511</v>
      </c>
      <c r="L27" s="12" t="n">
        <v>13720.562</v>
      </c>
    </row>
    <row r="28">
      <c r="A28" s="20" t="inlineStr">
        <is>
          <t>총차입금</t>
        </is>
      </c>
      <c r="B28" s="10" t="inlineStr">
        <is>
          <t>단기+유동성장기+장기+사채</t>
        </is>
      </c>
      <c r="C28" s="21">
        <f>SUM(C20,C21,C24,C25)</f>
        <v/>
      </c>
      <c r="D28" s="22">
        <f>SUM(D20,D21,D24,D25)</f>
        <v/>
      </c>
      <c r="E28" s="22">
        <f>SUM(E20,E21,E24,E25)</f>
        <v/>
      </c>
      <c r="F28" s="22">
        <f>SUM(F20,F21,F24,F25)</f>
        <v/>
      </c>
      <c r="G28" s="22">
        <f>SUM(G20,G21,G24,G25)</f>
        <v/>
      </c>
      <c r="H28" s="21">
        <f>SUM(H20,H21,H24,H25)</f>
        <v/>
      </c>
      <c r="I28" s="22">
        <f>SUM(I20,I21,I24,I25)</f>
        <v/>
      </c>
      <c r="J28" s="22">
        <f>SUM(J20,J21,J24,J25)</f>
        <v/>
      </c>
      <c r="K28" s="22">
        <f>SUM(K20,K21,K24,K25)</f>
        <v/>
      </c>
      <c r="L28" s="22">
        <f>SUM(L20,L21,L24,L25)</f>
        <v/>
      </c>
    </row>
    <row r="29">
      <c r="A29" s="20" t="inlineStr">
        <is>
          <t>순차입금</t>
        </is>
      </c>
      <c r="B29" s="10" t="inlineStr">
        <is>
          <t>음수 = 순현금</t>
        </is>
      </c>
      <c r="C29" s="21">
        <f>C28-C6-N(C7)</f>
        <v/>
      </c>
      <c r="D29" s="22">
        <f>D28-D6-N(D7)</f>
        <v/>
      </c>
      <c r="E29" s="22">
        <f>E28-E6-N(E7)</f>
        <v/>
      </c>
      <c r="F29" s="22">
        <f>F28-F6-N(F7)</f>
        <v/>
      </c>
      <c r="G29" s="22">
        <f>G28-G6-N(G7)</f>
        <v/>
      </c>
      <c r="H29" s="21">
        <f>H28-H6-N(H7)</f>
        <v/>
      </c>
      <c r="I29" s="22">
        <f>I28-I6-N(I7)</f>
        <v/>
      </c>
      <c r="J29" s="22">
        <f>J28-J6-N(J7)</f>
        <v/>
      </c>
      <c r="K29" s="22">
        <f>K28-K6-N(K7)</f>
        <v/>
      </c>
      <c r="L29" s="22">
        <f>L28-L6-N(L7)</f>
        <v/>
      </c>
    </row>
    <row r="30">
      <c r="A30" s="18" t="inlineStr">
        <is>
          <t>자본</t>
        </is>
      </c>
      <c r="B30" s="18" t="n"/>
      <c r="C30" s="19" t="n"/>
      <c r="D30" s="18" t="n"/>
      <c r="E30" s="18" t="n"/>
      <c r="F30" s="18" t="n"/>
      <c r="G30" s="18" t="n"/>
      <c r="H30" s="19" t="n"/>
      <c r="I30" s="18" t="n"/>
      <c r="J30" s="18" t="n"/>
      <c r="K30" s="18" t="n"/>
      <c r="L30" s="18" t="n"/>
    </row>
    <row r="31">
      <c r="A31" s="9" t="inlineStr">
        <is>
          <t>지배주주지분</t>
        </is>
      </c>
      <c r="B31" s="10" t="n"/>
      <c r="C31" s="11" t="n">
        <v>13949.319</v>
      </c>
      <c r="D31" s="12" t="n">
        <v>14956.594</v>
      </c>
      <c r="E31" s="12" t="n">
        <v>15609.254</v>
      </c>
      <c r="F31" s="12" t="n">
        <v>15728.581</v>
      </c>
      <c r="G31" s="12" t="n">
        <v>16678.579</v>
      </c>
      <c r="H31" s="11" t="n">
        <v>6540.744</v>
      </c>
      <c r="I31" s="12" t="n">
        <v>8291.058000000001</v>
      </c>
      <c r="J31" s="12" t="n">
        <v>10433.467</v>
      </c>
      <c r="K31" s="12" t="n">
        <v>12749.068</v>
      </c>
      <c r="L31" s="12" t="n">
        <v>15609.254</v>
      </c>
    </row>
    <row r="32">
      <c r="A32" s="20" t="inlineStr">
        <is>
          <t>자본금</t>
        </is>
      </c>
      <c r="B32" s="10" t="n"/>
      <c r="C32" s="21" t="n">
        <v>953.92</v>
      </c>
      <c r="D32" s="22" t="n">
        <v>953.92</v>
      </c>
      <c r="E32" s="22" t="n">
        <v>953.92</v>
      </c>
      <c r="F32" s="22" t="n">
        <v>953.92</v>
      </c>
      <c r="G32" s="22" t="n">
        <v>953.92</v>
      </c>
      <c r="H32" s="21" t="n">
        <v>953.92</v>
      </c>
      <c r="I32" s="22" t="n">
        <v>953.92</v>
      </c>
      <c r="J32" s="22" t="n">
        <v>953.92</v>
      </c>
      <c r="K32" s="22" t="n">
        <v>953.92</v>
      </c>
      <c r="L32" s="22" t="n">
        <v>953.92</v>
      </c>
    </row>
    <row r="33">
      <c r="A33" s="20" t="inlineStr">
        <is>
          <t>이익잉여금</t>
        </is>
      </c>
      <c r="B33" s="10" t="n"/>
      <c r="C33" s="21" t="n">
        <v>11608.902</v>
      </c>
      <c r="D33" s="22" t="n">
        <v>12616.178</v>
      </c>
      <c r="E33" s="22" t="n">
        <v>13268.837</v>
      </c>
      <c r="F33" s="22" t="n">
        <v>13388.293</v>
      </c>
      <c r="G33" s="22" t="n">
        <v>14338.29</v>
      </c>
      <c r="H33" s="21" t="n">
        <v>4200.109</v>
      </c>
      <c r="I33" s="22" t="n">
        <v>5950.467</v>
      </c>
      <c r="J33" s="22" t="n">
        <v>8092.996</v>
      </c>
      <c r="K33" s="22" t="n">
        <v>10408.652</v>
      </c>
      <c r="L33" s="22" t="n">
        <v>13268.837</v>
      </c>
    </row>
    <row r="34">
      <c r="A34" s="20" t="inlineStr">
        <is>
          <t>비지배지분</t>
        </is>
      </c>
      <c r="B34" s="10" t="n"/>
      <c r="C34" s="21" t="n"/>
      <c r="D34" s="22" t="n"/>
      <c r="E34" s="22" t="n"/>
      <c r="F34" s="22" t="n"/>
      <c r="G34" s="22" t="n"/>
      <c r="H34" s="21" t="n"/>
      <c r="I34" s="22" t="n"/>
      <c r="J34" s="22" t="n"/>
      <c r="K34" s="22" t="n"/>
      <c r="L34" s="22" t="n"/>
    </row>
    <row r="35">
      <c r="A35" s="9" t="inlineStr">
        <is>
          <t>자본총계</t>
        </is>
      </c>
      <c r="B35" s="10" t="n"/>
      <c r="C35" s="11" t="n">
        <v>13949.319</v>
      </c>
      <c r="D35" s="12" t="n">
        <v>14956.594</v>
      </c>
      <c r="E35" s="12" t="n">
        <v>15609.254</v>
      </c>
      <c r="F35" s="12" t="n">
        <v>15728.581</v>
      </c>
      <c r="G35" s="12" t="n">
        <v>16678.579</v>
      </c>
      <c r="H35" s="11" t="n">
        <v>6540.744</v>
      </c>
      <c r="I35" s="12" t="n">
        <v>8291.058000000001</v>
      </c>
      <c r="J35" s="12" t="n">
        <v>10433.467</v>
      </c>
      <c r="K35" s="12" t="n">
        <v>12749.068</v>
      </c>
      <c r="L35" s="12" t="n">
        <v>15609.254</v>
      </c>
    </row>
    <row r="36">
      <c r="A36" s="18" t="inlineStr">
        <is>
          <t>현금흐름 요약</t>
        </is>
      </c>
      <c r="B36" s="18" t="inlineStr">
        <is>
          <t>분기 = TTM (있을 때만)</t>
        </is>
      </c>
      <c r="C36" s="19" t="n"/>
      <c r="D36" s="18" t="n"/>
      <c r="E36" s="18" t="n"/>
      <c r="F36" s="18" t="n"/>
      <c r="G36" s="18" t="n"/>
      <c r="H36" s="19" t="n"/>
      <c r="I36" s="18" t="n"/>
      <c r="J36" s="18" t="n"/>
      <c r="K36" s="18" t="n"/>
      <c r="L36" s="18" t="n"/>
    </row>
    <row r="37">
      <c r="A37" s="9" t="inlineStr">
        <is>
          <t>영업활동현금흐름</t>
        </is>
      </c>
      <c r="B37" s="10" t="n"/>
      <c r="C37" s="11" t="n"/>
      <c r="D37" s="12" t="n"/>
      <c r="E37" s="12" t="n">
        <v>4531.195</v>
      </c>
      <c r="F37" s="12" t="n"/>
      <c r="G37" s="12" t="n"/>
      <c r="H37" s="11" t="n">
        <v>2056.47</v>
      </c>
      <c r="I37" s="12" t="n">
        <v>2996.988</v>
      </c>
      <c r="J37" s="12" t="n">
        <v>2842.884</v>
      </c>
      <c r="K37" s="12" t="n">
        <v>3277.116</v>
      </c>
      <c r="L37" s="12" t="n">
        <v>4531.195</v>
      </c>
    </row>
    <row r="38">
      <c r="A38" s="20" t="inlineStr">
        <is>
          <t>CAPEX (유·무형 취득)</t>
        </is>
      </c>
      <c r="B38" s="10" t="inlineStr">
        <is>
          <t>양수로 입력</t>
        </is>
      </c>
      <c r="C38" s="21" t="n"/>
      <c r="D38" s="22" t="n"/>
      <c r="E38" s="22" t="n">
        <v>1593.115</v>
      </c>
      <c r="F38" s="22" t="n"/>
      <c r="G38" s="22" t="n"/>
      <c r="H38" s="21" t="n">
        <v>509.876</v>
      </c>
      <c r="I38" s="22" t="n">
        <v>376.622</v>
      </c>
      <c r="J38" s="22" t="n">
        <v>1267.552</v>
      </c>
      <c r="K38" s="22" t="n">
        <v>3805.804</v>
      </c>
      <c r="L38" s="22" t="n">
        <v>1593.115</v>
      </c>
    </row>
    <row r="39">
      <c r="A39" s="9" t="inlineStr">
        <is>
          <t>FCF</t>
        </is>
      </c>
      <c r="B39" s="10" t="n"/>
      <c r="C39" s="11">
        <f>IF(OR(C37="",C38=""),"",IFERROR(C37-C38,""))</f>
        <v/>
      </c>
      <c r="D39" s="12">
        <f>IF(OR(D37="",D38=""),"",IFERROR(D37-D38,""))</f>
        <v/>
      </c>
      <c r="E39" s="12">
        <f>IF(OR(E37="",E38=""),"",IFERROR(E37-E38,""))</f>
        <v/>
      </c>
      <c r="F39" s="12">
        <f>IF(OR(F37="",F38=""),"",IFERROR(F37-F38,""))</f>
        <v/>
      </c>
      <c r="G39" s="12">
        <f>IF(OR(G37="",G38=""),"",IFERROR(G37-G38,""))</f>
        <v/>
      </c>
      <c r="H39" s="11">
        <f>IF(OR(H37="",H38=""),"",IFERROR(H37-H38,""))</f>
        <v/>
      </c>
      <c r="I39" s="12">
        <f>IF(OR(I37="",I38=""),"",IFERROR(I37-I38,""))</f>
        <v/>
      </c>
      <c r="J39" s="12">
        <f>IF(OR(J37="",J38=""),"",IFERROR(J37-J38,""))</f>
        <v/>
      </c>
      <c r="K39" s="12">
        <f>IF(OR(K37="",K38=""),"",IFERROR(K37-K38,""))</f>
        <v/>
      </c>
      <c r="L39" s="12">
        <f>IF(OR(L37="",L38=""),"",IFERROR(L37-L38,""))</f>
        <v/>
      </c>
    </row>
    <row r="40">
      <c r="A40" s="20" t="inlineStr">
        <is>
          <t>배당금 지급</t>
        </is>
      </c>
      <c r="B40" s="10" t="inlineStr">
        <is>
          <t>양수로 입력</t>
        </is>
      </c>
      <c r="C40" s="21" t="n"/>
      <c r="D40" s="22" t="n"/>
      <c r="E40" s="22" t="n">
        <v>283.501</v>
      </c>
      <c r="F40" s="22" t="n"/>
      <c r="G40" s="22" t="n"/>
      <c r="H40" s="21" t="n">
        <v>14.178</v>
      </c>
      <c r="I40" s="22" t="n">
        <v>56.701</v>
      </c>
      <c r="J40" s="22" t="n">
        <v>170.092</v>
      </c>
      <c r="K40" s="22" t="n">
        <v>226.767</v>
      </c>
      <c r="L40" s="22" t="n">
        <v>283.501</v>
      </c>
    </row>
    <row r="41">
      <c r="A41" s="18" t="inlineStr">
        <is>
          <t>주요 재무 비율</t>
        </is>
      </c>
      <c r="B41" s="18" t="inlineStr">
        <is>
          <t>기준 (빨간 글씨 = 미달)</t>
        </is>
      </c>
      <c r="C41" s="19" t="n"/>
      <c r="D41" s="18" t="n"/>
      <c r="E41" s="18" t="n"/>
      <c r="F41" s="18" t="n"/>
      <c r="G41" s="18" t="n"/>
      <c r="H41" s="19" t="n"/>
      <c r="I41" s="18" t="n"/>
      <c r="J41" s="18" t="n"/>
      <c r="K41" s="18" t="n"/>
      <c r="L41" s="18" t="n"/>
    </row>
    <row r="42">
      <c r="A42" s="25" t="inlineStr">
        <is>
          <t>안정성</t>
        </is>
      </c>
      <c r="B42" s="25" t="n"/>
      <c r="C42" s="26" t="n"/>
      <c r="D42" s="25" t="n"/>
      <c r="E42" s="25" t="n"/>
      <c r="F42" s="25" t="n"/>
      <c r="G42" s="25" t="n"/>
      <c r="H42" s="26" t="n"/>
      <c r="I42" s="25" t="n"/>
      <c r="J42" s="25" t="n"/>
      <c r="K42" s="25" t="n"/>
      <c r="L42" s="25" t="n"/>
    </row>
    <row r="43">
      <c r="A43" s="47" t="inlineStr">
        <is>
          <t>부채비율</t>
        </is>
      </c>
      <c r="B43" s="10" t="inlineStr">
        <is>
          <t>100%↓</t>
        </is>
      </c>
      <c r="C43" s="37">
        <f>IF(OR(C27="",C35=""),"",IFERROR(C27/C35,""))</f>
        <v/>
      </c>
      <c r="D43" s="38">
        <f>IF(OR(D27="",D35=""),"",IFERROR(D27/D35,""))</f>
        <v/>
      </c>
      <c r="E43" s="38">
        <f>IF(OR(E27="",E35=""),"",IFERROR(E27/E35,""))</f>
        <v/>
      </c>
      <c r="F43" s="38">
        <f>IF(OR(F27="",F35=""),"",IFERROR(F27/F35,""))</f>
        <v/>
      </c>
      <c r="G43" s="38">
        <f>IF(OR(G27="",G35=""),"",IFERROR(G27/G35,""))</f>
        <v/>
      </c>
      <c r="H43" s="37">
        <f>IF(OR(H27="",H35=""),"",IFERROR(H27/H35,""))</f>
        <v/>
      </c>
      <c r="I43" s="38">
        <f>IF(OR(I27="",I35=""),"",IFERROR(I27/I35,""))</f>
        <v/>
      </c>
      <c r="J43" s="38">
        <f>IF(OR(J27="",J35=""),"",IFERROR(J27/J35,""))</f>
        <v/>
      </c>
      <c r="K43" s="38">
        <f>IF(OR(K27="",K35=""),"",IFERROR(K27/K35,""))</f>
        <v/>
      </c>
      <c r="L43" s="38">
        <f>IF(OR(L27="",L35=""),"",IFERROR(L27/L35,""))</f>
        <v/>
      </c>
    </row>
    <row r="44">
      <c r="A44" s="47" t="inlineStr">
        <is>
          <t>순차입금비율</t>
        </is>
      </c>
      <c r="B44" s="10" t="inlineStr">
        <is>
          <t>0%↓ 순현금</t>
        </is>
      </c>
      <c r="C44" s="37">
        <f>IF(OR(C29="",C35=""),"",IFERROR(C29/C35,""))</f>
        <v/>
      </c>
      <c r="D44" s="38">
        <f>IF(OR(D29="",D35=""),"",IFERROR(D29/D35,""))</f>
        <v/>
      </c>
      <c r="E44" s="38">
        <f>IF(OR(E29="",E35=""),"",IFERROR(E29/E35,""))</f>
        <v/>
      </c>
      <c r="F44" s="38">
        <f>IF(OR(F29="",F35=""),"",IFERROR(F29/F35,""))</f>
        <v/>
      </c>
      <c r="G44" s="38">
        <f>IF(OR(G29="",G35=""),"",IFERROR(G29/G35,""))</f>
        <v/>
      </c>
      <c r="H44" s="37">
        <f>IF(OR(H29="",H35=""),"",IFERROR(H29/H35,""))</f>
        <v/>
      </c>
      <c r="I44" s="38">
        <f>IF(OR(I29="",I35=""),"",IFERROR(I29/I35,""))</f>
        <v/>
      </c>
      <c r="J44" s="38">
        <f>IF(OR(J29="",J35=""),"",IFERROR(J29/J35,""))</f>
        <v/>
      </c>
      <c r="K44" s="38">
        <f>IF(OR(K29="",K35=""),"",IFERROR(K29/K35,""))</f>
        <v/>
      </c>
      <c r="L44" s="38">
        <f>IF(OR(L29="",L35=""),"",IFERROR(L29/L35,""))</f>
        <v/>
      </c>
    </row>
    <row r="45">
      <c r="A45" s="47" t="inlineStr">
        <is>
          <t>자기자본비율</t>
        </is>
      </c>
      <c r="B45" s="10" t="inlineStr">
        <is>
          <t>50%↑</t>
        </is>
      </c>
      <c r="C45" s="37">
        <f>IF(OR(C35="",C16=""),"",IFERROR(C35/C16,""))</f>
        <v/>
      </c>
      <c r="D45" s="38">
        <f>IF(OR(D35="",D16=""),"",IFERROR(D35/D16,""))</f>
        <v/>
      </c>
      <c r="E45" s="38">
        <f>IF(OR(E35="",E16=""),"",IFERROR(E35/E16,""))</f>
        <v/>
      </c>
      <c r="F45" s="38">
        <f>IF(OR(F35="",F16=""),"",IFERROR(F35/F16,""))</f>
        <v/>
      </c>
      <c r="G45" s="38">
        <f>IF(OR(G35="",G16=""),"",IFERROR(G35/G16,""))</f>
        <v/>
      </c>
      <c r="H45" s="37">
        <f>IF(OR(H35="",H16=""),"",IFERROR(H35/H16,""))</f>
        <v/>
      </c>
      <c r="I45" s="38">
        <f>IF(OR(I35="",I16=""),"",IFERROR(I35/I16,""))</f>
        <v/>
      </c>
      <c r="J45" s="38">
        <f>IF(OR(J35="",J16=""),"",IFERROR(J35/J16,""))</f>
        <v/>
      </c>
      <c r="K45" s="38">
        <f>IF(OR(K35="",K16=""),"",IFERROR(K35/K16,""))</f>
        <v/>
      </c>
      <c r="L45" s="38">
        <f>IF(OR(L35="",L16=""),"",IFERROR(L35/L16,""))</f>
        <v/>
      </c>
    </row>
    <row r="46">
      <c r="A46" s="47" t="inlineStr">
        <is>
          <t>유동비율</t>
        </is>
      </c>
      <c r="B46" s="10" t="inlineStr">
        <is>
          <t>150%↑</t>
        </is>
      </c>
      <c r="C46" s="37">
        <f>IF(OR(C5="",C18=""),"",IFERROR(C5/C18,""))</f>
        <v/>
      </c>
      <c r="D46" s="38">
        <f>IF(OR(D5="",D18=""),"",IFERROR(D5/D18,""))</f>
        <v/>
      </c>
      <c r="E46" s="38">
        <f>IF(OR(E5="",E18=""),"",IFERROR(E5/E18,""))</f>
        <v/>
      </c>
      <c r="F46" s="38">
        <f>IF(OR(F5="",F18=""),"",IFERROR(F5/F18,""))</f>
        <v/>
      </c>
      <c r="G46" s="38">
        <f>IF(OR(G5="",G18=""),"",IFERROR(G5/G18,""))</f>
        <v/>
      </c>
      <c r="H46" s="37">
        <f>IF(OR(H5="",H18=""),"",IFERROR(H5/H18,""))</f>
        <v/>
      </c>
      <c r="I46" s="38">
        <f>IF(OR(I5="",I18=""),"",IFERROR(I5/I18,""))</f>
        <v/>
      </c>
      <c r="J46" s="38">
        <f>IF(OR(J5="",J18=""),"",IFERROR(J5/J18,""))</f>
        <v/>
      </c>
      <c r="K46" s="38">
        <f>IF(OR(K5="",K18=""),"",IFERROR(K5/K18,""))</f>
        <v/>
      </c>
      <c r="L46" s="38">
        <f>IF(OR(L5="",L18=""),"",IFERROR(L5/L18,""))</f>
        <v/>
      </c>
    </row>
    <row r="47">
      <c r="A47" s="47" t="inlineStr">
        <is>
          <t>당좌비율</t>
        </is>
      </c>
      <c r="B47" s="10" t="inlineStr">
        <is>
          <t>100%↑</t>
        </is>
      </c>
      <c r="C47" s="37">
        <f>IF(OR(C5="",C18=""),"",IFERROR((C5-N(C9))/C18,""))</f>
        <v/>
      </c>
      <c r="D47" s="38">
        <f>IF(OR(D5="",D18=""),"",IFERROR((D5-N(D9))/D18,""))</f>
        <v/>
      </c>
      <c r="E47" s="38">
        <f>IF(OR(E5="",E18=""),"",IFERROR((E5-N(E9))/E18,""))</f>
        <v/>
      </c>
      <c r="F47" s="38">
        <f>IF(OR(F5="",F18=""),"",IFERROR((F5-N(F9))/F18,""))</f>
        <v/>
      </c>
      <c r="G47" s="38">
        <f>IF(OR(G5="",G18=""),"",IFERROR((G5-N(G9))/G18,""))</f>
        <v/>
      </c>
      <c r="H47" s="37">
        <f>IF(OR(H5="",H18=""),"",IFERROR((H5-N(H9))/H18,""))</f>
        <v/>
      </c>
      <c r="I47" s="38">
        <f>IF(OR(I5="",I18=""),"",IFERROR((I5-N(I9))/I18,""))</f>
        <v/>
      </c>
      <c r="J47" s="38">
        <f>IF(OR(J5="",J18=""),"",IFERROR((J5-N(J9))/J18,""))</f>
        <v/>
      </c>
      <c r="K47" s="38">
        <f>IF(OR(K5="",K18=""),"",IFERROR((K5-N(K9))/K18,""))</f>
        <v/>
      </c>
      <c r="L47" s="38">
        <f>IF(OR(L5="",L18=""),"",IFERROR((L5-N(L9))/L18,""))</f>
        <v/>
      </c>
    </row>
    <row r="48">
      <c r="A48" s="47" t="inlineStr">
        <is>
          <t>이자보상배율</t>
        </is>
      </c>
      <c r="B48" s="10" t="inlineStr">
        <is>
          <t>5x↑ (금융원가 기준)</t>
        </is>
      </c>
      <c r="C48" s="32">
        <f>IFERROR((IF(COUNT('연간'!G19:J19)&lt;4,"",SUM('연간'!G19:J19)))/(IF(COUNT('연간'!G41:J41)&lt;4,"",SUM('연간'!G41:J41))),"")</f>
        <v/>
      </c>
      <c r="D48" s="33">
        <f>IFERROR((IF(COUNT('연간'!H19:K19)&lt;4,"",SUM('연간'!H19:K19)))/(IF(COUNT('연간'!H41:K41)&lt;4,"",SUM('연간'!H41:K41))),"")</f>
        <v/>
      </c>
      <c r="E48" s="33">
        <f>IFERROR((IF(COUNT('연간'!I19:L19)&lt;4,"",SUM('연간'!I19:L19)))/(IF(COUNT('연간'!I41:L41)&lt;4,"",SUM('연간'!I41:L41))),"")</f>
        <v/>
      </c>
      <c r="F48" s="33">
        <f>IFERROR((IF(COUNT('연간'!J19:M19)&lt;4,"",SUM('연간'!J19:M19)))/(IF(COUNT('연간'!J41:M41)&lt;4,"",SUM('연간'!J41:M41))),"")</f>
        <v/>
      </c>
      <c r="G48" s="33">
        <f>IFERROR((IF(COUNT('연간'!K19:N19)&lt;4,"",SUM('연간'!K19:N19)))/(IF(COUNT('연간'!K41:N41)&lt;4,"",SUM('연간'!K41:N41))),"")</f>
        <v/>
      </c>
      <c r="H48" s="32">
        <f>IFERROR(('연간'!T19)/('연간'!T41),"")</f>
        <v/>
      </c>
      <c r="I48" s="33">
        <f>IFERROR(('연간'!U19)/('연간'!U41),"")</f>
        <v/>
      </c>
      <c r="J48" s="33">
        <f>IFERROR(('연간'!V19)/('연간'!V41),"")</f>
        <v/>
      </c>
      <c r="K48" s="33">
        <f>IFERROR(('연간'!W19)/('연간'!W41),"")</f>
        <v/>
      </c>
      <c r="L48" s="33">
        <f>IFERROR(('연간'!X19)/('연간'!X41),"")</f>
        <v/>
      </c>
    </row>
    <row r="49">
      <c r="A49" s="47" t="inlineStr">
        <is>
          <t>차입금 상환연수</t>
        </is>
      </c>
      <c r="B49" s="10" t="inlineStr">
        <is>
          <t>4년↓ (버핏)</t>
        </is>
      </c>
      <c r="C49" s="48">
        <f>IFERROR(IF((IF(COUNT('연간'!G49:J49)&lt;4,"",SUM('연간'!G49:J49)))&lt;=0,"적자",C28/(IF(COUNT('연간'!G49:J49)&lt;4,"",SUM('연간'!G49:J49)))),"")</f>
        <v/>
      </c>
      <c r="D49" s="49">
        <f>IFERROR(IF((IF(COUNT('연간'!H49:K49)&lt;4,"",SUM('연간'!H49:K49)))&lt;=0,"적자",D28/(IF(COUNT('연간'!H49:K49)&lt;4,"",SUM('연간'!H49:K49)))),"")</f>
        <v/>
      </c>
      <c r="E49" s="49">
        <f>IFERROR(IF((IF(COUNT('연간'!I49:L49)&lt;4,"",SUM('연간'!I49:L49)))&lt;=0,"적자",E28/(IF(COUNT('연간'!I49:L49)&lt;4,"",SUM('연간'!I49:L49)))),"")</f>
        <v/>
      </c>
      <c r="F49" s="49">
        <f>IFERROR(IF((IF(COUNT('연간'!J49:M49)&lt;4,"",SUM('연간'!J49:M49)))&lt;=0,"적자",F28/(IF(COUNT('연간'!J49:M49)&lt;4,"",SUM('연간'!J49:M49)))),"")</f>
        <v/>
      </c>
      <c r="G49" s="49">
        <f>IFERROR(IF((IF(COUNT('연간'!K49:N49)&lt;4,"",SUM('연간'!K49:N49)))&lt;=0,"적자",G28/(IF(COUNT('연간'!K49:N49)&lt;4,"",SUM('연간'!K49:N49)))),"")</f>
        <v/>
      </c>
      <c r="H49" s="48">
        <f>IFERROR(IF(('연간'!T49)&lt;=0,"적자",H28/('연간'!T49)),"")</f>
        <v/>
      </c>
      <c r="I49" s="49">
        <f>IFERROR(IF(('연간'!U49)&lt;=0,"적자",I28/('연간'!U49)),"")</f>
        <v/>
      </c>
      <c r="J49" s="49">
        <f>IFERROR(IF(('연간'!V49)&lt;=0,"적자",J28/('연간'!V49)),"")</f>
        <v/>
      </c>
      <c r="K49" s="49">
        <f>IFERROR(IF(('연간'!W49)&lt;=0,"적자",K28/('연간'!W49)),"")</f>
        <v/>
      </c>
      <c r="L49" s="49">
        <f>IFERROR(IF(('연간'!X49)&lt;=0,"적자",L28/('연간'!X49)),"")</f>
        <v/>
      </c>
    </row>
    <row r="50">
      <c r="A50" s="25" t="inlineStr">
        <is>
          <t>수익성</t>
        </is>
      </c>
      <c r="B50" s="25" t="n"/>
      <c r="C50" s="26" t="n"/>
      <c r="D50" s="25" t="n"/>
      <c r="E50" s="25" t="n"/>
      <c r="F50" s="25" t="n"/>
      <c r="G50" s="25" t="n"/>
      <c r="H50" s="26" t="n"/>
      <c r="I50" s="25" t="n"/>
      <c r="J50" s="25" t="n"/>
      <c r="K50" s="25" t="n"/>
      <c r="L50" s="25" t="n"/>
    </row>
    <row r="51">
      <c r="A51" s="47" t="inlineStr">
        <is>
          <t>ROE</t>
        </is>
      </c>
      <c r="B51" s="10" t="inlineStr">
        <is>
          <t>15%↑ (버핏)</t>
        </is>
      </c>
      <c r="C51" s="37">
        <f>IFERROR((IF(COUNT('연간'!G49:J49)&lt;4,"",SUM('연간'!G49:J49)))/C31,"")</f>
        <v/>
      </c>
      <c r="D51" s="38">
        <f>IFERROR((IF(COUNT('연간'!H49:K49)&lt;4,"",SUM('연간'!H49:K49)))/D31,"")</f>
        <v/>
      </c>
      <c r="E51" s="38">
        <f>IFERROR((IF(COUNT('연간'!I49:L49)&lt;4,"",SUM('연간'!I49:L49)))/E31,"")</f>
        <v/>
      </c>
      <c r="F51" s="38">
        <f>IFERROR((IF(COUNT('연간'!J49:M49)&lt;4,"",SUM('연간'!J49:M49)))/F31,"")</f>
        <v/>
      </c>
      <c r="G51" s="38">
        <f>IFERROR((IF(COUNT('연간'!K49:N49)&lt;4,"",SUM('연간'!K49:N49)))/G31,"")</f>
        <v/>
      </c>
      <c r="H51" s="37">
        <f>IFERROR(('연간'!T49)/H31,"")</f>
        <v/>
      </c>
      <c r="I51" s="38">
        <f>IFERROR(('연간'!U49)/I31,"")</f>
        <v/>
      </c>
      <c r="J51" s="38">
        <f>IFERROR(('연간'!V49)/J31,"")</f>
        <v/>
      </c>
      <c r="K51" s="38">
        <f>IFERROR(('연간'!W49)/K31,"")</f>
        <v/>
      </c>
      <c r="L51" s="38">
        <f>IFERROR(('연간'!X49)/L31,"")</f>
        <v/>
      </c>
    </row>
    <row r="52">
      <c r="A52" s="47" t="inlineStr">
        <is>
          <t>ROA</t>
        </is>
      </c>
      <c r="B52" s="10" t="inlineStr">
        <is>
          <t>5%↑</t>
        </is>
      </c>
      <c r="C52" s="37">
        <f>IFERROR((IF(COUNT('연간'!G47:J47)&lt;4,"",SUM('연간'!G47:J47)))/C16,"")</f>
        <v/>
      </c>
      <c r="D52" s="38">
        <f>IFERROR((IF(COUNT('연간'!H47:K47)&lt;4,"",SUM('연간'!H47:K47)))/D16,"")</f>
        <v/>
      </c>
      <c r="E52" s="38">
        <f>IFERROR((IF(COUNT('연간'!I47:L47)&lt;4,"",SUM('연간'!I47:L47)))/E16,"")</f>
        <v/>
      </c>
      <c r="F52" s="38">
        <f>IFERROR((IF(COUNT('연간'!J47:M47)&lt;4,"",SUM('연간'!J47:M47)))/F16,"")</f>
        <v/>
      </c>
      <c r="G52" s="38">
        <f>IFERROR((IF(COUNT('연간'!K47:N47)&lt;4,"",SUM('연간'!K47:N47)))/G16,"")</f>
        <v/>
      </c>
      <c r="H52" s="37">
        <f>IFERROR(('연간'!T47)/H16,"")</f>
        <v/>
      </c>
      <c r="I52" s="38">
        <f>IFERROR(('연간'!U47)/I16,"")</f>
        <v/>
      </c>
      <c r="J52" s="38">
        <f>IFERROR(('연간'!V47)/J16,"")</f>
        <v/>
      </c>
      <c r="K52" s="38">
        <f>IFERROR(('연간'!W47)/K16,"")</f>
        <v/>
      </c>
      <c r="L52" s="38">
        <f>IFERROR(('연간'!X47)/L16,"")</f>
        <v/>
      </c>
    </row>
    <row r="53">
      <c r="A53" s="47" t="inlineStr">
        <is>
          <t>ROIC</t>
        </is>
      </c>
      <c r="B53" s="10" t="inlineStr">
        <is>
          <t>10%↑ (세후영업이익 기준)</t>
        </is>
      </c>
      <c r="C53" s="37">
        <f>IFERROR((IF(COUNT('연간'!G19:J19)&lt;4,"",SUM('연간'!G19:J19)))*(1-0.3)/(C35+C29),"")</f>
        <v/>
      </c>
      <c r="D53" s="38">
        <f>IFERROR((IF(COUNT('연간'!H19:K19)&lt;4,"",SUM('연간'!H19:K19)))*(1-0.3)/(D35+D29),"")</f>
        <v/>
      </c>
      <c r="E53" s="38">
        <f>IFERROR((IF(COUNT('연간'!I19:L19)&lt;4,"",SUM('연간'!I19:L19)))*(1-0.3)/(E35+E29),"")</f>
        <v/>
      </c>
      <c r="F53" s="38">
        <f>IFERROR((IF(COUNT('연간'!J19:M19)&lt;4,"",SUM('연간'!J19:M19)))*(1-0.3)/(F35+F29),"")</f>
        <v/>
      </c>
      <c r="G53" s="38">
        <f>IFERROR((IF(COUNT('연간'!K19:N19)&lt;4,"",SUM('연간'!K19:N19)))*(1-0.3)/(G35+G29),"")</f>
        <v/>
      </c>
      <c r="H53" s="37">
        <f>IFERROR(('연간'!T19)*(1-0.3)/(H35+H29),"")</f>
        <v/>
      </c>
      <c r="I53" s="38">
        <f>IFERROR(('연간'!U19)*(1-0.3)/(I35+I29),"")</f>
        <v/>
      </c>
      <c r="J53" s="38">
        <f>IFERROR(('연간'!V19)*(1-0.3)/(J35+J29),"")</f>
        <v/>
      </c>
      <c r="K53" s="38">
        <f>IFERROR(('연간'!W19)*(1-0.3)/(K35+K29),"")</f>
        <v/>
      </c>
      <c r="L53" s="38">
        <f>IFERROR(('연간'!X19)*(1-0.3)/(L35+L29),"")</f>
        <v/>
      </c>
    </row>
    <row r="54">
      <c r="A54" s="47" t="inlineStr">
        <is>
          <t>매출총이익률 (GPM)</t>
        </is>
      </c>
      <c r="B54" s="10" t="inlineStr">
        <is>
          <t>40%↑ (해자 신호)</t>
        </is>
      </c>
      <c r="C54" s="37">
        <f>IFERROR((IF(COUNT('연간'!G13:J13)&lt;4,"",SUM('연간'!G13:J13)))/(IF(COUNT('연간'!G4:J4)&lt;4,"",SUM('연간'!G4:J4))),"")</f>
        <v/>
      </c>
      <c r="D54" s="38">
        <f>IFERROR((IF(COUNT('연간'!H13:K13)&lt;4,"",SUM('연간'!H13:K13)))/(IF(COUNT('연간'!H4:K4)&lt;4,"",SUM('연간'!H4:K4))),"")</f>
        <v/>
      </c>
      <c r="E54" s="38">
        <f>IFERROR((IF(COUNT('연간'!I13:L13)&lt;4,"",SUM('연간'!I13:L13)))/(IF(COUNT('연간'!I4:L4)&lt;4,"",SUM('연간'!I4:L4))),"")</f>
        <v/>
      </c>
      <c r="F54" s="38">
        <f>IFERROR((IF(COUNT('연간'!J13:M13)&lt;4,"",SUM('연간'!J13:M13)))/(IF(COUNT('연간'!J4:M4)&lt;4,"",SUM('연간'!J4:M4))),"")</f>
        <v/>
      </c>
      <c r="G54" s="38">
        <f>IFERROR((IF(COUNT('연간'!K13:N13)&lt;4,"",SUM('연간'!K13:N13)))/(IF(COUNT('연간'!K4:N4)&lt;4,"",SUM('연간'!K4:N4))),"")</f>
        <v/>
      </c>
      <c r="H54" s="37">
        <f>IFERROR(('연간'!T13)/('연간'!T4),"")</f>
        <v/>
      </c>
      <c r="I54" s="38">
        <f>IFERROR(('연간'!U13)/('연간'!U4),"")</f>
        <v/>
      </c>
      <c r="J54" s="38">
        <f>IFERROR(('연간'!V13)/('연간'!V4),"")</f>
        <v/>
      </c>
      <c r="K54" s="38">
        <f>IFERROR(('연간'!W13)/('연간'!W4),"")</f>
        <v/>
      </c>
      <c r="L54" s="38">
        <f>IFERROR(('연간'!X13)/('연간'!X4),"")</f>
        <v/>
      </c>
    </row>
    <row r="55">
      <c r="A55" s="47" t="inlineStr">
        <is>
          <t>영업이익률 (OPM)</t>
        </is>
      </c>
      <c r="B55" s="10" t="inlineStr">
        <is>
          <t>15%↑</t>
        </is>
      </c>
      <c r="C55" s="37">
        <f>IFERROR((IF(COUNT('연간'!G19:J19)&lt;4,"",SUM('연간'!G19:J19)))/(IF(COUNT('연간'!G4:J4)&lt;4,"",SUM('연간'!G4:J4))),"")</f>
        <v/>
      </c>
      <c r="D55" s="38">
        <f>IFERROR((IF(COUNT('연간'!H19:K19)&lt;4,"",SUM('연간'!H19:K19)))/(IF(COUNT('연간'!H4:K4)&lt;4,"",SUM('연간'!H4:K4))),"")</f>
        <v/>
      </c>
      <c r="E55" s="38">
        <f>IFERROR((IF(COUNT('연간'!I19:L19)&lt;4,"",SUM('연간'!I19:L19)))/(IF(COUNT('연간'!I4:L4)&lt;4,"",SUM('연간'!I4:L4))),"")</f>
        <v/>
      </c>
      <c r="F55" s="38">
        <f>IFERROR((IF(COUNT('연간'!J19:M19)&lt;4,"",SUM('연간'!J19:M19)))/(IF(COUNT('연간'!J4:M4)&lt;4,"",SUM('연간'!J4:M4))),"")</f>
        <v/>
      </c>
      <c r="G55" s="38">
        <f>IFERROR((IF(COUNT('연간'!K19:N19)&lt;4,"",SUM('연간'!K19:N19)))/(IF(COUNT('연간'!K4:N4)&lt;4,"",SUM('연간'!K4:N4))),"")</f>
        <v/>
      </c>
      <c r="H55" s="37">
        <f>IFERROR(('연간'!T19)/('연간'!T4),"")</f>
        <v/>
      </c>
      <c r="I55" s="38">
        <f>IFERROR(('연간'!U19)/('연간'!U4),"")</f>
        <v/>
      </c>
      <c r="J55" s="38">
        <f>IFERROR(('연간'!V19)/('연간'!V4),"")</f>
        <v/>
      </c>
      <c r="K55" s="38">
        <f>IFERROR(('연간'!W19)/('연간'!W4),"")</f>
        <v/>
      </c>
      <c r="L55" s="38">
        <f>IFERROR(('연간'!X19)/('연간'!X4),"")</f>
        <v/>
      </c>
    </row>
    <row r="56">
      <c r="A56" s="47" t="inlineStr">
        <is>
          <t>순이익률</t>
        </is>
      </c>
      <c r="B56" s="10" t="inlineStr">
        <is>
          <t>10%↑</t>
        </is>
      </c>
      <c r="C56" s="37">
        <f>IFERROR((IF(COUNT('연간'!G47:J47)&lt;4,"",SUM('연간'!G47:J47)))/(IF(COUNT('연간'!G4:J4)&lt;4,"",SUM('연간'!G4:J4))),"")</f>
        <v/>
      </c>
      <c r="D56" s="38">
        <f>IFERROR((IF(COUNT('연간'!H47:K47)&lt;4,"",SUM('연간'!H47:K47)))/(IF(COUNT('연간'!H4:K4)&lt;4,"",SUM('연간'!H4:K4))),"")</f>
        <v/>
      </c>
      <c r="E56" s="38">
        <f>IFERROR((IF(COUNT('연간'!I47:L47)&lt;4,"",SUM('연간'!I47:L47)))/(IF(COUNT('연간'!I4:L4)&lt;4,"",SUM('연간'!I4:L4))),"")</f>
        <v/>
      </c>
      <c r="F56" s="38">
        <f>IFERROR((IF(COUNT('연간'!J47:M47)&lt;4,"",SUM('연간'!J47:M47)))/(IF(COUNT('연간'!J4:M4)&lt;4,"",SUM('연간'!J4:M4))),"")</f>
        <v/>
      </c>
      <c r="G56" s="38">
        <f>IFERROR((IF(COUNT('연간'!K47:N47)&lt;4,"",SUM('연간'!K47:N47)))/(IF(COUNT('연간'!K4:N4)&lt;4,"",SUM('연간'!K4:N4))),"")</f>
        <v/>
      </c>
      <c r="H56" s="37">
        <f>IFERROR(('연간'!T47)/('연간'!T4),"")</f>
        <v/>
      </c>
      <c r="I56" s="38">
        <f>IFERROR(('연간'!U47)/('연간'!U4),"")</f>
        <v/>
      </c>
      <c r="J56" s="38">
        <f>IFERROR(('연간'!V47)/('연간'!V4),"")</f>
        <v/>
      </c>
      <c r="K56" s="38">
        <f>IFERROR(('연간'!W47)/('연간'!W4),"")</f>
        <v/>
      </c>
      <c r="L56" s="38">
        <f>IFERROR(('연간'!X47)/('연간'!X4),"")</f>
        <v/>
      </c>
    </row>
    <row r="57">
      <c r="A57" s="25" t="inlineStr">
        <is>
          <t>효율성 (회전율)</t>
        </is>
      </c>
      <c r="B57" s="25" t="n"/>
      <c r="C57" s="26" t="n"/>
      <c r="D57" s="25" t="n"/>
      <c r="E57" s="25" t="n"/>
      <c r="F57" s="25" t="n"/>
      <c r="G57" s="25" t="n"/>
      <c r="H57" s="26" t="n"/>
      <c r="I57" s="25" t="n"/>
      <c r="J57" s="25" t="n"/>
      <c r="K57" s="25" t="n"/>
      <c r="L57" s="25" t="n"/>
    </row>
    <row r="58">
      <c r="A58" s="47" t="inlineStr">
        <is>
          <t>총자산회전율</t>
        </is>
      </c>
      <c r="B58" s="10" t="inlineStr">
        <is>
          <t>높을수록↑</t>
        </is>
      </c>
      <c r="C58" s="32">
        <f>IFERROR((IF(COUNT('연간'!G4:J4)&lt;4,"",SUM('연간'!G4:J4)))/C16,"")</f>
        <v/>
      </c>
      <c r="D58" s="33">
        <f>IFERROR((IF(COUNT('연간'!H4:K4)&lt;4,"",SUM('연간'!H4:K4)))/D16,"")</f>
        <v/>
      </c>
      <c r="E58" s="33">
        <f>IFERROR((IF(COUNT('연간'!I4:L4)&lt;4,"",SUM('연간'!I4:L4)))/E16,"")</f>
        <v/>
      </c>
      <c r="F58" s="33">
        <f>IFERROR((IF(COUNT('연간'!J4:M4)&lt;4,"",SUM('연간'!J4:M4)))/F16,"")</f>
        <v/>
      </c>
      <c r="G58" s="33">
        <f>IFERROR((IF(COUNT('연간'!K4:N4)&lt;4,"",SUM('연간'!K4:N4)))/G16,"")</f>
        <v/>
      </c>
      <c r="H58" s="32">
        <f>IFERROR(('연간'!T4)/H16,"")</f>
        <v/>
      </c>
      <c r="I58" s="33">
        <f>IFERROR(('연간'!U4)/I16,"")</f>
        <v/>
      </c>
      <c r="J58" s="33">
        <f>IFERROR(('연간'!V4)/J16,"")</f>
        <v/>
      </c>
      <c r="K58" s="33">
        <f>IFERROR(('연간'!W4)/K16,"")</f>
        <v/>
      </c>
      <c r="L58" s="33">
        <f>IFERROR(('연간'!X4)/L16,"")</f>
        <v/>
      </c>
    </row>
    <row r="59">
      <c r="A59" s="47" t="inlineStr">
        <is>
          <t>매출채권회전일수</t>
        </is>
      </c>
      <c r="B59" s="10" t="inlineStr">
        <is>
          <t>짧을수록↑</t>
        </is>
      </c>
      <c r="C59" s="50">
        <f>IFERROR(C8/(IF(COUNT('연간'!G4:J4)&lt;4,"",SUM('연간'!G4:J4)))*365,"")</f>
        <v/>
      </c>
      <c r="D59" s="51">
        <f>IFERROR(D8/(IF(COUNT('연간'!H4:K4)&lt;4,"",SUM('연간'!H4:K4)))*365,"")</f>
        <v/>
      </c>
      <c r="E59" s="51">
        <f>IFERROR(E8/(IF(COUNT('연간'!I4:L4)&lt;4,"",SUM('연간'!I4:L4)))*365,"")</f>
        <v/>
      </c>
      <c r="F59" s="51">
        <f>IFERROR(F8/(IF(COUNT('연간'!J4:M4)&lt;4,"",SUM('연간'!J4:M4)))*365,"")</f>
        <v/>
      </c>
      <c r="G59" s="51">
        <f>IFERROR(G8/(IF(COUNT('연간'!K4:N4)&lt;4,"",SUM('연간'!K4:N4)))*365,"")</f>
        <v/>
      </c>
      <c r="H59" s="50">
        <f>IFERROR(H8/('연간'!T4)*365,"")</f>
        <v/>
      </c>
      <c r="I59" s="51">
        <f>IFERROR(I8/('연간'!U4)*365,"")</f>
        <v/>
      </c>
      <c r="J59" s="51">
        <f>IFERROR(J8/('연간'!V4)*365,"")</f>
        <v/>
      </c>
      <c r="K59" s="51">
        <f>IFERROR(K8/('연간'!W4)*365,"")</f>
        <v/>
      </c>
      <c r="L59" s="51">
        <f>IFERROR(L8/('연간'!X4)*365,"")</f>
        <v/>
      </c>
    </row>
    <row r="60">
      <c r="A60" s="47" t="inlineStr">
        <is>
          <t>재고자산회전일수</t>
        </is>
      </c>
      <c r="B60" s="10" t="inlineStr">
        <is>
          <t>짧을수록↑</t>
        </is>
      </c>
      <c r="C60" s="50">
        <f>IFERROR(C9/(IF(COUNT('연간'!G11:J11)&lt;4,"",SUM('연간'!G11:J11)))*365,"")</f>
        <v/>
      </c>
      <c r="D60" s="51">
        <f>IFERROR(D9/(IF(COUNT('연간'!H11:K11)&lt;4,"",SUM('연간'!H11:K11)))*365,"")</f>
        <v/>
      </c>
      <c r="E60" s="51">
        <f>IFERROR(E9/(IF(COUNT('연간'!I11:L11)&lt;4,"",SUM('연간'!I11:L11)))*365,"")</f>
        <v/>
      </c>
      <c r="F60" s="51">
        <f>IFERROR(F9/(IF(COUNT('연간'!J11:M11)&lt;4,"",SUM('연간'!J11:M11)))*365,"")</f>
        <v/>
      </c>
      <c r="G60" s="51">
        <f>IFERROR(G9/(IF(COUNT('연간'!K11:N11)&lt;4,"",SUM('연간'!K11:N11)))*365,"")</f>
        <v/>
      </c>
      <c r="H60" s="50">
        <f>IFERROR(H9/('연간'!T11)*365,"")</f>
        <v/>
      </c>
      <c r="I60" s="51">
        <f>IFERROR(I9/('연간'!U11)*365,"")</f>
        <v/>
      </c>
      <c r="J60" s="51">
        <f>IFERROR(J9/('연간'!V11)*365,"")</f>
        <v/>
      </c>
      <c r="K60" s="51">
        <f>IFERROR(K9/('연간'!W11)*365,"")</f>
        <v/>
      </c>
      <c r="L60" s="51">
        <f>IFERROR(L9/('연간'!X11)*365,"")</f>
        <v/>
      </c>
    </row>
    <row r="61">
      <c r="A61" s="47" t="inlineStr">
        <is>
          <t>매입채무회전일수</t>
        </is>
      </c>
      <c r="B61" s="10" t="inlineStr">
        <is>
          <t>길수록 유리</t>
        </is>
      </c>
      <c r="C61" s="50">
        <f>IFERROR(C19/(IF(COUNT('연간'!G11:J11)&lt;4,"",SUM('연간'!G11:J11)))*365,"")</f>
        <v/>
      </c>
      <c r="D61" s="51">
        <f>IFERROR(D19/(IF(COUNT('연간'!H11:K11)&lt;4,"",SUM('연간'!H11:K11)))*365,"")</f>
        <v/>
      </c>
      <c r="E61" s="51">
        <f>IFERROR(E19/(IF(COUNT('연간'!I11:L11)&lt;4,"",SUM('연간'!I11:L11)))*365,"")</f>
        <v/>
      </c>
      <c r="F61" s="51">
        <f>IFERROR(F19/(IF(COUNT('연간'!J11:M11)&lt;4,"",SUM('연간'!J11:M11)))*365,"")</f>
        <v/>
      </c>
      <c r="G61" s="51">
        <f>IFERROR(G19/(IF(COUNT('연간'!K11:N11)&lt;4,"",SUM('연간'!K11:N11)))*365,"")</f>
        <v/>
      </c>
      <c r="H61" s="50">
        <f>IFERROR(H19/('연간'!T11)*365,"")</f>
        <v/>
      </c>
      <c r="I61" s="51">
        <f>IFERROR(I19/('연간'!U11)*365,"")</f>
        <v/>
      </c>
      <c r="J61" s="51">
        <f>IFERROR(J19/('연간'!V11)*365,"")</f>
        <v/>
      </c>
      <c r="K61" s="51">
        <f>IFERROR(K19/('연간'!W11)*365,"")</f>
        <v/>
      </c>
      <c r="L61" s="51">
        <f>IFERROR(L19/('연간'!X11)*365,"")</f>
        <v/>
      </c>
    </row>
    <row r="62">
      <c r="A62" s="47" t="inlineStr">
        <is>
          <t>현금전환주기 (CCC)</t>
        </is>
      </c>
      <c r="B62" s="10" t="inlineStr">
        <is>
          <t>짧을수록↑</t>
        </is>
      </c>
      <c r="C62" s="50">
        <f>IF(OR(C59="",C60="",C61=""),"",IFERROR(C59+C60-C61,""))</f>
        <v/>
      </c>
      <c r="D62" s="51">
        <f>IF(OR(D59="",D60="",D61=""),"",IFERROR(D59+D60-D61,""))</f>
        <v/>
      </c>
      <c r="E62" s="51">
        <f>IF(OR(E59="",E60="",E61=""),"",IFERROR(E59+E60-E61,""))</f>
        <v/>
      </c>
      <c r="F62" s="51">
        <f>IF(OR(F59="",F60="",F61=""),"",IFERROR(F59+F60-F61,""))</f>
        <v/>
      </c>
      <c r="G62" s="51">
        <f>IF(OR(G59="",G60="",G61=""),"",IFERROR(G59+G60-G61,""))</f>
        <v/>
      </c>
      <c r="H62" s="50">
        <f>IF(OR(H59="",H60="",H61=""),"",IFERROR(H59+H60-H61,""))</f>
        <v/>
      </c>
      <c r="I62" s="51">
        <f>IF(OR(I59="",I60="",I61=""),"",IFERROR(I59+I60-I61,""))</f>
        <v/>
      </c>
      <c r="J62" s="51">
        <f>IF(OR(J59="",J60="",J61=""),"",IFERROR(J59+J60-J61,""))</f>
        <v/>
      </c>
      <c r="K62" s="51">
        <f>IF(OR(K59="",K60="",K61=""),"",IFERROR(K59+K60-K61,""))</f>
        <v/>
      </c>
      <c r="L62" s="51">
        <f>IF(OR(L59="",L60="",L61=""),"",IFERROR(L59+L60-L61,""))</f>
        <v/>
      </c>
    </row>
    <row r="63">
      <c r="A63" s="25" t="inlineStr">
        <is>
          <t>현금흐름</t>
        </is>
      </c>
      <c r="B63" s="25" t="n"/>
      <c r="C63" s="26" t="n"/>
      <c r="D63" s="25" t="n"/>
      <c r="E63" s="25" t="n"/>
      <c r="F63" s="25" t="n"/>
      <c r="G63" s="25" t="n"/>
      <c r="H63" s="26" t="n"/>
      <c r="I63" s="25" t="n"/>
      <c r="J63" s="25" t="n"/>
      <c r="K63" s="25" t="n"/>
      <c r="L63" s="25" t="n"/>
    </row>
    <row r="64">
      <c r="A64" s="47" t="inlineStr">
        <is>
          <t>영업현금흐름 / 순이익</t>
        </is>
      </c>
      <c r="B64" s="10" t="inlineStr">
        <is>
          <t>1x↑ (이익의 질)</t>
        </is>
      </c>
      <c r="C64" s="32">
        <f>IF(C37="","",IFERROR(C37/(IF(COUNT('연간'!G47:J47)&lt;4,"",SUM('연간'!G47:J47))),""))</f>
        <v/>
      </c>
      <c r="D64" s="33">
        <f>IF(D37="","",IFERROR(D37/(IF(COUNT('연간'!H47:K47)&lt;4,"",SUM('연간'!H47:K47))),""))</f>
        <v/>
      </c>
      <c r="E64" s="33">
        <f>IF(E37="","",IFERROR(E37/(IF(COUNT('연간'!I47:L47)&lt;4,"",SUM('연간'!I47:L47))),""))</f>
        <v/>
      </c>
      <c r="F64" s="33">
        <f>IF(F37="","",IFERROR(F37/(IF(COUNT('연간'!J47:M47)&lt;4,"",SUM('연간'!J47:M47))),""))</f>
        <v/>
      </c>
      <c r="G64" s="33">
        <f>IF(G37="","",IFERROR(G37/(IF(COUNT('연간'!K47:N47)&lt;4,"",SUM('연간'!K47:N47))),""))</f>
        <v/>
      </c>
      <c r="H64" s="32">
        <f>IF(H37="","",IFERROR(H37/('연간'!T47),""))</f>
        <v/>
      </c>
      <c r="I64" s="33">
        <f>IF(I37="","",IFERROR(I37/('연간'!U47),""))</f>
        <v/>
      </c>
      <c r="J64" s="33">
        <f>IF(J37="","",IFERROR(J37/('연간'!V47),""))</f>
        <v/>
      </c>
      <c r="K64" s="33">
        <f>IF(K37="","",IFERROR(K37/('연간'!W47),""))</f>
        <v/>
      </c>
      <c r="L64" s="33">
        <f>IF(L37="","",IFERROR(L37/('연간'!X47),""))</f>
        <v/>
      </c>
    </row>
    <row r="65">
      <c r="A65" s="47" t="inlineStr">
        <is>
          <t>FCF 마진</t>
        </is>
      </c>
      <c r="B65" s="10" t="inlineStr">
        <is>
          <t>5%↑</t>
        </is>
      </c>
      <c r="C65" s="37">
        <f>IF(C39="","",IFERROR(C39/(IF(COUNT('연간'!G4:J4)&lt;4,"",SUM('연간'!G4:J4))),""))</f>
        <v/>
      </c>
      <c r="D65" s="38">
        <f>IF(D39="","",IFERROR(D39/(IF(COUNT('연간'!H4:K4)&lt;4,"",SUM('연간'!H4:K4))),""))</f>
        <v/>
      </c>
      <c r="E65" s="38">
        <f>IF(E39="","",IFERROR(E39/(IF(COUNT('연간'!I4:L4)&lt;4,"",SUM('연간'!I4:L4))),""))</f>
        <v/>
      </c>
      <c r="F65" s="38">
        <f>IF(F39="","",IFERROR(F39/(IF(COUNT('연간'!J4:M4)&lt;4,"",SUM('연간'!J4:M4))),""))</f>
        <v/>
      </c>
      <c r="G65" s="38">
        <f>IF(G39="","",IFERROR(G39/(IF(COUNT('연간'!K4:N4)&lt;4,"",SUM('연간'!K4:N4))),""))</f>
        <v/>
      </c>
      <c r="H65" s="37">
        <f>IF(H39="","",IFERROR(H39/('연간'!T4),""))</f>
        <v/>
      </c>
      <c r="I65" s="38">
        <f>IF(I39="","",IFERROR(I39/('연간'!U4),""))</f>
        <v/>
      </c>
      <c r="J65" s="38">
        <f>IF(J39="","",IFERROR(J39/('연간'!V4),""))</f>
        <v/>
      </c>
      <c r="K65" s="38">
        <f>IF(K39="","",IFERROR(K39/('연간'!W4),""))</f>
        <v/>
      </c>
      <c r="L65" s="38">
        <f>IF(L39="","",IFERROR(L39/('연간'!X4),""))</f>
        <v/>
      </c>
    </row>
    <row r="66">
      <c r="A66" s="47" t="inlineStr">
        <is>
          <t>CAPEX / 매출</t>
        </is>
      </c>
      <c r="B66" s="10" t="inlineStr">
        <is>
          <t>낮을수록↑ (자본 가벼움)</t>
        </is>
      </c>
      <c r="C66" s="37">
        <f>IF(C38="","",IFERROR(C38/(IF(COUNT('연간'!G4:J4)&lt;4,"",SUM('연간'!G4:J4))),""))</f>
        <v/>
      </c>
      <c r="D66" s="38">
        <f>IF(D38="","",IFERROR(D38/(IF(COUNT('연간'!H4:K4)&lt;4,"",SUM('연간'!H4:K4))),""))</f>
        <v/>
      </c>
      <c r="E66" s="38">
        <f>IF(E38="","",IFERROR(E38/(IF(COUNT('연간'!I4:L4)&lt;4,"",SUM('연간'!I4:L4))),""))</f>
        <v/>
      </c>
      <c r="F66" s="38">
        <f>IF(F38="","",IFERROR(F38/(IF(COUNT('연간'!J4:M4)&lt;4,"",SUM('연간'!J4:M4))),""))</f>
        <v/>
      </c>
      <c r="G66" s="38">
        <f>IF(G38="","",IFERROR(G38/(IF(COUNT('연간'!K4:N4)&lt;4,"",SUM('연간'!K4:N4))),""))</f>
        <v/>
      </c>
      <c r="H66" s="37">
        <f>IF(H38="","",IFERROR(H38/('연간'!T4),""))</f>
        <v/>
      </c>
      <c r="I66" s="38">
        <f>IF(I38="","",IFERROR(I38/('연간'!U4),""))</f>
        <v/>
      </c>
      <c r="J66" s="38">
        <f>IF(J38="","",IFERROR(J38/('연간'!V4),""))</f>
        <v/>
      </c>
      <c r="K66" s="38">
        <f>IF(K38="","",IFERROR(K38/('연간'!W4),""))</f>
        <v/>
      </c>
      <c r="L66" s="38">
        <f>IF(L38="","",IFERROR(L38/('연간'!X4),""))</f>
        <v/>
      </c>
    </row>
    <row r="67">
      <c r="A67" s="47" t="inlineStr">
        <is>
          <t>배당성향</t>
        </is>
      </c>
      <c r="B67" s="10" t="inlineStr">
        <is>
          <t>참고</t>
        </is>
      </c>
      <c r="C67" s="37">
        <f>IF(C40="","",IFERROR(C40/(IF(COUNT('연간'!G49:J49)&lt;4,"",SUM('연간'!G49:J49))),""))</f>
        <v/>
      </c>
      <c r="D67" s="38">
        <f>IF(D40="","",IFERROR(D40/(IF(COUNT('연간'!H49:K49)&lt;4,"",SUM('연간'!H49:K49))),""))</f>
        <v/>
      </c>
      <c r="E67" s="38">
        <f>IF(E40="","",IFERROR(E40/(IF(COUNT('연간'!I49:L49)&lt;4,"",SUM('연간'!I49:L49))),""))</f>
        <v/>
      </c>
      <c r="F67" s="38">
        <f>IF(F40="","",IFERROR(F40/(IF(COUNT('연간'!J49:M49)&lt;4,"",SUM('연간'!J49:M49))),""))</f>
        <v/>
      </c>
      <c r="G67" s="38">
        <f>IF(G40="","",IFERROR(G40/(IF(COUNT('연간'!K49:N49)&lt;4,"",SUM('연간'!K49:N49))),""))</f>
        <v/>
      </c>
      <c r="H67" s="37">
        <f>IF(H40="","",IFERROR(H40/('연간'!T49),""))</f>
        <v/>
      </c>
      <c r="I67" s="38">
        <f>IF(I40="","",IFERROR(I40/('연간'!U49),""))</f>
        <v/>
      </c>
      <c r="J67" s="38">
        <f>IF(J40="","",IFERROR(J40/('연간'!V49),""))</f>
        <v/>
      </c>
      <c r="K67" s="38">
        <f>IF(K40="","",IFERROR(K40/('연간'!W49),""))</f>
        <v/>
      </c>
      <c r="L67" s="38">
        <f>IF(L40="","",IFERROR(L40/('연간'!X49),""))</f>
        <v/>
      </c>
    </row>
    <row r="69">
      <c r="A69" s="18" t="inlineStr">
        <is>
          <t>재무상태표 · 전 항목</t>
        </is>
      </c>
      <c r="B69" s="44" t="inlineStr">
        <is>
          <t>분기 말 잔액</t>
        </is>
      </c>
      <c r="C69" s="18" t="n"/>
      <c r="D69" s="18" t="n"/>
      <c r="E69" s="18" t="n"/>
      <c r="F69" s="18" t="n"/>
      <c r="G69" s="18" t="n"/>
      <c r="H69" s="18" t="n"/>
      <c r="I69" s="18" t="n"/>
      <c r="J69" s="18" t="n"/>
      <c r="K69" s="18" t="n"/>
      <c r="L69" s="18" t="n"/>
    </row>
    <row r="70">
      <c r="A70" s="5" t="inlineStr">
        <is>
          <t>항목</t>
        </is>
      </c>
      <c r="B70" s="5" t="inlineStr">
        <is>
          <t>참고</t>
        </is>
      </c>
      <c r="C70" s="5" t="inlineStr">
        <is>
          <t>2026.2Q</t>
        </is>
      </c>
      <c r="D70" s="5" t="inlineStr">
        <is>
          <t>2026.3Q</t>
        </is>
      </c>
      <c r="E70" s="5" t="inlineStr">
        <is>
          <t>2026.4Q</t>
        </is>
      </c>
      <c r="F70" s="5" t="inlineStr">
        <is>
          <t>2027.1Q</t>
        </is>
      </c>
      <c r="G70" s="5" t="inlineStr">
        <is>
          <t>2027.2Q</t>
        </is>
      </c>
      <c r="H70" s="5" t="inlineStr">
        <is>
          <t>2022</t>
        </is>
      </c>
      <c r="I70" s="5" t="inlineStr">
        <is>
          <t>2023</t>
        </is>
      </c>
      <c r="J70" s="5" t="inlineStr">
        <is>
          <t>2024</t>
        </is>
      </c>
      <c r="K70" s="5" t="inlineStr">
        <is>
          <t>2025</t>
        </is>
      </c>
      <c r="L70" s="5" t="inlineStr">
        <is>
          <t>2026</t>
        </is>
      </c>
    </row>
    <row r="71">
      <c r="A71" s="20" t="inlineStr">
        <is>
          <t>현금 및 예금</t>
        </is>
      </c>
      <c r="C71" s="22" t="n">
        <v>6867.474</v>
      </c>
      <c r="D71" s="22" t="n">
        <v>7383.964</v>
      </c>
      <c r="E71" s="22" t="n">
        <v>8011.62</v>
      </c>
      <c r="F71" s="22" t="n">
        <v>7054.236</v>
      </c>
      <c r="G71" s="22" t="n">
        <v>7254.091</v>
      </c>
      <c r="H71" s="22" t="n">
        <v>3278.47</v>
      </c>
      <c r="I71" s="22" t="n">
        <v>4777.649</v>
      </c>
      <c r="J71" s="22" t="n">
        <v>5586.025</v>
      </c>
      <c r="K71" s="22" t="n">
        <v>5920.492</v>
      </c>
      <c r="L71" s="22" t="n">
        <v>8011.62</v>
      </c>
    </row>
    <row r="72">
      <c r="A72" s="20" t="inlineStr">
        <is>
          <t>매출채권</t>
        </is>
      </c>
      <c r="C72" s="22" t="n">
        <v>783.399</v>
      </c>
      <c r="D72" s="22" t="n">
        <v>671.641</v>
      </c>
      <c r="E72" s="22" t="n">
        <v>875.056</v>
      </c>
      <c r="F72" s="22" t="n">
        <v>578.744</v>
      </c>
      <c r="G72" s="22" t="n">
        <v>1120.25</v>
      </c>
      <c r="H72" s="22" t="n">
        <v>368.012</v>
      </c>
      <c r="I72" s="22" t="n">
        <v>616.904</v>
      </c>
      <c r="J72" s="22" t="n">
        <v>638.501</v>
      </c>
      <c r="K72" s="22" t="n">
        <v>695.413</v>
      </c>
      <c r="L72" s="22" t="n">
        <v>875.056</v>
      </c>
    </row>
    <row r="73">
      <c r="A73" s="20" t="inlineStr">
        <is>
          <t>재고자산</t>
        </is>
      </c>
      <c r="H73" s="22" t="n">
        <v>18.391</v>
      </c>
      <c r="I73" s="22" t="n">
        <v>22.41</v>
      </c>
      <c r="J73" s="22" t="n">
        <v>19.817</v>
      </c>
    </row>
    <row r="74">
      <c r="A74" s="20" t="inlineStr">
        <is>
          <t>저장품</t>
        </is>
      </c>
      <c r="C74" s="22" t="n">
        <v>27.517</v>
      </c>
      <c r="D74" s="22" t="n">
        <v>34.648</v>
      </c>
      <c r="E74" s="22" t="n">
        <v>28.405</v>
      </c>
      <c r="F74" s="22" t="n">
        <v>29.552</v>
      </c>
      <c r="G74" s="22" t="n">
        <v>33.59</v>
      </c>
      <c r="H74" s="22" t="n">
        <v>18.391</v>
      </c>
      <c r="I74" s="22" t="n">
        <v>22.41</v>
      </c>
      <c r="J74" s="22" t="n">
        <v>19.817</v>
      </c>
      <c r="K74" s="22" t="n">
        <v>21.679</v>
      </c>
      <c r="L74" s="22" t="n">
        <v>28.405</v>
      </c>
    </row>
    <row r="75">
      <c r="A75" s="20" t="inlineStr">
        <is>
          <t>선급비용</t>
        </is>
      </c>
      <c r="E75" s="22" t="n">
        <v>51.973</v>
      </c>
      <c r="H75" s="22" t="n">
        <v>59.862</v>
      </c>
      <c r="I75" s="22" t="n">
        <v>60.391</v>
      </c>
      <c r="J75" s="22" t="n">
        <v>63.913</v>
      </c>
      <c r="K75" s="22" t="n">
        <v>53.579</v>
      </c>
      <c r="L75" s="22" t="n">
        <v>51.973</v>
      </c>
    </row>
    <row r="76">
      <c r="A76" s="20" t="inlineStr">
        <is>
          <t>기타</t>
        </is>
      </c>
      <c r="C76" s="22" t="n">
        <v>312.614</v>
      </c>
      <c r="D76" s="22" t="n">
        <v>58.52</v>
      </c>
      <c r="E76" s="22" t="n">
        <v>57.519</v>
      </c>
      <c r="F76" s="22" t="n">
        <v>64.56999999999999</v>
      </c>
      <c r="G76" s="22" t="n">
        <v>65.822</v>
      </c>
      <c r="H76" s="22" t="n">
        <v>8.398</v>
      </c>
      <c r="I76" s="22" t="n">
        <v>13.276</v>
      </c>
      <c r="J76" s="22" t="n">
        <v>4.715</v>
      </c>
      <c r="K76" s="22" t="n">
        <v>47.038</v>
      </c>
      <c r="L76" s="22" t="n">
        <v>57.519</v>
      </c>
    </row>
    <row r="77">
      <c r="A77" s="9" t="inlineStr">
        <is>
          <t>유동자산 합계</t>
        </is>
      </c>
      <c r="C77" s="12" t="n">
        <v>7991.006</v>
      </c>
      <c r="D77" s="12" t="n">
        <v>8148.774</v>
      </c>
      <c r="E77" s="12" t="n">
        <v>8972.601000000001</v>
      </c>
      <c r="F77" s="12" t="n">
        <v>7727.104</v>
      </c>
      <c r="G77" s="12" t="n">
        <v>8473.754999999999</v>
      </c>
      <c r="H77" s="12" t="n">
        <v>3733.135</v>
      </c>
      <c r="I77" s="12" t="n">
        <v>5490.632</v>
      </c>
      <c r="J77" s="12" t="n">
        <v>6312.974</v>
      </c>
      <c r="K77" s="12" t="n">
        <v>6738.203</v>
      </c>
      <c r="L77" s="12" t="n">
        <v>8972.601000000001</v>
      </c>
    </row>
    <row r="78">
      <c r="A78" s="20" t="inlineStr">
        <is>
          <t>건물</t>
        </is>
      </c>
      <c r="C78" s="22" t="n">
        <v>16689.317</v>
      </c>
      <c r="D78" s="22" t="n">
        <v>16690.069</v>
      </c>
      <c r="E78" s="22" t="n">
        <v>17214.049</v>
      </c>
      <c r="F78" s="22" t="n">
        <v>17215.413</v>
      </c>
      <c r="G78" s="22" t="n">
        <v>17218.055</v>
      </c>
      <c r="H78" s="22" t="n">
        <v>13352.382</v>
      </c>
      <c r="I78" s="22" t="n">
        <v>13715.897</v>
      </c>
      <c r="J78" s="22" t="n">
        <v>14069.808</v>
      </c>
      <c r="K78" s="22" t="n">
        <v>16220.597</v>
      </c>
      <c r="L78" s="22" t="n">
        <v>17214.049</v>
      </c>
    </row>
    <row r="79">
      <c r="A79" s="20" t="inlineStr">
        <is>
          <t>감가상각누계액</t>
        </is>
      </c>
      <c r="C79" s="22" t="n">
        <v>-4111.538</v>
      </c>
      <c r="D79" s="22" t="n">
        <v>-4238.595</v>
      </c>
      <c r="E79" s="22" t="n">
        <v>-4368.081</v>
      </c>
      <c r="F79" s="22" t="n">
        <v>-4498.728</v>
      </c>
      <c r="G79" s="22" t="n">
        <v>-4629.346</v>
      </c>
      <c r="H79" s="22" t="n">
        <v>-2568.012</v>
      </c>
      <c r="I79" s="22" t="n">
        <v>-2975.852</v>
      </c>
      <c r="J79" s="22" t="n">
        <v>-3390.271</v>
      </c>
      <c r="K79" s="22" t="n">
        <v>-3862.491</v>
      </c>
      <c r="L79" s="22" t="n">
        <v>-4368.081</v>
      </c>
    </row>
    <row r="80">
      <c r="A80" s="20" t="inlineStr">
        <is>
          <t>건물(순액)</t>
        </is>
      </c>
      <c r="C80" s="22" t="n">
        <v>12577.779</v>
      </c>
      <c r="D80" s="22" t="n">
        <v>12451.473</v>
      </c>
      <c r="E80" s="22" t="n">
        <v>12845.968</v>
      </c>
      <c r="F80" s="22" t="n">
        <v>12716.684</v>
      </c>
      <c r="G80" s="22" t="n">
        <v>12588.709</v>
      </c>
      <c r="H80" s="22" t="n">
        <v>10784.37</v>
      </c>
      <c r="I80" s="22" t="n">
        <v>10740.045</v>
      </c>
      <c r="J80" s="22" t="n">
        <v>10679.537</v>
      </c>
      <c r="K80" s="22" t="n">
        <v>12358.106</v>
      </c>
      <c r="L80" s="22" t="n">
        <v>12845.968</v>
      </c>
    </row>
    <row r="81">
      <c r="A81" s="20" t="inlineStr">
        <is>
          <t>구축물</t>
        </is>
      </c>
      <c r="C81" s="22" t="n">
        <v>897.369</v>
      </c>
      <c r="D81" s="22" t="n">
        <v>898.553</v>
      </c>
      <c r="E81" s="22" t="n">
        <v>952.735</v>
      </c>
      <c r="F81" s="22" t="n">
        <v>955.812</v>
      </c>
      <c r="G81" s="22" t="n">
        <v>960.125</v>
      </c>
      <c r="H81" s="22" t="n">
        <v>726.7380000000001</v>
      </c>
      <c r="I81" s="22" t="n">
        <v>732.564</v>
      </c>
      <c r="J81" s="22" t="n">
        <v>759.873</v>
      </c>
      <c r="K81" s="22" t="n">
        <v>844.496</v>
      </c>
      <c r="L81" s="22" t="n">
        <v>952.735</v>
      </c>
    </row>
    <row r="82">
      <c r="A82" s="20" t="inlineStr">
        <is>
          <t>감가상각누계액</t>
        </is>
      </c>
      <c r="C82" s="22" t="n">
        <v>-437.176</v>
      </c>
      <c r="D82" s="22" t="n">
        <v>-450.557</v>
      </c>
      <c r="E82" s="22" t="n">
        <v>-464.646</v>
      </c>
      <c r="F82" s="22" t="n">
        <v>-479.151</v>
      </c>
      <c r="G82" s="22" t="n">
        <v>-493.533</v>
      </c>
      <c r="H82" s="22" t="n">
        <v>-277.921</v>
      </c>
      <c r="I82" s="22" t="n">
        <v>-321.271</v>
      </c>
      <c r="J82" s="22" t="n">
        <v>-364.428</v>
      </c>
      <c r="K82" s="22" t="n">
        <v>-411.941</v>
      </c>
      <c r="L82" s="22" t="n">
        <v>-464.646</v>
      </c>
    </row>
    <row r="83">
      <c r="A83" s="20" t="inlineStr">
        <is>
          <t>구축물(순액)</t>
        </is>
      </c>
      <c r="C83" s="22" t="n">
        <v>460.193</v>
      </c>
      <c r="D83" s="22" t="n">
        <v>447.995</v>
      </c>
      <c r="E83" s="22" t="n">
        <v>488.088</v>
      </c>
      <c r="F83" s="22" t="n">
        <v>476.66</v>
      </c>
      <c r="G83" s="22" t="n">
        <v>466.591</v>
      </c>
      <c r="H83" s="22" t="n">
        <v>448.816</v>
      </c>
      <c r="I83" s="22" t="n">
        <v>411.293</v>
      </c>
      <c r="J83" s="22" t="n">
        <v>395.444</v>
      </c>
      <c r="K83" s="22" t="n">
        <v>432.555</v>
      </c>
      <c r="L83" s="22" t="n">
        <v>488.088</v>
      </c>
    </row>
    <row r="84">
      <c r="A84" s="20" t="inlineStr">
        <is>
          <t>기계장치</t>
        </is>
      </c>
      <c r="C84" s="22" t="n">
        <v>87.69199999999999</v>
      </c>
      <c r="D84" s="22" t="n">
        <v>87.69199999999999</v>
      </c>
      <c r="E84" s="22" t="n">
        <v>95.542</v>
      </c>
      <c r="F84" s="22" t="n">
        <v>95.542</v>
      </c>
      <c r="G84" s="22" t="n">
        <v>96.598</v>
      </c>
      <c r="H84" s="22" t="n">
        <v>79.974</v>
      </c>
      <c r="I84" s="22" t="n">
        <v>79.974</v>
      </c>
      <c r="J84" s="22" t="n">
        <v>79.974</v>
      </c>
      <c r="K84" s="22" t="n">
        <v>87.69199999999999</v>
      </c>
      <c r="L84" s="22" t="n">
        <v>95.542</v>
      </c>
    </row>
    <row r="85">
      <c r="A85" s="20" t="inlineStr">
        <is>
          <t>감가상각누계액</t>
        </is>
      </c>
      <c r="C85" s="22" t="n">
        <v>-63.993</v>
      </c>
      <c r="D85" s="22" t="n">
        <v>-65.453</v>
      </c>
      <c r="E85" s="22" t="n">
        <v>-67.172</v>
      </c>
      <c r="F85" s="22" t="n">
        <v>-68.70999999999999</v>
      </c>
      <c r="G85" s="22" t="n">
        <v>-70.291</v>
      </c>
      <c r="H85" s="22" t="n">
        <v>-40.109</v>
      </c>
      <c r="I85" s="22" t="n">
        <v>-47.946</v>
      </c>
      <c r="J85" s="22" t="n">
        <v>-54.377</v>
      </c>
      <c r="K85" s="22" t="n">
        <v>-61.072</v>
      </c>
      <c r="L85" s="22" t="n">
        <v>-67.172</v>
      </c>
    </row>
    <row r="86">
      <c r="A86" s="20" t="inlineStr">
        <is>
          <t>기계장치(순액)</t>
        </is>
      </c>
      <c r="C86" s="22" t="n">
        <v>23.698</v>
      </c>
      <c r="D86" s="22" t="n">
        <v>22.238</v>
      </c>
      <c r="E86" s="22" t="n">
        <v>28.369</v>
      </c>
      <c r="F86" s="22" t="n">
        <v>26.831</v>
      </c>
      <c r="G86" s="22" t="n">
        <v>26.306</v>
      </c>
      <c r="H86" s="22" t="n">
        <v>39.864</v>
      </c>
      <c r="I86" s="22" t="n">
        <v>32.028</v>
      </c>
      <c r="J86" s="22" t="n">
        <v>25.596</v>
      </c>
      <c r="K86" s="22" t="n">
        <v>26.619</v>
      </c>
      <c r="L86" s="22" t="n">
        <v>28.369</v>
      </c>
    </row>
    <row r="87">
      <c r="A87" s="20" t="inlineStr">
        <is>
          <t>공구·기구·비품</t>
        </is>
      </c>
      <c r="C87" s="22" t="n">
        <v>328.057</v>
      </c>
      <c r="D87" s="22" t="n">
        <v>335.148</v>
      </c>
      <c r="E87" s="22" t="n">
        <v>352.925</v>
      </c>
      <c r="F87" s="22" t="n">
        <v>353.473</v>
      </c>
      <c r="G87" s="22" t="n">
        <v>360.567</v>
      </c>
      <c r="H87" s="22" t="n">
        <v>264.043</v>
      </c>
      <c r="I87" s="22" t="n">
        <v>273.774</v>
      </c>
      <c r="J87" s="22" t="n">
        <v>284.178</v>
      </c>
      <c r="K87" s="22" t="n">
        <v>314.269</v>
      </c>
      <c r="L87" s="22" t="n">
        <v>352.925</v>
      </c>
    </row>
    <row r="88">
      <c r="A88" s="20" t="inlineStr">
        <is>
          <t>감가상각누계액</t>
        </is>
      </c>
      <c r="C88" s="22" t="n">
        <v>-277.287</v>
      </c>
      <c r="D88" s="22" t="n">
        <v>-283.862</v>
      </c>
      <c r="E88" s="22" t="n">
        <v>-291.368</v>
      </c>
      <c r="F88" s="22" t="n">
        <v>-297.389</v>
      </c>
      <c r="G88" s="22" t="n">
        <v>-304.022</v>
      </c>
      <c r="H88" s="22" t="n">
        <v>-206.208</v>
      </c>
      <c r="I88" s="22" t="n">
        <v>-227.888</v>
      </c>
      <c r="J88" s="22" t="n">
        <v>-246.453</v>
      </c>
      <c r="K88" s="22" t="n">
        <v>-267.128</v>
      </c>
      <c r="L88" s="22" t="n">
        <v>-291.368</v>
      </c>
    </row>
    <row r="89">
      <c r="A89" s="20" t="inlineStr">
        <is>
          <t>공구·기구·비품(순액)</t>
        </is>
      </c>
      <c r="C89" s="22" t="n">
        <v>50.77</v>
      </c>
      <c r="D89" s="22" t="n">
        <v>51.285</v>
      </c>
      <c r="E89" s="22" t="n">
        <v>61.557</v>
      </c>
      <c r="F89" s="22" t="n">
        <v>56.084</v>
      </c>
      <c r="G89" s="22" t="n">
        <v>56.544</v>
      </c>
      <c r="H89" s="22" t="n">
        <v>57.835</v>
      </c>
      <c r="I89" s="22" t="n">
        <v>45.886</v>
      </c>
      <c r="J89" s="22" t="n">
        <v>37.725</v>
      </c>
      <c r="K89" s="22" t="n">
        <v>47.14</v>
      </c>
      <c r="L89" s="22" t="n">
        <v>61.557</v>
      </c>
    </row>
    <row r="90">
      <c r="A90" s="20" t="inlineStr">
        <is>
          <t>토지</t>
        </is>
      </c>
      <c r="C90" s="22" t="n">
        <v>2686.007</v>
      </c>
      <c r="D90" s="22" t="n">
        <v>2840.665</v>
      </c>
      <c r="E90" s="22" t="n">
        <v>2836.098</v>
      </c>
      <c r="F90" s="22" t="n">
        <v>2837.153</v>
      </c>
      <c r="G90" s="22" t="n">
        <v>2879.635</v>
      </c>
      <c r="H90" s="22" t="n">
        <v>989.154</v>
      </c>
      <c r="I90" s="22" t="n">
        <v>962.809</v>
      </c>
      <c r="J90" s="22" t="n">
        <v>1484.212</v>
      </c>
      <c r="K90" s="22" t="n">
        <v>2654.802</v>
      </c>
      <c r="L90" s="22" t="n">
        <v>2836.098</v>
      </c>
    </row>
    <row r="91">
      <c r="A91" s="20" t="inlineStr">
        <is>
          <t>리스자산</t>
        </is>
      </c>
      <c r="C91" s="22" t="n">
        <v>4780.481</v>
      </c>
      <c r="D91" s="22" t="n">
        <v>4695.256</v>
      </c>
      <c r="E91" s="22" t="n">
        <v>4927.861</v>
      </c>
      <c r="F91" s="22" t="n">
        <v>4927.861</v>
      </c>
      <c r="G91" s="22" t="n">
        <v>4786.826</v>
      </c>
      <c r="H91" s="22" t="n">
        <v>4054.94</v>
      </c>
      <c r="I91" s="22" t="n">
        <v>4200.145</v>
      </c>
      <c r="J91" s="22" t="n">
        <v>4317.606</v>
      </c>
      <c r="K91" s="22" t="n">
        <v>4550.989</v>
      </c>
      <c r="L91" s="22" t="n">
        <v>4927.861</v>
      </c>
    </row>
    <row r="92">
      <c r="A92" s="20" t="inlineStr">
        <is>
          <t>감가상각누계액</t>
        </is>
      </c>
      <c r="C92" s="22" t="n">
        <v>-1948.396</v>
      </c>
      <c r="D92" s="22" t="n">
        <v>-1944.449</v>
      </c>
      <c r="E92" s="22" t="n">
        <v>-2028.191</v>
      </c>
      <c r="F92" s="22" t="n">
        <v>-2113.231</v>
      </c>
      <c r="G92" s="22" t="n">
        <v>-2056.089</v>
      </c>
      <c r="H92" s="22" t="n">
        <v>-1044.958</v>
      </c>
      <c r="I92" s="22" t="n">
        <v>-1328.026</v>
      </c>
      <c r="J92" s="22" t="n">
        <v>-1578.536</v>
      </c>
      <c r="K92" s="22" t="n">
        <v>-1791.326</v>
      </c>
      <c r="L92" s="22" t="n">
        <v>-2028.191</v>
      </c>
    </row>
    <row r="93">
      <c r="A93" s="20" t="inlineStr">
        <is>
          <t>리스자산(순액)</t>
        </is>
      </c>
      <c r="C93" s="22" t="n">
        <v>2832.085</v>
      </c>
      <c r="D93" s="22" t="n">
        <v>2750.806</v>
      </c>
      <c r="E93" s="22" t="n">
        <v>2899.67</v>
      </c>
      <c r="F93" s="22" t="n">
        <v>2814.63</v>
      </c>
      <c r="G93" s="22" t="n">
        <v>2730.737</v>
      </c>
      <c r="H93" s="22" t="n">
        <v>3009.981</v>
      </c>
      <c r="I93" s="22" t="n">
        <v>2872.119</v>
      </c>
      <c r="J93" s="22" t="n">
        <v>2739.069</v>
      </c>
      <c r="K93" s="22" t="n">
        <v>2759.663</v>
      </c>
      <c r="L93" s="22" t="n">
        <v>2899.67</v>
      </c>
    </row>
    <row r="94">
      <c r="A94" s="20" t="inlineStr">
        <is>
          <t>건설중인자산</t>
        </is>
      </c>
      <c r="C94" s="22" t="n">
        <v>539.313</v>
      </c>
      <c r="D94" s="22" t="n">
        <v>559.523</v>
      </c>
      <c r="E94" s="22" t="n">
        <v>179.855</v>
      </c>
      <c r="F94" s="22" t="n">
        <v>812.9880000000001</v>
      </c>
      <c r="G94" s="22" t="n">
        <v>1525.399</v>
      </c>
      <c r="H94" s="22" t="n">
        <v>581.673</v>
      </c>
      <c r="I94" s="22" t="n">
        <v>220.95</v>
      </c>
      <c r="J94" s="22" t="n">
        <v>336.943</v>
      </c>
      <c r="K94" s="22" t="n">
        <v>411.46</v>
      </c>
      <c r="L94" s="22" t="n">
        <v>179.855</v>
      </c>
    </row>
    <row r="95">
      <c r="A95" s="20" t="inlineStr">
        <is>
          <t>유형자산 합계</t>
        </is>
      </c>
      <c r="C95" s="22" t="n">
        <v>19169.847</v>
      </c>
      <c r="D95" s="22" t="n">
        <v>19123.989</v>
      </c>
      <c r="E95" s="22" t="n">
        <v>19339.609</v>
      </c>
      <c r="F95" s="22" t="n">
        <v>19741.034</v>
      </c>
      <c r="G95" s="22" t="n">
        <v>20273.924</v>
      </c>
      <c r="H95" s="22" t="n">
        <v>15911.696</v>
      </c>
      <c r="I95" s="22" t="n">
        <v>15285.132</v>
      </c>
      <c r="J95" s="22" t="n">
        <v>15698.53</v>
      </c>
      <c r="K95" s="22" t="n">
        <v>18690.347</v>
      </c>
      <c r="L95" s="22" t="n">
        <v>19339.609</v>
      </c>
    </row>
    <row r="96">
      <c r="A96" s="20" t="inlineStr">
        <is>
          <t>소프트웨어</t>
        </is>
      </c>
      <c r="E96" s="22" t="n">
        <v>4.741</v>
      </c>
      <c r="H96" s="22" t="n">
        <v>3.085</v>
      </c>
      <c r="I96" s="22" t="n">
        <v>2.305</v>
      </c>
      <c r="J96" s="22" t="n">
        <v>5.525</v>
      </c>
      <c r="K96" s="22" t="n">
        <v>6.084</v>
      </c>
      <c r="L96" s="22" t="n">
        <v>4.741</v>
      </c>
    </row>
    <row r="97">
      <c r="A97" s="20" t="inlineStr">
        <is>
          <t>기타</t>
        </is>
      </c>
      <c r="E97" s="22" t="n">
        <v>30.564</v>
      </c>
      <c r="H97" s="22" t="n">
        <v>27.149</v>
      </c>
      <c r="I97" s="22" t="n">
        <v>25.785</v>
      </c>
      <c r="J97" s="22" t="n">
        <v>24.942</v>
      </c>
      <c r="K97" s="22" t="n">
        <v>25.077</v>
      </c>
      <c r="L97" s="22" t="n">
        <v>30.564</v>
      </c>
    </row>
    <row r="98">
      <c r="A98" s="20" t="inlineStr">
        <is>
          <t>무형자산</t>
        </is>
      </c>
      <c r="C98" s="22" t="n">
        <v>29.778</v>
      </c>
      <c r="D98" s="22" t="n">
        <v>29.348</v>
      </c>
      <c r="E98" s="22" t="n">
        <v>35.305</v>
      </c>
      <c r="F98" s="22" t="n">
        <v>33.983</v>
      </c>
      <c r="G98" s="22" t="n">
        <v>32.75</v>
      </c>
      <c r="H98" s="22" t="n">
        <v>30.235</v>
      </c>
      <c r="I98" s="22" t="n">
        <v>28.09</v>
      </c>
      <c r="J98" s="22" t="n">
        <v>30.467</v>
      </c>
      <c r="K98" s="22" t="n">
        <v>31.161</v>
      </c>
      <c r="L98" s="22" t="n">
        <v>35.305</v>
      </c>
    </row>
    <row r="99">
      <c r="A99" s="20" t="inlineStr">
        <is>
          <t>투자유가증권</t>
        </is>
      </c>
      <c r="E99" s="22" t="n">
        <v>0.5</v>
      </c>
      <c r="H99" s="22" t="n">
        <v>0.5</v>
      </c>
      <c r="I99" s="22" t="n">
        <v>0.5</v>
      </c>
      <c r="J99" s="22" t="n">
        <v>0.5</v>
      </c>
      <c r="K99" s="22" t="n">
        <v>0.5</v>
      </c>
      <c r="L99" s="22" t="n">
        <v>0.5</v>
      </c>
    </row>
    <row r="100">
      <c r="A100" s="20" t="inlineStr">
        <is>
          <t>출자금</t>
        </is>
      </c>
      <c r="E100" s="22" t="n">
        <v>0.04</v>
      </c>
      <c r="H100" s="22" t="n">
        <v>0.04</v>
      </c>
      <c r="I100" s="22" t="n">
        <v>0.04</v>
      </c>
      <c r="J100" s="22" t="n">
        <v>0.04</v>
      </c>
      <c r="K100" s="22" t="n">
        <v>0.04</v>
      </c>
      <c r="L100" s="22" t="n">
        <v>0.04</v>
      </c>
    </row>
    <row r="101">
      <c r="A101" s="20" t="inlineStr">
        <is>
          <t>장기선급비용</t>
        </is>
      </c>
      <c r="E101" s="22" t="n">
        <v>17.519</v>
      </c>
      <c r="H101" s="22" t="n">
        <v>5.532</v>
      </c>
      <c r="I101" s="22" t="n">
        <v>3.813</v>
      </c>
      <c r="J101" s="22" t="n">
        <v>14.301</v>
      </c>
      <c r="K101" s="22" t="n">
        <v>6.928</v>
      </c>
      <c r="L101" s="22" t="n">
        <v>17.519</v>
      </c>
    </row>
    <row r="102">
      <c r="A102" s="20" t="inlineStr">
        <is>
          <t>임차보증금·보증금</t>
        </is>
      </c>
      <c r="C102" s="22" t="n">
        <v>557.475</v>
      </c>
      <c r="D102" s="22" t="n">
        <v>555.6900000000001</v>
      </c>
      <c r="E102" s="22" t="n">
        <v>555.4</v>
      </c>
      <c r="F102" s="22" t="n">
        <v>555.0839999999999</v>
      </c>
      <c r="G102" s="22" t="n">
        <v>554.737</v>
      </c>
      <c r="H102" s="22" t="n">
        <v>583.675</v>
      </c>
      <c r="I102" s="22" t="n">
        <v>585.737</v>
      </c>
      <c r="J102" s="22" t="n">
        <v>584.802</v>
      </c>
      <c r="K102" s="22" t="n">
        <v>552.894</v>
      </c>
      <c r="L102" s="22" t="n">
        <v>555.4</v>
      </c>
    </row>
    <row r="103">
      <c r="A103" s="20" t="inlineStr">
        <is>
          <t>점포 임차 가계정</t>
        </is>
      </c>
      <c r="H103" s="22" t="n">
        <v>0</v>
      </c>
    </row>
    <row r="104">
      <c r="A104" s="20" t="inlineStr">
        <is>
          <t>회원권</t>
        </is>
      </c>
      <c r="E104" s="22" t="n">
        <v>0.95</v>
      </c>
      <c r="H104" s="22" t="n">
        <v>0.95</v>
      </c>
      <c r="I104" s="22" t="n">
        <v>0.95</v>
      </c>
      <c r="J104" s="22" t="n">
        <v>0.95</v>
      </c>
      <c r="K104" s="22" t="n">
        <v>0.95</v>
      </c>
      <c r="L104" s="22" t="n">
        <v>0.95</v>
      </c>
    </row>
    <row r="105">
      <c r="A105" s="20" t="inlineStr">
        <is>
          <t>이연법인세자산</t>
        </is>
      </c>
      <c r="C105" s="22" t="n">
        <v>270.809</v>
      </c>
      <c r="D105" s="22" t="n">
        <v>260.066</v>
      </c>
      <c r="E105" s="22" t="n">
        <v>307.889</v>
      </c>
      <c r="F105" s="22" t="n">
        <v>266.198</v>
      </c>
      <c r="G105" s="22" t="n">
        <v>305.176</v>
      </c>
      <c r="H105" s="22" t="n">
        <v>175.282</v>
      </c>
      <c r="I105" s="22" t="n">
        <v>216.838</v>
      </c>
      <c r="J105" s="22" t="n">
        <v>218.111</v>
      </c>
      <c r="K105" s="22" t="n">
        <v>264.554</v>
      </c>
      <c r="L105" s="22" t="n">
        <v>307.889</v>
      </c>
    </row>
    <row r="106">
      <c r="A106" s="20" t="inlineStr">
        <is>
          <t>기타</t>
        </is>
      </c>
      <c r="C106" s="22" t="n">
        <v>4.03</v>
      </c>
      <c r="D106" s="22" t="n">
        <v>10.295</v>
      </c>
      <c r="E106" s="22" t="n">
        <v>119.009</v>
      </c>
      <c r="F106" s="22" t="n">
        <v>129.453</v>
      </c>
      <c r="G106" s="22" t="n">
        <v>139.898</v>
      </c>
      <c r="H106" s="22" t="n">
        <v>7.022</v>
      </c>
      <c r="I106" s="22" t="n">
        <v>5.303</v>
      </c>
      <c r="J106" s="22" t="n">
        <v>15.791</v>
      </c>
      <c r="K106" s="22" t="n">
        <v>0</v>
      </c>
      <c r="L106" s="22" t="n">
        <v>119.009</v>
      </c>
    </row>
    <row r="107">
      <c r="A107" s="20" t="inlineStr">
        <is>
          <t>투자 및 기타자산 합계</t>
        </is>
      </c>
      <c r="C107" s="22" t="n">
        <v>832.314</v>
      </c>
      <c r="D107" s="22" t="n">
        <v>826.053</v>
      </c>
      <c r="E107" s="22" t="n">
        <v>982.299</v>
      </c>
      <c r="F107" s="22" t="n">
        <v>950.736</v>
      </c>
      <c r="G107" s="22" t="n">
        <v>999.812</v>
      </c>
      <c r="H107" s="22" t="n">
        <v>765.98</v>
      </c>
      <c r="I107" s="22" t="n">
        <v>807.879</v>
      </c>
      <c r="J107" s="22" t="n">
        <v>818.705</v>
      </c>
      <c r="K107" s="22" t="n">
        <v>825.867</v>
      </c>
      <c r="L107" s="22" t="n">
        <v>982.299</v>
      </c>
    </row>
    <row r="108">
      <c r="A108" s="9" t="inlineStr">
        <is>
          <t>비유동자산 합계</t>
        </is>
      </c>
      <c r="C108" s="12" t="n">
        <v>20031.94</v>
      </c>
      <c r="D108" s="12" t="n">
        <v>19979.39</v>
      </c>
      <c r="E108" s="12" t="n">
        <v>20357.214</v>
      </c>
      <c r="F108" s="12" t="n">
        <v>20725.754</v>
      </c>
      <c r="G108" s="12" t="n">
        <v>21306.487</v>
      </c>
      <c r="H108" s="12" t="n">
        <v>16707.912</v>
      </c>
      <c r="I108" s="12" t="n">
        <v>16121.102</v>
      </c>
      <c r="J108" s="12" t="n">
        <v>16547.702</v>
      </c>
      <c r="K108" s="12" t="n">
        <v>19547.376</v>
      </c>
      <c r="L108" s="12" t="n">
        <v>20357.214</v>
      </c>
    </row>
    <row r="109">
      <c r="A109" s="9" t="inlineStr">
        <is>
          <t>자산 합계</t>
        </is>
      </c>
      <c r="C109" s="12" t="n">
        <v>28022.946</v>
      </c>
      <c r="D109" s="12" t="n">
        <v>28128.165</v>
      </c>
      <c r="E109" s="12" t="n">
        <v>29329.816</v>
      </c>
      <c r="F109" s="12" t="n">
        <v>28452.859</v>
      </c>
      <c r="G109" s="12" t="n">
        <v>29780.242</v>
      </c>
      <c r="H109" s="12" t="n">
        <v>20441.048</v>
      </c>
      <c r="I109" s="12" t="n">
        <v>21611.734</v>
      </c>
      <c r="J109" s="12" t="n">
        <v>22860.676</v>
      </c>
      <c r="K109" s="12" t="n">
        <v>26285.579</v>
      </c>
      <c r="L109" s="12" t="n">
        <v>29329.816</v>
      </c>
    </row>
    <row r="110">
      <c r="A110" s="20" t="inlineStr">
        <is>
          <t>단기차입금</t>
        </is>
      </c>
      <c r="C110" s="22" t="n">
        <v>548</v>
      </c>
      <c r="D110" s="22" t="n">
        <v>0</v>
      </c>
      <c r="E110" s="22" t="n">
        <v>0</v>
      </c>
      <c r="I110" s="22" t="n">
        <v>0</v>
      </c>
      <c r="J110" s="22" t="n">
        <v>130</v>
      </c>
      <c r="K110" s="22" t="n">
        <v>521</v>
      </c>
      <c r="L110" s="22" t="n">
        <v>0</v>
      </c>
    </row>
    <row r="111">
      <c r="A111" s="20" t="inlineStr">
        <is>
          <t>1년 내 상환 장기차입금</t>
        </is>
      </c>
      <c r="C111" s="22" t="n">
        <v>1575.326</v>
      </c>
      <c r="D111" s="22" t="n">
        <v>1548.666</v>
      </c>
      <c r="E111" s="22" t="n">
        <v>1482.806</v>
      </c>
      <c r="F111" s="22" t="n">
        <v>1547.447</v>
      </c>
      <c r="G111" s="22" t="n">
        <v>1507.418</v>
      </c>
      <c r="H111" s="22" t="n">
        <v>1525.092</v>
      </c>
      <c r="I111" s="22" t="n">
        <v>1547.394</v>
      </c>
      <c r="J111" s="22" t="n">
        <v>1621.626</v>
      </c>
      <c r="K111" s="22" t="n">
        <v>1670.506</v>
      </c>
      <c r="L111" s="22" t="n">
        <v>1482.806</v>
      </c>
    </row>
    <row r="112">
      <c r="A112" s="20" t="inlineStr">
        <is>
          <t>리스부채</t>
        </is>
      </c>
      <c r="C112" s="22" t="n">
        <v>503.804</v>
      </c>
      <c r="D112" s="22" t="n">
        <v>442.605</v>
      </c>
      <c r="E112" s="22" t="n">
        <v>449.916</v>
      </c>
      <c r="F112" s="22" t="n">
        <v>583.341</v>
      </c>
      <c r="G112" s="22" t="n">
        <v>509.946</v>
      </c>
      <c r="H112" s="22" t="n">
        <v>261.821</v>
      </c>
      <c r="I112" s="22" t="n">
        <v>316.213</v>
      </c>
      <c r="J112" s="22" t="n">
        <v>387.701</v>
      </c>
      <c r="K112" s="22" t="n">
        <v>427.462</v>
      </c>
      <c r="L112" s="22" t="n">
        <v>449.916</v>
      </c>
    </row>
    <row r="113">
      <c r="A113" s="20" t="inlineStr">
        <is>
          <t>미지급금</t>
        </is>
      </c>
      <c r="C113" s="22" t="n">
        <v>1215.284</v>
      </c>
      <c r="D113" s="22" t="n">
        <v>813.249</v>
      </c>
      <c r="E113" s="22" t="n">
        <v>839.452</v>
      </c>
      <c r="F113" s="22" t="n">
        <v>799.0549999999999</v>
      </c>
      <c r="G113" s="22" t="n">
        <v>824.654</v>
      </c>
      <c r="H113" s="22" t="n">
        <v>631.114</v>
      </c>
      <c r="I113" s="22" t="n">
        <v>702.8150000000001</v>
      </c>
      <c r="J113" s="22" t="n">
        <v>722.384</v>
      </c>
      <c r="K113" s="22" t="n">
        <v>766.329</v>
      </c>
      <c r="L113" s="22" t="n">
        <v>839.452</v>
      </c>
    </row>
    <row r="114">
      <c r="A114" s="20" t="inlineStr">
        <is>
          <t>미지급비용</t>
        </is>
      </c>
      <c r="E114" s="22" t="n">
        <v>205.342</v>
      </c>
      <c r="H114" s="22" t="n">
        <v>77.672</v>
      </c>
      <c r="I114" s="22" t="n">
        <v>95.583</v>
      </c>
      <c r="J114" s="22" t="n">
        <v>123.184</v>
      </c>
      <c r="K114" s="22" t="n">
        <v>155.88</v>
      </c>
      <c r="L114" s="22" t="n">
        <v>205.342</v>
      </c>
    </row>
    <row r="115">
      <c r="A115" s="20" t="inlineStr">
        <is>
          <t>미지급법인세</t>
        </is>
      </c>
      <c r="C115" s="22" t="n">
        <v>954.602</v>
      </c>
      <c r="D115" s="22" t="n">
        <v>828.362</v>
      </c>
      <c r="E115" s="22" t="n">
        <v>1011.931</v>
      </c>
      <c r="F115" s="22" t="n">
        <v>337.894</v>
      </c>
      <c r="G115" s="22" t="n">
        <v>1024.21</v>
      </c>
      <c r="H115" s="22" t="n">
        <v>403.37</v>
      </c>
      <c r="I115" s="22" t="n">
        <v>954.399</v>
      </c>
      <c r="J115" s="22" t="n">
        <v>770.917</v>
      </c>
      <c r="K115" s="22" t="n">
        <v>807.986</v>
      </c>
      <c r="L115" s="22" t="n">
        <v>1011.931</v>
      </c>
    </row>
    <row r="116">
      <c r="A116" s="20" t="inlineStr">
        <is>
          <t>미지급 소비세</t>
        </is>
      </c>
      <c r="E116" s="22" t="n">
        <v>321.416</v>
      </c>
      <c r="K116" s="22" t="n">
        <v>0</v>
      </c>
      <c r="L116" s="22" t="n">
        <v>321.416</v>
      </c>
    </row>
    <row r="117">
      <c r="A117" s="20" t="inlineStr">
        <is>
          <t>계약부채</t>
        </is>
      </c>
      <c r="E117" s="22" t="n">
        <v>178.499</v>
      </c>
      <c r="H117" s="22" t="n">
        <v>72.79300000000001</v>
      </c>
      <c r="I117" s="22" t="n">
        <v>82.503</v>
      </c>
      <c r="J117" s="22" t="n">
        <v>124.754</v>
      </c>
      <c r="K117" s="22" t="n">
        <v>210.141</v>
      </c>
      <c r="L117" s="22" t="n">
        <v>178.499</v>
      </c>
    </row>
    <row r="118">
      <c r="A118" s="20" t="inlineStr">
        <is>
          <t>선수금</t>
        </is>
      </c>
      <c r="H118" s="22" t="n">
        <v>0</v>
      </c>
    </row>
    <row r="119">
      <c r="A119" s="20" t="inlineStr">
        <is>
          <t>예수금</t>
        </is>
      </c>
      <c r="E119" s="22" t="n">
        <v>11.396</v>
      </c>
      <c r="H119" s="22" t="n">
        <v>9.462999999999999</v>
      </c>
      <c r="I119" s="22" t="n">
        <v>8.603999999999999</v>
      </c>
      <c r="J119" s="22" t="n">
        <v>14.236</v>
      </c>
      <c r="K119" s="22" t="n">
        <v>9.369</v>
      </c>
      <c r="L119" s="22" t="n">
        <v>11.396</v>
      </c>
    </row>
    <row r="120">
      <c r="A120" s="20" t="inlineStr">
        <is>
          <t>포인트 충당금</t>
        </is>
      </c>
      <c r="H120" s="22" t="n">
        <v>0</v>
      </c>
    </row>
    <row r="121">
      <c r="A121" s="20" t="inlineStr">
        <is>
          <t>계약부채</t>
        </is>
      </c>
      <c r="C121" s="22" t="n">
        <v>240.871</v>
      </c>
      <c r="D121" s="22" t="n">
        <v>142.918</v>
      </c>
      <c r="E121" s="22" t="n">
        <v>178.499</v>
      </c>
      <c r="F121" s="22" t="n">
        <v>151.632</v>
      </c>
      <c r="G121" s="22" t="n">
        <v>242.56</v>
      </c>
      <c r="H121" s="22" t="n">
        <v>72.79300000000001</v>
      </c>
      <c r="I121" s="22" t="n">
        <v>82.503</v>
      </c>
      <c r="J121" s="22" t="n">
        <v>124.754</v>
      </c>
      <c r="K121" s="22" t="n">
        <v>210.141</v>
      </c>
      <c r="L121" s="22" t="n">
        <v>178.499</v>
      </c>
    </row>
    <row r="122">
      <c r="A122" s="20" t="inlineStr">
        <is>
          <t>기타</t>
        </is>
      </c>
      <c r="C122" s="22" t="n">
        <v>350.539</v>
      </c>
      <c r="D122" s="22" t="n">
        <v>512.76</v>
      </c>
      <c r="E122" s="22" t="n">
        <v>538.2670000000001</v>
      </c>
      <c r="F122" s="22" t="n">
        <v>389.722</v>
      </c>
      <c r="G122" s="22" t="n">
        <v>416.533</v>
      </c>
      <c r="H122" s="22" t="n">
        <v>268.7</v>
      </c>
      <c r="I122" s="22" t="n">
        <v>274.651</v>
      </c>
      <c r="J122" s="22" t="n">
        <v>161.874</v>
      </c>
      <c r="K122" s="22" t="n">
        <v>0.102</v>
      </c>
      <c r="L122" s="22" t="n">
        <v>538.2670000000001</v>
      </c>
    </row>
    <row r="123">
      <c r="A123" s="9" t="inlineStr">
        <is>
          <t>유동부채 합계</t>
        </is>
      </c>
      <c r="C123" s="12" t="n">
        <v>5388.428</v>
      </c>
      <c r="D123" s="12" t="n">
        <v>4288.562</v>
      </c>
      <c r="E123" s="12" t="n">
        <v>4500.873</v>
      </c>
      <c r="F123" s="12" t="n">
        <v>3809.094</v>
      </c>
      <c r="G123" s="12" t="n">
        <v>4525.323</v>
      </c>
      <c r="H123" s="12" t="n">
        <v>3250.028</v>
      </c>
      <c r="I123" s="12" t="n">
        <v>3982.164</v>
      </c>
      <c r="J123" s="12" t="n">
        <v>4056.679</v>
      </c>
      <c r="K123" s="12" t="n">
        <v>4568.778</v>
      </c>
      <c r="L123" s="12" t="n">
        <v>4500.873</v>
      </c>
    </row>
    <row r="124">
      <c r="A124" s="20" t="inlineStr">
        <is>
          <t>장기차입금</t>
        </is>
      </c>
      <c r="C124" s="22" t="n">
        <v>5243.858</v>
      </c>
      <c r="D124" s="22" t="n">
        <v>5460.009</v>
      </c>
      <c r="E124" s="22" t="n">
        <v>5650.32</v>
      </c>
      <c r="F124" s="22" t="n">
        <v>5559.41</v>
      </c>
      <c r="G124" s="22" t="n">
        <v>5226.44</v>
      </c>
      <c r="H124" s="22" t="n">
        <v>6863.444</v>
      </c>
      <c r="I124" s="22" t="n">
        <v>5720.24</v>
      </c>
      <c r="J124" s="22" t="n">
        <v>4937.692</v>
      </c>
      <c r="K124" s="22" t="n">
        <v>5533.686</v>
      </c>
      <c r="L124" s="22" t="n">
        <v>5650.32</v>
      </c>
    </row>
    <row r="125">
      <c r="A125" s="20" t="inlineStr">
        <is>
          <t>리스부채</t>
        </is>
      </c>
      <c r="C125" s="22" t="n">
        <v>2430.227</v>
      </c>
      <c r="D125" s="22" t="n">
        <v>2410.122</v>
      </c>
      <c r="E125" s="22" t="n">
        <v>2552.732</v>
      </c>
      <c r="F125" s="22" t="n">
        <v>2335.098</v>
      </c>
      <c r="G125" s="22" t="n">
        <v>2325.387</v>
      </c>
      <c r="H125" s="22" t="n">
        <v>2819.005</v>
      </c>
      <c r="I125" s="22" t="n">
        <v>2638.877</v>
      </c>
      <c r="J125" s="22" t="n">
        <v>2443.305</v>
      </c>
      <c r="K125" s="22" t="n">
        <v>2430.611</v>
      </c>
      <c r="L125" s="22" t="n">
        <v>2552.732</v>
      </c>
    </row>
    <row r="126">
      <c r="A126" s="20" t="inlineStr">
        <is>
          <t>퇴직급여충당금</t>
        </is>
      </c>
      <c r="C126" s="22" t="n">
        <v>5.888</v>
      </c>
      <c r="D126" s="22" t="n">
        <v>5.098</v>
      </c>
      <c r="E126" s="22" t="n">
        <v>5.432</v>
      </c>
      <c r="F126" s="22" t="n">
        <v>5.983</v>
      </c>
      <c r="G126" s="22" t="n">
        <v>5.783</v>
      </c>
      <c r="H126" s="22" t="n">
        <v>1.588</v>
      </c>
      <c r="I126" s="22" t="n">
        <v>2.823</v>
      </c>
      <c r="J126" s="22" t="n">
        <v>3.949</v>
      </c>
      <c r="K126" s="22" t="n">
        <v>5.018</v>
      </c>
      <c r="L126" s="22" t="n">
        <v>5.432</v>
      </c>
    </row>
    <row r="127">
      <c r="A127" s="20" t="inlineStr">
        <is>
          <t>임원 퇴직위로 충당금</t>
        </is>
      </c>
      <c r="C127" s="22" t="n">
        <v>62.49</v>
      </c>
      <c r="D127" s="22" t="n">
        <v>64</v>
      </c>
      <c r="E127" s="22" t="n">
        <v>66.38</v>
      </c>
      <c r="F127" s="22" t="n">
        <v>68.78</v>
      </c>
      <c r="G127" s="22" t="n">
        <v>71.73</v>
      </c>
      <c r="H127" s="22" t="n">
        <v>34.55</v>
      </c>
      <c r="I127" s="22" t="n">
        <v>41.64</v>
      </c>
      <c r="J127" s="22" t="n">
        <v>49.38</v>
      </c>
      <c r="K127" s="22" t="n">
        <v>57.77</v>
      </c>
      <c r="L127" s="22" t="n">
        <v>66.38</v>
      </c>
    </row>
    <row r="128">
      <c r="A128" s="20" t="inlineStr">
        <is>
          <t>자산복구부채</t>
        </is>
      </c>
      <c r="C128" s="22" t="n">
        <v>914.199</v>
      </c>
      <c r="D128" s="22" t="n">
        <v>916.744</v>
      </c>
      <c r="E128" s="22" t="n">
        <v>919.288</v>
      </c>
      <c r="F128" s="22" t="n">
        <v>921.875</v>
      </c>
      <c r="G128" s="22" t="n">
        <v>924.463</v>
      </c>
      <c r="H128" s="22" t="n">
        <v>879.579</v>
      </c>
      <c r="I128" s="22" t="n">
        <v>889.26</v>
      </c>
      <c r="J128" s="22" t="n">
        <v>899.102</v>
      </c>
      <c r="K128" s="22" t="n">
        <v>909.111</v>
      </c>
      <c r="L128" s="22" t="n">
        <v>919.288</v>
      </c>
    </row>
    <row r="129">
      <c r="A129" s="20" t="inlineStr">
        <is>
          <t>수입 보증금</t>
        </is>
      </c>
      <c r="H129" s="22" t="n">
        <v>52.11</v>
      </c>
      <c r="I129" s="22" t="n">
        <v>45.67</v>
      </c>
    </row>
    <row r="130">
      <c r="A130" s="20" t="inlineStr">
        <is>
          <t>예수보증금</t>
        </is>
      </c>
      <c r="E130" s="22" t="n">
        <v>25.535</v>
      </c>
      <c r="I130" s="22" t="n">
        <v>45.67</v>
      </c>
      <c r="J130" s="22" t="n">
        <v>37.1</v>
      </c>
      <c r="K130" s="22" t="n">
        <v>31.535</v>
      </c>
      <c r="L130" s="22" t="n">
        <v>25.535</v>
      </c>
    </row>
    <row r="131">
      <c r="A131" s="20" t="inlineStr">
        <is>
          <t>기타</t>
        </is>
      </c>
      <c r="C131" s="22" t="n">
        <v>28.535</v>
      </c>
      <c r="D131" s="22" t="n">
        <v>27.035</v>
      </c>
      <c r="E131" s="22" t="n">
        <v>25.535</v>
      </c>
      <c r="F131" s="22" t="n">
        <v>24.035</v>
      </c>
      <c r="G131" s="22" t="n">
        <v>22.535</v>
      </c>
      <c r="H131" s="22" t="n">
        <v>52.11</v>
      </c>
      <c r="I131" s="22" t="n">
        <v>45.67</v>
      </c>
      <c r="J131" s="22" t="n">
        <v>37.1</v>
      </c>
      <c r="K131" s="22" t="n">
        <v>31.535</v>
      </c>
      <c r="L131" s="22" t="n">
        <v>25.535</v>
      </c>
    </row>
    <row r="132">
      <c r="A132" s="9" t="inlineStr">
        <is>
          <t>비유동부채 합계</t>
        </is>
      </c>
      <c r="C132" s="12" t="n">
        <v>8685.198</v>
      </c>
      <c r="D132" s="12" t="n">
        <v>8883.008</v>
      </c>
      <c r="E132" s="12" t="n">
        <v>9219.689</v>
      </c>
      <c r="F132" s="12" t="n">
        <v>8915.183000000001</v>
      </c>
      <c r="G132" s="12" t="n">
        <v>8576.339</v>
      </c>
      <c r="H132" s="12" t="n">
        <v>10650.276</v>
      </c>
      <c r="I132" s="12" t="n">
        <v>9338.511</v>
      </c>
      <c r="J132" s="12" t="n">
        <v>8370.529</v>
      </c>
      <c r="K132" s="12" t="n">
        <v>8967.732</v>
      </c>
      <c r="L132" s="12" t="n">
        <v>9219.689</v>
      </c>
    </row>
    <row r="133">
      <c r="A133" s="9" t="inlineStr">
        <is>
          <t>부채 합계</t>
        </is>
      </c>
      <c r="C133" s="12" t="n">
        <v>14073.627</v>
      </c>
      <c r="D133" s="12" t="n">
        <v>13171.57</v>
      </c>
      <c r="E133" s="12" t="n">
        <v>13720.562</v>
      </c>
      <c r="F133" s="12" t="n">
        <v>12724.277</v>
      </c>
      <c r="G133" s="12" t="n">
        <v>13101.663</v>
      </c>
      <c r="H133" s="12" t="n">
        <v>13900.304</v>
      </c>
      <c r="I133" s="12" t="n">
        <v>13320.676</v>
      </c>
      <c r="J133" s="12" t="n">
        <v>12427.209</v>
      </c>
      <c r="K133" s="12" t="n">
        <v>13536.511</v>
      </c>
      <c r="L133" s="12" t="n">
        <v>13720.562</v>
      </c>
    </row>
    <row r="134">
      <c r="A134" s="20" t="inlineStr">
        <is>
          <t>자본금</t>
        </is>
      </c>
      <c r="C134" s="22" t="n">
        <v>953.92</v>
      </c>
      <c r="D134" s="22" t="n">
        <v>953.92</v>
      </c>
      <c r="E134" s="22" t="n">
        <v>953.92</v>
      </c>
      <c r="F134" s="22" t="n">
        <v>953.92</v>
      </c>
      <c r="G134" s="22" t="n">
        <v>953.92</v>
      </c>
      <c r="H134" s="22" t="n">
        <v>953.92</v>
      </c>
      <c r="I134" s="22" t="n">
        <v>953.92</v>
      </c>
      <c r="J134" s="22" t="n">
        <v>953.92</v>
      </c>
      <c r="K134" s="22" t="n">
        <v>953.92</v>
      </c>
      <c r="L134" s="22" t="n">
        <v>953.92</v>
      </c>
    </row>
    <row r="135">
      <c r="A135" s="20" t="inlineStr">
        <is>
          <t>자본준비금</t>
        </is>
      </c>
      <c r="E135" s="22" t="n">
        <v>878.92</v>
      </c>
      <c r="H135" s="22" t="n">
        <v>878.92</v>
      </c>
      <c r="I135" s="22" t="n">
        <v>878.92</v>
      </c>
      <c r="J135" s="22" t="n">
        <v>878.92</v>
      </c>
      <c r="K135" s="22" t="n">
        <v>878.92</v>
      </c>
      <c r="L135" s="22" t="n">
        <v>878.92</v>
      </c>
    </row>
    <row r="136">
      <c r="A136" s="20" t="inlineStr">
        <is>
          <t>기타자본잉여금</t>
        </is>
      </c>
      <c r="E136" s="22" t="n">
        <v>508.518</v>
      </c>
      <c r="H136" s="22" t="n">
        <v>508.518</v>
      </c>
      <c r="I136" s="22" t="n">
        <v>508.518</v>
      </c>
      <c r="J136" s="22" t="n">
        <v>508.518</v>
      </c>
      <c r="K136" s="22" t="n">
        <v>508.518</v>
      </c>
      <c r="L136" s="22" t="n">
        <v>508.518</v>
      </c>
    </row>
    <row r="137">
      <c r="A137" s="20" t="inlineStr">
        <is>
          <t>자본잉여금</t>
        </is>
      </c>
      <c r="C137" s="22" t="n">
        <v>1387.438</v>
      </c>
      <c r="D137" s="22" t="n">
        <v>1387.438</v>
      </c>
      <c r="E137" s="22" t="n">
        <v>1387.438</v>
      </c>
      <c r="F137" s="22" t="n">
        <v>1387.438</v>
      </c>
      <c r="G137" s="22" t="n">
        <v>1387.438</v>
      </c>
      <c r="H137" s="22" t="n">
        <v>1387.438</v>
      </c>
      <c r="I137" s="22" t="n">
        <v>1387.438</v>
      </c>
      <c r="J137" s="22" t="n">
        <v>1387.438</v>
      </c>
      <c r="K137" s="22" t="n">
        <v>1387.438</v>
      </c>
      <c r="L137" s="22" t="n">
        <v>1387.438</v>
      </c>
    </row>
    <row r="138">
      <c r="A138" s="20" t="inlineStr">
        <is>
          <t>특별상각 준비금</t>
        </is>
      </c>
      <c r="H138" s="22" t="n">
        <v>0</v>
      </c>
    </row>
    <row r="139">
      <c r="A139" s="20" t="inlineStr">
        <is>
          <t>이월이익잉여금</t>
        </is>
      </c>
      <c r="E139" s="22" t="n">
        <v>13268.837</v>
      </c>
      <c r="H139" s="22" t="n">
        <v>4200.109</v>
      </c>
      <c r="I139" s="22" t="n">
        <v>5950.467</v>
      </c>
      <c r="J139" s="22" t="n">
        <v>8092.996</v>
      </c>
      <c r="K139" s="22" t="n">
        <v>10408.652</v>
      </c>
      <c r="L139" s="22" t="n">
        <v>13268.837</v>
      </c>
    </row>
    <row r="140">
      <c r="A140" s="20" t="inlineStr">
        <is>
          <t>이익잉여금</t>
        </is>
      </c>
      <c r="C140" s="22" t="n">
        <v>11608.902</v>
      </c>
      <c r="D140" s="22" t="n">
        <v>12616.178</v>
      </c>
      <c r="E140" s="22" t="n">
        <v>13268.837</v>
      </c>
      <c r="F140" s="22" t="n">
        <v>13388.293</v>
      </c>
      <c r="G140" s="22" t="n">
        <v>14338.29</v>
      </c>
      <c r="H140" s="22" t="n">
        <v>4200.109</v>
      </c>
      <c r="I140" s="22" t="n">
        <v>5950.467</v>
      </c>
      <c r="J140" s="22" t="n">
        <v>8092.996</v>
      </c>
      <c r="K140" s="22" t="n">
        <v>10408.652</v>
      </c>
      <c r="L140" s="22" t="n">
        <v>13268.837</v>
      </c>
    </row>
    <row r="141">
      <c r="A141" s="20" t="inlineStr">
        <is>
          <t>자기주식</t>
        </is>
      </c>
      <c r="C141" s="22" t="n">
        <v>-0.9409999999999999</v>
      </c>
      <c r="D141" s="22" t="n">
        <v>-0.9409999999999999</v>
      </c>
      <c r="E141" s="22" t="n">
        <v>-0.9409999999999999</v>
      </c>
      <c r="F141" s="22" t="n">
        <v>-1.069</v>
      </c>
      <c r="G141" s="22" t="n">
        <v>-1.069</v>
      </c>
      <c r="H141" s="22" t="n">
        <v>-0.723</v>
      </c>
      <c r="I141" s="22" t="n">
        <v>-0.766</v>
      </c>
      <c r="J141" s="22" t="n">
        <v>-0.886</v>
      </c>
      <c r="K141" s="22" t="n">
        <v>-0.9409999999999999</v>
      </c>
      <c r="L141" s="22" t="n">
        <v>-0.9409999999999999</v>
      </c>
    </row>
    <row r="142">
      <c r="A142" s="9" t="inlineStr">
        <is>
          <t>주주자본 합계</t>
        </is>
      </c>
      <c r="C142" s="12" t="n">
        <v>13949.319</v>
      </c>
      <c r="D142" s="12" t="n">
        <v>14956.594</v>
      </c>
      <c r="E142" s="12" t="n">
        <v>15609.254</v>
      </c>
      <c r="F142" s="12" t="n">
        <v>15728.581</v>
      </c>
      <c r="G142" s="12" t="n">
        <v>16678.579</v>
      </c>
      <c r="H142" s="12" t="n">
        <v>6540.744</v>
      </c>
      <c r="I142" s="12" t="n">
        <v>8291.058000000001</v>
      </c>
      <c r="J142" s="12" t="n">
        <v>10433.467</v>
      </c>
      <c r="K142" s="12" t="n">
        <v>12749.068</v>
      </c>
      <c r="L142" s="12" t="n">
        <v>15609.254</v>
      </c>
    </row>
    <row r="143">
      <c r="A143" s="9" t="inlineStr">
        <is>
          <t>순자산 합계</t>
        </is>
      </c>
      <c r="C143" s="12" t="n">
        <v>13949.319</v>
      </c>
      <c r="D143" s="12" t="n">
        <v>14956.594</v>
      </c>
      <c r="E143" s="12" t="n">
        <v>15609.254</v>
      </c>
      <c r="F143" s="12" t="n">
        <v>15728.581</v>
      </c>
      <c r="G143" s="12" t="n">
        <v>16678.579</v>
      </c>
      <c r="H143" s="12" t="n">
        <v>6540.744</v>
      </c>
      <c r="I143" s="12" t="n">
        <v>8291.058000000001</v>
      </c>
      <c r="J143" s="12" t="n">
        <v>10433.467</v>
      </c>
      <c r="K143" s="12" t="n">
        <v>12749.068</v>
      </c>
      <c r="L143" s="12" t="n">
        <v>15609.254</v>
      </c>
    </row>
    <row r="144">
      <c r="A144" s="9" t="inlineStr">
        <is>
          <t>부채·순자산 합계</t>
        </is>
      </c>
      <c r="C144" s="12" t="n">
        <v>28022.946</v>
      </c>
      <c r="D144" s="12" t="n">
        <v>28128.165</v>
      </c>
      <c r="E144" s="12" t="n">
        <v>29329.816</v>
      </c>
      <c r="F144" s="12" t="n">
        <v>28452.859</v>
      </c>
      <c r="G144" s="12" t="n">
        <v>29780.242</v>
      </c>
      <c r="H144" s="12" t="n">
        <v>20441.048</v>
      </c>
      <c r="I144" s="12" t="n">
        <v>21611.734</v>
      </c>
      <c r="J144" s="12" t="n">
        <v>22860.676</v>
      </c>
      <c r="K144" s="12" t="n">
        <v>26285.579</v>
      </c>
      <c r="L144" s="12" t="n">
        <v>29329.816</v>
      </c>
    </row>
  </sheetData>
  <conditionalFormatting sqref="C43:L43">
    <cfRule type="expression" priority="1" dxfId="0">
      <formula>AND(ISNUMBER(C43),C43&gt;1.0)</formula>
    </cfRule>
  </conditionalFormatting>
  <conditionalFormatting sqref="C44:L44">
    <cfRule type="expression" priority="2" dxfId="0">
      <formula>AND(ISNUMBER(C44),C44&gt;0.5)</formula>
    </cfRule>
  </conditionalFormatting>
  <conditionalFormatting sqref="C45:L45">
    <cfRule type="expression" priority="3" dxfId="0">
      <formula>AND(ISNUMBER(C45),C45&lt;0.5)</formula>
    </cfRule>
  </conditionalFormatting>
  <conditionalFormatting sqref="C46:L46">
    <cfRule type="expression" priority="4" dxfId="0">
      <formula>AND(ISNUMBER(C46),C46&lt;1.5)</formula>
    </cfRule>
  </conditionalFormatting>
  <conditionalFormatting sqref="C47:L47">
    <cfRule type="expression" priority="5" dxfId="0">
      <formula>AND(ISNUMBER(C47),C47&lt;1.0)</formula>
    </cfRule>
  </conditionalFormatting>
  <conditionalFormatting sqref="C48:L48">
    <cfRule type="expression" priority="6" dxfId="0">
      <formula>AND(ISNUMBER(C48),C48&lt;5)</formula>
    </cfRule>
  </conditionalFormatting>
  <conditionalFormatting sqref="C49:L49">
    <cfRule type="expression" priority="7" dxfId="0">
      <formula>AND(ISNUMBER(C49),C49&gt;4)</formula>
    </cfRule>
  </conditionalFormatting>
  <conditionalFormatting sqref="C51:L51">
    <cfRule type="expression" priority="8" dxfId="0">
      <formula>AND(ISNUMBER(C51),C51&lt;0.15)</formula>
    </cfRule>
  </conditionalFormatting>
  <conditionalFormatting sqref="C52:L52">
    <cfRule type="expression" priority="9" dxfId="0">
      <formula>AND(ISNUMBER(C52),C52&lt;0.05)</formula>
    </cfRule>
  </conditionalFormatting>
  <conditionalFormatting sqref="C53:L53">
    <cfRule type="expression" priority="10" dxfId="0">
      <formula>AND(ISNUMBER(C53),C53&lt;0.1)</formula>
    </cfRule>
  </conditionalFormatting>
  <conditionalFormatting sqref="C54:L54">
    <cfRule type="expression" priority="11" dxfId="0">
      <formula>AND(ISNUMBER(C54),C54&lt;0.4)</formula>
    </cfRule>
  </conditionalFormatting>
  <conditionalFormatting sqref="C55:L55">
    <cfRule type="expression" priority="12" dxfId="0">
      <formula>AND(ISNUMBER(C55),C55&lt;0.15)</formula>
    </cfRule>
  </conditionalFormatting>
  <conditionalFormatting sqref="C56:L56">
    <cfRule type="expression" priority="13" dxfId="0">
      <formula>AND(ISNUMBER(C56),C56&lt;0.1)</formula>
    </cfRule>
  </conditionalFormatting>
  <conditionalFormatting sqref="C64:L64">
    <cfRule type="expression" priority="14" dxfId="0">
      <formula>AND(ISNUMBER(C64),C64&lt;1.0)</formula>
    </cfRule>
  </conditionalFormatting>
  <conditionalFormatting sqref="C65:L65">
    <cfRule type="expression" priority="15" dxfId="0">
      <formula>AND(ISNUMBER(C65),C65&lt;0.05)</formula>
    </cfRule>
  </conditionalFormatting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7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44" customWidth="1" min="14" max="14"/>
  </cols>
  <sheetData>
    <row r="1">
      <c r="A1" s="52" t="inlineStr">
        <is>
          <t>6565 섹터·사업 데이터</t>
        </is>
      </c>
    </row>
    <row r="2">
      <c r="A2" s="53" t="inlineStr">
        <is>
          <t>2단계 보고서를 만들 때 모은 자료 · 월차 · 출처는 맨 오른쪽</t>
        </is>
      </c>
    </row>
    <row r="4">
      <c r="A4" s="54" t="inlineStr">
        <is>
          <t>this results · 2Q standalone</t>
        </is>
      </c>
      <c r="B4" s="54" t="n"/>
      <c r="C4" s="54" t="n"/>
      <c r="D4" s="54" t="n"/>
      <c r="E4" s="54" t="n"/>
      <c r="F4" s="54" t="n"/>
      <c r="G4" s="54" t="n"/>
      <c r="H4" s="54" t="n"/>
      <c r="I4" s="54" t="n"/>
      <c r="J4" s="54" t="n"/>
      <c r="K4" s="54" t="n"/>
      <c r="L4" s="54" t="n"/>
      <c r="M4" s="54" t="n"/>
      <c r="N4" s="54" t="n"/>
    </row>
    <row r="5">
      <c r="A5" s="55" t="inlineStr">
        <is>
          <t>항목</t>
        </is>
      </c>
      <c r="B5" s="55" t="inlineStr">
        <is>
          <t>값</t>
        </is>
      </c>
      <c r="N5" s="55" t="inlineStr">
        <is>
          <t>출처</t>
        </is>
      </c>
    </row>
    <row r="6">
      <c r="A6" s="56" t="inlineStr">
        <is>
          <t>매출</t>
        </is>
      </c>
      <c r="B6" s="57" t="n">
        <v>35.36</v>
      </c>
      <c r="N6" s="58" t="inlineStr">
        <is>
          <t>2단계 보고서 자료(회사 설명회 자료·공시)</t>
        </is>
      </c>
    </row>
    <row r="7">
      <c r="A7" s="56" t="inlineStr">
        <is>
          <t>gp</t>
        </is>
      </c>
      <c r="B7" s="57" t="n">
        <v>17.9</v>
      </c>
    </row>
    <row r="8">
      <c r="A8" s="56" t="inlineStr">
        <is>
          <t>sga</t>
        </is>
      </c>
      <c r="B8" s="57" t="n">
        <v>2</v>
      </c>
    </row>
    <row r="9">
      <c r="A9" s="56" t="inlineStr">
        <is>
          <t>영업이익</t>
        </is>
      </c>
      <c r="B9" s="57" t="n">
        <v>15.85</v>
      </c>
    </row>
    <row r="10">
      <c r="A10" s="56" t="inlineStr">
        <is>
          <t>ordinary</t>
        </is>
      </c>
      <c r="B10" s="57" t="n">
        <v>15.69</v>
      </c>
    </row>
    <row r="11">
      <c r="A11" s="56" t="inlineStr">
        <is>
          <t>순이익</t>
        </is>
      </c>
      <c r="B11" s="57" t="n">
        <v>9.5</v>
      </c>
    </row>
    <row r="12">
      <c r="A12" s="56" t="inlineStr">
        <is>
          <t>EPS</t>
        </is>
      </c>
      <c r="B12" s="57" t="n">
        <v>67.01000000000001</v>
      </c>
    </row>
    <row r="13">
      <c r="A13" s="56" t="inlineStr">
        <is>
          <t>YoY 매출 %</t>
        </is>
      </c>
      <c r="B13" s="57" t="n">
        <v>14.8</v>
      </c>
    </row>
    <row r="14">
      <c r="A14" s="56" t="inlineStr">
        <is>
          <t>YoY 영업이익 %</t>
        </is>
      </c>
      <c r="B14" s="57" t="n">
        <v>27.3</v>
      </c>
    </row>
    <row r="15">
      <c r="A15" s="56" t="inlineStr">
        <is>
          <t>YoY 순이익 %</t>
        </is>
      </c>
      <c r="B15" s="57" t="n">
        <v>25.7</v>
      </c>
    </row>
    <row r="17">
      <c r="A17" s="54" t="inlineStr">
        <is>
          <t>this results · 상반기</t>
        </is>
      </c>
      <c r="B17" s="54" t="n"/>
      <c r="C17" s="54" t="n"/>
      <c r="D17" s="54" t="n"/>
      <c r="E17" s="54" t="n"/>
      <c r="F17" s="54" t="n"/>
      <c r="G17" s="54" t="n"/>
      <c r="H17" s="54" t="n"/>
      <c r="I17" s="54" t="n"/>
      <c r="J17" s="54" t="n"/>
      <c r="K17" s="54" t="n"/>
      <c r="L17" s="54" t="n"/>
      <c r="M17" s="54" t="n"/>
      <c r="N17" s="54" t="n"/>
    </row>
    <row r="18">
      <c r="A18" s="55" t="inlineStr">
        <is>
          <t>항목</t>
        </is>
      </c>
      <c r="B18" s="55" t="inlineStr">
        <is>
          <t>값</t>
        </is>
      </c>
      <c r="N18" s="55" t="inlineStr">
        <is>
          <t>출처</t>
        </is>
      </c>
    </row>
    <row r="19">
      <c r="A19" s="56" t="inlineStr">
        <is>
          <t>매출</t>
        </is>
      </c>
      <c r="B19" s="57" t="n">
        <v>64.12</v>
      </c>
      <c r="N19" s="58" t="inlineStr">
        <is>
          <t>2단계 보고서 자료(회사 설명회 자료·공시)</t>
        </is>
      </c>
    </row>
    <row r="20">
      <c r="A20" s="56" t="inlineStr">
        <is>
          <t>매출 YoY</t>
        </is>
      </c>
      <c r="B20" s="57" t="n">
        <v>6.3</v>
      </c>
    </row>
    <row r="21">
      <c r="A21" s="56" t="inlineStr">
        <is>
          <t>cogs</t>
        </is>
      </c>
      <c r="B21" s="57" t="n">
        <v>34.39</v>
      </c>
    </row>
    <row r="22">
      <c r="A22" s="56" t="inlineStr">
        <is>
          <t>gp</t>
        </is>
      </c>
      <c r="B22" s="57" t="n">
        <v>29.73</v>
      </c>
    </row>
    <row r="23">
      <c r="A23" s="56" t="inlineStr">
        <is>
          <t>sga</t>
        </is>
      </c>
      <c r="B23" s="57" t="n">
        <v>3.98</v>
      </c>
    </row>
    <row r="24">
      <c r="A24" s="56" t="inlineStr">
        <is>
          <t>영업이익</t>
        </is>
      </c>
      <c r="B24" s="57" t="n">
        <v>25.75</v>
      </c>
    </row>
    <row r="25">
      <c r="A25" s="56" t="inlineStr">
        <is>
          <t>영업이익 YoY</t>
        </is>
      </c>
      <c r="B25" s="57" t="n">
        <v>6.5</v>
      </c>
    </row>
    <row r="26">
      <c r="A26" s="56" t="inlineStr">
        <is>
          <t>ordinary</t>
        </is>
      </c>
      <c r="B26" s="57" t="n">
        <v>25.38</v>
      </c>
    </row>
    <row r="27">
      <c r="A27" s="56" t="inlineStr">
        <is>
          <t>ordinary YoY</t>
        </is>
      </c>
      <c r="B27" s="57" t="n">
        <v>6.2</v>
      </c>
    </row>
    <row r="28">
      <c r="A28" s="56" t="inlineStr">
        <is>
          <t>순이익</t>
        </is>
      </c>
      <c r="B28" s="57" t="n">
        <v>15.51</v>
      </c>
    </row>
    <row r="29">
      <c r="A29" s="56" t="inlineStr">
        <is>
          <t>순이익 YoY</t>
        </is>
      </c>
      <c r="B29" s="57" t="n">
        <v>4.6</v>
      </c>
    </row>
    <row r="30">
      <c r="A30" s="56" t="inlineStr">
        <is>
          <t>EPS</t>
        </is>
      </c>
      <c r="B30" s="57" t="n">
        <v>109.44</v>
      </c>
    </row>
    <row r="32">
      <c r="A32" s="54" t="inlineStr">
        <is>
          <t>implied</t>
        </is>
      </c>
      <c r="B32" s="54" t="n"/>
      <c r="C32" s="54" t="n"/>
      <c r="D32" s="54" t="n"/>
      <c r="E32" s="54" t="n"/>
      <c r="F32" s="54" t="n"/>
      <c r="G32" s="54" t="n"/>
      <c r="H32" s="54" t="n"/>
      <c r="I32" s="54" t="n"/>
      <c r="J32" s="54" t="n"/>
      <c r="K32" s="54" t="n"/>
      <c r="L32" s="54" t="n"/>
      <c r="M32" s="54" t="n"/>
      <c r="N32" s="54" t="n"/>
    </row>
    <row r="33">
      <c r="A33" s="55" t="inlineStr">
        <is>
          <t>항목</t>
        </is>
      </c>
      <c r="B33" s="55" t="inlineStr">
        <is>
          <t>값</t>
        </is>
      </c>
      <c r="N33" s="55" t="inlineStr">
        <is>
          <t>출처</t>
        </is>
      </c>
    </row>
    <row r="34">
      <c r="A34" s="56" t="inlineStr">
        <is>
          <t>하반기 guide 매출</t>
        </is>
      </c>
      <c r="B34" s="57" t="n">
        <v>63.88</v>
      </c>
      <c r="N34" s="58" t="inlineStr">
        <is>
          <t>하반기 함의 = 통기 예상 - 중간기 실적(계산). 하반기 함의 매출 +2.0%, 영업 +2.0% YoY</t>
        </is>
      </c>
    </row>
    <row r="35">
      <c r="A35" s="56" t="inlineStr">
        <is>
          <t>하반기 guide 영업이익</t>
        </is>
      </c>
      <c r="B35" s="57" t="n">
        <v>25.25</v>
      </c>
    </row>
    <row r="36">
      <c r="A36" s="56" t="inlineStr">
        <is>
          <t>하반기 prior 매출</t>
        </is>
      </c>
      <c r="B36" s="57" t="n">
        <v>62.6</v>
      </c>
    </row>
    <row r="37">
      <c r="A37" s="56" t="inlineStr">
        <is>
          <t>하반기 prior 영업이익</t>
        </is>
      </c>
      <c r="B37" s="57" t="n">
        <v>24.75</v>
      </c>
    </row>
    <row r="39">
      <c r="A39" s="54" t="inlineStr">
        <is>
          <t>quarterly gp sga pbt</t>
        </is>
      </c>
      <c r="B39" s="54" t="n"/>
      <c r="C39" s="54" t="n"/>
      <c r="D39" s="54" t="n"/>
      <c r="E39" s="54" t="n"/>
      <c r="F39" s="54" t="n"/>
      <c r="G39" s="54" t="n"/>
      <c r="H39" s="54" t="n"/>
      <c r="I39" s="54" t="n"/>
      <c r="J39" s="54" t="n"/>
      <c r="K39" s="54" t="n"/>
      <c r="L39" s="54" t="n"/>
      <c r="M39" s="54" t="n"/>
      <c r="N39" s="54" t="n"/>
    </row>
    <row r="40">
      <c r="A40" s="55" t="inlineStr">
        <is>
          <t>항목</t>
        </is>
      </c>
      <c r="B40" s="55" t="inlineStr">
        <is>
          <t>2024.3Q</t>
        </is>
      </c>
      <c r="C40" s="55" t="inlineStr">
        <is>
          <t>2024.4Q</t>
        </is>
      </c>
      <c r="D40" s="55" t="inlineStr">
        <is>
          <t>2025.1Q</t>
        </is>
      </c>
      <c r="E40" s="55" t="inlineStr">
        <is>
          <t>2025.2Q</t>
        </is>
      </c>
      <c r="F40" s="55" t="inlineStr">
        <is>
          <t>2025.3Q</t>
        </is>
      </c>
      <c r="G40" s="55" t="inlineStr">
        <is>
          <t>2025.4Q</t>
        </is>
      </c>
      <c r="H40" s="55" t="inlineStr">
        <is>
          <t>2026.1Q</t>
        </is>
      </c>
      <c r="I40" s="55" t="inlineStr">
        <is>
          <t>2026.2Q</t>
        </is>
      </c>
      <c r="J40" s="55" t="inlineStr">
        <is>
          <t>2026.3Q</t>
        </is>
      </c>
      <c r="K40" s="55" t="inlineStr">
        <is>
          <t>2026.4Q</t>
        </is>
      </c>
      <c r="L40" s="55" t="inlineStr">
        <is>
          <t>2027.1Q</t>
        </is>
      </c>
      <c r="M40" s="55" t="inlineStr">
        <is>
          <t>2027.2Q</t>
        </is>
      </c>
      <c r="N40" s="55" t="inlineStr">
        <is>
          <t>출처</t>
        </is>
      </c>
    </row>
    <row r="41">
      <c r="A41" s="56" t="inlineStr">
        <is>
          <t>gp</t>
        </is>
      </c>
      <c r="B41" s="57" t="n">
        <v>11.9</v>
      </c>
      <c r="C41" s="57" t="n">
        <v>9.5</v>
      </c>
      <c r="D41" s="57" t="n">
        <v>10.5</v>
      </c>
      <c r="E41" s="57" t="n">
        <v>12.1</v>
      </c>
      <c r="F41" s="57" t="n">
        <v>14.5</v>
      </c>
      <c r="G41" s="57" t="n">
        <v>9.199999999999999</v>
      </c>
      <c r="H41" s="57" t="n">
        <v>13.4</v>
      </c>
      <c r="I41" s="57" t="n">
        <v>14.1</v>
      </c>
      <c r="J41" s="57" t="n">
        <v>18.3</v>
      </c>
      <c r="K41" s="57" t="n">
        <v>10.4</v>
      </c>
      <c r="L41" s="57" t="n">
        <v>11.8</v>
      </c>
      <c r="M41" s="57" t="n">
        <v>17.9</v>
      </c>
      <c r="N41" s="58" t="inlineStr">
        <is>
          <t>2단계 보고서 자료(회사 설명회 자료·공시)</t>
        </is>
      </c>
    </row>
    <row r="42">
      <c r="A42" s="56" t="inlineStr">
        <is>
          <t>sga</t>
        </is>
      </c>
      <c r="B42" s="57" t="n">
        <v>1.5</v>
      </c>
      <c r="C42" s="57" t="n">
        <v>1.6</v>
      </c>
      <c r="D42" s="57" t="n">
        <v>1.5</v>
      </c>
      <c r="E42" s="57" t="n">
        <v>1.8</v>
      </c>
      <c r="F42" s="57" t="n">
        <v>1.6</v>
      </c>
      <c r="G42" s="57" t="n">
        <v>1.7</v>
      </c>
      <c r="H42" s="57" t="n">
        <v>1.7</v>
      </c>
      <c r="I42" s="57" t="n">
        <v>1.7</v>
      </c>
      <c r="J42" s="57" t="n">
        <v>2.1</v>
      </c>
      <c r="K42" s="57" t="n">
        <v>2</v>
      </c>
      <c r="L42" s="57" t="n">
        <v>1.9</v>
      </c>
      <c r="M42" s="57" t="n">
        <v>2</v>
      </c>
    </row>
    <row r="43">
      <c r="A43" s="56" t="inlineStr">
        <is>
          <t>pbt</t>
        </is>
      </c>
      <c r="B43" s="57" t="n">
        <v>10.3</v>
      </c>
      <c r="C43" s="57" t="n">
        <v>8.199999999999999</v>
      </c>
      <c r="D43" s="57" t="n">
        <v>8.9</v>
      </c>
      <c r="E43" s="57" t="n">
        <v>10.2</v>
      </c>
      <c r="F43" s="57" t="n">
        <v>12.7</v>
      </c>
      <c r="G43" s="57" t="n">
        <v>7.3</v>
      </c>
      <c r="H43" s="57" t="n">
        <v>11.6</v>
      </c>
      <c r="I43" s="57" t="n">
        <v>12.3</v>
      </c>
      <c r="J43" s="57" t="n">
        <v>16.1</v>
      </c>
      <c r="K43" s="57" t="n">
        <v>7.7</v>
      </c>
      <c r="L43" s="57" t="n">
        <v>9.699999999999999</v>
      </c>
      <c r="M43" s="57" t="n">
        <v>15.7</v>
      </c>
    </row>
    <row r="45">
      <c r="A45" s="54" t="inlineStr">
        <is>
          <t>bs annual</t>
        </is>
      </c>
      <c r="B45" s="54" t="n"/>
      <c r="C45" s="54" t="n"/>
      <c r="D45" s="54" t="n"/>
      <c r="E45" s="54" t="n"/>
      <c r="F45" s="54" t="n"/>
      <c r="G45" s="54" t="n"/>
      <c r="H45" s="54" t="n"/>
      <c r="I45" s="54" t="n"/>
      <c r="J45" s="54" t="n"/>
      <c r="K45" s="54" t="n"/>
      <c r="L45" s="54" t="n"/>
      <c r="M45" s="54" t="n"/>
      <c r="N45" s="54" t="n"/>
    </row>
    <row r="46">
      <c r="A46" s="55" t="inlineStr">
        <is>
          <t>항목</t>
        </is>
      </c>
      <c r="B46" s="55" t="inlineStr">
        <is>
          <t>2022</t>
        </is>
      </c>
      <c r="C46" s="55" t="inlineStr">
        <is>
          <t>2023</t>
        </is>
      </c>
      <c r="D46" s="55" t="inlineStr">
        <is>
          <t>2024</t>
        </is>
      </c>
      <c r="E46" s="55" t="inlineStr">
        <is>
          <t>2025</t>
        </is>
      </c>
      <c r="F46" s="55" t="inlineStr">
        <is>
          <t>2026</t>
        </is>
      </c>
      <c r="N46" s="55" t="inlineStr">
        <is>
          <t>출처</t>
        </is>
      </c>
    </row>
    <row r="47">
      <c r="A47" s="56" t="inlineStr">
        <is>
          <t>labels</t>
        </is>
      </c>
      <c r="B47" s="59" t="n">
        <v>2022</v>
      </c>
      <c r="C47" s="59" t="n">
        <v>2023</v>
      </c>
      <c r="D47" s="59" t="n">
        <v>2024</v>
      </c>
      <c r="E47" s="59" t="n">
        <v>2025</v>
      </c>
      <c r="F47" s="59" t="n">
        <v>2026</v>
      </c>
      <c r="N47" s="58" t="inlineStr">
        <is>
          <t>2단계 보고서 자료(회사 설명회 자료·공시)</t>
        </is>
      </c>
    </row>
    <row r="48">
      <c r="A48" s="56" t="inlineStr">
        <is>
          <t>current assets</t>
        </is>
      </c>
      <c r="B48" s="57" t="n">
        <v>37.3</v>
      </c>
      <c r="C48" s="57" t="n">
        <v>54.9</v>
      </c>
      <c r="D48" s="57" t="n">
        <v>63.1</v>
      </c>
      <c r="E48" s="57" t="n">
        <v>67.40000000000001</v>
      </c>
      <c r="F48" s="57" t="n">
        <v>89.7</v>
      </c>
    </row>
    <row r="49">
      <c r="A49" s="56" t="inlineStr">
        <is>
          <t>cash</t>
        </is>
      </c>
      <c r="B49" s="57" t="n">
        <v>32.8</v>
      </c>
      <c r="C49" s="57" t="n">
        <v>47.8</v>
      </c>
      <c r="D49" s="57" t="n">
        <v>55.9</v>
      </c>
      <c r="E49" s="57" t="n">
        <v>59.2</v>
      </c>
      <c r="F49" s="57" t="n">
        <v>80.09999999999999</v>
      </c>
    </row>
    <row r="50">
      <c r="A50" s="56" t="inlineStr">
        <is>
          <t>st fin</t>
        </is>
      </c>
      <c r="B50" s="60" t="n"/>
      <c r="C50" s="60" t="n"/>
      <c r="D50" s="60" t="n"/>
      <c r="E50" s="60" t="n"/>
      <c r="F50" s="60" t="n"/>
    </row>
    <row r="51">
      <c r="A51" s="56" t="inlineStr">
        <is>
          <t>receivables</t>
        </is>
      </c>
      <c r="B51" s="57" t="n">
        <v>3.7</v>
      </c>
      <c r="C51" s="57" t="n">
        <v>6.2</v>
      </c>
      <c r="D51" s="57" t="n">
        <v>6.4</v>
      </c>
      <c r="E51" s="57" t="n">
        <v>7</v>
      </c>
      <c r="F51" s="57" t="n">
        <v>8.800000000000001</v>
      </c>
    </row>
    <row r="52">
      <c r="A52" s="56" t="inlineStr">
        <is>
          <t>inventory</t>
        </is>
      </c>
      <c r="B52" s="57" t="n">
        <v>0.2</v>
      </c>
      <c r="C52" s="57" t="n">
        <v>0.2</v>
      </c>
      <c r="D52" s="57" t="n">
        <v>0.2</v>
      </c>
      <c r="E52" s="57" t="n">
        <v>0.2</v>
      </c>
      <c r="F52" s="57" t="n">
        <v>0.3</v>
      </c>
    </row>
    <row r="53">
      <c r="A53" s="56" t="inlineStr">
        <is>
          <t>noncurrent assets</t>
        </is>
      </c>
      <c r="B53" s="57" t="n">
        <v>167.1</v>
      </c>
      <c r="C53" s="57" t="n">
        <v>161.2</v>
      </c>
      <c r="D53" s="57" t="n">
        <v>165.5</v>
      </c>
      <c r="E53" s="57" t="n">
        <v>195.5</v>
      </c>
      <c r="F53" s="57" t="n">
        <v>203.6</v>
      </c>
    </row>
    <row r="54">
      <c r="A54" s="56" t="inlineStr">
        <is>
          <t>ppe</t>
        </is>
      </c>
      <c r="B54" s="57" t="n">
        <v>159.1</v>
      </c>
      <c r="C54" s="57" t="n">
        <v>152.9</v>
      </c>
      <c r="D54" s="57" t="n">
        <v>157</v>
      </c>
      <c r="E54" s="57" t="n">
        <v>186.9</v>
      </c>
      <c r="F54" s="57" t="n">
        <v>193.4</v>
      </c>
    </row>
    <row r="55">
      <c r="A55" s="56" t="inlineStr">
        <is>
          <t>intangibles</t>
        </is>
      </c>
      <c r="B55" s="57" t="n">
        <v>0.3</v>
      </c>
      <c r="C55" s="57" t="n">
        <v>0.3</v>
      </c>
      <c r="D55" s="57" t="n">
        <v>0.3</v>
      </c>
      <c r="E55" s="57" t="n">
        <v>0.3</v>
      </c>
      <c r="F55" s="57" t="n">
        <v>0.4</v>
      </c>
    </row>
    <row r="56">
      <c r="A56" s="56" t="inlineStr">
        <is>
          <t>inv property</t>
        </is>
      </c>
      <c r="B56" s="60" t="n"/>
      <c r="C56" s="60" t="n"/>
      <c r="D56" s="60" t="n"/>
      <c r="E56" s="60" t="n"/>
      <c r="F56" s="60" t="n"/>
    </row>
    <row r="57">
      <c r="A57" s="56" t="inlineStr">
        <is>
          <t>합계 assets</t>
        </is>
      </c>
      <c r="B57" s="57" t="n">
        <v>204.4</v>
      </c>
      <c r="C57" s="57" t="n">
        <v>216.1</v>
      </c>
      <c r="D57" s="57" t="n">
        <v>228.6</v>
      </c>
      <c r="E57" s="57" t="n">
        <v>262.9</v>
      </c>
      <c r="F57" s="57" t="n">
        <v>293.3</v>
      </c>
    </row>
    <row r="58">
      <c r="A58" s="56" t="inlineStr">
        <is>
          <t>current liab</t>
        </is>
      </c>
      <c r="B58" s="57" t="n">
        <v>32.5</v>
      </c>
      <c r="C58" s="57" t="n">
        <v>39.8</v>
      </c>
      <c r="D58" s="57" t="n">
        <v>40.6</v>
      </c>
      <c r="E58" s="57" t="n">
        <v>45.7</v>
      </c>
      <c r="F58" s="57" t="n">
        <v>45</v>
      </c>
    </row>
    <row r="59">
      <c r="A59" s="56" t="inlineStr">
        <is>
          <t>payables</t>
        </is>
      </c>
      <c r="B59" s="60" t="n"/>
      <c r="C59" s="60" t="n"/>
      <c r="D59" s="60" t="n"/>
      <c r="E59" s="60" t="n"/>
      <c r="F59" s="60" t="n"/>
    </row>
    <row r="60">
      <c r="A60" s="56" t="inlineStr">
        <is>
          <t>st debt</t>
        </is>
      </c>
      <c r="B60" s="60" t="n"/>
      <c r="C60" s="57" t="n">
        <v>0</v>
      </c>
      <c r="D60" s="57" t="n">
        <v>1.3</v>
      </c>
      <c r="E60" s="57" t="n">
        <v>5.2</v>
      </c>
      <c r="F60" s="57" t="n">
        <v>0</v>
      </c>
    </row>
    <row r="61">
      <c r="A61" s="56" t="inlineStr">
        <is>
          <t>noncurrent liab</t>
        </is>
      </c>
      <c r="B61" s="57" t="n">
        <v>106.5</v>
      </c>
      <c r="C61" s="57" t="n">
        <v>93.40000000000001</v>
      </c>
      <c r="D61" s="57" t="n">
        <v>83.7</v>
      </c>
      <c r="E61" s="57" t="n">
        <v>89.7</v>
      </c>
      <c r="F61" s="57" t="n">
        <v>92.2</v>
      </c>
    </row>
    <row r="62">
      <c r="A62" s="56" t="inlineStr">
        <is>
          <t>lt debt</t>
        </is>
      </c>
      <c r="B62" s="57" t="n">
        <v>68.59999999999999</v>
      </c>
      <c r="C62" s="57" t="n">
        <v>57.2</v>
      </c>
      <c r="D62" s="57" t="n">
        <v>49.4</v>
      </c>
      <c r="E62" s="57" t="n">
        <v>55.3</v>
      </c>
      <c r="F62" s="57" t="n">
        <v>56.5</v>
      </c>
    </row>
    <row r="63">
      <c r="A63" s="56" t="inlineStr">
        <is>
          <t>bonds</t>
        </is>
      </c>
      <c r="B63" s="60" t="n"/>
      <c r="C63" s="60" t="n"/>
      <c r="D63" s="60" t="n"/>
      <c r="E63" s="60" t="n"/>
      <c r="F63" s="60" t="n"/>
    </row>
    <row r="64">
      <c r="A64" s="56" t="inlineStr">
        <is>
          <t>합계 liab</t>
        </is>
      </c>
      <c r="B64" s="57" t="n">
        <v>139</v>
      </c>
      <c r="C64" s="57" t="n">
        <v>133.2</v>
      </c>
      <c r="D64" s="57" t="n">
        <v>124.3</v>
      </c>
      <c r="E64" s="57" t="n">
        <v>135.4</v>
      </c>
      <c r="F64" s="57" t="n">
        <v>137.2</v>
      </c>
    </row>
    <row r="65">
      <c r="A65" s="56" t="inlineStr">
        <is>
          <t>capital stock</t>
        </is>
      </c>
      <c r="B65" s="57" t="n">
        <v>9.5</v>
      </c>
      <c r="C65" s="57" t="n">
        <v>9.5</v>
      </c>
      <c r="D65" s="57" t="n">
        <v>9.5</v>
      </c>
      <c r="E65" s="57" t="n">
        <v>9.5</v>
      </c>
      <c r="F65" s="57" t="n">
        <v>9.5</v>
      </c>
    </row>
    <row r="66">
      <c r="A66" s="56" t="inlineStr">
        <is>
          <t>retained</t>
        </is>
      </c>
      <c r="B66" s="57" t="n">
        <v>42</v>
      </c>
      <c r="C66" s="57" t="n">
        <v>59.5</v>
      </c>
      <c r="D66" s="57" t="n">
        <v>80.90000000000001</v>
      </c>
      <c r="E66" s="57" t="n">
        <v>104.1</v>
      </c>
      <c r="F66" s="57" t="n">
        <v>132.7</v>
      </c>
    </row>
    <row r="67">
      <c r="A67" s="56" t="inlineStr">
        <is>
          <t>nci</t>
        </is>
      </c>
      <c r="B67" s="60" t="n"/>
      <c r="C67" s="60" t="n"/>
      <c r="D67" s="60" t="n"/>
      <c r="E67" s="60" t="n"/>
      <c r="F67" s="60" t="n"/>
    </row>
    <row r="68">
      <c r="A68" s="56" t="inlineStr">
        <is>
          <t>합계 equity</t>
        </is>
      </c>
      <c r="B68" s="57" t="n">
        <v>65.40000000000001</v>
      </c>
      <c r="C68" s="57" t="n">
        <v>82.90000000000001</v>
      </c>
      <c r="D68" s="57" t="n">
        <v>104.3</v>
      </c>
      <c r="E68" s="57" t="n">
        <v>127.5</v>
      </c>
      <c r="F68" s="57" t="n">
        <v>156.1</v>
      </c>
    </row>
    <row r="69">
      <c r="A69" s="56" t="inlineStr">
        <is>
          <t>current ltd</t>
        </is>
      </c>
      <c r="B69" s="57" t="n">
        <v>15.3</v>
      </c>
      <c r="C69" s="57" t="n">
        <v>15.5</v>
      </c>
      <c r="D69" s="57" t="n">
        <v>16.2</v>
      </c>
      <c r="E69" s="57" t="n">
        <v>16.7</v>
      </c>
      <c r="F69" s="57" t="n">
        <v>14.8</v>
      </c>
    </row>
    <row r="70">
      <c r="A70" s="56" t="inlineStr">
        <is>
          <t>equity owner</t>
        </is>
      </c>
      <c r="B70" s="57" t="n">
        <v>65.40000000000001</v>
      </c>
      <c r="C70" s="57" t="n">
        <v>82.90000000000001</v>
      </c>
      <c r="D70" s="57" t="n">
        <v>104.3</v>
      </c>
      <c r="E70" s="57" t="n">
        <v>127.5</v>
      </c>
      <c r="F70" s="57" t="n">
        <v>156.1</v>
      </c>
    </row>
    <row r="72">
      <c r="A72" s="54" t="inlineStr">
        <is>
          <t>cf annual</t>
        </is>
      </c>
      <c r="B72" s="54" t="n"/>
      <c r="C72" s="54" t="n"/>
      <c r="D72" s="54" t="n"/>
      <c r="E72" s="54" t="n"/>
      <c r="F72" s="54" t="n"/>
      <c r="G72" s="54" t="n"/>
      <c r="H72" s="54" t="n"/>
      <c r="I72" s="54" t="n"/>
      <c r="J72" s="54" t="n"/>
      <c r="K72" s="54" t="n"/>
      <c r="L72" s="54" t="n"/>
      <c r="M72" s="54" t="n"/>
      <c r="N72" s="54" t="n"/>
    </row>
    <row r="73">
      <c r="A73" s="55" t="inlineStr">
        <is>
          <t>항목</t>
        </is>
      </c>
      <c r="B73" s="55" t="inlineStr">
        <is>
          <t>2022</t>
        </is>
      </c>
      <c r="C73" s="55" t="inlineStr">
        <is>
          <t>2023</t>
        </is>
      </c>
      <c r="D73" s="55" t="inlineStr">
        <is>
          <t>2024</t>
        </is>
      </c>
      <c r="E73" s="55" t="inlineStr">
        <is>
          <t>2025</t>
        </is>
      </c>
      <c r="F73" s="55" t="inlineStr">
        <is>
          <t>2026</t>
        </is>
      </c>
      <c r="N73" s="55" t="inlineStr">
        <is>
          <t>출처</t>
        </is>
      </c>
    </row>
    <row r="74">
      <c r="A74" s="56" t="inlineStr">
        <is>
          <t>labels</t>
        </is>
      </c>
      <c r="B74" s="59" t="n">
        <v>2022</v>
      </c>
      <c r="C74" s="59" t="n">
        <v>2023</v>
      </c>
      <c r="D74" s="59" t="n">
        <v>2024</v>
      </c>
      <c r="E74" s="59" t="n">
        <v>2025</v>
      </c>
      <c r="F74" s="59" t="n">
        <v>2026</v>
      </c>
      <c r="N74" s="58" t="inlineStr">
        <is>
          <t>2단계 보고서 자료(회사 설명회 자료·공시)</t>
        </is>
      </c>
    </row>
    <row r="75">
      <c r="A75" s="56" t="inlineStr">
        <is>
          <t>ocf</t>
        </is>
      </c>
      <c r="B75" s="57" t="n">
        <v>20.6</v>
      </c>
      <c r="C75" s="57" t="n">
        <v>30</v>
      </c>
      <c r="D75" s="57" t="n">
        <v>28.4</v>
      </c>
      <c r="E75" s="57" t="n">
        <v>32.8</v>
      </c>
      <c r="F75" s="57" t="n">
        <v>45.3</v>
      </c>
    </row>
    <row r="76">
      <c r="A76" s="56" t="inlineStr">
        <is>
          <t>설비투자</t>
        </is>
      </c>
      <c r="B76" s="57" t="n">
        <v>5.1</v>
      </c>
      <c r="C76" s="57" t="n">
        <v>3.8</v>
      </c>
      <c r="D76" s="57" t="n">
        <v>12.7</v>
      </c>
      <c r="E76" s="57" t="n">
        <v>38.1</v>
      </c>
      <c r="F76" s="57" t="n">
        <v>15.9</v>
      </c>
    </row>
    <row r="77">
      <c r="A77" s="56" t="inlineStr">
        <is>
          <t>dividends</t>
        </is>
      </c>
      <c r="B77" s="57" t="n">
        <v>0.1</v>
      </c>
      <c r="C77" s="57" t="n">
        <v>0.6</v>
      </c>
      <c r="D77" s="57" t="n">
        <v>1.7</v>
      </c>
      <c r="E77" s="57" t="n">
        <v>2.3</v>
      </c>
      <c r="F77" s="57" t="n">
        <v>2.8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60" customWidth="1" min="3" max="3"/>
  </cols>
  <sheetData>
    <row r="1">
      <c r="A1" s="52" t="inlineStr">
        <is>
          <t>출처 · 쓴 결산단신</t>
        </is>
      </c>
    </row>
    <row r="3">
      <c r="A3" s="61" t="inlineStr">
        <is>
          <t>공시일</t>
        </is>
      </c>
      <c r="B3" s="61" t="inlineStr">
        <is>
          <t>문서</t>
        </is>
      </c>
      <c r="C3" s="61" t="inlineStr">
        <is>
          <t>PDF</t>
        </is>
      </c>
    </row>
    <row r="4">
      <c r="A4" t="inlineStr">
        <is>
          <t>2026-10-30</t>
        </is>
      </c>
      <c r="B4" t="inlineStr">
        <is>
          <t>2027년 3월 결산기 ２분기 결산단신</t>
        </is>
      </c>
      <c r="C4" t="inlineStr">
        <is>
          <t>https://www2.jpx.co.jp/disc/65650/140120261029559547.pdf</t>
        </is>
      </c>
    </row>
    <row r="5">
      <c r="A5" t="inlineStr">
        <is>
          <t>2026-07-31</t>
        </is>
      </c>
      <c r="B5" t="inlineStr">
        <is>
          <t>2027년 3월 결산기 １분기 결산단신</t>
        </is>
      </c>
      <c r="C5" t="inlineStr">
        <is>
          <t>https://www2.jpx.co.jp/disc/65650/140120260729501651.pdf</t>
        </is>
      </c>
    </row>
    <row r="6">
      <c r="A6" t="inlineStr">
        <is>
          <t>2026-05-08</t>
        </is>
      </c>
      <c r="B6" t="inlineStr">
        <is>
          <t>2026년 3월 결산기 연간 결산단신</t>
        </is>
      </c>
      <c r="C6" t="inlineStr">
        <is>
          <t>https://www2.jpx.co.jp/disc/65650/140120260507518253.pdf</t>
        </is>
      </c>
    </row>
    <row r="7">
      <c r="A7" t="inlineStr">
        <is>
          <t>2026-01-30</t>
        </is>
      </c>
      <c r="B7" t="inlineStr">
        <is>
          <t>2026년 3월 결산기 ３분기 결산단신</t>
        </is>
      </c>
      <c r="C7" t="inlineStr">
        <is>
          <t>https://www2.jpx.co.jp/disc/65650/140120260127539192.pdf</t>
        </is>
      </c>
    </row>
    <row r="8">
      <c r="A8" t="inlineStr">
        <is>
          <t>2025-10-31</t>
        </is>
      </c>
      <c r="B8" t="inlineStr">
        <is>
          <t>2026년 3월 결산기 ２분기 결산단신</t>
        </is>
      </c>
      <c r="C8" t="inlineStr">
        <is>
          <t>https://www2.jpx.co.jp/disc/65650/140120251030582779.pdf</t>
        </is>
      </c>
    </row>
    <row r="9">
      <c r="A9" t="inlineStr">
        <is>
          <t>2025-07-31</t>
        </is>
      </c>
      <c r="B9" t="inlineStr">
        <is>
          <t>2026년 3월 결산기 １분기 결산단신</t>
        </is>
      </c>
      <c r="C9" t="inlineStr">
        <is>
          <t>https://www2.jpx.co.jp/disc/65650/140120250731525011.pdf</t>
        </is>
      </c>
    </row>
    <row r="10">
      <c r="A10" t="inlineStr">
        <is>
          <t>2025-05-09</t>
        </is>
      </c>
      <c r="B10" t="inlineStr">
        <is>
          <t>2025년 3월 결산기 연간 결산단신</t>
        </is>
      </c>
      <c r="C10" t="inlineStr">
        <is>
          <t>https://www2.jpx.co.jp/disc/65650/140120250508534509.pdf</t>
        </is>
      </c>
    </row>
    <row r="11">
      <c r="A11" t="inlineStr">
        <is>
          <t>2025-01-31</t>
        </is>
      </c>
      <c r="B11" t="inlineStr">
        <is>
          <t>2025년 3월 결산기 ３분기 결산단신</t>
        </is>
      </c>
      <c r="C11" t="inlineStr">
        <is>
          <t>https://www2.jpx.co.jp/disc/65650/140120250131559403.pdf</t>
        </is>
      </c>
    </row>
    <row r="12">
      <c r="A12" t="inlineStr">
        <is>
          <t>2024-10-31</t>
        </is>
      </c>
      <c r="B12" t="inlineStr">
        <is>
          <t>2025년 3월 결산기 ２분기 결산단신</t>
        </is>
      </c>
      <c r="C12" t="inlineStr">
        <is>
          <t>https://www2.jpx.co.jp/disc/65650/140120241029505168.pdf</t>
        </is>
      </c>
    </row>
    <row r="13">
      <c r="A13" t="inlineStr">
        <is>
          <t>2024-07-31</t>
        </is>
      </c>
      <c r="B13" t="inlineStr">
        <is>
          <t>2025년 3월 결산기 １분기 결산단신</t>
        </is>
      </c>
      <c r="C13" t="inlineStr">
        <is>
          <t>https://www2.jpx.co.jp/disc/65650/140120240730557310.pdf</t>
        </is>
      </c>
    </row>
    <row r="14">
      <c r="A14" t="inlineStr">
        <is>
          <t>2024-05-10</t>
        </is>
      </c>
      <c r="B14" t="inlineStr">
        <is>
          <t>2024년 3월 결산기 연간 결산단신</t>
        </is>
      </c>
      <c r="C14" t="inlineStr">
        <is>
          <t>https://www2.jpx.co.jp/disc/65650/140120240508584772.pdf</t>
        </is>
      </c>
    </row>
    <row r="15">
      <c r="A15" t="inlineStr">
        <is>
          <t>2024-01-31</t>
        </is>
      </c>
      <c r="B15" t="inlineStr">
        <is>
          <t>2024년 3월 결산기 ３분기 결산단신</t>
        </is>
      </c>
      <c r="C15" t="inlineStr">
        <is>
          <t>https://www2.jpx.co.jp/disc/65650/140120240130521916.pdf</t>
        </is>
      </c>
    </row>
    <row r="16">
      <c r="A16" t="inlineStr">
        <is>
          <t>2023-10-31</t>
        </is>
      </c>
      <c r="B16" t="inlineStr">
        <is>
          <t>2024년 3월 결산기 ２분기 결산단신</t>
        </is>
      </c>
      <c r="C16" t="inlineStr">
        <is>
          <t>https://www2.jpx.co.jp/disc/65650/140120231030575110.pdf</t>
        </is>
      </c>
    </row>
    <row r="17">
      <c r="A17" t="inlineStr">
        <is>
          <t>2023-07-28</t>
        </is>
      </c>
      <c r="B17" t="inlineStr">
        <is>
          <t>2024년 3월 결산기 １분기 결산단신</t>
        </is>
      </c>
      <c r="C17" t="inlineStr">
        <is>
          <t>https://www2.jpx.co.jp/disc/65650/140120230727528260.pdf</t>
        </is>
      </c>
    </row>
    <row r="18">
      <c r="A18" t="inlineStr">
        <is>
          <t>2023-05-10</t>
        </is>
      </c>
      <c r="B18" t="inlineStr">
        <is>
          <t>2023년 3월 결산기 연간 결산단신</t>
        </is>
      </c>
      <c r="C18" t="inlineStr">
        <is>
          <t>https://www2.jpx.co.jp/disc/65650/140120230509561813.pdf</t>
        </is>
      </c>
    </row>
    <row r="19">
      <c r="A19" t="inlineStr">
        <is>
          <t>2023-01-31</t>
        </is>
      </c>
      <c r="B19" t="inlineStr">
        <is>
          <t>2023년 3월 결산기 ３분기 결산단신</t>
        </is>
      </c>
      <c r="C19" t="inlineStr">
        <is>
          <t>https://www2.jpx.co.jp/disc/65650/140120230131596778.pdf</t>
        </is>
      </c>
    </row>
    <row r="20">
      <c r="A20" t="inlineStr">
        <is>
          <t>2022-05-10</t>
        </is>
      </c>
      <c r="B20" t="inlineStr">
        <is>
          <t>2022년 3월 결산기 연간 결산단신</t>
        </is>
      </c>
      <c r="C20" t="inlineStr">
        <is>
          <t>https://www2.jpx.co.jp/disc/65650/140120220510536694.pdf</t>
        </is>
      </c>
    </row>
    <row r="21">
      <c r="A21" t="inlineStr">
        <is>
          <t>2021-05-07</t>
        </is>
      </c>
      <c r="B21" t="inlineStr">
        <is>
          <t>2021년 3월 결산기 연간 결산단신</t>
        </is>
      </c>
      <c r="C21" t="inlineStr">
        <is>
          <t>https://www2.jpx.co.jp/disc/65650/140120210506406337.pdf</t>
        </is>
      </c>
    </row>
    <row r="22">
      <c r="A22" t="inlineStr">
        <is>
          <t>2020-05-11</t>
        </is>
      </c>
      <c r="B22" t="inlineStr">
        <is>
          <t>2020년 3월 결산기 연간 결산단신</t>
        </is>
      </c>
      <c r="C22" t="inlineStr">
        <is>
          <t>https://www2.jpx.co.jp/disc/65650/140120200511407933.pdf</t>
        </is>
      </c>
    </row>
    <row r="23">
      <c r="A23" t="inlineStr">
        <is>
          <t>2019-05-08</t>
        </is>
      </c>
      <c r="B23" t="inlineStr">
        <is>
          <t>2019년 3월 결산기 연간 결산단신</t>
        </is>
      </c>
      <c r="C23" t="inlineStr">
        <is>
          <t>https://www2.jpx.co.jp/disc/65650/140120190508416481.pdf</t>
        </is>
      </c>
    </row>
    <row r="24">
      <c r="A24" t="inlineStr">
        <is>
          <t>2018-05-09</t>
        </is>
      </c>
      <c r="B24" t="inlineStr">
        <is>
          <t>연간 결산단신</t>
        </is>
      </c>
      <c r="C24" t="inlineStr">
        <is>
          <t>https://www2.jpx.co.jp/disc/65650/140120180508429389.pdf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P23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7.5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  <col width="7.5" customWidth="1" min="23" max="23"/>
    <col width="7.5" customWidth="1" min="24" max="24"/>
    <col width="7.5" customWidth="1" min="25" max="25"/>
    <col width="7.5" customWidth="1" min="26" max="26"/>
    <col width="7.5" customWidth="1" min="27" max="27"/>
    <col width="7.5" customWidth="1" min="28" max="28"/>
    <col width="7.5" customWidth="1" min="29" max="29"/>
    <col width="7.5" customWidth="1" min="30" max="30"/>
    <col width="7.5" customWidth="1" min="31" max="31"/>
    <col width="7.5" customWidth="1" min="32" max="32"/>
    <col width="7.5" customWidth="1" min="33" max="33"/>
    <col width="7.5" customWidth="1" min="34" max="34"/>
    <col width="7.5" customWidth="1" min="35" max="35"/>
    <col width="7.5" customWidth="1" min="36" max="36"/>
    <col width="7.5" customWidth="1" min="37" max="37"/>
    <col width="7.5" customWidth="1" min="38" max="38"/>
    <col width="7.5" customWidth="1" min="39" max="39"/>
    <col width="7.5" customWidth="1" min="40" max="40"/>
    <col width="7.5" customWidth="1" min="41" max="41"/>
  </cols>
  <sheetData>
    <row r="1">
      <c r="A1" s="62" t="inlineStr">
        <is>
          <t>6565 재무제표 한눈에 보기 — 최근 40개 분기(달력 분기, 3Q26 = 26.7~9) · 단위 억 엔</t>
        </is>
      </c>
    </row>
    <row r="2">
      <c r="A2" s="63" t="inlineStr">
        <is>
          <t>출처: 매출·영업이익 결산단신 XBRL · 재무상태표 등 결산단신 XBRL 36건(2018-01-31~2026-10-30). 부문·지역·수주·수출은 있을 때만(출처는 줄 끝). 총 차입금 = 이자 붙는 부채 전부(단기·장기 차입금, CP, 사채·전환사채, 리스부채)</t>
        </is>
      </c>
    </row>
    <row r="4">
      <c r="A4" s="64" t="inlineStr">
        <is>
          <t>항목</t>
        </is>
      </c>
      <c r="B4" s="65" t="inlineStr">
        <is>
          <t>4Q16</t>
        </is>
      </c>
      <c r="C4" s="65" t="inlineStr">
        <is>
          <t>1Q17</t>
        </is>
      </c>
      <c r="D4" s="65" t="inlineStr">
        <is>
          <t>2Q17</t>
        </is>
      </c>
      <c r="E4" s="65" t="inlineStr">
        <is>
          <t>3Q17</t>
        </is>
      </c>
      <c r="F4" s="65" t="inlineStr">
        <is>
          <t>4Q17</t>
        </is>
      </c>
      <c r="G4" s="65" t="inlineStr">
        <is>
          <t>1Q18</t>
        </is>
      </c>
      <c r="H4" s="65" t="inlineStr">
        <is>
          <t>2Q18</t>
        </is>
      </c>
      <c r="I4" s="65" t="inlineStr">
        <is>
          <t>3Q18</t>
        </is>
      </c>
      <c r="J4" s="65" t="inlineStr">
        <is>
          <t>4Q18</t>
        </is>
      </c>
      <c r="K4" s="65" t="inlineStr">
        <is>
          <t>1Q19</t>
        </is>
      </c>
      <c r="L4" s="65" t="inlineStr">
        <is>
          <t>2Q19</t>
        </is>
      </c>
      <c r="M4" s="65" t="inlineStr">
        <is>
          <t>3Q19</t>
        </is>
      </c>
      <c r="N4" s="65" t="inlineStr">
        <is>
          <t>4Q19</t>
        </is>
      </c>
      <c r="O4" s="65" t="inlineStr">
        <is>
          <t>1Q20</t>
        </is>
      </c>
      <c r="P4" s="65" t="inlineStr">
        <is>
          <t>2Q20</t>
        </is>
      </c>
      <c r="Q4" s="65" t="inlineStr">
        <is>
          <t>3Q20</t>
        </is>
      </c>
      <c r="R4" s="65" t="inlineStr">
        <is>
          <t>4Q20</t>
        </is>
      </c>
      <c r="S4" s="65" t="inlineStr">
        <is>
          <t>1Q21</t>
        </is>
      </c>
      <c r="T4" s="65" t="inlineStr">
        <is>
          <t>2Q21</t>
        </is>
      </c>
      <c r="U4" s="65" t="inlineStr">
        <is>
          <t>3Q21</t>
        </is>
      </c>
      <c r="V4" s="65" t="inlineStr">
        <is>
          <t>4Q21</t>
        </is>
      </c>
      <c r="W4" s="65" t="inlineStr">
        <is>
          <t>1Q22</t>
        </is>
      </c>
      <c r="X4" s="65" t="inlineStr">
        <is>
          <t>2Q22</t>
        </is>
      </c>
      <c r="Y4" s="65" t="inlineStr">
        <is>
          <t>3Q22</t>
        </is>
      </c>
      <c r="Z4" s="65" t="inlineStr">
        <is>
          <t>4Q22</t>
        </is>
      </c>
      <c r="AA4" s="65" t="inlineStr">
        <is>
          <t>1Q23</t>
        </is>
      </c>
      <c r="AB4" s="65" t="inlineStr">
        <is>
          <t>2Q23</t>
        </is>
      </c>
      <c r="AC4" s="65" t="inlineStr">
        <is>
          <t>3Q23</t>
        </is>
      </c>
      <c r="AD4" s="65" t="inlineStr">
        <is>
          <t>4Q23</t>
        </is>
      </c>
      <c r="AE4" s="65" t="inlineStr">
        <is>
          <t>1Q24</t>
        </is>
      </c>
      <c r="AF4" s="65" t="inlineStr">
        <is>
          <t>2Q24</t>
        </is>
      </c>
      <c r="AG4" s="65" t="inlineStr">
        <is>
          <t>3Q24</t>
        </is>
      </c>
      <c r="AH4" s="65" t="inlineStr">
        <is>
          <t>4Q24</t>
        </is>
      </c>
      <c r="AI4" s="65" t="inlineStr">
        <is>
          <t>1Q25</t>
        </is>
      </c>
      <c r="AJ4" s="65" t="inlineStr">
        <is>
          <t>2Q25</t>
        </is>
      </c>
      <c r="AK4" s="65" t="inlineStr">
        <is>
          <t>3Q25</t>
        </is>
      </c>
      <c r="AL4" s="65" t="inlineStr">
        <is>
          <t>4Q25</t>
        </is>
      </c>
      <c r="AM4" s="65" t="inlineStr">
        <is>
          <t>1Q26</t>
        </is>
      </c>
      <c r="AN4" s="65" t="inlineStr">
        <is>
          <t>2Q26</t>
        </is>
      </c>
      <c r="AO4" s="65" t="inlineStr">
        <is>
          <t>3Q26</t>
        </is>
      </c>
      <c r="AP4" s="64" t="inlineStr">
        <is>
          <t>출처</t>
        </is>
      </c>
    </row>
    <row r="5">
      <c r="A5" s="66" t="inlineStr">
        <is>
          <t>매출액</t>
        </is>
      </c>
      <c r="B5" s="67" t="n"/>
      <c r="C5" s="67" t="n"/>
      <c r="D5" s="67" t="n"/>
      <c r="E5" s="67" t="n"/>
      <c r="F5" s="67" t="n">
        <v>11.8</v>
      </c>
      <c r="G5" s="67" t="n">
        <v>11.1</v>
      </c>
      <c r="H5" s="67" t="n">
        <v>12.1</v>
      </c>
      <c r="I5" s="67" t="n">
        <v>13.9</v>
      </c>
      <c r="J5" s="67" t="n">
        <v>15.2</v>
      </c>
      <c r="K5" s="67" t="n">
        <v>13.9</v>
      </c>
      <c r="L5" s="67" t="n">
        <v>15.9</v>
      </c>
      <c r="M5" s="67" t="n">
        <v>16.7</v>
      </c>
      <c r="N5" s="67" t="n">
        <v>17</v>
      </c>
      <c r="O5" s="67" t="n">
        <v>13.4</v>
      </c>
      <c r="P5" s="67" t="n">
        <v>8.5</v>
      </c>
      <c r="Q5" s="67" t="n">
        <v>12.1</v>
      </c>
      <c r="R5" s="67" t="n">
        <v>14.5</v>
      </c>
      <c r="S5" s="67" t="n">
        <v>12.3</v>
      </c>
      <c r="T5" s="67" t="n">
        <v>14</v>
      </c>
      <c r="U5" s="67" t="n">
        <v>15</v>
      </c>
      <c r="V5" s="67" t="n">
        <v>18.2</v>
      </c>
      <c r="W5" s="67" t="n">
        <v>16.2</v>
      </c>
      <c r="X5" s="67" t="n">
        <v>18.9</v>
      </c>
      <c r="Y5" s="67" t="n">
        <v>21.1</v>
      </c>
      <c r="Z5" s="67" t="n">
        <v>24.9</v>
      </c>
      <c r="AA5" s="67" t="n">
        <v>23.1</v>
      </c>
      <c r="AB5" s="67" t="n">
        <v>23.8</v>
      </c>
      <c r="AC5" s="67" t="n">
        <v>24.7</v>
      </c>
      <c r="AD5" s="67" t="n">
        <v>26.6</v>
      </c>
      <c r="AE5" s="67" t="n">
        <v>24.4</v>
      </c>
      <c r="AF5" s="67" t="n">
        <v>25.2</v>
      </c>
      <c r="AG5" s="67" t="n">
        <v>26.6</v>
      </c>
      <c r="AH5" s="67" t="n">
        <v>30.1</v>
      </c>
      <c r="AI5" s="67" t="n">
        <v>24.8</v>
      </c>
      <c r="AJ5" s="67" t="n">
        <v>29.5</v>
      </c>
      <c r="AK5" s="67" t="n">
        <v>30.8</v>
      </c>
      <c r="AL5" s="67" t="n">
        <v>35</v>
      </c>
      <c r="AM5" s="67" t="n">
        <v>27.6</v>
      </c>
      <c r="AN5" s="67" t="n">
        <v>28.8</v>
      </c>
      <c r="AO5" s="67" t="n">
        <v>35.4</v>
      </c>
    </row>
    <row r="6">
      <c r="A6" s="66" t="inlineStr">
        <is>
          <t>매출액 YoY</t>
        </is>
      </c>
      <c r="B6" s="68" t="n"/>
      <c r="C6" s="68" t="n"/>
      <c r="D6" s="68" t="n"/>
      <c r="E6" s="68" t="n"/>
      <c r="F6" s="68" t="n"/>
      <c r="G6" s="68" t="n"/>
      <c r="H6" s="68" t="n"/>
      <c r="I6" s="68" t="n"/>
      <c r="J6" s="68" t="n">
        <v>28.8</v>
      </c>
      <c r="K6" s="68" t="n">
        <v>25.2</v>
      </c>
      <c r="L6" s="68" t="n">
        <v>31.4</v>
      </c>
      <c r="M6" s="68" t="n">
        <v>20.1</v>
      </c>
      <c r="N6" s="68" t="n">
        <v>11.8</v>
      </c>
      <c r="O6" s="68" t="n">
        <v>-3.6</v>
      </c>
      <c r="P6" s="68" t="n">
        <v>-46.5</v>
      </c>
      <c r="Q6" s="68" t="n">
        <v>-27.5</v>
      </c>
      <c r="R6" s="68" t="n">
        <v>-14.7</v>
      </c>
      <c r="S6" s="68" t="n">
        <v>-8.199999999999999</v>
      </c>
      <c r="T6" s="68" t="n">
        <v>64.7</v>
      </c>
      <c r="U6" s="68" t="n">
        <v>24</v>
      </c>
      <c r="V6" s="68" t="n">
        <v>25.5</v>
      </c>
      <c r="W6" s="68" t="n">
        <v>31.7</v>
      </c>
      <c r="X6" s="68" t="n">
        <v>35</v>
      </c>
      <c r="Y6" s="68" t="n">
        <v>40.7</v>
      </c>
      <c r="Z6" s="68" t="n">
        <v>36.8</v>
      </c>
      <c r="AA6" s="68" t="n">
        <v>42.6</v>
      </c>
      <c r="AB6" s="68" t="n">
        <v>25.9</v>
      </c>
      <c r="AC6" s="68" t="n">
        <v>17.1</v>
      </c>
      <c r="AD6" s="68" t="n">
        <v>6.8</v>
      </c>
      <c r="AE6" s="68" t="n">
        <v>5.6</v>
      </c>
      <c r="AF6" s="68" t="n">
        <v>5.9</v>
      </c>
      <c r="AG6" s="68" t="n">
        <v>7.7</v>
      </c>
      <c r="AH6" s="68" t="n">
        <v>13.2</v>
      </c>
      <c r="AI6" s="68" t="n">
        <v>1.6</v>
      </c>
      <c r="AJ6" s="68" t="n">
        <v>17.1</v>
      </c>
      <c r="AK6" s="68" t="n">
        <v>15.8</v>
      </c>
      <c r="AL6" s="68" t="n">
        <v>16.3</v>
      </c>
      <c r="AM6" s="68" t="n">
        <v>11.3</v>
      </c>
      <c r="AN6" s="68" t="n">
        <v>-2.4</v>
      </c>
      <c r="AO6" s="68" t="n">
        <v>14.9</v>
      </c>
    </row>
    <row r="7">
      <c r="A7" s="66" t="inlineStr">
        <is>
          <t>영업이익</t>
        </is>
      </c>
      <c r="B7" s="67" t="n"/>
      <c r="C7" s="67" t="n"/>
      <c r="D7" s="67" t="n"/>
      <c r="E7" s="67" t="n"/>
      <c r="F7" s="67" t="n">
        <v>3.7</v>
      </c>
      <c r="G7" s="67" t="n">
        <v>2.6</v>
      </c>
      <c r="H7" s="67" t="n">
        <v>2.8</v>
      </c>
      <c r="I7" s="67" t="n">
        <v>3.7</v>
      </c>
      <c r="J7" s="67" t="n">
        <v>4.5</v>
      </c>
      <c r="K7" s="67" t="n">
        <v>3</v>
      </c>
      <c r="L7" s="67" t="n">
        <v>3.6</v>
      </c>
      <c r="M7" s="67" t="n">
        <v>4.6</v>
      </c>
      <c r="N7" s="67" t="n">
        <v>4.5</v>
      </c>
      <c r="O7" s="67" t="n">
        <v>0.7</v>
      </c>
      <c r="P7" s="67" t="n">
        <v>-1.6</v>
      </c>
      <c r="Q7" s="67" t="n">
        <v>0.1</v>
      </c>
      <c r="R7" s="67" t="n">
        <v>2.2</v>
      </c>
      <c r="S7" s="67" t="n">
        <v>-0.3</v>
      </c>
      <c r="T7" s="67" t="n">
        <v>0.4</v>
      </c>
      <c r="U7" s="67" t="n">
        <v>1.6</v>
      </c>
      <c r="V7" s="67" t="n">
        <v>4.7</v>
      </c>
      <c r="W7" s="67" t="n">
        <v>2.9</v>
      </c>
      <c r="X7" s="67" t="n">
        <v>4.9</v>
      </c>
      <c r="Y7" s="67" t="n">
        <v>7</v>
      </c>
      <c r="Z7" s="67" t="n">
        <v>10.1</v>
      </c>
      <c r="AA7" s="67" t="n">
        <v>7.8</v>
      </c>
      <c r="AB7" s="67" t="n">
        <v>8.6</v>
      </c>
      <c r="AC7" s="67" t="n">
        <v>9.1</v>
      </c>
      <c r="AD7" s="67" t="n">
        <v>10.5</v>
      </c>
      <c r="AE7" s="67" t="n">
        <v>8</v>
      </c>
      <c r="AF7" s="67" t="n">
        <v>9</v>
      </c>
      <c r="AG7" s="67" t="n">
        <v>10.3</v>
      </c>
      <c r="AH7" s="67" t="n">
        <v>12.8</v>
      </c>
      <c r="AI7" s="67" t="n">
        <v>7.5</v>
      </c>
      <c r="AJ7" s="67" t="n">
        <v>11.7</v>
      </c>
      <c r="AK7" s="67" t="n">
        <v>12.5</v>
      </c>
      <c r="AL7" s="67" t="n">
        <v>16.3</v>
      </c>
      <c r="AM7" s="67" t="n">
        <v>8.5</v>
      </c>
      <c r="AN7" s="67" t="n">
        <v>9.9</v>
      </c>
      <c r="AO7" s="67" t="n">
        <v>15.9</v>
      </c>
    </row>
    <row r="8">
      <c r="A8" s="66" t="inlineStr">
        <is>
          <t>영업이익률</t>
        </is>
      </c>
      <c r="B8" s="68" t="n"/>
      <c r="C8" s="68" t="n"/>
      <c r="D8" s="68" t="n"/>
      <c r="E8" s="68" t="n"/>
      <c r="F8" s="68" t="n">
        <v>31.4</v>
      </c>
      <c r="G8" s="68" t="n">
        <v>23.4</v>
      </c>
      <c r="H8" s="68" t="n">
        <v>23.1</v>
      </c>
      <c r="I8" s="68" t="n">
        <v>26.6</v>
      </c>
      <c r="J8" s="68" t="n">
        <v>29.6</v>
      </c>
      <c r="K8" s="68" t="n">
        <v>21.6</v>
      </c>
      <c r="L8" s="68" t="n">
        <v>22.6</v>
      </c>
      <c r="M8" s="68" t="n">
        <v>27.5</v>
      </c>
      <c r="N8" s="68" t="n">
        <v>26.5</v>
      </c>
      <c r="O8" s="68" t="n">
        <v>5.2</v>
      </c>
      <c r="P8" s="68" t="n">
        <v>-18.8</v>
      </c>
      <c r="Q8" s="68" t="n">
        <v>0.8</v>
      </c>
      <c r="R8" s="68" t="n">
        <v>15.2</v>
      </c>
      <c r="S8" s="68" t="n">
        <v>-2.4</v>
      </c>
      <c r="T8" s="68" t="n">
        <v>2.9</v>
      </c>
      <c r="U8" s="68" t="n">
        <v>10.7</v>
      </c>
      <c r="V8" s="68" t="n">
        <v>25.8</v>
      </c>
      <c r="W8" s="68" t="n">
        <v>17.9</v>
      </c>
      <c r="X8" s="68" t="n">
        <v>25.9</v>
      </c>
      <c r="Y8" s="68" t="n">
        <v>33.2</v>
      </c>
      <c r="Z8" s="68" t="n">
        <v>40.6</v>
      </c>
      <c r="AA8" s="68" t="n">
        <v>33.8</v>
      </c>
      <c r="AB8" s="68" t="n">
        <v>36.1</v>
      </c>
      <c r="AC8" s="68" t="n">
        <v>36.8</v>
      </c>
      <c r="AD8" s="68" t="n">
        <v>39.5</v>
      </c>
      <c r="AE8" s="68" t="n">
        <v>32.8</v>
      </c>
      <c r="AF8" s="68" t="n">
        <v>35.7</v>
      </c>
      <c r="AG8" s="68" t="n">
        <v>38.7</v>
      </c>
      <c r="AH8" s="68" t="n">
        <v>42.5</v>
      </c>
      <c r="AI8" s="68" t="n">
        <v>30.2</v>
      </c>
      <c r="AJ8" s="68" t="n">
        <v>39.7</v>
      </c>
      <c r="AK8" s="68" t="n">
        <v>40.6</v>
      </c>
      <c r="AL8" s="68" t="n">
        <v>46.6</v>
      </c>
      <c r="AM8" s="68" t="n">
        <v>30.8</v>
      </c>
      <c r="AN8" s="68" t="n">
        <v>34.4</v>
      </c>
      <c r="AO8" s="68" t="n">
        <v>44.9</v>
      </c>
    </row>
    <row r="9">
      <c r="A9" s="66" t="inlineStr">
        <is>
          <t>영업이익 YoY</t>
        </is>
      </c>
      <c r="B9" s="68" t="n"/>
      <c r="C9" s="68" t="n"/>
      <c r="D9" s="68" t="n"/>
      <c r="E9" s="68" t="n"/>
      <c r="F9" s="68" t="n"/>
      <c r="G9" s="68" t="n"/>
      <c r="H9" s="68" t="n"/>
      <c r="I9" s="68" t="n"/>
      <c r="J9" s="68" t="n">
        <v>21.6</v>
      </c>
      <c r="K9" s="68" t="n">
        <v>15.4</v>
      </c>
      <c r="L9" s="68" t="n">
        <v>28.6</v>
      </c>
      <c r="M9" s="68" t="n">
        <v>24.3</v>
      </c>
      <c r="N9" s="68" t="n">
        <v>0</v>
      </c>
      <c r="O9" s="68" t="n">
        <v>-76.7</v>
      </c>
      <c r="P9" s="68" t="n">
        <v>-144.4</v>
      </c>
      <c r="Q9" s="68" t="n">
        <v>-97.8</v>
      </c>
      <c r="R9" s="68" t="n">
        <v>-51.1</v>
      </c>
      <c r="S9" s="68" t="n">
        <v>-142.9</v>
      </c>
      <c r="T9" s="68" t="n"/>
      <c r="U9" s="68" t="n">
        <v>1500</v>
      </c>
      <c r="V9" s="68" t="n">
        <v>113.6</v>
      </c>
      <c r="W9" s="68" t="n"/>
      <c r="X9" s="68" t="n">
        <v>1125</v>
      </c>
      <c r="Y9" s="68" t="n">
        <v>337.5</v>
      </c>
      <c r="Z9" s="68" t="n">
        <v>114.9</v>
      </c>
      <c r="AA9" s="68" t="n">
        <v>169</v>
      </c>
      <c r="AB9" s="68" t="n">
        <v>75.5</v>
      </c>
      <c r="AC9" s="68" t="n">
        <v>30</v>
      </c>
      <c r="AD9" s="68" t="n">
        <v>4</v>
      </c>
      <c r="AE9" s="68" t="n">
        <v>2.6</v>
      </c>
      <c r="AF9" s="68" t="n">
        <v>4.7</v>
      </c>
      <c r="AG9" s="68" t="n">
        <v>13.2</v>
      </c>
      <c r="AH9" s="68" t="n">
        <v>21.9</v>
      </c>
      <c r="AI9" s="68" t="n">
        <v>-6.2</v>
      </c>
      <c r="AJ9" s="68" t="n">
        <v>30</v>
      </c>
      <c r="AK9" s="68" t="n">
        <v>21.4</v>
      </c>
      <c r="AL9" s="68" t="n">
        <v>27.3</v>
      </c>
      <c r="AM9" s="68" t="n">
        <v>13.3</v>
      </c>
      <c r="AN9" s="68" t="n">
        <v>-15.4</v>
      </c>
      <c r="AO9" s="68" t="n">
        <v>27.2</v>
      </c>
    </row>
    <row r="10">
      <c r="A10" s="66" t="inlineStr">
        <is>
          <t>유동자산</t>
        </is>
      </c>
      <c r="B10" s="67" t="n"/>
      <c r="C10" s="67" t="n">
        <v>17.2</v>
      </c>
      <c r="D10" s="67" t="n"/>
      <c r="E10" s="67" t="n"/>
      <c r="F10" s="67" t="n">
        <v>23.8</v>
      </c>
      <c r="G10" s="67" t="n">
        <v>28.5</v>
      </c>
      <c r="H10" s="67" t="n">
        <v>24.2</v>
      </c>
      <c r="I10" s="67" t="n">
        <v>28.8</v>
      </c>
      <c r="J10" s="67" t="n">
        <v>34.8</v>
      </c>
      <c r="K10" s="67" t="n">
        <v>36.3</v>
      </c>
      <c r="L10" s="67" t="n">
        <v>28.7</v>
      </c>
      <c r="M10" s="67" t="n">
        <v>33.8</v>
      </c>
      <c r="N10" s="67" t="n">
        <v>38</v>
      </c>
      <c r="O10" s="67" t="n">
        <v>42.3</v>
      </c>
      <c r="P10" s="67" t="n">
        <v>42.4</v>
      </c>
      <c r="Q10" s="67" t="n">
        <v>38.2</v>
      </c>
      <c r="R10" s="67" t="n">
        <v>39.3</v>
      </c>
      <c r="S10" s="67" t="n">
        <v>35.7</v>
      </c>
      <c r="T10" s="67" t="n">
        <v>33.7</v>
      </c>
      <c r="U10" s="67" t="n">
        <v>33</v>
      </c>
      <c r="V10" s="67" t="n">
        <v>36.1</v>
      </c>
      <c r="W10" s="67" t="n">
        <v>37.3</v>
      </c>
      <c r="X10" s="67" t="n">
        <v>37.9</v>
      </c>
      <c r="Y10" s="67" t="n">
        <v>44</v>
      </c>
      <c r="Z10" s="67" t="n">
        <v>49.3</v>
      </c>
      <c r="AA10" s="67" t="n">
        <v>54.9</v>
      </c>
      <c r="AB10" s="67" t="n">
        <v>51.1</v>
      </c>
      <c r="AC10" s="67" t="n">
        <v>59.1</v>
      </c>
      <c r="AD10" s="67" t="n">
        <v>59</v>
      </c>
      <c r="AE10" s="67" t="n">
        <v>63.1</v>
      </c>
      <c r="AF10" s="67" t="n">
        <v>57.5</v>
      </c>
      <c r="AG10" s="67" t="n">
        <v>61.3</v>
      </c>
      <c r="AH10" s="67" t="n">
        <v>64.7</v>
      </c>
      <c r="AI10" s="67" t="n">
        <v>67.40000000000001</v>
      </c>
      <c r="AJ10" s="67" t="n">
        <v>68.7</v>
      </c>
      <c r="AK10" s="67" t="n">
        <v>79.90000000000001</v>
      </c>
      <c r="AL10" s="67" t="n">
        <v>81.5</v>
      </c>
      <c r="AM10" s="67" t="n">
        <v>89.7</v>
      </c>
      <c r="AN10" s="67" t="n">
        <v>77.3</v>
      </c>
      <c r="AO10" s="67" t="n">
        <v>84.7</v>
      </c>
    </row>
    <row r="11">
      <c r="A11" s="66" t="inlineStr">
        <is>
          <t>유동부채</t>
        </is>
      </c>
      <c r="B11" s="67" t="n"/>
      <c r="C11" s="67" t="n">
        <v>18</v>
      </c>
      <c r="D11" s="67" t="n"/>
      <c r="E11" s="67" t="n"/>
      <c r="F11" s="67" t="n">
        <v>23.4</v>
      </c>
      <c r="G11" s="67" t="n">
        <v>20.7</v>
      </c>
      <c r="H11" s="67" t="n">
        <v>21</v>
      </c>
      <c r="I11" s="67" t="n">
        <v>23</v>
      </c>
      <c r="J11" s="67" t="n">
        <v>24.7</v>
      </c>
      <c r="K11" s="67" t="n">
        <v>27.7</v>
      </c>
      <c r="L11" s="67" t="n">
        <v>24.4</v>
      </c>
      <c r="M11" s="67" t="n">
        <v>30.2</v>
      </c>
      <c r="N11" s="67" t="n">
        <v>31.5</v>
      </c>
      <c r="O11" s="67" t="n">
        <v>32.5</v>
      </c>
      <c r="P11" s="67" t="n">
        <v>27.2</v>
      </c>
      <c r="Q11" s="67" t="n">
        <v>25.9</v>
      </c>
      <c r="R11" s="67" t="n">
        <v>29.2</v>
      </c>
      <c r="S11" s="67" t="n">
        <v>26.7</v>
      </c>
      <c r="T11" s="67" t="n">
        <v>26.1</v>
      </c>
      <c r="U11" s="67" t="n">
        <v>27.8</v>
      </c>
      <c r="V11" s="67" t="n">
        <v>32.5</v>
      </c>
      <c r="W11" s="67" t="n">
        <v>32.5</v>
      </c>
      <c r="X11" s="67" t="n">
        <v>29.9</v>
      </c>
      <c r="Y11" s="67" t="n">
        <v>33.4</v>
      </c>
      <c r="Z11" s="67" t="n">
        <v>36</v>
      </c>
      <c r="AA11" s="67" t="n">
        <v>39.8</v>
      </c>
      <c r="AB11" s="67" t="n">
        <v>33</v>
      </c>
      <c r="AC11" s="67" t="n">
        <v>37.1</v>
      </c>
      <c r="AD11" s="67" t="n">
        <v>36.3</v>
      </c>
      <c r="AE11" s="67" t="n">
        <v>40.6</v>
      </c>
      <c r="AF11" s="67" t="n">
        <v>37.2</v>
      </c>
      <c r="AG11" s="67" t="n">
        <v>46</v>
      </c>
      <c r="AH11" s="67" t="n">
        <v>42.8</v>
      </c>
      <c r="AI11" s="67" t="n">
        <v>45.7</v>
      </c>
      <c r="AJ11" s="67" t="n">
        <v>43.2</v>
      </c>
      <c r="AK11" s="67" t="n">
        <v>53.9</v>
      </c>
      <c r="AL11" s="67" t="n">
        <v>42.9</v>
      </c>
      <c r="AM11" s="67" t="n">
        <v>45</v>
      </c>
      <c r="AN11" s="67" t="n">
        <v>38.1</v>
      </c>
      <c r="AO11" s="67" t="n">
        <v>45.3</v>
      </c>
    </row>
    <row r="12">
      <c r="A12" s="66" t="inlineStr">
        <is>
          <t>부채총계</t>
        </is>
      </c>
      <c r="B12" s="67" t="n"/>
      <c r="C12" s="67" t="n">
        <v>71</v>
      </c>
      <c r="D12" s="67" t="n"/>
      <c r="E12" s="67" t="n"/>
      <c r="F12" s="67" t="n">
        <v>84.59999999999999</v>
      </c>
      <c r="G12" s="67" t="n">
        <v>95.40000000000001</v>
      </c>
      <c r="H12" s="67" t="n">
        <v>95.59999999999999</v>
      </c>
      <c r="I12" s="67" t="n">
        <v>107.9</v>
      </c>
      <c r="J12" s="67" t="n">
        <v>118.4</v>
      </c>
      <c r="K12" s="67" t="n">
        <v>122.7</v>
      </c>
      <c r="L12" s="67" t="n">
        <v>122.1</v>
      </c>
      <c r="M12" s="67" t="n">
        <v>129.4</v>
      </c>
      <c r="N12" s="67" t="n">
        <v>141</v>
      </c>
      <c r="O12" s="67" t="n">
        <v>130.4</v>
      </c>
      <c r="P12" s="67" t="n">
        <v>135.4</v>
      </c>
      <c r="Q12" s="67" t="n">
        <v>138</v>
      </c>
      <c r="R12" s="67" t="n">
        <v>146</v>
      </c>
      <c r="S12" s="67" t="n">
        <v>144.5</v>
      </c>
      <c r="T12" s="67" t="n">
        <v>141</v>
      </c>
      <c r="U12" s="67" t="n">
        <v>138.3</v>
      </c>
      <c r="V12" s="67" t="n">
        <v>138.9</v>
      </c>
      <c r="W12" s="67" t="n">
        <v>139</v>
      </c>
      <c r="X12" s="67" t="n">
        <v>136.6</v>
      </c>
      <c r="Y12" s="67" t="n">
        <v>135.4</v>
      </c>
      <c r="Z12" s="67" t="n">
        <v>133.5</v>
      </c>
      <c r="AA12" s="67" t="n">
        <v>133.2</v>
      </c>
      <c r="AB12" s="67" t="n">
        <v>126.2</v>
      </c>
      <c r="AC12" s="67" t="n">
        <v>131.3</v>
      </c>
      <c r="AD12" s="67" t="n">
        <v>125.5</v>
      </c>
      <c r="AE12" s="67" t="n">
        <v>124.3</v>
      </c>
      <c r="AF12" s="67" t="n">
        <v>117</v>
      </c>
      <c r="AG12" s="67" t="n">
        <v>139</v>
      </c>
      <c r="AH12" s="67" t="n">
        <v>137</v>
      </c>
      <c r="AI12" s="67" t="n">
        <v>135.4</v>
      </c>
      <c r="AJ12" s="67" t="n">
        <v>132.6</v>
      </c>
      <c r="AK12" s="67" t="n">
        <v>140.7</v>
      </c>
      <c r="AL12" s="67" t="n">
        <v>131.7</v>
      </c>
      <c r="AM12" s="67" t="n">
        <v>137.2</v>
      </c>
      <c r="AN12" s="67" t="n">
        <v>127.2</v>
      </c>
      <c r="AO12" s="67" t="n">
        <v>131</v>
      </c>
    </row>
    <row r="13">
      <c r="A13" s="66" t="inlineStr">
        <is>
          <t>자기자본</t>
        </is>
      </c>
      <c r="B13" s="68" t="n"/>
      <c r="C13" s="68" t="n">
        <v>32.3</v>
      </c>
      <c r="D13" s="68" t="n"/>
      <c r="E13" s="68" t="n"/>
      <c r="F13" s="68" t="n">
        <v>41.3</v>
      </c>
      <c r="G13" s="68" t="n">
        <v>44.4</v>
      </c>
      <c r="H13" s="68" t="n">
        <v>45.4</v>
      </c>
      <c r="I13" s="68" t="n">
        <v>47.8</v>
      </c>
      <c r="J13" s="68" t="n">
        <v>50.6</v>
      </c>
      <c r="K13" s="68" t="n">
        <v>52.6</v>
      </c>
      <c r="L13" s="68" t="n">
        <v>53.9</v>
      </c>
      <c r="M13" s="68" t="n">
        <v>56.6</v>
      </c>
      <c r="N13" s="68" t="n">
        <v>59.3</v>
      </c>
      <c r="O13" s="68" t="n">
        <v>60.6</v>
      </c>
      <c r="P13" s="68" t="n">
        <v>58.5</v>
      </c>
      <c r="Q13" s="68" t="n">
        <v>58.8</v>
      </c>
      <c r="R13" s="68" t="n">
        <v>60.2</v>
      </c>
      <c r="S13" s="68" t="n">
        <v>59.9</v>
      </c>
      <c r="T13" s="68" t="n">
        <v>59.8</v>
      </c>
      <c r="U13" s="68" t="n">
        <v>60.6</v>
      </c>
      <c r="V13" s="68" t="n">
        <v>63.4</v>
      </c>
      <c r="W13" s="68" t="n">
        <v>65.40000000000001</v>
      </c>
      <c r="X13" s="68" t="n">
        <v>67.90000000000001</v>
      </c>
      <c r="Y13" s="68" t="n">
        <v>71.8</v>
      </c>
      <c r="Z13" s="68" t="n">
        <v>78</v>
      </c>
      <c r="AA13" s="68" t="n">
        <v>82.90000000000001</v>
      </c>
      <c r="AB13" s="68" t="n">
        <v>86.59999999999999</v>
      </c>
      <c r="AC13" s="68" t="n">
        <v>92.09999999999999</v>
      </c>
      <c r="AD13" s="68" t="n">
        <v>98.5</v>
      </c>
      <c r="AE13" s="68" t="n">
        <v>104.3</v>
      </c>
      <c r="AF13" s="68" t="n">
        <v>107.7</v>
      </c>
      <c r="AG13" s="68" t="n">
        <v>113.9</v>
      </c>
      <c r="AH13" s="68" t="n">
        <v>122.1</v>
      </c>
      <c r="AI13" s="68" t="n">
        <v>127.5</v>
      </c>
      <c r="AJ13" s="68" t="n">
        <v>131.9</v>
      </c>
      <c r="AK13" s="68" t="n">
        <v>139.5</v>
      </c>
      <c r="AL13" s="68" t="n">
        <v>149.6</v>
      </c>
      <c r="AM13" s="68" t="n">
        <v>156.1</v>
      </c>
      <c r="AN13" s="68" t="n">
        <v>157.3</v>
      </c>
      <c r="AO13" s="68" t="n">
        <v>166.8</v>
      </c>
    </row>
    <row r="14">
      <c r="A14" s="66" t="inlineStr">
        <is>
          <t>유동비율</t>
        </is>
      </c>
      <c r="B14" s="68" t="n"/>
      <c r="C14" s="68" t="n">
        <v>95.59999999999999</v>
      </c>
      <c r="D14" s="68" t="n"/>
      <c r="E14" s="68" t="n"/>
      <c r="F14" s="68" t="n">
        <v>101.7</v>
      </c>
      <c r="G14" s="68" t="n">
        <v>137.7</v>
      </c>
      <c r="H14" s="68" t="n">
        <v>115.2</v>
      </c>
      <c r="I14" s="68" t="n">
        <v>125.2</v>
      </c>
      <c r="J14" s="68" t="n">
        <v>140.9</v>
      </c>
      <c r="K14" s="68" t="n">
        <v>131</v>
      </c>
      <c r="L14" s="68" t="n">
        <v>117.6</v>
      </c>
      <c r="M14" s="68" t="n">
        <v>111.9</v>
      </c>
      <c r="N14" s="68" t="n">
        <v>120.6</v>
      </c>
      <c r="O14" s="68" t="n">
        <v>130.2</v>
      </c>
      <c r="P14" s="68" t="n">
        <v>155.9</v>
      </c>
      <c r="Q14" s="68" t="n">
        <v>147.5</v>
      </c>
      <c r="R14" s="68" t="n">
        <v>134.6</v>
      </c>
      <c r="S14" s="68" t="n">
        <v>133.7</v>
      </c>
      <c r="T14" s="68" t="n">
        <v>129.1</v>
      </c>
      <c r="U14" s="68" t="n">
        <v>118.7</v>
      </c>
      <c r="V14" s="68" t="n">
        <v>111.1</v>
      </c>
      <c r="W14" s="68" t="n">
        <v>114.8</v>
      </c>
      <c r="X14" s="68" t="n">
        <v>126.8</v>
      </c>
      <c r="Y14" s="68" t="n">
        <v>131.7</v>
      </c>
      <c r="Z14" s="68" t="n">
        <v>136.9</v>
      </c>
      <c r="AA14" s="68" t="n">
        <v>137.9</v>
      </c>
      <c r="AB14" s="68" t="n">
        <v>154.8</v>
      </c>
      <c r="AC14" s="68" t="n">
        <v>159.3</v>
      </c>
      <c r="AD14" s="68" t="n">
        <v>162.5</v>
      </c>
      <c r="AE14" s="68" t="n">
        <v>155.4</v>
      </c>
      <c r="AF14" s="68" t="n">
        <v>154.6</v>
      </c>
      <c r="AG14" s="68" t="n">
        <v>133.3</v>
      </c>
      <c r="AH14" s="68" t="n">
        <v>151.2</v>
      </c>
      <c r="AI14" s="68" t="n">
        <v>147.5</v>
      </c>
      <c r="AJ14" s="68" t="n">
        <v>159</v>
      </c>
      <c r="AK14" s="68" t="n">
        <v>148.2</v>
      </c>
      <c r="AL14" s="68" t="n">
        <v>190</v>
      </c>
      <c r="AM14" s="68" t="n">
        <v>199.3</v>
      </c>
      <c r="AN14" s="68" t="n">
        <v>202.9</v>
      </c>
      <c r="AO14" s="68" t="n">
        <v>187</v>
      </c>
    </row>
    <row r="15">
      <c r="A15" s="66" t="inlineStr">
        <is>
          <t>부채비율</t>
        </is>
      </c>
      <c r="B15" s="68" t="n"/>
      <c r="C15" s="68" t="n">
        <v>219.8</v>
      </c>
      <c r="D15" s="68" t="n"/>
      <c r="E15" s="68" t="n"/>
      <c r="F15" s="68" t="n">
        <v>204.8</v>
      </c>
      <c r="G15" s="68" t="n">
        <v>214.9</v>
      </c>
      <c r="H15" s="68" t="n">
        <v>210.6</v>
      </c>
      <c r="I15" s="68" t="n">
        <v>225.7</v>
      </c>
      <c r="J15" s="68" t="n">
        <v>234</v>
      </c>
      <c r="K15" s="68" t="n">
        <v>233.3</v>
      </c>
      <c r="L15" s="68" t="n">
        <v>226.5</v>
      </c>
      <c r="M15" s="68" t="n">
        <v>228.6</v>
      </c>
      <c r="N15" s="68" t="n">
        <v>237.8</v>
      </c>
      <c r="O15" s="68" t="n">
        <v>215.2</v>
      </c>
      <c r="P15" s="68" t="n">
        <v>231.5</v>
      </c>
      <c r="Q15" s="68" t="n">
        <v>234.7</v>
      </c>
      <c r="R15" s="68" t="n">
        <v>242.5</v>
      </c>
      <c r="S15" s="68" t="n">
        <v>241.2</v>
      </c>
      <c r="T15" s="68" t="n">
        <v>235.8</v>
      </c>
      <c r="U15" s="68" t="n">
        <v>228.2</v>
      </c>
      <c r="V15" s="68" t="n">
        <v>219.1</v>
      </c>
      <c r="W15" s="68" t="n">
        <v>212.5</v>
      </c>
      <c r="X15" s="68" t="n">
        <v>201.2</v>
      </c>
      <c r="Y15" s="68" t="n">
        <v>188.6</v>
      </c>
      <c r="Z15" s="68" t="n">
        <v>171.2</v>
      </c>
      <c r="AA15" s="68" t="n">
        <v>160.7</v>
      </c>
      <c r="AB15" s="68" t="n">
        <v>145.7</v>
      </c>
      <c r="AC15" s="68" t="n">
        <v>142.6</v>
      </c>
      <c r="AD15" s="68" t="n">
        <v>127.4</v>
      </c>
      <c r="AE15" s="68" t="n">
        <v>119.2</v>
      </c>
      <c r="AF15" s="68" t="n">
        <v>108.6</v>
      </c>
      <c r="AG15" s="68" t="n">
        <v>122</v>
      </c>
      <c r="AH15" s="68" t="n">
        <v>112.2</v>
      </c>
      <c r="AI15" s="68" t="n">
        <v>106.2</v>
      </c>
      <c r="AJ15" s="68" t="n">
        <v>100.5</v>
      </c>
      <c r="AK15" s="68" t="n">
        <v>100.9</v>
      </c>
      <c r="AL15" s="68" t="n">
        <v>88</v>
      </c>
      <c r="AM15" s="68" t="n">
        <v>87.90000000000001</v>
      </c>
      <c r="AN15" s="68" t="n">
        <v>80.90000000000001</v>
      </c>
      <c r="AO15" s="68" t="n">
        <v>78.5</v>
      </c>
    </row>
    <row r="16">
      <c r="A16" s="66" t="inlineStr">
        <is>
          <t>순차입금/자기자본</t>
        </is>
      </c>
      <c r="B16" s="68" t="n"/>
      <c r="C16" s="68" t="n">
        <v>149.2</v>
      </c>
      <c r="D16" s="68" t="n"/>
      <c r="E16" s="68" t="n"/>
      <c r="F16" s="68" t="n">
        <v>127.6</v>
      </c>
      <c r="G16" s="68" t="n">
        <v>127.7</v>
      </c>
      <c r="H16" s="68" t="n">
        <v>135.9</v>
      </c>
      <c r="I16" s="68" t="n">
        <v>149</v>
      </c>
      <c r="J16" s="68" t="n">
        <v>142.3</v>
      </c>
      <c r="K16" s="68" t="n">
        <v>139.7</v>
      </c>
      <c r="L16" s="68" t="n">
        <v>151</v>
      </c>
      <c r="M16" s="68" t="n">
        <v>143.3</v>
      </c>
      <c r="N16" s="68" t="n">
        <v>155</v>
      </c>
      <c r="O16" s="68" t="n">
        <v>115.2</v>
      </c>
      <c r="P16" s="68" t="n">
        <v>138.3</v>
      </c>
      <c r="Q16" s="68" t="n">
        <v>149.3</v>
      </c>
      <c r="R16" s="68" t="n">
        <v>158.6</v>
      </c>
      <c r="S16" s="68" t="n">
        <v>160.6</v>
      </c>
      <c r="T16" s="68" t="n">
        <v>154.7</v>
      </c>
      <c r="U16" s="68" t="n">
        <v>148.2</v>
      </c>
      <c r="V16" s="68" t="n">
        <v>134.4</v>
      </c>
      <c r="W16" s="68" t="n">
        <v>125.2</v>
      </c>
      <c r="X16" s="68" t="n">
        <v>123.9</v>
      </c>
      <c r="Y16" s="68" t="n">
        <v>101.9</v>
      </c>
      <c r="Z16" s="68" t="n">
        <v>83.3</v>
      </c>
      <c r="AA16" s="68" t="n">
        <v>65.7</v>
      </c>
      <c r="AB16" s="68" t="n">
        <v>66.40000000000001</v>
      </c>
      <c r="AC16" s="68" t="n">
        <v>55.6</v>
      </c>
      <c r="AD16" s="68" t="n">
        <v>47.7</v>
      </c>
      <c r="AE16" s="68" t="n">
        <v>37.7</v>
      </c>
      <c r="AF16" s="68" t="n">
        <v>38.7</v>
      </c>
      <c r="AG16" s="68" t="n">
        <v>52.2</v>
      </c>
      <c r="AH16" s="68" t="n">
        <v>43.7</v>
      </c>
      <c r="AI16" s="68" t="n">
        <v>36.5</v>
      </c>
      <c r="AJ16" s="68" t="n">
        <v>33.3</v>
      </c>
      <c r="AK16" s="68" t="n">
        <v>24.6</v>
      </c>
      <c r="AL16" s="68" t="n">
        <v>16.6</v>
      </c>
      <c r="AM16" s="68" t="n">
        <v>13.6</v>
      </c>
      <c r="AN16" s="68" t="n">
        <v>18.9</v>
      </c>
      <c r="AO16" s="68" t="n">
        <v>14</v>
      </c>
    </row>
    <row r="17">
      <c r="A17" s="66" t="inlineStr">
        <is>
          <t>재고자산</t>
        </is>
      </c>
      <c r="B17" s="67" t="n"/>
      <c r="C17" s="67" t="n">
        <v>0.2</v>
      </c>
      <c r="D17" s="67" t="n"/>
      <c r="E17" s="67" t="n"/>
      <c r="F17" s="67" t="n">
        <v>0.1</v>
      </c>
      <c r="G17" s="67" t="n">
        <v>0.1</v>
      </c>
      <c r="H17" s="67" t="n">
        <v>0.2</v>
      </c>
      <c r="I17" s="67" t="n">
        <v>0.2</v>
      </c>
      <c r="J17" s="67" t="n">
        <v>0.2</v>
      </c>
      <c r="K17" s="67" t="n">
        <v>0.2</v>
      </c>
      <c r="L17" s="67" t="n">
        <v>0.2</v>
      </c>
      <c r="M17" s="67" t="n">
        <v>0.2</v>
      </c>
      <c r="N17" s="67" t="n">
        <v>0.2</v>
      </c>
      <c r="O17" s="67" t="n">
        <v>0.2</v>
      </c>
      <c r="P17" s="67" t="n">
        <v>0.2</v>
      </c>
      <c r="Q17" s="67" t="n">
        <v>0.2</v>
      </c>
      <c r="R17" s="67" t="n">
        <v>0.2</v>
      </c>
      <c r="S17" s="67" t="n">
        <v>0.2</v>
      </c>
      <c r="T17" s="67" t="n">
        <v>0.2</v>
      </c>
      <c r="U17" s="67" t="n">
        <v>0.2</v>
      </c>
      <c r="V17" s="67" t="n">
        <v>0.3</v>
      </c>
      <c r="W17" s="67" t="n">
        <v>0.2</v>
      </c>
      <c r="X17" s="67" t="n">
        <v>0.2</v>
      </c>
      <c r="Y17" s="67" t="n">
        <v>0.2</v>
      </c>
      <c r="Z17" s="67" t="n">
        <v>0.2</v>
      </c>
      <c r="AA17" s="67" t="n">
        <v>0.2</v>
      </c>
      <c r="AB17" s="67" t="n">
        <v>0.2</v>
      </c>
      <c r="AC17" s="67" t="n">
        <v>0.2</v>
      </c>
      <c r="AD17" s="67" t="n">
        <v>0.3</v>
      </c>
      <c r="AE17" s="67" t="n">
        <v>0.2</v>
      </c>
      <c r="AF17" s="67" t="n"/>
      <c r="AG17" s="67" t="n">
        <v>0.2</v>
      </c>
      <c r="AH17" s="67" t="n">
        <v>0.3</v>
      </c>
      <c r="AI17" s="67" t="n"/>
      <c r="AJ17" s="67" t="n"/>
      <c r="AK17" s="67" t="n"/>
      <c r="AL17" s="67" t="n"/>
      <c r="AM17" s="67" t="n"/>
      <c r="AN17" s="67" t="n"/>
      <c r="AO17" s="67" t="n"/>
    </row>
    <row r="18">
      <c r="A18" s="66" t="inlineStr">
        <is>
          <t>재고자산 회전일수</t>
        </is>
      </c>
      <c r="B18" s="67" t="n"/>
      <c r="C18" s="67" t="n"/>
      <c r="D18" s="67" t="n"/>
      <c r="E18" s="67" t="n"/>
      <c r="F18" s="67" t="n">
        <v>1</v>
      </c>
      <c r="G18" s="67" t="n">
        <v>1</v>
      </c>
      <c r="H18" s="67" t="n">
        <v>2</v>
      </c>
      <c r="I18" s="67" t="n">
        <v>2</v>
      </c>
      <c r="J18" s="67" t="n">
        <v>2</v>
      </c>
      <c r="K18" s="67" t="n">
        <v>2</v>
      </c>
      <c r="L18" s="67" t="n">
        <v>2</v>
      </c>
      <c r="M18" s="67" t="n">
        <v>2</v>
      </c>
      <c r="N18" s="67" t="n">
        <v>2</v>
      </c>
      <c r="O18" s="67" t="n">
        <v>2</v>
      </c>
      <c r="P18" s="67" t="n">
        <v>2</v>
      </c>
      <c r="Q18" s="67" t="n">
        <v>2</v>
      </c>
      <c r="R18" s="67" t="n">
        <v>2</v>
      </c>
      <c r="S18" s="67" t="n">
        <v>2</v>
      </c>
      <c r="T18" s="67" t="n">
        <v>1</v>
      </c>
      <c r="U18" s="67" t="n">
        <v>1</v>
      </c>
      <c r="V18" s="67" t="n">
        <v>2</v>
      </c>
      <c r="W18" s="67" t="n">
        <v>2</v>
      </c>
      <c r="X18" s="67" t="n">
        <v>1</v>
      </c>
      <c r="Y18" s="67" t="n">
        <v>1</v>
      </c>
      <c r="Z18" s="67" t="n">
        <v>1</v>
      </c>
      <c r="AA18" s="67" t="n">
        <v>1</v>
      </c>
      <c r="AB18" s="67" t="n">
        <v>1</v>
      </c>
      <c r="AC18" s="67" t="n">
        <v>1</v>
      </c>
      <c r="AD18" s="67" t="n">
        <v>2</v>
      </c>
      <c r="AE18" s="67" t="n">
        <v>1</v>
      </c>
      <c r="AF18" s="67" t="n"/>
      <c r="AG18" s="67" t="n">
        <v>1</v>
      </c>
      <c r="AH18" s="67" t="n">
        <v>2</v>
      </c>
      <c r="AI18" s="67" t="n"/>
      <c r="AJ18" s="67" t="n"/>
      <c r="AK18" s="67" t="n"/>
      <c r="AL18" s="67" t="n"/>
      <c r="AM18" s="67" t="n"/>
      <c r="AN18" s="67" t="n"/>
      <c r="AO18" s="67" t="n"/>
    </row>
    <row r="19">
      <c r="A19" s="66" t="inlineStr">
        <is>
          <t>매출채권 회전일수</t>
        </is>
      </c>
      <c r="B19" s="67" t="n"/>
      <c r="C19" s="67" t="n"/>
      <c r="D19" s="67" t="n"/>
      <c r="E19" s="67" t="n"/>
      <c r="F19" s="67" t="n">
        <v>12</v>
      </c>
      <c r="G19" s="67" t="n">
        <v>16</v>
      </c>
      <c r="H19" s="67" t="n">
        <v>13</v>
      </c>
      <c r="I19" s="67" t="n">
        <v>13</v>
      </c>
      <c r="J19" s="67" t="n">
        <v>12</v>
      </c>
      <c r="K19" s="67" t="n">
        <v>17</v>
      </c>
      <c r="L19" s="67" t="n">
        <v>13</v>
      </c>
      <c r="M19" s="67" t="n">
        <v>15</v>
      </c>
      <c r="N19" s="67" t="n">
        <v>14</v>
      </c>
      <c r="O19" s="67" t="n">
        <v>15</v>
      </c>
      <c r="P19" s="67" t="n">
        <v>20</v>
      </c>
      <c r="Q19" s="67" t="n">
        <v>20</v>
      </c>
      <c r="R19" s="67" t="n">
        <v>19</v>
      </c>
      <c r="S19" s="67" t="n">
        <v>21</v>
      </c>
      <c r="T19" s="67" t="n">
        <v>16</v>
      </c>
      <c r="U19" s="67" t="n">
        <v>15</v>
      </c>
      <c r="V19" s="67" t="n">
        <v>18</v>
      </c>
      <c r="W19" s="67" t="n">
        <v>21</v>
      </c>
      <c r="X19" s="67" t="n">
        <v>18</v>
      </c>
      <c r="Y19" s="67" t="n">
        <v>19</v>
      </c>
      <c r="Z19" s="67" t="n">
        <v>22</v>
      </c>
      <c r="AA19" s="67" t="n">
        <v>24</v>
      </c>
      <c r="AB19" s="67" t="n">
        <v>17</v>
      </c>
      <c r="AC19" s="67" t="n">
        <v>18</v>
      </c>
      <c r="AD19" s="67" t="n">
        <v>17</v>
      </c>
      <c r="AE19" s="67" t="n">
        <v>24</v>
      </c>
      <c r="AF19" s="67" t="n">
        <v>17</v>
      </c>
      <c r="AG19" s="67" t="n">
        <v>19</v>
      </c>
      <c r="AH19" s="67" t="n">
        <v>18</v>
      </c>
      <c r="AI19" s="67" t="n">
        <v>26</v>
      </c>
      <c r="AJ19" s="67" t="n">
        <v>19</v>
      </c>
      <c r="AK19" s="67" t="n">
        <v>23</v>
      </c>
      <c r="AL19" s="67" t="n">
        <v>17</v>
      </c>
      <c r="AM19" s="67" t="n">
        <v>29</v>
      </c>
      <c r="AN19" s="67" t="n">
        <v>18</v>
      </c>
      <c r="AO19" s="67" t="n">
        <v>29</v>
      </c>
    </row>
    <row r="20">
      <c r="A20" s="66" t="inlineStr">
        <is>
          <t>매입채무 회전일수</t>
        </is>
      </c>
      <c r="B20" s="67" t="n"/>
      <c r="C20" s="67" t="n"/>
      <c r="D20" s="67" t="n"/>
      <c r="E20" s="67" t="n"/>
      <c r="F20" s="67" t="n"/>
      <c r="G20" s="67" t="n"/>
      <c r="H20" s="67" t="n"/>
      <c r="I20" s="67" t="n"/>
      <c r="J20" s="67" t="n"/>
      <c r="K20" s="67" t="n"/>
      <c r="L20" s="67" t="n"/>
      <c r="M20" s="67" t="n"/>
      <c r="N20" s="67" t="n"/>
      <c r="O20" s="67" t="n"/>
      <c r="P20" s="67" t="n"/>
      <c r="Q20" s="67" t="n"/>
      <c r="R20" s="67" t="n"/>
      <c r="S20" s="67" t="n"/>
      <c r="T20" s="67" t="n"/>
      <c r="U20" s="67" t="n"/>
      <c r="V20" s="67" t="n"/>
      <c r="W20" s="67" t="n"/>
      <c r="X20" s="67" t="n"/>
      <c r="Y20" s="67" t="n"/>
      <c r="Z20" s="67" t="n"/>
      <c r="AA20" s="67" t="n"/>
      <c r="AB20" s="67" t="n"/>
      <c r="AC20" s="67" t="n"/>
      <c r="AD20" s="67" t="n"/>
      <c r="AE20" s="67" t="n"/>
      <c r="AF20" s="67" t="n"/>
      <c r="AG20" s="67" t="n"/>
      <c r="AH20" s="67" t="n"/>
      <c r="AI20" s="67" t="n"/>
      <c r="AJ20" s="67" t="n"/>
      <c r="AK20" s="67" t="n"/>
      <c r="AL20" s="67" t="n"/>
      <c r="AM20" s="67" t="n"/>
      <c r="AN20" s="67" t="n"/>
      <c r="AO20" s="67" t="n"/>
    </row>
    <row r="21">
      <c r="A21" s="66" t="inlineStr">
        <is>
          <t>현금전환주기(CCC)</t>
        </is>
      </c>
      <c r="B21" s="67" t="n"/>
      <c r="C21" s="67" t="n"/>
      <c r="D21" s="67" t="n"/>
      <c r="E21" s="67" t="n"/>
      <c r="F21" s="67" t="n"/>
      <c r="G21" s="67" t="n"/>
      <c r="H21" s="67" t="n"/>
      <c r="I21" s="67" t="n"/>
      <c r="J21" s="67" t="n"/>
      <c r="K21" s="67" t="n"/>
      <c r="L21" s="67" t="n"/>
      <c r="M21" s="67" t="n"/>
      <c r="N21" s="67" t="n"/>
      <c r="O21" s="67" t="n"/>
      <c r="P21" s="67" t="n"/>
      <c r="Q21" s="67" t="n"/>
      <c r="R21" s="67" t="n"/>
      <c r="S21" s="67" t="n"/>
      <c r="T21" s="67" t="n"/>
      <c r="U21" s="67" t="n"/>
      <c r="V21" s="67" t="n"/>
      <c r="W21" s="67" t="n"/>
      <c r="X21" s="67" t="n"/>
      <c r="Y21" s="67" t="n"/>
      <c r="Z21" s="67" t="n"/>
      <c r="AA21" s="67" t="n"/>
      <c r="AB21" s="67" t="n"/>
      <c r="AC21" s="67" t="n"/>
      <c r="AD21" s="67" t="n"/>
      <c r="AE21" s="67" t="n"/>
      <c r="AF21" s="67" t="n"/>
      <c r="AG21" s="67" t="n"/>
      <c r="AH21" s="67" t="n"/>
      <c r="AI21" s="67" t="n"/>
      <c r="AJ21" s="67" t="n"/>
      <c r="AK21" s="67" t="n"/>
      <c r="AL21" s="67" t="n"/>
      <c r="AM21" s="67" t="n"/>
      <c r="AN21" s="67" t="n"/>
      <c r="AO21" s="67" t="n"/>
    </row>
    <row r="22">
      <c r="A22" s="66" t="inlineStr">
        <is>
          <t>총 차입금</t>
        </is>
      </c>
      <c r="B22" s="67" t="n"/>
      <c r="C22" s="67" t="n">
        <v>62.3</v>
      </c>
      <c r="D22" s="67" t="n"/>
      <c r="E22" s="67" t="n"/>
      <c r="F22" s="67" t="n">
        <v>74.09999999999999</v>
      </c>
      <c r="G22" s="67" t="n">
        <v>82.59999999999999</v>
      </c>
      <c r="H22" s="67" t="n">
        <v>82</v>
      </c>
      <c r="I22" s="67" t="n">
        <v>92.40000000000001</v>
      </c>
      <c r="J22" s="67" t="n">
        <v>103.4</v>
      </c>
      <c r="K22" s="67" t="n">
        <v>105.7</v>
      </c>
      <c r="L22" s="67" t="n">
        <v>107</v>
      </c>
      <c r="M22" s="67" t="n">
        <v>111.4</v>
      </c>
      <c r="N22" s="67" t="n">
        <v>122.5</v>
      </c>
      <c r="O22" s="67" t="n">
        <v>108.8</v>
      </c>
      <c r="P22" s="67" t="n">
        <v>120.6</v>
      </c>
      <c r="Q22" s="67" t="n">
        <v>121.7</v>
      </c>
      <c r="R22" s="67" t="n">
        <v>128</v>
      </c>
      <c r="S22" s="67" t="n">
        <v>126</v>
      </c>
      <c r="T22" s="67" t="n">
        <v>122.7</v>
      </c>
      <c r="U22" s="67" t="n">
        <v>119.4</v>
      </c>
      <c r="V22" s="67" t="n">
        <v>116.6</v>
      </c>
      <c r="W22" s="67" t="n">
        <v>114.7</v>
      </c>
      <c r="X22" s="67" t="n">
        <v>116.7</v>
      </c>
      <c r="Y22" s="67" t="n">
        <v>111.8</v>
      </c>
      <c r="Z22" s="67" t="n">
        <v>107.2</v>
      </c>
      <c r="AA22" s="67" t="n">
        <v>102.3</v>
      </c>
      <c r="AB22" s="67" t="n">
        <v>103.2</v>
      </c>
      <c r="AC22" s="67" t="n">
        <v>104.4</v>
      </c>
      <c r="AD22" s="67" t="n">
        <v>99.90000000000001</v>
      </c>
      <c r="AE22" s="67" t="n">
        <v>95.2</v>
      </c>
      <c r="AF22" s="67" t="n">
        <v>93.60000000000001</v>
      </c>
      <c r="AG22" s="67" t="n">
        <v>111.9</v>
      </c>
      <c r="AH22" s="67" t="n">
        <v>110.7</v>
      </c>
      <c r="AI22" s="67" t="n">
        <v>105.8</v>
      </c>
      <c r="AJ22" s="67" t="n">
        <v>105.8</v>
      </c>
      <c r="AK22" s="67" t="n">
        <v>103</v>
      </c>
      <c r="AL22" s="67" t="n">
        <v>98.60000000000001</v>
      </c>
      <c r="AM22" s="67" t="n">
        <v>101.3</v>
      </c>
      <c r="AN22" s="67" t="n">
        <v>100.3</v>
      </c>
      <c r="AO22" s="67" t="n">
        <v>95.8</v>
      </c>
    </row>
    <row r="23">
      <c r="A23" s="66" t="inlineStr">
        <is>
          <t>현금</t>
        </is>
      </c>
      <c r="B23" s="67" t="n"/>
      <c r="C23" s="67" t="n">
        <v>14.1</v>
      </c>
      <c r="D23" s="67" t="n"/>
      <c r="E23" s="67" t="n"/>
      <c r="F23" s="67" t="n">
        <v>21.4</v>
      </c>
      <c r="G23" s="67" t="n">
        <v>25.9</v>
      </c>
      <c r="H23" s="67" t="n">
        <v>20.3</v>
      </c>
      <c r="I23" s="67" t="n">
        <v>21.2</v>
      </c>
      <c r="J23" s="67" t="n">
        <v>31.4</v>
      </c>
      <c r="K23" s="67" t="n">
        <v>32.2</v>
      </c>
      <c r="L23" s="67" t="n">
        <v>25.6</v>
      </c>
      <c r="M23" s="67" t="n">
        <v>30.3</v>
      </c>
      <c r="N23" s="67" t="n">
        <v>30.6</v>
      </c>
      <c r="O23" s="67" t="n">
        <v>39</v>
      </c>
      <c r="P23" s="67" t="n">
        <v>39.7</v>
      </c>
      <c r="Q23" s="67" t="n">
        <v>33.9</v>
      </c>
      <c r="R23" s="67" t="n">
        <v>32.5</v>
      </c>
      <c r="S23" s="67" t="n">
        <v>29.8</v>
      </c>
      <c r="T23" s="67" t="n">
        <v>30.2</v>
      </c>
      <c r="U23" s="67" t="n">
        <v>29.6</v>
      </c>
      <c r="V23" s="67" t="n">
        <v>31.4</v>
      </c>
      <c r="W23" s="67" t="n">
        <v>32.8</v>
      </c>
      <c r="X23" s="67" t="n">
        <v>32.6</v>
      </c>
      <c r="Y23" s="67" t="n">
        <v>38.6</v>
      </c>
      <c r="Z23" s="67" t="n">
        <v>42.2</v>
      </c>
      <c r="AA23" s="67" t="n">
        <v>47.8</v>
      </c>
      <c r="AB23" s="67" t="n">
        <v>45.7</v>
      </c>
      <c r="AC23" s="67" t="n">
        <v>53.2</v>
      </c>
      <c r="AD23" s="67" t="n">
        <v>52.9</v>
      </c>
      <c r="AE23" s="67" t="n">
        <v>55.9</v>
      </c>
      <c r="AF23" s="67" t="n">
        <v>51.9</v>
      </c>
      <c r="AG23" s="67" t="n">
        <v>52.5</v>
      </c>
      <c r="AH23" s="67" t="n">
        <v>57.4</v>
      </c>
      <c r="AI23" s="67" t="n">
        <v>59.2</v>
      </c>
      <c r="AJ23" s="67" t="n">
        <v>61.9</v>
      </c>
      <c r="AK23" s="67" t="n">
        <v>68.7</v>
      </c>
      <c r="AL23" s="67" t="n">
        <v>73.8</v>
      </c>
      <c r="AM23" s="67" t="n">
        <v>80.09999999999999</v>
      </c>
      <c r="AN23" s="67" t="n">
        <v>70.5</v>
      </c>
      <c r="AO23" s="67" t="n">
        <v>72.5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2026-10-30T11:38:01Z</dcterms:created>
  <dcterms:modified xmlns:dcterms="http://purl.org/dc/terms/" xmlns:xsi="http://www.w3.org/2001/XMLSchema-instance" xsi:type="dcterms:W3CDTF">2026-10-30T11:38:20Z</dcterms:modified>
</cp:coreProperties>
</file>