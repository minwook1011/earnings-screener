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6565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2659.569</v>
      </c>
      <c r="D4" s="12" t="n">
        <v>2438.557</v>
      </c>
      <c r="E4" s="12" t="n">
        <v>2522.974</v>
      </c>
      <c r="F4" s="12" t="n">
        <v>2662.898</v>
      </c>
      <c r="G4" s="12" t="n">
        <v>3010.328</v>
      </c>
      <c r="H4" s="12" t="n">
        <v>2482.846</v>
      </c>
      <c r="I4" s="12" t="n">
        <v>2952.988</v>
      </c>
      <c r="J4" s="12" t="n">
        <v>3080.322</v>
      </c>
      <c r="K4" s="12" t="n">
        <v>3501.913</v>
      </c>
      <c r="L4" s="12" t="n">
        <v>2758.681</v>
      </c>
      <c r="M4" s="12" t="n">
        <v>2875.757</v>
      </c>
      <c r="N4" s="12" t="n">
        <v>3535.956</v>
      </c>
      <c r="O4" s="11" t="n">
        <v>3510.283</v>
      </c>
      <c r="P4" s="12" t="n">
        <v>4420.45</v>
      </c>
      <c r="Q4" s="12" t="n">
        <v>5514.751</v>
      </c>
      <c r="R4" s="12" t="n">
        <v>6295.918</v>
      </c>
      <c r="S4" s="12" t="n">
        <v>4739.254</v>
      </c>
      <c r="T4" s="12" t="n">
        <v>6345.315</v>
      </c>
      <c r="U4" s="12" t="n">
        <v>8796.15</v>
      </c>
      <c r="V4" s="12" t="n">
        <v>9947.923000000001</v>
      </c>
      <c r="W4" s="12" t="n">
        <v>10679.046</v>
      </c>
      <c r="X4" s="12" t="n">
        <v>12293.904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1465.264</v>
      </c>
      <c r="D11" s="22" t="n">
        <v>1487.645</v>
      </c>
      <c r="E11" s="22" t="n">
        <v>1470.868</v>
      </c>
      <c r="F11" s="22" t="n">
        <v>1454.717</v>
      </c>
      <c r="G11" s="22" t="n">
        <v>1561.556</v>
      </c>
      <c r="H11" s="22" t="n">
        <v>1566.048</v>
      </c>
      <c r="I11" s="22" t="n">
        <v>1609.038</v>
      </c>
      <c r="J11" s="22" t="n">
        <v>1666.361</v>
      </c>
      <c r="K11" s="22" t="n">
        <v>1667.629</v>
      </c>
      <c r="L11" s="22" t="n">
        <v>1713.81</v>
      </c>
      <c r="M11" s="22" t="n">
        <v>1691.592</v>
      </c>
      <c r="N11" s="22" t="n">
        <v>1747.275</v>
      </c>
      <c r="O11" s="21" t="n">
        <v>2172.673</v>
      </c>
      <c r="P11" s="22" t="n">
        <v>2799.435</v>
      </c>
      <c r="Q11" s="22" t="n">
        <v>3576.843</v>
      </c>
      <c r="R11" s="22" t="n">
        <v>4402.134</v>
      </c>
      <c r="S11" s="22" t="n">
        <v>4324.323</v>
      </c>
      <c r="T11" s="22" t="n">
        <v>4986.386</v>
      </c>
      <c r="U11" s="22" t="n">
        <v>5307.282</v>
      </c>
      <c r="V11" s="22" t="n">
        <v>5752.092</v>
      </c>
      <c r="W11" s="22" t="n">
        <v>6053.189</v>
      </c>
      <c r="X11" s="22" t="n">
        <v>6656.838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148.94</v>
      </c>
      <c r="D17" s="22" t="n">
        <v>155.165</v>
      </c>
      <c r="E17" s="22" t="n">
        <v>152.357</v>
      </c>
      <c r="F17" s="22" t="n">
        <v>178.658</v>
      </c>
      <c r="G17" s="22" t="n">
        <v>164.125</v>
      </c>
      <c r="H17" s="22" t="n">
        <v>167.879</v>
      </c>
      <c r="I17" s="22" t="n">
        <v>171.518</v>
      </c>
      <c r="J17" s="22" t="n">
        <v>168.705</v>
      </c>
      <c r="K17" s="22" t="n">
        <v>208.899</v>
      </c>
      <c r="L17" s="22" t="n">
        <v>195.405</v>
      </c>
      <c r="M17" s="22" t="n">
        <v>194.732</v>
      </c>
      <c r="N17" s="22" t="n">
        <v>203.234</v>
      </c>
      <c r="O17" s="21" t="n">
        <v>355.202</v>
      </c>
      <c r="P17" s="22" t="n">
        <v>428.294</v>
      </c>
      <c r="Q17" s="22" t="n">
        <v>528.1369999999999</v>
      </c>
      <c r="R17" s="22" t="n">
        <v>560.327</v>
      </c>
      <c r="S17" s="22" t="n">
        <v>370.595</v>
      </c>
      <c r="T17" s="22" t="n">
        <v>399.793</v>
      </c>
      <c r="U17" s="22" t="n">
        <v>512.183</v>
      </c>
      <c r="V17" s="22" t="n">
        <v>583.405</v>
      </c>
      <c r="W17" s="22" t="n">
        <v>663.019</v>
      </c>
      <c r="X17" s="22" t="n">
        <v>744.527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1045.364</v>
      </c>
      <c r="D19" s="12" t="n">
        <v>795.747</v>
      </c>
      <c r="E19" s="12" t="n">
        <v>899.747</v>
      </c>
      <c r="F19" s="12" t="n">
        <v>1029.524</v>
      </c>
      <c r="G19" s="12" t="n">
        <v>1284.647</v>
      </c>
      <c r="H19" s="12" t="n">
        <v>748.919</v>
      </c>
      <c r="I19" s="12" t="n">
        <v>1172.431</v>
      </c>
      <c r="J19" s="12" t="n">
        <v>1245.256</v>
      </c>
      <c r="K19" s="12" t="n">
        <v>1625.385</v>
      </c>
      <c r="L19" s="12" t="n">
        <v>849.467</v>
      </c>
      <c r="M19" s="12" t="n">
        <v>989.432</v>
      </c>
      <c r="N19" s="12" t="n">
        <v>1585.447</v>
      </c>
      <c r="O19" s="11" t="n">
        <v>982.407</v>
      </c>
      <c r="P19" s="12" t="n">
        <v>1192.72</v>
      </c>
      <c r="Q19" s="12" t="n">
        <v>1409.769</v>
      </c>
      <c r="R19" s="12" t="n">
        <v>1333.456</v>
      </c>
      <c r="S19" s="12" t="n">
        <v>44.336</v>
      </c>
      <c r="T19" s="12" t="n">
        <v>959.135</v>
      </c>
      <c r="U19" s="12" t="n">
        <v>2976.684</v>
      </c>
      <c r="V19" s="12" t="n">
        <v>3612.425</v>
      </c>
      <c r="W19" s="12" t="n">
        <v>3962.837</v>
      </c>
      <c r="X19" s="12" t="n">
        <v>4892.539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>
        <v>0.443</v>
      </c>
      <c r="P26" s="22" t="n">
        <v>1.564</v>
      </c>
      <c r="Q26" s="22" t="n">
        <v>2.494</v>
      </c>
      <c r="R26" s="22" t="n">
        <v>2.137</v>
      </c>
      <c r="S26" s="22" t="n">
        <v>1.502</v>
      </c>
      <c r="T26" s="22" t="n">
        <v>1.731</v>
      </c>
      <c r="U26" s="22" t="n">
        <v>1.4</v>
      </c>
      <c r="V26" s="22" t="n">
        <v>1.994</v>
      </c>
      <c r="W26" s="22" t="n">
        <v>2.332</v>
      </c>
      <c r="X26" s="22" t="n">
        <v>2.888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>
        <v>0</v>
      </c>
      <c r="Q35" s="22" t="n">
        <v>76.13200000000001</v>
      </c>
      <c r="R35" s="22" t="n">
        <v>311.671</v>
      </c>
      <c r="S35" s="22" t="n">
        <v>16.851</v>
      </c>
      <c r="T35" s="22" t="n">
        <v>0</v>
      </c>
      <c r="U35" s="22" t="n">
        <v>27.584</v>
      </c>
      <c r="V35" s="22" t="n">
        <v>32.598</v>
      </c>
      <c r="W35" s="22" t="n">
        <v>0</v>
      </c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0</v>
      </c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>
        <v>1.685</v>
      </c>
      <c r="P37" s="22" t="n">
        <v>1.638</v>
      </c>
      <c r="Q37" s="22" t="n">
        <v>76.54600000000001</v>
      </c>
      <c r="R37" s="22" t="n">
        <v>187.596</v>
      </c>
      <c r="S37" s="22" t="n">
        <v>0</v>
      </c>
      <c r="T37" s="22" t="n">
        <v>34.247</v>
      </c>
      <c r="U37" s="22" t="n">
        <v>84.992</v>
      </c>
      <c r="V37" s="22" t="n">
        <v>0</v>
      </c>
      <c r="W37" s="22" t="n">
        <v>0</v>
      </c>
      <c r="X37" s="22" t="n">
        <v>59.771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10.079</v>
      </c>
      <c r="D39" s="22" t="n">
        <v>9.385999999999999</v>
      </c>
      <c r="E39" s="22" t="n">
        <v>7.545</v>
      </c>
      <c r="F39" s="22" t="n">
        <v>8.715</v>
      </c>
      <c r="G39" s="22" t="n">
        <v>9.959</v>
      </c>
      <c r="H39" s="22" t="n">
        <v>12.721</v>
      </c>
      <c r="I39" s="22" t="n">
        <v>9.763</v>
      </c>
      <c r="J39" s="22" t="n">
        <v>14.995</v>
      </c>
      <c r="K39" s="22" t="n">
        <v>11.075</v>
      </c>
      <c r="L39" s="22" t="n">
        <v>12.47</v>
      </c>
      <c r="M39" s="22" t="n">
        <v>9.218999999999999</v>
      </c>
      <c r="N39" s="22" t="n">
        <v>16.116</v>
      </c>
      <c r="O39" s="21" t="n">
        <v>57.583</v>
      </c>
      <c r="P39" s="22" t="n">
        <v>29.439</v>
      </c>
      <c r="Q39" s="22" t="n">
        <v>78.33499999999999</v>
      </c>
      <c r="R39" s="22" t="n">
        <v>54.764</v>
      </c>
      <c r="S39" s="22" t="n">
        <v>71.224</v>
      </c>
      <c r="T39" s="22" t="n">
        <v>71.277</v>
      </c>
      <c r="U39" s="22" t="n">
        <v>40.023</v>
      </c>
      <c r="V39" s="22" t="n">
        <v>36.167</v>
      </c>
      <c r="W39" s="22" t="n">
        <v>38.94</v>
      </c>
      <c r="X39" s="22" t="n">
        <v>48.303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21.557</v>
      </c>
      <c r="D41" s="22" t="n">
        <v>20.474</v>
      </c>
      <c r="E41" s="22" t="n">
        <v>19.557</v>
      </c>
      <c r="F41" s="22" t="n">
        <v>22.191</v>
      </c>
      <c r="G41" s="22" t="n">
        <v>23.94</v>
      </c>
      <c r="H41" s="22" t="n">
        <v>27.414</v>
      </c>
      <c r="I41" s="22" t="n">
        <v>26.555</v>
      </c>
      <c r="J41" s="22" t="n">
        <v>27.435</v>
      </c>
      <c r="K41" s="22" t="n">
        <v>27.73</v>
      </c>
      <c r="L41" s="22" t="n">
        <v>28.989</v>
      </c>
      <c r="M41" s="22" t="n">
        <v>30.227</v>
      </c>
      <c r="N41" s="22" t="n">
        <v>32.284</v>
      </c>
      <c r="O41" s="21" t="n">
        <v>71.54900000000001</v>
      </c>
      <c r="P41" s="22" t="n">
        <v>76.247</v>
      </c>
      <c r="Q41" s="22" t="n">
        <v>89.755</v>
      </c>
      <c r="R41" s="22" t="n">
        <v>90.84099999999999</v>
      </c>
      <c r="S41" s="22" t="n">
        <v>89.012</v>
      </c>
      <c r="T41" s="22" t="n">
        <v>92.773</v>
      </c>
      <c r="U41" s="22" t="n">
        <v>92.548</v>
      </c>
      <c r="V41" s="22" t="n">
        <v>85.675</v>
      </c>
      <c r="W41" s="22" t="n">
        <v>93.102</v>
      </c>
      <c r="X41" s="22" t="n">
        <v>110.709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1033.886</v>
      </c>
      <c r="D43" s="12" t="n">
        <v>817.259</v>
      </c>
      <c r="E43" s="12" t="n">
        <v>887.734</v>
      </c>
      <c r="F43" s="12" t="n">
        <v>1016.049</v>
      </c>
      <c r="G43" s="12" t="n">
        <v>1270.666</v>
      </c>
      <c r="H43" s="12" t="n">
        <v>734.226</v>
      </c>
      <c r="I43" s="12" t="n">
        <v>1155.639</v>
      </c>
      <c r="J43" s="12" t="n">
        <v>1232.816</v>
      </c>
      <c r="K43" s="12" t="n">
        <v>1608.73</v>
      </c>
      <c r="L43" s="12" t="n">
        <v>773.177</v>
      </c>
      <c r="M43" s="12" t="n">
        <v>968.423</v>
      </c>
      <c r="N43" s="12" t="n">
        <v>1569.28</v>
      </c>
      <c r="O43" s="11" t="n">
        <v>966.755</v>
      </c>
      <c r="P43" s="12" t="n">
        <v>1144.273</v>
      </c>
      <c r="Q43" s="12" t="n">
        <v>1397.935</v>
      </c>
      <c r="R43" s="12" t="n">
        <v>1421.454</v>
      </c>
      <c r="S43" s="12" t="n">
        <v>43.399</v>
      </c>
      <c r="T43" s="12" t="n">
        <v>903.391</v>
      </c>
      <c r="U43" s="12" t="n">
        <v>2866.752</v>
      </c>
      <c r="V43" s="12" t="n">
        <v>3595.516</v>
      </c>
      <c r="W43" s="12" t="n">
        <v>3908.675</v>
      </c>
      <c r="X43" s="12" t="n">
        <v>4770.362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391.706</v>
      </c>
      <c r="D45" s="22" t="n">
        <v>235.699</v>
      </c>
      <c r="E45" s="22" t="n">
        <v>326.074</v>
      </c>
      <c r="F45" s="22" t="n">
        <v>391.77</v>
      </c>
      <c r="G45" s="22" t="n">
        <v>452.615</v>
      </c>
      <c r="H45" s="22" t="n">
        <v>195.75</v>
      </c>
      <c r="I45" s="22" t="n">
        <v>428.111</v>
      </c>
      <c r="J45" s="22" t="n">
        <v>476.583</v>
      </c>
      <c r="K45" s="22" t="n">
        <v>601.454</v>
      </c>
      <c r="L45" s="22" t="n">
        <v>120.517</v>
      </c>
      <c r="M45" s="22" t="n">
        <v>367</v>
      </c>
      <c r="N45" s="22" t="n">
        <v>619.282</v>
      </c>
      <c r="O45" s="21" t="n">
        <v>322.853</v>
      </c>
      <c r="P45" s="22" t="n">
        <v>421.155</v>
      </c>
      <c r="Q45" s="22" t="n">
        <v>510.919</v>
      </c>
      <c r="R45" s="22" t="n">
        <v>530.394</v>
      </c>
      <c r="S45" s="22" t="n">
        <v>33.328</v>
      </c>
      <c r="T45" s="22" t="n">
        <v>335.708</v>
      </c>
      <c r="U45" s="22" t="n">
        <v>1059.691</v>
      </c>
      <c r="V45" s="22" t="n">
        <v>1282.879</v>
      </c>
      <c r="W45" s="22" t="n">
        <v>1366.209</v>
      </c>
      <c r="X45" s="22" t="n">
        <v>1626.665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642.1799999999999</v>
      </c>
      <c r="D47" s="12" t="n">
        <v>581.559</v>
      </c>
      <c r="E47" s="12" t="n">
        <v>561.659</v>
      </c>
      <c r="F47" s="12" t="n">
        <v>624.28</v>
      </c>
      <c r="G47" s="12" t="n">
        <v>818.051</v>
      </c>
      <c r="H47" s="12" t="n">
        <v>538.475</v>
      </c>
      <c r="I47" s="12" t="n">
        <v>727.527</v>
      </c>
      <c r="J47" s="12" t="n">
        <v>756.234</v>
      </c>
      <c r="K47" s="12" t="n">
        <v>1007.275</v>
      </c>
      <c r="L47" s="12" t="n">
        <v>652.66</v>
      </c>
      <c r="M47" s="12" t="n">
        <v>601.423</v>
      </c>
      <c r="N47" s="12" t="n">
        <v>949.997</v>
      </c>
      <c r="O47" s="11" t="n">
        <v>643.901</v>
      </c>
      <c r="P47" s="12" t="n">
        <v>723.117</v>
      </c>
      <c r="Q47" s="12" t="n">
        <v>887.015</v>
      </c>
      <c r="R47" s="12" t="n">
        <v>891.0599999999999</v>
      </c>
      <c r="S47" s="12" t="n">
        <v>10.071</v>
      </c>
      <c r="T47" s="12" t="n">
        <v>567.682</v>
      </c>
      <c r="U47" s="12" t="n">
        <v>1807.06</v>
      </c>
      <c r="V47" s="12" t="n">
        <v>2312.636</v>
      </c>
      <c r="W47" s="12" t="n">
        <v>2542.465</v>
      </c>
      <c r="X47" s="12" t="n">
        <v>3143.696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642.1799999999999</v>
      </c>
      <c r="D49" s="12" t="n">
        <v>581.559</v>
      </c>
      <c r="E49" s="12" t="n">
        <v>561.659</v>
      </c>
      <c r="F49" s="12" t="n">
        <v>624.28</v>
      </c>
      <c r="G49" s="12" t="n">
        <v>818.051</v>
      </c>
      <c r="H49" s="12" t="n">
        <v>538.475</v>
      </c>
      <c r="I49" s="12" t="n">
        <v>727.527</v>
      </c>
      <c r="J49" s="12" t="n">
        <v>756.234</v>
      </c>
      <c r="K49" s="12" t="n">
        <v>1007.275</v>
      </c>
      <c r="L49" s="12" t="n">
        <v>652.66</v>
      </c>
      <c r="M49" s="12" t="n">
        <v>601.423</v>
      </c>
      <c r="N49" s="12" t="n">
        <v>949.997</v>
      </c>
      <c r="O49" s="11" t="n">
        <v>643.901</v>
      </c>
      <c r="P49" s="12" t="n">
        <v>723.117</v>
      </c>
      <c r="Q49" s="12" t="n">
        <v>887.015</v>
      </c>
      <c r="R49" s="12" t="n">
        <v>891.0599999999999</v>
      </c>
      <c r="S49" s="12" t="n">
        <v>10.071</v>
      </c>
      <c r="T49" s="12" t="n">
        <v>567.682</v>
      </c>
      <c r="U49" s="12" t="n">
        <v>1807.06</v>
      </c>
      <c r="V49" s="12" t="n">
        <v>2312.636</v>
      </c>
      <c r="W49" s="12" t="n">
        <v>2542.465</v>
      </c>
      <c r="X49" s="12" t="n">
        <v>3143.696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2659.569</v>
      </c>
      <c r="D84" s="12" t="n">
        <v>2438.557</v>
      </c>
      <c r="E84" s="12" t="n">
        <v>2522.974</v>
      </c>
      <c r="F84" s="12" t="n">
        <v>2662.898</v>
      </c>
      <c r="G84" s="12" t="n">
        <v>3010.328</v>
      </c>
      <c r="H84" s="12" t="n">
        <v>2482.846</v>
      </c>
      <c r="I84" s="12" t="n">
        <v>2952.988</v>
      </c>
      <c r="J84" s="12" t="n">
        <v>3080.322</v>
      </c>
      <c r="K84" s="12" t="n">
        <v>3501.913</v>
      </c>
      <c r="L84" s="12" t="n">
        <v>2758.681</v>
      </c>
      <c r="M84" s="12" t="n">
        <v>2875.757</v>
      </c>
      <c r="N84" s="12" t="n">
        <v>3535.956</v>
      </c>
      <c r="T84" s="12" t="n">
        <v>1622.366</v>
      </c>
      <c r="U84" s="12" t="n">
        <v>2305.44</v>
      </c>
      <c r="V84" s="12" t="n">
        <v>2438.557</v>
      </c>
      <c r="W84" s="12" t="n">
        <v>2482.846</v>
      </c>
      <c r="X84" s="12" t="n">
        <v>2758.681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1465.264</v>
      </c>
      <c r="D86" s="22" t="n">
        <v>1487.645</v>
      </c>
      <c r="E86" s="22" t="n">
        <v>1470.868</v>
      </c>
      <c r="F86" s="22" t="n">
        <v>1454.717</v>
      </c>
      <c r="G86" s="22" t="n">
        <v>1561.556</v>
      </c>
      <c r="H86" s="22" t="n">
        <v>1566.048</v>
      </c>
      <c r="I86" s="22" t="n">
        <v>1609.038</v>
      </c>
      <c r="J86" s="22" t="n">
        <v>1666.361</v>
      </c>
      <c r="K86" s="22" t="n">
        <v>1667.629</v>
      </c>
      <c r="L86" s="22" t="n">
        <v>1713.81</v>
      </c>
      <c r="M86" s="22" t="n">
        <v>1691.592</v>
      </c>
      <c r="N86" s="22" t="n">
        <v>1747.275</v>
      </c>
      <c r="T86" s="22" t="n">
        <v>1214.068</v>
      </c>
      <c r="U86" s="22" t="n">
        <v>1380.647</v>
      </c>
      <c r="V86" s="22" t="n">
        <v>1487.645</v>
      </c>
      <c r="W86" s="22" t="n">
        <v>1566.048</v>
      </c>
      <c r="X86" s="22" t="n">
        <v>1713.81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1194.304</v>
      </c>
      <c r="D88" s="12" t="n">
        <v>950.912</v>
      </c>
      <c r="E88" s="12" t="n">
        <v>1052.105</v>
      </c>
      <c r="F88" s="12" t="n">
        <v>1208.182</v>
      </c>
      <c r="G88" s="12" t="n">
        <v>1448.771</v>
      </c>
      <c r="H88" s="12" t="n">
        <v>916.798</v>
      </c>
      <c r="I88" s="12" t="n">
        <v>1343.95</v>
      </c>
      <c r="J88" s="12" t="n">
        <v>1413.96</v>
      </c>
      <c r="K88" s="12" t="n">
        <v>1834.285</v>
      </c>
      <c r="L88" s="12" t="n">
        <v>1044.871</v>
      </c>
      <c r="M88" s="12" t="n">
        <v>1184.164</v>
      </c>
      <c r="N88" s="12" t="n">
        <v>1788.681</v>
      </c>
      <c r="T88" s="12" t="n">
        <v>408.297</v>
      </c>
      <c r="U88" s="12" t="n">
        <v>924.793</v>
      </c>
      <c r="V88" s="12" t="n">
        <v>950.912</v>
      </c>
      <c r="W88" s="12" t="n">
        <v>916.798</v>
      </c>
      <c r="X88" s="12" t="n">
        <v>1044.871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임원 보수</t>
        </is>
      </c>
      <c r="C90" s="22" t="n">
        <v>20.04</v>
      </c>
      <c r="D90" s="22" t="n">
        <v>31.902</v>
      </c>
      <c r="E90" s="22" t="n">
        <v>20.09</v>
      </c>
      <c r="F90" s="22" t="n">
        <v>21.96</v>
      </c>
      <c r="G90" s="22" t="n">
        <v>28.725</v>
      </c>
      <c r="H90" s="22" t="n">
        <v>28.918</v>
      </c>
      <c r="I90" s="22" t="n">
        <v>23.64</v>
      </c>
      <c r="J90" s="22" t="n">
        <v>29.2</v>
      </c>
      <c r="K90" s="22" t="n">
        <v>28.98</v>
      </c>
      <c r="L90" s="22" t="n">
        <v>42.09</v>
      </c>
      <c r="M90" s="22" t="n">
        <v>28.981</v>
      </c>
      <c r="N90" s="22" t="n">
        <v>32.724</v>
      </c>
      <c r="T90" s="22" t="n">
        <v>23.726</v>
      </c>
      <c r="U90" s="22" t="n">
        <v>32.28</v>
      </c>
      <c r="V90" s="22" t="n">
        <v>31.902</v>
      </c>
      <c r="W90" s="22" t="n">
        <v>28.918</v>
      </c>
      <c r="X90" s="22" t="n">
        <v>42.09</v>
      </c>
    </row>
    <row r="91">
      <c r="A91" s="20" t="inlineStr">
        <is>
          <t>급여 및 상여</t>
        </is>
      </c>
      <c r="C91" s="22" t="n">
        <v>29.498</v>
      </c>
      <c r="D91" s="22" t="n">
        <v>32.109</v>
      </c>
      <c r="E91" s="22" t="n">
        <v>33.472</v>
      </c>
      <c r="F91" s="22" t="n">
        <v>34.612</v>
      </c>
      <c r="G91" s="22" t="n">
        <v>30.623</v>
      </c>
      <c r="H91" s="22" t="n">
        <v>39.758</v>
      </c>
      <c r="I91" s="22" t="n">
        <v>36.439</v>
      </c>
      <c r="J91" s="22" t="n">
        <v>32.618</v>
      </c>
      <c r="K91" s="22" t="n">
        <v>43.114</v>
      </c>
      <c r="L91" s="22" t="n">
        <v>46.812</v>
      </c>
      <c r="M91" s="22" t="n">
        <v>44.997</v>
      </c>
      <c r="N91" s="22" t="n">
        <v>41.047</v>
      </c>
      <c r="T91" s="22" t="n">
        <v>30.231</v>
      </c>
      <c r="U91" s="22" t="n">
        <v>35.104</v>
      </c>
      <c r="V91" s="22" t="n">
        <v>32.109</v>
      </c>
      <c r="W91" s="22" t="n">
        <v>39.758</v>
      </c>
      <c r="X91" s="22" t="n">
        <v>46.812</v>
      </c>
    </row>
    <row r="92">
      <c r="A92" s="20" t="inlineStr">
        <is>
          <t>지급수수료</t>
        </is>
      </c>
      <c r="C92" s="22" t="n">
        <v>45.976</v>
      </c>
      <c r="E92" s="22" t="n">
        <v>46.696</v>
      </c>
      <c r="F92" s="22" t="n">
        <v>47.62</v>
      </c>
      <c r="G92" s="22" t="n">
        <v>47.581</v>
      </c>
      <c r="I92" s="22" t="n">
        <v>49.394</v>
      </c>
      <c r="J92" s="22" t="n">
        <v>45.297</v>
      </c>
      <c r="K92" s="22" t="n">
        <v>55.679</v>
      </c>
      <c r="M92" s="22" t="n">
        <v>55.691</v>
      </c>
      <c r="N92" s="22" t="n">
        <v>44.1</v>
      </c>
    </row>
    <row r="93">
      <c r="A93" s="20" t="inlineStr">
        <is>
          <t>기타</t>
        </is>
      </c>
      <c r="C93" s="22" t="n">
        <v>53.425</v>
      </c>
      <c r="D93" s="22" t="n">
        <v>-66.122</v>
      </c>
      <c r="E93" s="22" t="n">
        <v>52.098</v>
      </c>
      <c r="F93" s="22" t="n">
        <v>74.465</v>
      </c>
      <c r="G93" s="22" t="n">
        <v>57.197</v>
      </c>
      <c r="H93" s="22" t="n">
        <v>-81.879</v>
      </c>
      <c r="I93" s="22" t="n">
        <v>62.044</v>
      </c>
      <c r="J93" s="22" t="n">
        <v>61.59</v>
      </c>
      <c r="K93" s="22" t="n">
        <v>81.126</v>
      </c>
      <c r="L93" s="22" t="n">
        <v>-67.075</v>
      </c>
      <c r="M93" s="22" t="n">
        <v>65.062</v>
      </c>
      <c r="N93" s="22" t="n">
        <v>85.36199999999999</v>
      </c>
      <c r="T93" s="22" t="n">
        <v>-26.148</v>
      </c>
      <c r="U93" s="22" t="n">
        <v>-50.68</v>
      </c>
      <c r="V93" s="22" t="n">
        <v>-66.122</v>
      </c>
      <c r="W93" s="22" t="n">
        <v>-81.879</v>
      </c>
      <c r="X93" s="22" t="n">
        <v>-67.075</v>
      </c>
    </row>
    <row r="94">
      <c r="A94" s="20" t="inlineStr">
        <is>
          <t>판매비와 관리비 합계</t>
        </is>
      </c>
      <c r="C94" s="22" t="n">
        <v>148.94</v>
      </c>
      <c r="D94" s="22" t="n">
        <v>155.165</v>
      </c>
      <c r="E94" s="22" t="n">
        <v>152.357</v>
      </c>
      <c r="F94" s="22" t="n">
        <v>178.658</v>
      </c>
      <c r="G94" s="22" t="n">
        <v>164.125</v>
      </c>
      <c r="H94" s="22" t="n">
        <v>167.879</v>
      </c>
      <c r="I94" s="22" t="n">
        <v>171.518</v>
      </c>
      <c r="J94" s="22" t="n">
        <v>168.705</v>
      </c>
      <c r="K94" s="22" t="n">
        <v>208.899</v>
      </c>
      <c r="L94" s="22" t="n">
        <v>195.405</v>
      </c>
      <c r="M94" s="22" t="n">
        <v>194.732</v>
      </c>
      <c r="N94" s="22" t="n">
        <v>203.234</v>
      </c>
      <c r="T94" s="22" t="n">
        <v>116.644</v>
      </c>
      <c r="U94" s="22" t="n">
        <v>147.293</v>
      </c>
      <c r="V94" s="22" t="n">
        <v>155.165</v>
      </c>
      <c r="W94" s="22" t="n">
        <v>167.879</v>
      </c>
      <c r="X94" s="22" t="n">
        <v>195.405</v>
      </c>
    </row>
    <row r="95">
      <c r="A95" s="45" t="inlineStr">
        <is>
          <t>YoY</t>
        </is>
      </c>
      <c r="B95" s="3" t="inlineStr">
        <is>
          <t>전년 같은 분기·전년 대비</t>
        </is>
      </c>
      <c r="G95" s="17">
        <f>IF(OR(G94="",C94=""),"",IF(G94*C94&lt;=0,"",IFERROR(G94/C94-1,"")))</f>
        <v/>
      </c>
      <c r="H95" s="17">
        <f>IF(OR(H94="",D94=""),"",IF(H94*D94&lt;=0,"",IFERROR(H94/D94-1,"")))</f>
        <v/>
      </c>
      <c r="I95" s="17">
        <f>IF(OR(I94="",E94=""),"",IF(I94*E94&lt;=0,"",IFERROR(I94/E94-1,"")))</f>
        <v/>
      </c>
      <c r="J95" s="17">
        <f>IF(OR(J94="",F94=""),"",IF(J94*F94&lt;=0,"",IFERROR(J94/F94-1,"")))</f>
        <v/>
      </c>
      <c r="K95" s="17">
        <f>IF(OR(K94="",G94=""),"",IF(K94*G94&lt;=0,"",IFERROR(K94/G94-1,"")))</f>
        <v/>
      </c>
      <c r="L95" s="17">
        <f>IF(OR(L94="",H94=""),"",IF(L94*H94&lt;=0,"",IFERROR(L94/H94-1,"")))</f>
        <v/>
      </c>
      <c r="M95" s="17">
        <f>IF(OR(M94="",I94=""),"",IF(M94*I94&lt;=0,"",IFERROR(M94/I94-1,"")))</f>
        <v/>
      </c>
      <c r="N95" s="17">
        <f>IF(OR(N94="",J94=""),"",IF(N94*J94&lt;=0,"",IFERROR(N94/J94-1,"")))</f>
        <v/>
      </c>
      <c r="T95" s="17">
        <f>IF(OR(T94="",S94=""),"",IF(T94*S94&lt;=0,"",IFERROR(T94/S94-1,"")))</f>
        <v/>
      </c>
      <c r="U95" s="17">
        <f>IF(OR(U94="",T94=""),"",IF(U94*T94&lt;=0,"",IFERROR(U94/T94-1,"")))</f>
        <v/>
      </c>
      <c r="V95" s="17">
        <f>IF(OR(V94="",U94=""),"",IF(V94*U94&lt;=0,"",IFERROR(V94/U94-1,"")))</f>
        <v/>
      </c>
      <c r="W95" s="17">
        <f>IF(OR(W94="",V94=""),"",IF(W94*V94&lt;=0,"",IFERROR(W94/V94-1,"")))</f>
        <v/>
      </c>
      <c r="X95" s="17">
        <f>IF(OR(X94="",W94=""),"",IF(X94*W94&lt;=0,"",IFERROR(X94/W94-1,"")))</f>
        <v/>
      </c>
    </row>
    <row r="96">
      <c r="A96" s="9" t="inlineStr">
        <is>
          <t>영업이익</t>
        </is>
      </c>
      <c r="C96" s="12" t="n">
        <v>1045.364</v>
      </c>
      <c r="D96" s="12" t="n">
        <v>795.747</v>
      </c>
      <c r="E96" s="12" t="n">
        <v>899.747</v>
      </c>
      <c r="F96" s="12" t="n">
        <v>1029.524</v>
      </c>
      <c r="G96" s="12" t="n">
        <v>1284.647</v>
      </c>
      <c r="H96" s="12" t="n">
        <v>748.919</v>
      </c>
      <c r="I96" s="12" t="n">
        <v>1172.431</v>
      </c>
      <c r="J96" s="12" t="n">
        <v>1245.256</v>
      </c>
      <c r="K96" s="12" t="n">
        <v>1625.385</v>
      </c>
      <c r="L96" s="12" t="n">
        <v>849.467</v>
      </c>
      <c r="M96" s="12" t="n">
        <v>989.432</v>
      </c>
      <c r="N96" s="12" t="n">
        <v>1585.447</v>
      </c>
      <c r="T96" s="12" t="n">
        <v>291.654</v>
      </c>
      <c r="U96" s="12" t="n">
        <v>777.5</v>
      </c>
      <c r="V96" s="12" t="n">
        <v>795.747</v>
      </c>
      <c r="W96" s="12" t="n">
        <v>748.919</v>
      </c>
      <c r="X96" s="12" t="n">
        <v>849.467</v>
      </c>
    </row>
    <row r="97">
      <c r="A97" s="45" t="inlineStr">
        <is>
          <t>OPM</t>
        </is>
      </c>
      <c r="B97" s="3" t="inlineStr">
        <is>
          <t>영업이익 ÷ 매출</t>
        </is>
      </c>
      <c r="C97" s="17">
        <f>IF(OR(C96="",C84=""),"",IF(C84&lt;=0,"",IFERROR(C96/C84,"")))</f>
        <v/>
      </c>
      <c r="D97" s="17">
        <f>IF(OR(D96="",D84=""),"",IF(D84&lt;=0,"",IFERROR(D96/D84,"")))</f>
        <v/>
      </c>
      <c r="E97" s="17">
        <f>IF(OR(E96="",E84=""),"",IF(E84&lt;=0,"",IFERROR(E96/E84,"")))</f>
        <v/>
      </c>
      <c r="F97" s="17">
        <f>IF(OR(F96="",F84=""),"",IF(F84&lt;=0,"",IFERROR(F96/F84,"")))</f>
        <v/>
      </c>
      <c r="G97" s="17">
        <f>IF(OR(G96="",G84=""),"",IF(G84&lt;=0,"",IFERROR(G96/G84,"")))</f>
        <v/>
      </c>
      <c r="H97" s="17">
        <f>IF(OR(H96="",H84=""),"",IF(H84&lt;=0,"",IFERROR(H96/H84,"")))</f>
        <v/>
      </c>
      <c r="I97" s="17">
        <f>IF(OR(I96="",I84=""),"",IF(I84&lt;=0,"",IFERROR(I96/I84,"")))</f>
        <v/>
      </c>
      <c r="J97" s="17">
        <f>IF(OR(J96="",J84=""),"",IF(J84&lt;=0,"",IFERROR(J96/J84,"")))</f>
        <v/>
      </c>
      <c r="K97" s="17">
        <f>IF(OR(K96="",K84=""),"",IF(K84&lt;=0,"",IFERROR(K96/K84,"")))</f>
        <v/>
      </c>
      <c r="L97" s="17">
        <f>IF(OR(L96="",L84=""),"",IF(L84&lt;=0,"",IFERROR(L96/L84,"")))</f>
        <v/>
      </c>
      <c r="M97" s="17">
        <f>IF(OR(M96="",M84=""),"",IF(M84&lt;=0,"",IFERROR(M96/M84,"")))</f>
        <v/>
      </c>
      <c r="N97" s="17">
        <f>IF(OR(N96="",N84=""),"",IF(N84&lt;=0,"",IFERROR(N96/N84,"")))</f>
        <v/>
      </c>
      <c r="T97" s="17">
        <f>IF(OR(T96="",T84=""),"",IF(T84&lt;=0,"",IFERROR(T96/T84,"")))</f>
        <v/>
      </c>
      <c r="U97" s="17">
        <f>IF(OR(U96="",U84=""),"",IF(U84&lt;=0,"",IFERROR(U96/U84,"")))</f>
        <v/>
      </c>
      <c r="V97" s="17">
        <f>IF(OR(V96="",V84=""),"",IF(V84&lt;=0,"",IFERROR(V96/V84,"")))</f>
        <v/>
      </c>
      <c r="W97" s="17">
        <f>IF(OR(W96="",W84=""),"",IF(W84&lt;=0,"",IFERROR(W96/W84,"")))</f>
        <v/>
      </c>
      <c r="X97" s="17">
        <f>IF(OR(X96="",X84=""),"",IF(X84&lt;=0,"",IFERROR(X96/X84,"")))</f>
        <v/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IF(OR(G96="",C96=""),"",IF(C96&lt;=0,"",IFERROR(G96/C96-1,"")))</f>
        <v/>
      </c>
      <c r="H98" s="17">
        <f>IF(OR(H96="",D96=""),"",IF(D96&lt;=0,"",IFERROR(H96/D96-1,"")))</f>
        <v/>
      </c>
      <c r="I98" s="17">
        <f>IF(OR(I96="",E96=""),"",IF(E96&lt;=0,"",IFERROR(I96/E96-1,"")))</f>
        <v/>
      </c>
      <c r="J98" s="17">
        <f>IF(OR(J96="",F96=""),"",IF(F96&lt;=0,"",IFERROR(J96/F96-1,"")))</f>
        <v/>
      </c>
      <c r="K98" s="17">
        <f>IF(OR(K96="",G96=""),"",IF(G96&lt;=0,"",IFERROR(K96/G96-1,"")))</f>
        <v/>
      </c>
      <c r="L98" s="17">
        <f>IF(OR(L96="",H96=""),"",IF(H96&lt;=0,"",IFERROR(L96/H96-1,"")))</f>
        <v/>
      </c>
      <c r="M98" s="17">
        <f>IF(OR(M96="",I96=""),"",IF(I96&lt;=0,"",IFERROR(M96/I96-1,"")))</f>
        <v/>
      </c>
      <c r="N98" s="17">
        <f>IF(OR(N96="",J96=""),"",IF(J96&lt;=0,"",IFERROR(N96/J96-1,"")))</f>
        <v/>
      </c>
      <c r="T98" s="17">
        <f>IF(OR(T96="",S96=""),"",IF(S96&lt;=0,"",IFERROR(T96/S96-1,"")))</f>
        <v/>
      </c>
      <c r="U98" s="17">
        <f>IF(OR(U96="",T96=""),"",IF(T96&lt;=0,"",IFERROR(U96/T96-1,"")))</f>
        <v/>
      </c>
      <c r="V98" s="17">
        <f>IF(OR(V96="",U96=""),"",IF(U96&lt;=0,"",IFERROR(V96/U96-1,"")))</f>
        <v/>
      </c>
      <c r="W98" s="17">
        <f>IF(OR(W96="",V96=""),"",IF(V96&lt;=0,"",IFERROR(W96/V96-1,"")))</f>
        <v/>
      </c>
      <c r="X98" s="17">
        <f>IF(OR(X96="",W96=""),"",IF(W96&lt;=0,"",IFERROR(X96/W96-1,"")))</f>
        <v/>
      </c>
    </row>
    <row r="99">
      <c r="A99" s="20" t="inlineStr">
        <is>
          <t>수수료 수익</t>
        </is>
      </c>
      <c r="C99" s="22" t="n">
        <v>6.227</v>
      </c>
      <c r="D99" s="22" t="n">
        <v>5.99</v>
      </c>
      <c r="E99" s="22" t="n">
        <v>5.819</v>
      </c>
      <c r="F99" s="22" t="n">
        <v>6.555</v>
      </c>
      <c r="G99" s="22" t="n">
        <v>6.09</v>
      </c>
      <c r="H99" s="22" t="n">
        <v>5.935</v>
      </c>
      <c r="I99" s="22" t="n">
        <v>6.279</v>
      </c>
      <c r="J99" s="22" t="n">
        <v>7.095</v>
      </c>
      <c r="K99" s="22" t="n">
        <v>6.1</v>
      </c>
      <c r="L99" s="22" t="n">
        <v>5.964</v>
      </c>
      <c r="M99" s="22" t="n">
        <v>6.287</v>
      </c>
      <c r="N99" s="22" t="n">
        <v>6.904</v>
      </c>
      <c r="T99" s="22" t="n">
        <v>5.314</v>
      </c>
      <c r="U99" s="22" t="n">
        <v>5.922</v>
      </c>
      <c r="V99" s="22" t="n">
        <v>5.99</v>
      </c>
      <c r="W99" s="22" t="n">
        <v>5.935</v>
      </c>
      <c r="X99" s="22" t="n">
        <v>5.964</v>
      </c>
    </row>
    <row r="100">
      <c r="A100" s="20" t="inlineStr">
        <is>
          <t>잡이익</t>
        </is>
      </c>
      <c r="C100" s="22" t="n">
        <v>3.852</v>
      </c>
      <c r="E100" s="22" t="n">
        <v>1.725</v>
      </c>
      <c r="F100" s="22" t="n">
        <v>2.16</v>
      </c>
      <c r="G100" s="22" t="n">
        <v>3.87</v>
      </c>
      <c r="I100" s="22" t="n">
        <v>3.483</v>
      </c>
      <c r="J100" s="22" t="n">
        <v>4.017</v>
      </c>
      <c r="K100" s="22" t="n">
        <v>8.858000000000001</v>
      </c>
      <c r="M100" s="22" t="n">
        <v>2.931</v>
      </c>
      <c r="N100" s="22" t="n">
        <v>1.201</v>
      </c>
    </row>
    <row r="101">
      <c r="A101" s="20" t="inlineStr">
        <is>
          <t>영업외수익 합계</t>
        </is>
      </c>
      <c r="C101" s="22" t="n">
        <v>10.079</v>
      </c>
      <c r="D101" s="22" t="n">
        <v>9.385999999999999</v>
      </c>
      <c r="E101" s="22" t="n">
        <v>7.545</v>
      </c>
      <c r="F101" s="22" t="n">
        <v>8.715</v>
      </c>
      <c r="G101" s="22" t="n">
        <v>9.959</v>
      </c>
      <c r="H101" s="22" t="n">
        <v>12.721</v>
      </c>
      <c r="I101" s="22" t="n">
        <v>9.763</v>
      </c>
      <c r="J101" s="22" t="n">
        <v>14.995</v>
      </c>
      <c r="K101" s="22" t="n">
        <v>11.075</v>
      </c>
      <c r="L101" s="22" t="n">
        <v>12.47</v>
      </c>
      <c r="M101" s="22" t="n">
        <v>9.218999999999999</v>
      </c>
      <c r="N101" s="22" t="n">
        <v>16.116</v>
      </c>
      <c r="T101" s="22" t="n">
        <v>42.441</v>
      </c>
      <c r="U101" s="22" t="n">
        <v>11.131</v>
      </c>
      <c r="V101" s="22" t="n">
        <v>9.385999999999999</v>
      </c>
      <c r="W101" s="22" t="n">
        <v>12.721</v>
      </c>
      <c r="X101" s="22" t="n">
        <v>12.47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16.825</v>
      </c>
      <c r="D103" s="22" t="n">
        <v>16.287</v>
      </c>
      <c r="E103" s="22" t="n">
        <v>16.233</v>
      </c>
      <c r="F103" s="22" t="n">
        <v>18.062</v>
      </c>
      <c r="G103" s="22" t="n">
        <v>20.563</v>
      </c>
      <c r="H103" s="22" t="n">
        <v>21.397</v>
      </c>
      <c r="I103" s="22" t="n">
        <v>23.198</v>
      </c>
      <c r="J103" s="22" t="n">
        <v>23.28</v>
      </c>
      <c r="K103" s="22" t="n">
        <v>23.184</v>
      </c>
      <c r="L103" s="22" t="n">
        <v>25.732</v>
      </c>
      <c r="M103" s="22" t="n">
        <v>26.926</v>
      </c>
      <c r="N103" s="22" t="n">
        <v>29.431</v>
      </c>
      <c r="T103" s="22" t="n">
        <v>18.576</v>
      </c>
      <c r="U103" s="22" t="n">
        <v>17.241</v>
      </c>
      <c r="V103" s="22" t="n">
        <v>16.287</v>
      </c>
      <c r="W103" s="22" t="n">
        <v>21.397</v>
      </c>
      <c r="X103" s="22" t="n">
        <v>25.732</v>
      </c>
    </row>
    <row r="104">
      <c r="A104" s="20" t="inlineStr">
        <is>
          <t>잡손실</t>
        </is>
      </c>
      <c r="C104" s="22" t="n">
        <v>4.731</v>
      </c>
      <c r="E104" s="22" t="n">
        <v>3.324</v>
      </c>
      <c r="F104" s="22" t="n">
        <v>4.128</v>
      </c>
      <c r="G104" s="22" t="n">
        <v>3.377</v>
      </c>
      <c r="I104" s="22" t="n">
        <v>3.357</v>
      </c>
      <c r="J104" s="22" t="n">
        <v>4.155</v>
      </c>
      <c r="K104" s="22" t="n">
        <v>4.546</v>
      </c>
      <c r="M104" s="22" t="n">
        <v>3.301</v>
      </c>
      <c r="N104" s="22" t="n">
        <v>2.852</v>
      </c>
    </row>
    <row r="105">
      <c r="A105" s="20" t="inlineStr">
        <is>
          <t>영업외비용 합계</t>
        </is>
      </c>
      <c r="C105" s="22" t="n">
        <v>21.557</v>
      </c>
      <c r="D105" s="22" t="n">
        <v>20.474</v>
      </c>
      <c r="E105" s="22" t="n">
        <v>19.557</v>
      </c>
      <c r="F105" s="22" t="n">
        <v>22.191</v>
      </c>
      <c r="G105" s="22" t="n">
        <v>23.94</v>
      </c>
      <c r="H105" s="22" t="n">
        <v>27.414</v>
      </c>
      <c r="I105" s="22" t="n">
        <v>26.555</v>
      </c>
      <c r="J105" s="22" t="n">
        <v>27.435</v>
      </c>
      <c r="K105" s="22" t="n">
        <v>27.73</v>
      </c>
      <c r="L105" s="22" t="n">
        <v>28.989</v>
      </c>
      <c r="M105" s="22" t="n">
        <v>30.227</v>
      </c>
      <c r="N105" s="22" t="n">
        <v>32.284</v>
      </c>
      <c r="T105" s="22" t="n">
        <v>23.15</v>
      </c>
      <c r="U105" s="22" t="n">
        <v>22.114</v>
      </c>
      <c r="V105" s="22" t="n">
        <v>20.474</v>
      </c>
      <c r="W105" s="22" t="n">
        <v>27.414</v>
      </c>
      <c r="X105" s="22" t="n">
        <v>28.989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1033.886</v>
      </c>
      <c r="D107" s="12" t="n">
        <v>784.66</v>
      </c>
      <c r="E107" s="12" t="n">
        <v>887.734</v>
      </c>
      <c r="F107" s="12" t="n">
        <v>1016.049</v>
      </c>
      <c r="G107" s="12" t="n">
        <v>1270.666</v>
      </c>
      <c r="H107" s="12" t="n">
        <v>734.226</v>
      </c>
      <c r="I107" s="12" t="n">
        <v>1155.639</v>
      </c>
      <c r="J107" s="12" t="n">
        <v>1232.816</v>
      </c>
      <c r="K107" s="12" t="n">
        <v>1608.73</v>
      </c>
      <c r="L107" s="12" t="n">
        <v>832.948</v>
      </c>
      <c r="M107" s="12" t="n">
        <v>968.423</v>
      </c>
      <c r="N107" s="12" t="n">
        <v>1569.28</v>
      </c>
      <c r="T107" s="12" t="n">
        <v>310.944</v>
      </c>
      <c r="U107" s="12" t="n">
        <v>766.5170000000001</v>
      </c>
      <c r="V107" s="12" t="n">
        <v>784.66</v>
      </c>
      <c r="W107" s="12" t="n">
        <v>734.226</v>
      </c>
      <c r="X107" s="12" t="n">
        <v>832.948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Loss On Changes In Construction Project EL</t>
        </is>
      </c>
      <c r="T109" s="22" t="n">
        <v>19.247</v>
      </c>
      <c r="U109" s="22" t="n">
        <v>0</v>
      </c>
    </row>
    <row r="110">
      <c r="A110" s="20" t="inlineStr">
        <is>
          <t>고정자산 제각손실</t>
        </is>
      </c>
      <c r="C110" s="22" t="n">
        <v>0</v>
      </c>
      <c r="D110" s="22" t="n">
        <v>0</v>
      </c>
      <c r="T110" s="22" t="n">
        <v>0</v>
      </c>
      <c r="U110" s="22" t="n">
        <v>0</v>
      </c>
      <c r="V110" s="22" t="n">
        <v>0</v>
      </c>
    </row>
    <row r="111">
      <c r="A111" s="20" t="inlineStr">
        <is>
          <t>손상차손</t>
        </is>
      </c>
      <c r="C111" s="22" t="n">
        <v>0</v>
      </c>
      <c r="D111" s="22" t="n">
        <v>0</v>
      </c>
      <c r="T111" s="22" t="n">
        <v>0</v>
      </c>
      <c r="U111" s="22" t="n">
        <v>45.17</v>
      </c>
      <c r="V111" s="22" t="n">
        <v>0</v>
      </c>
    </row>
    <row r="112">
      <c r="A112" s="20" t="inlineStr">
        <is>
          <t>특별손실 합계</t>
        </is>
      </c>
      <c r="C112" s="22" t="n">
        <v>0</v>
      </c>
      <c r="D112" s="22" t="n">
        <v>0</v>
      </c>
      <c r="T112" s="22" t="n">
        <v>19.247</v>
      </c>
      <c r="U112" s="22" t="n">
        <v>45.17</v>
      </c>
      <c r="V112" s="22" t="n">
        <v>0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</row>
    <row r="114">
      <c r="A114" s="9" t="inlineStr">
        <is>
          <t>법인세차감전 순이익</t>
        </is>
      </c>
      <c r="C114" s="12" t="n">
        <v>1033.886</v>
      </c>
      <c r="D114" s="12" t="n">
        <v>817.259</v>
      </c>
      <c r="E114" s="12" t="n">
        <v>887.734</v>
      </c>
      <c r="F114" s="12" t="n">
        <v>1016.049</v>
      </c>
      <c r="G114" s="12" t="n">
        <v>1270.666</v>
      </c>
      <c r="H114" s="12" t="n">
        <v>734.226</v>
      </c>
      <c r="I114" s="12" t="n">
        <v>1155.639</v>
      </c>
      <c r="J114" s="12" t="n">
        <v>1232.816</v>
      </c>
      <c r="K114" s="12" t="n">
        <v>1608.73</v>
      </c>
      <c r="L114" s="12" t="n">
        <v>773.177</v>
      </c>
      <c r="M114" s="12" t="n">
        <v>968.423</v>
      </c>
      <c r="N114" s="12" t="n">
        <v>1569.28</v>
      </c>
      <c r="T114" s="12" t="n">
        <v>291.697</v>
      </c>
      <c r="U114" s="12" t="n">
        <v>748.932</v>
      </c>
      <c r="V114" s="12" t="n">
        <v>817.259</v>
      </c>
      <c r="W114" s="12" t="n">
        <v>734.226</v>
      </c>
      <c r="X114" s="12" t="n">
        <v>773.177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20" t="inlineStr">
        <is>
          <t>법인세·주민세·사업세</t>
        </is>
      </c>
      <c r="C116" s="22" t="n">
        <v>384.392</v>
      </c>
      <c r="D116" s="22" t="n">
        <v>253.37</v>
      </c>
      <c r="E116" s="22" t="n">
        <v>298.987</v>
      </c>
      <c r="F116" s="22" t="n">
        <v>419.341</v>
      </c>
      <c r="G116" s="22" t="n">
        <v>476.84</v>
      </c>
      <c r="H116" s="22" t="n">
        <v>217.485</v>
      </c>
      <c r="I116" s="22" t="n">
        <v>401.648</v>
      </c>
      <c r="J116" s="22" t="n">
        <v>509.3</v>
      </c>
      <c r="K116" s="22" t="n">
        <v>590.712</v>
      </c>
      <c r="L116" s="22" t="n">
        <v>168.341</v>
      </c>
      <c r="M116" s="22" t="n">
        <v>325.309</v>
      </c>
      <c r="N116" s="22" t="n">
        <v>658.26</v>
      </c>
      <c r="T116" s="22" t="n">
        <v>112.413</v>
      </c>
      <c r="U116" s="22" t="n">
        <v>281.281</v>
      </c>
      <c r="V116" s="22" t="n">
        <v>253.37</v>
      </c>
      <c r="W116" s="22" t="n">
        <v>217.485</v>
      </c>
      <c r="X116" s="22" t="n">
        <v>168.341</v>
      </c>
    </row>
    <row r="117">
      <c r="A117" s="20" t="inlineStr">
        <is>
          <t>법인세 조정액</t>
        </is>
      </c>
      <c r="C117" s="22" t="n">
        <v>7.313</v>
      </c>
      <c r="D117" s="22" t="n">
        <v>-17.669</v>
      </c>
      <c r="E117" s="22" t="n">
        <v>27.087</v>
      </c>
      <c r="F117" s="22" t="n">
        <v>-27.57</v>
      </c>
      <c r="G117" s="22" t="n">
        <v>-24.226</v>
      </c>
      <c r="H117" s="22" t="n">
        <v>-21.734</v>
      </c>
      <c r="I117" s="22" t="n">
        <v>26.462</v>
      </c>
      <c r="J117" s="22" t="n">
        <v>-32.716</v>
      </c>
      <c r="K117" s="22" t="n">
        <v>10.741</v>
      </c>
      <c r="L117" s="22" t="n">
        <v>-47.822</v>
      </c>
      <c r="M117" s="22" t="n">
        <v>41.691</v>
      </c>
      <c r="N117" s="22" t="n">
        <v>-38.978</v>
      </c>
      <c r="T117" s="22" t="n">
        <v>-24.301</v>
      </c>
      <c r="U117" s="22" t="n">
        <v>-26.363</v>
      </c>
      <c r="V117" s="22" t="n">
        <v>-17.669</v>
      </c>
      <c r="W117" s="22" t="n">
        <v>-21.734</v>
      </c>
      <c r="X117" s="22" t="n">
        <v>-47.822</v>
      </c>
    </row>
    <row r="118">
      <c r="A118" s="20" t="inlineStr">
        <is>
          <t>법인세 등 합계</t>
        </is>
      </c>
      <c r="C118" s="22" t="n">
        <v>391.706</v>
      </c>
      <c r="D118" s="22" t="n">
        <v>235.699</v>
      </c>
      <c r="E118" s="22" t="n">
        <v>326.074</v>
      </c>
      <c r="F118" s="22" t="n">
        <v>391.77</v>
      </c>
      <c r="G118" s="22" t="n">
        <v>452.615</v>
      </c>
      <c r="H118" s="22" t="n">
        <v>195.75</v>
      </c>
      <c r="I118" s="22" t="n">
        <v>428.111</v>
      </c>
      <c r="J118" s="22" t="n">
        <v>476.583</v>
      </c>
      <c r="K118" s="22" t="n">
        <v>601.454</v>
      </c>
      <c r="L118" s="22" t="n">
        <v>120.517</v>
      </c>
      <c r="M118" s="22" t="n">
        <v>367</v>
      </c>
      <c r="N118" s="22" t="n">
        <v>619.282</v>
      </c>
      <c r="T118" s="22" t="n">
        <v>88.11199999999999</v>
      </c>
      <c r="U118" s="22" t="n">
        <v>254.917</v>
      </c>
      <c r="V118" s="22" t="n">
        <v>235.699</v>
      </c>
      <c r="W118" s="22" t="n">
        <v>195.75</v>
      </c>
      <c r="X118" s="22" t="n">
        <v>120.517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순이익</t>
        </is>
      </c>
      <c r="C120" s="12" t="n">
        <v>642.1799999999999</v>
      </c>
      <c r="D120" s="12" t="n">
        <v>581.559</v>
      </c>
      <c r="E120" s="12" t="n">
        <v>561.659</v>
      </c>
      <c r="F120" s="12" t="n">
        <v>624.28</v>
      </c>
      <c r="G120" s="12" t="n">
        <v>818.051</v>
      </c>
      <c r="H120" s="12" t="n">
        <v>538.475</v>
      </c>
      <c r="I120" s="12" t="n">
        <v>727.527</v>
      </c>
      <c r="J120" s="12" t="n">
        <v>756.234</v>
      </c>
      <c r="K120" s="12" t="n">
        <v>1007.275</v>
      </c>
      <c r="L120" s="12" t="n">
        <v>652.66</v>
      </c>
      <c r="M120" s="12" t="n">
        <v>601.423</v>
      </c>
      <c r="N120" s="12" t="n">
        <v>949.997</v>
      </c>
      <c r="T120" s="12" t="n">
        <v>203.584</v>
      </c>
      <c r="U120" s="12" t="n">
        <v>494.014</v>
      </c>
      <c r="V120" s="12" t="n">
        <v>581.559</v>
      </c>
      <c r="W120" s="12" t="n">
        <v>538.475</v>
      </c>
      <c r="X120" s="12" t="n">
        <v>652.66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3">
      <c r="A123" s="18" t="inlineStr">
        <is>
          <t>현금흐름표 · 전 항목</t>
        </is>
      </c>
      <c r="B123" s="44" t="inlineStr">
        <is>
          <t>분기 = 결산기 첫날부터 누계(공시 그대로)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법인세차감전 순이익</t>
        </is>
      </c>
      <c r="D125" s="12" t="n">
        <v>3595.516</v>
      </c>
      <c r="H125" s="12" t="n">
        <v>3908.675</v>
      </c>
      <c r="L125" s="12" t="n">
        <v>4770.362</v>
      </c>
      <c r="O125" s="12" t="n">
        <v>966.755</v>
      </c>
      <c r="P125" s="12" t="n">
        <v>1144.273</v>
      </c>
      <c r="Q125" s="12" t="n">
        <v>1397.935</v>
      </c>
      <c r="R125" s="12" t="n">
        <v>1421.454</v>
      </c>
      <c r="S125" s="12" t="n">
        <v>43.399</v>
      </c>
      <c r="T125" s="12" t="n">
        <v>903.391</v>
      </c>
      <c r="U125" s="12" t="n">
        <v>2866.752</v>
      </c>
      <c r="V125" s="12" t="n">
        <v>3595.516</v>
      </c>
      <c r="W125" s="12" t="n">
        <v>3908.675</v>
      </c>
      <c r="X125" s="12" t="n">
        <v>4770.362</v>
      </c>
    </row>
    <row r="126">
      <c r="A126" s="20" t="inlineStr">
        <is>
          <t>감가상각비</t>
        </is>
      </c>
      <c r="D126" s="22" t="n">
        <v>775.475</v>
      </c>
      <c r="H126" s="22" t="n">
        <v>853.8680000000001</v>
      </c>
      <c r="L126" s="22" t="n">
        <v>915.503</v>
      </c>
      <c r="O126" s="22" t="n">
        <v>303.416</v>
      </c>
      <c r="P126" s="22" t="n">
        <v>402.656</v>
      </c>
      <c r="Q126" s="22" t="n">
        <v>517.664</v>
      </c>
      <c r="R126" s="22" t="n">
        <v>642.72</v>
      </c>
      <c r="S126" s="22" t="n">
        <v>684.54</v>
      </c>
      <c r="T126" s="22" t="n">
        <v>764.413</v>
      </c>
      <c r="U126" s="22" t="n">
        <v>766.877</v>
      </c>
      <c r="V126" s="22" t="n">
        <v>775.475</v>
      </c>
      <c r="W126" s="22" t="n">
        <v>853.8680000000001</v>
      </c>
      <c r="X126" s="22" t="n">
        <v>915.503</v>
      </c>
    </row>
    <row r="127">
      <c r="A127" s="20" t="inlineStr">
        <is>
          <t>임원 퇴직위로 충당금 증감</t>
        </is>
      </c>
      <c r="D127" s="22" t="n">
        <v>7.74</v>
      </c>
      <c r="H127" s="22" t="n">
        <v>8.390000000000001</v>
      </c>
      <c r="L127" s="22" t="n">
        <v>8.609999999999999</v>
      </c>
      <c r="O127" s="22" t="n">
        <v>4.19</v>
      </c>
      <c r="P127" s="22" t="n">
        <v>2.89</v>
      </c>
      <c r="Q127" s="22" t="n">
        <v>6.52</v>
      </c>
      <c r="R127" s="22" t="n">
        <v>6.39</v>
      </c>
      <c r="S127" s="22" t="n">
        <v>5.91</v>
      </c>
      <c r="T127" s="22" t="n">
        <v>1.72</v>
      </c>
      <c r="U127" s="22" t="n">
        <v>7.09</v>
      </c>
      <c r="V127" s="22" t="n">
        <v>7.74</v>
      </c>
      <c r="W127" s="22" t="n">
        <v>8.390000000000001</v>
      </c>
      <c r="X127" s="22" t="n">
        <v>8.609999999999999</v>
      </c>
    </row>
    <row r="128">
      <c r="A128" s="20" t="inlineStr">
        <is>
          <t>Other Extraordinary Loss Income Ope CF</t>
        </is>
      </c>
      <c r="O128" s="22" t="n">
        <v>0</v>
      </c>
      <c r="P128" s="22" t="n">
        <v>1.196</v>
      </c>
      <c r="Q128" s="22" t="n">
        <v>0</v>
      </c>
      <c r="R128" s="22" t="n">
        <v>0</v>
      </c>
      <c r="S128" s="22" t="n">
        <v>-16.851</v>
      </c>
      <c r="T128" s="22" t="n">
        <v>19.247</v>
      </c>
      <c r="U128" s="22" t="n">
        <v>0</v>
      </c>
    </row>
    <row r="129">
      <c r="A129" s="20" t="inlineStr">
        <is>
          <t>퇴직급여충당금 증감액</t>
        </is>
      </c>
      <c r="D129" s="22" t="n">
        <v>1.125</v>
      </c>
      <c r="H129" s="22" t="n">
        <v>1.069</v>
      </c>
      <c r="L129" s="22" t="n">
        <v>0.414</v>
      </c>
      <c r="Q129" s="22" t="n">
        <v>0</v>
      </c>
      <c r="R129" s="22" t="n">
        <v>0.463</v>
      </c>
      <c r="S129" s="22" t="n">
        <v>0.875</v>
      </c>
      <c r="T129" s="22" t="n">
        <v>0.249</v>
      </c>
      <c r="U129" s="22" t="n">
        <v>1.235</v>
      </c>
      <c r="V129" s="22" t="n">
        <v>1.125</v>
      </c>
      <c r="W129" s="22" t="n">
        <v>1.069</v>
      </c>
      <c r="X129" s="22" t="n">
        <v>0.414</v>
      </c>
    </row>
    <row r="130">
      <c r="A130" s="20" t="inlineStr">
        <is>
          <t>고정자산 매각이익</t>
        </is>
      </c>
      <c r="D130" s="22" t="n">
        <v>-32.598</v>
      </c>
      <c r="H130" s="22" t="n">
        <v>0</v>
      </c>
      <c r="T130" s="22" t="n">
        <v>0</v>
      </c>
      <c r="U130" s="22" t="n">
        <v>-27.584</v>
      </c>
      <c r="V130" s="22" t="n">
        <v>-32.598</v>
      </c>
      <c r="W130" s="22" t="n">
        <v>0</v>
      </c>
    </row>
    <row r="131">
      <c r="A131" s="20" t="inlineStr">
        <is>
          <t>고정자산 제각손실</t>
        </is>
      </c>
      <c r="D131" s="22" t="n">
        <v>0</v>
      </c>
      <c r="O131" s="22" t="n">
        <v>1.685</v>
      </c>
      <c r="P131" s="22" t="n">
        <v>0.442</v>
      </c>
      <c r="Q131" s="22" t="n">
        <v>0.414</v>
      </c>
      <c r="R131" s="22" t="n">
        <v>3.484</v>
      </c>
      <c r="S131" s="22" t="n">
        <v>0</v>
      </c>
      <c r="T131" s="22" t="n">
        <v>0</v>
      </c>
      <c r="U131" s="22" t="n">
        <v>0.859</v>
      </c>
      <c r="V131" s="22" t="n">
        <v>0</v>
      </c>
    </row>
    <row r="132">
      <c r="A132" s="20" t="inlineStr">
        <is>
          <t>고정자산 압축손실</t>
        </is>
      </c>
      <c r="P132" s="22" t="n">
        <v>0</v>
      </c>
      <c r="Q132" s="22" t="n">
        <v>76.13200000000001</v>
      </c>
      <c r="R132" s="22" t="n">
        <v>0</v>
      </c>
    </row>
    <row r="133">
      <c r="A133" s="20" t="inlineStr">
        <is>
          <t>임대차계약 해약손실</t>
        </is>
      </c>
      <c r="Q133" s="22" t="n">
        <v>0</v>
      </c>
      <c r="R133" s="22" t="n">
        <v>116.052</v>
      </c>
      <c r="S133" s="22" t="n">
        <v>0</v>
      </c>
    </row>
    <row r="134">
      <c r="A134" s="20" t="inlineStr">
        <is>
          <t>손상차손</t>
        </is>
      </c>
      <c r="D134" s="22" t="n">
        <v>0</v>
      </c>
      <c r="H134" s="22" t="n">
        <v>0</v>
      </c>
      <c r="L134" s="22" t="n">
        <v>59.771</v>
      </c>
      <c r="T134" s="22" t="n">
        <v>0</v>
      </c>
      <c r="U134" s="22" t="n">
        <v>84.133</v>
      </c>
      <c r="V134" s="22" t="n">
        <v>0</v>
      </c>
      <c r="W134" s="22" t="n">
        <v>0</v>
      </c>
      <c r="X134" s="22" t="n">
        <v>59.771</v>
      </c>
    </row>
    <row r="135">
      <c r="A135" s="20" t="inlineStr">
        <is>
          <t>이자·배당금 수익</t>
        </is>
      </c>
      <c r="D135" s="22" t="n">
        <v>-0.033</v>
      </c>
      <c r="H135" s="22" t="n">
        <v>-2.043</v>
      </c>
      <c r="L135" s="22" t="n">
        <v>-9.351000000000001</v>
      </c>
      <c r="O135" s="22" t="n">
        <v>-0.015</v>
      </c>
      <c r="P135" s="22" t="n">
        <v>-0.011</v>
      </c>
      <c r="Q135" s="22" t="n">
        <v>-0.012</v>
      </c>
      <c r="R135" s="22" t="n">
        <v>-0.015</v>
      </c>
      <c r="S135" s="22" t="n">
        <v>-0.022</v>
      </c>
      <c r="T135" s="22" t="n">
        <v>-0.021</v>
      </c>
      <c r="U135" s="22" t="n">
        <v>-0.025</v>
      </c>
      <c r="V135" s="22" t="n">
        <v>-0.033</v>
      </c>
      <c r="W135" s="22" t="n">
        <v>-2.043</v>
      </c>
      <c r="X135" s="22" t="n">
        <v>-9.351000000000001</v>
      </c>
    </row>
    <row r="136">
      <c r="A136" s="20" t="inlineStr">
        <is>
          <t>이자비용</t>
        </is>
      </c>
      <c r="D136" s="22" t="n">
        <v>67.04600000000001</v>
      </c>
      <c r="H136" s="22" t="n">
        <v>76.255</v>
      </c>
      <c r="L136" s="22" t="n">
        <v>95.39400000000001</v>
      </c>
      <c r="O136" s="22" t="n">
        <v>62.856</v>
      </c>
      <c r="P136" s="22" t="n">
        <v>66.777</v>
      </c>
      <c r="Q136" s="22" t="n">
        <v>69.61799999999999</v>
      </c>
      <c r="R136" s="22" t="n">
        <v>75.587</v>
      </c>
      <c r="S136" s="22" t="n">
        <v>76.339</v>
      </c>
      <c r="T136" s="22" t="n">
        <v>76.73</v>
      </c>
      <c r="U136" s="22" t="n">
        <v>72.54600000000001</v>
      </c>
      <c r="V136" s="22" t="n">
        <v>67.04600000000001</v>
      </c>
      <c r="W136" s="22" t="n">
        <v>76.255</v>
      </c>
      <c r="X136" s="22" t="n">
        <v>95.39400000000001</v>
      </c>
    </row>
    <row r="137">
      <c r="A137" s="20" t="inlineStr">
        <is>
          <t>주식교부비 상각</t>
        </is>
      </c>
      <c r="O137" s="22" t="n">
        <v>0</v>
      </c>
      <c r="P137" s="22" t="n">
        <v>0.634</v>
      </c>
      <c r="Q137" s="22" t="n">
        <v>1.903</v>
      </c>
      <c r="R137" s="22" t="n">
        <v>1.903</v>
      </c>
      <c r="S137" s="22" t="n">
        <v>1.268</v>
      </c>
      <c r="T137" s="22" t="n">
        <v>0</v>
      </c>
    </row>
    <row r="138">
      <c r="A138" s="20" t="inlineStr">
        <is>
          <t>국고보조금</t>
        </is>
      </c>
      <c r="P138" s="22" t="n">
        <v>0</v>
      </c>
      <c r="Q138" s="22" t="n">
        <v>-76.13200000000001</v>
      </c>
      <c r="R138" s="22" t="n">
        <v>0</v>
      </c>
    </row>
    <row r="139">
      <c r="A139" s="20" t="inlineStr">
        <is>
          <t>고정자산 매각손익</t>
        </is>
      </c>
      <c r="Q139" s="22" t="n">
        <v>0</v>
      </c>
      <c r="R139" s="22" t="n">
        <v>-243.611</v>
      </c>
      <c r="S139" s="22" t="n">
        <v>0</v>
      </c>
    </row>
    <row r="140">
      <c r="A140" s="20" t="inlineStr">
        <is>
          <t>매출채권 증감</t>
        </is>
      </c>
      <c r="D140" s="22" t="n">
        <v>-21.597</v>
      </c>
      <c r="H140" s="22" t="n">
        <v>-56.912</v>
      </c>
      <c r="L140" s="22" t="n">
        <v>-179.642</v>
      </c>
      <c r="O140" s="22" t="n">
        <v>-42.534</v>
      </c>
      <c r="P140" s="22" t="n">
        <v>-34.899</v>
      </c>
      <c r="Q140" s="22" t="n">
        <v>-72.69799999999999</v>
      </c>
      <c r="R140" s="22" t="n">
        <v>41.949</v>
      </c>
      <c r="S140" s="22" t="n">
        <v>-58.614</v>
      </c>
      <c r="T140" s="22" t="n">
        <v>-90.06699999999999</v>
      </c>
      <c r="U140" s="22" t="n">
        <v>-248.891</v>
      </c>
      <c r="V140" s="22" t="n">
        <v>-21.597</v>
      </c>
      <c r="W140" s="22" t="n">
        <v>-56.912</v>
      </c>
      <c r="X140" s="22" t="n">
        <v>-179.642</v>
      </c>
    </row>
    <row r="141">
      <c r="A141" s="20" t="inlineStr">
        <is>
          <t>재고자산 증감</t>
        </is>
      </c>
      <c r="D141" s="22" t="n">
        <v>2.593</v>
      </c>
      <c r="H141" s="22" t="n">
        <v>-1.861</v>
      </c>
      <c r="L141" s="22" t="n">
        <v>-6.726</v>
      </c>
      <c r="O141" s="22" t="n">
        <v>-9.409000000000001</v>
      </c>
      <c r="P141" s="22" t="n">
        <v>4.188</v>
      </c>
      <c r="Q141" s="22" t="n">
        <v>-13.08</v>
      </c>
      <c r="R141" s="22" t="n">
        <v>6.517</v>
      </c>
      <c r="S141" s="22" t="n">
        <v>-2.941</v>
      </c>
      <c r="T141" s="22" t="n">
        <v>2.591</v>
      </c>
      <c r="U141" s="22" t="n">
        <v>-4.019</v>
      </c>
      <c r="V141" s="22" t="n">
        <v>2.593</v>
      </c>
      <c r="W141" s="22" t="n">
        <v>-1.861</v>
      </c>
      <c r="X141" s="22" t="n">
        <v>-6.726</v>
      </c>
    </row>
    <row r="142">
      <c r="A142" s="20" t="inlineStr">
        <is>
          <t>미지급·미수 소비세 등 증감액</t>
        </is>
      </c>
      <c r="D142" s="22" t="n">
        <v>-115.103</v>
      </c>
      <c r="H142" s="22" t="n">
        <v>-208.183</v>
      </c>
      <c r="L142" s="22" t="n">
        <v>366.997</v>
      </c>
      <c r="O142" s="22" t="n">
        <v>-143.264</v>
      </c>
      <c r="P142" s="22" t="n">
        <v>75.503</v>
      </c>
      <c r="Q142" s="22" t="n">
        <v>-52.726</v>
      </c>
      <c r="R142" s="22" t="n">
        <v>257.932</v>
      </c>
      <c r="S142" s="22" t="n">
        <v>-420.244</v>
      </c>
      <c r="T142" s="22" t="n">
        <v>484.985</v>
      </c>
      <c r="U142" s="22" t="n">
        <v>5.949</v>
      </c>
      <c r="V142" s="22" t="n">
        <v>-115.103</v>
      </c>
      <c r="W142" s="22" t="n">
        <v>-208.183</v>
      </c>
      <c r="X142" s="22" t="n">
        <v>366.997</v>
      </c>
    </row>
    <row r="143">
      <c r="A143" s="20" t="inlineStr">
        <is>
          <t>기타 자산 증감</t>
        </is>
      </c>
      <c r="D143" s="22" t="n">
        <v>-5.565</v>
      </c>
      <c r="H143" s="22" t="n">
        <v>20.395</v>
      </c>
      <c r="L143" s="22" t="n">
        <v>-11.367</v>
      </c>
      <c r="O143" s="22" t="n">
        <v>-50.703</v>
      </c>
      <c r="P143" s="22" t="n">
        <v>-8.092000000000001</v>
      </c>
      <c r="Q143" s="22" t="n">
        <v>1.972</v>
      </c>
      <c r="R143" s="22" t="n">
        <v>-20.039</v>
      </c>
      <c r="S143" s="22" t="n">
        <v>6.833</v>
      </c>
      <c r="T143" s="22" t="n">
        <v>15.488</v>
      </c>
      <c r="U143" s="22" t="n">
        <v>-3.974</v>
      </c>
      <c r="V143" s="22" t="n">
        <v>-5.565</v>
      </c>
      <c r="W143" s="22" t="n">
        <v>20.395</v>
      </c>
      <c r="X143" s="22" t="n">
        <v>-11.367</v>
      </c>
    </row>
    <row r="144">
      <c r="A144" s="20" t="inlineStr">
        <is>
          <t>기타 부채 증감</t>
        </is>
      </c>
      <c r="D144" s="22" t="n">
        <v>95.23399999999999</v>
      </c>
      <c r="H144" s="22" t="n">
        <v>128.397</v>
      </c>
      <c r="L144" s="22" t="n">
        <v>85.05200000000001</v>
      </c>
      <c r="O144" s="22" t="n">
        <v>152.516</v>
      </c>
      <c r="P144" s="22" t="n">
        <v>129.184</v>
      </c>
      <c r="Q144" s="22" t="n">
        <v>173.595</v>
      </c>
      <c r="R144" s="22" t="n">
        <v>89.307</v>
      </c>
      <c r="S144" s="22" t="n">
        <v>67.515</v>
      </c>
      <c r="T144" s="22" t="n">
        <v>-35.525</v>
      </c>
      <c r="U144" s="22" t="n">
        <v>116.413</v>
      </c>
      <c r="V144" s="22" t="n">
        <v>95.23399999999999</v>
      </c>
      <c r="W144" s="22" t="n">
        <v>128.397</v>
      </c>
      <c r="X144" s="22" t="n">
        <v>85.05200000000001</v>
      </c>
    </row>
    <row r="145">
      <c r="A145" s="20" t="inlineStr">
        <is>
          <t>소계</t>
        </is>
      </c>
      <c r="D145" s="22" t="n">
        <v>4369.833</v>
      </c>
      <c r="H145" s="22" t="n">
        <v>4728.051</v>
      </c>
      <c r="L145" s="22" t="n">
        <v>6095.018</v>
      </c>
      <c r="O145" s="22" t="n">
        <v>1245.492</v>
      </c>
      <c r="P145" s="22" t="n">
        <v>1784.743</v>
      </c>
      <c r="Q145" s="22" t="n">
        <v>2031.105</v>
      </c>
      <c r="R145" s="22" t="n">
        <v>2400.097</v>
      </c>
      <c r="S145" s="22" t="n">
        <v>388.007</v>
      </c>
      <c r="T145" s="22" t="n">
        <v>2143.201</v>
      </c>
      <c r="U145" s="22" t="n">
        <v>3637.361</v>
      </c>
      <c r="V145" s="22" t="n">
        <v>4369.833</v>
      </c>
      <c r="W145" s="22" t="n">
        <v>4728.051</v>
      </c>
      <c r="X145" s="22" t="n">
        <v>6095.018</v>
      </c>
    </row>
    <row r="146">
      <c r="A146" s="20" t="inlineStr">
        <is>
          <t>이자·배당금 수취</t>
        </is>
      </c>
      <c r="D146" s="22" t="n">
        <v>0.033</v>
      </c>
      <c r="H146" s="22" t="n">
        <v>2.043</v>
      </c>
      <c r="L146" s="22" t="n">
        <v>9.351000000000001</v>
      </c>
      <c r="O146" s="22" t="n">
        <v>0.015</v>
      </c>
      <c r="P146" s="22" t="n">
        <v>0.011</v>
      </c>
      <c r="Q146" s="22" t="n">
        <v>0.012</v>
      </c>
      <c r="R146" s="22" t="n">
        <v>0.015</v>
      </c>
      <c r="S146" s="22" t="n">
        <v>0.022</v>
      </c>
      <c r="T146" s="22" t="n">
        <v>0.021</v>
      </c>
      <c r="U146" s="22" t="n">
        <v>0.025</v>
      </c>
      <c r="V146" s="22" t="n">
        <v>0.033</v>
      </c>
      <c r="W146" s="22" t="n">
        <v>2.043</v>
      </c>
      <c r="X146" s="22" t="n">
        <v>9.351000000000001</v>
      </c>
    </row>
    <row r="147">
      <c r="A147" s="20" t="inlineStr">
        <is>
          <t>이자 지급</t>
        </is>
      </c>
      <c r="D147" s="22" t="n">
        <v>-66.756</v>
      </c>
      <c r="H147" s="22" t="n">
        <v>-77.054</v>
      </c>
      <c r="L147" s="22" t="n">
        <v>-95.905</v>
      </c>
      <c r="O147" s="22" t="n">
        <v>-62.835</v>
      </c>
      <c r="P147" s="22" t="n">
        <v>-66.616</v>
      </c>
      <c r="Q147" s="22" t="n">
        <v>-69.56399999999999</v>
      </c>
      <c r="R147" s="22" t="n">
        <v>-75.959</v>
      </c>
      <c r="S147" s="22" t="n">
        <v>-76.41200000000001</v>
      </c>
      <c r="T147" s="22" t="n">
        <v>-76.47799999999999</v>
      </c>
      <c r="U147" s="22" t="n">
        <v>-72.259</v>
      </c>
      <c r="V147" s="22" t="n">
        <v>-66.756</v>
      </c>
      <c r="W147" s="22" t="n">
        <v>-77.054</v>
      </c>
      <c r="X147" s="22" t="n">
        <v>-95.905</v>
      </c>
    </row>
    <row r="148">
      <c r="A148" s="20" t="inlineStr">
        <is>
          <t>법인세 납부</t>
        </is>
      </c>
      <c r="D148" s="22" t="n">
        <v>-1460.225</v>
      </c>
      <c r="H148" s="22" t="n">
        <v>-1375.923</v>
      </c>
      <c r="L148" s="22" t="n">
        <v>-1477.268</v>
      </c>
      <c r="O148" s="22" t="n">
        <v>-610.486</v>
      </c>
      <c r="P148" s="22" t="n">
        <v>-306.055</v>
      </c>
      <c r="Q148" s="22" t="n">
        <v>-497.703</v>
      </c>
      <c r="R148" s="22" t="n">
        <v>-610.177</v>
      </c>
      <c r="S148" s="22" t="n">
        <v>-321.997</v>
      </c>
      <c r="T148" s="22" t="n">
        <v>-10.274</v>
      </c>
      <c r="U148" s="22" t="n">
        <v>-568.138</v>
      </c>
      <c r="V148" s="22" t="n">
        <v>-1460.225</v>
      </c>
      <c r="W148" s="22" t="n">
        <v>-1375.923</v>
      </c>
      <c r="X148" s="22" t="n">
        <v>-1477.268</v>
      </c>
    </row>
    <row r="149">
      <c r="A149" s="9" t="inlineStr">
        <is>
          <t>영업활동 현금흐름</t>
        </is>
      </c>
      <c r="D149" s="12" t="n">
        <v>2842.884</v>
      </c>
      <c r="H149" s="12" t="n">
        <v>3277.116</v>
      </c>
      <c r="L149" s="12" t="n">
        <v>4531.195</v>
      </c>
      <c r="O149" s="12" t="n">
        <v>572.186</v>
      </c>
      <c r="P149" s="12" t="n">
        <v>1412.082</v>
      </c>
      <c r="Q149" s="12" t="n">
        <v>1463.849</v>
      </c>
      <c r="R149" s="12" t="n">
        <v>1713.975</v>
      </c>
      <c r="S149" s="12" t="n">
        <v>-10.379</v>
      </c>
      <c r="T149" s="12" t="n">
        <v>2056.47</v>
      </c>
      <c r="U149" s="12" t="n">
        <v>2996.988</v>
      </c>
      <c r="V149" s="12" t="n">
        <v>2842.884</v>
      </c>
      <c r="W149" s="12" t="n">
        <v>3277.116</v>
      </c>
      <c r="X149" s="12" t="n">
        <v>4531.195</v>
      </c>
    </row>
    <row r="150">
      <c r="A150" s="20" t="inlineStr">
        <is>
          <t>유형자산 매각</t>
        </is>
      </c>
      <c r="D150" s="22" t="n">
        <v>112</v>
      </c>
      <c r="H150" s="22" t="n">
        <v>0</v>
      </c>
      <c r="Q150" s="22" t="n">
        <v>0</v>
      </c>
      <c r="R150" s="22" t="n">
        <v>1846.191</v>
      </c>
      <c r="S150" s="22" t="n">
        <v>0</v>
      </c>
      <c r="T150" s="22" t="n">
        <v>0</v>
      </c>
      <c r="U150" s="22" t="n">
        <v>187.922</v>
      </c>
      <c r="V150" s="22" t="n">
        <v>112</v>
      </c>
      <c r="W150" s="22" t="n">
        <v>0</v>
      </c>
    </row>
    <row r="151">
      <c r="A151" s="20" t="inlineStr">
        <is>
          <t>정기예금 예입</t>
        </is>
      </c>
      <c r="H151" s="22" t="n">
        <v>0</v>
      </c>
      <c r="L151" s="22" t="n">
        <v>-600</v>
      </c>
      <c r="W151" s="22" t="n">
        <v>0</v>
      </c>
      <c r="X151" s="22" t="n">
        <v>-600</v>
      </c>
    </row>
    <row r="152">
      <c r="A152" s="20" t="inlineStr">
        <is>
          <t>정기예금 인출</t>
        </is>
      </c>
      <c r="H152" s="22" t="n">
        <v>0</v>
      </c>
      <c r="L152" s="22" t="n">
        <v>300</v>
      </c>
      <c r="W152" s="22" t="n">
        <v>0</v>
      </c>
      <c r="X152" s="22" t="n">
        <v>300</v>
      </c>
    </row>
    <row r="153">
      <c r="A153" s="20" t="inlineStr">
        <is>
          <t>유형자산 취득(설비투자)</t>
        </is>
      </c>
      <c r="D153" s="22" t="n">
        <v>-1267.552</v>
      </c>
      <c r="H153" s="22" t="n">
        <v>-3805.804</v>
      </c>
      <c r="L153" s="22" t="n">
        <v>-1593.115</v>
      </c>
      <c r="O153" s="22" t="n">
        <v>-1597.056</v>
      </c>
      <c r="P153" s="22" t="n">
        <v>-2054.587</v>
      </c>
      <c r="Q153" s="22" t="n">
        <v>-2334.895</v>
      </c>
      <c r="R153" s="22" t="n">
        <v>-2392.752</v>
      </c>
      <c r="S153" s="22" t="n">
        <v>-2072.141</v>
      </c>
      <c r="T153" s="22" t="n">
        <v>-509.876</v>
      </c>
      <c r="U153" s="22" t="n">
        <v>-376.622</v>
      </c>
      <c r="V153" s="22" t="n">
        <v>-1267.552</v>
      </c>
      <c r="W153" s="22" t="n">
        <v>-3805.804</v>
      </c>
      <c r="X153" s="22" t="n">
        <v>-1593.115</v>
      </c>
    </row>
    <row r="154">
      <c r="A154" s="20" t="inlineStr">
        <is>
          <t>투자유가증권 취득</t>
        </is>
      </c>
      <c r="Q154" s="22" t="n">
        <v>0</v>
      </c>
      <c r="R154" s="22" t="n">
        <v>-0.5</v>
      </c>
      <c r="S154" s="22" t="n">
        <v>0</v>
      </c>
    </row>
    <row r="155">
      <c r="A155" s="20" t="inlineStr">
        <is>
          <t>보증금 납입</t>
        </is>
      </c>
      <c r="D155" s="22" t="n">
        <v>-0.275</v>
      </c>
      <c r="H155" s="22" t="n">
        <v>-0.1</v>
      </c>
      <c r="L155" s="22" t="n">
        <v>-6.057</v>
      </c>
      <c r="O155" s="22" t="n">
        <v>-74.753</v>
      </c>
      <c r="P155" s="22" t="n">
        <v>-67.325</v>
      </c>
      <c r="Q155" s="22" t="n">
        <v>-59.981</v>
      </c>
      <c r="R155" s="22" t="n">
        <v>-91.714</v>
      </c>
      <c r="S155" s="22" t="n">
        <v>-10.125</v>
      </c>
      <c r="T155" s="22" t="n">
        <v>-0.448</v>
      </c>
      <c r="U155" s="22" t="n">
        <v>-4.843</v>
      </c>
      <c r="V155" s="22" t="n">
        <v>-0.275</v>
      </c>
      <c r="W155" s="22" t="n">
        <v>-0.1</v>
      </c>
      <c r="X155" s="22" t="n">
        <v>-6.057</v>
      </c>
    </row>
    <row r="156">
      <c r="A156" s="20" t="inlineStr">
        <is>
          <t>보험적립금 해약</t>
        </is>
      </c>
      <c r="Q156" s="22" t="n">
        <v>0</v>
      </c>
      <c r="R156" s="22" t="n">
        <v>8.800000000000001</v>
      </c>
      <c r="S156" s="22" t="n">
        <v>7.194</v>
      </c>
      <c r="T156" s="22" t="n">
        <v>0</v>
      </c>
    </row>
    <row r="157">
      <c r="A157" s="20" t="inlineStr">
        <is>
          <t>기타</t>
        </is>
      </c>
      <c r="D157" s="22" t="n">
        <v>-6.069</v>
      </c>
      <c r="H157" s="22" t="n">
        <v>27.135</v>
      </c>
      <c r="L157" s="22" t="n">
        <v>-109.902</v>
      </c>
      <c r="O157" s="22" t="n">
        <v>-4.477</v>
      </c>
      <c r="P157" s="22" t="n">
        <v>-9.83</v>
      </c>
      <c r="Q157" s="22" t="n">
        <v>-9.657</v>
      </c>
      <c r="R157" s="22" t="n">
        <v>-7.255</v>
      </c>
      <c r="S157" s="22" t="n">
        <v>9.17</v>
      </c>
      <c r="T157" s="22" t="n">
        <v>-5.794</v>
      </c>
      <c r="U157" s="22" t="n">
        <v>-0.883</v>
      </c>
      <c r="V157" s="22" t="n">
        <v>-6.069</v>
      </c>
      <c r="W157" s="22" t="n">
        <v>27.135</v>
      </c>
      <c r="X157" s="22" t="n">
        <v>-109.902</v>
      </c>
    </row>
    <row r="158">
      <c r="A158" s="9" t="inlineStr">
        <is>
          <t>투자활동 현금흐름</t>
        </is>
      </c>
      <c r="D158" s="12" t="n">
        <v>-1161.896</v>
      </c>
      <c r="H158" s="12" t="n">
        <v>-3778.769</v>
      </c>
      <c r="L158" s="12" t="n">
        <v>-2009.076</v>
      </c>
      <c r="O158" s="12" t="n">
        <v>-1676.287</v>
      </c>
      <c r="P158" s="12" t="n">
        <v>-2131.743</v>
      </c>
      <c r="Q158" s="12" t="n">
        <v>-2404.534</v>
      </c>
      <c r="R158" s="12" t="n">
        <v>-637.23</v>
      </c>
      <c r="S158" s="12" t="n">
        <v>-2065.902</v>
      </c>
      <c r="T158" s="12" t="n">
        <v>-516.1180000000001</v>
      </c>
      <c r="U158" s="12" t="n">
        <v>-194.427</v>
      </c>
      <c r="V158" s="12" t="n">
        <v>-1161.896</v>
      </c>
      <c r="W158" s="12" t="n">
        <v>-3778.769</v>
      </c>
      <c r="X158" s="12" t="n">
        <v>-2009.076</v>
      </c>
    </row>
    <row r="159">
      <c r="A159" s="20" t="inlineStr">
        <is>
          <t>단기차입금 순증감</t>
        </is>
      </c>
      <c r="D159" s="22" t="n">
        <v>130</v>
      </c>
      <c r="H159" s="22" t="n">
        <v>391</v>
      </c>
      <c r="L159" s="22" t="n">
        <v>-521</v>
      </c>
      <c r="O159" s="22" t="n">
        <v>410</v>
      </c>
      <c r="P159" s="22" t="n">
        <v>-410</v>
      </c>
      <c r="Q159" s="22" t="n">
        <v>0</v>
      </c>
      <c r="R159" s="22" t="n">
        <v>250</v>
      </c>
      <c r="S159" s="22" t="n">
        <v>-250</v>
      </c>
      <c r="T159" s="22" t="n">
        <v>0</v>
      </c>
      <c r="U159" s="22" t="n">
        <v>0</v>
      </c>
      <c r="V159" s="22" t="n">
        <v>130</v>
      </c>
      <c r="W159" s="22" t="n">
        <v>391</v>
      </c>
      <c r="X159" s="22" t="n">
        <v>-521</v>
      </c>
    </row>
    <row r="160">
      <c r="A160" s="20" t="inlineStr">
        <is>
          <t>장기차입</t>
        </is>
      </c>
      <c r="D160" s="22" t="n">
        <v>1050</v>
      </c>
      <c r="H160" s="22" t="n">
        <v>2400</v>
      </c>
      <c r="L160" s="22" t="n">
        <v>1700</v>
      </c>
      <c r="O160" s="22" t="n">
        <v>930</v>
      </c>
      <c r="P160" s="22" t="n">
        <v>2750</v>
      </c>
      <c r="Q160" s="22" t="n">
        <v>2900</v>
      </c>
      <c r="R160" s="22" t="n">
        <v>2000</v>
      </c>
      <c r="S160" s="22" t="n">
        <v>3200</v>
      </c>
      <c r="T160" s="22" t="n">
        <v>500</v>
      </c>
      <c r="U160" s="22" t="n">
        <v>600</v>
      </c>
      <c r="V160" s="22" t="n">
        <v>1050</v>
      </c>
      <c r="W160" s="22" t="n">
        <v>2400</v>
      </c>
      <c r="X160" s="22" t="n">
        <v>1700</v>
      </c>
    </row>
    <row r="161">
      <c r="A161" s="20" t="inlineStr">
        <is>
          <t>장기차입금 상환</t>
        </is>
      </c>
      <c r="D161" s="22" t="n">
        <v>-1758.316</v>
      </c>
      <c r="H161" s="22" t="n">
        <v>-1755.126</v>
      </c>
      <c r="L161" s="22" t="n">
        <v>-1771.066</v>
      </c>
      <c r="O161" s="22" t="n">
        <v>-597.65</v>
      </c>
      <c r="P161" s="22" t="n">
        <v>-769.076</v>
      </c>
      <c r="Q161" s="22" t="n">
        <v>-1055.796</v>
      </c>
      <c r="R161" s="22" t="n">
        <v>-2189.606</v>
      </c>
      <c r="S161" s="22" t="n">
        <v>-1467.884</v>
      </c>
      <c r="T161" s="22" t="n">
        <v>-1467.192</v>
      </c>
      <c r="U161" s="22" t="n">
        <v>-1720.902</v>
      </c>
      <c r="V161" s="22" t="n">
        <v>-1758.316</v>
      </c>
      <c r="W161" s="22" t="n">
        <v>-1755.126</v>
      </c>
      <c r="X161" s="22" t="n">
        <v>-1771.066</v>
      </c>
    </row>
    <row r="162">
      <c r="A162" s="20" t="inlineStr">
        <is>
          <t>주식 발행</t>
        </is>
      </c>
      <c r="O162" s="22" t="n">
        <v>0</v>
      </c>
      <c r="P162" s="22" t="n">
        <v>507.84</v>
      </c>
      <c r="Q162" s="22" t="n">
        <v>0</v>
      </c>
    </row>
    <row r="163">
      <c r="A163" s="20" t="inlineStr">
        <is>
          <t>배당금 지급</t>
        </is>
      </c>
      <c r="D163" s="22" t="n">
        <v>-170.092</v>
      </c>
      <c r="H163" s="22" t="n">
        <v>-226.767</v>
      </c>
      <c r="L163" s="22" t="n">
        <v>-283.501</v>
      </c>
      <c r="O163" s="22" t="n">
        <v>-22.176</v>
      </c>
      <c r="P163" s="22" t="n">
        <v>-22.176</v>
      </c>
      <c r="Q163" s="22" t="n">
        <v>-70.861</v>
      </c>
      <c r="R163" s="22" t="n">
        <v>-85.042</v>
      </c>
      <c r="S163" s="22" t="n">
        <v>-85.03700000000001</v>
      </c>
      <c r="T163" s="22" t="n">
        <v>-14.178</v>
      </c>
      <c r="U163" s="22" t="n">
        <v>-56.701</v>
      </c>
      <c r="V163" s="22" t="n">
        <v>-170.092</v>
      </c>
      <c r="W163" s="22" t="n">
        <v>-226.767</v>
      </c>
      <c r="X163" s="22" t="n">
        <v>-283.501</v>
      </c>
    </row>
    <row r="164">
      <c r="A164" s="20" t="inlineStr">
        <is>
          <t>자기주식 취득</t>
        </is>
      </c>
      <c r="D164" s="22" t="n">
        <v>-0.119</v>
      </c>
      <c r="H164" s="22" t="n">
        <v>-0.055</v>
      </c>
      <c r="L164" s="22" t="n">
        <v>0</v>
      </c>
      <c r="O164" s="22" t="n">
        <v>0</v>
      </c>
      <c r="P164" s="22" t="n">
        <v>-0.439</v>
      </c>
      <c r="Q164" s="22" t="n">
        <v>-0.154</v>
      </c>
      <c r="R164" s="22" t="n">
        <v>0</v>
      </c>
      <c r="S164" s="22" t="n">
        <v>-0.08699999999999999</v>
      </c>
      <c r="T164" s="22" t="n">
        <v>-0.042</v>
      </c>
      <c r="U164" s="22" t="n">
        <v>-0.043</v>
      </c>
      <c r="V164" s="22" t="n">
        <v>-0.119</v>
      </c>
      <c r="W164" s="22" t="n">
        <v>-0.055</v>
      </c>
      <c r="X164" s="22" t="n">
        <v>0</v>
      </c>
    </row>
    <row r="165">
      <c r="A165" s="20" t="inlineStr">
        <is>
          <t>리스부채 상환</t>
        </is>
      </c>
      <c r="D165" s="22" t="n">
        <v>-280.245</v>
      </c>
      <c r="H165" s="22" t="n">
        <v>-295.677</v>
      </c>
      <c r="L165" s="22" t="n">
        <v>-317.522</v>
      </c>
      <c r="O165" s="22" t="n">
        <v>-107.584</v>
      </c>
      <c r="P165" s="22" t="n">
        <v>-156.194</v>
      </c>
      <c r="Q165" s="22" t="n">
        <v>-196.184</v>
      </c>
      <c r="R165" s="22" t="n">
        <v>-372.364</v>
      </c>
      <c r="S165" s="22" t="n">
        <v>-242.056</v>
      </c>
      <c r="T165" s="22" t="n">
        <v>-262.207</v>
      </c>
      <c r="U165" s="22" t="n">
        <v>-270.941</v>
      </c>
      <c r="V165" s="22" t="n">
        <v>-280.245</v>
      </c>
      <c r="W165" s="22" t="n">
        <v>-295.677</v>
      </c>
      <c r="X165" s="22" t="n">
        <v>-317.522</v>
      </c>
    </row>
    <row r="166">
      <c r="A166" s="20" t="inlineStr">
        <is>
          <t>세일앤리스백 수입</t>
        </is>
      </c>
      <c r="D166" s="22" t="n">
        <v>156.161</v>
      </c>
      <c r="H166" s="22" t="n">
        <v>322.745</v>
      </c>
      <c r="L166" s="22" t="n">
        <v>462.097</v>
      </c>
      <c r="T166" s="22" t="n">
        <v>0</v>
      </c>
      <c r="U166" s="22" t="n">
        <v>145.205</v>
      </c>
      <c r="V166" s="22" t="n">
        <v>156.161</v>
      </c>
      <c r="W166" s="22" t="n">
        <v>322.745</v>
      </c>
      <c r="X166" s="22" t="n">
        <v>462.097</v>
      </c>
    </row>
    <row r="167">
      <c r="A167" s="9" t="inlineStr">
        <is>
          <t>재무활동 현금흐름</t>
        </is>
      </c>
      <c r="D167" s="12" t="n">
        <v>-872.612</v>
      </c>
      <c r="H167" s="12" t="n">
        <v>836.119</v>
      </c>
      <c r="L167" s="12" t="n">
        <v>-730.991</v>
      </c>
      <c r="O167" s="12" t="n">
        <v>612.5890000000001</v>
      </c>
      <c r="P167" s="12" t="n">
        <v>1899.954</v>
      </c>
      <c r="Q167" s="12" t="n">
        <v>1577.004</v>
      </c>
      <c r="R167" s="12" t="n">
        <v>-397.012</v>
      </c>
      <c r="S167" s="12" t="n">
        <v>1154.935</v>
      </c>
      <c r="T167" s="12" t="n">
        <v>-1243.621</v>
      </c>
      <c r="U167" s="12" t="n">
        <v>-1303.383</v>
      </c>
      <c r="V167" s="12" t="n">
        <v>-872.612</v>
      </c>
      <c r="W167" s="12" t="n">
        <v>836.119</v>
      </c>
      <c r="X167" s="12" t="n">
        <v>-730.991</v>
      </c>
    </row>
    <row r="168">
      <c r="A168" s="20" t="inlineStr">
        <is>
          <t>현금성자산 증감</t>
        </is>
      </c>
      <c r="D168" s="22" t="n">
        <v>808.376</v>
      </c>
      <c r="H168" s="22" t="n">
        <v>334.466</v>
      </c>
      <c r="L168" s="22" t="n">
        <v>1791.128</v>
      </c>
      <c r="O168" s="22" t="n">
        <v>-491.511</v>
      </c>
      <c r="P168" s="22" t="n">
        <v>1180.293</v>
      </c>
      <c r="Q168" s="22" t="n">
        <v>636.319</v>
      </c>
      <c r="R168" s="22" t="n">
        <v>679.732</v>
      </c>
      <c r="S168" s="22" t="n">
        <v>-921.347</v>
      </c>
      <c r="T168" s="22" t="n">
        <v>296.73</v>
      </c>
      <c r="U168" s="22" t="n">
        <v>1499.178</v>
      </c>
      <c r="V168" s="22" t="n">
        <v>808.376</v>
      </c>
      <c r="W168" s="22" t="n">
        <v>334.466</v>
      </c>
      <c r="X168" s="22" t="n">
        <v>1791.128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6565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7991.006</v>
      </c>
      <c r="D5" s="12" t="n">
        <v>8148.774</v>
      </c>
      <c r="E5" s="12" t="n">
        <v>8972.601000000001</v>
      </c>
      <c r="F5" s="12" t="n">
        <v>7727.104</v>
      </c>
      <c r="G5" s="12" t="n">
        <v>8473.754999999999</v>
      </c>
      <c r="H5" s="11" t="n">
        <v>3733.135</v>
      </c>
      <c r="I5" s="12" t="n">
        <v>5490.632</v>
      </c>
      <c r="J5" s="12" t="n">
        <v>6312.974</v>
      </c>
      <c r="K5" s="12" t="n">
        <v>6738.203</v>
      </c>
      <c r="L5" s="12" t="n">
        <v>8972.601000000001</v>
      </c>
    </row>
    <row r="6">
      <c r="A6" s="20" t="inlineStr">
        <is>
          <t>현금및현금성자산</t>
        </is>
      </c>
      <c r="B6" s="10" t="n"/>
      <c r="C6" s="21" t="n">
        <v>6867.474</v>
      </c>
      <c r="D6" s="22" t="n">
        <v>7383.964</v>
      </c>
      <c r="E6" s="22" t="n">
        <v>8011.62</v>
      </c>
      <c r="F6" s="22" t="n">
        <v>7054.236</v>
      </c>
      <c r="G6" s="22" t="n">
        <v>7254.091</v>
      </c>
      <c r="H6" s="21" t="n">
        <v>3278.47</v>
      </c>
      <c r="I6" s="22" t="n">
        <v>4777.649</v>
      </c>
      <c r="J6" s="22" t="n">
        <v>5586.025</v>
      </c>
      <c r="K6" s="22" t="n">
        <v>5920.492</v>
      </c>
      <c r="L6" s="22" t="n">
        <v>8011.62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783.399</v>
      </c>
      <c r="D8" s="22" t="n">
        <v>671.641</v>
      </c>
      <c r="E8" s="22" t="n">
        <v>875.056</v>
      </c>
      <c r="F8" s="22" t="n">
        <v>578.744</v>
      </c>
      <c r="G8" s="22" t="n">
        <v>1120.25</v>
      </c>
      <c r="H8" s="21" t="n">
        <v>368.012</v>
      </c>
      <c r="I8" s="22" t="n">
        <v>616.904</v>
      </c>
      <c r="J8" s="22" t="n">
        <v>638.501</v>
      </c>
      <c r="K8" s="22" t="n">
        <v>695.413</v>
      </c>
      <c r="L8" s="22" t="n">
        <v>875.056</v>
      </c>
    </row>
    <row r="9">
      <c r="A9" s="20" t="inlineStr">
        <is>
          <t>재고자산</t>
        </is>
      </c>
      <c r="B9" s="10" t="n"/>
      <c r="C9" s="21" t="n">
        <v>27.517</v>
      </c>
      <c r="D9" s="22" t="n">
        <v>34.648</v>
      </c>
      <c r="E9" s="22" t="n">
        <v>28.405</v>
      </c>
      <c r="F9" s="22" t="n">
        <v>29.552</v>
      </c>
      <c r="G9" s="22" t="n">
        <v>33.59</v>
      </c>
      <c r="H9" s="21" t="n">
        <v>18.391</v>
      </c>
      <c r="I9" s="22" t="n">
        <v>22.41</v>
      </c>
      <c r="J9" s="22" t="n">
        <v>19.817</v>
      </c>
      <c r="K9" s="22" t="n">
        <v>21.679</v>
      </c>
      <c r="L9" s="22" t="n">
        <v>28.405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20031.94</v>
      </c>
      <c r="D11" s="12" t="n">
        <v>19979.39</v>
      </c>
      <c r="E11" s="12" t="n">
        <v>20357.214</v>
      </c>
      <c r="F11" s="12" t="n">
        <v>20725.754</v>
      </c>
      <c r="G11" s="12" t="n">
        <v>21306.487</v>
      </c>
      <c r="H11" s="11" t="n">
        <v>16707.912</v>
      </c>
      <c r="I11" s="12" t="n">
        <v>16121.102</v>
      </c>
      <c r="J11" s="12" t="n">
        <v>16547.702</v>
      </c>
      <c r="K11" s="12" t="n">
        <v>19547.376</v>
      </c>
      <c r="L11" s="12" t="n">
        <v>20357.214</v>
      </c>
    </row>
    <row r="12">
      <c r="A12" s="20" t="inlineStr">
        <is>
          <t>유형자산</t>
        </is>
      </c>
      <c r="B12" s="10" t="n"/>
      <c r="C12" s="21" t="n">
        <v>19169.847</v>
      </c>
      <c r="D12" s="22" t="n">
        <v>19123.989</v>
      </c>
      <c r="E12" s="22" t="n">
        <v>19339.609</v>
      </c>
      <c r="F12" s="22" t="n">
        <v>19741.034</v>
      </c>
      <c r="G12" s="22" t="n">
        <v>20273.924</v>
      </c>
      <c r="H12" s="21" t="n">
        <v>15911.696</v>
      </c>
      <c r="I12" s="22" t="n">
        <v>15285.132</v>
      </c>
      <c r="J12" s="22" t="n">
        <v>15698.53</v>
      </c>
      <c r="K12" s="22" t="n">
        <v>18690.347</v>
      </c>
      <c r="L12" s="22" t="n">
        <v>19339.609</v>
      </c>
    </row>
    <row r="13">
      <c r="A13" s="20" t="inlineStr">
        <is>
          <t>무형자산</t>
        </is>
      </c>
      <c r="B13" s="10" t="n"/>
      <c r="C13" s="21" t="n">
        <v>29.778</v>
      </c>
      <c r="D13" s="22" t="n">
        <v>29.348</v>
      </c>
      <c r="E13" s="22" t="n">
        <v>35.305</v>
      </c>
      <c r="F13" s="22" t="n">
        <v>33.983</v>
      </c>
      <c r="G13" s="22" t="n">
        <v>32.75</v>
      </c>
      <c r="H13" s="21" t="n">
        <v>30.235</v>
      </c>
      <c r="I13" s="22" t="n">
        <v>28.09</v>
      </c>
      <c r="J13" s="22" t="n">
        <v>30.467</v>
      </c>
      <c r="K13" s="22" t="n">
        <v>31.161</v>
      </c>
      <c r="L13" s="22" t="n">
        <v>35.305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28022.946</v>
      </c>
      <c r="D16" s="12" t="n">
        <v>28128.165</v>
      </c>
      <c r="E16" s="12" t="n">
        <v>29329.816</v>
      </c>
      <c r="F16" s="12" t="n">
        <v>28452.859</v>
      </c>
      <c r="G16" s="12" t="n">
        <v>29780.242</v>
      </c>
      <c r="H16" s="11" t="n">
        <v>20441.048</v>
      </c>
      <c r="I16" s="12" t="n">
        <v>21611.734</v>
      </c>
      <c r="J16" s="12" t="n">
        <v>22860.676</v>
      </c>
      <c r="K16" s="12" t="n">
        <v>26285.579</v>
      </c>
      <c r="L16" s="12" t="n">
        <v>29329.816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5388.428</v>
      </c>
      <c r="D18" s="12" t="n">
        <v>4288.562</v>
      </c>
      <c r="E18" s="12" t="n">
        <v>4500.873</v>
      </c>
      <c r="F18" s="12" t="n">
        <v>3809.094</v>
      </c>
      <c r="G18" s="12" t="n">
        <v>4525.323</v>
      </c>
      <c r="H18" s="11" t="n">
        <v>3250.028</v>
      </c>
      <c r="I18" s="12" t="n">
        <v>3982.164</v>
      </c>
      <c r="J18" s="12" t="n">
        <v>4056.679</v>
      </c>
      <c r="K18" s="12" t="n">
        <v>4568.778</v>
      </c>
      <c r="L18" s="12" t="n">
        <v>4500.873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548</v>
      </c>
      <c r="D20" s="22" t="n">
        <v>0</v>
      </c>
      <c r="E20" s="22" t="n">
        <v>0</v>
      </c>
      <c r="F20" s="22" t="n"/>
      <c r="G20" s="22" t="n"/>
      <c r="H20" s="21" t="n"/>
      <c r="I20" s="22" t="n">
        <v>0</v>
      </c>
      <c r="J20" s="22" t="n">
        <v>130</v>
      </c>
      <c r="K20" s="22" t="n">
        <v>521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1575.326</v>
      </c>
      <c r="D21" s="22" t="n">
        <v>1548.666</v>
      </c>
      <c r="E21" s="22" t="n">
        <v>1482.806</v>
      </c>
      <c r="F21" s="22" t="n">
        <v>1547.447</v>
      </c>
      <c r="G21" s="22" t="n">
        <v>1507.418</v>
      </c>
      <c r="H21" s="21" t="n">
        <v>1525.092</v>
      </c>
      <c r="I21" s="22" t="n">
        <v>1547.394</v>
      </c>
      <c r="J21" s="22" t="n">
        <v>1621.626</v>
      </c>
      <c r="K21" s="22" t="n">
        <v>1670.506</v>
      </c>
      <c r="L21" s="22" t="n">
        <v>1482.806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8685.198</v>
      </c>
      <c r="D23" s="12" t="n">
        <v>8883.008</v>
      </c>
      <c r="E23" s="12" t="n">
        <v>9219.689</v>
      </c>
      <c r="F23" s="12" t="n">
        <v>8915.183000000001</v>
      </c>
      <c r="G23" s="12" t="n">
        <v>8576.339</v>
      </c>
      <c r="H23" s="11" t="n">
        <v>10650.276</v>
      </c>
      <c r="I23" s="12" t="n">
        <v>9338.511</v>
      </c>
      <c r="J23" s="12" t="n">
        <v>8370.529</v>
      </c>
      <c r="K23" s="12" t="n">
        <v>8967.732</v>
      </c>
      <c r="L23" s="12" t="n">
        <v>9219.689</v>
      </c>
    </row>
    <row r="24">
      <c r="A24" s="20" t="inlineStr">
        <is>
          <t>장기차입금</t>
        </is>
      </c>
      <c r="B24" s="10" t="n"/>
      <c r="C24" s="21" t="n">
        <v>5243.858</v>
      </c>
      <c r="D24" s="22" t="n">
        <v>5460.009</v>
      </c>
      <c r="E24" s="22" t="n">
        <v>5650.32</v>
      </c>
      <c r="F24" s="22" t="n">
        <v>5559.41</v>
      </c>
      <c r="G24" s="22" t="n">
        <v>5226.44</v>
      </c>
      <c r="H24" s="21" t="n">
        <v>6863.444</v>
      </c>
      <c r="I24" s="22" t="n">
        <v>5720.24</v>
      </c>
      <c r="J24" s="22" t="n">
        <v>4937.692</v>
      </c>
      <c r="K24" s="22" t="n">
        <v>5533.686</v>
      </c>
      <c r="L24" s="22" t="n">
        <v>5650.32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14073.627</v>
      </c>
      <c r="D27" s="12" t="n">
        <v>13171.57</v>
      </c>
      <c r="E27" s="12" t="n">
        <v>13720.562</v>
      </c>
      <c r="F27" s="12" t="n">
        <v>12724.277</v>
      </c>
      <c r="G27" s="12" t="n">
        <v>13101.663</v>
      </c>
      <c r="H27" s="11" t="n">
        <v>13900.304</v>
      </c>
      <c r="I27" s="12" t="n">
        <v>13320.676</v>
      </c>
      <c r="J27" s="12" t="n">
        <v>12427.209</v>
      </c>
      <c r="K27" s="12" t="n">
        <v>13536.511</v>
      </c>
      <c r="L27" s="12" t="n">
        <v>13720.562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13949.319</v>
      </c>
      <c r="D31" s="12" t="n">
        <v>14956.594</v>
      </c>
      <c r="E31" s="12" t="n">
        <v>15609.254</v>
      </c>
      <c r="F31" s="12" t="n">
        <v>15728.581</v>
      </c>
      <c r="G31" s="12" t="n">
        <v>16678.579</v>
      </c>
      <c r="H31" s="11" t="n">
        <v>6540.744</v>
      </c>
      <c r="I31" s="12" t="n">
        <v>8291.058000000001</v>
      </c>
      <c r="J31" s="12" t="n">
        <v>10433.467</v>
      </c>
      <c r="K31" s="12" t="n">
        <v>12749.068</v>
      </c>
      <c r="L31" s="12" t="n">
        <v>15609.254</v>
      </c>
    </row>
    <row r="32">
      <c r="A32" s="20" t="inlineStr">
        <is>
          <t>자본금</t>
        </is>
      </c>
      <c r="B32" s="10" t="n"/>
      <c r="C32" s="21" t="n">
        <v>953.92</v>
      </c>
      <c r="D32" s="22" t="n">
        <v>953.92</v>
      </c>
      <c r="E32" s="22" t="n">
        <v>953.92</v>
      </c>
      <c r="F32" s="22" t="n">
        <v>953.92</v>
      </c>
      <c r="G32" s="22" t="n">
        <v>953.92</v>
      </c>
      <c r="H32" s="21" t="n">
        <v>953.92</v>
      </c>
      <c r="I32" s="22" t="n">
        <v>953.92</v>
      </c>
      <c r="J32" s="22" t="n">
        <v>953.92</v>
      </c>
      <c r="K32" s="22" t="n">
        <v>953.92</v>
      </c>
      <c r="L32" s="22" t="n">
        <v>953.92</v>
      </c>
    </row>
    <row r="33">
      <c r="A33" s="20" t="inlineStr">
        <is>
          <t>이익잉여금</t>
        </is>
      </c>
      <c r="B33" s="10" t="n"/>
      <c r="C33" s="21" t="n">
        <v>11608.902</v>
      </c>
      <c r="D33" s="22" t="n">
        <v>12616.178</v>
      </c>
      <c r="E33" s="22" t="n">
        <v>13268.837</v>
      </c>
      <c r="F33" s="22" t="n">
        <v>13388.293</v>
      </c>
      <c r="G33" s="22" t="n">
        <v>14338.29</v>
      </c>
      <c r="H33" s="21" t="n">
        <v>4200.109</v>
      </c>
      <c r="I33" s="22" t="n">
        <v>5950.467</v>
      </c>
      <c r="J33" s="22" t="n">
        <v>8092.996</v>
      </c>
      <c r="K33" s="22" t="n">
        <v>10408.652</v>
      </c>
      <c r="L33" s="22" t="n">
        <v>13268.837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13949.319</v>
      </c>
      <c r="D35" s="12" t="n">
        <v>14956.594</v>
      </c>
      <c r="E35" s="12" t="n">
        <v>15609.254</v>
      </c>
      <c r="F35" s="12" t="n">
        <v>15728.581</v>
      </c>
      <c r="G35" s="12" t="n">
        <v>16678.579</v>
      </c>
      <c r="H35" s="11" t="n">
        <v>6540.744</v>
      </c>
      <c r="I35" s="12" t="n">
        <v>8291.058000000001</v>
      </c>
      <c r="J35" s="12" t="n">
        <v>10433.467</v>
      </c>
      <c r="K35" s="12" t="n">
        <v>12749.068</v>
      </c>
      <c r="L35" s="12" t="n">
        <v>15609.254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4531.195</v>
      </c>
      <c r="F37" s="12" t="n"/>
      <c r="G37" s="12" t="n"/>
      <c r="H37" s="11" t="n">
        <v>2056.47</v>
      </c>
      <c r="I37" s="12" t="n">
        <v>2996.988</v>
      </c>
      <c r="J37" s="12" t="n">
        <v>2842.884</v>
      </c>
      <c r="K37" s="12" t="n">
        <v>3277.116</v>
      </c>
      <c r="L37" s="12" t="n">
        <v>4531.195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1593.115</v>
      </c>
      <c r="F38" s="22" t="n"/>
      <c r="G38" s="22" t="n"/>
      <c r="H38" s="21" t="n">
        <v>509.876</v>
      </c>
      <c r="I38" s="22" t="n">
        <v>376.622</v>
      </c>
      <c r="J38" s="22" t="n">
        <v>1267.552</v>
      </c>
      <c r="K38" s="22" t="n">
        <v>3805.804</v>
      </c>
      <c r="L38" s="22" t="n">
        <v>1593.115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283.501</v>
      </c>
      <c r="F40" s="22" t="n"/>
      <c r="G40" s="22" t="n"/>
      <c r="H40" s="21" t="n">
        <v>14.178</v>
      </c>
      <c r="I40" s="22" t="n">
        <v>56.701</v>
      </c>
      <c r="J40" s="22" t="n">
        <v>170.092</v>
      </c>
      <c r="K40" s="22" t="n">
        <v>226.767</v>
      </c>
      <c r="L40" s="22" t="n">
        <v>283.501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6867.474</v>
      </c>
      <c r="D71" s="22" t="n">
        <v>7383.964</v>
      </c>
      <c r="E71" s="22" t="n">
        <v>8011.62</v>
      </c>
      <c r="F71" s="22" t="n">
        <v>7054.236</v>
      </c>
      <c r="G71" s="22" t="n">
        <v>7254.091</v>
      </c>
      <c r="H71" s="22" t="n">
        <v>3278.47</v>
      </c>
      <c r="I71" s="22" t="n">
        <v>4777.649</v>
      </c>
      <c r="J71" s="22" t="n">
        <v>5586.025</v>
      </c>
      <c r="K71" s="22" t="n">
        <v>5920.492</v>
      </c>
      <c r="L71" s="22" t="n">
        <v>8011.62</v>
      </c>
    </row>
    <row r="72">
      <c r="A72" s="20" t="inlineStr">
        <is>
          <t>매출채권</t>
        </is>
      </c>
      <c r="C72" s="22" t="n">
        <v>783.399</v>
      </c>
      <c r="D72" s="22" t="n">
        <v>671.641</v>
      </c>
      <c r="E72" s="22" t="n">
        <v>875.056</v>
      </c>
      <c r="F72" s="22" t="n">
        <v>578.744</v>
      </c>
      <c r="G72" s="22" t="n">
        <v>1120.25</v>
      </c>
      <c r="H72" s="22" t="n">
        <v>368.012</v>
      </c>
      <c r="I72" s="22" t="n">
        <v>616.904</v>
      </c>
      <c r="J72" s="22" t="n">
        <v>638.501</v>
      </c>
      <c r="K72" s="22" t="n">
        <v>695.413</v>
      </c>
      <c r="L72" s="22" t="n">
        <v>875.056</v>
      </c>
    </row>
    <row r="73">
      <c r="A73" s="20" t="inlineStr">
        <is>
          <t>재고자산</t>
        </is>
      </c>
      <c r="H73" s="22" t="n">
        <v>18.391</v>
      </c>
      <c r="I73" s="22" t="n">
        <v>22.41</v>
      </c>
      <c r="J73" s="22" t="n">
        <v>19.817</v>
      </c>
    </row>
    <row r="74">
      <c r="A74" s="20" t="inlineStr">
        <is>
          <t>저장품</t>
        </is>
      </c>
      <c r="C74" s="22" t="n">
        <v>27.517</v>
      </c>
      <c r="D74" s="22" t="n">
        <v>34.648</v>
      </c>
      <c r="E74" s="22" t="n">
        <v>28.405</v>
      </c>
      <c r="F74" s="22" t="n">
        <v>29.552</v>
      </c>
      <c r="G74" s="22" t="n">
        <v>33.59</v>
      </c>
      <c r="H74" s="22" t="n">
        <v>18.391</v>
      </c>
      <c r="I74" s="22" t="n">
        <v>22.41</v>
      </c>
      <c r="J74" s="22" t="n">
        <v>19.817</v>
      </c>
      <c r="K74" s="22" t="n">
        <v>21.679</v>
      </c>
      <c r="L74" s="22" t="n">
        <v>28.405</v>
      </c>
    </row>
    <row r="75">
      <c r="A75" s="20" t="inlineStr">
        <is>
          <t>선급비용</t>
        </is>
      </c>
      <c r="E75" s="22" t="n">
        <v>51.973</v>
      </c>
      <c r="H75" s="22" t="n">
        <v>59.862</v>
      </c>
      <c r="I75" s="22" t="n">
        <v>60.391</v>
      </c>
      <c r="J75" s="22" t="n">
        <v>63.913</v>
      </c>
      <c r="K75" s="22" t="n">
        <v>53.579</v>
      </c>
      <c r="L75" s="22" t="n">
        <v>51.973</v>
      </c>
    </row>
    <row r="76">
      <c r="A76" s="20" t="inlineStr">
        <is>
          <t>기타</t>
        </is>
      </c>
      <c r="C76" s="22" t="n">
        <v>312.614</v>
      </c>
      <c r="D76" s="22" t="n">
        <v>58.52</v>
      </c>
      <c r="E76" s="22" t="n">
        <v>57.519</v>
      </c>
      <c r="F76" s="22" t="n">
        <v>64.56999999999999</v>
      </c>
      <c r="G76" s="22" t="n">
        <v>65.822</v>
      </c>
      <c r="H76" s="22" t="n">
        <v>8.398</v>
      </c>
      <c r="I76" s="22" t="n">
        <v>13.276</v>
      </c>
      <c r="J76" s="22" t="n">
        <v>4.715</v>
      </c>
      <c r="K76" s="22" t="n">
        <v>47.038</v>
      </c>
      <c r="L76" s="22" t="n">
        <v>57.519</v>
      </c>
    </row>
    <row r="77">
      <c r="A77" s="9" t="inlineStr">
        <is>
          <t>유동자산 합계</t>
        </is>
      </c>
      <c r="C77" s="12" t="n">
        <v>7991.006</v>
      </c>
      <c r="D77" s="12" t="n">
        <v>8148.774</v>
      </c>
      <c r="E77" s="12" t="n">
        <v>8972.601000000001</v>
      </c>
      <c r="F77" s="12" t="n">
        <v>7727.104</v>
      </c>
      <c r="G77" s="12" t="n">
        <v>8473.754999999999</v>
      </c>
      <c r="H77" s="12" t="n">
        <v>3733.135</v>
      </c>
      <c r="I77" s="12" t="n">
        <v>5490.632</v>
      </c>
      <c r="J77" s="12" t="n">
        <v>6312.974</v>
      </c>
      <c r="K77" s="12" t="n">
        <v>6738.203</v>
      </c>
      <c r="L77" s="12" t="n">
        <v>8972.601000000001</v>
      </c>
    </row>
    <row r="78">
      <c r="A78" s="20" t="inlineStr">
        <is>
          <t>건물</t>
        </is>
      </c>
      <c r="C78" s="22" t="n">
        <v>16689.317</v>
      </c>
      <c r="D78" s="22" t="n">
        <v>16690.069</v>
      </c>
      <c r="E78" s="22" t="n">
        <v>17214.049</v>
      </c>
      <c r="F78" s="22" t="n">
        <v>17215.413</v>
      </c>
      <c r="G78" s="22" t="n">
        <v>17218.055</v>
      </c>
      <c r="H78" s="22" t="n">
        <v>13352.382</v>
      </c>
      <c r="I78" s="22" t="n">
        <v>13715.897</v>
      </c>
      <c r="J78" s="22" t="n">
        <v>14069.808</v>
      </c>
      <c r="K78" s="22" t="n">
        <v>16220.597</v>
      </c>
      <c r="L78" s="22" t="n">
        <v>17214.049</v>
      </c>
    </row>
    <row r="79">
      <c r="A79" s="20" t="inlineStr">
        <is>
          <t>감가상각누계액</t>
        </is>
      </c>
      <c r="C79" s="22" t="n">
        <v>-4111.538</v>
      </c>
      <c r="D79" s="22" t="n">
        <v>-4238.595</v>
      </c>
      <c r="E79" s="22" t="n">
        <v>-4368.081</v>
      </c>
      <c r="F79" s="22" t="n">
        <v>-4498.728</v>
      </c>
      <c r="G79" s="22" t="n">
        <v>-4629.346</v>
      </c>
      <c r="H79" s="22" t="n">
        <v>-2568.012</v>
      </c>
      <c r="I79" s="22" t="n">
        <v>-2975.852</v>
      </c>
      <c r="J79" s="22" t="n">
        <v>-3390.271</v>
      </c>
      <c r="K79" s="22" t="n">
        <v>-3862.491</v>
      </c>
      <c r="L79" s="22" t="n">
        <v>-4368.081</v>
      </c>
    </row>
    <row r="80">
      <c r="A80" s="20" t="inlineStr">
        <is>
          <t>건물(순액)</t>
        </is>
      </c>
      <c r="C80" s="22" t="n">
        <v>12577.779</v>
      </c>
      <c r="D80" s="22" t="n">
        <v>12451.473</v>
      </c>
      <c r="E80" s="22" t="n">
        <v>12845.968</v>
      </c>
      <c r="F80" s="22" t="n">
        <v>12716.684</v>
      </c>
      <c r="G80" s="22" t="n">
        <v>12588.709</v>
      </c>
      <c r="H80" s="22" t="n">
        <v>10784.37</v>
      </c>
      <c r="I80" s="22" t="n">
        <v>10740.045</v>
      </c>
      <c r="J80" s="22" t="n">
        <v>10679.537</v>
      </c>
      <c r="K80" s="22" t="n">
        <v>12358.106</v>
      </c>
      <c r="L80" s="22" t="n">
        <v>12845.968</v>
      </c>
    </row>
    <row r="81">
      <c r="A81" s="20" t="inlineStr">
        <is>
          <t>구축물</t>
        </is>
      </c>
      <c r="C81" s="22" t="n">
        <v>897.369</v>
      </c>
      <c r="D81" s="22" t="n">
        <v>898.553</v>
      </c>
      <c r="E81" s="22" t="n">
        <v>952.735</v>
      </c>
      <c r="F81" s="22" t="n">
        <v>955.812</v>
      </c>
      <c r="G81" s="22" t="n">
        <v>960.125</v>
      </c>
      <c r="H81" s="22" t="n">
        <v>726.7380000000001</v>
      </c>
      <c r="I81" s="22" t="n">
        <v>732.564</v>
      </c>
      <c r="J81" s="22" t="n">
        <v>759.873</v>
      </c>
      <c r="K81" s="22" t="n">
        <v>844.496</v>
      </c>
      <c r="L81" s="22" t="n">
        <v>952.735</v>
      </c>
    </row>
    <row r="82">
      <c r="A82" s="20" t="inlineStr">
        <is>
          <t>감가상각누계액</t>
        </is>
      </c>
      <c r="C82" s="22" t="n">
        <v>-437.176</v>
      </c>
      <c r="D82" s="22" t="n">
        <v>-450.557</v>
      </c>
      <c r="E82" s="22" t="n">
        <v>-464.646</v>
      </c>
      <c r="F82" s="22" t="n">
        <v>-479.151</v>
      </c>
      <c r="G82" s="22" t="n">
        <v>-493.533</v>
      </c>
      <c r="H82" s="22" t="n">
        <v>-277.921</v>
      </c>
      <c r="I82" s="22" t="n">
        <v>-321.271</v>
      </c>
      <c r="J82" s="22" t="n">
        <v>-364.428</v>
      </c>
      <c r="K82" s="22" t="n">
        <v>-411.941</v>
      </c>
      <c r="L82" s="22" t="n">
        <v>-464.646</v>
      </c>
    </row>
    <row r="83">
      <c r="A83" s="20" t="inlineStr">
        <is>
          <t>구축물(순액)</t>
        </is>
      </c>
      <c r="C83" s="22" t="n">
        <v>460.193</v>
      </c>
      <c r="D83" s="22" t="n">
        <v>447.995</v>
      </c>
      <c r="E83" s="22" t="n">
        <v>488.088</v>
      </c>
      <c r="F83" s="22" t="n">
        <v>476.66</v>
      </c>
      <c r="G83" s="22" t="n">
        <v>466.591</v>
      </c>
      <c r="H83" s="22" t="n">
        <v>448.816</v>
      </c>
      <c r="I83" s="22" t="n">
        <v>411.293</v>
      </c>
      <c r="J83" s="22" t="n">
        <v>395.444</v>
      </c>
      <c r="K83" s="22" t="n">
        <v>432.555</v>
      </c>
      <c r="L83" s="22" t="n">
        <v>488.088</v>
      </c>
    </row>
    <row r="84">
      <c r="A84" s="20" t="inlineStr">
        <is>
          <t>기계장치</t>
        </is>
      </c>
      <c r="C84" s="22" t="n">
        <v>87.69199999999999</v>
      </c>
      <c r="D84" s="22" t="n">
        <v>87.69199999999999</v>
      </c>
      <c r="E84" s="22" t="n">
        <v>95.542</v>
      </c>
      <c r="F84" s="22" t="n">
        <v>95.542</v>
      </c>
      <c r="G84" s="22" t="n">
        <v>96.598</v>
      </c>
      <c r="H84" s="22" t="n">
        <v>79.974</v>
      </c>
      <c r="I84" s="22" t="n">
        <v>79.974</v>
      </c>
      <c r="J84" s="22" t="n">
        <v>79.974</v>
      </c>
      <c r="K84" s="22" t="n">
        <v>87.69199999999999</v>
      </c>
      <c r="L84" s="22" t="n">
        <v>95.542</v>
      </c>
    </row>
    <row r="85">
      <c r="A85" s="20" t="inlineStr">
        <is>
          <t>감가상각누계액</t>
        </is>
      </c>
      <c r="C85" s="22" t="n">
        <v>-63.993</v>
      </c>
      <c r="D85" s="22" t="n">
        <v>-65.453</v>
      </c>
      <c r="E85" s="22" t="n">
        <v>-67.172</v>
      </c>
      <c r="F85" s="22" t="n">
        <v>-68.70999999999999</v>
      </c>
      <c r="G85" s="22" t="n">
        <v>-70.291</v>
      </c>
      <c r="H85" s="22" t="n">
        <v>-40.109</v>
      </c>
      <c r="I85" s="22" t="n">
        <v>-47.946</v>
      </c>
      <c r="J85" s="22" t="n">
        <v>-54.377</v>
      </c>
      <c r="K85" s="22" t="n">
        <v>-61.072</v>
      </c>
      <c r="L85" s="22" t="n">
        <v>-67.172</v>
      </c>
    </row>
    <row r="86">
      <c r="A86" s="20" t="inlineStr">
        <is>
          <t>기계장치(순액)</t>
        </is>
      </c>
      <c r="C86" s="22" t="n">
        <v>23.698</v>
      </c>
      <c r="D86" s="22" t="n">
        <v>22.238</v>
      </c>
      <c r="E86" s="22" t="n">
        <v>28.369</v>
      </c>
      <c r="F86" s="22" t="n">
        <v>26.831</v>
      </c>
      <c r="G86" s="22" t="n">
        <v>26.306</v>
      </c>
      <c r="H86" s="22" t="n">
        <v>39.864</v>
      </c>
      <c r="I86" s="22" t="n">
        <v>32.028</v>
      </c>
      <c r="J86" s="22" t="n">
        <v>25.596</v>
      </c>
      <c r="K86" s="22" t="n">
        <v>26.619</v>
      </c>
      <c r="L86" s="22" t="n">
        <v>28.369</v>
      </c>
    </row>
    <row r="87">
      <c r="A87" s="20" t="inlineStr">
        <is>
          <t>공구·기구·비품</t>
        </is>
      </c>
      <c r="C87" s="22" t="n">
        <v>328.057</v>
      </c>
      <c r="D87" s="22" t="n">
        <v>335.148</v>
      </c>
      <c r="E87" s="22" t="n">
        <v>352.925</v>
      </c>
      <c r="F87" s="22" t="n">
        <v>353.473</v>
      </c>
      <c r="G87" s="22" t="n">
        <v>360.567</v>
      </c>
      <c r="H87" s="22" t="n">
        <v>264.043</v>
      </c>
      <c r="I87" s="22" t="n">
        <v>273.774</v>
      </c>
      <c r="J87" s="22" t="n">
        <v>284.178</v>
      </c>
      <c r="K87" s="22" t="n">
        <v>314.269</v>
      </c>
      <c r="L87" s="22" t="n">
        <v>352.925</v>
      </c>
    </row>
    <row r="88">
      <c r="A88" s="20" t="inlineStr">
        <is>
          <t>감가상각누계액</t>
        </is>
      </c>
      <c r="C88" s="22" t="n">
        <v>-277.287</v>
      </c>
      <c r="D88" s="22" t="n">
        <v>-283.862</v>
      </c>
      <c r="E88" s="22" t="n">
        <v>-291.368</v>
      </c>
      <c r="F88" s="22" t="n">
        <v>-297.389</v>
      </c>
      <c r="G88" s="22" t="n">
        <v>-304.022</v>
      </c>
      <c r="H88" s="22" t="n">
        <v>-206.208</v>
      </c>
      <c r="I88" s="22" t="n">
        <v>-227.888</v>
      </c>
      <c r="J88" s="22" t="n">
        <v>-246.453</v>
      </c>
      <c r="K88" s="22" t="n">
        <v>-267.128</v>
      </c>
      <c r="L88" s="22" t="n">
        <v>-291.368</v>
      </c>
    </row>
    <row r="89">
      <c r="A89" s="20" t="inlineStr">
        <is>
          <t>공구·기구·비품(순액)</t>
        </is>
      </c>
      <c r="C89" s="22" t="n">
        <v>50.77</v>
      </c>
      <c r="D89" s="22" t="n">
        <v>51.285</v>
      </c>
      <c r="E89" s="22" t="n">
        <v>61.557</v>
      </c>
      <c r="F89" s="22" t="n">
        <v>56.084</v>
      </c>
      <c r="G89" s="22" t="n">
        <v>56.544</v>
      </c>
      <c r="H89" s="22" t="n">
        <v>57.835</v>
      </c>
      <c r="I89" s="22" t="n">
        <v>45.886</v>
      </c>
      <c r="J89" s="22" t="n">
        <v>37.725</v>
      </c>
      <c r="K89" s="22" t="n">
        <v>47.14</v>
      </c>
      <c r="L89" s="22" t="n">
        <v>61.557</v>
      </c>
    </row>
    <row r="90">
      <c r="A90" s="20" t="inlineStr">
        <is>
          <t>토지</t>
        </is>
      </c>
      <c r="C90" s="22" t="n">
        <v>2686.007</v>
      </c>
      <c r="D90" s="22" t="n">
        <v>2840.665</v>
      </c>
      <c r="E90" s="22" t="n">
        <v>2836.098</v>
      </c>
      <c r="F90" s="22" t="n">
        <v>2837.153</v>
      </c>
      <c r="G90" s="22" t="n">
        <v>2879.635</v>
      </c>
      <c r="H90" s="22" t="n">
        <v>989.154</v>
      </c>
      <c r="I90" s="22" t="n">
        <v>962.809</v>
      </c>
      <c r="J90" s="22" t="n">
        <v>1484.212</v>
      </c>
      <c r="K90" s="22" t="n">
        <v>2654.802</v>
      </c>
      <c r="L90" s="22" t="n">
        <v>2836.098</v>
      </c>
    </row>
    <row r="91">
      <c r="A91" s="20" t="inlineStr">
        <is>
          <t>리스자산</t>
        </is>
      </c>
      <c r="C91" s="22" t="n">
        <v>4780.481</v>
      </c>
      <c r="D91" s="22" t="n">
        <v>4695.256</v>
      </c>
      <c r="E91" s="22" t="n">
        <v>4927.861</v>
      </c>
      <c r="F91" s="22" t="n">
        <v>4927.861</v>
      </c>
      <c r="G91" s="22" t="n">
        <v>4786.826</v>
      </c>
      <c r="H91" s="22" t="n">
        <v>4054.94</v>
      </c>
      <c r="I91" s="22" t="n">
        <v>4200.145</v>
      </c>
      <c r="J91" s="22" t="n">
        <v>4317.606</v>
      </c>
      <c r="K91" s="22" t="n">
        <v>4550.989</v>
      </c>
      <c r="L91" s="22" t="n">
        <v>4927.861</v>
      </c>
    </row>
    <row r="92">
      <c r="A92" s="20" t="inlineStr">
        <is>
          <t>감가상각누계액</t>
        </is>
      </c>
      <c r="C92" s="22" t="n">
        <v>-1948.396</v>
      </c>
      <c r="D92" s="22" t="n">
        <v>-1944.449</v>
      </c>
      <c r="E92" s="22" t="n">
        <v>-2028.191</v>
      </c>
      <c r="F92" s="22" t="n">
        <v>-2113.231</v>
      </c>
      <c r="G92" s="22" t="n">
        <v>-2056.089</v>
      </c>
      <c r="H92" s="22" t="n">
        <v>-1044.958</v>
      </c>
      <c r="I92" s="22" t="n">
        <v>-1328.026</v>
      </c>
      <c r="J92" s="22" t="n">
        <v>-1578.536</v>
      </c>
      <c r="K92" s="22" t="n">
        <v>-1791.326</v>
      </c>
      <c r="L92" s="22" t="n">
        <v>-2028.191</v>
      </c>
    </row>
    <row r="93">
      <c r="A93" s="20" t="inlineStr">
        <is>
          <t>리스자산(순액)</t>
        </is>
      </c>
      <c r="C93" s="22" t="n">
        <v>2832.085</v>
      </c>
      <c r="D93" s="22" t="n">
        <v>2750.806</v>
      </c>
      <c r="E93" s="22" t="n">
        <v>2899.67</v>
      </c>
      <c r="F93" s="22" t="n">
        <v>2814.63</v>
      </c>
      <c r="G93" s="22" t="n">
        <v>2730.737</v>
      </c>
      <c r="H93" s="22" t="n">
        <v>3009.981</v>
      </c>
      <c r="I93" s="22" t="n">
        <v>2872.119</v>
      </c>
      <c r="J93" s="22" t="n">
        <v>2739.069</v>
      </c>
      <c r="K93" s="22" t="n">
        <v>2759.663</v>
      </c>
      <c r="L93" s="22" t="n">
        <v>2899.67</v>
      </c>
    </row>
    <row r="94">
      <c r="A94" s="20" t="inlineStr">
        <is>
          <t>건설중인자산</t>
        </is>
      </c>
      <c r="C94" s="22" t="n">
        <v>539.313</v>
      </c>
      <c r="D94" s="22" t="n">
        <v>559.523</v>
      </c>
      <c r="E94" s="22" t="n">
        <v>179.855</v>
      </c>
      <c r="F94" s="22" t="n">
        <v>812.9880000000001</v>
      </c>
      <c r="G94" s="22" t="n">
        <v>1525.399</v>
      </c>
      <c r="H94" s="22" t="n">
        <v>581.673</v>
      </c>
      <c r="I94" s="22" t="n">
        <v>220.95</v>
      </c>
      <c r="J94" s="22" t="n">
        <v>336.943</v>
      </c>
      <c r="K94" s="22" t="n">
        <v>411.46</v>
      </c>
      <c r="L94" s="22" t="n">
        <v>179.855</v>
      </c>
    </row>
    <row r="95">
      <c r="A95" s="20" t="inlineStr">
        <is>
          <t>유형자산 합계</t>
        </is>
      </c>
      <c r="C95" s="22" t="n">
        <v>19169.847</v>
      </c>
      <c r="D95" s="22" t="n">
        <v>19123.989</v>
      </c>
      <c r="E95" s="22" t="n">
        <v>19339.609</v>
      </c>
      <c r="F95" s="22" t="n">
        <v>19741.034</v>
      </c>
      <c r="G95" s="22" t="n">
        <v>20273.924</v>
      </c>
      <c r="H95" s="22" t="n">
        <v>15911.696</v>
      </c>
      <c r="I95" s="22" t="n">
        <v>15285.132</v>
      </c>
      <c r="J95" s="22" t="n">
        <v>15698.53</v>
      </c>
      <c r="K95" s="22" t="n">
        <v>18690.347</v>
      </c>
      <c r="L95" s="22" t="n">
        <v>19339.609</v>
      </c>
    </row>
    <row r="96">
      <c r="A96" s="20" t="inlineStr">
        <is>
          <t>소프트웨어</t>
        </is>
      </c>
      <c r="E96" s="22" t="n">
        <v>4.741</v>
      </c>
      <c r="H96" s="22" t="n">
        <v>3.085</v>
      </c>
      <c r="I96" s="22" t="n">
        <v>2.305</v>
      </c>
      <c r="J96" s="22" t="n">
        <v>5.525</v>
      </c>
      <c r="K96" s="22" t="n">
        <v>6.084</v>
      </c>
      <c r="L96" s="22" t="n">
        <v>4.741</v>
      </c>
    </row>
    <row r="97">
      <c r="A97" s="20" t="inlineStr">
        <is>
          <t>기타</t>
        </is>
      </c>
      <c r="E97" s="22" t="n">
        <v>30.564</v>
      </c>
      <c r="H97" s="22" t="n">
        <v>27.149</v>
      </c>
      <c r="I97" s="22" t="n">
        <v>25.785</v>
      </c>
      <c r="J97" s="22" t="n">
        <v>24.942</v>
      </c>
      <c r="K97" s="22" t="n">
        <v>25.077</v>
      </c>
      <c r="L97" s="22" t="n">
        <v>30.564</v>
      </c>
    </row>
    <row r="98">
      <c r="A98" s="20" t="inlineStr">
        <is>
          <t>무형자산</t>
        </is>
      </c>
      <c r="C98" s="22" t="n">
        <v>29.778</v>
      </c>
      <c r="D98" s="22" t="n">
        <v>29.348</v>
      </c>
      <c r="E98" s="22" t="n">
        <v>35.305</v>
      </c>
      <c r="F98" s="22" t="n">
        <v>33.983</v>
      </c>
      <c r="G98" s="22" t="n">
        <v>32.75</v>
      </c>
      <c r="H98" s="22" t="n">
        <v>30.235</v>
      </c>
      <c r="I98" s="22" t="n">
        <v>28.09</v>
      </c>
      <c r="J98" s="22" t="n">
        <v>30.467</v>
      </c>
      <c r="K98" s="22" t="n">
        <v>31.161</v>
      </c>
      <c r="L98" s="22" t="n">
        <v>35.305</v>
      </c>
    </row>
    <row r="99">
      <c r="A99" s="20" t="inlineStr">
        <is>
          <t>투자유가증권</t>
        </is>
      </c>
      <c r="E99" s="22" t="n">
        <v>0.5</v>
      </c>
      <c r="H99" s="22" t="n">
        <v>0.5</v>
      </c>
      <c r="I99" s="22" t="n">
        <v>0.5</v>
      </c>
      <c r="J99" s="22" t="n">
        <v>0.5</v>
      </c>
      <c r="K99" s="22" t="n">
        <v>0.5</v>
      </c>
      <c r="L99" s="22" t="n">
        <v>0.5</v>
      </c>
    </row>
    <row r="100">
      <c r="A100" s="20" t="inlineStr">
        <is>
          <t>출자금</t>
        </is>
      </c>
      <c r="E100" s="22" t="n">
        <v>0.04</v>
      </c>
      <c r="H100" s="22" t="n">
        <v>0.04</v>
      </c>
      <c r="I100" s="22" t="n">
        <v>0.04</v>
      </c>
      <c r="J100" s="22" t="n">
        <v>0.04</v>
      </c>
      <c r="K100" s="22" t="n">
        <v>0.04</v>
      </c>
      <c r="L100" s="22" t="n">
        <v>0.04</v>
      </c>
    </row>
    <row r="101">
      <c r="A101" s="20" t="inlineStr">
        <is>
          <t>장기선급비용</t>
        </is>
      </c>
      <c r="E101" s="22" t="n">
        <v>17.519</v>
      </c>
      <c r="H101" s="22" t="n">
        <v>5.532</v>
      </c>
      <c r="I101" s="22" t="n">
        <v>3.813</v>
      </c>
      <c r="J101" s="22" t="n">
        <v>14.301</v>
      </c>
      <c r="K101" s="22" t="n">
        <v>6.928</v>
      </c>
      <c r="L101" s="22" t="n">
        <v>17.519</v>
      </c>
    </row>
    <row r="102">
      <c r="A102" s="20" t="inlineStr">
        <is>
          <t>임차보증금·보증금</t>
        </is>
      </c>
      <c r="C102" s="22" t="n">
        <v>557.475</v>
      </c>
      <c r="D102" s="22" t="n">
        <v>555.6900000000001</v>
      </c>
      <c r="E102" s="22" t="n">
        <v>555.4</v>
      </c>
      <c r="F102" s="22" t="n">
        <v>555.0839999999999</v>
      </c>
      <c r="G102" s="22" t="n">
        <v>554.737</v>
      </c>
      <c r="H102" s="22" t="n">
        <v>583.675</v>
      </c>
      <c r="I102" s="22" t="n">
        <v>585.737</v>
      </c>
      <c r="J102" s="22" t="n">
        <v>584.802</v>
      </c>
      <c r="K102" s="22" t="n">
        <v>552.894</v>
      </c>
      <c r="L102" s="22" t="n">
        <v>555.4</v>
      </c>
    </row>
    <row r="103">
      <c r="A103" s="20" t="inlineStr">
        <is>
          <t>Deposits For Stores In Preparation</t>
        </is>
      </c>
      <c r="H103" s="22" t="n">
        <v>0</v>
      </c>
    </row>
    <row r="104">
      <c r="A104" s="20" t="inlineStr">
        <is>
          <t>Membership</t>
        </is>
      </c>
      <c r="E104" s="22" t="n">
        <v>0.95</v>
      </c>
      <c r="H104" s="22" t="n">
        <v>0.95</v>
      </c>
      <c r="I104" s="22" t="n">
        <v>0.95</v>
      </c>
      <c r="J104" s="22" t="n">
        <v>0.95</v>
      </c>
      <c r="K104" s="22" t="n">
        <v>0.95</v>
      </c>
      <c r="L104" s="22" t="n">
        <v>0.95</v>
      </c>
    </row>
    <row r="105">
      <c r="A105" s="20" t="inlineStr">
        <is>
          <t>이연법인세자산</t>
        </is>
      </c>
      <c r="C105" s="22" t="n">
        <v>270.809</v>
      </c>
      <c r="D105" s="22" t="n">
        <v>260.066</v>
      </c>
      <c r="E105" s="22" t="n">
        <v>307.889</v>
      </c>
      <c r="F105" s="22" t="n">
        <v>266.198</v>
      </c>
      <c r="G105" s="22" t="n">
        <v>305.176</v>
      </c>
      <c r="H105" s="22" t="n">
        <v>175.282</v>
      </c>
      <c r="I105" s="22" t="n">
        <v>216.838</v>
      </c>
      <c r="J105" s="22" t="n">
        <v>218.111</v>
      </c>
      <c r="K105" s="22" t="n">
        <v>264.554</v>
      </c>
      <c r="L105" s="22" t="n">
        <v>307.889</v>
      </c>
    </row>
    <row r="106">
      <c r="A106" s="20" t="inlineStr">
        <is>
          <t>기타</t>
        </is>
      </c>
      <c r="C106" s="22" t="n">
        <v>4.03</v>
      </c>
      <c r="D106" s="22" t="n">
        <v>10.295</v>
      </c>
      <c r="E106" s="22" t="n">
        <v>119.009</v>
      </c>
      <c r="F106" s="22" t="n">
        <v>129.453</v>
      </c>
      <c r="G106" s="22" t="n">
        <v>139.898</v>
      </c>
      <c r="H106" s="22" t="n">
        <v>7.022</v>
      </c>
      <c r="I106" s="22" t="n">
        <v>5.303</v>
      </c>
      <c r="J106" s="22" t="n">
        <v>15.791</v>
      </c>
      <c r="K106" s="22" t="n">
        <v>0</v>
      </c>
      <c r="L106" s="22" t="n">
        <v>119.009</v>
      </c>
    </row>
    <row r="107">
      <c r="A107" s="20" t="inlineStr">
        <is>
          <t>투자 및 기타자산 합계</t>
        </is>
      </c>
      <c r="C107" s="22" t="n">
        <v>832.314</v>
      </c>
      <c r="D107" s="22" t="n">
        <v>826.053</v>
      </c>
      <c r="E107" s="22" t="n">
        <v>982.299</v>
      </c>
      <c r="F107" s="22" t="n">
        <v>950.736</v>
      </c>
      <c r="G107" s="22" t="n">
        <v>999.812</v>
      </c>
      <c r="H107" s="22" t="n">
        <v>765.98</v>
      </c>
      <c r="I107" s="22" t="n">
        <v>807.879</v>
      </c>
      <c r="J107" s="22" t="n">
        <v>818.705</v>
      </c>
      <c r="K107" s="22" t="n">
        <v>825.867</v>
      </c>
      <c r="L107" s="22" t="n">
        <v>982.299</v>
      </c>
    </row>
    <row r="108">
      <c r="A108" s="9" t="inlineStr">
        <is>
          <t>비유동자산 합계</t>
        </is>
      </c>
      <c r="C108" s="12" t="n">
        <v>20031.94</v>
      </c>
      <c r="D108" s="12" t="n">
        <v>19979.39</v>
      </c>
      <c r="E108" s="12" t="n">
        <v>20357.214</v>
      </c>
      <c r="F108" s="12" t="n">
        <v>20725.754</v>
      </c>
      <c r="G108" s="12" t="n">
        <v>21306.487</v>
      </c>
      <c r="H108" s="12" t="n">
        <v>16707.912</v>
      </c>
      <c r="I108" s="12" t="n">
        <v>16121.102</v>
      </c>
      <c r="J108" s="12" t="n">
        <v>16547.702</v>
      </c>
      <c r="K108" s="12" t="n">
        <v>19547.376</v>
      </c>
      <c r="L108" s="12" t="n">
        <v>20357.214</v>
      </c>
    </row>
    <row r="109">
      <c r="A109" s="9" t="inlineStr">
        <is>
          <t>자산 합계</t>
        </is>
      </c>
      <c r="C109" s="12" t="n">
        <v>28022.946</v>
      </c>
      <c r="D109" s="12" t="n">
        <v>28128.165</v>
      </c>
      <c r="E109" s="12" t="n">
        <v>29329.816</v>
      </c>
      <c r="F109" s="12" t="n">
        <v>28452.859</v>
      </c>
      <c r="G109" s="12" t="n">
        <v>29780.242</v>
      </c>
      <c r="H109" s="12" t="n">
        <v>20441.048</v>
      </c>
      <c r="I109" s="12" t="n">
        <v>21611.734</v>
      </c>
      <c r="J109" s="12" t="n">
        <v>22860.676</v>
      </c>
      <c r="K109" s="12" t="n">
        <v>26285.579</v>
      </c>
      <c r="L109" s="12" t="n">
        <v>29329.816</v>
      </c>
    </row>
    <row r="110">
      <c r="A110" s="20" t="inlineStr">
        <is>
          <t>단기차입금</t>
        </is>
      </c>
      <c r="C110" s="22" t="n">
        <v>548</v>
      </c>
      <c r="D110" s="22" t="n">
        <v>0</v>
      </c>
      <c r="E110" s="22" t="n">
        <v>0</v>
      </c>
      <c r="I110" s="22" t="n">
        <v>0</v>
      </c>
      <c r="J110" s="22" t="n">
        <v>130</v>
      </c>
      <c r="K110" s="22" t="n">
        <v>521</v>
      </c>
      <c r="L110" s="22" t="n">
        <v>0</v>
      </c>
    </row>
    <row r="111">
      <c r="A111" s="20" t="inlineStr">
        <is>
          <t>1년 내 상환 장기차입금</t>
        </is>
      </c>
      <c r="C111" s="22" t="n">
        <v>1575.326</v>
      </c>
      <c r="D111" s="22" t="n">
        <v>1548.666</v>
      </c>
      <c r="E111" s="22" t="n">
        <v>1482.806</v>
      </c>
      <c r="F111" s="22" t="n">
        <v>1547.447</v>
      </c>
      <c r="G111" s="22" t="n">
        <v>1507.418</v>
      </c>
      <c r="H111" s="22" t="n">
        <v>1525.092</v>
      </c>
      <c r="I111" s="22" t="n">
        <v>1547.394</v>
      </c>
      <c r="J111" s="22" t="n">
        <v>1621.626</v>
      </c>
      <c r="K111" s="22" t="n">
        <v>1670.506</v>
      </c>
      <c r="L111" s="22" t="n">
        <v>1482.806</v>
      </c>
    </row>
    <row r="112">
      <c r="A112" s="20" t="inlineStr">
        <is>
          <t>리스부채</t>
        </is>
      </c>
      <c r="C112" s="22" t="n">
        <v>503.804</v>
      </c>
      <c r="D112" s="22" t="n">
        <v>442.605</v>
      </c>
      <c r="E112" s="22" t="n">
        <v>449.916</v>
      </c>
      <c r="F112" s="22" t="n">
        <v>583.341</v>
      </c>
      <c r="G112" s="22" t="n">
        <v>509.946</v>
      </c>
      <c r="H112" s="22" t="n">
        <v>261.821</v>
      </c>
      <c r="I112" s="22" t="n">
        <v>316.213</v>
      </c>
      <c r="J112" s="22" t="n">
        <v>387.701</v>
      </c>
      <c r="K112" s="22" t="n">
        <v>427.462</v>
      </c>
      <c r="L112" s="22" t="n">
        <v>449.916</v>
      </c>
    </row>
    <row r="113">
      <c r="A113" s="20" t="inlineStr">
        <is>
          <t>미지급금</t>
        </is>
      </c>
      <c r="C113" s="22" t="n">
        <v>1215.284</v>
      </c>
      <c r="D113" s="22" t="n">
        <v>813.249</v>
      </c>
      <c r="E113" s="22" t="n">
        <v>839.452</v>
      </c>
      <c r="F113" s="22" t="n">
        <v>799.0549999999999</v>
      </c>
      <c r="G113" s="22" t="n">
        <v>824.654</v>
      </c>
      <c r="H113" s="22" t="n">
        <v>631.114</v>
      </c>
      <c r="I113" s="22" t="n">
        <v>702.8150000000001</v>
      </c>
      <c r="J113" s="22" t="n">
        <v>722.384</v>
      </c>
      <c r="K113" s="22" t="n">
        <v>766.329</v>
      </c>
      <c r="L113" s="22" t="n">
        <v>839.452</v>
      </c>
    </row>
    <row r="114">
      <c r="A114" s="20" t="inlineStr">
        <is>
          <t>미지급비용</t>
        </is>
      </c>
      <c r="E114" s="22" t="n">
        <v>205.342</v>
      </c>
      <c r="H114" s="22" t="n">
        <v>77.672</v>
      </c>
      <c r="I114" s="22" t="n">
        <v>95.583</v>
      </c>
      <c r="J114" s="22" t="n">
        <v>123.184</v>
      </c>
      <c r="K114" s="22" t="n">
        <v>155.88</v>
      </c>
      <c r="L114" s="22" t="n">
        <v>205.342</v>
      </c>
    </row>
    <row r="115">
      <c r="A115" s="20" t="inlineStr">
        <is>
          <t>미지급법인세</t>
        </is>
      </c>
      <c r="C115" s="22" t="n">
        <v>954.602</v>
      </c>
      <c r="D115" s="22" t="n">
        <v>828.362</v>
      </c>
      <c r="E115" s="22" t="n">
        <v>1011.931</v>
      </c>
      <c r="F115" s="22" t="n">
        <v>337.894</v>
      </c>
      <c r="G115" s="22" t="n">
        <v>1024.21</v>
      </c>
      <c r="H115" s="22" t="n">
        <v>403.37</v>
      </c>
      <c r="I115" s="22" t="n">
        <v>954.399</v>
      </c>
      <c r="J115" s="22" t="n">
        <v>770.917</v>
      </c>
      <c r="K115" s="22" t="n">
        <v>807.986</v>
      </c>
      <c r="L115" s="22" t="n">
        <v>1011.931</v>
      </c>
    </row>
    <row r="116">
      <c r="A116" s="20" t="inlineStr">
        <is>
          <t>미지급 소비세</t>
        </is>
      </c>
      <c r="E116" s="22" t="n">
        <v>321.416</v>
      </c>
      <c r="K116" s="22" t="n">
        <v>0</v>
      </c>
      <c r="L116" s="22" t="n">
        <v>321.416</v>
      </c>
    </row>
    <row r="117">
      <c r="A117" s="20" t="inlineStr">
        <is>
          <t>계약부채</t>
        </is>
      </c>
      <c r="E117" s="22" t="n">
        <v>178.499</v>
      </c>
      <c r="H117" s="22" t="n">
        <v>72.79300000000001</v>
      </c>
      <c r="I117" s="22" t="n">
        <v>82.503</v>
      </c>
      <c r="J117" s="22" t="n">
        <v>124.754</v>
      </c>
      <c r="K117" s="22" t="n">
        <v>210.141</v>
      </c>
      <c r="L117" s="22" t="n">
        <v>178.499</v>
      </c>
    </row>
    <row r="118">
      <c r="A118" s="20" t="inlineStr">
        <is>
          <t>선수금</t>
        </is>
      </c>
      <c r="H118" s="22" t="n">
        <v>0</v>
      </c>
    </row>
    <row r="119">
      <c r="A119" s="20" t="inlineStr">
        <is>
          <t>예수금</t>
        </is>
      </c>
      <c r="E119" s="22" t="n">
        <v>11.396</v>
      </c>
      <c r="H119" s="22" t="n">
        <v>9.462999999999999</v>
      </c>
      <c r="I119" s="22" t="n">
        <v>8.603999999999999</v>
      </c>
      <c r="J119" s="22" t="n">
        <v>14.236</v>
      </c>
      <c r="K119" s="22" t="n">
        <v>9.369</v>
      </c>
      <c r="L119" s="22" t="n">
        <v>11.396</v>
      </c>
    </row>
    <row r="120">
      <c r="A120" s="20" t="inlineStr">
        <is>
          <t>포인트 충당금</t>
        </is>
      </c>
      <c r="H120" s="22" t="n">
        <v>0</v>
      </c>
    </row>
    <row r="121">
      <c r="A121" s="20" t="inlineStr">
        <is>
          <t>계약부채</t>
        </is>
      </c>
      <c r="C121" s="22" t="n">
        <v>240.871</v>
      </c>
      <c r="D121" s="22" t="n">
        <v>142.918</v>
      </c>
      <c r="E121" s="22" t="n">
        <v>178.499</v>
      </c>
      <c r="F121" s="22" t="n">
        <v>151.632</v>
      </c>
      <c r="G121" s="22" t="n">
        <v>242.56</v>
      </c>
      <c r="H121" s="22" t="n">
        <v>72.79300000000001</v>
      </c>
      <c r="I121" s="22" t="n">
        <v>82.503</v>
      </c>
      <c r="J121" s="22" t="n">
        <v>124.754</v>
      </c>
      <c r="K121" s="22" t="n">
        <v>210.141</v>
      </c>
      <c r="L121" s="22" t="n">
        <v>178.499</v>
      </c>
    </row>
    <row r="122">
      <c r="A122" s="20" t="inlineStr">
        <is>
          <t>기타</t>
        </is>
      </c>
      <c r="C122" s="22" t="n">
        <v>350.539</v>
      </c>
      <c r="D122" s="22" t="n">
        <v>512.76</v>
      </c>
      <c r="E122" s="22" t="n">
        <v>538.2670000000001</v>
      </c>
      <c r="F122" s="22" t="n">
        <v>389.722</v>
      </c>
      <c r="G122" s="22" t="n">
        <v>416.533</v>
      </c>
      <c r="H122" s="22" t="n">
        <v>268.7</v>
      </c>
      <c r="I122" s="22" t="n">
        <v>274.651</v>
      </c>
      <c r="J122" s="22" t="n">
        <v>161.874</v>
      </c>
      <c r="K122" s="22" t="n">
        <v>0.102</v>
      </c>
      <c r="L122" s="22" t="n">
        <v>538.2670000000001</v>
      </c>
    </row>
    <row r="123">
      <c r="A123" s="9" t="inlineStr">
        <is>
          <t>유동부채 합계</t>
        </is>
      </c>
      <c r="C123" s="12" t="n">
        <v>5388.428</v>
      </c>
      <c r="D123" s="12" t="n">
        <v>4288.562</v>
      </c>
      <c r="E123" s="12" t="n">
        <v>4500.873</v>
      </c>
      <c r="F123" s="12" t="n">
        <v>3809.094</v>
      </c>
      <c r="G123" s="12" t="n">
        <v>4525.323</v>
      </c>
      <c r="H123" s="12" t="n">
        <v>3250.028</v>
      </c>
      <c r="I123" s="12" t="n">
        <v>3982.164</v>
      </c>
      <c r="J123" s="12" t="n">
        <v>4056.679</v>
      </c>
      <c r="K123" s="12" t="n">
        <v>4568.778</v>
      </c>
      <c r="L123" s="12" t="n">
        <v>4500.873</v>
      </c>
    </row>
    <row r="124">
      <c r="A124" s="20" t="inlineStr">
        <is>
          <t>장기차입금</t>
        </is>
      </c>
      <c r="C124" s="22" t="n">
        <v>5243.858</v>
      </c>
      <c r="D124" s="22" t="n">
        <v>5460.009</v>
      </c>
      <c r="E124" s="22" t="n">
        <v>5650.32</v>
      </c>
      <c r="F124" s="22" t="n">
        <v>5559.41</v>
      </c>
      <c r="G124" s="22" t="n">
        <v>5226.44</v>
      </c>
      <c r="H124" s="22" t="n">
        <v>6863.444</v>
      </c>
      <c r="I124" s="22" t="n">
        <v>5720.24</v>
      </c>
      <c r="J124" s="22" t="n">
        <v>4937.692</v>
      </c>
      <c r="K124" s="22" t="n">
        <v>5533.686</v>
      </c>
      <c r="L124" s="22" t="n">
        <v>5650.32</v>
      </c>
    </row>
    <row r="125">
      <c r="A125" s="20" t="inlineStr">
        <is>
          <t>리스부채</t>
        </is>
      </c>
      <c r="C125" s="22" t="n">
        <v>2430.227</v>
      </c>
      <c r="D125" s="22" t="n">
        <v>2410.122</v>
      </c>
      <c r="E125" s="22" t="n">
        <v>2552.732</v>
      </c>
      <c r="F125" s="22" t="n">
        <v>2335.098</v>
      </c>
      <c r="G125" s="22" t="n">
        <v>2325.387</v>
      </c>
      <c r="H125" s="22" t="n">
        <v>2819.005</v>
      </c>
      <c r="I125" s="22" t="n">
        <v>2638.877</v>
      </c>
      <c r="J125" s="22" t="n">
        <v>2443.305</v>
      </c>
      <c r="K125" s="22" t="n">
        <v>2430.611</v>
      </c>
      <c r="L125" s="22" t="n">
        <v>2552.732</v>
      </c>
    </row>
    <row r="126">
      <c r="A126" s="20" t="inlineStr">
        <is>
          <t>퇴직급여충당금</t>
        </is>
      </c>
      <c r="C126" s="22" t="n">
        <v>5.888</v>
      </c>
      <c r="D126" s="22" t="n">
        <v>5.098</v>
      </c>
      <c r="E126" s="22" t="n">
        <v>5.432</v>
      </c>
      <c r="F126" s="22" t="n">
        <v>5.983</v>
      </c>
      <c r="G126" s="22" t="n">
        <v>5.783</v>
      </c>
      <c r="H126" s="22" t="n">
        <v>1.588</v>
      </c>
      <c r="I126" s="22" t="n">
        <v>2.823</v>
      </c>
      <c r="J126" s="22" t="n">
        <v>3.949</v>
      </c>
      <c r="K126" s="22" t="n">
        <v>5.018</v>
      </c>
      <c r="L126" s="22" t="n">
        <v>5.432</v>
      </c>
    </row>
    <row r="127">
      <c r="A127" s="20" t="inlineStr">
        <is>
          <t>임원 퇴직위로 충당금</t>
        </is>
      </c>
      <c r="C127" s="22" t="n">
        <v>62.49</v>
      </c>
      <c r="D127" s="22" t="n">
        <v>64</v>
      </c>
      <c r="E127" s="22" t="n">
        <v>66.38</v>
      </c>
      <c r="F127" s="22" t="n">
        <v>68.78</v>
      </c>
      <c r="G127" s="22" t="n">
        <v>71.73</v>
      </c>
      <c r="H127" s="22" t="n">
        <v>34.55</v>
      </c>
      <c r="I127" s="22" t="n">
        <v>41.64</v>
      </c>
      <c r="J127" s="22" t="n">
        <v>49.38</v>
      </c>
      <c r="K127" s="22" t="n">
        <v>57.77</v>
      </c>
      <c r="L127" s="22" t="n">
        <v>66.38</v>
      </c>
    </row>
    <row r="128">
      <c r="A128" s="20" t="inlineStr">
        <is>
          <t>자산복구부채</t>
        </is>
      </c>
      <c r="C128" s="22" t="n">
        <v>914.199</v>
      </c>
      <c r="D128" s="22" t="n">
        <v>916.744</v>
      </c>
      <c r="E128" s="22" t="n">
        <v>919.288</v>
      </c>
      <c r="F128" s="22" t="n">
        <v>921.875</v>
      </c>
      <c r="G128" s="22" t="n">
        <v>924.463</v>
      </c>
      <c r="H128" s="22" t="n">
        <v>879.579</v>
      </c>
      <c r="I128" s="22" t="n">
        <v>889.26</v>
      </c>
      <c r="J128" s="22" t="n">
        <v>899.102</v>
      </c>
      <c r="K128" s="22" t="n">
        <v>909.111</v>
      </c>
      <c r="L128" s="22" t="n">
        <v>919.288</v>
      </c>
    </row>
    <row r="129">
      <c r="A129" s="20" t="inlineStr">
        <is>
          <t>Guarantee Deposits Received NCL</t>
        </is>
      </c>
      <c r="H129" s="22" t="n">
        <v>52.11</v>
      </c>
      <c r="I129" s="22" t="n">
        <v>45.67</v>
      </c>
    </row>
    <row r="130">
      <c r="A130" s="20" t="inlineStr">
        <is>
          <t>예수보증금</t>
        </is>
      </c>
      <c r="E130" s="22" t="n">
        <v>25.535</v>
      </c>
      <c r="I130" s="22" t="n">
        <v>45.67</v>
      </c>
      <c r="J130" s="22" t="n">
        <v>37.1</v>
      </c>
      <c r="K130" s="22" t="n">
        <v>31.535</v>
      </c>
      <c r="L130" s="22" t="n">
        <v>25.535</v>
      </c>
    </row>
    <row r="131">
      <c r="A131" s="20" t="inlineStr">
        <is>
          <t>기타</t>
        </is>
      </c>
      <c r="C131" s="22" t="n">
        <v>28.535</v>
      </c>
      <c r="D131" s="22" t="n">
        <v>27.035</v>
      </c>
      <c r="E131" s="22" t="n">
        <v>25.535</v>
      </c>
      <c r="F131" s="22" t="n">
        <v>24.035</v>
      </c>
      <c r="G131" s="22" t="n">
        <v>22.535</v>
      </c>
      <c r="H131" s="22" t="n">
        <v>52.11</v>
      </c>
      <c r="I131" s="22" t="n">
        <v>45.67</v>
      </c>
      <c r="J131" s="22" t="n">
        <v>37.1</v>
      </c>
      <c r="K131" s="22" t="n">
        <v>31.535</v>
      </c>
      <c r="L131" s="22" t="n">
        <v>25.535</v>
      </c>
    </row>
    <row r="132">
      <c r="A132" s="9" t="inlineStr">
        <is>
          <t>비유동부채 합계</t>
        </is>
      </c>
      <c r="C132" s="12" t="n">
        <v>8685.198</v>
      </c>
      <c r="D132" s="12" t="n">
        <v>8883.008</v>
      </c>
      <c r="E132" s="12" t="n">
        <v>9219.689</v>
      </c>
      <c r="F132" s="12" t="n">
        <v>8915.183000000001</v>
      </c>
      <c r="G132" s="12" t="n">
        <v>8576.339</v>
      </c>
      <c r="H132" s="12" t="n">
        <v>10650.276</v>
      </c>
      <c r="I132" s="12" t="n">
        <v>9338.511</v>
      </c>
      <c r="J132" s="12" t="n">
        <v>8370.529</v>
      </c>
      <c r="K132" s="12" t="n">
        <v>8967.732</v>
      </c>
      <c r="L132" s="12" t="n">
        <v>9219.689</v>
      </c>
    </row>
    <row r="133">
      <c r="A133" s="9" t="inlineStr">
        <is>
          <t>부채 합계</t>
        </is>
      </c>
      <c r="C133" s="12" t="n">
        <v>14073.627</v>
      </c>
      <c r="D133" s="12" t="n">
        <v>13171.57</v>
      </c>
      <c r="E133" s="12" t="n">
        <v>13720.562</v>
      </c>
      <c r="F133" s="12" t="n">
        <v>12724.277</v>
      </c>
      <c r="G133" s="12" t="n">
        <v>13101.663</v>
      </c>
      <c r="H133" s="12" t="n">
        <v>13900.304</v>
      </c>
      <c r="I133" s="12" t="n">
        <v>13320.676</v>
      </c>
      <c r="J133" s="12" t="n">
        <v>12427.209</v>
      </c>
      <c r="K133" s="12" t="n">
        <v>13536.511</v>
      </c>
      <c r="L133" s="12" t="n">
        <v>13720.562</v>
      </c>
    </row>
    <row r="134">
      <c r="A134" s="20" t="inlineStr">
        <is>
          <t>자본금</t>
        </is>
      </c>
      <c r="C134" s="22" t="n">
        <v>953.92</v>
      </c>
      <c r="D134" s="22" t="n">
        <v>953.92</v>
      </c>
      <c r="E134" s="22" t="n">
        <v>953.92</v>
      </c>
      <c r="F134" s="22" t="n">
        <v>953.92</v>
      </c>
      <c r="G134" s="22" t="n">
        <v>953.92</v>
      </c>
      <c r="H134" s="22" t="n">
        <v>953.92</v>
      </c>
      <c r="I134" s="22" t="n">
        <v>953.92</v>
      </c>
      <c r="J134" s="22" t="n">
        <v>953.92</v>
      </c>
      <c r="K134" s="22" t="n">
        <v>953.92</v>
      </c>
      <c r="L134" s="22" t="n">
        <v>953.92</v>
      </c>
    </row>
    <row r="135">
      <c r="A135" s="20" t="inlineStr">
        <is>
          <t>자본준비금</t>
        </is>
      </c>
      <c r="E135" s="22" t="n">
        <v>878.92</v>
      </c>
      <c r="H135" s="22" t="n">
        <v>878.92</v>
      </c>
      <c r="I135" s="22" t="n">
        <v>878.92</v>
      </c>
      <c r="J135" s="22" t="n">
        <v>878.92</v>
      </c>
      <c r="K135" s="22" t="n">
        <v>878.92</v>
      </c>
      <c r="L135" s="22" t="n">
        <v>878.92</v>
      </c>
    </row>
    <row r="136">
      <c r="A136" s="20" t="inlineStr">
        <is>
          <t>기타자본잉여금</t>
        </is>
      </c>
      <c r="E136" s="22" t="n">
        <v>508.518</v>
      </c>
      <c r="H136" s="22" t="n">
        <v>508.518</v>
      </c>
      <c r="I136" s="22" t="n">
        <v>508.518</v>
      </c>
      <c r="J136" s="22" t="n">
        <v>508.518</v>
      </c>
      <c r="K136" s="22" t="n">
        <v>508.518</v>
      </c>
      <c r="L136" s="22" t="n">
        <v>508.518</v>
      </c>
    </row>
    <row r="137">
      <c r="A137" s="20" t="inlineStr">
        <is>
          <t>자본잉여금</t>
        </is>
      </c>
      <c r="C137" s="22" t="n">
        <v>1387.438</v>
      </c>
      <c r="D137" s="22" t="n">
        <v>1387.438</v>
      </c>
      <c r="E137" s="22" t="n">
        <v>1387.438</v>
      </c>
      <c r="F137" s="22" t="n">
        <v>1387.438</v>
      </c>
      <c r="G137" s="22" t="n">
        <v>1387.438</v>
      </c>
      <c r="H137" s="22" t="n">
        <v>1387.438</v>
      </c>
      <c r="I137" s="22" t="n">
        <v>1387.438</v>
      </c>
      <c r="J137" s="22" t="n">
        <v>1387.438</v>
      </c>
      <c r="K137" s="22" t="n">
        <v>1387.438</v>
      </c>
      <c r="L137" s="22" t="n">
        <v>1387.438</v>
      </c>
    </row>
    <row r="138">
      <c r="A138" s="20" t="inlineStr">
        <is>
          <t>Reserve For Special Depreciation</t>
        </is>
      </c>
      <c r="H138" s="22" t="n">
        <v>0</v>
      </c>
    </row>
    <row r="139">
      <c r="A139" s="20" t="inlineStr">
        <is>
          <t>이월이익잉여금</t>
        </is>
      </c>
      <c r="E139" s="22" t="n">
        <v>13268.837</v>
      </c>
      <c r="H139" s="22" t="n">
        <v>4200.109</v>
      </c>
      <c r="I139" s="22" t="n">
        <v>5950.467</v>
      </c>
      <c r="J139" s="22" t="n">
        <v>8092.996</v>
      </c>
      <c r="K139" s="22" t="n">
        <v>10408.652</v>
      </c>
      <c r="L139" s="22" t="n">
        <v>13268.837</v>
      </c>
    </row>
    <row r="140">
      <c r="A140" s="20" t="inlineStr">
        <is>
          <t>이익잉여금</t>
        </is>
      </c>
      <c r="C140" s="22" t="n">
        <v>11608.902</v>
      </c>
      <c r="D140" s="22" t="n">
        <v>12616.178</v>
      </c>
      <c r="E140" s="22" t="n">
        <v>13268.837</v>
      </c>
      <c r="F140" s="22" t="n">
        <v>13388.293</v>
      </c>
      <c r="G140" s="22" t="n">
        <v>14338.29</v>
      </c>
      <c r="H140" s="22" t="n">
        <v>4200.109</v>
      </c>
      <c r="I140" s="22" t="n">
        <v>5950.467</v>
      </c>
      <c r="J140" s="22" t="n">
        <v>8092.996</v>
      </c>
      <c r="K140" s="22" t="n">
        <v>10408.652</v>
      </c>
      <c r="L140" s="22" t="n">
        <v>13268.837</v>
      </c>
    </row>
    <row r="141">
      <c r="A141" s="20" t="inlineStr">
        <is>
          <t>자기주식</t>
        </is>
      </c>
      <c r="C141" s="22" t="n">
        <v>-0.9409999999999999</v>
      </c>
      <c r="D141" s="22" t="n">
        <v>-0.9409999999999999</v>
      </c>
      <c r="E141" s="22" t="n">
        <v>-0.9409999999999999</v>
      </c>
      <c r="F141" s="22" t="n">
        <v>-1.069</v>
      </c>
      <c r="G141" s="22" t="n">
        <v>-1.069</v>
      </c>
      <c r="H141" s="22" t="n">
        <v>-0.723</v>
      </c>
      <c r="I141" s="22" t="n">
        <v>-0.766</v>
      </c>
      <c r="J141" s="22" t="n">
        <v>-0.886</v>
      </c>
      <c r="K141" s="22" t="n">
        <v>-0.9409999999999999</v>
      </c>
      <c r="L141" s="22" t="n">
        <v>-0.9409999999999999</v>
      </c>
    </row>
    <row r="142">
      <c r="A142" s="9" t="inlineStr">
        <is>
          <t>주주자본 합계</t>
        </is>
      </c>
      <c r="C142" s="12" t="n">
        <v>13949.319</v>
      </c>
      <c r="D142" s="12" t="n">
        <v>14956.594</v>
      </c>
      <c r="E142" s="12" t="n">
        <v>15609.254</v>
      </c>
      <c r="F142" s="12" t="n">
        <v>15728.581</v>
      </c>
      <c r="G142" s="12" t="n">
        <v>16678.579</v>
      </c>
      <c r="H142" s="12" t="n">
        <v>6540.744</v>
      </c>
      <c r="I142" s="12" t="n">
        <v>8291.058000000001</v>
      </c>
      <c r="J142" s="12" t="n">
        <v>10433.467</v>
      </c>
      <c r="K142" s="12" t="n">
        <v>12749.068</v>
      </c>
      <c r="L142" s="12" t="n">
        <v>15609.254</v>
      </c>
    </row>
    <row r="143">
      <c r="A143" s="9" t="inlineStr">
        <is>
          <t>순자산 합계</t>
        </is>
      </c>
      <c r="C143" s="12" t="n">
        <v>13949.319</v>
      </c>
      <c r="D143" s="12" t="n">
        <v>14956.594</v>
      </c>
      <c r="E143" s="12" t="n">
        <v>15609.254</v>
      </c>
      <c r="F143" s="12" t="n">
        <v>15728.581</v>
      </c>
      <c r="G143" s="12" t="n">
        <v>16678.579</v>
      </c>
      <c r="H143" s="12" t="n">
        <v>6540.744</v>
      </c>
      <c r="I143" s="12" t="n">
        <v>8291.058000000001</v>
      </c>
      <c r="J143" s="12" t="n">
        <v>10433.467</v>
      </c>
      <c r="K143" s="12" t="n">
        <v>12749.068</v>
      </c>
      <c r="L143" s="12" t="n">
        <v>15609.254</v>
      </c>
    </row>
    <row r="144">
      <c r="A144" s="9" t="inlineStr">
        <is>
          <t>부채·순자산 합계</t>
        </is>
      </c>
      <c r="C144" s="12" t="n">
        <v>28022.946</v>
      </c>
      <c r="D144" s="12" t="n">
        <v>28128.165</v>
      </c>
      <c r="E144" s="12" t="n">
        <v>29329.816</v>
      </c>
      <c r="F144" s="12" t="n">
        <v>28452.859</v>
      </c>
      <c r="G144" s="12" t="n">
        <v>29780.242</v>
      </c>
      <c r="H144" s="12" t="n">
        <v>20441.048</v>
      </c>
      <c r="I144" s="12" t="n">
        <v>21611.734</v>
      </c>
      <c r="J144" s="12" t="n">
        <v>22860.676</v>
      </c>
      <c r="K144" s="12" t="n">
        <v>26285.579</v>
      </c>
      <c r="L144" s="12" t="n">
        <v>29329.816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6565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results · 2Q standalone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값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35.36</v>
      </c>
      <c r="N6" s="58" t="inlineStr">
        <is>
          <t>2단계 보고서 자료(회사 설명회 자료·공시)</t>
        </is>
      </c>
    </row>
    <row r="7">
      <c r="A7" s="56" t="inlineStr">
        <is>
          <t>gp</t>
        </is>
      </c>
      <c r="B7" s="57" t="n">
        <v>17.9</v>
      </c>
    </row>
    <row r="8">
      <c r="A8" s="56" t="inlineStr">
        <is>
          <t>sga</t>
        </is>
      </c>
      <c r="B8" s="57" t="n">
        <v>2</v>
      </c>
    </row>
    <row r="9">
      <c r="A9" s="56" t="inlineStr">
        <is>
          <t>영업이익</t>
        </is>
      </c>
      <c r="B9" s="57" t="n">
        <v>15.85</v>
      </c>
    </row>
    <row r="10">
      <c r="A10" s="56" t="inlineStr">
        <is>
          <t>ordinary</t>
        </is>
      </c>
      <c r="B10" s="57" t="n">
        <v>15.69</v>
      </c>
    </row>
    <row r="11">
      <c r="A11" s="56" t="inlineStr">
        <is>
          <t>순이익</t>
        </is>
      </c>
      <c r="B11" s="57" t="n">
        <v>9.5</v>
      </c>
    </row>
    <row r="12">
      <c r="A12" s="56" t="inlineStr">
        <is>
          <t>EPS</t>
        </is>
      </c>
      <c r="B12" s="57" t="n">
        <v>67.01000000000001</v>
      </c>
    </row>
    <row r="13">
      <c r="A13" s="56" t="inlineStr">
        <is>
          <t>YoY 매출 %</t>
        </is>
      </c>
      <c r="B13" s="57" t="n">
        <v>14.8</v>
      </c>
    </row>
    <row r="14">
      <c r="A14" s="56" t="inlineStr">
        <is>
          <t>YoY 영업이익 %</t>
        </is>
      </c>
      <c r="B14" s="57" t="n">
        <v>27.3</v>
      </c>
    </row>
    <row r="15">
      <c r="A15" s="56" t="inlineStr">
        <is>
          <t>YoY 순이익 %</t>
        </is>
      </c>
      <c r="B15" s="57" t="n">
        <v>25.7</v>
      </c>
    </row>
    <row r="17">
      <c r="A17" s="54" t="inlineStr">
        <is>
          <t>this results · 상반기</t>
        </is>
      </c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</row>
    <row r="18">
      <c r="A18" s="55" t="inlineStr">
        <is>
          <t>항목</t>
        </is>
      </c>
      <c r="B18" s="55" t="inlineStr">
        <is>
          <t>값</t>
        </is>
      </c>
      <c r="N18" s="55" t="inlineStr">
        <is>
          <t>출처</t>
        </is>
      </c>
    </row>
    <row r="19">
      <c r="A19" s="56" t="inlineStr">
        <is>
          <t>매출</t>
        </is>
      </c>
      <c r="B19" s="57" t="n">
        <v>64.12</v>
      </c>
      <c r="N19" s="58" t="inlineStr">
        <is>
          <t>2단계 보고서 자료(회사 설명회 자료·공시)</t>
        </is>
      </c>
    </row>
    <row r="20">
      <c r="A20" s="56" t="inlineStr">
        <is>
          <t>매출 YoY</t>
        </is>
      </c>
      <c r="B20" s="57" t="n">
        <v>6.3</v>
      </c>
    </row>
    <row r="21">
      <c r="A21" s="56" t="inlineStr">
        <is>
          <t>cogs</t>
        </is>
      </c>
      <c r="B21" s="57" t="n">
        <v>34.39</v>
      </c>
    </row>
    <row r="22">
      <c r="A22" s="56" t="inlineStr">
        <is>
          <t>gp</t>
        </is>
      </c>
      <c r="B22" s="57" t="n">
        <v>29.73</v>
      </c>
    </row>
    <row r="23">
      <c r="A23" s="56" t="inlineStr">
        <is>
          <t>sga</t>
        </is>
      </c>
      <c r="B23" s="57" t="n">
        <v>3.98</v>
      </c>
    </row>
    <row r="24">
      <c r="A24" s="56" t="inlineStr">
        <is>
          <t>영업이익</t>
        </is>
      </c>
      <c r="B24" s="57" t="n">
        <v>25.75</v>
      </c>
    </row>
    <row r="25">
      <c r="A25" s="56" t="inlineStr">
        <is>
          <t>영업이익 YoY</t>
        </is>
      </c>
      <c r="B25" s="57" t="n">
        <v>6.5</v>
      </c>
    </row>
    <row r="26">
      <c r="A26" s="56" t="inlineStr">
        <is>
          <t>ordinary</t>
        </is>
      </c>
      <c r="B26" s="57" t="n">
        <v>25.38</v>
      </c>
    </row>
    <row r="27">
      <c r="A27" s="56" t="inlineStr">
        <is>
          <t>ordinary YoY</t>
        </is>
      </c>
      <c r="B27" s="57" t="n">
        <v>6.2</v>
      </c>
    </row>
    <row r="28">
      <c r="A28" s="56" t="inlineStr">
        <is>
          <t>순이익</t>
        </is>
      </c>
      <c r="B28" s="57" t="n">
        <v>15.51</v>
      </c>
    </row>
    <row r="29">
      <c r="A29" s="56" t="inlineStr">
        <is>
          <t>순이익 YoY</t>
        </is>
      </c>
      <c r="B29" s="57" t="n">
        <v>4.6</v>
      </c>
    </row>
    <row r="30">
      <c r="A30" s="56" t="inlineStr">
        <is>
          <t>EPS</t>
        </is>
      </c>
      <c r="B30" s="57" t="n">
        <v>109.44</v>
      </c>
    </row>
    <row r="32">
      <c r="A32" s="54" t="inlineStr">
        <is>
          <t>implied</t>
        </is>
      </c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</row>
    <row r="33">
      <c r="A33" s="55" t="inlineStr">
        <is>
          <t>항목</t>
        </is>
      </c>
      <c r="B33" s="55" t="inlineStr">
        <is>
          <t>값</t>
        </is>
      </c>
      <c r="N33" s="55" t="inlineStr">
        <is>
          <t>출처</t>
        </is>
      </c>
    </row>
    <row r="34">
      <c r="A34" s="56" t="inlineStr">
        <is>
          <t>하반기 guide 매출</t>
        </is>
      </c>
      <c r="B34" s="57" t="n">
        <v>63.88</v>
      </c>
      <c r="N34" s="58" t="inlineStr">
        <is>
          <t>하반기 함의 = 통기 예상 - 중간기 실적(계산). 하반기 함의 매출 +2.0%, 영업 +2.0% YoY</t>
        </is>
      </c>
    </row>
    <row r="35">
      <c r="A35" s="56" t="inlineStr">
        <is>
          <t>하반기 guide 영업이익</t>
        </is>
      </c>
      <c r="B35" s="57" t="n">
        <v>25.25</v>
      </c>
    </row>
    <row r="36">
      <c r="A36" s="56" t="inlineStr">
        <is>
          <t>하반기 prior 매출</t>
        </is>
      </c>
      <c r="B36" s="57" t="n">
        <v>62.6</v>
      </c>
    </row>
    <row r="37">
      <c r="A37" s="56" t="inlineStr">
        <is>
          <t>하반기 prior 영업이익</t>
        </is>
      </c>
      <c r="B37" s="57" t="n">
        <v>24.75</v>
      </c>
    </row>
    <row r="39">
      <c r="A39" s="54" t="inlineStr">
        <is>
          <t>quarterly gp sga pbt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</row>
    <row r="40">
      <c r="A40" s="55" t="inlineStr">
        <is>
          <t>항목</t>
        </is>
      </c>
      <c r="B40" s="55" t="inlineStr">
        <is>
          <t>2024.3Q</t>
        </is>
      </c>
      <c r="C40" s="55" t="inlineStr">
        <is>
          <t>2024.4Q</t>
        </is>
      </c>
      <c r="D40" s="55" t="inlineStr">
        <is>
          <t>2025.1Q</t>
        </is>
      </c>
      <c r="E40" s="55" t="inlineStr">
        <is>
          <t>2025.2Q</t>
        </is>
      </c>
      <c r="F40" s="55" t="inlineStr">
        <is>
          <t>2025.3Q</t>
        </is>
      </c>
      <c r="G40" s="55" t="inlineStr">
        <is>
          <t>2025.4Q</t>
        </is>
      </c>
      <c r="H40" s="55" t="inlineStr">
        <is>
          <t>2026.1Q</t>
        </is>
      </c>
      <c r="I40" s="55" t="inlineStr">
        <is>
          <t>2026.2Q</t>
        </is>
      </c>
      <c r="J40" s="55" t="inlineStr">
        <is>
          <t>2026.3Q</t>
        </is>
      </c>
      <c r="K40" s="55" t="inlineStr">
        <is>
          <t>2026.4Q</t>
        </is>
      </c>
      <c r="L40" s="55" t="inlineStr">
        <is>
          <t>2027.1Q</t>
        </is>
      </c>
      <c r="M40" s="55" t="inlineStr">
        <is>
          <t>2027.2Q</t>
        </is>
      </c>
      <c r="N40" s="55" t="inlineStr">
        <is>
          <t>출처</t>
        </is>
      </c>
    </row>
    <row r="41">
      <c r="A41" s="56" t="inlineStr">
        <is>
          <t>gp</t>
        </is>
      </c>
      <c r="B41" s="57" t="n">
        <v>11.9</v>
      </c>
      <c r="C41" s="57" t="n">
        <v>9.5</v>
      </c>
      <c r="D41" s="57" t="n">
        <v>10.5</v>
      </c>
      <c r="E41" s="57" t="n">
        <v>12.1</v>
      </c>
      <c r="F41" s="57" t="n">
        <v>14.5</v>
      </c>
      <c r="G41" s="57" t="n">
        <v>9.199999999999999</v>
      </c>
      <c r="H41" s="57" t="n">
        <v>13.4</v>
      </c>
      <c r="I41" s="57" t="n">
        <v>14.1</v>
      </c>
      <c r="J41" s="57" t="n">
        <v>18.3</v>
      </c>
      <c r="K41" s="57" t="n">
        <v>10.4</v>
      </c>
      <c r="L41" s="57" t="n">
        <v>11.8</v>
      </c>
      <c r="M41" s="57" t="n">
        <v>17.9</v>
      </c>
      <c r="N41" s="58" t="inlineStr">
        <is>
          <t>2단계 보고서 자료(회사 설명회 자료·공시)</t>
        </is>
      </c>
    </row>
    <row r="42">
      <c r="A42" s="56" t="inlineStr">
        <is>
          <t>sga</t>
        </is>
      </c>
      <c r="B42" s="57" t="n">
        <v>1.5</v>
      </c>
      <c r="C42" s="57" t="n">
        <v>1.6</v>
      </c>
      <c r="D42" s="57" t="n">
        <v>1.5</v>
      </c>
      <c r="E42" s="57" t="n">
        <v>1.8</v>
      </c>
      <c r="F42" s="57" t="n">
        <v>1.6</v>
      </c>
      <c r="G42" s="57" t="n">
        <v>1.7</v>
      </c>
      <c r="H42" s="57" t="n">
        <v>1.7</v>
      </c>
      <c r="I42" s="57" t="n">
        <v>1.7</v>
      </c>
      <c r="J42" s="57" t="n">
        <v>2.1</v>
      </c>
      <c r="K42" s="57" t="n">
        <v>2</v>
      </c>
      <c r="L42" s="57" t="n">
        <v>1.9</v>
      </c>
      <c r="M42" s="57" t="n">
        <v>2</v>
      </c>
    </row>
    <row r="43">
      <c r="A43" s="56" t="inlineStr">
        <is>
          <t>pbt</t>
        </is>
      </c>
      <c r="B43" s="57" t="n">
        <v>10.3</v>
      </c>
      <c r="C43" s="57" t="n">
        <v>8.199999999999999</v>
      </c>
      <c r="D43" s="57" t="n">
        <v>8.9</v>
      </c>
      <c r="E43" s="57" t="n">
        <v>10.2</v>
      </c>
      <c r="F43" s="57" t="n">
        <v>12.7</v>
      </c>
      <c r="G43" s="57" t="n">
        <v>7.3</v>
      </c>
      <c r="H43" s="57" t="n">
        <v>11.6</v>
      </c>
      <c r="I43" s="57" t="n">
        <v>12.3</v>
      </c>
      <c r="J43" s="57" t="n">
        <v>16.1</v>
      </c>
      <c r="K43" s="57" t="n">
        <v>7.7</v>
      </c>
      <c r="L43" s="57" t="n">
        <v>9.699999999999999</v>
      </c>
      <c r="M43" s="57" t="n">
        <v>15.7</v>
      </c>
    </row>
    <row r="45">
      <c r="A45" s="54" t="inlineStr">
        <is>
          <t>bs annual</t>
        </is>
      </c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</row>
    <row r="46">
      <c r="A46" s="55" t="inlineStr">
        <is>
          <t>항목</t>
        </is>
      </c>
      <c r="B46" s="55" t="inlineStr">
        <is>
          <t>2022</t>
        </is>
      </c>
      <c r="C46" s="55" t="inlineStr">
        <is>
          <t>2023</t>
        </is>
      </c>
      <c r="D46" s="55" t="inlineStr">
        <is>
          <t>2024</t>
        </is>
      </c>
      <c r="E46" s="55" t="inlineStr">
        <is>
          <t>2025</t>
        </is>
      </c>
      <c r="F46" s="55" t="inlineStr">
        <is>
          <t>2026</t>
        </is>
      </c>
      <c r="N46" s="55" t="inlineStr">
        <is>
          <t>출처</t>
        </is>
      </c>
    </row>
    <row r="47">
      <c r="A47" s="56" t="inlineStr">
        <is>
          <t>labels</t>
        </is>
      </c>
      <c r="B47" s="59" t="n">
        <v>2022</v>
      </c>
      <c r="C47" s="59" t="n">
        <v>2023</v>
      </c>
      <c r="D47" s="59" t="n">
        <v>2024</v>
      </c>
      <c r="E47" s="59" t="n">
        <v>2025</v>
      </c>
      <c r="F47" s="59" t="n">
        <v>2026</v>
      </c>
      <c r="N47" s="58" t="inlineStr">
        <is>
          <t>2단계 보고서 자료(회사 설명회 자료·공시)</t>
        </is>
      </c>
    </row>
    <row r="48">
      <c r="A48" s="56" t="inlineStr">
        <is>
          <t>current assets</t>
        </is>
      </c>
      <c r="B48" s="57" t="n">
        <v>37.3</v>
      </c>
      <c r="C48" s="57" t="n">
        <v>54.9</v>
      </c>
      <c r="D48" s="57" t="n">
        <v>63.1</v>
      </c>
      <c r="E48" s="57" t="n">
        <v>67.40000000000001</v>
      </c>
      <c r="F48" s="57" t="n">
        <v>89.7</v>
      </c>
    </row>
    <row r="49">
      <c r="A49" s="56" t="inlineStr">
        <is>
          <t>cash</t>
        </is>
      </c>
      <c r="B49" s="57" t="n">
        <v>32.8</v>
      </c>
      <c r="C49" s="57" t="n">
        <v>47.8</v>
      </c>
      <c r="D49" s="57" t="n">
        <v>55.9</v>
      </c>
      <c r="E49" s="57" t="n">
        <v>59.2</v>
      </c>
      <c r="F49" s="57" t="n">
        <v>80.09999999999999</v>
      </c>
    </row>
    <row r="50">
      <c r="A50" s="56" t="inlineStr">
        <is>
          <t>st fin</t>
        </is>
      </c>
      <c r="B50" s="60" t="n"/>
      <c r="C50" s="60" t="n"/>
      <c r="D50" s="60" t="n"/>
      <c r="E50" s="60" t="n"/>
      <c r="F50" s="60" t="n"/>
    </row>
    <row r="51">
      <c r="A51" s="56" t="inlineStr">
        <is>
          <t>receivables</t>
        </is>
      </c>
      <c r="B51" s="57" t="n">
        <v>3.7</v>
      </c>
      <c r="C51" s="57" t="n">
        <v>6.2</v>
      </c>
      <c r="D51" s="57" t="n">
        <v>6.4</v>
      </c>
      <c r="E51" s="57" t="n">
        <v>7</v>
      </c>
      <c r="F51" s="57" t="n">
        <v>8.800000000000001</v>
      </c>
    </row>
    <row r="52">
      <c r="A52" s="56" t="inlineStr">
        <is>
          <t>inventory</t>
        </is>
      </c>
      <c r="B52" s="57" t="n">
        <v>0.2</v>
      </c>
      <c r="C52" s="57" t="n">
        <v>0.2</v>
      </c>
      <c r="D52" s="57" t="n">
        <v>0.2</v>
      </c>
      <c r="E52" s="57" t="n">
        <v>0.2</v>
      </c>
      <c r="F52" s="57" t="n">
        <v>0.3</v>
      </c>
    </row>
    <row r="53">
      <c r="A53" s="56" t="inlineStr">
        <is>
          <t>noncurrent assets</t>
        </is>
      </c>
      <c r="B53" s="57" t="n">
        <v>167.1</v>
      </c>
      <c r="C53" s="57" t="n">
        <v>161.2</v>
      </c>
      <c r="D53" s="57" t="n">
        <v>165.5</v>
      </c>
      <c r="E53" s="57" t="n">
        <v>195.5</v>
      </c>
      <c r="F53" s="57" t="n">
        <v>203.6</v>
      </c>
    </row>
    <row r="54">
      <c r="A54" s="56" t="inlineStr">
        <is>
          <t>ppe</t>
        </is>
      </c>
      <c r="B54" s="57" t="n">
        <v>159.1</v>
      </c>
      <c r="C54" s="57" t="n">
        <v>152.9</v>
      </c>
      <c r="D54" s="57" t="n">
        <v>157</v>
      </c>
      <c r="E54" s="57" t="n">
        <v>186.9</v>
      </c>
      <c r="F54" s="57" t="n">
        <v>193.4</v>
      </c>
    </row>
    <row r="55">
      <c r="A55" s="56" t="inlineStr">
        <is>
          <t>intangibles</t>
        </is>
      </c>
      <c r="B55" s="57" t="n">
        <v>0.3</v>
      </c>
      <c r="C55" s="57" t="n">
        <v>0.3</v>
      </c>
      <c r="D55" s="57" t="n">
        <v>0.3</v>
      </c>
      <c r="E55" s="57" t="n">
        <v>0.3</v>
      </c>
      <c r="F55" s="57" t="n">
        <v>0.4</v>
      </c>
    </row>
    <row r="56">
      <c r="A56" s="56" t="inlineStr">
        <is>
          <t>inv property</t>
        </is>
      </c>
      <c r="B56" s="60" t="n"/>
      <c r="C56" s="60" t="n"/>
      <c r="D56" s="60" t="n"/>
      <c r="E56" s="60" t="n"/>
      <c r="F56" s="60" t="n"/>
    </row>
    <row r="57">
      <c r="A57" s="56" t="inlineStr">
        <is>
          <t>합계 assets</t>
        </is>
      </c>
      <c r="B57" s="57" t="n">
        <v>204.4</v>
      </c>
      <c r="C57" s="57" t="n">
        <v>216.1</v>
      </c>
      <c r="D57" s="57" t="n">
        <v>228.6</v>
      </c>
      <c r="E57" s="57" t="n">
        <v>262.9</v>
      </c>
      <c r="F57" s="57" t="n">
        <v>293.3</v>
      </c>
    </row>
    <row r="58">
      <c r="A58" s="56" t="inlineStr">
        <is>
          <t>current liab</t>
        </is>
      </c>
      <c r="B58" s="57" t="n">
        <v>32.5</v>
      </c>
      <c r="C58" s="57" t="n">
        <v>39.8</v>
      </c>
      <c r="D58" s="57" t="n">
        <v>40.6</v>
      </c>
      <c r="E58" s="57" t="n">
        <v>45.7</v>
      </c>
      <c r="F58" s="57" t="n">
        <v>45</v>
      </c>
    </row>
    <row r="59">
      <c r="A59" s="56" t="inlineStr">
        <is>
          <t>payables</t>
        </is>
      </c>
      <c r="B59" s="60" t="n"/>
      <c r="C59" s="60" t="n"/>
      <c r="D59" s="60" t="n"/>
      <c r="E59" s="60" t="n"/>
      <c r="F59" s="60" t="n"/>
    </row>
    <row r="60">
      <c r="A60" s="56" t="inlineStr">
        <is>
          <t>st debt</t>
        </is>
      </c>
      <c r="B60" s="60" t="n"/>
      <c r="C60" s="57" t="n">
        <v>0</v>
      </c>
      <c r="D60" s="57" t="n">
        <v>1.3</v>
      </c>
      <c r="E60" s="57" t="n">
        <v>5.2</v>
      </c>
      <c r="F60" s="57" t="n">
        <v>0</v>
      </c>
    </row>
    <row r="61">
      <c r="A61" s="56" t="inlineStr">
        <is>
          <t>noncurrent liab</t>
        </is>
      </c>
      <c r="B61" s="57" t="n">
        <v>106.5</v>
      </c>
      <c r="C61" s="57" t="n">
        <v>93.40000000000001</v>
      </c>
      <c r="D61" s="57" t="n">
        <v>83.7</v>
      </c>
      <c r="E61" s="57" t="n">
        <v>89.7</v>
      </c>
      <c r="F61" s="57" t="n">
        <v>92.2</v>
      </c>
    </row>
    <row r="62">
      <c r="A62" s="56" t="inlineStr">
        <is>
          <t>lt debt</t>
        </is>
      </c>
      <c r="B62" s="57" t="n">
        <v>68.59999999999999</v>
      </c>
      <c r="C62" s="57" t="n">
        <v>57.2</v>
      </c>
      <c r="D62" s="57" t="n">
        <v>49.4</v>
      </c>
      <c r="E62" s="57" t="n">
        <v>55.3</v>
      </c>
      <c r="F62" s="57" t="n">
        <v>56.5</v>
      </c>
    </row>
    <row r="63">
      <c r="A63" s="56" t="inlineStr">
        <is>
          <t>bonds</t>
        </is>
      </c>
      <c r="B63" s="60" t="n"/>
      <c r="C63" s="60" t="n"/>
      <c r="D63" s="60" t="n"/>
      <c r="E63" s="60" t="n"/>
      <c r="F63" s="60" t="n"/>
    </row>
    <row r="64">
      <c r="A64" s="56" t="inlineStr">
        <is>
          <t>합계 liab</t>
        </is>
      </c>
      <c r="B64" s="57" t="n">
        <v>139</v>
      </c>
      <c r="C64" s="57" t="n">
        <v>133.2</v>
      </c>
      <c r="D64" s="57" t="n">
        <v>124.3</v>
      </c>
      <c r="E64" s="57" t="n">
        <v>135.4</v>
      </c>
      <c r="F64" s="57" t="n">
        <v>137.2</v>
      </c>
    </row>
    <row r="65">
      <c r="A65" s="56" t="inlineStr">
        <is>
          <t>capital stock</t>
        </is>
      </c>
      <c r="B65" s="57" t="n">
        <v>9.5</v>
      </c>
      <c r="C65" s="57" t="n">
        <v>9.5</v>
      </c>
      <c r="D65" s="57" t="n">
        <v>9.5</v>
      </c>
      <c r="E65" s="57" t="n">
        <v>9.5</v>
      </c>
      <c r="F65" s="57" t="n">
        <v>9.5</v>
      </c>
    </row>
    <row r="66">
      <c r="A66" s="56" t="inlineStr">
        <is>
          <t>retained</t>
        </is>
      </c>
      <c r="B66" s="57" t="n">
        <v>42</v>
      </c>
      <c r="C66" s="57" t="n">
        <v>59.5</v>
      </c>
      <c r="D66" s="57" t="n">
        <v>80.90000000000001</v>
      </c>
      <c r="E66" s="57" t="n">
        <v>104.1</v>
      </c>
      <c r="F66" s="57" t="n">
        <v>132.7</v>
      </c>
    </row>
    <row r="67">
      <c r="A67" s="56" t="inlineStr">
        <is>
          <t>nci</t>
        </is>
      </c>
      <c r="B67" s="60" t="n"/>
      <c r="C67" s="60" t="n"/>
      <c r="D67" s="60" t="n"/>
      <c r="E67" s="60" t="n"/>
      <c r="F67" s="60" t="n"/>
    </row>
    <row r="68">
      <c r="A68" s="56" t="inlineStr">
        <is>
          <t>합계 equity</t>
        </is>
      </c>
      <c r="B68" s="57" t="n">
        <v>65.40000000000001</v>
      </c>
      <c r="C68" s="57" t="n">
        <v>82.90000000000001</v>
      </c>
      <c r="D68" s="57" t="n">
        <v>104.3</v>
      </c>
      <c r="E68" s="57" t="n">
        <v>127.5</v>
      </c>
      <c r="F68" s="57" t="n">
        <v>156.1</v>
      </c>
    </row>
    <row r="69">
      <c r="A69" s="56" t="inlineStr">
        <is>
          <t>current ltd</t>
        </is>
      </c>
      <c r="B69" s="57" t="n">
        <v>15.3</v>
      </c>
      <c r="C69" s="57" t="n">
        <v>15.5</v>
      </c>
      <c r="D69" s="57" t="n">
        <v>16.2</v>
      </c>
      <c r="E69" s="57" t="n">
        <v>16.7</v>
      </c>
      <c r="F69" s="57" t="n">
        <v>14.8</v>
      </c>
    </row>
    <row r="70">
      <c r="A70" s="56" t="inlineStr">
        <is>
          <t>equity owner</t>
        </is>
      </c>
      <c r="B70" s="57" t="n">
        <v>65.40000000000001</v>
      </c>
      <c r="C70" s="57" t="n">
        <v>82.90000000000001</v>
      </c>
      <c r="D70" s="57" t="n">
        <v>104.3</v>
      </c>
      <c r="E70" s="57" t="n">
        <v>127.5</v>
      </c>
      <c r="F70" s="57" t="n">
        <v>156.1</v>
      </c>
    </row>
    <row r="72">
      <c r="A72" s="54" t="inlineStr">
        <is>
          <t>cf annual</t>
        </is>
      </c>
      <c r="B72" s="54" t="n"/>
      <c r="C72" s="54" t="n"/>
      <c r="D72" s="54" t="n"/>
      <c r="E72" s="54" t="n"/>
      <c r="F72" s="54" t="n"/>
      <c r="G72" s="54" t="n"/>
      <c r="H72" s="54" t="n"/>
      <c r="I72" s="54" t="n"/>
      <c r="J72" s="54" t="n"/>
      <c r="K72" s="54" t="n"/>
      <c r="L72" s="54" t="n"/>
      <c r="M72" s="54" t="n"/>
      <c r="N72" s="54" t="n"/>
    </row>
    <row r="73">
      <c r="A73" s="55" t="inlineStr">
        <is>
          <t>항목</t>
        </is>
      </c>
      <c r="B73" s="55" t="inlineStr">
        <is>
          <t>2022</t>
        </is>
      </c>
      <c r="C73" s="55" t="inlineStr">
        <is>
          <t>2023</t>
        </is>
      </c>
      <c r="D73" s="55" t="inlineStr">
        <is>
          <t>2024</t>
        </is>
      </c>
      <c r="E73" s="55" t="inlineStr">
        <is>
          <t>2025</t>
        </is>
      </c>
      <c r="F73" s="55" t="inlineStr">
        <is>
          <t>2026</t>
        </is>
      </c>
      <c r="N73" s="55" t="inlineStr">
        <is>
          <t>출처</t>
        </is>
      </c>
    </row>
    <row r="74">
      <c r="A74" s="56" t="inlineStr">
        <is>
          <t>labels</t>
        </is>
      </c>
      <c r="B74" s="59" t="n">
        <v>2022</v>
      </c>
      <c r="C74" s="59" t="n">
        <v>2023</v>
      </c>
      <c r="D74" s="59" t="n">
        <v>2024</v>
      </c>
      <c r="E74" s="59" t="n">
        <v>2025</v>
      </c>
      <c r="F74" s="59" t="n">
        <v>2026</v>
      </c>
      <c r="N74" s="58" t="inlineStr">
        <is>
          <t>2단계 보고서 자료(회사 설명회 자료·공시)</t>
        </is>
      </c>
    </row>
    <row r="75">
      <c r="A75" s="56" t="inlineStr">
        <is>
          <t>ocf</t>
        </is>
      </c>
      <c r="B75" s="57" t="n">
        <v>20.6</v>
      </c>
      <c r="C75" s="57" t="n">
        <v>30</v>
      </c>
      <c r="D75" s="57" t="n">
        <v>28.4</v>
      </c>
      <c r="E75" s="57" t="n">
        <v>32.8</v>
      </c>
      <c r="F75" s="57" t="n">
        <v>45.3</v>
      </c>
    </row>
    <row r="76">
      <c r="A76" s="56" t="inlineStr">
        <is>
          <t>설비투자</t>
        </is>
      </c>
      <c r="B76" s="57" t="n">
        <v>5.1</v>
      </c>
      <c r="C76" s="57" t="n">
        <v>3.8</v>
      </c>
      <c r="D76" s="57" t="n">
        <v>12.7</v>
      </c>
      <c r="E76" s="57" t="n">
        <v>38.1</v>
      </c>
      <c r="F76" s="57" t="n">
        <v>15.9</v>
      </c>
    </row>
    <row r="77">
      <c r="A77" s="56" t="inlineStr">
        <is>
          <t>dividends</t>
        </is>
      </c>
      <c r="B77" s="57" t="n">
        <v>0.1</v>
      </c>
      <c r="C77" s="57" t="n">
        <v>0.6</v>
      </c>
      <c r="D77" s="57" t="n">
        <v>1.7</v>
      </c>
      <c r="E77" s="57" t="n">
        <v>2.3</v>
      </c>
      <c r="F77" s="57" t="n">
        <v>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https://www2.jpx.co.jp/disc/65650/140120261029559547.pdf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https://www2.jpx.co.jp/disc/65650/140120260729501651.pdf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https://www2.jpx.co.jp/disc/65650/140120260507518253.pdf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https://www2.jpx.co.jp/disc/65650/140120260127539192.pdf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https://www2.jpx.co.jp/disc/65650/140120251030582779.pdf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https://www2.jpx.co.jp/disc/65650/140120250731525011.pdf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https://www2.jpx.co.jp/disc/65650/140120250508534509.pdf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https://www2.jpx.co.jp/disc/65650/140120250131559403.pdf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https://www2.jpx.co.jp/disc/65650/140120241029505168.pdf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https://www2.jpx.co.jp/disc/65650/140120240730557310.pdf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https://www2.jpx.co.jp/disc/65650/140120240508584772.pdf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https://www2.jpx.co.jp/disc/65650/140120240130521916.pdf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https://www2.jpx.co.jp/disc/65650/140120231030575110.pdf</t>
        </is>
      </c>
    </row>
    <row r="17">
      <c r="A17" t="inlineStr">
        <is>
          <t>2023-07-28</t>
        </is>
      </c>
      <c r="B17" t="inlineStr">
        <is>
          <t>2024년 3월 결산기 １분기 결산단신</t>
        </is>
      </c>
      <c r="C17" t="inlineStr">
        <is>
          <t>https://www2.jpx.co.jp/disc/65650/140120230727528260.pdf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https://www2.jpx.co.jp/disc/65650/140120230509561813.pdf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https://www2.jpx.co.jp/disc/65650/140120230131596778.pdf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https://www2.jpx.co.jp/disc/65650/140120220510536694.pdf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https://www2.jpx.co.jp/disc/65650/140120210506406337.pdf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https://www2.jpx.co.jp/disc/65650/140120200511407933.pdf</t>
        </is>
      </c>
    </row>
    <row r="23">
      <c r="A23" t="inlineStr">
        <is>
          <t>2019-05-08</t>
        </is>
      </c>
      <c r="B23" t="inlineStr">
        <is>
          <t>2019년 3월 결산기 연간 결산단신</t>
        </is>
      </c>
      <c r="C23" t="inlineStr">
        <is>
          <t>https://www2.jpx.co.jp/disc/65650/140120190508416481.pdf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https://www2.jpx.co.jp/disc/65650/140120180508429389.pdf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6565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/>
      <c r="D5" s="67" t="n"/>
      <c r="E5" s="67" t="n"/>
      <c r="F5" s="67" t="n">
        <v>11.8</v>
      </c>
      <c r="G5" s="67" t="n">
        <v>11.1</v>
      </c>
      <c r="H5" s="67" t="n">
        <v>12.1</v>
      </c>
      <c r="I5" s="67" t="n">
        <v>13.9</v>
      </c>
      <c r="J5" s="67" t="n">
        <v>15.2</v>
      </c>
      <c r="K5" s="67" t="n">
        <v>13.9</v>
      </c>
      <c r="L5" s="67" t="n">
        <v>15.9</v>
      </c>
      <c r="M5" s="67" t="n">
        <v>16.7</v>
      </c>
      <c r="N5" s="67" t="n">
        <v>17</v>
      </c>
      <c r="O5" s="67" t="n">
        <v>13.4</v>
      </c>
      <c r="P5" s="67" t="n">
        <v>8.5</v>
      </c>
      <c r="Q5" s="67" t="n">
        <v>12.1</v>
      </c>
      <c r="R5" s="67" t="n">
        <v>14.5</v>
      </c>
      <c r="S5" s="67" t="n">
        <v>12.3</v>
      </c>
      <c r="T5" s="67" t="n">
        <v>14</v>
      </c>
      <c r="U5" s="67" t="n">
        <v>15</v>
      </c>
      <c r="V5" s="67" t="n">
        <v>18.2</v>
      </c>
      <c r="W5" s="67" t="n">
        <v>16.2</v>
      </c>
      <c r="X5" s="67" t="n">
        <v>18.9</v>
      </c>
      <c r="Y5" s="67" t="n">
        <v>21.1</v>
      </c>
      <c r="Z5" s="67" t="n">
        <v>24.9</v>
      </c>
      <c r="AA5" s="67" t="n">
        <v>23.1</v>
      </c>
      <c r="AB5" s="67" t="n">
        <v>23.8</v>
      </c>
      <c r="AC5" s="67" t="n">
        <v>24.7</v>
      </c>
      <c r="AD5" s="67" t="n">
        <v>26.6</v>
      </c>
      <c r="AE5" s="67" t="n">
        <v>24.4</v>
      </c>
      <c r="AF5" s="67" t="n">
        <v>25.2</v>
      </c>
      <c r="AG5" s="67" t="n">
        <v>26.6</v>
      </c>
      <c r="AH5" s="67" t="n">
        <v>30.1</v>
      </c>
      <c r="AI5" s="67" t="n">
        <v>24.8</v>
      </c>
      <c r="AJ5" s="67" t="n">
        <v>29.5</v>
      </c>
      <c r="AK5" s="67" t="n">
        <v>30.8</v>
      </c>
      <c r="AL5" s="67" t="n">
        <v>35</v>
      </c>
      <c r="AM5" s="67" t="n">
        <v>27.6</v>
      </c>
      <c r="AN5" s="67" t="n">
        <v>28.8</v>
      </c>
      <c r="AO5" s="67" t="n">
        <v>35.4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/>
      <c r="H6" s="68" t="n"/>
      <c r="I6" s="68" t="n"/>
      <c r="J6" s="68" t="n">
        <v>28.8</v>
      </c>
      <c r="K6" s="68" t="n">
        <v>25.2</v>
      </c>
      <c r="L6" s="68" t="n">
        <v>31.4</v>
      </c>
      <c r="M6" s="68" t="n">
        <v>20.1</v>
      </c>
      <c r="N6" s="68" t="n">
        <v>11.8</v>
      </c>
      <c r="O6" s="68" t="n">
        <v>-3.6</v>
      </c>
      <c r="P6" s="68" t="n">
        <v>-46.5</v>
      </c>
      <c r="Q6" s="68" t="n">
        <v>-27.5</v>
      </c>
      <c r="R6" s="68" t="n">
        <v>-14.7</v>
      </c>
      <c r="S6" s="68" t="n">
        <v>-8.199999999999999</v>
      </c>
      <c r="T6" s="68" t="n">
        <v>64.7</v>
      </c>
      <c r="U6" s="68" t="n">
        <v>24</v>
      </c>
      <c r="V6" s="68" t="n">
        <v>25.5</v>
      </c>
      <c r="W6" s="68" t="n">
        <v>31.7</v>
      </c>
      <c r="X6" s="68" t="n">
        <v>35</v>
      </c>
      <c r="Y6" s="68" t="n">
        <v>40.7</v>
      </c>
      <c r="Z6" s="68" t="n">
        <v>36.8</v>
      </c>
      <c r="AA6" s="68" t="n">
        <v>42.6</v>
      </c>
      <c r="AB6" s="68" t="n">
        <v>25.9</v>
      </c>
      <c r="AC6" s="68" t="n">
        <v>17.1</v>
      </c>
      <c r="AD6" s="68" t="n">
        <v>6.8</v>
      </c>
      <c r="AE6" s="68" t="n">
        <v>5.6</v>
      </c>
      <c r="AF6" s="68" t="n">
        <v>5.9</v>
      </c>
      <c r="AG6" s="68" t="n">
        <v>7.7</v>
      </c>
      <c r="AH6" s="68" t="n">
        <v>13.2</v>
      </c>
      <c r="AI6" s="68" t="n">
        <v>1.6</v>
      </c>
      <c r="AJ6" s="68" t="n">
        <v>17.1</v>
      </c>
      <c r="AK6" s="68" t="n">
        <v>15.8</v>
      </c>
      <c r="AL6" s="68" t="n">
        <v>16.3</v>
      </c>
      <c r="AM6" s="68" t="n">
        <v>11.3</v>
      </c>
      <c r="AN6" s="68" t="n">
        <v>-2.4</v>
      </c>
      <c r="AO6" s="68" t="n">
        <v>14.9</v>
      </c>
    </row>
    <row r="7">
      <c r="A7" s="66" t="inlineStr">
        <is>
          <t>영업이익</t>
        </is>
      </c>
      <c r="B7" s="67" t="n"/>
      <c r="C7" s="67" t="n"/>
      <c r="D7" s="67" t="n"/>
      <c r="E7" s="67" t="n"/>
      <c r="F7" s="67" t="n">
        <v>3.7</v>
      </c>
      <c r="G7" s="67" t="n">
        <v>2.6</v>
      </c>
      <c r="H7" s="67" t="n">
        <v>2.8</v>
      </c>
      <c r="I7" s="67" t="n">
        <v>3.7</v>
      </c>
      <c r="J7" s="67" t="n">
        <v>4.5</v>
      </c>
      <c r="K7" s="67" t="n">
        <v>3</v>
      </c>
      <c r="L7" s="67" t="n">
        <v>3.6</v>
      </c>
      <c r="M7" s="67" t="n">
        <v>4.6</v>
      </c>
      <c r="N7" s="67" t="n">
        <v>4.5</v>
      </c>
      <c r="O7" s="67" t="n">
        <v>0.7</v>
      </c>
      <c r="P7" s="67" t="n">
        <v>-1.6</v>
      </c>
      <c r="Q7" s="67" t="n">
        <v>0.1</v>
      </c>
      <c r="R7" s="67" t="n">
        <v>2.2</v>
      </c>
      <c r="S7" s="67" t="n">
        <v>-0.3</v>
      </c>
      <c r="T7" s="67" t="n">
        <v>0.4</v>
      </c>
      <c r="U7" s="67" t="n">
        <v>1.6</v>
      </c>
      <c r="V7" s="67" t="n">
        <v>4.7</v>
      </c>
      <c r="W7" s="67" t="n">
        <v>2.9</v>
      </c>
      <c r="X7" s="67" t="n">
        <v>4.9</v>
      </c>
      <c r="Y7" s="67" t="n">
        <v>7</v>
      </c>
      <c r="Z7" s="67" t="n">
        <v>10.1</v>
      </c>
      <c r="AA7" s="67" t="n">
        <v>7.8</v>
      </c>
      <c r="AB7" s="67" t="n">
        <v>8.6</v>
      </c>
      <c r="AC7" s="67" t="n">
        <v>9.1</v>
      </c>
      <c r="AD7" s="67" t="n">
        <v>10.5</v>
      </c>
      <c r="AE7" s="67" t="n">
        <v>8</v>
      </c>
      <c r="AF7" s="67" t="n">
        <v>9</v>
      </c>
      <c r="AG7" s="67" t="n">
        <v>10.3</v>
      </c>
      <c r="AH7" s="67" t="n">
        <v>12.8</v>
      </c>
      <c r="AI7" s="67" t="n">
        <v>7.5</v>
      </c>
      <c r="AJ7" s="67" t="n">
        <v>11.7</v>
      </c>
      <c r="AK7" s="67" t="n">
        <v>12.5</v>
      </c>
      <c r="AL7" s="67" t="n">
        <v>16.3</v>
      </c>
      <c r="AM7" s="67" t="n">
        <v>8.5</v>
      </c>
      <c r="AN7" s="67" t="n">
        <v>9.9</v>
      </c>
      <c r="AO7" s="67" t="n">
        <v>15.9</v>
      </c>
    </row>
    <row r="8">
      <c r="A8" s="66" t="inlineStr">
        <is>
          <t>영업이익률</t>
        </is>
      </c>
      <c r="B8" s="68" t="n"/>
      <c r="C8" s="68" t="n"/>
      <c r="D8" s="68" t="n"/>
      <c r="E8" s="68" t="n"/>
      <c r="F8" s="68" t="n">
        <v>31.4</v>
      </c>
      <c r="G8" s="68" t="n">
        <v>23.4</v>
      </c>
      <c r="H8" s="68" t="n">
        <v>23.1</v>
      </c>
      <c r="I8" s="68" t="n">
        <v>26.6</v>
      </c>
      <c r="J8" s="68" t="n">
        <v>29.6</v>
      </c>
      <c r="K8" s="68" t="n">
        <v>21.6</v>
      </c>
      <c r="L8" s="68" t="n">
        <v>22.6</v>
      </c>
      <c r="M8" s="68" t="n">
        <v>27.5</v>
      </c>
      <c r="N8" s="68" t="n">
        <v>26.5</v>
      </c>
      <c r="O8" s="68" t="n">
        <v>5.2</v>
      </c>
      <c r="P8" s="68" t="n">
        <v>-18.8</v>
      </c>
      <c r="Q8" s="68" t="n">
        <v>0.8</v>
      </c>
      <c r="R8" s="68" t="n">
        <v>15.2</v>
      </c>
      <c r="S8" s="68" t="n">
        <v>-2.4</v>
      </c>
      <c r="T8" s="68" t="n">
        <v>2.9</v>
      </c>
      <c r="U8" s="68" t="n">
        <v>10.7</v>
      </c>
      <c r="V8" s="68" t="n">
        <v>25.8</v>
      </c>
      <c r="W8" s="68" t="n">
        <v>17.9</v>
      </c>
      <c r="X8" s="68" t="n">
        <v>25.9</v>
      </c>
      <c r="Y8" s="68" t="n">
        <v>33.2</v>
      </c>
      <c r="Z8" s="68" t="n">
        <v>40.6</v>
      </c>
      <c r="AA8" s="68" t="n">
        <v>33.8</v>
      </c>
      <c r="AB8" s="68" t="n">
        <v>36.1</v>
      </c>
      <c r="AC8" s="68" t="n">
        <v>36.8</v>
      </c>
      <c r="AD8" s="68" t="n">
        <v>39.5</v>
      </c>
      <c r="AE8" s="68" t="n">
        <v>32.8</v>
      </c>
      <c r="AF8" s="68" t="n">
        <v>35.7</v>
      </c>
      <c r="AG8" s="68" t="n">
        <v>38.7</v>
      </c>
      <c r="AH8" s="68" t="n">
        <v>42.5</v>
      </c>
      <c r="AI8" s="68" t="n">
        <v>30.2</v>
      </c>
      <c r="AJ8" s="68" t="n">
        <v>39.7</v>
      </c>
      <c r="AK8" s="68" t="n">
        <v>40.6</v>
      </c>
      <c r="AL8" s="68" t="n">
        <v>46.6</v>
      </c>
      <c r="AM8" s="68" t="n">
        <v>30.8</v>
      </c>
      <c r="AN8" s="68" t="n">
        <v>34.4</v>
      </c>
      <c r="AO8" s="68" t="n">
        <v>44.9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/>
      <c r="H9" s="68" t="n"/>
      <c r="I9" s="68" t="n"/>
      <c r="J9" s="68" t="n">
        <v>21.6</v>
      </c>
      <c r="K9" s="68" t="n">
        <v>15.4</v>
      </c>
      <c r="L9" s="68" t="n">
        <v>28.6</v>
      </c>
      <c r="M9" s="68" t="n">
        <v>24.3</v>
      </c>
      <c r="N9" s="68" t="n">
        <v>0</v>
      </c>
      <c r="O9" s="68" t="n">
        <v>-76.7</v>
      </c>
      <c r="P9" s="68" t="n">
        <v>-144.4</v>
      </c>
      <c r="Q9" s="68" t="n">
        <v>-97.8</v>
      </c>
      <c r="R9" s="68" t="n">
        <v>-51.1</v>
      </c>
      <c r="S9" s="68" t="n">
        <v>-142.9</v>
      </c>
      <c r="T9" s="68" t="n"/>
      <c r="U9" s="68" t="n">
        <v>1500</v>
      </c>
      <c r="V9" s="68" t="n">
        <v>113.6</v>
      </c>
      <c r="W9" s="68" t="n"/>
      <c r="X9" s="68" t="n">
        <v>1125</v>
      </c>
      <c r="Y9" s="68" t="n">
        <v>337.5</v>
      </c>
      <c r="Z9" s="68" t="n">
        <v>114.9</v>
      </c>
      <c r="AA9" s="68" t="n">
        <v>169</v>
      </c>
      <c r="AB9" s="68" t="n">
        <v>75.5</v>
      </c>
      <c r="AC9" s="68" t="n">
        <v>30</v>
      </c>
      <c r="AD9" s="68" t="n">
        <v>4</v>
      </c>
      <c r="AE9" s="68" t="n">
        <v>2.6</v>
      </c>
      <c r="AF9" s="68" t="n">
        <v>4.7</v>
      </c>
      <c r="AG9" s="68" t="n">
        <v>13.2</v>
      </c>
      <c r="AH9" s="68" t="n">
        <v>21.9</v>
      </c>
      <c r="AI9" s="68" t="n">
        <v>-6.2</v>
      </c>
      <c r="AJ9" s="68" t="n">
        <v>30</v>
      </c>
      <c r="AK9" s="68" t="n">
        <v>21.4</v>
      </c>
      <c r="AL9" s="68" t="n">
        <v>27.3</v>
      </c>
      <c r="AM9" s="68" t="n">
        <v>13.3</v>
      </c>
      <c r="AN9" s="68" t="n">
        <v>-15.4</v>
      </c>
      <c r="AO9" s="68" t="n">
        <v>27.2</v>
      </c>
    </row>
    <row r="10">
      <c r="A10" s="66" t="inlineStr">
        <is>
          <t>유동자산</t>
        </is>
      </c>
      <c r="B10" s="67" t="n"/>
      <c r="C10" s="67" t="n">
        <v>17.2</v>
      </c>
      <c r="D10" s="67" t="n"/>
      <c r="E10" s="67" t="n"/>
      <c r="F10" s="67" t="n">
        <v>23.8</v>
      </c>
      <c r="G10" s="67" t="n">
        <v>28.5</v>
      </c>
      <c r="H10" s="67" t="n">
        <v>24.2</v>
      </c>
      <c r="I10" s="67" t="n">
        <v>28.8</v>
      </c>
      <c r="J10" s="67" t="n">
        <v>34.8</v>
      </c>
      <c r="K10" s="67" t="n">
        <v>36.3</v>
      </c>
      <c r="L10" s="67" t="n">
        <v>28.7</v>
      </c>
      <c r="M10" s="67" t="n">
        <v>33.8</v>
      </c>
      <c r="N10" s="67" t="n">
        <v>38</v>
      </c>
      <c r="O10" s="67" t="n">
        <v>42.3</v>
      </c>
      <c r="P10" s="67" t="n">
        <v>42.4</v>
      </c>
      <c r="Q10" s="67" t="n">
        <v>38.2</v>
      </c>
      <c r="R10" s="67" t="n">
        <v>39.3</v>
      </c>
      <c r="S10" s="67" t="n">
        <v>35.7</v>
      </c>
      <c r="T10" s="67" t="n">
        <v>33.7</v>
      </c>
      <c r="U10" s="67" t="n">
        <v>33</v>
      </c>
      <c r="V10" s="67" t="n">
        <v>36.1</v>
      </c>
      <c r="W10" s="67" t="n">
        <v>37.3</v>
      </c>
      <c r="X10" s="67" t="n">
        <v>37.9</v>
      </c>
      <c r="Y10" s="67" t="n">
        <v>44</v>
      </c>
      <c r="Z10" s="67" t="n">
        <v>49.3</v>
      </c>
      <c r="AA10" s="67" t="n">
        <v>54.9</v>
      </c>
      <c r="AB10" s="67" t="n">
        <v>51.1</v>
      </c>
      <c r="AC10" s="67" t="n">
        <v>59.1</v>
      </c>
      <c r="AD10" s="67" t="n">
        <v>59</v>
      </c>
      <c r="AE10" s="67" t="n">
        <v>63.1</v>
      </c>
      <c r="AF10" s="67" t="n">
        <v>57.5</v>
      </c>
      <c r="AG10" s="67" t="n">
        <v>61.3</v>
      </c>
      <c r="AH10" s="67" t="n">
        <v>64.7</v>
      </c>
      <c r="AI10" s="67" t="n">
        <v>67.40000000000001</v>
      </c>
      <c r="AJ10" s="67" t="n">
        <v>68.7</v>
      </c>
      <c r="AK10" s="67" t="n">
        <v>79.90000000000001</v>
      </c>
      <c r="AL10" s="67" t="n">
        <v>81.5</v>
      </c>
      <c r="AM10" s="67" t="n">
        <v>89.7</v>
      </c>
      <c r="AN10" s="67" t="n">
        <v>77.3</v>
      </c>
      <c r="AO10" s="67" t="n">
        <v>84.7</v>
      </c>
    </row>
    <row r="11">
      <c r="A11" s="66" t="inlineStr">
        <is>
          <t>유동부채</t>
        </is>
      </c>
      <c r="B11" s="67" t="n"/>
      <c r="C11" s="67" t="n">
        <v>18</v>
      </c>
      <c r="D11" s="67" t="n"/>
      <c r="E11" s="67" t="n"/>
      <c r="F11" s="67" t="n">
        <v>23.4</v>
      </c>
      <c r="G11" s="67" t="n">
        <v>20.7</v>
      </c>
      <c r="H11" s="67" t="n">
        <v>21</v>
      </c>
      <c r="I11" s="67" t="n">
        <v>23</v>
      </c>
      <c r="J11" s="67" t="n">
        <v>24.7</v>
      </c>
      <c r="K11" s="67" t="n">
        <v>27.7</v>
      </c>
      <c r="L11" s="67" t="n">
        <v>24.4</v>
      </c>
      <c r="M11" s="67" t="n">
        <v>30.2</v>
      </c>
      <c r="N11" s="67" t="n">
        <v>31.5</v>
      </c>
      <c r="O11" s="67" t="n">
        <v>32.5</v>
      </c>
      <c r="P11" s="67" t="n">
        <v>27.2</v>
      </c>
      <c r="Q11" s="67" t="n">
        <v>25.9</v>
      </c>
      <c r="R11" s="67" t="n">
        <v>29.2</v>
      </c>
      <c r="S11" s="67" t="n">
        <v>26.7</v>
      </c>
      <c r="T11" s="67" t="n">
        <v>26.1</v>
      </c>
      <c r="U11" s="67" t="n">
        <v>27.8</v>
      </c>
      <c r="V11" s="67" t="n">
        <v>32.5</v>
      </c>
      <c r="W11" s="67" t="n">
        <v>32.5</v>
      </c>
      <c r="X11" s="67" t="n">
        <v>29.9</v>
      </c>
      <c r="Y11" s="67" t="n">
        <v>33.4</v>
      </c>
      <c r="Z11" s="67" t="n">
        <v>36</v>
      </c>
      <c r="AA11" s="67" t="n">
        <v>39.8</v>
      </c>
      <c r="AB11" s="67" t="n">
        <v>33</v>
      </c>
      <c r="AC11" s="67" t="n">
        <v>37.1</v>
      </c>
      <c r="AD11" s="67" t="n">
        <v>36.3</v>
      </c>
      <c r="AE11" s="67" t="n">
        <v>40.6</v>
      </c>
      <c r="AF11" s="67" t="n">
        <v>37.2</v>
      </c>
      <c r="AG11" s="67" t="n">
        <v>46</v>
      </c>
      <c r="AH11" s="67" t="n">
        <v>42.8</v>
      </c>
      <c r="AI11" s="67" t="n">
        <v>45.7</v>
      </c>
      <c r="AJ11" s="67" t="n">
        <v>43.2</v>
      </c>
      <c r="AK11" s="67" t="n">
        <v>53.9</v>
      </c>
      <c r="AL11" s="67" t="n">
        <v>42.9</v>
      </c>
      <c r="AM11" s="67" t="n">
        <v>45</v>
      </c>
      <c r="AN11" s="67" t="n">
        <v>38.1</v>
      </c>
      <c r="AO11" s="67" t="n">
        <v>45.3</v>
      </c>
    </row>
    <row r="12">
      <c r="A12" s="66" t="inlineStr">
        <is>
          <t>부채총계</t>
        </is>
      </c>
      <c r="B12" s="67" t="n"/>
      <c r="C12" s="67" t="n">
        <v>71</v>
      </c>
      <c r="D12" s="67" t="n"/>
      <c r="E12" s="67" t="n"/>
      <c r="F12" s="67" t="n">
        <v>84.59999999999999</v>
      </c>
      <c r="G12" s="67" t="n">
        <v>95.40000000000001</v>
      </c>
      <c r="H12" s="67" t="n">
        <v>95.59999999999999</v>
      </c>
      <c r="I12" s="67" t="n">
        <v>107.9</v>
      </c>
      <c r="J12" s="67" t="n">
        <v>118.4</v>
      </c>
      <c r="K12" s="67" t="n">
        <v>122.7</v>
      </c>
      <c r="L12" s="67" t="n">
        <v>122.1</v>
      </c>
      <c r="M12" s="67" t="n">
        <v>129.4</v>
      </c>
      <c r="N12" s="67" t="n">
        <v>141</v>
      </c>
      <c r="O12" s="67" t="n">
        <v>130.4</v>
      </c>
      <c r="P12" s="67" t="n">
        <v>135.4</v>
      </c>
      <c r="Q12" s="67" t="n">
        <v>138</v>
      </c>
      <c r="R12" s="67" t="n">
        <v>146</v>
      </c>
      <c r="S12" s="67" t="n">
        <v>144.5</v>
      </c>
      <c r="T12" s="67" t="n">
        <v>141</v>
      </c>
      <c r="U12" s="67" t="n">
        <v>138.3</v>
      </c>
      <c r="V12" s="67" t="n">
        <v>138.9</v>
      </c>
      <c r="W12" s="67" t="n">
        <v>139</v>
      </c>
      <c r="X12" s="67" t="n">
        <v>136.6</v>
      </c>
      <c r="Y12" s="67" t="n">
        <v>135.4</v>
      </c>
      <c r="Z12" s="67" t="n">
        <v>133.5</v>
      </c>
      <c r="AA12" s="67" t="n">
        <v>133.2</v>
      </c>
      <c r="AB12" s="67" t="n">
        <v>126.2</v>
      </c>
      <c r="AC12" s="67" t="n">
        <v>131.3</v>
      </c>
      <c r="AD12" s="67" t="n">
        <v>125.5</v>
      </c>
      <c r="AE12" s="67" t="n">
        <v>124.3</v>
      </c>
      <c r="AF12" s="67" t="n">
        <v>117</v>
      </c>
      <c r="AG12" s="67" t="n">
        <v>139</v>
      </c>
      <c r="AH12" s="67" t="n">
        <v>137</v>
      </c>
      <c r="AI12" s="67" t="n">
        <v>135.4</v>
      </c>
      <c r="AJ12" s="67" t="n">
        <v>132.6</v>
      </c>
      <c r="AK12" s="67" t="n">
        <v>140.7</v>
      </c>
      <c r="AL12" s="67" t="n">
        <v>131.7</v>
      </c>
      <c r="AM12" s="67" t="n">
        <v>137.2</v>
      </c>
      <c r="AN12" s="67" t="n">
        <v>127.2</v>
      </c>
      <c r="AO12" s="67" t="n">
        <v>131</v>
      </c>
    </row>
    <row r="13">
      <c r="A13" s="66" t="inlineStr">
        <is>
          <t>자기자본</t>
        </is>
      </c>
      <c r="B13" s="68" t="n"/>
      <c r="C13" s="68" t="n">
        <v>32.3</v>
      </c>
      <c r="D13" s="68" t="n"/>
      <c r="E13" s="68" t="n"/>
      <c r="F13" s="68" t="n">
        <v>41.3</v>
      </c>
      <c r="G13" s="68" t="n">
        <v>44.4</v>
      </c>
      <c r="H13" s="68" t="n">
        <v>45.4</v>
      </c>
      <c r="I13" s="68" t="n">
        <v>47.8</v>
      </c>
      <c r="J13" s="68" t="n">
        <v>50.6</v>
      </c>
      <c r="K13" s="68" t="n">
        <v>52.6</v>
      </c>
      <c r="L13" s="68" t="n">
        <v>53.9</v>
      </c>
      <c r="M13" s="68" t="n">
        <v>56.6</v>
      </c>
      <c r="N13" s="68" t="n">
        <v>59.3</v>
      </c>
      <c r="O13" s="68" t="n">
        <v>60.6</v>
      </c>
      <c r="P13" s="68" t="n">
        <v>58.5</v>
      </c>
      <c r="Q13" s="68" t="n">
        <v>58.8</v>
      </c>
      <c r="R13" s="68" t="n">
        <v>60.2</v>
      </c>
      <c r="S13" s="68" t="n">
        <v>59.9</v>
      </c>
      <c r="T13" s="68" t="n">
        <v>59.8</v>
      </c>
      <c r="U13" s="68" t="n">
        <v>60.6</v>
      </c>
      <c r="V13" s="68" t="n">
        <v>63.4</v>
      </c>
      <c r="W13" s="68" t="n">
        <v>65.40000000000001</v>
      </c>
      <c r="X13" s="68" t="n">
        <v>67.90000000000001</v>
      </c>
      <c r="Y13" s="68" t="n">
        <v>71.8</v>
      </c>
      <c r="Z13" s="68" t="n">
        <v>78</v>
      </c>
      <c r="AA13" s="68" t="n">
        <v>82.90000000000001</v>
      </c>
      <c r="AB13" s="68" t="n">
        <v>86.59999999999999</v>
      </c>
      <c r="AC13" s="68" t="n">
        <v>92.09999999999999</v>
      </c>
      <c r="AD13" s="68" t="n">
        <v>98.5</v>
      </c>
      <c r="AE13" s="68" t="n">
        <v>104.3</v>
      </c>
      <c r="AF13" s="68" t="n">
        <v>107.7</v>
      </c>
      <c r="AG13" s="68" t="n">
        <v>113.9</v>
      </c>
      <c r="AH13" s="68" t="n">
        <v>122.1</v>
      </c>
      <c r="AI13" s="68" t="n">
        <v>127.5</v>
      </c>
      <c r="AJ13" s="68" t="n">
        <v>131.9</v>
      </c>
      <c r="AK13" s="68" t="n">
        <v>139.5</v>
      </c>
      <c r="AL13" s="68" t="n">
        <v>149.6</v>
      </c>
      <c r="AM13" s="68" t="n">
        <v>156.1</v>
      </c>
      <c r="AN13" s="68" t="n">
        <v>157.3</v>
      </c>
      <c r="AO13" s="68" t="n">
        <v>166.8</v>
      </c>
    </row>
    <row r="14">
      <c r="A14" s="66" t="inlineStr">
        <is>
          <t>유동비율</t>
        </is>
      </c>
      <c r="B14" s="68" t="n"/>
      <c r="C14" s="68" t="n">
        <v>95.59999999999999</v>
      </c>
      <c r="D14" s="68" t="n"/>
      <c r="E14" s="68" t="n"/>
      <c r="F14" s="68" t="n">
        <v>101.7</v>
      </c>
      <c r="G14" s="68" t="n">
        <v>137.7</v>
      </c>
      <c r="H14" s="68" t="n">
        <v>115.2</v>
      </c>
      <c r="I14" s="68" t="n">
        <v>125.2</v>
      </c>
      <c r="J14" s="68" t="n">
        <v>140.9</v>
      </c>
      <c r="K14" s="68" t="n">
        <v>131</v>
      </c>
      <c r="L14" s="68" t="n">
        <v>117.6</v>
      </c>
      <c r="M14" s="68" t="n">
        <v>111.9</v>
      </c>
      <c r="N14" s="68" t="n">
        <v>120.6</v>
      </c>
      <c r="O14" s="68" t="n">
        <v>130.2</v>
      </c>
      <c r="P14" s="68" t="n">
        <v>155.9</v>
      </c>
      <c r="Q14" s="68" t="n">
        <v>147.5</v>
      </c>
      <c r="R14" s="68" t="n">
        <v>134.6</v>
      </c>
      <c r="S14" s="68" t="n">
        <v>133.7</v>
      </c>
      <c r="T14" s="68" t="n">
        <v>129.1</v>
      </c>
      <c r="U14" s="68" t="n">
        <v>118.7</v>
      </c>
      <c r="V14" s="68" t="n">
        <v>111.1</v>
      </c>
      <c r="W14" s="68" t="n">
        <v>114.8</v>
      </c>
      <c r="X14" s="68" t="n">
        <v>126.8</v>
      </c>
      <c r="Y14" s="68" t="n">
        <v>131.7</v>
      </c>
      <c r="Z14" s="68" t="n">
        <v>136.9</v>
      </c>
      <c r="AA14" s="68" t="n">
        <v>137.9</v>
      </c>
      <c r="AB14" s="68" t="n">
        <v>154.8</v>
      </c>
      <c r="AC14" s="68" t="n">
        <v>159.3</v>
      </c>
      <c r="AD14" s="68" t="n">
        <v>162.5</v>
      </c>
      <c r="AE14" s="68" t="n">
        <v>155.4</v>
      </c>
      <c r="AF14" s="68" t="n">
        <v>154.6</v>
      </c>
      <c r="AG14" s="68" t="n">
        <v>133.3</v>
      </c>
      <c r="AH14" s="68" t="n">
        <v>151.2</v>
      </c>
      <c r="AI14" s="68" t="n">
        <v>147.5</v>
      </c>
      <c r="AJ14" s="68" t="n">
        <v>159</v>
      </c>
      <c r="AK14" s="68" t="n">
        <v>148.2</v>
      </c>
      <c r="AL14" s="68" t="n">
        <v>190</v>
      </c>
      <c r="AM14" s="68" t="n">
        <v>199.3</v>
      </c>
      <c r="AN14" s="68" t="n">
        <v>202.9</v>
      </c>
      <c r="AO14" s="68" t="n">
        <v>187</v>
      </c>
    </row>
    <row r="15">
      <c r="A15" s="66" t="inlineStr">
        <is>
          <t>부채비율</t>
        </is>
      </c>
      <c r="B15" s="68" t="n"/>
      <c r="C15" s="68" t="n">
        <v>219.8</v>
      </c>
      <c r="D15" s="68" t="n"/>
      <c r="E15" s="68" t="n"/>
      <c r="F15" s="68" t="n">
        <v>204.8</v>
      </c>
      <c r="G15" s="68" t="n">
        <v>214.9</v>
      </c>
      <c r="H15" s="68" t="n">
        <v>210.6</v>
      </c>
      <c r="I15" s="68" t="n">
        <v>225.7</v>
      </c>
      <c r="J15" s="68" t="n">
        <v>234</v>
      </c>
      <c r="K15" s="68" t="n">
        <v>233.3</v>
      </c>
      <c r="L15" s="68" t="n">
        <v>226.5</v>
      </c>
      <c r="M15" s="68" t="n">
        <v>228.6</v>
      </c>
      <c r="N15" s="68" t="n">
        <v>237.8</v>
      </c>
      <c r="O15" s="68" t="n">
        <v>215.2</v>
      </c>
      <c r="P15" s="68" t="n">
        <v>231.5</v>
      </c>
      <c r="Q15" s="68" t="n">
        <v>234.7</v>
      </c>
      <c r="R15" s="68" t="n">
        <v>242.5</v>
      </c>
      <c r="S15" s="68" t="n">
        <v>241.2</v>
      </c>
      <c r="T15" s="68" t="n">
        <v>235.8</v>
      </c>
      <c r="U15" s="68" t="n">
        <v>228.2</v>
      </c>
      <c r="V15" s="68" t="n">
        <v>219.1</v>
      </c>
      <c r="W15" s="68" t="n">
        <v>212.5</v>
      </c>
      <c r="X15" s="68" t="n">
        <v>201.2</v>
      </c>
      <c r="Y15" s="68" t="n">
        <v>188.6</v>
      </c>
      <c r="Z15" s="68" t="n">
        <v>171.2</v>
      </c>
      <c r="AA15" s="68" t="n">
        <v>160.7</v>
      </c>
      <c r="AB15" s="68" t="n">
        <v>145.7</v>
      </c>
      <c r="AC15" s="68" t="n">
        <v>142.6</v>
      </c>
      <c r="AD15" s="68" t="n">
        <v>127.4</v>
      </c>
      <c r="AE15" s="68" t="n">
        <v>119.2</v>
      </c>
      <c r="AF15" s="68" t="n">
        <v>108.6</v>
      </c>
      <c r="AG15" s="68" t="n">
        <v>122</v>
      </c>
      <c r="AH15" s="68" t="n">
        <v>112.2</v>
      </c>
      <c r="AI15" s="68" t="n">
        <v>106.2</v>
      </c>
      <c r="AJ15" s="68" t="n">
        <v>100.5</v>
      </c>
      <c r="AK15" s="68" t="n">
        <v>100.9</v>
      </c>
      <c r="AL15" s="68" t="n">
        <v>88</v>
      </c>
      <c r="AM15" s="68" t="n">
        <v>87.90000000000001</v>
      </c>
      <c r="AN15" s="68" t="n">
        <v>80.90000000000001</v>
      </c>
      <c r="AO15" s="68" t="n">
        <v>78.5</v>
      </c>
    </row>
    <row r="16">
      <c r="A16" s="66" t="inlineStr">
        <is>
          <t>순차입금/자기자본</t>
        </is>
      </c>
      <c r="B16" s="68" t="n"/>
      <c r="C16" s="68" t="n">
        <v>149.2</v>
      </c>
      <c r="D16" s="68" t="n"/>
      <c r="E16" s="68" t="n"/>
      <c r="F16" s="68" t="n">
        <v>127.6</v>
      </c>
      <c r="G16" s="68" t="n">
        <v>127.7</v>
      </c>
      <c r="H16" s="68" t="n">
        <v>135.9</v>
      </c>
      <c r="I16" s="68" t="n">
        <v>149</v>
      </c>
      <c r="J16" s="68" t="n">
        <v>142.3</v>
      </c>
      <c r="K16" s="68" t="n">
        <v>139.7</v>
      </c>
      <c r="L16" s="68" t="n">
        <v>151</v>
      </c>
      <c r="M16" s="68" t="n">
        <v>143.3</v>
      </c>
      <c r="N16" s="68" t="n">
        <v>155</v>
      </c>
      <c r="O16" s="68" t="n">
        <v>115.2</v>
      </c>
      <c r="P16" s="68" t="n">
        <v>138.3</v>
      </c>
      <c r="Q16" s="68" t="n">
        <v>149.3</v>
      </c>
      <c r="R16" s="68" t="n">
        <v>158.6</v>
      </c>
      <c r="S16" s="68" t="n">
        <v>160.6</v>
      </c>
      <c r="T16" s="68" t="n">
        <v>154.7</v>
      </c>
      <c r="U16" s="68" t="n">
        <v>148.2</v>
      </c>
      <c r="V16" s="68" t="n">
        <v>134.4</v>
      </c>
      <c r="W16" s="68" t="n">
        <v>125.2</v>
      </c>
      <c r="X16" s="68" t="n">
        <v>123.9</v>
      </c>
      <c r="Y16" s="68" t="n">
        <v>101.9</v>
      </c>
      <c r="Z16" s="68" t="n">
        <v>83.3</v>
      </c>
      <c r="AA16" s="68" t="n">
        <v>65.7</v>
      </c>
      <c r="AB16" s="68" t="n">
        <v>66.40000000000001</v>
      </c>
      <c r="AC16" s="68" t="n">
        <v>55.6</v>
      </c>
      <c r="AD16" s="68" t="n">
        <v>47.7</v>
      </c>
      <c r="AE16" s="68" t="n">
        <v>37.7</v>
      </c>
      <c r="AF16" s="68" t="n">
        <v>38.7</v>
      </c>
      <c r="AG16" s="68" t="n">
        <v>52.2</v>
      </c>
      <c r="AH16" s="68" t="n">
        <v>43.7</v>
      </c>
      <c r="AI16" s="68" t="n">
        <v>36.5</v>
      </c>
      <c r="AJ16" s="68" t="n">
        <v>33.3</v>
      </c>
      <c r="AK16" s="68" t="n">
        <v>24.6</v>
      </c>
      <c r="AL16" s="68" t="n">
        <v>16.6</v>
      </c>
      <c r="AM16" s="68" t="n">
        <v>13.6</v>
      </c>
      <c r="AN16" s="68" t="n">
        <v>18.9</v>
      </c>
      <c r="AO16" s="68" t="n">
        <v>14</v>
      </c>
    </row>
    <row r="17">
      <c r="A17" s="66" t="inlineStr">
        <is>
          <t>재고자산</t>
        </is>
      </c>
      <c r="B17" s="67" t="n"/>
      <c r="C17" s="67" t="n">
        <v>0.2</v>
      </c>
      <c r="D17" s="67" t="n"/>
      <c r="E17" s="67" t="n"/>
      <c r="F17" s="67" t="n">
        <v>0.1</v>
      </c>
      <c r="G17" s="67" t="n">
        <v>0.1</v>
      </c>
      <c r="H17" s="67" t="n">
        <v>0.2</v>
      </c>
      <c r="I17" s="67" t="n">
        <v>0.2</v>
      </c>
      <c r="J17" s="67" t="n">
        <v>0.2</v>
      </c>
      <c r="K17" s="67" t="n">
        <v>0.2</v>
      </c>
      <c r="L17" s="67" t="n">
        <v>0.2</v>
      </c>
      <c r="M17" s="67" t="n">
        <v>0.2</v>
      </c>
      <c r="N17" s="67" t="n">
        <v>0.2</v>
      </c>
      <c r="O17" s="67" t="n">
        <v>0.2</v>
      </c>
      <c r="P17" s="67" t="n">
        <v>0.2</v>
      </c>
      <c r="Q17" s="67" t="n">
        <v>0.2</v>
      </c>
      <c r="R17" s="67" t="n">
        <v>0.2</v>
      </c>
      <c r="S17" s="67" t="n">
        <v>0.2</v>
      </c>
      <c r="T17" s="67" t="n">
        <v>0.2</v>
      </c>
      <c r="U17" s="67" t="n">
        <v>0.2</v>
      </c>
      <c r="V17" s="67" t="n">
        <v>0.3</v>
      </c>
      <c r="W17" s="67" t="n">
        <v>0.2</v>
      </c>
      <c r="X17" s="67" t="n">
        <v>0.2</v>
      </c>
      <c r="Y17" s="67" t="n">
        <v>0.2</v>
      </c>
      <c r="Z17" s="67" t="n">
        <v>0.2</v>
      </c>
      <c r="AA17" s="67" t="n">
        <v>0.2</v>
      </c>
      <c r="AB17" s="67" t="n">
        <v>0.2</v>
      </c>
      <c r="AC17" s="67" t="n">
        <v>0.2</v>
      </c>
      <c r="AD17" s="67" t="n">
        <v>0.3</v>
      </c>
      <c r="AE17" s="67" t="n">
        <v>0.2</v>
      </c>
      <c r="AF17" s="67" t="n"/>
      <c r="AG17" s="67" t="n">
        <v>0.2</v>
      </c>
      <c r="AH17" s="67" t="n">
        <v>0.3</v>
      </c>
      <c r="AI17" s="67" t="n"/>
      <c r="AJ17" s="67" t="n"/>
      <c r="AK17" s="67" t="n"/>
      <c r="AL17" s="67" t="n"/>
      <c r="AM17" s="67" t="n"/>
      <c r="AN17" s="67" t="n"/>
      <c r="AO17" s="67" t="n"/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>
        <v>1</v>
      </c>
      <c r="G18" s="67" t="n">
        <v>1</v>
      </c>
      <c r="H18" s="67" t="n">
        <v>2</v>
      </c>
      <c r="I18" s="67" t="n">
        <v>2</v>
      </c>
      <c r="J18" s="67" t="n">
        <v>2</v>
      </c>
      <c r="K18" s="67" t="n">
        <v>2</v>
      </c>
      <c r="L18" s="67" t="n">
        <v>2</v>
      </c>
      <c r="M18" s="67" t="n">
        <v>2</v>
      </c>
      <c r="N18" s="67" t="n">
        <v>2</v>
      </c>
      <c r="O18" s="67" t="n">
        <v>2</v>
      </c>
      <c r="P18" s="67" t="n">
        <v>2</v>
      </c>
      <c r="Q18" s="67" t="n">
        <v>2</v>
      </c>
      <c r="R18" s="67" t="n">
        <v>2</v>
      </c>
      <c r="S18" s="67" t="n">
        <v>2</v>
      </c>
      <c r="T18" s="67" t="n">
        <v>1</v>
      </c>
      <c r="U18" s="67" t="n">
        <v>1</v>
      </c>
      <c r="V18" s="67" t="n">
        <v>2</v>
      </c>
      <c r="W18" s="67" t="n">
        <v>2</v>
      </c>
      <c r="X18" s="67" t="n">
        <v>1</v>
      </c>
      <c r="Y18" s="67" t="n">
        <v>1</v>
      </c>
      <c r="Z18" s="67" t="n">
        <v>1</v>
      </c>
      <c r="AA18" s="67" t="n">
        <v>1</v>
      </c>
      <c r="AB18" s="67" t="n">
        <v>1</v>
      </c>
      <c r="AC18" s="67" t="n">
        <v>1</v>
      </c>
      <c r="AD18" s="67" t="n">
        <v>2</v>
      </c>
      <c r="AE18" s="67" t="n">
        <v>1</v>
      </c>
      <c r="AF18" s="67" t="n"/>
      <c r="AG18" s="67" t="n">
        <v>1</v>
      </c>
      <c r="AH18" s="67" t="n">
        <v>2</v>
      </c>
      <c r="AI18" s="67" t="n"/>
      <c r="AJ18" s="67" t="n"/>
      <c r="AK18" s="67" t="n"/>
      <c r="AL18" s="67" t="n"/>
      <c r="AM18" s="67" t="n"/>
      <c r="AN18" s="67" t="n"/>
      <c r="AO18" s="67" t="n"/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>
        <v>12</v>
      </c>
      <c r="G19" s="67" t="n">
        <v>16</v>
      </c>
      <c r="H19" s="67" t="n">
        <v>13</v>
      </c>
      <c r="I19" s="67" t="n">
        <v>13</v>
      </c>
      <c r="J19" s="67" t="n">
        <v>12</v>
      </c>
      <c r="K19" s="67" t="n">
        <v>17</v>
      </c>
      <c r="L19" s="67" t="n">
        <v>13</v>
      </c>
      <c r="M19" s="67" t="n">
        <v>15</v>
      </c>
      <c r="N19" s="67" t="n">
        <v>14</v>
      </c>
      <c r="O19" s="67" t="n">
        <v>15</v>
      </c>
      <c r="P19" s="67" t="n">
        <v>20</v>
      </c>
      <c r="Q19" s="67" t="n">
        <v>20</v>
      </c>
      <c r="R19" s="67" t="n">
        <v>19</v>
      </c>
      <c r="S19" s="67" t="n">
        <v>21</v>
      </c>
      <c r="T19" s="67" t="n">
        <v>16</v>
      </c>
      <c r="U19" s="67" t="n">
        <v>15</v>
      </c>
      <c r="V19" s="67" t="n">
        <v>18</v>
      </c>
      <c r="W19" s="67" t="n">
        <v>21</v>
      </c>
      <c r="X19" s="67" t="n">
        <v>18</v>
      </c>
      <c r="Y19" s="67" t="n">
        <v>19</v>
      </c>
      <c r="Z19" s="67" t="n">
        <v>22</v>
      </c>
      <c r="AA19" s="67" t="n">
        <v>24</v>
      </c>
      <c r="AB19" s="67" t="n">
        <v>17</v>
      </c>
      <c r="AC19" s="67" t="n">
        <v>18</v>
      </c>
      <c r="AD19" s="67" t="n">
        <v>17</v>
      </c>
      <c r="AE19" s="67" t="n">
        <v>24</v>
      </c>
      <c r="AF19" s="67" t="n">
        <v>17</v>
      </c>
      <c r="AG19" s="67" t="n">
        <v>19</v>
      </c>
      <c r="AH19" s="67" t="n">
        <v>18</v>
      </c>
      <c r="AI19" s="67" t="n">
        <v>26</v>
      </c>
      <c r="AJ19" s="67" t="n">
        <v>19</v>
      </c>
      <c r="AK19" s="67" t="n">
        <v>23</v>
      </c>
      <c r="AL19" s="67" t="n">
        <v>17</v>
      </c>
      <c r="AM19" s="67" t="n">
        <v>29</v>
      </c>
      <c r="AN19" s="67" t="n">
        <v>18</v>
      </c>
      <c r="AO19" s="67" t="n">
        <v>29</v>
      </c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7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7" t="n"/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</row>
    <row r="22">
      <c r="A22" s="66" t="inlineStr">
        <is>
          <t>총 차입금</t>
        </is>
      </c>
      <c r="B22" s="67" t="n"/>
      <c r="C22" s="67" t="n">
        <v>62.3</v>
      </c>
      <c r="D22" s="67" t="n"/>
      <c r="E22" s="67" t="n"/>
      <c r="F22" s="67" t="n">
        <v>74.09999999999999</v>
      </c>
      <c r="G22" s="67" t="n">
        <v>82.59999999999999</v>
      </c>
      <c r="H22" s="67" t="n">
        <v>82</v>
      </c>
      <c r="I22" s="67" t="n">
        <v>92.40000000000001</v>
      </c>
      <c r="J22" s="67" t="n">
        <v>103.4</v>
      </c>
      <c r="K22" s="67" t="n">
        <v>105.7</v>
      </c>
      <c r="L22" s="67" t="n">
        <v>107</v>
      </c>
      <c r="M22" s="67" t="n">
        <v>111.4</v>
      </c>
      <c r="N22" s="67" t="n">
        <v>122.5</v>
      </c>
      <c r="O22" s="67" t="n">
        <v>108.8</v>
      </c>
      <c r="P22" s="67" t="n">
        <v>120.6</v>
      </c>
      <c r="Q22" s="67" t="n">
        <v>121.7</v>
      </c>
      <c r="R22" s="67" t="n">
        <v>128</v>
      </c>
      <c r="S22" s="67" t="n">
        <v>126</v>
      </c>
      <c r="T22" s="67" t="n">
        <v>122.7</v>
      </c>
      <c r="U22" s="67" t="n">
        <v>119.4</v>
      </c>
      <c r="V22" s="67" t="n">
        <v>116.6</v>
      </c>
      <c r="W22" s="67" t="n">
        <v>114.7</v>
      </c>
      <c r="X22" s="67" t="n">
        <v>116.7</v>
      </c>
      <c r="Y22" s="67" t="n">
        <v>111.8</v>
      </c>
      <c r="Z22" s="67" t="n">
        <v>107.2</v>
      </c>
      <c r="AA22" s="67" t="n">
        <v>102.3</v>
      </c>
      <c r="AB22" s="67" t="n">
        <v>103.2</v>
      </c>
      <c r="AC22" s="67" t="n">
        <v>104.4</v>
      </c>
      <c r="AD22" s="67" t="n">
        <v>99.90000000000001</v>
      </c>
      <c r="AE22" s="67" t="n">
        <v>95.2</v>
      </c>
      <c r="AF22" s="67" t="n">
        <v>93.60000000000001</v>
      </c>
      <c r="AG22" s="67" t="n">
        <v>111.9</v>
      </c>
      <c r="AH22" s="67" t="n">
        <v>110.7</v>
      </c>
      <c r="AI22" s="67" t="n">
        <v>105.8</v>
      </c>
      <c r="AJ22" s="67" t="n">
        <v>105.8</v>
      </c>
      <c r="AK22" s="67" t="n">
        <v>103</v>
      </c>
      <c r="AL22" s="67" t="n">
        <v>98.60000000000001</v>
      </c>
      <c r="AM22" s="67" t="n">
        <v>101.3</v>
      </c>
      <c r="AN22" s="67" t="n">
        <v>100.3</v>
      </c>
      <c r="AO22" s="67" t="n">
        <v>95.8</v>
      </c>
    </row>
    <row r="23">
      <c r="A23" s="66" t="inlineStr">
        <is>
          <t>현금</t>
        </is>
      </c>
      <c r="B23" s="67" t="n"/>
      <c r="C23" s="67" t="n">
        <v>14.1</v>
      </c>
      <c r="D23" s="67" t="n"/>
      <c r="E23" s="67" t="n"/>
      <c r="F23" s="67" t="n">
        <v>21.4</v>
      </c>
      <c r="G23" s="67" t="n">
        <v>25.9</v>
      </c>
      <c r="H23" s="67" t="n">
        <v>20.3</v>
      </c>
      <c r="I23" s="67" t="n">
        <v>21.2</v>
      </c>
      <c r="J23" s="67" t="n">
        <v>31.4</v>
      </c>
      <c r="K23" s="67" t="n">
        <v>32.2</v>
      </c>
      <c r="L23" s="67" t="n">
        <v>25.6</v>
      </c>
      <c r="M23" s="67" t="n">
        <v>30.3</v>
      </c>
      <c r="N23" s="67" t="n">
        <v>30.6</v>
      </c>
      <c r="O23" s="67" t="n">
        <v>39</v>
      </c>
      <c r="P23" s="67" t="n">
        <v>39.7</v>
      </c>
      <c r="Q23" s="67" t="n">
        <v>33.9</v>
      </c>
      <c r="R23" s="67" t="n">
        <v>32.5</v>
      </c>
      <c r="S23" s="67" t="n">
        <v>29.8</v>
      </c>
      <c r="T23" s="67" t="n">
        <v>30.2</v>
      </c>
      <c r="U23" s="67" t="n">
        <v>29.6</v>
      </c>
      <c r="V23" s="67" t="n">
        <v>31.4</v>
      </c>
      <c r="W23" s="67" t="n">
        <v>32.8</v>
      </c>
      <c r="X23" s="67" t="n">
        <v>32.6</v>
      </c>
      <c r="Y23" s="67" t="n">
        <v>38.6</v>
      </c>
      <c r="Z23" s="67" t="n">
        <v>42.2</v>
      </c>
      <c r="AA23" s="67" t="n">
        <v>47.8</v>
      </c>
      <c r="AB23" s="67" t="n">
        <v>45.7</v>
      </c>
      <c r="AC23" s="67" t="n">
        <v>53.2</v>
      </c>
      <c r="AD23" s="67" t="n">
        <v>52.9</v>
      </c>
      <c r="AE23" s="67" t="n">
        <v>55.9</v>
      </c>
      <c r="AF23" s="67" t="n">
        <v>51.9</v>
      </c>
      <c r="AG23" s="67" t="n">
        <v>52.5</v>
      </c>
      <c r="AH23" s="67" t="n">
        <v>57.4</v>
      </c>
      <c r="AI23" s="67" t="n">
        <v>59.2</v>
      </c>
      <c r="AJ23" s="67" t="n">
        <v>61.9</v>
      </c>
      <c r="AK23" s="67" t="n">
        <v>68.7</v>
      </c>
      <c r="AL23" s="67" t="n">
        <v>73.8</v>
      </c>
      <c r="AM23" s="67" t="n">
        <v>80.09999999999999</v>
      </c>
      <c r="AN23" s="67" t="n">
        <v>70.5</v>
      </c>
      <c r="AO23" s="67" t="n">
        <v>72.5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2026-10-30T09:34:36Z</dcterms:created>
  <dcterms:modified xmlns:dcterms="http://purl.org/dc/terms/" xmlns:xsi="http://www.w3.org/2001/XMLSchema-instance" xsi:type="dcterms:W3CDTF">2026-10-30T09:35:44Z</dcterms:modified>
</cp:coreProperties>
</file>