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6557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2864.368</v>
      </c>
      <c r="D4" s="12" t="n">
        <v>2973.94</v>
      </c>
      <c r="E4" s="12" t="n">
        <v>3194.659</v>
      </c>
      <c r="F4" s="12" t="n">
        <v>3009.145</v>
      </c>
      <c r="G4" s="12" t="n">
        <v>3023.373</v>
      </c>
      <c r="H4" s="12" t="n">
        <v>3125.548</v>
      </c>
      <c r="I4" s="12" t="n">
        <v>3913.275</v>
      </c>
      <c r="J4" s="12" t="n">
        <v>3387.168</v>
      </c>
      <c r="K4" s="12" t="n">
        <v>3489.962</v>
      </c>
      <c r="L4" s="12" t="n">
        <v>3565.38</v>
      </c>
      <c r="M4" s="12" t="n">
        <v>4191.255</v>
      </c>
      <c r="N4" s="12" t="n">
        <v>6284.152</v>
      </c>
      <c r="O4" s="11" t="n"/>
      <c r="P4" s="12" t="n">
        <v>3787.864</v>
      </c>
      <c r="Q4" s="12" t="n">
        <v>5915.464</v>
      </c>
      <c r="R4" s="12" t="n">
        <v>8318.190000000001</v>
      </c>
      <c r="S4" s="12" t="n"/>
      <c r="T4" s="12" t="n"/>
      <c r="U4" s="12" t="n">
        <v>10822.455</v>
      </c>
      <c r="V4" s="12" t="n">
        <v>11818.228</v>
      </c>
      <c r="W4" s="12" t="n">
        <v>13071.341</v>
      </c>
      <c r="X4" s="12" t="n">
        <v>14633.765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2393.381</v>
      </c>
      <c r="D11" s="22" t="n">
        <v>2590.635</v>
      </c>
      <c r="E11" s="22" t="n">
        <v>2650.55</v>
      </c>
      <c r="F11" s="22" t="n">
        <v>2562.736</v>
      </c>
      <c r="G11" s="22" t="n">
        <v>2568.262</v>
      </c>
      <c r="H11" s="22" t="n">
        <v>2609.849</v>
      </c>
      <c r="I11" s="22" t="n">
        <v>3192.222</v>
      </c>
      <c r="J11" s="22" t="n">
        <v>2836.419</v>
      </c>
      <c r="K11" s="22" t="n">
        <v>2879.257</v>
      </c>
      <c r="L11" s="22" t="n">
        <v>2935.388</v>
      </c>
      <c r="M11" s="22" t="n">
        <v>3195.675</v>
      </c>
      <c r="N11" s="22" t="n">
        <v>5186.826</v>
      </c>
      <c r="O11" s="21" t="n"/>
      <c r="P11" s="22" t="n">
        <v>3566.936</v>
      </c>
      <c r="Q11" s="22" t="n">
        <v>5480.479</v>
      </c>
      <c r="R11" s="22" t="n">
        <v>7889.269</v>
      </c>
      <c r="S11" s="22" t="n"/>
      <c r="T11" s="22" t="n"/>
      <c r="U11" s="22" t="n">
        <v>9475.557000000001</v>
      </c>
      <c r="V11" s="22" t="n">
        <v>10082.725</v>
      </c>
      <c r="W11" s="22" t="n">
        <v>10933.069</v>
      </c>
      <c r="X11" s="22" t="n">
        <v>11846.739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288.544</v>
      </c>
      <c r="D17" s="22" t="n">
        <v>292.937</v>
      </c>
      <c r="E17" s="22" t="n">
        <v>307.714</v>
      </c>
      <c r="F17" s="22" t="n">
        <v>330.365</v>
      </c>
      <c r="G17" s="22" t="n">
        <v>326.494</v>
      </c>
      <c r="H17" s="22" t="n">
        <v>328.064</v>
      </c>
      <c r="I17" s="22" t="n">
        <v>419.875</v>
      </c>
      <c r="J17" s="22" t="n">
        <v>383.01</v>
      </c>
      <c r="K17" s="22" t="n">
        <v>390.754</v>
      </c>
      <c r="L17" s="22" t="n">
        <v>341.146</v>
      </c>
      <c r="M17" s="22" t="n">
        <v>566.6180000000001</v>
      </c>
      <c r="N17" s="22" t="n">
        <v>790.26</v>
      </c>
      <c r="O17" s="21" t="n"/>
      <c r="P17" s="22" t="n">
        <v>960.648</v>
      </c>
      <c r="Q17" s="22" t="n">
        <v>1322.612</v>
      </c>
      <c r="R17" s="22" t="n">
        <v>1695.374</v>
      </c>
      <c r="S17" s="22" t="n"/>
      <c r="T17" s="22" t="n"/>
      <c r="U17" s="22" t="n">
        <v>1266.185</v>
      </c>
      <c r="V17" s="22" t="n">
        <v>1203.196</v>
      </c>
      <c r="W17" s="22" t="n">
        <v>1404.798</v>
      </c>
      <c r="X17" s="22" t="n">
        <v>1681.528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182.444</v>
      </c>
      <c r="D19" s="12" t="n">
        <v>90.367</v>
      </c>
      <c r="E19" s="12" t="n">
        <v>236.394</v>
      </c>
      <c r="F19" s="12" t="n">
        <v>116.044</v>
      </c>
      <c r="G19" s="12" t="n">
        <v>128.616</v>
      </c>
      <c r="H19" s="12" t="n">
        <v>187.635</v>
      </c>
      <c r="I19" s="12" t="n">
        <v>301.178</v>
      </c>
      <c r="J19" s="12" t="n">
        <v>167.738</v>
      </c>
      <c r="K19" s="12" t="n">
        <v>219.951</v>
      </c>
      <c r="L19" s="12" t="n">
        <v>288.846</v>
      </c>
      <c r="M19" s="12" t="n">
        <v>428.961</v>
      </c>
      <c r="N19" s="12" t="n">
        <v>307.065</v>
      </c>
      <c r="O19" s="11" t="n"/>
      <c r="P19" s="12" t="n">
        <v>-739.721</v>
      </c>
      <c r="Q19" s="12" t="n">
        <v>-887.627</v>
      </c>
      <c r="R19" s="12" t="n">
        <v>-1266.453</v>
      </c>
      <c r="S19" s="12" t="n"/>
      <c r="T19" s="12" t="n"/>
      <c r="U19" s="12" t="n">
        <v>80.71299999999999</v>
      </c>
      <c r="V19" s="12" t="n">
        <v>532.3049999999999</v>
      </c>
      <c r="W19" s="12" t="n">
        <v>733.473</v>
      </c>
      <c r="X19" s="12" t="n">
        <v>1105.496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>
        <v>0</v>
      </c>
      <c r="D35" s="22" t="n">
        <v>0.01</v>
      </c>
      <c r="E35" s="22" t="n">
        <v>0.024</v>
      </c>
      <c r="F35" s="22" t="n">
        <v>36.316</v>
      </c>
      <c r="G35" s="22" t="n">
        <v>20.755</v>
      </c>
      <c r="H35" s="22" t="n">
        <v>-0.046</v>
      </c>
      <c r="I35" s="22" t="n">
        <v>3.343</v>
      </c>
      <c r="J35" s="22" t="n">
        <v>0.011</v>
      </c>
      <c r="K35" s="22" t="n">
        <v>0</v>
      </c>
      <c r="L35" s="22" t="n">
        <v>0</v>
      </c>
      <c r="M35" s="22" t="n">
        <v>0</v>
      </c>
      <c r="N35" s="22" t="n">
        <v>0.948</v>
      </c>
      <c r="O35" s="21" t="n"/>
      <c r="P35" s="22" t="n">
        <v>1.944</v>
      </c>
      <c r="Q35" s="22" t="n">
        <v>0</v>
      </c>
      <c r="R35" s="22" t="n">
        <v>4.774</v>
      </c>
      <c r="S35" s="22" t="n"/>
      <c r="T35" s="22" t="n"/>
      <c r="U35" s="22" t="n">
        <v>41.245</v>
      </c>
      <c r="V35" s="22" t="n">
        <v>0.925</v>
      </c>
      <c r="W35" s="22" t="n">
        <v>60.368</v>
      </c>
      <c r="X35" s="22" t="n">
        <v>0.011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>
        <v>145.611</v>
      </c>
      <c r="D37" s="22" t="n">
        <v>0</v>
      </c>
      <c r="E37" s="22" t="n">
        <v>218.09</v>
      </c>
      <c r="F37" s="22" t="n">
        <v>0</v>
      </c>
      <c r="G37" s="22" t="n">
        <v>96.31999999999999</v>
      </c>
      <c r="H37" s="22" t="n">
        <v>0.604</v>
      </c>
      <c r="I37" s="22" t="n">
        <v>266.729</v>
      </c>
      <c r="J37" s="22" t="n">
        <v>0</v>
      </c>
      <c r="K37" s="22" t="n">
        <v>6.938</v>
      </c>
      <c r="L37" s="22" t="n">
        <v>0.295</v>
      </c>
      <c r="M37" s="22" t="n">
        <v>51.702</v>
      </c>
      <c r="N37" s="22" t="n">
        <v>3.018</v>
      </c>
      <c r="O37" s="21" t="n"/>
      <c r="P37" s="22" t="n">
        <v>42.366</v>
      </c>
      <c r="Q37" s="22" t="n">
        <v>4.686</v>
      </c>
      <c r="R37" s="22" t="n">
        <v>1.982</v>
      </c>
      <c r="S37" s="22" t="n"/>
      <c r="T37" s="22" t="n"/>
      <c r="U37" s="22" t="n">
        <v>679.057</v>
      </c>
      <c r="V37" s="22" t="n">
        <v>363.946</v>
      </c>
      <c r="W37" s="22" t="n">
        <v>363.653</v>
      </c>
      <c r="X37" s="22" t="n">
        <v>58.935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4.906</v>
      </c>
      <c r="D39" s="22" t="n">
        <v>5.111</v>
      </c>
      <c r="E39" s="22" t="n">
        <v>440.011</v>
      </c>
      <c r="F39" s="22" t="n">
        <v>13.992</v>
      </c>
      <c r="G39" s="22" t="n">
        <v>4.177</v>
      </c>
      <c r="H39" s="22" t="n">
        <v>2.835</v>
      </c>
      <c r="I39" s="22" t="n">
        <v>245.118</v>
      </c>
      <c r="J39" s="22" t="n">
        <v>3.445</v>
      </c>
      <c r="K39" s="22" t="n">
        <v>4.933</v>
      </c>
      <c r="L39" s="22" t="n">
        <v>12.39</v>
      </c>
      <c r="M39" s="22" t="n">
        <v>85.854</v>
      </c>
      <c r="N39" s="22" t="n">
        <v>213.332</v>
      </c>
      <c r="O39" s="21" t="n"/>
      <c r="P39" s="22" t="n">
        <v>479.812</v>
      </c>
      <c r="Q39" s="22" t="n">
        <v>1016.227</v>
      </c>
      <c r="R39" s="22" t="n">
        <v>1794.344</v>
      </c>
      <c r="S39" s="22" t="n"/>
      <c r="T39" s="22" t="n"/>
      <c r="U39" s="22" t="n">
        <v>491.46</v>
      </c>
      <c r="V39" s="22" t="n">
        <v>458.02</v>
      </c>
      <c r="W39" s="22" t="n">
        <v>266.122</v>
      </c>
      <c r="X39" s="22" t="n">
        <v>106.622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29.564</v>
      </c>
      <c r="D41" s="22" t="n">
        <v>24.218</v>
      </c>
      <c r="E41" s="22" t="n">
        <v>26.228</v>
      </c>
      <c r="F41" s="22" t="n">
        <v>18.587</v>
      </c>
      <c r="G41" s="22" t="n">
        <v>35.443</v>
      </c>
      <c r="H41" s="22" t="n">
        <v>29.428</v>
      </c>
      <c r="I41" s="22" t="n">
        <v>43.431</v>
      </c>
      <c r="J41" s="22" t="n">
        <v>23.017</v>
      </c>
      <c r="K41" s="22" t="n">
        <v>21.045</v>
      </c>
      <c r="L41" s="22" t="n">
        <v>22.186</v>
      </c>
      <c r="M41" s="22" t="n">
        <v>212.047</v>
      </c>
      <c r="N41" s="22" t="n">
        <v>84.92</v>
      </c>
      <c r="O41" s="21" t="n"/>
      <c r="P41" s="22" t="n">
        <v>69.708</v>
      </c>
      <c r="Q41" s="22" t="n">
        <v>123.214</v>
      </c>
      <c r="R41" s="22" t="n">
        <v>250.93</v>
      </c>
      <c r="S41" s="22" t="n"/>
      <c r="T41" s="22" t="n"/>
      <c r="U41" s="22" t="n">
        <v>158.594</v>
      </c>
      <c r="V41" s="22" t="n">
        <v>114.549</v>
      </c>
      <c r="W41" s="22" t="n">
        <v>126.889</v>
      </c>
      <c r="X41" s="22" t="n">
        <v>278.295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12.173</v>
      </c>
      <c r="D43" s="12" t="n">
        <v>71.271</v>
      </c>
      <c r="E43" s="12" t="n">
        <v>432.11</v>
      </c>
      <c r="F43" s="12" t="n">
        <v>147.766</v>
      </c>
      <c r="G43" s="12" t="n">
        <v>21.784</v>
      </c>
      <c r="H43" s="12" t="n">
        <v>160.392</v>
      </c>
      <c r="I43" s="12" t="n">
        <v>239.479</v>
      </c>
      <c r="J43" s="12" t="n">
        <v>148.178</v>
      </c>
      <c r="K43" s="12" t="n">
        <v>196.9</v>
      </c>
      <c r="L43" s="12" t="n">
        <v>278.756</v>
      </c>
      <c r="M43" s="12" t="n">
        <v>251.065</v>
      </c>
      <c r="N43" s="12" t="n">
        <v>433.407</v>
      </c>
      <c r="O43" s="11" t="n"/>
      <c r="P43" s="12" t="n">
        <v>-370.039</v>
      </c>
      <c r="Q43" s="12" t="n">
        <v>0.699</v>
      </c>
      <c r="R43" s="12" t="n">
        <v>279.751</v>
      </c>
      <c r="S43" s="12" t="n"/>
      <c r="T43" s="12" t="n"/>
      <c r="U43" s="12" t="n">
        <v>-224.232</v>
      </c>
      <c r="V43" s="12" t="n">
        <v>512.754</v>
      </c>
      <c r="W43" s="12" t="n">
        <v>569.421</v>
      </c>
      <c r="X43" s="12" t="n">
        <v>874.899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6.269</v>
      </c>
      <c r="D45" s="22" t="n">
        <v>24.815</v>
      </c>
      <c r="E45" s="22" t="n">
        <v>143.665</v>
      </c>
      <c r="F45" s="22" t="n">
        <v>-56.165</v>
      </c>
      <c r="G45" s="22" t="n">
        <v>39.762</v>
      </c>
      <c r="H45" s="22" t="n">
        <v>60.348</v>
      </c>
      <c r="I45" s="22" t="n">
        <v>103.6</v>
      </c>
      <c r="J45" s="22" t="n">
        <v>12.429</v>
      </c>
      <c r="K45" s="22" t="n">
        <v>85.334</v>
      </c>
      <c r="L45" s="22" t="n">
        <v>94.944</v>
      </c>
      <c r="M45" s="22" t="n">
        <v>60.571</v>
      </c>
      <c r="N45" s="22" t="n">
        <v>250.075</v>
      </c>
      <c r="O45" s="21" t="n"/>
      <c r="P45" s="22" t="n">
        <v>12.883</v>
      </c>
      <c r="Q45" s="22" t="n">
        <v>32.665</v>
      </c>
      <c r="R45" s="22" t="n">
        <v>129.019</v>
      </c>
      <c r="S45" s="22" t="n"/>
      <c r="T45" s="22" t="n"/>
      <c r="U45" s="22" t="n">
        <v>281.88</v>
      </c>
      <c r="V45" s="22" t="n">
        <v>159.498</v>
      </c>
      <c r="W45" s="22" t="n">
        <v>147.545</v>
      </c>
      <c r="X45" s="22" t="n">
        <v>253.278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5.905</v>
      </c>
      <c r="D47" s="12" t="n">
        <v>46.454</v>
      </c>
      <c r="E47" s="12" t="n">
        <v>288.446</v>
      </c>
      <c r="F47" s="12" t="n">
        <v>203.931</v>
      </c>
      <c r="G47" s="12" t="n">
        <v>-17.977</v>
      </c>
      <c r="H47" s="12" t="n">
        <v>100.042</v>
      </c>
      <c r="I47" s="12" t="n">
        <v>135.879</v>
      </c>
      <c r="J47" s="12" t="n">
        <v>135.748</v>
      </c>
      <c r="K47" s="12" t="n">
        <v>111.566</v>
      </c>
      <c r="L47" s="12" t="n">
        <v>183.812</v>
      </c>
      <c r="M47" s="12" t="n">
        <v>190.495</v>
      </c>
      <c r="N47" s="12" t="n">
        <v>183.331</v>
      </c>
      <c r="O47" s="11" t="n"/>
      <c r="P47" s="12" t="n">
        <v>-382.922</v>
      </c>
      <c r="Q47" s="12" t="n">
        <v>-31.965</v>
      </c>
      <c r="R47" s="12" t="n">
        <v>150.732</v>
      </c>
      <c r="S47" s="12" t="n"/>
      <c r="T47" s="12" t="n"/>
      <c r="U47" s="12" t="n">
        <v>-506.112</v>
      </c>
      <c r="V47" s="12" t="n">
        <v>353.256</v>
      </c>
      <c r="W47" s="12" t="n">
        <v>421.875</v>
      </c>
      <c r="X47" s="12" t="n">
        <v>621.621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5.905</v>
      </c>
      <c r="D49" s="12" t="n">
        <v>46.454</v>
      </c>
      <c r="E49" s="12" t="n">
        <v>288.446</v>
      </c>
      <c r="F49" s="12" t="n">
        <v>203.931</v>
      </c>
      <c r="G49" s="12" t="n">
        <v>-17.977</v>
      </c>
      <c r="H49" s="12" t="n">
        <v>100.042</v>
      </c>
      <c r="I49" s="12" t="n">
        <v>135.879</v>
      </c>
      <c r="J49" s="12" t="n">
        <v>135.748</v>
      </c>
      <c r="K49" s="12" t="n">
        <v>111.566</v>
      </c>
      <c r="L49" s="12" t="n">
        <v>183.812</v>
      </c>
      <c r="M49" s="12" t="n">
        <v>190.495</v>
      </c>
      <c r="N49" s="12" t="n">
        <v>183.331</v>
      </c>
      <c r="O49" s="11" t="n"/>
      <c r="P49" s="12" t="n">
        <v>-382.922</v>
      </c>
      <c r="Q49" s="12" t="n">
        <v>-31.965</v>
      </c>
      <c r="R49" s="12" t="n">
        <v>150.732</v>
      </c>
      <c r="S49" s="12" t="n"/>
      <c r="T49" s="12" t="n"/>
      <c r="U49" s="12" t="n">
        <v>-506.112</v>
      </c>
      <c r="V49" s="12" t="n">
        <v>353.256</v>
      </c>
      <c r="W49" s="12" t="n">
        <v>421.875</v>
      </c>
      <c r="X49" s="12" t="n">
        <v>621.621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635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6690762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2864.368</v>
      </c>
      <c r="D84" s="12" t="n">
        <v>2973.94</v>
      </c>
      <c r="E84" s="12" t="n">
        <v>3194.659</v>
      </c>
      <c r="F84" s="12" t="n">
        <v>3009.145</v>
      </c>
      <c r="G84" s="12" t="n">
        <v>3023.373</v>
      </c>
      <c r="H84" s="12" t="n">
        <v>3125.548</v>
      </c>
      <c r="I84" s="12" t="n">
        <v>3913.275</v>
      </c>
      <c r="J84" s="12" t="n">
        <v>3387.168</v>
      </c>
      <c r="K84" s="12" t="n">
        <v>3489.962</v>
      </c>
      <c r="L84" s="12" t="n">
        <v>3565.38</v>
      </c>
      <c r="M84" s="12" t="n">
        <v>4191.255</v>
      </c>
      <c r="N84" s="12" t="n">
        <v>6284.152</v>
      </c>
      <c r="U84" s="12" t="n">
        <v>2802.389</v>
      </c>
      <c r="V84" s="12" t="n">
        <v>3194.659</v>
      </c>
      <c r="W84" s="12" t="n">
        <v>3913.275</v>
      </c>
      <c r="X84" s="12" t="n">
        <v>4191.255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U85" s="17">
        <f>IF(OR(U84="",T84=""),"",IF(T84&lt;=0,"",IFERROR(U84/T84-1,"")))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2393.381</v>
      </c>
      <c r="D86" s="22" t="n">
        <v>2590.635</v>
      </c>
      <c r="E86" s="22" t="n">
        <v>2650.55</v>
      </c>
      <c r="F86" s="22" t="n">
        <v>2562.736</v>
      </c>
      <c r="G86" s="22" t="n">
        <v>2568.262</v>
      </c>
      <c r="H86" s="22" t="n">
        <v>2609.849</v>
      </c>
      <c r="I86" s="22" t="n">
        <v>3192.222</v>
      </c>
      <c r="J86" s="22" t="n">
        <v>2836.419</v>
      </c>
      <c r="K86" s="22" t="n">
        <v>2879.257</v>
      </c>
      <c r="L86" s="22" t="n">
        <v>2935.388</v>
      </c>
      <c r="M86" s="22" t="n">
        <v>3195.675</v>
      </c>
      <c r="N86" s="22" t="n">
        <v>5186.826</v>
      </c>
      <c r="U86" s="22" t="n">
        <v>2312.563</v>
      </c>
      <c r="V86" s="22" t="n">
        <v>2650.55</v>
      </c>
      <c r="W86" s="22" t="n">
        <v>3192.222</v>
      </c>
      <c r="X86" s="22" t="n">
        <v>3195.675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U87" s="17">
        <f>IF(OR(U86="",T86=""),"",IF(U86*T86&lt;=0,"",IFERROR(U86/T86-1,"")))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470.988</v>
      </c>
      <c r="D88" s="12" t="n">
        <v>383.305</v>
      </c>
      <c r="E88" s="12" t="n">
        <v>544.1079999999999</v>
      </c>
      <c r="F88" s="12" t="n">
        <v>446.409</v>
      </c>
      <c r="G88" s="12" t="n">
        <v>455.11</v>
      </c>
      <c r="H88" s="12" t="n">
        <v>515.699</v>
      </c>
      <c r="I88" s="12" t="n">
        <v>721.053</v>
      </c>
      <c r="J88" s="12" t="n">
        <v>550.748</v>
      </c>
      <c r="K88" s="12" t="n">
        <v>610.706</v>
      </c>
      <c r="L88" s="12" t="n">
        <v>629.992</v>
      </c>
      <c r="M88" s="12" t="n">
        <v>995.579</v>
      </c>
      <c r="N88" s="12" t="n">
        <v>1097.326</v>
      </c>
      <c r="U88" s="12" t="n">
        <v>489.826</v>
      </c>
      <c r="V88" s="12" t="n">
        <v>544.1079999999999</v>
      </c>
      <c r="W88" s="12" t="n">
        <v>721.053</v>
      </c>
      <c r="X88" s="12" t="n">
        <v>995.579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U89" s="17">
        <f>IF(OR(U88="",T88=""),"",IF(T88&lt;=0,"",IFERROR(U88/T88-1,"")))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288.544</v>
      </c>
      <c r="D90" s="22" t="n">
        <v>292.937</v>
      </c>
      <c r="E90" s="22" t="n">
        <v>307.714</v>
      </c>
      <c r="F90" s="22" t="n">
        <v>330.365</v>
      </c>
      <c r="G90" s="22" t="n">
        <v>326.494</v>
      </c>
      <c r="H90" s="22" t="n">
        <v>328.064</v>
      </c>
      <c r="I90" s="22" t="n">
        <v>419.875</v>
      </c>
      <c r="J90" s="22" t="n">
        <v>383.01</v>
      </c>
      <c r="K90" s="22" t="n">
        <v>390.754</v>
      </c>
      <c r="L90" s="22" t="n">
        <v>341.146</v>
      </c>
      <c r="M90" s="22" t="n">
        <v>566.6180000000001</v>
      </c>
      <c r="N90" s="22" t="n">
        <v>790.26</v>
      </c>
      <c r="U90" s="22" t="n">
        <v>311.394</v>
      </c>
      <c r="V90" s="22" t="n">
        <v>307.714</v>
      </c>
      <c r="W90" s="22" t="n">
        <v>419.875</v>
      </c>
      <c r="X90" s="22" t="n">
        <v>566.6180000000001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U91" s="17">
        <f>IF(OR(U90="",T90=""),"",IF(U90*T90&lt;=0,"",IFERROR(U90/T90-1,"")))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C92" s="12" t="n">
        <v>182.444</v>
      </c>
      <c r="D92" s="12" t="n">
        <v>90.367</v>
      </c>
      <c r="E92" s="12" t="n">
        <v>236.394</v>
      </c>
      <c r="F92" s="12" t="n">
        <v>116.044</v>
      </c>
      <c r="G92" s="12" t="n">
        <v>128.616</v>
      </c>
      <c r="H92" s="12" t="n">
        <v>187.635</v>
      </c>
      <c r="I92" s="12" t="n">
        <v>301.178</v>
      </c>
      <c r="J92" s="12" t="n">
        <v>167.738</v>
      </c>
      <c r="K92" s="12" t="n">
        <v>219.951</v>
      </c>
      <c r="L92" s="12" t="n">
        <v>288.846</v>
      </c>
      <c r="M92" s="12" t="n">
        <v>428.961</v>
      </c>
      <c r="N92" s="12" t="n">
        <v>307.065</v>
      </c>
      <c r="U92" s="12" t="n">
        <v>178.432</v>
      </c>
      <c r="V92" s="12" t="n">
        <v>236.394</v>
      </c>
      <c r="W92" s="12" t="n">
        <v>301.178</v>
      </c>
      <c r="X92" s="12" t="n">
        <v>428.961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U93" s="17">
        <f>IF(OR(U92="",U84=""),"",IF(U84&lt;=0,"",IFERROR(U92/U84,"")))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U94" s="17">
        <f>IF(OR(U92="",T92=""),"",IF(T92&lt;=0,"",IFERROR(U92/T92-1,"")))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보조금 수입</t>
        </is>
      </c>
      <c r="C95" s="22" t="n">
        <v>0</v>
      </c>
      <c r="D95" s="22" t="n">
        <v>0</v>
      </c>
      <c r="E95" s="22" t="n">
        <v>431.647</v>
      </c>
      <c r="F95" s="22" t="n">
        <v>12.453</v>
      </c>
      <c r="G95" s="22" t="n">
        <v>0</v>
      </c>
      <c r="H95" s="22" t="n">
        <v>0</v>
      </c>
      <c r="I95" s="22" t="n">
        <v>242.094</v>
      </c>
      <c r="J95" s="22" t="n">
        <v>0</v>
      </c>
      <c r="K95" s="22" t="n">
        <v>0</v>
      </c>
      <c r="L95" s="22" t="n">
        <v>0</v>
      </c>
      <c r="M95" s="22" t="n">
        <v>77.21299999999999</v>
      </c>
      <c r="N95" s="22" t="n">
        <v>184.218</v>
      </c>
      <c r="U95" s="22" t="n">
        <v>450.741</v>
      </c>
      <c r="V95" s="22" t="n">
        <v>431.647</v>
      </c>
      <c r="W95" s="22" t="n">
        <v>242.094</v>
      </c>
      <c r="X95" s="22" t="n">
        <v>77.21299999999999</v>
      </c>
    </row>
    <row r="96">
      <c r="A96" s="20" t="inlineStr">
        <is>
          <t>잡이익</t>
        </is>
      </c>
      <c r="C96" s="22" t="n">
        <v>4.601</v>
      </c>
      <c r="D96" s="22" t="n">
        <v>4.816</v>
      </c>
      <c r="F96" s="22" t="n">
        <v>1.117</v>
      </c>
      <c r="G96" s="22" t="n">
        <v>3.747</v>
      </c>
      <c r="H96" s="22" t="n">
        <v>2.549</v>
      </c>
      <c r="I96" s="22" t="n">
        <v>1.799</v>
      </c>
      <c r="J96" s="22" t="n">
        <v>3.122</v>
      </c>
      <c r="K96" s="22" t="n">
        <v>2.473</v>
      </c>
      <c r="L96" s="22" t="n">
        <v>12.106</v>
      </c>
      <c r="M96" s="22" t="n">
        <v>3.287</v>
      </c>
      <c r="N96" s="22" t="n">
        <v>28.726</v>
      </c>
      <c r="W96" s="22" t="n">
        <v>1.799</v>
      </c>
      <c r="X96" s="22" t="n">
        <v>3.287</v>
      </c>
    </row>
    <row r="97">
      <c r="A97" s="20" t="inlineStr">
        <is>
          <t>기타</t>
        </is>
      </c>
      <c r="C97" s="22" t="n">
        <v>4.906</v>
      </c>
      <c r="D97" s="22" t="n">
        <v>5.111</v>
      </c>
      <c r="E97" s="22" t="n">
        <v>8.364000000000001</v>
      </c>
      <c r="F97" s="22" t="n">
        <v>0.421</v>
      </c>
      <c r="G97" s="22" t="n">
        <v>0.431</v>
      </c>
      <c r="H97" s="22" t="n">
        <v>0.285</v>
      </c>
      <c r="I97" s="22" t="n">
        <v>1.225</v>
      </c>
      <c r="J97" s="22" t="n">
        <v>0.323</v>
      </c>
      <c r="K97" s="22" t="n">
        <v>2.459</v>
      </c>
      <c r="L97" s="22" t="n">
        <v>0.284</v>
      </c>
      <c r="M97" s="22" t="n">
        <v>5.354</v>
      </c>
      <c r="N97" s="22" t="n">
        <v>0.388</v>
      </c>
      <c r="U97" s="22" t="n">
        <v>39.984</v>
      </c>
      <c r="V97" s="22" t="n">
        <v>8.364000000000001</v>
      </c>
      <c r="W97" s="22" t="n">
        <v>1.225</v>
      </c>
      <c r="X97" s="22" t="n">
        <v>5.354</v>
      </c>
    </row>
    <row r="98">
      <c r="A98" s="20" t="inlineStr">
        <is>
          <t>영업외수익 합계</t>
        </is>
      </c>
      <c r="C98" s="22" t="n">
        <v>4.906</v>
      </c>
      <c r="D98" s="22" t="n">
        <v>5.111</v>
      </c>
      <c r="E98" s="22" t="n">
        <v>440.011</v>
      </c>
      <c r="F98" s="22" t="n">
        <v>13.992</v>
      </c>
      <c r="G98" s="22" t="n">
        <v>4.177</v>
      </c>
      <c r="H98" s="22" t="n">
        <v>2.835</v>
      </c>
      <c r="I98" s="22" t="n">
        <v>245.118</v>
      </c>
      <c r="J98" s="22" t="n">
        <v>3.445</v>
      </c>
      <c r="K98" s="22" t="n">
        <v>4.933</v>
      </c>
      <c r="L98" s="22" t="n">
        <v>12.39</v>
      </c>
      <c r="M98" s="22" t="n">
        <v>85.854</v>
      </c>
      <c r="N98" s="22" t="n">
        <v>213.332</v>
      </c>
      <c r="U98" s="22" t="n">
        <v>470.755</v>
      </c>
      <c r="V98" s="22" t="n">
        <v>440.011</v>
      </c>
      <c r="W98" s="22" t="n">
        <v>245.118</v>
      </c>
      <c r="X98" s="22" t="n">
        <v>85.854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G99" s="17">
        <f>IF(OR(G98="",C98=""),"",IF(G98*C98&lt;=0,"",IFERROR(G98/C98-1,"")))</f>
        <v/>
      </c>
      <c r="H99" s="17">
        <f>IF(OR(H98="",D98=""),"",IF(H98*D98&lt;=0,"",IFERROR(H98/D98-1,"")))</f>
        <v/>
      </c>
      <c r="I99" s="17">
        <f>IF(OR(I98="",E98=""),"",IF(I98*E98&lt;=0,"",IFERROR(I98/E98-1,"")))</f>
        <v/>
      </c>
      <c r="J99" s="17">
        <f>IF(OR(J98="",F98=""),"",IF(J98*F98&lt;=0,"",IFERROR(J98/F98-1,"")))</f>
        <v/>
      </c>
      <c r="K99" s="17">
        <f>IF(OR(K98="",G98=""),"",IF(K98*G98&lt;=0,"",IFERROR(K98/G98-1,"")))</f>
        <v/>
      </c>
      <c r="L99" s="17">
        <f>IF(OR(L98="",H98=""),"",IF(L98*H98&lt;=0,"",IFERROR(L98/H98-1,"")))</f>
        <v/>
      </c>
      <c r="M99" s="17">
        <f>IF(OR(M98="",I98=""),"",IF(M98*I98&lt;=0,"",IFERROR(M98/I98-1,"")))</f>
        <v/>
      </c>
      <c r="N99" s="17">
        <f>IF(OR(N98="",J98=""),"",IF(N98*J98&lt;=0,"",IFERROR(N98/J98-1,"")))</f>
        <v/>
      </c>
      <c r="U99" s="17">
        <f>IF(OR(U98="",T98=""),"",IF(U98*T98&lt;=0,"",IFERROR(U98/T98-1,"")))</f>
        <v/>
      </c>
      <c r="V99" s="17">
        <f>IF(OR(V98="",U98=""),"",IF(V98*U98&lt;=0,"",IFERROR(V98/U98-1,"")))</f>
        <v/>
      </c>
      <c r="W99" s="17">
        <f>IF(OR(W98="",V98=""),"",IF(W98*V98&lt;=0,"",IFERROR(W98/V98-1,"")))</f>
        <v/>
      </c>
      <c r="X99" s="17">
        <f>IF(OR(X98="",W98=""),"",IF(X98*W98&lt;=0,"",IFERROR(X98/W98-1,"")))</f>
        <v/>
      </c>
    </row>
    <row r="100">
      <c r="A100" s="20" t="inlineStr">
        <is>
          <t>이자비용</t>
        </is>
      </c>
      <c r="C100" s="22" t="n">
        <v>16.813</v>
      </c>
      <c r="D100" s="22" t="n">
        <v>16.793</v>
      </c>
      <c r="E100" s="22" t="n">
        <v>15.975</v>
      </c>
      <c r="F100" s="22" t="n">
        <v>16.709</v>
      </c>
      <c r="G100" s="22" t="n">
        <v>16.952</v>
      </c>
      <c r="H100" s="22" t="n">
        <v>17.868</v>
      </c>
      <c r="I100" s="22" t="n">
        <v>17.968</v>
      </c>
      <c r="J100" s="22" t="n">
        <v>20.431</v>
      </c>
      <c r="K100" s="22" t="n">
        <v>18.697</v>
      </c>
      <c r="L100" s="22" t="n">
        <v>18.276</v>
      </c>
      <c r="M100" s="22" t="n">
        <v>34.866</v>
      </c>
      <c r="N100" s="22" t="n">
        <v>81.422</v>
      </c>
      <c r="U100" s="22" t="n">
        <v>17.367</v>
      </c>
      <c r="V100" s="22" t="n">
        <v>15.975</v>
      </c>
      <c r="W100" s="22" t="n">
        <v>17.968</v>
      </c>
      <c r="X100" s="22" t="n">
        <v>34.866</v>
      </c>
    </row>
    <row r="101">
      <c r="A101" s="20" t="inlineStr">
        <is>
          <t>지급수수료</t>
        </is>
      </c>
      <c r="C101" s="22" t="n">
        <v>2.149</v>
      </c>
      <c r="D101" s="22" t="n">
        <v>0.758</v>
      </c>
      <c r="E101" s="22" t="n">
        <v>0.72</v>
      </c>
      <c r="F101" s="22" t="n">
        <v>0.439</v>
      </c>
      <c r="G101" s="22" t="n">
        <v>16.527</v>
      </c>
      <c r="H101" s="22" t="n">
        <v>0.448</v>
      </c>
      <c r="I101" s="22" t="n">
        <v>0.3</v>
      </c>
      <c r="J101" s="22" t="n">
        <v>0</v>
      </c>
      <c r="K101" s="22" t="n">
        <v>2.155</v>
      </c>
      <c r="L101" s="22" t="n">
        <v>0.193</v>
      </c>
      <c r="M101" s="22" t="n">
        <v>173.182</v>
      </c>
      <c r="N101" s="22" t="n">
        <v>1.25</v>
      </c>
      <c r="U101" s="22" t="n">
        <v>7.167</v>
      </c>
      <c r="V101" s="22" t="n">
        <v>0.72</v>
      </c>
      <c r="W101" s="22" t="n">
        <v>0.3</v>
      </c>
      <c r="X101" s="22" t="n">
        <v>173.182</v>
      </c>
    </row>
    <row r="102">
      <c r="A102" s="20" t="inlineStr">
        <is>
          <t>Opening Preparation Fee NOE</t>
        </is>
      </c>
      <c r="F102" s="22" t="n">
        <v>0.279</v>
      </c>
      <c r="J102" s="22" t="n">
        <v>0.002</v>
      </c>
    </row>
    <row r="103">
      <c r="A103" s="20" t="inlineStr">
        <is>
          <t>Opening Fee NOE</t>
        </is>
      </c>
      <c r="D103" s="22" t="n">
        <v>6.459</v>
      </c>
      <c r="H103" s="22" t="n">
        <v>10.974</v>
      </c>
      <c r="L103" s="22" t="n">
        <v>3.639</v>
      </c>
    </row>
    <row r="104">
      <c r="A104" s="20" t="inlineStr">
        <is>
          <t>기타</t>
        </is>
      </c>
      <c r="C104" s="22" t="n">
        <v>2.85</v>
      </c>
      <c r="D104" s="22" t="n">
        <v>0.21</v>
      </c>
      <c r="E104" s="22" t="n">
        <v>2.462</v>
      </c>
      <c r="F104" s="22" t="n">
        <v>1.159</v>
      </c>
      <c r="G104" s="22" t="n">
        <v>1.096</v>
      </c>
      <c r="H104" s="22" t="n">
        <v>0.139</v>
      </c>
      <c r="I104" s="22" t="n">
        <v>37.282</v>
      </c>
      <c r="J104" s="22" t="n">
        <v>2.585</v>
      </c>
      <c r="K104" s="22" t="n">
        <v>0.191</v>
      </c>
      <c r="L104" s="22" t="n">
        <v>0.078</v>
      </c>
      <c r="M104" s="22" t="n">
        <v>7.641</v>
      </c>
      <c r="N104" s="22" t="n">
        <v>2.248</v>
      </c>
      <c r="U104" s="22" t="n">
        <v>0.722</v>
      </c>
      <c r="V104" s="22" t="n">
        <v>2.462</v>
      </c>
      <c r="W104" s="22" t="n">
        <v>37.282</v>
      </c>
      <c r="X104" s="22" t="n">
        <v>7.641</v>
      </c>
    </row>
    <row r="105">
      <c r="A105" s="20" t="inlineStr">
        <is>
          <t>영업외비용 합계</t>
        </is>
      </c>
      <c r="C105" s="22" t="n">
        <v>29.564</v>
      </c>
      <c r="D105" s="22" t="n">
        <v>24.218</v>
      </c>
      <c r="E105" s="22" t="n">
        <v>26.228</v>
      </c>
      <c r="F105" s="22" t="n">
        <v>18.587</v>
      </c>
      <c r="G105" s="22" t="n">
        <v>35.443</v>
      </c>
      <c r="H105" s="22" t="n">
        <v>29.428</v>
      </c>
      <c r="I105" s="22" t="n">
        <v>43.431</v>
      </c>
      <c r="J105" s="22" t="n">
        <v>23.017</v>
      </c>
      <c r="K105" s="22" t="n">
        <v>21.045</v>
      </c>
      <c r="L105" s="22" t="n">
        <v>22.186</v>
      </c>
      <c r="M105" s="22" t="n">
        <v>212.047</v>
      </c>
      <c r="N105" s="22" t="n">
        <v>84.92</v>
      </c>
      <c r="U105" s="22" t="n">
        <v>44.178</v>
      </c>
      <c r="V105" s="22" t="n">
        <v>26.228</v>
      </c>
      <c r="W105" s="22" t="n">
        <v>43.431</v>
      </c>
      <c r="X105" s="22" t="n">
        <v>212.047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G106" s="17">
        <f>IF(OR(G105="",C105=""),"",IF(G105*C105&lt;=0,"",IFERROR(G105/C105-1,"")))</f>
        <v/>
      </c>
      <c r="H106" s="17">
        <f>IF(OR(H105="",D105=""),"",IF(H105*D105&lt;=0,"",IFERROR(H105/D105-1,"")))</f>
        <v/>
      </c>
      <c r="I106" s="17">
        <f>IF(OR(I105="",E105=""),"",IF(I105*E105&lt;=0,"",IFERROR(I105/E105-1,"")))</f>
        <v/>
      </c>
      <c r="J106" s="17">
        <f>IF(OR(J105="",F105=""),"",IF(J105*F105&lt;=0,"",IFERROR(J105/F105-1,"")))</f>
        <v/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U106" s="17">
        <f>IF(OR(U105="",T105=""),"",IF(U105*T105&lt;=0,"",IFERROR(U105/T105-1,"")))</f>
        <v/>
      </c>
      <c r="V106" s="17">
        <f>IF(OR(V105="",U105=""),"",IF(V105*U105&lt;=0,"",IFERROR(V105/U105-1,"")))</f>
        <v/>
      </c>
      <c r="W106" s="17">
        <f>IF(OR(W105="",V105=""),"",IF(W105*V105&lt;=0,"",IFERROR(W105/V105-1,"")))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C107" s="12" t="n">
        <v>157.784</v>
      </c>
      <c r="D107" s="12" t="n">
        <v>71.261</v>
      </c>
      <c r="E107" s="12" t="n">
        <v>650.177</v>
      </c>
      <c r="F107" s="12" t="n">
        <v>111.449</v>
      </c>
      <c r="G107" s="12" t="n">
        <v>97.351</v>
      </c>
      <c r="H107" s="12" t="n">
        <v>161.041</v>
      </c>
      <c r="I107" s="12" t="n">
        <v>502.865</v>
      </c>
      <c r="J107" s="12" t="n">
        <v>148.166</v>
      </c>
      <c r="K107" s="12" t="n">
        <v>203.839</v>
      </c>
      <c r="L107" s="12" t="n">
        <v>279.05</v>
      </c>
      <c r="M107" s="12" t="n">
        <v>302.768</v>
      </c>
      <c r="N107" s="12" t="n">
        <v>435.478</v>
      </c>
      <c r="U107" s="12" t="n">
        <v>605.008</v>
      </c>
      <c r="V107" s="12" t="n">
        <v>650.177</v>
      </c>
      <c r="W107" s="12" t="n">
        <v>502.865</v>
      </c>
      <c r="X107" s="12" t="n">
        <v>302.768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G108" s="17">
        <f>IF(OR(G107="",C107=""),"",IF(C107&lt;=0,"",IFERROR(G107/C107-1,"")))</f>
        <v/>
      </c>
      <c r="H108" s="17">
        <f>IF(OR(H107="",D107=""),"",IF(D107&lt;=0,"",IFERROR(H107/D107-1,"")))</f>
        <v/>
      </c>
      <c r="I108" s="17">
        <f>IF(OR(I107="",E107=""),"",IF(E107&lt;=0,"",IFERROR(I107/E107-1,"")))</f>
        <v/>
      </c>
      <c r="J108" s="17">
        <f>IF(OR(J107="",F107=""),"",IF(F107&lt;=0,"",IFERROR(J107/F107-1,"")))</f>
        <v/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U108" s="17">
        <f>IF(OR(U107="",T107=""),"",IF(T107&lt;=0,"",IFERROR(U107/T107-1,"")))</f>
        <v/>
      </c>
      <c r="V108" s="17">
        <f>IF(OR(V107="",U107=""),"",IF(U107&lt;=0,"",IFERROR(V107/U107-1,"")))</f>
        <v/>
      </c>
      <c r="W108" s="17">
        <f>IF(OR(W107="",V107=""),"",IF(V107&lt;=0,"",IFERROR(W107/V107-1,"")))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매각이익</t>
        </is>
      </c>
      <c r="D109" s="22" t="n">
        <v>0.008999999999999999</v>
      </c>
      <c r="E109" s="22" t="n">
        <v>0.024</v>
      </c>
      <c r="I109" s="22" t="n">
        <v>0.08</v>
      </c>
      <c r="U109" s="22" t="n">
        <v>38.26</v>
      </c>
      <c r="V109" s="22" t="n">
        <v>0.024</v>
      </c>
      <c r="W109" s="22" t="n">
        <v>0.08</v>
      </c>
    </row>
    <row r="110">
      <c r="A110" s="20" t="inlineStr">
        <is>
          <t>단기매매차익 수증이익</t>
        </is>
      </c>
      <c r="D110" s="22" t="n">
        <v>0</v>
      </c>
      <c r="E110" s="22" t="n">
        <v>0</v>
      </c>
      <c r="F110" s="22" t="n">
        <v>0</v>
      </c>
      <c r="G110" s="22" t="n">
        <v>20.754</v>
      </c>
      <c r="H110" s="22" t="n">
        <v>-0.046</v>
      </c>
      <c r="I110" s="22" t="n">
        <v>0</v>
      </c>
      <c r="J110" s="22" t="n">
        <v>0.011</v>
      </c>
      <c r="K110" s="22" t="n">
        <v>0</v>
      </c>
      <c r="L110" s="22" t="n">
        <v>0</v>
      </c>
      <c r="M110" s="22" t="n">
        <v>0</v>
      </c>
      <c r="N110" s="22" t="n">
        <v>0</v>
      </c>
      <c r="V110" s="22" t="n">
        <v>0</v>
      </c>
      <c r="W110" s="22" t="n">
        <v>0</v>
      </c>
      <c r="X110" s="22" t="n">
        <v>0</v>
      </c>
    </row>
    <row r="111">
      <c r="A111" s="20" t="inlineStr">
        <is>
          <t>자산복구부채 환입이익</t>
        </is>
      </c>
      <c r="C111" s="22" t="n">
        <v>0</v>
      </c>
      <c r="D111" s="22" t="n">
        <v>0</v>
      </c>
      <c r="E111" s="22" t="n">
        <v>0</v>
      </c>
      <c r="F111" s="22" t="n">
        <v>1.137</v>
      </c>
      <c r="G111" s="22" t="n">
        <v>0</v>
      </c>
      <c r="H111" s="22" t="n">
        <v>0</v>
      </c>
      <c r="I111" s="22" t="n">
        <v>2.751</v>
      </c>
      <c r="J111" s="22" t="n">
        <v>0</v>
      </c>
      <c r="K111" s="22" t="n">
        <v>0</v>
      </c>
      <c r="L111" s="22" t="n">
        <v>0</v>
      </c>
      <c r="M111" s="22" t="n">
        <v>0</v>
      </c>
      <c r="N111" s="22" t="n">
        <v>0.948</v>
      </c>
      <c r="U111" s="22" t="n">
        <v>0</v>
      </c>
      <c r="V111" s="22" t="n">
        <v>0</v>
      </c>
      <c r="W111" s="22" t="n">
        <v>2.751</v>
      </c>
      <c r="X111" s="22" t="n">
        <v>0</v>
      </c>
    </row>
    <row r="112">
      <c r="A112" s="20" t="inlineStr">
        <is>
          <t>관계회사 주식 매각이익</t>
        </is>
      </c>
      <c r="C112" s="22" t="n">
        <v>0</v>
      </c>
      <c r="D112" s="22" t="n">
        <v>0</v>
      </c>
      <c r="E112" s="22" t="n">
        <v>0</v>
      </c>
      <c r="F112" s="22" t="n">
        <v>35.179</v>
      </c>
      <c r="G112" s="22" t="n">
        <v>0</v>
      </c>
      <c r="H112" s="22" t="n">
        <v>0</v>
      </c>
      <c r="I112" s="22" t="n">
        <v>0</v>
      </c>
      <c r="J112" s="22" t="n">
        <v>0</v>
      </c>
      <c r="K112" s="22" t="n">
        <v>0</v>
      </c>
      <c r="L112" s="22" t="n">
        <v>0</v>
      </c>
      <c r="M112" s="22" t="n">
        <v>0</v>
      </c>
      <c r="V112" s="22" t="n">
        <v>0</v>
      </c>
      <c r="W112" s="22" t="n">
        <v>0</v>
      </c>
      <c r="X112" s="22" t="n">
        <v>0</v>
      </c>
    </row>
    <row r="113">
      <c r="A113" s="20" t="inlineStr">
        <is>
          <t>특별이익 합계</t>
        </is>
      </c>
      <c r="C113" s="22" t="n">
        <v>0</v>
      </c>
      <c r="D113" s="22" t="n">
        <v>0.01</v>
      </c>
      <c r="E113" s="22" t="n">
        <v>0.024</v>
      </c>
      <c r="F113" s="22" t="n">
        <v>36.316</v>
      </c>
      <c r="G113" s="22" t="n">
        <v>20.755</v>
      </c>
      <c r="H113" s="22" t="n">
        <v>-0.046</v>
      </c>
      <c r="I113" s="22" t="n">
        <v>3.343</v>
      </c>
      <c r="J113" s="22" t="n">
        <v>0.011</v>
      </c>
      <c r="K113" s="22" t="n">
        <v>0</v>
      </c>
      <c r="L113" s="22" t="n">
        <v>0</v>
      </c>
      <c r="M113" s="22" t="n">
        <v>0</v>
      </c>
      <c r="N113" s="22" t="n">
        <v>0.948</v>
      </c>
      <c r="U113" s="22" t="n">
        <v>38.26</v>
      </c>
      <c r="V113" s="22" t="n">
        <v>0.024</v>
      </c>
      <c r="W113" s="22" t="n">
        <v>3.343</v>
      </c>
      <c r="X113" s="22" t="n">
        <v>0</v>
      </c>
    </row>
    <row r="114">
      <c r="A114" s="45" t="inlineStr">
        <is>
          <t>YoY</t>
        </is>
      </c>
      <c r="B114" s="3" t="inlineStr">
        <is>
          <t>전년 같은 분기·전년 대비</t>
        </is>
      </c>
      <c r="G114" s="17">
        <f>IF(OR(G113="",C113=""),"",IF(G113*C113&lt;=0,"",IFERROR(G113/C113-1,"")))</f>
        <v/>
      </c>
      <c r="H114" s="17">
        <f>IF(OR(H113="",D113=""),"",IF(H113*D113&lt;=0,"",IFERROR(H113/D113-1,"")))</f>
        <v/>
      </c>
      <c r="I114" s="17">
        <f>IF(OR(I113="",E113=""),"",IF(I113*E113&lt;=0,"",IFERROR(I113/E113-1,"")))</f>
        <v/>
      </c>
      <c r="J114" s="17">
        <f>IF(OR(J113="",F113=""),"",IF(J113*F113&lt;=0,"",IFERROR(J113/F113-1,"")))</f>
        <v/>
      </c>
      <c r="K114" s="17">
        <f>IF(OR(K113="",G113=""),"",IF(K113*G113&lt;=0,"",IFERROR(K113/G113-1,"")))</f>
        <v/>
      </c>
      <c r="L114" s="17">
        <f>IF(OR(L113="",H113=""),"",IF(L113*H113&lt;=0,"",IFERROR(L113/H113-1,"")))</f>
        <v/>
      </c>
      <c r="M114" s="17">
        <f>IF(OR(M113="",I113=""),"",IF(M113*I113&lt;=0,"",IFERROR(M113/I113-1,"")))</f>
        <v/>
      </c>
      <c r="N114" s="17">
        <f>IF(OR(N113="",J113=""),"",IF(N113*J113&lt;=0,"",IFERROR(N113/J113-1,"")))</f>
        <v/>
      </c>
      <c r="U114" s="17">
        <f>IF(OR(U113="",T113=""),"",IF(U113*T113&lt;=0,"",IFERROR(U113/T113-1,"")))</f>
        <v/>
      </c>
      <c r="V114" s="17">
        <f>IF(OR(V113="",U113=""),"",IF(V113*U113&lt;=0,"",IFERROR(V113/U113-1,"")))</f>
        <v/>
      </c>
      <c r="W114" s="17">
        <f>IF(OR(W113="",V113=""),"",IF(W113*V113&lt;=0,"",IFERROR(W113/V113-1,"")))</f>
        <v/>
      </c>
      <c r="X114" s="17">
        <f>IF(OR(X113="",W113=""),"",IF(X113*W113&lt;=0,"",IFERROR(X113/W113-1,"")))</f>
        <v/>
      </c>
    </row>
    <row r="115">
      <c r="A115" s="20" t="inlineStr">
        <is>
          <t>고정자산 제각·매각손실</t>
        </is>
      </c>
      <c r="C115" s="22" t="n">
        <v>0</v>
      </c>
      <c r="D115" s="22" t="n">
        <v>0</v>
      </c>
      <c r="E115" s="22" t="n">
        <v>0.054</v>
      </c>
      <c r="F115" s="22" t="n">
        <v>0</v>
      </c>
      <c r="G115" s="22" t="n">
        <v>0.013</v>
      </c>
      <c r="H115" s="22" t="n">
        <v>0</v>
      </c>
      <c r="I115" s="22" t="n">
        <v>0.257</v>
      </c>
      <c r="J115" s="22" t="n">
        <v>0</v>
      </c>
      <c r="K115" s="22" t="n">
        <v>6.938</v>
      </c>
      <c r="L115" s="22" t="n">
        <v>0</v>
      </c>
      <c r="M115" s="22" t="n">
        <v>0.025</v>
      </c>
      <c r="N115" s="22" t="n">
        <v>3.018</v>
      </c>
      <c r="U115" s="22" t="n">
        <v>0.014</v>
      </c>
      <c r="V115" s="22" t="n">
        <v>0.054</v>
      </c>
      <c r="W115" s="22" t="n">
        <v>0.257</v>
      </c>
      <c r="X115" s="22" t="n">
        <v>0.025</v>
      </c>
    </row>
    <row r="116">
      <c r="A116" s="20" t="inlineStr">
        <is>
          <t>손상차손</t>
        </is>
      </c>
      <c r="C116" s="22" t="n">
        <v>145.611</v>
      </c>
      <c r="D116" s="22" t="n">
        <v>0</v>
      </c>
      <c r="E116" s="22" t="n">
        <v>218.035</v>
      </c>
      <c r="H116" s="22" t="n">
        <v>0</v>
      </c>
      <c r="I116" s="22" t="n">
        <v>266.472</v>
      </c>
      <c r="L116" s="22" t="n">
        <v>0</v>
      </c>
      <c r="M116" s="22" t="n">
        <v>42.77</v>
      </c>
      <c r="U116" s="22" t="n">
        <v>172.3</v>
      </c>
      <c r="V116" s="22" t="n">
        <v>218.035</v>
      </c>
      <c r="W116" s="22" t="n">
        <v>266.472</v>
      </c>
      <c r="X116" s="22" t="n">
        <v>42.77</v>
      </c>
    </row>
    <row r="117">
      <c r="A117" s="20" t="inlineStr">
        <is>
          <t>Subsidy Return Loss EL</t>
        </is>
      </c>
      <c r="C117" s="22" t="n">
        <v>0</v>
      </c>
      <c r="D117" s="22" t="n">
        <v>0</v>
      </c>
      <c r="E117" s="22" t="n">
        <v>0</v>
      </c>
      <c r="U117" s="22" t="n">
        <v>0</v>
      </c>
      <c r="V117" s="22" t="n">
        <v>0</v>
      </c>
    </row>
    <row r="118">
      <c r="A118" s="20" t="inlineStr">
        <is>
          <t>대손충당금 전입</t>
        </is>
      </c>
      <c r="D118" s="22" t="n">
        <v>0</v>
      </c>
      <c r="E118" s="22" t="n">
        <v>0</v>
      </c>
      <c r="U118" s="22" t="n">
        <v>0</v>
      </c>
      <c r="V118" s="22" t="n">
        <v>0</v>
      </c>
    </row>
    <row r="119">
      <c r="A119" s="20" t="inlineStr">
        <is>
          <t>사업정리 손실</t>
        </is>
      </c>
      <c r="D119" s="22" t="n">
        <v>0</v>
      </c>
      <c r="E119" s="22" t="n">
        <v>0</v>
      </c>
      <c r="U119" s="22" t="n">
        <v>0</v>
      </c>
      <c r="V119" s="22" t="n">
        <v>0</v>
      </c>
    </row>
    <row r="120">
      <c r="A120" s="20" t="inlineStr">
        <is>
          <t>투자유가증권 평가손실</t>
        </is>
      </c>
      <c r="D120" s="22" t="n">
        <v>0</v>
      </c>
      <c r="E120" s="22" t="n">
        <v>0</v>
      </c>
      <c r="H120" s="22" t="n">
        <v>0.604</v>
      </c>
      <c r="I120" s="22" t="n">
        <v>0</v>
      </c>
      <c r="L120" s="22" t="n">
        <v>0.295</v>
      </c>
      <c r="M120" s="22" t="n">
        <v>8.906000000000001</v>
      </c>
      <c r="V120" s="22" t="n">
        <v>0</v>
      </c>
      <c r="W120" s="22" t="n">
        <v>0</v>
      </c>
      <c r="X120" s="22" t="n">
        <v>8.906000000000001</v>
      </c>
    </row>
    <row r="121">
      <c r="A121" s="20" t="inlineStr">
        <is>
          <t>특별손실 합계</t>
        </is>
      </c>
      <c r="C121" s="22" t="n">
        <v>145.611</v>
      </c>
      <c r="D121" s="22" t="n">
        <v>0</v>
      </c>
      <c r="E121" s="22" t="n">
        <v>218.09</v>
      </c>
      <c r="F121" s="22" t="n">
        <v>0</v>
      </c>
      <c r="G121" s="22" t="n">
        <v>96.31999999999999</v>
      </c>
      <c r="H121" s="22" t="n">
        <v>0.604</v>
      </c>
      <c r="I121" s="22" t="n">
        <v>266.729</v>
      </c>
      <c r="J121" s="22" t="n">
        <v>0</v>
      </c>
      <c r="K121" s="22" t="n">
        <v>6.938</v>
      </c>
      <c r="L121" s="22" t="n">
        <v>0.295</v>
      </c>
      <c r="M121" s="22" t="n">
        <v>51.702</v>
      </c>
      <c r="N121" s="22" t="n">
        <v>3.018</v>
      </c>
      <c r="U121" s="22" t="n">
        <v>202.626</v>
      </c>
      <c r="V121" s="22" t="n">
        <v>218.09</v>
      </c>
      <c r="W121" s="22" t="n">
        <v>266.729</v>
      </c>
      <c r="X121" s="22" t="n">
        <v>51.702</v>
      </c>
    </row>
    <row r="122">
      <c r="A122" s="45" t="inlineStr">
        <is>
          <t>YoY</t>
        </is>
      </c>
      <c r="B122" s="3" t="inlineStr">
        <is>
          <t>전년 같은 분기·전년 대비</t>
        </is>
      </c>
      <c r="G122" s="17">
        <f>IF(OR(G121="",C121=""),"",IF(G121*C121&lt;=0,"",IFERROR(G121/C121-1,"")))</f>
        <v/>
      </c>
      <c r="H122" s="17">
        <f>IF(OR(H121="",D121=""),"",IF(H121*D121&lt;=0,"",IFERROR(H121/D121-1,"")))</f>
        <v/>
      </c>
      <c r="I122" s="17">
        <f>IF(OR(I121="",E121=""),"",IF(I121*E121&lt;=0,"",IFERROR(I121/E121-1,"")))</f>
        <v/>
      </c>
      <c r="J122" s="17">
        <f>IF(OR(J121="",F121=""),"",IF(J121*F121&lt;=0,"",IFERROR(J121/F121-1,"")))</f>
        <v/>
      </c>
      <c r="K122" s="17">
        <f>IF(OR(K121="",G121=""),"",IF(K121*G121&lt;=0,"",IFERROR(K121/G121-1,"")))</f>
        <v/>
      </c>
      <c r="L122" s="17">
        <f>IF(OR(L121="",H121=""),"",IF(L121*H121&lt;=0,"",IFERROR(L121/H121-1,"")))</f>
        <v/>
      </c>
      <c r="M122" s="17">
        <f>IF(OR(M121="",I121=""),"",IF(M121*I121&lt;=0,"",IFERROR(M121/I121-1,"")))</f>
        <v/>
      </c>
      <c r="N122" s="17">
        <f>IF(OR(N121="",J121=""),"",IF(N121*J121&lt;=0,"",IFERROR(N121/J121-1,"")))</f>
        <v/>
      </c>
      <c r="U122" s="17">
        <f>IF(OR(U121="",T121=""),"",IF(U121*T121&lt;=0,"",IFERROR(U121/T121-1,"")))</f>
        <v/>
      </c>
      <c r="V122" s="17">
        <f>IF(OR(V121="",U121=""),"",IF(V121*U121&lt;=0,"",IFERROR(V121/U121-1,"")))</f>
        <v/>
      </c>
      <c r="W122" s="17">
        <f>IF(OR(W121="",V121=""),"",IF(W121*V121&lt;=0,"",IFERROR(W121/V121-1,"")))</f>
        <v/>
      </c>
      <c r="X122" s="17">
        <f>IF(OR(X121="",W121=""),"",IF(X121*W121&lt;=0,"",IFERROR(X121/W121-1,"")))</f>
        <v/>
      </c>
    </row>
    <row r="123">
      <c r="A123" s="9" t="inlineStr">
        <is>
          <t>법인세차감전 순이익</t>
        </is>
      </c>
      <c r="C123" s="12" t="n">
        <v>12.173</v>
      </c>
      <c r="D123" s="12" t="n">
        <v>71.271</v>
      </c>
      <c r="E123" s="12" t="n">
        <v>432.11</v>
      </c>
      <c r="F123" s="12" t="n">
        <v>147.766</v>
      </c>
      <c r="G123" s="12" t="n">
        <v>21.784</v>
      </c>
      <c r="H123" s="12" t="n">
        <v>160.392</v>
      </c>
      <c r="I123" s="12" t="n">
        <v>239.479</v>
      </c>
      <c r="J123" s="12" t="n">
        <v>148.178</v>
      </c>
      <c r="K123" s="12" t="n">
        <v>196.9</v>
      </c>
      <c r="L123" s="12" t="n">
        <v>278.756</v>
      </c>
      <c r="M123" s="12" t="n">
        <v>251.065</v>
      </c>
      <c r="N123" s="12" t="n">
        <v>433.407</v>
      </c>
      <c r="U123" s="12" t="n">
        <v>440.644</v>
      </c>
      <c r="V123" s="12" t="n">
        <v>432.11</v>
      </c>
      <c r="W123" s="12" t="n">
        <v>239.479</v>
      </c>
      <c r="X123" s="12" t="n">
        <v>251.065</v>
      </c>
    </row>
    <row r="124">
      <c r="A124" s="45" t="inlineStr">
        <is>
          <t>YoY</t>
        </is>
      </c>
      <c r="B124" s="3" t="inlineStr">
        <is>
          <t>전년 같은 분기·전년 대비</t>
        </is>
      </c>
      <c r="G124" s="17">
        <f>IF(OR(G123="",C123=""),"",IF(C123&lt;=0,"",IFERROR(G123/C123-1,"")))</f>
        <v/>
      </c>
      <c r="H124" s="17">
        <f>IF(OR(H123="",D123=""),"",IF(D123&lt;=0,"",IFERROR(H123/D123-1,"")))</f>
        <v/>
      </c>
      <c r="I124" s="17">
        <f>IF(OR(I123="",E123=""),"",IF(E123&lt;=0,"",IFERROR(I123/E123-1,"")))</f>
        <v/>
      </c>
      <c r="J124" s="17">
        <f>IF(OR(J123="",F123=""),"",IF(F123&lt;=0,"",IFERROR(J123/F123-1,"")))</f>
        <v/>
      </c>
      <c r="K124" s="17">
        <f>IF(OR(K123="",G123=""),"",IF(G123&lt;=0,"",IFERROR(K123/G123-1,"")))</f>
        <v/>
      </c>
      <c r="L124" s="17">
        <f>IF(OR(L123="",H123=""),"",IF(H123&lt;=0,"",IFERROR(L123/H123-1,"")))</f>
        <v/>
      </c>
      <c r="M124" s="17">
        <f>IF(OR(M123="",I123=""),"",IF(I123&lt;=0,"",IFERROR(M123/I123-1,"")))</f>
        <v/>
      </c>
      <c r="N124" s="17">
        <f>IF(OR(N123="",J123=""),"",IF(J123&lt;=0,"",IFERROR(N123/J123-1,"")))</f>
        <v/>
      </c>
      <c r="U124" s="17">
        <f>IF(OR(U123="",T123=""),"",IF(T123&lt;=0,"",IFERROR(U123/T123-1,"")))</f>
        <v/>
      </c>
      <c r="V124" s="17">
        <f>IF(OR(V123="",U123=""),"",IF(U123&lt;=0,"",IFERROR(V123/U123-1,"")))</f>
        <v/>
      </c>
      <c r="W124" s="17">
        <f>IF(OR(W123="",V123=""),"",IF(V123&lt;=0,"",IFERROR(W123/V123-1,"")))</f>
        <v/>
      </c>
      <c r="X124" s="17">
        <f>IF(OR(X123="",W123=""),"",IF(W123&lt;=0,"",IFERROR(X123/W123-1,"")))</f>
        <v/>
      </c>
    </row>
    <row r="125">
      <c r="A125" s="20" t="inlineStr">
        <is>
          <t>법인세·주민세·사업세</t>
        </is>
      </c>
      <c r="C125" s="22" t="n">
        <v>58.462</v>
      </c>
      <c r="D125" s="22" t="n">
        <v>-12.827</v>
      </c>
      <c r="E125" s="22" t="n">
        <v>269.617</v>
      </c>
      <c r="F125" s="22" t="n">
        <v>5.844</v>
      </c>
      <c r="G125" s="22" t="n">
        <v>46.754</v>
      </c>
      <c r="H125" s="22" t="n">
        <v>-9.375999999999999</v>
      </c>
      <c r="I125" s="22" t="n">
        <v>237.909</v>
      </c>
      <c r="J125" s="22" t="n">
        <v>36.775</v>
      </c>
      <c r="K125" s="22" t="n">
        <v>95.193</v>
      </c>
      <c r="L125" s="22" t="n">
        <v>8.842000000000001</v>
      </c>
      <c r="M125" s="22" t="n">
        <v>221.647</v>
      </c>
      <c r="N125" s="22" t="n">
        <v>180.796</v>
      </c>
      <c r="U125" s="22" t="n">
        <v>213.68</v>
      </c>
      <c r="V125" s="22" t="n">
        <v>269.617</v>
      </c>
      <c r="W125" s="22" t="n">
        <v>237.909</v>
      </c>
      <c r="X125" s="22" t="n">
        <v>221.647</v>
      </c>
    </row>
    <row r="126">
      <c r="A126" s="20" t="inlineStr">
        <is>
          <t>법인세 조정액</t>
        </is>
      </c>
      <c r="C126" s="22" t="n">
        <v>-52.193</v>
      </c>
      <c r="D126" s="22" t="n">
        <v>37.642</v>
      </c>
      <c r="E126" s="22" t="n">
        <v>-125.952</v>
      </c>
      <c r="F126" s="22" t="n">
        <v>-62.009</v>
      </c>
      <c r="G126" s="22" t="n">
        <v>-6.992</v>
      </c>
      <c r="H126" s="22" t="n">
        <v>69.723</v>
      </c>
      <c r="I126" s="22" t="n">
        <v>-134.308</v>
      </c>
      <c r="J126" s="22" t="n">
        <v>-24.345</v>
      </c>
      <c r="K126" s="22" t="n">
        <v>-9.859999999999999</v>
      </c>
      <c r="L126" s="22" t="n">
        <v>86.102</v>
      </c>
      <c r="M126" s="22" t="n">
        <v>-161.076</v>
      </c>
      <c r="N126" s="22" t="n">
        <v>69.279</v>
      </c>
      <c r="U126" s="22" t="n">
        <v>3.708</v>
      </c>
      <c r="V126" s="22" t="n">
        <v>-125.952</v>
      </c>
      <c r="W126" s="22" t="n">
        <v>-134.308</v>
      </c>
      <c r="X126" s="22" t="n">
        <v>-161.076</v>
      </c>
    </row>
    <row r="127">
      <c r="A127" s="20" t="inlineStr">
        <is>
          <t>법인세 등 합계</t>
        </is>
      </c>
      <c r="C127" s="22" t="n">
        <v>6.269</v>
      </c>
      <c r="D127" s="22" t="n">
        <v>24.815</v>
      </c>
      <c r="E127" s="22" t="n">
        <v>143.665</v>
      </c>
      <c r="F127" s="22" t="n">
        <v>-56.165</v>
      </c>
      <c r="G127" s="22" t="n">
        <v>39.762</v>
      </c>
      <c r="H127" s="22" t="n">
        <v>60.348</v>
      </c>
      <c r="I127" s="22" t="n">
        <v>103.6</v>
      </c>
      <c r="J127" s="22" t="n">
        <v>12.429</v>
      </c>
      <c r="K127" s="22" t="n">
        <v>85.334</v>
      </c>
      <c r="L127" s="22" t="n">
        <v>94.944</v>
      </c>
      <c r="M127" s="22" t="n">
        <v>60.571</v>
      </c>
      <c r="N127" s="22" t="n">
        <v>250.075</v>
      </c>
      <c r="U127" s="22" t="n">
        <v>217.387</v>
      </c>
      <c r="V127" s="22" t="n">
        <v>143.665</v>
      </c>
      <c r="W127" s="22" t="n">
        <v>103.6</v>
      </c>
      <c r="X127" s="22" t="n">
        <v>60.571</v>
      </c>
    </row>
    <row r="128">
      <c r="A128" s="45" t="inlineStr">
        <is>
          <t>YoY</t>
        </is>
      </c>
      <c r="B128" s="3" t="inlineStr">
        <is>
          <t>전년 같은 분기·전년 대비</t>
        </is>
      </c>
      <c r="G128" s="17">
        <f>IF(OR(G127="",C127=""),"",IF(G127*C127&lt;=0,"",IFERROR(G127/C127-1,"")))</f>
        <v/>
      </c>
      <c r="H128" s="17">
        <f>IF(OR(H127="",D127=""),"",IF(H127*D127&lt;=0,"",IFERROR(H127/D127-1,"")))</f>
        <v/>
      </c>
      <c r="I128" s="17">
        <f>IF(OR(I127="",E127=""),"",IF(I127*E127&lt;=0,"",IFERROR(I127/E127-1,"")))</f>
        <v/>
      </c>
      <c r="J128" s="17">
        <f>IF(OR(J127="",F127=""),"",IF(J127*F127&lt;=0,"",IFERROR(J127/F127-1,"")))</f>
        <v/>
      </c>
      <c r="K128" s="17">
        <f>IF(OR(K127="",G127=""),"",IF(K127*G127&lt;=0,"",IFERROR(K127/G127-1,"")))</f>
        <v/>
      </c>
      <c r="L128" s="17">
        <f>IF(OR(L127="",H127=""),"",IF(L127*H127&lt;=0,"",IFERROR(L127/H127-1,"")))</f>
        <v/>
      </c>
      <c r="M128" s="17">
        <f>IF(OR(M127="",I127=""),"",IF(M127*I127&lt;=0,"",IFERROR(M127/I127-1,"")))</f>
        <v/>
      </c>
      <c r="N128" s="17">
        <f>IF(OR(N127="",J127=""),"",IF(N127*J127&lt;=0,"",IFERROR(N127/J127-1,"")))</f>
        <v/>
      </c>
      <c r="U128" s="17">
        <f>IF(OR(U127="",T127=""),"",IF(U127*T127&lt;=0,"",IFERROR(U127/T127-1,"")))</f>
        <v/>
      </c>
      <c r="V128" s="17">
        <f>IF(OR(V127="",U127=""),"",IF(V127*U127&lt;=0,"",IFERROR(V127/U127-1,"")))</f>
        <v/>
      </c>
      <c r="W128" s="17">
        <f>IF(OR(W127="",V127=""),"",IF(W127*V127&lt;=0,"",IFERROR(W127/V127-1,"")))</f>
        <v/>
      </c>
      <c r="X128" s="17">
        <f>IF(OR(X127="",W127=""),"",IF(X127*W127&lt;=0,"",IFERROR(X127/W127-1,"")))</f>
        <v/>
      </c>
    </row>
    <row r="129">
      <c r="A129" s="9" t="inlineStr">
        <is>
          <t>순이익</t>
        </is>
      </c>
      <c r="C129" s="12" t="n">
        <v>5.905</v>
      </c>
      <c r="D129" s="12" t="n">
        <v>46.454</v>
      </c>
      <c r="E129" s="12" t="n">
        <v>288.446</v>
      </c>
      <c r="F129" s="12" t="n">
        <v>203.931</v>
      </c>
      <c r="G129" s="12" t="n">
        <v>-17.977</v>
      </c>
      <c r="H129" s="12" t="n">
        <v>100.042</v>
      </c>
      <c r="I129" s="12" t="n">
        <v>135.879</v>
      </c>
      <c r="J129" s="12" t="n">
        <v>135.748</v>
      </c>
      <c r="K129" s="12" t="n">
        <v>111.566</v>
      </c>
      <c r="L129" s="12" t="n">
        <v>183.812</v>
      </c>
      <c r="M129" s="12" t="n">
        <v>190.495</v>
      </c>
      <c r="N129" s="12" t="n">
        <v>183.331</v>
      </c>
      <c r="U129" s="12" t="n">
        <v>223.257</v>
      </c>
      <c r="V129" s="12" t="n">
        <v>288.446</v>
      </c>
      <c r="W129" s="12" t="n">
        <v>135.879</v>
      </c>
      <c r="X129" s="12" t="n">
        <v>190.495</v>
      </c>
    </row>
    <row r="130">
      <c r="A130" s="45" t="inlineStr">
        <is>
          <t>YoY</t>
        </is>
      </c>
      <c r="B130" s="3" t="inlineStr">
        <is>
          <t>전년 같은 분기·전년 대비</t>
        </is>
      </c>
      <c r="G130" s="17">
        <f>IF(OR(G129="",C129=""),"",IF(C129&lt;=0,"",IFERROR(G129/C129-1,"")))</f>
        <v/>
      </c>
      <c r="H130" s="17">
        <f>IF(OR(H129="",D129=""),"",IF(D129&lt;=0,"",IFERROR(H129/D129-1,"")))</f>
        <v/>
      </c>
      <c r="I130" s="17">
        <f>IF(OR(I129="",E129=""),"",IF(E129&lt;=0,"",IFERROR(I129/E129-1,"")))</f>
        <v/>
      </c>
      <c r="J130" s="17">
        <f>IF(OR(J129="",F129=""),"",IF(F129&lt;=0,"",IFERROR(J129/F129-1,"")))</f>
        <v/>
      </c>
      <c r="K130" s="17">
        <f>IF(OR(K129="",G129=""),"",IF(G129&lt;=0,"",IFERROR(K129/G129-1,"")))</f>
        <v/>
      </c>
      <c r="L130" s="17">
        <f>IF(OR(L129="",H129=""),"",IF(H129&lt;=0,"",IFERROR(L129/H129-1,"")))</f>
        <v/>
      </c>
      <c r="M130" s="17">
        <f>IF(OR(M129="",I129=""),"",IF(I129&lt;=0,"",IFERROR(M129/I129-1,"")))</f>
        <v/>
      </c>
      <c r="N130" s="17">
        <f>IF(OR(N129="",J129=""),"",IF(J129&lt;=0,"",IFERROR(N129/J129-1,"")))</f>
        <v/>
      </c>
      <c r="U130" s="17">
        <f>IF(OR(U129="",T129=""),"",IF(T129&lt;=0,"",IFERROR(U129/T129-1,"")))</f>
        <v/>
      </c>
      <c r="V130" s="17">
        <f>IF(OR(V129="",U129=""),"",IF(U129&lt;=0,"",IFERROR(V129/U129-1,"")))</f>
        <v/>
      </c>
      <c r="W130" s="17">
        <f>IF(OR(W129="",V129=""),"",IF(V129&lt;=0,"",IFERROR(W129/V129-1,"")))</f>
        <v/>
      </c>
      <c r="X130" s="17">
        <f>IF(OR(X129="",W129=""),"",IF(W129&lt;=0,"",IFERROR(X129/W129-1,"")))</f>
        <v/>
      </c>
    </row>
    <row r="131">
      <c r="A131" s="9" t="inlineStr">
        <is>
          <t>지배주주 순이익</t>
        </is>
      </c>
      <c r="C131" s="12" t="n">
        <v>5.905</v>
      </c>
      <c r="D131" s="12" t="n">
        <v>46.454</v>
      </c>
      <c r="E131" s="12" t="n">
        <v>288.446</v>
      </c>
      <c r="F131" s="12" t="n">
        <v>203.931</v>
      </c>
      <c r="G131" s="12" t="n">
        <v>-17.977</v>
      </c>
      <c r="H131" s="12" t="n">
        <v>100.042</v>
      </c>
      <c r="I131" s="12" t="n">
        <v>135.879</v>
      </c>
      <c r="J131" s="12" t="n">
        <v>135.748</v>
      </c>
      <c r="K131" s="12" t="n">
        <v>111.566</v>
      </c>
      <c r="L131" s="12" t="n">
        <v>183.812</v>
      </c>
      <c r="M131" s="12" t="n">
        <v>190.495</v>
      </c>
      <c r="N131" s="12" t="n">
        <v>183.331</v>
      </c>
      <c r="U131" s="12" t="n">
        <v>223.257</v>
      </c>
      <c r="V131" s="12" t="n">
        <v>288.446</v>
      </c>
      <c r="W131" s="12" t="n">
        <v>135.879</v>
      </c>
      <c r="X131" s="12" t="n">
        <v>190.495</v>
      </c>
    </row>
    <row r="132">
      <c r="A132" s="45" t="inlineStr">
        <is>
          <t>YoY</t>
        </is>
      </c>
      <c r="B132" s="3" t="inlineStr">
        <is>
          <t>전년 같은 분기·전년 대비</t>
        </is>
      </c>
      <c r="G132" s="17">
        <f>IF(OR(G131="",C131=""),"",IF(C131&lt;=0,"",IFERROR(G131/C131-1,"")))</f>
        <v/>
      </c>
      <c r="H132" s="17">
        <f>IF(OR(H131="",D131=""),"",IF(D131&lt;=0,"",IFERROR(H131/D131-1,"")))</f>
        <v/>
      </c>
      <c r="I132" s="17">
        <f>IF(OR(I131="",E131=""),"",IF(E131&lt;=0,"",IFERROR(I131/E131-1,"")))</f>
        <v/>
      </c>
      <c r="J132" s="17">
        <f>IF(OR(J131="",F131=""),"",IF(F131&lt;=0,"",IFERROR(J131/F131-1,"")))</f>
        <v/>
      </c>
      <c r="K132" s="17">
        <f>IF(OR(K131="",G131=""),"",IF(G131&lt;=0,"",IFERROR(K131/G131-1,"")))</f>
        <v/>
      </c>
      <c r="L132" s="17">
        <f>IF(OR(L131="",H131=""),"",IF(H131&lt;=0,"",IFERROR(L131/H131-1,"")))</f>
        <v/>
      </c>
      <c r="M132" s="17">
        <f>IF(OR(M131="",I131=""),"",IF(I131&lt;=0,"",IFERROR(M131/I131-1,"")))</f>
        <v/>
      </c>
      <c r="N132" s="17">
        <f>IF(OR(N131="",J131=""),"",IF(J131&lt;=0,"",IFERROR(N131/J131-1,"")))</f>
        <v/>
      </c>
      <c r="U132" s="17">
        <f>IF(OR(U131="",T131=""),"",IF(T131&lt;=0,"",IFERROR(U131/T131-1,"")))</f>
        <v/>
      </c>
      <c r="V132" s="17">
        <f>IF(OR(V131="",U131=""),"",IF(U131&lt;=0,"",IFERROR(V131/U131-1,"")))</f>
        <v/>
      </c>
      <c r="W132" s="17">
        <f>IF(OR(W131="",V131=""),"",IF(V131&lt;=0,"",IFERROR(W131/V131-1,"")))</f>
        <v/>
      </c>
      <c r="X132" s="17">
        <f>IF(OR(X131="",W131=""),"",IF(W131&lt;=0,"",IFERROR(X131/W131-1,"")))</f>
        <v/>
      </c>
    </row>
    <row r="134">
      <c r="A134" s="18" t="inlineStr">
        <is>
          <t>포괄손익 · 전 항목</t>
        </is>
      </c>
      <c r="B134" s="44" t="inlineStr">
        <is>
          <t>분기 = 3개월 단독</t>
        </is>
      </c>
      <c r="C134" s="18" t="n"/>
      <c r="D134" s="18" t="n"/>
      <c r="E134" s="18" t="n"/>
      <c r="F134" s="18" t="n"/>
      <c r="G134" s="18" t="n"/>
      <c r="H134" s="18" t="n"/>
      <c r="I134" s="18" t="n"/>
      <c r="J134" s="18" t="n"/>
      <c r="K134" s="18" t="n"/>
      <c r="L134" s="18" t="n"/>
      <c r="M134" s="18" t="n"/>
      <c r="N134" s="18" t="n"/>
      <c r="O134" s="18" t="n"/>
      <c r="P134" s="18" t="n"/>
      <c r="Q134" s="18" t="n"/>
      <c r="R134" s="18" t="n"/>
      <c r="S134" s="18" t="n"/>
      <c r="T134" s="18" t="n"/>
      <c r="U134" s="18" t="n"/>
      <c r="V134" s="18" t="n"/>
      <c r="W134" s="18" t="n"/>
      <c r="X134" s="18" t="n"/>
      <c r="Y134" s="18" t="n"/>
      <c r="Z134" s="18" t="n"/>
      <c r="AA134" s="18" t="n"/>
      <c r="AB134" s="18" t="n"/>
      <c r="AC134" s="18" t="n"/>
    </row>
    <row r="135">
      <c r="A135" s="5" t="inlineStr">
        <is>
          <t>항목</t>
        </is>
      </c>
      <c r="B135" s="5" t="inlineStr">
        <is>
          <t>참고</t>
        </is>
      </c>
      <c r="C135" s="5" t="inlineStr">
        <is>
          <t>2024.2Q</t>
        </is>
      </c>
      <c r="D135" s="5" t="inlineStr">
        <is>
          <t>2024.3Q</t>
        </is>
      </c>
      <c r="E135" s="5" t="inlineStr">
        <is>
          <t>2024.4Q</t>
        </is>
      </c>
      <c r="F135" s="5" t="inlineStr">
        <is>
          <t>2025.1Q</t>
        </is>
      </c>
      <c r="G135" s="5" t="inlineStr">
        <is>
          <t>2025.2Q</t>
        </is>
      </c>
      <c r="H135" s="5" t="inlineStr">
        <is>
          <t>2025.3Q</t>
        </is>
      </c>
      <c r="I135" s="5" t="inlineStr">
        <is>
          <t>2025.4Q</t>
        </is>
      </c>
      <c r="J135" s="5" t="inlineStr">
        <is>
          <t>2026.1Q</t>
        </is>
      </c>
      <c r="K135" s="5" t="inlineStr">
        <is>
          <t>2026.2Q</t>
        </is>
      </c>
      <c r="L135" s="5" t="inlineStr">
        <is>
          <t>2026.3Q</t>
        </is>
      </c>
      <c r="M135" s="5" t="inlineStr">
        <is>
          <t>2026.4Q</t>
        </is>
      </c>
      <c r="N135" s="5" t="inlineStr">
        <is>
          <t>2027.1Q</t>
        </is>
      </c>
      <c r="O135" s="5" t="inlineStr">
        <is>
          <t>2017</t>
        </is>
      </c>
      <c r="P135" s="5" t="inlineStr">
        <is>
          <t>2018</t>
        </is>
      </c>
      <c r="Q135" s="5" t="inlineStr">
        <is>
          <t>2019</t>
        </is>
      </c>
      <c r="R135" s="5" t="inlineStr">
        <is>
          <t>2020</t>
        </is>
      </c>
      <c r="S135" s="5" t="inlineStr">
        <is>
          <t>2021</t>
        </is>
      </c>
      <c r="T135" s="5" t="inlineStr">
        <is>
          <t>2022</t>
        </is>
      </c>
      <c r="U135" s="5" t="inlineStr">
        <is>
          <t>2023</t>
        </is>
      </c>
      <c r="V135" s="5" t="inlineStr">
        <is>
          <t>2024</t>
        </is>
      </c>
      <c r="W135" s="5" t="inlineStr">
        <is>
          <t>2025</t>
        </is>
      </c>
      <c r="X135" s="5" t="inlineStr">
        <is>
          <t>2026</t>
        </is>
      </c>
      <c r="Y135" s="5" t="inlineStr">
        <is>
          <t>2027(MW)</t>
        </is>
      </c>
      <c r="Z135" s="5" t="inlineStr">
        <is>
          <t>2028(MW)</t>
        </is>
      </c>
      <c r="AA135" s="5" t="inlineStr">
        <is>
          <t>2029(MW)</t>
        </is>
      </c>
      <c r="AB135" s="5" t="inlineStr">
        <is>
          <t>2030(MW)</t>
        </is>
      </c>
      <c r="AC135" s="5" t="inlineStr">
        <is>
          <t>2031(MW)</t>
        </is>
      </c>
    </row>
    <row r="136">
      <c r="A136" s="9" t="inlineStr">
        <is>
          <t>순이익</t>
        </is>
      </c>
      <c r="C136" s="12" t="n">
        <v>5.905</v>
      </c>
      <c r="D136" s="12" t="n">
        <v>46.454</v>
      </c>
      <c r="E136" s="12" t="n">
        <v>288.446</v>
      </c>
      <c r="F136" s="12" t="n">
        <v>203.931</v>
      </c>
      <c r="G136" s="12" t="n">
        <v>-17.977</v>
      </c>
      <c r="H136" s="12" t="n">
        <v>100.042</v>
      </c>
      <c r="I136" s="12" t="n">
        <v>135.879</v>
      </c>
      <c r="J136" s="12" t="n">
        <v>135.748</v>
      </c>
      <c r="K136" s="12" t="n">
        <v>111.566</v>
      </c>
      <c r="L136" s="12" t="n">
        <v>183.812</v>
      </c>
      <c r="M136" s="12" t="n">
        <v>190.495</v>
      </c>
      <c r="N136" s="12" t="n">
        <v>183.331</v>
      </c>
      <c r="U136" s="12" t="n">
        <v>223.257</v>
      </c>
      <c r="V136" s="12" t="n">
        <v>288.446</v>
      </c>
      <c r="W136" s="12" t="n">
        <v>135.879</v>
      </c>
      <c r="X136" s="12" t="n">
        <v>190.495</v>
      </c>
    </row>
    <row r="137">
      <c r="A137" s="20" t="inlineStr">
        <is>
          <t>기타유가증권 평가차액</t>
        </is>
      </c>
      <c r="D137" s="22" t="n">
        <v>0</v>
      </c>
      <c r="E137" s="22" t="n">
        <v>0</v>
      </c>
      <c r="F137" s="22" t="n">
        <v>0</v>
      </c>
      <c r="G137" s="22" t="n">
        <v>339.816</v>
      </c>
      <c r="H137" s="22" t="n">
        <v>60.021</v>
      </c>
      <c r="I137" s="22" t="n">
        <v>-9.784000000000001</v>
      </c>
      <c r="J137" s="22" t="n">
        <v>158.553</v>
      </c>
      <c r="K137" s="22" t="n">
        <v>-74.90300000000001</v>
      </c>
      <c r="L137" s="22" t="n">
        <v>-59.175</v>
      </c>
      <c r="M137" s="22" t="n">
        <v>7.235</v>
      </c>
      <c r="N137" s="22" t="n">
        <v>45.53</v>
      </c>
      <c r="V137" s="22" t="n">
        <v>0</v>
      </c>
      <c r="W137" s="22" t="n">
        <v>-9.784000000000001</v>
      </c>
      <c r="X137" s="22" t="n">
        <v>7.235</v>
      </c>
    </row>
    <row r="138">
      <c r="A138" s="20" t="inlineStr">
        <is>
          <t>퇴직급여 조정액</t>
        </is>
      </c>
      <c r="C138" s="22" t="n">
        <v>0.103</v>
      </c>
      <c r="D138" s="22" t="n">
        <v>0.103</v>
      </c>
      <c r="E138" s="22" t="n">
        <v>15.896</v>
      </c>
      <c r="F138" s="22" t="n">
        <v>-0.72</v>
      </c>
      <c r="G138" s="22" t="n">
        <v>-1.022</v>
      </c>
      <c r="H138" s="22" t="n">
        <v>-0.704</v>
      </c>
      <c r="I138" s="22" t="n">
        <v>-15.79</v>
      </c>
      <c r="J138" s="22" t="n">
        <v>-0.137</v>
      </c>
      <c r="K138" s="22" t="n">
        <v>-0.138</v>
      </c>
      <c r="L138" s="22" t="n">
        <v>-0.138</v>
      </c>
      <c r="M138" s="22" t="n">
        <v>1.528</v>
      </c>
      <c r="N138" s="22" t="n">
        <v>-0.503</v>
      </c>
      <c r="U138" s="22" t="n">
        <v>8.052</v>
      </c>
      <c r="V138" s="22" t="n">
        <v>15.896</v>
      </c>
      <c r="W138" s="22" t="n">
        <v>-15.79</v>
      </c>
      <c r="X138" s="22" t="n">
        <v>1.528</v>
      </c>
    </row>
    <row r="139">
      <c r="A139" s="20" t="inlineStr">
        <is>
          <t>기타포괄손익 합계</t>
        </is>
      </c>
      <c r="C139" s="22" t="n">
        <v>0.103</v>
      </c>
      <c r="D139" s="22" t="n">
        <v>0.103</v>
      </c>
      <c r="E139" s="22" t="n">
        <v>15.896</v>
      </c>
      <c r="F139" s="22" t="n">
        <v>-0.72</v>
      </c>
      <c r="G139" s="22" t="n">
        <v>338.794</v>
      </c>
      <c r="H139" s="22" t="n">
        <v>59.317</v>
      </c>
      <c r="I139" s="22" t="n">
        <v>-25.574</v>
      </c>
      <c r="J139" s="22" t="n">
        <v>158.415</v>
      </c>
      <c r="K139" s="22" t="n">
        <v>-75.041</v>
      </c>
      <c r="L139" s="22" t="n">
        <v>-59.312</v>
      </c>
      <c r="M139" s="22" t="n">
        <v>8.763999999999999</v>
      </c>
      <c r="N139" s="22" t="n">
        <v>45.026</v>
      </c>
      <c r="U139" s="22" t="n">
        <v>8.052</v>
      </c>
      <c r="V139" s="22" t="n">
        <v>15.896</v>
      </c>
      <c r="W139" s="22" t="n">
        <v>-25.574</v>
      </c>
      <c r="X139" s="22" t="n">
        <v>8.763999999999999</v>
      </c>
    </row>
    <row r="140">
      <c r="A140" s="9" t="inlineStr">
        <is>
          <t>포괄이익</t>
        </is>
      </c>
      <c r="C140" s="12" t="n">
        <v>6.007</v>
      </c>
      <c r="D140" s="12" t="n">
        <v>46.557</v>
      </c>
      <c r="E140" s="12" t="n">
        <v>304.343</v>
      </c>
      <c r="F140" s="12" t="n">
        <v>203.21</v>
      </c>
      <c r="G140" s="12" t="n">
        <v>320.818</v>
      </c>
      <c r="H140" s="12" t="n">
        <v>159.359</v>
      </c>
      <c r="I140" s="12" t="n">
        <v>110.306</v>
      </c>
      <c r="J140" s="12" t="n">
        <v>294.164</v>
      </c>
      <c r="K140" s="12" t="n">
        <v>36.525</v>
      </c>
      <c r="L140" s="12" t="n">
        <v>124.499</v>
      </c>
      <c r="M140" s="12" t="n">
        <v>199.259</v>
      </c>
      <c r="N140" s="12" t="n">
        <v>228.358</v>
      </c>
      <c r="U140" s="12" t="n">
        <v>231.308</v>
      </c>
      <c r="V140" s="12" t="n">
        <v>304.343</v>
      </c>
      <c r="W140" s="12" t="n">
        <v>110.306</v>
      </c>
      <c r="X140" s="12" t="n">
        <v>199.259</v>
      </c>
    </row>
    <row r="141">
      <c r="A141" s="9" t="inlineStr">
        <is>
          <t>지배주주 포괄이익</t>
        </is>
      </c>
      <c r="C141" s="12" t="n">
        <v>6.007</v>
      </c>
      <c r="D141" s="12" t="n">
        <v>46.557</v>
      </c>
      <c r="E141" s="12" t="n">
        <v>304.343</v>
      </c>
      <c r="F141" s="12" t="n">
        <v>203.21</v>
      </c>
      <c r="G141" s="12" t="n">
        <v>320.818</v>
      </c>
      <c r="H141" s="12" t="n">
        <v>159.359</v>
      </c>
      <c r="I141" s="12" t="n">
        <v>110.306</v>
      </c>
      <c r="J141" s="12" t="n">
        <v>294.164</v>
      </c>
      <c r="K141" s="12" t="n">
        <v>36.525</v>
      </c>
      <c r="L141" s="12" t="n">
        <v>124.499</v>
      </c>
      <c r="M141" s="12" t="n">
        <v>199.259</v>
      </c>
      <c r="N141" s="12" t="n">
        <v>228.358</v>
      </c>
      <c r="U141" s="12" t="n">
        <v>231.308</v>
      </c>
      <c r="V141" s="12" t="n">
        <v>304.343</v>
      </c>
      <c r="W141" s="12" t="n">
        <v>110.306</v>
      </c>
      <c r="X141" s="12" t="n">
        <v>199.259</v>
      </c>
    </row>
    <row r="143">
      <c r="A143" s="18" t="inlineStr">
        <is>
          <t>현금흐름표 · 전 항목</t>
        </is>
      </c>
      <c r="B143" s="44" t="inlineStr">
        <is>
          <t>분기 = 결산기 첫날부터 누계(공시 그대로)</t>
        </is>
      </c>
      <c r="C143" s="18" t="n"/>
      <c r="D143" s="18" t="n"/>
      <c r="E143" s="18" t="n"/>
      <c r="F143" s="18" t="n"/>
      <c r="G143" s="18" t="n"/>
      <c r="H143" s="18" t="n"/>
      <c r="I143" s="18" t="n"/>
      <c r="J143" s="18" t="n"/>
      <c r="K143" s="18" t="n"/>
      <c r="L143" s="18" t="n"/>
      <c r="M143" s="18" t="n"/>
      <c r="N143" s="18" t="n"/>
      <c r="O143" s="18" t="n"/>
      <c r="P143" s="18" t="n"/>
      <c r="Q143" s="18" t="n"/>
      <c r="R143" s="18" t="n"/>
      <c r="S143" s="18" t="n"/>
      <c r="T143" s="18" t="n"/>
      <c r="U143" s="18" t="n"/>
      <c r="V143" s="18" t="n"/>
      <c r="W143" s="18" t="n"/>
      <c r="X143" s="18" t="n"/>
      <c r="Y143" s="18" t="n"/>
      <c r="Z143" s="18" t="n"/>
      <c r="AA143" s="18" t="n"/>
      <c r="AB143" s="18" t="n"/>
      <c r="AC143" s="18" t="n"/>
    </row>
    <row r="144">
      <c r="A144" s="5" t="inlineStr">
        <is>
          <t>항목</t>
        </is>
      </c>
      <c r="B144" s="5" t="inlineStr">
        <is>
          <t>참고</t>
        </is>
      </c>
      <c r="C144" s="5" t="inlineStr">
        <is>
          <t>2024.2Q</t>
        </is>
      </c>
      <c r="D144" s="5" t="inlineStr">
        <is>
          <t>2024.3Q</t>
        </is>
      </c>
      <c r="E144" s="5" t="inlineStr">
        <is>
          <t>2024.4Q</t>
        </is>
      </c>
      <c r="F144" s="5" t="inlineStr">
        <is>
          <t>2025.1Q</t>
        </is>
      </c>
      <c r="G144" s="5" t="inlineStr">
        <is>
          <t>2025.2Q</t>
        </is>
      </c>
      <c r="H144" s="5" t="inlineStr">
        <is>
          <t>2025.3Q</t>
        </is>
      </c>
      <c r="I144" s="5" t="inlineStr">
        <is>
          <t>2025.4Q</t>
        </is>
      </c>
      <c r="J144" s="5" t="inlineStr">
        <is>
          <t>2026.1Q</t>
        </is>
      </c>
      <c r="K144" s="5" t="inlineStr">
        <is>
          <t>2026.2Q</t>
        </is>
      </c>
      <c r="L144" s="5" t="inlineStr">
        <is>
          <t>2026.3Q</t>
        </is>
      </c>
      <c r="M144" s="5" t="inlineStr">
        <is>
          <t>2026.4Q</t>
        </is>
      </c>
      <c r="N144" s="5" t="inlineStr">
        <is>
          <t>2027.1Q</t>
        </is>
      </c>
      <c r="O144" s="5" t="inlineStr">
        <is>
          <t>2017</t>
        </is>
      </c>
      <c r="P144" s="5" t="inlineStr">
        <is>
          <t>2018</t>
        </is>
      </c>
      <c r="Q144" s="5" t="inlineStr">
        <is>
          <t>2019</t>
        </is>
      </c>
      <c r="R144" s="5" t="inlineStr">
        <is>
          <t>2020</t>
        </is>
      </c>
      <c r="S144" s="5" t="inlineStr">
        <is>
          <t>2021</t>
        </is>
      </c>
      <c r="T144" s="5" t="inlineStr">
        <is>
          <t>2022</t>
        </is>
      </c>
      <c r="U144" s="5" t="inlineStr">
        <is>
          <t>2023</t>
        </is>
      </c>
      <c r="V144" s="5" t="inlineStr">
        <is>
          <t>2024</t>
        </is>
      </c>
      <c r="W144" s="5" t="inlineStr">
        <is>
          <t>2025</t>
        </is>
      </c>
      <c r="X144" s="5" t="inlineStr">
        <is>
          <t>2026</t>
        </is>
      </c>
      <c r="Y144" s="5" t="inlineStr">
        <is>
          <t>2027(MW)</t>
        </is>
      </c>
      <c r="Z144" s="5" t="inlineStr">
        <is>
          <t>2028(MW)</t>
        </is>
      </c>
      <c r="AA144" s="5" t="inlineStr">
        <is>
          <t>2029(MW)</t>
        </is>
      </c>
      <c r="AB144" s="5" t="inlineStr">
        <is>
          <t>2030(MW)</t>
        </is>
      </c>
      <c r="AC144" s="5" t="inlineStr">
        <is>
          <t>2031(MW)</t>
        </is>
      </c>
    </row>
    <row r="145">
      <c r="A145" s="9" t="inlineStr">
        <is>
          <t>법인세차감전 순이익</t>
        </is>
      </c>
      <c r="C145" s="12" t="n">
        <v>9.372999999999999</v>
      </c>
      <c r="E145" s="12" t="n">
        <v>512.754</v>
      </c>
      <c r="G145" s="12" t="n">
        <v>169.55</v>
      </c>
      <c r="I145" s="12" t="n">
        <v>569.421</v>
      </c>
      <c r="K145" s="12" t="n">
        <v>345.078</v>
      </c>
      <c r="M145" s="12" t="n">
        <v>874.899</v>
      </c>
      <c r="P145" s="12" t="n">
        <v>-370.039</v>
      </c>
      <c r="Q145" s="12" t="n">
        <v>0.699</v>
      </c>
      <c r="R145" s="12" t="n">
        <v>279.751</v>
      </c>
      <c r="U145" s="12" t="n">
        <v>-224.232</v>
      </c>
      <c r="V145" s="12" t="n">
        <v>512.754</v>
      </c>
      <c r="W145" s="12" t="n">
        <v>569.421</v>
      </c>
      <c r="X145" s="12" t="n">
        <v>874.899</v>
      </c>
    </row>
    <row r="146">
      <c r="A146" s="20" t="inlineStr">
        <is>
          <t>감가상각비</t>
        </is>
      </c>
      <c r="C146" s="22" t="n">
        <v>342.087</v>
      </c>
      <c r="E146" s="22" t="n">
        <v>678.776</v>
      </c>
      <c r="G146" s="22" t="n">
        <v>332.46</v>
      </c>
      <c r="I146" s="22" t="n">
        <v>665.7</v>
      </c>
      <c r="K146" s="22" t="n">
        <v>319.306</v>
      </c>
      <c r="M146" s="22" t="n">
        <v>641.398</v>
      </c>
      <c r="P146" s="22" t="n">
        <v>213.56</v>
      </c>
      <c r="Q146" s="22" t="n">
        <v>286.441</v>
      </c>
      <c r="R146" s="22" t="n">
        <v>477.469</v>
      </c>
      <c r="U146" s="22" t="n">
        <v>724.009</v>
      </c>
      <c r="V146" s="22" t="n">
        <v>678.776</v>
      </c>
      <c r="W146" s="22" t="n">
        <v>665.7</v>
      </c>
      <c r="X146" s="22" t="n">
        <v>641.398</v>
      </c>
    </row>
    <row r="147">
      <c r="A147" s="20" t="inlineStr">
        <is>
          <t>손상차손</t>
        </is>
      </c>
      <c r="C147" s="22" t="n">
        <v>145.611</v>
      </c>
      <c r="E147" s="22" t="n">
        <v>363.646</v>
      </c>
      <c r="G147" s="22" t="n">
        <v>88.292</v>
      </c>
      <c r="I147" s="22" t="n">
        <v>354.764</v>
      </c>
      <c r="K147" s="22" t="n">
        <v>0</v>
      </c>
      <c r="M147" s="22" t="n">
        <v>42.77</v>
      </c>
      <c r="R147" s="22" t="n">
        <v>0</v>
      </c>
      <c r="U147" s="22" t="n">
        <v>549.621</v>
      </c>
      <c r="V147" s="22" t="n">
        <v>363.646</v>
      </c>
      <c r="W147" s="22" t="n">
        <v>354.764</v>
      </c>
      <c r="X147" s="22" t="n">
        <v>42.77</v>
      </c>
    </row>
    <row r="148">
      <c r="A148" s="20" t="inlineStr">
        <is>
          <t>주식보상비용</t>
        </is>
      </c>
      <c r="E148" s="22" t="n">
        <v>3.191</v>
      </c>
      <c r="P148" s="22" t="n">
        <v>23.64</v>
      </c>
      <c r="Q148" s="22" t="n">
        <v>31.585</v>
      </c>
      <c r="R148" s="22" t="n">
        <v>3.531</v>
      </c>
      <c r="U148" s="22" t="n">
        <v>15.831</v>
      </c>
      <c r="V148" s="22" t="n">
        <v>3.191</v>
      </c>
    </row>
    <row r="149">
      <c r="A149" s="20" t="inlineStr">
        <is>
          <t>영업권 상각</t>
        </is>
      </c>
      <c r="C149" s="22" t="n">
        <v>25.781</v>
      </c>
      <c r="E149" s="22" t="n">
        <v>51.563</v>
      </c>
      <c r="G149" s="22" t="n">
        <v>21.987</v>
      </c>
      <c r="I149" s="22" t="n">
        <v>43.975</v>
      </c>
      <c r="K149" s="22" t="n">
        <v>21.987</v>
      </c>
      <c r="M149" s="22" t="n">
        <v>37.013</v>
      </c>
      <c r="P149" s="22" t="n">
        <v>35.911</v>
      </c>
      <c r="Q149" s="22" t="n">
        <v>55.003</v>
      </c>
      <c r="R149" s="22" t="n">
        <v>55.003</v>
      </c>
      <c r="U149" s="22" t="n">
        <v>74.78400000000001</v>
      </c>
      <c r="V149" s="22" t="n">
        <v>51.563</v>
      </c>
      <c r="W149" s="22" t="n">
        <v>43.975</v>
      </c>
      <c r="X149" s="22" t="n">
        <v>37.013</v>
      </c>
    </row>
    <row r="150">
      <c r="A150" s="20" t="inlineStr">
        <is>
          <t>고정자산 매각이익</t>
        </is>
      </c>
      <c r="P150" s="22" t="n">
        <v>-1.944</v>
      </c>
      <c r="Q150" s="22" t="n">
        <v>0</v>
      </c>
    </row>
    <row r="151">
      <c r="A151" s="20" t="inlineStr">
        <is>
          <t>자산복구부채 환입이익</t>
        </is>
      </c>
      <c r="Q151" s="22" t="n">
        <v>0</v>
      </c>
      <c r="R151" s="22" t="n">
        <v>-4.774</v>
      </c>
    </row>
    <row r="152">
      <c r="A152" s="20" t="inlineStr">
        <is>
          <t>보조금 수입</t>
        </is>
      </c>
      <c r="P152" s="22" t="n">
        <v>-470.787</v>
      </c>
      <c r="Q152" s="22" t="n">
        <v>-1002.732</v>
      </c>
      <c r="R152" s="22" t="n">
        <v>-1770.887</v>
      </c>
    </row>
    <row r="153">
      <c r="A153" s="20" t="inlineStr">
        <is>
          <t>자산복구부채 환입이익</t>
        </is>
      </c>
      <c r="R153" s="22" t="n">
        <v>-4.774</v>
      </c>
    </row>
    <row r="154">
      <c r="A154" s="20" t="inlineStr">
        <is>
          <t>대손충당금 증감</t>
        </is>
      </c>
      <c r="C154" s="22" t="n">
        <v>0</v>
      </c>
      <c r="E154" s="22" t="n">
        <v>0</v>
      </c>
      <c r="P154" s="22" t="n">
        <v>-0.005</v>
      </c>
      <c r="Q154" s="22" t="n">
        <v>-0.028</v>
      </c>
      <c r="R154" s="22" t="n">
        <v>0</v>
      </c>
      <c r="U154" s="22" t="n">
        <v>41.967</v>
      </c>
      <c r="V154" s="22" t="n">
        <v>0</v>
      </c>
    </row>
    <row r="155">
      <c r="A155" s="20" t="inlineStr">
        <is>
          <t>보조금 수입</t>
        </is>
      </c>
      <c r="C155" s="22" t="n">
        <v>0</v>
      </c>
      <c r="E155" s="22" t="n">
        <v>-431.647</v>
      </c>
      <c r="G155" s="22" t="n">
        <v>-12.453</v>
      </c>
      <c r="I155" s="22" t="n">
        <v>-254.547</v>
      </c>
      <c r="K155" s="22" t="n">
        <v>0</v>
      </c>
      <c r="M155" s="22" t="n">
        <v>-77.21299999999999</v>
      </c>
      <c r="R155" s="22" t="n">
        <v>-1770.887</v>
      </c>
      <c r="U155" s="22" t="n">
        <v>-450.741</v>
      </c>
      <c r="V155" s="22" t="n">
        <v>-431.647</v>
      </c>
      <c r="W155" s="22" t="n">
        <v>-254.547</v>
      </c>
      <c r="X155" s="22" t="n">
        <v>-77.21299999999999</v>
      </c>
    </row>
    <row r="156">
      <c r="A156" s="20" t="inlineStr">
        <is>
          <t>상여충당금 증감</t>
        </is>
      </c>
      <c r="C156" s="22" t="n">
        <v>20.948</v>
      </c>
      <c r="E156" s="22" t="n">
        <v>-0.542</v>
      </c>
      <c r="G156" s="22" t="n">
        <v>96.2</v>
      </c>
      <c r="I156" s="22" t="n">
        <v>9.542999999999999</v>
      </c>
      <c r="K156" s="22" t="n">
        <v>123.395</v>
      </c>
      <c r="M156" s="22" t="n">
        <v>13.093</v>
      </c>
      <c r="P156" s="22" t="n">
        <v>22.539</v>
      </c>
      <c r="Q156" s="22" t="n">
        <v>-52.319</v>
      </c>
      <c r="R156" s="22" t="n">
        <v>0</v>
      </c>
      <c r="U156" s="22" t="n">
        <v>5.738</v>
      </c>
      <c r="V156" s="22" t="n">
        <v>-0.542</v>
      </c>
      <c r="W156" s="22" t="n">
        <v>9.542999999999999</v>
      </c>
      <c r="X156" s="22" t="n">
        <v>13.093</v>
      </c>
    </row>
    <row r="157">
      <c r="A157" s="20" t="inlineStr">
        <is>
          <t>이자·배당금 수익</t>
        </is>
      </c>
      <c r="P157" s="22" t="n">
        <v>-0.602</v>
      </c>
      <c r="Q157" s="22" t="n">
        <v>-0.675</v>
      </c>
      <c r="R157" s="22" t="n">
        <v>-4.075</v>
      </c>
    </row>
    <row r="158">
      <c r="A158" s="20" t="inlineStr">
        <is>
          <t>이자비용</t>
        </is>
      </c>
      <c r="C158" s="22" t="n">
        <v>35.599</v>
      </c>
      <c r="E158" s="22" t="n">
        <v>68.367</v>
      </c>
      <c r="G158" s="22" t="n">
        <v>33.661</v>
      </c>
      <c r="I158" s="22" t="n">
        <v>69.497</v>
      </c>
      <c r="K158" s="22" t="n">
        <v>39.128</v>
      </c>
      <c r="M158" s="22" t="n">
        <v>92.27</v>
      </c>
      <c r="P158" s="22" t="n">
        <v>21.831</v>
      </c>
      <c r="Q158" s="22" t="n">
        <v>38.555</v>
      </c>
      <c r="R158" s="22" t="n">
        <v>59.423</v>
      </c>
      <c r="U158" s="22" t="n">
        <v>76.63200000000001</v>
      </c>
      <c r="V158" s="22" t="n">
        <v>68.367</v>
      </c>
      <c r="W158" s="22" t="n">
        <v>69.497</v>
      </c>
      <c r="X158" s="22" t="n">
        <v>92.27</v>
      </c>
    </row>
    <row r="159">
      <c r="A159" s="20" t="inlineStr">
        <is>
          <t>고정자산 매각손실</t>
        </is>
      </c>
      <c r="P159" s="22" t="n">
        <v>1.57</v>
      </c>
      <c r="Q159" s="22" t="n">
        <v>0</v>
      </c>
    </row>
    <row r="160">
      <c r="A160" s="20" t="inlineStr">
        <is>
          <t>고정자산 매각손실</t>
        </is>
      </c>
      <c r="Q160" s="22" t="n">
        <v>0</v>
      </c>
      <c r="R160" s="22" t="n">
        <v>1.498</v>
      </c>
    </row>
    <row r="161">
      <c r="A161" s="20" t="inlineStr">
        <is>
          <t>고정자산 제각손실</t>
        </is>
      </c>
      <c r="P161" s="22" t="n">
        <v>1.011</v>
      </c>
      <c r="Q161" s="22" t="n">
        <v>1.153</v>
      </c>
      <c r="R161" s="22" t="n">
        <v>0.483</v>
      </c>
    </row>
    <row r="162">
      <c r="A162" s="20" t="inlineStr">
        <is>
          <t>고정자산 제각·매각손익</t>
        </is>
      </c>
      <c r="C162" s="22" t="n">
        <v>0.245</v>
      </c>
      <c r="R162" s="22" t="n">
        <v>1.982</v>
      </c>
      <c r="U162" s="22" t="n">
        <v>-38.226</v>
      </c>
    </row>
    <row r="163">
      <c r="A163" s="20" t="inlineStr">
        <is>
          <t>투자유가증권 매각손익</t>
        </is>
      </c>
      <c r="E163" s="22" t="n">
        <v>0</v>
      </c>
      <c r="I163" s="22" t="n">
        <v>-0.512</v>
      </c>
      <c r="M163" s="22" t="n">
        <v>0</v>
      </c>
      <c r="R163" s="22" t="n">
        <v>0</v>
      </c>
      <c r="U163" s="22" t="n">
        <v>0</v>
      </c>
      <c r="V163" s="22" t="n">
        <v>0</v>
      </c>
      <c r="W163" s="22" t="n">
        <v>-0.512</v>
      </c>
      <c r="X163" s="22" t="n">
        <v>0</v>
      </c>
    </row>
    <row r="164">
      <c r="A164" s="20" t="inlineStr">
        <is>
          <t>관계회사 주식 매각손익</t>
        </is>
      </c>
      <c r="C164" s="22" t="n">
        <v>0</v>
      </c>
      <c r="E164" s="22" t="n">
        <v>0</v>
      </c>
      <c r="G164" s="22" t="n">
        <v>-35.179</v>
      </c>
      <c r="I164" s="22" t="n">
        <v>-35.179</v>
      </c>
      <c r="K164" s="22" t="n">
        <v>0</v>
      </c>
      <c r="M164" s="22" t="n">
        <v>0</v>
      </c>
      <c r="V164" s="22" t="n">
        <v>0</v>
      </c>
      <c r="W164" s="22" t="n">
        <v>-35.179</v>
      </c>
      <c r="X164" s="22" t="n">
        <v>0</v>
      </c>
    </row>
    <row r="165">
      <c r="A165" s="20" t="inlineStr">
        <is>
          <t>단기매매차익 수증이익</t>
        </is>
      </c>
      <c r="C165" s="22" t="n">
        <v>0</v>
      </c>
      <c r="E165" s="22" t="n">
        <v>0</v>
      </c>
      <c r="G165" s="22" t="n">
        <v>-20.754</v>
      </c>
      <c r="I165" s="22" t="n">
        <v>-20.708</v>
      </c>
      <c r="K165" s="22" t="n">
        <v>-0.011</v>
      </c>
      <c r="M165" s="22" t="n">
        <v>-0.011</v>
      </c>
      <c r="V165" s="22" t="n">
        <v>0</v>
      </c>
      <c r="W165" s="22" t="n">
        <v>-20.708</v>
      </c>
      <c r="X165" s="22" t="n">
        <v>-0.011</v>
      </c>
    </row>
    <row r="166">
      <c r="A166" s="20" t="inlineStr">
        <is>
          <t>투자유가증권 평가손익</t>
        </is>
      </c>
      <c r="C166" s="22" t="n">
        <v>0</v>
      </c>
      <c r="E166" s="22" t="n">
        <v>0</v>
      </c>
      <c r="G166" s="22" t="n">
        <v>8.013999999999999</v>
      </c>
      <c r="I166" s="22" t="n">
        <v>8.618</v>
      </c>
      <c r="K166" s="22" t="n">
        <v>0</v>
      </c>
      <c r="M166" s="22" t="n">
        <v>9.201000000000001</v>
      </c>
      <c r="V166" s="22" t="n">
        <v>0</v>
      </c>
      <c r="W166" s="22" t="n">
        <v>8.618</v>
      </c>
      <c r="X166" s="22" t="n">
        <v>9.201000000000001</v>
      </c>
    </row>
    <row r="167">
      <c r="A167" s="20" t="inlineStr">
        <is>
          <t>매출채권 증감</t>
        </is>
      </c>
      <c r="C167" s="22" t="n">
        <v>192.312</v>
      </c>
      <c r="E167" s="22" t="n">
        <v>-106.931</v>
      </c>
      <c r="G167" s="22" t="n">
        <v>203.201</v>
      </c>
      <c r="I167" s="22" t="n">
        <v>-521.763</v>
      </c>
      <c r="K167" s="22" t="n">
        <v>652.9160000000001</v>
      </c>
      <c r="M167" s="22" t="n">
        <v>-95.657</v>
      </c>
      <c r="P167" s="22" t="n">
        <v>18.005</v>
      </c>
      <c r="Q167" s="22" t="n">
        <v>-140.796</v>
      </c>
      <c r="R167" s="22" t="n">
        <v>-441.473</v>
      </c>
      <c r="U167" s="22" t="n">
        <v>-59.742</v>
      </c>
      <c r="V167" s="22" t="n">
        <v>-106.931</v>
      </c>
      <c r="W167" s="22" t="n">
        <v>-521.763</v>
      </c>
      <c r="X167" s="22" t="n">
        <v>-95.657</v>
      </c>
    </row>
    <row r="168">
      <c r="A168" s="20" t="inlineStr">
        <is>
          <t>미지급금 증감</t>
        </is>
      </c>
      <c r="P168" s="22" t="n">
        <v>18.615</v>
      </c>
      <c r="Q168" s="22" t="n">
        <v>17.768</v>
      </c>
      <c r="R168" s="22" t="n">
        <v>116.383</v>
      </c>
    </row>
    <row r="169">
      <c r="A169" s="20" t="inlineStr">
        <is>
          <t>선수금 증감</t>
        </is>
      </c>
      <c r="P169" s="22" t="n">
        <v>11.193</v>
      </c>
      <c r="Q169" s="22" t="n">
        <v>-24.993</v>
      </c>
      <c r="R169" s="22" t="n">
        <v>32.641</v>
      </c>
    </row>
    <row r="170">
      <c r="A170" s="20" t="inlineStr">
        <is>
          <t>미수금 증감</t>
        </is>
      </c>
      <c r="C170" s="22" t="n">
        <v>-0.053</v>
      </c>
      <c r="E170" s="22" t="n">
        <v>-3.117</v>
      </c>
      <c r="G170" s="22" t="n">
        <v>-2.682</v>
      </c>
      <c r="Q170" s="22" t="n">
        <v>-4.025</v>
      </c>
      <c r="R170" s="22" t="n">
        <v>-60.607</v>
      </c>
      <c r="U170" s="22" t="n">
        <v>24.11</v>
      </c>
      <c r="V170" s="22" t="n">
        <v>-3.117</v>
      </c>
    </row>
    <row r="171">
      <c r="A171" s="20" t="inlineStr">
        <is>
          <t>미지급비용 증감</t>
        </is>
      </c>
      <c r="C171" s="22" t="n">
        <v>-26.175</v>
      </c>
      <c r="E171" s="22" t="n">
        <v>180.497</v>
      </c>
      <c r="G171" s="22" t="n">
        <v>-119.32</v>
      </c>
      <c r="I171" s="22" t="n">
        <v>397.437</v>
      </c>
      <c r="K171" s="22" t="n">
        <v>-551.6849999999999</v>
      </c>
      <c r="M171" s="22" t="n">
        <v>-184.455</v>
      </c>
      <c r="Q171" s="22" t="n">
        <v>177.065</v>
      </c>
      <c r="R171" s="22" t="n">
        <v>96.658</v>
      </c>
      <c r="U171" s="22" t="n">
        <v>69.404</v>
      </c>
      <c r="V171" s="22" t="n">
        <v>180.497</v>
      </c>
      <c r="W171" s="22" t="n">
        <v>397.437</v>
      </c>
      <c r="X171" s="22" t="n">
        <v>-184.455</v>
      </c>
    </row>
    <row r="172">
      <c r="A172" s="20" t="inlineStr">
        <is>
          <t>기타</t>
        </is>
      </c>
      <c r="C172" s="22" t="n">
        <v>216.443</v>
      </c>
      <c r="E172" s="22" t="n">
        <v>100.504</v>
      </c>
      <c r="G172" s="22" t="n">
        <v>-43.003</v>
      </c>
      <c r="I172" s="22" t="n">
        <v>51.37</v>
      </c>
      <c r="K172" s="22" t="n">
        <v>-22.312</v>
      </c>
      <c r="M172" s="22" t="n">
        <v>-325.346</v>
      </c>
      <c r="P172" s="22" t="n">
        <v>64.29900000000001</v>
      </c>
      <c r="Q172" s="22" t="n">
        <v>-21.573</v>
      </c>
      <c r="R172" s="22" t="n">
        <v>54.474</v>
      </c>
      <c r="U172" s="22" t="n">
        <v>3.524</v>
      </c>
      <c r="V172" s="22" t="n">
        <v>100.504</v>
      </c>
      <c r="W172" s="22" t="n">
        <v>51.37</v>
      </c>
      <c r="X172" s="22" t="n">
        <v>-325.346</v>
      </c>
    </row>
    <row r="173">
      <c r="A173" s="20" t="inlineStr">
        <is>
          <t>소계</t>
        </is>
      </c>
      <c r="C173" s="22" t="n">
        <v>961.929</v>
      </c>
      <c r="E173" s="22" t="n">
        <v>1416.989</v>
      </c>
      <c r="G173" s="22" t="n">
        <v>722.659</v>
      </c>
      <c r="I173" s="22" t="n">
        <v>1337.619</v>
      </c>
      <c r="K173" s="22" t="n">
        <v>927.804</v>
      </c>
      <c r="M173" s="22" t="n">
        <v>1027.962</v>
      </c>
      <c r="P173" s="22" t="n">
        <v>-411.2</v>
      </c>
      <c r="Q173" s="22" t="n">
        <v>-638.871</v>
      </c>
      <c r="R173" s="22" t="n">
        <v>-1100.423</v>
      </c>
      <c r="U173" s="22" t="n">
        <v>850.908</v>
      </c>
      <c r="V173" s="22" t="n">
        <v>1416.989</v>
      </c>
      <c r="W173" s="22" t="n">
        <v>1337.619</v>
      </c>
      <c r="X173" s="22" t="n">
        <v>1027.962</v>
      </c>
    </row>
    <row r="174">
      <c r="A174" s="20" t="inlineStr">
        <is>
          <t>이자·배당금 수취</t>
        </is>
      </c>
      <c r="C174" s="22" t="n">
        <v>0.599</v>
      </c>
      <c r="E174" s="22" t="n">
        <v>1.187</v>
      </c>
      <c r="G174" s="22" t="n">
        <v>0.852</v>
      </c>
      <c r="I174" s="22" t="n">
        <v>4.224</v>
      </c>
      <c r="K174" s="22" t="n">
        <v>2.782</v>
      </c>
      <c r="M174" s="22" t="n">
        <v>8.42</v>
      </c>
      <c r="P174" s="22" t="n">
        <v>0.602</v>
      </c>
      <c r="Q174" s="22" t="n">
        <v>0.674</v>
      </c>
      <c r="R174" s="22" t="n">
        <v>4.075</v>
      </c>
      <c r="U174" s="22" t="n">
        <v>1.137</v>
      </c>
      <c r="V174" s="22" t="n">
        <v>1.187</v>
      </c>
      <c r="W174" s="22" t="n">
        <v>4.224</v>
      </c>
      <c r="X174" s="22" t="n">
        <v>8.42</v>
      </c>
    </row>
    <row r="175">
      <c r="A175" s="20" t="inlineStr">
        <is>
          <t>이자 지급</t>
        </is>
      </c>
      <c r="C175" s="22" t="n">
        <v>-32.965</v>
      </c>
      <c r="E175" s="22" t="n">
        <v>-65.375</v>
      </c>
      <c r="G175" s="22" t="n">
        <v>-35.614</v>
      </c>
      <c r="I175" s="22" t="n">
        <v>-71.414</v>
      </c>
      <c r="K175" s="22" t="n">
        <v>-39.1</v>
      </c>
      <c r="M175" s="22" t="n">
        <v>-92.712</v>
      </c>
      <c r="P175" s="22" t="n">
        <v>-21.636</v>
      </c>
      <c r="Q175" s="22" t="n">
        <v>-38.397</v>
      </c>
      <c r="R175" s="22" t="n">
        <v>-59.292</v>
      </c>
      <c r="U175" s="22" t="n">
        <v>-77.453</v>
      </c>
      <c r="V175" s="22" t="n">
        <v>-65.375</v>
      </c>
      <c r="W175" s="22" t="n">
        <v>-71.414</v>
      </c>
      <c r="X175" s="22" t="n">
        <v>-92.712</v>
      </c>
    </row>
    <row r="176">
      <c r="A176" s="20" t="inlineStr">
        <is>
          <t>법인세 납부</t>
        </is>
      </c>
      <c r="C176" s="22" t="n">
        <v>-36.282</v>
      </c>
      <c r="E176" s="22" t="n">
        <v>-157.151</v>
      </c>
      <c r="G176" s="22" t="n">
        <v>-189.468</v>
      </c>
      <c r="I176" s="22" t="n">
        <v>-341.443</v>
      </c>
      <c r="K176" s="22" t="n">
        <v>-140.175</v>
      </c>
      <c r="M176" s="22" t="n">
        <v>-283.106</v>
      </c>
      <c r="P176" s="22" t="n">
        <v>-35.26</v>
      </c>
      <c r="Q176" s="22" t="n">
        <v>-26.593</v>
      </c>
      <c r="R176" s="22" t="n">
        <v>-50.415</v>
      </c>
      <c r="U176" s="22" t="n">
        <v>-399.63</v>
      </c>
      <c r="V176" s="22" t="n">
        <v>-157.151</v>
      </c>
      <c r="W176" s="22" t="n">
        <v>-341.443</v>
      </c>
      <c r="X176" s="22" t="n">
        <v>-283.106</v>
      </c>
    </row>
    <row r="177">
      <c r="A177" s="20" t="inlineStr">
        <is>
          <t>보조금 수취</t>
        </is>
      </c>
      <c r="P177" s="22" t="n">
        <v>437.488</v>
      </c>
      <c r="Q177" s="22" t="n">
        <v>991.032</v>
      </c>
      <c r="R177" s="22" t="n">
        <v>1591.738</v>
      </c>
    </row>
    <row r="178">
      <c r="A178" s="20" t="inlineStr">
        <is>
          <t>법인세 환급</t>
        </is>
      </c>
      <c r="C178" s="22" t="n">
        <v>120.912</v>
      </c>
      <c r="E178" s="22" t="n">
        <v>121.244</v>
      </c>
      <c r="G178" s="22" t="n">
        <v>0</v>
      </c>
      <c r="I178" s="22" t="n">
        <v>0</v>
      </c>
      <c r="K178" s="22" t="n">
        <v>5.212</v>
      </c>
      <c r="M178" s="22" t="n">
        <v>5.212</v>
      </c>
      <c r="R178" s="22" t="n">
        <v>0</v>
      </c>
      <c r="U178" s="22" t="n">
        <v>3.327</v>
      </c>
      <c r="V178" s="22" t="n">
        <v>121.244</v>
      </c>
      <c r="W178" s="22" t="n">
        <v>0</v>
      </c>
      <c r="X178" s="22" t="n">
        <v>5.212</v>
      </c>
    </row>
    <row r="179">
      <c r="A179" s="20" t="inlineStr">
        <is>
          <t>보조금 수취</t>
        </is>
      </c>
      <c r="C179" s="22" t="n">
        <v>450.462</v>
      </c>
      <c r="E179" s="22" t="n">
        <v>450.478</v>
      </c>
      <c r="G179" s="22" t="n">
        <v>444.116</v>
      </c>
      <c r="I179" s="22" t="n">
        <v>444.116</v>
      </c>
      <c r="K179" s="22" t="n">
        <v>239.581</v>
      </c>
      <c r="M179" s="22" t="n">
        <v>239.581</v>
      </c>
      <c r="R179" s="22" t="n">
        <v>1591.738</v>
      </c>
      <c r="U179" s="22" t="n">
        <v>495.579</v>
      </c>
      <c r="V179" s="22" t="n">
        <v>450.478</v>
      </c>
      <c r="W179" s="22" t="n">
        <v>444.116</v>
      </c>
      <c r="X179" s="22" t="n">
        <v>239.581</v>
      </c>
    </row>
    <row r="180">
      <c r="A180" s="20" t="inlineStr">
        <is>
          <t>단기매매차익 수취</t>
        </is>
      </c>
      <c r="C180" s="22" t="n">
        <v>0</v>
      </c>
      <c r="E180" s="22" t="n">
        <v>0</v>
      </c>
      <c r="G180" s="22" t="n">
        <v>20.754</v>
      </c>
      <c r="I180" s="22" t="n">
        <v>20.708</v>
      </c>
      <c r="K180" s="22" t="n">
        <v>0.011</v>
      </c>
      <c r="M180" s="22" t="n">
        <v>0.011</v>
      </c>
      <c r="V180" s="22" t="n">
        <v>0</v>
      </c>
      <c r="W180" s="22" t="n">
        <v>20.708</v>
      </c>
      <c r="X180" s="22" t="n">
        <v>0.011</v>
      </c>
    </row>
    <row r="181">
      <c r="A181" s="9" t="inlineStr">
        <is>
          <t>영업활동 현금흐름</t>
        </is>
      </c>
      <c r="C181" s="12" t="n">
        <v>1464.656</v>
      </c>
      <c r="E181" s="12" t="n">
        <v>1767.372</v>
      </c>
      <c r="G181" s="12" t="n">
        <v>963.299</v>
      </c>
      <c r="I181" s="12" t="n">
        <v>1393.81</v>
      </c>
      <c r="K181" s="12" t="n">
        <v>996.116</v>
      </c>
      <c r="M181" s="12" t="n">
        <v>905.369</v>
      </c>
      <c r="P181" s="12" t="n">
        <v>-30.006</v>
      </c>
      <c r="Q181" s="12" t="n">
        <v>287.844</v>
      </c>
      <c r="R181" s="12" t="n">
        <v>385.682</v>
      </c>
      <c r="U181" s="12" t="n">
        <v>873.8680000000001</v>
      </c>
      <c r="V181" s="12" t="n">
        <v>1767.372</v>
      </c>
      <c r="W181" s="12" t="n">
        <v>1393.81</v>
      </c>
      <c r="X181" s="12" t="n">
        <v>905.369</v>
      </c>
    </row>
    <row r="182">
      <c r="A182" s="20" t="inlineStr">
        <is>
          <t>유형자산 취득(설비투자)</t>
        </is>
      </c>
      <c r="C182" s="22" t="n">
        <v>-158.372</v>
      </c>
      <c r="E182" s="22" t="n">
        <v>-575.59</v>
      </c>
      <c r="G182" s="22" t="n">
        <v>-122.924</v>
      </c>
      <c r="I182" s="22" t="n">
        <v>-343.046</v>
      </c>
      <c r="K182" s="22" t="n">
        <v>-73.586</v>
      </c>
      <c r="M182" s="22" t="n">
        <v>-320.494</v>
      </c>
      <c r="P182" s="22" t="n">
        <v>-1037.028</v>
      </c>
      <c r="Q182" s="22" t="n">
        <v>-1670.091</v>
      </c>
      <c r="R182" s="22" t="n">
        <v>-2129.442</v>
      </c>
      <c r="U182" s="22" t="n">
        <v>-785.756</v>
      </c>
      <c r="V182" s="22" t="n">
        <v>-575.59</v>
      </c>
      <c r="W182" s="22" t="n">
        <v>-343.046</v>
      </c>
      <c r="X182" s="22" t="n">
        <v>-320.494</v>
      </c>
    </row>
    <row r="183">
      <c r="A183" s="20" t="inlineStr">
        <is>
          <t>유형자산 매각</t>
        </is>
      </c>
      <c r="U183" s="22" t="n">
        <v>196.427</v>
      </c>
    </row>
    <row r="184">
      <c r="A184" s="20" t="inlineStr">
        <is>
          <t>무형자산 취득</t>
        </is>
      </c>
      <c r="C184" s="22" t="n">
        <v>0</v>
      </c>
      <c r="E184" s="22" t="n">
        <v>0</v>
      </c>
      <c r="G184" s="22" t="n">
        <v>-6.936</v>
      </c>
      <c r="I184" s="22" t="n">
        <v>-11.535</v>
      </c>
      <c r="K184" s="22" t="n">
        <v>0</v>
      </c>
      <c r="M184" s="22" t="n">
        <v>0</v>
      </c>
      <c r="P184" s="22" t="n">
        <v>-113.925</v>
      </c>
      <c r="Q184" s="22" t="n">
        <v>-67.889</v>
      </c>
      <c r="R184" s="22" t="n">
        <v>-61.546</v>
      </c>
      <c r="U184" s="22" t="n">
        <v>-103.245</v>
      </c>
      <c r="V184" s="22" t="n">
        <v>0</v>
      </c>
      <c r="W184" s="22" t="n">
        <v>-11.535</v>
      </c>
      <c r="X184" s="22" t="n">
        <v>0</v>
      </c>
    </row>
    <row r="185">
      <c r="A185" s="20" t="inlineStr">
        <is>
          <t>장기대여</t>
        </is>
      </c>
      <c r="E185" s="22" t="n">
        <v>0</v>
      </c>
      <c r="P185" s="22" t="n">
        <v>-31.286</v>
      </c>
      <c r="Q185" s="22" t="n">
        <v>0</v>
      </c>
      <c r="U185" s="22" t="n">
        <v>-22.978</v>
      </c>
      <c r="V185" s="22" t="n">
        <v>0</v>
      </c>
    </row>
    <row r="186">
      <c r="A186" s="20" t="inlineStr">
        <is>
          <t>투자유가증권 취득</t>
        </is>
      </c>
      <c r="C186" s="22" t="n">
        <v>0</v>
      </c>
      <c r="E186" s="22" t="n">
        <v>0</v>
      </c>
      <c r="G186" s="22" t="n">
        <v>-52.839</v>
      </c>
      <c r="I186" s="22" t="n">
        <v>-120.234</v>
      </c>
      <c r="K186" s="22" t="n">
        <v>-54.283</v>
      </c>
      <c r="M186" s="22" t="n">
        <v>-54.283</v>
      </c>
      <c r="Q186" s="22" t="n">
        <v>0</v>
      </c>
      <c r="R186" s="22" t="n">
        <v>-603.312</v>
      </c>
      <c r="V186" s="22" t="n">
        <v>0</v>
      </c>
      <c r="W186" s="22" t="n">
        <v>-120.234</v>
      </c>
      <c r="X186" s="22" t="n">
        <v>-54.283</v>
      </c>
    </row>
    <row r="187">
      <c r="A187" s="20" t="inlineStr">
        <is>
          <t>투자유가증권 매각</t>
        </is>
      </c>
      <c r="E187" s="22" t="n">
        <v>0</v>
      </c>
      <c r="I187" s="22" t="n">
        <v>1.084</v>
      </c>
      <c r="M187" s="22" t="n">
        <v>0</v>
      </c>
      <c r="R187" s="22" t="n">
        <v>0</v>
      </c>
      <c r="U187" s="22" t="n">
        <v>0</v>
      </c>
      <c r="V187" s="22" t="n">
        <v>0</v>
      </c>
      <c r="W187" s="22" t="n">
        <v>1.084</v>
      </c>
      <c r="X187" s="22" t="n">
        <v>0</v>
      </c>
    </row>
    <row r="188">
      <c r="A188" s="20" t="inlineStr">
        <is>
          <t>임차보증금·보증금 납입</t>
        </is>
      </c>
      <c r="C188" s="22" t="n">
        <v>-1.863</v>
      </c>
      <c r="E188" s="22" t="n">
        <v>-45.754</v>
      </c>
      <c r="G188" s="22" t="n">
        <v>-2.072</v>
      </c>
      <c r="I188" s="22" t="n">
        <v>-76.86799999999999</v>
      </c>
      <c r="K188" s="22" t="n">
        <v>-25.291</v>
      </c>
      <c r="M188" s="22" t="n">
        <v>-51.769</v>
      </c>
      <c r="P188" s="22" t="n">
        <v>-65.379</v>
      </c>
      <c r="Q188" s="22" t="n">
        <v>-105.022</v>
      </c>
      <c r="R188" s="22" t="n">
        <v>-138.505</v>
      </c>
      <c r="U188" s="22" t="n">
        <v>-94.803</v>
      </c>
      <c r="V188" s="22" t="n">
        <v>-45.754</v>
      </c>
      <c r="W188" s="22" t="n">
        <v>-76.86799999999999</v>
      </c>
      <c r="X188" s="22" t="n">
        <v>-51.769</v>
      </c>
    </row>
    <row r="189">
      <c r="A189" s="20" t="inlineStr">
        <is>
          <t>보험적립금 적립</t>
        </is>
      </c>
      <c r="P189" s="22" t="n">
        <v>-0.5600000000000001</v>
      </c>
      <c r="Q189" s="22" t="n">
        <v>0</v>
      </c>
    </row>
    <row r="190">
      <c r="A190" s="20" t="inlineStr">
        <is>
          <t>출자금 회수</t>
        </is>
      </c>
      <c r="P190" s="22" t="n">
        <v>1</v>
      </c>
      <c r="Q190" s="22" t="n">
        <v>0</v>
      </c>
    </row>
    <row r="191">
      <c r="A191" s="20" t="inlineStr">
        <is>
          <t>연결범위 변경 자회사 주식 매각</t>
        </is>
      </c>
      <c r="C191" s="22" t="n">
        <v>0</v>
      </c>
      <c r="E191" s="22" t="n">
        <v>0</v>
      </c>
      <c r="G191" s="22" t="n">
        <v>121.687</v>
      </c>
      <c r="I191" s="22" t="n">
        <v>121.687</v>
      </c>
      <c r="K191" s="22" t="n">
        <v>0</v>
      </c>
      <c r="M191" s="22" t="n">
        <v>0</v>
      </c>
      <c r="V191" s="22" t="n">
        <v>0</v>
      </c>
      <c r="W191" s="22" t="n">
        <v>121.687</v>
      </c>
      <c r="X191" s="22" t="n">
        <v>0</v>
      </c>
    </row>
    <row r="192">
      <c r="A192" s="20" t="inlineStr">
        <is>
          <t>연결범위 변경 자회사 주식 취득</t>
        </is>
      </c>
      <c r="G192" s="22" t="n">
        <v>0</v>
      </c>
      <c r="I192" s="22" t="n">
        <v>0</v>
      </c>
      <c r="K192" s="22" t="n">
        <v>-1.847</v>
      </c>
      <c r="M192" s="22" t="n">
        <v>-10999.192</v>
      </c>
      <c r="P192" s="22" t="n">
        <v>-238.719</v>
      </c>
      <c r="Q192" s="22" t="n">
        <v>0</v>
      </c>
      <c r="W192" s="22" t="n">
        <v>0</v>
      </c>
      <c r="X192" s="22" t="n">
        <v>-10999.192</v>
      </c>
    </row>
    <row r="193">
      <c r="A193" s="20" t="inlineStr">
        <is>
          <t>장기선급비용 지출</t>
        </is>
      </c>
      <c r="P193" s="22" t="n">
        <v>-9.928000000000001</v>
      </c>
      <c r="Q193" s="22" t="n">
        <v>-61.945</v>
      </c>
    </row>
    <row r="194">
      <c r="A194" s="20" t="inlineStr">
        <is>
          <t>기타</t>
        </is>
      </c>
      <c r="C194" s="22" t="n">
        <v>1.9</v>
      </c>
      <c r="E194" s="22" t="n">
        <v>2.339</v>
      </c>
      <c r="G194" s="22" t="n">
        <v>-0.284</v>
      </c>
      <c r="I194" s="22" t="n">
        <v>4.656</v>
      </c>
      <c r="K194" s="22" t="n">
        <v>1.245</v>
      </c>
      <c r="M194" s="22" t="n">
        <v>4.913</v>
      </c>
      <c r="P194" s="22" t="n">
        <v>21.206</v>
      </c>
      <c r="Q194" s="22" t="n">
        <v>-62.095</v>
      </c>
      <c r="R194" s="22" t="n">
        <v>7.924</v>
      </c>
      <c r="U194" s="22" t="n">
        <v>197.712</v>
      </c>
      <c r="V194" s="22" t="n">
        <v>2.339</v>
      </c>
      <c r="W194" s="22" t="n">
        <v>4.656</v>
      </c>
      <c r="X194" s="22" t="n">
        <v>4.913</v>
      </c>
    </row>
    <row r="195">
      <c r="A195" s="9" t="inlineStr">
        <is>
          <t>투자활동 현금흐름</t>
        </is>
      </c>
      <c r="C195" s="12" t="n">
        <v>-158.336</v>
      </c>
      <c r="E195" s="12" t="n">
        <v>-619.005</v>
      </c>
      <c r="G195" s="12" t="n">
        <v>-63.37</v>
      </c>
      <c r="I195" s="12" t="n">
        <v>-424.256</v>
      </c>
      <c r="K195" s="12" t="n">
        <v>-153.763</v>
      </c>
      <c r="M195" s="12" t="n">
        <v>-11420.826</v>
      </c>
      <c r="P195" s="12" t="n">
        <v>-1474.622</v>
      </c>
      <c r="Q195" s="12" t="n">
        <v>-1905.1</v>
      </c>
      <c r="R195" s="12" t="n">
        <v>-2924.882</v>
      </c>
      <c r="U195" s="12" t="n">
        <v>-809.071</v>
      </c>
      <c r="V195" s="12" t="n">
        <v>-619.005</v>
      </c>
      <c r="W195" s="12" t="n">
        <v>-424.256</v>
      </c>
      <c r="X195" s="12" t="n">
        <v>-11420.826</v>
      </c>
    </row>
    <row r="196">
      <c r="A196" s="20" t="inlineStr">
        <is>
          <t>주식 발행</t>
        </is>
      </c>
      <c r="C196" s="22" t="n">
        <v>20</v>
      </c>
      <c r="E196" s="22" t="n">
        <v>34.914</v>
      </c>
      <c r="G196" s="22" t="n">
        <v>267</v>
      </c>
      <c r="I196" s="22" t="n">
        <v>278.914</v>
      </c>
      <c r="K196" s="22" t="n">
        <v>0</v>
      </c>
      <c r="M196" s="22" t="n">
        <v>23.31</v>
      </c>
      <c r="P196" s="22" t="n">
        <v>11.75</v>
      </c>
      <c r="Q196" s="22" t="n">
        <v>211.542</v>
      </c>
      <c r="R196" s="22" t="n">
        <v>287.444</v>
      </c>
      <c r="U196" s="22" t="n">
        <v>239.309</v>
      </c>
      <c r="V196" s="22" t="n">
        <v>34.914</v>
      </c>
      <c r="W196" s="22" t="n">
        <v>278.914</v>
      </c>
      <c r="X196" s="22" t="n">
        <v>23.31</v>
      </c>
    </row>
    <row r="197">
      <c r="A197" s="20" t="inlineStr">
        <is>
          <t>비지배주주 납입</t>
        </is>
      </c>
      <c r="Q197" s="22" t="n">
        <v>0</v>
      </c>
      <c r="R197" s="22" t="n">
        <v>20</v>
      </c>
    </row>
    <row r="198">
      <c r="A198" s="20" t="inlineStr">
        <is>
          <t>신주예약권 발행</t>
        </is>
      </c>
      <c r="C198" s="22" t="n">
        <v>0</v>
      </c>
      <c r="E198" s="22" t="n">
        <v>0</v>
      </c>
      <c r="U198" s="22" t="n">
        <v>1.691</v>
      </c>
      <c r="V198" s="22" t="n">
        <v>0</v>
      </c>
    </row>
    <row r="199">
      <c r="A199" s="20" t="inlineStr">
        <is>
          <t>단기차입</t>
        </is>
      </c>
      <c r="C199" s="22" t="n">
        <v>300</v>
      </c>
      <c r="E199" s="22" t="n">
        <v>660</v>
      </c>
      <c r="G199" s="22" t="n">
        <v>200</v>
      </c>
      <c r="I199" s="22" t="n">
        <v>1112</v>
      </c>
      <c r="K199" s="22" t="n">
        <v>300</v>
      </c>
      <c r="M199" s="22" t="n">
        <v>14500</v>
      </c>
      <c r="P199" s="22" t="n">
        <v>0</v>
      </c>
      <c r="Q199" s="22" t="n">
        <v>160</v>
      </c>
      <c r="R199" s="22" t="n">
        <v>659</v>
      </c>
      <c r="U199" s="22" t="n">
        <v>0</v>
      </c>
      <c r="V199" s="22" t="n">
        <v>660</v>
      </c>
      <c r="W199" s="22" t="n">
        <v>1112</v>
      </c>
      <c r="X199" s="22" t="n">
        <v>14500</v>
      </c>
    </row>
    <row r="200">
      <c r="A200" s="20" t="inlineStr">
        <is>
          <t>단기차입금 상환</t>
        </is>
      </c>
      <c r="C200" s="22" t="n">
        <v>-300</v>
      </c>
      <c r="E200" s="22" t="n">
        <v>-300</v>
      </c>
      <c r="G200" s="22" t="n">
        <v>-560</v>
      </c>
      <c r="I200" s="22" t="n">
        <v>-560</v>
      </c>
      <c r="K200" s="22" t="n">
        <v>-1212</v>
      </c>
      <c r="M200" s="22" t="n">
        <v>-12312</v>
      </c>
      <c r="P200" s="22" t="n">
        <v>-24</v>
      </c>
      <c r="Q200" s="22" t="n">
        <v>-68.333</v>
      </c>
      <c r="R200" s="22" t="n">
        <v>-557.6660000000001</v>
      </c>
      <c r="U200" s="22" t="n">
        <v>0</v>
      </c>
      <c r="V200" s="22" t="n">
        <v>-300</v>
      </c>
      <c r="W200" s="22" t="n">
        <v>-560</v>
      </c>
      <c r="X200" s="22" t="n">
        <v>-12312</v>
      </c>
    </row>
    <row r="201">
      <c r="A201" s="20" t="inlineStr">
        <is>
          <t>장기차입</t>
        </is>
      </c>
      <c r="C201" s="22" t="n">
        <v>91</v>
      </c>
      <c r="E201" s="22" t="n">
        <v>91</v>
      </c>
      <c r="G201" s="22" t="n">
        <v>200</v>
      </c>
      <c r="I201" s="22" t="n">
        <v>200</v>
      </c>
      <c r="K201" s="22" t="n">
        <v>370</v>
      </c>
      <c r="M201" s="22" t="n">
        <v>11391.644</v>
      </c>
      <c r="P201" s="22" t="n">
        <v>2090</v>
      </c>
      <c r="Q201" s="22" t="n">
        <v>1907</v>
      </c>
      <c r="R201" s="22" t="n">
        <v>2586.5</v>
      </c>
      <c r="U201" s="22" t="n">
        <v>1374</v>
      </c>
      <c r="V201" s="22" t="n">
        <v>91</v>
      </c>
      <c r="W201" s="22" t="n">
        <v>200</v>
      </c>
      <c r="X201" s="22" t="n">
        <v>11391.644</v>
      </c>
    </row>
    <row r="202">
      <c r="A202" s="20" t="inlineStr">
        <is>
          <t>장기차입금 상환</t>
        </is>
      </c>
      <c r="C202" s="22" t="n">
        <v>-565.124</v>
      </c>
      <c r="E202" s="22" t="n">
        <v>-1254.988</v>
      </c>
      <c r="G202" s="22" t="n">
        <v>-729.385</v>
      </c>
      <c r="I202" s="22" t="n">
        <v>-1305.405</v>
      </c>
      <c r="K202" s="22" t="n">
        <v>-642.359</v>
      </c>
      <c r="M202" s="22" t="n">
        <v>-1199.144</v>
      </c>
      <c r="P202" s="22" t="n">
        <v>-271.414</v>
      </c>
      <c r="Q202" s="22" t="n">
        <v>-859.325</v>
      </c>
      <c r="R202" s="22" t="n">
        <v>-788.862</v>
      </c>
      <c r="U202" s="22" t="n">
        <v>-1483.705</v>
      </c>
      <c r="V202" s="22" t="n">
        <v>-1254.988</v>
      </c>
      <c r="W202" s="22" t="n">
        <v>-1305.405</v>
      </c>
      <c r="X202" s="22" t="n">
        <v>-1199.144</v>
      </c>
    </row>
    <row r="203">
      <c r="A203" s="20" t="inlineStr">
        <is>
          <t>연결범위 변경 없는 자회사 주식 취득</t>
        </is>
      </c>
      <c r="R203" s="22" t="n">
        <v>0</v>
      </c>
      <c r="U203" s="22" t="n">
        <v>0</v>
      </c>
    </row>
    <row r="204">
      <c r="A204" s="20" t="inlineStr">
        <is>
          <t>자기주식 취득</t>
        </is>
      </c>
      <c r="G204" s="22" t="n">
        <v>0</v>
      </c>
      <c r="I204" s="22" t="n">
        <v>0</v>
      </c>
      <c r="K204" s="22" t="n">
        <v>-291.4</v>
      </c>
      <c r="M204" s="22" t="n">
        <v>-291.4</v>
      </c>
      <c r="W204" s="22" t="n">
        <v>0</v>
      </c>
      <c r="X204" s="22" t="n">
        <v>-291.4</v>
      </c>
    </row>
    <row r="205">
      <c r="A205" s="20" t="inlineStr">
        <is>
          <t>리스부채 상환</t>
        </is>
      </c>
      <c r="C205" s="22" t="n">
        <v>-8.573</v>
      </c>
      <c r="E205" s="22" t="n">
        <v>-17.147</v>
      </c>
      <c r="G205" s="22" t="n">
        <v>-3.295</v>
      </c>
      <c r="I205" s="22" t="n">
        <v>-6.59</v>
      </c>
      <c r="K205" s="22" t="n">
        <v>-3.295</v>
      </c>
      <c r="M205" s="22" t="n">
        <v>-6.59</v>
      </c>
      <c r="U205" s="22" t="n">
        <v>-9.23</v>
      </c>
      <c r="V205" s="22" t="n">
        <v>-17.147</v>
      </c>
      <c r="W205" s="22" t="n">
        <v>-6.59</v>
      </c>
      <c r="X205" s="22" t="n">
        <v>-6.59</v>
      </c>
    </row>
    <row r="206">
      <c r="A206" s="20" t="inlineStr">
        <is>
          <t>세일앤리스백 수입</t>
        </is>
      </c>
      <c r="E206" s="22" t="n">
        <v>0</v>
      </c>
      <c r="U206" s="22" t="n">
        <v>171.287</v>
      </c>
      <c r="V206" s="22" t="n">
        <v>0</v>
      </c>
    </row>
    <row r="207">
      <c r="A207" s="20" t="inlineStr">
        <is>
          <t>기타</t>
        </is>
      </c>
      <c r="E207" s="22" t="n">
        <v>0</v>
      </c>
      <c r="I207" s="22" t="n">
        <v>-10</v>
      </c>
      <c r="M207" s="22" t="n">
        <v>-1.572</v>
      </c>
      <c r="R207" s="22" t="n">
        <v>0</v>
      </c>
      <c r="U207" s="22" t="n">
        <v>0</v>
      </c>
      <c r="V207" s="22" t="n">
        <v>0</v>
      </c>
      <c r="W207" s="22" t="n">
        <v>-10</v>
      </c>
      <c r="X207" s="22" t="n">
        <v>-1.572</v>
      </c>
    </row>
    <row r="208">
      <c r="A208" s="9" t="inlineStr">
        <is>
          <t>재무활동 현금흐름</t>
        </is>
      </c>
      <c r="C208" s="12" t="n">
        <v>-462.698</v>
      </c>
      <c r="E208" s="12" t="n">
        <v>-786.222</v>
      </c>
      <c r="G208" s="12" t="n">
        <v>-625.681</v>
      </c>
      <c r="I208" s="12" t="n">
        <v>-291.082</v>
      </c>
      <c r="K208" s="12" t="n">
        <v>-1479.055</v>
      </c>
      <c r="M208" s="12" t="n">
        <v>12104.246</v>
      </c>
      <c r="P208" s="12" t="n">
        <v>1806.336</v>
      </c>
      <c r="Q208" s="12" t="n">
        <v>1350.883</v>
      </c>
      <c r="R208" s="12" t="n">
        <v>2206.415</v>
      </c>
      <c r="U208" s="12" t="n">
        <v>293.353</v>
      </c>
      <c r="V208" s="12" t="n">
        <v>-786.222</v>
      </c>
      <c r="W208" s="12" t="n">
        <v>-291.082</v>
      </c>
      <c r="X208" s="12" t="n">
        <v>12104.246</v>
      </c>
    </row>
    <row r="209">
      <c r="A209" s="20" t="inlineStr">
        <is>
          <t>현금성자산 증감</t>
        </is>
      </c>
      <c r="C209" s="22" t="n">
        <v>843.621</v>
      </c>
      <c r="E209" s="22" t="n">
        <v>362.144</v>
      </c>
      <c r="G209" s="22" t="n">
        <v>274.247</v>
      </c>
      <c r="I209" s="22" t="n">
        <v>678.471</v>
      </c>
      <c r="K209" s="22" t="n">
        <v>-636.702</v>
      </c>
      <c r="M209" s="22" t="n">
        <v>1588.788</v>
      </c>
      <c r="P209" s="22" t="n">
        <v>301.707</v>
      </c>
      <c r="Q209" s="22" t="n">
        <v>-266.372</v>
      </c>
      <c r="R209" s="22" t="n">
        <v>-332.783</v>
      </c>
      <c r="U209" s="22" t="n">
        <v>358.15</v>
      </c>
      <c r="V209" s="22" t="n">
        <v>362.144</v>
      </c>
      <c r="W209" s="22" t="n">
        <v>678.471</v>
      </c>
      <c r="X209" s="22" t="n">
        <v>1588.788</v>
      </c>
    </row>
    <row r="210">
      <c r="A210" s="20" t="inlineStr">
        <is>
          <t>연결 제외 현금성자산 감소</t>
        </is>
      </c>
      <c r="Q210" s="22" t="n">
        <v>0</v>
      </c>
      <c r="R210" s="22" t="n">
        <v>-9.654999999999999</v>
      </c>
    </row>
    <row r="211">
      <c r="A211" s="20" t="inlineStr">
        <is>
          <t>신규 연결 현금성자산 증가</t>
        </is>
      </c>
      <c r="I211" s="22" t="n">
        <v>0</v>
      </c>
      <c r="M211" s="22" t="n">
        <v>169.315</v>
      </c>
      <c r="W211" s="22" t="n">
        <v>0</v>
      </c>
      <c r="X211" s="22" t="n">
        <v>169.315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6557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3673.386</v>
      </c>
      <c r="D5" s="12" t="n">
        <v>3137.537</v>
      </c>
      <c r="E5" s="12" t="n">
        <v>3196.587</v>
      </c>
      <c r="F5" s="12" t="n">
        <v>7647.766</v>
      </c>
      <c r="G5" s="12" t="n">
        <v>5058.199</v>
      </c>
      <c r="H5" s="11" t="n">
        <v>2996.818</v>
      </c>
      <c r="I5" s="12" t="n">
        <v>3362.376</v>
      </c>
      <c r="J5" s="12" t="n">
        <v>3732.805</v>
      </c>
      <c r="K5" s="12" t="n">
        <v>4651.054</v>
      </c>
      <c r="L5" s="12" t="n">
        <v>7647.766</v>
      </c>
    </row>
    <row r="6">
      <c r="A6" s="20" t="inlineStr">
        <is>
          <t>현금및현금성자산</t>
        </is>
      </c>
      <c r="B6" s="10" t="n"/>
      <c r="C6" s="21" t="n">
        <v>2386.014</v>
      </c>
      <c r="D6" s="22" t="n">
        <v>1710.267</v>
      </c>
      <c r="E6" s="22" t="n">
        <v>1625.635</v>
      </c>
      <c r="F6" s="22" t="n">
        <v>4105.074</v>
      </c>
      <c r="G6" s="22" t="n">
        <v>2936.185</v>
      </c>
      <c r="H6" s="21" t="n">
        <v>948.203</v>
      </c>
      <c r="I6" s="22" t="n">
        <v>1306.353</v>
      </c>
      <c r="J6" s="22" t="n">
        <v>1668.498</v>
      </c>
      <c r="K6" s="22" t="n">
        <v>2346.97</v>
      </c>
      <c r="L6" s="22" t="n">
        <v>4105.074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  <c r="L7" s="22" t="n"/>
    </row>
    <row r="8">
      <c r="A8" s="20" t="inlineStr">
        <is>
          <t>매출채권</t>
        </is>
      </c>
      <c r="B8" s="10" t="n"/>
      <c r="C8" s="21" t="n">
        <v>871.6900000000001</v>
      </c>
      <c r="D8" s="22" t="n">
        <v>1044.538</v>
      </c>
      <c r="E8" s="22" t="n">
        <v>1170.709</v>
      </c>
      <c r="F8" s="22" t="n">
        <v>2717.9</v>
      </c>
      <c r="G8" s="22" t="n">
        <v>1105.651</v>
      </c>
      <c r="H8" s="21" t="n">
        <v>1082.351</v>
      </c>
      <c r="I8" s="22" t="n">
        <v>1142.093</v>
      </c>
      <c r="J8" s="22" t="n">
        <v>1249.025</v>
      </c>
      <c r="K8" s="22" t="n">
        <v>1697.454</v>
      </c>
      <c r="L8" s="22" t="n">
        <v>2717.9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>
        <v>144.252</v>
      </c>
      <c r="G9" s="22" t="n">
        <v>343.465</v>
      </c>
      <c r="H9" s="21" t="n"/>
      <c r="I9" s="22" t="n"/>
      <c r="J9" s="22" t="n"/>
      <c r="K9" s="22" t="n"/>
      <c r="L9" s="22" t="n">
        <v>144.252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7968.313</v>
      </c>
      <c r="D11" s="12" t="n">
        <v>7785.843</v>
      </c>
      <c r="E11" s="12" t="n">
        <v>7552.51</v>
      </c>
      <c r="F11" s="12" t="n">
        <v>19259.249</v>
      </c>
      <c r="G11" s="12" t="n">
        <v>19393.089</v>
      </c>
      <c r="H11" s="11" t="n">
        <v>9067.388999999999</v>
      </c>
      <c r="I11" s="12" t="n">
        <v>8380.379999999999</v>
      </c>
      <c r="J11" s="12" t="n">
        <v>7924.41</v>
      </c>
      <c r="K11" s="12" t="n">
        <v>7821.393</v>
      </c>
      <c r="L11" s="12" t="n">
        <v>19259.249</v>
      </c>
    </row>
    <row r="12">
      <c r="A12" s="20" t="inlineStr">
        <is>
          <t>유형자산</t>
        </is>
      </c>
      <c r="B12" s="10" t="n"/>
      <c r="C12" s="21" t="n">
        <v>5721.016</v>
      </c>
      <c r="D12" s="22" t="n">
        <v>5623.248</v>
      </c>
      <c r="E12" s="22" t="n">
        <v>5556.064</v>
      </c>
      <c r="F12" s="22" t="n">
        <v>8223.550999999999</v>
      </c>
      <c r="G12" s="22" t="n">
        <v>8301</v>
      </c>
      <c r="H12" s="21" t="n">
        <v>7403.81</v>
      </c>
      <c r="I12" s="22" t="n">
        <v>7121.735</v>
      </c>
      <c r="J12" s="22" t="n">
        <v>6684.241</v>
      </c>
      <c r="K12" s="22" t="n">
        <v>5855.736</v>
      </c>
      <c r="L12" s="22" t="n">
        <v>8223.550999999999</v>
      </c>
    </row>
    <row r="13">
      <c r="A13" s="20" t="inlineStr">
        <is>
          <t>무형자산</t>
        </is>
      </c>
      <c r="B13" s="10" t="n"/>
      <c r="C13" s="21" t="n">
        <v>71.614</v>
      </c>
      <c r="D13" s="22" t="n">
        <v>53.169</v>
      </c>
      <c r="E13" s="22" t="n">
        <v>41.933</v>
      </c>
      <c r="F13" s="22" t="n">
        <v>8225.743</v>
      </c>
      <c r="G13" s="22" t="n">
        <v>8123.116</v>
      </c>
      <c r="H13" s="21" t="n">
        <v>557.572</v>
      </c>
      <c r="I13" s="22" t="n">
        <v>210.69</v>
      </c>
      <c r="J13" s="22" t="n">
        <v>156.724</v>
      </c>
      <c r="K13" s="22" t="n">
        <v>83.48099999999999</v>
      </c>
      <c r="L13" s="22" t="n">
        <v>8225.743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11641.7</v>
      </c>
      <c r="D16" s="12" t="n">
        <v>10923.381</v>
      </c>
      <c r="E16" s="12" t="n">
        <v>10749.098</v>
      </c>
      <c r="F16" s="12" t="n">
        <v>26907.015</v>
      </c>
      <c r="G16" s="12" t="n">
        <v>24451.288</v>
      </c>
      <c r="H16" s="11" t="n">
        <v>12066.403</v>
      </c>
      <c r="I16" s="12" t="n">
        <v>11742.756</v>
      </c>
      <c r="J16" s="12" t="n">
        <v>11657.215</v>
      </c>
      <c r="K16" s="12" t="n">
        <v>12472.447</v>
      </c>
      <c r="L16" s="12" t="n">
        <v>26907.015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2734.564</v>
      </c>
      <c r="D18" s="12" t="n">
        <v>2595.543</v>
      </c>
      <c r="E18" s="12" t="n">
        <v>2541.342</v>
      </c>
      <c r="F18" s="12" t="n">
        <v>9698.369000000001</v>
      </c>
      <c r="G18" s="12" t="n">
        <v>7402.376</v>
      </c>
      <c r="H18" s="11" t="n">
        <v>2015.681</v>
      </c>
      <c r="I18" s="12" t="n">
        <v>2012.744</v>
      </c>
      <c r="J18" s="12" t="n">
        <v>2980.617</v>
      </c>
      <c r="K18" s="12" t="n">
        <v>3881.368</v>
      </c>
      <c r="L18" s="12" t="n">
        <v>9698.369000000001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0</v>
      </c>
      <c r="D20" s="22" t="n">
        <v>0</v>
      </c>
      <c r="E20" s="22" t="n">
        <v>0</v>
      </c>
      <c r="F20" s="22" t="n">
        <v>3100</v>
      </c>
      <c r="G20" s="22" t="n">
        <v>2900</v>
      </c>
      <c r="H20" s="21" t="n"/>
      <c r="I20" s="22" t="n">
        <v>0</v>
      </c>
      <c r="J20" s="22" t="n">
        <v>360</v>
      </c>
      <c r="K20" s="22" t="n">
        <v>912</v>
      </c>
      <c r="L20" s="22" t="n">
        <v>3100</v>
      </c>
    </row>
    <row r="21">
      <c r="A21" s="20" t="inlineStr">
        <is>
          <t>유동성장기부채</t>
        </is>
      </c>
      <c r="B21" s="10" t="n"/>
      <c r="C21" s="21" t="n">
        <v>1320.448</v>
      </c>
      <c r="D21" s="22" t="n">
        <v>1243.737</v>
      </c>
      <c r="E21" s="22" t="n">
        <v>1246.184</v>
      </c>
      <c r="F21" s="22" t="n">
        <v>3598.949</v>
      </c>
      <c r="G21" s="22" t="n">
        <v>2013.525</v>
      </c>
      <c r="H21" s="21" t="n">
        <v>927.4299999999999</v>
      </c>
      <c r="I21" s="22" t="n">
        <v>972.735</v>
      </c>
      <c r="J21" s="22" t="n">
        <v>1105.257</v>
      </c>
      <c r="K21" s="22" t="n">
        <v>1142.474</v>
      </c>
      <c r="L21" s="22" t="n">
        <v>3598.949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5795.133</v>
      </c>
      <c r="D23" s="12" t="n">
        <v>5470.709</v>
      </c>
      <c r="E23" s="12" t="n">
        <v>5214.215</v>
      </c>
      <c r="F23" s="12" t="n">
        <v>13961.792</v>
      </c>
      <c r="G23" s="12" t="n">
        <v>13573.699</v>
      </c>
      <c r="H23" s="11" t="n">
        <v>8460.657999999999</v>
      </c>
      <c r="I23" s="12" t="n">
        <v>8389.065000000001</v>
      </c>
      <c r="J23" s="12" t="n">
        <v>6931.367</v>
      </c>
      <c r="K23" s="12" t="n">
        <v>5773.241</v>
      </c>
      <c r="L23" s="12" t="n">
        <v>13961.792</v>
      </c>
    </row>
    <row r="24">
      <c r="A24" s="20" t="inlineStr">
        <is>
          <t>장기차입금</t>
        </is>
      </c>
      <c r="B24" s="10" t="n"/>
      <c r="C24" s="21" t="n">
        <v>4909.958</v>
      </c>
      <c r="D24" s="22" t="n">
        <v>4615.058</v>
      </c>
      <c r="E24" s="22" t="n">
        <v>4381.607</v>
      </c>
      <c r="F24" s="22" t="n">
        <v>12724.705</v>
      </c>
      <c r="G24" s="22" t="n">
        <v>12286.517</v>
      </c>
      <c r="H24" s="21" t="n">
        <v>7582.824</v>
      </c>
      <c r="I24" s="22" t="n">
        <v>7427.814</v>
      </c>
      <c r="J24" s="22" t="n">
        <v>6131.303</v>
      </c>
      <c r="K24" s="22" t="n">
        <v>4988.681</v>
      </c>
      <c r="L24" s="22" t="n">
        <v>12724.705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8529.698</v>
      </c>
      <c r="D27" s="12" t="n">
        <v>8066.253</v>
      </c>
      <c r="E27" s="12" t="n">
        <v>7755.557</v>
      </c>
      <c r="F27" s="12" t="n">
        <v>23660.161</v>
      </c>
      <c r="G27" s="12" t="n">
        <v>20976.075</v>
      </c>
      <c r="H27" s="11" t="n">
        <v>10476.34</v>
      </c>
      <c r="I27" s="12" t="n">
        <v>10401.809</v>
      </c>
      <c r="J27" s="12" t="n">
        <v>9911.985000000001</v>
      </c>
      <c r="K27" s="12" t="n">
        <v>9654.609</v>
      </c>
      <c r="L27" s="12" t="n">
        <v>23660.161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3103.136</v>
      </c>
      <c r="D31" s="12" t="n">
        <v>2848.262</v>
      </c>
      <c r="E31" s="12" t="n">
        <v>2989.206</v>
      </c>
      <c r="F31" s="12" t="n">
        <v>3246.854</v>
      </c>
      <c r="G31" s="12" t="n">
        <v>3475.213</v>
      </c>
      <c r="H31" s="11" t="n">
        <v>1557.885</v>
      </c>
      <c r="I31" s="12" t="n">
        <v>1322.541</v>
      </c>
      <c r="J31" s="12" t="n">
        <v>1731.423</v>
      </c>
      <c r="K31" s="12" t="n">
        <v>2808.972</v>
      </c>
      <c r="L31" s="12" t="n">
        <v>3246.854</v>
      </c>
    </row>
    <row r="32">
      <c r="A32" s="20" t="inlineStr">
        <is>
          <t>자본금</t>
        </is>
      </c>
      <c r="B32" s="10" t="n"/>
      <c r="C32" s="21" t="n">
        <v>10</v>
      </c>
      <c r="D32" s="22" t="n">
        <v>10</v>
      </c>
      <c r="E32" s="22" t="n">
        <v>18.222</v>
      </c>
      <c r="F32" s="22" t="n">
        <v>26.087</v>
      </c>
      <c r="G32" s="22" t="n">
        <v>26.087</v>
      </c>
      <c r="H32" s="21" t="n">
        <v>45.315</v>
      </c>
      <c r="I32" s="22" t="n">
        <v>176.064</v>
      </c>
      <c r="J32" s="22" t="n">
        <v>29.756</v>
      </c>
      <c r="K32" s="22" t="n">
        <v>171.684</v>
      </c>
      <c r="L32" s="22" t="n">
        <v>26.087</v>
      </c>
    </row>
    <row r="33">
      <c r="A33" s="20" t="inlineStr">
        <is>
          <t>이익잉여금</t>
        </is>
      </c>
      <c r="B33" s="10" t="n"/>
      <c r="C33" s="21" t="n">
        <v>723.704</v>
      </c>
      <c r="D33" s="22" t="n">
        <v>835.27</v>
      </c>
      <c r="E33" s="22" t="n">
        <v>1019.082</v>
      </c>
      <c r="F33" s="22" t="n">
        <v>1252.235</v>
      </c>
      <c r="G33" s="22" t="n">
        <v>1435.567</v>
      </c>
      <c r="H33" s="21" t="n">
        <v>318.935</v>
      </c>
      <c r="I33" s="22" t="n">
        <v>-187.176</v>
      </c>
      <c r="J33" s="22" t="n">
        <v>166.079</v>
      </c>
      <c r="K33" s="22" t="n">
        <v>587.955</v>
      </c>
      <c r="L33" s="22" t="n">
        <v>1252.235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3112.001</v>
      </c>
      <c r="D35" s="12" t="n">
        <v>2857.127</v>
      </c>
      <c r="E35" s="12" t="n">
        <v>2993.54</v>
      </c>
      <c r="F35" s="12" t="n">
        <v>3246.854</v>
      </c>
      <c r="G35" s="12" t="n">
        <v>3475.213</v>
      </c>
      <c r="H35" s="11" t="n">
        <v>1590.062</v>
      </c>
      <c r="I35" s="12" t="n">
        <v>1340.947</v>
      </c>
      <c r="J35" s="12" t="n">
        <v>1745.23</v>
      </c>
      <c r="K35" s="12" t="n">
        <v>2817.837</v>
      </c>
      <c r="L35" s="12" t="n">
        <v>3246.854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/>
      <c r="D37" s="12" t="n">
        <v>1426.627</v>
      </c>
      <c r="E37" s="12" t="n"/>
      <c r="F37" s="12" t="n">
        <v>905.369</v>
      </c>
      <c r="G37" s="12" t="n"/>
      <c r="H37" s="11" t="n"/>
      <c r="I37" s="12" t="n">
        <v>873.8680000000001</v>
      </c>
      <c r="J37" s="12" t="n">
        <v>1767.372</v>
      </c>
      <c r="K37" s="12" t="n">
        <v>1393.81</v>
      </c>
      <c r="L37" s="12" t="n">
        <v>905.369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298.307</v>
      </c>
      <c r="E38" s="22" t="n"/>
      <c r="F38" s="22" t="n">
        <v>320.494</v>
      </c>
      <c r="G38" s="22" t="n"/>
      <c r="H38" s="21" t="n"/>
      <c r="I38" s="22" t="n">
        <v>889.001</v>
      </c>
      <c r="J38" s="22" t="n">
        <v>575.59</v>
      </c>
      <c r="K38" s="22" t="n">
        <v>354.581</v>
      </c>
      <c r="L38" s="22" t="n">
        <v>320.494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  <c r="J40" s="22" t="n"/>
      <c r="K40" s="22" t="n"/>
      <c r="L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IFERROR(('연간'!T19)/('연간'!T41),"")</f>
        <v/>
      </c>
      <c r="I48" s="33">
        <f>IFERROR(('연간'!U19)/('연간'!U41),"")</f>
        <v/>
      </c>
      <c r="J48" s="33">
        <f>IFERROR(('연간'!V19)/('연간'!V41),"")</f>
        <v/>
      </c>
      <c r="K48" s="33">
        <f>IFERROR(('연간'!W19)/('연간'!W41),"")</f>
        <v/>
      </c>
      <c r="L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IFERROR(IF(('연간'!T49)&lt;=0,"적자",H28/('연간'!T49)),"")</f>
        <v/>
      </c>
      <c r="I49" s="49">
        <f>IFERROR(IF(('연간'!U49)&lt;=0,"적자",I28/('연간'!U49)),"")</f>
        <v/>
      </c>
      <c r="J49" s="49">
        <f>IFERROR(IF(('연간'!V49)&lt;=0,"적자",J28/('연간'!V49)),"")</f>
        <v/>
      </c>
      <c r="K49" s="49">
        <f>IFERROR(IF(('연간'!W49)&lt;=0,"적자",K28/('연간'!W49)),"")</f>
        <v/>
      </c>
      <c r="L49" s="49">
        <f>IFERROR(IF(('연간'!X49)&lt;=0,"적자",L28/('연간'!X49)),"")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IFERROR(('연간'!T49)/H31,"")</f>
        <v/>
      </c>
      <c r="I51" s="38">
        <f>IFERROR(('연간'!U49)/I31,"")</f>
        <v/>
      </c>
      <c r="J51" s="38">
        <f>IFERROR(('연간'!V49)/J31,"")</f>
        <v/>
      </c>
      <c r="K51" s="38">
        <f>IFERROR(('연간'!W49)/K31,"")</f>
        <v/>
      </c>
      <c r="L51" s="38">
        <f>IFERROR(('연간'!X49)/L31,"")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IFERROR(('연간'!T47)/H16,"")</f>
        <v/>
      </c>
      <c r="I52" s="38">
        <f>IFERROR(('연간'!U47)/I16,"")</f>
        <v/>
      </c>
      <c r="J52" s="38">
        <f>IFERROR(('연간'!V47)/J16,"")</f>
        <v/>
      </c>
      <c r="K52" s="38">
        <f>IFERROR(('연간'!W47)/K16,"")</f>
        <v/>
      </c>
      <c r="L52" s="38">
        <f>IFERROR(('연간'!X47)/L16,"")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IFERROR(('연간'!T19)*(1-0.3)/(H35+H29),"")</f>
        <v/>
      </c>
      <c r="I53" s="38">
        <f>IFERROR(('연간'!U19)*(1-0.3)/(I35+I29),"")</f>
        <v/>
      </c>
      <c r="J53" s="38">
        <f>IFERROR(('연간'!V19)*(1-0.3)/(J35+J29),"")</f>
        <v/>
      </c>
      <c r="K53" s="38">
        <f>IFERROR(('연간'!W19)*(1-0.3)/(K35+K29),"")</f>
        <v/>
      </c>
      <c r="L53" s="38">
        <f>IFERROR(('연간'!X19)*(1-0.3)/(L35+L29),"")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IFERROR(('연간'!T13)/('연간'!T4),"")</f>
        <v/>
      </c>
      <c r="I54" s="38">
        <f>IFERROR(('연간'!U13)/('연간'!U4),"")</f>
        <v/>
      </c>
      <c r="J54" s="38">
        <f>IFERROR(('연간'!V13)/('연간'!V4),"")</f>
        <v/>
      </c>
      <c r="K54" s="38">
        <f>IFERROR(('연간'!W13)/('연간'!W4),"")</f>
        <v/>
      </c>
      <c r="L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IFERROR(('연간'!T19)/('연간'!T4),"")</f>
        <v/>
      </c>
      <c r="I55" s="38">
        <f>IFERROR(('연간'!U19)/('연간'!U4),"")</f>
        <v/>
      </c>
      <c r="J55" s="38">
        <f>IFERROR(('연간'!V19)/('연간'!V4),"")</f>
        <v/>
      </c>
      <c r="K55" s="38">
        <f>IFERROR(('연간'!W19)/('연간'!W4),"")</f>
        <v/>
      </c>
      <c r="L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IFERROR(('연간'!T47)/('연간'!T4),"")</f>
        <v/>
      </c>
      <c r="I56" s="38">
        <f>IFERROR(('연간'!U47)/('연간'!U4),"")</f>
        <v/>
      </c>
      <c r="J56" s="38">
        <f>IFERROR(('연간'!V47)/('연간'!V4),"")</f>
        <v/>
      </c>
      <c r="K56" s="38">
        <f>IFERROR(('연간'!W47)/('연간'!W4),"")</f>
        <v/>
      </c>
      <c r="L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IF(H37="","",IFERROR(H37/('연간'!T47),""))</f>
        <v/>
      </c>
      <c r="I64" s="33">
        <f>IF(I37="","",IFERROR(I37/('연간'!U47),""))</f>
        <v/>
      </c>
      <c r="J64" s="33">
        <f>IF(J37="","",IFERROR(J37/('연간'!V47),""))</f>
        <v/>
      </c>
      <c r="K64" s="33">
        <f>IF(K37="","",IFERROR(K37/('연간'!W47),""))</f>
        <v/>
      </c>
      <c r="L64" s="33">
        <f>IF(L37="","",IFERROR(L37/('연간'!X47),""))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IF(H40="","",IFERROR(H40/('연간'!T49),""))</f>
        <v/>
      </c>
      <c r="I67" s="38">
        <f>IF(I40="","",IFERROR(I40/('연간'!U49),""))</f>
        <v/>
      </c>
      <c r="J67" s="38">
        <f>IF(J40="","",IFERROR(J40/('연간'!V49),""))</f>
        <v/>
      </c>
      <c r="K67" s="38">
        <f>IF(K40="","",IFERROR(K40/('연간'!W49),""))</f>
        <v/>
      </c>
      <c r="L67" s="38">
        <f>IF(L40="","",IFERROR(L40/('연간'!X49),""))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2386.014</v>
      </c>
      <c r="D71" s="22" t="n">
        <v>1710.267</v>
      </c>
      <c r="E71" s="22" t="n">
        <v>1625.635</v>
      </c>
      <c r="F71" s="22" t="n">
        <v>4105.074</v>
      </c>
      <c r="G71" s="22" t="n">
        <v>2936.185</v>
      </c>
      <c r="H71" s="22" t="n">
        <v>948.203</v>
      </c>
      <c r="I71" s="22" t="n">
        <v>1306.353</v>
      </c>
      <c r="J71" s="22" t="n">
        <v>1668.498</v>
      </c>
      <c r="K71" s="22" t="n">
        <v>2346.97</v>
      </c>
      <c r="L71" s="22" t="n">
        <v>4105.074</v>
      </c>
    </row>
    <row r="72">
      <c r="A72" s="20" t="inlineStr">
        <is>
          <t>매출채권</t>
        </is>
      </c>
      <c r="H72" s="22" t="n">
        <v>1082.351</v>
      </c>
      <c r="I72" s="22" t="n">
        <v>0</v>
      </c>
    </row>
    <row r="73">
      <c r="A73" s="20" t="inlineStr">
        <is>
          <t>매출채권·계약자산</t>
        </is>
      </c>
      <c r="H73" s="22" t="n">
        <v>0</v>
      </c>
      <c r="I73" s="22" t="n">
        <v>1142.093</v>
      </c>
      <c r="J73" s="22" t="n">
        <v>1249.025</v>
      </c>
    </row>
    <row r="74">
      <c r="A74" s="20" t="inlineStr">
        <is>
          <t>매출채권·계약자산</t>
        </is>
      </c>
      <c r="C74" s="22" t="n">
        <v>871.6900000000001</v>
      </c>
      <c r="D74" s="22" t="n">
        <v>1044.538</v>
      </c>
      <c r="E74" s="22" t="n">
        <v>1170.709</v>
      </c>
      <c r="F74" s="22" t="n">
        <v>2717.9</v>
      </c>
      <c r="G74" s="22" t="n">
        <v>1105.651</v>
      </c>
      <c r="I74" s="22" t="n">
        <v>1142.093</v>
      </c>
      <c r="J74" s="22" t="n">
        <v>1249.025</v>
      </c>
      <c r="K74" s="22" t="n">
        <v>1697.454</v>
      </c>
      <c r="L74" s="22" t="n">
        <v>2717.9</v>
      </c>
    </row>
    <row r="75">
      <c r="A75" s="20" t="inlineStr">
        <is>
          <t>재고자산</t>
        </is>
      </c>
      <c r="F75" s="22" t="n">
        <v>144.252</v>
      </c>
      <c r="G75" s="22" t="n">
        <v>343.465</v>
      </c>
      <c r="L75" s="22" t="n">
        <v>144.252</v>
      </c>
    </row>
    <row r="76">
      <c r="A76" s="20" t="inlineStr">
        <is>
          <t>선급비용</t>
        </is>
      </c>
      <c r="F76" s="22" t="n">
        <v>505.671</v>
      </c>
      <c r="G76" s="22" t="n">
        <v>555.728</v>
      </c>
      <c r="K76" s="22" t="n">
        <v>311.766</v>
      </c>
      <c r="L76" s="22" t="n">
        <v>505.671</v>
      </c>
    </row>
    <row r="77">
      <c r="A77" s="20" t="inlineStr">
        <is>
          <t>미수금</t>
        </is>
      </c>
      <c r="C77" s="22" t="n">
        <v>58.37</v>
      </c>
      <c r="D77" s="22" t="n">
        <v>6.681</v>
      </c>
      <c r="E77" s="22" t="n">
        <v>2.448</v>
      </c>
      <c r="F77" s="22" t="n">
        <v>88.654</v>
      </c>
      <c r="G77" s="22" t="n">
        <v>41.476</v>
      </c>
      <c r="H77" s="22" t="n">
        <v>540.231</v>
      </c>
      <c r="I77" s="22" t="n">
        <v>467.956</v>
      </c>
      <c r="J77" s="22" t="n">
        <v>452.258</v>
      </c>
      <c r="K77" s="22" t="n">
        <v>244.621</v>
      </c>
      <c r="L77" s="22" t="n">
        <v>88.654</v>
      </c>
    </row>
    <row r="78">
      <c r="A78" s="20" t="inlineStr">
        <is>
          <t>기타</t>
        </is>
      </c>
      <c r="C78" s="22" t="n">
        <v>357.311</v>
      </c>
      <c r="D78" s="22" t="n">
        <v>376.049</v>
      </c>
      <c r="E78" s="22" t="n">
        <v>397.793</v>
      </c>
      <c r="F78" s="22" t="n">
        <v>86.212</v>
      </c>
      <c r="G78" s="22" t="n">
        <v>75.69199999999999</v>
      </c>
      <c r="H78" s="22" t="n">
        <v>426.299</v>
      </c>
      <c r="I78" s="22" t="n">
        <v>446.208</v>
      </c>
      <c r="J78" s="22" t="n">
        <v>363.257</v>
      </c>
      <c r="K78" s="22" t="n">
        <v>50.241</v>
      </c>
      <c r="L78" s="22" t="n">
        <v>86.212</v>
      </c>
    </row>
    <row r="79">
      <c r="A79" s="20" t="inlineStr">
        <is>
          <t>대손충당금</t>
        </is>
      </c>
      <c r="H79" s="22" t="n">
        <v>-0.268</v>
      </c>
      <c r="I79" s="22" t="n">
        <v>-0.235</v>
      </c>
      <c r="J79" s="22" t="n">
        <v>-0.235</v>
      </c>
      <c r="K79" s="22" t="n">
        <v>0</v>
      </c>
    </row>
    <row r="80">
      <c r="A80" s="9" t="inlineStr">
        <is>
          <t>유동자산 합계</t>
        </is>
      </c>
      <c r="C80" s="12" t="n">
        <v>3673.386</v>
      </c>
      <c r="D80" s="12" t="n">
        <v>3137.537</v>
      </c>
      <c r="E80" s="12" t="n">
        <v>3196.587</v>
      </c>
      <c r="F80" s="12" t="n">
        <v>7647.766</v>
      </c>
      <c r="G80" s="12" t="n">
        <v>5058.199</v>
      </c>
      <c r="H80" s="12" t="n">
        <v>2996.818</v>
      </c>
      <c r="I80" s="12" t="n">
        <v>3362.376</v>
      </c>
      <c r="J80" s="12" t="n">
        <v>3732.805</v>
      </c>
      <c r="K80" s="12" t="n">
        <v>4651.054</v>
      </c>
      <c r="L80" s="12" t="n">
        <v>7647.766</v>
      </c>
    </row>
    <row r="81">
      <c r="A81" s="20" t="inlineStr">
        <is>
          <t>건물·구축물(순액)</t>
        </is>
      </c>
      <c r="C81" s="22" t="n">
        <v>5066.724</v>
      </c>
      <c r="D81" s="22" t="n">
        <v>4951.638</v>
      </c>
      <c r="E81" s="22" t="n">
        <v>4839.098</v>
      </c>
      <c r="F81" s="22" t="n">
        <v>7281.424</v>
      </c>
      <c r="G81" s="22" t="n">
        <v>7527.253</v>
      </c>
      <c r="H81" s="22" t="n">
        <v>5571.989</v>
      </c>
      <c r="I81" s="22" t="n">
        <v>5369.628</v>
      </c>
      <c r="J81" s="22" t="n">
        <v>5221.918</v>
      </c>
      <c r="K81" s="22" t="n">
        <v>4917.597</v>
      </c>
      <c r="L81" s="22" t="n">
        <v>7281.424</v>
      </c>
    </row>
    <row r="82">
      <c r="A82" s="20" t="inlineStr">
        <is>
          <t>기계장치(순액)</t>
        </is>
      </c>
      <c r="C82" s="22" t="n">
        <v>131.473</v>
      </c>
      <c r="D82" s="22" t="n">
        <v>122.42</v>
      </c>
      <c r="E82" s="22" t="n">
        <v>113.264</v>
      </c>
      <c r="H82" s="22" t="n">
        <v>212.783</v>
      </c>
      <c r="I82" s="22" t="n">
        <v>192.214</v>
      </c>
      <c r="J82" s="22" t="n">
        <v>163.215</v>
      </c>
      <c r="K82" s="22" t="n">
        <v>129.102</v>
      </c>
    </row>
    <row r="83">
      <c r="A83" s="20" t="inlineStr">
        <is>
          <t>공구·기구·비품(순액)</t>
        </is>
      </c>
      <c r="F83" s="22" t="n">
        <v>401.048</v>
      </c>
      <c r="G83" s="22" t="n">
        <v>415.277</v>
      </c>
      <c r="K83" s="22" t="n">
        <v>386.363</v>
      </c>
      <c r="L83" s="22" t="n">
        <v>401.048</v>
      </c>
    </row>
    <row r="84">
      <c r="A84" s="20" t="inlineStr">
        <is>
          <t>리스자산(순액)</t>
        </is>
      </c>
      <c r="C84" s="22" t="n">
        <v>110.397</v>
      </c>
      <c r="D84" s="22" t="n">
        <v>108.75</v>
      </c>
      <c r="E84" s="22" t="n">
        <v>107.102</v>
      </c>
      <c r="F84" s="22" t="n">
        <v>110.916</v>
      </c>
      <c r="G84" s="22" t="n">
        <v>108.567</v>
      </c>
      <c r="H84" s="22" t="n">
        <v>131.818</v>
      </c>
      <c r="I84" s="22" t="n">
        <v>280.937</v>
      </c>
      <c r="J84" s="22" t="n">
        <v>263.789</v>
      </c>
      <c r="K84" s="22" t="n">
        <v>112.045</v>
      </c>
      <c r="L84" s="22" t="n">
        <v>110.916</v>
      </c>
    </row>
    <row r="85">
      <c r="A85" s="20" t="inlineStr">
        <is>
          <t>건설중인자산</t>
        </is>
      </c>
      <c r="C85" s="22" t="n">
        <v>2.514</v>
      </c>
      <c r="D85" s="22" t="n">
        <v>48.666</v>
      </c>
      <c r="E85" s="22" t="n">
        <v>123.508</v>
      </c>
      <c r="F85" s="22" t="n">
        <v>296.93</v>
      </c>
      <c r="G85" s="22" t="n">
        <v>108.683</v>
      </c>
      <c r="H85" s="22" t="n">
        <v>753.422</v>
      </c>
      <c r="I85" s="22" t="n">
        <v>752.8200000000001</v>
      </c>
      <c r="J85" s="22" t="n">
        <v>551.474</v>
      </c>
      <c r="K85" s="22" t="n">
        <v>290.22</v>
      </c>
      <c r="L85" s="22" t="n">
        <v>296.93</v>
      </c>
    </row>
    <row r="86">
      <c r="A86" s="20" t="inlineStr">
        <is>
          <t>토지</t>
        </is>
      </c>
      <c r="H86" s="22" t="n">
        <v>134.163</v>
      </c>
      <c r="I86" s="22" t="n">
        <v>0</v>
      </c>
    </row>
    <row r="87">
      <c r="A87" s="20" t="inlineStr">
        <is>
          <t>기타(순액)</t>
        </is>
      </c>
      <c r="C87" s="22" t="n">
        <v>409.905</v>
      </c>
      <c r="D87" s="22" t="n">
        <v>391.773</v>
      </c>
      <c r="E87" s="22" t="n">
        <v>373.089</v>
      </c>
      <c r="F87" s="22" t="n">
        <v>133.231</v>
      </c>
      <c r="G87" s="22" t="n">
        <v>141.218</v>
      </c>
      <c r="H87" s="22" t="n">
        <v>599.6319999999999</v>
      </c>
      <c r="I87" s="22" t="n">
        <v>526.134</v>
      </c>
      <c r="J87" s="22" t="n">
        <v>483.844</v>
      </c>
      <c r="K87" s="22" t="n">
        <v>149.509</v>
      </c>
      <c r="L87" s="22" t="n">
        <v>133.231</v>
      </c>
    </row>
    <row r="88">
      <c r="A88" s="20" t="inlineStr">
        <is>
          <t>유형자산 합계</t>
        </is>
      </c>
      <c r="C88" s="22" t="n">
        <v>5721.016</v>
      </c>
      <c r="D88" s="22" t="n">
        <v>5623.248</v>
      </c>
      <c r="E88" s="22" t="n">
        <v>5556.064</v>
      </c>
      <c r="F88" s="22" t="n">
        <v>8223.550999999999</v>
      </c>
      <c r="G88" s="22" t="n">
        <v>8301</v>
      </c>
      <c r="H88" s="22" t="n">
        <v>7403.81</v>
      </c>
      <c r="I88" s="22" t="n">
        <v>7121.735</v>
      </c>
      <c r="J88" s="22" t="n">
        <v>6684.241</v>
      </c>
      <c r="K88" s="22" t="n">
        <v>5855.736</v>
      </c>
      <c r="L88" s="22" t="n">
        <v>8223.550999999999</v>
      </c>
    </row>
    <row r="89">
      <c r="A89" s="20" t="inlineStr">
        <is>
          <t>영업권</t>
        </is>
      </c>
      <c r="C89" s="22" t="n">
        <v>62.307</v>
      </c>
      <c r="D89" s="22" t="n">
        <v>51.313</v>
      </c>
      <c r="E89" s="22" t="n">
        <v>40.319</v>
      </c>
      <c r="F89" s="22" t="n">
        <v>8219.352999999999</v>
      </c>
      <c r="G89" s="22" t="n">
        <v>8113.033</v>
      </c>
      <c r="H89" s="22" t="n">
        <v>279.668</v>
      </c>
      <c r="I89" s="22" t="n">
        <v>204.884</v>
      </c>
      <c r="J89" s="22" t="n">
        <v>153.32</v>
      </c>
      <c r="K89" s="22" t="n">
        <v>73.301</v>
      </c>
      <c r="L89" s="22" t="n">
        <v>8219.352999999999</v>
      </c>
    </row>
    <row r="90">
      <c r="A90" s="20" t="inlineStr">
        <is>
          <t>기타</t>
        </is>
      </c>
      <c r="C90" s="22" t="n">
        <v>9.305999999999999</v>
      </c>
      <c r="D90" s="22" t="n">
        <v>1.855</v>
      </c>
      <c r="E90" s="22" t="n">
        <v>1.613</v>
      </c>
      <c r="F90" s="22" t="n">
        <v>6.39</v>
      </c>
      <c r="G90" s="22" t="n">
        <v>10.083</v>
      </c>
      <c r="H90" s="22" t="n">
        <v>277.903</v>
      </c>
      <c r="I90" s="22" t="n">
        <v>5.806</v>
      </c>
      <c r="J90" s="22" t="n">
        <v>3.403</v>
      </c>
      <c r="K90" s="22" t="n">
        <v>10.18</v>
      </c>
      <c r="L90" s="22" t="n">
        <v>6.39</v>
      </c>
    </row>
    <row r="91">
      <c r="A91" s="20" t="inlineStr">
        <is>
          <t>무형자산 합계</t>
        </is>
      </c>
      <c r="C91" s="22" t="n">
        <v>71.614</v>
      </c>
      <c r="D91" s="22" t="n">
        <v>53.169</v>
      </c>
      <c r="E91" s="22" t="n">
        <v>41.933</v>
      </c>
      <c r="F91" s="22" t="n">
        <v>8225.743</v>
      </c>
      <c r="G91" s="22" t="n">
        <v>8123.116</v>
      </c>
      <c r="H91" s="22" t="n">
        <v>557.572</v>
      </c>
      <c r="I91" s="22" t="n">
        <v>210.69</v>
      </c>
      <c r="J91" s="22" t="n">
        <v>156.724</v>
      </c>
      <c r="K91" s="22" t="n">
        <v>83.48099999999999</v>
      </c>
      <c r="L91" s="22" t="n">
        <v>8225.743</v>
      </c>
    </row>
    <row r="92">
      <c r="A92" s="20" t="inlineStr">
        <is>
          <t>투자유가증권</t>
        </is>
      </c>
      <c r="C92" s="22" t="n">
        <v>997.851</v>
      </c>
      <c r="D92" s="22" t="n">
        <v>926.2380000000001</v>
      </c>
      <c r="E92" s="22" t="n">
        <v>839.5309999999999</v>
      </c>
      <c r="F92" s="22" t="n">
        <v>841.189</v>
      </c>
      <c r="G92" s="22" t="n">
        <v>907.676</v>
      </c>
      <c r="H92" s="22" t="n">
        <v>71.149</v>
      </c>
      <c r="I92" s="22" t="n">
        <v>71.149</v>
      </c>
      <c r="J92" s="22" t="n">
        <v>71.149</v>
      </c>
      <c r="K92" s="22" t="n">
        <v>749.802</v>
      </c>
      <c r="L92" s="22" t="n">
        <v>841.189</v>
      </c>
    </row>
    <row r="93">
      <c r="A93" s="20" t="inlineStr">
        <is>
          <t>장기대여금</t>
        </is>
      </c>
      <c r="C93" s="22" t="n">
        <v>173.08</v>
      </c>
      <c r="D93" s="22" t="n">
        <v>170.379</v>
      </c>
      <c r="E93" s="22" t="n">
        <v>164.699</v>
      </c>
      <c r="H93" s="22" t="n">
        <v>162.971</v>
      </c>
      <c r="I93" s="22" t="n">
        <v>197.274</v>
      </c>
      <c r="J93" s="22" t="n">
        <v>186.551</v>
      </c>
      <c r="K93" s="22" t="n">
        <v>175.781</v>
      </c>
    </row>
    <row r="94">
      <c r="A94" s="20" t="inlineStr">
        <is>
          <t>임차보증금·보증금</t>
        </is>
      </c>
      <c r="C94" s="22" t="n">
        <v>703.1849999999999</v>
      </c>
      <c r="D94" s="22" t="n">
        <v>703.8630000000001</v>
      </c>
      <c r="E94" s="22" t="n">
        <v>726.744</v>
      </c>
      <c r="F94" s="22" t="n">
        <v>1190.238</v>
      </c>
      <c r="G94" s="22" t="n">
        <v>1203.895</v>
      </c>
      <c r="H94" s="22" t="n">
        <v>581.477</v>
      </c>
      <c r="I94" s="22" t="n">
        <v>639.492</v>
      </c>
      <c r="J94" s="22" t="n">
        <v>653.0700000000001</v>
      </c>
      <c r="K94" s="22" t="n">
        <v>682.216</v>
      </c>
      <c r="L94" s="22" t="n">
        <v>1190.238</v>
      </c>
    </row>
    <row r="95">
      <c r="A95" s="20" t="inlineStr">
        <is>
          <t>이연법인세자산</t>
        </is>
      </c>
      <c r="C95" s="22" t="n">
        <v>165.276</v>
      </c>
      <c r="D95" s="22" t="n">
        <v>175.515</v>
      </c>
      <c r="E95" s="22" t="n">
        <v>90.968</v>
      </c>
      <c r="F95" s="22" t="n">
        <v>457.839</v>
      </c>
      <c r="G95" s="22" t="n">
        <v>425</v>
      </c>
      <c r="H95" s="22" t="n">
        <v>164.608</v>
      </c>
      <c r="I95" s="22" t="n">
        <v>38.207</v>
      </c>
      <c r="J95" s="22" t="n">
        <v>54.425</v>
      </c>
      <c r="K95" s="22" t="n">
        <v>137.656</v>
      </c>
      <c r="L95" s="22" t="n">
        <v>457.839</v>
      </c>
    </row>
    <row r="96">
      <c r="A96" s="20" t="inlineStr">
        <is>
          <t>기타</t>
        </is>
      </c>
      <c r="C96" s="22" t="n">
        <v>178.289</v>
      </c>
      <c r="D96" s="22" t="n">
        <v>175.429</v>
      </c>
      <c r="E96" s="22" t="n">
        <v>174.569</v>
      </c>
      <c r="F96" s="22" t="n">
        <v>362.686</v>
      </c>
      <c r="G96" s="22" t="n">
        <v>474.399</v>
      </c>
      <c r="H96" s="22" t="n">
        <v>125.798</v>
      </c>
      <c r="I96" s="22" t="n">
        <v>143.829</v>
      </c>
      <c r="J96" s="22" t="n">
        <v>160.246</v>
      </c>
      <c r="K96" s="22" t="n">
        <v>354.499</v>
      </c>
      <c r="L96" s="22" t="n">
        <v>362.686</v>
      </c>
    </row>
    <row r="97">
      <c r="A97" s="20" t="inlineStr">
        <is>
          <t>대손충당금</t>
        </is>
      </c>
      <c r="C97" s="22" t="n">
        <v>-42</v>
      </c>
      <c r="D97" s="22" t="n">
        <v>-42</v>
      </c>
      <c r="E97" s="22" t="n">
        <v>-42</v>
      </c>
      <c r="F97" s="22" t="n">
        <v>-42</v>
      </c>
      <c r="G97" s="22" t="n">
        <v>-42</v>
      </c>
      <c r="H97" s="22" t="n">
        <v>0</v>
      </c>
      <c r="I97" s="22" t="n">
        <v>-42</v>
      </c>
      <c r="J97" s="22" t="n">
        <v>-42</v>
      </c>
      <c r="K97" s="22" t="n">
        <v>-42</v>
      </c>
      <c r="L97" s="22" t="n">
        <v>-42</v>
      </c>
    </row>
    <row r="98">
      <c r="A98" s="20" t="inlineStr">
        <is>
          <t>투자 및 기타자산 합계</t>
        </is>
      </c>
      <c r="C98" s="22" t="n">
        <v>2175.682</v>
      </c>
      <c r="D98" s="22" t="n">
        <v>2109.425</v>
      </c>
      <c r="E98" s="22" t="n">
        <v>1954.513</v>
      </c>
      <c r="F98" s="22" t="n">
        <v>2809.954</v>
      </c>
      <c r="G98" s="22" t="n">
        <v>2968.971</v>
      </c>
      <c r="H98" s="22" t="n">
        <v>1106.006</v>
      </c>
      <c r="I98" s="22" t="n">
        <v>1047.954</v>
      </c>
      <c r="J98" s="22" t="n">
        <v>1083.443</v>
      </c>
      <c r="K98" s="22" t="n">
        <v>1882.174</v>
      </c>
      <c r="L98" s="22" t="n">
        <v>2809.954</v>
      </c>
    </row>
    <row r="99">
      <c r="A99" s="9" t="inlineStr">
        <is>
          <t>비유동자산 합계</t>
        </is>
      </c>
      <c r="C99" s="12" t="n">
        <v>7968.313</v>
      </c>
      <c r="D99" s="12" t="n">
        <v>7785.843</v>
      </c>
      <c r="E99" s="12" t="n">
        <v>7552.51</v>
      </c>
      <c r="F99" s="12" t="n">
        <v>19259.249</v>
      </c>
      <c r="G99" s="12" t="n">
        <v>19393.089</v>
      </c>
      <c r="H99" s="12" t="n">
        <v>9067.388999999999</v>
      </c>
      <c r="I99" s="12" t="n">
        <v>8380.379999999999</v>
      </c>
      <c r="J99" s="12" t="n">
        <v>7924.41</v>
      </c>
      <c r="K99" s="12" t="n">
        <v>7821.393</v>
      </c>
      <c r="L99" s="12" t="n">
        <v>19259.249</v>
      </c>
    </row>
    <row r="100">
      <c r="A100" s="20" t="inlineStr">
        <is>
          <t>주식교부비</t>
        </is>
      </c>
      <c r="H100" s="22" t="n">
        <v>2.195</v>
      </c>
      <c r="I100" s="22" t="n">
        <v>0</v>
      </c>
    </row>
    <row r="101">
      <c r="A101" s="20" t="inlineStr">
        <is>
          <t>이연자산 합계</t>
        </is>
      </c>
      <c r="H101" s="22" t="n">
        <v>2.195</v>
      </c>
      <c r="I101" s="22" t="n">
        <v>0</v>
      </c>
    </row>
    <row r="102">
      <c r="A102" s="9" t="inlineStr">
        <is>
          <t>자산 합계</t>
        </is>
      </c>
      <c r="C102" s="12" t="n">
        <v>11641.7</v>
      </c>
      <c r="D102" s="12" t="n">
        <v>10923.381</v>
      </c>
      <c r="E102" s="12" t="n">
        <v>10749.098</v>
      </c>
      <c r="F102" s="12" t="n">
        <v>26907.015</v>
      </c>
      <c r="G102" s="12" t="n">
        <v>24451.288</v>
      </c>
      <c r="H102" s="12" t="n">
        <v>12066.403</v>
      </c>
      <c r="I102" s="12" t="n">
        <v>11742.756</v>
      </c>
      <c r="J102" s="12" t="n">
        <v>11657.215</v>
      </c>
      <c r="K102" s="12" t="n">
        <v>12472.447</v>
      </c>
      <c r="L102" s="12" t="n">
        <v>26907.015</v>
      </c>
    </row>
    <row r="103">
      <c r="A103" s="20" t="inlineStr">
        <is>
          <t>단기차입금</t>
        </is>
      </c>
      <c r="C103" s="22" t="n">
        <v>0</v>
      </c>
      <c r="D103" s="22" t="n">
        <v>0</v>
      </c>
      <c r="E103" s="22" t="n">
        <v>0</v>
      </c>
      <c r="F103" s="22" t="n">
        <v>3100</v>
      </c>
      <c r="G103" s="22" t="n">
        <v>2900</v>
      </c>
      <c r="I103" s="22" t="n">
        <v>0</v>
      </c>
      <c r="J103" s="22" t="n">
        <v>360</v>
      </c>
      <c r="K103" s="22" t="n">
        <v>912</v>
      </c>
      <c r="L103" s="22" t="n">
        <v>3100</v>
      </c>
    </row>
    <row r="104">
      <c r="A104" s="20" t="inlineStr">
        <is>
          <t>1년 내 상환 장기차입금</t>
        </is>
      </c>
      <c r="C104" s="22" t="n">
        <v>1320.448</v>
      </c>
      <c r="D104" s="22" t="n">
        <v>1243.737</v>
      </c>
      <c r="E104" s="22" t="n">
        <v>1246.184</v>
      </c>
      <c r="F104" s="22" t="n">
        <v>3598.949</v>
      </c>
      <c r="G104" s="22" t="n">
        <v>2013.525</v>
      </c>
      <c r="H104" s="22" t="n">
        <v>927.4299999999999</v>
      </c>
      <c r="I104" s="22" t="n">
        <v>972.735</v>
      </c>
      <c r="J104" s="22" t="n">
        <v>1105.257</v>
      </c>
      <c r="K104" s="22" t="n">
        <v>1142.474</v>
      </c>
      <c r="L104" s="22" t="n">
        <v>3598.949</v>
      </c>
    </row>
    <row r="105">
      <c r="A105" s="20" t="inlineStr">
        <is>
          <t>리스부채</t>
        </is>
      </c>
      <c r="C105" s="22" t="n">
        <v>6.59</v>
      </c>
      <c r="D105" s="22" t="n">
        <v>6.59</v>
      </c>
      <c r="E105" s="22" t="n">
        <v>6.59</v>
      </c>
      <c r="F105" s="22" t="n">
        <v>10.841</v>
      </c>
      <c r="G105" s="22" t="n">
        <v>10.306</v>
      </c>
      <c r="H105" s="22" t="n">
        <v>0</v>
      </c>
      <c r="I105" s="22" t="n">
        <v>17.147</v>
      </c>
      <c r="J105" s="22" t="n">
        <v>17.147</v>
      </c>
      <c r="K105" s="22" t="n">
        <v>6.59</v>
      </c>
      <c r="L105" s="22" t="n">
        <v>10.841</v>
      </c>
    </row>
    <row r="106">
      <c r="A106" s="20" t="inlineStr">
        <is>
          <t>미지급법인세</t>
        </is>
      </c>
      <c r="C106" s="22" t="n">
        <v>76.20999999999999</v>
      </c>
      <c r="D106" s="22" t="n">
        <v>172.195</v>
      </c>
      <c r="E106" s="22" t="n">
        <v>38.963</v>
      </c>
      <c r="F106" s="22" t="n">
        <v>409.764</v>
      </c>
      <c r="G106" s="22" t="n">
        <v>194.65</v>
      </c>
      <c r="H106" s="22" t="n">
        <v>71.79600000000001</v>
      </c>
      <c r="I106" s="22" t="n">
        <v>39.296</v>
      </c>
      <c r="J106" s="22" t="n">
        <v>233.528</v>
      </c>
      <c r="K106" s="22" t="n">
        <v>178.499</v>
      </c>
      <c r="L106" s="22" t="n">
        <v>409.764</v>
      </c>
    </row>
    <row r="107">
      <c r="A107" s="20" t="inlineStr">
        <is>
          <t>미지급금</t>
        </is>
      </c>
      <c r="F107" s="22" t="n">
        <v>353.87</v>
      </c>
      <c r="G107" s="22" t="n">
        <v>391.03</v>
      </c>
      <c r="K107" s="22" t="n">
        <v>264.43</v>
      </c>
      <c r="L107" s="22" t="n">
        <v>353.87</v>
      </c>
    </row>
    <row r="108">
      <c r="A108" s="20" t="inlineStr">
        <is>
          <t>미지급비용</t>
        </is>
      </c>
      <c r="C108" s="22" t="n">
        <v>606.593</v>
      </c>
      <c r="D108" s="22" t="n">
        <v>489.061</v>
      </c>
      <c r="E108" s="22" t="n">
        <v>629.366</v>
      </c>
      <c r="F108" s="22" t="n">
        <v>1176.886</v>
      </c>
      <c r="G108" s="22" t="n">
        <v>1018.271</v>
      </c>
      <c r="H108" s="22" t="n">
        <v>409.401</v>
      </c>
      <c r="I108" s="22" t="n">
        <v>478.575</v>
      </c>
      <c r="J108" s="22" t="n">
        <v>661.752</v>
      </c>
      <c r="K108" s="22" t="n">
        <v>1040.891</v>
      </c>
      <c r="L108" s="22" t="n">
        <v>1176.886</v>
      </c>
    </row>
    <row r="109">
      <c r="A109" s="20" t="inlineStr">
        <is>
          <t>상여충당금</t>
        </is>
      </c>
      <c r="C109" s="22" t="n">
        <v>189.072</v>
      </c>
      <c r="D109" s="22" t="n">
        <v>205.024</v>
      </c>
      <c r="E109" s="22" t="n">
        <v>0.241</v>
      </c>
      <c r="F109" s="22" t="n">
        <v>633.854</v>
      </c>
      <c r="G109" s="22" t="n">
        <v>386.093</v>
      </c>
      <c r="H109" s="22" t="n">
        <v>73.08499999999999</v>
      </c>
      <c r="I109" s="22" t="n">
        <v>78.824</v>
      </c>
      <c r="J109" s="22" t="n">
        <v>78.282</v>
      </c>
      <c r="K109" s="22" t="n">
        <v>81.628</v>
      </c>
      <c r="L109" s="22" t="n">
        <v>633.854</v>
      </c>
    </row>
    <row r="110">
      <c r="A110" s="20" t="inlineStr">
        <is>
          <t>기타</t>
        </is>
      </c>
      <c r="C110" s="22" t="n">
        <v>535.649</v>
      </c>
      <c r="D110" s="22" t="n">
        <v>478.934</v>
      </c>
      <c r="E110" s="22" t="n">
        <v>619.996</v>
      </c>
      <c r="F110" s="22" t="n">
        <v>414.201</v>
      </c>
      <c r="G110" s="22" t="n">
        <v>488.497</v>
      </c>
      <c r="H110" s="22" t="n">
        <v>533.967</v>
      </c>
      <c r="I110" s="22" t="n">
        <v>426.164</v>
      </c>
      <c r="J110" s="22" t="n">
        <v>524.649</v>
      </c>
      <c r="K110" s="22" t="n">
        <v>254.852</v>
      </c>
      <c r="L110" s="22" t="n">
        <v>414.201</v>
      </c>
    </row>
    <row r="111">
      <c r="A111" s="9" t="inlineStr">
        <is>
          <t>유동부채 합계</t>
        </is>
      </c>
      <c r="C111" s="12" t="n">
        <v>2734.564</v>
      </c>
      <c r="D111" s="12" t="n">
        <v>2595.543</v>
      </c>
      <c r="E111" s="12" t="n">
        <v>2541.342</v>
      </c>
      <c r="F111" s="12" t="n">
        <v>9698.369000000001</v>
      </c>
      <c r="G111" s="12" t="n">
        <v>7402.376</v>
      </c>
      <c r="H111" s="12" t="n">
        <v>2015.681</v>
      </c>
      <c r="I111" s="12" t="n">
        <v>2012.744</v>
      </c>
      <c r="J111" s="12" t="n">
        <v>2980.617</v>
      </c>
      <c r="K111" s="12" t="n">
        <v>3881.368</v>
      </c>
      <c r="L111" s="12" t="n">
        <v>9698.369000000001</v>
      </c>
    </row>
    <row r="112">
      <c r="A112" s="20" t="inlineStr">
        <is>
          <t>장기차입금</t>
        </is>
      </c>
      <c r="C112" s="22" t="n">
        <v>4909.958</v>
      </c>
      <c r="D112" s="22" t="n">
        <v>4615.058</v>
      </c>
      <c r="E112" s="22" t="n">
        <v>4381.607</v>
      </c>
      <c r="F112" s="22" t="n">
        <v>12724.705</v>
      </c>
      <c r="G112" s="22" t="n">
        <v>12286.517</v>
      </c>
      <c r="H112" s="22" t="n">
        <v>7582.824</v>
      </c>
      <c r="I112" s="22" t="n">
        <v>7427.814</v>
      </c>
      <c r="J112" s="22" t="n">
        <v>6131.303</v>
      </c>
      <c r="K112" s="22" t="n">
        <v>4988.681</v>
      </c>
      <c r="L112" s="22" t="n">
        <v>12724.705</v>
      </c>
    </row>
    <row r="113">
      <c r="A113" s="20" t="inlineStr">
        <is>
          <t>이연법인세부채</t>
        </is>
      </c>
      <c r="C113" s="22" t="n">
        <v>195.717</v>
      </c>
      <c r="D113" s="22" t="n">
        <v>161.554</v>
      </c>
      <c r="E113" s="22" t="n">
        <v>135.806</v>
      </c>
      <c r="F113" s="22" t="n">
        <v>102.941</v>
      </c>
      <c r="G113" s="22" t="n">
        <v>160.076</v>
      </c>
      <c r="H113" s="22" t="n">
        <v>246.485</v>
      </c>
      <c r="I113" s="22" t="n">
        <v>163.854</v>
      </c>
      <c r="J113" s="22" t="n">
        <v>0.25</v>
      </c>
      <c r="K113" s="22" t="n">
        <v>119.53</v>
      </c>
      <c r="L113" s="22" t="n">
        <v>102.941</v>
      </c>
    </row>
    <row r="114">
      <c r="A114" s="20" t="inlineStr">
        <is>
          <t>리스부채</t>
        </is>
      </c>
      <c r="C114" s="22" t="n">
        <v>103.806</v>
      </c>
      <c r="D114" s="22" t="n">
        <v>102.159</v>
      </c>
      <c r="E114" s="22" t="n">
        <v>100.511</v>
      </c>
      <c r="F114" s="22" t="n">
        <v>105.821</v>
      </c>
      <c r="G114" s="22" t="n">
        <v>103.467</v>
      </c>
      <c r="H114" s="22" t="n">
        <v>131.818</v>
      </c>
      <c r="I114" s="22" t="n">
        <v>263.789</v>
      </c>
      <c r="J114" s="22" t="n">
        <v>246.642</v>
      </c>
      <c r="K114" s="22" t="n">
        <v>105.454</v>
      </c>
      <c r="L114" s="22" t="n">
        <v>105.821</v>
      </c>
    </row>
    <row r="115">
      <c r="A115" s="20" t="inlineStr">
        <is>
          <t>퇴직급여부채</t>
        </is>
      </c>
      <c r="C115" s="22" t="n">
        <v>106.743</v>
      </c>
      <c r="D115" s="22" t="n">
        <v>110.965</v>
      </c>
      <c r="E115" s="22" t="n">
        <v>114.837</v>
      </c>
      <c r="F115" s="22" t="n">
        <v>116.377</v>
      </c>
      <c r="G115" s="22" t="n">
        <v>116.775</v>
      </c>
      <c r="H115" s="22" t="n">
        <v>73.752</v>
      </c>
      <c r="I115" s="22" t="n">
        <v>78.12</v>
      </c>
      <c r="J115" s="22" t="n">
        <v>69.05800000000001</v>
      </c>
      <c r="K115" s="22" t="n">
        <v>98.61199999999999</v>
      </c>
      <c r="L115" s="22" t="n">
        <v>116.377</v>
      </c>
    </row>
    <row r="116">
      <c r="A116" s="20" t="inlineStr">
        <is>
          <t>자산복구부채</t>
        </is>
      </c>
      <c r="C116" s="22" t="n">
        <v>460.741</v>
      </c>
      <c r="D116" s="22" t="n">
        <v>461.449</v>
      </c>
      <c r="E116" s="22" t="n">
        <v>462.173</v>
      </c>
      <c r="F116" s="22" t="n">
        <v>890.89</v>
      </c>
      <c r="G116" s="22" t="n">
        <v>888.0700000000001</v>
      </c>
      <c r="H116" s="22" t="n">
        <v>392.787</v>
      </c>
      <c r="I116" s="22" t="n">
        <v>422.04</v>
      </c>
      <c r="J116" s="22" t="n">
        <v>450.424</v>
      </c>
      <c r="K116" s="22" t="n">
        <v>442.552</v>
      </c>
      <c r="L116" s="22" t="n">
        <v>890.89</v>
      </c>
    </row>
    <row r="117">
      <c r="A117" s="20" t="inlineStr">
        <is>
          <t>기타</t>
        </is>
      </c>
      <c r="C117" s="22" t="n">
        <v>18.166</v>
      </c>
      <c r="D117" s="22" t="n">
        <v>19.522</v>
      </c>
      <c r="E117" s="22" t="n">
        <v>19.278</v>
      </c>
      <c r="F117" s="22" t="n">
        <v>21.055</v>
      </c>
      <c r="G117" s="22" t="n">
        <v>18.79</v>
      </c>
      <c r="H117" s="22" t="n">
        <v>32.99</v>
      </c>
      <c r="I117" s="22" t="n">
        <v>33.446</v>
      </c>
      <c r="J117" s="22" t="n">
        <v>33.688</v>
      </c>
      <c r="K117" s="22" t="n">
        <v>18.41</v>
      </c>
      <c r="L117" s="22" t="n">
        <v>21.055</v>
      </c>
    </row>
    <row r="118">
      <c r="A118" s="9" t="inlineStr">
        <is>
          <t>비유동부채 합계</t>
        </is>
      </c>
      <c r="C118" s="12" t="n">
        <v>5795.133</v>
      </c>
      <c r="D118" s="12" t="n">
        <v>5470.709</v>
      </c>
      <c r="E118" s="12" t="n">
        <v>5214.215</v>
      </c>
      <c r="F118" s="12" t="n">
        <v>13961.792</v>
      </c>
      <c r="G118" s="12" t="n">
        <v>13573.699</v>
      </c>
      <c r="H118" s="12" t="n">
        <v>8460.657999999999</v>
      </c>
      <c r="I118" s="12" t="n">
        <v>8389.065000000001</v>
      </c>
      <c r="J118" s="12" t="n">
        <v>6931.367</v>
      </c>
      <c r="K118" s="12" t="n">
        <v>5773.241</v>
      </c>
      <c r="L118" s="12" t="n">
        <v>13961.792</v>
      </c>
    </row>
    <row r="119">
      <c r="A119" s="9" t="inlineStr">
        <is>
          <t>부채 합계</t>
        </is>
      </c>
      <c r="C119" s="12" t="n">
        <v>8529.698</v>
      </c>
      <c r="D119" s="12" t="n">
        <v>8066.253</v>
      </c>
      <c r="E119" s="12" t="n">
        <v>7755.557</v>
      </c>
      <c r="F119" s="12" t="n">
        <v>23660.161</v>
      </c>
      <c r="G119" s="12" t="n">
        <v>20976.075</v>
      </c>
      <c r="H119" s="12" t="n">
        <v>10476.34</v>
      </c>
      <c r="I119" s="12" t="n">
        <v>10401.809</v>
      </c>
      <c r="J119" s="12" t="n">
        <v>9911.985000000001</v>
      </c>
      <c r="K119" s="12" t="n">
        <v>9654.609</v>
      </c>
      <c r="L119" s="12" t="n">
        <v>23660.161</v>
      </c>
    </row>
    <row r="120">
      <c r="A120" s="20" t="inlineStr">
        <is>
          <t>자본금</t>
        </is>
      </c>
      <c r="C120" s="22" t="n">
        <v>10</v>
      </c>
      <c r="D120" s="22" t="n">
        <v>10</v>
      </c>
      <c r="E120" s="22" t="n">
        <v>18.222</v>
      </c>
      <c r="F120" s="22" t="n">
        <v>26.087</v>
      </c>
      <c r="G120" s="22" t="n">
        <v>26.087</v>
      </c>
      <c r="H120" s="22" t="n">
        <v>45.315</v>
      </c>
      <c r="I120" s="22" t="n">
        <v>176.064</v>
      </c>
      <c r="J120" s="22" t="n">
        <v>29.756</v>
      </c>
      <c r="K120" s="22" t="n">
        <v>171.684</v>
      </c>
      <c r="L120" s="22" t="n">
        <v>26.087</v>
      </c>
    </row>
    <row r="121">
      <c r="A121" s="20" t="inlineStr">
        <is>
          <t>자본잉여금</t>
        </is>
      </c>
      <c r="C121" s="22" t="n">
        <v>1820.661</v>
      </c>
      <c r="D121" s="22" t="n">
        <v>1820.661</v>
      </c>
      <c r="E121" s="22" t="n">
        <v>1828.883</v>
      </c>
      <c r="F121" s="22" t="n">
        <v>1836.748</v>
      </c>
      <c r="G121" s="22" t="n">
        <v>1836.748</v>
      </c>
      <c r="H121" s="22" t="n">
        <v>1200.477</v>
      </c>
      <c r="I121" s="22" t="n">
        <v>1331.226</v>
      </c>
      <c r="J121" s="22" t="n">
        <v>1517.048</v>
      </c>
      <c r="K121" s="22" t="n">
        <v>1658.976</v>
      </c>
      <c r="L121" s="22" t="n">
        <v>1836.748</v>
      </c>
    </row>
    <row r="122">
      <c r="A122" s="20" t="inlineStr">
        <is>
          <t>이익잉여금</t>
        </is>
      </c>
      <c r="C122" s="22" t="n">
        <v>723.704</v>
      </c>
      <c r="D122" s="22" t="n">
        <v>835.27</v>
      </c>
      <c r="E122" s="22" t="n">
        <v>1019.082</v>
      </c>
      <c r="F122" s="22" t="n">
        <v>1252.235</v>
      </c>
      <c r="G122" s="22" t="n">
        <v>1435.567</v>
      </c>
      <c r="H122" s="22" t="n">
        <v>318.935</v>
      </c>
      <c r="I122" s="22" t="n">
        <v>-187.176</v>
      </c>
      <c r="J122" s="22" t="n">
        <v>166.079</v>
      </c>
      <c r="K122" s="22" t="n">
        <v>587.955</v>
      </c>
      <c r="L122" s="22" t="n">
        <v>1252.235</v>
      </c>
    </row>
    <row r="123">
      <c r="A123" s="20" t="inlineStr">
        <is>
          <t>자기주식</t>
        </is>
      </c>
      <c r="C123" s="22" t="n">
        <v>-0.288</v>
      </c>
      <c r="D123" s="22" t="n">
        <v>-291.688</v>
      </c>
      <c r="E123" s="22" t="n">
        <v>-291.688</v>
      </c>
      <c r="F123" s="22" t="n">
        <v>-291.688</v>
      </c>
      <c r="G123" s="22" t="n">
        <v>-291.688</v>
      </c>
      <c r="H123" s="22" t="n">
        <v>-0.288</v>
      </c>
      <c r="I123" s="22" t="n">
        <v>-0.288</v>
      </c>
      <c r="J123" s="22" t="n">
        <v>-0.288</v>
      </c>
      <c r="K123" s="22" t="n">
        <v>-0.288</v>
      </c>
      <c r="L123" s="22" t="n">
        <v>-291.688</v>
      </c>
    </row>
    <row r="124">
      <c r="A124" s="9" t="inlineStr">
        <is>
          <t>주주자본 합계</t>
        </is>
      </c>
      <c r="C124" s="12" t="n">
        <v>2554.076</v>
      </c>
      <c r="D124" s="12" t="n">
        <v>2374.242</v>
      </c>
      <c r="E124" s="12" t="n">
        <v>2574.499</v>
      </c>
      <c r="F124" s="12" t="n">
        <v>2823.383</v>
      </c>
      <c r="G124" s="12" t="n">
        <v>3006.715</v>
      </c>
      <c r="H124" s="12" t="n">
        <v>1564.44</v>
      </c>
      <c r="I124" s="12" t="n">
        <v>1319.825</v>
      </c>
      <c r="J124" s="12" t="n">
        <v>1712.595</v>
      </c>
      <c r="K124" s="12" t="n">
        <v>2418.328</v>
      </c>
      <c r="L124" s="12" t="n">
        <v>2823.383</v>
      </c>
    </row>
    <row r="125">
      <c r="A125" s="20" t="inlineStr">
        <is>
          <t>기타유가증권 평가차액</t>
        </is>
      </c>
      <c r="C125" s="22" t="n">
        <v>548.607</v>
      </c>
      <c r="D125" s="22" t="n">
        <v>473.704</v>
      </c>
      <c r="E125" s="22" t="n">
        <v>414.529</v>
      </c>
      <c r="F125" s="22" t="n">
        <v>421.764</v>
      </c>
      <c r="G125" s="22" t="n">
        <v>467.294</v>
      </c>
      <c r="J125" s="22" t="n">
        <v>0</v>
      </c>
      <c r="K125" s="22" t="n">
        <v>390.053</v>
      </c>
      <c r="L125" s="22" t="n">
        <v>421.764</v>
      </c>
    </row>
    <row r="126">
      <c r="A126" s="20" t="inlineStr">
        <is>
          <t>퇴직급여 조정누계액</t>
        </is>
      </c>
      <c r="C126" s="22" t="n">
        <v>0.453</v>
      </c>
      <c r="D126" s="22" t="n">
        <v>0.315</v>
      </c>
      <c r="E126" s="22" t="n">
        <v>0.177</v>
      </c>
      <c r="F126" s="22" t="n">
        <v>1.706</v>
      </c>
      <c r="G126" s="22" t="n">
        <v>1.203</v>
      </c>
      <c r="H126" s="22" t="n">
        <v>-6.555</v>
      </c>
      <c r="I126" s="22" t="n">
        <v>2.714</v>
      </c>
      <c r="J126" s="22" t="n">
        <v>18.827</v>
      </c>
      <c r="K126" s="22" t="n">
        <v>0.59</v>
      </c>
      <c r="L126" s="22" t="n">
        <v>1.706</v>
      </c>
    </row>
    <row r="127">
      <c r="A127" s="20" t="inlineStr">
        <is>
          <t>기타포괄손익누계액 합계</t>
        </is>
      </c>
      <c r="C127" s="22" t="n">
        <v>549.0599999999999</v>
      </c>
      <c r="D127" s="22" t="n">
        <v>474.019</v>
      </c>
      <c r="E127" s="22" t="n">
        <v>414.707</v>
      </c>
      <c r="F127" s="22" t="n">
        <v>423.471</v>
      </c>
      <c r="G127" s="22" t="n">
        <v>468.498</v>
      </c>
      <c r="H127" s="22" t="n">
        <v>-6.555</v>
      </c>
      <c r="I127" s="22" t="n">
        <v>2.714</v>
      </c>
      <c r="J127" s="22" t="n">
        <v>18.827</v>
      </c>
      <c r="K127" s="22" t="n">
        <v>390.644</v>
      </c>
      <c r="L127" s="22" t="n">
        <v>423.471</v>
      </c>
    </row>
    <row r="128">
      <c r="A128" s="20" t="inlineStr">
        <is>
          <t>신주예약권</t>
        </is>
      </c>
      <c r="C128" s="22" t="n">
        <v>8.865</v>
      </c>
      <c r="D128" s="22" t="n">
        <v>8.865</v>
      </c>
      <c r="E128" s="22" t="n">
        <v>4.334</v>
      </c>
      <c r="F128" s="22" t="n">
        <v>0</v>
      </c>
      <c r="H128" s="22" t="n">
        <v>32.177</v>
      </c>
      <c r="I128" s="22" t="n">
        <v>18.406</v>
      </c>
      <c r="J128" s="22" t="n">
        <v>13.807</v>
      </c>
      <c r="K128" s="22" t="n">
        <v>8.865</v>
      </c>
      <c r="L128" s="22" t="n">
        <v>0</v>
      </c>
    </row>
    <row r="129">
      <c r="A129" s="9" t="inlineStr">
        <is>
          <t>순자산 합계</t>
        </is>
      </c>
      <c r="C129" s="12" t="n">
        <v>3112.001</v>
      </c>
      <c r="D129" s="12" t="n">
        <v>2857.127</v>
      </c>
      <c r="E129" s="12" t="n">
        <v>2993.54</v>
      </c>
      <c r="F129" s="12" t="n">
        <v>3246.854</v>
      </c>
      <c r="G129" s="12" t="n">
        <v>3475.213</v>
      </c>
      <c r="H129" s="12" t="n">
        <v>1590.062</v>
      </c>
      <c r="I129" s="12" t="n">
        <v>1340.947</v>
      </c>
      <c r="J129" s="12" t="n">
        <v>1745.23</v>
      </c>
      <c r="K129" s="12" t="n">
        <v>2817.837</v>
      </c>
      <c r="L129" s="12" t="n">
        <v>3246.854</v>
      </c>
    </row>
    <row r="130">
      <c r="A130" s="9" t="inlineStr">
        <is>
          <t>부채·순자산 합계</t>
        </is>
      </c>
      <c r="C130" s="12" t="n">
        <v>11641.7</v>
      </c>
      <c r="D130" s="12" t="n">
        <v>10923.381</v>
      </c>
      <c r="E130" s="12" t="n">
        <v>10749.098</v>
      </c>
      <c r="F130" s="12" t="n">
        <v>26907.015</v>
      </c>
      <c r="G130" s="12" t="n">
        <v>24451.288</v>
      </c>
      <c r="H130" s="12" t="n">
        <v>12066.403</v>
      </c>
      <c r="I130" s="12" t="n">
        <v>11742.756</v>
      </c>
      <c r="J130" s="12" t="n">
        <v>11657.215</v>
      </c>
      <c r="K130" s="12" t="n">
        <v>12472.447</v>
      </c>
      <c r="L130" s="12" t="n">
        <v>26907.015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https://www2.jpx.co.jp/disc/65570/140120260731504887.pdf</t>
        </is>
      </c>
    </row>
    <row r="5">
      <c r="A5" t="inlineStr">
        <is>
          <t>2026-05-08</t>
        </is>
      </c>
      <c r="B5" t="inlineStr">
        <is>
          <t>2026년 3월 결산기 연간 결산단신</t>
        </is>
      </c>
      <c r="C5" t="inlineStr">
        <is>
          <t>https://www2.jpx.co.jp/disc/65570/140120260508519886.pdf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https://www2.jpx.co.jp/disc/65570/140120260130542836.pdf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https://www2.jpx.co.jp/disc/65570/140120251031584455.pdf</t>
        </is>
      </c>
    </row>
    <row r="8">
      <c r="A8" t="inlineStr">
        <is>
          <t>2025-07-31</t>
        </is>
      </c>
      <c r="B8" t="inlineStr">
        <is>
          <t>2026년 3월 결산기 1분기 결산단신</t>
        </is>
      </c>
      <c r="C8" t="inlineStr">
        <is>
          <t>https://www2.jpx.co.jp/disc/65570/140120250731525012.pdf</t>
        </is>
      </c>
    </row>
    <row r="9">
      <c r="A9" t="inlineStr">
        <is>
          <t>2025-05-09</t>
        </is>
      </c>
      <c r="B9" t="inlineStr">
        <is>
          <t>2025년 3월 결산기 연간 결산단신</t>
        </is>
      </c>
      <c r="C9" t="inlineStr">
        <is>
          <t>https://www2.jpx.co.jp/disc/65570/140120250509536548.pdf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https://www2.jpx.co.jp/disc/65570/140120250131559404.pdf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https://www2.jpx.co.jp/disc/65570/140120241031507394.pdf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https://www2.jpx.co.jp/disc/65570/140120240731558810.pdf</t>
        </is>
      </c>
    </row>
    <row r="13">
      <c r="A13" t="inlineStr">
        <is>
          <t>2024-05-10</t>
        </is>
      </c>
      <c r="B13" t="inlineStr">
        <is>
          <t>2024년 3월 결산기 연간 결산단신</t>
        </is>
      </c>
      <c r="C13" t="inlineStr">
        <is>
          <t>https://www2.jpx.co.jp/disc/65570/140120240510588905.pdf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https://www2.jpx.co.jp/disc/65570/140120240201524131.pdf</t>
        </is>
      </c>
    </row>
    <row r="15">
      <c r="A15" t="inlineStr">
        <is>
          <t>2023-11-02</t>
        </is>
      </c>
      <c r="B15" t="inlineStr">
        <is>
          <t>2024년 3월 결산기 ２분기 결산단신</t>
        </is>
      </c>
      <c r="C15" t="inlineStr">
        <is>
          <t>https://www2.jpx.co.jp/disc/65570/140120231102578361.pdf</t>
        </is>
      </c>
    </row>
    <row r="16">
      <c r="A16" t="inlineStr">
        <is>
          <t>2023-08-01</t>
        </is>
      </c>
      <c r="B16" t="inlineStr">
        <is>
          <t>2024년 3월 결산기 １분기 결산단신</t>
        </is>
      </c>
      <c r="C16" t="inlineStr">
        <is>
          <t>https://www2.jpx.co.jp/disc/65570/140120230801531558.pdf</t>
        </is>
      </c>
    </row>
    <row r="17">
      <c r="A17" t="inlineStr">
        <is>
          <t>2023-05-11</t>
        </is>
      </c>
      <c r="B17" t="inlineStr">
        <is>
          <t>2023년 3월 결산기 연간 결산단신</t>
        </is>
      </c>
      <c r="C17" t="inlineStr">
        <is>
          <t>https://www2.jpx.co.jp/disc/65570/140120230511565753.pdf</t>
        </is>
      </c>
    </row>
    <row r="18">
      <c r="A18" t="inlineStr">
        <is>
          <t>2023-02-01</t>
        </is>
      </c>
      <c r="B18" t="inlineStr">
        <is>
          <t>2023년 3월 결산기 ３분기 결산단신</t>
        </is>
      </c>
      <c r="C18" t="inlineStr">
        <is>
          <t>https://www2.jpx.co.jp/disc/65570/140120230201598274.pdf</t>
        </is>
      </c>
    </row>
    <row r="19">
      <c r="A19" t="inlineStr">
        <is>
          <t>2022-11-02</t>
        </is>
      </c>
      <c r="B19" t="inlineStr">
        <is>
          <t>2023년 3월 결산기 ２분기 결산단신</t>
        </is>
      </c>
      <c r="C19" t="inlineStr">
        <is>
          <t>https://www2.jpx.co.jp/disc/65570/140120221102555547.pdf</t>
        </is>
      </c>
    </row>
    <row r="20">
      <c r="A20" t="inlineStr">
        <is>
          <t>2022-05-11</t>
        </is>
      </c>
      <c r="B20" t="inlineStr">
        <is>
          <t>2022년 3월 결산기 연간 결산단신</t>
        </is>
      </c>
      <c r="C20" t="inlineStr">
        <is>
          <t>https://www2.jpx.co.jp/disc/65570/140120220509535180.pdf</t>
        </is>
      </c>
    </row>
    <row r="21">
      <c r="A21" t="inlineStr">
        <is>
          <t>2021-02-12</t>
        </is>
      </c>
      <c r="B21" t="inlineStr">
        <is>
          <t>2020년 12월 결산기 연간 결산단신</t>
        </is>
      </c>
      <c r="C21" t="inlineStr">
        <is>
          <t>https://www2.jpx.co.jp/disc/65570/140120210212463672.pdf</t>
        </is>
      </c>
    </row>
    <row r="22">
      <c r="A22" t="inlineStr">
        <is>
          <t>2020-02-14</t>
        </is>
      </c>
      <c r="B22" t="inlineStr">
        <is>
          <t>2019년 12월 결산기 연간 결산단신</t>
        </is>
      </c>
      <c r="C22" t="inlineStr">
        <is>
          <t>https://www2.jpx.co.jp/disc/65570/140120200214465238.pdf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2026-10-28T07:04:33Z</dcterms:created>
  <dcterms:modified xmlns:dcterms="http://purl.org/dc/terms/" xmlns:xsi="http://www.w3.org/2001/XMLSchema-instance" xsi:type="dcterms:W3CDTF">2026-10-28T07:04:33Z</dcterms:modified>
</cp:coreProperties>
</file>