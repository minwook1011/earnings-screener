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연간" sheetId="1" state="visible" r:id="rId1"/>
    <sheet xmlns:r="http://schemas.openxmlformats.org/officeDocument/2006/relationships" name="재무상태표" sheetId="2" state="visible" r:id="rId2"/>
    <sheet xmlns:r="http://schemas.openxmlformats.org/officeDocument/2006/relationships" name="출처" sheetId="3" state="visible" r:id="rId3"/>
  </sheets>
  <definedNames>
    <definedName name="_xlnm.Print_Titles" localSheetId="0">'연간'!$3:$3</definedName>
    <definedName name="_xlnm.Print_Titles" localSheetId="1">'재무상태표'!$3:$3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.0%;-0.0%;&quot;-&quot;"/>
    <numFmt numFmtId="165" formatCode="#,##0;(#,##0);&quot;-&quot;"/>
    <numFmt numFmtId="166" formatCode="0.0&quot;x&quot;;-0.0&quot;x&quot;;&quot;-&quot;"/>
    <numFmt numFmtId="167" formatCode="0.0&quot;년&quot;;-0.0&quot;년&quot;;&quot;-&quot;"/>
    <numFmt numFmtId="168" formatCode="0&quot;일&quot;;-0&quot;일&quot;;&quot;-&quot;"/>
  </numFmts>
  <fonts count="18">
    <font>
      <name val="Calibri"/>
      <family val="2"/>
      <color theme="1"/>
      <sz val="11"/>
      <scheme val="minor"/>
    </font>
    <font>
      <name val="맑은 고딕"/>
      <b val="1"/>
      <color rgb="00000000"/>
      <sz val="20"/>
    </font>
    <font>
      <name val="맑은 고딕"/>
      <color rgb="00FF0000"/>
      <sz val="11"/>
    </font>
    <font>
      <name val="맑은 고딕"/>
      <color rgb="00808080"/>
      <sz val="9"/>
    </font>
    <font>
      <name val="맑은 고딕"/>
      <color rgb="000000FF"/>
      <sz val="9"/>
    </font>
    <font>
      <name val="맑은 고딕"/>
      <b val="1"/>
      <color rgb="00000000"/>
      <sz val="10"/>
    </font>
    <font>
      <name val="맑은 고딕"/>
      <color rgb="00808080"/>
      <sz val="11"/>
    </font>
    <font>
      <name val="맑은 고딕"/>
      <b val="1"/>
      <color rgb="00FFFFFF"/>
      <sz val="11"/>
    </font>
    <font>
      <name val="맑은 고딕"/>
      <color rgb="00000000"/>
      <sz val="11"/>
    </font>
    <font>
      <name val="맑은 고딕"/>
      <color rgb="000000FF"/>
      <sz val="11"/>
    </font>
    <font>
      <name val="맑은 고딕"/>
      <b val="1"/>
      <color rgb="00000000"/>
      <sz val="11"/>
    </font>
    <font>
      <name val="맑은 고딕"/>
      <b val="1"/>
      <color rgb="000000FF"/>
      <sz val="11"/>
    </font>
    <font>
      <name val="맑은 고딕"/>
      <b val="1"/>
      <color rgb="00FF0000"/>
      <sz val="11"/>
    </font>
    <font>
      <name val="맑은 고딕"/>
      <b val="1"/>
      <color rgb="00808080"/>
      <sz val="9"/>
    </font>
    <font>
      <name val="맑은 고딕"/>
      <color rgb="00FF0000"/>
      <sz val="9"/>
    </font>
    <font>
      <name val="맑은 고딕"/>
      <b val="1"/>
      <color rgb="00FFFFFF"/>
      <sz val="9"/>
    </font>
    <font>
      <name val="맑은 고딕"/>
      <b val="1"/>
      <sz val="20"/>
    </font>
    <font>
      <name val="맑은 고딕"/>
      <b val="1"/>
      <sz val="10"/>
    </font>
  </fonts>
  <fills count="7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808080"/>
      </patternFill>
    </fill>
    <fill>
      <patternFill patternType="solid">
        <fgColor rgb="00A6A6A6"/>
      </patternFill>
    </fill>
    <fill>
      <patternFill patternType="solid">
        <fgColor rgb="00DDEBF7"/>
      </patternFill>
    </fill>
    <fill>
      <patternFill patternType="solid">
        <fgColor rgb="FFD9D9D9"/>
      </patternFill>
    </fill>
  </fills>
  <borders count="4">
    <border>
      <left/>
      <right/>
      <top/>
      <bottom/>
      <diagonal/>
    </border>
    <border>
      <top style="thin">
        <color rgb="007F7F7F"/>
      </top>
      <bottom style="thin">
        <color rgb="007F7F7F"/>
      </bottom>
    </border>
    <border>
      <left style="thin">
        <color rgb="007F7F7F"/>
      </left>
      <top style="thin">
        <color rgb="007F7F7F"/>
      </top>
      <bottom style="thin">
        <color rgb="007F7F7F"/>
      </bottom>
    </border>
    <border>
      <left style="thin">
        <color rgb="007F7F7F"/>
      </left>
      <top/>
      <bottom/>
    </border>
  </borders>
  <cellStyleXfs count="1">
    <xf numFmtId="0" fontId="0" fillId="0" borderId="0"/>
  </cellStyleXfs>
  <cellXfs count="5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5" fillId="5" borderId="2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65" fontId="10" fillId="0" borderId="3" applyAlignment="1" pivotButton="0" quotePrefix="0" xfId="0">
      <alignment horizontal="center" vertical="center"/>
    </xf>
    <xf numFmtId="165" fontId="10" fillId="0" borderId="0" applyAlignment="1" pivotButton="0" quotePrefix="0" xfId="0">
      <alignment horizontal="center" vertical="center"/>
    </xf>
    <xf numFmtId="165" fontId="11" fillId="0" borderId="3" applyAlignment="1" pivotButton="0" quotePrefix="0" xfId="0">
      <alignment horizontal="center" vertical="center"/>
    </xf>
    <xf numFmtId="165" fontId="11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 indent="1"/>
    </xf>
    <xf numFmtId="164" fontId="6" fillId="0" borderId="3" applyAlignment="1" pivotButton="0" quotePrefix="0" xfId="0">
      <alignment horizontal="center" vertical="center"/>
    </xf>
    <xf numFmtId="164" fontId="6" fillId="0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3" borderId="3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165" fontId="8" fillId="0" borderId="3" applyAlignment="1" pivotButton="0" quotePrefix="0" xfId="0">
      <alignment horizontal="center" vertical="center"/>
    </xf>
    <xf numFmtId="165" fontId="8" fillId="0" borderId="0" applyAlignment="1" pivotButton="0" quotePrefix="0" xfId="0">
      <alignment horizontal="center" vertical="center"/>
    </xf>
    <xf numFmtId="165" fontId="9" fillId="0" borderId="3" applyAlignment="1" pivotButton="0" quotePrefix="0" xfId="0">
      <alignment horizontal="center" vertical="center"/>
    </xf>
    <xf numFmtId="165" fontId="9" fillId="0" borderId="0" applyAlignment="1" pivotButton="0" quotePrefix="0" xfId="0">
      <alignment horizontal="center" vertical="center"/>
    </xf>
    <xf numFmtId="0" fontId="7" fillId="4" borderId="0" applyAlignment="1" pivotButton="0" quotePrefix="0" xfId="0">
      <alignment horizontal="center" vertical="center"/>
    </xf>
    <xf numFmtId="0" fontId="7" fillId="4" borderId="3" applyAlignment="1" pivotButton="0" quotePrefix="0" xfId="0">
      <alignment horizontal="center" vertical="center"/>
    </xf>
    <xf numFmtId="164" fontId="9" fillId="0" borderId="3" applyAlignment="1" pivotButton="0" quotePrefix="0" xfId="0">
      <alignment horizontal="center" vertical="center"/>
    </xf>
    <xf numFmtId="164" fontId="9" fillId="0" borderId="0" applyAlignment="1" pivotButton="0" quotePrefix="0" xfId="0">
      <alignment horizontal="center" vertical="center"/>
    </xf>
    <xf numFmtId="3" fontId="10" fillId="0" borderId="0" applyAlignment="1" pivotButton="0" quotePrefix="0" xfId="0">
      <alignment horizontal="center" vertical="center"/>
    </xf>
    <xf numFmtId="3" fontId="8" fillId="0" borderId="3" applyAlignment="1" pivotButton="0" quotePrefix="0" xfId="0">
      <alignment horizontal="center" vertical="center"/>
    </xf>
    <xf numFmtId="3" fontId="8" fillId="0" borderId="0" applyAlignment="1" pivotButton="0" quotePrefix="0" xfId="0">
      <alignment horizontal="center" vertical="center"/>
    </xf>
    <xf numFmtId="166" fontId="8" fillId="0" borderId="3" applyAlignment="1" pivotButton="0" quotePrefix="0" xfId="0">
      <alignment horizontal="center" vertical="center"/>
    </xf>
    <xf numFmtId="166" fontId="8" fillId="0" borderId="0" applyAlignment="1" pivotButton="0" quotePrefix="0" xfId="0">
      <alignment horizontal="center" vertical="center"/>
    </xf>
    <xf numFmtId="166" fontId="9" fillId="0" borderId="3" applyAlignment="1" pivotButton="0" quotePrefix="0" xfId="0">
      <alignment horizontal="center" vertical="center"/>
    </xf>
    <xf numFmtId="166" fontId="9" fillId="0" borderId="0" applyAlignment="1" pivotButton="0" quotePrefix="0" xfId="0">
      <alignment horizontal="center" vertical="center"/>
    </xf>
    <xf numFmtId="3" fontId="10" fillId="0" borderId="3" applyAlignment="1" pivotButton="0" quotePrefix="0" xfId="0">
      <alignment horizontal="center" vertical="center"/>
    </xf>
    <xf numFmtId="164" fontId="8" fillId="0" borderId="3" applyAlignment="1" pivotButton="0" quotePrefix="0" xfId="0">
      <alignment horizontal="center" vertical="center"/>
    </xf>
    <xf numFmtId="164" fontId="8" fillId="0" borderId="0" applyAlignment="1" pivotButton="0" quotePrefix="0" xfId="0">
      <alignment horizontal="center" vertical="center"/>
    </xf>
    <xf numFmtId="164" fontId="12" fillId="0" borderId="3" applyAlignment="1" pivotButton="0" quotePrefix="0" xfId="0">
      <alignment horizontal="center" vertical="center"/>
    </xf>
    <xf numFmtId="164" fontId="12" fillId="0" borderId="0" applyAlignment="1" pivotButton="0" quotePrefix="0" xfId="0">
      <alignment horizontal="center" vertical="center"/>
    </xf>
    <xf numFmtId="0" fontId="0" fillId="0" borderId="3" pivotButton="0" quotePrefix="0" xfId="0"/>
    <xf numFmtId="0" fontId="13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15" fillId="3" borderId="0" applyAlignment="1" pivotButton="0" quotePrefix="0" xfId="0">
      <alignment horizontal="center" vertical="center"/>
    </xf>
    <xf numFmtId="0" fontId="14" fillId="0" borderId="0" pivotButton="0" quotePrefix="0" xfId="0"/>
    <xf numFmtId="0" fontId="8" fillId="0" borderId="0" applyAlignment="1" pivotButton="0" quotePrefix="0" xfId="0">
      <alignment horizontal="left" vertical="center" indent="1"/>
    </xf>
    <xf numFmtId="167" fontId="8" fillId="0" borderId="3" applyAlignment="1" pivotButton="0" quotePrefix="0" xfId="0">
      <alignment horizontal="center" vertical="center"/>
    </xf>
    <xf numFmtId="167" fontId="8" fillId="0" borderId="0" applyAlignment="1" pivotButton="0" quotePrefix="0" xfId="0">
      <alignment horizontal="center" vertical="center"/>
    </xf>
    <xf numFmtId="168" fontId="8" fillId="0" borderId="3" applyAlignment="1" pivotButton="0" quotePrefix="0" xfId="0">
      <alignment horizontal="center" vertical="center"/>
    </xf>
    <xf numFmtId="168" fontId="8" fillId="0" borderId="0" applyAlignment="1" pivotButton="0" quotePrefix="0" xfId="0">
      <alignment horizontal="center" vertical="center"/>
    </xf>
    <xf numFmtId="0" fontId="16" fillId="0" borderId="0" pivotButton="0" quotePrefix="0" xfId="0"/>
    <xf numFmtId="0" fontId="17" fillId="6" borderId="0" pivotButton="0" quotePrefix="0" xfId="0"/>
  </cellXfs>
  <cellStyles count="1">
    <cellStyle name="Normal" xfId="0" builtinId="0" hidden="0"/>
  </cellStyles>
  <dxfs count="1">
    <dxf>
      <font>
        <name val="맑은 고딕"/>
        <b val="1"/>
        <color rgb="00FF000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C176"/>
  <sheetViews>
    <sheetView showGridLines="0" zoomScale="85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4" customWidth="1" min="2" max="2"/>
    <col outlineLevel="1" width="11" customWidth="1" min="3" max="3"/>
    <col outlineLevel="1" width="11" customWidth="1" min="4" max="4"/>
    <col outlineLevel="1" width="11" customWidth="1" min="5" max="5"/>
    <col outlineLevel="1" width="11" customWidth="1" min="6" max="6"/>
    <col outlineLevel="1" width="11" customWidth="1" min="7" max="7"/>
    <col outlineLevel="1" width="11" customWidth="1" min="8" max="8"/>
    <col outlineLevel="1" width="11" customWidth="1" min="9" max="9"/>
    <col outlineLevel="1" width="11" customWidth="1" min="10" max="10"/>
    <col outlineLevel="1" width="11" customWidth="1" min="11" max="11"/>
    <col outlineLevel="1" width="11" customWidth="1" min="12" max="12"/>
    <col outlineLevel="1" width="11" customWidth="1" min="13" max="13"/>
    <col outlineLevel="1"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</cols>
  <sheetData>
    <row r="1" ht="30" customHeight="1">
      <c r="A1" s="1" t="inlineStr">
        <is>
          <t>3891 Model</t>
        </is>
      </c>
    </row>
    <row r="2">
      <c r="A2" s="2" t="inlineStr">
        <is>
          <t>모를 땐 보수적으로</t>
        </is>
      </c>
      <c r="B2" s="3" t="inlineStr">
        <is>
          <t>(단위: 백만엔)</t>
        </is>
      </c>
      <c r="C2" s="3" t="inlineStr">
        <is>
          <t>3월 결산 · 일본 기준 · 2027.1Q = 2027년 3월 결산기 1분기</t>
        </is>
      </c>
      <c r="Y2" s="4" t="inlineStr">
        <is>
          <t>(추정: 파란 글씨 = 직접 입력)</t>
        </is>
      </c>
    </row>
    <row r="3">
      <c r="A3" s="5" t="inlineStr">
        <is>
          <t>항목</t>
        </is>
      </c>
      <c r="B3" s="5" t="inlineStr">
        <is>
          <t>참고</t>
        </is>
      </c>
      <c r="C3" s="6" t="inlineStr">
        <is>
          <t>2024.2Q</t>
        </is>
      </c>
      <c r="D3" s="5" t="inlineStr">
        <is>
          <t>2024.3Q</t>
        </is>
      </c>
      <c r="E3" s="5" t="inlineStr">
        <is>
          <t>2024.4Q</t>
        </is>
      </c>
      <c r="F3" s="5" t="inlineStr">
        <is>
          <t>2025.1Q</t>
        </is>
      </c>
      <c r="G3" s="5" t="inlineStr">
        <is>
          <t>2025.2Q</t>
        </is>
      </c>
      <c r="H3" s="5" t="inlineStr">
        <is>
          <t>2025.3Q</t>
        </is>
      </c>
      <c r="I3" s="5" t="inlineStr">
        <is>
          <t>2025.4Q</t>
        </is>
      </c>
      <c r="J3" s="5" t="inlineStr">
        <is>
          <t>2026.1Q</t>
        </is>
      </c>
      <c r="K3" s="5" t="inlineStr">
        <is>
          <t>2026.2Q</t>
        </is>
      </c>
      <c r="L3" s="5" t="inlineStr">
        <is>
          <t>2026.3Q</t>
        </is>
      </c>
      <c r="M3" s="5" t="inlineStr">
        <is>
          <t>2026.4Q</t>
        </is>
      </c>
      <c r="N3" s="5" t="inlineStr">
        <is>
          <t>2027.1Q</t>
        </is>
      </c>
      <c r="O3" s="6" t="inlineStr">
        <is>
          <t>2017</t>
        </is>
      </c>
      <c r="P3" s="5" t="inlineStr">
        <is>
          <t>2018</t>
        </is>
      </c>
      <c r="Q3" s="5" t="inlineStr">
        <is>
          <t>2019</t>
        </is>
      </c>
      <c r="R3" s="5" t="inlineStr">
        <is>
          <t>2020</t>
        </is>
      </c>
      <c r="S3" s="5" t="inlineStr">
        <is>
          <t>2021</t>
        </is>
      </c>
      <c r="T3" s="5" t="inlineStr">
        <is>
          <t>2022</t>
        </is>
      </c>
      <c r="U3" s="5" t="inlineStr">
        <is>
          <t>2023</t>
        </is>
      </c>
      <c r="V3" s="5" t="inlineStr">
        <is>
          <t>2024</t>
        </is>
      </c>
      <c r="W3" s="5" t="inlineStr">
        <is>
          <t>2025</t>
        </is>
      </c>
      <c r="X3" s="5" t="inlineStr">
        <is>
          <t>2026</t>
        </is>
      </c>
      <c r="Y3" s="7" t="inlineStr">
        <is>
          <t>2027(MW)</t>
        </is>
      </c>
      <c r="Z3" s="8" t="inlineStr">
        <is>
          <t>2028(MW)</t>
        </is>
      </c>
      <c r="AA3" s="8" t="inlineStr">
        <is>
          <t>2029(MW)</t>
        </is>
      </c>
      <c r="AB3" s="8" t="inlineStr">
        <is>
          <t>2030(MW)</t>
        </is>
      </c>
      <c r="AC3" s="8" t="inlineStr">
        <is>
          <t>2031(MW)</t>
        </is>
      </c>
    </row>
    <row r="4">
      <c r="A4" s="9" t="inlineStr">
        <is>
          <t>매출액</t>
        </is>
      </c>
      <c r="B4" s="10" t="inlineStr">
        <is>
          <t>MW 직접 입력</t>
        </is>
      </c>
      <c r="C4" s="11" t="n">
        <v>3795.182</v>
      </c>
      <c r="D4" s="12" t="n">
        <v>3477.945</v>
      </c>
      <c r="E4" s="12" t="n">
        <v>3558.463</v>
      </c>
      <c r="F4" s="12" t="n">
        <v>3898.988</v>
      </c>
      <c r="G4" s="12" t="n">
        <v>4315.453</v>
      </c>
      <c r="H4" s="12" t="n">
        <v>3971.271</v>
      </c>
      <c r="I4" s="12" t="n">
        <v>3848.053</v>
      </c>
      <c r="J4" s="12" t="n">
        <v>4646.936</v>
      </c>
      <c r="K4" s="12" t="n">
        <v>4700.173</v>
      </c>
      <c r="L4" s="12" t="n">
        <v>4543.228</v>
      </c>
      <c r="M4" s="12" t="n">
        <v>4734.186</v>
      </c>
      <c r="N4" s="12" t="n">
        <v>6053.58</v>
      </c>
      <c r="O4" s="11" t="n">
        <v>15089.99</v>
      </c>
      <c r="P4" s="12" t="n">
        <v>17128.528</v>
      </c>
      <c r="Q4" s="12" t="n">
        <v>14373.323</v>
      </c>
      <c r="R4" s="12" t="n">
        <v>13099.452</v>
      </c>
      <c r="S4" s="12" t="n">
        <v>15918.459</v>
      </c>
      <c r="T4" s="12" t="n">
        <v>18074.074</v>
      </c>
      <c r="U4" s="12" t="n">
        <v>17586.806</v>
      </c>
      <c r="V4" s="12" t="n">
        <v>14828.225</v>
      </c>
      <c r="W4" s="12" t="n">
        <v>16033.765</v>
      </c>
      <c r="X4" s="12" t="n">
        <v>18624.523</v>
      </c>
      <c r="Y4" s="13">
        <f>IF(COUNT(Y7)=0,"",SUM(Y7))</f>
        <v/>
      </c>
      <c r="Z4" s="14">
        <f>IF(COUNT(Z7)=0,"",SUM(Z7))</f>
        <v/>
      </c>
      <c r="AA4" s="14">
        <f>IF(COUNT(AA7)=0,"",SUM(AA7))</f>
        <v/>
      </c>
      <c r="AB4" s="14">
        <f>IF(COUNT(AB7)=0,"",SUM(AB7))</f>
        <v/>
      </c>
      <c r="AC4" s="14">
        <f>IF(COUNT(AC7)=0,"",SUM(AC7))</f>
        <v/>
      </c>
    </row>
    <row r="5">
      <c r="A5" s="15" t="inlineStr">
        <is>
          <t>YoY</t>
        </is>
      </c>
      <c r="B5" s="10" t="n"/>
      <c r="C5" s="16" t="n"/>
      <c r="D5" s="17" t="n"/>
      <c r="E5" s="17" t="n"/>
      <c r="F5" s="17" t="n"/>
      <c r="G5" s="17">
        <f>IF(OR(G4="",C4=""),"",IFERROR(G4/C4-1,""))</f>
        <v/>
      </c>
      <c r="H5" s="17">
        <f>IF(OR(H4="",D4=""),"",IFERROR(H4/D4-1,""))</f>
        <v/>
      </c>
      <c r="I5" s="17">
        <f>IF(OR(I4="",E4=""),"",IFERROR(I4/E4-1,""))</f>
        <v/>
      </c>
      <c r="J5" s="17">
        <f>IF(OR(J4="",F4=""),"",IFERROR(J4/F4-1,""))</f>
        <v/>
      </c>
      <c r="K5" s="17">
        <f>IF(OR(K4="",G4=""),"",IFERROR(K4/G4-1,""))</f>
        <v/>
      </c>
      <c r="L5" s="17">
        <f>IF(OR(L4="",H4=""),"",IFERROR(L4/H4-1,""))</f>
        <v/>
      </c>
      <c r="M5" s="17">
        <f>IF(OR(M4="",I4=""),"",IFERROR(M4/I4-1,""))</f>
        <v/>
      </c>
      <c r="N5" s="17">
        <f>IF(OR(N4="",J4=""),"",IFERROR(N4/J4-1,""))</f>
        <v/>
      </c>
      <c r="O5" s="16" t="n"/>
      <c r="P5" s="17">
        <f>IF(OR(P4="",O4=""),"",IFERROR(P4/O4-1,""))</f>
        <v/>
      </c>
      <c r="Q5" s="17">
        <f>IF(OR(Q4="",P4=""),"",IFERROR(Q4/P4-1,""))</f>
        <v/>
      </c>
      <c r="R5" s="17">
        <f>IF(OR(R4="",Q4=""),"",IFERROR(R4/Q4-1,""))</f>
        <v/>
      </c>
      <c r="S5" s="17">
        <f>IF(OR(S4="",R4=""),"",IFERROR(S4/R4-1,""))</f>
        <v/>
      </c>
      <c r="T5" s="17">
        <f>IF(OR(T4="",S4=""),"",IFERROR(T4/S4-1,""))</f>
        <v/>
      </c>
      <c r="U5" s="17">
        <f>IF(OR(U4="",T4=""),"",IFERROR(U4/T4-1,""))</f>
        <v/>
      </c>
      <c r="V5" s="17">
        <f>IF(OR(V4="",U4=""),"",IFERROR(V4/U4-1,""))</f>
        <v/>
      </c>
      <c r="W5" s="17">
        <f>IF(OR(W4="",V4=""),"",IFERROR(W4/V4-1,""))</f>
        <v/>
      </c>
      <c r="X5" s="17">
        <f>IF(OR(X4="",W4=""),"",IFERROR(X4/W4-1,""))</f>
        <v/>
      </c>
      <c r="Y5" s="16">
        <f>IF(OR(Y4="",X4=""),"",IFERROR(Y4/X4-1,""))</f>
        <v/>
      </c>
      <c r="Z5" s="17">
        <f>IF(OR(Z4="",Y4=""),"",IFERROR(Z4/Y4-1,""))</f>
        <v/>
      </c>
      <c r="AA5" s="17">
        <f>IF(OR(AA4="",Z4=""),"",IFERROR(AA4/Z4-1,""))</f>
        <v/>
      </c>
      <c r="AB5" s="17">
        <f>IF(OR(AB4="",AA4=""),"",IFERROR(AB4/AA4-1,""))</f>
        <v/>
      </c>
      <c r="AC5" s="17">
        <f>IF(OR(AC4="",AB4=""),"",IFERROR(AC4/AB4-1,""))</f>
        <v/>
      </c>
    </row>
    <row r="6">
      <c r="A6" s="18" t="inlineStr">
        <is>
          <t>제품별 매출 분류</t>
        </is>
      </c>
      <c r="B6" s="18" t="inlineStr">
        <is>
          <t>사업보고서 매출실적</t>
        </is>
      </c>
      <c r="C6" s="19" t="n"/>
      <c r="D6" s="18" t="n"/>
      <c r="E6" s="18" t="n"/>
      <c r="F6" s="18" t="n"/>
      <c r="G6" s="18" t="n"/>
      <c r="H6" s="18" t="n"/>
      <c r="I6" s="18" t="n"/>
      <c r="J6" s="18" t="n"/>
      <c r="K6" s="18" t="n"/>
      <c r="L6" s="18" t="n"/>
      <c r="M6" s="18" t="n"/>
      <c r="N6" s="18" t="n"/>
      <c r="O6" s="19" t="n"/>
      <c r="P6" s="18" t="n"/>
      <c r="Q6" s="18" t="n"/>
      <c r="R6" s="18" t="n"/>
      <c r="S6" s="18" t="n"/>
      <c r="T6" s="18" t="n"/>
      <c r="U6" s="18" t="n"/>
      <c r="V6" s="18" t="n"/>
      <c r="W6" s="18" t="n"/>
      <c r="X6" s="18" t="n"/>
      <c r="Y6" s="19" t="n"/>
      <c r="Z6" s="18" t="n"/>
      <c r="AA6" s="18" t="n"/>
      <c r="AB6" s="18" t="n"/>
      <c r="AC6" s="18" t="n"/>
    </row>
    <row r="7">
      <c r="A7" s="20" t="inlineStr">
        <is>
          <t>(제품별 매출 미공시 — 직접 입력)</t>
        </is>
      </c>
      <c r="B7" s="10" t="n"/>
      <c r="C7" s="21" t="n"/>
      <c r="D7" s="22" t="n"/>
      <c r="E7" s="22" t="n"/>
      <c r="F7" s="22" t="n"/>
      <c r="G7" s="22" t="n"/>
      <c r="H7" s="22" t="n"/>
      <c r="I7" s="22" t="n"/>
      <c r="J7" s="22" t="n"/>
      <c r="K7" s="22" t="n"/>
      <c r="L7" s="22" t="n"/>
      <c r="M7" s="22" t="n"/>
      <c r="N7" s="22" t="n"/>
      <c r="O7" s="21" t="n"/>
      <c r="P7" s="22" t="n"/>
      <c r="Q7" s="22" t="n"/>
      <c r="R7" s="22" t="n"/>
      <c r="S7" s="22" t="n"/>
      <c r="T7" s="22" t="n"/>
      <c r="U7" s="22" t="n"/>
      <c r="V7" s="22" t="n"/>
      <c r="W7" s="22" t="n"/>
      <c r="X7" s="22" t="n"/>
      <c r="Y7" s="23" t="n"/>
      <c r="Z7" s="24" t="n"/>
      <c r="AA7" s="24" t="n"/>
      <c r="AB7" s="24" t="n"/>
      <c r="AC7" s="24" t="n"/>
    </row>
    <row r="8">
      <c r="A8" s="15" t="inlineStr">
        <is>
          <t>비중</t>
        </is>
      </c>
      <c r="B8" s="10" t="n"/>
      <c r="C8" s="16">
        <f>IF(OR(C7="",C4=""),"",IFERROR(C7/C4,""))</f>
        <v/>
      </c>
      <c r="D8" s="17">
        <f>IF(OR(D7="",D4=""),"",IFERROR(D7/D4,""))</f>
        <v/>
      </c>
      <c r="E8" s="17">
        <f>IF(OR(E7="",E4=""),"",IFERROR(E7/E4,""))</f>
        <v/>
      </c>
      <c r="F8" s="17">
        <f>IF(OR(F7="",F4=""),"",IFERROR(F7/F4,""))</f>
        <v/>
      </c>
      <c r="G8" s="17">
        <f>IF(OR(G7="",G4=""),"",IFERROR(G7/G4,""))</f>
        <v/>
      </c>
      <c r="H8" s="17">
        <f>IF(OR(H7="",H4=""),"",IFERROR(H7/H4,""))</f>
        <v/>
      </c>
      <c r="I8" s="17">
        <f>IF(OR(I7="",I4=""),"",IFERROR(I7/I4,""))</f>
        <v/>
      </c>
      <c r="J8" s="17">
        <f>IF(OR(J7="",J4=""),"",IFERROR(J7/J4,""))</f>
        <v/>
      </c>
      <c r="K8" s="17">
        <f>IF(OR(K7="",K4=""),"",IFERROR(K7/K4,""))</f>
        <v/>
      </c>
      <c r="L8" s="17">
        <f>IF(OR(L7="",L4=""),"",IFERROR(L7/L4,""))</f>
        <v/>
      </c>
      <c r="M8" s="17">
        <f>IF(OR(M7="",M4=""),"",IFERROR(M7/M4,""))</f>
        <v/>
      </c>
      <c r="N8" s="17">
        <f>IF(OR(N7="",N4=""),"",IFERROR(N7/N4,""))</f>
        <v/>
      </c>
      <c r="O8" s="16">
        <f>IF(OR(O7="",O4=""),"",IFERROR(O7/O4,""))</f>
        <v/>
      </c>
      <c r="P8" s="17">
        <f>IF(OR(P7="",P4=""),"",IFERROR(P7/P4,""))</f>
        <v/>
      </c>
      <c r="Q8" s="17">
        <f>IF(OR(Q7="",Q4=""),"",IFERROR(Q7/Q4,""))</f>
        <v/>
      </c>
      <c r="R8" s="17">
        <f>IF(OR(R7="",R4=""),"",IFERROR(R7/R4,""))</f>
        <v/>
      </c>
      <c r="S8" s="17">
        <f>IF(OR(S7="",S4=""),"",IFERROR(S7/S4,""))</f>
        <v/>
      </c>
      <c r="T8" s="17">
        <f>IF(OR(T7="",T4=""),"",IFERROR(T7/T4,""))</f>
        <v/>
      </c>
      <c r="U8" s="17">
        <f>IF(OR(U7="",U4=""),"",IFERROR(U7/U4,""))</f>
        <v/>
      </c>
      <c r="V8" s="17">
        <f>IF(OR(V7="",V4=""),"",IFERROR(V7/V4,""))</f>
        <v/>
      </c>
      <c r="W8" s="17">
        <f>IF(OR(W7="",W4=""),"",IFERROR(W7/W4,""))</f>
        <v/>
      </c>
      <c r="X8" s="17">
        <f>IF(OR(X7="",X4=""),"",IFERROR(X7/X4,""))</f>
        <v/>
      </c>
      <c r="Y8" s="16">
        <f>IF(OR(Y7="",Y4=""),"",IFERROR(Y7/Y4,""))</f>
        <v/>
      </c>
      <c r="Z8" s="17">
        <f>IF(OR(Z7="",Z4=""),"",IFERROR(Z7/Z4,""))</f>
        <v/>
      </c>
      <c r="AA8" s="17">
        <f>IF(OR(AA7="",AA4=""),"",IFERROR(AA7/AA4,""))</f>
        <v/>
      </c>
      <c r="AB8" s="17">
        <f>IF(OR(AB7="",AB4=""),"",IFERROR(AB7/AB4,""))</f>
        <v/>
      </c>
      <c r="AC8" s="17">
        <f>IF(OR(AC7="",AC4=""),"",IFERROR(AC7/AC4,""))</f>
        <v/>
      </c>
    </row>
    <row r="9">
      <c r="A9" s="15" t="inlineStr">
        <is>
          <t>YoY</t>
        </is>
      </c>
      <c r="B9" s="10" t="n"/>
      <c r="C9" s="16" t="n"/>
      <c r="D9" s="17" t="n"/>
      <c r="E9" s="17" t="n"/>
      <c r="F9" s="17" t="n"/>
      <c r="G9" s="17">
        <f>IF(OR(G7="",C7=""),"",IFERROR(G7/C7-1,""))</f>
        <v/>
      </c>
      <c r="H9" s="17">
        <f>IF(OR(H7="",D7=""),"",IFERROR(H7/D7-1,""))</f>
        <v/>
      </c>
      <c r="I9" s="17">
        <f>IF(OR(I7="",E7=""),"",IFERROR(I7/E7-1,""))</f>
        <v/>
      </c>
      <c r="J9" s="17">
        <f>IF(OR(J7="",F7=""),"",IFERROR(J7/F7-1,""))</f>
        <v/>
      </c>
      <c r="K9" s="17">
        <f>IF(OR(K7="",G7=""),"",IFERROR(K7/G7-1,""))</f>
        <v/>
      </c>
      <c r="L9" s="17">
        <f>IF(OR(L7="",H7=""),"",IFERROR(L7/H7-1,""))</f>
        <v/>
      </c>
      <c r="M9" s="17">
        <f>IF(OR(M7="",I7=""),"",IFERROR(M7/I7-1,""))</f>
        <v/>
      </c>
      <c r="N9" s="17">
        <f>IF(OR(N7="",J7=""),"",IFERROR(N7/J7-1,""))</f>
        <v/>
      </c>
      <c r="O9" s="16" t="n"/>
      <c r="P9" s="17">
        <f>IF(OR(P7="",O7=""),"",IFERROR(P7/O7-1,""))</f>
        <v/>
      </c>
      <c r="Q9" s="17">
        <f>IF(OR(Q7="",P7=""),"",IFERROR(Q7/P7-1,""))</f>
        <v/>
      </c>
      <c r="R9" s="17">
        <f>IF(OR(R7="",Q7=""),"",IFERROR(R7/Q7-1,""))</f>
        <v/>
      </c>
      <c r="S9" s="17">
        <f>IF(OR(S7="",R7=""),"",IFERROR(S7/R7-1,""))</f>
        <v/>
      </c>
      <c r="T9" s="17">
        <f>IF(OR(T7="",S7=""),"",IFERROR(T7/S7-1,""))</f>
        <v/>
      </c>
      <c r="U9" s="17">
        <f>IF(OR(U7="",T7=""),"",IFERROR(U7/T7-1,""))</f>
        <v/>
      </c>
      <c r="V9" s="17">
        <f>IF(OR(V7="",U7=""),"",IFERROR(V7/U7-1,""))</f>
        <v/>
      </c>
      <c r="W9" s="17">
        <f>IF(OR(W7="",V7=""),"",IFERROR(W7/V7-1,""))</f>
        <v/>
      </c>
      <c r="X9" s="17">
        <f>IF(OR(X7="",W7=""),"",IFERROR(X7/W7-1,""))</f>
        <v/>
      </c>
      <c r="Y9" s="16">
        <f>IF(OR(Y7="",X7=""),"",IFERROR(Y7/X7-1,""))</f>
        <v/>
      </c>
      <c r="Z9" s="17">
        <f>IF(OR(Z7="",Y7=""),"",IFERROR(Z7/Y7-1,""))</f>
        <v/>
      </c>
      <c r="AA9" s="17">
        <f>IF(OR(AA7="",Z7=""),"",IFERROR(AA7/Z7-1,""))</f>
        <v/>
      </c>
      <c r="AB9" s="17">
        <f>IF(OR(AB7="",AA7=""),"",IFERROR(AB7/AA7-1,""))</f>
        <v/>
      </c>
      <c r="AC9" s="17">
        <f>IF(OR(AC7="",AB7=""),"",IFERROR(AC7/AB7-1,""))</f>
        <v/>
      </c>
    </row>
    <row r="10">
      <c r="A10" s="18" t="inlineStr">
        <is>
          <t>매출원가</t>
        </is>
      </c>
      <c r="B10" s="18" t="n"/>
      <c r="C10" s="19" t="n"/>
      <c r="D10" s="18" t="n"/>
      <c r="E10" s="18" t="n"/>
      <c r="F10" s="18" t="n"/>
      <c r="G10" s="18" t="n"/>
      <c r="H10" s="18" t="n"/>
      <c r="I10" s="18" t="n"/>
      <c r="J10" s="18" t="n"/>
      <c r="K10" s="18" t="n"/>
      <c r="L10" s="18" t="n"/>
      <c r="M10" s="18" t="n"/>
      <c r="N10" s="18" t="n"/>
      <c r="O10" s="19" t="n"/>
      <c r="P10" s="18" t="n"/>
      <c r="Q10" s="18" t="n"/>
      <c r="R10" s="18" t="n"/>
      <c r="S10" s="18" t="n"/>
      <c r="T10" s="18" t="n"/>
      <c r="U10" s="18" t="n"/>
      <c r="V10" s="18" t="n"/>
      <c r="W10" s="18" t="n"/>
      <c r="X10" s="18" t="n"/>
      <c r="Y10" s="19" t="n"/>
      <c r="Z10" s="18" t="n"/>
      <c r="AA10" s="18" t="n"/>
      <c r="AB10" s="18" t="n"/>
      <c r="AC10" s="18" t="n"/>
    </row>
    <row r="11">
      <c r="A11" s="20" t="inlineStr">
        <is>
          <t>전체 매출원가</t>
        </is>
      </c>
      <c r="B11" s="10" t="n"/>
      <c r="C11" s="21" t="n">
        <v>2735.915</v>
      </c>
      <c r="D11" s="22" t="n">
        <v>2634.186</v>
      </c>
      <c r="E11" s="22" t="n">
        <v>3008.425</v>
      </c>
      <c r="F11" s="22" t="n">
        <v>2637.133</v>
      </c>
      <c r="G11" s="22" t="n">
        <v>2866.788</v>
      </c>
      <c r="H11" s="22" t="n">
        <v>3070.691</v>
      </c>
      <c r="I11" s="22" t="n">
        <v>3007.483</v>
      </c>
      <c r="J11" s="22" t="n">
        <v>3260.376</v>
      </c>
      <c r="K11" s="22" t="n">
        <v>3247.362</v>
      </c>
      <c r="L11" s="22" t="n">
        <v>3131.752</v>
      </c>
      <c r="M11" s="22" t="n">
        <v>3289.002</v>
      </c>
      <c r="N11" s="22" t="n">
        <v>3652.132</v>
      </c>
      <c r="O11" s="21" t="n">
        <v>12334.549</v>
      </c>
      <c r="P11" s="22" t="n">
        <v>12990.634</v>
      </c>
      <c r="Q11" s="22" t="n">
        <v>11082.93</v>
      </c>
      <c r="R11" s="22" t="n">
        <v>10369.735</v>
      </c>
      <c r="S11" s="22" t="n">
        <v>11322.59</v>
      </c>
      <c r="T11" s="22" t="n">
        <v>11923.047</v>
      </c>
      <c r="U11" s="22" t="n">
        <v>12055.221</v>
      </c>
      <c r="V11" s="22" t="n">
        <v>11176.536</v>
      </c>
      <c r="W11" s="22" t="n">
        <v>11582.095</v>
      </c>
      <c r="X11" s="22" t="n">
        <v>12928.492</v>
      </c>
      <c r="Y11" s="21" t="n"/>
      <c r="Z11" s="22" t="n"/>
      <c r="AA11" s="22" t="n"/>
      <c r="AB11" s="22" t="n"/>
      <c r="AC11" s="22" t="n"/>
    </row>
    <row r="12">
      <c r="A12" s="20" t="inlineStr">
        <is>
          <t>매출총이익</t>
        </is>
      </c>
      <c r="B12" s="10" t="n"/>
      <c r="C12" s="21">
        <f>IF(OR(C4="",C11=""),"",IFERROR(C4-C11,""))</f>
        <v/>
      </c>
      <c r="D12" s="22">
        <f>IF(OR(D4="",D11=""),"",IFERROR(D4-D11,""))</f>
        <v/>
      </c>
      <c r="E12" s="22">
        <f>IF(OR(E4="",E11=""),"",IFERROR(E4-E11,""))</f>
        <v/>
      </c>
      <c r="F12" s="22">
        <f>IF(OR(F4="",F11=""),"",IFERROR(F4-F11,""))</f>
        <v/>
      </c>
      <c r="G12" s="22">
        <f>IF(OR(G4="",G11=""),"",IFERROR(G4-G11,""))</f>
        <v/>
      </c>
      <c r="H12" s="22">
        <f>IF(OR(H4="",H11=""),"",IFERROR(H4-H11,""))</f>
        <v/>
      </c>
      <c r="I12" s="22">
        <f>IF(OR(I4="",I11=""),"",IFERROR(I4-I11,""))</f>
        <v/>
      </c>
      <c r="J12" s="22">
        <f>IF(OR(J4="",J11=""),"",IFERROR(J4-J11,""))</f>
        <v/>
      </c>
      <c r="K12" s="22">
        <f>IF(OR(K4="",K11=""),"",IFERROR(K4-K11,""))</f>
        <v/>
      </c>
      <c r="L12" s="22">
        <f>IF(OR(L4="",L11=""),"",IFERROR(L4-L11,""))</f>
        <v/>
      </c>
      <c r="M12" s="22">
        <f>IF(OR(M4="",M11=""),"",IFERROR(M4-M11,""))</f>
        <v/>
      </c>
      <c r="N12" s="22">
        <f>IF(OR(N4="",N11=""),"",IFERROR(N4-N11,""))</f>
        <v/>
      </c>
      <c r="O12" s="21">
        <f>IF(OR(O4="",O11=""),"",IFERROR(O4-O11,""))</f>
        <v/>
      </c>
      <c r="P12" s="22">
        <f>IF(OR(P4="",P11=""),"",IFERROR(P4-P11,""))</f>
        <v/>
      </c>
      <c r="Q12" s="22">
        <f>IF(OR(Q4="",Q11=""),"",IFERROR(Q4-Q11,""))</f>
        <v/>
      </c>
      <c r="R12" s="22">
        <f>IF(OR(R4="",R11=""),"",IFERROR(R4-R11,""))</f>
        <v/>
      </c>
      <c r="S12" s="22">
        <f>IF(OR(S4="",S11=""),"",IFERROR(S4-S11,""))</f>
        <v/>
      </c>
      <c r="T12" s="22">
        <f>IF(OR(T4="",T11=""),"",IFERROR(T4-T11,""))</f>
        <v/>
      </c>
      <c r="U12" s="22">
        <f>IF(OR(U4="",U11=""),"",IFERROR(U4-U11,""))</f>
        <v/>
      </c>
      <c r="V12" s="22">
        <f>IF(OR(V4="",V11=""),"",IFERROR(V4-V11,""))</f>
        <v/>
      </c>
      <c r="W12" s="22">
        <f>IF(OR(W4="",W11=""),"",IFERROR(W4-W11,""))</f>
        <v/>
      </c>
      <c r="X12" s="22">
        <f>IF(OR(X4="",X11=""),"",IFERROR(X4-X11,""))</f>
        <v/>
      </c>
      <c r="Y12" s="21" t="n"/>
      <c r="Z12" s="22" t="n"/>
      <c r="AA12" s="22" t="n"/>
      <c r="AB12" s="22" t="n"/>
      <c r="AC12" s="22" t="n"/>
    </row>
    <row r="13">
      <c r="A13" s="15" t="inlineStr">
        <is>
          <t>GPM</t>
        </is>
      </c>
      <c r="B13" s="10" t="n"/>
      <c r="C13" s="16">
        <f>IF(OR(C12="",C4=""),"",IFERROR(C12/C4,""))</f>
        <v/>
      </c>
      <c r="D13" s="17">
        <f>IF(OR(D12="",D4=""),"",IFERROR(D12/D4,""))</f>
        <v/>
      </c>
      <c r="E13" s="17">
        <f>IF(OR(E12="",E4=""),"",IFERROR(E12/E4,""))</f>
        <v/>
      </c>
      <c r="F13" s="17">
        <f>IF(OR(F12="",F4=""),"",IFERROR(F12/F4,""))</f>
        <v/>
      </c>
      <c r="G13" s="17">
        <f>IF(OR(G12="",G4=""),"",IFERROR(G12/G4,""))</f>
        <v/>
      </c>
      <c r="H13" s="17">
        <f>IF(OR(H12="",H4=""),"",IFERROR(H12/H4,""))</f>
        <v/>
      </c>
      <c r="I13" s="17">
        <f>IF(OR(I12="",I4=""),"",IFERROR(I12/I4,""))</f>
        <v/>
      </c>
      <c r="J13" s="17">
        <f>IF(OR(J12="",J4=""),"",IFERROR(J12/J4,""))</f>
        <v/>
      </c>
      <c r="K13" s="17">
        <f>IF(OR(K12="",K4=""),"",IFERROR(K12/K4,""))</f>
        <v/>
      </c>
      <c r="L13" s="17">
        <f>IF(OR(L12="",L4=""),"",IFERROR(L12/L4,""))</f>
        <v/>
      </c>
      <c r="M13" s="17">
        <f>IF(OR(M12="",M4=""),"",IFERROR(M12/M4,""))</f>
        <v/>
      </c>
      <c r="N13" s="17">
        <f>IF(OR(N12="",N4=""),"",IFERROR(N12/N4,""))</f>
        <v/>
      </c>
      <c r="O13" s="16">
        <f>IF(OR(O12="",O4=""),"",IFERROR(O12/O4,""))</f>
        <v/>
      </c>
      <c r="P13" s="17">
        <f>IF(OR(P12="",P4=""),"",IFERROR(P12/P4,""))</f>
        <v/>
      </c>
      <c r="Q13" s="17">
        <f>IF(OR(Q12="",Q4=""),"",IFERROR(Q12/Q4,""))</f>
        <v/>
      </c>
      <c r="R13" s="17">
        <f>IF(OR(R12="",R4=""),"",IFERROR(R12/R4,""))</f>
        <v/>
      </c>
      <c r="S13" s="17">
        <f>IF(OR(S12="",S4=""),"",IFERROR(S12/S4,""))</f>
        <v/>
      </c>
      <c r="T13" s="17">
        <f>IF(OR(T12="",T4=""),"",IFERROR(T12/T4,""))</f>
        <v/>
      </c>
      <c r="U13" s="17">
        <f>IF(OR(U12="",U4=""),"",IFERROR(U12/U4,""))</f>
        <v/>
      </c>
      <c r="V13" s="17">
        <f>IF(OR(V12="",V4=""),"",IFERROR(V12/V4,""))</f>
        <v/>
      </c>
      <c r="W13" s="17">
        <f>IF(OR(W12="",W4=""),"",IFERROR(W12/W4,""))</f>
        <v/>
      </c>
      <c r="X13" s="17">
        <f>IF(OR(X12="",X4=""),"",IFERROR(X12/X4,""))</f>
        <v/>
      </c>
      <c r="Y13" s="16">
        <f>IF(OR(Y12="",Y4=""),"",IFERROR(Y12/Y4,""))</f>
        <v/>
      </c>
      <c r="Z13" s="17">
        <f>IF(OR(Z12="",Z4=""),"",IFERROR(Z12/Z4,""))</f>
        <v/>
      </c>
      <c r="AA13" s="17">
        <f>IF(OR(AA12="",AA4=""),"",IFERROR(AA12/AA4,""))</f>
        <v/>
      </c>
      <c r="AB13" s="17">
        <f>IF(OR(AB12="",AB4=""),"",IFERROR(AB12/AB4,""))</f>
        <v/>
      </c>
      <c r="AC13" s="17">
        <f>IF(OR(AC12="",AC4=""),"",IFERROR(AC12/AC4,""))</f>
        <v/>
      </c>
    </row>
    <row r="14">
      <c r="A14" s="25" t="inlineStr">
        <is>
          <t>판매관리비</t>
        </is>
      </c>
      <c r="B14" s="25" t="n"/>
      <c r="C14" s="26" t="n"/>
      <c r="D14" s="25" t="n"/>
      <c r="E14" s="25" t="n"/>
      <c r="F14" s="25" t="n"/>
      <c r="G14" s="25" t="n"/>
      <c r="H14" s="25" t="n"/>
      <c r="I14" s="25" t="n"/>
      <c r="J14" s="25" t="n"/>
      <c r="K14" s="25" t="n"/>
      <c r="L14" s="25" t="n"/>
      <c r="M14" s="25" t="n"/>
      <c r="N14" s="25" t="n"/>
      <c r="O14" s="26" t="n"/>
      <c r="P14" s="25" t="n"/>
      <c r="Q14" s="25" t="n"/>
      <c r="R14" s="25" t="n"/>
      <c r="S14" s="25" t="n"/>
      <c r="T14" s="25" t="n"/>
      <c r="U14" s="25" t="n"/>
      <c r="V14" s="25" t="n"/>
      <c r="W14" s="25" t="n"/>
      <c r="X14" s="25" t="n"/>
      <c r="Y14" s="26" t="n"/>
      <c r="Z14" s="25" t="n"/>
      <c r="AA14" s="25" t="n"/>
      <c r="AB14" s="25" t="n"/>
      <c r="AC14" s="25" t="n"/>
    </row>
    <row r="15">
      <c r="A15" s="20" t="inlineStr">
        <is>
          <t>전체 판관비</t>
        </is>
      </c>
      <c r="B15" s="10" t="n"/>
      <c r="C15" s="21" t="n">
        <v>492.748</v>
      </c>
      <c r="D15" s="22" t="n">
        <v>483.482</v>
      </c>
      <c r="E15" s="22" t="n">
        <v>458.431</v>
      </c>
      <c r="F15" s="22" t="n">
        <v>488.723</v>
      </c>
      <c r="G15" s="22" t="n">
        <v>496.722</v>
      </c>
      <c r="H15" s="22" t="n">
        <v>495.695</v>
      </c>
      <c r="I15" s="22" t="n">
        <v>509.879</v>
      </c>
      <c r="J15" s="22" t="n">
        <v>530.188</v>
      </c>
      <c r="K15" s="22" t="n">
        <v>524.813</v>
      </c>
      <c r="L15" s="22" t="n">
        <v>549.044</v>
      </c>
      <c r="M15" s="22" t="n">
        <v>558.573</v>
      </c>
      <c r="N15" s="22" t="n">
        <v>623.523</v>
      </c>
      <c r="O15" s="21" t="n">
        <v>2249.882</v>
      </c>
      <c r="P15" s="22" t="n">
        <v>2439.461</v>
      </c>
      <c r="Q15" s="22" t="n">
        <v>1943.43</v>
      </c>
      <c r="R15" s="22" t="n">
        <v>1734.67</v>
      </c>
      <c r="S15" s="22" t="n">
        <v>1834.284</v>
      </c>
      <c r="T15" s="22" t="n">
        <v>2084.448</v>
      </c>
      <c r="U15" s="22" t="n">
        <v>2204.334</v>
      </c>
      <c r="V15" s="22" t="n">
        <v>1932.459</v>
      </c>
      <c r="W15" s="22" t="n">
        <v>1991.019</v>
      </c>
      <c r="X15" s="22" t="n">
        <v>2162.618</v>
      </c>
      <c r="Y15" s="21" t="n"/>
      <c r="Z15" s="22" t="n"/>
      <c r="AA15" s="22" t="n"/>
      <c r="AB15" s="22" t="n"/>
      <c r="AC15" s="22" t="n"/>
    </row>
    <row r="16">
      <c r="A16" s="9" t="inlineStr">
        <is>
          <t>영업이익</t>
        </is>
      </c>
      <c r="B16" s="10" t="inlineStr">
        <is>
          <t>MW = 매출 × OPM</t>
        </is>
      </c>
      <c r="C16" s="11" t="n">
        <v>566.519</v>
      </c>
      <c r="D16" s="12" t="n">
        <v>360.277</v>
      </c>
      <c r="E16" s="12" t="n">
        <v>91.607</v>
      </c>
      <c r="F16" s="12" t="n">
        <v>773.131</v>
      </c>
      <c r="G16" s="12" t="n">
        <v>951.944</v>
      </c>
      <c r="H16" s="12" t="n">
        <v>404.884</v>
      </c>
      <c r="I16" s="12" t="n">
        <v>330.691</v>
      </c>
      <c r="J16" s="12" t="n">
        <v>856.372</v>
      </c>
      <c r="K16" s="12" t="n">
        <v>927.998</v>
      </c>
      <c r="L16" s="12" t="n">
        <v>862.431</v>
      </c>
      <c r="M16" s="12" t="n">
        <v>886.611</v>
      </c>
      <c r="N16" s="12" t="n">
        <v>1777.923</v>
      </c>
      <c r="O16" s="11" t="n">
        <v>505.559</v>
      </c>
      <c r="P16" s="12" t="n">
        <v>1698.431</v>
      </c>
      <c r="Q16" s="12" t="n">
        <v>1346.963</v>
      </c>
      <c r="R16" s="12" t="n">
        <v>995.046</v>
      </c>
      <c r="S16" s="12" t="n">
        <v>2761.584</v>
      </c>
      <c r="T16" s="12" t="n">
        <v>4066.578</v>
      </c>
      <c r="U16" s="12" t="n">
        <v>3327.251</v>
      </c>
      <c r="V16" s="12" t="n">
        <v>1719.229</v>
      </c>
      <c r="W16" s="12" t="n">
        <v>2460.65</v>
      </c>
      <c r="X16" s="12" t="n">
        <v>3533.412</v>
      </c>
      <c r="Y16" s="11">
        <f>IF(OR(Y4="",Y17=""),"",IFERROR(Y4*Y17,""))</f>
        <v/>
      </c>
      <c r="Z16" s="12">
        <f>IF(OR(Z4="",Z17=""),"",IFERROR(Z4*Z17,""))</f>
        <v/>
      </c>
      <c r="AA16" s="12">
        <f>IF(OR(AA4="",AA17=""),"",IFERROR(AA4*AA17,""))</f>
        <v/>
      </c>
      <c r="AB16" s="12">
        <f>IF(OR(AB4="",AB17=""),"",IFERROR(AB4*AB17,""))</f>
        <v/>
      </c>
      <c r="AC16" s="12">
        <f>IF(OR(AC4="",AC17=""),"",IFERROR(AC4*AC17,""))</f>
        <v/>
      </c>
    </row>
    <row r="17">
      <c r="A17" s="15" t="inlineStr">
        <is>
          <t>OPM</t>
        </is>
      </c>
      <c r="B17" s="10" t="inlineStr">
        <is>
          <t>MW 입력</t>
        </is>
      </c>
      <c r="C17" s="16">
        <f>IF(OR(C16="",C4=""),"",IFERROR(C16/C4,""))</f>
        <v/>
      </c>
      <c r="D17" s="17">
        <f>IF(OR(D16="",D4=""),"",IFERROR(D16/D4,""))</f>
        <v/>
      </c>
      <c r="E17" s="17">
        <f>IF(OR(E16="",E4=""),"",IFERROR(E16/E4,""))</f>
        <v/>
      </c>
      <c r="F17" s="17">
        <f>IF(OR(F16="",F4=""),"",IFERROR(F16/F4,""))</f>
        <v/>
      </c>
      <c r="G17" s="17">
        <f>IF(OR(G16="",G4=""),"",IFERROR(G16/G4,""))</f>
        <v/>
      </c>
      <c r="H17" s="17">
        <f>IF(OR(H16="",H4=""),"",IFERROR(H16/H4,""))</f>
        <v/>
      </c>
      <c r="I17" s="17">
        <f>IF(OR(I16="",I4=""),"",IFERROR(I16/I4,""))</f>
        <v/>
      </c>
      <c r="J17" s="17">
        <f>IF(OR(J16="",J4=""),"",IFERROR(J16/J4,""))</f>
        <v/>
      </c>
      <c r="K17" s="17">
        <f>IF(OR(K16="",K4=""),"",IFERROR(K16/K4,""))</f>
        <v/>
      </c>
      <c r="L17" s="17">
        <f>IF(OR(L16="",L4=""),"",IFERROR(L16/L4,""))</f>
        <v/>
      </c>
      <c r="M17" s="17">
        <f>IF(OR(M16="",M4=""),"",IFERROR(M16/M4,""))</f>
        <v/>
      </c>
      <c r="N17" s="17">
        <f>IF(OR(N16="",N4=""),"",IFERROR(N16/N4,""))</f>
        <v/>
      </c>
      <c r="O17" s="16">
        <f>IF(OR(O16="",O4=""),"",IFERROR(O16/O4,""))</f>
        <v/>
      </c>
      <c r="P17" s="17">
        <f>IF(OR(P16="",P4=""),"",IFERROR(P16/P4,""))</f>
        <v/>
      </c>
      <c r="Q17" s="17">
        <f>IF(OR(Q16="",Q4=""),"",IFERROR(Q16/Q4,""))</f>
        <v/>
      </c>
      <c r="R17" s="17">
        <f>IF(OR(R16="",R4=""),"",IFERROR(R16/R4,""))</f>
        <v/>
      </c>
      <c r="S17" s="17">
        <f>IF(OR(S16="",S4=""),"",IFERROR(S16/S4,""))</f>
        <v/>
      </c>
      <c r="T17" s="17">
        <f>IF(OR(T16="",T4=""),"",IFERROR(T16/T4,""))</f>
        <v/>
      </c>
      <c r="U17" s="17">
        <f>IF(OR(U16="",U4=""),"",IFERROR(U16/U4,""))</f>
        <v/>
      </c>
      <c r="V17" s="17">
        <f>IF(OR(V16="",V4=""),"",IFERROR(V16/V4,""))</f>
        <v/>
      </c>
      <c r="W17" s="17">
        <f>IF(OR(W16="",W4=""),"",IFERROR(W16/W4,""))</f>
        <v/>
      </c>
      <c r="X17" s="17">
        <f>IF(OR(X16="",X4=""),"",IFERROR(X16/X4,""))</f>
        <v/>
      </c>
      <c r="Y17" s="27" t="n"/>
      <c r="Z17" s="28" t="n"/>
      <c r="AA17" s="28" t="n"/>
      <c r="AB17" s="28" t="n"/>
      <c r="AC17" s="28" t="n"/>
    </row>
    <row r="18">
      <c r="A18" s="15" t="inlineStr">
        <is>
          <t>증가율</t>
        </is>
      </c>
      <c r="B18" s="10" t="n"/>
      <c r="C18" s="16" t="n"/>
      <c r="D18" s="17" t="n"/>
      <c r="E18" s="17" t="n"/>
      <c r="F18" s="17" t="n"/>
      <c r="G18" s="17">
        <f>IF(OR(G16="",C16=""),"",IFERROR(G16/C16-1,""))</f>
        <v/>
      </c>
      <c r="H18" s="17">
        <f>IF(OR(H16="",D16=""),"",IFERROR(H16/D16-1,""))</f>
        <v/>
      </c>
      <c r="I18" s="17">
        <f>IF(OR(I16="",E16=""),"",IFERROR(I16/E16-1,""))</f>
        <v/>
      </c>
      <c r="J18" s="17">
        <f>IF(OR(J16="",F16=""),"",IFERROR(J16/F16-1,""))</f>
        <v/>
      </c>
      <c r="K18" s="17">
        <f>IF(OR(K16="",G16=""),"",IFERROR(K16/G16-1,""))</f>
        <v/>
      </c>
      <c r="L18" s="17">
        <f>IF(OR(L16="",H16=""),"",IFERROR(L16/H16-1,""))</f>
        <v/>
      </c>
      <c r="M18" s="17">
        <f>IF(OR(M16="",I16=""),"",IFERROR(M16/I16-1,""))</f>
        <v/>
      </c>
      <c r="N18" s="17">
        <f>IF(OR(N16="",J16=""),"",IFERROR(N16/J16-1,""))</f>
        <v/>
      </c>
      <c r="O18" s="16" t="n"/>
      <c r="P18" s="17">
        <f>IF(OR(P16="",O16=""),"",IFERROR(P16/O16-1,""))</f>
        <v/>
      </c>
      <c r="Q18" s="17">
        <f>IF(OR(Q16="",P16=""),"",IFERROR(Q16/P16-1,""))</f>
        <v/>
      </c>
      <c r="R18" s="17">
        <f>IF(OR(R16="",Q16=""),"",IFERROR(R16/Q16-1,""))</f>
        <v/>
      </c>
      <c r="S18" s="17">
        <f>IF(OR(S16="",R16=""),"",IFERROR(S16/R16-1,""))</f>
        <v/>
      </c>
      <c r="T18" s="17">
        <f>IF(OR(T16="",S16=""),"",IFERROR(T16/S16-1,""))</f>
        <v/>
      </c>
      <c r="U18" s="17">
        <f>IF(OR(U16="",T16=""),"",IFERROR(U16/T16-1,""))</f>
        <v/>
      </c>
      <c r="V18" s="17">
        <f>IF(OR(V16="",U16=""),"",IFERROR(V16/U16-1,""))</f>
        <v/>
      </c>
      <c r="W18" s="17">
        <f>IF(OR(W16="",V16=""),"",IFERROR(W16/V16-1,""))</f>
        <v/>
      </c>
      <c r="X18" s="17">
        <f>IF(OR(X16="",W16=""),"",IFERROR(X16/W16-1,""))</f>
        <v/>
      </c>
      <c r="Y18" s="16">
        <f>IF(OR(Y16="",X16=""),"",IFERROR(Y16/X16-1,""))</f>
        <v/>
      </c>
      <c r="Z18" s="17">
        <f>IF(OR(Z16="",Y16=""),"",IFERROR(Z16/Y16-1,""))</f>
        <v/>
      </c>
      <c r="AA18" s="17">
        <f>IF(OR(AA16="",Z16=""),"",IFERROR(AA16/Z16-1,""))</f>
        <v/>
      </c>
      <c r="AB18" s="17">
        <f>IF(OR(AB16="",AA16=""),"",IFERROR(AB16/AA16-1,""))</f>
        <v/>
      </c>
      <c r="AC18" s="17">
        <f>IF(OR(AC16="",AB16=""),"",IFERROR(AC16/AB16-1,""))</f>
        <v/>
      </c>
    </row>
    <row r="19">
      <c r="A19" s="18" t="inlineStr">
        <is>
          <t>비용의 성격별 분류</t>
        </is>
      </c>
      <c r="B19" s="18" t="inlineStr">
        <is>
          <t>참고 데이터</t>
        </is>
      </c>
      <c r="C19" s="19" t="n"/>
      <c r="D19" s="18" t="n"/>
      <c r="E19" s="18" t="n"/>
      <c r="F19" s="18" t="n"/>
      <c r="G19" s="18" t="n"/>
      <c r="H19" s="18" t="n"/>
      <c r="I19" s="18" t="n"/>
      <c r="J19" s="18" t="n"/>
      <c r="K19" s="18" t="n"/>
      <c r="L19" s="18" t="n"/>
      <c r="M19" s="18" t="n"/>
      <c r="N19" s="18" t="n"/>
      <c r="O19" s="19" t="n"/>
      <c r="P19" s="18" t="n"/>
      <c r="Q19" s="18" t="n"/>
      <c r="R19" s="18" t="n"/>
      <c r="S19" s="18" t="n"/>
      <c r="T19" s="18" t="n"/>
      <c r="U19" s="18" t="n"/>
      <c r="V19" s="18" t="n"/>
      <c r="W19" s="18" t="n"/>
      <c r="X19" s="18" t="n"/>
      <c r="Y19" s="19" t="n"/>
      <c r="Z19" s="18" t="n"/>
      <c r="AA19" s="18" t="n"/>
      <c r="AB19" s="18" t="n"/>
      <c r="AC19" s="18" t="n"/>
    </row>
    <row r="20">
      <c r="A20" s="9" t="inlineStr">
        <is>
          <t>총 판관비</t>
        </is>
      </c>
      <c r="B20" s="10" t="n"/>
      <c r="C20" s="11" t="n"/>
      <c r="D20" s="12" t="n"/>
      <c r="E20" s="12" t="n"/>
      <c r="F20" s="12" t="n"/>
      <c r="G20" s="12" t="n"/>
      <c r="H20" s="12" t="n"/>
      <c r="I20" s="12" t="n"/>
      <c r="J20" s="12" t="n"/>
      <c r="K20" s="12" t="n"/>
      <c r="L20" s="12" t="n"/>
      <c r="M20" s="12" t="n"/>
      <c r="N20" s="12" t="n"/>
      <c r="O20" s="11">
        <f>IF(O15="","",O15)</f>
        <v/>
      </c>
      <c r="P20" s="12">
        <f>IF(P15="","",P15)</f>
        <v/>
      </c>
      <c r="Q20" s="12">
        <f>IF(Q15="","",Q15)</f>
        <v/>
      </c>
      <c r="R20" s="12">
        <f>IF(R15="","",R15)</f>
        <v/>
      </c>
      <c r="S20" s="12">
        <f>IF(S15="","",S15)</f>
        <v/>
      </c>
      <c r="T20" s="12">
        <f>IF(T15="","",T15)</f>
        <v/>
      </c>
      <c r="U20" s="12">
        <f>IF(U15="","",U15)</f>
        <v/>
      </c>
      <c r="V20" s="12">
        <f>IF(V15="","",V15)</f>
        <v/>
      </c>
      <c r="W20" s="12">
        <f>IF(W15="","",W15)</f>
        <v/>
      </c>
      <c r="X20" s="12">
        <f>IF(X15="","",X15)</f>
        <v/>
      </c>
      <c r="Y20" s="11" t="n"/>
      <c r="Z20" s="12" t="n"/>
      <c r="AA20" s="12" t="n"/>
      <c r="AB20" s="12" t="n"/>
      <c r="AC20" s="12" t="n"/>
    </row>
    <row r="21">
      <c r="A21" s="20" t="inlineStr">
        <is>
          <t>급여</t>
        </is>
      </c>
      <c r="B21" s="10" t="inlineStr">
        <is>
          <t>고정비</t>
        </is>
      </c>
      <c r="C21" s="21" t="n"/>
      <c r="D21" s="22" t="n"/>
      <c r="E21" s="22" t="n"/>
      <c r="F21" s="22" t="n"/>
      <c r="G21" s="22" t="n"/>
      <c r="H21" s="22" t="n"/>
      <c r="I21" s="22" t="n"/>
      <c r="J21" s="22" t="n"/>
      <c r="K21" s="22" t="n"/>
      <c r="L21" s="22" t="n"/>
      <c r="M21" s="22" t="n"/>
      <c r="N21" s="22" t="n"/>
      <c r="O21" s="21" t="n"/>
      <c r="P21" s="22" t="n"/>
      <c r="Q21" s="22" t="n"/>
      <c r="R21" s="22" t="n"/>
      <c r="S21" s="22" t="n"/>
      <c r="T21" s="22" t="n"/>
      <c r="U21" s="22" t="n"/>
      <c r="V21" s="22" t="n"/>
      <c r="W21" s="22" t="n"/>
      <c r="X21" s="22" t="n"/>
      <c r="Y21" s="21" t="n"/>
      <c r="Z21" s="22" t="n"/>
      <c r="AA21" s="22" t="n"/>
      <c r="AB21" s="22" t="n"/>
      <c r="AC21" s="22" t="n"/>
    </row>
    <row r="22">
      <c r="A22" s="15" t="inlineStr">
        <is>
          <t>% of Sales</t>
        </is>
      </c>
      <c r="B22" s="10" t="n"/>
      <c r="C22" s="16" t="n"/>
      <c r="D22" s="17" t="n"/>
      <c r="E22" s="17" t="n"/>
      <c r="F22" s="17" t="n"/>
      <c r="G22" s="17" t="n"/>
      <c r="H22" s="17" t="n"/>
      <c r="I22" s="17" t="n"/>
      <c r="J22" s="17" t="n"/>
      <c r="K22" s="17" t="n"/>
      <c r="L22" s="17" t="n"/>
      <c r="M22" s="17" t="n"/>
      <c r="N22" s="17" t="n"/>
      <c r="O22" s="16">
        <f>IF(OR(O21="",O4=""),"",IFERROR(O21/O4,""))</f>
        <v/>
      </c>
      <c r="P22" s="17">
        <f>IF(OR(P21="",P4=""),"",IFERROR(P21/P4,""))</f>
        <v/>
      </c>
      <c r="Q22" s="17">
        <f>IF(OR(Q21="",Q4=""),"",IFERROR(Q21/Q4,""))</f>
        <v/>
      </c>
      <c r="R22" s="17">
        <f>IF(OR(R21="",R4=""),"",IFERROR(R21/R4,""))</f>
        <v/>
      </c>
      <c r="S22" s="17">
        <f>IF(OR(S21="",S4=""),"",IFERROR(S21/S4,""))</f>
        <v/>
      </c>
      <c r="T22" s="17">
        <f>IF(OR(T21="",T4=""),"",IFERROR(T21/T4,""))</f>
        <v/>
      </c>
      <c r="U22" s="17">
        <f>IF(OR(U21="",U4=""),"",IFERROR(U21/U4,""))</f>
        <v/>
      </c>
      <c r="V22" s="17">
        <f>IF(OR(V21="",V4=""),"",IFERROR(V21/V4,""))</f>
        <v/>
      </c>
      <c r="W22" s="17">
        <f>IF(OR(W21="",W4=""),"",IFERROR(W21/W4,""))</f>
        <v/>
      </c>
      <c r="X22" s="17">
        <f>IF(OR(X21="",X4=""),"",IFERROR(X21/X4,""))</f>
        <v/>
      </c>
      <c r="Y22" s="16" t="n"/>
      <c r="Z22" s="17" t="n"/>
      <c r="AA22" s="17" t="n"/>
      <c r="AB22" s="17" t="n"/>
      <c r="AC22" s="17" t="n"/>
    </row>
    <row r="23">
      <c r="A23" s="20" t="inlineStr">
        <is>
          <t>감가상각비</t>
        </is>
      </c>
      <c r="B23" s="10" t="inlineStr">
        <is>
          <t>고정비</t>
        </is>
      </c>
      <c r="C23" s="21" t="n"/>
      <c r="D23" s="22" t="n"/>
      <c r="E23" s="22" t="n"/>
      <c r="F23" s="22" t="n"/>
      <c r="G23" s="22" t="n"/>
      <c r="H23" s="22" t="n"/>
      <c r="I23" s="22" t="n"/>
      <c r="J23" s="22" t="n"/>
      <c r="K23" s="22" t="n"/>
      <c r="L23" s="22" t="n"/>
      <c r="M23" s="22" t="n"/>
      <c r="N23" s="22" t="n"/>
      <c r="O23" s="21" t="n"/>
      <c r="P23" s="22" t="n"/>
      <c r="Q23" s="22" t="n"/>
      <c r="R23" s="22" t="n"/>
      <c r="S23" s="22" t="n"/>
      <c r="T23" s="22" t="n"/>
      <c r="U23" s="22" t="n"/>
      <c r="V23" s="22" t="n"/>
      <c r="W23" s="22" t="n"/>
      <c r="X23" s="22" t="n"/>
      <c r="Y23" s="21" t="n"/>
      <c r="Z23" s="22" t="n"/>
      <c r="AA23" s="22" t="n"/>
      <c r="AB23" s="22" t="n"/>
      <c r="AC23" s="22" t="n"/>
    </row>
    <row r="24">
      <c r="A24" s="15" t="inlineStr">
        <is>
          <t>% of Sales</t>
        </is>
      </c>
      <c r="B24" s="10" t="n"/>
      <c r="C24" s="16" t="n"/>
      <c r="D24" s="17" t="n"/>
      <c r="E24" s="17" t="n"/>
      <c r="F24" s="17" t="n"/>
      <c r="G24" s="17" t="n"/>
      <c r="H24" s="17" t="n"/>
      <c r="I24" s="17" t="n"/>
      <c r="J24" s="17" t="n"/>
      <c r="K24" s="17" t="n"/>
      <c r="L24" s="17" t="n"/>
      <c r="M24" s="17" t="n"/>
      <c r="N24" s="17" t="n"/>
      <c r="O24" s="16">
        <f>IF(OR(O23="",O4=""),"",IFERROR(O23/O4,""))</f>
        <v/>
      </c>
      <c r="P24" s="17">
        <f>IF(OR(P23="",P4=""),"",IFERROR(P23/P4,""))</f>
        <v/>
      </c>
      <c r="Q24" s="17">
        <f>IF(OR(Q23="",Q4=""),"",IFERROR(Q23/Q4,""))</f>
        <v/>
      </c>
      <c r="R24" s="17">
        <f>IF(OR(R23="",R4=""),"",IFERROR(R23/R4,""))</f>
        <v/>
      </c>
      <c r="S24" s="17">
        <f>IF(OR(S23="",S4=""),"",IFERROR(S23/S4,""))</f>
        <v/>
      </c>
      <c r="T24" s="17">
        <f>IF(OR(T23="",T4=""),"",IFERROR(T23/T4,""))</f>
        <v/>
      </c>
      <c r="U24" s="17">
        <f>IF(OR(U23="",U4=""),"",IFERROR(U23/U4,""))</f>
        <v/>
      </c>
      <c r="V24" s="17">
        <f>IF(OR(V23="",V4=""),"",IFERROR(V23/V4,""))</f>
        <v/>
      </c>
      <c r="W24" s="17">
        <f>IF(OR(W23="",W4=""),"",IFERROR(W23/W4,""))</f>
        <v/>
      </c>
      <c r="X24" s="17">
        <f>IF(OR(X23="",X4=""),"",IFERROR(X23/X4,""))</f>
        <v/>
      </c>
      <c r="Y24" s="16" t="n"/>
      <c r="Z24" s="17" t="n"/>
      <c r="AA24" s="17" t="n"/>
      <c r="AB24" s="17" t="n"/>
      <c r="AC24" s="17" t="n"/>
    </row>
    <row r="25">
      <c r="A25" s="20" t="inlineStr">
        <is>
          <t>지급수수료</t>
        </is>
      </c>
      <c r="B25" s="10" t="inlineStr">
        <is>
          <t>고정비</t>
        </is>
      </c>
      <c r="C25" s="21" t="n"/>
      <c r="D25" s="22" t="n"/>
      <c r="E25" s="22" t="n"/>
      <c r="F25" s="22" t="n"/>
      <c r="G25" s="22" t="n"/>
      <c r="H25" s="22" t="n"/>
      <c r="I25" s="22" t="n"/>
      <c r="J25" s="22" t="n"/>
      <c r="K25" s="22" t="n"/>
      <c r="L25" s="22" t="n"/>
      <c r="M25" s="22" t="n"/>
      <c r="N25" s="22" t="n"/>
      <c r="O25" s="21" t="n"/>
      <c r="P25" s="22" t="n"/>
      <c r="Q25" s="22" t="n"/>
      <c r="R25" s="22" t="n"/>
      <c r="S25" s="22" t="n"/>
      <c r="T25" s="22" t="n"/>
      <c r="U25" s="22" t="n"/>
      <c r="V25" s="22" t="n"/>
      <c r="W25" s="22" t="n"/>
      <c r="X25" s="22" t="n"/>
      <c r="Y25" s="21" t="n"/>
      <c r="Z25" s="22" t="n"/>
      <c r="AA25" s="22" t="n"/>
      <c r="AB25" s="22" t="n"/>
      <c r="AC25" s="22" t="n"/>
    </row>
    <row r="26">
      <c r="A26" s="15" t="inlineStr">
        <is>
          <t>% of Sales</t>
        </is>
      </c>
      <c r="B26" s="10" t="n"/>
      <c r="C26" s="16" t="n"/>
      <c r="D26" s="17" t="n"/>
      <c r="E26" s="17" t="n"/>
      <c r="F26" s="17" t="n"/>
      <c r="G26" s="17" t="n"/>
      <c r="H26" s="17" t="n"/>
      <c r="I26" s="17" t="n"/>
      <c r="J26" s="17" t="n"/>
      <c r="K26" s="17" t="n"/>
      <c r="L26" s="17" t="n"/>
      <c r="M26" s="17" t="n"/>
      <c r="N26" s="17" t="n"/>
      <c r="O26" s="16">
        <f>IF(OR(O25="",O4=""),"",IFERROR(O25/O4,""))</f>
        <v/>
      </c>
      <c r="P26" s="17">
        <f>IF(OR(P25="",P4=""),"",IFERROR(P25/P4,""))</f>
        <v/>
      </c>
      <c r="Q26" s="17">
        <f>IF(OR(Q25="",Q4=""),"",IFERROR(Q25/Q4,""))</f>
        <v/>
      </c>
      <c r="R26" s="17">
        <f>IF(OR(R25="",R4=""),"",IFERROR(R25/R4,""))</f>
        <v/>
      </c>
      <c r="S26" s="17">
        <f>IF(OR(S25="",S4=""),"",IFERROR(S25/S4,""))</f>
        <v/>
      </c>
      <c r="T26" s="17">
        <f>IF(OR(T25="",T4=""),"",IFERROR(T25/T4,""))</f>
        <v/>
      </c>
      <c r="U26" s="17">
        <f>IF(OR(U25="",U4=""),"",IFERROR(U25/U4,""))</f>
        <v/>
      </c>
      <c r="V26" s="17">
        <f>IF(OR(V25="",V4=""),"",IFERROR(V25/V4,""))</f>
        <v/>
      </c>
      <c r="W26" s="17">
        <f>IF(OR(W25="",W4=""),"",IFERROR(W25/W4,""))</f>
        <v/>
      </c>
      <c r="X26" s="17">
        <f>IF(OR(X25="",X4=""),"",IFERROR(X25/X4,""))</f>
        <v/>
      </c>
      <c r="Y26" s="16" t="n"/>
      <c r="Z26" s="17" t="n"/>
      <c r="AA26" s="17" t="n"/>
      <c r="AB26" s="17" t="n"/>
      <c r="AC26" s="17" t="n"/>
    </row>
    <row r="27">
      <c r="A27" s="20" t="inlineStr">
        <is>
          <t>연구개발비</t>
        </is>
      </c>
      <c r="B27" s="10" t="inlineStr">
        <is>
          <t>변동비</t>
        </is>
      </c>
      <c r="C27" s="21" t="n"/>
      <c r="D27" s="22" t="n"/>
      <c r="E27" s="22" t="n"/>
      <c r="F27" s="22" t="n"/>
      <c r="G27" s="22" t="n"/>
      <c r="H27" s="22" t="n"/>
      <c r="I27" s="22" t="n"/>
      <c r="J27" s="22" t="n"/>
      <c r="K27" s="22" t="n"/>
      <c r="L27" s="22" t="n"/>
      <c r="M27" s="22" t="n"/>
      <c r="N27" s="22" t="n"/>
      <c r="O27" s="21" t="n"/>
      <c r="P27" s="22" t="n"/>
      <c r="Q27" s="22" t="n"/>
      <c r="R27" s="22" t="n"/>
      <c r="S27" s="22" t="n"/>
      <c r="T27" s="22" t="n"/>
      <c r="U27" s="22" t="n"/>
      <c r="V27" s="22" t="n"/>
      <c r="W27" s="22" t="n"/>
      <c r="X27" s="22" t="n"/>
      <c r="Y27" s="21" t="n"/>
      <c r="Z27" s="22" t="n"/>
      <c r="AA27" s="22" t="n"/>
      <c r="AB27" s="22" t="n"/>
      <c r="AC27" s="22" t="n"/>
    </row>
    <row r="28">
      <c r="A28" s="15" t="inlineStr">
        <is>
          <t>% of Sales</t>
        </is>
      </c>
      <c r="B28" s="10" t="n"/>
      <c r="C28" s="16" t="n"/>
      <c r="D28" s="17" t="n"/>
      <c r="E28" s="17" t="n"/>
      <c r="F28" s="17" t="n"/>
      <c r="G28" s="17" t="n"/>
      <c r="H28" s="17" t="n"/>
      <c r="I28" s="17" t="n"/>
      <c r="J28" s="17" t="n"/>
      <c r="K28" s="17" t="n"/>
      <c r="L28" s="17" t="n"/>
      <c r="M28" s="17" t="n"/>
      <c r="N28" s="17" t="n"/>
      <c r="O28" s="16">
        <f>IF(OR(O27="",O4=""),"",IFERROR(O27/O4,""))</f>
        <v/>
      </c>
      <c r="P28" s="17">
        <f>IF(OR(P27="",P4=""),"",IFERROR(P27/P4,""))</f>
        <v/>
      </c>
      <c r="Q28" s="17">
        <f>IF(OR(Q27="",Q4=""),"",IFERROR(Q27/Q4,""))</f>
        <v/>
      </c>
      <c r="R28" s="17">
        <f>IF(OR(R27="",R4=""),"",IFERROR(R27/R4,""))</f>
        <v/>
      </c>
      <c r="S28" s="17">
        <f>IF(OR(S27="",S4=""),"",IFERROR(S27/S4,""))</f>
        <v/>
      </c>
      <c r="T28" s="17">
        <f>IF(OR(T27="",T4=""),"",IFERROR(T27/T4,""))</f>
        <v/>
      </c>
      <c r="U28" s="17">
        <f>IF(OR(U27="",U4=""),"",IFERROR(U27/U4,""))</f>
        <v/>
      </c>
      <c r="V28" s="17">
        <f>IF(OR(V27="",V4=""),"",IFERROR(V27/V4,""))</f>
        <v/>
      </c>
      <c r="W28" s="17">
        <f>IF(OR(W27="",W4=""),"",IFERROR(W27/W4,""))</f>
        <v/>
      </c>
      <c r="X28" s="17">
        <f>IF(OR(X27="",X4=""),"",IFERROR(X27/X4,""))</f>
        <v/>
      </c>
      <c r="Y28" s="16" t="n"/>
      <c r="Z28" s="17" t="n"/>
      <c r="AA28" s="17" t="n"/>
      <c r="AB28" s="17" t="n"/>
      <c r="AC28" s="17" t="n"/>
    </row>
    <row r="29">
      <c r="A29" s="20" t="inlineStr">
        <is>
          <t>기타비용</t>
        </is>
      </c>
      <c r="B29" s="10" t="inlineStr">
        <is>
          <t>변동비</t>
        </is>
      </c>
      <c r="C29" s="21" t="n"/>
      <c r="D29" s="22" t="n"/>
      <c r="E29" s="22" t="n"/>
      <c r="F29" s="22" t="n"/>
      <c r="G29" s="22" t="n"/>
      <c r="H29" s="22" t="n"/>
      <c r="I29" s="22" t="n"/>
      <c r="J29" s="22" t="n"/>
      <c r="K29" s="22" t="n"/>
      <c r="L29" s="22" t="n"/>
      <c r="M29" s="22" t="n"/>
      <c r="N29" s="22" t="n"/>
      <c r="O29" s="21">
        <f>IF(OR(O20="",O21="",O23="",O25="",O27=""),"",IFERROR(O20-O21-O23-O25-O27,""))</f>
        <v/>
      </c>
      <c r="P29" s="22">
        <f>IF(OR(P20="",P21="",P23="",P25="",P27=""),"",IFERROR(P20-P21-P23-P25-P27,""))</f>
        <v/>
      </c>
      <c r="Q29" s="22">
        <f>IF(OR(Q20="",Q21="",Q23="",Q25="",Q27=""),"",IFERROR(Q20-Q21-Q23-Q25-Q27,""))</f>
        <v/>
      </c>
      <c r="R29" s="22">
        <f>IF(OR(R20="",R21="",R23="",R25="",R27=""),"",IFERROR(R20-R21-R23-R25-R27,""))</f>
        <v/>
      </c>
      <c r="S29" s="22">
        <f>IF(OR(S20="",S21="",S23="",S25="",S27=""),"",IFERROR(S20-S21-S23-S25-S27,""))</f>
        <v/>
      </c>
      <c r="T29" s="22">
        <f>IF(OR(T20="",T21="",T23="",T25="",T27=""),"",IFERROR(T20-T21-T23-T25-T27,""))</f>
        <v/>
      </c>
      <c r="U29" s="22">
        <f>IF(OR(U20="",U21="",U23="",U25="",U27=""),"",IFERROR(U20-U21-U23-U25-U27,""))</f>
        <v/>
      </c>
      <c r="V29" s="22">
        <f>IF(OR(V20="",V21="",V23="",V25="",V27=""),"",IFERROR(V20-V21-V23-V25-V27,""))</f>
        <v/>
      </c>
      <c r="W29" s="22">
        <f>IF(OR(W20="",W21="",W23="",W25="",W27=""),"",IFERROR(W20-W21-W23-W25-W27,""))</f>
        <v/>
      </c>
      <c r="X29" s="22">
        <f>IF(OR(X20="",X21="",X23="",X25="",X27=""),"",IFERROR(X20-X21-X23-X25-X27,""))</f>
        <v/>
      </c>
      <c r="Y29" s="21" t="n"/>
      <c r="Z29" s="22" t="n"/>
      <c r="AA29" s="22" t="n"/>
      <c r="AB29" s="22" t="n"/>
      <c r="AC29" s="22" t="n"/>
    </row>
    <row r="30">
      <c r="A30" s="15" t="inlineStr">
        <is>
          <t>% of Sales</t>
        </is>
      </c>
      <c r="B30" s="10" t="n"/>
      <c r="C30" s="16" t="n"/>
      <c r="D30" s="17" t="n"/>
      <c r="E30" s="17" t="n"/>
      <c r="F30" s="17" t="n"/>
      <c r="G30" s="17" t="n"/>
      <c r="H30" s="17" t="n"/>
      <c r="I30" s="17" t="n"/>
      <c r="J30" s="17" t="n"/>
      <c r="K30" s="17" t="n"/>
      <c r="L30" s="17" t="n"/>
      <c r="M30" s="17" t="n"/>
      <c r="N30" s="17" t="n"/>
      <c r="O30" s="16">
        <f>IF(OR(O29="",O4=""),"",IFERROR(O29/O4,""))</f>
        <v/>
      </c>
      <c r="P30" s="17">
        <f>IF(OR(P29="",P4=""),"",IFERROR(P29/P4,""))</f>
        <v/>
      </c>
      <c r="Q30" s="17">
        <f>IF(OR(Q29="",Q4=""),"",IFERROR(Q29/Q4,""))</f>
        <v/>
      </c>
      <c r="R30" s="17">
        <f>IF(OR(R29="",R4=""),"",IFERROR(R29/R4,""))</f>
        <v/>
      </c>
      <c r="S30" s="17">
        <f>IF(OR(S29="",S4=""),"",IFERROR(S29/S4,""))</f>
        <v/>
      </c>
      <c r="T30" s="17">
        <f>IF(OR(T29="",T4=""),"",IFERROR(T29/T4,""))</f>
        <v/>
      </c>
      <c r="U30" s="17">
        <f>IF(OR(U29="",U4=""),"",IFERROR(U29/U4,""))</f>
        <v/>
      </c>
      <c r="V30" s="17">
        <f>IF(OR(V29="",V4=""),"",IFERROR(V29/V4,""))</f>
        <v/>
      </c>
      <c r="W30" s="17">
        <f>IF(OR(W29="",W4=""),"",IFERROR(W29/W4,""))</f>
        <v/>
      </c>
      <c r="X30" s="17">
        <f>IF(OR(X29="",X4=""),"",IFERROR(X29/X4,""))</f>
        <v/>
      </c>
      <c r="Y30" s="16" t="n"/>
      <c r="Z30" s="17" t="n"/>
      <c r="AA30" s="17" t="n"/>
      <c r="AB30" s="17" t="n"/>
      <c r="AC30" s="17" t="n"/>
    </row>
    <row r="31">
      <c r="A31" s="18" t="inlineStr">
        <is>
          <t>당기순이익 추정</t>
        </is>
      </c>
      <c r="B31" s="18" t="n"/>
      <c r="C31" s="19" t="n"/>
      <c r="D31" s="18" t="n"/>
      <c r="E31" s="18" t="n"/>
      <c r="F31" s="18" t="n"/>
      <c r="G31" s="18" t="n"/>
      <c r="H31" s="18" t="n"/>
      <c r="I31" s="18" t="n"/>
      <c r="J31" s="18" t="n"/>
      <c r="K31" s="18" t="n"/>
      <c r="L31" s="18" t="n"/>
      <c r="M31" s="18" t="n"/>
      <c r="N31" s="18" t="n"/>
      <c r="O31" s="19" t="n"/>
      <c r="P31" s="18" t="n"/>
      <c r="Q31" s="18" t="n"/>
      <c r="R31" s="18" t="n"/>
      <c r="S31" s="18" t="n"/>
      <c r="T31" s="18" t="n"/>
      <c r="U31" s="18" t="n"/>
      <c r="V31" s="18" t="n"/>
      <c r="W31" s="18" t="n"/>
      <c r="X31" s="18" t="n"/>
      <c r="Y31" s="19" t="n"/>
      <c r="Z31" s="18" t="n"/>
      <c r="AA31" s="18" t="n"/>
      <c r="AB31" s="18" t="n"/>
      <c r="AC31" s="18" t="n"/>
    </row>
    <row r="32">
      <c r="A32" s="20" t="inlineStr">
        <is>
          <t>특별이익</t>
        </is>
      </c>
      <c r="B32" s="10" t="n"/>
      <c r="C32" s="21" t="n"/>
      <c r="D32" s="22" t="n"/>
      <c r="E32" s="22" t="n"/>
      <c r="F32" s="22" t="n"/>
      <c r="G32" s="22" t="n"/>
      <c r="H32" s="22" t="n"/>
      <c r="I32" s="22" t="n"/>
      <c r="J32" s="22" t="n"/>
      <c r="K32" s="22" t="n"/>
      <c r="L32" s="22" t="n"/>
      <c r="M32" s="22" t="n"/>
      <c r="N32" s="22" t="n"/>
      <c r="O32" s="21" t="n">
        <v>0</v>
      </c>
      <c r="P32" s="22" t="n">
        <v>163.726</v>
      </c>
      <c r="Q32" s="22" t="n">
        <v>123.744</v>
      </c>
      <c r="R32" s="22" t="n">
        <v>0</v>
      </c>
      <c r="S32" s="22" t="n"/>
      <c r="T32" s="22" t="n"/>
      <c r="U32" s="22" t="n"/>
      <c r="V32" s="22" t="n"/>
      <c r="W32" s="22" t="n"/>
      <c r="X32" s="22" t="n"/>
      <c r="Y32" s="21">
        <f>IF(OR(Y4="",Y33=""),"",IFERROR(Y4*Y33,""))</f>
        <v/>
      </c>
      <c r="Z32" s="22">
        <f>IF(OR(Z4="",Z33=""),"",IFERROR(Z4*Z33,""))</f>
        <v/>
      </c>
      <c r="AA32" s="22">
        <f>IF(OR(AA4="",AA33=""),"",IFERROR(AA4*AA33,""))</f>
        <v/>
      </c>
      <c r="AB32" s="22">
        <f>IF(OR(AB4="",AB33=""),"",IFERROR(AB4*AB33,""))</f>
        <v/>
      </c>
      <c r="AC32" s="22">
        <f>IF(OR(AC4="",AC33=""),"",IFERROR(AC4*AC33,""))</f>
        <v/>
      </c>
    </row>
    <row r="33">
      <c r="A33" s="15" t="inlineStr">
        <is>
          <t>% of Sales</t>
        </is>
      </c>
      <c r="B33" s="10" t="inlineStr">
        <is>
          <t>MW = 최근 3년 평균</t>
        </is>
      </c>
      <c r="C33" s="16">
        <f>IF(OR(C32="",C4=""),"",IFERROR(C32/C4,""))</f>
        <v/>
      </c>
      <c r="D33" s="17">
        <f>IF(OR(D32="",D4=""),"",IFERROR(D32/D4,""))</f>
        <v/>
      </c>
      <c r="E33" s="17">
        <f>IF(OR(E32="",E4=""),"",IFERROR(E32/E4,""))</f>
        <v/>
      </c>
      <c r="F33" s="17">
        <f>IF(OR(F32="",F4=""),"",IFERROR(F32/F4,""))</f>
        <v/>
      </c>
      <c r="G33" s="17">
        <f>IF(OR(G32="",G4=""),"",IFERROR(G32/G4,""))</f>
        <v/>
      </c>
      <c r="H33" s="17">
        <f>IF(OR(H32="",H4=""),"",IFERROR(H32/H4,""))</f>
        <v/>
      </c>
      <c r="I33" s="17">
        <f>IF(OR(I32="",I4=""),"",IFERROR(I32/I4,""))</f>
        <v/>
      </c>
      <c r="J33" s="17">
        <f>IF(OR(J32="",J4=""),"",IFERROR(J32/J4,""))</f>
        <v/>
      </c>
      <c r="K33" s="17">
        <f>IF(OR(K32="",K4=""),"",IFERROR(K32/K4,""))</f>
        <v/>
      </c>
      <c r="L33" s="17">
        <f>IF(OR(L32="",L4=""),"",IFERROR(L32/L4,""))</f>
        <v/>
      </c>
      <c r="M33" s="17">
        <f>IF(OR(M32="",M4=""),"",IFERROR(M32/M4,""))</f>
        <v/>
      </c>
      <c r="N33" s="17">
        <f>IF(OR(N32="",N4=""),"",IFERROR(N32/N4,""))</f>
        <v/>
      </c>
      <c r="O33" s="16">
        <f>IF(OR(O32="",O4=""),"",IFERROR(O32/O4,""))</f>
        <v/>
      </c>
      <c r="P33" s="17">
        <f>IF(OR(P32="",P4=""),"",IFERROR(P32/P4,""))</f>
        <v/>
      </c>
      <c r="Q33" s="17">
        <f>IF(OR(Q32="",Q4=""),"",IFERROR(Q32/Q4,""))</f>
        <v/>
      </c>
      <c r="R33" s="17">
        <f>IF(OR(R32="",R4=""),"",IFERROR(R32/R4,""))</f>
        <v/>
      </c>
      <c r="S33" s="17">
        <f>IF(OR(S32="",S4=""),"",IFERROR(S32/S4,""))</f>
        <v/>
      </c>
      <c r="T33" s="17">
        <f>IF(OR(T32="",T4=""),"",IFERROR(T32/T4,""))</f>
        <v/>
      </c>
      <c r="U33" s="17">
        <f>IF(OR(U32="",U4=""),"",IFERROR(U32/U4,""))</f>
        <v/>
      </c>
      <c r="V33" s="17">
        <f>IF(OR(V32="",V4=""),"",IFERROR(V32/V4,""))</f>
        <v/>
      </c>
      <c r="W33" s="17">
        <f>IF(OR(W32="",W4=""),"",IFERROR(W32/W4,""))</f>
        <v/>
      </c>
      <c r="X33" s="17">
        <f>IF(OR(X32="",X4=""),"",IFERROR(X32/X4,""))</f>
        <v/>
      </c>
      <c r="Y33" s="27">
        <f>IFERROR(AVERAGE(V33,W33,X33),"")</f>
        <v/>
      </c>
      <c r="Z33" s="28">
        <f>Y33</f>
        <v/>
      </c>
      <c r="AA33" s="28">
        <f>Z33</f>
        <v/>
      </c>
      <c r="AB33" s="28">
        <f>AA33</f>
        <v/>
      </c>
      <c r="AC33" s="28">
        <f>AB33</f>
        <v/>
      </c>
    </row>
    <row r="34">
      <c r="A34" s="20" t="inlineStr">
        <is>
          <t>특별손실</t>
        </is>
      </c>
      <c r="B34" s="10" t="n"/>
      <c r="C34" s="21" t="n"/>
      <c r="D34" s="22" t="n">
        <v>0</v>
      </c>
      <c r="E34" s="22" t="n">
        <v>0</v>
      </c>
      <c r="F34" s="22" t="n"/>
      <c r="G34" s="22" t="n"/>
      <c r="H34" s="22" t="n">
        <v>0.539</v>
      </c>
      <c r="I34" s="22" t="n">
        <v>0.554</v>
      </c>
      <c r="J34" s="22" t="n"/>
      <c r="K34" s="22" t="n"/>
      <c r="L34" s="22" t="n">
        <v>0</v>
      </c>
      <c r="M34" s="22" t="n">
        <v>107.363</v>
      </c>
      <c r="N34" s="22" t="n"/>
      <c r="O34" s="21" t="n">
        <v>651.35</v>
      </c>
      <c r="P34" s="22" t="n">
        <v>869.817</v>
      </c>
      <c r="Q34" s="22" t="n">
        <v>0</v>
      </c>
      <c r="R34" s="22" t="n">
        <v>0</v>
      </c>
      <c r="S34" s="22" t="n">
        <v>12.009</v>
      </c>
      <c r="T34" s="22" t="n">
        <v>49.866</v>
      </c>
      <c r="U34" s="22" t="n">
        <v>0</v>
      </c>
      <c r="V34" s="22" t="n">
        <v>0</v>
      </c>
      <c r="W34" s="22" t="n">
        <v>7.729</v>
      </c>
      <c r="X34" s="22" t="n">
        <v>107.363</v>
      </c>
      <c r="Y34" s="21">
        <f>IF(OR(Y4="",Y35=""),"",IFERROR(Y4*Y35,""))</f>
        <v/>
      </c>
      <c r="Z34" s="22">
        <f>IF(OR(Z4="",Z35=""),"",IFERROR(Z4*Z35,""))</f>
        <v/>
      </c>
      <c r="AA34" s="22">
        <f>IF(OR(AA4="",AA35=""),"",IFERROR(AA4*AA35,""))</f>
        <v/>
      </c>
      <c r="AB34" s="22">
        <f>IF(OR(AB4="",AB35=""),"",IFERROR(AB4*AB35,""))</f>
        <v/>
      </c>
      <c r="AC34" s="22">
        <f>IF(OR(AC4="",AC35=""),"",IFERROR(AC4*AC35,""))</f>
        <v/>
      </c>
    </row>
    <row r="35">
      <c r="A35" s="15" t="inlineStr">
        <is>
          <t>% of Sales</t>
        </is>
      </c>
      <c r="B35" s="10" t="n"/>
      <c r="C35" s="16">
        <f>IF(OR(C34="",C4=""),"",IFERROR(C34/C4,""))</f>
        <v/>
      </c>
      <c r="D35" s="17">
        <f>IF(OR(D34="",D4=""),"",IFERROR(D34/D4,""))</f>
        <v/>
      </c>
      <c r="E35" s="17">
        <f>IF(OR(E34="",E4=""),"",IFERROR(E34/E4,""))</f>
        <v/>
      </c>
      <c r="F35" s="17">
        <f>IF(OR(F34="",F4=""),"",IFERROR(F34/F4,""))</f>
        <v/>
      </c>
      <c r="G35" s="17">
        <f>IF(OR(G34="",G4=""),"",IFERROR(G34/G4,""))</f>
        <v/>
      </c>
      <c r="H35" s="17">
        <f>IF(OR(H34="",H4=""),"",IFERROR(H34/H4,""))</f>
        <v/>
      </c>
      <c r="I35" s="17">
        <f>IF(OR(I34="",I4=""),"",IFERROR(I34/I4,""))</f>
        <v/>
      </c>
      <c r="J35" s="17">
        <f>IF(OR(J34="",J4=""),"",IFERROR(J34/J4,""))</f>
        <v/>
      </c>
      <c r="K35" s="17">
        <f>IF(OR(K34="",K4=""),"",IFERROR(K34/K4,""))</f>
        <v/>
      </c>
      <c r="L35" s="17">
        <f>IF(OR(L34="",L4=""),"",IFERROR(L34/L4,""))</f>
        <v/>
      </c>
      <c r="M35" s="17">
        <f>IF(OR(M34="",M4=""),"",IFERROR(M34/M4,""))</f>
        <v/>
      </c>
      <c r="N35" s="17">
        <f>IF(OR(N34="",N4=""),"",IFERROR(N34/N4,""))</f>
        <v/>
      </c>
      <c r="O35" s="16">
        <f>IF(OR(O34="",O4=""),"",IFERROR(O34/O4,""))</f>
        <v/>
      </c>
      <c r="P35" s="17">
        <f>IF(OR(P34="",P4=""),"",IFERROR(P34/P4,""))</f>
        <v/>
      </c>
      <c r="Q35" s="17">
        <f>IF(OR(Q34="",Q4=""),"",IFERROR(Q34/Q4,""))</f>
        <v/>
      </c>
      <c r="R35" s="17">
        <f>IF(OR(R34="",R4=""),"",IFERROR(R34/R4,""))</f>
        <v/>
      </c>
      <c r="S35" s="17">
        <f>IF(OR(S34="",S4=""),"",IFERROR(S34/S4,""))</f>
        <v/>
      </c>
      <c r="T35" s="17">
        <f>IF(OR(T34="",T4=""),"",IFERROR(T34/T4,""))</f>
        <v/>
      </c>
      <c r="U35" s="17">
        <f>IF(OR(U34="",U4=""),"",IFERROR(U34/U4,""))</f>
        <v/>
      </c>
      <c r="V35" s="17">
        <f>IF(OR(V34="",V4=""),"",IFERROR(V34/V4,""))</f>
        <v/>
      </c>
      <c r="W35" s="17">
        <f>IF(OR(W34="",W4=""),"",IFERROR(W34/W4,""))</f>
        <v/>
      </c>
      <c r="X35" s="17">
        <f>IF(OR(X34="",X4=""),"",IFERROR(X34/X4,""))</f>
        <v/>
      </c>
      <c r="Y35" s="27">
        <f>IFERROR(AVERAGE(V35,W35,X35),"")</f>
        <v/>
      </c>
      <c r="Z35" s="28">
        <f>Y35</f>
        <v/>
      </c>
      <c r="AA35" s="28">
        <f>Z35</f>
        <v/>
      </c>
      <c r="AB35" s="28">
        <f>AA35</f>
        <v/>
      </c>
      <c r="AC35" s="28">
        <f>AB35</f>
        <v/>
      </c>
    </row>
    <row r="36">
      <c r="A36" s="20" t="inlineStr">
        <is>
          <t>영업외수익</t>
        </is>
      </c>
      <c r="B36" s="10" t="n"/>
      <c r="C36" s="21" t="n">
        <v>102.085</v>
      </c>
      <c r="D36" s="22" t="n">
        <v>-27.252</v>
      </c>
      <c r="E36" s="22" t="n">
        <v>119.467</v>
      </c>
      <c r="F36" s="22" t="n">
        <v>132.733</v>
      </c>
      <c r="G36" s="22" t="n">
        <v>-102.129</v>
      </c>
      <c r="H36" s="22" t="n">
        <v>16.555</v>
      </c>
      <c r="I36" s="22" t="n">
        <v>47.423</v>
      </c>
      <c r="J36" s="22" t="n">
        <v>46.682</v>
      </c>
      <c r="K36" s="22" t="n">
        <v>11.997</v>
      </c>
      <c r="L36" s="22" t="n">
        <v>137.016</v>
      </c>
      <c r="M36" s="22" t="n">
        <v>46.919</v>
      </c>
      <c r="N36" s="22" t="n">
        <v>60.842</v>
      </c>
      <c r="O36" s="21" t="n">
        <v>36.81</v>
      </c>
      <c r="P36" s="22" t="n">
        <v>27.858</v>
      </c>
      <c r="Q36" s="22" t="n">
        <v>52.54</v>
      </c>
      <c r="R36" s="22" t="n">
        <v>39.583</v>
      </c>
      <c r="S36" s="22" t="n">
        <v>68.953</v>
      </c>
      <c r="T36" s="22" t="n">
        <v>237.953</v>
      </c>
      <c r="U36" s="22" t="n">
        <v>277.724</v>
      </c>
      <c r="V36" s="22" t="n">
        <v>365.642</v>
      </c>
      <c r="W36" s="22" t="n">
        <v>94.58199999999999</v>
      </c>
      <c r="X36" s="22" t="n">
        <v>242.614</v>
      </c>
      <c r="Y36" s="21">
        <f>IF(OR(Y4="",Y37=""),"",IFERROR(Y4*Y37,""))</f>
        <v/>
      </c>
      <c r="Z36" s="22">
        <f>IF(OR(Z4="",Z37=""),"",IFERROR(Z4*Z37,""))</f>
        <v/>
      </c>
      <c r="AA36" s="22">
        <f>IF(OR(AA4="",AA37=""),"",IFERROR(AA4*AA37,""))</f>
        <v/>
      </c>
      <c r="AB36" s="22">
        <f>IF(OR(AB4="",AB37=""),"",IFERROR(AB4*AB37,""))</f>
        <v/>
      </c>
      <c r="AC36" s="22">
        <f>IF(OR(AC4="",AC37=""),"",IFERROR(AC4*AC37,""))</f>
        <v/>
      </c>
    </row>
    <row r="37">
      <c r="A37" s="15" t="inlineStr">
        <is>
          <t>% of Sales</t>
        </is>
      </c>
      <c r="B37" s="10" t="n"/>
      <c r="C37" s="16">
        <f>IF(OR(C36="",C4=""),"",IFERROR(C36/C4,""))</f>
        <v/>
      </c>
      <c r="D37" s="17">
        <f>IF(OR(D36="",D4=""),"",IFERROR(D36/D4,""))</f>
        <v/>
      </c>
      <c r="E37" s="17">
        <f>IF(OR(E36="",E4=""),"",IFERROR(E36/E4,""))</f>
        <v/>
      </c>
      <c r="F37" s="17">
        <f>IF(OR(F36="",F4=""),"",IFERROR(F36/F4,""))</f>
        <v/>
      </c>
      <c r="G37" s="17">
        <f>IF(OR(G36="",G4=""),"",IFERROR(G36/G4,""))</f>
        <v/>
      </c>
      <c r="H37" s="17">
        <f>IF(OR(H36="",H4=""),"",IFERROR(H36/H4,""))</f>
        <v/>
      </c>
      <c r="I37" s="17">
        <f>IF(OR(I36="",I4=""),"",IFERROR(I36/I4,""))</f>
        <v/>
      </c>
      <c r="J37" s="17">
        <f>IF(OR(J36="",J4=""),"",IFERROR(J36/J4,""))</f>
        <v/>
      </c>
      <c r="K37" s="17">
        <f>IF(OR(K36="",K4=""),"",IFERROR(K36/K4,""))</f>
        <v/>
      </c>
      <c r="L37" s="17">
        <f>IF(OR(L36="",L4=""),"",IFERROR(L36/L4,""))</f>
        <v/>
      </c>
      <c r="M37" s="17">
        <f>IF(OR(M36="",M4=""),"",IFERROR(M36/M4,""))</f>
        <v/>
      </c>
      <c r="N37" s="17">
        <f>IF(OR(N36="",N4=""),"",IFERROR(N36/N4,""))</f>
        <v/>
      </c>
      <c r="O37" s="16">
        <f>IF(OR(O36="",O4=""),"",IFERROR(O36/O4,""))</f>
        <v/>
      </c>
      <c r="P37" s="17">
        <f>IF(OR(P36="",P4=""),"",IFERROR(P36/P4,""))</f>
        <v/>
      </c>
      <c r="Q37" s="17">
        <f>IF(OR(Q36="",Q4=""),"",IFERROR(Q36/Q4,""))</f>
        <v/>
      </c>
      <c r="R37" s="17">
        <f>IF(OR(R36="",R4=""),"",IFERROR(R36/R4,""))</f>
        <v/>
      </c>
      <c r="S37" s="17">
        <f>IF(OR(S36="",S4=""),"",IFERROR(S36/S4,""))</f>
        <v/>
      </c>
      <c r="T37" s="17">
        <f>IF(OR(T36="",T4=""),"",IFERROR(T36/T4,""))</f>
        <v/>
      </c>
      <c r="U37" s="17">
        <f>IF(OR(U36="",U4=""),"",IFERROR(U36/U4,""))</f>
        <v/>
      </c>
      <c r="V37" s="17">
        <f>IF(OR(V36="",V4=""),"",IFERROR(V36/V4,""))</f>
        <v/>
      </c>
      <c r="W37" s="17">
        <f>IF(OR(W36="",W4=""),"",IFERROR(W36/W4,""))</f>
        <v/>
      </c>
      <c r="X37" s="17">
        <f>IF(OR(X36="",X4=""),"",IFERROR(X36/X4,""))</f>
        <v/>
      </c>
      <c r="Y37" s="27">
        <f>IFERROR(AVERAGE(V37,W37,X37),"")</f>
        <v/>
      </c>
      <c r="Z37" s="28">
        <f>Y37</f>
        <v/>
      </c>
      <c r="AA37" s="28">
        <f>Z37</f>
        <v/>
      </c>
      <c r="AB37" s="28">
        <f>AA37</f>
        <v/>
      </c>
      <c r="AC37" s="28">
        <f>AB37</f>
        <v/>
      </c>
    </row>
    <row r="38">
      <c r="A38" s="20" t="inlineStr">
        <is>
          <t>영업외비용</t>
        </is>
      </c>
      <c r="B38" s="10" t="n"/>
      <c r="C38" s="21" t="n">
        <v>5.766</v>
      </c>
      <c r="D38" s="22" t="n">
        <v>10.239</v>
      </c>
      <c r="E38" s="22" t="n">
        <v>35.789</v>
      </c>
      <c r="F38" s="22" t="n">
        <v>6.313</v>
      </c>
      <c r="G38" s="22" t="n">
        <v>100.446</v>
      </c>
      <c r="H38" s="22" t="n">
        <v>-65.637</v>
      </c>
      <c r="I38" s="22" t="n">
        <v>69.01600000000001</v>
      </c>
      <c r="J38" s="22" t="n">
        <v>67.024</v>
      </c>
      <c r="K38" s="22" t="n">
        <v>4.093</v>
      </c>
      <c r="L38" s="22" t="n">
        <v>-17.355</v>
      </c>
      <c r="M38" s="22" t="n">
        <v>14.529</v>
      </c>
      <c r="N38" s="22" t="n">
        <v>12.732</v>
      </c>
      <c r="O38" s="21" t="n">
        <v>197.955</v>
      </c>
      <c r="P38" s="22" t="n">
        <v>164.424</v>
      </c>
      <c r="Q38" s="22" t="n">
        <v>86.42400000000001</v>
      </c>
      <c r="R38" s="22" t="n">
        <v>63.926</v>
      </c>
      <c r="S38" s="22" t="n">
        <v>34.204</v>
      </c>
      <c r="T38" s="22" t="n">
        <v>71.795</v>
      </c>
      <c r="U38" s="22" t="n">
        <v>72.114</v>
      </c>
      <c r="V38" s="22" t="n">
        <v>63.568</v>
      </c>
      <c r="W38" s="22" t="n">
        <v>110.138</v>
      </c>
      <c r="X38" s="22" t="n">
        <v>68.291</v>
      </c>
      <c r="Y38" s="21">
        <f>IF(OR(Y4="",Y39=""),"",IFERROR(Y4*Y39,""))</f>
        <v/>
      </c>
      <c r="Z38" s="22">
        <f>IF(OR(Z4="",Z39=""),"",IFERROR(Z4*Z39,""))</f>
        <v/>
      </c>
      <c r="AA38" s="22">
        <f>IF(OR(AA4="",AA39=""),"",IFERROR(AA4*AA39,""))</f>
        <v/>
      </c>
      <c r="AB38" s="22">
        <f>IF(OR(AB4="",AB39=""),"",IFERROR(AB4*AB39,""))</f>
        <v/>
      </c>
      <c r="AC38" s="22">
        <f>IF(OR(AC4="",AC39=""),"",IFERROR(AC4*AC39,""))</f>
        <v/>
      </c>
    </row>
    <row r="39">
      <c r="A39" s="15" t="inlineStr">
        <is>
          <t>% of Sales</t>
        </is>
      </c>
      <c r="B39" s="10" t="n"/>
      <c r="C39" s="16">
        <f>IF(OR(C38="",C4=""),"",IFERROR(C38/C4,""))</f>
        <v/>
      </c>
      <c r="D39" s="17">
        <f>IF(OR(D38="",D4=""),"",IFERROR(D38/D4,""))</f>
        <v/>
      </c>
      <c r="E39" s="17">
        <f>IF(OR(E38="",E4=""),"",IFERROR(E38/E4,""))</f>
        <v/>
      </c>
      <c r="F39" s="17">
        <f>IF(OR(F38="",F4=""),"",IFERROR(F38/F4,""))</f>
        <v/>
      </c>
      <c r="G39" s="17">
        <f>IF(OR(G38="",G4=""),"",IFERROR(G38/G4,""))</f>
        <v/>
      </c>
      <c r="H39" s="17">
        <f>IF(OR(H38="",H4=""),"",IFERROR(H38/H4,""))</f>
        <v/>
      </c>
      <c r="I39" s="17">
        <f>IF(OR(I38="",I4=""),"",IFERROR(I38/I4,""))</f>
        <v/>
      </c>
      <c r="J39" s="17">
        <f>IF(OR(J38="",J4=""),"",IFERROR(J38/J4,""))</f>
        <v/>
      </c>
      <c r="K39" s="17">
        <f>IF(OR(K38="",K4=""),"",IFERROR(K38/K4,""))</f>
        <v/>
      </c>
      <c r="L39" s="17">
        <f>IF(OR(L38="",L4=""),"",IFERROR(L38/L4,""))</f>
        <v/>
      </c>
      <c r="M39" s="17">
        <f>IF(OR(M38="",M4=""),"",IFERROR(M38/M4,""))</f>
        <v/>
      </c>
      <c r="N39" s="17">
        <f>IF(OR(N38="",N4=""),"",IFERROR(N38/N4,""))</f>
        <v/>
      </c>
      <c r="O39" s="16">
        <f>IF(OR(O38="",O4=""),"",IFERROR(O38/O4,""))</f>
        <v/>
      </c>
      <c r="P39" s="17">
        <f>IF(OR(P38="",P4=""),"",IFERROR(P38/P4,""))</f>
        <v/>
      </c>
      <c r="Q39" s="17">
        <f>IF(OR(Q38="",Q4=""),"",IFERROR(Q38/Q4,""))</f>
        <v/>
      </c>
      <c r="R39" s="17">
        <f>IF(OR(R38="",R4=""),"",IFERROR(R38/R4,""))</f>
        <v/>
      </c>
      <c r="S39" s="17">
        <f>IF(OR(S38="",S4=""),"",IFERROR(S38/S4,""))</f>
        <v/>
      </c>
      <c r="T39" s="17">
        <f>IF(OR(T38="",T4=""),"",IFERROR(T38/T4,""))</f>
        <v/>
      </c>
      <c r="U39" s="17">
        <f>IF(OR(U38="",U4=""),"",IFERROR(U38/U4,""))</f>
        <v/>
      </c>
      <c r="V39" s="17">
        <f>IF(OR(V38="",V4=""),"",IFERROR(V38/V4,""))</f>
        <v/>
      </c>
      <c r="W39" s="17">
        <f>IF(OR(W38="",W4=""),"",IFERROR(W38/W4,""))</f>
        <v/>
      </c>
      <c r="X39" s="17">
        <f>IF(OR(X38="",X4=""),"",IFERROR(X38/X4,""))</f>
        <v/>
      </c>
      <c r="Y39" s="27">
        <f>IFERROR(AVERAGE(V39,W39,X39),"")</f>
        <v/>
      </c>
      <c r="Z39" s="28">
        <f>Y39</f>
        <v/>
      </c>
      <c r="AA39" s="28">
        <f>Z39</f>
        <v/>
      </c>
      <c r="AB39" s="28">
        <f>AA39</f>
        <v/>
      </c>
      <c r="AC39" s="28">
        <f>AB39</f>
        <v/>
      </c>
    </row>
    <row r="40">
      <c r="A40" s="9" t="inlineStr">
        <is>
          <t>법인세비용차감전순이익(손실)</t>
        </is>
      </c>
      <c r="B40" s="10" t="n"/>
      <c r="C40" s="11" t="n">
        <v>662.838</v>
      </c>
      <c r="D40" s="12" t="n">
        <v>322.786</v>
      </c>
      <c r="E40" s="12" t="n">
        <v>175.286</v>
      </c>
      <c r="F40" s="12" t="n">
        <v>899.55</v>
      </c>
      <c r="G40" s="12" t="n">
        <v>742.732</v>
      </c>
      <c r="H40" s="12" t="n">
        <v>486.538</v>
      </c>
      <c r="I40" s="12" t="n">
        <v>308.544</v>
      </c>
      <c r="J40" s="12" t="n">
        <v>836.03</v>
      </c>
      <c r="K40" s="12" t="n">
        <v>935.902</v>
      </c>
      <c r="L40" s="12" t="n">
        <v>1016.802</v>
      </c>
      <c r="M40" s="12" t="n">
        <v>811.638</v>
      </c>
      <c r="N40" s="12" t="n">
        <v>1826.034</v>
      </c>
      <c r="O40" s="11" t="n">
        <v>-306.935</v>
      </c>
      <c r="P40" s="12" t="n">
        <v>855.774</v>
      </c>
      <c r="Q40" s="12" t="n">
        <v>1436.824</v>
      </c>
      <c r="R40" s="12" t="n">
        <v>970.703</v>
      </c>
      <c r="S40" s="12" t="n">
        <v>2784.323</v>
      </c>
      <c r="T40" s="12" t="n">
        <v>4182.869</v>
      </c>
      <c r="U40" s="12" t="n">
        <v>3532.86</v>
      </c>
      <c r="V40" s="12" t="n">
        <v>2021.304</v>
      </c>
      <c r="W40" s="12" t="n">
        <v>2437.364</v>
      </c>
      <c r="X40" s="12" t="n">
        <v>3600.372</v>
      </c>
      <c r="Y40" s="11">
        <f>IF(OR(Y16=""),"",IFERROR(Y16+N(Y32)-N(Y34)+N(Y36)-N(Y38),""))</f>
        <v/>
      </c>
      <c r="Z40" s="12">
        <f>IF(OR(Z16=""),"",IFERROR(Z16+N(Z32)-N(Z34)+N(Z36)-N(Z38),""))</f>
        <v/>
      </c>
      <c r="AA40" s="12">
        <f>IF(OR(AA16=""),"",IFERROR(AA16+N(AA32)-N(AA34)+N(AA36)-N(AA38),""))</f>
        <v/>
      </c>
      <c r="AB40" s="12">
        <f>IF(OR(AB16=""),"",IFERROR(AB16+N(AB32)-N(AB34)+N(AB36)-N(AB38),""))</f>
        <v/>
      </c>
      <c r="AC40" s="12">
        <f>IF(OR(AC16=""),"",IFERROR(AC16+N(AC32)-N(AC34)+N(AC36)-N(AC38),""))</f>
        <v/>
      </c>
    </row>
    <row r="41">
      <c r="A41" s="20" t="inlineStr">
        <is>
          <t>법인세비용(수익)</t>
        </is>
      </c>
      <c r="B41" s="10" t="n"/>
      <c r="C41" s="21" t="n">
        <v>160.483</v>
      </c>
      <c r="D41" s="22" t="n">
        <v>73.246</v>
      </c>
      <c r="E41" s="22" t="n">
        <v>45.064</v>
      </c>
      <c r="F41" s="22" t="n">
        <v>241.603</v>
      </c>
      <c r="G41" s="22" t="n">
        <v>217.018</v>
      </c>
      <c r="H41" s="22" t="n">
        <v>112.747</v>
      </c>
      <c r="I41" s="22" t="n">
        <v>84.94199999999999</v>
      </c>
      <c r="J41" s="22" t="n">
        <v>238.549</v>
      </c>
      <c r="K41" s="22" t="n">
        <v>290.132</v>
      </c>
      <c r="L41" s="22" t="n">
        <v>252.642</v>
      </c>
      <c r="M41" s="22" t="n">
        <v>176.067</v>
      </c>
      <c r="N41" s="22" t="n">
        <v>558.981</v>
      </c>
      <c r="O41" s="21" t="n">
        <v>152.114</v>
      </c>
      <c r="P41" s="22" t="n">
        <v>429.111</v>
      </c>
      <c r="Q41" s="22" t="n">
        <v>-58.316</v>
      </c>
      <c r="R41" s="22" t="n">
        <v>279.422</v>
      </c>
      <c r="S41" s="22" t="n">
        <v>778.155</v>
      </c>
      <c r="T41" s="22" t="n">
        <v>1264.015</v>
      </c>
      <c r="U41" s="22" t="n">
        <v>1064.479</v>
      </c>
      <c r="V41" s="22" t="n">
        <v>542.0549999999999</v>
      </c>
      <c r="W41" s="22" t="n">
        <v>656.3099999999999</v>
      </c>
      <c r="X41" s="22" t="n">
        <v>957.39</v>
      </c>
      <c r="Y41" s="21">
        <f>IF(OR(Y40="",Y42=""),"",IFERROR(MAX(Y40,0)*Y42,""))</f>
        <v/>
      </c>
      <c r="Z41" s="22">
        <f>IF(OR(Z40="",Z42=""),"",IFERROR(MAX(Z40,0)*Z42,""))</f>
        <v/>
      </c>
      <c r="AA41" s="22">
        <f>IF(OR(AA40="",AA42=""),"",IFERROR(MAX(AA40,0)*AA42,""))</f>
        <v/>
      </c>
      <c r="AB41" s="22">
        <f>IF(OR(AB40="",AB42=""),"",IFERROR(MAX(AB40,0)*AB42,""))</f>
        <v/>
      </c>
      <c r="AC41" s="22">
        <f>IF(OR(AC40="",AC42=""),"",IFERROR(MAX(AC40,0)*AC42,""))</f>
        <v/>
      </c>
    </row>
    <row r="42">
      <c r="A42" s="15" t="inlineStr">
        <is>
          <t>법인세율</t>
        </is>
      </c>
      <c r="B42" s="10" t="inlineStr">
        <is>
          <t>MW 기본 30%</t>
        </is>
      </c>
      <c r="C42" s="16">
        <f>IF(OR(C41="",C40=""),"",IFERROR(C41/C40,""))</f>
        <v/>
      </c>
      <c r="D42" s="17">
        <f>IF(OR(D41="",D40=""),"",IFERROR(D41/D40,""))</f>
        <v/>
      </c>
      <c r="E42" s="17">
        <f>IF(OR(E41="",E40=""),"",IFERROR(E41/E40,""))</f>
        <v/>
      </c>
      <c r="F42" s="17">
        <f>IF(OR(F41="",F40=""),"",IFERROR(F41/F40,""))</f>
        <v/>
      </c>
      <c r="G42" s="17">
        <f>IF(OR(G41="",G40=""),"",IFERROR(G41/G40,""))</f>
        <v/>
      </c>
      <c r="H42" s="17">
        <f>IF(OR(H41="",H40=""),"",IFERROR(H41/H40,""))</f>
        <v/>
      </c>
      <c r="I42" s="17">
        <f>IF(OR(I41="",I40=""),"",IFERROR(I41/I40,""))</f>
        <v/>
      </c>
      <c r="J42" s="17">
        <f>IF(OR(J41="",J40=""),"",IFERROR(J41/J40,""))</f>
        <v/>
      </c>
      <c r="K42" s="17">
        <f>IF(OR(K41="",K40=""),"",IFERROR(K41/K40,""))</f>
        <v/>
      </c>
      <c r="L42" s="17">
        <f>IF(OR(L41="",L40=""),"",IFERROR(L41/L40,""))</f>
        <v/>
      </c>
      <c r="M42" s="17">
        <f>IF(OR(M41="",M40=""),"",IFERROR(M41/M40,""))</f>
        <v/>
      </c>
      <c r="N42" s="17">
        <f>IF(OR(N41="",N40=""),"",IFERROR(N41/N40,""))</f>
        <v/>
      </c>
      <c r="O42" s="16">
        <f>IF(OR(O41="",O40=""),"",IFERROR(O41/O40,""))</f>
        <v/>
      </c>
      <c r="P42" s="17">
        <f>IF(OR(P41="",P40=""),"",IFERROR(P41/P40,""))</f>
        <v/>
      </c>
      <c r="Q42" s="17">
        <f>IF(OR(Q41="",Q40=""),"",IFERROR(Q41/Q40,""))</f>
        <v/>
      </c>
      <c r="R42" s="17">
        <f>IF(OR(R41="",R40=""),"",IFERROR(R41/R40,""))</f>
        <v/>
      </c>
      <c r="S42" s="17">
        <f>IF(OR(S41="",S40=""),"",IFERROR(S41/S40,""))</f>
        <v/>
      </c>
      <c r="T42" s="17">
        <f>IF(OR(T41="",T40=""),"",IFERROR(T41/T40,""))</f>
        <v/>
      </c>
      <c r="U42" s="17">
        <f>IF(OR(U41="",U40=""),"",IFERROR(U41/U40,""))</f>
        <v/>
      </c>
      <c r="V42" s="17">
        <f>IF(OR(V41="",V40=""),"",IFERROR(V41/V40,""))</f>
        <v/>
      </c>
      <c r="W42" s="17">
        <f>IF(OR(W41="",W40=""),"",IFERROR(W41/W40,""))</f>
        <v/>
      </c>
      <c r="X42" s="17">
        <f>IF(OR(X41="",X40=""),"",IFERROR(X41/X40,""))</f>
        <v/>
      </c>
      <c r="Y42" s="27" t="n">
        <v>0.3</v>
      </c>
      <c r="Z42" s="28" t="n">
        <v>0.3</v>
      </c>
      <c r="AA42" s="28" t="n">
        <v>0.3</v>
      </c>
      <c r="AB42" s="28" t="n">
        <v>0.3</v>
      </c>
      <c r="AC42" s="28" t="n">
        <v>0.3</v>
      </c>
    </row>
    <row r="43">
      <c r="A43" s="9" t="inlineStr">
        <is>
          <t>당기순이익(손실)</t>
        </is>
      </c>
      <c r="B43" s="10" t="n"/>
      <c r="C43" s="11" t="n">
        <v>502.355</v>
      </c>
      <c r="D43" s="12" t="n">
        <v>249.539</v>
      </c>
      <c r="E43" s="12" t="n">
        <v>130.222</v>
      </c>
      <c r="F43" s="12" t="n">
        <v>657.947</v>
      </c>
      <c r="G43" s="12" t="n">
        <v>525.7140000000001</v>
      </c>
      <c r="H43" s="12" t="n">
        <v>373.791</v>
      </c>
      <c r="I43" s="12" t="n">
        <v>223.602</v>
      </c>
      <c r="J43" s="12" t="n">
        <v>597.481</v>
      </c>
      <c r="K43" s="12" t="n">
        <v>645.77</v>
      </c>
      <c r="L43" s="12" t="n">
        <v>764.159</v>
      </c>
      <c r="M43" s="12" t="n">
        <v>635.571</v>
      </c>
      <c r="N43" s="12" t="n">
        <v>1267.052</v>
      </c>
      <c r="O43" s="11" t="n">
        <v>-459.05</v>
      </c>
      <c r="P43" s="12" t="n">
        <v>426.663</v>
      </c>
      <c r="Q43" s="12" t="n">
        <v>1495.14</v>
      </c>
      <c r="R43" s="12" t="n">
        <v>691.2809999999999</v>
      </c>
      <c r="S43" s="12" t="n">
        <v>2006.168</v>
      </c>
      <c r="T43" s="12" t="n">
        <v>2918.854</v>
      </c>
      <c r="U43" s="12" t="n">
        <v>2468.38</v>
      </c>
      <c r="V43" s="12" t="n">
        <v>1479.248</v>
      </c>
      <c r="W43" s="12" t="n">
        <v>1781.054</v>
      </c>
      <c r="X43" s="12" t="n">
        <v>2642.981</v>
      </c>
      <c r="Y43" s="11">
        <f>IF(OR(Y40=""),"",IFERROR(Y40-Y41,""))</f>
        <v/>
      </c>
      <c r="Z43" s="12">
        <f>IF(OR(Z40=""),"",IFERROR(Z40-Z41,""))</f>
        <v/>
      </c>
      <c r="AA43" s="12">
        <f>IF(OR(AA40=""),"",IFERROR(AA40-AA41,""))</f>
        <v/>
      </c>
      <c r="AB43" s="12">
        <f>IF(OR(AB40=""),"",IFERROR(AB40-AB41,""))</f>
        <v/>
      </c>
      <c r="AC43" s="12">
        <f>IF(OR(AC40=""),"",IFERROR(AC40-AC41,""))</f>
        <v/>
      </c>
    </row>
    <row r="44">
      <c r="A44" s="9" t="inlineStr">
        <is>
          <t>지배주주 순이익</t>
        </is>
      </c>
      <c r="B44" s="10" t="n"/>
      <c r="C44" s="11" t="n">
        <v>502.355</v>
      </c>
      <c r="D44" s="12" t="n">
        <v>249.539</v>
      </c>
      <c r="E44" s="12" t="n">
        <v>130.222</v>
      </c>
      <c r="F44" s="12" t="n">
        <v>657.947</v>
      </c>
      <c r="G44" s="12" t="n">
        <v>525.7140000000001</v>
      </c>
      <c r="H44" s="12" t="n">
        <v>373.791</v>
      </c>
      <c r="I44" s="12" t="n">
        <v>223.602</v>
      </c>
      <c r="J44" s="12" t="n">
        <v>597.481</v>
      </c>
      <c r="K44" s="12" t="n">
        <v>645.77</v>
      </c>
      <c r="L44" s="12" t="n">
        <v>764.159</v>
      </c>
      <c r="M44" s="12" t="n">
        <v>635.571</v>
      </c>
      <c r="N44" s="12" t="n">
        <v>1267.052</v>
      </c>
      <c r="O44" s="11" t="n">
        <v>-454.097</v>
      </c>
      <c r="P44" s="12" t="n">
        <v>426.663</v>
      </c>
      <c r="Q44" s="12" t="n">
        <v>1495.14</v>
      </c>
      <c r="R44" s="12" t="n">
        <v>691.2809999999999</v>
      </c>
      <c r="S44" s="12" t="n">
        <v>2006.168</v>
      </c>
      <c r="T44" s="12" t="n">
        <v>2918.854</v>
      </c>
      <c r="U44" s="12" t="n">
        <v>2468.38</v>
      </c>
      <c r="V44" s="12" t="n">
        <v>1479.248</v>
      </c>
      <c r="W44" s="12" t="n">
        <v>1781.054</v>
      </c>
      <c r="X44" s="12" t="n">
        <v>2642.981</v>
      </c>
      <c r="Y44" s="11">
        <f>IF(OR(Y43="",Y45=""),"",IFERROR(Y43*Y45,""))</f>
        <v/>
      </c>
      <c r="Z44" s="12">
        <f>IF(OR(Z43="",Z45=""),"",IFERROR(Z43*Z45,""))</f>
        <v/>
      </c>
      <c r="AA44" s="12">
        <f>IF(OR(AA43="",AA45=""),"",IFERROR(AA43*AA45,""))</f>
        <v/>
      </c>
      <c r="AB44" s="12">
        <f>IF(OR(AB43="",AB45=""),"",IFERROR(AB43*AB45,""))</f>
        <v/>
      </c>
      <c r="AC44" s="12">
        <f>IF(OR(AC43="",AC45=""),"",IFERROR(AC43*AC45,""))</f>
        <v/>
      </c>
    </row>
    <row r="45">
      <c r="A45" s="15" t="inlineStr">
        <is>
          <t>지배주주 순이익률</t>
        </is>
      </c>
      <c r="B45" s="10" t="inlineStr">
        <is>
          <t>MW 기본 100%</t>
        </is>
      </c>
      <c r="C45" s="16">
        <f>IF(OR(C44="",C43=""),"",IFERROR(C44/C43,""))</f>
        <v/>
      </c>
      <c r="D45" s="17">
        <f>IF(OR(D44="",D43=""),"",IFERROR(D44/D43,""))</f>
        <v/>
      </c>
      <c r="E45" s="17">
        <f>IF(OR(E44="",E43=""),"",IFERROR(E44/E43,""))</f>
        <v/>
      </c>
      <c r="F45" s="17">
        <f>IF(OR(F44="",F43=""),"",IFERROR(F44/F43,""))</f>
        <v/>
      </c>
      <c r="G45" s="17">
        <f>IF(OR(G44="",G43=""),"",IFERROR(G44/G43,""))</f>
        <v/>
      </c>
      <c r="H45" s="17">
        <f>IF(OR(H44="",H43=""),"",IFERROR(H44/H43,""))</f>
        <v/>
      </c>
      <c r="I45" s="17">
        <f>IF(OR(I44="",I43=""),"",IFERROR(I44/I43,""))</f>
        <v/>
      </c>
      <c r="J45" s="17">
        <f>IF(OR(J44="",J43=""),"",IFERROR(J44/J43,""))</f>
        <v/>
      </c>
      <c r="K45" s="17">
        <f>IF(OR(K44="",K43=""),"",IFERROR(K44/K43,""))</f>
        <v/>
      </c>
      <c r="L45" s="17">
        <f>IF(OR(L44="",L43=""),"",IFERROR(L44/L43,""))</f>
        <v/>
      </c>
      <c r="M45" s="17">
        <f>IF(OR(M44="",M43=""),"",IFERROR(M44/M43,""))</f>
        <v/>
      </c>
      <c r="N45" s="17">
        <f>IF(OR(N44="",N43=""),"",IFERROR(N44/N43,""))</f>
        <v/>
      </c>
      <c r="O45" s="16">
        <f>IF(OR(O44="",O43=""),"",IFERROR(O44/O43,""))</f>
        <v/>
      </c>
      <c r="P45" s="17">
        <f>IF(OR(P44="",P43=""),"",IFERROR(P44/P43,""))</f>
        <v/>
      </c>
      <c r="Q45" s="17">
        <f>IF(OR(Q44="",Q43=""),"",IFERROR(Q44/Q43,""))</f>
        <v/>
      </c>
      <c r="R45" s="17">
        <f>IF(OR(R44="",R43=""),"",IFERROR(R44/R43,""))</f>
        <v/>
      </c>
      <c r="S45" s="17">
        <f>IF(OR(S44="",S43=""),"",IFERROR(S44/S43,""))</f>
        <v/>
      </c>
      <c r="T45" s="17">
        <f>IF(OR(T44="",T43=""),"",IFERROR(T44/T43,""))</f>
        <v/>
      </c>
      <c r="U45" s="17">
        <f>IF(OR(U44="",U43=""),"",IFERROR(U44/U43,""))</f>
        <v/>
      </c>
      <c r="V45" s="17">
        <f>IF(OR(V44="",V43=""),"",IFERROR(V44/V43,""))</f>
        <v/>
      </c>
      <c r="W45" s="17">
        <f>IF(OR(W44="",W43=""),"",IFERROR(W44/W43,""))</f>
        <v/>
      </c>
      <c r="X45" s="17">
        <f>IF(OR(X44="",X43=""),"",IFERROR(X44/X43,""))</f>
        <v/>
      </c>
      <c r="Y45" s="27" t="n">
        <v>1</v>
      </c>
      <c r="Z45" s="28" t="n">
        <v>1</v>
      </c>
      <c r="AA45" s="28" t="n">
        <v>1</v>
      </c>
      <c r="AB45" s="28" t="n">
        <v>1</v>
      </c>
      <c r="AC45" s="28" t="n">
        <v>1</v>
      </c>
    </row>
    <row r="46">
      <c r="A46" s="18" t="inlineStr">
        <is>
          <t>목표주가 산출</t>
        </is>
      </c>
      <c r="B46" s="18" t="n"/>
      <c r="C46" s="19" t="n"/>
      <c r="D46" s="18" t="n"/>
      <c r="E46" s="18" t="n"/>
      <c r="F46" s="18" t="n"/>
      <c r="G46" s="18" t="n"/>
      <c r="H46" s="18" t="n"/>
      <c r="I46" s="18" t="n"/>
      <c r="J46" s="18" t="n"/>
      <c r="K46" s="18" t="n"/>
      <c r="L46" s="18" t="n"/>
      <c r="M46" s="18" t="n"/>
      <c r="N46" s="18" t="n"/>
      <c r="O46" s="19" t="n"/>
      <c r="P46" s="18" t="n"/>
      <c r="Q46" s="18" t="n"/>
      <c r="R46" s="18" t="n"/>
      <c r="S46" s="18" t="n"/>
      <c r="T46" s="18" t="n"/>
      <c r="U46" s="18" t="n"/>
      <c r="V46" s="18" t="n"/>
      <c r="W46" s="18" t="n"/>
      <c r="X46" s="18" t="n"/>
      <c r="Y46" s="19" t="n"/>
      <c r="Z46" s="18" t="n"/>
      <c r="AA46" s="18" t="n"/>
      <c r="AB46" s="18" t="n"/>
      <c r="AC46" s="18" t="n"/>
    </row>
    <row r="47">
      <c r="A47" s="20" t="inlineStr">
        <is>
          <t>현재 주가 ()</t>
        </is>
      </c>
      <c r="B47" s="29" t="n"/>
      <c r="C47" s="30" t="n"/>
      <c r="D47" s="31" t="n"/>
      <c r="E47" s="31" t="n"/>
      <c r="F47" s="31" t="n"/>
      <c r="G47" s="31" t="n"/>
      <c r="H47" s="31" t="n"/>
      <c r="I47" s="31" t="n"/>
      <c r="J47" s="31" t="n"/>
      <c r="K47" s="31" t="n"/>
      <c r="L47" s="31" t="n"/>
      <c r="M47" s="31" t="n"/>
      <c r="N47" s="31" t="n"/>
      <c r="O47" s="30" t="n"/>
      <c r="P47" s="31" t="n"/>
      <c r="Q47" s="31" t="n"/>
      <c r="R47" s="31" t="n"/>
      <c r="S47" s="31" t="n"/>
      <c r="T47" s="31" t="n"/>
      <c r="U47" s="31" t="n"/>
      <c r="V47" s="31" t="n"/>
      <c r="W47" s="31" t="n"/>
      <c r="X47" s="31" t="n"/>
      <c r="Y47" s="30" t="n"/>
      <c r="Z47" s="31" t="n"/>
      <c r="AA47" s="31" t="n"/>
      <c r="AB47" s="31" t="n"/>
      <c r="AC47" s="31" t="n"/>
    </row>
    <row r="48">
      <c r="A48" s="20" t="inlineStr">
        <is>
          <t>발행주식수 (보통주)</t>
        </is>
      </c>
      <c r="B48" s="29" t="n"/>
      <c r="C48" s="30" t="n"/>
      <c r="D48" s="31" t="n"/>
      <c r="E48" s="31" t="n"/>
      <c r="F48" s="31" t="n"/>
      <c r="G48" s="31" t="n"/>
      <c r="H48" s="31" t="n"/>
      <c r="I48" s="31" t="n"/>
      <c r="J48" s="31" t="n"/>
      <c r="K48" s="31" t="n"/>
      <c r="L48" s="31" t="n"/>
      <c r="M48" s="31" t="n"/>
      <c r="N48" s="31" t="n"/>
      <c r="O48" s="30" t="n"/>
      <c r="P48" s="31" t="n"/>
      <c r="Q48" s="31" t="n"/>
      <c r="R48" s="31" t="n"/>
      <c r="S48" s="31" t="n"/>
      <c r="T48" s="31" t="n"/>
      <c r="U48" s="31" t="n"/>
      <c r="V48" s="31" t="n"/>
      <c r="W48" s="31" t="n"/>
      <c r="X48" s="31" t="n"/>
      <c r="Y48" s="30" t="n"/>
      <c r="Z48" s="31" t="n"/>
      <c r="AA48" s="31" t="n"/>
      <c r="AB48" s="31" t="n"/>
      <c r="AC48" s="31" t="n"/>
    </row>
    <row r="49">
      <c r="A49" s="20" t="inlineStr">
        <is>
          <t>시가총액 (백만엔)</t>
        </is>
      </c>
      <c r="B49" s="12">
        <f>IF(OR(B47="",B48=""),"",B47*B48/1000000.0)</f>
        <v/>
      </c>
      <c r="C49" s="21" t="n"/>
      <c r="D49" s="22" t="n"/>
      <c r="E49" s="22" t="n"/>
      <c r="F49" s="22" t="n"/>
      <c r="G49" s="22" t="n"/>
      <c r="H49" s="22" t="n"/>
      <c r="I49" s="22" t="n"/>
      <c r="J49" s="22" t="n"/>
      <c r="K49" s="22" t="n"/>
      <c r="L49" s="22" t="n"/>
      <c r="M49" s="22" t="n"/>
      <c r="N49" s="22" t="n"/>
      <c r="O49" s="21" t="n"/>
      <c r="P49" s="22" t="n"/>
      <c r="Q49" s="22" t="n"/>
      <c r="R49" s="22" t="n"/>
      <c r="S49" s="22" t="n"/>
      <c r="T49" s="22" t="n"/>
      <c r="U49" s="22" t="n"/>
      <c r="V49" s="22" t="n"/>
      <c r="W49" s="22" t="n"/>
      <c r="X49" s="22" t="n"/>
      <c r="Y49" s="21" t="n"/>
      <c r="Z49" s="22" t="n"/>
      <c r="AA49" s="22" t="n"/>
      <c r="AB49" s="22" t="n"/>
      <c r="AC49" s="22" t="n"/>
    </row>
    <row r="50">
      <c r="A50" s="15" t="inlineStr">
        <is>
          <t>OPM</t>
        </is>
      </c>
      <c r="B50" s="10" t="n"/>
      <c r="C50" s="16" t="n"/>
      <c r="D50" s="17" t="n"/>
      <c r="E50" s="17" t="n"/>
      <c r="F50" s="17" t="n"/>
      <c r="G50" s="17" t="n"/>
      <c r="H50" s="17" t="n"/>
      <c r="I50" s="17" t="n"/>
      <c r="J50" s="17" t="n"/>
      <c r="K50" s="17" t="n"/>
      <c r="L50" s="17" t="n"/>
      <c r="M50" s="17" t="n"/>
      <c r="N50" s="17" t="n"/>
      <c r="O50" s="16">
        <f>IF(O17="","",O17)</f>
        <v/>
      </c>
      <c r="P50" s="17">
        <f>IF(P17="","",P17)</f>
        <v/>
      </c>
      <c r="Q50" s="17">
        <f>IF(Q17="","",Q17)</f>
        <v/>
      </c>
      <c r="R50" s="17">
        <f>IF(R17="","",R17)</f>
        <v/>
      </c>
      <c r="S50" s="17">
        <f>IF(S17="","",S17)</f>
        <v/>
      </c>
      <c r="T50" s="17">
        <f>IF(T17="","",T17)</f>
        <v/>
      </c>
      <c r="U50" s="17">
        <f>IF(U17="","",U17)</f>
        <v/>
      </c>
      <c r="V50" s="17">
        <f>IF(V17="","",V17)</f>
        <v/>
      </c>
      <c r="W50" s="17">
        <f>IF(W17="","",W17)</f>
        <v/>
      </c>
      <c r="X50" s="17">
        <f>IF(X17="","",X17)</f>
        <v/>
      </c>
      <c r="Y50" s="16">
        <f>IF(Y17="","",Y17)</f>
        <v/>
      </c>
      <c r="Z50" s="17">
        <f>IF(Z17="","",Z17)</f>
        <v/>
      </c>
      <c r="AA50" s="17">
        <f>IF(AA17="","",AA17)</f>
        <v/>
      </c>
      <c r="AB50" s="17">
        <f>IF(AB17="","",AB17)</f>
        <v/>
      </c>
      <c r="AC50" s="17">
        <f>IF(AC17="","",AC17)</f>
        <v/>
      </c>
    </row>
    <row r="51">
      <c r="A51" s="15" t="inlineStr">
        <is>
          <t>지배주주 순이익 증가율</t>
        </is>
      </c>
      <c r="B51" s="10" t="n"/>
      <c r="C51" s="16" t="n"/>
      <c r="D51" s="17" t="n"/>
      <c r="E51" s="17" t="n"/>
      <c r="F51" s="17" t="n"/>
      <c r="G51" s="17" t="n"/>
      <c r="H51" s="17" t="n"/>
      <c r="I51" s="17" t="n"/>
      <c r="J51" s="17" t="n"/>
      <c r="K51" s="17" t="n"/>
      <c r="L51" s="17" t="n"/>
      <c r="M51" s="17" t="n"/>
      <c r="N51" s="17" t="n"/>
      <c r="O51" s="16" t="n"/>
      <c r="P51" s="17">
        <f>IF(OR(P44="",O44=""),"",IFERROR(P44/O44-1,""))</f>
        <v/>
      </c>
      <c r="Q51" s="17">
        <f>IF(OR(Q44="",P44=""),"",IFERROR(Q44/P44-1,""))</f>
        <v/>
      </c>
      <c r="R51" s="17">
        <f>IF(OR(R44="",Q44=""),"",IFERROR(R44/Q44-1,""))</f>
        <v/>
      </c>
      <c r="S51" s="17">
        <f>IF(OR(S44="",R44=""),"",IFERROR(S44/R44-1,""))</f>
        <v/>
      </c>
      <c r="T51" s="17">
        <f>IF(OR(T44="",S44=""),"",IFERROR(T44/S44-1,""))</f>
        <v/>
      </c>
      <c r="U51" s="17">
        <f>IF(OR(U44="",T44=""),"",IFERROR(U44/T44-1,""))</f>
        <v/>
      </c>
      <c r="V51" s="17">
        <f>IF(OR(V44="",U44=""),"",IFERROR(V44/U44-1,""))</f>
        <v/>
      </c>
      <c r="W51" s="17">
        <f>IF(OR(W44="",V44=""),"",IFERROR(W44/V44-1,""))</f>
        <v/>
      </c>
      <c r="X51" s="17">
        <f>IF(OR(X44="",W44=""),"",IFERROR(X44/W44-1,""))</f>
        <v/>
      </c>
      <c r="Y51" s="16">
        <f>IF(OR(Y44="",X44=""),"",IFERROR(Y44/X44-1,""))</f>
        <v/>
      </c>
      <c r="Z51" s="17">
        <f>IF(OR(Z44="",Y44=""),"",IFERROR(Z44/Y44-1,""))</f>
        <v/>
      </c>
      <c r="AA51" s="17">
        <f>IF(OR(AA44="",Z44=""),"",IFERROR(AA44/Z44-1,""))</f>
        <v/>
      </c>
      <c r="AB51" s="17">
        <f>IF(OR(AB44="",AA44=""),"",IFERROR(AB44/AA44-1,""))</f>
        <v/>
      </c>
      <c r="AC51" s="17">
        <f>IF(OR(AC44="",AB44=""),"",IFERROR(AC44/AB44-1,""))</f>
        <v/>
      </c>
    </row>
    <row r="52">
      <c r="A52" s="20" t="inlineStr">
        <is>
          <t>P/E (현재 주가)</t>
        </is>
      </c>
      <c r="B52" s="10" t="inlineStr">
        <is>
          <t>시총 ÷ 지배순이익</t>
        </is>
      </c>
      <c r="C52" s="32" t="n"/>
      <c r="D52" s="33" t="n"/>
      <c r="E52" s="33" t="n"/>
      <c r="F52" s="33" t="n"/>
      <c r="G52" s="33" t="n"/>
      <c r="H52" s="33" t="n"/>
      <c r="I52" s="33" t="n"/>
      <c r="J52" s="33" t="n"/>
      <c r="K52" s="33" t="n"/>
      <c r="L52" s="33" t="n"/>
      <c r="M52" s="33" t="n"/>
      <c r="N52" s="33" t="n"/>
      <c r="O52" s="32" t="n"/>
      <c r="P52" s="33" t="n"/>
      <c r="Q52" s="33" t="n"/>
      <c r="R52" s="33" t="n"/>
      <c r="S52" s="33" t="n"/>
      <c r="T52" s="33" t="n"/>
      <c r="U52" s="33" t="n"/>
      <c r="V52" s="33" t="n"/>
      <c r="W52" s="33" t="n"/>
      <c r="X52" s="33">
        <f>IF(OR($B$49="",X44=""),"",IFERROR($B$49/X44,""))</f>
        <v/>
      </c>
      <c r="Y52" s="32">
        <f>IF(OR($B$49="",Y44=""),"",IFERROR($B$49/Y44,""))</f>
        <v/>
      </c>
      <c r="Z52" s="33">
        <f>IF(OR($B$49="",Z44=""),"",IFERROR($B$49/Z44,""))</f>
        <v/>
      </c>
      <c r="AA52" s="33">
        <f>IF(OR($B$49="",AA44=""),"",IFERROR($B$49/AA44,""))</f>
        <v/>
      </c>
      <c r="AB52" s="33">
        <f>IF(OR($B$49="",AB44=""),"",IFERROR($B$49/AB44,""))</f>
        <v/>
      </c>
      <c r="AC52" s="33">
        <f>IF(OR($B$49="",AC44=""),"",IFERROR($B$49/AC44,""))</f>
        <v/>
      </c>
    </row>
    <row r="53">
      <c r="A53" s="20" t="inlineStr">
        <is>
          <t>Target P/E</t>
        </is>
      </c>
      <c r="B53" s="10" t="inlineStr">
        <is>
          <t>직접 입력</t>
        </is>
      </c>
      <c r="C53" s="32" t="n"/>
      <c r="D53" s="33" t="n"/>
      <c r="E53" s="33" t="n"/>
      <c r="F53" s="33" t="n"/>
      <c r="G53" s="33" t="n"/>
      <c r="H53" s="33" t="n"/>
      <c r="I53" s="33" t="n"/>
      <c r="J53" s="33" t="n"/>
      <c r="K53" s="33" t="n"/>
      <c r="L53" s="33" t="n"/>
      <c r="M53" s="33" t="n"/>
      <c r="N53" s="33" t="n"/>
      <c r="O53" s="32" t="n"/>
      <c r="P53" s="33" t="n"/>
      <c r="Q53" s="33" t="n"/>
      <c r="R53" s="33" t="n"/>
      <c r="S53" s="33" t="n"/>
      <c r="T53" s="33" t="n"/>
      <c r="U53" s="33" t="n"/>
      <c r="V53" s="33" t="n"/>
      <c r="W53" s="33" t="n"/>
      <c r="X53" s="33" t="n"/>
      <c r="Y53" s="34" t="n"/>
      <c r="Z53" s="35" t="n"/>
      <c r="AA53" s="35" t="n"/>
      <c r="AB53" s="35" t="n"/>
      <c r="AC53" s="35" t="n"/>
    </row>
    <row r="54">
      <c r="A54" s="20" t="inlineStr">
        <is>
          <t>EPS</t>
        </is>
      </c>
      <c r="B54" s="10" t="inlineStr">
        <is>
          <t>지배순이익 ÷ 주식수</t>
        </is>
      </c>
      <c r="C54" s="30" t="n"/>
      <c r="D54" s="31" t="n"/>
      <c r="E54" s="31" t="n"/>
      <c r="F54" s="31" t="n"/>
      <c r="G54" s="31" t="n"/>
      <c r="H54" s="31" t="n"/>
      <c r="I54" s="31" t="n"/>
      <c r="J54" s="31" t="n"/>
      <c r="K54" s="31" t="n"/>
      <c r="L54" s="31" t="n"/>
      <c r="M54" s="31" t="n"/>
      <c r="N54" s="31" t="n"/>
      <c r="O54" s="30">
        <f>IF(OR(O44="",$B$48=""),"",IFERROR(O44*1000000.0/$B$48,""))</f>
        <v/>
      </c>
      <c r="P54" s="31">
        <f>IF(OR(P44="",$B$48=""),"",IFERROR(P44*1000000.0/$B$48,""))</f>
        <v/>
      </c>
      <c r="Q54" s="31">
        <f>IF(OR(Q44="",$B$48=""),"",IFERROR(Q44*1000000.0/$B$48,""))</f>
        <v/>
      </c>
      <c r="R54" s="31">
        <f>IF(OR(R44="",$B$48=""),"",IFERROR(R44*1000000.0/$B$48,""))</f>
        <v/>
      </c>
      <c r="S54" s="31">
        <f>IF(OR(S44="",$B$48=""),"",IFERROR(S44*1000000.0/$B$48,""))</f>
        <v/>
      </c>
      <c r="T54" s="31">
        <f>IF(OR(T44="",$B$48=""),"",IFERROR(T44*1000000.0/$B$48,""))</f>
        <v/>
      </c>
      <c r="U54" s="31">
        <f>IF(OR(U44="",$B$48=""),"",IFERROR(U44*1000000.0/$B$48,""))</f>
        <v/>
      </c>
      <c r="V54" s="31">
        <f>IF(OR(V44="",$B$48=""),"",IFERROR(V44*1000000.0/$B$48,""))</f>
        <v/>
      </c>
      <c r="W54" s="31">
        <f>IF(OR(W44="",$B$48=""),"",IFERROR(W44*1000000.0/$B$48,""))</f>
        <v/>
      </c>
      <c r="X54" s="31">
        <f>IF(OR(X44="",$B$48=""),"",IFERROR(X44*1000000.0/$B$48,""))</f>
        <v/>
      </c>
      <c r="Y54" s="30">
        <f>IF(OR(Y44="",$B$48=""),"",IFERROR(Y44*1000000.0/$B$48,""))</f>
        <v/>
      </c>
      <c r="Z54" s="31">
        <f>IF(OR(Z44="",$B$48=""),"",IFERROR(Z44*1000000.0/$B$48,""))</f>
        <v/>
      </c>
      <c r="AA54" s="31">
        <f>IF(OR(AA44="",$B$48=""),"",IFERROR(AA44*1000000.0/$B$48,""))</f>
        <v/>
      </c>
      <c r="AB54" s="31">
        <f>IF(OR(AB44="",$B$48=""),"",IFERROR(AB44*1000000.0/$B$48,""))</f>
        <v/>
      </c>
      <c r="AC54" s="31">
        <f>IF(OR(AC44="",$B$48=""),"",IFERROR(AC44*1000000.0/$B$48,""))</f>
        <v/>
      </c>
    </row>
    <row r="55">
      <c r="A55" s="9" t="inlineStr">
        <is>
          <t>목표주가</t>
        </is>
      </c>
      <c r="B55" s="10" t="n"/>
      <c r="C55" s="36" t="n"/>
      <c r="D55" s="29" t="n"/>
      <c r="E55" s="29" t="n"/>
      <c r="F55" s="29" t="n"/>
      <c r="G55" s="29" t="n"/>
      <c r="H55" s="29" t="n"/>
      <c r="I55" s="29" t="n"/>
      <c r="J55" s="29" t="n"/>
      <c r="K55" s="29" t="n"/>
      <c r="L55" s="29" t="n"/>
      <c r="M55" s="29" t="n"/>
      <c r="N55" s="29" t="n"/>
      <c r="O55" s="36" t="n"/>
      <c r="P55" s="29" t="n"/>
      <c r="Q55" s="29" t="n"/>
      <c r="R55" s="29" t="n"/>
      <c r="S55" s="29" t="n"/>
      <c r="T55" s="29" t="n"/>
      <c r="U55" s="29" t="n"/>
      <c r="V55" s="29" t="n"/>
      <c r="W55" s="29" t="n"/>
      <c r="X55" s="29" t="n"/>
      <c r="Y55" s="36">
        <f>IF(OR(Y54="",Y53=""),"",IFERROR(Y54*Y53,""))</f>
        <v/>
      </c>
      <c r="Z55" s="29">
        <f>IF(OR(Z54="",Z53=""),"",IFERROR(Z54*Z53,""))</f>
        <v/>
      </c>
      <c r="AA55" s="29">
        <f>IF(OR(AA54="",AA53=""),"",IFERROR(AA54*AA53,""))</f>
        <v/>
      </c>
      <c r="AB55" s="29">
        <f>IF(OR(AB54="",AB53=""),"",IFERROR(AB54*AB53,""))</f>
        <v/>
      </c>
      <c r="AC55" s="29">
        <f>IF(OR(AC54="",AC53=""),"",IFERROR(AC54*AC53,""))</f>
        <v/>
      </c>
    </row>
    <row r="56">
      <c r="A56" s="20" t="inlineStr">
        <is>
          <t>상승여력</t>
        </is>
      </c>
      <c r="B56" s="10" t="n"/>
      <c r="C56" s="37" t="n"/>
      <c r="D56" s="38" t="n"/>
      <c r="E56" s="38" t="n"/>
      <c r="F56" s="38" t="n"/>
      <c r="G56" s="38" t="n"/>
      <c r="H56" s="38" t="n"/>
      <c r="I56" s="38" t="n"/>
      <c r="J56" s="38" t="n"/>
      <c r="K56" s="38" t="n"/>
      <c r="L56" s="38" t="n"/>
      <c r="M56" s="38" t="n"/>
      <c r="N56" s="38" t="n"/>
      <c r="O56" s="37" t="n"/>
      <c r="P56" s="38" t="n"/>
      <c r="Q56" s="38" t="n"/>
      <c r="R56" s="38" t="n"/>
      <c r="S56" s="38" t="n"/>
      <c r="T56" s="38" t="n"/>
      <c r="U56" s="38" t="n"/>
      <c r="V56" s="38" t="n"/>
      <c r="W56" s="38" t="n"/>
      <c r="X56" s="38" t="n"/>
      <c r="Y56" s="39">
        <f>IF(OR(Y55="",$B$47=""),"",IFERROR(Y55/$B$47-1,""))</f>
        <v/>
      </c>
      <c r="Z56" s="40">
        <f>IF(OR(Z55="",$B$47=""),"",IFERROR(Z55/$B$47-1,""))</f>
        <v/>
      </c>
      <c r="AA56" s="40">
        <f>IF(OR(AA55="",$B$47=""),"",IFERROR(AA55/$B$47-1,""))</f>
        <v/>
      </c>
      <c r="AB56" s="40">
        <f>IF(OR(AB55="",$B$47=""),"",IFERROR(AB55/$B$47-1,""))</f>
        <v/>
      </c>
      <c r="AC56" s="40">
        <f>IF(OR(AC55="",$B$47=""),"",IFERROR(AC55/$B$47-1,""))</f>
        <v/>
      </c>
    </row>
    <row r="57">
      <c r="A57" s="18" t="inlineStr">
        <is>
          <t>자산가치 산출</t>
        </is>
      </c>
      <c r="B57" s="18" t="inlineStr">
        <is>
          <t>최신 분기 BS</t>
        </is>
      </c>
      <c r="C57" s="19" t="n"/>
      <c r="D57" s="18" t="n"/>
      <c r="E57" s="18" t="n"/>
      <c r="F57" s="18" t="n"/>
      <c r="G57" s="18" t="n"/>
      <c r="H57" s="18" t="n"/>
      <c r="I57" s="18" t="n"/>
      <c r="J57" s="18" t="n"/>
      <c r="K57" s="18" t="n"/>
      <c r="L57" s="18" t="n"/>
      <c r="M57" s="18" t="n"/>
      <c r="N57" s="18" t="n"/>
      <c r="O57" s="19" t="n"/>
      <c r="P57" s="18" t="n"/>
      <c r="Q57" s="18" t="n"/>
      <c r="R57" s="18" t="n"/>
      <c r="S57" s="18" t="n"/>
      <c r="T57" s="18" t="n"/>
      <c r="U57" s="18" t="n"/>
      <c r="V57" s="18" t="n"/>
      <c r="W57" s="18" t="n"/>
      <c r="X57" s="18" t="n"/>
      <c r="Y57" s="19" t="n"/>
      <c r="Z57" s="18" t="n"/>
      <c r="AA57" s="18" t="n"/>
      <c r="AB57" s="18" t="n"/>
      <c r="AC57" s="18" t="n"/>
    </row>
    <row r="58">
      <c r="A58" s="20" t="inlineStr">
        <is>
          <t>현금및현금성자산</t>
        </is>
      </c>
      <c r="B58" s="10" t="n"/>
      <c r="C58" s="21" t="n"/>
      <c r="D58" s="22" t="n"/>
      <c r="E58" s="22" t="n"/>
      <c r="F58" s="22" t="n"/>
      <c r="G58" s="22" t="n"/>
      <c r="H58" s="22" t="n"/>
      <c r="I58" s="22" t="n"/>
      <c r="J58" s="22" t="n"/>
      <c r="K58" s="22" t="n"/>
      <c r="L58" s="22" t="n"/>
      <c r="M58" s="22" t="n"/>
      <c r="N58" s="22" t="n"/>
      <c r="O58" s="21" t="n"/>
      <c r="P58" s="22" t="n"/>
      <c r="Q58" s="22" t="n"/>
      <c r="R58" s="22" t="n"/>
      <c r="S58" s="22" t="n"/>
      <c r="T58" s="22" t="n"/>
      <c r="U58" s="22" t="n"/>
      <c r="V58" s="22" t="n"/>
      <c r="W58" s="22" t="n"/>
      <c r="X58" s="22">
        <f>'재무상태표'!G6</f>
        <v/>
      </c>
      <c r="Y58" s="21">
        <f>'재무상태표'!G6</f>
        <v/>
      </c>
      <c r="Z58" s="22">
        <f>'재무상태표'!G6</f>
        <v/>
      </c>
      <c r="AA58" s="22">
        <f>'재무상태표'!G6</f>
        <v/>
      </c>
      <c r="AB58" s="22">
        <f>'재무상태표'!G6</f>
        <v/>
      </c>
      <c r="AC58" s="22">
        <f>'재무상태표'!G6</f>
        <v/>
      </c>
    </row>
    <row r="59">
      <c r="A59" s="20" t="inlineStr">
        <is>
          <t>단기금융상품</t>
        </is>
      </c>
      <c r="B59" s="10" t="n"/>
      <c r="C59" s="21" t="n"/>
      <c r="D59" s="22" t="n"/>
      <c r="E59" s="22" t="n"/>
      <c r="F59" s="22" t="n"/>
      <c r="G59" s="22" t="n"/>
      <c r="H59" s="22" t="n"/>
      <c r="I59" s="22" t="n"/>
      <c r="J59" s="22" t="n"/>
      <c r="K59" s="22" t="n"/>
      <c r="L59" s="22" t="n"/>
      <c r="M59" s="22" t="n"/>
      <c r="N59" s="22" t="n"/>
      <c r="O59" s="21" t="n"/>
      <c r="P59" s="22" t="n"/>
      <c r="Q59" s="22" t="n"/>
      <c r="R59" s="22" t="n"/>
      <c r="S59" s="22" t="n"/>
      <c r="T59" s="22" t="n"/>
      <c r="U59" s="22" t="n"/>
      <c r="V59" s="22" t="n"/>
      <c r="W59" s="22" t="n"/>
      <c r="X59" s="22">
        <f>'재무상태표'!G7</f>
        <v/>
      </c>
      <c r="Y59" s="21">
        <f>'재무상태표'!G7</f>
        <v/>
      </c>
      <c r="Z59" s="22">
        <f>'재무상태표'!G7</f>
        <v/>
      </c>
      <c r="AA59" s="22">
        <f>'재무상태표'!G7</f>
        <v/>
      </c>
      <c r="AB59" s="22">
        <f>'재무상태표'!G7</f>
        <v/>
      </c>
      <c r="AC59" s="22">
        <f>'재무상태표'!G7</f>
        <v/>
      </c>
    </row>
    <row r="60">
      <c r="A60" s="20" t="inlineStr">
        <is>
          <t>투자부동산</t>
        </is>
      </c>
      <c r="B60" s="10" t="n"/>
      <c r="C60" s="21" t="n"/>
      <c r="D60" s="22" t="n"/>
      <c r="E60" s="22" t="n"/>
      <c r="F60" s="22" t="n"/>
      <c r="G60" s="22" t="n"/>
      <c r="H60" s="22" t="n"/>
      <c r="I60" s="22" t="n"/>
      <c r="J60" s="22" t="n"/>
      <c r="K60" s="22" t="n"/>
      <c r="L60" s="22" t="n"/>
      <c r="M60" s="22" t="n"/>
      <c r="N60" s="22" t="n"/>
      <c r="O60" s="21" t="n"/>
      <c r="P60" s="22" t="n"/>
      <c r="Q60" s="22" t="n"/>
      <c r="R60" s="22" t="n"/>
      <c r="S60" s="22" t="n"/>
      <c r="T60" s="22" t="n"/>
      <c r="U60" s="22" t="n"/>
      <c r="V60" s="22" t="n"/>
      <c r="W60" s="22" t="n"/>
      <c r="X60" s="22">
        <f>'재무상태표'!G14</f>
        <v/>
      </c>
      <c r="Y60" s="21">
        <f>'재무상태표'!G14</f>
        <v/>
      </c>
      <c r="Z60" s="22">
        <f>'재무상태표'!G14</f>
        <v/>
      </c>
      <c r="AA60" s="22">
        <f>'재무상태표'!G14</f>
        <v/>
      </c>
      <c r="AB60" s="22">
        <f>'재무상태표'!G14</f>
        <v/>
      </c>
      <c r="AC60" s="22">
        <f>'재무상태표'!G14</f>
        <v/>
      </c>
    </row>
    <row r="61">
      <c r="A61" s="20" t="inlineStr">
        <is>
          <t>지배자본</t>
        </is>
      </c>
      <c r="B61" s="10" t="n"/>
      <c r="C61" s="21" t="n"/>
      <c r="D61" s="22" t="n"/>
      <c r="E61" s="22" t="n"/>
      <c r="F61" s="22" t="n"/>
      <c r="G61" s="22" t="n"/>
      <c r="H61" s="22" t="n"/>
      <c r="I61" s="22" t="n"/>
      <c r="J61" s="22" t="n"/>
      <c r="K61" s="22" t="n"/>
      <c r="L61" s="22" t="n"/>
      <c r="M61" s="22" t="n"/>
      <c r="N61" s="22" t="n"/>
      <c r="O61" s="21" t="n"/>
      <c r="P61" s="22" t="n"/>
      <c r="Q61" s="22" t="n"/>
      <c r="R61" s="22" t="n"/>
      <c r="S61" s="22" t="n"/>
      <c r="T61" s="22" t="n"/>
      <c r="U61" s="22" t="n"/>
      <c r="V61" s="22" t="n"/>
      <c r="W61" s="22" t="n"/>
      <c r="X61" s="22">
        <f>'재무상태표'!G31</f>
        <v/>
      </c>
      <c r="Y61" s="21">
        <f>'재무상태표'!G31</f>
        <v/>
      </c>
      <c r="Z61" s="22">
        <f>'재무상태표'!G31</f>
        <v/>
      </c>
      <c r="AA61" s="22">
        <f>'재무상태표'!G31</f>
        <v/>
      </c>
      <c r="AB61" s="22">
        <f>'재무상태표'!G31</f>
        <v/>
      </c>
      <c r="AC61" s="22">
        <f>'재무상태표'!G31</f>
        <v/>
      </c>
    </row>
    <row r="62">
      <c r="A62" s="20" t="inlineStr">
        <is>
          <t>부채</t>
        </is>
      </c>
      <c r="B62" s="10" t="n"/>
      <c r="C62" s="21" t="n"/>
      <c r="D62" s="22" t="n"/>
      <c r="E62" s="22" t="n"/>
      <c r="F62" s="22" t="n"/>
      <c r="G62" s="22" t="n"/>
      <c r="H62" s="22" t="n"/>
      <c r="I62" s="22" t="n"/>
      <c r="J62" s="22" t="n"/>
      <c r="K62" s="22" t="n"/>
      <c r="L62" s="22" t="n"/>
      <c r="M62" s="22" t="n"/>
      <c r="N62" s="22" t="n"/>
      <c r="O62" s="21" t="n"/>
      <c r="P62" s="22" t="n"/>
      <c r="Q62" s="22" t="n"/>
      <c r="R62" s="22" t="n"/>
      <c r="S62" s="22" t="n"/>
      <c r="T62" s="22" t="n"/>
      <c r="U62" s="22" t="n"/>
      <c r="V62" s="22" t="n"/>
      <c r="W62" s="22" t="n"/>
      <c r="X62" s="22">
        <f>'재무상태표'!G27</f>
        <v/>
      </c>
      <c r="Y62" s="21">
        <f>'재무상태표'!G27</f>
        <v/>
      </c>
      <c r="Z62" s="22">
        <f>'재무상태표'!G27</f>
        <v/>
      </c>
      <c r="AA62" s="22">
        <f>'재무상태표'!G27</f>
        <v/>
      </c>
      <c r="AB62" s="22">
        <f>'재무상태표'!G27</f>
        <v/>
      </c>
      <c r="AC62" s="22">
        <f>'재무상태표'!G27</f>
        <v/>
      </c>
    </row>
    <row r="63">
      <c r="A63" s="15" t="inlineStr">
        <is>
          <t>부채비율</t>
        </is>
      </c>
      <c r="B63" s="10" t="n"/>
      <c r="C63" s="16" t="n"/>
      <c r="D63" s="17" t="n"/>
      <c r="E63" s="17" t="n"/>
      <c r="F63" s="17" t="n"/>
      <c r="G63" s="17" t="n"/>
      <c r="H63" s="17" t="n"/>
      <c r="I63" s="17" t="n"/>
      <c r="J63" s="17" t="n"/>
      <c r="K63" s="17" t="n"/>
      <c r="L63" s="17" t="n"/>
      <c r="M63" s="17" t="n"/>
      <c r="N63" s="17" t="n"/>
      <c r="O63" s="16" t="n"/>
      <c r="P63" s="17" t="n"/>
      <c r="Q63" s="17" t="n"/>
      <c r="R63" s="17" t="n"/>
      <c r="S63" s="17" t="n"/>
      <c r="T63" s="17" t="n"/>
      <c r="U63" s="17" t="n"/>
      <c r="V63" s="17" t="n"/>
      <c r="W63" s="17" t="n"/>
      <c r="X63" s="17">
        <f>IF(OR(X62="",X61=""),"",IFERROR(X62/X61,""))</f>
        <v/>
      </c>
      <c r="Y63" s="16">
        <f>IF(OR(Y62="",Y61=""),"",IFERROR(Y62/Y61,""))</f>
        <v/>
      </c>
      <c r="Z63" s="17">
        <f>IF(OR(Z62="",Z61=""),"",IFERROR(Z62/Z61,""))</f>
        <v/>
      </c>
      <c r="AA63" s="17">
        <f>IF(OR(AA62="",AA61=""),"",IFERROR(AA62/AA61,""))</f>
        <v/>
      </c>
      <c r="AB63" s="17">
        <f>IF(OR(AB62="",AB61=""),"",IFERROR(AB62/AB61,""))</f>
        <v/>
      </c>
      <c r="AC63" s="17">
        <f>IF(OR(AC62="",AC61=""),"",IFERROR(AC62/AC61,""))</f>
        <v/>
      </c>
    </row>
    <row r="64">
      <c r="A64" s="9" t="inlineStr">
        <is>
          <t>자산가치</t>
        </is>
      </c>
      <c r="B64" s="10" t="inlineStr">
        <is>
          <t>현금+단기금융+투자부동산</t>
        </is>
      </c>
      <c r="C64" s="11" t="n"/>
      <c r="D64" s="12" t="n"/>
      <c r="E64" s="12" t="n"/>
      <c r="F64" s="12" t="n"/>
      <c r="G64" s="12" t="n"/>
      <c r="H64" s="12" t="n"/>
      <c r="I64" s="12" t="n"/>
      <c r="J64" s="12" t="n"/>
      <c r="K64" s="12" t="n"/>
      <c r="L64" s="12" t="n"/>
      <c r="M64" s="12" t="n"/>
      <c r="N64" s="12" t="n"/>
      <c r="O64" s="11" t="n"/>
      <c r="P64" s="12" t="n"/>
      <c r="Q64" s="12" t="n"/>
      <c r="R64" s="12" t="n"/>
      <c r="S64" s="12" t="n"/>
      <c r="T64" s="12" t="n"/>
      <c r="U64" s="12" t="n"/>
      <c r="V64" s="12" t="n"/>
      <c r="W64" s="12" t="n"/>
      <c r="X64" s="12">
        <f>SUM(X58,X59,X60)</f>
        <v/>
      </c>
      <c r="Y64" s="11">
        <f>SUM(Y58,Y59,Y60)</f>
        <v/>
      </c>
      <c r="Z64" s="12">
        <f>SUM(Z58,Z59,Z60)</f>
        <v/>
      </c>
      <c r="AA64" s="12">
        <f>SUM(AA58,AA59,AA60)</f>
        <v/>
      </c>
      <c r="AB64" s="12">
        <f>SUM(AB58,AB59,AB60)</f>
        <v/>
      </c>
      <c r="AC64" s="12">
        <f>SUM(AC58,AC59,AC60)</f>
        <v/>
      </c>
    </row>
    <row r="65">
      <c r="A65" s="18" t="inlineStr">
        <is>
          <t>기업가치 산출</t>
        </is>
      </c>
      <c r="B65" s="18" t="n"/>
      <c r="C65" s="19" t="n"/>
      <c r="D65" s="18" t="n"/>
      <c r="E65" s="18" t="n"/>
      <c r="F65" s="18" t="n"/>
      <c r="G65" s="18" t="n"/>
      <c r="H65" s="18" t="n"/>
      <c r="I65" s="18" t="n"/>
      <c r="J65" s="18" t="n"/>
      <c r="K65" s="18" t="n"/>
      <c r="L65" s="18" t="n"/>
      <c r="M65" s="18" t="n"/>
      <c r="N65" s="18" t="n"/>
      <c r="O65" s="19" t="n"/>
      <c r="P65" s="18" t="n"/>
      <c r="Q65" s="18" t="n"/>
      <c r="R65" s="18" t="n"/>
      <c r="S65" s="18" t="n"/>
      <c r="T65" s="18" t="n"/>
      <c r="U65" s="18" t="n"/>
      <c r="V65" s="18" t="n"/>
      <c r="W65" s="18" t="n"/>
      <c r="X65" s="18" t="n"/>
      <c r="Y65" s="19" t="n"/>
      <c r="Z65" s="18" t="n"/>
      <c r="AA65" s="18" t="n"/>
      <c r="AB65" s="18" t="n"/>
      <c r="AC65" s="18" t="n"/>
    </row>
    <row r="66">
      <c r="A66" s="20" t="inlineStr">
        <is>
          <t>목표 시가총액 (P/E)</t>
        </is>
      </c>
      <c r="B66" s="10" t="inlineStr">
        <is>
          <t>지배순이익 × Target P/E</t>
        </is>
      </c>
      <c r="C66" s="21" t="n"/>
      <c r="D66" s="22" t="n"/>
      <c r="E66" s="22" t="n"/>
      <c r="F66" s="22" t="n"/>
      <c r="G66" s="22" t="n"/>
      <c r="H66" s="22" t="n"/>
      <c r="I66" s="22" t="n"/>
      <c r="J66" s="22" t="n"/>
      <c r="K66" s="22" t="n"/>
      <c r="L66" s="22" t="n"/>
      <c r="M66" s="22" t="n"/>
      <c r="N66" s="22" t="n"/>
      <c r="O66" s="21" t="n"/>
      <c r="P66" s="22" t="n"/>
      <c r="Q66" s="22" t="n"/>
      <c r="R66" s="22" t="n"/>
      <c r="S66" s="22" t="n"/>
      <c r="T66" s="22" t="n"/>
      <c r="U66" s="22" t="n"/>
      <c r="V66" s="22" t="n"/>
      <c r="W66" s="22" t="n"/>
      <c r="X66" s="22" t="n"/>
      <c r="Y66" s="21">
        <f>IF(OR(Y44="",Y53=""),"",IFERROR(Y44*Y53,""))</f>
        <v/>
      </c>
      <c r="Z66" s="22">
        <f>IF(OR(Z44="",Z53=""),"",IFERROR(Z44*Z53,""))</f>
        <v/>
      </c>
      <c r="AA66" s="22">
        <f>IF(OR(AA44="",AA53=""),"",IFERROR(AA44*AA53,""))</f>
        <v/>
      </c>
      <c r="AB66" s="22">
        <f>IF(OR(AB44="",AB53=""),"",IFERROR(AB44*AB53,""))</f>
        <v/>
      </c>
      <c r="AC66" s="22">
        <f>IF(OR(AC44="",AC53=""),"",IFERROR(AC44*AC53,""))</f>
        <v/>
      </c>
    </row>
    <row r="67">
      <c r="A67" s="9" t="inlineStr">
        <is>
          <t>기업가치</t>
        </is>
      </c>
      <c r="B67" s="10" t="inlineStr">
        <is>
          <t>목표시총 + 자산가치</t>
        </is>
      </c>
      <c r="C67" s="11" t="n"/>
      <c r="D67" s="12" t="n"/>
      <c r="E67" s="12" t="n"/>
      <c r="F67" s="12" t="n"/>
      <c r="G67" s="12" t="n"/>
      <c r="H67" s="12" t="n"/>
      <c r="I67" s="12" t="n"/>
      <c r="J67" s="12" t="n"/>
      <c r="K67" s="12" t="n"/>
      <c r="L67" s="12" t="n"/>
      <c r="M67" s="12" t="n"/>
      <c r="N67" s="12" t="n"/>
      <c r="O67" s="11" t="n"/>
      <c r="P67" s="12" t="n"/>
      <c r="Q67" s="12" t="n"/>
      <c r="R67" s="12" t="n"/>
      <c r="S67" s="12" t="n"/>
      <c r="T67" s="12" t="n"/>
      <c r="U67" s="12" t="n"/>
      <c r="V67" s="12" t="n"/>
      <c r="W67" s="12" t="n"/>
      <c r="X67" s="12" t="n"/>
      <c r="Y67" s="11">
        <f>IF(OR(Y66=""),"",IFERROR(Y66+Y64,""))</f>
        <v/>
      </c>
      <c r="Z67" s="12">
        <f>IF(OR(Z66=""),"",IFERROR(Z66+Z64,""))</f>
        <v/>
      </c>
      <c r="AA67" s="12">
        <f>IF(OR(AA66=""),"",IFERROR(AA66+AA64,""))</f>
        <v/>
      </c>
      <c r="AB67" s="12">
        <f>IF(OR(AB66=""),"",IFERROR(AB66+AB64,""))</f>
        <v/>
      </c>
      <c r="AC67" s="12">
        <f>IF(OR(AC66=""),"",IFERROR(AC66+AC64,""))</f>
        <v/>
      </c>
    </row>
    <row r="68">
      <c r="A68" s="20" t="inlineStr">
        <is>
          <t>현재 시가총액</t>
        </is>
      </c>
      <c r="B68" s="10" t="n"/>
      <c r="C68" s="21" t="n"/>
      <c r="D68" s="22" t="n"/>
      <c r="E68" s="22" t="n"/>
      <c r="F68" s="22" t="n"/>
      <c r="G68" s="22" t="n"/>
      <c r="H68" s="22" t="n"/>
      <c r="I68" s="22" t="n"/>
      <c r="J68" s="22" t="n"/>
      <c r="K68" s="22" t="n"/>
      <c r="L68" s="22" t="n"/>
      <c r="M68" s="22" t="n"/>
      <c r="N68" s="22" t="n"/>
      <c r="O68" s="21" t="n"/>
      <c r="P68" s="22" t="n"/>
      <c r="Q68" s="22" t="n"/>
      <c r="R68" s="22" t="n"/>
      <c r="S68" s="22" t="n"/>
      <c r="T68" s="22" t="n"/>
      <c r="U68" s="22" t="n"/>
      <c r="V68" s="22" t="n"/>
      <c r="W68" s="22" t="n"/>
      <c r="X68" s="22" t="n"/>
      <c r="Y68" s="21">
        <f>$B$49</f>
        <v/>
      </c>
      <c r="Z68" s="22">
        <f>$B$49</f>
        <v/>
      </c>
      <c r="AA68" s="22">
        <f>$B$49</f>
        <v/>
      </c>
      <c r="AB68" s="22">
        <f>$B$49</f>
        <v/>
      </c>
      <c r="AC68" s="22">
        <f>$B$49</f>
        <v/>
      </c>
    </row>
    <row r="69">
      <c r="A69" s="20" t="inlineStr">
        <is>
          <t>상승여력</t>
        </is>
      </c>
      <c r="B69" s="10" t="n"/>
      <c r="C69" s="37" t="n"/>
      <c r="D69" s="38" t="n"/>
      <c r="E69" s="38" t="n"/>
      <c r="F69" s="38" t="n"/>
      <c r="G69" s="38" t="n"/>
      <c r="H69" s="38" t="n"/>
      <c r="I69" s="38" t="n"/>
      <c r="J69" s="38" t="n"/>
      <c r="K69" s="38" t="n"/>
      <c r="L69" s="38" t="n"/>
      <c r="M69" s="38" t="n"/>
      <c r="N69" s="38" t="n"/>
      <c r="O69" s="37" t="n"/>
      <c r="P69" s="38" t="n"/>
      <c r="Q69" s="38" t="n"/>
      <c r="R69" s="38" t="n"/>
      <c r="S69" s="38" t="n"/>
      <c r="T69" s="38" t="n"/>
      <c r="U69" s="38" t="n"/>
      <c r="V69" s="38" t="n"/>
      <c r="W69" s="38" t="n"/>
      <c r="X69" s="38" t="n"/>
      <c r="Y69" s="39">
        <f>IF(OR(Y67="",Y68=""),"",IFERROR(Y67/Y68-1,""))</f>
        <v/>
      </c>
      <c r="Z69" s="40">
        <f>IF(OR(Z67="",Z68=""),"",IFERROR(Z67/Z68-1,""))</f>
        <v/>
      </c>
      <c r="AA69" s="40">
        <f>IF(OR(AA67="",AA68=""),"",IFERROR(AA67/AA68-1,""))</f>
        <v/>
      </c>
      <c r="AB69" s="40">
        <f>IF(OR(AB67="",AB68=""),"",IFERROR(AB67/AB68-1,""))</f>
        <v/>
      </c>
      <c r="AC69" s="40">
        <f>IF(OR(AC67="",AC68=""),"",IFERROR(AC67/AC68-1,""))</f>
        <v/>
      </c>
    </row>
    <row r="70">
      <c r="C70" s="41" t="n"/>
      <c r="O70" s="41" t="n"/>
      <c r="Y70" s="41" t="n"/>
    </row>
    <row r="71">
      <c r="A71" s="42" t="inlineStr">
        <is>
          <t>출처</t>
        </is>
      </c>
      <c r="C71" s="41" t="n"/>
      <c r="O71" s="41" t="n"/>
      <c r="Y71" s="41" t="n"/>
    </row>
    <row r="72">
      <c r="A72" s="43" t="inlineStr">
        <is>
          <t>결산단신 XBRL(TDnet·JPX 보관소) — 쓴 문서는 '출처' 시트</t>
        </is>
      </c>
      <c r="C72" s="41" t="n"/>
      <c r="O72" s="41" t="n"/>
      <c r="Y72" s="41" t="n"/>
    </row>
    <row r="73">
      <c r="A73" s="43" t="inlineStr">
        <is>
          <t>분기 = 누계에서 앞 분기를 뺀 3개월 값</t>
        </is>
      </c>
      <c r="C73" s="41" t="n"/>
      <c r="O73" s="41" t="n"/>
      <c r="Y73" s="41" t="n"/>
    </row>
    <row r="74">
      <c r="A74" s="43" t="inlineStr">
        <is>
          <t>주가: 야후 파이낸스 일봉</t>
        </is>
      </c>
      <c r="C74" s="41" t="n"/>
      <c r="O74" s="41" t="n"/>
      <c r="Y74" s="41" t="n"/>
    </row>
    <row r="76">
      <c r="A76" s="18" t="inlineStr">
        <is>
          <t>손익계산서 · 전 항목</t>
        </is>
      </c>
      <c r="B76" s="44" t="inlineStr">
        <is>
          <t>분기 = 3개월 단독</t>
        </is>
      </c>
      <c r="C76" s="18" t="n"/>
      <c r="D76" s="18" t="n"/>
      <c r="E76" s="18" t="n"/>
      <c r="F76" s="18" t="n"/>
      <c r="G76" s="18" t="n"/>
      <c r="H76" s="18" t="n"/>
      <c r="I76" s="18" t="n"/>
      <c r="J76" s="18" t="n"/>
      <c r="K76" s="18" t="n"/>
      <c r="L76" s="18" t="n"/>
      <c r="M76" s="18" t="n"/>
      <c r="N76" s="18" t="n"/>
      <c r="O76" s="18" t="n"/>
      <c r="P76" s="18" t="n"/>
      <c r="Q76" s="18" t="n"/>
      <c r="R76" s="18" t="n"/>
      <c r="S76" s="18" t="n"/>
      <c r="T76" s="18" t="n"/>
      <c r="U76" s="18" t="n"/>
      <c r="V76" s="18" t="n"/>
      <c r="W76" s="18" t="n"/>
      <c r="X76" s="18" t="n"/>
      <c r="Y76" s="18" t="n"/>
      <c r="Z76" s="18" t="n"/>
      <c r="AA76" s="18" t="n"/>
      <c r="AB76" s="18" t="n"/>
      <c r="AC76" s="18" t="n"/>
    </row>
    <row r="77">
      <c r="A77" s="5" t="inlineStr">
        <is>
          <t>항목</t>
        </is>
      </c>
      <c r="B77" s="5" t="inlineStr">
        <is>
          <t>참고</t>
        </is>
      </c>
      <c r="C77" s="5" t="inlineStr">
        <is>
          <t>2024.2Q</t>
        </is>
      </c>
      <c r="D77" s="5" t="inlineStr">
        <is>
          <t>2024.3Q</t>
        </is>
      </c>
      <c r="E77" s="5" t="inlineStr">
        <is>
          <t>2024.4Q</t>
        </is>
      </c>
      <c r="F77" s="5" t="inlineStr">
        <is>
          <t>2025.1Q</t>
        </is>
      </c>
      <c r="G77" s="5" t="inlineStr">
        <is>
          <t>2025.2Q</t>
        </is>
      </c>
      <c r="H77" s="5" t="inlineStr">
        <is>
          <t>2025.3Q</t>
        </is>
      </c>
      <c r="I77" s="5" t="inlineStr">
        <is>
          <t>2025.4Q</t>
        </is>
      </c>
      <c r="J77" s="5" t="inlineStr">
        <is>
          <t>2026.1Q</t>
        </is>
      </c>
      <c r="K77" s="5" t="inlineStr">
        <is>
          <t>2026.2Q</t>
        </is>
      </c>
      <c r="L77" s="5" t="inlineStr">
        <is>
          <t>2026.3Q</t>
        </is>
      </c>
      <c r="M77" s="5" t="inlineStr">
        <is>
          <t>2026.4Q</t>
        </is>
      </c>
      <c r="N77" s="5" t="inlineStr">
        <is>
          <t>2027.1Q</t>
        </is>
      </c>
      <c r="O77" s="5" t="inlineStr">
        <is>
          <t>2017</t>
        </is>
      </c>
      <c r="P77" s="5" t="inlineStr">
        <is>
          <t>2018</t>
        </is>
      </c>
      <c r="Q77" s="5" t="inlineStr">
        <is>
          <t>2019</t>
        </is>
      </c>
      <c r="R77" s="5" t="inlineStr">
        <is>
          <t>2020</t>
        </is>
      </c>
      <c r="S77" s="5" t="inlineStr">
        <is>
          <t>2021</t>
        </is>
      </c>
      <c r="T77" s="5" t="inlineStr">
        <is>
          <t>2022</t>
        </is>
      </c>
      <c r="U77" s="5" t="inlineStr">
        <is>
          <t>2023</t>
        </is>
      </c>
      <c r="V77" s="5" t="inlineStr">
        <is>
          <t>2024</t>
        </is>
      </c>
      <c r="W77" s="5" t="inlineStr">
        <is>
          <t>2025</t>
        </is>
      </c>
      <c r="X77" s="5" t="inlineStr">
        <is>
          <t>2026</t>
        </is>
      </c>
      <c r="Y77" s="5" t="inlineStr">
        <is>
          <t>2027(MW)</t>
        </is>
      </c>
      <c r="Z77" s="5" t="inlineStr">
        <is>
          <t>2028(MW)</t>
        </is>
      </c>
      <c r="AA77" s="5" t="inlineStr">
        <is>
          <t>2029(MW)</t>
        </is>
      </c>
      <c r="AB77" s="5" t="inlineStr">
        <is>
          <t>2030(MW)</t>
        </is>
      </c>
      <c r="AC77" s="5" t="inlineStr">
        <is>
          <t>2031(MW)</t>
        </is>
      </c>
    </row>
    <row r="78">
      <c r="A78" s="9" t="inlineStr">
        <is>
          <t>매출액</t>
        </is>
      </c>
      <c r="C78" s="12" t="n">
        <v>3795.182</v>
      </c>
      <c r="D78" s="12" t="n">
        <v>3477.945</v>
      </c>
      <c r="E78" s="12" t="n">
        <v>3558.463</v>
      </c>
      <c r="F78" s="12" t="n">
        <v>3898.988</v>
      </c>
      <c r="G78" s="12" t="n">
        <v>4315.453</v>
      </c>
      <c r="H78" s="12" t="n">
        <v>3971.271</v>
      </c>
      <c r="I78" s="12" t="n">
        <v>3848.053</v>
      </c>
      <c r="J78" s="12" t="n">
        <v>4646.936</v>
      </c>
      <c r="K78" s="12" t="n">
        <v>4700.173</v>
      </c>
      <c r="L78" s="12" t="n">
        <v>4543.228</v>
      </c>
      <c r="M78" s="12" t="n">
        <v>4734.186</v>
      </c>
      <c r="N78" s="12" t="n">
        <v>6053.58</v>
      </c>
      <c r="T78" s="12" t="n">
        <v>4505.293</v>
      </c>
      <c r="U78" s="12" t="n">
        <v>4081.44</v>
      </c>
      <c r="V78" s="12" t="n">
        <v>3558.463</v>
      </c>
      <c r="W78" s="12" t="n">
        <v>3848.053</v>
      </c>
      <c r="X78" s="12" t="n">
        <v>4734.186</v>
      </c>
    </row>
    <row r="79">
      <c r="A79" s="20" t="inlineStr">
        <is>
          <t>매출원가</t>
        </is>
      </c>
      <c r="C79" s="22" t="n">
        <v>2735.915</v>
      </c>
      <c r="D79" s="22" t="n">
        <v>2634.186</v>
      </c>
      <c r="E79" s="22" t="n">
        <v>3008.425</v>
      </c>
      <c r="F79" s="22" t="n">
        <v>2637.133</v>
      </c>
      <c r="G79" s="22" t="n">
        <v>2866.788</v>
      </c>
      <c r="H79" s="22" t="n">
        <v>3070.691</v>
      </c>
      <c r="I79" s="22" t="n">
        <v>3007.483</v>
      </c>
      <c r="J79" s="22" t="n">
        <v>3260.376</v>
      </c>
      <c r="K79" s="22" t="n">
        <v>3247.362</v>
      </c>
      <c r="L79" s="22" t="n">
        <v>3131.752</v>
      </c>
      <c r="M79" s="22" t="n">
        <v>3289.002</v>
      </c>
      <c r="N79" s="22" t="n">
        <v>3652.132</v>
      </c>
      <c r="T79" s="22" t="n">
        <v>3138.893</v>
      </c>
      <c r="U79" s="22" t="n">
        <v>3065.681</v>
      </c>
      <c r="V79" s="22" t="n">
        <v>3008.425</v>
      </c>
      <c r="W79" s="22" t="n">
        <v>3007.483</v>
      </c>
      <c r="X79" s="22" t="n">
        <v>3289.002</v>
      </c>
    </row>
    <row r="80">
      <c r="A80" s="9" t="inlineStr">
        <is>
          <t>매출총이익</t>
        </is>
      </c>
      <c r="C80" s="12" t="n">
        <v>1059.267</v>
      </c>
      <c r="D80" s="12" t="n">
        <v>843.758</v>
      </c>
      <c r="E80" s="12" t="n">
        <v>550.038</v>
      </c>
      <c r="F80" s="12" t="n">
        <v>1261.855</v>
      </c>
      <c r="G80" s="12" t="n">
        <v>1448.665</v>
      </c>
      <c r="H80" s="12" t="n">
        <v>900.579</v>
      </c>
      <c r="I80" s="12" t="n">
        <v>840.571</v>
      </c>
      <c r="J80" s="12" t="n">
        <v>1386.56</v>
      </c>
      <c r="K80" s="12" t="n">
        <v>1452.811</v>
      </c>
      <c r="L80" s="12" t="n">
        <v>1411.476</v>
      </c>
      <c r="M80" s="12" t="n">
        <v>1445.184</v>
      </c>
      <c r="N80" s="12" t="n">
        <v>2401.447</v>
      </c>
      <c r="T80" s="12" t="n">
        <v>1366.4</v>
      </c>
      <c r="U80" s="12" t="n">
        <v>1015.759</v>
      </c>
      <c r="V80" s="12" t="n">
        <v>550.038</v>
      </c>
      <c r="W80" s="12" t="n">
        <v>840.571</v>
      </c>
      <c r="X80" s="12" t="n">
        <v>1445.184</v>
      </c>
    </row>
    <row r="81">
      <c r="A81" s="20" t="inlineStr">
        <is>
          <t>판매비와 관리비</t>
        </is>
      </c>
      <c r="C81" s="22" t="n">
        <v>492.748</v>
      </c>
      <c r="D81" s="22" t="n">
        <v>483.482</v>
      </c>
      <c r="E81" s="22" t="n">
        <v>458.431</v>
      </c>
      <c r="F81" s="22" t="n">
        <v>488.723</v>
      </c>
      <c r="G81" s="22" t="n">
        <v>496.722</v>
      </c>
      <c r="H81" s="22" t="n">
        <v>495.695</v>
      </c>
      <c r="I81" s="22" t="n">
        <v>509.879</v>
      </c>
      <c r="J81" s="22" t="n">
        <v>530.188</v>
      </c>
      <c r="K81" s="22" t="n">
        <v>524.813</v>
      </c>
      <c r="L81" s="22" t="n">
        <v>549.044</v>
      </c>
      <c r="M81" s="22" t="n">
        <v>558.573</v>
      </c>
      <c r="N81" s="22" t="n">
        <v>623.523</v>
      </c>
      <c r="T81" s="22" t="n">
        <v>565.226</v>
      </c>
      <c r="U81" s="22" t="n">
        <v>570.995</v>
      </c>
      <c r="V81" s="22" t="n">
        <v>458.431</v>
      </c>
      <c r="W81" s="22" t="n">
        <v>509.879</v>
      </c>
      <c r="X81" s="22" t="n">
        <v>558.573</v>
      </c>
    </row>
    <row r="82">
      <c r="A82" s="9" t="inlineStr">
        <is>
          <t>영업이익</t>
        </is>
      </c>
      <c r="C82" s="12" t="n">
        <v>566.519</v>
      </c>
      <c r="D82" s="12" t="n">
        <v>360.277</v>
      </c>
      <c r="E82" s="12" t="n">
        <v>91.607</v>
      </c>
      <c r="F82" s="12" t="n">
        <v>773.131</v>
      </c>
      <c r="G82" s="12" t="n">
        <v>951.944</v>
      </c>
      <c r="H82" s="12" t="n">
        <v>404.884</v>
      </c>
      <c r="I82" s="12" t="n">
        <v>330.691</v>
      </c>
      <c r="J82" s="12" t="n">
        <v>856.372</v>
      </c>
      <c r="K82" s="12" t="n">
        <v>927.998</v>
      </c>
      <c r="L82" s="12" t="n">
        <v>862.431</v>
      </c>
      <c r="M82" s="12" t="n">
        <v>886.611</v>
      </c>
      <c r="N82" s="12" t="n">
        <v>1777.923</v>
      </c>
      <c r="T82" s="12" t="n">
        <v>801.173</v>
      </c>
      <c r="U82" s="12" t="n">
        <v>444.765</v>
      </c>
      <c r="V82" s="12" t="n">
        <v>91.607</v>
      </c>
      <c r="W82" s="12" t="n">
        <v>330.691</v>
      </c>
      <c r="X82" s="12" t="n">
        <v>886.611</v>
      </c>
    </row>
    <row r="83">
      <c r="A83" s="20" t="inlineStr">
        <is>
          <t>이자수익</t>
        </is>
      </c>
      <c r="C83" s="22" t="n">
        <v>4.112</v>
      </c>
      <c r="D83" s="22" t="n">
        <v>3.879</v>
      </c>
      <c r="E83" s="22" t="n">
        <v>7.705</v>
      </c>
      <c r="F83" s="22" t="n">
        <v>4.367</v>
      </c>
      <c r="G83" s="22" t="n">
        <v>7.396</v>
      </c>
      <c r="H83" s="22" t="n">
        <v>4.709</v>
      </c>
      <c r="I83" s="22" t="n">
        <v>11.647</v>
      </c>
      <c r="J83" s="22" t="n">
        <v>4.007</v>
      </c>
      <c r="K83" s="22" t="n">
        <v>10.077</v>
      </c>
      <c r="L83" s="22" t="n">
        <v>4.151</v>
      </c>
      <c r="M83" s="22" t="n">
        <v>11.512</v>
      </c>
      <c r="N83" s="22" t="n">
        <v>3.456</v>
      </c>
      <c r="T83" s="22" t="n">
        <v>1.717</v>
      </c>
      <c r="U83" s="22" t="n">
        <v>3.05</v>
      </c>
      <c r="V83" s="22" t="n">
        <v>7.705</v>
      </c>
      <c r="W83" s="22" t="n">
        <v>11.647</v>
      </c>
      <c r="X83" s="22" t="n">
        <v>11.512</v>
      </c>
    </row>
    <row r="84">
      <c r="A84" s="20" t="inlineStr">
        <is>
          <t>배당금수익</t>
        </is>
      </c>
      <c r="C84" s="22" t="n">
        <v>0.533</v>
      </c>
      <c r="D84" s="22" t="n">
        <v>3.724</v>
      </c>
      <c r="E84" s="22" t="n">
        <v>0</v>
      </c>
      <c r="F84" s="22" t="n">
        <v>3.556</v>
      </c>
      <c r="G84" s="22" t="n">
        <v>0.578</v>
      </c>
      <c r="H84" s="22" t="n">
        <v>5.452</v>
      </c>
      <c r="I84" s="22" t="n">
        <v>0</v>
      </c>
      <c r="J84" s="22" t="n">
        <v>4.969</v>
      </c>
      <c r="K84" s="22" t="n">
        <v>0.627</v>
      </c>
      <c r="L84" s="22" t="n">
        <v>6.632</v>
      </c>
      <c r="M84" s="22" t="n">
        <v>0</v>
      </c>
      <c r="N84" s="22" t="n">
        <v>6.993</v>
      </c>
      <c r="T84" s="22" t="n">
        <v>0</v>
      </c>
      <c r="U84" s="22" t="n">
        <v>0</v>
      </c>
      <c r="V84" s="22" t="n">
        <v>0</v>
      </c>
      <c r="W84" s="22" t="n">
        <v>0</v>
      </c>
      <c r="X84" s="22" t="n">
        <v>0</v>
      </c>
    </row>
    <row r="85">
      <c r="A85" s="20" t="inlineStr">
        <is>
          <t>외환차익</t>
        </is>
      </c>
      <c r="C85" s="22" t="n">
        <v>92.122</v>
      </c>
      <c r="D85" s="22" t="n">
        <v>-70.655</v>
      </c>
      <c r="E85" s="22" t="n">
        <v>82.004</v>
      </c>
      <c r="F85" s="22" t="n">
        <v>120.49</v>
      </c>
      <c r="G85" s="22" t="n">
        <v>-120.49</v>
      </c>
      <c r="H85" s="22" t="n">
        <v>0</v>
      </c>
      <c r="I85" s="22" t="n">
        <v>0</v>
      </c>
      <c r="J85" s="22" t="n">
        <v>0</v>
      </c>
      <c r="M85" s="22" t="n">
        <v>24.422</v>
      </c>
      <c r="N85" s="22" t="n">
        <v>35.498</v>
      </c>
      <c r="T85" s="22" t="n">
        <v>120.879</v>
      </c>
      <c r="U85" s="22" t="n">
        <v>5.016</v>
      </c>
      <c r="V85" s="22" t="n">
        <v>82.004</v>
      </c>
      <c r="W85" s="22" t="n">
        <v>0</v>
      </c>
      <c r="X85" s="22" t="n">
        <v>24.422</v>
      </c>
    </row>
    <row r="86">
      <c r="A86" s="20" t="inlineStr">
        <is>
          <t>보상금 수취</t>
        </is>
      </c>
      <c r="I86" s="22" t="n">
        <v>0</v>
      </c>
      <c r="M86" s="22" t="n">
        <v>1.866</v>
      </c>
      <c r="W86" s="22" t="n">
        <v>0</v>
      </c>
      <c r="X86" s="22" t="n">
        <v>1.866</v>
      </c>
    </row>
    <row r="87">
      <c r="A87" s="20" t="inlineStr">
        <is>
          <t>물품 매각이익</t>
        </is>
      </c>
      <c r="F87" s="22" t="n">
        <v>0</v>
      </c>
      <c r="G87" s="22" t="n">
        <v>0</v>
      </c>
      <c r="J87" s="22" t="n">
        <v>16.023</v>
      </c>
      <c r="K87" s="22" t="n">
        <v>0.927</v>
      </c>
      <c r="N87" s="22" t="n">
        <v>10.797</v>
      </c>
    </row>
    <row r="88">
      <c r="A88" s="20" t="inlineStr">
        <is>
          <t>Insurance And Dividends Income NOI</t>
        </is>
      </c>
      <c r="C88" s="22" t="n">
        <v>0.791</v>
      </c>
      <c r="D88" s="22" t="n">
        <v>0</v>
      </c>
      <c r="E88" s="22" t="n">
        <v>0.224</v>
      </c>
      <c r="F88" s="22" t="n">
        <v>0.029</v>
      </c>
      <c r="G88" s="22" t="n">
        <v>0</v>
      </c>
      <c r="H88" s="22" t="n">
        <v>1.6</v>
      </c>
      <c r="I88" s="22" t="n">
        <v>0</v>
      </c>
      <c r="J88" s="22" t="n">
        <v>11.987</v>
      </c>
      <c r="K88" s="22" t="n">
        <v>0</v>
      </c>
      <c r="L88" s="22" t="n">
        <v>0</v>
      </c>
      <c r="M88" s="22" t="n">
        <v>4.617</v>
      </c>
      <c r="N88" s="22" t="n">
        <v>0</v>
      </c>
      <c r="T88" s="22" t="n">
        <v>1.8</v>
      </c>
      <c r="U88" s="22" t="n">
        <v>-1.223</v>
      </c>
      <c r="V88" s="22" t="n">
        <v>0.224</v>
      </c>
      <c r="W88" s="22" t="n">
        <v>0</v>
      </c>
      <c r="X88" s="22" t="n">
        <v>4.617</v>
      </c>
    </row>
    <row r="89">
      <c r="A89" s="20" t="inlineStr">
        <is>
          <t>보조금 수입</t>
        </is>
      </c>
      <c r="D89" s="22" t="n">
        <v>31.529</v>
      </c>
      <c r="E89" s="22" t="n">
        <v>12.785</v>
      </c>
      <c r="H89" s="22" t="n">
        <v>0</v>
      </c>
      <c r="I89" s="22" t="n">
        <v>27.586</v>
      </c>
      <c r="L89" s="22" t="n">
        <v>5.884</v>
      </c>
      <c r="M89" s="22" t="n">
        <v>2.045</v>
      </c>
      <c r="T89" s="22" t="n">
        <v>1.5</v>
      </c>
      <c r="U89" s="22" t="n">
        <v>3.75</v>
      </c>
      <c r="V89" s="22" t="n">
        <v>12.785</v>
      </c>
      <c r="W89" s="22" t="n">
        <v>27.586</v>
      </c>
      <c r="X89" s="22" t="n">
        <v>2.045</v>
      </c>
    </row>
    <row r="90">
      <c r="A90" s="20" t="inlineStr">
        <is>
          <t>기타</t>
        </is>
      </c>
      <c r="C90" s="22" t="n">
        <v>-4.521</v>
      </c>
      <c r="D90" s="22" t="n">
        <v>4.271</v>
      </c>
      <c r="E90" s="22" t="n">
        <v>16.748</v>
      </c>
      <c r="F90" s="22" t="n">
        <v>4.289</v>
      </c>
      <c r="G90" s="22" t="n">
        <v>3.264</v>
      </c>
      <c r="H90" s="22" t="n">
        <v>4.793</v>
      </c>
      <c r="I90" s="22" t="n">
        <v>8.189</v>
      </c>
      <c r="J90" s="22" t="n">
        <v>9.694000000000001</v>
      </c>
      <c r="K90" s="22" t="n">
        <v>-3.384</v>
      </c>
      <c r="L90" s="22" t="n">
        <v>24.569</v>
      </c>
      <c r="M90" s="22" t="n">
        <v>2.458</v>
      </c>
      <c r="N90" s="22" t="n">
        <v>4.096</v>
      </c>
      <c r="T90" s="22" t="n">
        <v>4.151</v>
      </c>
      <c r="U90" s="22" t="n">
        <v>7.708</v>
      </c>
      <c r="V90" s="22" t="n">
        <v>16.748</v>
      </c>
      <c r="W90" s="22" t="n">
        <v>8.189</v>
      </c>
      <c r="X90" s="22" t="n">
        <v>2.458</v>
      </c>
    </row>
    <row r="91">
      <c r="A91" s="20" t="inlineStr">
        <is>
          <t>영업외수익 합계</t>
        </is>
      </c>
      <c r="C91" s="22" t="n">
        <v>102.085</v>
      </c>
      <c r="D91" s="22" t="n">
        <v>-27.252</v>
      </c>
      <c r="E91" s="22" t="n">
        <v>119.467</v>
      </c>
      <c r="F91" s="22" t="n">
        <v>132.733</v>
      </c>
      <c r="G91" s="22" t="n">
        <v>-102.129</v>
      </c>
      <c r="H91" s="22" t="n">
        <v>16.555</v>
      </c>
      <c r="I91" s="22" t="n">
        <v>47.423</v>
      </c>
      <c r="J91" s="22" t="n">
        <v>46.682</v>
      </c>
      <c r="K91" s="22" t="n">
        <v>11.997</v>
      </c>
      <c r="L91" s="22" t="n">
        <v>137.016</v>
      </c>
      <c r="M91" s="22" t="n">
        <v>46.919</v>
      </c>
      <c r="N91" s="22" t="n">
        <v>60.842</v>
      </c>
      <c r="T91" s="22" t="n">
        <v>130.047</v>
      </c>
      <c r="U91" s="22" t="n">
        <v>18.303</v>
      </c>
      <c r="V91" s="22" t="n">
        <v>119.467</v>
      </c>
      <c r="W91" s="22" t="n">
        <v>47.423</v>
      </c>
      <c r="X91" s="22" t="n">
        <v>46.919</v>
      </c>
    </row>
    <row r="92">
      <c r="A92" s="20" t="inlineStr">
        <is>
          <t>이자비용</t>
        </is>
      </c>
      <c r="C92" s="22" t="n">
        <v>3.656</v>
      </c>
      <c r="D92" s="22" t="n">
        <v>3.194</v>
      </c>
      <c r="E92" s="22" t="n">
        <v>3.445</v>
      </c>
      <c r="F92" s="22" t="n">
        <v>5.055</v>
      </c>
      <c r="G92" s="22" t="n">
        <v>8.516</v>
      </c>
      <c r="H92" s="22" t="n">
        <v>11.564</v>
      </c>
      <c r="I92" s="22" t="n">
        <v>16.099</v>
      </c>
      <c r="J92" s="22" t="n">
        <v>13.791</v>
      </c>
      <c r="K92" s="22" t="n">
        <v>13.993</v>
      </c>
      <c r="L92" s="22" t="n">
        <v>11.779</v>
      </c>
      <c r="M92" s="22" t="n">
        <v>14.048</v>
      </c>
      <c r="N92" s="22" t="n">
        <v>12.576</v>
      </c>
      <c r="T92" s="22" t="n">
        <v>0.833</v>
      </c>
      <c r="U92" s="22" t="n">
        <v>1.864</v>
      </c>
      <c r="V92" s="22" t="n">
        <v>3.445</v>
      </c>
      <c r="W92" s="22" t="n">
        <v>16.099</v>
      </c>
      <c r="X92" s="22" t="n">
        <v>14.048</v>
      </c>
    </row>
    <row r="93">
      <c r="A93" s="20" t="inlineStr">
        <is>
          <t>고정자산 제각손실</t>
        </is>
      </c>
      <c r="C93" s="22" t="n">
        <v>3.045</v>
      </c>
      <c r="D93" s="22" t="n">
        <v>4.926</v>
      </c>
      <c r="E93" s="22" t="n">
        <v>30.45</v>
      </c>
      <c r="F93" s="22" t="n">
        <v>0.043</v>
      </c>
      <c r="G93" s="22" t="n">
        <v>0.972</v>
      </c>
      <c r="H93" s="22" t="n">
        <v>1.614</v>
      </c>
      <c r="I93" s="22" t="n">
        <v>2.261</v>
      </c>
      <c r="J93" s="22" t="n">
        <v>0.187</v>
      </c>
      <c r="K93" s="22" t="n">
        <v>2.932</v>
      </c>
      <c r="L93" s="22" t="n">
        <v>3.363</v>
      </c>
      <c r="M93" s="22" t="n">
        <v>0.342</v>
      </c>
      <c r="N93" s="22" t="n">
        <v>0.141</v>
      </c>
      <c r="T93" s="22" t="n">
        <v>31.299</v>
      </c>
      <c r="U93" s="22" t="n">
        <v>32.898</v>
      </c>
      <c r="V93" s="22" t="n">
        <v>30.45</v>
      </c>
      <c r="W93" s="22" t="n">
        <v>2.261</v>
      </c>
      <c r="X93" s="22" t="n">
        <v>0.342</v>
      </c>
    </row>
    <row r="94">
      <c r="A94" s="20" t="inlineStr">
        <is>
          <t>외환차손</t>
        </is>
      </c>
      <c r="D94" s="22" t="n">
        <v>0</v>
      </c>
      <c r="E94" s="22" t="n">
        <v>0</v>
      </c>
      <c r="F94" s="22" t="n">
        <v>0</v>
      </c>
      <c r="G94" s="22" t="n">
        <v>86.59699999999999</v>
      </c>
      <c r="H94" s="22" t="n">
        <v>-79.13200000000001</v>
      </c>
      <c r="I94" s="22" t="n">
        <v>50.06</v>
      </c>
      <c r="J94" s="22" t="n">
        <v>52.081</v>
      </c>
      <c r="K94" s="22" t="n">
        <v>-18.998</v>
      </c>
      <c r="L94" s="22" t="n">
        <v>-33.083</v>
      </c>
      <c r="M94" s="22" t="n">
        <v>0</v>
      </c>
      <c r="N94" s="22" t="n">
        <v>0</v>
      </c>
      <c r="V94" s="22" t="n">
        <v>0</v>
      </c>
      <c r="W94" s="22" t="n">
        <v>50.06</v>
      </c>
      <c r="X94" s="22" t="n">
        <v>0</v>
      </c>
    </row>
    <row r="95">
      <c r="A95" s="20" t="inlineStr">
        <is>
          <t>기타</t>
        </is>
      </c>
      <c r="C95" s="22" t="n">
        <v>-0.9350000000000001</v>
      </c>
      <c r="D95" s="22" t="n">
        <v>2.119</v>
      </c>
      <c r="E95" s="22" t="n">
        <v>1.894</v>
      </c>
      <c r="F95" s="22" t="n">
        <v>1.215</v>
      </c>
      <c r="G95" s="22" t="n">
        <v>4.36</v>
      </c>
      <c r="H95" s="22" t="n">
        <v>0.317</v>
      </c>
      <c r="I95" s="22" t="n">
        <v>0.596</v>
      </c>
      <c r="J95" s="22" t="n">
        <v>0.963</v>
      </c>
      <c r="K95" s="22" t="n">
        <v>6.167</v>
      </c>
      <c r="L95" s="22" t="n">
        <v>0.586</v>
      </c>
      <c r="M95" s="22" t="n">
        <v>0.139</v>
      </c>
      <c r="N95" s="22" t="n">
        <v>0.014</v>
      </c>
      <c r="T95" s="22" t="n">
        <v>0</v>
      </c>
      <c r="U95" s="22" t="n">
        <v>0.074</v>
      </c>
      <c r="V95" s="22" t="n">
        <v>1.894</v>
      </c>
      <c r="W95" s="22" t="n">
        <v>0.596</v>
      </c>
      <c r="X95" s="22" t="n">
        <v>0.139</v>
      </c>
    </row>
    <row r="96">
      <c r="A96" s="20" t="inlineStr">
        <is>
          <t>영업외비용 합계</t>
        </is>
      </c>
      <c r="C96" s="22" t="n">
        <v>5.766</v>
      </c>
      <c r="D96" s="22" t="n">
        <v>10.239</v>
      </c>
      <c r="E96" s="22" t="n">
        <v>35.789</v>
      </c>
      <c r="F96" s="22" t="n">
        <v>6.313</v>
      </c>
      <c r="G96" s="22" t="n">
        <v>100.446</v>
      </c>
      <c r="H96" s="22" t="n">
        <v>-65.637</v>
      </c>
      <c r="I96" s="22" t="n">
        <v>69.01600000000001</v>
      </c>
      <c r="J96" s="22" t="n">
        <v>67.024</v>
      </c>
      <c r="K96" s="22" t="n">
        <v>4.093</v>
      </c>
      <c r="L96" s="22" t="n">
        <v>-17.355</v>
      </c>
      <c r="M96" s="22" t="n">
        <v>14.529</v>
      </c>
      <c r="N96" s="22" t="n">
        <v>12.732</v>
      </c>
      <c r="T96" s="22" t="n">
        <v>32.131</v>
      </c>
      <c r="U96" s="22" t="n">
        <v>34.835</v>
      </c>
      <c r="V96" s="22" t="n">
        <v>35.789</v>
      </c>
      <c r="W96" s="22" t="n">
        <v>69.01600000000001</v>
      </c>
      <c r="X96" s="22" t="n">
        <v>14.529</v>
      </c>
    </row>
    <row r="97">
      <c r="A97" s="9" t="inlineStr">
        <is>
          <t>경상이익</t>
        </is>
      </c>
      <c r="C97" s="12" t="n">
        <v>662.838</v>
      </c>
      <c r="D97" s="12" t="n">
        <v>322.786</v>
      </c>
      <c r="E97" s="12" t="n">
        <v>175.286</v>
      </c>
      <c r="F97" s="12" t="n">
        <v>899.55</v>
      </c>
      <c r="G97" s="12" t="n">
        <v>749.369</v>
      </c>
      <c r="H97" s="12" t="n">
        <v>487.076</v>
      </c>
      <c r="I97" s="12" t="n">
        <v>309.098</v>
      </c>
      <c r="J97" s="12" t="n">
        <v>836.03</v>
      </c>
      <c r="K97" s="12" t="n">
        <v>935.902</v>
      </c>
      <c r="L97" s="12" t="n">
        <v>1016.802</v>
      </c>
      <c r="M97" s="12" t="n">
        <v>919.001</v>
      </c>
      <c r="N97" s="12" t="n">
        <v>1826.034</v>
      </c>
      <c r="T97" s="12" t="n">
        <v>899.0890000000001</v>
      </c>
      <c r="U97" s="12" t="n">
        <v>428.231</v>
      </c>
      <c r="V97" s="12" t="n">
        <v>175.286</v>
      </c>
      <c r="W97" s="12" t="n">
        <v>309.098</v>
      </c>
      <c r="X97" s="12" t="n">
        <v>919.001</v>
      </c>
    </row>
    <row r="98">
      <c r="A98" s="20" t="inlineStr">
        <is>
          <t>투자유가증권 평가손실</t>
        </is>
      </c>
      <c r="D98" s="22" t="n">
        <v>0</v>
      </c>
      <c r="E98" s="22" t="n">
        <v>0</v>
      </c>
      <c r="H98" s="22" t="n">
        <v>0.539</v>
      </c>
      <c r="I98" s="22" t="n">
        <v>0.554</v>
      </c>
      <c r="L98" s="22" t="n">
        <v>0</v>
      </c>
      <c r="M98" s="22" t="n">
        <v>0</v>
      </c>
      <c r="V98" s="22" t="n">
        <v>0</v>
      </c>
      <c r="W98" s="22" t="n">
        <v>0.554</v>
      </c>
      <c r="X98" s="22" t="n">
        <v>0</v>
      </c>
    </row>
    <row r="99">
      <c r="A99" s="20" t="inlineStr">
        <is>
          <t>특별손실 합계</t>
        </is>
      </c>
      <c r="D99" s="22" t="n">
        <v>0</v>
      </c>
      <c r="E99" s="22" t="n">
        <v>0</v>
      </c>
      <c r="H99" s="22" t="n">
        <v>0.539</v>
      </c>
      <c r="I99" s="22" t="n">
        <v>0.554</v>
      </c>
      <c r="L99" s="22" t="n">
        <v>0</v>
      </c>
      <c r="M99" s="22" t="n">
        <v>107.363</v>
      </c>
      <c r="V99" s="22" t="n">
        <v>0</v>
      </c>
      <c r="W99" s="22" t="n">
        <v>0.554</v>
      </c>
      <c r="X99" s="22" t="n">
        <v>107.363</v>
      </c>
    </row>
    <row r="100">
      <c r="A100" s="9" t="inlineStr">
        <is>
          <t>법인세차감전 순이익</t>
        </is>
      </c>
      <c r="C100" s="12" t="n">
        <v>662.838</v>
      </c>
      <c r="D100" s="12" t="n">
        <v>322.786</v>
      </c>
      <c r="E100" s="12" t="n">
        <v>175.286</v>
      </c>
      <c r="F100" s="12" t="n">
        <v>899.55</v>
      </c>
      <c r="G100" s="12" t="n">
        <v>742.732</v>
      </c>
      <c r="H100" s="12" t="n">
        <v>486.538</v>
      </c>
      <c r="I100" s="12" t="n">
        <v>308.544</v>
      </c>
      <c r="J100" s="12" t="n">
        <v>836.03</v>
      </c>
      <c r="K100" s="12" t="n">
        <v>935.902</v>
      </c>
      <c r="L100" s="12" t="n">
        <v>1016.802</v>
      </c>
      <c r="M100" s="12" t="n">
        <v>811.638</v>
      </c>
      <c r="N100" s="12" t="n">
        <v>1826.034</v>
      </c>
      <c r="T100" s="12" t="n">
        <v>849.222</v>
      </c>
      <c r="U100" s="12" t="n">
        <v>428.231</v>
      </c>
      <c r="V100" s="12" t="n">
        <v>175.286</v>
      </c>
      <c r="W100" s="12" t="n">
        <v>308.544</v>
      </c>
      <c r="X100" s="12" t="n">
        <v>811.638</v>
      </c>
    </row>
    <row r="101">
      <c r="A101" s="20" t="inlineStr">
        <is>
          <t>법인세·주민세·사업세</t>
        </is>
      </c>
      <c r="C101" s="22" t="n">
        <v>251.054</v>
      </c>
      <c r="D101" s="22" t="n">
        <v>-35.221</v>
      </c>
      <c r="E101" s="22" t="n">
        <v>97.148</v>
      </c>
      <c r="F101" s="22" t="n">
        <v>181.606</v>
      </c>
      <c r="G101" s="22" t="n">
        <v>314.584</v>
      </c>
      <c r="H101" s="22" t="n">
        <v>7.141</v>
      </c>
      <c r="I101" s="22" t="n">
        <v>185.547</v>
      </c>
      <c r="J101" s="22" t="n">
        <v>121.998</v>
      </c>
      <c r="K101" s="22" t="n">
        <v>410.673</v>
      </c>
      <c r="L101" s="22" t="n">
        <v>145.75</v>
      </c>
      <c r="M101" s="22" t="n">
        <v>343.984</v>
      </c>
      <c r="N101" s="22" t="n">
        <v>412.834</v>
      </c>
      <c r="T101" s="22" t="n">
        <v>401.501</v>
      </c>
      <c r="U101" s="22" t="n">
        <v>244.298</v>
      </c>
      <c r="V101" s="22" t="n">
        <v>97.148</v>
      </c>
      <c r="W101" s="22" t="n">
        <v>185.547</v>
      </c>
      <c r="X101" s="22" t="n">
        <v>343.984</v>
      </c>
    </row>
    <row r="102">
      <c r="A102" s="20" t="inlineStr">
        <is>
          <t>법인세 조정액</t>
        </is>
      </c>
      <c r="C102" s="22" t="n">
        <v>-90.56999999999999</v>
      </c>
      <c r="D102" s="22" t="n">
        <v>108.467</v>
      </c>
      <c r="E102" s="22" t="n">
        <v>-52.085</v>
      </c>
      <c r="F102" s="22" t="n">
        <v>59.997</v>
      </c>
      <c r="G102" s="22" t="n">
        <v>-97.565</v>
      </c>
      <c r="H102" s="22" t="n">
        <v>105.605</v>
      </c>
      <c r="I102" s="22" t="n">
        <v>-100.604</v>
      </c>
      <c r="J102" s="22" t="n">
        <v>116.55</v>
      </c>
      <c r="K102" s="22" t="n">
        <v>-120.539</v>
      </c>
      <c r="L102" s="22" t="n">
        <v>106.891</v>
      </c>
      <c r="M102" s="22" t="n">
        <v>-167.916</v>
      </c>
      <c r="N102" s="22" t="n">
        <v>146.147</v>
      </c>
      <c r="T102" s="22" t="n">
        <v>-137.72</v>
      </c>
      <c r="U102" s="22" t="n">
        <v>-122.054</v>
      </c>
      <c r="V102" s="22" t="n">
        <v>-52.085</v>
      </c>
      <c r="W102" s="22" t="n">
        <v>-100.604</v>
      </c>
      <c r="X102" s="22" t="n">
        <v>-167.916</v>
      </c>
    </row>
    <row r="103">
      <c r="A103" s="20" t="inlineStr">
        <is>
          <t>법인세 등 합계</t>
        </is>
      </c>
      <c r="C103" s="22" t="n">
        <v>160.483</v>
      </c>
      <c r="D103" s="22" t="n">
        <v>73.246</v>
      </c>
      <c r="E103" s="22" t="n">
        <v>45.064</v>
      </c>
      <c r="F103" s="22" t="n">
        <v>241.603</v>
      </c>
      <c r="G103" s="22" t="n">
        <v>217.018</v>
      </c>
      <c r="H103" s="22" t="n">
        <v>112.747</v>
      </c>
      <c r="I103" s="22" t="n">
        <v>84.94199999999999</v>
      </c>
      <c r="J103" s="22" t="n">
        <v>238.549</v>
      </c>
      <c r="K103" s="22" t="n">
        <v>290.132</v>
      </c>
      <c r="L103" s="22" t="n">
        <v>252.642</v>
      </c>
      <c r="M103" s="22" t="n">
        <v>176.067</v>
      </c>
      <c r="N103" s="22" t="n">
        <v>558.981</v>
      </c>
      <c r="T103" s="22" t="n">
        <v>263.78</v>
      </c>
      <c r="U103" s="22" t="n">
        <v>122.243</v>
      </c>
      <c r="V103" s="22" t="n">
        <v>45.064</v>
      </c>
      <c r="W103" s="22" t="n">
        <v>84.94199999999999</v>
      </c>
      <c r="X103" s="22" t="n">
        <v>176.067</v>
      </c>
    </row>
    <row r="104">
      <c r="A104" s="9" t="inlineStr">
        <is>
          <t>순이익</t>
        </is>
      </c>
      <c r="C104" s="12" t="n">
        <v>502.355</v>
      </c>
      <c r="D104" s="12" t="n">
        <v>249.539</v>
      </c>
      <c r="E104" s="12" t="n">
        <v>130.222</v>
      </c>
      <c r="F104" s="12" t="n">
        <v>657.947</v>
      </c>
      <c r="G104" s="12" t="n">
        <v>525.7140000000001</v>
      </c>
      <c r="H104" s="12" t="n">
        <v>373.791</v>
      </c>
      <c r="I104" s="12" t="n">
        <v>223.602</v>
      </c>
      <c r="J104" s="12" t="n">
        <v>597.481</v>
      </c>
      <c r="K104" s="12" t="n">
        <v>645.77</v>
      </c>
      <c r="L104" s="12" t="n">
        <v>764.159</v>
      </c>
      <c r="M104" s="12" t="n">
        <v>635.571</v>
      </c>
      <c r="N104" s="12" t="n">
        <v>1267.052</v>
      </c>
      <c r="T104" s="12" t="n">
        <v>585.442</v>
      </c>
      <c r="U104" s="12" t="n">
        <v>305.988</v>
      </c>
      <c r="V104" s="12" t="n">
        <v>130.222</v>
      </c>
      <c r="W104" s="12" t="n">
        <v>223.602</v>
      </c>
      <c r="X104" s="12" t="n">
        <v>635.571</v>
      </c>
    </row>
    <row r="105">
      <c r="A105" s="9" t="inlineStr">
        <is>
          <t>지배주주 순이익</t>
        </is>
      </c>
      <c r="C105" s="12" t="n">
        <v>502.355</v>
      </c>
      <c r="D105" s="12" t="n">
        <v>249.539</v>
      </c>
      <c r="E105" s="12" t="n">
        <v>130.222</v>
      </c>
      <c r="F105" s="12" t="n">
        <v>657.947</v>
      </c>
      <c r="G105" s="12" t="n">
        <v>525.7140000000001</v>
      </c>
      <c r="H105" s="12" t="n">
        <v>373.791</v>
      </c>
      <c r="I105" s="12" t="n">
        <v>223.602</v>
      </c>
      <c r="J105" s="12" t="n">
        <v>597.481</v>
      </c>
      <c r="K105" s="12" t="n">
        <v>645.77</v>
      </c>
      <c r="L105" s="12" t="n">
        <v>764.159</v>
      </c>
      <c r="M105" s="12" t="n">
        <v>635.571</v>
      </c>
      <c r="N105" s="12" t="n">
        <v>1267.052</v>
      </c>
      <c r="T105" s="12" t="n">
        <v>585.442</v>
      </c>
      <c r="U105" s="12" t="n">
        <v>305.988</v>
      </c>
      <c r="V105" s="12" t="n">
        <v>130.222</v>
      </c>
      <c r="W105" s="12" t="n">
        <v>223.602</v>
      </c>
      <c r="X105" s="12" t="n">
        <v>635.571</v>
      </c>
    </row>
    <row r="107">
      <c r="A107" s="18" t="inlineStr">
        <is>
          <t>포괄손익 · 전 항목</t>
        </is>
      </c>
      <c r="B107" s="44" t="inlineStr">
        <is>
          <t>분기 = 3개월 단독</t>
        </is>
      </c>
      <c r="C107" s="18" t="n"/>
      <c r="D107" s="18" t="n"/>
      <c r="E107" s="18" t="n"/>
      <c r="F107" s="18" t="n"/>
      <c r="G107" s="18" t="n"/>
      <c r="H107" s="18" t="n"/>
      <c r="I107" s="18" t="n"/>
      <c r="J107" s="18" t="n"/>
      <c r="K107" s="18" t="n"/>
      <c r="L107" s="18" t="n"/>
      <c r="M107" s="18" t="n"/>
      <c r="N107" s="18" t="n"/>
      <c r="O107" s="18" t="n"/>
      <c r="P107" s="18" t="n"/>
      <c r="Q107" s="18" t="n"/>
      <c r="R107" s="18" t="n"/>
      <c r="S107" s="18" t="n"/>
      <c r="T107" s="18" t="n"/>
      <c r="U107" s="18" t="n"/>
      <c r="V107" s="18" t="n"/>
      <c r="W107" s="18" t="n"/>
      <c r="X107" s="18" t="n"/>
      <c r="Y107" s="18" t="n"/>
      <c r="Z107" s="18" t="n"/>
      <c r="AA107" s="18" t="n"/>
      <c r="AB107" s="18" t="n"/>
      <c r="AC107" s="18" t="n"/>
    </row>
    <row r="108">
      <c r="A108" s="5" t="inlineStr">
        <is>
          <t>항목</t>
        </is>
      </c>
      <c r="B108" s="5" t="inlineStr">
        <is>
          <t>참고</t>
        </is>
      </c>
      <c r="C108" s="5" t="inlineStr">
        <is>
          <t>2024.2Q</t>
        </is>
      </c>
      <c r="D108" s="5" t="inlineStr">
        <is>
          <t>2024.3Q</t>
        </is>
      </c>
      <c r="E108" s="5" t="inlineStr">
        <is>
          <t>2024.4Q</t>
        </is>
      </c>
      <c r="F108" s="5" t="inlineStr">
        <is>
          <t>2025.1Q</t>
        </is>
      </c>
      <c r="G108" s="5" t="inlineStr">
        <is>
          <t>2025.2Q</t>
        </is>
      </c>
      <c r="H108" s="5" t="inlineStr">
        <is>
          <t>2025.3Q</t>
        </is>
      </c>
      <c r="I108" s="5" t="inlineStr">
        <is>
          <t>2025.4Q</t>
        </is>
      </c>
      <c r="J108" s="5" t="inlineStr">
        <is>
          <t>2026.1Q</t>
        </is>
      </c>
      <c r="K108" s="5" t="inlineStr">
        <is>
          <t>2026.2Q</t>
        </is>
      </c>
      <c r="L108" s="5" t="inlineStr">
        <is>
          <t>2026.3Q</t>
        </is>
      </c>
      <c r="M108" s="5" t="inlineStr">
        <is>
          <t>2026.4Q</t>
        </is>
      </c>
      <c r="N108" s="5" t="inlineStr">
        <is>
          <t>2027.1Q</t>
        </is>
      </c>
      <c r="O108" s="5" t="inlineStr">
        <is>
          <t>2017</t>
        </is>
      </c>
      <c r="P108" s="5" t="inlineStr">
        <is>
          <t>2018</t>
        </is>
      </c>
      <c r="Q108" s="5" t="inlineStr">
        <is>
          <t>2019</t>
        </is>
      </c>
      <c r="R108" s="5" t="inlineStr">
        <is>
          <t>2020</t>
        </is>
      </c>
      <c r="S108" s="5" t="inlineStr">
        <is>
          <t>2021</t>
        </is>
      </c>
      <c r="T108" s="5" t="inlineStr">
        <is>
          <t>2022</t>
        </is>
      </c>
      <c r="U108" s="5" t="inlineStr">
        <is>
          <t>2023</t>
        </is>
      </c>
      <c r="V108" s="5" t="inlineStr">
        <is>
          <t>2024</t>
        </is>
      </c>
      <c r="W108" s="5" t="inlineStr">
        <is>
          <t>2025</t>
        </is>
      </c>
      <c r="X108" s="5" t="inlineStr">
        <is>
          <t>2026</t>
        </is>
      </c>
      <c r="Y108" s="5" t="inlineStr">
        <is>
          <t>2027(MW)</t>
        </is>
      </c>
      <c r="Z108" s="5" t="inlineStr">
        <is>
          <t>2028(MW)</t>
        </is>
      </c>
      <c r="AA108" s="5" t="inlineStr">
        <is>
          <t>2029(MW)</t>
        </is>
      </c>
      <c r="AB108" s="5" t="inlineStr">
        <is>
          <t>2030(MW)</t>
        </is>
      </c>
      <c r="AC108" s="5" t="inlineStr">
        <is>
          <t>2031(MW)</t>
        </is>
      </c>
    </row>
    <row r="109">
      <c r="A109" s="9" t="inlineStr">
        <is>
          <t>순이익</t>
        </is>
      </c>
      <c r="C109" s="12" t="n">
        <v>502.355</v>
      </c>
      <c r="D109" s="12" t="n">
        <v>249.539</v>
      </c>
      <c r="E109" s="12" t="n">
        <v>130.222</v>
      </c>
      <c r="F109" s="12" t="n">
        <v>657.947</v>
      </c>
      <c r="G109" s="12" t="n">
        <v>525.7140000000001</v>
      </c>
      <c r="H109" s="12" t="n">
        <v>373.791</v>
      </c>
      <c r="I109" s="12" t="n">
        <v>223.602</v>
      </c>
      <c r="J109" s="12" t="n">
        <v>597.481</v>
      </c>
      <c r="K109" s="12" t="n">
        <v>645.77</v>
      </c>
      <c r="L109" s="12" t="n">
        <v>764.159</v>
      </c>
      <c r="M109" s="12" t="n">
        <v>635.571</v>
      </c>
      <c r="N109" s="12" t="n">
        <v>1267.052</v>
      </c>
      <c r="T109" s="12" t="n">
        <v>585.442</v>
      </c>
      <c r="U109" s="12" t="n">
        <v>305.988</v>
      </c>
      <c r="V109" s="12" t="n">
        <v>130.222</v>
      </c>
      <c r="W109" s="12" t="n">
        <v>223.602</v>
      </c>
      <c r="X109" s="12" t="n">
        <v>635.571</v>
      </c>
    </row>
    <row r="110">
      <c r="A110" s="20" t="inlineStr">
        <is>
          <t>기타유가증권 평가차액</t>
        </is>
      </c>
      <c r="C110" s="22" t="n">
        <v>13.085</v>
      </c>
      <c r="D110" s="22" t="n">
        <v>-14.758</v>
      </c>
      <c r="E110" s="22" t="n">
        <v>23.29</v>
      </c>
      <c r="F110" s="22" t="n">
        <v>4.142</v>
      </c>
      <c r="G110" s="22" t="n">
        <v>-20.661</v>
      </c>
      <c r="H110" s="22" t="n">
        <v>19.274</v>
      </c>
      <c r="I110" s="22" t="n">
        <v>2.225</v>
      </c>
      <c r="J110" s="22" t="n">
        <v>5.897</v>
      </c>
      <c r="K110" s="22" t="n">
        <v>45.959</v>
      </c>
      <c r="L110" s="22" t="n">
        <v>32.712</v>
      </c>
      <c r="M110" s="22" t="n">
        <v>32.992</v>
      </c>
      <c r="N110" s="22" t="n">
        <v>147.256</v>
      </c>
      <c r="T110" s="22" t="n">
        <v>-1.097</v>
      </c>
      <c r="U110" s="22" t="n">
        <v>3.703</v>
      </c>
      <c r="V110" s="22" t="n">
        <v>23.29</v>
      </c>
      <c r="W110" s="22" t="n">
        <v>2.225</v>
      </c>
      <c r="X110" s="22" t="n">
        <v>32.992</v>
      </c>
    </row>
    <row r="111">
      <c r="A111" s="20" t="inlineStr">
        <is>
          <t>해외사업환산조정</t>
        </is>
      </c>
      <c r="C111" s="22" t="n">
        <v>25.379</v>
      </c>
      <c r="D111" s="22" t="n">
        <v>35.737</v>
      </c>
      <c r="E111" s="22" t="n">
        <v>-39.088</v>
      </c>
      <c r="F111" s="22" t="n">
        <v>42.146</v>
      </c>
      <c r="G111" s="22" t="n">
        <v>83.03400000000001</v>
      </c>
      <c r="H111" s="22" t="n">
        <v>17.531</v>
      </c>
      <c r="I111" s="22" t="n">
        <v>35.205</v>
      </c>
      <c r="J111" s="22" t="n">
        <v>-48.529</v>
      </c>
      <c r="K111" s="22" t="n">
        <v>-0.413</v>
      </c>
      <c r="L111" s="22" t="n">
        <v>39.387</v>
      </c>
      <c r="M111" s="22" t="n">
        <v>122.347</v>
      </c>
      <c r="N111" s="22" t="n">
        <v>35.726</v>
      </c>
      <c r="T111" s="22" t="n">
        <v>30.103</v>
      </c>
      <c r="U111" s="22" t="n">
        <v>-43.156</v>
      </c>
      <c r="V111" s="22" t="n">
        <v>-39.088</v>
      </c>
      <c r="W111" s="22" t="n">
        <v>35.205</v>
      </c>
      <c r="X111" s="22" t="n">
        <v>122.347</v>
      </c>
    </row>
    <row r="112">
      <c r="A112" s="20" t="inlineStr">
        <is>
          <t>퇴직급여 조정액</t>
        </is>
      </c>
      <c r="C112" s="22" t="n">
        <v>3.902</v>
      </c>
      <c r="D112" s="22" t="n">
        <v>3.902</v>
      </c>
      <c r="E112" s="22" t="n">
        <v>177.234</v>
      </c>
      <c r="F112" s="22" t="n">
        <v>-0.328</v>
      </c>
      <c r="G112" s="22" t="n">
        <v>-0.328</v>
      </c>
      <c r="H112" s="22" t="n">
        <v>-0.329</v>
      </c>
      <c r="I112" s="22" t="n">
        <v>284.494</v>
      </c>
      <c r="J112" s="22" t="n">
        <v>-6.21</v>
      </c>
      <c r="K112" s="22" t="n">
        <v>-6.21</v>
      </c>
      <c r="L112" s="22" t="n">
        <v>-6.21</v>
      </c>
      <c r="M112" s="22" t="n">
        <v>218.487</v>
      </c>
      <c r="N112" s="22" t="n">
        <v>-17.609</v>
      </c>
      <c r="T112" s="22" t="n">
        <v>-0.671</v>
      </c>
      <c r="U112" s="22" t="n">
        <v>-59.056</v>
      </c>
      <c r="V112" s="22" t="n">
        <v>177.234</v>
      </c>
      <c r="W112" s="22" t="n">
        <v>284.494</v>
      </c>
      <c r="X112" s="22" t="n">
        <v>218.487</v>
      </c>
    </row>
    <row r="113">
      <c r="A113" s="20" t="inlineStr">
        <is>
          <t>기타포괄손익 합계</t>
        </is>
      </c>
      <c r="C113" s="22" t="n">
        <v>42.366</v>
      </c>
      <c r="D113" s="22" t="n">
        <v>24.88</v>
      </c>
      <c r="E113" s="22" t="n">
        <v>161.437</v>
      </c>
      <c r="F113" s="22" t="n">
        <v>45.961</v>
      </c>
      <c r="G113" s="22" t="n">
        <v>62.043</v>
      </c>
      <c r="H113" s="22" t="n">
        <v>36.478</v>
      </c>
      <c r="I113" s="22" t="n">
        <v>321.924</v>
      </c>
      <c r="J113" s="22" t="n">
        <v>-48.842</v>
      </c>
      <c r="K113" s="22" t="n">
        <v>39.336</v>
      </c>
      <c r="L113" s="22" t="n">
        <v>65.889</v>
      </c>
      <c r="M113" s="22" t="n">
        <v>373.826</v>
      </c>
      <c r="N113" s="22" t="n">
        <v>165.373</v>
      </c>
      <c r="T113" s="22" t="n">
        <v>28.335</v>
      </c>
      <c r="U113" s="22" t="n">
        <v>-98.512</v>
      </c>
      <c r="V113" s="22" t="n">
        <v>161.437</v>
      </c>
      <c r="W113" s="22" t="n">
        <v>321.924</v>
      </c>
      <c r="X113" s="22" t="n">
        <v>373.826</v>
      </c>
    </row>
    <row r="114">
      <c r="A114" s="9" t="inlineStr">
        <is>
          <t>포괄이익</t>
        </is>
      </c>
      <c r="C114" s="12" t="n">
        <v>544.72</v>
      </c>
      <c r="D114" s="12" t="n">
        <v>274.419</v>
      </c>
      <c r="E114" s="12" t="n">
        <v>291.66</v>
      </c>
      <c r="F114" s="12" t="n">
        <v>703.908</v>
      </c>
      <c r="G114" s="12" t="n">
        <v>587.758</v>
      </c>
      <c r="H114" s="12" t="n">
        <v>410.268</v>
      </c>
      <c r="I114" s="12" t="n">
        <v>545.526</v>
      </c>
      <c r="J114" s="12" t="n">
        <v>548.639</v>
      </c>
      <c r="K114" s="12" t="n">
        <v>685.105</v>
      </c>
      <c r="L114" s="12" t="n">
        <v>830.049</v>
      </c>
      <c r="M114" s="12" t="n">
        <v>1009.397</v>
      </c>
      <c r="N114" s="12" t="n">
        <v>1432.426</v>
      </c>
      <c r="T114" s="12" t="n">
        <v>613.777</v>
      </c>
      <c r="U114" s="12" t="n">
        <v>207.477</v>
      </c>
      <c r="V114" s="12" t="n">
        <v>291.66</v>
      </c>
      <c r="W114" s="12" t="n">
        <v>545.526</v>
      </c>
      <c r="X114" s="12" t="n">
        <v>1009.397</v>
      </c>
    </row>
    <row r="115">
      <c r="A115" s="9" t="inlineStr">
        <is>
          <t>지배주주 포괄이익</t>
        </is>
      </c>
      <c r="C115" s="12" t="n">
        <v>544.72</v>
      </c>
      <c r="D115" s="12" t="n">
        <v>274.419</v>
      </c>
      <c r="E115" s="12" t="n">
        <v>291.66</v>
      </c>
      <c r="F115" s="12" t="n">
        <v>703.908</v>
      </c>
      <c r="G115" s="12" t="n">
        <v>587.758</v>
      </c>
      <c r="H115" s="12" t="n">
        <v>410.268</v>
      </c>
      <c r="I115" s="12" t="n">
        <v>545.526</v>
      </c>
      <c r="J115" s="12" t="n">
        <v>548.639</v>
      </c>
      <c r="K115" s="12" t="n">
        <v>685.105</v>
      </c>
      <c r="L115" s="12" t="n">
        <v>830.049</v>
      </c>
      <c r="M115" s="12" t="n">
        <v>1009.397</v>
      </c>
      <c r="N115" s="12" t="n">
        <v>1432.426</v>
      </c>
      <c r="T115" s="12" t="n">
        <v>613.777</v>
      </c>
      <c r="U115" s="12" t="n">
        <v>207.477</v>
      </c>
      <c r="V115" s="12" t="n">
        <v>291.66</v>
      </c>
      <c r="W115" s="12" t="n">
        <v>545.526</v>
      </c>
      <c r="X115" s="12" t="n">
        <v>1009.397</v>
      </c>
    </row>
    <row r="116">
      <c r="A116" s="9" t="inlineStr">
        <is>
          <t>비지배주주 포괄이익</t>
        </is>
      </c>
      <c r="C116" s="12" t="n">
        <v>0</v>
      </c>
      <c r="D116" s="12" t="n">
        <v>0</v>
      </c>
      <c r="E116" s="12" t="n">
        <v>0</v>
      </c>
      <c r="F116" s="12" t="n">
        <v>0</v>
      </c>
      <c r="G116" s="12" t="n">
        <v>0</v>
      </c>
      <c r="H116" s="12" t="n">
        <v>0</v>
      </c>
      <c r="I116" s="12" t="n">
        <v>0</v>
      </c>
      <c r="J116" s="12" t="n">
        <v>0</v>
      </c>
      <c r="K116" s="12" t="n">
        <v>0</v>
      </c>
      <c r="L116" s="12" t="n">
        <v>0</v>
      </c>
      <c r="M116" s="12" t="n">
        <v>0</v>
      </c>
      <c r="N116" s="12" t="n">
        <v>0</v>
      </c>
      <c r="T116" s="12" t="n">
        <v>0</v>
      </c>
      <c r="U116" s="12" t="n">
        <v>0</v>
      </c>
      <c r="V116" s="12" t="n">
        <v>0</v>
      </c>
      <c r="W116" s="12" t="n">
        <v>0</v>
      </c>
      <c r="X116" s="12" t="n">
        <v>0</v>
      </c>
    </row>
    <row r="118">
      <c r="A118" s="18" t="inlineStr">
        <is>
          <t>현금흐름표 · 전 항목</t>
        </is>
      </c>
      <c r="B118" s="44" t="inlineStr">
        <is>
          <t>분기 = 결산기 첫날부터 누계(공시 그대로)</t>
        </is>
      </c>
      <c r="C118" s="18" t="n"/>
      <c r="D118" s="18" t="n"/>
      <c r="E118" s="18" t="n"/>
      <c r="F118" s="18" t="n"/>
      <c r="G118" s="18" t="n"/>
      <c r="H118" s="18" t="n"/>
      <c r="I118" s="18" t="n"/>
      <c r="J118" s="18" t="n"/>
      <c r="K118" s="18" t="n"/>
      <c r="L118" s="18" t="n"/>
      <c r="M118" s="18" t="n"/>
      <c r="N118" s="18" t="n"/>
      <c r="O118" s="18" t="n"/>
      <c r="P118" s="18" t="n"/>
      <c r="Q118" s="18" t="n"/>
      <c r="R118" s="18" t="n"/>
      <c r="S118" s="18" t="n"/>
      <c r="T118" s="18" t="n"/>
      <c r="U118" s="18" t="n"/>
      <c r="V118" s="18" t="n"/>
      <c r="W118" s="18" t="n"/>
      <c r="X118" s="18" t="n"/>
      <c r="Y118" s="18" t="n"/>
      <c r="Z118" s="18" t="n"/>
      <c r="AA118" s="18" t="n"/>
      <c r="AB118" s="18" t="n"/>
      <c r="AC118" s="18" t="n"/>
    </row>
    <row r="119">
      <c r="A119" s="5" t="inlineStr">
        <is>
          <t>항목</t>
        </is>
      </c>
      <c r="B119" s="5" t="inlineStr">
        <is>
          <t>참고</t>
        </is>
      </c>
      <c r="C119" s="5" t="inlineStr">
        <is>
          <t>2024.2Q</t>
        </is>
      </c>
      <c r="D119" s="5" t="inlineStr">
        <is>
          <t>2024.3Q</t>
        </is>
      </c>
      <c r="E119" s="5" t="inlineStr">
        <is>
          <t>2024.4Q</t>
        </is>
      </c>
      <c r="F119" s="5" t="inlineStr">
        <is>
          <t>2025.1Q</t>
        </is>
      </c>
      <c r="G119" s="5" t="inlineStr">
        <is>
          <t>2025.2Q</t>
        </is>
      </c>
      <c r="H119" s="5" t="inlineStr">
        <is>
          <t>2025.3Q</t>
        </is>
      </c>
      <c r="I119" s="5" t="inlineStr">
        <is>
          <t>2025.4Q</t>
        </is>
      </c>
      <c r="J119" s="5" t="inlineStr">
        <is>
          <t>2026.1Q</t>
        </is>
      </c>
      <c r="K119" s="5" t="inlineStr">
        <is>
          <t>2026.2Q</t>
        </is>
      </c>
      <c r="L119" s="5" t="inlineStr">
        <is>
          <t>2026.3Q</t>
        </is>
      </c>
      <c r="M119" s="5" t="inlineStr">
        <is>
          <t>2026.4Q</t>
        </is>
      </c>
      <c r="N119" s="5" t="inlineStr">
        <is>
          <t>2027.1Q</t>
        </is>
      </c>
      <c r="O119" s="5" t="inlineStr">
        <is>
          <t>2017</t>
        </is>
      </c>
      <c r="P119" s="5" t="inlineStr">
        <is>
          <t>2018</t>
        </is>
      </c>
      <c r="Q119" s="5" t="inlineStr">
        <is>
          <t>2019</t>
        </is>
      </c>
      <c r="R119" s="5" t="inlineStr">
        <is>
          <t>2020</t>
        </is>
      </c>
      <c r="S119" s="5" t="inlineStr">
        <is>
          <t>2021</t>
        </is>
      </c>
      <c r="T119" s="5" t="inlineStr">
        <is>
          <t>2022</t>
        </is>
      </c>
      <c r="U119" s="5" t="inlineStr">
        <is>
          <t>2023</t>
        </is>
      </c>
      <c r="V119" s="5" t="inlineStr">
        <is>
          <t>2024</t>
        </is>
      </c>
      <c r="W119" s="5" t="inlineStr">
        <is>
          <t>2025</t>
        </is>
      </c>
      <c r="X119" s="5" t="inlineStr">
        <is>
          <t>2026</t>
        </is>
      </c>
      <c r="Y119" s="5" t="inlineStr">
        <is>
          <t>2027(MW)</t>
        </is>
      </c>
      <c r="Z119" s="5" t="inlineStr">
        <is>
          <t>2028(MW)</t>
        </is>
      </c>
      <c r="AA119" s="5" t="inlineStr">
        <is>
          <t>2029(MW)</t>
        </is>
      </c>
      <c r="AB119" s="5" t="inlineStr">
        <is>
          <t>2030(MW)</t>
        </is>
      </c>
      <c r="AC119" s="5" t="inlineStr">
        <is>
          <t>2031(MW)</t>
        </is>
      </c>
    </row>
    <row r="120">
      <c r="A120" s="9" t="inlineStr">
        <is>
          <t>법인세차감전 순이익</t>
        </is>
      </c>
      <c r="E120" s="12" t="n">
        <v>2021.304</v>
      </c>
      <c r="I120" s="12" t="n">
        <v>2437.364</v>
      </c>
      <c r="M120" s="12" t="n">
        <v>3600.372</v>
      </c>
      <c r="O120" s="12" t="n">
        <v>-306.935</v>
      </c>
      <c r="P120" s="12" t="n">
        <v>855.774</v>
      </c>
      <c r="Q120" s="12" t="n">
        <v>1436.824</v>
      </c>
      <c r="R120" s="12" t="n">
        <v>970.703</v>
      </c>
      <c r="S120" s="12" t="n">
        <v>2784.323</v>
      </c>
      <c r="T120" s="12" t="n">
        <v>4182.869</v>
      </c>
      <c r="U120" s="12" t="n">
        <v>3532.86</v>
      </c>
      <c r="V120" s="12" t="n">
        <v>2021.304</v>
      </c>
      <c r="W120" s="12" t="n">
        <v>2437.364</v>
      </c>
      <c r="X120" s="12" t="n">
        <v>3600.372</v>
      </c>
    </row>
    <row r="121">
      <c r="A121" s="20" t="inlineStr">
        <is>
          <t>감가상각비</t>
        </is>
      </c>
      <c r="E121" s="22" t="n">
        <v>1426.934</v>
      </c>
      <c r="I121" s="22" t="n">
        <v>1030.84</v>
      </c>
      <c r="M121" s="22" t="n">
        <v>1421.29</v>
      </c>
      <c r="O121" s="22" t="n">
        <v>1572.375</v>
      </c>
      <c r="P121" s="22" t="n">
        <v>1407.956</v>
      </c>
      <c r="Q121" s="22" t="n">
        <v>1194.562</v>
      </c>
      <c r="R121" s="22" t="n">
        <v>1254.79</v>
      </c>
      <c r="S121" s="22" t="n">
        <v>1279.116</v>
      </c>
      <c r="T121" s="22" t="n">
        <v>1359.946</v>
      </c>
      <c r="U121" s="22" t="n">
        <v>1409.579</v>
      </c>
      <c r="V121" s="22" t="n">
        <v>1426.934</v>
      </c>
      <c r="W121" s="22" t="n">
        <v>1030.84</v>
      </c>
      <c r="X121" s="22" t="n">
        <v>1421.29</v>
      </c>
    </row>
    <row r="122">
      <c r="A122" s="20" t="inlineStr">
        <is>
          <t>영업권 상각</t>
        </is>
      </c>
      <c r="O122" s="22" t="n">
        <v>532.049</v>
      </c>
      <c r="P122" s="22" t="n">
        <v>0</v>
      </c>
    </row>
    <row r="123">
      <c r="A123" s="20" t="inlineStr">
        <is>
          <t>관계회사 정리이익</t>
        </is>
      </c>
      <c r="P123" s="22" t="n">
        <v>0</v>
      </c>
      <c r="Q123" s="22" t="n">
        <v>-123.744</v>
      </c>
      <c r="R123" s="22" t="n">
        <v>0</v>
      </c>
    </row>
    <row r="124">
      <c r="A124" s="20" t="inlineStr">
        <is>
          <t>손상차손</t>
        </is>
      </c>
      <c r="I124" s="22" t="n">
        <v>0</v>
      </c>
      <c r="M124" s="22" t="n">
        <v>107.363</v>
      </c>
      <c r="O124" s="22" t="n">
        <v>0</v>
      </c>
      <c r="P124" s="22" t="n">
        <v>848.225</v>
      </c>
      <c r="Q124" s="22" t="n">
        <v>0</v>
      </c>
      <c r="R124" s="22" t="n">
        <v>0</v>
      </c>
      <c r="S124" s="22" t="n">
        <v>12.009</v>
      </c>
      <c r="T124" s="22" t="n">
        <v>49.866</v>
      </c>
      <c r="U124" s="22" t="n">
        <v>0</v>
      </c>
      <c r="W124" s="22" t="n">
        <v>0</v>
      </c>
      <c r="X124" s="22" t="n">
        <v>107.363</v>
      </c>
    </row>
    <row r="125">
      <c r="A125" s="20" t="inlineStr">
        <is>
          <t>재해손실</t>
        </is>
      </c>
      <c r="O125" s="22" t="n">
        <v>172.505</v>
      </c>
      <c r="P125" s="22" t="n">
        <v>0</v>
      </c>
    </row>
    <row r="126">
      <c r="A126" s="20" t="inlineStr">
        <is>
          <t>보상금 수취</t>
        </is>
      </c>
      <c r="I126" s="22" t="n">
        <v>0</v>
      </c>
      <c r="M126" s="22" t="n">
        <v>-60.158</v>
      </c>
      <c r="W126" s="22" t="n">
        <v>0</v>
      </c>
      <c r="X126" s="22" t="n">
        <v>-60.158</v>
      </c>
    </row>
    <row r="127">
      <c r="A127" s="20" t="inlineStr">
        <is>
          <t>보조금 수입</t>
        </is>
      </c>
      <c r="E127" s="22" t="n">
        <v>-53.362</v>
      </c>
      <c r="I127" s="22" t="n">
        <v>-34.709</v>
      </c>
      <c r="M127" s="22" t="n">
        <v>-11.679</v>
      </c>
      <c r="U127" s="22" t="n">
        <v>0</v>
      </c>
      <c r="V127" s="22" t="n">
        <v>-53.362</v>
      </c>
      <c r="W127" s="22" t="n">
        <v>-34.709</v>
      </c>
      <c r="X127" s="22" t="n">
        <v>-11.679</v>
      </c>
    </row>
    <row r="128">
      <c r="A128" s="20" t="inlineStr">
        <is>
          <t>보험금 수익</t>
        </is>
      </c>
      <c r="E128" s="22" t="n">
        <v>-1.015</v>
      </c>
      <c r="I128" s="22" t="n">
        <v>-1.629</v>
      </c>
      <c r="M128" s="22" t="n">
        <v>-16.604</v>
      </c>
      <c r="O128" s="22" t="n">
        <v>-11.858</v>
      </c>
      <c r="P128" s="22" t="n">
        <v>-170.867</v>
      </c>
      <c r="Q128" s="22" t="n">
        <v>-14.268</v>
      </c>
      <c r="R128" s="22" t="n">
        <v>-15.099</v>
      </c>
      <c r="S128" s="22" t="n">
        <v>-12.122</v>
      </c>
      <c r="T128" s="22" t="n">
        <v>-4.298</v>
      </c>
      <c r="U128" s="22" t="n">
        <v>-0.075</v>
      </c>
      <c r="V128" s="22" t="n">
        <v>-1.015</v>
      </c>
      <c r="W128" s="22" t="n">
        <v>-1.629</v>
      </c>
      <c r="X128" s="22" t="n">
        <v>-16.604</v>
      </c>
    </row>
    <row r="129">
      <c r="A129" s="20" t="inlineStr">
        <is>
          <t>대손충당금 증감</t>
        </is>
      </c>
      <c r="O129" s="22" t="n">
        <v>28.824</v>
      </c>
      <c r="P129" s="22" t="n">
        <v>-6.781</v>
      </c>
      <c r="Q129" s="22" t="n">
        <v>0.92</v>
      </c>
      <c r="R129" s="22" t="n">
        <v>0</v>
      </c>
    </row>
    <row r="130">
      <c r="A130" s="20" t="inlineStr">
        <is>
          <t>퇴직급여자산 증감</t>
        </is>
      </c>
      <c r="E130" s="22" t="n">
        <v>0</v>
      </c>
      <c r="I130" s="22" t="n">
        <v>-80.547</v>
      </c>
      <c r="M130" s="22" t="n">
        <v>-104.594</v>
      </c>
      <c r="V130" s="22" t="n">
        <v>0</v>
      </c>
      <c r="W130" s="22" t="n">
        <v>-80.547</v>
      </c>
      <c r="X130" s="22" t="n">
        <v>-104.594</v>
      </c>
    </row>
    <row r="131">
      <c r="A131" s="20" t="inlineStr">
        <is>
          <t>퇴직급여부채 증감</t>
        </is>
      </c>
      <c r="E131" s="22" t="n">
        <v>-70.854</v>
      </c>
      <c r="I131" s="22" t="n">
        <v>-67.399</v>
      </c>
      <c r="M131" s="22" t="n">
        <v>0</v>
      </c>
      <c r="O131" s="22" t="n">
        <v>61.438</v>
      </c>
      <c r="P131" s="22" t="n">
        <v>3.118</v>
      </c>
      <c r="Q131" s="22" t="n">
        <v>14.004</v>
      </c>
      <c r="R131" s="22" t="n">
        <v>-0.979</v>
      </c>
      <c r="S131" s="22" t="n">
        <v>19.076</v>
      </c>
      <c r="T131" s="22" t="n">
        <v>-683.3869999999999</v>
      </c>
      <c r="U131" s="22" t="n">
        <v>-197.694</v>
      </c>
      <c r="V131" s="22" t="n">
        <v>-70.854</v>
      </c>
      <c r="W131" s="22" t="n">
        <v>-67.399</v>
      </c>
      <c r="X131" s="22" t="n">
        <v>0</v>
      </c>
    </row>
    <row r="132">
      <c r="A132" s="20" t="inlineStr">
        <is>
          <t>투자유가증권 평가손익</t>
        </is>
      </c>
      <c r="E132" s="22" t="n">
        <v>0</v>
      </c>
      <c r="I132" s="22" t="n">
        <v>7.729</v>
      </c>
      <c r="M132" s="22" t="n">
        <v>0</v>
      </c>
      <c r="V132" s="22" t="n">
        <v>0</v>
      </c>
      <c r="W132" s="22" t="n">
        <v>7.729</v>
      </c>
      <c r="X132" s="22" t="n">
        <v>0</v>
      </c>
    </row>
    <row r="133">
      <c r="A133" s="20" t="inlineStr">
        <is>
          <t>주식보상비용</t>
        </is>
      </c>
      <c r="E133" s="22" t="n">
        <v>19.346</v>
      </c>
      <c r="I133" s="22" t="n">
        <v>19.195</v>
      </c>
      <c r="M133" s="22" t="n">
        <v>20.545</v>
      </c>
      <c r="S133" s="22" t="n">
        <v>0</v>
      </c>
      <c r="T133" s="22" t="n">
        <v>14.129</v>
      </c>
      <c r="U133" s="22" t="n">
        <v>19.563</v>
      </c>
      <c r="V133" s="22" t="n">
        <v>19.346</v>
      </c>
      <c r="W133" s="22" t="n">
        <v>19.195</v>
      </c>
      <c r="X133" s="22" t="n">
        <v>20.545</v>
      </c>
    </row>
    <row r="134">
      <c r="A134" s="20" t="inlineStr">
        <is>
          <t>이자·배당금 수익</t>
        </is>
      </c>
      <c r="E134" s="22" t="n">
        <v>-25.727</v>
      </c>
      <c r="I134" s="22" t="n">
        <v>-37.706</v>
      </c>
      <c r="M134" s="22" t="n">
        <v>-41.975</v>
      </c>
      <c r="O134" s="22" t="n">
        <v>-8.608000000000001</v>
      </c>
      <c r="P134" s="22" t="n">
        <v>-9.09</v>
      </c>
      <c r="Q134" s="22" t="n">
        <v>-11.783</v>
      </c>
      <c r="R134" s="22" t="n">
        <v>-9.694000000000001</v>
      </c>
      <c r="S134" s="22" t="n">
        <v>-8.034000000000001</v>
      </c>
      <c r="T134" s="22" t="n">
        <v>-12.793</v>
      </c>
      <c r="U134" s="22" t="n">
        <v>-16.414</v>
      </c>
      <c r="V134" s="22" t="n">
        <v>-25.727</v>
      </c>
      <c r="W134" s="22" t="n">
        <v>-37.706</v>
      </c>
      <c r="X134" s="22" t="n">
        <v>-41.975</v>
      </c>
    </row>
    <row r="135">
      <c r="A135" s="20" t="inlineStr">
        <is>
          <t>이자비용</t>
        </is>
      </c>
      <c r="E135" s="22" t="n">
        <v>13.067</v>
      </c>
      <c r="I135" s="22" t="n">
        <v>41.234</v>
      </c>
      <c r="M135" s="22" t="n">
        <v>53.611</v>
      </c>
      <c r="O135" s="22" t="n">
        <v>28.768</v>
      </c>
      <c r="P135" s="22" t="n">
        <v>38.523</v>
      </c>
      <c r="Q135" s="22" t="n">
        <v>31.747</v>
      </c>
      <c r="R135" s="22" t="n">
        <v>8.964</v>
      </c>
      <c r="S135" s="22" t="n">
        <v>5.522</v>
      </c>
      <c r="T135" s="22" t="n">
        <v>3.677</v>
      </c>
      <c r="U135" s="22" t="n">
        <v>5.517</v>
      </c>
      <c r="V135" s="22" t="n">
        <v>13.067</v>
      </c>
      <c r="W135" s="22" t="n">
        <v>41.234</v>
      </c>
      <c r="X135" s="22" t="n">
        <v>53.611</v>
      </c>
    </row>
    <row r="136">
      <c r="A136" s="20" t="inlineStr">
        <is>
          <t>외환차손익</t>
        </is>
      </c>
      <c r="E136" s="22" t="n">
        <v>-72.61799999999999</v>
      </c>
      <c r="I136" s="22" t="n">
        <v>33.734</v>
      </c>
      <c r="M136" s="22" t="n">
        <v>-2.288</v>
      </c>
      <c r="O136" s="22" t="n">
        <v>137.435</v>
      </c>
      <c r="P136" s="22" t="n">
        <v>50.363</v>
      </c>
      <c r="Q136" s="22" t="n">
        <v>119.002</v>
      </c>
      <c r="R136" s="22" t="n">
        <v>7.908</v>
      </c>
      <c r="S136" s="22" t="n">
        <v>28.627</v>
      </c>
      <c r="T136" s="22" t="n">
        <v>-34.503</v>
      </c>
      <c r="U136" s="22" t="n">
        <v>-69.79900000000001</v>
      </c>
      <c r="V136" s="22" t="n">
        <v>-72.61799999999999</v>
      </c>
      <c r="W136" s="22" t="n">
        <v>33.734</v>
      </c>
      <c r="X136" s="22" t="n">
        <v>-2.288</v>
      </c>
    </row>
    <row r="137">
      <c r="A137" s="20" t="inlineStr">
        <is>
          <t>유형자산 제각손실</t>
        </is>
      </c>
      <c r="E137" s="22" t="n">
        <v>44.129</v>
      </c>
      <c r="I137" s="22" t="n">
        <v>4.89</v>
      </c>
      <c r="M137" s="22" t="n">
        <v>6.824</v>
      </c>
      <c r="O137" s="22" t="n">
        <v>19.34</v>
      </c>
      <c r="P137" s="22" t="n">
        <v>29.908</v>
      </c>
      <c r="Q137" s="22" t="n">
        <v>14.141</v>
      </c>
      <c r="R137" s="22" t="n">
        <v>22.024</v>
      </c>
      <c r="S137" s="22" t="n">
        <v>27.72</v>
      </c>
      <c r="T137" s="22" t="n">
        <v>67.898</v>
      </c>
      <c r="U137" s="22" t="n">
        <v>66.256</v>
      </c>
      <c r="V137" s="22" t="n">
        <v>44.129</v>
      </c>
      <c r="W137" s="22" t="n">
        <v>4.89</v>
      </c>
      <c r="X137" s="22" t="n">
        <v>6.824</v>
      </c>
    </row>
    <row r="138">
      <c r="A138" s="20" t="inlineStr">
        <is>
          <t>무형자산 제각손실</t>
        </is>
      </c>
      <c r="E138" s="22" t="n">
        <v>2.04</v>
      </c>
      <c r="I138" s="22" t="n">
        <v>0</v>
      </c>
      <c r="U138" s="22" t="n">
        <v>0</v>
      </c>
      <c r="V138" s="22" t="n">
        <v>2.04</v>
      </c>
      <c r="W138" s="22" t="n">
        <v>0</v>
      </c>
    </row>
    <row r="139">
      <c r="A139" s="20" t="inlineStr">
        <is>
          <t>매출채권 증감</t>
        </is>
      </c>
      <c r="E139" s="22" t="n">
        <v>-615.729</v>
      </c>
      <c r="I139" s="22" t="n">
        <v>739.549</v>
      </c>
      <c r="M139" s="22" t="n">
        <v>-834.127</v>
      </c>
      <c r="O139" s="22" t="n">
        <v>-893.998</v>
      </c>
      <c r="P139" s="22" t="n">
        <v>-1248.622</v>
      </c>
      <c r="Q139" s="22" t="n">
        <v>587.679</v>
      </c>
      <c r="R139" s="22" t="n">
        <v>-274.998</v>
      </c>
      <c r="S139" s="22" t="n">
        <v>-665.6180000000001</v>
      </c>
      <c r="T139" s="22" t="n">
        <v>84.5</v>
      </c>
      <c r="U139" s="22" t="n">
        <v>455.724</v>
      </c>
      <c r="V139" s="22" t="n">
        <v>-615.729</v>
      </c>
      <c r="W139" s="22" t="n">
        <v>739.549</v>
      </c>
      <c r="X139" s="22" t="n">
        <v>-834.127</v>
      </c>
    </row>
    <row r="140">
      <c r="A140" s="20" t="inlineStr">
        <is>
          <t>재고자산 증감</t>
        </is>
      </c>
      <c r="E140" s="22" t="n">
        <v>-171.306</v>
      </c>
      <c r="I140" s="22" t="n">
        <v>374.138</v>
      </c>
      <c r="M140" s="22" t="n">
        <v>157.394</v>
      </c>
      <c r="O140" s="22" t="n">
        <v>40.984</v>
      </c>
      <c r="P140" s="22" t="n">
        <v>-456.775</v>
      </c>
      <c r="Q140" s="22" t="n">
        <v>-893.146</v>
      </c>
      <c r="R140" s="22" t="n">
        <v>54.636</v>
      </c>
      <c r="S140" s="22" t="n">
        <v>365.915</v>
      </c>
      <c r="T140" s="22" t="n">
        <v>-807.812</v>
      </c>
      <c r="U140" s="22" t="n">
        <v>-2358.021</v>
      </c>
      <c r="V140" s="22" t="n">
        <v>-171.306</v>
      </c>
      <c r="W140" s="22" t="n">
        <v>374.138</v>
      </c>
      <c r="X140" s="22" t="n">
        <v>157.394</v>
      </c>
    </row>
    <row r="141">
      <c r="A141" s="20" t="inlineStr">
        <is>
          <t>기타 자산 증감</t>
        </is>
      </c>
      <c r="E141" s="22" t="n">
        <v>245.894</v>
      </c>
      <c r="I141" s="22" t="n">
        <v>207.979</v>
      </c>
      <c r="M141" s="22" t="n">
        <v>150.185</v>
      </c>
      <c r="O141" s="22" t="n">
        <v>-18.786</v>
      </c>
      <c r="P141" s="22" t="n">
        <v>89.093</v>
      </c>
      <c r="Q141" s="22" t="n">
        <v>-208.055</v>
      </c>
      <c r="R141" s="22" t="n">
        <v>124.051</v>
      </c>
      <c r="S141" s="22" t="n">
        <v>-46.497</v>
      </c>
      <c r="T141" s="22" t="n">
        <v>-206.966</v>
      </c>
      <c r="U141" s="22" t="n">
        <v>-444.539</v>
      </c>
      <c r="V141" s="22" t="n">
        <v>245.894</v>
      </c>
      <c r="W141" s="22" t="n">
        <v>207.979</v>
      </c>
      <c r="X141" s="22" t="n">
        <v>150.185</v>
      </c>
    </row>
    <row r="142">
      <c r="A142" s="20" t="inlineStr">
        <is>
          <t>매입채무 증감</t>
        </is>
      </c>
      <c r="E142" s="22" t="n">
        <v>42.01</v>
      </c>
      <c r="I142" s="22" t="n">
        <v>-87.489</v>
      </c>
      <c r="M142" s="22" t="n">
        <v>381.101</v>
      </c>
      <c r="O142" s="22" t="n">
        <v>173.23</v>
      </c>
      <c r="P142" s="22" t="n">
        <v>262.815</v>
      </c>
      <c r="Q142" s="22" t="n">
        <v>-29.757</v>
      </c>
      <c r="R142" s="22" t="n">
        <v>-113.356</v>
      </c>
      <c r="S142" s="22" t="n">
        <v>-607.669</v>
      </c>
      <c r="T142" s="22" t="n">
        <v>136.088</v>
      </c>
      <c r="U142" s="22" t="n">
        <v>-60.019</v>
      </c>
      <c r="V142" s="22" t="n">
        <v>42.01</v>
      </c>
      <c r="W142" s="22" t="n">
        <v>-87.489</v>
      </c>
      <c r="X142" s="22" t="n">
        <v>381.101</v>
      </c>
    </row>
    <row r="143">
      <c r="A143" s="20" t="inlineStr">
        <is>
          <t>미수 소비세 증감</t>
        </is>
      </c>
      <c r="E143" s="22" t="n">
        <v>0</v>
      </c>
      <c r="I143" s="22" t="n">
        <v>-779.073</v>
      </c>
      <c r="M143" s="22" t="n">
        <v>779.073</v>
      </c>
      <c r="V143" s="22" t="n">
        <v>0</v>
      </c>
      <c r="W143" s="22" t="n">
        <v>-779.073</v>
      </c>
      <c r="X143" s="22" t="n">
        <v>779.073</v>
      </c>
    </row>
    <row r="144">
      <c r="A144" s="20" t="inlineStr">
        <is>
          <t>미지급 소비세 증감</t>
        </is>
      </c>
      <c r="E144" s="22" t="n">
        <v>143.809</v>
      </c>
      <c r="I144" s="22" t="n">
        <v>-116.509</v>
      </c>
      <c r="M144" s="22" t="n">
        <v>394.094</v>
      </c>
      <c r="O144" s="22" t="n">
        <v>140.279</v>
      </c>
      <c r="P144" s="22" t="n">
        <v>-83.917</v>
      </c>
      <c r="Q144" s="22" t="n">
        <v>-48.709</v>
      </c>
      <c r="R144" s="22" t="n">
        <v>119.962</v>
      </c>
      <c r="S144" s="22" t="n">
        <v>-39.894</v>
      </c>
      <c r="T144" s="22" t="n">
        <v>-57.342</v>
      </c>
      <c r="U144" s="22" t="n">
        <v>-21.121</v>
      </c>
      <c r="V144" s="22" t="n">
        <v>143.809</v>
      </c>
      <c r="W144" s="22" t="n">
        <v>-116.509</v>
      </c>
      <c r="X144" s="22" t="n">
        <v>394.094</v>
      </c>
    </row>
    <row r="145">
      <c r="A145" s="20" t="inlineStr">
        <is>
          <t>기타 부채 증감</t>
        </is>
      </c>
      <c r="E145" s="22" t="n">
        <v>-321.817</v>
      </c>
      <c r="I145" s="22" t="n">
        <v>231.957</v>
      </c>
      <c r="M145" s="22" t="n">
        <v>-85.40300000000001</v>
      </c>
      <c r="O145" s="22" t="n">
        <v>191.277</v>
      </c>
      <c r="P145" s="22" t="n">
        <v>272.203</v>
      </c>
      <c r="Q145" s="22" t="n">
        <v>-254.95</v>
      </c>
      <c r="R145" s="22" t="n">
        <v>-25.149</v>
      </c>
      <c r="S145" s="22" t="n">
        <v>243.592</v>
      </c>
      <c r="T145" s="22" t="n">
        <v>-169.731</v>
      </c>
      <c r="U145" s="22" t="n">
        <v>-196.154</v>
      </c>
      <c r="V145" s="22" t="n">
        <v>-321.817</v>
      </c>
      <c r="W145" s="22" t="n">
        <v>231.957</v>
      </c>
      <c r="X145" s="22" t="n">
        <v>-85.40300000000001</v>
      </c>
    </row>
    <row r="146">
      <c r="A146" s="20" t="inlineStr">
        <is>
          <t>기타</t>
        </is>
      </c>
      <c r="E146" s="22" t="n">
        <v>49.141</v>
      </c>
      <c r="I146" s="22" t="n">
        <v>27.432</v>
      </c>
      <c r="M146" s="22" t="n">
        <v>34.877</v>
      </c>
      <c r="O146" s="22" t="n">
        <v>179.186</v>
      </c>
      <c r="P146" s="22" t="n">
        <v>90.203</v>
      </c>
      <c r="Q146" s="22" t="n">
        <v>208.406</v>
      </c>
      <c r="R146" s="22" t="n">
        <v>78.03400000000001</v>
      </c>
      <c r="S146" s="22" t="n">
        <v>84.477</v>
      </c>
      <c r="T146" s="22" t="n">
        <v>63.905</v>
      </c>
      <c r="U146" s="22" t="n">
        <v>85.66200000000001</v>
      </c>
      <c r="V146" s="22" t="n">
        <v>49.141</v>
      </c>
      <c r="W146" s="22" t="n">
        <v>27.432</v>
      </c>
      <c r="X146" s="22" t="n">
        <v>34.877</v>
      </c>
    </row>
    <row r="147">
      <c r="A147" s="20" t="inlineStr">
        <is>
          <t>소계</t>
        </is>
      </c>
      <c r="E147" s="22" t="n">
        <v>2675.246</v>
      </c>
      <c r="I147" s="22" t="n">
        <v>3950.98</v>
      </c>
      <c r="M147" s="22" t="n">
        <v>5949.902</v>
      </c>
      <c r="O147" s="22" t="n">
        <v>2037.508</v>
      </c>
      <c r="P147" s="22" t="n">
        <v>1972.134</v>
      </c>
      <c r="Q147" s="22" t="n">
        <v>2022.872</v>
      </c>
      <c r="R147" s="22" t="n">
        <v>2201.797</v>
      </c>
      <c r="S147" s="22" t="n">
        <v>3470.545</v>
      </c>
      <c r="T147" s="22" t="n">
        <v>3986.046</v>
      </c>
      <c r="U147" s="22" t="n">
        <v>2211.322</v>
      </c>
      <c r="V147" s="22" t="n">
        <v>2675.246</v>
      </c>
      <c r="W147" s="22" t="n">
        <v>3950.98</v>
      </c>
      <c r="X147" s="22" t="n">
        <v>5949.902</v>
      </c>
    </row>
    <row r="148">
      <c r="A148" s="20" t="inlineStr">
        <is>
          <t>이자·배당금 수취</t>
        </is>
      </c>
      <c r="E148" s="22" t="n">
        <v>25.727</v>
      </c>
      <c r="I148" s="22" t="n">
        <v>37.706</v>
      </c>
      <c r="M148" s="22" t="n">
        <v>41.975</v>
      </c>
      <c r="O148" s="22" t="n">
        <v>8.519</v>
      </c>
      <c r="P148" s="22" t="n">
        <v>8.816000000000001</v>
      </c>
      <c r="Q148" s="22" t="n">
        <v>11.783</v>
      </c>
      <c r="R148" s="22" t="n">
        <v>9.694000000000001</v>
      </c>
      <c r="S148" s="22" t="n">
        <v>8.034000000000001</v>
      </c>
      <c r="T148" s="22" t="n">
        <v>12.793</v>
      </c>
      <c r="U148" s="22" t="n">
        <v>16.414</v>
      </c>
      <c r="V148" s="22" t="n">
        <v>25.727</v>
      </c>
      <c r="W148" s="22" t="n">
        <v>37.706</v>
      </c>
      <c r="X148" s="22" t="n">
        <v>41.975</v>
      </c>
    </row>
    <row r="149">
      <c r="A149" s="20" t="inlineStr">
        <is>
          <t>이자 지급</t>
        </is>
      </c>
      <c r="E149" s="22" t="n">
        <v>-12.701</v>
      </c>
      <c r="I149" s="22" t="n">
        <v>-41.177</v>
      </c>
      <c r="M149" s="22" t="n">
        <v>-52.157</v>
      </c>
      <c r="O149" s="22" t="n">
        <v>-28.289</v>
      </c>
      <c r="P149" s="22" t="n">
        <v>-37.51</v>
      </c>
      <c r="Q149" s="22" t="n">
        <v>-35.105</v>
      </c>
      <c r="R149" s="22" t="n">
        <v>-8.962999999999999</v>
      </c>
      <c r="S149" s="22" t="n">
        <v>-5.488</v>
      </c>
      <c r="T149" s="22" t="n">
        <v>-3.71</v>
      </c>
      <c r="U149" s="22" t="n">
        <v>-5.333</v>
      </c>
      <c r="V149" s="22" t="n">
        <v>-12.701</v>
      </c>
      <c r="W149" s="22" t="n">
        <v>-41.177</v>
      </c>
      <c r="X149" s="22" t="n">
        <v>-52.157</v>
      </c>
    </row>
    <row r="150">
      <c r="A150" s="20" t="inlineStr">
        <is>
          <t>보상금 수취</t>
        </is>
      </c>
      <c r="I150" s="22" t="n">
        <v>0</v>
      </c>
      <c r="M150" s="22" t="n">
        <v>60.158</v>
      </c>
      <c r="W150" s="22" t="n">
        <v>0</v>
      </c>
      <c r="X150" s="22" t="n">
        <v>60.158</v>
      </c>
    </row>
    <row r="151">
      <c r="A151" s="20" t="inlineStr">
        <is>
          <t>보조금 수취</t>
        </is>
      </c>
      <c r="E151" s="22" t="n">
        <v>53.362</v>
      </c>
      <c r="I151" s="22" t="n">
        <v>34.709</v>
      </c>
      <c r="M151" s="22" t="n">
        <v>11.679</v>
      </c>
      <c r="U151" s="22" t="n">
        <v>0</v>
      </c>
      <c r="V151" s="22" t="n">
        <v>53.362</v>
      </c>
      <c r="W151" s="22" t="n">
        <v>34.709</v>
      </c>
      <c r="X151" s="22" t="n">
        <v>11.679</v>
      </c>
    </row>
    <row r="152">
      <c r="A152" s="20" t="inlineStr">
        <is>
          <t>보험금 수취</t>
        </is>
      </c>
      <c r="E152" s="22" t="n">
        <v>0.777</v>
      </c>
      <c r="I152" s="22" t="n">
        <v>1.6</v>
      </c>
      <c r="M152" s="22" t="n">
        <v>11.531</v>
      </c>
      <c r="O152" s="22" t="n">
        <v>63.921</v>
      </c>
      <c r="P152" s="22" t="n">
        <v>144.935</v>
      </c>
      <c r="Q152" s="22" t="n">
        <v>32.527</v>
      </c>
      <c r="R152" s="22" t="n">
        <v>26.424</v>
      </c>
      <c r="S152" s="22" t="n">
        <v>14.597</v>
      </c>
      <c r="T152" s="22" t="n">
        <v>4.4</v>
      </c>
      <c r="U152" s="22" t="n">
        <v>0</v>
      </c>
      <c r="V152" s="22" t="n">
        <v>0.777</v>
      </c>
      <c r="W152" s="22" t="n">
        <v>1.6</v>
      </c>
      <c r="X152" s="22" t="n">
        <v>11.531</v>
      </c>
    </row>
    <row r="153">
      <c r="A153" s="20" t="inlineStr">
        <is>
          <t>법인세 납부</t>
        </is>
      </c>
      <c r="E153" s="22" t="n">
        <v>-845.734</v>
      </c>
      <c r="I153" s="22" t="n">
        <v>-251.009</v>
      </c>
      <c r="M153" s="22" t="n">
        <v>-813.018</v>
      </c>
      <c r="O153" s="22" t="n">
        <v>-28.686</v>
      </c>
      <c r="P153" s="22" t="n">
        <v>-320.458</v>
      </c>
      <c r="Q153" s="22" t="n">
        <v>-614.9450000000001</v>
      </c>
      <c r="R153" s="22" t="n">
        <v>-28.916</v>
      </c>
      <c r="S153" s="22" t="n">
        <v>-268.439</v>
      </c>
      <c r="T153" s="22" t="n">
        <v>-1091.748</v>
      </c>
      <c r="U153" s="22" t="n">
        <v>-1537.092</v>
      </c>
      <c r="V153" s="22" t="n">
        <v>-845.734</v>
      </c>
      <c r="W153" s="22" t="n">
        <v>-251.009</v>
      </c>
      <c r="X153" s="22" t="n">
        <v>-813.018</v>
      </c>
    </row>
    <row r="154">
      <c r="A154" s="20" t="inlineStr">
        <is>
          <t>법인세 환급</t>
        </is>
      </c>
      <c r="E154" s="22" t="n">
        <v>13.604</v>
      </c>
      <c r="I154" s="22" t="n">
        <v>68.205</v>
      </c>
      <c r="M154" s="22" t="n">
        <v>30.38</v>
      </c>
      <c r="O154" s="22" t="n">
        <v>74.607</v>
      </c>
      <c r="P154" s="22" t="n">
        <v>0</v>
      </c>
      <c r="Q154" s="22" t="n">
        <v>0.452</v>
      </c>
      <c r="R154" s="22" t="n">
        <v>238.91</v>
      </c>
      <c r="S154" s="22" t="n">
        <v>0</v>
      </c>
      <c r="U154" s="22" t="n">
        <v>0</v>
      </c>
      <c r="V154" s="22" t="n">
        <v>13.604</v>
      </c>
      <c r="W154" s="22" t="n">
        <v>68.205</v>
      </c>
      <c r="X154" s="22" t="n">
        <v>30.38</v>
      </c>
    </row>
    <row r="155">
      <c r="A155" s="9" t="inlineStr">
        <is>
          <t>영업활동 현금흐름</t>
        </is>
      </c>
      <c r="E155" s="12" t="n">
        <v>1910.284</v>
      </c>
      <c r="I155" s="12" t="n">
        <v>3801.015</v>
      </c>
      <c r="M155" s="12" t="n">
        <v>5240.452</v>
      </c>
      <c r="O155" s="12" t="n">
        <v>2127.581</v>
      </c>
      <c r="P155" s="12" t="n">
        <v>1767.917</v>
      </c>
      <c r="Q155" s="12" t="n">
        <v>1417.583</v>
      </c>
      <c r="R155" s="12" t="n">
        <v>2438.946</v>
      </c>
      <c r="S155" s="12" t="n">
        <v>3219.249</v>
      </c>
      <c r="T155" s="12" t="n">
        <v>2907.781</v>
      </c>
      <c r="U155" s="12" t="n">
        <v>685.311</v>
      </c>
      <c r="V155" s="12" t="n">
        <v>1910.284</v>
      </c>
      <c r="W155" s="12" t="n">
        <v>3801.015</v>
      </c>
      <c r="X155" s="12" t="n">
        <v>5240.452</v>
      </c>
    </row>
    <row r="156">
      <c r="A156" s="20" t="inlineStr">
        <is>
          <t>정기예금 순증감</t>
        </is>
      </c>
      <c r="R156" s="22" t="n">
        <v>0</v>
      </c>
      <c r="S156" s="22" t="n">
        <v>-38.175</v>
      </c>
      <c r="T156" s="22" t="n">
        <v>38.175</v>
      </c>
      <c r="U156" s="22" t="n">
        <v>0</v>
      </c>
    </row>
    <row r="157">
      <c r="A157" s="20" t="inlineStr">
        <is>
          <t>유형자산 취득(설비투자)</t>
        </is>
      </c>
      <c r="E157" s="22" t="n">
        <v>-3386.895</v>
      </c>
      <c r="I157" s="22" t="n">
        <v>-5943.993</v>
      </c>
      <c r="M157" s="22" t="n">
        <v>-1495.547</v>
      </c>
      <c r="O157" s="22" t="n">
        <v>-742.11</v>
      </c>
      <c r="P157" s="22" t="n">
        <v>-486.372</v>
      </c>
      <c r="Q157" s="22" t="n">
        <v>-1009.038</v>
      </c>
      <c r="R157" s="22" t="n">
        <v>-1032.146</v>
      </c>
      <c r="S157" s="22" t="n">
        <v>-884.828</v>
      </c>
      <c r="T157" s="22" t="n">
        <v>-1822.383</v>
      </c>
      <c r="U157" s="22" t="n">
        <v>-3543.094</v>
      </c>
      <c r="V157" s="22" t="n">
        <v>-3386.895</v>
      </c>
      <c r="W157" s="22" t="n">
        <v>-5943.993</v>
      </c>
      <c r="X157" s="22" t="n">
        <v>-1495.547</v>
      </c>
    </row>
    <row r="158">
      <c r="A158" s="20" t="inlineStr">
        <is>
          <t>Proceeds From Subsidy Inv CF</t>
        </is>
      </c>
      <c r="O158" s="22" t="n">
        <v>47.771</v>
      </c>
      <c r="P158" s="22" t="n">
        <v>0</v>
      </c>
    </row>
    <row r="159">
      <c r="A159" s="20" t="inlineStr">
        <is>
          <t>Proceeds From Subsidy Etc Inv CF</t>
        </is>
      </c>
      <c r="E159" s="22" t="n">
        <v>0</v>
      </c>
      <c r="I159" s="22" t="n">
        <v>2622.486</v>
      </c>
      <c r="M159" s="22" t="n">
        <v>294.115</v>
      </c>
      <c r="P159" s="22" t="n">
        <v>0</v>
      </c>
      <c r="Q159" s="22" t="n">
        <v>1.788</v>
      </c>
      <c r="R159" s="22" t="n">
        <v>1.575</v>
      </c>
      <c r="S159" s="22" t="n">
        <v>3.359</v>
      </c>
      <c r="T159" s="22" t="n">
        <v>30.54</v>
      </c>
      <c r="U159" s="22" t="n">
        <v>17.345</v>
      </c>
      <c r="V159" s="22" t="n">
        <v>0</v>
      </c>
      <c r="W159" s="22" t="n">
        <v>2622.486</v>
      </c>
      <c r="X159" s="22" t="n">
        <v>294.115</v>
      </c>
    </row>
    <row r="160">
      <c r="A160" s="20" t="inlineStr">
        <is>
          <t>무형자산 취득</t>
        </is>
      </c>
      <c r="E160" s="22" t="n">
        <v>-20.089</v>
      </c>
      <c r="I160" s="22" t="n">
        <v>-24.597</v>
      </c>
      <c r="M160" s="22" t="n">
        <v>-131.606</v>
      </c>
      <c r="O160" s="22" t="n">
        <v>-5.797</v>
      </c>
      <c r="P160" s="22" t="n">
        <v>-1.529</v>
      </c>
      <c r="Q160" s="22" t="n">
        <v>-47.817</v>
      </c>
      <c r="R160" s="22" t="n">
        <v>-3.875</v>
      </c>
      <c r="S160" s="22" t="n">
        <v>-13.2</v>
      </c>
      <c r="T160" s="22" t="n">
        <v>-70.04900000000001</v>
      </c>
      <c r="U160" s="22" t="n">
        <v>-26.054</v>
      </c>
      <c r="V160" s="22" t="n">
        <v>-20.089</v>
      </c>
      <c r="W160" s="22" t="n">
        <v>-24.597</v>
      </c>
      <c r="X160" s="22" t="n">
        <v>-131.606</v>
      </c>
    </row>
    <row r="161">
      <c r="A161" s="20" t="inlineStr">
        <is>
          <t>투자유가증권 취득</t>
        </is>
      </c>
      <c r="E161" s="22" t="n">
        <v>-0.907</v>
      </c>
      <c r="I161" s="22" t="n">
        <v>-0.984</v>
      </c>
      <c r="M161" s="22" t="n">
        <v>-1.069</v>
      </c>
      <c r="O161" s="22" t="n">
        <v>-0.498</v>
      </c>
      <c r="P161" s="22" t="n">
        <v>-0.5580000000000001</v>
      </c>
      <c r="Q161" s="22" t="n">
        <v>-0.5649999999999999</v>
      </c>
      <c r="R161" s="22" t="n">
        <v>-0.63</v>
      </c>
      <c r="S161" s="22" t="n">
        <v>-0.643</v>
      </c>
      <c r="T161" s="22" t="n">
        <v>-0.71</v>
      </c>
      <c r="U161" s="22" t="n">
        <v>-0.779</v>
      </c>
      <c r="V161" s="22" t="n">
        <v>-0.907</v>
      </c>
      <c r="W161" s="22" t="n">
        <v>-0.984</v>
      </c>
      <c r="X161" s="22" t="n">
        <v>-1.069</v>
      </c>
    </row>
    <row r="162">
      <c r="A162" s="20" t="inlineStr">
        <is>
          <t>투자유가증권 매각</t>
        </is>
      </c>
      <c r="O162" s="22" t="n">
        <v>0</v>
      </c>
      <c r="P162" s="22" t="n">
        <v>0.003</v>
      </c>
      <c r="Q162" s="22" t="n">
        <v>0</v>
      </c>
    </row>
    <row r="163">
      <c r="A163" s="20" t="inlineStr">
        <is>
          <t>연결범위 변경 자회사 주식 취득</t>
        </is>
      </c>
      <c r="O163" s="22" t="n">
        <v>-99.379</v>
      </c>
      <c r="P163" s="22" t="n">
        <v>0</v>
      </c>
    </row>
    <row r="164">
      <c r="A164" s="20" t="inlineStr">
        <is>
          <t>Proceeds From Liquidation Of Subsidiaries And Associates Resulting In Change In Scope Of Consolidation Inv CF</t>
        </is>
      </c>
      <c r="P164" s="22" t="n">
        <v>0</v>
      </c>
      <c r="Q164" s="22" t="n">
        <v>578.659</v>
      </c>
      <c r="R164" s="22" t="n">
        <v>0</v>
      </c>
    </row>
    <row r="165">
      <c r="A165" s="20" t="inlineStr">
        <is>
          <t>기타</t>
        </is>
      </c>
      <c r="E165" s="22" t="n">
        <v>-4.513</v>
      </c>
      <c r="I165" s="22" t="n">
        <v>-54.619</v>
      </c>
      <c r="M165" s="22" t="n">
        <v>-63.309</v>
      </c>
      <c r="O165" s="22" t="n">
        <v>-38.101</v>
      </c>
      <c r="P165" s="22" t="n">
        <v>-29.244</v>
      </c>
      <c r="Q165" s="22" t="n">
        <v>-47.766</v>
      </c>
      <c r="R165" s="22" t="n">
        <v>-25.084</v>
      </c>
      <c r="S165" s="22" t="n">
        <v>-55.283</v>
      </c>
      <c r="T165" s="22" t="n">
        <v>-13.071</v>
      </c>
      <c r="U165" s="22" t="n">
        <v>-47.013</v>
      </c>
      <c r="V165" s="22" t="n">
        <v>-4.513</v>
      </c>
      <c r="W165" s="22" t="n">
        <v>-54.619</v>
      </c>
      <c r="X165" s="22" t="n">
        <v>-63.309</v>
      </c>
    </row>
    <row r="166">
      <c r="A166" s="9" t="inlineStr">
        <is>
          <t>투자활동 현금흐름</t>
        </is>
      </c>
      <c r="E166" s="12" t="n">
        <v>-3412.406</v>
      </c>
      <c r="I166" s="12" t="n">
        <v>-3401.708</v>
      </c>
      <c r="M166" s="12" t="n">
        <v>-1397.418</v>
      </c>
      <c r="O166" s="12" t="n">
        <v>-838.115</v>
      </c>
      <c r="P166" s="12" t="n">
        <v>-517.701</v>
      </c>
      <c r="Q166" s="12" t="n">
        <v>-524.739</v>
      </c>
      <c r="R166" s="12" t="n">
        <v>-1060.159</v>
      </c>
      <c r="S166" s="12" t="n">
        <v>-988.771</v>
      </c>
      <c r="T166" s="12" t="n">
        <v>-1837.499</v>
      </c>
      <c r="U166" s="12" t="n">
        <v>-3599.596</v>
      </c>
      <c r="V166" s="12" t="n">
        <v>-3412.406</v>
      </c>
      <c r="W166" s="12" t="n">
        <v>-3401.708</v>
      </c>
      <c r="X166" s="12" t="n">
        <v>-1397.418</v>
      </c>
    </row>
    <row r="167">
      <c r="A167" s="20" t="inlineStr">
        <is>
          <t>단기차입금 순증감</t>
        </is>
      </c>
      <c r="E167" s="22" t="n">
        <v>0</v>
      </c>
      <c r="I167" s="22" t="n">
        <v>1500</v>
      </c>
      <c r="M167" s="22" t="n">
        <v>-1500</v>
      </c>
      <c r="O167" s="22" t="n">
        <v>-450.181</v>
      </c>
      <c r="P167" s="22" t="n">
        <v>130.87</v>
      </c>
      <c r="Q167" s="22" t="n">
        <v>-500.832</v>
      </c>
      <c r="R167" s="22" t="n">
        <v>-460.598</v>
      </c>
      <c r="S167" s="22" t="n">
        <v>61.757</v>
      </c>
      <c r="T167" s="22" t="n">
        <v>0</v>
      </c>
      <c r="U167" s="22" t="n">
        <v>-600</v>
      </c>
      <c r="V167" s="22" t="n">
        <v>0</v>
      </c>
      <c r="W167" s="22" t="n">
        <v>1500</v>
      </c>
      <c r="X167" s="22" t="n">
        <v>-1500</v>
      </c>
    </row>
    <row r="168">
      <c r="A168" s="20" t="inlineStr">
        <is>
          <t>장기차입</t>
        </is>
      </c>
      <c r="E168" s="22" t="n">
        <v>4300</v>
      </c>
      <c r="I168" s="22" t="n">
        <v>1000</v>
      </c>
      <c r="M168" s="22" t="n">
        <v>1500</v>
      </c>
      <c r="O168" s="22" t="n">
        <v>2000</v>
      </c>
      <c r="P168" s="22" t="n">
        <v>0</v>
      </c>
      <c r="Q168" s="22" t="n">
        <v>1000</v>
      </c>
      <c r="R168" s="22" t="n">
        <v>1200</v>
      </c>
      <c r="S168" s="22" t="n">
        <v>2000</v>
      </c>
      <c r="T168" s="22" t="n">
        <v>0</v>
      </c>
      <c r="U168" s="22" t="n">
        <v>4700</v>
      </c>
      <c r="V168" s="22" t="n">
        <v>4300</v>
      </c>
      <c r="W168" s="22" t="n">
        <v>1000</v>
      </c>
      <c r="X168" s="22" t="n">
        <v>1500</v>
      </c>
    </row>
    <row r="169">
      <c r="A169" s="20" t="inlineStr">
        <is>
          <t>장기차입금 상환</t>
        </is>
      </c>
      <c r="E169" s="22" t="n">
        <v>-1856.779</v>
      </c>
      <c r="I169" s="22" t="n">
        <v>-2406.56</v>
      </c>
      <c r="M169" s="22" t="n">
        <v>-2496.703</v>
      </c>
      <c r="O169" s="22" t="n">
        <v>-2379.506</v>
      </c>
      <c r="P169" s="22" t="n">
        <v>-1505.004</v>
      </c>
      <c r="Q169" s="22" t="n">
        <v>-1359.984</v>
      </c>
      <c r="R169" s="22" t="n">
        <v>-1457.418</v>
      </c>
      <c r="S169" s="22" t="n">
        <v>-1304.916</v>
      </c>
      <c r="T169" s="22" t="n">
        <v>-964.9640000000001</v>
      </c>
      <c r="U169" s="22" t="n">
        <v>-1201.579</v>
      </c>
      <c r="V169" s="22" t="n">
        <v>-1856.779</v>
      </c>
      <c r="W169" s="22" t="n">
        <v>-2406.56</v>
      </c>
      <c r="X169" s="22" t="n">
        <v>-2496.703</v>
      </c>
    </row>
    <row r="170">
      <c r="A170" s="20" t="inlineStr">
        <is>
          <t>자기주식 처분</t>
        </is>
      </c>
      <c r="O170" s="22" t="n">
        <v>0.013</v>
      </c>
      <c r="P170" s="22" t="n">
        <v>0</v>
      </c>
      <c r="Q170" s="22" t="n">
        <v>0.062</v>
      </c>
      <c r="R170" s="22" t="n">
        <v>0</v>
      </c>
    </row>
    <row r="171">
      <c r="A171" s="20" t="inlineStr">
        <is>
          <t>자기주식 취득</t>
        </is>
      </c>
      <c r="E171" s="22" t="n">
        <v>-301.909</v>
      </c>
      <c r="I171" s="22" t="n">
        <v>-198.933</v>
      </c>
      <c r="M171" s="22" t="n">
        <v>-0.231</v>
      </c>
      <c r="O171" s="22" t="n">
        <v>0</v>
      </c>
      <c r="P171" s="22" t="n">
        <v>-0.615</v>
      </c>
      <c r="Q171" s="22" t="n">
        <v>-0.226</v>
      </c>
      <c r="R171" s="22" t="n">
        <v>0</v>
      </c>
      <c r="S171" s="22" t="n">
        <v>-0.388</v>
      </c>
      <c r="T171" s="22" t="n">
        <v>-0.277</v>
      </c>
      <c r="U171" s="22" t="n">
        <v>0</v>
      </c>
      <c r="V171" s="22" t="n">
        <v>-301.909</v>
      </c>
      <c r="W171" s="22" t="n">
        <v>-198.933</v>
      </c>
      <c r="X171" s="22" t="n">
        <v>-0.231</v>
      </c>
    </row>
    <row r="172">
      <c r="A172" s="20" t="inlineStr">
        <is>
          <t>배당금 지급</t>
        </is>
      </c>
      <c r="E172" s="22" t="n">
        <v>-642.824</v>
      </c>
      <c r="I172" s="22" t="n">
        <v>-531.825</v>
      </c>
      <c r="M172" s="22" t="n">
        <v>-790.578</v>
      </c>
      <c r="O172" s="22" t="n">
        <v>-193.625</v>
      </c>
      <c r="P172" s="22" t="n">
        <v>-193.624</v>
      </c>
      <c r="Q172" s="22" t="n">
        <v>-204.377</v>
      </c>
      <c r="R172" s="22" t="n">
        <v>-215.133</v>
      </c>
      <c r="S172" s="22" t="n">
        <v>-215.133</v>
      </c>
      <c r="T172" s="22" t="n">
        <v>-290.503</v>
      </c>
      <c r="U172" s="22" t="n">
        <v>-323.003</v>
      </c>
      <c r="V172" s="22" t="n">
        <v>-642.824</v>
      </c>
      <c r="W172" s="22" t="n">
        <v>-531.825</v>
      </c>
      <c r="X172" s="22" t="n">
        <v>-790.578</v>
      </c>
    </row>
    <row r="173">
      <c r="A173" s="20" t="inlineStr">
        <is>
          <t>Additional Purchase Of Investments In Subsidiaries From Non Controlling Shareholders Fin CF</t>
        </is>
      </c>
      <c r="O173" s="22" t="n">
        <v>-0.359</v>
      </c>
      <c r="P173" s="22" t="n">
        <v>0</v>
      </c>
    </row>
    <row r="174">
      <c r="A174" s="9" t="inlineStr">
        <is>
          <t>재무활동 현금흐름</t>
        </is>
      </c>
      <c r="E174" s="12" t="n">
        <v>1498.486</v>
      </c>
      <c r="I174" s="12" t="n">
        <v>-637.318</v>
      </c>
      <c r="M174" s="12" t="n">
        <v>-3287.513</v>
      </c>
      <c r="O174" s="12" t="n">
        <v>-1023.659</v>
      </c>
      <c r="P174" s="12" t="n">
        <v>-1568.373</v>
      </c>
      <c r="Q174" s="12" t="n">
        <v>-1065.358</v>
      </c>
      <c r="R174" s="12" t="n">
        <v>-933.15</v>
      </c>
      <c r="S174" s="12" t="n">
        <v>541.319</v>
      </c>
      <c r="T174" s="12" t="n">
        <v>-1255.745</v>
      </c>
      <c r="U174" s="12" t="n">
        <v>2575.417</v>
      </c>
      <c r="V174" s="12" t="n">
        <v>1498.486</v>
      </c>
      <c r="W174" s="12" t="n">
        <v>-637.318</v>
      </c>
      <c r="X174" s="12" t="n">
        <v>-3287.513</v>
      </c>
    </row>
    <row r="175">
      <c r="A175" s="20" t="inlineStr">
        <is>
          <t>현금성자산 환산차이</t>
        </is>
      </c>
      <c r="E175" s="22" t="n">
        <v>86.271</v>
      </c>
      <c r="I175" s="22" t="n">
        <v>58.059</v>
      </c>
      <c r="M175" s="22" t="n">
        <v>59.61</v>
      </c>
      <c r="O175" s="22" t="n">
        <v>-48.272</v>
      </c>
      <c r="P175" s="22" t="n">
        <v>-19.457</v>
      </c>
      <c r="Q175" s="22" t="n">
        <v>-24.537</v>
      </c>
      <c r="R175" s="22" t="n">
        <v>-8.282999999999999</v>
      </c>
      <c r="S175" s="22" t="n">
        <v>-23.911</v>
      </c>
      <c r="T175" s="22" t="n">
        <v>80.834</v>
      </c>
      <c r="U175" s="22" t="n">
        <v>126.966</v>
      </c>
      <c r="V175" s="22" t="n">
        <v>86.271</v>
      </c>
      <c r="W175" s="22" t="n">
        <v>58.059</v>
      </c>
      <c r="X175" s="22" t="n">
        <v>59.61</v>
      </c>
    </row>
    <row r="176">
      <c r="A176" s="20" t="inlineStr">
        <is>
          <t>현금성자산 증감</t>
        </is>
      </c>
      <c r="E176" s="22" t="n">
        <v>82.636</v>
      </c>
      <c r="I176" s="22" t="n">
        <v>-179.952</v>
      </c>
      <c r="M176" s="22" t="n">
        <v>615.13</v>
      </c>
      <c r="O176" s="22" t="n">
        <v>217.535</v>
      </c>
      <c r="P176" s="22" t="n">
        <v>-337.614</v>
      </c>
      <c r="Q176" s="22" t="n">
        <v>-197.052</v>
      </c>
      <c r="R176" s="22" t="n">
        <v>437.353</v>
      </c>
      <c r="S176" s="22" t="n">
        <v>2747.886</v>
      </c>
      <c r="T176" s="22" t="n">
        <v>-104.628</v>
      </c>
      <c r="U176" s="22" t="n">
        <v>-211.901</v>
      </c>
      <c r="V176" s="22" t="n">
        <v>82.636</v>
      </c>
      <c r="W176" s="22" t="n">
        <v>-179.952</v>
      </c>
      <c r="X176" s="22" t="n">
        <v>615.13</v>
      </c>
    </row>
  </sheetData>
  <pageMargins left="0.75" right="0.75" top="1" bottom="1" header="0.5" footer="0.5"/>
  <pageSetup orientation="landscape" paperSize="8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121"/>
  <sheetViews>
    <sheetView showGridLines="0" zoomScale="85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0" customWidth="1" min="2" max="2"/>
    <col outlineLevel="1" width="11" customWidth="1" min="3" max="3"/>
    <col outlineLevel="1" width="11" customWidth="1" min="4" max="4"/>
    <col outlineLevel="1" width="11" customWidth="1" min="5" max="5"/>
    <col outlineLevel="1" width="11" customWidth="1" min="6" max="6"/>
    <col outlineLevel="1"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 ht="30" customHeight="1">
      <c r="A1" s="1" t="inlineStr">
        <is>
          <t>3891 재무상태표</t>
        </is>
      </c>
    </row>
    <row r="2">
      <c r="A2" s="45" t="inlineStr">
        <is>
          <t>재무비율은 기말 잔액 기준 · 분기 손익은 최근 4분기 합산(TTM)</t>
        </is>
      </c>
      <c r="B2" s="3" t="inlineStr">
        <is>
          <t>(단위: 백만엔)</t>
        </is>
      </c>
    </row>
    <row r="3">
      <c r="A3" s="5" t="inlineStr">
        <is>
          <t>항목</t>
        </is>
      </c>
      <c r="B3" s="5" t="inlineStr">
        <is>
          <t>참고</t>
        </is>
      </c>
      <c r="C3" s="6" t="inlineStr">
        <is>
          <t>2026.1Q</t>
        </is>
      </c>
      <c r="D3" s="5" t="inlineStr">
        <is>
          <t>2026.2Q</t>
        </is>
      </c>
      <c r="E3" s="5" t="inlineStr">
        <is>
          <t>2026.3Q</t>
        </is>
      </c>
      <c r="F3" s="5" t="inlineStr">
        <is>
          <t>2026.4Q</t>
        </is>
      </c>
      <c r="G3" s="5" t="inlineStr">
        <is>
          <t>2027.1Q</t>
        </is>
      </c>
      <c r="H3" s="6" t="inlineStr">
        <is>
          <t>2022</t>
        </is>
      </c>
      <c r="I3" s="5" t="inlineStr">
        <is>
          <t>2023</t>
        </is>
      </c>
      <c r="J3" s="5" t="inlineStr">
        <is>
          <t>2024</t>
        </is>
      </c>
      <c r="K3" s="5" t="inlineStr">
        <is>
          <t>2025</t>
        </is>
      </c>
      <c r="L3" s="5" t="inlineStr">
        <is>
          <t>2026</t>
        </is>
      </c>
    </row>
    <row r="4">
      <c r="A4" s="18" t="inlineStr">
        <is>
          <t>자산</t>
        </is>
      </c>
      <c r="B4" s="18" t="n"/>
      <c r="C4" s="19" t="n"/>
      <c r="D4" s="18" t="n"/>
      <c r="E4" s="18" t="n"/>
      <c r="F4" s="18" t="n"/>
      <c r="G4" s="18" t="n"/>
      <c r="H4" s="19" t="n"/>
      <c r="I4" s="18" t="n"/>
      <c r="J4" s="18" t="n"/>
      <c r="K4" s="18" t="n"/>
      <c r="L4" s="18" t="n"/>
    </row>
    <row r="5">
      <c r="A5" s="9" t="inlineStr">
        <is>
          <t>유동자산</t>
        </is>
      </c>
      <c r="B5" s="10" t="n"/>
      <c r="C5" s="11" t="n">
        <v>17936.294</v>
      </c>
      <c r="D5" s="12" t="n">
        <v>17342.032</v>
      </c>
      <c r="E5" s="12" t="n">
        <v>18408.071</v>
      </c>
      <c r="F5" s="12" t="n">
        <v>17740.252</v>
      </c>
      <c r="G5" s="12" t="n">
        <v>18212.905</v>
      </c>
      <c r="H5" s="11" t="n">
        <v>15351.291</v>
      </c>
      <c r="I5" s="12" t="n">
        <v>17503.221</v>
      </c>
      <c r="J5" s="12" t="n">
        <v>18173.32</v>
      </c>
      <c r="K5" s="12" t="n">
        <v>17507.454</v>
      </c>
      <c r="L5" s="12" t="n">
        <v>17740.252</v>
      </c>
    </row>
    <row r="6">
      <c r="A6" s="20" t="inlineStr">
        <is>
          <t>현금및현금성자산</t>
        </is>
      </c>
      <c r="B6" s="10" t="n"/>
      <c r="C6" s="21" t="n">
        <v>4330.56</v>
      </c>
      <c r="D6" s="22" t="n">
        <v>4425.127</v>
      </c>
      <c r="E6" s="22" t="n">
        <v>4346.419</v>
      </c>
      <c r="F6" s="22" t="n">
        <v>4741.85</v>
      </c>
      <c r="G6" s="22" t="n">
        <v>4268.417</v>
      </c>
      <c r="H6" s="21" t="n">
        <v>4435.937</v>
      </c>
      <c r="I6" s="22" t="n">
        <v>4224.035</v>
      </c>
      <c r="J6" s="22" t="n">
        <v>4306.671</v>
      </c>
      <c r="K6" s="22" t="n">
        <v>4126.719</v>
      </c>
      <c r="L6" s="22" t="n">
        <v>4741.85</v>
      </c>
    </row>
    <row r="7">
      <c r="A7" s="20" t="inlineStr">
        <is>
          <t>단기금융상품</t>
        </is>
      </c>
      <c r="B7" s="10" t="n"/>
      <c r="C7" s="21" t="n"/>
      <c r="D7" s="22" t="n"/>
      <c r="E7" s="22" t="n"/>
      <c r="F7" s="22" t="n"/>
      <c r="G7" s="22" t="n"/>
      <c r="H7" s="21" t="n"/>
      <c r="I7" s="22" t="n"/>
      <c r="J7" s="22" t="n"/>
      <c r="K7" s="22" t="n"/>
      <c r="L7" s="22" t="n"/>
    </row>
    <row r="8">
      <c r="A8" s="20" t="inlineStr">
        <is>
          <t>매출채권</t>
        </is>
      </c>
      <c r="B8" s="10" t="n"/>
      <c r="C8" s="21" t="n">
        <v>4742.723</v>
      </c>
      <c r="D8" s="22" t="n">
        <v>4967.678</v>
      </c>
      <c r="E8" s="22" t="n">
        <v>6099.243</v>
      </c>
      <c r="F8" s="22" t="n">
        <v>4975.964</v>
      </c>
      <c r="G8" s="22" t="n">
        <v>6062.805</v>
      </c>
      <c r="H8" s="21" t="n">
        <v>4705.341</v>
      </c>
      <c r="I8" s="22" t="n">
        <v>4251.568</v>
      </c>
      <c r="J8" s="22" t="n">
        <v>4868.093</v>
      </c>
      <c r="K8" s="22" t="n">
        <v>4135.549</v>
      </c>
      <c r="L8" s="22" t="n">
        <v>4975.964</v>
      </c>
    </row>
    <row r="9">
      <c r="A9" s="20" t="inlineStr">
        <is>
          <t>재고자산</t>
        </is>
      </c>
      <c r="B9" s="10" t="n"/>
      <c r="C9" s="21" t="n">
        <v>7821.408</v>
      </c>
      <c r="D9" s="22" t="n">
        <v>7574.997</v>
      </c>
      <c r="E9" s="22" t="n">
        <v>7649.286</v>
      </c>
      <c r="F9" s="22" t="n">
        <v>7813.639</v>
      </c>
      <c r="G9" s="22" t="n">
        <v>7511.12</v>
      </c>
      <c r="H9" s="21" t="n">
        <v>5815.845</v>
      </c>
      <c r="I9" s="22" t="n">
        <v>8173.866</v>
      </c>
      <c r="J9" s="22" t="n">
        <v>8345.172</v>
      </c>
      <c r="K9" s="22" t="n">
        <v>7971.033</v>
      </c>
      <c r="L9" s="22" t="n">
        <v>7813.639</v>
      </c>
    </row>
    <row r="10">
      <c r="A10" s="20" t="inlineStr">
        <is>
          <t>기타유동자산</t>
        </is>
      </c>
      <c r="B10" s="10" t="inlineStr">
        <is>
          <t>총계 − 위 항목</t>
        </is>
      </c>
      <c r="C10" s="21">
        <f>IF(OR(C5=""),"",IFERROR(C5-SUM(C6,C7,C8,C9),""))</f>
        <v/>
      </c>
      <c r="D10" s="22">
        <f>IF(OR(D5=""),"",IFERROR(D5-SUM(D6,D7,D8,D9),""))</f>
        <v/>
      </c>
      <c r="E10" s="22">
        <f>IF(OR(E5=""),"",IFERROR(E5-SUM(E6,E7,E8,E9),""))</f>
        <v/>
      </c>
      <c r="F10" s="22">
        <f>IF(OR(F5=""),"",IFERROR(F5-SUM(F6,F7,F8,F9),""))</f>
        <v/>
      </c>
      <c r="G10" s="22">
        <f>IF(OR(G5=""),"",IFERROR(G5-SUM(G6,G7,G8,G9),""))</f>
        <v/>
      </c>
      <c r="H10" s="21">
        <f>IF(OR(H5=""),"",IFERROR(H5-SUM(H6,H7,H8,H9),""))</f>
        <v/>
      </c>
      <c r="I10" s="22">
        <f>IF(OR(I5=""),"",IFERROR(I5-SUM(I6,I7,I8,I9),""))</f>
        <v/>
      </c>
      <c r="J10" s="22">
        <f>IF(OR(J5=""),"",IFERROR(J5-SUM(J6,J7,J8,J9),""))</f>
        <v/>
      </c>
      <c r="K10" s="22">
        <f>IF(OR(K5=""),"",IFERROR(K5-SUM(K6,K7,K8,K9),""))</f>
        <v/>
      </c>
      <c r="L10" s="22">
        <f>IF(OR(L5=""),"",IFERROR(L5-SUM(L6,L7,L8,L9),""))</f>
        <v/>
      </c>
    </row>
    <row r="11">
      <c r="A11" s="9" t="inlineStr">
        <is>
          <t>비유동자산</t>
        </is>
      </c>
      <c r="B11" s="10" t="n"/>
      <c r="C11" s="11" t="n">
        <v>17629.284</v>
      </c>
      <c r="D11" s="12" t="n">
        <v>17907.78</v>
      </c>
      <c r="E11" s="12" t="n">
        <v>17457.593</v>
      </c>
      <c r="F11" s="12" t="n">
        <v>17869.117</v>
      </c>
      <c r="G11" s="12" t="n">
        <v>17810.37</v>
      </c>
      <c r="H11" s="11" t="n">
        <v>10812.101</v>
      </c>
      <c r="I11" s="12" t="n">
        <v>13126.384</v>
      </c>
      <c r="J11" s="12" t="n">
        <v>15802.301</v>
      </c>
      <c r="K11" s="12" t="n">
        <v>17761.873</v>
      </c>
      <c r="L11" s="12" t="n">
        <v>17869.117</v>
      </c>
    </row>
    <row r="12">
      <c r="A12" s="20" t="inlineStr">
        <is>
          <t>유형자산</t>
        </is>
      </c>
      <c r="B12" s="10" t="n"/>
      <c r="C12" s="21" t="n">
        <v>16113.316</v>
      </c>
      <c r="D12" s="22" t="n">
        <v>16201.825</v>
      </c>
      <c r="E12" s="22" t="n">
        <v>15822.73</v>
      </c>
      <c r="F12" s="22" t="n">
        <v>15758.771</v>
      </c>
      <c r="G12" s="22" t="n">
        <v>15692.899</v>
      </c>
      <c r="H12" s="21" t="n">
        <v>9496.215</v>
      </c>
      <c r="I12" s="22" t="n">
        <v>11907.358</v>
      </c>
      <c r="J12" s="22" t="n">
        <v>14748.032</v>
      </c>
      <c r="K12" s="22" t="n">
        <v>16242.33</v>
      </c>
      <c r="L12" s="22" t="n">
        <v>15758.771</v>
      </c>
    </row>
    <row r="13">
      <c r="A13" s="20" t="inlineStr">
        <is>
          <t>무형자산</t>
        </is>
      </c>
      <c r="B13" s="10" t="n"/>
      <c r="C13" s="21" t="n">
        <v>174.702</v>
      </c>
      <c r="D13" s="22" t="n">
        <v>168.565</v>
      </c>
      <c r="E13" s="22" t="n">
        <v>165.876</v>
      </c>
      <c r="F13" s="22" t="n">
        <v>169.9</v>
      </c>
      <c r="G13" s="22" t="n">
        <v>160.226</v>
      </c>
      <c r="H13" s="21" t="n">
        <v>112.681</v>
      </c>
      <c r="I13" s="22" t="n">
        <v>91.60899999999999</v>
      </c>
      <c r="J13" s="22" t="n">
        <v>78.595</v>
      </c>
      <c r="K13" s="22" t="n">
        <v>108.789</v>
      </c>
      <c r="L13" s="22" t="n">
        <v>169.9</v>
      </c>
    </row>
    <row r="14">
      <c r="A14" s="20" t="inlineStr">
        <is>
          <t>투자부동산</t>
        </is>
      </c>
      <c r="B14" s="10" t="n"/>
      <c r="C14" s="21" t="n"/>
      <c r="D14" s="22" t="n"/>
      <c r="E14" s="22" t="n"/>
      <c r="F14" s="22" t="n"/>
      <c r="G14" s="22" t="n"/>
      <c r="H14" s="21" t="n"/>
      <c r="I14" s="22" t="n"/>
      <c r="J14" s="22" t="n"/>
      <c r="K14" s="22" t="n"/>
      <c r="L14" s="22" t="n"/>
    </row>
    <row r="15">
      <c r="A15" s="20" t="inlineStr">
        <is>
          <t>기타비유동자산</t>
        </is>
      </c>
      <c r="B15" s="10" t="inlineStr">
        <is>
          <t>총계 − 위 항목</t>
        </is>
      </c>
      <c r="C15" s="21">
        <f>IF(OR(C11=""),"",IFERROR(C11-SUM(C12,C13,C14),""))</f>
        <v/>
      </c>
      <c r="D15" s="22">
        <f>IF(OR(D11=""),"",IFERROR(D11-SUM(D12,D13,D14),""))</f>
        <v/>
      </c>
      <c r="E15" s="22">
        <f>IF(OR(E11=""),"",IFERROR(E11-SUM(E12,E13,E14),""))</f>
        <v/>
      </c>
      <c r="F15" s="22">
        <f>IF(OR(F11=""),"",IFERROR(F11-SUM(F12,F13,F14),""))</f>
        <v/>
      </c>
      <c r="G15" s="22">
        <f>IF(OR(G11=""),"",IFERROR(G11-SUM(G12,G13,G14),""))</f>
        <v/>
      </c>
      <c r="H15" s="21">
        <f>IF(OR(H11=""),"",IFERROR(H11-SUM(H12,H13,H14),""))</f>
        <v/>
      </c>
      <c r="I15" s="22">
        <f>IF(OR(I11=""),"",IFERROR(I11-SUM(I12,I13,I14),""))</f>
        <v/>
      </c>
      <c r="J15" s="22">
        <f>IF(OR(J11=""),"",IFERROR(J11-SUM(J12,J13,J14),""))</f>
        <v/>
      </c>
      <c r="K15" s="22">
        <f>IF(OR(K11=""),"",IFERROR(K11-SUM(K12,K13,K14),""))</f>
        <v/>
      </c>
      <c r="L15" s="22">
        <f>IF(OR(L11=""),"",IFERROR(L11-SUM(L12,L13,L14),""))</f>
        <v/>
      </c>
    </row>
    <row r="16">
      <c r="A16" s="9" t="inlineStr">
        <is>
          <t>자산총계</t>
        </is>
      </c>
      <c r="B16" s="10" t="n"/>
      <c r="C16" s="11" t="n">
        <v>35565.579</v>
      </c>
      <c r="D16" s="12" t="n">
        <v>35249.812</v>
      </c>
      <c r="E16" s="12" t="n">
        <v>35865.664</v>
      </c>
      <c r="F16" s="12" t="n">
        <v>35609.369</v>
      </c>
      <c r="G16" s="12" t="n">
        <v>36023.275</v>
      </c>
      <c r="H16" s="11" t="n">
        <v>26163.392</v>
      </c>
      <c r="I16" s="12" t="n">
        <v>30629.605</v>
      </c>
      <c r="J16" s="12" t="n">
        <v>33975.622</v>
      </c>
      <c r="K16" s="12" t="n">
        <v>35269.328</v>
      </c>
      <c r="L16" s="12" t="n">
        <v>35609.369</v>
      </c>
    </row>
    <row r="17">
      <c r="A17" s="18" t="inlineStr">
        <is>
          <t>부채</t>
        </is>
      </c>
      <c r="B17" s="18" t="n"/>
      <c r="C17" s="19" t="n"/>
      <c r="D17" s="18" t="n"/>
      <c r="E17" s="18" t="n"/>
      <c r="F17" s="18" t="n"/>
      <c r="G17" s="18" t="n"/>
      <c r="H17" s="19" t="n"/>
      <c r="I17" s="18" t="n"/>
      <c r="J17" s="18" t="n"/>
      <c r="K17" s="18" t="n"/>
      <c r="L17" s="18" t="n"/>
    </row>
    <row r="18">
      <c r="A18" s="9" t="inlineStr">
        <is>
          <t>유동부채</t>
        </is>
      </c>
      <c r="B18" s="10" t="n"/>
      <c r="C18" s="11" t="n">
        <v>6208.53</v>
      </c>
      <c r="D18" s="12" t="n">
        <v>5755.938</v>
      </c>
      <c r="E18" s="12" t="n">
        <v>6540.728</v>
      </c>
      <c r="F18" s="12" t="n">
        <v>5837.138</v>
      </c>
      <c r="G18" s="12" t="n">
        <v>5897.999</v>
      </c>
      <c r="H18" s="11" t="n">
        <v>4888.19</v>
      </c>
      <c r="I18" s="12" t="n">
        <v>4523.056</v>
      </c>
      <c r="J18" s="12" t="n">
        <v>5537.546</v>
      </c>
      <c r="K18" s="12" t="n">
        <v>6768.881</v>
      </c>
      <c r="L18" s="12" t="n">
        <v>5837.138</v>
      </c>
    </row>
    <row r="19">
      <c r="A19" s="20" t="inlineStr">
        <is>
          <t>매입채무</t>
        </is>
      </c>
      <c r="B19" s="10" t="n"/>
      <c r="C19" s="21" t="n">
        <v>393.07</v>
      </c>
      <c r="D19" s="22" t="n">
        <v>339.831</v>
      </c>
      <c r="E19" s="22" t="n">
        <v>399.957</v>
      </c>
      <c r="F19" s="22" t="n">
        <v>775.112</v>
      </c>
      <c r="G19" s="22" t="n">
        <v>1078.841</v>
      </c>
      <c r="H19" s="21" t="n">
        <v>499.023</v>
      </c>
      <c r="I19" s="22" t="n">
        <v>439.109</v>
      </c>
      <c r="J19" s="22" t="n">
        <v>481.499</v>
      </c>
      <c r="K19" s="22" t="n">
        <v>394.01</v>
      </c>
      <c r="L19" s="22" t="n">
        <v>775.112</v>
      </c>
    </row>
    <row r="20">
      <c r="A20" s="20" t="inlineStr">
        <is>
          <t>단기차입금</t>
        </is>
      </c>
      <c r="B20" s="10" t="n"/>
      <c r="C20" s="21" t="n">
        <v>1400</v>
      </c>
      <c r="D20" s="22" t="n">
        <v>400</v>
      </c>
      <c r="E20" s="22" t="n">
        <v>1700</v>
      </c>
      <c r="F20" s="22" t="n">
        <v>0</v>
      </c>
      <c r="G20" s="22" t="n">
        <v>400</v>
      </c>
      <c r="H20" s="21" t="n">
        <v>600</v>
      </c>
      <c r="I20" s="22" t="n">
        <v>0</v>
      </c>
      <c r="J20" s="22" t="n">
        <v>0</v>
      </c>
      <c r="K20" s="22" t="n">
        <v>1500</v>
      </c>
      <c r="L20" s="22" t="n">
        <v>0</v>
      </c>
    </row>
    <row r="21">
      <c r="A21" s="20" t="inlineStr">
        <is>
          <t>유동성장기부채</t>
        </is>
      </c>
      <c r="B21" s="10" t="n"/>
      <c r="C21" s="21" t="n">
        <v>2464.96</v>
      </c>
      <c r="D21" s="22" t="n">
        <v>2404.963</v>
      </c>
      <c r="E21" s="22" t="n">
        <v>2344.966</v>
      </c>
      <c r="F21" s="22" t="n">
        <v>2299.908</v>
      </c>
      <c r="G21" s="22" t="n">
        <v>2279.969</v>
      </c>
      <c r="H21" s="21" t="n">
        <v>839.928</v>
      </c>
      <c r="I21" s="22" t="n">
        <v>1655.12</v>
      </c>
      <c r="J21" s="22" t="n">
        <v>2244.9</v>
      </c>
      <c r="K21" s="22" t="n">
        <v>2251.713</v>
      </c>
      <c r="L21" s="22" t="n">
        <v>2299.908</v>
      </c>
    </row>
    <row r="22">
      <c r="A22" s="20" t="inlineStr">
        <is>
          <t>기타유동부채</t>
        </is>
      </c>
      <c r="B22" s="10" t="inlineStr">
        <is>
          <t>총계 − 위 항목</t>
        </is>
      </c>
      <c r="C22" s="21">
        <f>IF(OR(C18=""),"",IFERROR(C18-SUM(C19,C20,C21),""))</f>
        <v/>
      </c>
      <c r="D22" s="22">
        <f>IF(OR(D18=""),"",IFERROR(D18-SUM(D19,D20,D21),""))</f>
        <v/>
      </c>
      <c r="E22" s="22">
        <f>IF(OR(E18=""),"",IFERROR(E18-SUM(E19,E20,E21),""))</f>
        <v/>
      </c>
      <c r="F22" s="22">
        <f>IF(OR(F18=""),"",IFERROR(F18-SUM(F19,F20,F21),""))</f>
        <v/>
      </c>
      <c r="G22" s="22">
        <f>IF(OR(G18=""),"",IFERROR(G18-SUM(G19,G20,G21),""))</f>
        <v/>
      </c>
      <c r="H22" s="21">
        <f>IF(OR(H18=""),"",IFERROR(H18-SUM(H19,H20,H21),""))</f>
        <v/>
      </c>
      <c r="I22" s="22">
        <f>IF(OR(I18=""),"",IFERROR(I18-SUM(I19,I20,I21),""))</f>
        <v/>
      </c>
      <c r="J22" s="22">
        <f>IF(OR(J18=""),"",IFERROR(J18-SUM(J19,J20,J21),""))</f>
        <v/>
      </c>
      <c r="K22" s="22">
        <f>IF(OR(K18=""),"",IFERROR(K18-SUM(K19,K20,K21),""))</f>
        <v/>
      </c>
      <c r="L22" s="22">
        <f>IF(OR(L18=""),"",IFERROR(L18-SUM(L19,L20,L21),""))</f>
        <v/>
      </c>
    </row>
    <row r="23">
      <c r="A23" s="9" t="inlineStr">
        <is>
          <t>비유동부채</t>
        </is>
      </c>
      <c r="B23" s="10" t="n"/>
      <c r="C23" s="11" t="n">
        <v>5273.783</v>
      </c>
      <c r="D23" s="12" t="n">
        <v>4704.553</v>
      </c>
      <c r="E23" s="12" t="n">
        <v>4127.435</v>
      </c>
      <c r="F23" s="12" t="n">
        <v>3565.519</v>
      </c>
      <c r="G23" s="12" t="n">
        <v>3014.156</v>
      </c>
      <c r="H23" s="11" t="n">
        <v>1943.431</v>
      </c>
      <c r="I23" s="12" t="n">
        <v>4534.259</v>
      </c>
      <c r="J23" s="12" t="n">
        <v>6071.012</v>
      </c>
      <c r="K23" s="12" t="n">
        <v>4597.11</v>
      </c>
      <c r="L23" s="12" t="n">
        <v>3565.519</v>
      </c>
    </row>
    <row r="24">
      <c r="A24" s="20" t="inlineStr">
        <is>
          <t>장기차입금</t>
        </is>
      </c>
      <c r="B24" s="10" t="n"/>
      <c r="C24" s="21" t="n">
        <v>5215.263</v>
      </c>
      <c r="D24" s="22" t="n">
        <v>4640.286</v>
      </c>
      <c r="E24" s="22" t="n">
        <v>4065.309</v>
      </c>
      <c r="F24" s="22" t="n">
        <v>3490.332</v>
      </c>
      <c r="G24" s="22" t="n">
        <v>2935.294</v>
      </c>
      <c r="H24" s="21" t="n">
        <v>1411.933</v>
      </c>
      <c r="I24" s="22" t="n">
        <v>4095.162</v>
      </c>
      <c r="J24" s="22" t="n">
        <v>5948.603</v>
      </c>
      <c r="K24" s="22" t="n">
        <v>4535.23</v>
      </c>
      <c r="L24" s="22" t="n">
        <v>3490.332</v>
      </c>
    </row>
    <row r="25">
      <c r="A25" s="20" t="inlineStr">
        <is>
          <t>사채</t>
        </is>
      </c>
      <c r="B25" s="10" t="n"/>
      <c r="C25" s="21" t="n"/>
      <c r="D25" s="22" t="n"/>
      <c r="E25" s="22" t="n"/>
      <c r="F25" s="22" t="n"/>
      <c r="G25" s="22" t="n"/>
      <c r="H25" s="21" t="n"/>
      <c r="I25" s="22" t="n"/>
      <c r="J25" s="22" t="n"/>
      <c r="K25" s="22" t="n"/>
      <c r="L25" s="22" t="n"/>
    </row>
    <row r="26">
      <c r="A26" s="20" t="inlineStr">
        <is>
          <t>기타비유동부채</t>
        </is>
      </c>
      <c r="B26" s="10" t="inlineStr">
        <is>
          <t>총계 − 위 항목</t>
        </is>
      </c>
      <c r="C26" s="21">
        <f>IF(OR(C23=""),"",IFERROR(C23-SUM(C24,C25),""))</f>
        <v/>
      </c>
      <c r="D26" s="22">
        <f>IF(OR(D23=""),"",IFERROR(D23-SUM(D24,D25),""))</f>
        <v/>
      </c>
      <c r="E26" s="22">
        <f>IF(OR(E23=""),"",IFERROR(E23-SUM(E24,E25),""))</f>
        <v/>
      </c>
      <c r="F26" s="22">
        <f>IF(OR(F23=""),"",IFERROR(F23-SUM(F24,F25),""))</f>
        <v/>
      </c>
      <c r="G26" s="22">
        <f>IF(OR(G23=""),"",IFERROR(G23-SUM(G24,G25),""))</f>
        <v/>
      </c>
      <c r="H26" s="21">
        <f>IF(OR(H23=""),"",IFERROR(H23-SUM(H24,H25),""))</f>
        <v/>
      </c>
      <c r="I26" s="22">
        <f>IF(OR(I23=""),"",IFERROR(I23-SUM(I24,I25),""))</f>
        <v/>
      </c>
      <c r="J26" s="22">
        <f>IF(OR(J23=""),"",IFERROR(J23-SUM(J24,J25),""))</f>
        <v/>
      </c>
      <c r="K26" s="22">
        <f>IF(OR(K23=""),"",IFERROR(K23-SUM(K24,K25),""))</f>
        <v/>
      </c>
      <c r="L26" s="22">
        <f>IF(OR(L23=""),"",IFERROR(L23-SUM(L24,L25),""))</f>
        <v/>
      </c>
    </row>
    <row r="27">
      <c r="A27" s="9" t="inlineStr">
        <is>
          <t>부채총계</t>
        </is>
      </c>
      <c r="B27" s="10" t="n"/>
      <c r="C27" s="11" t="n">
        <v>11482.314</v>
      </c>
      <c r="D27" s="12" t="n">
        <v>10460.492</v>
      </c>
      <c r="E27" s="12" t="n">
        <v>10668.163</v>
      </c>
      <c r="F27" s="12" t="n">
        <v>9402.657999999999</v>
      </c>
      <c r="G27" s="12" t="n">
        <v>8912.156000000001</v>
      </c>
      <c r="H27" s="11" t="n">
        <v>6831.621</v>
      </c>
      <c r="I27" s="12" t="n">
        <v>9057.316000000001</v>
      </c>
      <c r="J27" s="12" t="n">
        <v>11608.559</v>
      </c>
      <c r="K27" s="12" t="n">
        <v>11365.992</v>
      </c>
      <c r="L27" s="12" t="n">
        <v>9402.657999999999</v>
      </c>
    </row>
    <row r="28">
      <c r="A28" s="20" t="inlineStr">
        <is>
          <t>총차입금</t>
        </is>
      </c>
      <c r="B28" s="10" t="inlineStr">
        <is>
          <t>단기+유동성장기+장기+사채</t>
        </is>
      </c>
      <c r="C28" s="21">
        <f>SUM(C20,C21,C24,C25)</f>
        <v/>
      </c>
      <c r="D28" s="22">
        <f>SUM(D20,D21,D24,D25)</f>
        <v/>
      </c>
      <c r="E28" s="22">
        <f>SUM(E20,E21,E24,E25)</f>
        <v/>
      </c>
      <c r="F28" s="22">
        <f>SUM(F20,F21,F24,F25)</f>
        <v/>
      </c>
      <c r="G28" s="22">
        <f>SUM(G20,G21,G24,G25)</f>
        <v/>
      </c>
      <c r="H28" s="21">
        <f>SUM(H20,H21,H24,H25)</f>
        <v/>
      </c>
      <c r="I28" s="22">
        <f>SUM(I20,I21,I24,I25)</f>
        <v/>
      </c>
      <c r="J28" s="22">
        <f>SUM(J20,J21,J24,J25)</f>
        <v/>
      </c>
      <c r="K28" s="22">
        <f>SUM(K20,K21,K24,K25)</f>
        <v/>
      </c>
      <c r="L28" s="22">
        <f>SUM(L20,L21,L24,L25)</f>
        <v/>
      </c>
    </row>
    <row r="29">
      <c r="A29" s="20" t="inlineStr">
        <is>
          <t>순차입금</t>
        </is>
      </c>
      <c r="B29" s="10" t="inlineStr">
        <is>
          <t>음수 = 순현금</t>
        </is>
      </c>
      <c r="C29" s="21">
        <f>C28-C6-N(C7)</f>
        <v/>
      </c>
      <c r="D29" s="22">
        <f>D28-D6-N(D7)</f>
        <v/>
      </c>
      <c r="E29" s="22">
        <f>E28-E6-N(E7)</f>
        <v/>
      </c>
      <c r="F29" s="22">
        <f>F28-F6-N(F7)</f>
        <v/>
      </c>
      <c r="G29" s="22">
        <f>G28-G6-N(G7)</f>
        <v/>
      </c>
      <c r="H29" s="21">
        <f>H28-H6-N(H7)</f>
        <v/>
      </c>
      <c r="I29" s="22">
        <f>I28-I6-N(I7)</f>
        <v/>
      </c>
      <c r="J29" s="22">
        <f>J28-J6-N(J7)</f>
        <v/>
      </c>
      <c r="K29" s="22">
        <f>K28-K6-N(K7)</f>
        <v/>
      </c>
      <c r="L29" s="22">
        <f>L28-L6-N(L7)</f>
        <v/>
      </c>
    </row>
    <row r="30">
      <c r="A30" s="18" t="inlineStr">
        <is>
          <t>자본</t>
        </is>
      </c>
      <c r="B30" s="18" t="n"/>
      <c r="C30" s="19" t="n"/>
      <c r="D30" s="18" t="n"/>
      <c r="E30" s="18" t="n"/>
      <c r="F30" s="18" t="n"/>
      <c r="G30" s="18" t="n"/>
      <c r="H30" s="19" t="n"/>
      <c r="I30" s="18" t="n"/>
      <c r="J30" s="18" t="n"/>
      <c r="K30" s="18" t="n"/>
      <c r="L30" s="18" t="n"/>
    </row>
    <row r="31">
      <c r="A31" s="9" t="inlineStr">
        <is>
          <t>지배주주지분</t>
        </is>
      </c>
      <c r="B31" s="10" t="n"/>
      <c r="C31" s="11" t="n">
        <v>24083.265</v>
      </c>
      <c r="D31" s="12" t="n">
        <v>24789.32</v>
      </c>
      <c r="E31" s="12" t="n">
        <v>25197.501</v>
      </c>
      <c r="F31" s="12" t="n">
        <v>26206.711</v>
      </c>
      <c r="G31" s="12" t="n">
        <v>27111.119</v>
      </c>
      <c r="H31" s="11" t="n">
        <v>19331.77</v>
      </c>
      <c r="I31" s="12" t="n">
        <v>21572.288</v>
      </c>
      <c r="J31" s="12" t="n">
        <v>22367.062</v>
      </c>
      <c r="K31" s="12" t="n">
        <v>23903.335</v>
      </c>
      <c r="L31" s="12" t="n">
        <v>26206.711</v>
      </c>
    </row>
    <row r="32">
      <c r="A32" s="20" t="inlineStr">
        <is>
          <t>자본금</t>
        </is>
      </c>
      <c r="B32" s="10" t="n"/>
      <c r="C32" s="21" t="n">
        <v>2241.749</v>
      </c>
      <c r="D32" s="22" t="n">
        <v>2241.749</v>
      </c>
      <c r="E32" s="22" t="n">
        <v>2241.749</v>
      </c>
      <c r="F32" s="22" t="n">
        <v>2241.749</v>
      </c>
      <c r="G32" s="22" t="n">
        <v>2241.749</v>
      </c>
      <c r="H32" s="21" t="n">
        <v>2241.749</v>
      </c>
      <c r="I32" s="22" t="n">
        <v>2241.749</v>
      </c>
      <c r="J32" s="22" t="n">
        <v>2241.749</v>
      </c>
      <c r="K32" s="22" t="n">
        <v>2241.749</v>
      </c>
      <c r="L32" s="22" t="n">
        <v>2241.749</v>
      </c>
    </row>
    <row r="33">
      <c r="A33" s="20" t="inlineStr">
        <is>
          <t>이익잉여금</t>
        </is>
      </c>
      <c r="B33" s="10" t="n"/>
      <c r="C33" s="21" t="n">
        <v>17503.162</v>
      </c>
      <c r="D33" s="22" t="n">
        <v>18148.932</v>
      </c>
      <c r="E33" s="22" t="n">
        <v>18491.222</v>
      </c>
      <c r="F33" s="22" t="n">
        <v>19126.793</v>
      </c>
      <c r="G33" s="22" t="n">
        <v>19866.513</v>
      </c>
      <c r="H33" s="21" t="n">
        <v>13374.847</v>
      </c>
      <c r="I33" s="22" t="n">
        <v>15520.225</v>
      </c>
      <c r="J33" s="22" t="n">
        <v>16183.895</v>
      </c>
      <c r="K33" s="22" t="n">
        <v>17274.39</v>
      </c>
      <c r="L33" s="22" t="n">
        <v>19126.793</v>
      </c>
    </row>
    <row r="34">
      <c r="A34" s="20" t="inlineStr">
        <is>
          <t>비지배지분</t>
        </is>
      </c>
      <c r="B34" s="10" t="n"/>
      <c r="C34" s="21" t="n"/>
      <c r="D34" s="22" t="n"/>
      <c r="E34" s="22" t="n"/>
      <c r="F34" s="22" t="n"/>
      <c r="G34" s="22" t="n"/>
      <c r="H34" s="21" t="n"/>
      <c r="I34" s="22" t="n"/>
      <c r="J34" s="22" t="n"/>
      <c r="K34" s="22" t="n"/>
      <c r="L34" s="22" t="n"/>
    </row>
    <row r="35">
      <c r="A35" s="9" t="inlineStr">
        <is>
          <t>자본총계</t>
        </is>
      </c>
      <c r="B35" s="10" t="n"/>
      <c r="C35" s="11" t="n">
        <v>24083.265</v>
      </c>
      <c r="D35" s="12" t="n">
        <v>24789.32</v>
      </c>
      <c r="E35" s="12" t="n">
        <v>25197.501</v>
      </c>
      <c r="F35" s="12" t="n">
        <v>26206.711</v>
      </c>
      <c r="G35" s="12" t="n">
        <v>27111.119</v>
      </c>
      <c r="H35" s="11" t="n">
        <v>19331.77</v>
      </c>
      <c r="I35" s="12" t="n">
        <v>21572.288</v>
      </c>
      <c r="J35" s="12" t="n">
        <v>22367.062</v>
      </c>
      <c r="K35" s="12" t="n">
        <v>23903.335</v>
      </c>
      <c r="L35" s="12" t="n">
        <v>26206.711</v>
      </c>
    </row>
    <row r="36">
      <c r="A36" s="18" t="inlineStr">
        <is>
          <t>현금흐름 요약</t>
        </is>
      </c>
      <c r="B36" s="18" t="inlineStr">
        <is>
          <t>분기 = TTM (있을 때만)</t>
        </is>
      </c>
      <c r="C36" s="19" t="n"/>
      <c r="D36" s="18" t="n"/>
      <c r="E36" s="18" t="n"/>
      <c r="F36" s="18" t="n"/>
      <c r="G36" s="18" t="n"/>
      <c r="H36" s="19" t="n"/>
      <c r="I36" s="18" t="n"/>
      <c r="J36" s="18" t="n"/>
      <c r="K36" s="18" t="n"/>
      <c r="L36" s="18" t="n"/>
    </row>
    <row r="37">
      <c r="A37" s="9" t="inlineStr">
        <is>
          <t>영업활동현금흐름</t>
        </is>
      </c>
      <c r="B37" s="10" t="n"/>
      <c r="C37" s="11" t="n"/>
      <c r="D37" s="12" t="n"/>
      <c r="E37" s="12" t="n"/>
      <c r="F37" s="12" t="n">
        <v>5240.452</v>
      </c>
      <c r="G37" s="12" t="n"/>
      <c r="H37" s="11" t="n">
        <v>2907.781</v>
      </c>
      <c r="I37" s="12" t="n">
        <v>685.311</v>
      </c>
      <c r="J37" s="12" t="n">
        <v>1910.284</v>
      </c>
      <c r="K37" s="12" t="n">
        <v>3801.015</v>
      </c>
      <c r="L37" s="12" t="n">
        <v>5240.452</v>
      </c>
    </row>
    <row r="38">
      <c r="A38" s="20" t="inlineStr">
        <is>
          <t>CAPEX (유·무형 취득)</t>
        </is>
      </c>
      <c r="B38" s="10" t="inlineStr">
        <is>
          <t>양수로 입력</t>
        </is>
      </c>
      <c r="C38" s="21" t="n"/>
      <c r="D38" s="22" t="n"/>
      <c r="E38" s="22" t="n"/>
      <c r="F38" s="22" t="n">
        <v>1627.153</v>
      </c>
      <c r="G38" s="22" t="n"/>
      <c r="H38" s="21" t="n">
        <v>1892.432</v>
      </c>
      <c r="I38" s="22" t="n">
        <v>3569.148</v>
      </c>
      <c r="J38" s="22" t="n">
        <v>3406.984</v>
      </c>
      <c r="K38" s="22" t="n">
        <v>5968.59</v>
      </c>
      <c r="L38" s="22" t="n">
        <v>1627.153</v>
      </c>
    </row>
    <row r="39">
      <c r="A39" s="9" t="inlineStr">
        <is>
          <t>FCF</t>
        </is>
      </c>
      <c r="B39" s="10" t="n"/>
      <c r="C39" s="11">
        <f>IF(OR(C37="",C38=""),"",IFERROR(C37-C38,""))</f>
        <v/>
      </c>
      <c r="D39" s="12">
        <f>IF(OR(D37="",D38=""),"",IFERROR(D37-D38,""))</f>
        <v/>
      </c>
      <c r="E39" s="12">
        <f>IF(OR(E37="",E38=""),"",IFERROR(E37-E38,""))</f>
        <v/>
      </c>
      <c r="F39" s="12">
        <f>IF(OR(F37="",F38=""),"",IFERROR(F37-F38,""))</f>
        <v/>
      </c>
      <c r="G39" s="12">
        <f>IF(OR(G37="",G38=""),"",IFERROR(G37-G38,""))</f>
        <v/>
      </c>
      <c r="H39" s="11">
        <f>IF(OR(H37="",H38=""),"",IFERROR(H37-H38,""))</f>
        <v/>
      </c>
      <c r="I39" s="12">
        <f>IF(OR(I37="",I38=""),"",IFERROR(I37-I38,""))</f>
        <v/>
      </c>
      <c r="J39" s="12">
        <f>IF(OR(J37="",J38=""),"",IFERROR(J37-J38,""))</f>
        <v/>
      </c>
      <c r="K39" s="12">
        <f>IF(OR(K37="",K38=""),"",IFERROR(K37-K38,""))</f>
        <v/>
      </c>
      <c r="L39" s="12">
        <f>IF(OR(L37="",L38=""),"",IFERROR(L37-L38,""))</f>
        <v/>
      </c>
    </row>
    <row r="40">
      <c r="A40" s="20" t="inlineStr">
        <is>
          <t>배당금 지급</t>
        </is>
      </c>
      <c r="B40" s="10" t="inlineStr">
        <is>
          <t>양수로 입력</t>
        </is>
      </c>
      <c r="C40" s="21" t="n"/>
      <c r="D40" s="22" t="n"/>
      <c r="E40" s="22" t="n"/>
      <c r="F40" s="22" t="n">
        <v>790.578</v>
      </c>
      <c r="G40" s="22" t="n"/>
      <c r="H40" s="21" t="n">
        <v>290.503</v>
      </c>
      <c r="I40" s="22" t="n">
        <v>323.003</v>
      </c>
      <c r="J40" s="22" t="n">
        <v>642.824</v>
      </c>
      <c r="K40" s="22" t="n">
        <v>531.825</v>
      </c>
      <c r="L40" s="22" t="n">
        <v>790.578</v>
      </c>
    </row>
    <row r="41">
      <c r="A41" s="18" t="inlineStr">
        <is>
          <t>주요 재무 비율</t>
        </is>
      </c>
      <c r="B41" s="18" t="inlineStr">
        <is>
          <t>기준 (빨간 글씨 = 미달)</t>
        </is>
      </c>
      <c r="C41" s="19" t="n"/>
      <c r="D41" s="18" t="n"/>
      <c r="E41" s="18" t="n"/>
      <c r="F41" s="18" t="n"/>
      <c r="G41" s="18" t="n"/>
      <c r="H41" s="19" t="n"/>
      <c r="I41" s="18" t="n"/>
      <c r="J41" s="18" t="n"/>
      <c r="K41" s="18" t="n"/>
      <c r="L41" s="18" t="n"/>
    </row>
    <row r="42">
      <c r="A42" s="25" t="inlineStr">
        <is>
          <t>안정성</t>
        </is>
      </c>
      <c r="B42" s="25" t="n"/>
      <c r="C42" s="26" t="n"/>
      <c r="D42" s="25" t="n"/>
      <c r="E42" s="25" t="n"/>
      <c r="F42" s="25" t="n"/>
      <c r="G42" s="25" t="n"/>
      <c r="H42" s="26" t="n"/>
      <c r="I42" s="25" t="n"/>
      <c r="J42" s="25" t="n"/>
      <c r="K42" s="25" t="n"/>
      <c r="L42" s="25" t="n"/>
    </row>
    <row r="43">
      <c r="A43" s="46" t="inlineStr">
        <is>
          <t>부채비율</t>
        </is>
      </c>
      <c r="B43" s="10" t="inlineStr">
        <is>
          <t>100%↓</t>
        </is>
      </c>
      <c r="C43" s="37">
        <f>IF(OR(C27="",C35=""),"",IFERROR(C27/C35,""))</f>
        <v/>
      </c>
      <c r="D43" s="38">
        <f>IF(OR(D27="",D35=""),"",IFERROR(D27/D35,""))</f>
        <v/>
      </c>
      <c r="E43" s="38">
        <f>IF(OR(E27="",E35=""),"",IFERROR(E27/E35,""))</f>
        <v/>
      </c>
      <c r="F43" s="38">
        <f>IF(OR(F27="",F35=""),"",IFERROR(F27/F35,""))</f>
        <v/>
      </c>
      <c r="G43" s="38">
        <f>IF(OR(G27="",G35=""),"",IFERROR(G27/G35,""))</f>
        <v/>
      </c>
      <c r="H43" s="37">
        <f>IF(OR(H27="",H35=""),"",IFERROR(H27/H35,""))</f>
        <v/>
      </c>
      <c r="I43" s="38">
        <f>IF(OR(I27="",I35=""),"",IFERROR(I27/I35,""))</f>
        <v/>
      </c>
      <c r="J43" s="38">
        <f>IF(OR(J27="",J35=""),"",IFERROR(J27/J35,""))</f>
        <v/>
      </c>
      <c r="K43" s="38">
        <f>IF(OR(K27="",K35=""),"",IFERROR(K27/K35,""))</f>
        <v/>
      </c>
      <c r="L43" s="38">
        <f>IF(OR(L27="",L35=""),"",IFERROR(L27/L35,""))</f>
        <v/>
      </c>
    </row>
    <row r="44">
      <c r="A44" s="46" t="inlineStr">
        <is>
          <t>순차입금비율</t>
        </is>
      </c>
      <c r="B44" s="10" t="inlineStr">
        <is>
          <t>0%↓ 순현금</t>
        </is>
      </c>
      <c r="C44" s="37">
        <f>IF(OR(C29="",C35=""),"",IFERROR(C29/C35,""))</f>
        <v/>
      </c>
      <c r="D44" s="38">
        <f>IF(OR(D29="",D35=""),"",IFERROR(D29/D35,""))</f>
        <v/>
      </c>
      <c r="E44" s="38">
        <f>IF(OR(E29="",E35=""),"",IFERROR(E29/E35,""))</f>
        <v/>
      </c>
      <c r="F44" s="38">
        <f>IF(OR(F29="",F35=""),"",IFERROR(F29/F35,""))</f>
        <v/>
      </c>
      <c r="G44" s="38">
        <f>IF(OR(G29="",G35=""),"",IFERROR(G29/G35,""))</f>
        <v/>
      </c>
      <c r="H44" s="37">
        <f>IF(OR(H29="",H35=""),"",IFERROR(H29/H35,""))</f>
        <v/>
      </c>
      <c r="I44" s="38">
        <f>IF(OR(I29="",I35=""),"",IFERROR(I29/I35,""))</f>
        <v/>
      </c>
      <c r="J44" s="38">
        <f>IF(OR(J29="",J35=""),"",IFERROR(J29/J35,""))</f>
        <v/>
      </c>
      <c r="K44" s="38">
        <f>IF(OR(K29="",K35=""),"",IFERROR(K29/K35,""))</f>
        <v/>
      </c>
      <c r="L44" s="38">
        <f>IF(OR(L29="",L35=""),"",IFERROR(L29/L35,""))</f>
        <v/>
      </c>
    </row>
    <row r="45">
      <c r="A45" s="46" t="inlineStr">
        <is>
          <t>자기자본비율</t>
        </is>
      </c>
      <c r="B45" s="10" t="inlineStr">
        <is>
          <t>50%↑</t>
        </is>
      </c>
      <c r="C45" s="37">
        <f>IF(OR(C35="",C16=""),"",IFERROR(C35/C16,""))</f>
        <v/>
      </c>
      <c r="D45" s="38">
        <f>IF(OR(D35="",D16=""),"",IFERROR(D35/D16,""))</f>
        <v/>
      </c>
      <c r="E45" s="38">
        <f>IF(OR(E35="",E16=""),"",IFERROR(E35/E16,""))</f>
        <v/>
      </c>
      <c r="F45" s="38">
        <f>IF(OR(F35="",F16=""),"",IFERROR(F35/F16,""))</f>
        <v/>
      </c>
      <c r="G45" s="38">
        <f>IF(OR(G35="",G16=""),"",IFERROR(G35/G16,""))</f>
        <v/>
      </c>
      <c r="H45" s="37">
        <f>IF(OR(H35="",H16=""),"",IFERROR(H35/H16,""))</f>
        <v/>
      </c>
      <c r="I45" s="38">
        <f>IF(OR(I35="",I16=""),"",IFERROR(I35/I16,""))</f>
        <v/>
      </c>
      <c r="J45" s="38">
        <f>IF(OR(J35="",J16=""),"",IFERROR(J35/J16,""))</f>
        <v/>
      </c>
      <c r="K45" s="38">
        <f>IF(OR(K35="",K16=""),"",IFERROR(K35/K16,""))</f>
        <v/>
      </c>
      <c r="L45" s="38">
        <f>IF(OR(L35="",L16=""),"",IFERROR(L35/L16,""))</f>
        <v/>
      </c>
    </row>
    <row r="46">
      <c r="A46" s="46" t="inlineStr">
        <is>
          <t>유동비율</t>
        </is>
      </c>
      <c r="B46" s="10" t="inlineStr">
        <is>
          <t>150%↑</t>
        </is>
      </c>
      <c r="C46" s="37">
        <f>IF(OR(C5="",C18=""),"",IFERROR(C5/C18,""))</f>
        <v/>
      </c>
      <c r="D46" s="38">
        <f>IF(OR(D5="",D18=""),"",IFERROR(D5/D18,""))</f>
        <v/>
      </c>
      <c r="E46" s="38">
        <f>IF(OR(E5="",E18=""),"",IFERROR(E5/E18,""))</f>
        <v/>
      </c>
      <c r="F46" s="38">
        <f>IF(OR(F5="",F18=""),"",IFERROR(F5/F18,""))</f>
        <v/>
      </c>
      <c r="G46" s="38">
        <f>IF(OR(G5="",G18=""),"",IFERROR(G5/G18,""))</f>
        <v/>
      </c>
      <c r="H46" s="37">
        <f>IF(OR(H5="",H18=""),"",IFERROR(H5/H18,""))</f>
        <v/>
      </c>
      <c r="I46" s="38">
        <f>IF(OR(I5="",I18=""),"",IFERROR(I5/I18,""))</f>
        <v/>
      </c>
      <c r="J46" s="38">
        <f>IF(OR(J5="",J18=""),"",IFERROR(J5/J18,""))</f>
        <v/>
      </c>
      <c r="K46" s="38">
        <f>IF(OR(K5="",K18=""),"",IFERROR(K5/K18,""))</f>
        <v/>
      </c>
      <c r="L46" s="38">
        <f>IF(OR(L5="",L18=""),"",IFERROR(L5/L18,""))</f>
        <v/>
      </c>
    </row>
    <row r="47">
      <c r="A47" s="46" t="inlineStr">
        <is>
          <t>당좌비율</t>
        </is>
      </c>
      <c r="B47" s="10" t="inlineStr">
        <is>
          <t>100%↑</t>
        </is>
      </c>
      <c r="C47" s="37">
        <f>IF(OR(C5="",C18=""),"",IFERROR((C5-N(C9))/C18,""))</f>
        <v/>
      </c>
      <c r="D47" s="38">
        <f>IF(OR(D5="",D18=""),"",IFERROR((D5-N(D9))/D18,""))</f>
        <v/>
      </c>
      <c r="E47" s="38">
        <f>IF(OR(E5="",E18=""),"",IFERROR((E5-N(E9))/E18,""))</f>
        <v/>
      </c>
      <c r="F47" s="38">
        <f>IF(OR(F5="",F18=""),"",IFERROR((F5-N(F9))/F18,""))</f>
        <v/>
      </c>
      <c r="G47" s="38">
        <f>IF(OR(G5="",G18=""),"",IFERROR((G5-N(G9))/G18,""))</f>
        <v/>
      </c>
      <c r="H47" s="37">
        <f>IF(OR(H5="",H18=""),"",IFERROR((H5-N(H9))/H18,""))</f>
        <v/>
      </c>
      <c r="I47" s="38">
        <f>IF(OR(I5="",I18=""),"",IFERROR((I5-N(I9))/I18,""))</f>
        <v/>
      </c>
      <c r="J47" s="38">
        <f>IF(OR(J5="",J18=""),"",IFERROR((J5-N(J9))/J18,""))</f>
        <v/>
      </c>
      <c r="K47" s="38">
        <f>IF(OR(K5="",K18=""),"",IFERROR((K5-N(K9))/K18,""))</f>
        <v/>
      </c>
      <c r="L47" s="38">
        <f>IF(OR(L5="",L18=""),"",IFERROR((L5-N(L9))/L18,""))</f>
        <v/>
      </c>
    </row>
    <row r="48">
      <c r="A48" s="46" t="inlineStr">
        <is>
          <t>이자보상배율</t>
        </is>
      </c>
      <c r="B48" s="10" t="inlineStr">
        <is>
          <t>5x↑ (금융원가 기준)</t>
        </is>
      </c>
      <c r="C48" s="32">
        <f>IFERROR((IF(COUNT('연간'!G16:J16)&lt;4,"",SUM('연간'!G16:J16)))/(IF(COUNT('연간'!G38:J38)&lt;4,"",SUM('연간'!G38:J38))),"")</f>
        <v/>
      </c>
      <c r="D48" s="33">
        <f>IFERROR((IF(COUNT('연간'!H16:K16)&lt;4,"",SUM('연간'!H16:K16)))/(IF(COUNT('연간'!H38:K38)&lt;4,"",SUM('연간'!H38:K38))),"")</f>
        <v/>
      </c>
      <c r="E48" s="33">
        <f>IFERROR((IF(COUNT('연간'!I16:L16)&lt;4,"",SUM('연간'!I16:L16)))/(IF(COUNT('연간'!I38:L38)&lt;4,"",SUM('연간'!I38:L38))),"")</f>
        <v/>
      </c>
      <c r="F48" s="33">
        <f>IFERROR((IF(COUNT('연간'!J16:M16)&lt;4,"",SUM('연간'!J16:M16)))/(IF(COUNT('연간'!J38:M38)&lt;4,"",SUM('연간'!J38:M38))),"")</f>
        <v/>
      </c>
      <c r="G48" s="33">
        <f>IFERROR((IF(COUNT('연간'!K16:N16)&lt;4,"",SUM('연간'!K16:N16)))/(IF(COUNT('연간'!K38:N38)&lt;4,"",SUM('연간'!K38:N38))),"")</f>
        <v/>
      </c>
      <c r="H48" s="32">
        <f>IFERROR(('연간'!T16)/('연간'!T38),"")</f>
        <v/>
      </c>
      <c r="I48" s="33">
        <f>IFERROR(('연간'!U16)/('연간'!U38),"")</f>
        <v/>
      </c>
      <c r="J48" s="33">
        <f>IFERROR(('연간'!V16)/('연간'!V38),"")</f>
        <v/>
      </c>
      <c r="K48" s="33">
        <f>IFERROR(('연간'!W16)/('연간'!W38),"")</f>
        <v/>
      </c>
      <c r="L48" s="33">
        <f>IFERROR(('연간'!X16)/('연간'!X38),"")</f>
        <v/>
      </c>
    </row>
    <row r="49">
      <c r="A49" s="46" t="inlineStr">
        <is>
          <t>차입금 상환연수</t>
        </is>
      </c>
      <c r="B49" s="10" t="inlineStr">
        <is>
          <t>4년↓ (버핏)</t>
        </is>
      </c>
      <c r="C49" s="47">
        <f>IFERROR(IF((IF(COUNT('연간'!G44:J44)&lt;4,"",SUM('연간'!G44:J44)))&lt;=0,"적자",C28/(IF(COUNT('연간'!G44:J44)&lt;4,"",SUM('연간'!G44:J44)))),"")</f>
        <v/>
      </c>
      <c r="D49" s="48">
        <f>IFERROR(IF((IF(COUNT('연간'!H44:K44)&lt;4,"",SUM('연간'!H44:K44)))&lt;=0,"적자",D28/(IF(COUNT('연간'!H44:K44)&lt;4,"",SUM('연간'!H44:K44)))),"")</f>
        <v/>
      </c>
      <c r="E49" s="48">
        <f>IFERROR(IF((IF(COUNT('연간'!I44:L44)&lt;4,"",SUM('연간'!I44:L44)))&lt;=0,"적자",E28/(IF(COUNT('연간'!I44:L44)&lt;4,"",SUM('연간'!I44:L44)))),"")</f>
        <v/>
      </c>
      <c r="F49" s="48">
        <f>IFERROR(IF((IF(COUNT('연간'!J44:M44)&lt;4,"",SUM('연간'!J44:M44)))&lt;=0,"적자",F28/(IF(COUNT('연간'!J44:M44)&lt;4,"",SUM('연간'!J44:M44)))),"")</f>
        <v/>
      </c>
      <c r="G49" s="48">
        <f>IFERROR(IF((IF(COUNT('연간'!K44:N44)&lt;4,"",SUM('연간'!K44:N44)))&lt;=0,"적자",G28/(IF(COUNT('연간'!K44:N44)&lt;4,"",SUM('연간'!K44:N44)))),"")</f>
        <v/>
      </c>
      <c r="H49" s="47">
        <f>IFERROR(IF(('연간'!T44)&lt;=0,"적자",H28/('연간'!T44)),"")</f>
        <v/>
      </c>
      <c r="I49" s="48">
        <f>IFERROR(IF(('연간'!U44)&lt;=0,"적자",I28/('연간'!U44)),"")</f>
        <v/>
      </c>
      <c r="J49" s="48">
        <f>IFERROR(IF(('연간'!V44)&lt;=0,"적자",J28/('연간'!V44)),"")</f>
        <v/>
      </c>
      <c r="K49" s="48">
        <f>IFERROR(IF(('연간'!W44)&lt;=0,"적자",K28/('연간'!W44)),"")</f>
        <v/>
      </c>
      <c r="L49" s="48">
        <f>IFERROR(IF(('연간'!X44)&lt;=0,"적자",L28/('연간'!X44)),"")</f>
        <v/>
      </c>
    </row>
    <row r="50">
      <c r="A50" s="25" t="inlineStr">
        <is>
          <t>수익성</t>
        </is>
      </c>
      <c r="B50" s="25" t="n"/>
      <c r="C50" s="26" t="n"/>
      <c r="D50" s="25" t="n"/>
      <c r="E50" s="25" t="n"/>
      <c r="F50" s="25" t="n"/>
      <c r="G50" s="25" t="n"/>
      <c r="H50" s="26" t="n"/>
      <c r="I50" s="25" t="n"/>
      <c r="J50" s="25" t="n"/>
      <c r="K50" s="25" t="n"/>
      <c r="L50" s="25" t="n"/>
    </row>
    <row r="51">
      <c r="A51" s="46" t="inlineStr">
        <is>
          <t>ROE</t>
        </is>
      </c>
      <c r="B51" s="10" t="inlineStr">
        <is>
          <t>15%↑ (버핏)</t>
        </is>
      </c>
      <c r="C51" s="37">
        <f>IFERROR((IF(COUNT('연간'!G44:J44)&lt;4,"",SUM('연간'!G44:J44)))/C31,"")</f>
        <v/>
      </c>
      <c r="D51" s="38">
        <f>IFERROR((IF(COUNT('연간'!H44:K44)&lt;4,"",SUM('연간'!H44:K44)))/D31,"")</f>
        <v/>
      </c>
      <c r="E51" s="38">
        <f>IFERROR((IF(COUNT('연간'!I44:L44)&lt;4,"",SUM('연간'!I44:L44)))/E31,"")</f>
        <v/>
      </c>
      <c r="F51" s="38">
        <f>IFERROR((IF(COUNT('연간'!J44:M44)&lt;4,"",SUM('연간'!J44:M44)))/F31,"")</f>
        <v/>
      </c>
      <c r="G51" s="38">
        <f>IFERROR((IF(COUNT('연간'!K44:N44)&lt;4,"",SUM('연간'!K44:N44)))/G31,"")</f>
        <v/>
      </c>
      <c r="H51" s="37">
        <f>IFERROR(('연간'!T44)/H31,"")</f>
        <v/>
      </c>
      <c r="I51" s="38">
        <f>IFERROR(('연간'!U44)/I31,"")</f>
        <v/>
      </c>
      <c r="J51" s="38">
        <f>IFERROR(('연간'!V44)/J31,"")</f>
        <v/>
      </c>
      <c r="K51" s="38">
        <f>IFERROR(('연간'!W44)/K31,"")</f>
        <v/>
      </c>
      <c r="L51" s="38">
        <f>IFERROR(('연간'!X44)/L31,"")</f>
        <v/>
      </c>
    </row>
    <row r="52">
      <c r="A52" s="46" t="inlineStr">
        <is>
          <t>ROA</t>
        </is>
      </c>
      <c r="B52" s="10" t="inlineStr">
        <is>
          <t>5%↑</t>
        </is>
      </c>
      <c r="C52" s="37">
        <f>IFERROR((IF(COUNT('연간'!G43:J43)&lt;4,"",SUM('연간'!G43:J43)))/C16,"")</f>
        <v/>
      </c>
      <c r="D52" s="38">
        <f>IFERROR((IF(COUNT('연간'!H43:K43)&lt;4,"",SUM('연간'!H43:K43)))/D16,"")</f>
        <v/>
      </c>
      <c r="E52" s="38">
        <f>IFERROR((IF(COUNT('연간'!I43:L43)&lt;4,"",SUM('연간'!I43:L43)))/E16,"")</f>
        <v/>
      </c>
      <c r="F52" s="38">
        <f>IFERROR((IF(COUNT('연간'!J43:M43)&lt;4,"",SUM('연간'!J43:M43)))/F16,"")</f>
        <v/>
      </c>
      <c r="G52" s="38">
        <f>IFERROR((IF(COUNT('연간'!K43:N43)&lt;4,"",SUM('연간'!K43:N43)))/G16,"")</f>
        <v/>
      </c>
      <c r="H52" s="37">
        <f>IFERROR(('연간'!T43)/H16,"")</f>
        <v/>
      </c>
      <c r="I52" s="38">
        <f>IFERROR(('연간'!U43)/I16,"")</f>
        <v/>
      </c>
      <c r="J52" s="38">
        <f>IFERROR(('연간'!V43)/J16,"")</f>
        <v/>
      </c>
      <c r="K52" s="38">
        <f>IFERROR(('연간'!W43)/K16,"")</f>
        <v/>
      </c>
      <c r="L52" s="38">
        <f>IFERROR(('연간'!X43)/L16,"")</f>
        <v/>
      </c>
    </row>
    <row r="53">
      <c r="A53" s="46" t="inlineStr">
        <is>
          <t>ROIC</t>
        </is>
      </c>
      <c r="B53" s="10" t="inlineStr">
        <is>
          <t>10%↑ (세후영업이익 기준)</t>
        </is>
      </c>
      <c r="C53" s="37">
        <f>IFERROR((IF(COUNT('연간'!G16:J16)&lt;4,"",SUM('연간'!G16:J16)))*(1-0.3)/(C35+C29),"")</f>
        <v/>
      </c>
      <c r="D53" s="38">
        <f>IFERROR((IF(COUNT('연간'!H16:K16)&lt;4,"",SUM('연간'!H16:K16)))*(1-0.3)/(D35+D29),"")</f>
        <v/>
      </c>
      <c r="E53" s="38">
        <f>IFERROR((IF(COUNT('연간'!I16:L16)&lt;4,"",SUM('연간'!I16:L16)))*(1-0.3)/(E35+E29),"")</f>
        <v/>
      </c>
      <c r="F53" s="38">
        <f>IFERROR((IF(COUNT('연간'!J16:M16)&lt;4,"",SUM('연간'!J16:M16)))*(1-0.3)/(F35+F29),"")</f>
        <v/>
      </c>
      <c r="G53" s="38">
        <f>IFERROR((IF(COUNT('연간'!K16:N16)&lt;4,"",SUM('연간'!K16:N16)))*(1-0.3)/(G35+G29),"")</f>
        <v/>
      </c>
      <c r="H53" s="37">
        <f>IFERROR(('연간'!T16)*(1-0.3)/(H35+H29),"")</f>
        <v/>
      </c>
      <c r="I53" s="38">
        <f>IFERROR(('연간'!U16)*(1-0.3)/(I35+I29),"")</f>
        <v/>
      </c>
      <c r="J53" s="38">
        <f>IFERROR(('연간'!V16)*(1-0.3)/(J35+J29),"")</f>
        <v/>
      </c>
      <c r="K53" s="38">
        <f>IFERROR(('연간'!W16)*(1-0.3)/(K35+K29),"")</f>
        <v/>
      </c>
      <c r="L53" s="38">
        <f>IFERROR(('연간'!X16)*(1-0.3)/(L35+L29),"")</f>
        <v/>
      </c>
    </row>
    <row r="54">
      <c r="A54" s="46" t="inlineStr">
        <is>
          <t>매출총이익률 (GPM)</t>
        </is>
      </c>
      <c r="B54" s="10" t="inlineStr">
        <is>
          <t>40%↑ (해자 신호)</t>
        </is>
      </c>
      <c r="C54" s="37">
        <f>IFERROR((IF(COUNT('연간'!G12:J12)&lt;4,"",SUM('연간'!G12:J12)))/(IF(COUNT('연간'!G4:J4)&lt;4,"",SUM('연간'!G4:J4))),"")</f>
        <v/>
      </c>
      <c r="D54" s="38">
        <f>IFERROR((IF(COUNT('연간'!H12:K12)&lt;4,"",SUM('연간'!H12:K12)))/(IF(COUNT('연간'!H4:K4)&lt;4,"",SUM('연간'!H4:K4))),"")</f>
        <v/>
      </c>
      <c r="E54" s="38">
        <f>IFERROR((IF(COUNT('연간'!I12:L12)&lt;4,"",SUM('연간'!I12:L12)))/(IF(COUNT('연간'!I4:L4)&lt;4,"",SUM('연간'!I4:L4))),"")</f>
        <v/>
      </c>
      <c r="F54" s="38">
        <f>IFERROR((IF(COUNT('연간'!J12:M12)&lt;4,"",SUM('연간'!J12:M12)))/(IF(COUNT('연간'!J4:M4)&lt;4,"",SUM('연간'!J4:M4))),"")</f>
        <v/>
      </c>
      <c r="G54" s="38">
        <f>IFERROR((IF(COUNT('연간'!K12:N12)&lt;4,"",SUM('연간'!K12:N12)))/(IF(COUNT('연간'!K4:N4)&lt;4,"",SUM('연간'!K4:N4))),"")</f>
        <v/>
      </c>
      <c r="H54" s="37">
        <f>IFERROR(('연간'!T12)/('연간'!T4),"")</f>
        <v/>
      </c>
      <c r="I54" s="38">
        <f>IFERROR(('연간'!U12)/('연간'!U4),"")</f>
        <v/>
      </c>
      <c r="J54" s="38">
        <f>IFERROR(('연간'!V12)/('연간'!V4),"")</f>
        <v/>
      </c>
      <c r="K54" s="38">
        <f>IFERROR(('연간'!W12)/('연간'!W4),"")</f>
        <v/>
      </c>
      <c r="L54" s="38">
        <f>IFERROR(('연간'!X12)/('연간'!X4),"")</f>
        <v/>
      </c>
    </row>
    <row r="55">
      <c r="A55" s="46" t="inlineStr">
        <is>
          <t>영업이익률 (OPM)</t>
        </is>
      </c>
      <c r="B55" s="10" t="inlineStr">
        <is>
          <t>15%↑</t>
        </is>
      </c>
      <c r="C55" s="37">
        <f>IFERROR((IF(COUNT('연간'!G16:J16)&lt;4,"",SUM('연간'!G16:J16)))/(IF(COUNT('연간'!G4:J4)&lt;4,"",SUM('연간'!G4:J4))),"")</f>
        <v/>
      </c>
      <c r="D55" s="38">
        <f>IFERROR((IF(COUNT('연간'!H16:K16)&lt;4,"",SUM('연간'!H16:K16)))/(IF(COUNT('연간'!H4:K4)&lt;4,"",SUM('연간'!H4:K4))),"")</f>
        <v/>
      </c>
      <c r="E55" s="38">
        <f>IFERROR((IF(COUNT('연간'!I16:L16)&lt;4,"",SUM('연간'!I16:L16)))/(IF(COUNT('연간'!I4:L4)&lt;4,"",SUM('연간'!I4:L4))),"")</f>
        <v/>
      </c>
      <c r="F55" s="38">
        <f>IFERROR((IF(COUNT('연간'!J16:M16)&lt;4,"",SUM('연간'!J16:M16)))/(IF(COUNT('연간'!J4:M4)&lt;4,"",SUM('연간'!J4:M4))),"")</f>
        <v/>
      </c>
      <c r="G55" s="38">
        <f>IFERROR((IF(COUNT('연간'!K16:N16)&lt;4,"",SUM('연간'!K16:N16)))/(IF(COUNT('연간'!K4:N4)&lt;4,"",SUM('연간'!K4:N4))),"")</f>
        <v/>
      </c>
      <c r="H55" s="37">
        <f>IFERROR(('연간'!T16)/('연간'!T4),"")</f>
        <v/>
      </c>
      <c r="I55" s="38">
        <f>IFERROR(('연간'!U16)/('연간'!U4),"")</f>
        <v/>
      </c>
      <c r="J55" s="38">
        <f>IFERROR(('연간'!V16)/('연간'!V4),"")</f>
        <v/>
      </c>
      <c r="K55" s="38">
        <f>IFERROR(('연간'!W16)/('연간'!W4),"")</f>
        <v/>
      </c>
      <c r="L55" s="38">
        <f>IFERROR(('연간'!X16)/('연간'!X4),"")</f>
        <v/>
      </c>
    </row>
    <row r="56">
      <c r="A56" s="46" t="inlineStr">
        <is>
          <t>순이익률</t>
        </is>
      </c>
      <c r="B56" s="10" t="inlineStr">
        <is>
          <t>10%↑</t>
        </is>
      </c>
      <c r="C56" s="37">
        <f>IFERROR((IF(COUNT('연간'!G43:J43)&lt;4,"",SUM('연간'!G43:J43)))/(IF(COUNT('연간'!G4:J4)&lt;4,"",SUM('연간'!G4:J4))),"")</f>
        <v/>
      </c>
      <c r="D56" s="38">
        <f>IFERROR((IF(COUNT('연간'!H43:K43)&lt;4,"",SUM('연간'!H43:K43)))/(IF(COUNT('연간'!H4:K4)&lt;4,"",SUM('연간'!H4:K4))),"")</f>
        <v/>
      </c>
      <c r="E56" s="38">
        <f>IFERROR((IF(COUNT('연간'!I43:L43)&lt;4,"",SUM('연간'!I43:L43)))/(IF(COUNT('연간'!I4:L4)&lt;4,"",SUM('연간'!I4:L4))),"")</f>
        <v/>
      </c>
      <c r="F56" s="38">
        <f>IFERROR((IF(COUNT('연간'!J43:M43)&lt;4,"",SUM('연간'!J43:M43)))/(IF(COUNT('연간'!J4:M4)&lt;4,"",SUM('연간'!J4:M4))),"")</f>
        <v/>
      </c>
      <c r="G56" s="38">
        <f>IFERROR((IF(COUNT('연간'!K43:N43)&lt;4,"",SUM('연간'!K43:N43)))/(IF(COUNT('연간'!K4:N4)&lt;4,"",SUM('연간'!K4:N4))),"")</f>
        <v/>
      </c>
      <c r="H56" s="37">
        <f>IFERROR(('연간'!T43)/('연간'!T4),"")</f>
        <v/>
      </c>
      <c r="I56" s="38">
        <f>IFERROR(('연간'!U43)/('연간'!U4),"")</f>
        <v/>
      </c>
      <c r="J56" s="38">
        <f>IFERROR(('연간'!V43)/('연간'!V4),"")</f>
        <v/>
      </c>
      <c r="K56" s="38">
        <f>IFERROR(('연간'!W43)/('연간'!W4),"")</f>
        <v/>
      </c>
      <c r="L56" s="38">
        <f>IFERROR(('연간'!X43)/('연간'!X4),"")</f>
        <v/>
      </c>
    </row>
    <row r="57">
      <c r="A57" s="25" t="inlineStr">
        <is>
          <t>효율성 (회전율)</t>
        </is>
      </c>
      <c r="B57" s="25" t="n"/>
      <c r="C57" s="26" t="n"/>
      <c r="D57" s="25" t="n"/>
      <c r="E57" s="25" t="n"/>
      <c r="F57" s="25" t="n"/>
      <c r="G57" s="25" t="n"/>
      <c r="H57" s="26" t="n"/>
      <c r="I57" s="25" t="n"/>
      <c r="J57" s="25" t="n"/>
      <c r="K57" s="25" t="n"/>
      <c r="L57" s="25" t="n"/>
    </row>
    <row r="58">
      <c r="A58" s="46" t="inlineStr">
        <is>
          <t>총자산회전율</t>
        </is>
      </c>
      <c r="B58" s="10" t="inlineStr">
        <is>
          <t>높을수록↑</t>
        </is>
      </c>
      <c r="C58" s="32">
        <f>IFERROR((IF(COUNT('연간'!G4:J4)&lt;4,"",SUM('연간'!G4:J4)))/C16,"")</f>
        <v/>
      </c>
      <c r="D58" s="33">
        <f>IFERROR((IF(COUNT('연간'!H4:K4)&lt;4,"",SUM('연간'!H4:K4)))/D16,"")</f>
        <v/>
      </c>
      <c r="E58" s="33">
        <f>IFERROR((IF(COUNT('연간'!I4:L4)&lt;4,"",SUM('연간'!I4:L4)))/E16,"")</f>
        <v/>
      </c>
      <c r="F58" s="33">
        <f>IFERROR((IF(COUNT('연간'!J4:M4)&lt;4,"",SUM('연간'!J4:M4)))/F16,"")</f>
        <v/>
      </c>
      <c r="G58" s="33">
        <f>IFERROR((IF(COUNT('연간'!K4:N4)&lt;4,"",SUM('연간'!K4:N4)))/G16,"")</f>
        <v/>
      </c>
      <c r="H58" s="32">
        <f>IFERROR(('연간'!T4)/H16,"")</f>
        <v/>
      </c>
      <c r="I58" s="33">
        <f>IFERROR(('연간'!U4)/I16,"")</f>
        <v/>
      </c>
      <c r="J58" s="33">
        <f>IFERROR(('연간'!V4)/J16,"")</f>
        <v/>
      </c>
      <c r="K58" s="33">
        <f>IFERROR(('연간'!W4)/K16,"")</f>
        <v/>
      </c>
      <c r="L58" s="33">
        <f>IFERROR(('연간'!X4)/L16,"")</f>
        <v/>
      </c>
    </row>
    <row r="59">
      <c r="A59" s="46" t="inlineStr">
        <is>
          <t>매출채권회전일수</t>
        </is>
      </c>
      <c r="B59" s="10" t="inlineStr">
        <is>
          <t>짧을수록↑</t>
        </is>
      </c>
      <c r="C59" s="49">
        <f>IFERROR(C8/(IF(COUNT('연간'!G4:J4)&lt;4,"",SUM('연간'!G4:J4)))*365,"")</f>
        <v/>
      </c>
      <c r="D59" s="50">
        <f>IFERROR(D8/(IF(COUNT('연간'!H4:K4)&lt;4,"",SUM('연간'!H4:K4)))*365,"")</f>
        <v/>
      </c>
      <c r="E59" s="50">
        <f>IFERROR(E8/(IF(COUNT('연간'!I4:L4)&lt;4,"",SUM('연간'!I4:L4)))*365,"")</f>
        <v/>
      </c>
      <c r="F59" s="50">
        <f>IFERROR(F8/(IF(COUNT('연간'!J4:M4)&lt;4,"",SUM('연간'!J4:M4)))*365,"")</f>
        <v/>
      </c>
      <c r="G59" s="50">
        <f>IFERROR(G8/(IF(COUNT('연간'!K4:N4)&lt;4,"",SUM('연간'!K4:N4)))*365,"")</f>
        <v/>
      </c>
      <c r="H59" s="49">
        <f>IFERROR(H8/('연간'!T4)*365,"")</f>
        <v/>
      </c>
      <c r="I59" s="50">
        <f>IFERROR(I8/('연간'!U4)*365,"")</f>
        <v/>
      </c>
      <c r="J59" s="50">
        <f>IFERROR(J8/('연간'!V4)*365,"")</f>
        <v/>
      </c>
      <c r="K59" s="50">
        <f>IFERROR(K8/('연간'!W4)*365,"")</f>
        <v/>
      </c>
      <c r="L59" s="50">
        <f>IFERROR(L8/('연간'!X4)*365,"")</f>
        <v/>
      </c>
    </row>
    <row r="60">
      <c r="A60" s="46" t="inlineStr">
        <is>
          <t>재고자산회전일수</t>
        </is>
      </c>
      <c r="B60" s="10" t="inlineStr">
        <is>
          <t>짧을수록↑</t>
        </is>
      </c>
      <c r="C60" s="49">
        <f>IFERROR(C9/(IF(COUNT('연간'!G11:J11)&lt;4,"",SUM('연간'!G11:J11)))*365,"")</f>
        <v/>
      </c>
      <c r="D60" s="50">
        <f>IFERROR(D9/(IF(COUNT('연간'!H11:K11)&lt;4,"",SUM('연간'!H11:K11)))*365,"")</f>
        <v/>
      </c>
      <c r="E60" s="50">
        <f>IFERROR(E9/(IF(COUNT('연간'!I11:L11)&lt;4,"",SUM('연간'!I11:L11)))*365,"")</f>
        <v/>
      </c>
      <c r="F60" s="50">
        <f>IFERROR(F9/(IF(COUNT('연간'!J11:M11)&lt;4,"",SUM('연간'!J11:M11)))*365,"")</f>
        <v/>
      </c>
      <c r="G60" s="50">
        <f>IFERROR(G9/(IF(COUNT('연간'!K11:N11)&lt;4,"",SUM('연간'!K11:N11)))*365,"")</f>
        <v/>
      </c>
      <c r="H60" s="49">
        <f>IFERROR(H9/('연간'!T11)*365,"")</f>
        <v/>
      </c>
      <c r="I60" s="50">
        <f>IFERROR(I9/('연간'!U11)*365,"")</f>
        <v/>
      </c>
      <c r="J60" s="50">
        <f>IFERROR(J9/('연간'!V11)*365,"")</f>
        <v/>
      </c>
      <c r="K60" s="50">
        <f>IFERROR(K9/('연간'!W11)*365,"")</f>
        <v/>
      </c>
      <c r="L60" s="50">
        <f>IFERROR(L9/('연간'!X11)*365,"")</f>
        <v/>
      </c>
    </row>
    <row r="61">
      <c r="A61" s="46" t="inlineStr">
        <is>
          <t>매입채무회전일수</t>
        </is>
      </c>
      <c r="B61" s="10" t="inlineStr">
        <is>
          <t>길수록 유리</t>
        </is>
      </c>
      <c r="C61" s="49">
        <f>IFERROR(C19/(IF(COUNT('연간'!G11:J11)&lt;4,"",SUM('연간'!G11:J11)))*365,"")</f>
        <v/>
      </c>
      <c r="D61" s="50">
        <f>IFERROR(D19/(IF(COUNT('연간'!H11:K11)&lt;4,"",SUM('연간'!H11:K11)))*365,"")</f>
        <v/>
      </c>
      <c r="E61" s="50">
        <f>IFERROR(E19/(IF(COUNT('연간'!I11:L11)&lt;4,"",SUM('연간'!I11:L11)))*365,"")</f>
        <v/>
      </c>
      <c r="F61" s="50">
        <f>IFERROR(F19/(IF(COUNT('연간'!J11:M11)&lt;4,"",SUM('연간'!J11:M11)))*365,"")</f>
        <v/>
      </c>
      <c r="G61" s="50">
        <f>IFERROR(G19/(IF(COUNT('연간'!K11:N11)&lt;4,"",SUM('연간'!K11:N11)))*365,"")</f>
        <v/>
      </c>
      <c r="H61" s="49">
        <f>IFERROR(H19/('연간'!T11)*365,"")</f>
        <v/>
      </c>
      <c r="I61" s="50">
        <f>IFERROR(I19/('연간'!U11)*365,"")</f>
        <v/>
      </c>
      <c r="J61" s="50">
        <f>IFERROR(J19/('연간'!V11)*365,"")</f>
        <v/>
      </c>
      <c r="K61" s="50">
        <f>IFERROR(K19/('연간'!W11)*365,"")</f>
        <v/>
      </c>
      <c r="L61" s="50">
        <f>IFERROR(L19/('연간'!X11)*365,"")</f>
        <v/>
      </c>
    </row>
    <row r="62">
      <c r="A62" s="46" t="inlineStr">
        <is>
          <t>현금전환주기 (CCC)</t>
        </is>
      </c>
      <c r="B62" s="10" t="inlineStr">
        <is>
          <t>짧을수록↑</t>
        </is>
      </c>
      <c r="C62" s="49">
        <f>IF(OR(C59="",C60="",C61=""),"",IFERROR(C59+C60-C61,""))</f>
        <v/>
      </c>
      <c r="D62" s="50">
        <f>IF(OR(D59="",D60="",D61=""),"",IFERROR(D59+D60-D61,""))</f>
        <v/>
      </c>
      <c r="E62" s="50">
        <f>IF(OR(E59="",E60="",E61=""),"",IFERROR(E59+E60-E61,""))</f>
        <v/>
      </c>
      <c r="F62" s="50">
        <f>IF(OR(F59="",F60="",F61=""),"",IFERROR(F59+F60-F61,""))</f>
        <v/>
      </c>
      <c r="G62" s="50">
        <f>IF(OR(G59="",G60="",G61=""),"",IFERROR(G59+G60-G61,""))</f>
        <v/>
      </c>
      <c r="H62" s="49">
        <f>IF(OR(H59="",H60="",H61=""),"",IFERROR(H59+H60-H61,""))</f>
        <v/>
      </c>
      <c r="I62" s="50">
        <f>IF(OR(I59="",I60="",I61=""),"",IFERROR(I59+I60-I61,""))</f>
        <v/>
      </c>
      <c r="J62" s="50">
        <f>IF(OR(J59="",J60="",J61=""),"",IFERROR(J59+J60-J61,""))</f>
        <v/>
      </c>
      <c r="K62" s="50">
        <f>IF(OR(K59="",K60="",K61=""),"",IFERROR(K59+K60-K61,""))</f>
        <v/>
      </c>
      <c r="L62" s="50">
        <f>IF(OR(L59="",L60="",L61=""),"",IFERROR(L59+L60-L61,""))</f>
        <v/>
      </c>
    </row>
    <row r="63">
      <c r="A63" s="25" t="inlineStr">
        <is>
          <t>현금흐름</t>
        </is>
      </c>
      <c r="B63" s="25" t="n"/>
      <c r="C63" s="26" t="n"/>
      <c r="D63" s="25" t="n"/>
      <c r="E63" s="25" t="n"/>
      <c r="F63" s="25" t="n"/>
      <c r="G63" s="25" t="n"/>
      <c r="H63" s="26" t="n"/>
      <c r="I63" s="25" t="n"/>
      <c r="J63" s="25" t="n"/>
      <c r="K63" s="25" t="n"/>
      <c r="L63" s="25" t="n"/>
    </row>
    <row r="64">
      <c r="A64" s="46" t="inlineStr">
        <is>
          <t>영업현금흐름 / 순이익</t>
        </is>
      </c>
      <c r="B64" s="10" t="inlineStr">
        <is>
          <t>1x↑ (이익의 질)</t>
        </is>
      </c>
      <c r="C64" s="32">
        <f>IF(C37="","",IFERROR(C37/(IF(COUNT('연간'!G43:J43)&lt;4,"",SUM('연간'!G43:J43))),""))</f>
        <v/>
      </c>
      <c r="D64" s="33">
        <f>IF(D37="","",IFERROR(D37/(IF(COUNT('연간'!H43:K43)&lt;4,"",SUM('연간'!H43:K43))),""))</f>
        <v/>
      </c>
      <c r="E64" s="33">
        <f>IF(E37="","",IFERROR(E37/(IF(COUNT('연간'!I43:L43)&lt;4,"",SUM('연간'!I43:L43))),""))</f>
        <v/>
      </c>
      <c r="F64" s="33">
        <f>IF(F37="","",IFERROR(F37/(IF(COUNT('연간'!J43:M43)&lt;4,"",SUM('연간'!J43:M43))),""))</f>
        <v/>
      </c>
      <c r="G64" s="33">
        <f>IF(G37="","",IFERROR(G37/(IF(COUNT('연간'!K43:N43)&lt;4,"",SUM('연간'!K43:N43))),""))</f>
        <v/>
      </c>
      <c r="H64" s="32">
        <f>IF(H37="","",IFERROR(H37/('연간'!T43),""))</f>
        <v/>
      </c>
      <c r="I64" s="33">
        <f>IF(I37="","",IFERROR(I37/('연간'!U43),""))</f>
        <v/>
      </c>
      <c r="J64" s="33">
        <f>IF(J37="","",IFERROR(J37/('연간'!V43),""))</f>
        <v/>
      </c>
      <c r="K64" s="33">
        <f>IF(K37="","",IFERROR(K37/('연간'!W43),""))</f>
        <v/>
      </c>
      <c r="L64" s="33">
        <f>IF(L37="","",IFERROR(L37/('연간'!X43),""))</f>
        <v/>
      </c>
    </row>
    <row r="65">
      <c r="A65" s="46" t="inlineStr">
        <is>
          <t>FCF 마진</t>
        </is>
      </c>
      <c r="B65" s="10" t="inlineStr">
        <is>
          <t>5%↑</t>
        </is>
      </c>
      <c r="C65" s="37">
        <f>IF(C39="","",IFERROR(C39/(IF(COUNT('연간'!G4:J4)&lt;4,"",SUM('연간'!G4:J4))),""))</f>
        <v/>
      </c>
      <c r="D65" s="38">
        <f>IF(D39="","",IFERROR(D39/(IF(COUNT('연간'!H4:K4)&lt;4,"",SUM('연간'!H4:K4))),""))</f>
        <v/>
      </c>
      <c r="E65" s="38">
        <f>IF(E39="","",IFERROR(E39/(IF(COUNT('연간'!I4:L4)&lt;4,"",SUM('연간'!I4:L4))),""))</f>
        <v/>
      </c>
      <c r="F65" s="38">
        <f>IF(F39="","",IFERROR(F39/(IF(COUNT('연간'!J4:M4)&lt;4,"",SUM('연간'!J4:M4))),""))</f>
        <v/>
      </c>
      <c r="G65" s="38">
        <f>IF(G39="","",IFERROR(G39/(IF(COUNT('연간'!K4:N4)&lt;4,"",SUM('연간'!K4:N4))),""))</f>
        <v/>
      </c>
      <c r="H65" s="37">
        <f>IF(H39="","",IFERROR(H39/('연간'!T4),""))</f>
        <v/>
      </c>
      <c r="I65" s="38">
        <f>IF(I39="","",IFERROR(I39/('연간'!U4),""))</f>
        <v/>
      </c>
      <c r="J65" s="38">
        <f>IF(J39="","",IFERROR(J39/('연간'!V4),""))</f>
        <v/>
      </c>
      <c r="K65" s="38">
        <f>IF(K39="","",IFERROR(K39/('연간'!W4),""))</f>
        <v/>
      </c>
      <c r="L65" s="38">
        <f>IF(L39="","",IFERROR(L39/('연간'!X4),""))</f>
        <v/>
      </c>
    </row>
    <row r="66">
      <c r="A66" s="46" t="inlineStr">
        <is>
          <t>CAPEX / 매출</t>
        </is>
      </c>
      <c r="B66" s="10" t="inlineStr">
        <is>
          <t>낮을수록↑ (자본 가벼움)</t>
        </is>
      </c>
      <c r="C66" s="37">
        <f>IF(C38="","",IFERROR(C38/(IF(COUNT('연간'!G4:J4)&lt;4,"",SUM('연간'!G4:J4))),""))</f>
        <v/>
      </c>
      <c r="D66" s="38">
        <f>IF(D38="","",IFERROR(D38/(IF(COUNT('연간'!H4:K4)&lt;4,"",SUM('연간'!H4:K4))),""))</f>
        <v/>
      </c>
      <c r="E66" s="38">
        <f>IF(E38="","",IFERROR(E38/(IF(COUNT('연간'!I4:L4)&lt;4,"",SUM('연간'!I4:L4))),""))</f>
        <v/>
      </c>
      <c r="F66" s="38">
        <f>IF(F38="","",IFERROR(F38/(IF(COUNT('연간'!J4:M4)&lt;4,"",SUM('연간'!J4:M4))),""))</f>
        <v/>
      </c>
      <c r="G66" s="38">
        <f>IF(G38="","",IFERROR(G38/(IF(COUNT('연간'!K4:N4)&lt;4,"",SUM('연간'!K4:N4))),""))</f>
        <v/>
      </c>
      <c r="H66" s="37">
        <f>IF(H38="","",IFERROR(H38/('연간'!T4),""))</f>
        <v/>
      </c>
      <c r="I66" s="38">
        <f>IF(I38="","",IFERROR(I38/('연간'!U4),""))</f>
        <v/>
      </c>
      <c r="J66" s="38">
        <f>IF(J38="","",IFERROR(J38/('연간'!V4),""))</f>
        <v/>
      </c>
      <c r="K66" s="38">
        <f>IF(K38="","",IFERROR(K38/('연간'!W4),""))</f>
        <v/>
      </c>
      <c r="L66" s="38">
        <f>IF(L38="","",IFERROR(L38/('연간'!X4),""))</f>
        <v/>
      </c>
    </row>
    <row r="67">
      <c r="A67" s="46" t="inlineStr">
        <is>
          <t>배당성향</t>
        </is>
      </c>
      <c r="B67" s="10" t="inlineStr">
        <is>
          <t>참고</t>
        </is>
      </c>
      <c r="C67" s="37">
        <f>IF(C40="","",IFERROR(C40/(IF(COUNT('연간'!G44:J44)&lt;4,"",SUM('연간'!G44:J44))),""))</f>
        <v/>
      </c>
      <c r="D67" s="38">
        <f>IF(D40="","",IFERROR(D40/(IF(COUNT('연간'!H44:K44)&lt;4,"",SUM('연간'!H44:K44))),""))</f>
        <v/>
      </c>
      <c r="E67" s="38">
        <f>IF(E40="","",IFERROR(E40/(IF(COUNT('연간'!I44:L44)&lt;4,"",SUM('연간'!I44:L44))),""))</f>
        <v/>
      </c>
      <c r="F67" s="38">
        <f>IF(F40="","",IFERROR(F40/(IF(COUNT('연간'!J44:M44)&lt;4,"",SUM('연간'!J44:M44))),""))</f>
        <v/>
      </c>
      <c r="G67" s="38">
        <f>IF(G40="","",IFERROR(G40/(IF(COUNT('연간'!K44:N44)&lt;4,"",SUM('연간'!K44:N44))),""))</f>
        <v/>
      </c>
      <c r="H67" s="37">
        <f>IF(H40="","",IFERROR(H40/('연간'!T44),""))</f>
        <v/>
      </c>
      <c r="I67" s="38">
        <f>IF(I40="","",IFERROR(I40/('연간'!U44),""))</f>
        <v/>
      </c>
      <c r="J67" s="38">
        <f>IF(J40="","",IFERROR(J40/('연간'!V44),""))</f>
        <v/>
      </c>
      <c r="K67" s="38">
        <f>IF(K40="","",IFERROR(K40/('연간'!W44),""))</f>
        <v/>
      </c>
      <c r="L67" s="38">
        <f>IF(L40="","",IFERROR(L40/('연간'!X44),""))</f>
        <v/>
      </c>
    </row>
    <row r="69">
      <c r="A69" s="18" t="inlineStr">
        <is>
          <t>재무상태표 · 전 항목</t>
        </is>
      </c>
      <c r="B69" s="44" t="inlineStr">
        <is>
          <t>분기 말 잔액</t>
        </is>
      </c>
      <c r="C69" s="18" t="n"/>
      <c r="D69" s="18" t="n"/>
      <c r="E69" s="18" t="n"/>
      <c r="F69" s="18" t="n"/>
      <c r="G69" s="18" t="n"/>
      <c r="H69" s="18" t="n"/>
      <c r="I69" s="18" t="n"/>
      <c r="J69" s="18" t="n"/>
      <c r="K69" s="18" t="n"/>
      <c r="L69" s="18" t="n"/>
    </row>
    <row r="70">
      <c r="A70" s="5" t="inlineStr">
        <is>
          <t>항목</t>
        </is>
      </c>
      <c r="B70" s="5" t="inlineStr">
        <is>
          <t>참고</t>
        </is>
      </c>
      <c r="C70" s="5" t="inlineStr">
        <is>
          <t>2026.1Q</t>
        </is>
      </c>
      <c r="D70" s="5" t="inlineStr">
        <is>
          <t>2026.2Q</t>
        </is>
      </c>
      <c r="E70" s="5" t="inlineStr">
        <is>
          <t>2026.3Q</t>
        </is>
      </c>
      <c r="F70" s="5" t="inlineStr">
        <is>
          <t>2026.4Q</t>
        </is>
      </c>
      <c r="G70" s="5" t="inlineStr">
        <is>
          <t>2027.1Q</t>
        </is>
      </c>
      <c r="H70" s="5" t="inlineStr">
        <is>
          <t>2022</t>
        </is>
      </c>
      <c r="I70" s="5" t="inlineStr">
        <is>
          <t>2023</t>
        </is>
      </c>
      <c r="J70" s="5" t="inlineStr">
        <is>
          <t>2024</t>
        </is>
      </c>
      <c r="K70" s="5" t="inlineStr">
        <is>
          <t>2025</t>
        </is>
      </c>
      <c r="L70" s="5" t="inlineStr">
        <is>
          <t>2026</t>
        </is>
      </c>
    </row>
    <row r="71">
      <c r="A71" s="20" t="inlineStr">
        <is>
          <t>현금 및 예금</t>
        </is>
      </c>
      <c r="C71" s="22" t="n">
        <v>4330.56</v>
      </c>
      <c r="D71" s="22" t="n">
        <v>4425.127</v>
      </c>
      <c r="E71" s="22" t="n">
        <v>4346.419</v>
      </c>
      <c r="F71" s="22" t="n">
        <v>4741.85</v>
      </c>
      <c r="G71" s="22" t="n">
        <v>4268.417</v>
      </c>
      <c r="H71" s="22" t="n">
        <v>4435.937</v>
      </c>
      <c r="I71" s="22" t="n">
        <v>4224.035</v>
      </c>
      <c r="J71" s="22" t="n">
        <v>4306.671</v>
      </c>
      <c r="K71" s="22" t="n">
        <v>4126.719</v>
      </c>
      <c r="L71" s="22" t="n">
        <v>4741.85</v>
      </c>
    </row>
    <row r="72">
      <c r="A72" s="20" t="inlineStr">
        <is>
          <t>받을어음·매출채권</t>
        </is>
      </c>
      <c r="H72" s="22" t="n">
        <v>0</v>
      </c>
    </row>
    <row r="73">
      <c r="A73" s="20" t="inlineStr">
        <is>
          <t>매출채권</t>
        </is>
      </c>
      <c r="C73" s="22" t="n">
        <v>4742.723</v>
      </c>
      <c r="D73" s="22" t="n">
        <v>4967.678</v>
      </c>
      <c r="E73" s="22" t="n">
        <v>6099.243</v>
      </c>
      <c r="F73" s="22" t="n">
        <v>4975.964</v>
      </c>
      <c r="G73" s="22" t="n">
        <v>6062.805</v>
      </c>
      <c r="H73" s="22" t="n">
        <v>4705.341</v>
      </c>
      <c r="I73" s="22" t="n">
        <v>4251.568</v>
      </c>
      <c r="J73" s="22" t="n">
        <v>4868.093</v>
      </c>
      <c r="K73" s="22" t="n">
        <v>4135.549</v>
      </c>
      <c r="L73" s="22" t="n">
        <v>4975.964</v>
      </c>
    </row>
    <row r="74">
      <c r="A74" s="20" t="inlineStr">
        <is>
          <t>상품·제품</t>
        </is>
      </c>
      <c r="C74" s="22" t="n">
        <v>2681.898</v>
      </c>
      <c r="D74" s="22" t="n">
        <v>2735.479</v>
      </c>
      <c r="E74" s="22" t="n">
        <v>2908.048</v>
      </c>
      <c r="F74" s="22" t="n">
        <v>2975.019</v>
      </c>
      <c r="G74" s="22" t="n">
        <v>2994.958</v>
      </c>
      <c r="H74" s="22" t="n">
        <v>2638.849</v>
      </c>
      <c r="I74" s="22" t="n">
        <v>2876.62</v>
      </c>
      <c r="J74" s="22" t="n">
        <v>2330.608</v>
      </c>
      <c r="K74" s="22" t="n">
        <v>2554.926</v>
      </c>
      <c r="L74" s="22" t="n">
        <v>2975.019</v>
      </c>
    </row>
    <row r="75">
      <c r="A75" s="20" t="inlineStr">
        <is>
          <t>재공품</t>
        </is>
      </c>
      <c r="C75" s="22" t="n">
        <v>0</v>
      </c>
      <c r="D75" s="22" t="n">
        <v>1.264</v>
      </c>
      <c r="E75" s="22" t="n">
        <v>0</v>
      </c>
      <c r="F75" s="22" t="n">
        <v>8.901</v>
      </c>
      <c r="G75" s="22" t="n">
        <v>0</v>
      </c>
      <c r="H75" s="22" t="n">
        <v>5.903</v>
      </c>
      <c r="I75" s="22" t="n">
        <v>3.936</v>
      </c>
      <c r="J75" s="22" t="n">
        <v>3.006</v>
      </c>
      <c r="K75" s="22" t="n">
        <v>13.294</v>
      </c>
      <c r="L75" s="22" t="n">
        <v>8.901</v>
      </c>
    </row>
    <row r="76">
      <c r="A76" s="20" t="inlineStr">
        <is>
          <t>원재료·저장품</t>
        </is>
      </c>
      <c r="C76" s="22" t="n">
        <v>5139.51</v>
      </c>
      <c r="D76" s="22" t="n">
        <v>4838.254</v>
      </c>
      <c r="E76" s="22" t="n">
        <v>4741.238</v>
      </c>
      <c r="F76" s="22" t="n">
        <v>4829.719</v>
      </c>
      <c r="G76" s="22" t="n">
        <v>4516.162</v>
      </c>
      <c r="H76" s="22" t="n">
        <v>3171.093</v>
      </c>
      <c r="I76" s="22" t="n">
        <v>5293.31</v>
      </c>
      <c r="J76" s="22" t="n">
        <v>6011.558</v>
      </c>
      <c r="K76" s="22" t="n">
        <v>5402.813</v>
      </c>
      <c r="L76" s="22" t="n">
        <v>4829.719</v>
      </c>
    </row>
    <row r="77">
      <c r="A77" s="20" t="inlineStr">
        <is>
          <t>미수 소비세</t>
        </is>
      </c>
      <c r="C77" s="22" t="n">
        <v>779.073</v>
      </c>
      <c r="D77" s="22" t="n">
        <v>0</v>
      </c>
      <c r="E77" s="22" t="n">
        <v>0</v>
      </c>
      <c r="F77" s="22" t="n">
        <v>0</v>
      </c>
      <c r="J77" s="22" t="n">
        <v>0</v>
      </c>
      <c r="K77" s="22" t="n">
        <v>779.073</v>
      </c>
      <c r="L77" s="22" t="n">
        <v>0</v>
      </c>
    </row>
    <row r="78">
      <c r="A78" s="20" t="inlineStr">
        <is>
          <t>기타</t>
        </is>
      </c>
      <c r="C78" s="22" t="n">
        <v>262.527</v>
      </c>
      <c r="D78" s="22" t="n">
        <v>374.225</v>
      </c>
      <c r="E78" s="22" t="n">
        <v>313.121</v>
      </c>
      <c r="F78" s="22" t="n">
        <v>208.796</v>
      </c>
      <c r="G78" s="22" t="n">
        <v>370.56</v>
      </c>
      <c r="H78" s="22" t="n">
        <v>394.166</v>
      </c>
      <c r="I78" s="22" t="n">
        <v>853.749</v>
      </c>
      <c r="J78" s="22" t="n">
        <v>653.381</v>
      </c>
      <c r="K78" s="22" t="n">
        <v>495.076</v>
      </c>
      <c r="L78" s="22" t="n">
        <v>208.796</v>
      </c>
    </row>
    <row r="79">
      <c r="A79" s="9" t="inlineStr">
        <is>
          <t>유동자산 합계</t>
        </is>
      </c>
      <c r="C79" s="12" t="n">
        <v>17936.294</v>
      </c>
      <c r="D79" s="12" t="n">
        <v>17342.032</v>
      </c>
      <c r="E79" s="12" t="n">
        <v>18408.071</v>
      </c>
      <c r="F79" s="12" t="n">
        <v>17740.252</v>
      </c>
      <c r="G79" s="12" t="n">
        <v>18212.905</v>
      </c>
      <c r="H79" s="12" t="n">
        <v>15351.291</v>
      </c>
      <c r="I79" s="12" t="n">
        <v>17503.221</v>
      </c>
      <c r="J79" s="12" t="n">
        <v>18173.32</v>
      </c>
      <c r="K79" s="12" t="n">
        <v>17507.454</v>
      </c>
      <c r="L79" s="12" t="n">
        <v>17740.252</v>
      </c>
    </row>
    <row r="80">
      <c r="A80" s="20" t="inlineStr">
        <is>
          <t>건물·구축물(순액)</t>
        </is>
      </c>
      <c r="C80" s="22" t="n">
        <v>5291.088</v>
      </c>
      <c r="D80" s="22" t="n">
        <v>6139.243</v>
      </c>
      <c r="E80" s="22" t="n">
        <v>5984.094</v>
      </c>
      <c r="F80" s="22" t="n">
        <v>5927.769</v>
      </c>
      <c r="G80" s="22" t="n">
        <v>5845.41</v>
      </c>
      <c r="H80" s="22" t="n">
        <v>2782.77</v>
      </c>
      <c r="I80" s="22" t="n">
        <v>3506.215</v>
      </c>
      <c r="J80" s="22" t="n">
        <v>3253.086</v>
      </c>
      <c r="K80" s="22" t="n">
        <v>5381.022</v>
      </c>
      <c r="L80" s="22" t="n">
        <v>5927.769</v>
      </c>
    </row>
    <row r="81">
      <c r="A81" s="20" t="inlineStr">
        <is>
          <t>기계장치·운반구(순액)</t>
        </is>
      </c>
      <c r="C81" s="22" t="n">
        <v>7029.796</v>
      </c>
      <c r="D81" s="22" t="n">
        <v>6948.486</v>
      </c>
      <c r="E81" s="22" t="n">
        <v>6685.119</v>
      </c>
      <c r="F81" s="22" t="n">
        <v>6800.363</v>
      </c>
      <c r="G81" s="22" t="n">
        <v>6653.904</v>
      </c>
      <c r="H81" s="22" t="n">
        <v>3467.846</v>
      </c>
      <c r="I81" s="22" t="n">
        <v>3229.446</v>
      </c>
      <c r="J81" s="22" t="n">
        <v>2786.007</v>
      </c>
      <c r="K81" s="22" t="n">
        <v>7085.075</v>
      </c>
      <c r="L81" s="22" t="n">
        <v>6800.363</v>
      </c>
    </row>
    <row r="82">
      <c r="A82" s="20" t="inlineStr">
        <is>
          <t>토지</t>
        </is>
      </c>
      <c r="C82" s="22" t="n">
        <v>2225.239</v>
      </c>
      <c r="D82" s="22" t="n">
        <v>2226.431</v>
      </c>
      <c r="E82" s="22" t="n">
        <v>2226.431</v>
      </c>
      <c r="F82" s="22" t="n">
        <v>2218.864</v>
      </c>
      <c r="G82" s="22" t="n">
        <v>2218.864</v>
      </c>
      <c r="H82" s="22" t="n">
        <v>2063.108</v>
      </c>
      <c r="I82" s="22" t="n">
        <v>2063.108</v>
      </c>
      <c r="J82" s="22" t="n">
        <v>2179.699</v>
      </c>
      <c r="K82" s="22" t="n">
        <v>2225.239</v>
      </c>
      <c r="L82" s="22" t="n">
        <v>2218.864</v>
      </c>
    </row>
    <row r="83">
      <c r="A83" s="20" t="inlineStr">
        <is>
          <t>건설중인자산</t>
        </is>
      </c>
      <c r="C83" s="22" t="n">
        <v>1105.6</v>
      </c>
      <c r="D83" s="22" t="n">
        <v>441.813</v>
      </c>
      <c r="E83" s="22" t="n">
        <v>497.516</v>
      </c>
      <c r="F83" s="22" t="n">
        <v>379.318</v>
      </c>
      <c r="G83" s="22" t="n">
        <v>554.8869999999999</v>
      </c>
      <c r="H83" s="22" t="n">
        <v>857.697</v>
      </c>
      <c r="I83" s="22" t="n">
        <v>2766.41</v>
      </c>
      <c r="J83" s="22" t="n">
        <v>6207.093</v>
      </c>
      <c r="K83" s="22" t="n">
        <v>1067.875</v>
      </c>
      <c r="L83" s="22" t="n">
        <v>379.318</v>
      </c>
    </row>
    <row r="84">
      <c r="A84" s="20" t="inlineStr">
        <is>
          <t>기타(순액)</t>
        </is>
      </c>
      <c r="C84" s="22" t="n">
        <v>461.591</v>
      </c>
      <c r="D84" s="22" t="n">
        <v>445.85</v>
      </c>
      <c r="E84" s="22" t="n">
        <v>429.566</v>
      </c>
      <c r="F84" s="22" t="n">
        <v>432.455</v>
      </c>
      <c r="G84" s="22" t="n">
        <v>419.831</v>
      </c>
      <c r="H84" s="22" t="n">
        <v>324.791</v>
      </c>
      <c r="I84" s="22" t="n">
        <v>342.175</v>
      </c>
      <c r="J84" s="22" t="n">
        <v>322.145</v>
      </c>
      <c r="K84" s="22" t="n">
        <v>483.116</v>
      </c>
      <c r="L84" s="22" t="n">
        <v>432.455</v>
      </c>
    </row>
    <row r="85">
      <c r="A85" s="20" t="inlineStr">
        <is>
          <t>유형자산 합계</t>
        </is>
      </c>
      <c r="C85" s="22" t="n">
        <v>16113.316</v>
      </c>
      <c r="D85" s="22" t="n">
        <v>16201.825</v>
      </c>
      <c r="E85" s="22" t="n">
        <v>15822.73</v>
      </c>
      <c r="F85" s="22" t="n">
        <v>15758.771</v>
      </c>
      <c r="G85" s="22" t="n">
        <v>15692.899</v>
      </c>
      <c r="H85" s="22" t="n">
        <v>9496.215</v>
      </c>
      <c r="I85" s="22" t="n">
        <v>11907.358</v>
      </c>
      <c r="J85" s="22" t="n">
        <v>14748.032</v>
      </c>
      <c r="K85" s="22" t="n">
        <v>16242.33</v>
      </c>
      <c r="L85" s="22" t="n">
        <v>15758.771</v>
      </c>
    </row>
    <row r="86">
      <c r="A86" s="20" t="inlineStr">
        <is>
          <t>무형자산</t>
        </is>
      </c>
      <c r="C86" s="22" t="n">
        <v>174.702</v>
      </c>
      <c r="D86" s="22" t="n">
        <v>168.565</v>
      </c>
      <c r="E86" s="22" t="n">
        <v>165.876</v>
      </c>
      <c r="F86" s="22" t="n">
        <v>169.9</v>
      </c>
      <c r="G86" s="22" t="n">
        <v>160.226</v>
      </c>
      <c r="H86" s="22" t="n">
        <v>112.681</v>
      </c>
      <c r="I86" s="22" t="n">
        <v>91.60899999999999</v>
      </c>
      <c r="J86" s="22" t="n">
        <v>78.595</v>
      </c>
      <c r="K86" s="22" t="n">
        <v>108.789</v>
      </c>
      <c r="L86" s="22" t="n">
        <v>169.9</v>
      </c>
    </row>
    <row r="87">
      <c r="A87" s="20" t="inlineStr">
        <is>
          <t>투자유가증권</t>
        </is>
      </c>
      <c r="C87" s="22" t="n">
        <v>311.28</v>
      </c>
      <c r="D87" s="22" t="n">
        <v>378.807</v>
      </c>
      <c r="E87" s="22" t="n">
        <v>427.031</v>
      </c>
      <c r="F87" s="22" t="n">
        <v>475.123</v>
      </c>
      <c r="G87" s="22" t="n">
        <v>689.783</v>
      </c>
      <c r="H87" s="22" t="n">
        <v>245.074</v>
      </c>
      <c r="I87" s="22" t="n">
        <v>268.827</v>
      </c>
      <c r="J87" s="22" t="n">
        <v>301.191</v>
      </c>
      <c r="K87" s="22" t="n">
        <v>302.683</v>
      </c>
      <c r="L87" s="22" t="n">
        <v>475.123</v>
      </c>
    </row>
    <row r="88">
      <c r="A88" s="20" t="inlineStr">
        <is>
          <t>이연법인세자산</t>
        </is>
      </c>
      <c r="C88" s="22" t="n">
        <v>318.49</v>
      </c>
      <c r="D88" s="22" t="n">
        <v>416.641</v>
      </c>
      <c r="E88" s="22" t="n">
        <v>294.304</v>
      </c>
      <c r="F88" s="22" t="n">
        <v>355.64</v>
      </c>
      <c r="G88" s="22" t="n">
        <v>151.854</v>
      </c>
      <c r="H88" s="22" t="n">
        <v>791.15</v>
      </c>
      <c r="I88" s="22" t="n">
        <v>715.693</v>
      </c>
      <c r="J88" s="22" t="n">
        <v>536.5119999999999</v>
      </c>
      <c r="K88" s="22" t="n">
        <v>436.581</v>
      </c>
      <c r="L88" s="22" t="n">
        <v>355.64</v>
      </c>
    </row>
    <row r="89">
      <c r="A89" s="20" t="inlineStr">
        <is>
          <t>퇴직급여자산</t>
        </is>
      </c>
      <c r="C89" s="22" t="n">
        <v>520.958</v>
      </c>
      <c r="D89" s="22" t="n">
        <v>551.596</v>
      </c>
      <c r="E89" s="22" t="n">
        <v>562.421</v>
      </c>
      <c r="F89" s="22" t="n">
        <v>892.0170000000001</v>
      </c>
      <c r="G89" s="22" t="n">
        <v>893.9</v>
      </c>
      <c r="J89" s="22" t="n">
        <v>0</v>
      </c>
      <c r="K89" s="22" t="n">
        <v>496.085</v>
      </c>
      <c r="L89" s="22" t="n">
        <v>892.0170000000001</v>
      </c>
    </row>
    <row r="90">
      <c r="A90" s="20" t="inlineStr">
        <is>
          <t>기타</t>
        </is>
      </c>
      <c r="C90" s="22" t="n">
        <v>211.535</v>
      </c>
      <c r="D90" s="22" t="n">
        <v>211.343</v>
      </c>
      <c r="E90" s="22" t="n">
        <v>206.229</v>
      </c>
      <c r="F90" s="22" t="n">
        <v>238.663</v>
      </c>
      <c r="G90" s="22" t="n">
        <v>242.704</v>
      </c>
      <c r="H90" s="22" t="n">
        <v>187.98</v>
      </c>
      <c r="I90" s="22" t="n">
        <v>163.894</v>
      </c>
      <c r="J90" s="22" t="n">
        <v>158.969</v>
      </c>
      <c r="K90" s="22" t="n">
        <v>196.403</v>
      </c>
      <c r="L90" s="22" t="n">
        <v>238.663</v>
      </c>
    </row>
    <row r="91">
      <c r="A91" s="20" t="inlineStr">
        <is>
          <t>대손충당금</t>
        </is>
      </c>
      <c r="C91" s="22" t="n">
        <v>-21</v>
      </c>
      <c r="D91" s="22" t="n">
        <v>-21</v>
      </c>
      <c r="E91" s="22" t="n">
        <v>-21</v>
      </c>
      <c r="F91" s="22" t="n">
        <v>-21</v>
      </c>
      <c r="G91" s="22" t="n">
        <v>-21</v>
      </c>
      <c r="H91" s="22" t="n">
        <v>-21</v>
      </c>
      <c r="I91" s="22" t="n">
        <v>-21</v>
      </c>
      <c r="J91" s="22" t="n">
        <v>-21</v>
      </c>
      <c r="K91" s="22" t="n">
        <v>-21</v>
      </c>
      <c r="L91" s="22" t="n">
        <v>-21</v>
      </c>
    </row>
    <row r="92">
      <c r="A92" s="20" t="inlineStr">
        <is>
          <t>투자 및 기타자산 합계</t>
        </is>
      </c>
      <c r="C92" s="22" t="n">
        <v>1341.266</v>
      </c>
      <c r="D92" s="22" t="n">
        <v>1537.388</v>
      </c>
      <c r="E92" s="22" t="n">
        <v>1468.986</v>
      </c>
      <c r="F92" s="22" t="n">
        <v>1940.445</v>
      </c>
      <c r="G92" s="22" t="n">
        <v>1957.244</v>
      </c>
      <c r="H92" s="22" t="n">
        <v>1203.204</v>
      </c>
      <c r="I92" s="22" t="n">
        <v>1127.416</v>
      </c>
      <c r="J92" s="22" t="n">
        <v>975.673</v>
      </c>
      <c r="K92" s="22" t="n">
        <v>1410.753</v>
      </c>
      <c r="L92" s="22" t="n">
        <v>1940.445</v>
      </c>
    </row>
    <row r="93">
      <c r="A93" s="9" t="inlineStr">
        <is>
          <t>비유동자산 합계</t>
        </is>
      </c>
      <c r="C93" s="12" t="n">
        <v>17629.284</v>
      </c>
      <c r="D93" s="12" t="n">
        <v>17907.78</v>
      </c>
      <c r="E93" s="12" t="n">
        <v>17457.593</v>
      </c>
      <c r="F93" s="12" t="n">
        <v>17869.117</v>
      </c>
      <c r="G93" s="12" t="n">
        <v>17810.37</v>
      </c>
      <c r="H93" s="12" t="n">
        <v>10812.101</v>
      </c>
      <c r="I93" s="12" t="n">
        <v>13126.384</v>
      </c>
      <c r="J93" s="12" t="n">
        <v>15802.301</v>
      </c>
      <c r="K93" s="12" t="n">
        <v>17761.873</v>
      </c>
      <c r="L93" s="12" t="n">
        <v>17869.117</v>
      </c>
    </row>
    <row r="94">
      <c r="A94" s="9" t="inlineStr">
        <is>
          <t>자산 합계</t>
        </is>
      </c>
      <c r="C94" s="12" t="n">
        <v>35565.579</v>
      </c>
      <c r="D94" s="12" t="n">
        <v>35249.812</v>
      </c>
      <c r="E94" s="12" t="n">
        <v>35865.664</v>
      </c>
      <c r="F94" s="12" t="n">
        <v>35609.369</v>
      </c>
      <c r="G94" s="12" t="n">
        <v>36023.275</v>
      </c>
      <c r="H94" s="12" t="n">
        <v>26163.392</v>
      </c>
      <c r="I94" s="12" t="n">
        <v>30629.605</v>
      </c>
      <c r="J94" s="12" t="n">
        <v>33975.622</v>
      </c>
      <c r="K94" s="12" t="n">
        <v>35269.328</v>
      </c>
      <c r="L94" s="12" t="n">
        <v>35609.369</v>
      </c>
    </row>
    <row r="95">
      <c r="A95" s="20" t="inlineStr">
        <is>
          <t>지급어음·매입채무</t>
        </is>
      </c>
      <c r="C95" s="22" t="n">
        <v>393.07</v>
      </c>
      <c r="D95" s="22" t="n">
        <v>339.831</v>
      </c>
      <c r="E95" s="22" t="n">
        <v>399.957</v>
      </c>
      <c r="F95" s="22" t="n">
        <v>775.112</v>
      </c>
      <c r="H95" s="22" t="n">
        <v>499.023</v>
      </c>
      <c r="I95" s="22" t="n">
        <v>439.109</v>
      </c>
      <c r="J95" s="22" t="n">
        <v>481.499</v>
      </c>
      <c r="K95" s="22" t="n">
        <v>394.01</v>
      </c>
      <c r="L95" s="22" t="n">
        <v>775.112</v>
      </c>
    </row>
    <row r="96">
      <c r="A96" s="20" t="inlineStr">
        <is>
          <t>매입채무</t>
        </is>
      </c>
      <c r="F96" s="22" t="n">
        <v>775.112</v>
      </c>
      <c r="G96" s="22" t="n">
        <v>1078.841</v>
      </c>
      <c r="L96" s="22" t="n">
        <v>775.112</v>
      </c>
    </row>
    <row r="97">
      <c r="A97" s="20" t="inlineStr">
        <is>
          <t>단기차입금</t>
        </is>
      </c>
      <c r="C97" s="22" t="n">
        <v>1400</v>
      </c>
      <c r="D97" s="22" t="n">
        <v>400</v>
      </c>
      <c r="E97" s="22" t="n">
        <v>1700</v>
      </c>
      <c r="F97" s="22" t="n">
        <v>0</v>
      </c>
      <c r="G97" s="22" t="n">
        <v>400</v>
      </c>
      <c r="H97" s="22" t="n">
        <v>600</v>
      </c>
      <c r="I97" s="22" t="n">
        <v>0</v>
      </c>
      <c r="J97" s="22" t="n">
        <v>0</v>
      </c>
      <c r="K97" s="22" t="n">
        <v>1500</v>
      </c>
      <c r="L97" s="22" t="n">
        <v>0</v>
      </c>
    </row>
    <row r="98">
      <c r="A98" s="20" t="inlineStr">
        <is>
          <t>1년 내 상환 장기차입금</t>
        </is>
      </c>
      <c r="C98" s="22" t="n">
        <v>2464.96</v>
      </c>
      <c r="D98" s="22" t="n">
        <v>2404.963</v>
      </c>
      <c r="E98" s="22" t="n">
        <v>2344.966</v>
      </c>
      <c r="F98" s="22" t="n">
        <v>2299.908</v>
      </c>
      <c r="G98" s="22" t="n">
        <v>2279.969</v>
      </c>
      <c r="H98" s="22" t="n">
        <v>839.928</v>
      </c>
      <c r="I98" s="22" t="n">
        <v>1655.12</v>
      </c>
      <c r="J98" s="22" t="n">
        <v>2244.9</v>
      </c>
      <c r="K98" s="22" t="n">
        <v>2251.713</v>
      </c>
      <c r="L98" s="22" t="n">
        <v>2299.908</v>
      </c>
    </row>
    <row r="99">
      <c r="A99" s="20" t="inlineStr">
        <is>
          <t>미지급금</t>
        </is>
      </c>
      <c r="C99" s="22" t="n">
        <v>761.727</v>
      </c>
      <c r="D99" s="22" t="n">
        <v>668.295</v>
      </c>
      <c r="E99" s="22" t="n">
        <v>680.386</v>
      </c>
      <c r="F99" s="22" t="n">
        <v>627.346</v>
      </c>
      <c r="G99" s="22" t="n">
        <v>548.412</v>
      </c>
      <c r="H99" s="22" t="n">
        <v>909.293</v>
      </c>
      <c r="I99" s="22" t="n">
        <v>782.73</v>
      </c>
      <c r="J99" s="22" t="n">
        <v>632.704</v>
      </c>
      <c r="K99" s="22" t="n">
        <v>841.1319999999999</v>
      </c>
      <c r="L99" s="22" t="n">
        <v>627.346</v>
      </c>
    </row>
    <row r="100">
      <c r="A100" s="20" t="inlineStr">
        <is>
          <t>미지급법인세</t>
        </is>
      </c>
      <c r="C100" s="22" t="n">
        <v>142.743</v>
      </c>
      <c r="D100" s="22" t="n">
        <v>579.414</v>
      </c>
      <c r="E100" s="22" t="n">
        <v>369.237</v>
      </c>
      <c r="F100" s="22" t="n">
        <v>734.033</v>
      </c>
      <c r="G100" s="22" t="n">
        <v>446.675</v>
      </c>
      <c r="H100" s="22" t="n">
        <v>963.138</v>
      </c>
      <c r="I100" s="22" t="n">
        <v>391.717</v>
      </c>
      <c r="J100" s="22" t="n">
        <v>35.68</v>
      </c>
      <c r="K100" s="22" t="n">
        <v>508.53</v>
      </c>
      <c r="L100" s="22" t="n">
        <v>734.033</v>
      </c>
    </row>
    <row r="101">
      <c r="A101" s="20" t="inlineStr">
        <is>
          <t>상여충당금</t>
        </is>
      </c>
      <c r="C101" s="22" t="n">
        <v>113.823</v>
      </c>
      <c r="E101" s="22" t="n">
        <v>123.921</v>
      </c>
      <c r="F101" s="22" t="n">
        <v>0</v>
      </c>
      <c r="G101" s="22" t="n">
        <v>130.425</v>
      </c>
      <c r="H101" s="22" t="n">
        <v>0</v>
      </c>
      <c r="I101" s="22" t="n">
        <v>0</v>
      </c>
      <c r="J101" s="22" t="n">
        <v>0</v>
      </c>
      <c r="K101" s="22" t="n">
        <v>0</v>
      </c>
      <c r="L101" s="22" t="n">
        <v>0</v>
      </c>
    </row>
    <row r="102">
      <c r="A102" s="20" t="inlineStr">
        <is>
          <t>설비관련 미지급금</t>
        </is>
      </c>
      <c r="C102" s="22" t="n">
        <v>440.132</v>
      </c>
      <c r="D102" s="22" t="n">
        <v>548.252</v>
      </c>
      <c r="E102" s="22" t="n">
        <v>139.868</v>
      </c>
      <c r="F102" s="22" t="n">
        <v>322.384</v>
      </c>
      <c r="G102" s="22" t="n">
        <v>366.255</v>
      </c>
      <c r="H102" s="22" t="n">
        <v>360.885</v>
      </c>
      <c r="I102" s="22" t="n">
        <v>608.429</v>
      </c>
      <c r="J102" s="22" t="n">
        <v>1470.718</v>
      </c>
      <c r="K102" s="22" t="n">
        <v>668.907</v>
      </c>
      <c r="L102" s="22" t="n">
        <v>322.384</v>
      </c>
    </row>
    <row r="103">
      <c r="A103" s="20" t="inlineStr">
        <is>
          <t>기타</t>
        </is>
      </c>
      <c r="C103" s="22" t="n">
        <v>492.072</v>
      </c>
      <c r="D103" s="22" t="n">
        <v>815.182</v>
      </c>
      <c r="E103" s="22" t="n">
        <v>782.391</v>
      </c>
      <c r="F103" s="22" t="n">
        <v>1078.354</v>
      </c>
      <c r="G103" s="22" t="n">
        <v>647.42</v>
      </c>
      <c r="H103" s="22" t="n">
        <v>715.921</v>
      </c>
      <c r="I103" s="22" t="n">
        <v>645.948</v>
      </c>
      <c r="J103" s="22" t="n">
        <v>672.043</v>
      </c>
      <c r="K103" s="22" t="n">
        <v>604.587</v>
      </c>
      <c r="L103" s="22" t="n">
        <v>1078.354</v>
      </c>
    </row>
    <row r="104">
      <c r="A104" s="9" t="inlineStr">
        <is>
          <t>유동부채 합계</t>
        </is>
      </c>
      <c r="C104" s="12" t="n">
        <v>6208.53</v>
      </c>
      <c r="D104" s="12" t="n">
        <v>5755.938</v>
      </c>
      <c r="E104" s="12" t="n">
        <v>6540.728</v>
      </c>
      <c r="F104" s="12" t="n">
        <v>5837.138</v>
      </c>
      <c r="G104" s="12" t="n">
        <v>5897.999</v>
      </c>
      <c r="H104" s="12" t="n">
        <v>4888.19</v>
      </c>
      <c r="I104" s="12" t="n">
        <v>4523.056</v>
      </c>
      <c r="J104" s="12" t="n">
        <v>5537.546</v>
      </c>
      <c r="K104" s="12" t="n">
        <v>6768.881</v>
      </c>
      <c r="L104" s="12" t="n">
        <v>5837.138</v>
      </c>
    </row>
    <row r="105">
      <c r="A105" s="20" t="inlineStr">
        <is>
          <t>장기차입금</t>
        </is>
      </c>
      <c r="C105" s="22" t="n">
        <v>5215.263</v>
      </c>
      <c r="D105" s="22" t="n">
        <v>4640.286</v>
      </c>
      <c r="E105" s="22" t="n">
        <v>4065.309</v>
      </c>
      <c r="F105" s="22" t="n">
        <v>3490.332</v>
      </c>
      <c r="G105" s="22" t="n">
        <v>2935.294</v>
      </c>
      <c r="H105" s="22" t="n">
        <v>1411.933</v>
      </c>
      <c r="I105" s="22" t="n">
        <v>4095.162</v>
      </c>
      <c r="J105" s="22" t="n">
        <v>5948.603</v>
      </c>
      <c r="K105" s="22" t="n">
        <v>4535.23</v>
      </c>
      <c r="L105" s="22" t="n">
        <v>3490.332</v>
      </c>
    </row>
    <row r="106">
      <c r="A106" s="20" t="inlineStr">
        <is>
          <t>이연법인세부채</t>
        </is>
      </c>
      <c r="C106" s="22" t="n">
        <v>43.32</v>
      </c>
      <c r="D106" s="22" t="n">
        <v>39.067</v>
      </c>
      <c r="E106" s="22" t="n">
        <v>36.926</v>
      </c>
      <c r="F106" s="22" t="n">
        <v>49.987</v>
      </c>
      <c r="G106" s="22" t="n">
        <v>52.945</v>
      </c>
      <c r="H106" s="22" t="n">
        <v>26.955</v>
      </c>
      <c r="I106" s="22" t="n">
        <v>34.355</v>
      </c>
      <c r="J106" s="22" t="n">
        <v>37.92</v>
      </c>
      <c r="K106" s="22" t="n">
        <v>46.68</v>
      </c>
      <c r="L106" s="22" t="n">
        <v>49.987</v>
      </c>
    </row>
    <row r="107">
      <c r="A107" s="20" t="inlineStr">
        <is>
          <t>퇴직급여부채</t>
        </is>
      </c>
      <c r="F107" s="22" t="n">
        <v>0</v>
      </c>
      <c r="G107" s="22" t="n">
        <v>0.717</v>
      </c>
      <c r="H107" s="22" t="n">
        <v>489.342</v>
      </c>
      <c r="I107" s="22" t="n">
        <v>389.542</v>
      </c>
      <c r="J107" s="22" t="n">
        <v>69.288</v>
      </c>
      <c r="K107" s="22" t="n">
        <v>0</v>
      </c>
      <c r="L107" s="22" t="n">
        <v>0</v>
      </c>
    </row>
    <row r="108">
      <c r="A108" s="20" t="inlineStr">
        <is>
          <t>기타</t>
        </is>
      </c>
      <c r="C108" s="22" t="n">
        <v>15.2</v>
      </c>
      <c r="D108" s="22" t="n">
        <v>25.2</v>
      </c>
      <c r="E108" s="22" t="n">
        <v>25.2</v>
      </c>
      <c r="F108" s="22" t="n">
        <v>25.2</v>
      </c>
      <c r="G108" s="22" t="n">
        <v>25.2</v>
      </c>
      <c r="H108" s="22" t="n">
        <v>15.2</v>
      </c>
      <c r="I108" s="22" t="n">
        <v>15.2</v>
      </c>
      <c r="J108" s="22" t="n">
        <v>15.2</v>
      </c>
      <c r="K108" s="22" t="n">
        <v>15.2</v>
      </c>
      <c r="L108" s="22" t="n">
        <v>25.2</v>
      </c>
    </row>
    <row r="109">
      <c r="A109" s="9" t="inlineStr">
        <is>
          <t>비유동부채 합계</t>
        </is>
      </c>
      <c r="C109" s="12" t="n">
        <v>5273.783</v>
      </c>
      <c r="D109" s="12" t="n">
        <v>4704.553</v>
      </c>
      <c r="E109" s="12" t="n">
        <v>4127.435</v>
      </c>
      <c r="F109" s="12" t="n">
        <v>3565.519</v>
      </c>
      <c r="G109" s="12" t="n">
        <v>3014.156</v>
      </c>
      <c r="H109" s="12" t="n">
        <v>1943.431</v>
      </c>
      <c r="I109" s="12" t="n">
        <v>4534.259</v>
      </c>
      <c r="J109" s="12" t="n">
        <v>6071.012</v>
      </c>
      <c r="K109" s="12" t="n">
        <v>4597.11</v>
      </c>
      <c r="L109" s="12" t="n">
        <v>3565.519</v>
      </c>
    </row>
    <row r="110">
      <c r="A110" s="9" t="inlineStr">
        <is>
          <t>부채 합계</t>
        </is>
      </c>
      <c r="C110" s="12" t="n">
        <v>11482.314</v>
      </c>
      <c r="D110" s="12" t="n">
        <v>10460.492</v>
      </c>
      <c r="E110" s="12" t="n">
        <v>10668.163</v>
      </c>
      <c r="F110" s="12" t="n">
        <v>9402.657999999999</v>
      </c>
      <c r="G110" s="12" t="n">
        <v>8912.156000000001</v>
      </c>
      <c r="H110" s="12" t="n">
        <v>6831.621</v>
      </c>
      <c r="I110" s="12" t="n">
        <v>9057.316000000001</v>
      </c>
      <c r="J110" s="12" t="n">
        <v>11608.559</v>
      </c>
      <c r="K110" s="12" t="n">
        <v>11365.992</v>
      </c>
      <c r="L110" s="12" t="n">
        <v>9402.657999999999</v>
      </c>
    </row>
    <row r="111">
      <c r="A111" s="20" t="inlineStr">
        <is>
          <t>자본금</t>
        </is>
      </c>
      <c r="C111" s="22" t="n">
        <v>2241.749</v>
      </c>
      <c r="D111" s="22" t="n">
        <v>2241.749</v>
      </c>
      <c r="E111" s="22" t="n">
        <v>2241.749</v>
      </c>
      <c r="F111" s="22" t="n">
        <v>2241.749</v>
      </c>
      <c r="G111" s="22" t="n">
        <v>2241.749</v>
      </c>
      <c r="H111" s="22" t="n">
        <v>2241.749</v>
      </c>
      <c r="I111" s="22" t="n">
        <v>2241.749</v>
      </c>
      <c r="J111" s="22" t="n">
        <v>2241.749</v>
      </c>
      <c r="K111" s="22" t="n">
        <v>2241.749</v>
      </c>
      <c r="L111" s="22" t="n">
        <v>2241.749</v>
      </c>
    </row>
    <row r="112">
      <c r="A112" s="20" t="inlineStr">
        <is>
          <t>자본잉여금</t>
        </is>
      </c>
      <c r="C112" s="22" t="n">
        <v>3942.031</v>
      </c>
      <c r="D112" s="22" t="n">
        <v>3943.953</v>
      </c>
      <c r="E112" s="22" t="n">
        <v>3943.953</v>
      </c>
      <c r="F112" s="22" t="n">
        <v>3943.953</v>
      </c>
      <c r="G112" s="22" t="n">
        <v>3943.953</v>
      </c>
      <c r="H112" s="22" t="n">
        <v>3956.51</v>
      </c>
      <c r="I112" s="22" t="n">
        <v>3967.649</v>
      </c>
      <c r="J112" s="22" t="n">
        <v>3942.031</v>
      </c>
      <c r="K112" s="22" t="n">
        <v>3942.031</v>
      </c>
      <c r="L112" s="22" t="n">
        <v>3943.953</v>
      </c>
    </row>
    <row r="113">
      <c r="A113" s="20" t="inlineStr">
        <is>
          <t>이익잉여금</t>
        </is>
      </c>
      <c r="C113" s="22" t="n">
        <v>17503.162</v>
      </c>
      <c r="D113" s="22" t="n">
        <v>18148.932</v>
      </c>
      <c r="E113" s="22" t="n">
        <v>18491.222</v>
      </c>
      <c r="F113" s="22" t="n">
        <v>19126.793</v>
      </c>
      <c r="G113" s="22" t="n">
        <v>19866.513</v>
      </c>
      <c r="H113" s="22" t="n">
        <v>13374.847</v>
      </c>
      <c r="I113" s="22" t="n">
        <v>15520.225</v>
      </c>
      <c r="J113" s="22" t="n">
        <v>16183.895</v>
      </c>
      <c r="K113" s="22" t="n">
        <v>17274.39</v>
      </c>
      <c r="L113" s="22" t="n">
        <v>19126.793</v>
      </c>
    </row>
    <row r="114">
      <c r="A114" s="20" t="inlineStr">
        <is>
          <t>자기주식</t>
        </is>
      </c>
      <c r="C114" s="22" t="n">
        <v>-257.097</v>
      </c>
      <c r="D114" s="22" t="n">
        <v>-238.069</v>
      </c>
      <c r="E114" s="22" t="n">
        <v>-238.069</v>
      </c>
      <c r="F114" s="22" t="n">
        <v>-238.255</v>
      </c>
      <c r="G114" s="22" t="n">
        <v>-238.94</v>
      </c>
      <c r="H114" s="22" t="n">
        <v>-162.791</v>
      </c>
      <c r="I114" s="22" t="n">
        <v>-154.126</v>
      </c>
      <c r="J114" s="22" t="n">
        <v>-236.468</v>
      </c>
      <c r="K114" s="22" t="n">
        <v>-257.097</v>
      </c>
      <c r="L114" s="22" t="n">
        <v>-238.255</v>
      </c>
    </row>
    <row r="115">
      <c r="A115" s="9" t="inlineStr">
        <is>
          <t>주주자본 합계</t>
        </is>
      </c>
      <c r="C115" s="12" t="n">
        <v>23429.846</v>
      </c>
      <c r="D115" s="12" t="n">
        <v>24096.566</v>
      </c>
      <c r="E115" s="12" t="n">
        <v>24438.856</v>
      </c>
      <c r="F115" s="12" t="n">
        <v>25074.24</v>
      </c>
      <c r="G115" s="12" t="n">
        <v>25813.275</v>
      </c>
      <c r="H115" s="12" t="n">
        <v>19410.315</v>
      </c>
      <c r="I115" s="12" t="n">
        <v>21575.498</v>
      </c>
      <c r="J115" s="12" t="n">
        <v>22131.208</v>
      </c>
      <c r="K115" s="12" t="n">
        <v>23201.074</v>
      </c>
      <c r="L115" s="12" t="n">
        <v>25074.24</v>
      </c>
    </row>
    <row r="116">
      <c r="A116" s="20" t="inlineStr">
        <is>
          <t>기타유가증권 평가차액</t>
        </is>
      </c>
      <c r="C116" s="22" t="n">
        <v>64.85299999999999</v>
      </c>
      <c r="D116" s="22" t="n">
        <v>110.812</v>
      </c>
      <c r="E116" s="22" t="n">
        <v>143.524</v>
      </c>
      <c r="F116" s="22" t="n">
        <v>176.516</v>
      </c>
      <c r="G116" s="22" t="n">
        <v>323.772</v>
      </c>
      <c r="H116" s="22" t="n">
        <v>15.907</v>
      </c>
      <c r="I116" s="22" t="n">
        <v>32.111</v>
      </c>
      <c r="J116" s="22" t="n">
        <v>53.975</v>
      </c>
      <c r="K116" s="22" t="n">
        <v>58.955</v>
      </c>
      <c r="L116" s="22" t="n">
        <v>176.516</v>
      </c>
    </row>
    <row r="117">
      <c r="A117" s="20" t="inlineStr">
        <is>
          <t>해외사업환산조정</t>
        </is>
      </c>
      <c r="C117" s="22" t="n">
        <v>191.584</v>
      </c>
      <c r="D117" s="22" t="n">
        <v>191.171</v>
      </c>
      <c r="E117" s="22" t="n">
        <v>230.558</v>
      </c>
      <c r="F117" s="22" t="n">
        <v>352.906</v>
      </c>
      <c r="G117" s="22" t="n">
        <v>388.632</v>
      </c>
      <c r="H117" s="22" t="n">
        <v>-57.316</v>
      </c>
      <c r="I117" s="22" t="n">
        <v>33.936</v>
      </c>
      <c r="J117" s="22" t="n">
        <v>62.197</v>
      </c>
      <c r="K117" s="22" t="n">
        <v>240.114</v>
      </c>
      <c r="L117" s="22" t="n">
        <v>352.906</v>
      </c>
    </row>
    <row r="118">
      <c r="A118" s="20" t="inlineStr">
        <is>
          <t>퇴직급여 조정누계액</t>
        </is>
      </c>
      <c r="C118" s="22" t="n">
        <v>396.98</v>
      </c>
      <c r="D118" s="22" t="n">
        <v>390.77</v>
      </c>
      <c r="E118" s="22" t="n">
        <v>384.56</v>
      </c>
      <c r="F118" s="22" t="n">
        <v>603.048</v>
      </c>
      <c r="G118" s="22" t="n">
        <v>585.438</v>
      </c>
      <c r="H118" s="22" t="n">
        <v>-37.136</v>
      </c>
      <c r="I118" s="22" t="n">
        <v>-69.25700000000001</v>
      </c>
      <c r="J118" s="22" t="n">
        <v>119.681</v>
      </c>
      <c r="K118" s="22" t="n">
        <v>403.19</v>
      </c>
      <c r="L118" s="22" t="n">
        <v>603.048</v>
      </c>
    </row>
    <row r="119">
      <c r="A119" s="20" t="inlineStr">
        <is>
          <t>기타포괄손익누계액 합계</t>
        </is>
      </c>
      <c r="C119" s="22" t="n">
        <v>653.418</v>
      </c>
      <c r="D119" s="22" t="n">
        <v>692.753</v>
      </c>
      <c r="E119" s="22" t="n">
        <v>758.644</v>
      </c>
      <c r="F119" s="22" t="n">
        <v>1132.47</v>
      </c>
      <c r="G119" s="22" t="n">
        <v>1297.843</v>
      </c>
      <c r="H119" s="22" t="n">
        <v>-78.545</v>
      </c>
      <c r="I119" s="22" t="n">
        <v>-3.209</v>
      </c>
      <c r="J119" s="22" t="n">
        <v>235.854</v>
      </c>
      <c r="K119" s="22" t="n">
        <v>702.26</v>
      </c>
      <c r="L119" s="22" t="n">
        <v>1132.47</v>
      </c>
    </row>
    <row r="120">
      <c r="A120" s="9" t="inlineStr">
        <is>
          <t>순자산 합계</t>
        </is>
      </c>
      <c r="C120" s="12" t="n">
        <v>24083.265</v>
      </c>
      <c r="D120" s="12" t="n">
        <v>24789.32</v>
      </c>
      <c r="E120" s="12" t="n">
        <v>25197.501</v>
      </c>
      <c r="F120" s="12" t="n">
        <v>26206.711</v>
      </c>
      <c r="G120" s="12" t="n">
        <v>27111.119</v>
      </c>
      <c r="H120" s="12" t="n">
        <v>19331.77</v>
      </c>
      <c r="I120" s="12" t="n">
        <v>21572.288</v>
      </c>
      <c r="J120" s="12" t="n">
        <v>22367.062</v>
      </c>
      <c r="K120" s="12" t="n">
        <v>23903.335</v>
      </c>
      <c r="L120" s="12" t="n">
        <v>26206.711</v>
      </c>
    </row>
    <row r="121">
      <c r="A121" s="9" t="inlineStr">
        <is>
          <t>부채·순자산 합계</t>
        </is>
      </c>
      <c r="C121" s="12" t="n">
        <v>35565.579</v>
      </c>
      <c r="D121" s="12" t="n">
        <v>35249.812</v>
      </c>
      <c r="E121" s="12" t="n">
        <v>35865.664</v>
      </c>
      <c r="F121" s="12" t="n">
        <v>35609.369</v>
      </c>
      <c r="G121" s="12" t="n">
        <v>36023.275</v>
      </c>
      <c r="H121" s="12" t="n">
        <v>26163.392</v>
      </c>
      <c r="I121" s="12" t="n">
        <v>30629.605</v>
      </c>
      <c r="J121" s="12" t="n">
        <v>33975.622</v>
      </c>
      <c r="K121" s="12" t="n">
        <v>35269.328</v>
      </c>
      <c r="L121" s="12" t="n">
        <v>35609.369</v>
      </c>
    </row>
  </sheetData>
  <conditionalFormatting sqref="C43:L43">
    <cfRule type="expression" priority="1" dxfId="0">
      <formula>AND(ISNUMBER(C43),C43&gt;1.0)</formula>
    </cfRule>
  </conditionalFormatting>
  <conditionalFormatting sqref="C44:L44">
    <cfRule type="expression" priority="2" dxfId="0">
      <formula>AND(ISNUMBER(C44),C44&gt;0.5)</formula>
    </cfRule>
  </conditionalFormatting>
  <conditionalFormatting sqref="C45:L45">
    <cfRule type="expression" priority="3" dxfId="0">
      <formula>AND(ISNUMBER(C45),C45&lt;0.5)</formula>
    </cfRule>
  </conditionalFormatting>
  <conditionalFormatting sqref="C46:L46">
    <cfRule type="expression" priority="4" dxfId="0">
      <formula>AND(ISNUMBER(C46),C46&lt;1.5)</formula>
    </cfRule>
  </conditionalFormatting>
  <conditionalFormatting sqref="C47:L47">
    <cfRule type="expression" priority="5" dxfId="0">
      <formula>AND(ISNUMBER(C47),C47&lt;1.0)</formula>
    </cfRule>
  </conditionalFormatting>
  <conditionalFormatting sqref="C48:L48">
    <cfRule type="expression" priority="6" dxfId="0">
      <formula>AND(ISNUMBER(C48),C48&lt;5)</formula>
    </cfRule>
  </conditionalFormatting>
  <conditionalFormatting sqref="C49:L49">
    <cfRule type="expression" priority="7" dxfId="0">
      <formula>AND(ISNUMBER(C49),C49&gt;4)</formula>
    </cfRule>
  </conditionalFormatting>
  <conditionalFormatting sqref="C51:L51">
    <cfRule type="expression" priority="8" dxfId="0">
      <formula>AND(ISNUMBER(C51),C51&lt;0.15)</formula>
    </cfRule>
  </conditionalFormatting>
  <conditionalFormatting sqref="C52:L52">
    <cfRule type="expression" priority="9" dxfId="0">
      <formula>AND(ISNUMBER(C52),C52&lt;0.05)</formula>
    </cfRule>
  </conditionalFormatting>
  <conditionalFormatting sqref="C53:L53">
    <cfRule type="expression" priority="10" dxfId="0">
      <formula>AND(ISNUMBER(C53),C53&lt;0.1)</formula>
    </cfRule>
  </conditionalFormatting>
  <conditionalFormatting sqref="C54:L54">
    <cfRule type="expression" priority="11" dxfId="0">
      <formula>AND(ISNUMBER(C54),C54&lt;0.4)</formula>
    </cfRule>
  </conditionalFormatting>
  <conditionalFormatting sqref="C55:L55">
    <cfRule type="expression" priority="12" dxfId="0">
      <formula>AND(ISNUMBER(C55),C55&lt;0.15)</formula>
    </cfRule>
  </conditionalFormatting>
  <conditionalFormatting sqref="C56:L56">
    <cfRule type="expression" priority="13" dxfId="0">
      <formula>AND(ISNUMBER(C56),C56&lt;0.1)</formula>
    </cfRule>
  </conditionalFormatting>
  <conditionalFormatting sqref="C64:L64">
    <cfRule type="expression" priority="14" dxfId="0">
      <formula>AND(ISNUMBER(C64),C64&lt;1.0)</formula>
    </cfRule>
  </conditionalFormatting>
  <conditionalFormatting sqref="C65:L65">
    <cfRule type="expression" priority="15" dxfId="0">
      <formula>AND(ISNUMBER(C65),C65&lt;0.05)</formula>
    </cfRule>
  </conditionalFormatting>
  <pageMargins left="0.75" right="0.75" top="1" bottom="1" header="0.5" footer="0.5"/>
  <pageSetup orientation="landscape" paperSize="8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4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60" customWidth="1" min="3" max="3"/>
  </cols>
  <sheetData>
    <row r="1">
      <c r="A1" s="51" t="inlineStr">
        <is>
          <t>출처 · 쓴 결산단신</t>
        </is>
      </c>
    </row>
    <row r="3">
      <c r="A3" s="52" t="inlineStr">
        <is>
          <t>공시일</t>
        </is>
      </c>
      <c r="B3" s="52" t="inlineStr">
        <is>
          <t>문서</t>
        </is>
      </c>
      <c r="C3" s="52" t="inlineStr">
        <is>
          <t>PDF</t>
        </is>
      </c>
    </row>
    <row r="4">
      <c r="A4" t="inlineStr">
        <is>
          <t>2026-07-31</t>
        </is>
      </c>
      <c r="B4" t="inlineStr">
        <is>
          <t>2027년 3월 결산기 1분기 결산단신</t>
        </is>
      </c>
      <c r="C4" t="inlineStr">
        <is>
          <t>https://www2.jpx.co.jp/disc/38910/140120260729501753.pdf</t>
        </is>
      </c>
    </row>
    <row r="5">
      <c r="A5" t="inlineStr">
        <is>
          <t>2026-04-24</t>
        </is>
      </c>
      <c r="B5" t="inlineStr">
        <is>
          <t>2026년 3월 결산기 연간 결산단신</t>
        </is>
      </c>
      <c r="C5" t="inlineStr">
        <is>
          <t>https://www2.jpx.co.jp/disc/38910/140120260423508761.pdf</t>
        </is>
      </c>
    </row>
    <row r="6">
      <c r="A6" t="inlineStr">
        <is>
          <t>2026-01-29</t>
        </is>
      </c>
      <c r="B6" t="inlineStr">
        <is>
          <t>2026년 3월 결산기 3분기 결산단신</t>
        </is>
      </c>
      <c r="C6" t="inlineStr">
        <is>
          <t>https://www2.jpx.co.jp/disc/38910/140120260129540994.pdf</t>
        </is>
      </c>
    </row>
    <row r="7">
      <c r="A7" t="inlineStr">
        <is>
          <t>2025-10-30</t>
        </is>
      </c>
      <c r="B7" t="inlineStr">
        <is>
          <t>2026년 3월 결산기 2분기 결산단신</t>
        </is>
      </c>
      <c r="C7" t="inlineStr">
        <is>
          <t>https://www2.jpx.co.jp/disc/38910/140120251029581637.pdf</t>
        </is>
      </c>
    </row>
    <row r="8">
      <c r="A8" t="inlineStr">
        <is>
          <t>2025-07-31</t>
        </is>
      </c>
      <c r="B8" t="inlineStr">
        <is>
          <t>2026년 3월 결산기 1분기 결산단신</t>
        </is>
      </c>
      <c r="C8" t="inlineStr">
        <is>
          <t>https://www2.jpx.co.jp/disc/38910/140120250730523755.pdf</t>
        </is>
      </c>
    </row>
    <row r="9">
      <c r="A9" t="inlineStr">
        <is>
          <t>2025-04-24</t>
        </is>
      </c>
      <c r="B9" t="inlineStr">
        <is>
          <t>2025년 3월 결산기 연간 결산단신</t>
        </is>
      </c>
      <c r="C9" t="inlineStr">
        <is>
          <t>https://www2.jpx.co.jp/disc/38910/140120250423521599.pdf</t>
        </is>
      </c>
    </row>
    <row r="10">
      <c r="A10" t="inlineStr">
        <is>
          <t>2025-01-30</t>
        </is>
      </c>
      <c r="B10" t="inlineStr">
        <is>
          <t>2025년 3월 결산기 3분기 결산단신</t>
        </is>
      </c>
      <c r="C10" t="inlineStr">
        <is>
          <t>https://www2.jpx.co.jp/disc/38910/140120250129556928.pdf</t>
        </is>
      </c>
    </row>
    <row r="11">
      <c r="A11" t="inlineStr">
        <is>
          <t>2024-10-31</t>
        </is>
      </c>
      <c r="B11" t="inlineStr">
        <is>
          <t>2025년 3월 결산기 2분기 결산단신</t>
        </is>
      </c>
      <c r="C11" t="inlineStr">
        <is>
          <t>https://www2.jpx.co.jp/disc/38910/140120241029505307.pdf</t>
        </is>
      </c>
    </row>
    <row r="12">
      <c r="A12" t="inlineStr">
        <is>
          <t>2024-07-31</t>
        </is>
      </c>
      <c r="B12" t="inlineStr">
        <is>
          <t>2025년 3월 결산기 1분기 결산단신</t>
        </is>
      </c>
      <c r="C12" t="inlineStr">
        <is>
          <t>https://www2.jpx.co.jp/disc/38910/140120240729556248.pdf</t>
        </is>
      </c>
    </row>
    <row r="13">
      <c r="A13" t="inlineStr">
        <is>
          <t>2024-04-24</t>
        </is>
      </c>
      <c r="B13" t="inlineStr">
        <is>
          <t>2024년 3월 결산기 연간 결산단신</t>
        </is>
      </c>
      <c r="C13" t="inlineStr">
        <is>
          <t>https://www2.jpx.co.jp/disc/38910/140120240422574137.pdf</t>
        </is>
      </c>
    </row>
    <row r="14">
      <c r="A14" t="inlineStr">
        <is>
          <t>2024-01-31</t>
        </is>
      </c>
      <c r="B14" t="inlineStr">
        <is>
          <t>2024년 3월 결산기 3분기 결산단신</t>
        </is>
      </c>
      <c r="C14" t="inlineStr">
        <is>
          <t>https://www2.jpx.co.jp/disc/38910/140120240130522054.pdf</t>
        </is>
      </c>
    </row>
    <row r="15">
      <c r="A15" t="inlineStr">
        <is>
          <t>2023-10-31</t>
        </is>
      </c>
      <c r="B15" t="inlineStr">
        <is>
          <t>2024년 3월 결산기 2분기 결산단신</t>
        </is>
      </c>
      <c r="C15" t="inlineStr">
        <is>
          <t>https://www2.jpx.co.jp/disc/38910/140120231030574736.pdf</t>
        </is>
      </c>
    </row>
    <row r="16">
      <c r="A16" t="inlineStr">
        <is>
          <t>2023-07-31</t>
        </is>
      </c>
      <c r="B16" t="inlineStr">
        <is>
          <t>2024년 3월 결산기 1분기 결산단신</t>
        </is>
      </c>
      <c r="C16" t="inlineStr">
        <is>
          <t>https://www2.jpx.co.jp/disc/38910/140120230728529254.pdf</t>
        </is>
      </c>
    </row>
    <row r="17">
      <c r="A17" t="inlineStr">
        <is>
          <t>2023-04-27</t>
        </is>
      </c>
      <c r="B17" t="inlineStr">
        <is>
          <t>2023년 3월 결산기 연간 결산단신</t>
        </is>
      </c>
      <c r="C17" t="inlineStr">
        <is>
          <t>https://www2.jpx.co.jp/disc/38910/140120230427554791.pdf</t>
        </is>
      </c>
    </row>
    <row r="18">
      <c r="A18" t="inlineStr">
        <is>
          <t>2023-01-31</t>
        </is>
      </c>
      <c r="B18" t="inlineStr">
        <is>
          <t>2023년 3월 결산기 3분기 결산단신</t>
        </is>
      </c>
      <c r="C18" t="inlineStr">
        <is>
          <t>https://www2.jpx.co.jp/disc/38910/140120230131597145.pdf</t>
        </is>
      </c>
    </row>
    <row r="19">
      <c r="A19" t="inlineStr">
        <is>
          <t>2022-10-31</t>
        </is>
      </c>
      <c r="B19" t="inlineStr">
        <is>
          <t>2023년 3월 결산기 2분기 결산단신</t>
        </is>
      </c>
      <c r="C19" t="inlineStr">
        <is>
          <t>https://www2.jpx.co.jp/disc/38910/140120221031553247.pdf</t>
        </is>
      </c>
    </row>
    <row r="20">
      <c r="A20" t="inlineStr">
        <is>
          <t>2022-04-26</t>
        </is>
      </c>
      <c r="B20" t="inlineStr">
        <is>
          <t>2022년 3월 결산기 연간 결산단신</t>
        </is>
      </c>
      <c r="C20" t="inlineStr">
        <is>
          <t>https://www2.jpx.co.jp/disc/38910/140120220425527033.pdf</t>
        </is>
      </c>
    </row>
    <row r="21">
      <c r="A21" t="inlineStr">
        <is>
          <t>2021-04-23</t>
        </is>
      </c>
      <c r="B21" t="inlineStr">
        <is>
          <t>2021년 3월 결산기 연간 결산단신</t>
        </is>
      </c>
      <c r="C21" t="inlineStr">
        <is>
          <t>https://www2.jpx.co.jp/disc/38910/140120210419496279.pdf</t>
        </is>
      </c>
    </row>
    <row r="22">
      <c r="A22" t="inlineStr">
        <is>
          <t>2020-05-14</t>
        </is>
      </c>
      <c r="B22" t="inlineStr">
        <is>
          <t>2020년 3월 결산기 연간 결산단신</t>
        </is>
      </c>
      <c r="C22" t="inlineStr">
        <is>
          <t>https://www2.jpx.co.jp/disc/38910/140120200514413564.pdf</t>
        </is>
      </c>
    </row>
    <row r="23">
      <c r="A23" t="inlineStr">
        <is>
          <t>2019-05-14</t>
        </is>
      </c>
      <c r="B23" t="inlineStr">
        <is>
          <t>2019년 3월 결산기 연간 결산단신</t>
        </is>
      </c>
      <c r="C23" t="inlineStr">
        <is>
          <t>https://www2.jpx.co.jp/disc/38910/140120190513424180.pdf</t>
        </is>
      </c>
    </row>
    <row r="24">
      <c r="A24" t="inlineStr">
        <is>
          <t>2018-05-14</t>
        </is>
      </c>
      <c r="B24" t="inlineStr">
        <is>
          <t>연간 결산단신</t>
        </is>
      </c>
      <c r="C24" t="inlineStr">
        <is>
          <t>https://www2.jpx.co.jp/disc/38910/140120180514436978.pdf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2026-10-25T15:19:26Z</dcterms:created>
  <dcterms:modified xmlns:dcterms="http://purl.org/dc/terms/" xmlns:xsi="http://www.w3.org/2001/XMLSchema-instance" xsi:type="dcterms:W3CDTF">2026-10-25T15:19:26Z</dcterms:modified>
</cp:coreProperties>
</file>