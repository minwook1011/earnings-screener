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9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3891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3795.182</v>
      </c>
      <c r="D4" s="12" t="n">
        <v>3477.945</v>
      </c>
      <c r="E4" s="12" t="n">
        <v>3558.463</v>
      </c>
      <c r="F4" s="12" t="n">
        <v>3898.988</v>
      </c>
      <c r="G4" s="12" t="n">
        <v>4315.453</v>
      </c>
      <c r="H4" s="12" t="n">
        <v>3971.271</v>
      </c>
      <c r="I4" s="12" t="n">
        <v>3848.053</v>
      </c>
      <c r="J4" s="12" t="n">
        <v>4646.936</v>
      </c>
      <c r="K4" s="12" t="n">
        <v>4700.173</v>
      </c>
      <c r="L4" s="12" t="n">
        <v>4543.228</v>
      </c>
      <c r="M4" s="12" t="n">
        <v>4734.186</v>
      </c>
      <c r="N4" s="12" t="n">
        <v>6053.58</v>
      </c>
      <c r="O4" s="11" t="n">
        <v>15089.99</v>
      </c>
      <c r="P4" s="12" t="n">
        <v>17128.528</v>
      </c>
      <c r="Q4" s="12" t="n">
        <v>14373.323</v>
      </c>
      <c r="R4" s="12" t="n">
        <v>13099.452</v>
      </c>
      <c r="S4" s="12" t="n">
        <v>15918.459</v>
      </c>
      <c r="T4" s="12" t="n">
        <v>18074.074</v>
      </c>
      <c r="U4" s="12" t="n">
        <v>17586.806</v>
      </c>
      <c r="V4" s="12" t="n">
        <v>14828.225</v>
      </c>
      <c r="W4" s="12" t="n">
        <v>16033.765</v>
      </c>
      <c r="X4" s="12" t="n">
        <v>18624.523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2735.915</v>
      </c>
      <c r="D11" s="22" t="n">
        <v>2634.186</v>
      </c>
      <c r="E11" s="22" t="n">
        <v>3008.425</v>
      </c>
      <c r="F11" s="22" t="n">
        <v>2637.133</v>
      </c>
      <c r="G11" s="22" t="n">
        <v>2866.788</v>
      </c>
      <c r="H11" s="22" t="n">
        <v>3070.691</v>
      </c>
      <c r="I11" s="22" t="n">
        <v>3007.483</v>
      </c>
      <c r="J11" s="22" t="n">
        <v>3260.376</v>
      </c>
      <c r="K11" s="22" t="n">
        <v>3247.362</v>
      </c>
      <c r="L11" s="22" t="n">
        <v>3131.752</v>
      </c>
      <c r="M11" s="22" t="n">
        <v>3289.002</v>
      </c>
      <c r="N11" s="22" t="n">
        <v>3652.132</v>
      </c>
      <c r="O11" s="21" t="n">
        <v>12334.549</v>
      </c>
      <c r="P11" s="22" t="n">
        <v>12990.634</v>
      </c>
      <c r="Q11" s="22" t="n">
        <v>11082.93</v>
      </c>
      <c r="R11" s="22" t="n">
        <v>10369.735</v>
      </c>
      <c r="S11" s="22" t="n">
        <v>11322.59</v>
      </c>
      <c r="T11" s="22" t="n">
        <v>11923.047</v>
      </c>
      <c r="U11" s="22" t="n">
        <v>12055.221</v>
      </c>
      <c r="V11" s="22" t="n">
        <v>11176.536</v>
      </c>
      <c r="W11" s="22" t="n">
        <v>11582.095</v>
      </c>
      <c r="X11" s="22" t="n">
        <v>12928.492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492.748</v>
      </c>
      <c r="D17" s="22" t="n">
        <v>483.482</v>
      </c>
      <c r="E17" s="22" t="n">
        <v>458.431</v>
      </c>
      <c r="F17" s="22" t="n">
        <v>488.723</v>
      </c>
      <c r="G17" s="22" t="n">
        <v>496.722</v>
      </c>
      <c r="H17" s="22" t="n">
        <v>495.695</v>
      </c>
      <c r="I17" s="22" t="n">
        <v>509.879</v>
      </c>
      <c r="J17" s="22" t="n">
        <v>530.188</v>
      </c>
      <c r="K17" s="22" t="n">
        <v>524.813</v>
      </c>
      <c r="L17" s="22" t="n">
        <v>549.044</v>
      </c>
      <c r="M17" s="22" t="n">
        <v>558.573</v>
      </c>
      <c r="N17" s="22" t="n">
        <v>623.523</v>
      </c>
      <c r="O17" s="21" t="n">
        <v>2249.882</v>
      </c>
      <c r="P17" s="22" t="n">
        <v>2439.461</v>
      </c>
      <c r="Q17" s="22" t="n">
        <v>1943.43</v>
      </c>
      <c r="R17" s="22" t="n">
        <v>1734.67</v>
      </c>
      <c r="S17" s="22" t="n">
        <v>1834.284</v>
      </c>
      <c r="T17" s="22" t="n">
        <v>2084.448</v>
      </c>
      <c r="U17" s="22" t="n">
        <v>2204.334</v>
      </c>
      <c r="V17" s="22" t="n">
        <v>1932.459</v>
      </c>
      <c r="W17" s="22" t="n">
        <v>1991.019</v>
      </c>
      <c r="X17" s="22" t="n">
        <v>2162.618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566.519</v>
      </c>
      <c r="D19" s="12" t="n">
        <v>360.277</v>
      </c>
      <c r="E19" s="12" t="n">
        <v>91.607</v>
      </c>
      <c r="F19" s="12" t="n">
        <v>773.131</v>
      </c>
      <c r="G19" s="12" t="n">
        <v>951.944</v>
      </c>
      <c r="H19" s="12" t="n">
        <v>404.884</v>
      </c>
      <c r="I19" s="12" t="n">
        <v>330.691</v>
      </c>
      <c r="J19" s="12" t="n">
        <v>856.372</v>
      </c>
      <c r="K19" s="12" t="n">
        <v>927.998</v>
      </c>
      <c r="L19" s="12" t="n">
        <v>862.431</v>
      </c>
      <c r="M19" s="12" t="n">
        <v>886.611</v>
      </c>
      <c r="N19" s="12" t="n">
        <v>1777.923</v>
      </c>
      <c r="O19" s="11" t="n">
        <v>505.559</v>
      </c>
      <c r="P19" s="12" t="n">
        <v>1698.431</v>
      </c>
      <c r="Q19" s="12" t="n">
        <v>1346.963</v>
      </c>
      <c r="R19" s="12" t="n">
        <v>995.046</v>
      </c>
      <c r="S19" s="12" t="n">
        <v>2761.584</v>
      </c>
      <c r="T19" s="12" t="n">
        <v>4066.578</v>
      </c>
      <c r="U19" s="12" t="n">
        <v>3327.251</v>
      </c>
      <c r="V19" s="12" t="n">
        <v>1719.229</v>
      </c>
      <c r="W19" s="12" t="n">
        <v>2460.65</v>
      </c>
      <c r="X19" s="12" t="n">
        <v>3533.412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>
        <v>0</v>
      </c>
      <c r="P35" s="22" t="n">
        <v>163.726</v>
      </c>
      <c r="Q35" s="22" t="n">
        <v>123.744</v>
      </c>
      <c r="R35" s="22" t="n">
        <v>0</v>
      </c>
      <c r="S35" s="22" t="n"/>
      <c r="T35" s="22" t="n"/>
      <c r="U35" s="22" t="n"/>
      <c r="V35" s="22" t="n"/>
      <c r="W35" s="22" t="n"/>
      <c r="X35" s="22" t="n"/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>
        <v>0</v>
      </c>
      <c r="E37" s="22" t="n">
        <v>0</v>
      </c>
      <c r="F37" s="22" t="n"/>
      <c r="G37" s="22" t="n"/>
      <c r="H37" s="22" t="n">
        <v>0.539</v>
      </c>
      <c r="I37" s="22" t="n">
        <v>0.554</v>
      </c>
      <c r="J37" s="22" t="n"/>
      <c r="K37" s="22" t="n"/>
      <c r="L37" s="22" t="n">
        <v>0</v>
      </c>
      <c r="M37" s="22" t="n">
        <v>107.363</v>
      </c>
      <c r="N37" s="22" t="n"/>
      <c r="O37" s="21" t="n">
        <v>651.35</v>
      </c>
      <c r="P37" s="22" t="n">
        <v>869.817</v>
      </c>
      <c r="Q37" s="22" t="n">
        <v>0</v>
      </c>
      <c r="R37" s="22" t="n">
        <v>0</v>
      </c>
      <c r="S37" s="22" t="n">
        <v>12.009</v>
      </c>
      <c r="T37" s="22" t="n">
        <v>49.866</v>
      </c>
      <c r="U37" s="22" t="n">
        <v>0</v>
      </c>
      <c r="V37" s="22" t="n">
        <v>0</v>
      </c>
      <c r="W37" s="22" t="n">
        <v>7.729</v>
      </c>
      <c r="X37" s="22" t="n">
        <v>107.363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102.085</v>
      </c>
      <c r="D39" s="22" t="n">
        <v>-27.252</v>
      </c>
      <c r="E39" s="22" t="n">
        <v>119.467</v>
      </c>
      <c r="F39" s="22" t="n">
        <v>132.733</v>
      </c>
      <c r="G39" s="22" t="n">
        <v>-102.129</v>
      </c>
      <c r="H39" s="22" t="n">
        <v>16.555</v>
      </c>
      <c r="I39" s="22" t="n">
        <v>47.423</v>
      </c>
      <c r="J39" s="22" t="n">
        <v>46.682</v>
      </c>
      <c r="K39" s="22" t="n">
        <v>11.997</v>
      </c>
      <c r="L39" s="22" t="n">
        <v>137.016</v>
      </c>
      <c r="M39" s="22" t="n">
        <v>46.919</v>
      </c>
      <c r="N39" s="22" t="n">
        <v>60.842</v>
      </c>
      <c r="O39" s="21" t="n">
        <v>36.81</v>
      </c>
      <c r="P39" s="22" t="n">
        <v>27.858</v>
      </c>
      <c r="Q39" s="22" t="n">
        <v>52.54</v>
      </c>
      <c r="R39" s="22" t="n">
        <v>39.583</v>
      </c>
      <c r="S39" s="22" t="n">
        <v>68.953</v>
      </c>
      <c r="T39" s="22" t="n">
        <v>237.953</v>
      </c>
      <c r="U39" s="22" t="n">
        <v>277.724</v>
      </c>
      <c r="V39" s="22" t="n">
        <v>365.642</v>
      </c>
      <c r="W39" s="22" t="n">
        <v>94.58199999999999</v>
      </c>
      <c r="X39" s="22" t="n">
        <v>242.614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5.766</v>
      </c>
      <c r="D41" s="22" t="n">
        <v>10.239</v>
      </c>
      <c r="E41" s="22" t="n">
        <v>35.789</v>
      </c>
      <c r="F41" s="22" t="n">
        <v>6.313</v>
      </c>
      <c r="G41" s="22" t="n">
        <v>100.446</v>
      </c>
      <c r="H41" s="22" t="n">
        <v>-65.637</v>
      </c>
      <c r="I41" s="22" t="n">
        <v>69.01600000000001</v>
      </c>
      <c r="J41" s="22" t="n">
        <v>67.024</v>
      </c>
      <c r="K41" s="22" t="n">
        <v>4.093</v>
      </c>
      <c r="L41" s="22" t="n">
        <v>-17.355</v>
      </c>
      <c r="M41" s="22" t="n">
        <v>14.529</v>
      </c>
      <c r="N41" s="22" t="n">
        <v>12.732</v>
      </c>
      <c r="O41" s="21" t="n">
        <v>197.955</v>
      </c>
      <c r="P41" s="22" t="n">
        <v>164.424</v>
      </c>
      <c r="Q41" s="22" t="n">
        <v>86.42400000000001</v>
      </c>
      <c r="R41" s="22" t="n">
        <v>63.926</v>
      </c>
      <c r="S41" s="22" t="n">
        <v>34.204</v>
      </c>
      <c r="T41" s="22" t="n">
        <v>71.795</v>
      </c>
      <c r="U41" s="22" t="n">
        <v>72.114</v>
      </c>
      <c r="V41" s="22" t="n">
        <v>63.568</v>
      </c>
      <c r="W41" s="22" t="n">
        <v>110.138</v>
      </c>
      <c r="X41" s="22" t="n">
        <v>68.291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662.838</v>
      </c>
      <c r="D43" s="12" t="n">
        <v>322.786</v>
      </c>
      <c r="E43" s="12" t="n">
        <v>175.286</v>
      </c>
      <c r="F43" s="12" t="n">
        <v>899.55</v>
      </c>
      <c r="G43" s="12" t="n">
        <v>742.732</v>
      </c>
      <c r="H43" s="12" t="n">
        <v>486.538</v>
      </c>
      <c r="I43" s="12" t="n">
        <v>308.544</v>
      </c>
      <c r="J43" s="12" t="n">
        <v>836.03</v>
      </c>
      <c r="K43" s="12" t="n">
        <v>935.902</v>
      </c>
      <c r="L43" s="12" t="n">
        <v>1016.802</v>
      </c>
      <c r="M43" s="12" t="n">
        <v>811.638</v>
      </c>
      <c r="N43" s="12" t="n">
        <v>1826.034</v>
      </c>
      <c r="O43" s="11" t="n">
        <v>-306.935</v>
      </c>
      <c r="P43" s="12" t="n">
        <v>855.774</v>
      </c>
      <c r="Q43" s="12" t="n">
        <v>1436.824</v>
      </c>
      <c r="R43" s="12" t="n">
        <v>970.703</v>
      </c>
      <c r="S43" s="12" t="n">
        <v>2784.323</v>
      </c>
      <c r="T43" s="12" t="n">
        <v>4182.869</v>
      </c>
      <c r="U43" s="12" t="n">
        <v>3532.86</v>
      </c>
      <c r="V43" s="12" t="n">
        <v>2021.304</v>
      </c>
      <c r="W43" s="12" t="n">
        <v>2437.364</v>
      </c>
      <c r="X43" s="12" t="n">
        <v>3600.372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160.483</v>
      </c>
      <c r="D45" s="22" t="n">
        <v>73.246</v>
      </c>
      <c r="E45" s="22" t="n">
        <v>45.064</v>
      </c>
      <c r="F45" s="22" t="n">
        <v>241.603</v>
      </c>
      <c r="G45" s="22" t="n">
        <v>217.018</v>
      </c>
      <c r="H45" s="22" t="n">
        <v>112.747</v>
      </c>
      <c r="I45" s="22" t="n">
        <v>84.94199999999999</v>
      </c>
      <c r="J45" s="22" t="n">
        <v>238.549</v>
      </c>
      <c r="K45" s="22" t="n">
        <v>290.132</v>
      </c>
      <c r="L45" s="22" t="n">
        <v>252.642</v>
      </c>
      <c r="M45" s="22" t="n">
        <v>176.067</v>
      </c>
      <c r="N45" s="22" t="n">
        <v>558.981</v>
      </c>
      <c r="O45" s="21" t="n">
        <v>152.114</v>
      </c>
      <c r="P45" s="22" t="n">
        <v>429.111</v>
      </c>
      <c r="Q45" s="22" t="n">
        <v>-58.316</v>
      </c>
      <c r="R45" s="22" t="n">
        <v>279.422</v>
      </c>
      <c r="S45" s="22" t="n">
        <v>778.155</v>
      </c>
      <c r="T45" s="22" t="n">
        <v>1264.015</v>
      </c>
      <c r="U45" s="22" t="n">
        <v>1064.479</v>
      </c>
      <c r="V45" s="22" t="n">
        <v>542.0549999999999</v>
      </c>
      <c r="W45" s="22" t="n">
        <v>656.3099999999999</v>
      </c>
      <c r="X45" s="22" t="n">
        <v>957.39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502.355</v>
      </c>
      <c r="D47" s="12" t="n">
        <v>249.539</v>
      </c>
      <c r="E47" s="12" t="n">
        <v>130.222</v>
      </c>
      <c r="F47" s="12" t="n">
        <v>657.947</v>
      </c>
      <c r="G47" s="12" t="n">
        <v>525.7140000000001</v>
      </c>
      <c r="H47" s="12" t="n">
        <v>373.791</v>
      </c>
      <c r="I47" s="12" t="n">
        <v>223.602</v>
      </c>
      <c r="J47" s="12" t="n">
        <v>597.481</v>
      </c>
      <c r="K47" s="12" t="n">
        <v>645.77</v>
      </c>
      <c r="L47" s="12" t="n">
        <v>764.159</v>
      </c>
      <c r="M47" s="12" t="n">
        <v>635.571</v>
      </c>
      <c r="N47" s="12" t="n">
        <v>1267.052</v>
      </c>
      <c r="O47" s="11" t="n">
        <v>-459.05</v>
      </c>
      <c r="P47" s="12" t="n">
        <v>426.663</v>
      </c>
      <c r="Q47" s="12" t="n">
        <v>1495.14</v>
      </c>
      <c r="R47" s="12" t="n">
        <v>691.2809999999999</v>
      </c>
      <c r="S47" s="12" t="n">
        <v>2006.168</v>
      </c>
      <c r="T47" s="12" t="n">
        <v>2918.854</v>
      </c>
      <c r="U47" s="12" t="n">
        <v>2468.38</v>
      </c>
      <c r="V47" s="12" t="n">
        <v>1479.248</v>
      </c>
      <c r="W47" s="12" t="n">
        <v>1781.054</v>
      </c>
      <c r="X47" s="12" t="n">
        <v>2642.981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502.355</v>
      </c>
      <c r="D49" s="12" t="n">
        <v>249.539</v>
      </c>
      <c r="E49" s="12" t="n">
        <v>130.222</v>
      </c>
      <c r="F49" s="12" t="n">
        <v>657.947</v>
      </c>
      <c r="G49" s="12" t="n">
        <v>525.7140000000001</v>
      </c>
      <c r="H49" s="12" t="n">
        <v>373.791</v>
      </c>
      <c r="I49" s="12" t="n">
        <v>223.602</v>
      </c>
      <c r="J49" s="12" t="n">
        <v>597.481</v>
      </c>
      <c r="K49" s="12" t="n">
        <v>645.77</v>
      </c>
      <c r="L49" s="12" t="n">
        <v>764.159</v>
      </c>
      <c r="M49" s="12" t="n">
        <v>635.571</v>
      </c>
      <c r="N49" s="12" t="n">
        <v>1267.052</v>
      </c>
      <c r="O49" s="11" t="n">
        <v>-454.097</v>
      </c>
      <c r="P49" s="12" t="n">
        <v>426.663</v>
      </c>
      <c r="Q49" s="12" t="n">
        <v>1495.14</v>
      </c>
      <c r="R49" s="12" t="n">
        <v>691.2809999999999</v>
      </c>
      <c r="S49" s="12" t="n">
        <v>2006.168</v>
      </c>
      <c r="T49" s="12" t="n">
        <v>2918.854</v>
      </c>
      <c r="U49" s="12" t="n">
        <v>2468.38</v>
      </c>
      <c r="V49" s="12" t="n">
        <v>1479.248</v>
      </c>
      <c r="W49" s="12" t="n">
        <v>1781.054</v>
      </c>
      <c r="X49" s="12" t="n">
        <v>2642.981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6010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10698482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3795.182</v>
      </c>
      <c r="D84" s="12" t="n">
        <v>3477.945</v>
      </c>
      <c r="E84" s="12" t="n">
        <v>3558.463</v>
      </c>
      <c r="F84" s="12" t="n">
        <v>3898.988</v>
      </c>
      <c r="G84" s="12" t="n">
        <v>4315.453</v>
      </c>
      <c r="H84" s="12" t="n">
        <v>3971.271</v>
      </c>
      <c r="I84" s="12" t="n">
        <v>3848.053</v>
      </c>
      <c r="J84" s="12" t="n">
        <v>4646.936</v>
      </c>
      <c r="K84" s="12" t="n">
        <v>4700.173</v>
      </c>
      <c r="L84" s="12" t="n">
        <v>4543.228</v>
      </c>
      <c r="M84" s="12" t="n">
        <v>4734.186</v>
      </c>
      <c r="N84" s="12" t="n">
        <v>6053.58</v>
      </c>
      <c r="T84" s="12" t="n">
        <v>4505.293</v>
      </c>
      <c r="U84" s="12" t="n">
        <v>4081.44</v>
      </c>
      <c r="V84" s="12" t="n">
        <v>3558.463</v>
      </c>
      <c r="W84" s="12" t="n">
        <v>3848.053</v>
      </c>
      <c r="X84" s="12" t="n">
        <v>4734.186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2735.915</v>
      </c>
      <c r="D86" s="22" t="n">
        <v>2634.186</v>
      </c>
      <c r="E86" s="22" t="n">
        <v>3008.425</v>
      </c>
      <c r="F86" s="22" t="n">
        <v>2637.133</v>
      </c>
      <c r="G86" s="22" t="n">
        <v>2866.788</v>
      </c>
      <c r="H86" s="22" t="n">
        <v>3070.691</v>
      </c>
      <c r="I86" s="22" t="n">
        <v>3007.483</v>
      </c>
      <c r="J86" s="22" t="n">
        <v>3260.376</v>
      </c>
      <c r="K86" s="22" t="n">
        <v>3247.362</v>
      </c>
      <c r="L86" s="22" t="n">
        <v>3131.752</v>
      </c>
      <c r="M86" s="22" t="n">
        <v>3289.002</v>
      </c>
      <c r="N86" s="22" t="n">
        <v>3652.132</v>
      </c>
      <c r="T86" s="22" t="n">
        <v>3138.893</v>
      </c>
      <c r="U86" s="22" t="n">
        <v>3065.681</v>
      </c>
      <c r="V86" s="22" t="n">
        <v>3008.425</v>
      </c>
      <c r="W86" s="22" t="n">
        <v>3007.483</v>
      </c>
      <c r="X86" s="22" t="n">
        <v>3289.002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1059.267</v>
      </c>
      <c r="D88" s="12" t="n">
        <v>843.758</v>
      </c>
      <c r="E88" s="12" t="n">
        <v>550.038</v>
      </c>
      <c r="F88" s="12" t="n">
        <v>1261.855</v>
      </c>
      <c r="G88" s="12" t="n">
        <v>1448.665</v>
      </c>
      <c r="H88" s="12" t="n">
        <v>900.579</v>
      </c>
      <c r="I88" s="12" t="n">
        <v>840.571</v>
      </c>
      <c r="J88" s="12" t="n">
        <v>1386.56</v>
      </c>
      <c r="K88" s="12" t="n">
        <v>1452.811</v>
      </c>
      <c r="L88" s="12" t="n">
        <v>1411.476</v>
      </c>
      <c r="M88" s="12" t="n">
        <v>1445.184</v>
      </c>
      <c r="N88" s="12" t="n">
        <v>2401.447</v>
      </c>
      <c r="T88" s="12" t="n">
        <v>1366.4</v>
      </c>
      <c r="U88" s="12" t="n">
        <v>1015.759</v>
      </c>
      <c r="V88" s="12" t="n">
        <v>550.038</v>
      </c>
      <c r="W88" s="12" t="n">
        <v>840.571</v>
      </c>
      <c r="X88" s="12" t="n">
        <v>1445.184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492.748</v>
      </c>
      <c r="D90" s="22" t="n">
        <v>483.482</v>
      </c>
      <c r="E90" s="22" t="n">
        <v>458.431</v>
      </c>
      <c r="F90" s="22" t="n">
        <v>488.723</v>
      </c>
      <c r="G90" s="22" t="n">
        <v>496.722</v>
      </c>
      <c r="H90" s="22" t="n">
        <v>495.695</v>
      </c>
      <c r="I90" s="22" t="n">
        <v>509.879</v>
      </c>
      <c r="J90" s="22" t="n">
        <v>530.188</v>
      </c>
      <c r="K90" s="22" t="n">
        <v>524.813</v>
      </c>
      <c r="L90" s="22" t="n">
        <v>549.044</v>
      </c>
      <c r="M90" s="22" t="n">
        <v>558.573</v>
      </c>
      <c r="N90" s="22" t="n">
        <v>623.523</v>
      </c>
      <c r="T90" s="22" t="n">
        <v>565.226</v>
      </c>
      <c r="U90" s="22" t="n">
        <v>570.995</v>
      </c>
      <c r="V90" s="22" t="n">
        <v>458.431</v>
      </c>
      <c r="W90" s="22" t="n">
        <v>509.879</v>
      </c>
      <c r="X90" s="22" t="n">
        <v>558.573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566.519</v>
      </c>
      <c r="D92" s="12" t="n">
        <v>360.277</v>
      </c>
      <c r="E92" s="12" t="n">
        <v>91.607</v>
      </c>
      <c r="F92" s="12" t="n">
        <v>773.131</v>
      </c>
      <c r="G92" s="12" t="n">
        <v>951.944</v>
      </c>
      <c r="H92" s="12" t="n">
        <v>404.884</v>
      </c>
      <c r="I92" s="12" t="n">
        <v>330.691</v>
      </c>
      <c r="J92" s="12" t="n">
        <v>856.372</v>
      </c>
      <c r="K92" s="12" t="n">
        <v>927.998</v>
      </c>
      <c r="L92" s="12" t="n">
        <v>862.431</v>
      </c>
      <c r="M92" s="12" t="n">
        <v>886.611</v>
      </c>
      <c r="N92" s="12" t="n">
        <v>1777.923</v>
      </c>
      <c r="T92" s="12" t="n">
        <v>801.173</v>
      </c>
      <c r="U92" s="12" t="n">
        <v>444.765</v>
      </c>
      <c r="V92" s="12" t="n">
        <v>91.607</v>
      </c>
      <c r="W92" s="12" t="n">
        <v>330.691</v>
      </c>
      <c r="X92" s="12" t="n">
        <v>886.611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4.112</v>
      </c>
      <c r="D95" s="22" t="n">
        <v>3.879</v>
      </c>
      <c r="E95" s="22" t="n">
        <v>7.705</v>
      </c>
      <c r="F95" s="22" t="n">
        <v>4.367</v>
      </c>
      <c r="G95" s="22" t="n">
        <v>7.396</v>
      </c>
      <c r="H95" s="22" t="n">
        <v>4.709</v>
      </c>
      <c r="I95" s="22" t="n">
        <v>11.647</v>
      </c>
      <c r="J95" s="22" t="n">
        <v>4.007</v>
      </c>
      <c r="K95" s="22" t="n">
        <v>10.077</v>
      </c>
      <c r="L95" s="22" t="n">
        <v>4.151</v>
      </c>
      <c r="M95" s="22" t="n">
        <v>11.512</v>
      </c>
      <c r="N95" s="22" t="n">
        <v>3.456</v>
      </c>
      <c r="T95" s="22" t="n">
        <v>1.717</v>
      </c>
      <c r="U95" s="22" t="n">
        <v>3.05</v>
      </c>
      <c r="V95" s="22" t="n">
        <v>7.705</v>
      </c>
      <c r="W95" s="22" t="n">
        <v>11.647</v>
      </c>
      <c r="X95" s="22" t="n">
        <v>11.512</v>
      </c>
    </row>
    <row r="96">
      <c r="A96" s="20" t="inlineStr">
        <is>
          <t>배당금수익</t>
        </is>
      </c>
      <c r="C96" s="22" t="n">
        <v>0.533</v>
      </c>
      <c r="D96" s="22" t="n">
        <v>3.724</v>
      </c>
      <c r="E96" s="22" t="n">
        <v>0</v>
      </c>
      <c r="F96" s="22" t="n">
        <v>3.556</v>
      </c>
      <c r="G96" s="22" t="n">
        <v>0.578</v>
      </c>
      <c r="H96" s="22" t="n">
        <v>5.452</v>
      </c>
      <c r="I96" s="22" t="n">
        <v>0</v>
      </c>
      <c r="J96" s="22" t="n">
        <v>4.969</v>
      </c>
      <c r="K96" s="22" t="n">
        <v>0.627</v>
      </c>
      <c r="L96" s="22" t="n">
        <v>6.632</v>
      </c>
      <c r="M96" s="22" t="n">
        <v>0</v>
      </c>
      <c r="N96" s="22" t="n">
        <v>6.993</v>
      </c>
      <c r="T96" s="22" t="n">
        <v>0</v>
      </c>
      <c r="U96" s="22" t="n">
        <v>0</v>
      </c>
      <c r="V96" s="22" t="n">
        <v>0</v>
      </c>
      <c r="W96" s="22" t="n">
        <v>0</v>
      </c>
      <c r="X96" s="22" t="n">
        <v>0</v>
      </c>
    </row>
    <row r="97">
      <c r="A97" s="20" t="inlineStr">
        <is>
          <t>외환차익</t>
        </is>
      </c>
      <c r="C97" s="22" t="n">
        <v>92.122</v>
      </c>
      <c r="D97" s="22" t="n">
        <v>-70.655</v>
      </c>
      <c r="E97" s="22" t="n">
        <v>82.004</v>
      </c>
      <c r="F97" s="22" t="n">
        <v>120.49</v>
      </c>
      <c r="G97" s="22" t="n">
        <v>-120.49</v>
      </c>
      <c r="H97" s="22" t="n">
        <v>0</v>
      </c>
      <c r="I97" s="22" t="n">
        <v>0</v>
      </c>
      <c r="J97" s="22" t="n">
        <v>0</v>
      </c>
      <c r="M97" s="22" t="n">
        <v>24.422</v>
      </c>
      <c r="N97" s="22" t="n">
        <v>35.498</v>
      </c>
      <c r="T97" s="22" t="n">
        <v>120.879</v>
      </c>
      <c r="U97" s="22" t="n">
        <v>5.016</v>
      </c>
      <c r="V97" s="22" t="n">
        <v>82.004</v>
      </c>
      <c r="W97" s="22" t="n">
        <v>0</v>
      </c>
      <c r="X97" s="22" t="n">
        <v>24.422</v>
      </c>
    </row>
    <row r="98">
      <c r="A98" s="20" t="inlineStr">
        <is>
          <t>보상금 수취</t>
        </is>
      </c>
      <c r="I98" s="22" t="n">
        <v>0</v>
      </c>
      <c r="M98" s="22" t="n">
        <v>1.866</v>
      </c>
      <c r="W98" s="22" t="n">
        <v>0</v>
      </c>
      <c r="X98" s="22" t="n">
        <v>1.866</v>
      </c>
    </row>
    <row r="99">
      <c r="A99" s="20" t="inlineStr">
        <is>
          <t>물품 매각이익</t>
        </is>
      </c>
      <c r="F99" s="22" t="n">
        <v>0</v>
      </c>
      <c r="G99" s="22" t="n">
        <v>0</v>
      </c>
      <c r="J99" s="22" t="n">
        <v>16.023</v>
      </c>
      <c r="K99" s="22" t="n">
        <v>0.927</v>
      </c>
      <c r="N99" s="22" t="n">
        <v>10.797</v>
      </c>
    </row>
    <row r="100">
      <c r="A100" s="20" t="inlineStr">
        <is>
          <t>Insurance And Dividends Income NOI</t>
        </is>
      </c>
      <c r="C100" s="22" t="n">
        <v>0.791</v>
      </c>
      <c r="D100" s="22" t="n">
        <v>0</v>
      </c>
      <c r="E100" s="22" t="n">
        <v>0.224</v>
      </c>
      <c r="F100" s="22" t="n">
        <v>0.029</v>
      </c>
      <c r="G100" s="22" t="n">
        <v>0</v>
      </c>
      <c r="H100" s="22" t="n">
        <v>1.6</v>
      </c>
      <c r="I100" s="22" t="n">
        <v>0</v>
      </c>
      <c r="J100" s="22" t="n">
        <v>11.987</v>
      </c>
      <c r="K100" s="22" t="n">
        <v>0</v>
      </c>
      <c r="L100" s="22" t="n">
        <v>0</v>
      </c>
      <c r="M100" s="22" t="n">
        <v>4.617</v>
      </c>
      <c r="N100" s="22" t="n">
        <v>0</v>
      </c>
      <c r="T100" s="22" t="n">
        <v>1.8</v>
      </c>
      <c r="U100" s="22" t="n">
        <v>-1.223</v>
      </c>
      <c r="V100" s="22" t="n">
        <v>0.224</v>
      </c>
      <c r="W100" s="22" t="n">
        <v>0</v>
      </c>
      <c r="X100" s="22" t="n">
        <v>4.617</v>
      </c>
    </row>
    <row r="101">
      <c r="A101" s="20" t="inlineStr">
        <is>
          <t>보조금 수입</t>
        </is>
      </c>
      <c r="D101" s="22" t="n">
        <v>31.529</v>
      </c>
      <c r="E101" s="22" t="n">
        <v>12.785</v>
      </c>
      <c r="H101" s="22" t="n">
        <v>0</v>
      </c>
      <c r="I101" s="22" t="n">
        <v>27.586</v>
      </c>
      <c r="L101" s="22" t="n">
        <v>5.884</v>
      </c>
      <c r="M101" s="22" t="n">
        <v>2.045</v>
      </c>
      <c r="T101" s="22" t="n">
        <v>1.5</v>
      </c>
      <c r="U101" s="22" t="n">
        <v>3.75</v>
      </c>
      <c r="V101" s="22" t="n">
        <v>12.785</v>
      </c>
      <c r="W101" s="22" t="n">
        <v>27.586</v>
      </c>
      <c r="X101" s="22" t="n">
        <v>2.045</v>
      </c>
    </row>
    <row r="102">
      <c r="A102" s="20" t="inlineStr">
        <is>
          <t>기타</t>
        </is>
      </c>
      <c r="C102" s="22" t="n">
        <v>-4.521</v>
      </c>
      <c r="D102" s="22" t="n">
        <v>4.271</v>
      </c>
      <c r="E102" s="22" t="n">
        <v>16.748</v>
      </c>
      <c r="F102" s="22" t="n">
        <v>4.289</v>
      </c>
      <c r="G102" s="22" t="n">
        <v>3.264</v>
      </c>
      <c r="H102" s="22" t="n">
        <v>4.793</v>
      </c>
      <c r="I102" s="22" t="n">
        <v>8.189</v>
      </c>
      <c r="J102" s="22" t="n">
        <v>9.694000000000001</v>
      </c>
      <c r="K102" s="22" t="n">
        <v>-3.384</v>
      </c>
      <c r="L102" s="22" t="n">
        <v>24.569</v>
      </c>
      <c r="M102" s="22" t="n">
        <v>2.458</v>
      </c>
      <c r="N102" s="22" t="n">
        <v>4.096</v>
      </c>
      <c r="T102" s="22" t="n">
        <v>4.151</v>
      </c>
      <c r="U102" s="22" t="n">
        <v>7.708</v>
      </c>
      <c r="V102" s="22" t="n">
        <v>16.748</v>
      </c>
      <c r="W102" s="22" t="n">
        <v>8.189</v>
      </c>
      <c r="X102" s="22" t="n">
        <v>2.458</v>
      </c>
    </row>
    <row r="103">
      <c r="A103" s="20" t="inlineStr">
        <is>
          <t>영업외수익 합계</t>
        </is>
      </c>
      <c r="C103" s="22" t="n">
        <v>102.085</v>
      </c>
      <c r="D103" s="22" t="n">
        <v>-27.252</v>
      </c>
      <c r="E103" s="22" t="n">
        <v>119.467</v>
      </c>
      <c r="F103" s="22" t="n">
        <v>132.733</v>
      </c>
      <c r="G103" s="22" t="n">
        <v>-102.129</v>
      </c>
      <c r="H103" s="22" t="n">
        <v>16.555</v>
      </c>
      <c r="I103" s="22" t="n">
        <v>47.423</v>
      </c>
      <c r="J103" s="22" t="n">
        <v>46.682</v>
      </c>
      <c r="K103" s="22" t="n">
        <v>11.997</v>
      </c>
      <c r="L103" s="22" t="n">
        <v>137.016</v>
      </c>
      <c r="M103" s="22" t="n">
        <v>46.919</v>
      </c>
      <c r="N103" s="22" t="n">
        <v>60.842</v>
      </c>
      <c r="T103" s="22" t="n">
        <v>130.047</v>
      </c>
      <c r="U103" s="22" t="n">
        <v>18.303</v>
      </c>
      <c r="V103" s="22" t="n">
        <v>119.467</v>
      </c>
      <c r="W103" s="22" t="n">
        <v>47.423</v>
      </c>
      <c r="X103" s="22" t="n">
        <v>46.919</v>
      </c>
    </row>
    <row r="104">
      <c r="A104" s="45" t="inlineStr">
        <is>
          <t>YoY</t>
        </is>
      </c>
      <c r="B104" s="3" t="inlineStr">
        <is>
          <t>전년 같은 분기·전년 대비</t>
        </is>
      </c>
      <c r="G104" s="17">
        <f>IF(OR(G103="",C103=""),"",IF(G103*C103&lt;=0,"",IFERROR(G103/C103-1,"")))</f>
        <v/>
      </c>
      <c r="H104" s="17">
        <f>IF(OR(H103="",D103=""),"",IF(H103*D103&lt;=0,"",IFERROR(H103/D103-1,"")))</f>
        <v/>
      </c>
      <c r="I104" s="17">
        <f>IF(OR(I103="",E103=""),"",IF(I103*E103&lt;=0,"",IFERROR(I103/E103-1,"")))</f>
        <v/>
      </c>
      <c r="J104" s="17">
        <f>IF(OR(J103="",F103=""),"",IF(J103*F103&lt;=0,"",IFERROR(J103/F103-1,"")))</f>
        <v/>
      </c>
      <c r="K104" s="17">
        <f>IF(OR(K103="",G103=""),"",IF(K103*G103&lt;=0,"",IFERROR(K103/G103-1,"")))</f>
        <v/>
      </c>
      <c r="L104" s="17">
        <f>IF(OR(L103="",H103=""),"",IF(L103*H103&lt;=0,"",IFERROR(L103/H103-1,"")))</f>
        <v/>
      </c>
      <c r="M104" s="17">
        <f>IF(OR(M103="",I103=""),"",IF(M103*I103&lt;=0,"",IFERROR(M103/I103-1,"")))</f>
        <v/>
      </c>
      <c r="N104" s="17">
        <f>IF(OR(N103="",J103=""),"",IF(N103*J103&lt;=0,"",IFERROR(N103/J103-1,"")))</f>
        <v/>
      </c>
      <c r="T104" s="17">
        <f>IF(OR(T103="",S103=""),"",IF(T103*S103&lt;=0,"",IFERROR(T103/S103-1,"")))</f>
        <v/>
      </c>
      <c r="U104" s="17">
        <f>IF(OR(U103="",T103=""),"",IF(U103*T103&lt;=0,"",IFERROR(U103/T103-1,"")))</f>
        <v/>
      </c>
      <c r="V104" s="17">
        <f>IF(OR(V103="",U103=""),"",IF(V103*U103&lt;=0,"",IFERROR(V103/U103-1,"")))</f>
        <v/>
      </c>
      <c r="W104" s="17">
        <f>IF(OR(W103="",V103=""),"",IF(W103*V103&lt;=0,"",IFERROR(W103/V103-1,"")))</f>
        <v/>
      </c>
      <c r="X104" s="17">
        <f>IF(OR(X103="",W103=""),"",IF(X103*W103&lt;=0,"",IFERROR(X103/W103-1,"")))</f>
        <v/>
      </c>
    </row>
    <row r="105">
      <c r="A105" s="20" t="inlineStr">
        <is>
          <t>이자비용</t>
        </is>
      </c>
      <c r="C105" s="22" t="n">
        <v>3.656</v>
      </c>
      <c r="D105" s="22" t="n">
        <v>3.194</v>
      </c>
      <c r="E105" s="22" t="n">
        <v>3.445</v>
      </c>
      <c r="F105" s="22" t="n">
        <v>5.055</v>
      </c>
      <c r="G105" s="22" t="n">
        <v>8.516</v>
      </c>
      <c r="H105" s="22" t="n">
        <v>11.564</v>
      </c>
      <c r="I105" s="22" t="n">
        <v>16.099</v>
      </c>
      <c r="J105" s="22" t="n">
        <v>13.791</v>
      </c>
      <c r="K105" s="22" t="n">
        <v>13.993</v>
      </c>
      <c r="L105" s="22" t="n">
        <v>11.779</v>
      </c>
      <c r="M105" s="22" t="n">
        <v>14.048</v>
      </c>
      <c r="N105" s="22" t="n">
        <v>12.576</v>
      </c>
      <c r="T105" s="22" t="n">
        <v>0.833</v>
      </c>
      <c r="U105" s="22" t="n">
        <v>1.864</v>
      </c>
      <c r="V105" s="22" t="n">
        <v>3.445</v>
      </c>
      <c r="W105" s="22" t="n">
        <v>16.099</v>
      </c>
      <c r="X105" s="22" t="n">
        <v>14.048</v>
      </c>
    </row>
    <row r="106">
      <c r="A106" s="20" t="inlineStr">
        <is>
          <t>고정자산 제각손실</t>
        </is>
      </c>
      <c r="C106" s="22" t="n">
        <v>3.045</v>
      </c>
      <c r="D106" s="22" t="n">
        <v>4.926</v>
      </c>
      <c r="E106" s="22" t="n">
        <v>30.45</v>
      </c>
      <c r="F106" s="22" t="n">
        <v>0.043</v>
      </c>
      <c r="G106" s="22" t="n">
        <v>0.972</v>
      </c>
      <c r="H106" s="22" t="n">
        <v>1.614</v>
      </c>
      <c r="I106" s="22" t="n">
        <v>2.261</v>
      </c>
      <c r="J106" s="22" t="n">
        <v>0.187</v>
      </c>
      <c r="K106" s="22" t="n">
        <v>2.932</v>
      </c>
      <c r="L106" s="22" t="n">
        <v>3.363</v>
      </c>
      <c r="M106" s="22" t="n">
        <v>0.342</v>
      </c>
      <c r="N106" s="22" t="n">
        <v>0.141</v>
      </c>
      <c r="T106" s="22" t="n">
        <v>31.299</v>
      </c>
      <c r="U106" s="22" t="n">
        <v>32.898</v>
      </c>
      <c r="V106" s="22" t="n">
        <v>30.45</v>
      </c>
      <c r="W106" s="22" t="n">
        <v>2.261</v>
      </c>
      <c r="X106" s="22" t="n">
        <v>0.342</v>
      </c>
    </row>
    <row r="107">
      <c r="A107" s="20" t="inlineStr">
        <is>
          <t>외환차손</t>
        </is>
      </c>
      <c r="D107" s="22" t="n">
        <v>0</v>
      </c>
      <c r="E107" s="22" t="n">
        <v>0</v>
      </c>
      <c r="F107" s="22" t="n">
        <v>0</v>
      </c>
      <c r="G107" s="22" t="n">
        <v>86.59699999999999</v>
      </c>
      <c r="H107" s="22" t="n">
        <v>-79.13200000000001</v>
      </c>
      <c r="I107" s="22" t="n">
        <v>50.06</v>
      </c>
      <c r="J107" s="22" t="n">
        <v>52.081</v>
      </c>
      <c r="K107" s="22" t="n">
        <v>-18.998</v>
      </c>
      <c r="L107" s="22" t="n">
        <v>-33.083</v>
      </c>
      <c r="M107" s="22" t="n">
        <v>0</v>
      </c>
      <c r="N107" s="22" t="n">
        <v>0</v>
      </c>
      <c r="V107" s="22" t="n">
        <v>0</v>
      </c>
      <c r="W107" s="22" t="n">
        <v>50.06</v>
      </c>
      <c r="X107" s="22" t="n">
        <v>0</v>
      </c>
    </row>
    <row r="108">
      <c r="A108" s="20" t="inlineStr">
        <is>
          <t>기타</t>
        </is>
      </c>
      <c r="C108" s="22" t="n">
        <v>-0.9350000000000001</v>
      </c>
      <c r="D108" s="22" t="n">
        <v>2.119</v>
      </c>
      <c r="E108" s="22" t="n">
        <v>1.894</v>
      </c>
      <c r="F108" s="22" t="n">
        <v>1.215</v>
      </c>
      <c r="G108" s="22" t="n">
        <v>4.36</v>
      </c>
      <c r="H108" s="22" t="n">
        <v>0.317</v>
      </c>
      <c r="I108" s="22" t="n">
        <v>0.596</v>
      </c>
      <c r="J108" s="22" t="n">
        <v>0.963</v>
      </c>
      <c r="K108" s="22" t="n">
        <v>6.167</v>
      </c>
      <c r="L108" s="22" t="n">
        <v>0.586</v>
      </c>
      <c r="M108" s="22" t="n">
        <v>0.139</v>
      </c>
      <c r="N108" s="22" t="n">
        <v>0.014</v>
      </c>
      <c r="T108" s="22" t="n">
        <v>0</v>
      </c>
      <c r="U108" s="22" t="n">
        <v>0.074</v>
      </c>
      <c r="V108" s="22" t="n">
        <v>1.894</v>
      </c>
      <c r="W108" s="22" t="n">
        <v>0.596</v>
      </c>
      <c r="X108" s="22" t="n">
        <v>0.139</v>
      </c>
    </row>
    <row r="109">
      <c r="A109" s="20" t="inlineStr">
        <is>
          <t>영업외비용 합계</t>
        </is>
      </c>
      <c r="C109" s="22" t="n">
        <v>5.766</v>
      </c>
      <c r="D109" s="22" t="n">
        <v>10.239</v>
      </c>
      <c r="E109" s="22" t="n">
        <v>35.789</v>
      </c>
      <c r="F109" s="22" t="n">
        <v>6.313</v>
      </c>
      <c r="G109" s="22" t="n">
        <v>100.446</v>
      </c>
      <c r="H109" s="22" t="n">
        <v>-65.637</v>
      </c>
      <c r="I109" s="22" t="n">
        <v>69.01600000000001</v>
      </c>
      <c r="J109" s="22" t="n">
        <v>67.024</v>
      </c>
      <c r="K109" s="22" t="n">
        <v>4.093</v>
      </c>
      <c r="L109" s="22" t="n">
        <v>-17.355</v>
      </c>
      <c r="M109" s="22" t="n">
        <v>14.529</v>
      </c>
      <c r="N109" s="22" t="n">
        <v>12.732</v>
      </c>
      <c r="T109" s="22" t="n">
        <v>32.131</v>
      </c>
      <c r="U109" s="22" t="n">
        <v>34.835</v>
      </c>
      <c r="V109" s="22" t="n">
        <v>35.789</v>
      </c>
      <c r="W109" s="22" t="n">
        <v>69.01600000000001</v>
      </c>
      <c r="X109" s="22" t="n">
        <v>14.529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IF(OR(G109="",C109=""),"",IF(G109*C109&lt;=0,"",IFERROR(G109/C109-1,"")))</f>
        <v/>
      </c>
      <c r="H110" s="17">
        <f>IF(OR(H109="",D109=""),"",IF(H109*D109&lt;=0,"",IFERROR(H109/D109-1,"")))</f>
        <v/>
      </c>
      <c r="I110" s="17">
        <f>IF(OR(I109="",E109=""),"",IF(I109*E109&lt;=0,"",IFERROR(I109/E109-1,"")))</f>
        <v/>
      </c>
      <c r="J110" s="17">
        <f>IF(OR(J109="",F109=""),"",IF(J109*F109&lt;=0,"",IFERROR(J109/F109-1,"")))</f>
        <v/>
      </c>
      <c r="K110" s="17">
        <f>IF(OR(K109="",G109=""),"",IF(K109*G109&lt;=0,"",IFERROR(K109/G109-1,"")))</f>
        <v/>
      </c>
      <c r="L110" s="17">
        <f>IF(OR(L109="",H109=""),"",IF(L109*H109&lt;=0,"",IFERROR(L109/H109-1,"")))</f>
        <v/>
      </c>
      <c r="M110" s="17">
        <f>IF(OR(M109="",I109=""),"",IF(M109*I109&lt;=0,"",IFERROR(M109/I109-1,"")))</f>
        <v/>
      </c>
      <c r="N110" s="17">
        <f>IF(OR(N109="",J109=""),"",IF(N109*J109&lt;=0,"",IFERROR(N109/J109-1,"")))</f>
        <v/>
      </c>
      <c r="T110" s="17">
        <f>IF(OR(T109="",S109=""),"",IF(T109*S109&lt;=0,"",IFERROR(T109/S109-1,"")))</f>
        <v/>
      </c>
      <c r="U110" s="17">
        <f>IF(OR(U109="",T109=""),"",IF(U109*T109&lt;=0,"",IFERROR(U109/T109-1,"")))</f>
        <v/>
      </c>
      <c r="V110" s="17">
        <f>IF(OR(V109="",U109=""),"",IF(V109*U109&lt;=0,"",IFERROR(V109/U109-1,"")))</f>
        <v/>
      </c>
      <c r="W110" s="17">
        <f>IF(OR(W109="",V109=""),"",IF(W109*V109&lt;=0,"",IFERROR(W109/V109-1,"")))</f>
        <v/>
      </c>
      <c r="X110" s="17">
        <f>IF(OR(X109="",W109=""),"",IF(X109*W109&lt;=0,"",IFERROR(X109/W109-1,"")))</f>
        <v/>
      </c>
    </row>
    <row r="111">
      <c r="A111" s="9" t="inlineStr">
        <is>
          <t>경상이익</t>
        </is>
      </c>
      <c r="C111" s="12" t="n">
        <v>662.838</v>
      </c>
      <c r="D111" s="12" t="n">
        <v>322.786</v>
      </c>
      <c r="E111" s="12" t="n">
        <v>175.286</v>
      </c>
      <c r="F111" s="12" t="n">
        <v>899.55</v>
      </c>
      <c r="G111" s="12" t="n">
        <v>749.369</v>
      </c>
      <c r="H111" s="12" t="n">
        <v>487.076</v>
      </c>
      <c r="I111" s="12" t="n">
        <v>309.098</v>
      </c>
      <c r="J111" s="12" t="n">
        <v>836.03</v>
      </c>
      <c r="K111" s="12" t="n">
        <v>935.902</v>
      </c>
      <c r="L111" s="12" t="n">
        <v>1016.802</v>
      </c>
      <c r="M111" s="12" t="n">
        <v>919.001</v>
      </c>
      <c r="N111" s="12" t="n">
        <v>1826.034</v>
      </c>
      <c r="T111" s="12" t="n">
        <v>899.0890000000001</v>
      </c>
      <c r="U111" s="12" t="n">
        <v>428.231</v>
      </c>
      <c r="V111" s="12" t="n">
        <v>175.286</v>
      </c>
      <c r="W111" s="12" t="n">
        <v>309.098</v>
      </c>
      <c r="X111" s="12" t="n">
        <v>919.001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IF(OR(G111="",C111=""),"",IF(C111&lt;=0,"",IFERROR(G111/C111-1,"")))</f>
        <v/>
      </c>
      <c r="H112" s="17">
        <f>IF(OR(H111="",D111=""),"",IF(D111&lt;=0,"",IFERROR(H111/D111-1,"")))</f>
        <v/>
      </c>
      <c r="I112" s="17">
        <f>IF(OR(I111="",E111=""),"",IF(E111&lt;=0,"",IFERROR(I111/E111-1,"")))</f>
        <v/>
      </c>
      <c r="J112" s="17">
        <f>IF(OR(J111="",F111=""),"",IF(F111&lt;=0,"",IFERROR(J111/F111-1,"")))</f>
        <v/>
      </c>
      <c r="K112" s="17">
        <f>IF(OR(K111="",G111=""),"",IF(G111&lt;=0,"",IFERROR(K111/G111-1,"")))</f>
        <v/>
      </c>
      <c r="L112" s="17">
        <f>IF(OR(L111="",H111=""),"",IF(H111&lt;=0,"",IFERROR(L111/H111-1,"")))</f>
        <v/>
      </c>
      <c r="M112" s="17">
        <f>IF(OR(M111="",I111=""),"",IF(I111&lt;=0,"",IFERROR(M111/I111-1,"")))</f>
        <v/>
      </c>
      <c r="N112" s="17">
        <f>IF(OR(N111="",J111=""),"",IF(J111&lt;=0,"",IFERROR(N111/J111-1,"")))</f>
        <v/>
      </c>
      <c r="T112" s="17">
        <f>IF(OR(T111="",S111=""),"",IF(S111&lt;=0,"",IFERROR(T111/S111-1,"")))</f>
        <v/>
      </c>
      <c r="U112" s="17">
        <f>IF(OR(U111="",T111=""),"",IF(T111&lt;=0,"",IFERROR(U111/T111-1,"")))</f>
        <v/>
      </c>
      <c r="V112" s="17">
        <f>IF(OR(V111="",U111=""),"",IF(U111&lt;=0,"",IFERROR(V111/U111-1,"")))</f>
        <v/>
      </c>
      <c r="W112" s="17">
        <f>IF(OR(W111="",V111=""),"",IF(V111&lt;=0,"",IFERROR(W111/V111-1,"")))</f>
        <v/>
      </c>
      <c r="X112" s="17">
        <f>IF(OR(X111="",W111=""),"",IF(W111&lt;=0,"",IFERROR(X111/W111-1,"")))</f>
        <v/>
      </c>
    </row>
    <row r="113">
      <c r="A113" s="20" t="inlineStr">
        <is>
          <t>투자유가증권 평가손실</t>
        </is>
      </c>
      <c r="D113" s="22" t="n">
        <v>0</v>
      </c>
      <c r="E113" s="22" t="n">
        <v>0</v>
      </c>
      <c r="H113" s="22" t="n">
        <v>0.539</v>
      </c>
      <c r="I113" s="22" t="n">
        <v>0.554</v>
      </c>
      <c r="L113" s="22" t="n">
        <v>0</v>
      </c>
      <c r="M113" s="22" t="n">
        <v>0</v>
      </c>
      <c r="V113" s="22" t="n">
        <v>0</v>
      </c>
      <c r="W113" s="22" t="n">
        <v>0.554</v>
      </c>
      <c r="X113" s="22" t="n">
        <v>0</v>
      </c>
    </row>
    <row r="114">
      <c r="A114" s="20" t="inlineStr">
        <is>
          <t>특별손실 합계</t>
        </is>
      </c>
      <c r="D114" s="22" t="n">
        <v>0</v>
      </c>
      <c r="E114" s="22" t="n">
        <v>0</v>
      </c>
      <c r="H114" s="22" t="n">
        <v>0.539</v>
      </c>
      <c r="I114" s="22" t="n">
        <v>0.554</v>
      </c>
      <c r="L114" s="22" t="n">
        <v>0</v>
      </c>
      <c r="M114" s="22" t="n">
        <v>107.363</v>
      </c>
      <c r="V114" s="22" t="n">
        <v>0</v>
      </c>
      <c r="W114" s="22" t="n">
        <v>0.554</v>
      </c>
      <c r="X114" s="22" t="n">
        <v>107.363</v>
      </c>
    </row>
    <row r="115">
      <c r="A115" s="45" t="inlineStr">
        <is>
          <t>YoY</t>
        </is>
      </c>
      <c r="B115" s="3" t="inlineStr">
        <is>
          <t>전년 같은 분기·전년 대비</t>
        </is>
      </c>
      <c r="H115" s="17">
        <f>IF(OR(H114="",D114=""),"",IF(H114*D114&lt;=0,"",IFERROR(H114/D114-1,"")))</f>
        <v/>
      </c>
      <c r="I115" s="17">
        <f>IF(OR(I114="",E114=""),"",IF(I114*E114&lt;=0,"",IFERROR(I114/E114-1,"")))</f>
        <v/>
      </c>
      <c r="L115" s="17">
        <f>IF(OR(L114="",H114=""),"",IF(L114*H114&lt;=0,"",IFERROR(L114/H114-1,"")))</f>
        <v/>
      </c>
      <c r="M115" s="17">
        <f>IF(OR(M114="",I114=""),"",IF(M114*I114&lt;=0,"",IFERROR(M114/I114-1,"")))</f>
        <v/>
      </c>
      <c r="V115" s="17">
        <f>IF(OR(V114="",U114=""),"",IF(V114*U114&lt;=0,"",IFERROR(V114/U114-1,"")))</f>
        <v/>
      </c>
      <c r="W115" s="17">
        <f>IF(OR(W114="",V114=""),"",IF(W114*V114&lt;=0,"",IFERROR(W114/V114-1,"")))</f>
        <v/>
      </c>
      <c r="X115" s="17">
        <f>IF(OR(X114="",W114=""),"",IF(X114*W114&lt;=0,"",IFERROR(X114/W114-1,"")))</f>
        <v/>
      </c>
    </row>
    <row r="116">
      <c r="A116" s="9" t="inlineStr">
        <is>
          <t>법인세차감전 순이익</t>
        </is>
      </c>
      <c r="C116" s="12" t="n">
        <v>662.838</v>
      </c>
      <c r="D116" s="12" t="n">
        <v>322.786</v>
      </c>
      <c r="E116" s="12" t="n">
        <v>175.286</v>
      </c>
      <c r="F116" s="12" t="n">
        <v>899.55</v>
      </c>
      <c r="G116" s="12" t="n">
        <v>742.732</v>
      </c>
      <c r="H116" s="12" t="n">
        <v>486.538</v>
      </c>
      <c r="I116" s="12" t="n">
        <v>308.544</v>
      </c>
      <c r="J116" s="12" t="n">
        <v>836.03</v>
      </c>
      <c r="K116" s="12" t="n">
        <v>935.902</v>
      </c>
      <c r="L116" s="12" t="n">
        <v>1016.802</v>
      </c>
      <c r="M116" s="12" t="n">
        <v>811.638</v>
      </c>
      <c r="N116" s="12" t="n">
        <v>1826.034</v>
      </c>
      <c r="T116" s="12" t="n">
        <v>849.222</v>
      </c>
      <c r="U116" s="12" t="n">
        <v>428.231</v>
      </c>
      <c r="V116" s="12" t="n">
        <v>175.286</v>
      </c>
      <c r="W116" s="12" t="n">
        <v>308.544</v>
      </c>
      <c r="X116" s="12" t="n">
        <v>811.638</v>
      </c>
    </row>
    <row r="117">
      <c r="A117" s="45" t="inlineStr">
        <is>
          <t>YoY</t>
        </is>
      </c>
      <c r="B117" s="3" t="inlineStr">
        <is>
          <t>전년 같은 분기·전년 대비</t>
        </is>
      </c>
      <c r="G117" s="17">
        <f>IF(OR(G116="",C116=""),"",IF(C116&lt;=0,"",IFERROR(G116/C116-1,"")))</f>
        <v/>
      </c>
      <c r="H117" s="17">
        <f>IF(OR(H116="",D116=""),"",IF(D116&lt;=0,"",IFERROR(H116/D116-1,"")))</f>
        <v/>
      </c>
      <c r="I117" s="17">
        <f>IF(OR(I116="",E116=""),"",IF(E116&lt;=0,"",IFERROR(I116/E116-1,"")))</f>
        <v/>
      </c>
      <c r="J117" s="17">
        <f>IF(OR(J116="",F116=""),"",IF(F116&lt;=0,"",IFERROR(J116/F116-1,"")))</f>
        <v/>
      </c>
      <c r="K117" s="17">
        <f>IF(OR(K116="",G116=""),"",IF(G116&lt;=0,"",IFERROR(K116/G116-1,"")))</f>
        <v/>
      </c>
      <c r="L117" s="17">
        <f>IF(OR(L116="",H116=""),"",IF(H116&lt;=0,"",IFERROR(L116/H116-1,"")))</f>
        <v/>
      </c>
      <c r="M117" s="17">
        <f>IF(OR(M116="",I116=""),"",IF(I116&lt;=0,"",IFERROR(M116/I116-1,"")))</f>
        <v/>
      </c>
      <c r="N117" s="17">
        <f>IF(OR(N116="",J116=""),"",IF(J116&lt;=0,"",IFERROR(N116/J116-1,"")))</f>
        <v/>
      </c>
      <c r="T117" s="17">
        <f>IF(OR(T116="",S116=""),"",IF(S116&lt;=0,"",IFERROR(T116/S116-1,"")))</f>
        <v/>
      </c>
      <c r="U117" s="17">
        <f>IF(OR(U116="",T116=""),"",IF(T116&lt;=0,"",IFERROR(U116/T116-1,"")))</f>
        <v/>
      </c>
      <c r="V117" s="17">
        <f>IF(OR(V116="",U116=""),"",IF(U116&lt;=0,"",IFERROR(V116/U116-1,"")))</f>
        <v/>
      </c>
      <c r="W117" s="17">
        <f>IF(OR(W116="",V116=""),"",IF(V116&lt;=0,"",IFERROR(W116/V116-1,"")))</f>
        <v/>
      </c>
      <c r="X117" s="17">
        <f>IF(OR(X116="",W116=""),"",IF(W116&lt;=0,"",IFERROR(X116/W116-1,"")))</f>
        <v/>
      </c>
    </row>
    <row r="118">
      <c r="A118" s="20" t="inlineStr">
        <is>
          <t>법인세·주민세·사업세</t>
        </is>
      </c>
      <c r="C118" s="22" t="n">
        <v>251.054</v>
      </c>
      <c r="D118" s="22" t="n">
        <v>-35.221</v>
      </c>
      <c r="E118" s="22" t="n">
        <v>97.148</v>
      </c>
      <c r="F118" s="22" t="n">
        <v>181.606</v>
      </c>
      <c r="G118" s="22" t="n">
        <v>314.584</v>
      </c>
      <c r="H118" s="22" t="n">
        <v>7.141</v>
      </c>
      <c r="I118" s="22" t="n">
        <v>185.547</v>
      </c>
      <c r="J118" s="22" t="n">
        <v>121.998</v>
      </c>
      <c r="K118" s="22" t="n">
        <v>410.673</v>
      </c>
      <c r="L118" s="22" t="n">
        <v>145.75</v>
      </c>
      <c r="M118" s="22" t="n">
        <v>343.984</v>
      </c>
      <c r="N118" s="22" t="n">
        <v>412.834</v>
      </c>
      <c r="T118" s="22" t="n">
        <v>401.501</v>
      </c>
      <c r="U118" s="22" t="n">
        <v>244.298</v>
      </c>
      <c r="V118" s="22" t="n">
        <v>97.148</v>
      </c>
      <c r="W118" s="22" t="n">
        <v>185.547</v>
      </c>
      <c r="X118" s="22" t="n">
        <v>343.984</v>
      </c>
    </row>
    <row r="119">
      <c r="A119" s="20" t="inlineStr">
        <is>
          <t>법인세 조정액</t>
        </is>
      </c>
      <c r="C119" s="22" t="n">
        <v>-90.56999999999999</v>
      </c>
      <c r="D119" s="22" t="n">
        <v>108.467</v>
      </c>
      <c r="E119" s="22" t="n">
        <v>-52.085</v>
      </c>
      <c r="F119" s="22" t="n">
        <v>59.997</v>
      </c>
      <c r="G119" s="22" t="n">
        <v>-97.565</v>
      </c>
      <c r="H119" s="22" t="n">
        <v>105.605</v>
      </c>
      <c r="I119" s="22" t="n">
        <v>-100.604</v>
      </c>
      <c r="J119" s="22" t="n">
        <v>116.55</v>
      </c>
      <c r="K119" s="22" t="n">
        <v>-120.539</v>
      </c>
      <c r="L119" s="22" t="n">
        <v>106.891</v>
      </c>
      <c r="M119" s="22" t="n">
        <v>-167.916</v>
      </c>
      <c r="N119" s="22" t="n">
        <v>146.147</v>
      </c>
      <c r="T119" s="22" t="n">
        <v>-137.72</v>
      </c>
      <c r="U119" s="22" t="n">
        <v>-122.054</v>
      </c>
      <c r="V119" s="22" t="n">
        <v>-52.085</v>
      </c>
      <c r="W119" s="22" t="n">
        <v>-100.604</v>
      </c>
      <c r="X119" s="22" t="n">
        <v>-167.916</v>
      </c>
    </row>
    <row r="120">
      <c r="A120" s="20" t="inlineStr">
        <is>
          <t>법인세 등 합계</t>
        </is>
      </c>
      <c r="C120" s="22" t="n">
        <v>160.483</v>
      </c>
      <c r="D120" s="22" t="n">
        <v>73.246</v>
      </c>
      <c r="E120" s="22" t="n">
        <v>45.064</v>
      </c>
      <c r="F120" s="22" t="n">
        <v>241.603</v>
      </c>
      <c r="G120" s="22" t="n">
        <v>217.018</v>
      </c>
      <c r="H120" s="22" t="n">
        <v>112.747</v>
      </c>
      <c r="I120" s="22" t="n">
        <v>84.94199999999999</v>
      </c>
      <c r="J120" s="22" t="n">
        <v>238.549</v>
      </c>
      <c r="K120" s="22" t="n">
        <v>290.132</v>
      </c>
      <c r="L120" s="22" t="n">
        <v>252.642</v>
      </c>
      <c r="M120" s="22" t="n">
        <v>176.067</v>
      </c>
      <c r="N120" s="22" t="n">
        <v>558.981</v>
      </c>
      <c r="T120" s="22" t="n">
        <v>263.78</v>
      </c>
      <c r="U120" s="22" t="n">
        <v>122.243</v>
      </c>
      <c r="V120" s="22" t="n">
        <v>45.064</v>
      </c>
      <c r="W120" s="22" t="n">
        <v>84.94199999999999</v>
      </c>
      <c r="X120" s="22" t="n">
        <v>176.067</v>
      </c>
    </row>
    <row r="121">
      <c r="A121" s="45" t="inlineStr">
        <is>
          <t>YoY</t>
        </is>
      </c>
      <c r="B121" s="3" t="inlineStr">
        <is>
          <t>전년 같은 분기·전년 대비</t>
        </is>
      </c>
      <c r="G121" s="17">
        <f>IF(OR(G120="",C120=""),"",IF(G120*C120&lt;=0,"",IFERROR(G120/C120-1,"")))</f>
        <v/>
      </c>
      <c r="H121" s="17">
        <f>IF(OR(H120="",D120=""),"",IF(H120*D120&lt;=0,"",IFERROR(H120/D120-1,"")))</f>
        <v/>
      </c>
      <c r="I121" s="17">
        <f>IF(OR(I120="",E120=""),"",IF(I120*E120&lt;=0,"",IFERROR(I120/E120-1,"")))</f>
        <v/>
      </c>
      <c r="J121" s="17">
        <f>IF(OR(J120="",F120=""),"",IF(J120*F120&lt;=0,"",IFERROR(J120/F120-1,"")))</f>
        <v/>
      </c>
      <c r="K121" s="17">
        <f>IF(OR(K120="",G120=""),"",IF(K120*G120&lt;=0,"",IFERROR(K120/G120-1,"")))</f>
        <v/>
      </c>
      <c r="L121" s="17">
        <f>IF(OR(L120="",H120=""),"",IF(L120*H120&lt;=0,"",IFERROR(L120/H120-1,"")))</f>
        <v/>
      </c>
      <c r="M121" s="17">
        <f>IF(OR(M120="",I120=""),"",IF(M120*I120&lt;=0,"",IFERROR(M120/I120-1,"")))</f>
        <v/>
      </c>
      <c r="N121" s="17">
        <f>IF(OR(N120="",J120=""),"",IF(N120*J120&lt;=0,"",IFERROR(N120/J120-1,"")))</f>
        <v/>
      </c>
      <c r="T121" s="17">
        <f>IF(OR(T120="",S120=""),"",IF(T120*S120&lt;=0,"",IFERROR(T120/S120-1,"")))</f>
        <v/>
      </c>
      <c r="U121" s="17">
        <f>IF(OR(U120="",T120=""),"",IF(U120*T120&lt;=0,"",IFERROR(U120/T120-1,"")))</f>
        <v/>
      </c>
      <c r="V121" s="17">
        <f>IF(OR(V120="",U120=""),"",IF(V120*U120&lt;=0,"",IFERROR(V120/U120-1,"")))</f>
        <v/>
      </c>
      <c r="W121" s="17">
        <f>IF(OR(W120="",V120=""),"",IF(W120*V120&lt;=0,"",IFERROR(W120/V120-1,"")))</f>
        <v/>
      </c>
      <c r="X121" s="17">
        <f>IF(OR(X120="",W120=""),"",IF(X120*W120&lt;=0,"",IFERROR(X120/W120-1,"")))</f>
        <v/>
      </c>
    </row>
    <row r="122">
      <c r="A122" s="9" t="inlineStr">
        <is>
          <t>순이익</t>
        </is>
      </c>
      <c r="C122" s="12" t="n">
        <v>502.355</v>
      </c>
      <c r="D122" s="12" t="n">
        <v>249.539</v>
      </c>
      <c r="E122" s="12" t="n">
        <v>130.222</v>
      </c>
      <c r="F122" s="12" t="n">
        <v>657.947</v>
      </c>
      <c r="G122" s="12" t="n">
        <v>525.7140000000001</v>
      </c>
      <c r="H122" s="12" t="n">
        <v>373.791</v>
      </c>
      <c r="I122" s="12" t="n">
        <v>223.602</v>
      </c>
      <c r="J122" s="12" t="n">
        <v>597.481</v>
      </c>
      <c r="K122" s="12" t="n">
        <v>645.77</v>
      </c>
      <c r="L122" s="12" t="n">
        <v>764.159</v>
      </c>
      <c r="M122" s="12" t="n">
        <v>635.571</v>
      </c>
      <c r="N122" s="12" t="n">
        <v>1267.052</v>
      </c>
      <c r="T122" s="12" t="n">
        <v>585.442</v>
      </c>
      <c r="U122" s="12" t="n">
        <v>305.988</v>
      </c>
      <c r="V122" s="12" t="n">
        <v>130.222</v>
      </c>
      <c r="W122" s="12" t="n">
        <v>223.602</v>
      </c>
      <c r="X122" s="12" t="n">
        <v>635.571</v>
      </c>
    </row>
    <row r="123">
      <c r="A123" s="45" t="inlineStr">
        <is>
          <t>YoY</t>
        </is>
      </c>
      <c r="B123" s="3" t="inlineStr">
        <is>
          <t>전년 같은 분기·전년 대비</t>
        </is>
      </c>
      <c r="G123" s="17">
        <f>IF(OR(G122="",C122=""),"",IF(C122&lt;=0,"",IFERROR(G122/C122-1,"")))</f>
        <v/>
      </c>
      <c r="H123" s="17">
        <f>IF(OR(H122="",D122=""),"",IF(D122&lt;=0,"",IFERROR(H122/D122-1,"")))</f>
        <v/>
      </c>
      <c r="I123" s="17">
        <f>IF(OR(I122="",E122=""),"",IF(E122&lt;=0,"",IFERROR(I122/E122-1,"")))</f>
        <v/>
      </c>
      <c r="J123" s="17">
        <f>IF(OR(J122="",F122=""),"",IF(F122&lt;=0,"",IFERROR(J122/F122-1,"")))</f>
        <v/>
      </c>
      <c r="K123" s="17">
        <f>IF(OR(K122="",G122=""),"",IF(G122&lt;=0,"",IFERROR(K122/G122-1,"")))</f>
        <v/>
      </c>
      <c r="L123" s="17">
        <f>IF(OR(L122="",H122=""),"",IF(H122&lt;=0,"",IFERROR(L122/H122-1,"")))</f>
        <v/>
      </c>
      <c r="M123" s="17">
        <f>IF(OR(M122="",I122=""),"",IF(I122&lt;=0,"",IFERROR(M122/I122-1,"")))</f>
        <v/>
      </c>
      <c r="N123" s="17">
        <f>IF(OR(N122="",J122=""),"",IF(J122&lt;=0,"",IFERROR(N122/J122-1,"")))</f>
        <v/>
      </c>
      <c r="T123" s="17">
        <f>IF(OR(T122="",S122=""),"",IF(S122&lt;=0,"",IFERROR(T122/S122-1,"")))</f>
        <v/>
      </c>
      <c r="U123" s="17">
        <f>IF(OR(U122="",T122=""),"",IF(T122&lt;=0,"",IFERROR(U122/T122-1,"")))</f>
        <v/>
      </c>
      <c r="V123" s="17">
        <f>IF(OR(V122="",U122=""),"",IF(U122&lt;=0,"",IFERROR(V122/U122-1,"")))</f>
        <v/>
      </c>
      <c r="W123" s="17">
        <f>IF(OR(W122="",V122=""),"",IF(V122&lt;=0,"",IFERROR(W122/V122-1,"")))</f>
        <v/>
      </c>
      <c r="X123" s="17">
        <f>IF(OR(X122="",W122=""),"",IF(W122&lt;=0,"",IFERROR(X122/W122-1,"")))</f>
        <v/>
      </c>
    </row>
    <row r="124">
      <c r="A124" s="9" t="inlineStr">
        <is>
          <t>지배주주 순이익</t>
        </is>
      </c>
      <c r="C124" s="12" t="n">
        <v>502.355</v>
      </c>
      <c r="D124" s="12" t="n">
        <v>249.539</v>
      </c>
      <c r="E124" s="12" t="n">
        <v>130.222</v>
      </c>
      <c r="F124" s="12" t="n">
        <v>657.947</v>
      </c>
      <c r="G124" s="12" t="n">
        <v>525.7140000000001</v>
      </c>
      <c r="H124" s="12" t="n">
        <v>373.791</v>
      </c>
      <c r="I124" s="12" t="n">
        <v>223.602</v>
      </c>
      <c r="J124" s="12" t="n">
        <v>597.481</v>
      </c>
      <c r="K124" s="12" t="n">
        <v>645.77</v>
      </c>
      <c r="L124" s="12" t="n">
        <v>764.159</v>
      </c>
      <c r="M124" s="12" t="n">
        <v>635.571</v>
      </c>
      <c r="N124" s="12" t="n">
        <v>1267.052</v>
      </c>
      <c r="T124" s="12" t="n">
        <v>585.442</v>
      </c>
      <c r="U124" s="12" t="n">
        <v>305.988</v>
      </c>
      <c r="V124" s="12" t="n">
        <v>130.222</v>
      </c>
      <c r="W124" s="12" t="n">
        <v>223.602</v>
      </c>
      <c r="X124" s="12" t="n">
        <v>635.571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IF(OR(G124="",C124=""),"",IF(C124&lt;=0,"",IFERROR(G124/C124-1,"")))</f>
        <v/>
      </c>
      <c r="H125" s="17">
        <f>IF(OR(H124="",D124=""),"",IF(D124&lt;=0,"",IFERROR(H124/D124-1,"")))</f>
        <v/>
      </c>
      <c r="I125" s="17">
        <f>IF(OR(I124="",E124=""),"",IF(E124&lt;=0,"",IFERROR(I124/E124-1,"")))</f>
        <v/>
      </c>
      <c r="J125" s="17">
        <f>IF(OR(J124="",F124=""),"",IF(F124&lt;=0,"",IFERROR(J124/F124-1,"")))</f>
        <v/>
      </c>
      <c r="K125" s="17">
        <f>IF(OR(K124="",G124=""),"",IF(G124&lt;=0,"",IFERROR(K124/G124-1,"")))</f>
        <v/>
      </c>
      <c r="L125" s="17">
        <f>IF(OR(L124="",H124=""),"",IF(H124&lt;=0,"",IFERROR(L124/H124-1,"")))</f>
        <v/>
      </c>
      <c r="M125" s="17">
        <f>IF(OR(M124="",I124=""),"",IF(I124&lt;=0,"",IFERROR(M124/I124-1,"")))</f>
        <v/>
      </c>
      <c r="N125" s="17">
        <f>IF(OR(N124="",J124=""),"",IF(J124&lt;=0,"",IFERROR(N124/J124-1,"")))</f>
        <v/>
      </c>
      <c r="T125" s="17">
        <f>IF(OR(T124="",S124=""),"",IF(S124&lt;=0,"",IFERROR(T124/S124-1,"")))</f>
        <v/>
      </c>
      <c r="U125" s="17">
        <f>IF(OR(U124="",T124=""),"",IF(T124&lt;=0,"",IFERROR(U124/T124-1,"")))</f>
        <v/>
      </c>
      <c r="V125" s="17">
        <f>IF(OR(V124="",U124=""),"",IF(U124&lt;=0,"",IFERROR(V124/U124-1,"")))</f>
        <v/>
      </c>
      <c r="W125" s="17">
        <f>IF(OR(W124="",V124=""),"",IF(V124&lt;=0,"",IFERROR(W124/V124-1,"")))</f>
        <v/>
      </c>
      <c r="X125" s="17">
        <f>IF(OR(X124="",W124=""),"",IF(W124&lt;=0,"",IFERROR(X124/W124-1,"")))</f>
        <v/>
      </c>
    </row>
    <row r="127">
      <c r="A127" s="18" t="inlineStr">
        <is>
          <t>포괄손익 · 전 항목</t>
        </is>
      </c>
      <c r="B127" s="44" t="inlineStr">
        <is>
          <t>분기 = 3개월 단독</t>
        </is>
      </c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  <c r="AC127" s="18" t="n"/>
    </row>
    <row r="128">
      <c r="A128" s="5" t="inlineStr">
        <is>
          <t>항목</t>
        </is>
      </c>
      <c r="B128" s="5" t="inlineStr">
        <is>
          <t>참고</t>
        </is>
      </c>
      <c r="C128" s="5" t="inlineStr">
        <is>
          <t>2024.2Q</t>
        </is>
      </c>
      <c r="D128" s="5" t="inlineStr">
        <is>
          <t>2024.3Q</t>
        </is>
      </c>
      <c r="E128" s="5" t="inlineStr">
        <is>
          <t>2024.4Q</t>
        </is>
      </c>
      <c r="F128" s="5" t="inlineStr">
        <is>
          <t>2025.1Q</t>
        </is>
      </c>
      <c r="G128" s="5" t="inlineStr">
        <is>
          <t>2025.2Q</t>
        </is>
      </c>
      <c r="H128" s="5" t="inlineStr">
        <is>
          <t>2025.3Q</t>
        </is>
      </c>
      <c r="I128" s="5" t="inlineStr">
        <is>
          <t>2025.4Q</t>
        </is>
      </c>
      <c r="J128" s="5" t="inlineStr">
        <is>
          <t>2026.1Q</t>
        </is>
      </c>
      <c r="K128" s="5" t="inlineStr">
        <is>
          <t>2026.2Q</t>
        </is>
      </c>
      <c r="L128" s="5" t="inlineStr">
        <is>
          <t>2026.3Q</t>
        </is>
      </c>
      <c r="M128" s="5" t="inlineStr">
        <is>
          <t>2026.4Q</t>
        </is>
      </c>
      <c r="N128" s="5" t="inlineStr">
        <is>
          <t>2027.1Q</t>
        </is>
      </c>
      <c r="O128" s="5" t="inlineStr">
        <is>
          <t>2017</t>
        </is>
      </c>
      <c r="P128" s="5" t="inlineStr">
        <is>
          <t>2018</t>
        </is>
      </c>
      <c r="Q128" s="5" t="inlineStr">
        <is>
          <t>2019</t>
        </is>
      </c>
      <c r="R128" s="5" t="inlineStr">
        <is>
          <t>2020</t>
        </is>
      </c>
      <c r="S128" s="5" t="inlineStr">
        <is>
          <t>2021</t>
        </is>
      </c>
      <c r="T128" s="5" t="inlineStr">
        <is>
          <t>2022</t>
        </is>
      </c>
      <c r="U128" s="5" t="inlineStr">
        <is>
          <t>2023</t>
        </is>
      </c>
      <c r="V128" s="5" t="inlineStr">
        <is>
          <t>2024</t>
        </is>
      </c>
      <c r="W128" s="5" t="inlineStr">
        <is>
          <t>2025</t>
        </is>
      </c>
      <c r="X128" s="5" t="inlineStr">
        <is>
          <t>2026</t>
        </is>
      </c>
      <c r="Y128" s="5" t="inlineStr">
        <is>
          <t>2027(MW)</t>
        </is>
      </c>
      <c r="Z128" s="5" t="inlineStr">
        <is>
          <t>2028(MW)</t>
        </is>
      </c>
      <c r="AA128" s="5" t="inlineStr">
        <is>
          <t>2029(MW)</t>
        </is>
      </c>
      <c r="AB128" s="5" t="inlineStr">
        <is>
          <t>2030(MW)</t>
        </is>
      </c>
      <c r="AC128" s="5" t="inlineStr">
        <is>
          <t>2031(MW)</t>
        </is>
      </c>
    </row>
    <row r="129">
      <c r="A129" s="9" t="inlineStr">
        <is>
          <t>순이익</t>
        </is>
      </c>
      <c r="C129" s="12" t="n">
        <v>502.355</v>
      </c>
      <c r="D129" s="12" t="n">
        <v>249.539</v>
      </c>
      <c r="E129" s="12" t="n">
        <v>130.222</v>
      </c>
      <c r="F129" s="12" t="n">
        <v>657.947</v>
      </c>
      <c r="G129" s="12" t="n">
        <v>525.7140000000001</v>
      </c>
      <c r="H129" s="12" t="n">
        <v>373.791</v>
      </c>
      <c r="I129" s="12" t="n">
        <v>223.602</v>
      </c>
      <c r="J129" s="12" t="n">
        <v>597.481</v>
      </c>
      <c r="K129" s="12" t="n">
        <v>645.77</v>
      </c>
      <c r="L129" s="12" t="n">
        <v>764.159</v>
      </c>
      <c r="M129" s="12" t="n">
        <v>635.571</v>
      </c>
      <c r="N129" s="12" t="n">
        <v>1267.052</v>
      </c>
      <c r="T129" s="12" t="n">
        <v>585.442</v>
      </c>
      <c r="U129" s="12" t="n">
        <v>305.988</v>
      </c>
      <c r="V129" s="12" t="n">
        <v>130.222</v>
      </c>
      <c r="W129" s="12" t="n">
        <v>223.602</v>
      </c>
      <c r="X129" s="12" t="n">
        <v>635.571</v>
      </c>
    </row>
    <row r="130">
      <c r="A130" s="20" t="inlineStr">
        <is>
          <t>기타유가증권 평가차액</t>
        </is>
      </c>
      <c r="C130" s="22" t="n">
        <v>13.085</v>
      </c>
      <c r="D130" s="22" t="n">
        <v>-14.758</v>
      </c>
      <c r="E130" s="22" t="n">
        <v>23.29</v>
      </c>
      <c r="F130" s="22" t="n">
        <v>4.142</v>
      </c>
      <c r="G130" s="22" t="n">
        <v>-20.661</v>
      </c>
      <c r="H130" s="22" t="n">
        <v>19.274</v>
      </c>
      <c r="I130" s="22" t="n">
        <v>2.225</v>
      </c>
      <c r="J130" s="22" t="n">
        <v>5.897</v>
      </c>
      <c r="K130" s="22" t="n">
        <v>45.959</v>
      </c>
      <c r="L130" s="22" t="n">
        <v>32.712</v>
      </c>
      <c r="M130" s="22" t="n">
        <v>32.992</v>
      </c>
      <c r="N130" s="22" t="n">
        <v>147.256</v>
      </c>
      <c r="T130" s="22" t="n">
        <v>-1.097</v>
      </c>
      <c r="U130" s="22" t="n">
        <v>3.703</v>
      </c>
      <c r="V130" s="22" t="n">
        <v>23.29</v>
      </c>
      <c r="W130" s="22" t="n">
        <v>2.225</v>
      </c>
      <c r="X130" s="22" t="n">
        <v>32.992</v>
      </c>
    </row>
    <row r="131">
      <c r="A131" s="20" t="inlineStr">
        <is>
          <t>해외사업환산조정</t>
        </is>
      </c>
      <c r="C131" s="22" t="n">
        <v>25.379</v>
      </c>
      <c r="D131" s="22" t="n">
        <v>35.737</v>
      </c>
      <c r="E131" s="22" t="n">
        <v>-39.088</v>
      </c>
      <c r="F131" s="22" t="n">
        <v>42.146</v>
      </c>
      <c r="G131" s="22" t="n">
        <v>83.03400000000001</v>
      </c>
      <c r="H131" s="22" t="n">
        <v>17.531</v>
      </c>
      <c r="I131" s="22" t="n">
        <v>35.205</v>
      </c>
      <c r="J131" s="22" t="n">
        <v>-48.529</v>
      </c>
      <c r="K131" s="22" t="n">
        <v>-0.413</v>
      </c>
      <c r="L131" s="22" t="n">
        <v>39.387</v>
      </c>
      <c r="M131" s="22" t="n">
        <v>122.347</v>
      </c>
      <c r="N131" s="22" t="n">
        <v>35.726</v>
      </c>
      <c r="T131" s="22" t="n">
        <v>30.103</v>
      </c>
      <c r="U131" s="22" t="n">
        <v>-43.156</v>
      </c>
      <c r="V131" s="22" t="n">
        <v>-39.088</v>
      </c>
      <c r="W131" s="22" t="n">
        <v>35.205</v>
      </c>
      <c r="X131" s="22" t="n">
        <v>122.347</v>
      </c>
    </row>
    <row r="132">
      <c r="A132" s="20" t="inlineStr">
        <is>
          <t>퇴직급여 조정액</t>
        </is>
      </c>
      <c r="C132" s="22" t="n">
        <v>3.902</v>
      </c>
      <c r="D132" s="22" t="n">
        <v>3.902</v>
      </c>
      <c r="E132" s="22" t="n">
        <v>177.234</v>
      </c>
      <c r="F132" s="22" t="n">
        <v>-0.328</v>
      </c>
      <c r="G132" s="22" t="n">
        <v>-0.328</v>
      </c>
      <c r="H132" s="22" t="n">
        <v>-0.329</v>
      </c>
      <c r="I132" s="22" t="n">
        <v>284.494</v>
      </c>
      <c r="J132" s="22" t="n">
        <v>-6.21</v>
      </c>
      <c r="K132" s="22" t="n">
        <v>-6.21</v>
      </c>
      <c r="L132" s="22" t="n">
        <v>-6.21</v>
      </c>
      <c r="M132" s="22" t="n">
        <v>218.487</v>
      </c>
      <c r="N132" s="22" t="n">
        <v>-17.609</v>
      </c>
      <c r="T132" s="22" t="n">
        <v>-0.671</v>
      </c>
      <c r="U132" s="22" t="n">
        <v>-59.056</v>
      </c>
      <c r="V132" s="22" t="n">
        <v>177.234</v>
      </c>
      <c r="W132" s="22" t="n">
        <v>284.494</v>
      </c>
      <c r="X132" s="22" t="n">
        <v>218.487</v>
      </c>
    </row>
    <row r="133">
      <c r="A133" s="20" t="inlineStr">
        <is>
          <t>기타포괄손익 합계</t>
        </is>
      </c>
      <c r="C133" s="22" t="n">
        <v>42.366</v>
      </c>
      <c r="D133" s="22" t="n">
        <v>24.88</v>
      </c>
      <c r="E133" s="22" t="n">
        <v>161.437</v>
      </c>
      <c r="F133" s="22" t="n">
        <v>45.961</v>
      </c>
      <c r="G133" s="22" t="n">
        <v>62.043</v>
      </c>
      <c r="H133" s="22" t="n">
        <v>36.478</v>
      </c>
      <c r="I133" s="22" t="n">
        <v>321.924</v>
      </c>
      <c r="J133" s="22" t="n">
        <v>-48.842</v>
      </c>
      <c r="K133" s="22" t="n">
        <v>39.336</v>
      </c>
      <c r="L133" s="22" t="n">
        <v>65.889</v>
      </c>
      <c r="M133" s="22" t="n">
        <v>373.826</v>
      </c>
      <c r="N133" s="22" t="n">
        <v>165.373</v>
      </c>
      <c r="T133" s="22" t="n">
        <v>28.335</v>
      </c>
      <c r="U133" s="22" t="n">
        <v>-98.512</v>
      </c>
      <c r="V133" s="22" t="n">
        <v>161.437</v>
      </c>
      <c r="W133" s="22" t="n">
        <v>321.924</v>
      </c>
      <c r="X133" s="22" t="n">
        <v>373.826</v>
      </c>
    </row>
    <row r="134">
      <c r="A134" s="9" t="inlineStr">
        <is>
          <t>포괄이익</t>
        </is>
      </c>
      <c r="C134" s="12" t="n">
        <v>544.72</v>
      </c>
      <c r="D134" s="12" t="n">
        <v>274.419</v>
      </c>
      <c r="E134" s="12" t="n">
        <v>291.66</v>
      </c>
      <c r="F134" s="12" t="n">
        <v>703.908</v>
      </c>
      <c r="G134" s="12" t="n">
        <v>587.758</v>
      </c>
      <c r="H134" s="12" t="n">
        <v>410.268</v>
      </c>
      <c r="I134" s="12" t="n">
        <v>545.526</v>
      </c>
      <c r="J134" s="12" t="n">
        <v>548.639</v>
      </c>
      <c r="K134" s="12" t="n">
        <v>685.105</v>
      </c>
      <c r="L134" s="12" t="n">
        <v>830.049</v>
      </c>
      <c r="M134" s="12" t="n">
        <v>1009.397</v>
      </c>
      <c r="N134" s="12" t="n">
        <v>1432.426</v>
      </c>
      <c r="T134" s="12" t="n">
        <v>613.777</v>
      </c>
      <c r="U134" s="12" t="n">
        <v>207.477</v>
      </c>
      <c r="V134" s="12" t="n">
        <v>291.66</v>
      </c>
      <c r="W134" s="12" t="n">
        <v>545.526</v>
      </c>
      <c r="X134" s="12" t="n">
        <v>1009.397</v>
      </c>
    </row>
    <row r="135">
      <c r="A135" s="9" t="inlineStr">
        <is>
          <t>지배주주 포괄이익</t>
        </is>
      </c>
      <c r="C135" s="12" t="n">
        <v>544.72</v>
      </c>
      <c r="D135" s="12" t="n">
        <v>274.419</v>
      </c>
      <c r="E135" s="12" t="n">
        <v>291.66</v>
      </c>
      <c r="F135" s="12" t="n">
        <v>703.908</v>
      </c>
      <c r="G135" s="12" t="n">
        <v>587.758</v>
      </c>
      <c r="H135" s="12" t="n">
        <v>410.268</v>
      </c>
      <c r="I135" s="12" t="n">
        <v>545.526</v>
      </c>
      <c r="J135" s="12" t="n">
        <v>548.639</v>
      </c>
      <c r="K135" s="12" t="n">
        <v>685.105</v>
      </c>
      <c r="L135" s="12" t="n">
        <v>830.049</v>
      </c>
      <c r="M135" s="12" t="n">
        <v>1009.397</v>
      </c>
      <c r="N135" s="12" t="n">
        <v>1432.426</v>
      </c>
      <c r="T135" s="12" t="n">
        <v>613.777</v>
      </c>
      <c r="U135" s="12" t="n">
        <v>207.477</v>
      </c>
      <c r="V135" s="12" t="n">
        <v>291.66</v>
      </c>
      <c r="W135" s="12" t="n">
        <v>545.526</v>
      </c>
      <c r="X135" s="12" t="n">
        <v>1009.397</v>
      </c>
    </row>
    <row r="136">
      <c r="A136" s="9" t="inlineStr">
        <is>
          <t>비지배주주 포괄이익</t>
        </is>
      </c>
      <c r="C136" s="12" t="n">
        <v>0</v>
      </c>
      <c r="D136" s="12" t="n">
        <v>0</v>
      </c>
      <c r="E136" s="12" t="n">
        <v>0</v>
      </c>
      <c r="F136" s="12" t="n">
        <v>0</v>
      </c>
      <c r="G136" s="12" t="n">
        <v>0</v>
      </c>
      <c r="H136" s="12" t="n">
        <v>0</v>
      </c>
      <c r="I136" s="12" t="n">
        <v>0</v>
      </c>
      <c r="J136" s="12" t="n">
        <v>0</v>
      </c>
      <c r="K136" s="12" t="n">
        <v>0</v>
      </c>
      <c r="L136" s="12" t="n">
        <v>0</v>
      </c>
      <c r="M136" s="12" t="n">
        <v>0</v>
      </c>
      <c r="N136" s="12" t="n">
        <v>0</v>
      </c>
      <c r="T136" s="12" t="n">
        <v>0</v>
      </c>
      <c r="U136" s="12" t="n">
        <v>0</v>
      </c>
      <c r="V136" s="12" t="n">
        <v>0</v>
      </c>
      <c r="W136" s="12" t="n">
        <v>0</v>
      </c>
      <c r="X136" s="12" t="n">
        <v>0</v>
      </c>
    </row>
    <row r="138">
      <c r="A138" s="18" t="inlineStr">
        <is>
          <t>현금흐름표 · 전 항목</t>
        </is>
      </c>
      <c r="B138" s="44" t="inlineStr">
        <is>
          <t>분기 = 결산기 첫날부터 누계(공시 그대로)</t>
        </is>
      </c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  <c r="AA138" s="18" t="n"/>
      <c r="AB138" s="18" t="n"/>
      <c r="AC138" s="18" t="n"/>
    </row>
    <row r="139">
      <c r="A139" s="5" t="inlineStr">
        <is>
          <t>항목</t>
        </is>
      </c>
      <c r="B139" s="5" t="inlineStr">
        <is>
          <t>참고</t>
        </is>
      </c>
      <c r="C139" s="5" t="inlineStr">
        <is>
          <t>2024.2Q</t>
        </is>
      </c>
      <c r="D139" s="5" t="inlineStr">
        <is>
          <t>2024.3Q</t>
        </is>
      </c>
      <c r="E139" s="5" t="inlineStr">
        <is>
          <t>2024.4Q</t>
        </is>
      </c>
      <c r="F139" s="5" t="inlineStr">
        <is>
          <t>2025.1Q</t>
        </is>
      </c>
      <c r="G139" s="5" t="inlineStr">
        <is>
          <t>2025.2Q</t>
        </is>
      </c>
      <c r="H139" s="5" t="inlineStr">
        <is>
          <t>2025.3Q</t>
        </is>
      </c>
      <c r="I139" s="5" t="inlineStr">
        <is>
          <t>2025.4Q</t>
        </is>
      </c>
      <c r="J139" s="5" t="inlineStr">
        <is>
          <t>2026.1Q</t>
        </is>
      </c>
      <c r="K139" s="5" t="inlineStr">
        <is>
          <t>2026.2Q</t>
        </is>
      </c>
      <c r="L139" s="5" t="inlineStr">
        <is>
          <t>2026.3Q</t>
        </is>
      </c>
      <c r="M139" s="5" t="inlineStr">
        <is>
          <t>2026.4Q</t>
        </is>
      </c>
      <c r="N139" s="5" t="inlineStr">
        <is>
          <t>2027.1Q</t>
        </is>
      </c>
      <c r="O139" s="5" t="inlineStr">
        <is>
          <t>2017</t>
        </is>
      </c>
      <c r="P139" s="5" t="inlineStr">
        <is>
          <t>2018</t>
        </is>
      </c>
      <c r="Q139" s="5" t="inlineStr">
        <is>
          <t>2019</t>
        </is>
      </c>
      <c r="R139" s="5" t="inlineStr">
        <is>
          <t>2020</t>
        </is>
      </c>
      <c r="S139" s="5" t="inlineStr">
        <is>
          <t>2021</t>
        </is>
      </c>
      <c r="T139" s="5" t="inlineStr">
        <is>
          <t>2022</t>
        </is>
      </c>
      <c r="U139" s="5" t="inlineStr">
        <is>
          <t>2023</t>
        </is>
      </c>
      <c r="V139" s="5" t="inlineStr">
        <is>
          <t>2024</t>
        </is>
      </c>
      <c r="W139" s="5" t="inlineStr">
        <is>
          <t>2025</t>
        </is>
      </c>
      <c r="X139" s="5" t="inlineStr">
        <is>
          <t>2026</t>
        </is>
      </c>
      <c r="Y139" s="5" t="inlineStr">
        <is>
          <t>2027(MW)</t>
        </is>
      </c>
      <c r="Z139" s="5" t="inlineStr">
        <is>
          <t>2028(MW)</t>
        </is>
      </c>
      <c r="AA139" s="5" t="inlineStr">
        <is>
          <t>2029(MW)</t>
        </is>
      </c>
      <c r="AB139" s="5" t="inlineStr">
        <is>
          <t>2030(MW)</t>
        </is>
      </c>
      <c r="AC139" s="5" t="inlineStr">
        <is>
          <t>2031(MW)</t>
        </is>
      </c>
    </row>
    <row r="140">
      <c r="A140" s="9" t="inlineStr">
        <is>
          <t>법인세차감전 순이익</t>
        </is>
      </c>
      <c r="E140" s="12" t="n">
        <v>2021.304</v>
      </c>
      <c r="I140" s="12" t="n">
        <v>2437.364</v>
      </c>
      <c r="M140" s="12" t="n">
        <v>3600.372</v>
      </c>
      <c r="O140" s="12" t="n">
        <v>-306.935</v>
      </c>
      <c r="P140" s="12" t="n">
        <v>855.774</v>
      </c>
      <c r="Q140" s="12" t="n">
        <v>1436.824</v>
      </c>
      <c r="R140" s="12" t="n">
        <v>970.703</v>
      </c>
      <c r="S140" s="12" t="n">
        <v>2784.323</v>
      </c>
      <c r="T140" s="12" t="n">
        <v>4182.869</v>
      </c>
      <c r="U140" s="12" t="n">
        <v>3532.86</v>
      </c>
      <c r="V140" s="12" t="n">
        <v>2021.304</v>
      </c>
      <c r="W140" s="12" t="n">
        <v>2437.364</v>
      </c>
      <c r="X140" s="12" t="n">
        <v>3600.372</v>
      </c>
    </row>
    <row r="141">
      <c r="A141" s="20" t="inlineStr">
        <is>
          <t>감가상각비</t>
        </is>
      </c>
      <c r="E141" s="22" t="n">
        <v>1426.934</v>
      </c>
      <c r="I141" s="22" t="n">
        <v>1030.84</v>
      </c>
      <c r="M141" s="22" t="n">
        <v>1421.29</v>
      </c>
      <c r="O141" s="22" t="n">
        <v>1572.375</v>
      </c>
      <c r="P141" s="22" t="n">
        <v>1407.956</v>
      </c>
      <c r="Q141" s="22" t="n">
        <v>1194.562</v>
      </c>
      <c r="R141" s="22" t="n">
        <v>1254.79</v>
      </c>
      <c r="S141" s="22" t="n">
        <v>1279.116</v>
      </c>
      <c r="T141" s="22" t="n">
        <v>1359.946</v>
      </c>
      <c r="U141" s="22" t="n">
        <v>1409.579</v>
      </c>
      <c r="V141" s="22" t="n">
        <v>1426.934</v>
      </c>
      <c r="W141" s="22" t="n">
        <v>1030.84</v>
      </c>
      <c r="X141" s="22" t="n">
        <v>1421.29</v>
      </c>
    </row>
    <row r="142">
      <c r="A142" s="20" t="inlineStr">
        <is>
          <t>영업권 상각</t>
        </is>
      </c>
      <c r="O142" s="22" t="n">
        <v>532.049</v>
      </c>
      <c r="P142" s="22" t="n">
        <v>0</v>
      </c>
    </row>
    <row r="143">
      <c r="A143" s="20" t="inlineStr">
        <is>
          <t>관계회사 정리이익</t>
        </is>
      </c>
      <c r="P143" s="22" t="n">
        <v>0</v>
      </c>
      <c r="Q143" s="22" t="n">
        <v>-123.744</v>
      </c>
      <c r="R143" s="22" t="n">
        <v>0</v>
      </c>
    </row>
    <row r="144">
      <c r="A144" s="20" t="inlineStr">
        <is>
          <t>손상차손</t>
        </is>
      </c>
      <c r="I144" s="22" t="n">
        <v>0</v>
      </c>
      <c r="M144" s="22" t="n">
        <v>107.363</v>
      </c>
      <c r="O144" s="22" t="n">
        <v>0</v>
      </c>
      <c r="P144" s="22" t="n">
        <v>848.225</v>
      </c>
      <c r="Q144" s="22" t="n">
        <v>0</v>
      </c>
      <c r="R144" s="22" t="n">
        <v>0</v>
      </c>
      <c r="S144" s="22" t="n">
        <v>12.009</v>
      </c>
      <c r="T144" s="22" t="n">
        <v>49.866</v>
      </c>
      <c r="U144" s="22" t="n">
        <v>0</v>
      </c>
      <c r="W144" s="22" t="n">
        <v>0</v>
      </c>
      <c r="X144" s="22" t="n">
        <v>107.363</v>
      </c>
    </row>
    <row r="145">
      <c r="A145" s="20" t="inlineStr">
        <is>
          <t>재해손실</t>
        </is>
      </c>
      <c r="O145" s="22" t="n">
        <v>172.505</v>
      </c>
      <c r="P145" s="22" t="n">
        <v>0</v>
      </c>
    </row>
    <row r="146">
      <c r="A146" s="20" t="inlineStr">
        <is>
          <t>보상금 수취</t>
        </is>
      </c>
      <c r="I146" s="22" t="n">
        <v>0</v>
      </c>
      <c r="M146" s="22" t="n">
        <v>-60.158</v>
      </c>
      <c r="W146" s="22" t="n">
        <v>0</v>
      </c>
      <c r="X146" s="22" t="n">
        <v>-60.158</v>
      </c>
    </row>
    <row r="147">
      <c r="A147" s="20" t="inlineStr">
        <is>
          <t>보조금 수입</t>
        </is>
      </c>
      <c r="E147" s="22" t="n">
        <v>-53.362</v>
      </c>
      <c r="I147" s="22" t="n">
        <v>-34.709</v>
      </c>
      <c r="M147" s="22" t="n">
        <v>-11.679</v>
      </c>
      <c r="U147" s="22" t="n">
        <v>0</v>
      </c>
      <c r="V147" s="22" t="n">
        <v>-53.362</v>
      </c>
      <c r="W147" s="22" t="n">
        <v>-34.709</v>
      </c>
      <c r="X147" s="22" t="n">
        <v>-11.679</v>
      </c>
    </row>
    <row r="148">
      <c r="A148" s="20" t="inlineStr">
        <is>
          <t>보험금 수익</t>
        </is>
      </c>
      <c r="E148" s="22" t="n">
        <v>-1.015</v>
      </c>
      <c r="I148" s="22" t="n">
        <v>-1.629</v>
      </c>
      <c r="M148" s="22" t="n">
        <v>-16.604</v>
      </c>
      <c r="O148" s="22" t="n">
        <v>-11.858</v>
      </c>
      <c r="P148" s="22" t="n">
        <v>-170.867</v>
      </c>
      <c r="Q148" s="22" t="n">
        <v>-14.268</v>
      </c>
      <c r="R148" s="22" t="n">
        <v>-15.099</v>
      </c>
      <c r="S148" s="22" t="n">
        <v>-12.122</v>
      </c>
      <c r="T148" s="22" t="n">
        <v>-4.298</v>
      </c>
      <c r="U148" s="22" t="n">
        <v>-0.075</v>
      </c>
      <c r="V148" s="22" t="n">
        <v>-1.015</v>
      </c>
      <c r="W148" s="22" t="n">
        <v>-1.629</v>
      </c>
      <c r="X148" s="22" t="n">
        <v>-16.604</v>
      </c>
    </row>
    <row r="149">
      <c r="A149" s="20" t="inlineStr">
        <is>
          <t>대손충당금 증감</t>
        </is>
      </c>
      <c r="O149" s="22" t="n">
        <v>28.824</v>
      </c>
      <c r="P149" s="22" t="n">
        <v>-6.781</v>
      </c>
      <c r="Q149" s="22" t="n">
        <v>0.92</v>
      </c>
      <c r="R149" s="22" t="n">
        <v>0</v>
      </c>
    </row>
    <row r="150">
      <c r="A150" s="20" t="inlineStr">
        <is>
          <t>퇴직급여자산 증감</t>
        </is>
      </c>
      <c r="E150" s="22" t="n">
        <v>0</v>
      </c>
      <c r="I150" s="22" t="n">
        <v>-80.547</v>
      </c>
      <c r="M150" s="22" t="n">
        <v>-104.594</v>
      </c>
      <c r="V150" s="22" t="n">
        <v>0</v>
      </c>
      <c r="W150" s="22" t="n">
        <v>-80.547</v>
      </c>
      <c r="X150" s="22" t="n">
        <v>-104.594</v>
      </c>
    </row>
    <row r="151">
      <c r="A151" s="20" t="inlineStr">
        <is>
          <t>퇴직급여부채 증감</t>
        </is>
      </c>
      <c r="E151" s="22" t="n">
        <v>-70.854</v>
      </c>
      <c r="I151" s="22" t="n">
        <v>-67.399</v>
      </c>
      <c r="M151" s="22" t="n">
        <v>0</v>
      </c>
      <c r="O151" s="22" t="n">
        <v>61.438</v>
      </c>
      <c r="P151" s="22" t="n">
        <v>3.118</v>
      </c>
      <c r="Q151" s="22" t="n">
        <v>14.004</v>
      </c>
      <c r="R151" s="22" t="n">
        <v>-0.979</v>
      </c>
      <c r="S151" s="22" t="n">
        <v>19.076</v>
      </c>
      <c r="T151" s="22" t="n">
        <v>-683.3869999999999</v>
      </c>
      <c r="U151" s="22" t="n">
        <v>-197.694</v>
      </c>
      <c r="V151" s="22" t="n">
        <v>-70.854</v>
      </c>
      <c r="W151" s="22" t="n">
        <v>-67.399</v>
      </c>
      <c r="X151" s="22" t="n">
        <v>0</v>
      </c>
    </row>
    <row r="152">
      <c r="A152" s="20" t="inlineStr">
        <is>
          <t>투자유가증권 평가손익</t>
        </is>
      </c>
      <c r="E152" s="22" t="n">
        <v>0</v>
      </c>
      <c r="I152" s="22" t="n">
        <v>7.729</v>
      </c>
      <c r="M152" s="22" t="n">
        <v>0</v>
      </c>
      <c r="V152" s="22" t="n">
        <v>0</v>
      </c>
      <c r="W152" s="22" t="n">
        <v>7.729</v>
      </c>
      <c r="X152" s="22" t="n">
        <v>0</v>
      </c>
    </row>
    <row r="153">
      <c r="A153" s="20" t="inlineStr">
        <is>
          <t>주식보상비용</t>
        </is>
      </c>
      <c r="E153" s="22" t="n">
        <v>19.346</v>
      </c>
      <c r="I153" s="22" t="n">
        <v>19.195</v>
      </c>
      <c r="M153" s="22" t="n">
        <v>20.545</v>
      </c>
      <c r="S153" s="22" t="n">
        <v>0</v>
      </c>
      <c r="T153" s="22" t="n">
        <v>14.129</v>
      </c>
      <c r="U153" s="22" t="n">
        <v>19.563</v>
      </c>
      <c r="V153" s="22" t="n">
        <v>19.346</v>
      </c>
      <c r="W153" s="22" t="n">
        <v>19.195</v>
      </c>
      <c r="X153" s="22" t="n">
        <v>20.545</v>
      </c>
    </row>
    <row r="154">
      <c r="A154" s="20" t="inlineStr">
        <is>
          <t>이자·배당금 수익</t>
        </is>
      </c>
      <c r="E154" s="22" t="n">
        <v>-25.727</v>
      </c>
      <c r="I154" s="22" t="n">
        <v>-37.706</v>
      </c>
      <c r="M154" s="22" t="n">
        <v>-41.975</v>
      </c>
      <c r="O154" s="22" t="n">
        <v>-8.608000000000001</v>
      </c>
      <c r="P154" s="22" t="n">
        <v>-9.09</v>
      </c>
      <c r="Q154" s="22" t="n">
        <v>-11.783</v>
      </c>
      <c r="R154" s="22" t="n">
        <v>-9.694000000000001</v>
      </c>
      <c r="S154" s="22" t="n">
        <v>-8.034000000000001</v>
      </c>
      <c r="T154" s="22" t="n">
        <v>-12.793</v>
      </c>
      <c r="U154" s="22" t="n">
        <v>-16.414</v>
      </c>
      <c r="V154" s="22" t="n">
        <v>-25.727</v>
      </c>
      <c r="W154" s="22" t="n">
        <v>-37.706</v>
      </c>
      <c r="X154" s="22" t="n">
        <v>-41.975</v>
      </c>
    </row>
    <row r="155">
      <c r="A155" s="20" t="inlineStr">
        <is>
          <t>이자비용</t>
        </is>
      </c>
      <c r="E155" s="22" t="n">
        <v>13.067</v>
      </c>
      <c r="I155" s="22" t="n">
        <v>41.234</v>
      </c>
      <c r="M155" s="22" t="n">
        <v>53.611</v>
      </c>
      <c r="O155" s="22" t="n">
        <v>28.768</v>
      </c>
      <c r="P155" s="22" t="n">
        <v>38.523</v>
      </c>
      <c r="Q155" s="22" t="n">
        <v>31.747</v>
      </c>
      <c r="R155" s="22" t="n">
        <v>8.964</v>
      </c>
      <c r="S155" s="22" t="n">
        <v>5.522</v>
      </c>
      <c r="T155" s="22" t="n">
        <v>3.677</v>
      </c>
      <c r="U155" s="22" t="n">
        <v>5.517</v>
      </c>
      <c r="V155" s="22" t="n">
        <v>13.067</v>
      </c>
      <c r="W155" s="22" t="n">
        <v>41.234</v>
      </c>
      <c r="X155" s="22" t="n">
        <v>53.611</v>
      </c>
    </row>
    <row r="156">
      <c r="A156" s="20" t="inlineStr">
        <is>
          <t>외환차손익</t>
        </is>
      </c>
      <c r="E156" s="22" t="n">
        <v>-72.61799999999999</v>
      </c>
      <c r="I156" s="22" t="n">
        <v>33.734</v>
      </c>
      <c r="M156" s="22" t="n">
        <v>-2.288</v>
      </c>
      <c r="O156" s="22" t="n">
        <v>137.435</v>
      </c>
      <c r="P156" s="22" t="n">
        <v>50.363</v>
      </c>
      <c r="Q156" s="22" t="n">
        <v>119.002</v>
      </c>
      <c r="R156" s="22" t="n">
        <v>7.908</v>
      </c>
      <c r="S156" s="22" t="n">
        <v>28.627</v>
      </c>
      <c r="T156" s="22" t="n">
        <v>-34.503</v>
      </c>
      <c r="U156" s="22" t="n">
        <v>-69.79900000000001</v>
      </c>
      <c r="V156" s="22" t="n">
        <v>-72.61799999999999</v>
      </c>
      <c r="W156" s="22" t="n">
        <v>33.734</v>
      </c>
      <c r="X156" s="22" t="n">
        <v>-2.288</v>
      </c>
    </row>
    <row r="157">
      <c r="A157" s="20" t="inlineStr">
        <is>
          <t>유형자산 제각손실</t>
        </is>
      </c>
      <c r="E157" s="22" t="n">
        <v>44.129</v>
      </c>
      <c r="I157" s="22" t="n">
        <v>4.89</v>
      </c>
      <c r="M157" s="22" t="n">
        <v>6.824</v>
      </c>
      <c r="O157" s="22" t="n">
        <v>19.34</v>
      </c>
      <c r="P157" s="22" t="n">
        <v>29.908</v>
      </c>
      <c r="Q157" s="22" t="n">
        <v>14.141</v>
      </c>
      <c r="R157" s="22" t="n">
        <v>22.024</v>
      </c>
      <c r="S157" s="22" t="n">
        <v>27.72</v>
      </c>
      <c r="T157" s="22" t="n">
        <v>67.898</v>
      </c>
      <c r="U157" s="22" t="n">
        <v>66.256</v>
      </c>
      <c r="V157" s="22" t="n">
        <v>44.129</v>
      </c>
      <c r="W157" s="22" t="n">
        <v>4.89</v>
      </c>
      <c r="X157" s="22" t="n">
        <v>6.824</v>
      </c>
    </row>
    <row r="158">
      <c r="A158" s="20" t="inlineStr">
        <is>
          <t>무형자산 제각손실</t>
        </is>
      </c>
      <c r="E158" s="22" t="n">
        <v>2.04</v>
      </c>
      <c r="I158" s="22" t="n">
        <v>0</v>
      </c>
      <c r="U158" s="22" t="n">
        <v>0</v>
      </c>
      <c r="V158" s="22" t="n">
        <v>2.04</v>
      </c>
      <c r="W158" s="22" t="n">
        <v>0</v>
      </c>
    </row>
    <row r="159">
      <c r="A159" s="20" t="inlineStr">
        <is>
          <t>매출채권 증감</t>
        </is>
      </c>
      <c r="E159" s="22" t="n">
        <v>-615.729</v>
      </c>
      <c r="I159" s="22" t="n">
        <v>739.549</v>
      </c>
      <c r="M159" s="22" t="n">
        <v>-834.127</v>
      </c>
      <c r="O159" s="22" t="n">
        <v>-893.998</v>
      </c>
      <c r="P159" s="22" t="n">
        <v>-1248.622</v>
      </c>
      <c r="Q159" s="22" t="n">
        <v>587.679</v>
      </c>
      <c r="R159" s="22" t="n">
        <v>-274.998</v>
      </c>
      <c r="S159" s="22" t="n">
        <v>-665.6180000000001</v>
      </c>
      <c r="T159" s="22" t="n">
        <v>84.5</v>
      </c>
      <c r="U159" s="22" t="n">
        <v>455.724</v>
      </c>
      <c r="V159" s="22" t="n">
        <v>-615.729</v>
      </c>
      <c r="W159" s="22" t="n">
        <v>739.549</v>
      </c>
      <c r="X159" s="22" t="n">
        <v>-834.127</v>
      </c>
    </row>
    <row r="160">
      <c r="A160" s="20" t="inlineStr">
        <is>
          <t>재고자산 증감</t>
        </is>
      </c>
      <c r="E160" s="22" t="n">
        <v>-171.306</v>
      </c>
      <c r="I160" s="22" t="n">
        <v>374.138</v>
      </c>
      <c r="M160" s="22" t="n">
        <v>157.394</v>
      </c>
      <c r="O160" s="22" t="n">
        <v>40.984</v>
      </c>
      <c r="P160" s="22" t="n">
        <v>-456.775</v>
      </c>
      <c r="Q160" s="22" t="n">
        <v>-893.146</v>
      </c>
      <c r="R160" s="22" t="n">
        <v>54.636</v>
      </c>
      <c r="S160" s="22" t="n">
        <v>365.915</v>
      </c>
      <c r="T160" s="22" t="n">
        <v>-807.812</v>
      </c>
      <c r="U160" s="22" t="n">
        <v>-2358.021</v>
      </c>
      <c r="V160" s="22" t="n">
        <v>-171.306</v>
      </c>
      <c r="W160" s="22" t="n">
        <v>374.138</v>
      </c>
      <c r="X160" s="22" t="n">
        <v>157.394</v>
      </c>
    </row>
    <row r="161">
      <c r="A161" s="20" t="inlineStr">
        <is>
          <t>기타 자산 증감</t>
        </is>
      </c>
      <c r="E161" s="22" t="n">
        <v>245.894</v>
      </c>
      <c r="I161" s="22" t="n">
        <v>207.979</v>
      </c>
      <c r="M161" s="22" t="n">
        <v>150.185</v>
      </c>
      <c r="O161" s="22" t="n">
        <v>-18.786</v>
      </c>
      <c r="P161" s="22" t="n">
        <v>89.093</v>
      </c>
      <c r="Q161" s="22" t="n">
        <v>-208.055</v>
      </c>
      <c r="R161" s="22" t="n">
        <v>124.051</v>
      </c>
      <c r="S161" s="22" t="n">
        <v>-46.497</v>
      </c>
      <c r="T161" s="22" t="n">
        <v>-206.966</v>
      </c>
      <c r="U161" s="22" t="n">
        <v>-444.539</v>
      </c>
      <c r="V161" s="22" t="n">
        <v>245.894</v>
      </c>
      <c r="W161" s="22" t="n">
        <v>207.979</v>
      </c>
      <c r="X161" s="22" t="n">
        <v>150.185</v>
      </c>
    </row>
    <row r="162">
      <c r="A162" s="20" t="inlineStr">
        <is>
          <t>매입채무 증감</t>
        </is>
      </c>
      <c r="E162" s="22" t="n">
        <v>42.01</v>
      </c>
      <c r="I162" s="22" t="n">
        <v>-87.489</v>
      </c>
      <c r="M162" s="22" t="n">
        <v>381.101</v>
      </c>
      <c r="O162" s="22" t="n">
        <v>173.23</v>
      </c>
      <c r="P162" s="22" t="n">
        <v>262.815</v>
      </c>
      <c r="Q162" s="22" t="n">
        <v>-29.757</v>
      </c>
      <c r="R162" s="22" t="n">
        <v>-113.356</v>
      </c>
      <c r="S162" s="22" t="n">
        <v>-607.669</v>
      </c>
      <c r="T162" s="22" t="n">
        <v>136.088</v>
      </c>
      <c r="U162" s="22" t="n">
        <v>-60.019</v>
      </c>
      <c r="V162" s="22" t="n">
        <v>42.01</v>
      </c>
      <c r="W162" s="22" t="n">
        <v>-87.489</v>
      </c>
      <c r="X162" s="22" t="n">
        <v>381.101</v>
      </c>
    </row>
    <row r="163">
      <c r="A163" s="20" t="inlineStr">
        <is>
          <t>미수 소비세 증감</t>
        </is>
      </c>
      <c r="E163" s="22" t="n">
        <v>0</v>
      </c>
      <c r="I163" s="22" t="n">
        <v>-779.073</v>
      </c>
      <c r="M163" s="22" t="n">
        <v>779.073</v>
      </c>
      <c r="V163" s="22" t="n">
        <v>0</v>
      </c>
      <c r="W163" s="22" t="n">
        <v>-779.073</v>
      </c>
      <c r="X163" s="22" t="n">
        <v>779.073</v>
      </c>
    </row>
    <row r="164">
      <c r="A164" s="20" t="inlineStr">
        <is>
          <t>미지급 소비세 증감</t>
        </is>
      </c>
      <c r="E164" s="22" t="n">
        <v>143.809</v>
      </c>
      <c r="I164" s="22" t="n">
        <v>-116.509</v>
      </c>
      <c r="M164" s="22" t="n">
        <v>394.094</v>
      </c>
      <c r="O164" s="22" t="n">
        <v>140.279</v>
      </c>
      <c r="P164" s="22" t="n">
        <v>-83.917</v>
      </c>
      <c r="Q164" s="22" t="n">
        <v>-48.709</v>
      </c>
      <c r="R164" s="22" t="n">
        <v>119.962</v>
      </c>
      <c r="S164" s="22" t="n">
        <v>-39.894</v>
      </c>
      <c r="T164" s="22" t="n">
        <v>-57.342</v>
      </c>
      <c r="U164" s="22" t="n">
        <v>-21.121</v>
      </c>
      <c r="V164" s="22" t="n">
        <v>143.809</v>
      </c>
      <c r="W164" s="22" t="n">
        <v>-116.509</v>
      </c>
      <c r="X164" s="22" t="n">
        <v>394.094</v>
      </c>
    </row>
    <row r="165">
      <c r="A165" s="20" t="inlineStr">
        <is>
          <t>기타 부채 증감</t>
        </is>
      </c>
      <c r="E165" s="22" t="n">
        <v>-321.817</v>
      </c>
      <c r="I165" s="22" t="n">
        <v>231.957</v>
      </c>
      <c r="M165" s="22" t="n">
        <v>-85.40300000000001</v>
      </c>
      <c r="O165" s="22" t="n">
        <v>191.277</v>
      </c>
      <c r="P165" s="22" t="n">
        <v>272.203</v>
      </c>
      <c r="Q165" s="22" t="n">
        <v>-254.95</v>
      </c>
      <c r="R165" s="22" t="n">
        <v>-25.149</v>
      </c>
      <c r="S165" s="22" t="n">
        <v>243.592</v>
      </c>
      <c r="T165" s="22" t="n">
        <v>-169.731</v>
      </c>
      <c r="U165" s="22" t="n">
        <v>-196.154</v>
      </c>
      <c r="V165" s="22" t="n">
        <v>-321.817</v>
      </c>
      <c r="W165" s="22" t="n">
        <v>231.957</v>
      </c>
      <c r="X165" s="22" t="n">
        <v>-85.40300000000001</v>
      </c>
    </row>
    <row r="166">
      <c r="A166" s="20" t="inlineStr">
        <is>
          <t>기타</t>
        </is>
      </c>
      <c r="E166" s="22" t="n">
        <v>49.141</v>
      </c>
      <c r="I166" s="22" t="n">
        <v>27.432</v>
      </c>
      <c r="M166" s="22" t="n">
        <v>34.877</v>
      </c>
      <c r="O166" s="22" t="n">
        <v>179.186</v>
      </c>
      <c r="P166" s="22" t="n">
        <v>90.203</v>
      </c>
      <c r="Q166" s="22" t="n">
        <v>208.406</v>
      </c>
      <c r="R166" s="22" t="n">
        <v>78.03400000000001</v>
      </c>
      <c r="S166" s="22" t="n">
        <v>84.477</v>
      </c>
      <c r="T166" s="22" t="n">
        <v>63.905</v>
      </c>
      <c r="U166" s="22" t="n">
        <v>85.66200000000001</v>
      </c>
      <c r="V166" s="22" t="n">
        <v>49.141</v>
      </c>
      <c r="W166" s="22" t="n">
        <v>27.432</v>
      </c>
      <c r="X166" s="22" t="n">
        <v>34.877</v>
      </c>
    </row>
    <row r="167">
      <c r="A167" s="20" t="inlineStr">
        <is>
          <t>소계</t>
        </is>
      </c>
      <c r="E167" s="22" t="n">
        <v>2675.246</v>
      </c>
      <c r="I167" s="22" t="n">
        <v>3950.98</v>
      </c>
      <c r="M167" s="22" t="n">
        <v>5949.902</v>
      </c>
      <c r="O167" s="22" t="n">
        <v>2037.508</v>
      </c>
      <c r="P167" s="22" t="n">
        <v>1972.134</v>
      </c>
      <c r="Q167" s="22" t="n">
        <v>2022.872</v>
      </c>
      <c r="R167" s="22" t="n">
        <v>2201.797</v>
      </c>
      <c r="S167" s="22" t="n">
        <v>3470.545</v>
      </c>
      <c r="T167" s="22" t="n">
        <v>3986.046</v>
      </c>
      <c r="U167" s="22" t="n">
        <v>2211.322</v>
      </c>
      <c r="V167" s="22" t="n">
        <v>2675.246</v>
      </c>
      <c r="W167" s="22" t="n">
        <v>3950.98</v>
      </c>
      <c r="X167" s="22" t="n">
        <v>5949.902</v>
      </c>
    </row>
    <row r="168">
      <c r="A168" s="20" t="inlineStr">
        <is>
          <t>이자·배당금 수취</t>
        </is>
      </c>
      <c r="E168" s="22" t="n">
        <v>25.727</v>
      </c>
      <c r="I168" s="22" t="n">
        <v>37.706</v>
      </c>
      <c r="M168" s="22" t="n">
        <v>41.975</v>
      </c>
      <c r="O168" s="22" t="n">
        <v>8.519</v>
      </c>
      <c r="P168" s="22" t="n">
        <v>8.816000000000001</v>
      </c>
      <c r="Q168" s="22" t="n">
        <v>11.783</v>
      </c>
      <c r="R168" s="22" t="n">
        <v>9.694000000000001</v>
      </c>
      <c r="S168" s="22" t="n">
        <v>8.034000000000001</v>
      </c>
      <c r="T168" s="22" t="n">
        <v>12.793</v>
      </c>
      <c r="U168" s="22" t="n">
        <v>16.414</v>
      </c>
      <c r="V168" s="22" t="n">
        <v>25.727</v>
      </c>
      <c r="W168" s="22" t="n">
        <v>37.706</v>
      </c>
      <c r="X168" s="22" t="n">
        <v>41.975</v>
      </c>
    </row>
    <row r="169">
      <c r="A169" s="20" t="inlineStr">
        <is>
          <t>이자 지급</t>
        </is>
      </c>
      <c r="E169" s="22" t="n">
        <v>-12.701</v>
      </c>
      <c r="I169" s="22" t="n">
        <v>-41.177</v>
      </c>
      <c r="M169" s="22" t="n">
        <v>-52.157</v>
      </c>
      <c r="O169" s="22" t="n">
        <v>-28.289</v>
      </c>
      <c r="P169" s="22" t="n">
        <v>-37.51</v>
      </c>
      <c r="Q169" s="22" t="n">
        <v>-35.105</v>
      </c>
      <c r="R169" s="22" t="n">
        <v>-8.962999999999999</v>
      </c>
      <c r="S169" s="22" t="n">
        <v>-5.488</v>
      </c>
      <c r="T169" s="22" t="n">
        <v>-3.71</v>
      </c>
      <c r="U169" s="22" t="n">
        <v>-5.333</v>
      </c>
      <c r="V169" s="22" t="n">
        <v>-12.701</v>
      </c>
      <c r="W169" s="22" t="n">
        <v>-41.177</v>
      </c>
      <c r="X169" s="22" t="n">
        <v>-52.157</v>
      </c>
    </row>
    <row r="170">
      <c r="A170" s="20" t="inlineStr">
        <is>
          <t>보상금 수취</t>
        </is>
      </c>
      <c r="I170" s="22" t="n">
        <v>0</v>
      </c>
      <c r="M170" s="22" t="n">
        <v>60.158</v>
      </c>
      <c r="W170" s="22" t="n">
        <v>0</v>
      </c>
      <c r="X170" s="22" t="n">
        <v>60.158</v>
      </c>
    </row>
    <row r="171">
      <c r="A171" s="20" t="inlineStr">
        <is>
          <t>보조금 수취</t>
        </is>
      </c>
      <c r="E171" s="22" t="n">
        <v>53.362</v>
      </c>
      <c r="I171" s="22" t="n">
        <v>34.709</v>
      </c>
      <c r="M171" s="22" t="n">
        <v>11.679</v>
      </c>
      <c r="U171" s="22" t="n">
        <v>0</v>
      </c>
      <c r="V171" s="22" t="n">
        <v>53.362</v>
      </c>
      <c r="W171" s="22" t="n">
        <v>34.709</v>
      </c>
      <c r="X171" s="22" t="n">
        <v>11.679</v>
      </c>
    </row>
    <row r="172">
      <c r="A172" s="20" t="inlineStr">
        <is>
          <t>보험금 수취</t>
        </is>
      </c>
      <c r="E172" s="22" t="n">
        <v>0.777</v>
      </c>
      <c r="I172" s="22" t="n">
        <v>1.6</v>
      </c>
      <c r="M172" s="22" t="n">
        <v>11.531</v>
      </c>
      <c r="O172" s="22" t="n">
        <v>63.921</v>
      </c>
      <c r="P172" s="22" t="n">
        <v>144.935</v>
      </c>
      <c r="Q172" s="22" t="n">
        <v>32.527</v>
      </c>
      <c r="R172" s="22" t="n">
        <v>26.424</v>
      </c>
      <c r="S172" s="22" t="n">
        <v>14.597</v>
      </c>
      <c r="T172" s="22" t="n">
        <v>4.4</v>
      </c>
      <c r="U172" s="22" t="n">
        <v>0</v>
      </c>
      <c r="V172" s="22" t="n">
        <v>0.777</v>
      </c>
      <c r="W172" s="22" t="n">
        <v>1.6</v>
      </c>
      <c r="X172" s="22" t="n">
        <v>11.531</v>
      </c>
    </row>
    <row r="173">
      <c r="A173" s="20" t="inlineStr">
        <is>
          <t>법인세 납부</t>
        </is>
      </c>
      <c r="E173" s="22" t="n">
        <v>-845.734</v>
      </c>
      <c r="I173" s="22" t="n">
        <v>-251.009</v>
      </c>
      <c r="M173" s="22" t="n">
        <v>-813.018</v>
      </c>
      <c r="O173" s="22" t="n">
        <v>-28.686</v>
      </c>
      <c r="P173" s="22" t="n">
        <v>-320.458</v>
      </c>
      <c r="Q173" s="22" t="n">
        <v>-614.9450000000001</v>
      </c>
      <c r="R173" s="22" t="n">
        <v>-28.916</v>
      </c>
      <c r="S173" s="22" t="n">
        <v>-268.439</v>
      </c>
      <c r="T173" s="22" t="n">
        <v>-1091.748</v>
      </c>
      <c r="U173" s="22" t="n">
        <v>-1537.092</v>
      </c>
      <c r="V173" s="22" t="n">
        <v>-845.734</v>
      </c>
      <c r="W173" s="22" t="n">
        <v>-251.009</v>
      </c>
      <c r="X173" s="22" t="n">
        <v>-813.018</v>
      </c>
    </row>
    <row r="174">
      <c r="A174" s="20" t="inlineStr">
        <is>
          <t>법인세 환급</t>
        </is>
      </c>
      <c r="E174" s="22" t="n">
        <v>13.604</v>
      </c>
      <c r="I174" s="22" t="n">
        <v>68.205</v>
      </c>
      <c r="M174" s="22" t="n">
        <v>30.38</v>
      </c>
      <c r="O174" s="22" t="n">
        <v>74.607</v>
      </c>
      <c r="P174" s="22" t="n">
        <v>0</v>
      </c>
      <c r="Q174" s="22" t="n">
        <v>0.452</v>
      </c>
      <c r="R174" s="22" t="n">
        <v>238.91</v>
      </c>
      <c r="S174" s="22" t="n">
        <v>0</v>
      </c>
      <c r="U174" s="22" t="n">
        <v>0</v>
      </c>
      <c r="V174" s="22" t="n">
        <v>13.604</v>
      </c>
      <c r="W174" s="22" t="n">
        <v>68.205</v>
      </c>
      <c r="X174" s="22" t="n">
        <v>30.38</v>
      </c>
    </row>
    <row r="175">
      <c r="A175" s="9" t="inlineStr">
        <is>
          <t>영업활동 현금흐름</t>
        </is>
      </c>
      <c r="E175" s="12" t="n">
        <v>1910.284</v>
      </c>
      <c r="I175" s="12" t="n">
        <v>3801.015</v>
      </c>
      <c r="M175" s="12" t="n">
        <v>5240.452</v>
      </c>
      <c r="O175" s="12" t="n">
        <v>2127.581</v>
      </c>
      <c r="P175" s="12" t="n">
        <v>1767.917</v>
      </c>
      <c r="Q175" s="12" t="n">
        <v>1417.583</v>
      </c>
      <c r="R175" s="12" t="n">
        <v>2438.946</v>
      </c>
      <c r="S175" s="12" t="n">
        <v>3219.249</v>
      </c>
      <c r="T175" s="12" t="n">
        <v>2907.781</v>
      </c>
      <c r="U175" s="12" t="n">
        <v>685.311</v>
      </c>
      <c r="V175" s="12" t="n">
        <v>1910.284</v>
      </c>
      <c r="W175" s="12" t="n">
        <v>3801.015</v>
      </c>
      <c r="X175" s="12" t="n">
        <v>5240.452</v>
      </c>
    </row>
    <row r="176">
      <c r="A176" s="20" t="inlineStr">
        <is>
          <t>정기예금 순증감</t>
        </is>
      </c>
      <c r="R176" s="22" t="n">
        <v>0</v>
      </c>
      <c r="S176" s="22" t="n">
        <v>-38.175</v>
      </c>
      <c r="T176" s="22" t="n">
        <v>38.175</v>
      </c>
      <c r="U176" s="22" t="n">
        <v>0</v>
      </c>
    </row>
    <row r="177">
      <c r="A177" s="20" t="inlineStr">
        <is>
          <t>유형자산 취득(설비투자)</t>
        </is>
      </c>
      <c r="E177" s="22" t="n">
        <v>-3386.895</v>
      </c>
      <c r="I177" s="22" t="n">
        <v>-5943.993</v>
      </c>
      <c r="M177" s="22" t="n">
        <v>-1495.547</v>
      </c>
      <c r="O177" s="22" t="n">
        <v>-742.11</v>
      </c>
      <c r="P177" s="22" t="n">
        <v>-486.372</v>
      </c>
      <c r="Q177" s="22" t="n">
        <v>-1009.038</v>
      </c>
      <c r="R177" s="22" t="n">
        <v>-1032.146</v>
      </c>
      <c r="S177" s="22" t="n">
        <v>-884.828</v>
      </c>
      <c r="T177" s="22" t="n">
        <v>-1822.383</v>
      </c>
      <c r="U177" s="22" t="n">
        <v>-3543.094</v>
      </c>
      <c r="V177" s="22" t="n">
        <v>-3386.895</v>
      </c>
      <c r="W177" s="22" t="n">
        <v>-5943.993</v>
      </c>
      <c r="X177" s="22" t="n">
        <v>-1495.547</v>
      </c>
    </row>
    <row r="178">
      <c r="A178" s="20" t="inlineStr">
        <is>
          <t>Proceeds From Subsidy Inv CF</t>
        </is>
      </c>
      <c r="O178" s="22" t="n">
        <v>47.771</v>
      </c>
      <c r="P178" s="22" t="n">
        <v>0</v>
      </c>
    </row>
    <row r="179">
      <c r="A179" s="20" t="inlineStr">
        <is>
          <t>Proceeds From Subsidy Etc Inv CF</t>
        </is>
      </c>
      <c r="E179" s="22" t="n">
        <v>0</v>
      </c>
      <c r="I179" s="22" t="n">
        <v>2622.486</v>
      </c>
      <c r="M179" s="22" t="n">
        <v>294.115</v>
      </c>
      <c r="P179" s="22" t="n">
        <v>0</v>
      </c>
      <c r="Q179" s="22" t="n">
        <v>1.788</v>
      </c>
      <c r="R179" s="22" t="n">
        <v>1.575</v>
      </c>
      <c r="S179" s="22" t="n">
        <v>3.359</v>
      </c>
      <c r="T179" s="22" t="n">
        <v>30.54</v>
      </c>
      <c r="U179" s="22" t="n">
        <v>17.345</v>
      </c>
      <c r="V179" s="22" t="n">
        <v>0</v>
      </c>
      <c r="W179" s="22" t="n">
        <v>2622.486</v>
      </c>
      <c r="X179" s="22" t="n">
        <v>294.115</v>
      </c>
    </row>
    <row r="180">
      <c r="A180" s="20" t="inlineStr">
        <is>
          <t>무형자산 취득</t>
        </is>
      </c>
      <c r="E180" s="22" t="n">
        <v>-20.089</v>
      </c>
      <c r="I180" s="22" t="n">
        <v>-24.597</v>
      </c>
      <c r="M180" s="22" t="n">
        <v>-131.606</v>
      </c>
      <c r="O180" s="22" t="n">
        <v>-5.797</v>
      </c>
      <c r="P180" s="22" t="n">
        <v>-1.529</v>
      </c>
      <c r="Q180" s="22" t="n">
        <v>-47.817</v>
      </c>
      <c r="R180" s="22" t="n">
        <v>-3.875</v>
      </c>
      <c r="S180" s="22" t="n">
        <v>-13.2</v>
      </c>
      <c r="T180" s="22" t="n">
        <v>-70.04900000000001</v>
      </c>
      <c r="U180" s="22" t="n">
        <v>-26.054</v>
      </c>
      <c r="V180" s="22" t="n">
        <v>-20.089</v>
      </c>
      <c r="W180" s="22" t="n">
        <v>-24.597</v>
      </c>
      <c r="X180" s="22" t="n">
        <v>-131.606</v>
      </c>
    </row>
    <row r="181">
      <c r="A181" s="20" t="inlineStr">
        <is>
          <t>투자유가증권 취득</t>
        </is>
      </c>
      <c r="E181" s="22" t="n">
        <v>-0.907</v>
      </c>
      <c r="I181" s="22" t="n">
        <v>-0.984</v>
      </c>
      <c r="M181" s="22" t="n">
        <v>-1.069</v>
      </c>
      <c r="O181" s="22" t="n">
        <v>-0.498</v>
      </c>
      <c r="P181" s="22" t="n">
        <v>-0.5580000000000001</v>
      </c>
      <c r="Q181" s="22" t="n">
        <v>-0.5649999999999999</v>
      </c>
      <c r="R181" s="22" t="n">
        <v>-0.63</v>
      </c>
      <c r="S181" s="22" t="n">
        <v>-0.643</v>
      </c>
      <c r="T181" s="22" t="n">
        <v>-0.71</v>
      </c>
      <c r="U181" s="22" t="n">
        <v>-0.779</v>
      </c>
      <c r="V181" s="22" t="n">
        <v>-0.907</v>
      </c>
      <c r="W181" s="22" t="n">
        <v>-0.984</v>
      </c>
      <c r="X181" s="22" t="n">
        <v>-1.069</v>
      </c>
    </row>
    <row r="182">
      <c r="A182" s="20" t="inlineStr">
        <is>
          <t>투자유가증권 매각</t>
        </is>
      </c>
      <c r="O182" s="22" t="n">
        <v>0</v>
      </c>
      <c r="P182" s="22" t="n">
        <v>0.003</v>
      </c>
      <c r="Q182" s="22" t="n">
        <v>0</v>
      </c>
    </row>
    <row r="183">
      <c r="A183" s="20" t="inlineStr">
        <is>
          <t>연결범위 변경 자회사 주식 취득</t>
        </is>
      </c>
      <c r="O183" s="22" t="n">
        <v>-99.379</v>
      </c>
      <c r="P183" s="22" t="n">
        <v>0</v>
      </c>
    </row>
    <row r="184">
      <c r="A184" s="20" t="inlineStr">
        <is>
          <t>Proceeds From Liquidation Of Subsidiaries And Associates Resulting In Change In Scope Of Consolidation Inv CF</t>
        </is>
      </c>
      <c r="P184" s="22" t="n">
        <v>0</v>
      </c>
      <c r="Q184" s="22" t="n">
        <v>578.659</v>
      </c>
      <c r="R184" s="22" t="n">
        <v>0</v>
      </c>
    </row>
    <row r="185">
      <c r="A185" s="20" t="inlineStr">
        <is>
          <t>기타</t>
        </is>
      </c>
      <c r="E185" s="22" t="n">
        <v>-4.513</v>
      </c>
      <c r="I185" s="22" t="n">
        <v>-54.619</v>
      </c>
      <c r="M185" s="22" t="n">
        <v>-63.309</v>
      </c>
      <c r="O185" s="22" t="n">
        <v>-38.101</v>
      </c>
      <c r="P185" s="22" t="n">
        <v>-29.244</v>
      </c>
      <c r="Q185" s="22" t="n">
        <v>-47.766</v>
      </c>
      <c r="R185" s="22" t="n">
        <v>-25.084</v>
      </c>
      <c r="S185" s="22" t="n">
        <v>-55.283</v>
      </c>
      <c r="T185" s="22" t="n">
        <v>-13.071</v>
      </c>
      <c r="U185" s="22" t="n">
        <v>-47.013</v>
      </c>
      <c r="V185" s="22" t="n">
        <v>-4.513</v>
      </c>
      <c r="W185" s="22" t="n">
        <v>-54.619</v>
      </c>
      <c r="X185" s="22" t="n">
        <v>-63.309</v>
      </c>
    </row>
    <row r="186">
      <c r="A186" s="9" t="inlineStr">
        <is>
          <t>투자활동 현금흐름</t>
        </is>
      </c>
      <c r="E186" s="12" t="n">
        <v>-3412.406</v>
      </c>
      <c r="I186" s="12" t="n">
        <v>-3401.708</v>
      </c>
      <c r="M186" s="12" t="n">
        <v>-1397.418</v>
      </c>
      <c r="O186" s="12" t="n">
        <v>-838.115</v>
      </c>
      <c r="P186" s="12" t="n">
        <v>-517.701</v>
      </c>
      <c r="Q186" s="12" t="n">
        <v>-524.739</v>
      </c>
      <c r="R186" s="12" t="n">
        <v>-1060.159</v>
      </c>
      <c r="S186" s="12" t="n">
        <v>-988.771</v>
      </c>
      <c r="T186" s="12" t="n">
        <v>-1837.499</v>
      </c>
      <c r="U186" s="12" t="n">
        <v>-3599.596</v>
      </c>
      <c r="V186" s="12" t="n">
        <v>-3412.406</v>
      </c>
      <c r="W186" s="12" t="n">
        <v>-3401.708</v>
      </c>
      <c r="X186" s="12" t="n">
        <v>-1397.418</v>
      </c>
    </row>
    <row r="187">
      <c r="A187" s="20" t="inlineStr">
        <is>
          <t>단기차입금 순증감</t>
        </is>
      </c>
      <c r="E187" s="22" t="n">
        <v>0</v>
      </c>
      <c r="I187" s="22" t="n">
        <v>1500</v>
      </c>
      <c r="M187" s="22" t="n">
        <v>-1500</v>
      </c>
      <c r="O187" s="22" t="n">
        <v>-450.181</v>
      </c>
      <c r="P187" s="22" t="n">
        <v>130.87</v>
      </c>
      <c r="Q187" s="22" t="n">
        <v>-500.832</v>
      </c>
      <c r="R187" s="22" t="n">
        <v>-460.598</v>
      </c>
      <c r="S187" s="22" t="n">
        <v>61.757</v>
      </c>
      <c r="T187" s="22" t="n">
        <v>0</v>
      </c>
      <c r="U187" s="22" t="n">
        <v>-600</v>
      </c>
      <c r="V187" s="22" t="n">
        <v>0</v>
      </c>
      <c r="W187" s="22" t="n">
        <v>1500</v>
      </c>
      <c r="X187" s="22" t="n">
        <v>-1500</v>
      </c>
    </row>
    <row r="188">
      <c r="A188" s="20" t="inlineStr">
        <is>
          <t>장기차입</t>
        </is>
      </c>
      <c r="E188" s="22" t="n">
        <v>4300</v>
      </c>
      <c r="I188" s="22" t="n">
        <v>1000</v>
      </c>
      <c r="M188" s="22" t="n">
        <v>1500</v>
      </c>
      <c r="O188" s="22" t="n">
        <v>2000</v>
      </c>
      <c r="P188" s="22" t="n">
        <v>0</v>
      </c>
      <c r="Q188" s="22" t="n">
        <v>1000</v>
      </c>
      <c r="R188" s="22" t="n">
        <v>1200</v>
      </c>
      <c r="S188" s="22" t="n">
        <v>2000</v>
      </c>
      <c r="T188" s="22" t="n">
        <v>0</v>
      </c>
      <c r="U188" s="22" t="n">
        <v>4700</v>
      </c>
      <c r="V188" s="22" t="n">
        <v>4300</v>
      </c>
      <c r="W188" s="22" t="n">
        <v>1000</v>
      </c>
      <c r="X188" s="22" t="n">
        <v>1500</v>
      </c>
    </row>
    <row r="189">
      <c r="A189" s="20" t="inlineStr">
        <is>
          <t>장기차입금 상환</t>
        </is>
      </c>
      <c r="E189" s="22" t="n">
        <v>-1856.779</v>
      </c>
      <c r="I189" s="22" t="n">
        <v>-2406.56</v>
      </c>
      <c r="M189" s="22" t="n">
        <v>-2496.703</v>
      </c>
      <c r="O189" s="22" t="n">
        <v>-2379.506</v>
      </c>
      <c r="P189" s="22" t="n">
        <v>-1505.004</v>
      </c>
      <c r="Q189" s="22" t="n">
        <v>-1359.984</v>
      </c>
      <c r="R189" s="22" t="n">
        <v>-1457.418</v>
      </c>
      <c r="S189" s="22" t="n">
        <v>-1304.916</v>
      </c>
      <c r="T189" s="22" t="n">
        <v>-964.9640000000001</v>
      </c>
      <c r="U189" s="22" t="n">
        <v>-1201.579</v>
      </c>
      <c r="V189" s="22" t="n">
        <v>-1856.779</v>
      </c>
      <c r="W189" s="22" t="n">
        <v>-2406.56</v>
      </c>
      <c r="X189" s="22" t="n">
        <v>-2496.703</v>
      </c>
    </row>
    <row r="190">
      <c r="A190" s="20" t="inlineStr">
        <is>
          <t>자기주식 처분</t>
        </is>
      </c>
      <c r="O190" s="22" t="n">
        <v>0.013</v>
      </c>
      <c r="P190" s="22" t="n">
        <v>0</v>
      </c>
      <c r="Q190" s="22" t="n">
        <v>0.062</v>
      </c>
      <c r="R190" s="22" t="n">
        <v>0</v>
      </c>
    </row>
    <row r="191">
      <c r="A191" s="20" t="inlineStr">
        <is>
          <t>자기주식 취득</t>
        </is>
      </c>
      <c r="E191" s="22" t="n">
        <v>-301.909</v>
      </c>
      <c r="I191" s="22" t="n">
        <v>-198.933</v>
      </c>
      <c r="M191" s="22" t="n">
        <v>-0.231</v>
      </c>
      <c r="O191" s="22" t="n">
        <v>0</v>
      </c>
      <c r="P191" s="22" t="n">
        <v>-0.615</v>
      </c>
      <c r="Q191" s="22" t="n">
        <v>-0.226</v>
      </c>
      <c r="R191" s="22" t="n">
        <v>0</v>
      </c>
      <c r="S191" s="22" t="n">
        <v>-0.388</v>
      </c>
      <c r="T191" s="22" t="n">
        <v>-0.277</v>
      </c>
      <c r="U191" s="22" t="n">
        <v>0</v>
      </c>
      <c r="V191" s="22" t="n">
        <v>-301.909</v>
      </c>
      <c r="W191" s="22" t="n">
        <v>-198.933</v>
      </c>
      <c r="X191" s="22" t="n">
        <v>-0.231</v>
      </c>
    </row>
    <row r="192">
      <c r="A192" s="20" t="inlineStr">
        <is>
          <t>배당금 지급</t>
        </is>
      </c>
      <c r="E192" s="22" t="n">
        <v>-642.824</v>
      </c>
      <c r="I192" s="22" t="n">
        <v>-531.825</v>
      </c>
      <c r="M192" s="22" t="n">
        <v>-790.578</v>
      </c>
      <c r="O192" s="22" t="n">
        <v>-193.625</v>
      </c>
      <c r="P192" s="22" t="n">
        <v>-193.624</v>
      </c>
      <c r="Q192" s="22" t="n">
        <v>-204.377</v>
      </c>
      <c r="R192" s="22" t="n">
        <v>-215.133</v>
      </c>
      <c r="S192" s="22" t="n">
        <v>-215.133</v>
      </c>
      <c r="T192" s="22" t="n">
        <v>-290.503</v>
      </c>
      <c r="U192" s="22" t="n">
        <v>-323.003</v>
      </c>
      <c r="V192" s="22" t="n">
        <v>-642.824</v>
      </c>
      <c r="W192" s="22" t="n">
        <v>-531.825</v>
      </c>
      <c r="X192" s="22" t="n">
        <v>-790.578</v>
      </c>
    </row>
    <row r="193">
      <c r="A193" s="20" t="inlineStr">
        <is>
          <t>Additional Purchase Of Investments In Subsidiaries From Non Controlling Shareholders Fin CF</t>
        </is>
      </c>
      <c r="O193" s="22" t="n">
        <v>-0.359</v>
      </c>
      <c r="P193" s="22" t="n">
        <v>0</v>
      </c>
    </row>
    <row r="194">
      <c r="A194" s="9" t="inlineStr">
        <is>
          <t>재무활동 현금흐름</t>
        </is>
      </c>
      <c r="E194" s="12" t="n">
        <v>1498.486</v>
      </c>
      <c r="I194" s="12" t="n">
        <v>-637.318</v>
      </c>
      <c r="M194" s="12" t="n">
        <v>-3287.513</v>
      </c>
      <c r="O194" s="12" t="n">
        <v>-1023.659</v>
      </c>
      <c r="P194" s="12" t="n">
        <v>-1568.373</v>
      </c>
      <c r="Q194" s="12" t="n">
        <v>-1065.358</v>
      </c>
      <c r="R194" s="12" t="n">
        <v>-933.15</v>
      </c>
      <c r="S194" s="12" t="n">
        <v>541.319</v>
      </c>
      <c r="T194" s="12" t="n">
        <v>-1255.745</v>
      </c>
      <c r="U194" s="12" t="n">
        <v>2575.417</v>
      </c>
      <c r="V194" s="12" t="n">
        <v>1498.486</v>
      </c>
      <c r="W194" s="12" t="n">
        <v>-637.318</v>
      </c>
      <c r="X194" s="12" t="n">
        <v>-3287.513</v>
      </c>
    </row>
    <row r="195">
      <c r="A195" s="20" t="inlineStr">
        <is>
          <t>현금성자산 환산차이</t>
        </is>
      </c>
      <c r="E195" s="22" t="n">
        <v>86.271</v>
      </c>
      <c r="I195" s="22" t="n">
        <v>58.059</v>
      </c>
      <c r="M195" s="22" t="n">
        <v>59.61</v>
      </c>
      <c r="O195" s="22" t="n">
        <v>-48.272</v>
      </c>
      <c r="P195" s="22" t="n">
        <v>-19.457</v>
      </c>
      <c r="Q195" s="22" t="n">
        <v>-24.537</v>
      </c>
      <c r="R195" s="22" t="n">
        <v>-8.282999999999999</v>
      </c>
      <c r="S195" s="22" t="n">
        <v>-23.911</v>
      </c>
      <c r="T195" s="22" t="n">
        <v>80.834</v>
      </c>
      <c r="U195" s="22" t="n">
        <v>126.966</v>
      </c>
      <c r="V195" s="22" t="n">
        <v>86.271</v>
      </c>
      <c r="W195" s="22" t="n">
        <v>58.059</v>
      </c>
      <c r="X195" s="22" t="n">
        <v>59.61</v>
      </c>
    </row>
    <row r="196">
      <c r="A196" s="20" t="inlineStr">
        <is>
          <t>현금성자산 증감</t>
        </is>
      </c>
      <c r="E196" s="22" t="n">
        <v>82.636</v>
      </c>
      <c r="I196" s="22" t="n">
        <v>-179.952</v>
      </c>
      <c r="M196" s="22" t="n">
        <v>615.13</v>
      </c>
      <c r="O196" s="22" t="n">
        <v>217.535</v>
      </c>
      <c r="P196" s="22" t="n">
        <v>-337.614</v>
      </c>
      <c r="Q196" s="22" t="n">
        <v>-197.052</v>
      </c>
      <c r="R196" s="22" t="n">
        <v>437.353</v>
      </c>
      <c r="S196" s="22" t="n">
        <v>2747.886</v>
      </c>
      <c r="T196" s="22" t="n">
        <v>-104.628</v>
      </c>
      <c r="U196" s="22" t="n">
        <v>-211.901</v>
      </c>
      <c r="V196" s="22" t="n">
        <v>82.636</v>
      </c>
      <c r="W196" s="22" t="n">
        <v>-179.952</v>
      </c>
      <c r="X196" s="22" t="n">
        <v>615.13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3891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17936.294</v>
      </c>
      <c r="D5" s="12" t="n">
        <v>17342.032</v>
      </c>
      <c r="E5" s="12" t="n">
        <v>18408.071</v>
      </c>
      <c r="F5" s="12" t="n">
        <v>17740.252</v>
      </c>
      <c r="G5" s="12" t="n">
        <v>18212.905</v>
      </c>
      <c r="H5" s="11" t="n">
        <v>15351.291</v>
      </c>
      <c r="I5" s="12" t="n">
        <v>17503.221</v>
      </c>
      <c r="J5" s="12" t="n">
        <v>18173.32</v>
      </c>
      <c r="K5" s="12" t="n">
        <v>17507.454</v>
      </c>
      <c r="L5" s="12" t="n">
        <v>17740.252</v>
      </c>
    </row>
    <row r="6">
      <c r="A6" s="20" t="inlineStr">
        <is>
          <t>현금및현금성자산</t>
        </is>
      </c>
      <c r="B6" s="10" t="n"/>
      <c r="C6" s="21" t="n">
        <v>4330.56</v>
      </c>
      <c r="D6" s="22" t="n">
        <v>4425.127</v>
      </c>
      <c r="E6" s="22" t="n">
        <v>4346.419</v>
      </c>
      <c r="F6" s="22" t="n">
        <v>4741.85</v>
      </c>
      <c r="G6" s="22" t="n">
        <v>4268.417</v>
      </c>
      <c r="H6" s="21" t="n">
        <v>4435.937</v>
      </c>
      <c r="I6" s="22" t="n">
        <v>4224.035</v>
      </c>
      <c r="J6" s="22" t="n">
        <v>4306.671</v>
      </c>
      <c r="K6" s="22" t="n">
        <v>4126.719</v>
      </c>
      <c r="L6" s="22" t="n">
        <v>4741.85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4742.723</v>
      </c>
      <c r="D8" s="22" t="n">
        <v>4967.678</v>
      </c>
      <c r="E8" s="22" t="n">
        <v>6099.243</v>
      </c>
      <c r="F8" s="22" t="n">
        <v>4975.964</v>
      </c>
      <c r="G8" s="22" t="n">
        <v>6062.805</v>
      </c>
      <c r="H8" s="21" t="n">
        <v>4705.341</v>
      </c>
      <c r="I8" s="22" t="n">
        <v>4251.568</v>
      </c>
      <c r="J8" s="22" t="n">
        <v>4868.093</v>
      </c>
      <c r="K8" s="22" t="n">
        <v>4135.549</v>
      </c>
      <c r="L8" s="22" t="n">
        <v>4975.964</v>
      </c>
    </row>
    <row r="9">
      <c r="A9" s="20" t="inlineStr">
        <is>
          <t>재고자산</t>
        </is>
      </c>
      <c r="B9" s="10" t="n"/>
      <c r="C9" s="21" t="n">
        <v>7821.408</v>
      </c>
      <c r="D9" s="22" t="n">
        <v>7574.997</v>
      </c>
      <c r="E9" s="22" t="n">
        <v>7649.286</v>
      </c>
      <c r="F9" s="22" t="n">
        <v>7813.639</v>
      </c>
      <c r="G9" s="22" t="n">
        <v>7511.12</v>
      </c>
      <c r="H9" s="21" t="n">
        <v>5815.845</v>
      </c>
      <c r="I9" s="22" t="n">
        <v>8173.866</v>
      </c>
      <c r="J9" s="22" t="n">
        <v>8345.172</v>
      </c>
      <c r="K9" s="22" t="n">
        <v>7971.033</v>
      </c>
      <c r="L9" s="22" t="n">
        <v>7813.639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17629.284</v>
      </c>
      <c r="D11" s="12" t="n">
        <v>17907.78</v>
      </c>
      <c r="E11" s="12" t="n">
        <v>17457.593</v>
      </c>
      <c r="F11" s="12" t="n">
        <v>17869.117</v>
      </c>
      <c r="G11" s="12" t="n">
        <v>17810.37</v>
      </c>
      <c r="H11" s="11" t="n">
        <v>10812.101</v>
      </c>
      <c r="I11" s="12" t="n">
        <v>13126.384</v>
      </c>
      <c r="J11" s="12" t="n">
        <v>15802.301</v>
      </c>
      <c r="K11" s="12" t="n">
        <v>17761.873</v>
      </c>
      <c r="L11" s="12" t="n">
        <v>17869.117</v>
      </c>
    </row>
    <row r="12">
      <c r="A12" s="20" t="inlineStr">
        <is>
          <t>유형자산</t>
        </is>
      </c>
      <c r="B12" s="10" t="n"/>
      <c r="C12" s="21" t="n">
        <v>16113.316</v>
      </c>
      <c r="D12" s="22" t="n">
        <v>16201.825</v>
      </c>
      <c r="E12" s="22" t="n">
        <v>15822.73</v>
      </c>
      <c r="F12" s="22" t="n">
        <v>15758.771</v>
      </c>
      <c r="G12" s="22" t="n">
        <v>15692.899</v>
      </c>
      <c r="H12" s="21" t="n">
        <v>9496.215</v>
      </c>
      <c r="I12" s="22" t="n">
        <v>11907.358</v>
      </c>
      <c r="J12" s="22" t="n">
        <v>14748.032</v>
      </c>
      <c r="K12" s="22" t="n">
        <v>16242.33</v>
      </c>
      <c r="L12" s="22" t="n">
        <v>15758.771</v>
      </c>
    </row>
    <row r="13">
      <c r="A13" s="20" t="inlineStr">
        <is>
          <t>무형자산</t>
        </is>
      </c>
      <c r="B13" s="10" t="n"/>
      <c r="C13" s="21" t="n">
        <v>174.702</v>
      </c>
      <c r="D13" s="22" t="n">
        <v>168.565</v>
      </c>
      <c r="E13" s="22" t="n">
        <v>165.876</v>
      </c>
      <c r="F13" s="22" t="n">
        <v>169.9</v>
      </c>
      <c r="G13" s="22" t="n">
        <v>160.226</v>
      </c>
      <c r="H13" s="21" t="n">
        <v>112.681</v>
      </c>
      <c r="I13" s="22" t="n">
        <v>91.60899999999999</v>
      </c>
      <c r="J13" s="22" t="n">
        <v>78.595</v>
      </c>
      <c r="K13" s="22" t="n">
        <v>108.789</v>
      </c>
      <c r="L13" s="22" t="n">
        <v>169.9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35565.579</v>
      </c>
      <c r="D16" s="12" t="n">
        <v>35249.812</v>
      </c>
      <c r="E16" s="12" t="n">
        <v>35865.664</v>
      </c>
      <c r="F16" s="12" t="n">
        <v>35609.369</v>
      </c>
      <c r="G16" s="12" t="n">
        <v>36023.275</v>
      </c>
      <c r="H16" s="11" t="n">
        <v>26163.392</v>
      </c>
      <c r="I16" s="12" t="n">
        <v>30629.605</v>
      </c>
      <c r="J16" s="12" t="n">
        <v>33975.622</v>
      </c>
      <c r="K16" s="12" t="n">
        <v>35269.328</v>
      </c>
      <c r="L16" s="12" t="n">
        <v>35609.369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6208.53</v>
      </c>
      <c r="D18" s="12" t="n">
        <v>5755.938</v>
      </c>
      <c r="E18" s="12" t="n">
        <v>6540.728</v>
      </c>
      <c r="F18" s="12" t="n">
        <v>5837.138</v>
      </c>
      <c r="G18" s="12" t="n">
        <v>5897.999</v>
      </c>
      <c r="H18" s="11" t="n">
        <v>4888.19</v>
      </c>
      <c r="I18" s="12" t="n">
        <v>4523.056</v>
      </c>
      <c r="J18" s="12" t="n">
        <v>5537.546</v>
      </c>
      <c r="K18" s="12" t="n">
        <v>6768.881</v>
      </c>
      <c r="L18" s="12" t="n">
        <v>5837.138</v>
      </c>
    </row>
    <row r="19">
      <c r="A19" s="20" t="inlineStr">
        <is>
          <t>매입채무</t>
        </is>
      </c>
      <c r="B19" s="10" t="n"/>
      <c r="C19" s="21" t="n">
        <v>393.07</v>
      </c>
      <c r="D19" s="22" t="n">
        <v>339.831</v>
      </c>
      <c r="E19" s="22" t="n">
        <v>399.957</v>
      </c>
      <c r="F19" s="22" t="n">
        <v>775.112</v>
      </c>
      <c r="G19" s="22" t="n">
        <v>1078.841</v>
      </c>
      <c r="H19" s="21" t="n">
        <v>499.023</v>
      </c>
      <c r="I19" s="22" t="n">
        <v>439.109</v>
      </c>
      <c r="J19" s="22" t="n">
        <v>481.499</v>
      </c>
      <c r="K19" s="22" t="n">
        <v>394.01</v>
      </c>
      <c r="L19" s="22" t="n">
        <v>775.112</v>
      </c>
    </row>
    <row r="20">
      <c r="A20" s="20" t="inlineStr">
        <is>
          <t>단기차입금</t>
        </is>
      </c>
      <c r="B20" s="10" t="n"/>
      <c r="C20" s="21" t="n">
        <v>1400</v>
      </c>
      <c r="D20" s="22" t="n">
        <v>400</v>
      </c>
      <c r="E20" s="22" t="n">
        <v>1700</v>
      </c>
      <c r="F20" s="22" t="n">
        <v>0</v>
      </c>
      <c r="G20" s="22" t="n">
        <v>400</v>
      </c>
      <c r="H20" s="21" t="n">
        <v>600</v>
      </c>
      <c r="I20" s="22" t="n">
        <v>0</v>
      </c>
      <c r="J20" s="22" t="n">
        <v>0</v>
      </c>
      <c r="K20" s="22" t="n">
        <v>1500</v>
      </c>
      <c r="L20" s="22" t="n">
        <v>0</v>
      </c>
    </row>
    <row r="21">
      <c r="A21" s="20" t="inlineStr">
        <is>
          <t>유동성장기부채</t>
        </is>
      </c>
      <c r="B21" s="10" t="n"/>
      <c r="C21" s="21" t="n">
        <v>2464.96</v>
      </c>
      <c r="D21" s="22" t="n">
        <v>2404.963</v>
      </c>
      <c r="E21" s="22" t="n">
        <v>2344.966</v>
      </c>
      <c r="F21" s="22" t="n">
        <v>2299.908</v>
      </c>
      <c r="G21" s="22" t="n">
        <v>2279.969</v>
      </c>
      <c r="H21" s="21" t="n">
        <v>839.928</v>
      </c>
      <c r="I21" s="22" t="n">
        <v>1655.12</v>
      </c>
      <c r="J21" s="22" t="n">
        <v>2244.9</v>
      </c>
      <c r="K21" s="22" t="n">
        <v>2251.713</v>
      </c>
      <c r="L21" s="22" t="n">
        <v>2299.908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5273.783</v>
      </c>
      <c r="D23" s="12" t="n">
        <v>4704.553</v>
      </c>
      <c r="E23" s="12" t="n">
        <v>4127.435</v>
      </c>
      <c r="F23" s="12" t="n">
        <v>3565.519</v>
      </c>
      <c r="G23" s="12" t="n">
        <v>3014.156</v>
      </c>
      <c r="H23" s="11" t="n">
        <v>1943.431</v>
      </c>
      <c r="I23" s="12" t="n">
        <v>4534.259</v>
      </c>
      <c r="J23" s="12" t="n">
        <v>6071.012</v>
      </c>
      <c r="K23" s="12" t="n">
        <v>4597.11</v>
      </c>
      <c r="L23" s="12" t="n">
        <v>3565.519</v>
      </c>
    </row>
    <row r="24">
      <c r="A24" s="20" t="inlineStr">
        <is>
          <t>장기차입금</t>
        </is>
      </c>
      <c r="B24" s="10" t="n"/>
      <c r="C24" s="21" t="n">
        <v>5215.263</v>
      </c>
      <c r="D24" s="22" t="n">
        <v>4640.286</v>
      </c>
      <c r="E24" s="22" t="n">
        <v>4065.309</v>
      </c>
      <c r="F24" s="22" t="n">
        <v>3490.332</v>
      </c>
      <c r="G24" s="22" t="n">
        <v>2935.294</v>
      </c>
      <c r="H24" s="21" t="n">
        <v>1411.933</v>
      </c>
      <c r="I24" s="22" t="n">
        <v>4095.162</v>
      </c>
      <c r="J24" s="22" t="n">
        <v>5948.603</v>
      </c>
      <c r="K24" s="22" t="n">
        <v>4535.23</v>
      </c>
      <c r="L24" s="22" t="n">
        <v>3490.332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11482.314</v>
      </c>
      <c r="D27" s="12" t="n">
        <v>10460.492</v>
      </c>
      <c r="E27" s="12" t="n">
        <v>10668.163</v>
      </c>
      <c r="F27" s="12" t="n">
        <v>9402.657999999999</v>
      </c>
      <c r="G27" s="12" t="n">
        <v>8912.156000000001</v>
      </c>
      <c r="H27" s="11" t="n">
        <v>6831.621</v>
      </c>
      <c r="I27" s="12" t="n">
        <v>9057.316000000001</v>
      </c>
      <c r="J27" s="12" t="n">
        <v>11608.559</v>
      </c>
      <c r="K27" s="12" t="n">
        <v>11365.992</v>
      </c>
      <c r="L27" s="12" t="n">
        <v>9402.657999999999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24083.265</v>
      </c>
      <c r="D31" s="12" t="n">
        <v>24789.32</v>
      </c>
      <c r="E31" s="12" t="n">
        <v>25197.501</v>
      </c>
      <c r="F31" s="12" t="n">
        <v>26206.711</v>
      </c>
      <c r="G31" s="12" t="n">
        <v>27111.119</v>
      </c>
      <c r="H31" s="11" t="n">
        <v>19331.77</v>
      </c>
      <c r="I31" s="12" t="n">
        <v>21572.288</v>
      </c>
      <c r="J31" s="12" t="n">
        <v>22367.062</v>
      </c>
      <c r="K31" s="12" t="n">
        <v>23903.335</v>
      </c>
      <c r="L31" s="12" t="n">
        <v>26206.711</v>
      </c>
    </row>
    <row r="32">
      <c r="A32" s="20" t="inlineStr">
        <is>
          <t>자본금</t>
        </is>
      </c>
      <c r="B32" s="10" t="n"/>
      <c r="C32" s="21" t="n">
        <v>2241.749</v>
      </c>
      <c r="D32" s="22" t="n">
        <v>2241.749</v>
      </c>
      <c r="E32" s="22" t="n">
        <v>2241.749</v>
      </c>
      <c r="F32" s="22" t="n">
        <v>2241.749</v>
      </c>
      <c r="G32" s="22" t="n">
        <v>2241.749</v>
      </c>
      <c r="H32" s="21" t="n">
        <v>2241.749</v>
      </c>
      <c r="I32" s="22" t="n">
        <v>2241.749</v>
      </c>
      <c r="J32" s="22" t="n">
        <v>2241.749</v>
      </c>
      <c r="K32" s="22" t="n">
        <v>2241.749</v>
      </c>
      <c r="L32" s="22" t="n">
        <v>2241.749</v>
      </c>
    </row>
    <row r="33">
      <c r="A33" s="20" t="inlineStr">
        <is>
          <t>이익잉여금</t>
        </is>
      </c>
      <c r="B33" s="10" t="n"/>
      <c r="C33" s="21" t="n">
        <v>17503.162</v>
      </c>
      <c r="D33" s="22" t="n">
        <v>18148.932</v>
      </c>
      <c r="E33" s="22" t="n">
        <v>18491.222</v>
      </c>
      <c r="F33" s="22" t="n">
        <v>19126.793</v>
      </c>
      <c r="G33" s="22" t="n">
        <v>19866.513</v>
      </c>
      <c r="H33" s="21" t="n">
        <v>13374.847</v>
      </c>
      <c r="I33" s="22" t="n">
        <v>15520.225</v>
      </c>
      <c r="J33" s="22" t="n">
        <v>16183.895</v>
      </c>
      <c r="K33" s="22" t="n">
        <v>17274.39</v>
      </c>
      <c r="L33" s="22" t="n">
        <v>19126.793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24083.265</v>
      </c>
      <c r="D35" s="12" t="n">
        <v>24789.32</v>
      </c>
      <c r="E35" s="12" t="n">
        <v>25197.501</v>
      </c>
      <c r="F35" s="12" t="n">
        <v>26206.711</v>
      </c>
      <c r="G35" s="12" t="n">
        <v>27111.119</v>
      </c>
      <c r="H35" s="11" t="n">
        <v>19331.77</v>
      </c>
      <c r="I35" s="12" t="n">
        <v>21572.288</v>
      </c>
      <c r="J35" s="12" t="n">
        <v>22367.062</v>
      </c>
      <c r="K35" s="12" t="n">
        <v>23903.335</v>
      </c>
      <c r="L35" s="12" t="n">
        <v>26206.711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5240.452</v>
      </c>
      <c r="G37" s="12" t="n"/>
      <c r="H37" s="11" t="n">
        <v>2907.781</v>
      </c>
      <c r="I37" s="12" t="n">
        <v>685.311</v>
      </c>
      <c r="J37" s="12" t="n">
        <v>1910.284</v>
      </c>
      <c r="K37" s="12" t="n">
        <v>3801.015</v>
      </c>
      <c r="L37" s="12" t="n">
        <v>5240.452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>
        <v>1627.153</v>
      </c>
      <c r="G38" s="22" t="n"/>
      <c r="H38" s="21" t="n">
        <v>1892.432</v>
      </c>
      <c r="I38" s="22" t="n">
        <v>3569.148</v>
      </c>
      <c r="J38" s="22" t="n">
        <v>3406.984</v>
      </c>
      <c r="K38" s="22" t="n">
        <v>5968.59</v>
      </c>
      <c r="L38" s="22" t="n">
        <v>1627.153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>
        <v>790.578</v>
      </c>
      <c r="G40" s="22" t="n"/>
      <c r="H40" s="21" t="n">
        <v>290.503</v>
      </c>
      <c r="I40" s="22" t="n">
        <v>323.003</v>
      </c>
      <c r="J40" s="22" t="n">
        <v>642.824</v>
      </c>
      <c r="K40" s="22" t="n">
        <v>531.825</v>
      </c>
      <c r="L40" s="22" t="n">
        <v>790.578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4330.56</v>
      </c>
      <c r="D71" s="22" t="n">
        <v>4425.127</v>
      </c>
      <c r="E71" s="22" t="n">
        <v>4346.419</v>
      </c>
      <c r="F71" s="22" t="n">
        <v>4741.85</v>
      </c>
      <c r="G71" s="22" t="n">
        <v>4268.417</v>
      </c>
      <c r="H71" s="22" t="n">
        <v>4435.937</v>
      </c>
      <c r="I71" s="22" t="n">
        <v>4224.035</v>
      </c>
      <c r="J71" s="22" t="n">
        <v>4306.671</v>
      </c>
      <c r="K71" s="22" t="n">
        <v>4126.719</v>
      </c>
      <c r="L71" s="22" t="n">
        <v>4741.85</v>
      </c>
    </row>
    <row r="72">
      <c r="A72" s="20" t="inlineStr">
        <is>
          <t>받을어음·매출채권</t>
        </is>
      </c>
      <c r="H72" s="22" t="n">
        <v>0</v>
      </c>
    </row>
    <row r="73">
      <c r="A73" s="20" t="inlineStr">
        <is>
          <t>매출채권</t>
        </is>
      </c>
      <c r="C73" s="22" t="n">
        <v>4742.723</v>
      </c>
      <c r="D73" s="22" t="n">
        <v>4967.678</v>
      </c>
      <c r="E73" s="22" t="n">
        <v>6099.243</v>
      </c>
      <c r="F73" s="22" t="n">
        <v>4975.964</v>
      </c>
      <c r="G73" s="22" t="n">
        <v>6062.805</v>
      </c>
      <c r="H73" s="22" t="n">
        <v>4705.341</v>
      </c>
      <c r="I73" s="22" t="n">
        <v>4251.568</v>
      </c>
      <c r="J73" s="22" t="n">
        <v>4868.093</v>
      </c>
      <c r="K73" s="22" t="n">
        <v>4135.549</v>
      </c>
      <c r="L73" s="22" t="n">
        <v>4975.964</v>
      </c>
    </row>
    <row r="74">
      <c r="A74" s="20" t="inlineStr">
        <is>
          <t>상품·제품</t>
        </is>
      </c>
      <c r="C74" s="22" t="n">
        <v>2681.898</v>
      </c>
      <c r="D74" s="22" t="n">
        <v>2735.479</v>
      </c>
      <c r="E74" s="22" t="n">
        <v>2908.048</v>
      </c>
      <c r="F74" s="22" t="n">
        <v>2975.019</v>
      </c>
      <c r="G74" s="22" t="n">
        <v>2994.958</v>
      </c>
      <c r="H74" s="22" t="n">
        <v>2638.849</v>
      </c>
      <c r="I74" s="22" t="n">
        <v>2876.62</v>
      </c>
      <c r="J74" s="22" t="n">
        <v>2330.608</v>
      </c>
      <c r="K74" s="22" t="n">
        <v>2554.926</v>
      </c>
      <c r="L74" s="22" t="n">
        <v>2975.019</v>
      </c>
    </row>
    <row r="75">
      <c r="A75" s="20" t="inlineStr">
        <is>
          <t>재공품</t>
        </is>
      </c>
      <c r="C75" s="22" t="n">
        <v>0</v>
      </c>
      <c r="D75" s="22" t="n">
        <v>1.264</v>
      </c>
      <c r="E75" s="22" t="n">
        <v>0</v>
      </c>
      <c r="F75" s="22" t="n">
        <v>8.901</v>
      </c>
      <c r="G75" s="22" t="n">
        <v>0</v>
      </c>
      <c r="H75" s="22" t="n">
        <v>5.903</v>
      </c>
      <c r="I75" s="22" t="n">
        <v>3.936</v>
      </c>
      <c r="J75" s="22" t="n">
        <v>3.006</v>
      </c>
      <c r="K75" s="22" t="n">
        <v>13.294</v>
      </c>
      <c r="L75" s="22" t="n">
        <v>8.901</v>
      </c>
    </row>
    <row r="76">
      <c r="A76" s="20" t="inlineStr">
        <is>
          <t>원재료·저장품</t>
        </is>
      </c>
      <c r="C76" s="22" t="n">
        <v>5139.51</v>
      </c>
      <c r="D76" s="22" t="n">
        <v>4838.254</v>
      </c>
      <c r="E76" s="22" t="n">
        <v>4741.238</v>
      </c>
      <c r="F76" s="22" t="n">
        <v>4829.719</v>
      </c>
      <c r="G76" s="22" t="n">
        <v>4516.162</v>
      </c>
      <c r="H76" s="22" t="n">
        <v>3171.093</v>
      </c>
      <c r="I76" s="22" t="n">
        <v>5293.31</v>
      </c>
      <c r="J76" s="22" t="n">
        <v>6011.558</v>
      </c>
      <c r="K76" s="22" t="n">
        <v>5402.813</v>
      </c>
      <c r="L76" s="22" t="n">
        <v>4829.719</v>
      </c>
    </row>
    <row r="77">
      <c r="A77" s="20" t="inlineStr">
        <is>
          <t>미수 소비세</t>
        </is>
      </c>
      <c r="C77" s="22" t="n">
        <v>779.073</v>
      </c>
      <c r="D77" s="22" t="n">
        <v>0</v>
      </c>
      <c r="E77" s="22" t="n">
        <v>0</v>
      </c>
      <c r="F77" s="22" t="n">
        <v>0</v>
      </c>
      <c r="J77" s="22" t="n">
        <v>0</v>
      </c>
      <c r="K77" s="22" t="n">
        <v>779.073</v>
      </c>
      <c r="L77" s="22" t="n">
        <v>0</v>
      </c>
    </row>
    <row r="78">
      <c r="A78" s="20" t="inlineStr">
        <is>
          <t>기타</t>
        </is>
      </c>
      <c r="C78" s="22" t="n">
        <v>262.527</v>
      </c>
      <c r="D78" s="22" t="n">
        <v>374.225</v>
      </c>
      <c r="E78" s="22" t="n">
        <v>313.121</v>
      </c>
      <c r="F78" s="22" t="n">
        <v>208.796</v>
      </c>
      <c r="G78" s="22" t="n">
        <v>370.56</v>
      </c>
      <c r="H78" s="22" t="n">
        <v>394.166</v>
      </c>
      <c r="I78" s="22" t="n">
        <v>853.749</v>
      </c>
      <c r="J78" s="22" t="n">
        <v>653.381</v>
      </c>
      <c r="K78" s="22" t="n">
        <v>495.076</v>
      </c>
      <c r="L78" s="22" t="n">
        <v>208.796</v>
      </c>
    </row>
    <row r="79">
      <c r="A79" s="9" t="inlineStr">
        <is>
          <t>유동자산 합계</t>
        </is>
      </c>
      <c r="C79" s="12" t="n">
        <v>17936.294</v>
      </c>
      <c r="D79" s="12" t="n">
        <v>17342.032</v>
      </c>
      <c r="E79" s="12" t="n">
        <v>18408.071</v>
      </c>
      <c r="F79" s="12" t="n">
        <v>17740.252</v>
      </c>
      <c r="G79" s="12" t="n">
        <v>18212.905</v>
      </c>
      <c r="H79" s="12" t="n">
        <v>15351.291</v>
      </c>
      <c r="I79" s="12" t="n">
        <v>17503.221</v>
      </c>
      <c r="J79" s="12" t="n">
        <v>18173.32</v>
      </c>
      <c r="K79" s="12" t="n">
        <v>17507.454</v>
      </c>
      <c r="L79" s="12" t="n">
        <v>17740.252</v>
      </c>
    </row>
    <row r="80">
      <c r="A80" s="20" t="inlineStr">
        <is>
          <t>건물·구축물(순액)</t>
        </is>
      </c>
      <c r="C80" s="22" t="n">
        <v>5291.088</v>
      </c>
      <c r="D80" s="22" t="n">
        <v>6139.243</v>
      </c>
      <c r="E80" s="22" t="n">
        <v>5984.094</v>
      </c>
      <c r="F80" s="22" t="n">
        <v>5927.769</v>
      </c>
      <c r="G80" s="22" t="n">
        <v>5845.41</v>
      </c>
      <c r="H80" s="22" t="n">
        <v>2782.77</v>
      </c>
      <c r="I80" s="22" t="n">
        <v>3506.215</v>
      </c>
      <c r="J80" s="22" t="n">
        <v>3253.086</v>
      </c>
      <c r="K80" s="22" t="n">
        <v>5381.022</v>
      </c>
      <c r="L80" s="22" t="n">
        <v>5927.769</v>
      </c>
    </row>
    <row r="81">
      <c r="A81" s="20" t="inlineStr">
        <is>
          <t>기계장치·운반구(순액)</t>
        </is>
      </c>
      <c r="C81" s="22" t="n">
        <v>7029.796</v>
      </c>
      <c r="D81" s="22" t="n">
        <v>6948.486</v>
      </c>
      <c r="E81" s="22" t="n">
        <v>6685.119</v>
      </c>
      <c r="F81" s="22" t="n">
        <v>6800.363</v>
      </c>
      <c r="G81" s="22" t="n">
        <v>6653.904</v>
      </c>
      <c r="H81" s="22" t="n">
        <v>3467.846</v>
      </c>
      <c r="I81" s="22" t="n">
        <v>3229.446</v>
      </c>
      <c r="J81" s="22" t="n">
        <v>2786.007</v>
      </c>
      <c r="K81" s="22" t="n">
        <v>7085.075</v>
      </c>
      <c r="L81" s="22" t="n">
        <v>6800.363</v>
      </c>
    </row>
    <row r="82">
      <c r="A82" s="20" t="inlineStr">
        <is>
          <t>토지</t>
        </is>
      </c>
      <c r="C82" s="22" t="n">
        <v>2225.239</v>
      </c>
      <c r="D82" s="22" t="n">
        <v>2226.431</v>
      </c>
      <c r="E82" s="22" t="n">
        <v>2226.431</v>
      </c>
      <c r="F82" s="22" t="n">
        <v>2218.864</v>
      </c>
      <c r="G82" s="22" t="n">
        <v>2218.864</v>
      </c>
      <c r="H82" s="22" t="n">
        <v>2063.108</v>
      </c>
      <c r="I82" s="22" t="n">
        <v>2063.108</v>
      </c>
      <c r="J82" s="22" t="n">
        <v>2179.699</v>
      </c>
      <c r="K82" s="22" t="n">
        <v>2225.239</v>
      </c>
      <c r="L82" s="22" t="n">
        <v>2218.864</v>
      </c>
    </row>
    <row r="83">
      <c r="A83" s="20" t="inlineStr">
        <is>
          <t>건설중인자산</t>
        </is>
      </c>
      <c r="C83" s="22" t="n">
        <v>1105.6</v>
      </c>
      <c r="D83" s="22" t="n">
        <v>441.813</v>
      </c>
      <c r="E83" s="22" t="n">
        <v>497.516</v>
      </c>
      <c r="F83" s="22" t="n">
        <v>379.318</v>
      </c>
      <c r="G83" s="22" t="n">
        <v>554.8869999999999</v>
      </c>
      <c r="H83" s="22" t="n">
        <v>857.697</v>
      </c>
      <c r="I83" s="22" t="n">
        <v>2766.41</v>
      </c>
      <c r="J83" s="22" t="n">
        <v>6207.093</v>
      </c>
      <c r="K83" s="22" t="n">
        <v>1067.875</v>
      </c>
      <c r="L83" s="22" t="n">
        <v>379.318</v>
      </c>
    </row>
    <row r="84">
      <c r="A84" s="20" t="inlineStr">
        <is>
          <t>기타(순액)</t>
        </is>
      </c>
      <c r="C84" s="22" t="n">
        <v>461.591</v>
      </c>
      <c r="D84" s="22" t="n">
        <v>445.85</v>
      </c>
      <c r="E84" s="22" t="n">
        <v>429.566</v>
      </c>
      <c r="F84" s="22" t="n">
        <v>432.455</v>
      </c>
      <c r="G84" s="22" t="n">
        <v>419.831</v>
      </c>
      <c r="H84" s="22" t="n">
        <v>324.791</v>
      </c>
      <c r="I84" s="22" t="n">
        <v>342.175</v>
      </c>
      <c r="J84" s="22" t="n">
        <v>322.145</v>
      </c>
      <c r="K84" s="22" t="n">
        <v>483.116</v>
      </c>
      <c r="L84" s="22" t="n">
        <v>432.455</v>
      </c>
    </row>
    <row r="85">
      <c r="A85" s="20" t="inlineStr">
        <is>
          <t>유형자산 합계</t>
        </is>
      </c>
      <c r="C85" s="22" t="n">
        <v>16113.316</v>
      </c>
      <c r="D85" s="22" t="n">
        <v>16201.825</v>
      </c>
      <c r="E85" s="22" t="n">
        <v>15822.73</v>
      </c>
      <c r="F85" s="22" t="n">
        <v>15758.771</v>
      </c>
      <c r="G85" s="22" t="n">
        <v>15692.899</v>
      </c>
      <c r="H85" s="22" t="n">
        <v>9496.215</v>
      </c>
      <c r="I85" s="22" t="n">
        <v>11907.358</v>
      </c>
      <c r="J85" s="22" t="n">
        <v>14748.032</v>
      </c>
      <c r="K85" s="22" t="n">
        <v>16242.33</v>
      </c>
      <c r="L85" s="22" t="n">
        <v>15758.771</v>
      </c>
    </row>
    <row r="86">
      <c r="A86" s="20" t="inlineStr">
        <is>
          <t>무형자산</t>
        </is>
      </c>
      <c r="C86" s="22" t="n">
        <v>174.702</v>
      </c>
      <c r="D86" s="22" t="n">
        <v>168.565</v>
      </c>
      <c r="E86" s="22" t="n">
        <v>165.876</v>
      </c>
      <c r="F86" s="22" t="n">
        <v>169.9</v>
      </c>
      <c r="G86" s="22" t="n">
        <v>160.226</v>
      </c>
      <c r="H86" s="22" t="n">
        <v>112.681</v>
      </c>
      <c r="I86" s="22" t="n">
        <v>91.60899999999999</v>
      </c>
      <c r="J86" s="22" t="n">
        <v>78.595</v>
      </c>
      <c r="K86" s="22" t="n">
        <v>108.789</v>
      </c>
      <c r="L86" s="22" t="n">
        <v>169.9</v>
      </c>
    </row>
    <row r="87">
      <c r="A87" s="20" t="inlineStr">
        <is>
          <t>투자유가증권</t>
        </is>
      </c>
      <c r="C87" s="22" t="n">
        <v>311.28</v>
      </c>
      <c r="D87" s="22" t="n">
        <v>378.807</v>
      </c>
      <c r="E87" s="22" t="n">
        <v>427.031</v>
      </c>
      <c r="F87" s="22" t="n">
        <v>475.123</v>
      </c>
      <c r="G87" s="22" t="n">
        <v>689.783</v>
      </c>
      <c r="H87" s="22" t="n">
        <v>245.074</v>
      </c>
      <c r="I87" s="22" t="n">
        <v>268.827</v>
      </c>
      <c r="J87" s="22" t="n">
        <v>301.191</v>
      </c>
      <c r="K87" s="22" t="n">
        <v>302.683</v>
      </c>
      <c r="L87" s="22" t="n">
        <v>475.123</v>
      </c>
    </row>
    <row r="88">
      <c r="A88" s="20" t="inlineStr">
        <is>
          <t>이연법인세자산</t>
        </is>
      </c>
      <c r="C88" s="22" t="n">
        <v>318.49</v>
      </c>
      <c r="D88" s="22" t="n">
        <v>416.641</v>
      </c>
      <c r="E88" s="22" t="n">
        <v>294.304</v>
      </c>
      <c r="F88" s="22" t="n">
        <v>355.64</v>
      </c>
      <c r="G88" s="22" t="n">
        <v>151.854</v>
      </c>
      <c r="H88" s="22" t="n">
        <v>791.15</v>
      </c>
      <c r="I88" s="22" t="n">
        <v>715.693</v>
      </c>
      <c r="J88" s="22" t="n">
        <v>536.5119999999999</v>
      </c>
      <c r="K88" s="22" t="n">
        <v>436.581</v>
      </c>
      <c r="L88" s="22" t="n">
        <v>355.64</v>
      </c>
    </row>
    <row r="89">
      <c r="A89" s="20" t="inlineStr">
        <is>
          <t>퇴직급여자산</t>
        </is>
      </c>
      <c r="C89" s="22" t="n">
        <v>520.958</v>
      </c>
      <c r="D89" s="22" t="n">
        <v>551.596</v>
      </c>
      <c r="E89" s="22" t="n">
        <v>562.421</v>
      </c>
      <c r="F89" s="22" t="n">
        <v>892.0170000000001</v>
      </c>
      <c r="G89" s="22" t="n">
        <v>893.9</v>
      </c>
      <c r="J89" s="22" t="n">
        <v>0</v>
      </c>
      <c r="K89" s="22" t="n">
        <v>496.085</v>
      </c>
      <c r="L89" s="22" t="n">
        <v>892.0170000000001</v>
      </c>
    </row>
    <row r="90">
      <c r="A90" s="20" t="inlineStr">
        <is>
          <t>기타</t>
        </is>
      </c>
      <c r="C90" s="22" t="n">
        <v>211.535</v>
      </c>
      <c r="D90" s="22" t="n">
        <v>211.343</v>
      </c>
      <c r="E90" s="22" t="n">
        <v>206.229</v>
      </c>
      <c r="F90" s="22" t="n">
        <v>238.663</v>
      </c>
      <c r="G90" s="22" t="n">
        <v>242.704</v>
      </c>
      <c r="H90" s="22" t="n">
        <v>187.98</v>
      </c>
      <c r="I90" s="22" t="n">
        <v>163.894</v>
      </c>
      <c r="J90" s="22" t="n">
        <v>158.969</v>
      </c>
      <c r="K90" s="22" t="n">
        <v>196.403</v>
      </c>
      <c r="L90" s="22" t="n">
        <v>238.663</v>
      </c>
    </row>
    <row r="91">
      <c r="A91" s="20" t="inlineStr">
        <is>
          <t>대손충당금</t>
        </is>
      </c>
      <c r="C91" s="22" t="n">
        <v>-21</v>
      </c>
      <c r="D91" s="22" t="n">
        <v>-21</v>
      </c>
      <c r="E91" s="22" t="n">
        <v>-21</v>
      </c>
      <c r="F91" s="22" t="n">
        <v>-21</v>
      </c>
      <c r="G91" s="22" t="n">
        <v>-21</v>
      </c>
      <c r="H91" s="22" t="n">
        <v>-21</v>
      </c>
      <c r="I91" s="22" t="n">
        <v>-21</v>
      </c>
      <c r="J91" s="22" t="n">
        <v>-21</v>
      </c>
      <c r="K91" s="22" t="n">
        <v>-21</v>
      </c>
      <c r="L91" s="22" t="n">
        <v>-21</v>
      </c>
    </row>
    <row r="92">
      <c r="A92" s="20" t="inlineStr">
        <is>
          <t>투자 및 기타자산 합계</t>
        </is>
      </c>
      <c r="C92" s="22" t="n">
        <v>1341.266</v>
      </c>
      <c r="D92" s="22" t="n">
        <v>1537.388</v>
      </c>
      <c r="E92" s="22" t="n">
        <v>1468.986</v>
      </c>
      <c r="F92" s="22" t="n">
        <v>1940.445</v>
      </c>
      <c r="G92" s="22" t="n">
        <v>1957.244</v>
      </c>
      <c r="H92" s="22" t="n">
        <v>1203.204</v>
      </c>
      <c r="I92" s="22" t="n">
        <v>1127.416</v>
      </c>
      <c r="J92" s="22" t="n">
        <v>975.673</v>
      </c>
      <c r="K92" s="22" t="n">
        <v>1410.753</v>
      </c>
      <c r="L92" s="22" t="n">
        <v>1940.445</v>
      </c>
    </row>
    <row r="93">
      <c r="A93" s="9" t="inlineStr">
        <is>
          <t>비유동자산 합계</t>
        </is>
      </c>
      <c r="C93" s="12" t="n">
        <v>17629.284</v>
      </c>
      <c r="D93" s="12" t="n">
        <v>17907.78</v>
      </c>
      <c r="E93" s="12" t="n">
        <v>17457.593</v>
      </c>
      <c r="F93" s="12" t="n">
        <v>17869.117</v>
      </c>
      <c r="G93" s="12" t="n">
        <v>17810.37</v>
      </c>
      <c r="H93" s="12" t="n">
        <v>10812.101</v>
      </c>
      <c r="I93" s="12" t="n">
        <v>13126.384</v>
      </c>
      <c r="J93" s="12" t="n">
        <v>15802.301</v>
      </c>
      <c r="K93" s="12" t="n">
        <v>17761.873</v>
      </c>
      <c r="L93" s="12" t="n">
        <v>17869.117</v>
      </c>
    </row>
    <row r="94">
      <c r="A94" s="9" t="inlineStr">
        <is>
          <t>자산 합계</t>
        </is>
      </c>
      <c r="C94" s="12" t="n">
        <v>35565.579</v>
      </c>
      <c r="D94" s="12" t="n">
        <v>35249.812</v>
      </c>
      <c r="E94" s="12" t="n">
        <v>35865.664</v>
      </c>
      <c r="F94" s="12" t="n">
        <v>35609.369</v>
      </c>
      <c r="G94" s="12" t="n">
        <v>36023.275</v>
      </c>
      <c r="H94" s="12" t="n">
        <v>26163.392</v>
      </c>
      <c r="I94" s="12" t="n">
        <v>30629.605</v>
      </c>
      <c r="J94" s="12" t="n">
        <v>33975.622</v>
      </c>
      <c r="K94" s="12" t="n">
        <v>35269.328</v>
      </c>
      <c r="L94" s="12" t="n">
        <v>35609.369</v>
      </c>
    </row>
    <row r="95">
      <c r="A95" s="20" t="inlineStr">
        <is>
          <t>지급어음·매입채무</t>
        </is>
      </c>
      <c r="C95" s="22" t="n">
        <v>393.07</v>
      </c>
      <c r="D95" s="22" t="n">
        <v>339.831</v>
      </c>
      <c r="E95" s="22" t="n">
        <v>399.957</v>
      </c>
      <c r="F95" s="22" t="n">
        <v>775.112</v>
      </c>
      <c r="H95" s="22" t="n">
        <v>499.023</v>
      </c>
      <c r="I95" s="22" t="n">
        <v>439.109</v>
      </c>
      <c r="J95" s="22" t="n">
        <v>481.499</v>
      </c>
      <c r="K95" s="22" t="n">
        <v>394.01</v>
      </c>
      <c r="L95" s="22" t="n">
        <v>775.112</v>
      </c>
    </row>
    <row r="96">
      <c r="A96" s="20" t="inlineStr">
        <is>
          <t>매입채무</t>
        </is>
      </c>
      <c r="F96" s="22" t="n">
        <v>775.112</v>
      </c>
      <c r="G96" s="22" t="n">
        <v>1078.841</v>
      </c>
      <c r="L96" s="22" t="n">
        <v>775.112</v>
      </c>
    </row>
    <row r="97">
      <c r="A97" s="20" t="inlineStr">
        <is>
          <t>단기차입금</t>
        </is>
      </c>
      <c r="C97" s="22" t="n">
        <v>1400</v>
      </c>
      <c r="D97" s="22" t="n">
        <v>400</v>
      </c>
      <c r="E97" s="22" t="n">
        <v>1700</v>
      </c>
      <c r="F97" s="22" t="n">
        <v>0</v>
      </c>
      <c r="G97" s="22" t="n">
        <v>400</v>
      </c>
      <c r="H97" s="22" t="n">
        <v>600</v>
      </c>
      <c r="I97" s="22" t="n">
        <v>0</v>
      </c>
      <c r="J97" s="22" t="n">
        <v>0</v>
      </c>
      <c r="K97" s="22" t="n">
        <v>1500</v>
      </c>
      <c r="L97" s="22" t="n">
        <v>0</v>
      </c>
    </row>
    <row r="98">
      <c r="A98" s="20" t="inlineStr">
        <is>
          <t>1년 내 상환 장기차입금</t>
        </is>
      </c>
      <c r="C98" s="22" t="n">
        <v>2464.96</v>
      </c>
      <c r="D98" s="22" t="n">
        <v>2404.963</v>
      </c>
      <c r="E98" s="22" t="n">
        <v>2344.966</v>
      </c>
      <c r="F98" s="22" t="n">
        <v>2299.908</v>
      </c>
      <c r="G98" s="22" t="n">
        <v>2279.969</v>
      </c>
      <c r="H98" s="22" t="n">
        <v>839.928</v>
      </c>
      <c r="I98" s="22" t="n">
        <v>1655.12</v>
      </c>
      <c r="J98" s="22" t="n">
        <v>2244.9</v>
      </c>
      <c r="K98" s="22" t="n">
        <v>2251.713</v>
      </c>
      <c r="L98" s="22" t="n">
        <v>2299.908</v>
      </c>
    </row>
    <row r="99">
      <c r="A99" s="20" t="inlineStr">
        <is>
          <t>미지급금</t>
        </is>
      </c>
      <c r="C99" s="22" t="n">
        <v>761.727</v>
      </c>
      <c r="D99" s="22" t="n">
        <v>668.295</v>
      </c>
      <c r="E99" s="22" t="n">
        <v>680.386</v>
      </c>
      <c r="F99" s="22" t="n">
        <v>627.346</v>
      </c>
      <c r="G99" s="22" t="n">
        <v>548.412</v>
      </c>
      <c r="H99" s="22" t="n">
        <v>909.293</v>
      </c>
      <c r="I99" s="22" t="n">
        <v>782.73</v>
      </c>
      <c r="J99" s="22" t="n">
        <v>632.704</v>
      </c>
      <c r="K99" s="22" t="n">
        <v>841.1319999999999</v>
      </c>
      <c r="L99" s="22" t="n">
        <v>627.346</v>
      </c>
    </row>
    <row r="100">
      <c r="A100" s="20" t="inlineStr">
        <is>
          <t>미지급법인세</t>
        </is>
      </c>
      <c r="C100" s="22" t="n">
        <v>142.743</v>
      </c>
      <c r="D100" s="22" t="n">
        <v>579.414</v>
      </c>
      <c r="E100" s="22" t="n">
        <v>369.237</v>
      </c>
      <c r="F100" s="22" t="n">
        <v>734.033</v>
      </c>
      <c r="G100" s="22" t="n">
        <v>446.675</v>
      </c>
      <c r="H100" s="22" t="n">
        <v>963.138</v>
      </c>
      <c r="I100" s="22" t="n">
        <v>391.717</v>
      </c>
      <c r="J100" s="22" t="n">
        <v>35.68</v>
      </c>
      <c r="K100" s="22" t="n">
        <v>508.53</v>
      </c>
      <c r="L100" s="22" t="n">
        <v>734.033</v>
      </c>
    </row>
    <row r="101">
      <c r="A101" s="20" t="inlineStr">
        <is>
          <t>상여충당금</t>
        </is>
      </c>
      <c r="C101" s="22" t="n">
        <v>113.823</v>
      </c>
      <c r="E101" s="22" t="n">
        <v>123.921</v>
      </c>
      <c r="F101" s="22" t="n">
        <v>0</v>
      </c>
      <c r="G101" s="22" t="n">
        <v>130.425</v>
      </c>
      <c r="H101" s="22" t="n">
        <v>0</v>
      </c>
      <c r="I101" s="22" t="n">
        <v>0</v>
      </c>
      <c r="J101" s="22" t="n">
        <v>0</v>
      </c>
      <c r="K101" s="22" t="n">
        <v>0</v>
      </c>
      <c r="L101" s="22" t="n">
        <v>0</v>
      </c>
    </row>
    <row r="102">
      <c r="A102" s="20" t="inlineStr">
        <is>
          <t>설비관련 미지급금</t>
        </is>
      </c>
      <c r="C102" s="22" t="n">
        <v>440.132</v>
      </c>
      <c r="D102" s="22" t="n">
        <v>548.252</v>
      </c>
      <c r="E102" s="22" t="n">
        <v>139.868</v>
      </c>
      <c r="F102" s="22" t="n">
        <v>322.384</v>
      </c>
      <c r="G102" s="22" t="n">
        <v>366.255</v>
      </c>
      <c r="H102" s="22" t="n">
        <v>360.885</v>
      </c>
      <c r="I102" s="22" t="n">
        <v>608.429</v>
      </c>
      <c r="J102" s="22" t="n">
        <v>1470.718</v>
      </c>
      <c r="K102" s="22" t="n">
        <v>668.907</v>
      </c>
      <c r="L102" s="22" t="n">
        <v>322.384</v>
      </c>
    </row>
    <row r="103">
      <c r="A103" s="20" t="inlineStr">
        <is>
          <t>기타</t>
        </is>
      </c>
      <c r="C103" s="22" t="n">
        <v>492.072</v>
      </c>
      <c r="D103" s="22" t="n">
        <v>815.182</v>
      </c>
      <c r="E103" s="22" t="n">
        <v>782.391</v>
      </c>
      <c r="F103" s="22" t="n">
        <v>1078.354</v>
      </c>
      <c r="G103" s="22" t="n">
        <v>647.42</v>
      </c>
      <c r="H103" s="22" t="n">
        <v>715.921</v>
      </c>
      <c r="I103" s="22" t="n">
        <v>645.948</v>
      </c>
      <c r="J103" s="22" t="n">
        <v>672.043</v>
      </c>
      <c r="K103" s="22" t="n">
        <v>604.587</v>
      </c>
      <c r="L103" s="22" t="n">
        <v>1078.354</v>
      </c>
    </row>
    <row r="104">
      <c r="A104" s="9" t="inlineStr">
        <is>
          <t>유동부채 합계</t>
        </is>
      </c>
      <c r="C104" s="12" t="n">
        <v>6208.53</v>
      </c>
      <c r="D104" s="12" t="n">
        <v>5755.938</v>
      </c>
      <c r="E104" s="12" t="n">
        <v>6540.728</v>
      </c>
      <c r="F104" s="12" t="n">
        <v>5837.138</v>
      </c>
      <c r="G104" s="12" t="n">
        <v>5897.999</v>
      </c>
      <c r="H104" s="12" t="n">
        <v>4888.19</v>
      </c>
      <c r="I104" s="12" t="n">
        <v>4523.056</v>
      </c>
      <c r="J104" s="12" t="n">
        <v>5537.546</v>
      </c>
      <c r="K104" s="12" t="n">
        <v>6768.881</v>
      </c>
      <c r="L104" s="12" t="n">
        <v>5837.138</v>
      </c>
    </row>
    <row r="105">
      <c r="A105" s="20" t="inlineStr">
        <is>
          <t>장기차입금</t>
        </is>
      </c>
      <c r="C105" s="22" t="n">
        <v>5215.263</v>
      </c>
      <c r="D105" s="22" t="n">
        <v>4640.286</v>
      </c>
      <c r="E105" s="22" t="n">
        <v>4065.309</v>
      </c>
      <c r="F105" s="22" t="n">
        <v>3490.332</v>
      </c>
      <c r="G105" s="22" t="n">
        <v>2935.294</v>
      </c>
      <c r="H105" s="22" t="n">
        <v>1411.933</v>
      </c>
      <c r="I105" s="22" t="n">
        <v>4095.162</v>
      </c>
      <c r="J105" s="22" t="n">
        <v>5948.603</v>
      </c>
      <c r="K105" s="22" t="n">
        <v>4535.23</v>
      </c>
      <c r="L105" s="22" t="n">
        <v>3490.332</v>
      </c>
    </row>
    <row r="106">
      <c r="A106" s="20" t="inlineStr">
        <is>
          <t>이연법인세부채</t>
        </is>
      </c>
      <c r="C106" s="22" t="n">
        <v>43.32</v>
      </c>
      <c r="D106" s="22" t="n">
        <v>39.067</v>
      </c>
      <c r="E106" s="22" t="n">
        <v>36.926</v>
      </c>
      <c r="F106" s="22" t="n">
        <v>49.987</v>
      </c>
      <c r="G106" s="22" t="n">
        <v>52.945</v>
      </c>
      <c r="H106" s="22" t="n">
        <v>26.955</v>
      </c>
      <c r="I106" s="22" t="n">
        <v>34.355</v>
      </c>
      <c r="J106" s="22" t="n">
        <v>37.92</v>
      </c>
      <c r="K106" s="22" t="n">
        <v>46.68</v>
      </c>
      <c r="L106" s="22" t="n">
        <v>49.987</v>
      </c>
    </row>
    <row r="107">
      <c r="A107" s="20" t="inlineStr">
        <is>
          <t>퇴직급여부채</t>
        </is>
      </c>
      <c r="F107" s="22" t="n">
        <v>0</v>
      </c>
      <c r="G107" s="22" t="n">
        <v>0.717</v>
      </c>
      <c r="H107" s="22" t="n">
        <v>489.342</v>
      </c>
      <c r="I107" s="22" t="n">
        <v>389.542</v>
      </c>
      <c r="J107" s="22" t="n">
        <v>69.288</v>
      </c>
      <c r="K107" s="22" t="n">
        <v>0</v>
      </c>
      <c r="L107" s="22" t="n">
        <v>0</v>
      </c>
    </row>
    <row r="108">
      <c r="A108" s="20" t="inlineStr">
        <is>
          <t>기타</t>
        </is>
      </c>
      <c r="C108" s="22" t="n">
        <v>15.2</v>
      </c>
      <c r="D108" s="22" t="n">
        <v>25.2</v>
      </c>
      <c r="E108" s="22" t="n">
        <v>25.2</v>
      </c>
      <c r="F108" s="22" t="n">
        <v>25.2</v>
      </c>
      <c r="G108" s="22" t="n">
        <v>25.2</v>
      </c>
      <c r="H108" s="22" t="n">
        <v>15.2</v>
      </c>
      <c r="I108" s="22" t="n">
        <v>15.2</v>
      </c>
      <c r="J108" s="22" t="n">
        <v>15.2</v>
      </c>
      <c r="K108" s="22" t="n">
        <v>15.2</v>
      </c>
      <c r="L108" s="22" t="n">
        <v>25.2</v>
      </c>
    </row>
    <row r="109">
      <c r="A109" s="9" t="inlineStr">
        <is>
          <t>비유동부채 합계</t>
        </is>
      </c>
      <c r="C109" s="12" t="n">
        <v>5273.783</v>
      </c>
      <c r="D109" s="12" t="n">
        <v>4704.553</v>
      </c>
      <c r="E109" s="12" t="n">
        <v>4127.435</v>
      </c>
      <c r="F109" s="12" t="n">
        <v>3565.519</v>
      </c>
      <c r="G109" s="12" t="n">
        <v>3014.156</v>
      </c>
      <c r="H109" s="12" t="n">
        <v>1943.431</v>
      </c>
      <c r="I109" s="12" t="n">
        <v>4534.259</v>
      </c>
      <c r="J109" s="12" t="n">
        <v>6071.012</v>
      </c>
      <c r="K109" s="12" t="n">
        <v>4597.11</v>
      </c>
      <c r="L109" s="12" t="n">
        <v>3565.519</v>
      </c>
    </row>
    <row r="110">
      <c r="A110" s="9" t="inlineStr">
        <is>
          <t>부채 합계</t>
        </is>
      </c>
      <c r="C110" s="12" t="n">
        <v>11482.314</v>
      </c>
      <c r="D110" s="12" t="n">
        <v>10460.492</v>
      </c>
      <c r="E110" s="12" t="n">
        <v>10668.163</v>
      </c>
      <c r="F110" s="12" t="n">
        <v>9402.657999999999</v>
      </c>
      <c r="G110" s="12" t="n">
        <v>8912.156000000001</v>
      </c>
      <c r="H110" s="12" t="n">
        <v>6831.621</v>
      </c>
      <c r="I110" s="12" t="n">
        <v>9057.316000000001</v>
      </c>
      <c r="J110" s="12" t="n">
        <v>11608.559</v>
      </c>
      <c r="K110" s="12" t="n">
        <v>11365.992</v>
      </c>
      <c r="L110" s="12" t="n">
        <v>9402.657999999999</v>
      </c>
    </row>
    <row r="111">
      <c r="A111" s="20" t="inlineStr">
        <is>
          <t>자본금</t>
        </is>
      </c>
      <c r="C111" s="22" t="n">
        <v>2241.749</v>
      </c>
      <c r="D111" s="22" t="n">
        <v>2241.749</v>
      </c>
      <c r="E111" s="22" t="n">
        <v>2241.749</v>
      </c>
      <c r="F111" s="22" t="n">
        <v>2241.749</v>
      </c>
      <c r="G111" s="22" t="n">
        <v>2241.749</v>
      </c>
      <c r="H111" s="22" t="n">
        <v>2241.749</v>
      </c>
      <c r="I111" s="22" t="n">
        <v>2241.749</v>
      </c>
      <c r="J111" s="22" t="n">
        <v>2241.749</v>
      </c>
      <c r="K111" s="22" t="n">
        <v>2241.749</v>
      </c>
      <c r="L111" s="22" t="n">
        <v>2241.749</v>
      </c>
    </row>
    <row r="112">
      <c r="A112" s="20" t="inlineStr">
        <is>
          <t>자본잉여금</t>
        </is>
      </c>
      <c r="C112" s="22" t="n">
        <v>3942.031</v>
      </c>
      <c r="D112" s="22" t="n">
        <v>3943.953</v>
      </c>
      <c r="E112" s="22" t="n">
        <v>3943.953</v>
      </c>
      <c r="F112" s="22" t="n">
        <v>3943.953</v>
      </c>
      <c r="G112" s="22" t="n">
        <v>3943.953</v>
      </c>
      <c r="H112" s="22" t="n">
        <v>3956.51</v>
      </c>
      <c r="I112" s="22" t="n">
        <v>3967.649</v>
      </c>
      <c r="J112" s="22" t="n">
        <v>3942.031</v>
      </c>
      <c r="K112" s="22" t="n">
        <v>3942.031</v>
      </c>
      <c r="L112" s="22" t="n">
        <v>3943.953</v>
      </c>
    </row>
    <row r="113">
      <c r="A113" s="20" t="inlineStr">
        <is>
          <t>이익잉여금</t>
        </is>
      </c>
      <c r="C113" s="22" t="n">
        <v>17503.162</v>
      </c>
      <c r="D113" s="22" t="n">
        <v>18148.932</v>
      </c>
      <c r="E113" s="22" t="n">
        <v>18491.222</v>
      </c>
      <c r="F113" s="22" t="n">
        <v>19126.793</v>
      </c>
      <c r="G113" s="22" t="n">
        <v>19866.513</v>
      </c>
      <c r="H113" s="22" t="n">
        <v>13374.847</v>
      </c>
      <c r="I113" s="22" t="n">
        <v>15520.225</v>
      </c>
      <c r="J113" s="22" t="n">
        <v>16183.895</v>
      </c>
      <c r="K113" s="22" t="n">
        <v>17274.39</v>
      </c>
      <c r="L113" s="22" t="n">
        <v>19126.793</v>
      </c>
    </row>
    <row r="114">
      <c r="A114" s="20" t="inlineStr">
        <is>
          <t>자기주식</t>
        </is>
      </c>
      <c r="C114" s="22" t="n">
        <v>-257.097</v>
      </c>
      <c r="D114" s="22" t="n">
        <v>-238.069</v>
      </c>
      <c r="E114" s="22" t="n">
        <v>-238.069</v>
      </c>
      <c r="F114" s="22" t="n">
        <v>-238.255</v>
      </c>
      <c r="G114" s="22" t="n">
        <v>-238.94</v>
      </c>
      <c r="H114" s="22" t="n">
        <v>-162.791</v>
      </c>
      <c r="I114" s="22" t="n">
        <v>-154.126</v>
      </c>
      <c r="J114" s="22" t="n">
        <v>-236.468</v>
      </c>
      <c r="K114" s="22" t="n">
        <v>-257.097</v>
      </c>
      <c r="L114" s="22" t="n">
        <v>-238.255</v>
      </c>
    </row>
    <row r="115">
      <c r="A115" s="9" t="inlineStr">
        <is>
          <t>주주자본 합계</t>
        </is>
      </c>
      <c r="C115" s="12" t="n">
        <v>23429.846</v>
      </c>
      <c r="D115" s="12" t="n">
        <v>24096.566</v>
      </c>
      <c r="E115" s="12" t="n">
        <v>24438.856</v>
      </c>
      <c r="F115" s="12" t="n">
        <v>25074.24</v>
      </c>
      <c r="G115" s="12" t="n">
        <v>25813.275</v>
      </c>
      <c r="H115" s="12" t="n">
        <v>19410.315</v>
      </c>
      <c r="I115" s="12" t="n">
        <v>21575.498</v>
      </c>
      <c r="J115" s="12" t="n">
        <v>22131.208</v>
      </c>
      <c r="K115" s="12" t="n">
        <v>23201.074</v>
      </c>
      <c r="L115" s="12" t="n">
        <v>25074.24</v>
      </c>
    </row>
    <row r="116">
      <c r="A116" s="20" t="inlineStr">
        <is>
          <t>기타유가증권 평가차액</t>
        </is>
      </c>
      <c r="C116" s="22" t="n">
        <v>64.85299999999999</v>
      </c>
      <c r="D116" s="22" t="n">
        <v>110.812</v>
      </c>
      <c r="E116" s="22" t="n">
        <v>143.524</v>
      </c>
      <c r="F116" s="22" t="n">
        <v>176.516</v>
      </c>
      <c r="G116" s="22" t="n">
        <v>323.772</v>
      </c>
      <c r="H116" s="22" t="n">
        <v>15.907</v>
      </c>
      <c r="I116" s="22" t="n">
        <v>32.111</v>
      </c>
      <c r="J116" s="22" t="n">
        <v>53.975</v>
      </c>
      <c r="K116" s="22" t="n">
        <v>58.955</v>
      </c>
      <c r="L116" s="22" t="n">
        <v>176.516</v>
      </c>
    </row>
    <row r="117">
      <c r="A117" s="20" t="inlineStr">
        <is>
          <t>해외사업환산조정</t>
        </is>
      </c>
      <c r="C117" s="22" t="n">
        <v>191.584</v>
      </c>
      <c r="D117" s="22" t="n">
        <v>191.171</v>
      </c>
      <c r="E117" s="22" t="n">
        <v>230.558</v>
      </c>
      <c r="F117" s="22" t="n">
        <v>352.906</v>
      </c>
      <c r="G117" s="22" t="n">
        <v>388.632</v>
      </c>
      <c r="H117" s="22" t="n">
        <v>-57.316</v>
      </c>
      <c r="I117" s="22" t="n">
        <v>33.936</v>
      </c>
      <c r="J117" s="22" t="n">
        <v>62.197</v>
      </c>
      <c r="K117" s="22" t="n">
        <v>240.114</v>
      </c>
      <c r="L117" s="22" t="n">
        <v>352.906</v>
      </c>
    </row>
    <row r="118">
      <c r="A118" s="20" t="inlineStr">
        <is>
          <t>퇴직급여 조정누계액</t>
        </is>
      </c>
      <c r="C118" s="22" t="n">
        <v>396.98</v>
      </c>
      <c r="D118" s="22" t="n">
        <v>390.77</v>
      </c>
      <c r="E118" s="22" t="n">
        <v>384.56</v>
      </c>
      <c r="F118" s="22" t="n">
        <v>603.048</v>
      </c>
      <c r="G118" s="22" t="n">
        <v>585.438</v>
      </c>
      <c r="H118" s="22" t="n">
        <v>-37.136</v>
      </c>
      <c r="I118" s="22" t="n">
        <v>-69.25700000000001</v>
      </c>
      <c r="J118" s="22" t="n">
        <v>119.681</v>
      </c>
      <c r="K118" s="22" t="n">
        <v>403.19</v>
      </c>
      <c r="L118" s="22" t="n">
        <v>603.048</v>
      </c>
    </row>
    <row r="119">
      <c r="A119" s="20" t="inlineStr">
        <is>
          <t>기타포괄손익누계액 합계</t>
        </is>
      </c>
      <c r="C119" s="22" t="n">
        <v>653.418</v>
      </c>
      <c r="D119" s="22" t="n">
        <v>692.753</v>
      </c>
      <c r="E119" s="22" t="n">
        <v>758.644</v>
      </c>
      <c r="F119" s="22" t="n">
        <v>1132.47</v>
      </c>
      <c r="G119" s="22" t="n">
        <v>1297.843</v>
      </c>
      <c r="H119" s="22" t="n">
        <v>-78.545</v>
      </c>
      <c r="I119" s="22" t="n">
        <v>-3.209</v>
      </c>
      <c r="J119" s="22" t="n">
        <v>235.854</v>
      </c>
      <c r="K119" s="22" t="n">
        <v>702.26</v>
      </c>
      <c r="L119" s="22" t="n">
        <v>1132.47</v>
      </c>
    </row>
    <row r="120">
      <c r="A120" s="9" t="inlineStr">
        <is>
          <t>순자산 합계</t>
        </is>
      </c>
      <c r="C120" s="12" t="n">
        <v>24083.265</v>
      </c>
      <c r="D120" s="12" t="n">
        <v>24789.32</v>
      </c>
      <c r="E120" s="12" t="n">
        <v>25197.501</v>
      </c>
      <c r="F120" s="12" t="n">
        <v>26206.711</v>
      </c>
      <c r="G120" s="12" t="n">
        <v>27111.119</v>
      </c>
      <c r="H120" s="12" t="n">
        <v>19331.77</v>
      </c>
      <c r="I120" s="12" t="n">
        <v>21572.288</v>
      </c>
      <c r="J120" s="12" t="n">
        <v>22367.062</v>
      </c>
      <c r="K120" s="12" t="n">
        <v>23903.335</v>
      </c>
      <c r="L120" s="12" t="n">
        <v>26206.711</v>
      </c>
    </row>
    <row r="121">
      <c r="A121" s="9" t="inlineStr">
        <is>
          <t>부채·순자산 합계</t>
        </is>
      </c>
      <c r="C121" s="12" t="n">
        <v>35565.579</v>
      </c>
      <c r="D121" s="12" t="n">
        <v>35249.812</v>
      </c>
      <c r="E121" s="12" t="n">
        <v>35865.664</v>
      </c>
      <c r="F121" s="12" t="n">
        <v>35609.369</v>
      </c>
      <c r="G121" s="12" t="n">
        <v>36023.275</v>
      </c>
      <c r="H121" s="12" t="n">
        <v>26163.392</v>
      </c>
      <c r="I121" s="12" t="n">
        <v>30629.605</v>
      </c>
      <c r="J121" s="12" t="n">
        <v>33975.622</v>
      </c>
      <c r="K121" s="12" t="n">
        <v>35269.328</v>
      </c>
      <c r="L121" s="12" t="n">
        <v>35609.369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1분기 결산단신</t>
        </is>
      </c>
      <c r="C4" t="inlineStr">
        <is>
          <t>https://www2.jpx.co.jp/disc/38910/140120260729501753.pdf</t>
        </is>
      </c>
    </row>
    <row r="5">
      <c r="A5" t="inlineStr">
        <is>
          <t>2026-04-24</t>
        </is>
      </c>
      <c r="B5" t="inlineStr">
        <is>
          <t>2026년 3월 결산기 연간 결산단신</t>
        </is>
      </c>
      <c r="C5" t="inlineStr">
        <is>
          <t>https://www2.jpx.co.jp/disc/38910/140120260423508761.pdf</t>
        </is>
      </c>
    </row>
    <row r="6">
      <c r="A6" t="inlineStr">
        <is>
          <t>2026-01-29</t>
        </is>
      </c>
      <c r="B6" t="inlineStr">
        <is>
          <t>2026년 3월 결산기 3분기 결산단신</t>
        </is>
      </c>
      <c r="C6" t="inlineStr">
        <is>
          <t>https://www2.jpx.co.jp/disc/38910/140120260129540994.pdf</t>
        </is>
      </c>
    </row>
    <row r="7">
      <c r="A7" t="inlineStr">
        <is>
          <t>2025-10-30</t>
        </is>
      </c>
      <c r="B7" t="inlineStr">
        <is>
          <t>2026년 3월 결산기 2분기 결산단신</t>
        </is>
      </c>
      <c r="C7" t="inlineStr">
        <is>
          <t>https://www2.jpx.co.jp/disc/38910/140120251029581637.pdf</t>
        </is>
      </c>
    </row>
    <row r="8">
      <c r="A8" t="inlineStr">
        <is>
          <t>2025-07-31</t>
        </is>
      </c>
      <c r="B8" t="inlineStr">
        <is>
          <t>2026년 3월 결산기 1분기 결산단신</t>
        </is>
      </c>
      <c r="C8" t="inlineStr">
        <is>
          <t>https://www2.jpx.co.jp/disc/38910/140120250730523755.pdf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https://www2.jpx.co.jp/disc/38910/140120250423521599.pdf</t>
        </is>
      </c>
    </row>
    <row r="10">
      <c r="A10" t="inlineStr">
        <is>
          <t>2025-01-30</t>
        </is>
      </c>
      <c r="B10" t="inlineStr">
        <is>
          <t>2025년 3월 결산기 3분기 결산단신</t>
        </is>
      </c>
      <c r="C10" t="inlineStr">
        <is>
          <t>https://www2.jpx.co.jp/disc/38910/140120250129556928.pdf</t>
        </is>
      </c>
    </row>
    <row r="11">
      <c r="A11" t="inlineStr">
        <is>
          <t>2024-10-31</t>
        </is>
      </c>
      <c r="B11" t="inlineStr">
        <is>
          <t>2025년 3월 결산기 2분기 결산단신</t>
        </is>
      </c>
      <c r="C11" t="inlineStr">
        <is>
          <t>https://www2.jpx.co.jp/disc/38910/140120241029505307.pdf</t>
        </is>
      </c>
    </row>
    <row r="12">
      <c r="A12" t="inlineStr">
        <is>
          <t>2024-07-31</t>
        </is>
      </c>
      <c r="B12" t="inlineStr">
        <is>
          <t>2025년 3월 결산기 1분기 결산단신</t>
        </is>
      </c>
      <c r="C12" t="inlineStr">
        <is>
          <t>https://www2.jpx.co.jp/disc/38910/140120240729556248.pdf</t>
        </is>
      </c>
    </row>
    <row r="13">
      <c r="A13" t="inlineStr">
        <is>
          <t>2024-04-24</t>
        </is>
      </c>
      <c r="B13" t="inlineStr">
        <is>
          <t>2024년 3월 결산기 연간 결산단신</t>
        </is>
      </c>
      <c r="C13" t="inlineStr">
        <is>
          <t>https://www2.jpx.co.jp/disc/38910/140120240422574137.pdf</t>
        </is>
      </c>
    </row>
    <row r="14">
      <c r="A14" t="inlineStr">
        <is>
          <t>2024-01-31</t>
        </is>
      </c>
      <c r="B14" t="inlineStr">
        <is>
          <t>2024년 3월 결산기 3분기 결산단신</t>
        </is>
      </c>
      <c r="C14" t="inlineStr">
        <is>
          <t>https://www2.jpx.co.jp/disc/38910/140120240130522054.pdf</t>
        </is>
      </c>
    </row>
    <row r="15">
      <c r="A15" t="inlineStr">
        <is>
          <t>2023-10-31</t>
        </is>
      </c>
      <c r="B15" t="inlineStr">
        <is>
          <t>2024년 3월 결산기 2분기 결산단신</t>
        </is>
      </c>
      <c r="C15" t="inlineStr">
        <is>
          <t>https://www2.jpx.co.jp/disc/38910/140120231030574736.pdf</t>
        </is>
      </c>
    </row>
    <row r="16">
      <c r="A16" t="inlineStr">
        <is>
          <t>2023-07-31</t>
        </is>
      </c>
      <c r="B16" t="inlineStr">
        <is>
          <t>2024년 3월 결산기 1분기 결산단신</t>
        </is>
      </c>
      <c r="C16" t="inlineStr">
        <is>
          <t>https://www2.jpx.co.jp/disc/38910/140120230728529254.pdf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https://www2.jpx.co.jp/disc/38910/140120230427554791.pdf</t>
        </is>
      </c>
    </row>
    <row r="18">
      <c r="A18" t="inlineStr">
        <is>
          <t>2023-01-31</t>
        </is>
      </c>
      <c r="B18" t="inlineStr">
        <is>
          <t>2023년 3월 결산기 3분기 결산단신</t>
        </is>
      </c>
      <c r="C18" t="inlineStr">
        <is>
          <t>https://www2.jpx.co.jp/disc/38910/140120230131597145.pdf</t>
        </is>
      </c>
    </row>
    <row r="19">
      <c r="A19" t="inlineStr">
        <is>
          <t>2022-10-31</t>
        </is>
      </c>
      <c r="B19" t="inlineStr">
        <is>
          <t>2023년 3월 결산기 2분기 결산단신</t>
        </is>
      </c>
      <c r="C19" t="inlineStr">
        <is>
          <t>https://www2.jpx.co.jp/disc/38910/140120221031553247.pdf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https://www2.jpx.co.jp/disc/38910/140120220425527033.pdf</t>
        </is>
      </c>
    </row>
    <row r="21">
      <c r="A21" t="inlineStr">
        <is>
          <t>2021-04-23</t>
        </is>
      </c>
      <c r="B21" t="inlineStr">
        <is>
          <t>2021년 3월 결산기 연간 결산단신</t>
        </is>
      </c>
      <c r="C21" t="inlineStr">
        <is>
          <t>https://www2.jpx.co.jp/disc/38910/140120210419496279.pdf</t>
        </is>
      </c>
    </row>
    <row r="22">
      <c r="A22" t="inlineStr">
        <is>
          <t>2020-05-14</t>
        </is>
      </c>
      <c r="B22" t="inlineStr">
        <is>
          <t>2020년 3월 결산기 연간 결산단신</t>
        </is>
      </c>
      <c r="C22" t="inlineStr">
        <is>
          <t>https://www2.jpx.co.jp/disc/38910/140120200514413564.pdf</t>
        </is>
      </c>
    </row>
    <row r="23">
      <c r="A23" t="inlineStr">
        <is>
          <t>2019-05-14</t>
        </is>
      </c>
      <c r="B23" t="inlineStr">
        <is>
          <t>2019년 3월 결산기 연간 결산단신</t>
        </is>
      </c>
      <c r="C23" t="inlineStr">
        <is>
          <t>https://www2.jpx.co.jp/disc/38910/140120190513424180.pdf</t>
        </is>
      </c>
    </row>
    <row r="24">
      <c r="A24" t="inlineStr">
        <is>
          <t>2018-05-14</t>
        </is>
      </c>
      <c r="B24" t="inlineStr">
        <is>
          <t>연간 결산단신</t>
        </is>
      </c>
      <c r="C24" t="inlineStr">
        <is>
          <t>https://www2.jpx.co.jp/disc/38910/140120180514436978.pdf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2026-10-28T07:02:26Z</dcterms:created>
  <dcterms:modified xmlns:dcterms="http://purl.org/dc/terms/" xmlns:xsi="http://www.w3.org/2001/XMLSchema-instance" xsi:type="dcterms:W3CDTF">2026-10-28T07:02:26Z</dcterms:modified>
</cp:coreProperties>
</file>