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6810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33395</v>
      </c>
      <c r="D4" s="12" t="n">
        <v>31684</v>
      </c>
      <c r="E4" s="12" t="n">
        <v>31835</v>
      </c>
      <c r="F4" s="12" t="n">
        <v>31385</v>
      </c>
      <c r="G4" s="12" t="n">
        <v>31737</v>
      </c>
      <c r="H4" s="12" t="n">
        <v>32465</v>
      </c>
      <c r="I4" s="12" t="n">
        <v>34219</v>
      </c>
      <c r="J4" s="12" t="n">
        <v>30270</v>
      </c>
      <c r="K4" s="12" t="n">
        <v>34389</v>
      </c>
      <c r="L4" s="12" t="n">
        <v>31640</v>
      </c>
      <c r="M4" s="12" t="n">
        <v>33130</v>
      </c>
      <c r="N4" s="12" t="n">
        <v>37665</v>
      </c>
      <c r="O4" s="11" t="n">
        <v>135116</v>
      </c>
      <c r="P4" s="12" t="n">
        <v>148198</v>
      </c>
      <c r="Q4" s="12" t="n">
        <v>150584</v>
      </c>
      <c r="R4" s="12" t="n">
        <v>145041</v>
      </c>
      <c r="S4" s="12" t="n">
        <v>139055</v>
      </c>
      <c r="T4" s="12" t="n">
        <v>138215</v>
      </c>
      <c r="U4" s="12" t="n">
        <v>132776</v>
      </c>
      <c r="V4" s="12" t="n">
        <v>129139</v>
      </c>
      <c r="W4" s="12" t="n">
        <v>129806</v>
      </c>
      <c r="X4" s="12" t="n">
        <v>129429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EnergyReportableSegmentsMember</t>
        </is>
      </c>
      <c r="B7" s="10" t="n"/>
      <c r="C7" s="19" t="n"/>
      <c r="D7" s="20" t="n"/>
      <c r="E7" s="20" t="n"/>
      <c r="F7" s="20" t="n">
        <v>10113</v>
      </c>
      <c r="G7" s="20" t="n"/>
      <c r="H7" s="20" t="n"/>
      <c r="I7" s="20" t="n">
        <v>4997</v>
      </c>
      <c r="J7" s="20" t="n">
        <v>10349</v>
      </c>
      <c r="K7" s="20" t="n"/>
      <c r="L7" s="20" t="n"/>
      <c r="M7" s="20" t="n">
        <v>11422</v>
      </c>
      <c r="N7" s="20" t="n">
        <v>15246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36630</v>
      </c>
      <c r="X7" s="20" t="n">
        <v>42458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FunctionalMaterialsReportableSegmentMember</t>
        </is>
      </c>
      <c r="B10" s="10" t="n"/>
      <c r="C10" s="19" t="n"/>
      <c r="D10" s="20" t="n"/>
      <c r="E10" s="20" t="n"/>
      <c r="F10" s="20" t="n">
        <v>7495</v>
      </c>
      <c r="G10" s="20" t="n"/>
      <c r="H10" s="20" t="n"/>
      <c r="I10" s="20" t="n">
        <v>7940</v>
      </c>
      <c r="J10" s="20" t="n">
        <v>7834</v>
      </c>
      <c r="K10" s="20" t="n"/>
      <c r="L10" s="20" t="n"/>
      <c r="M10" s="20" t="n">
        <v>8585</v>
      </c>
      <c r="N10" s="20" t="n">
        <v>9596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31790</v>
      </c>
      <c r="X10" s="20" t="n">
        <v>32614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OpticsAndSystemsReportableSegmentMember</t>
        </is>
      </c>
      <c r="B13" s="10" t="n"/>
      <c r="C13" s="19" t="n"/>
      <c r="D13" s="20" t="n"/>
      <c r="E13" s="20" t="n"/>
      <c r="F13" s="20" t="n">
        <v>9090</v>
      </c>
      <c r="G13" s="20" t="n"/>
      <c r="H13" s="20" t="n"/>
      <c r="I13" s="20" t="n">
        <v>10218</v>
      </c>
      <c r="J13" s="20" t="n">
        <v>7839</v>
      </c>
      <c r="K13" s="20" t="n"/>
      <c r="L13" s="20" t="n"/>
      <c r="M13" s="20" t="n">
        <v>8534</v>
      </c>
      <c r="N13" s="20" t="n">
        <v>9206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35932</v>
      </c>
      <c r="X13" s="20" t="n">
        <v>36413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LifeSolutionsReportableSegmentMember</t>
        </is>
      </c>
      <c r="B16" s="10" t="n"/>
      <c r="C16" s="19" t="n"/>
      <c r="D16" s="20" t="n"/>
      <c r="E16" s="20" t="n"/>
      <c r="F16" s="20" t="n">
        <v>4687</v>
      </c>
      <c r="G16" s="20" t="n"/>
      <c r="H16" s="20" t="n"/>
      <c r="I16" s="20" t="n">
        <v>6592</v>
      </c>
      <c r="J16" s="20" t="n">
        <v>4248</v>
      </c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25454</v>
      </c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ValueCoCreationBusinessesReportableSegmentMember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>
        <v>4248</v>
      </c>
      <c r="K19" s="20" t="n"/>
      <c r="L19" s="20" t="n"/>
      <c r="M19" s="20" t="n">
        <v>4589</v>
      </c>
      <c r="N19" s="20" t="n">
        <v>3617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>
        <v>17944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>
        <v>0</v>
      </c>
      <c r="X22" s="20" t="n">
        <v>0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EntityTotalMember</t>
        </is>
      </c>
      <c r="B25" s="10" t="n"/>
      <c r="C25" s="19" t="n"/>
      <c r="D25" s="20" t="n"/>
      <c r="E25" s="20" t="n"/>
      <c r="F25" s="20" t="n">
        <v>31385</v>
      </c>
      <c r="G25" s="20" t="n"/>
      <c r="H25" s="20" t="n"/>
      <c r="I25" s="20" t="n"/>
      <c r="J25" s="20" t="n">
        <v>30270</v>
      </c>
      <c r="K25" s="20" t="n"/>
      <c r="L25" s="20" t="n"/>
      <c r="M25" s="20" t="n"/>
      <c r="N25" s="20" t="n">
        <v>37665</v>
      </c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25719</v>
      </c>
      <c r="D29" s="20" t="n">
        <v>23857</v>
      </c>
      <c r="E29" s="20" t="n">
        <v>24074</v>
      </c>
      <c r="F29" s="20" t="n">
        <v>23328</v>
      </c>
      <c r="G29" s="20" t="n">
        <v>23699</v>
      </c>
      <c r="H29" s="20" t="n">
        <v>24290</v>
      </c>
      <c r="I29" s="20" t="n">
        <v>25322</v>
      </c>
      <c r="J29" s="20" t="n">
        <v>22555</v>
      </c>
      <c r="K29" s="20" t="n">
        <v>25203</v>
      </c>
      <c r="L29" s="20" t="n">
        <v>23485</v>
      </c>
      <c r="M29" s="20" t="n">
        <v>26358</v>
      </c>
      <c r="N29" s="20" t="n">
        <v>28276</v>
      </c>
      <c r="O29" s="19" t="n">
        <v>104871</v>
      </c>
      <c r="P29" s="20" t="n">
        <v>113870</v>
      </c>
      <c r="Q29" s="20" t="n">
        <v>119417</v>
      </c>
      <c r="R29" s="20" t="n">
        <v>117710</v>
      </c>
      <c r="S29" s="20" t="n">
        <v>108992</v>
      </c>
      <c r="T29" s="20" t="n">
        <v>103613</v>
      </c>
      <c r="U29" s="20" t="n">
        <v>102678</v>
      </c>
      <c r="V29" s="20" t="n">
        <v>98643</v>
      </c>
      <c r="W29" s="20" t="n">
        <v>96639</v>
      </c>
      <c r="X29" s="20" t="n">
        <v>97601</v>
      </c>
      <c r="Y29" s="19" t="n"/>
      <c r="Z29" s="20" t="n"/>
      <c r="AA29" s="20" t="n"/>
      <c r="AB29" s="20" t="n"/>
      <c r="AC29" s="20" t="n"/>
    </row>
    <row r="30">
      <c r="A30" s="18" t="inlineStr">
        <is>
          <t>매출총이익</t>
        </is>
      </c>
      <c r="B30" s="10" t="n"/>
      <c r="C30" s="19">
        <f>IF(OR(C4="",C29=""),"",IFERROR(C4-C29,""))</f>
        <v/>
      </c>
      <c r="D30" s="20">
        <f>IF(OR(D4="",D29=""),"",IFERROR(D4-D29,""))</f>
        <v/>
      </c>
      <c r="E30" s="20">
        <f>IF(OR(E4="",E29=""),"",IFERROR(E4-E29,""))</f>
        <v/>
      </c>
      <c r="F30" s="20">
        <f>IF(OR(F4="",F29=""),"",IFERROR(F4-F29,""))</f>
        <v/>
      </c>
      <c r="G30" s="20">
        <f>IF(OR(G4="",G29=""),"",IFERROR(G4-G29,""))</f>
        <v/>
      </c>
      <c r="H30" s="20">
        <f>IF(OR(H4="",H29=""),"",IFERROR(H4-H29,""))</f>
        <v/>
      </c>
      <c r="I30" s="20">
        <f>IF(OR(I4="",I29=""),"",IFERROR(I4-I29,""))</f>
        <v/>
      </c>
      <c r="J30" s="20">
        <f>IF(OR(J4="",J29=""),"",IFERROR(J4-J29,""))</f>
        <v/>
      </c>
      <c r="K30" s="20">
        <f>IF(OR(K4="",K29=""),"",IFERROR(K4-K29,""))</f>
        <v/>
      </c>
      <c r="L30" s="20">
        <f>IF(OR(L4="",L29=""),"",IFERROR(L4-L29,""))</f>
        <v/>
      </c>
      <c r="M30" s="20">
        <f>IF(OR(M4="",M29=""),"",IFERROR(M4-M29,""))</f>
        <v/>
      </c>
      <c r="N30" s="20">
        <f>IF(OR(N4="",N29=""),"",IFERROR(N4-N29,""))</f>
        <v/>
      </c>
      <c r="O30" s="19">
        <f>IF(OR(O4="",O29=""),"",IFERROR(O4-O29,""))</f>
        <v/>
      </c>
      <c r="P30" s="20">
        <f>IF(OR(P4="",P29=""),"",IFERROR(P4-P29,""))</f>
        <v/>
      </c>
      <c r="Q30" s="20">
        <f>IF(OR(Q4="",Q29=""),"",IFERROR(Q4-Q29,""))</f>
        <v/>
      </c>
      <c r="R30" s="20">
        <f>IF(OR(R4="",R29=""),"",IFERROR(R4-R29,""))</f>
        <v/>
      </c>
      <c r="S30" s="20">
        <f>IF(OR(S4="",S29=""),"",IFERROR(S4-S29,""))</f>
        <v/>
      </c>
      <c r="T30" s="20">
        <f>IF(OR(T4="",T29=""),"",IFERROR(T4-T29,""))</f>
        <v/>
      </c>
      <c r="U30" s="20">
        <f>IF(OR(U4="",U29=""),"",IFERROR(U4-U29,""))</f>
        <v/>
      </c>
      <c r="V30" s="20">
        <f>IF(OR(V4="",V29=""),"",IFERROR(V4-V29,""))</f>
        <v/>
      </c>
      <c r="W30" s="20">
        <f>IF(OR(W4="",W29=""),"",IFERROR(W4-W29,""))</f>
        <v/>
      </c>
      <c r="X30" s="20">
        <f>IF(OR(X4="",X29=""),"",IFERROR(X4-X29,""))</f>
        <v/>
      </c>
      <c r="Y30" s="19" t="n"/>
      <c r="Z30" s="20" t="n"/>
      <c r="AA30" s="20" t="n"/>
      <c r="AB30" s="20" t="n"/>
      <c r="AC30" s="20" t="n"/>
    </row>
    <row r="31">
      <c r="A31" s="13" t="inlineStr">
        <is>
          <t>GPM</t>
        </is>
      </c>
      <c r="B31" s="10" t="n"/>
      <c r="C31" s="14">
        <f>IF(OR(C30="",C4=""),"",IFERROR(C30/C4,""))</f>
        <v/>
      </c>
      <c r="D31" s="15">
        <f>IF(OR(D30="",D4=""),"",IFERROR(D30/D4,""))</f>
        <v/>
      </c>
      <c r="E31" s="15">
        <f>IF(OR(E30="",E4=""),"",IFERROR(E30/E4,""))</f>
        <v/>
      </c>
      <c r="F31" s="15">
        <f>IF(OR(F30="",F4=""),"",IFERROR(F30/F4,""))</f>
        <v/>
      </c>
      <c r="G31" s="15">
        <f>IF(OR(G30="",G4=""),"",IFERROR(G30/G4,""))</f>
        <v/>
      </c>
      <c r="H31" s="15">
        <f>IF(OR(H30="",H4=""),"",IFERROR(H30/H4,""))</f>
        <v/>
      </c>
      <c r="I31" s="15">
        <f>IF(OR(I30="",I4=""),"",IFERROR(I30/I4,""))</f>
        <v/>
      </c>
      <c r="J31" s="15">
        <f>IF(OR(J30="",J4=""),"",IFERROR(J30/J4,""))</f>
        <v/>
      </c>
      <c r="K31" s="15">
        <f>IF(OR(K30="",K4=""),"",IFERROR(K30/K4,""))</f>
        <v/>
      </c>
      <c r="L31" s="15">
        <f>IF(OR(L30="",L4=""),"",IFERROR(L30/L4,""))</f>
        <v/>
      </c>
      <c r="M31" s="15">
        <f>IF(OR(M30="",M4=""),"",IFERROR(M30/M4,""))</f>
        <v/>
      </c>
      <c r="N31" s="15">
        <f>IF(OR(N30="",N4=""),"",IFERROR(N30/N4,""))</f>
        <v/>
      </c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>
        <f>IF(OR(Y30="",Y4=""),"",IFERROR(Y30/Y4,""))</f>
        <v/>
      </c>
      <c r="Z31" s="15">
        <f>IF(OR(Z30="",Z4=""),"",IFERROR(Z30/Z4,""))</f>
        <v/>
      </c>
      <c r="AA31" s="15">
        <f>IF(OR(AA30="",AA4=""),"",IFERROR(AA30/AA4,""))</f>
        <v/>
      </c>
      <c r="AB31" s="15">
        <f>IF(OR(AB30="",AB4=""),"",IFERROR(AB30/AB4,""))</f>
        <v/>
      </c>
      <c r="AC31" s="15">
        <f>IF(OR(AC30="",AC4=""),"",IFERROR(AC30/AC4,""))</f>
        <v/>
      </c>
    </row>
    <row r="32">
      <c r="A32" s="23" t="inlineStr">
        <is>
          <t>판매관리비</t>
        </is>
      </c>
      <c r="B32" s="23" t="n"/>
      <c r="C32" s="24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</row>
    <row r="33">
      <c r="A33" s="18" t="inlineStr">
        <is>
          <t>전체 판관비</t>
        </is>
      </c>
      <c r="B33" s="10" t="n"/>
      <c r="C33" s="19" t="n">
        <v>5134</v>
      </c>
      <c r="D33" s="20" t="n">
        <v>5922</v>
      </c>
      <c r="E33" s="20" t="n">
        <v>6149</v>
      </c>
      <c r="F33" s="20" t="n">
        <v>5721</v>
      </c>
      <c r="G33" s="20" t="n">
        <v>6197</v>
      </c>
      <c r="H33" s="20" t="n">
        <v>5774</v>
      </c>
      <c r="I33" s="20" t="n">
        <v>6157</v>
      </c>
      <c r="J33" s="20" t="n">
        <v>5731</v>
      </c>
      <c r="K33" s="20" t="n">
        <v>6115</v>
      </c>
      <c r="L33" s="20" t="n">
        <v>6032</v>
      </c>
      <c r="M33" s="20" t="n">
        <v>6059</v>
      </c>
      <c r="N33" s="20" t="n">
        <v>6517</v>
      </c>
      <c r="O33" s="19" t="n">
        <v>22678</v>
      </c>
      <c r="P33" s="20" t="n">
        <v>25480</v>
      </c>
      <c r="Q33" s="20" t="n">
        <v>25743</v>
      </c>
      <c r="R33" s="20" t="n">
        <v>27468</v>
      </c>
      <c r="S33" s="20" t="n">
        <v>26257</v>
      </c>
      <c r="T33" s="20" t="n">
        <v>25270</v>
      </c>
      <c r="U33" s="20" t="n">
        <v>24460</v>
      </c>
      <c r="V33" s="20" t="n">
        <v>22413</v>
      </c>
      <c r="W33" s="20" t="n">
        <v>23849</v>
      </c>
      <c r="X33" s="20" t="n">
        <v>23937</v>
      </c>
      <c r="Y33" s="19" t="n"/>
      <c r="Z33" s="20" t="n"/>
      <c r="AA33" s="20" t="n"/>
      <c r="AB33" s="20" t="n"/>
      <c r="AC33" s="20" t="n"/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2542</v>
      </c>
      <c r="D34" s="12" t="n">
        <v>1905</v>
      </c>
      <c r="E34" s="12" t="n">
        <v>1612</v>
      </c>
      <c r="F34" s="12" t="n">
        <v>2336</v>
      </c>
      <c r="G34" s="12" t="n">
        <v>1841</v>
      </c>
      <c r="H34" s="12" t="n">
        <v>2401</v>
      </c>
      <c r="I34" s="12" t="n">
        <v>2740</v>
      </c>
      <c r="J34" s="12" t="n">
        <v>1984</v>
      </c>
      <c r="K34" s="12" t="n">
        <v>3071</v>
      </c>
      <c r="L34" s="12" t="n">
        <v>2123</v>
      </c>
      <c r="M34" s="12" t="n">
        <v>713</v>
      </c>
      <c r="N34" s="12" t="n">
        <v>2872</v>
      </c>
      <c r="O34" s="11" t="n">
        <v>7567</v>
      </c>
      <c r="P34" s="12" t="n">
        <v>8848</v>
      </c>
      <c r="Q34" s="12" t="n">
        <v>5424</v>
      </c>
      <c r="R34" s="12" t="n">
        <v>-137</v>
      </c>
      <c r="S34" s="12" t="n">
        <v>3806</v>
      </c>
      <c r="T34" s="12" t="n">
        <v>9332</v>
      </c>
      <c r="U34" s="12" t="n">
        <v>5638</v>
      </c>
      <c r="V34" s="12" t="n">
        <v>8083</v>
      </c>
      <c r="W34" s="12" t="n">
        <v>9318</v>
      </c>
      <c r="X34" s="12" t="n">
        <v>7891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IF(O33="","",O33)</f>
        <v/>
      </c>
      <c r="P38" s="12">
        <f>IF(P33="","",P33)</f>
        <v/>
      </c>
      <c r="Q38" s="12">
        <f>IF(Q33="","",Q33)</f>
        <v/>
      </c>
      <c r="R38" s="12">
        <f>IF(R33="","",R33)</f>
        <v/>
      </c>
      <c r="S38" s="12">
        <f>IF(S33="","",S33)</f>
        <v/>
      </c>
      <c r="T38" s="12">
        <f>IF(T33="","",T33)</f>
        <v/>
      </c>
      <c r="U38" s="12">
        <f>IF(U33="","",U33)</f>
        <v/>
      </c>
      <c r="V38" s="12">
        <f>IF(V33="","",V33)</f>
        <v/>
      </c>
      <c r="W38" s="12">
        <f>IF(W33="","",W33)</f>
        <v/>
      </c>
      <c r="X38" s="12">
        <f>IF(X33="","",X33)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>
        <v>8934</v>
      </c>
      <c r="P39" s="20" t="n">
        <v>9780</v>
      </c>
      <c r="Q39" s="20" t="n">
        <v>9921</v>
      </c>
      <c r="R39" s="20" t="n">
        <v>10479</v>
      </c>
      <c r="S39" s="20" t="n">
        <v>10151</v>
      </c>
      <c r="T39" s="20" t="n">
        <v>9369</v>
      </c>
      <c r="U39" s="20" t="n">
        <v>9641</v>
      </c>
      <c r="V39" s="20" t="n">
        <v>9299</v>
      </c>
      <c r="W39" s="20" t="n">
        <v>9787</v>
      </c>
      <c r="X39" s="20" t="n">
        <v>10454</v>
      </c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>
        <v>397</v>
      </c>
      <c r="P41" s="20" t="n">
        <v>575</v>
      </c>
      <c r="Q41" s="20" t="n">
        <v>969</v>
      </c>
      <c r="R41" s="20" t="n">
        <v>1332</v>
      </c>
      <c r="S41" s="20" t="n">
        <v>1107</v>
      </c>
      <c r="T41" s="20" t="n">
        <v>1108</v>
      </c>
      <c r="U41" s="20" t="n">
        <v>1156</v>
      </c>
      <c r="V41" s="20" t="n">
        <v>1107</v>
      </c>
      <c r="W41" s="20" t="n">
        <v>1311</v>
      </c>
      <c r="X41" s="20" t="n">
        <v>1404</v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>
        <v>2427</v>
      </c>
      <c r="P43" s="20" t="n">
        <v>2671</v>
      </c>
      <c r="Q43" s="20" t="n">
        <v>2185</v>
      </c>
      <c r="R43" s="20" t="n">
        <v>2246</v>
      </c>
      <c r="S43" s="20" t="n">
        <v>3061</v>
      </c>
      <c r="T43" s="20" t="n">
        <v>2628</v>
      </c>
      <c r="U43" s="20" t="n">
        <v>2936</v>
      </c>
      <c r="V43" s="20" t="n">
        <v>2367</v>
      </c>
      <c r="W43" s="20" t="n">
        <v>2534</v>
      </c>
      <c r="X43" s="20" t="n">
        <v>2684</v>
      </c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5</v>
      </c>
      <c r="D50" s="20" t="n">
        <v>6</v>
      </c>
      <c r="E50" s="20" t="n">
        <v>13</v>
      </c>
      <c r="F50" s="20" t="n">
        <v>16</v>
      </c>
      <c r="G50" s="20" t="n">
        <v>11</v>
      </c>
      <c r="H50" s="20" t="n">
        <v>6</v>
      </c>
      <c r="I50" s="20" t="n">
        <v>17</v>
      </c>
      <c r="J50" s="20" t="n">
        <v>7</v>
      </c>
      <c r="K50" s="20" t="n">
        <v>4</v>
      </c>
      <c r="L50" s="20" t="n">
        <v>2</v>
      </c>
      <c r="M50" s="20" t="n">
        <v>2862</v>
      </c>
      <c r="N50" s="20" t="n">
        <v>0</v>
      </c>
      <c r="O50" s="19" t="n">
        <v>4480</v>
      </c>
      <c r="P50" s="20" t="n">
        <v>1421</v>
      </c>
      <c r="Q50" s="20" t="n">
        <v>2895</v>
      </c>
      <c r="R50" s="20" t="n">
        <v>186</v>
      </c>
      <c r="S50" s="20" t="n">
        <v>7965</v>
      </c>
      <c r="T50" s="20" t="n">
        <v>342</v>
      </c>
      <c r="U50" s="20" t="n">
        <v>1634</v>
      </c>
      <c r="V50" s="20" t="n">
        <v>24</v>
      </c>
      <c r="W50" s="20" t="n">
        <v>50</v>
      </c>
      <c r="X50" s="20" t="n">
        <v>2875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125</v>
      </c>
      <c r="D52" s="20" t="n">
        <v>463</v>
      </c>
      <c r="E52" s="20" t="n">
        <v>58</v>
      </c>
      <c r="F52" s="20" t="n">
        <v>76</v>
      </c>
      <c r="G52" s="20" t="n">
        <v>106</v>
      </c>
      <c r="H52" s="20" t="n">
        <v>298</v>
      </c>
      <c r="I52" s="20" t="n">
        <v>3172</v>
      </c>
      <c r="J52" s="20" t="n">
        <v>58</v>
      </c>
      <c r="K52" s="20" t="n">
        <v>161</v>
      </c>
      <c r="L52" s="20" t="n">
        <v>55</v>
      </c>
      <c r="M52" s="20" t="n">
        <v>1084</v>
      </c>
      <c r="N52" s="20" t="n">
        <v>40</v>
      </c>
      <c r="O52" s="19" t="n">
        <v>5164</v>
      </c>
      <c r="P52" s="20" t="n">
        <v>1947</v>
      </c>
      <c r="Q52" s="20" t="n">
        <v>1821</v>
      </c>
      <c r="R52" s="20" t="n">
        <v>9688</v>
      </c>
      <c r="S52" s="20" t="n">
        <v>19509</v>
      </c>
      <c r="T52" s="20" t="n">
        <v>11779</v>
      </c>
      <c r="U52" s="20" t="n">
        <v>1096</v>
      </c>
      <c r="V52" s="20" t="n">
        <v>677</v>
      </c>
      <c r="W52" s="20" t="n">
        <v>3652</v>
      </c>
      <c r="X52" s="20" t="n">
        <v>1358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519</v>
      </c>
      <c r="D54" s="20" t="n">
        <v>-180</v>
      </c>
      <c r="E54" s="20" t="n">
        <v>614</v>
      </c>
      <c r="F54" s="20" t="n">
        <v>775</v>
      </c>
      <c r="G54" s="20" t="n">
        <v>-206</v>
      </c>
      <c r="H54" s="20" t="n">
        <v>441</v>
      </c>
      <c r="I54" s="20" t="n">
        <v>249</v>
      </c>
      <c r="J54" s="20" t="n">
        <v>322</v>
      </c>
      <c r="K54" s="20" t="n">
        <v>178</v>
      </c>
      <c r="L54" s="20" t="n">
        <v>486</v>
      </c>
      <c r="M54" s="20" t="n">
        <v>417</v>
      </c>
      <c r="N54" s="20" t="n">
        <v>497</v>
      </c>
      <c r="O54" s="19" t="n">
        <v>492</v>
      </c>
      <c r="P54" s="20" t="n">
        <v>949</v>
      </c>
      <c r="Q54" s="20" t="n">
        <v>1780</v>
      </c>
      <c r="R54" s="20" t="n">
        <v>882</v>
      </c>
      <c r="S54" s="20" t="n">
        <v>930</v>
      </c>
      <c r="T54" s="20" t="n">
        <v>994</v>
      </c>
      <c r="U54" s="20" t="n">
        <v>1596</v>
      </c>
      <c r="V54" s="20" t="n">
        <v>2176</v>
      </c>
      <c r="W54" s="20" t="n">
        <v>1259</v>
      </c>
      <c r="X54" s="20" t="n">
        <v>1403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200</v>
      </c>
      <c r="D56" s="20" t="n">
        <v>80</v>
      </c>
      <c r="E56" s="20" t="n">
        <v>86</v>
      </c>
      <c r="F56" s="20" t="n">
        <v>85</v>
      </c>
      <c r="G56" s="20" t="n">
        <v>796</v>
      </c>
      <c r="H56" s="20" t="n">
        <v>-417</v>
      </c>
      <c r="I56" s="20" t="n">
        <v>343</v>
      </c>
      <c r="J56" s="20" t="n">
        <v>290</v>
      </c>
      <c r="K56" s="20" t="n">
        <v>158</v>
      </c>
      <c r="L56" s="20" t="n">
        <v>-108</v>
      </c>
      <c r="M56" s="20" t="n">
        <v>353</v>
      </c>
      <c r="N56" s="20" t="n">
        <v>242</v>
      </c>
      <c r="O56" s="19" t="n">
        <v>672</v>
      </c>
      <c r="P56" s="20" t="n">
        <v>1230</v>
      </c>
      <c r="Q56" s="20" t="n">
        <v>613</v>
      </c>
      <c r="R56" s="20" t="n">
        <v>669</v>
      </c>
      <c r="S56" s="20" t="n">
        <v>890</v>
      </c>
      <c r="T56" s="20" t="n">
        <v>438</v>
      </c>
      <c r="U56" s="20" t="n">
        <v>507</v>
      </c>
      <c r="V56" s="20" t="n">
        <v>473</v>
      </c>
      <c r="W56" s="20" t="n">
        <v>807</v>
      </c>
      <c r="X56" s="20" t="n">
        <v>693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2741</v>
      </c>
      <c r="D58" s="12" t="n">
        <v>1188</v>
      </c>
      <c r="E58" s="12" t="n">
        <v>2095</v>
      </c>
      <c r="F58" s="12" t="n">
        <v>2966</v>
      </c>
      <c r="G58" s="12" t="n">
        <v>744</v>
      </c>
      <c r="H58" s="12" t="n">
        <v>2967</v>
      </c>
      <c r="I58" s="12" t="n">
        <v>-509</v>
      </c>
      <c r="J58" s="12" t="n">
        <v>1965</v>
      </c>
      <c r="K58" s="12" t="n">
        <v>2934</v>
      </c>
      <c r="L58" s="12" t="n">
        <v>2664</v>
      </c>
      <c r="M58" s="12" t="n">
        <v>2555</v>
      </c>
      <c r="N58" s="12" t="n">
        <v>3087</v>
      </c>
      <c r="O58" s="11" t="n">
        <v>6703</v>
      </c>
      <c r="P58" s="12" t="n">
        <v>8041</v>
      </c>
      <c r="Q58" s="12" t="n">
        <v>7665</v>
      </c>
      <c r="R58" s="12" t="n">
        <v>-9426</v>
      </c>
      <c r="S58" s="12" t="n">
        <v>-7698</v>
      </c>
      <c r="T58" s="12" t="n">
        <v>-1549</v>
      </c>
      <c r="U58" s="12" t="n">
        <v>7265</v>
      </c>
      <c r="V58" s="12" t="n">
        <v>9133</v>
      </c>
      <c r="W58" s="12" t="n">
        <v>6168</v>
      </c>
      <c r="X58" s="12" t="n">
        <v>10118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8" t="inlineStr">
        <is>
          <t>법인세비용(수익)</t>
        </is>
      </c>
      <c r="B59" s="10" t="n"/>
      <c r="C59" s="19" t="n">
        <v>165</v>
      </c>
      <c r="D59" s="20" t="n">
        <v>335</v>
      </c>
      <c r="E59" s="20" t="n">
        <v>212</v>
      </c>
      <c r="F59" s="20" t="n">
        <v>769</v>
      </c>
      <c r="G59" s="20" t="n">
        <v>-134</v>
      </c>
      <c r="H59" s="20" t="n">
        <v>433</v>
      </c>
      <c r="I59" s="20" t="n">
        <v>904</v>
      </c>
      <c r="J59" s="20" t="n">
        <v>335</v>
      </c>
      <c r="K59" s="20" t="n">
        <v>276</v>
      </c>
      <c r="L59" s="20" t="n">
        <v>560</v>
      </c>
      <c r="M59" s="20" t="n">
        <v>554</v>
      </c>
      <c r="N59" s="20" t="n">
        <v>613</v>
      </c>
      <c r="O59" s="19" t="n">
        <v>867</v>
      </c>
      <c r="P59" s="20" t="n">
        <v>868</v>
      </c>
      <c r="Q59" s="20" t="n">
        <v>2170</v>
      </c>
      <c r="R59" s="20" t="n">
        <v>736</v>
      </c>
      <c r="S59" s="20" t="n">
        <v>1799</v>
      </c>
      <c r="T59" s="20" t="n">
        <v>1718</v>
      </c>
      <c r="U59" s="20" t="n">
        <v>2009</v>
      </c>
      <c r="V59" s="20" t="n">
        <v>1482</v>
      </c>
      <c r="W59" s="20" t="n">
        <v>1972</v>
      </c>
      <c r="X59" s="20" t="n">
        <v>1725</v>
      </c>
      <c r="Y59" s="19">
        <f>IF(OR(Y58="",Y60=""),"",IFERROR(MAX(Y58,0)*Y60,""))</f>
        <v/>
      </c>
      <c r="Z59" s="20">
        <f>IF(OR(Z58="",Z60=""),"",IFERROR(MAX(Z58,0)*Z60,""))</f>
        <v/>
      </c>
      <c r="AA59" s="20">
        <f>IF(OR(AA58="",AA60=""),"",IFERROR(MAX(AA58,0)*AA60,""))</f>
        <v/>
      </c>
      <c r="AB59" s="20">
        <f>IF(OR(AB58="",AB60=""),"",IFERROR(MAX(AB58,0)*AB60,""))</f>
        <v/>
      </c>
      <c r="AC59" s="20">
        <f>IF(OR(AC58="",AC60=""),"",IFERROR(MAX(AC58,0)*AC60,""))</f>
        <v/>
      </c>
    </row>
    <row r="60">
      <c r="A60" s="13" t="inlineStr">
        <is>
          <t>법인세율</t>
        </is>
      </c>
      <c r="B60" s="10" t="inlineStr">
        <is>
          <t>MW 기본 30%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0.3</v>
      </c>
      <c r="Z60" s="26" t="n">
        <v>0.3</v>
      </c>
      <c r="AA60" s="26" t="n">
        <v>0.3</v>
      </c>
      <c r="AB60" s="26" t="n">
        <v>0.3</v>
      </c>
      <c r="AC60" s="26" t="n">
        <v>0.3</v>
      </c>
    </row>
    <row r="61">
      <c r="A61" s="9" t="inlineStr">
        <is>
          <t>당기순이익(손실)</t>
        </is>
      </c>
      <c r="B61" s="10" t="n"/>
      <c r="C61" s="11" t="n">
        <v>2576</v>
      </c>
      <c r="D61" s="12" t="n">
        <v>853</v>
      </c>
      <c r="E61" s="12" t="n">
        <v>1883</v>
      </c>
      <c r="F61" s="12" t="n">
        <v>2197</v>
      </c>
      <c r="G61" s="12" t="n">
        <v>878</v>
      </c>
      <c r="H61" s="12" t="n">
        <v>2534</v>
      </c>
      <c r="I61" s="12" t="n">
        <v>-1413</v>
      </c>
      <c r="J61" s="12" t="n">
        <v>1630</v>
      </c>
      <c r="K61" s="12" t="n">
        <v>2658</v>
      </c>
      <c r="L61" s="12" t="n">
        <v>2104</v>
      </c>
      <c r="M61" s="12" t="n">
        <v>2001</v>
      </c>
      <c r="N61" s="12" t="n">
        <v>2474</v>
      </c>
      <c r="O61" s="11" t="n">
        <v>5836</v>
      </c>
      <c r="P61" s="12" t="n">
        <v>7173</v>
      </c>
      <c r="Q61" s="12" t="n">
        <v>5495</v>
      </c>
      <c r="R61" s="12" t="n">
        <v>-10162</v>
      </c>
      <c r="S61" s="12" t="n">
        <v>-9497</v>
      </c>
      <c r="T61" s="12" t="n">
        <v>-3267</v>
      </c>
      <c r="U61" s="12" t="n">
        <v>5256</v>
      </c>
      <c r="V61" s="12" t="n">
        <v>7651</v>
      </c>
      <c r="W61" s="12" t="n">
        <v>4196</v>
      </c>
      <c r="X61" s="12" t="n">
        <v>8393</v>
      </c>
      <c r="Y61" s="11">
        <f>IF(OR(Y58=""),"",IFERROR(Y58-Y59,""))</f>
        <v/>
      </c>
      <c r="Z61" s="12">
        <f>IF(OR(Z58=""),"",IFERROR(Z58-Z59,""))</f>
        <v/>
      </c>
      <c r="AA61" s="12">
        <f>IF(OR(AA58=""),"",IFERROR(AA58-AA59,""))</f>
        <v/>
      </c>
      <c r="AB61" s="12">
        <f>IF(OR(AB58=""),"",IFERROR(AB58-AB59,""))</f>
        <v/>
      </c>
      <c r="AC61" s="12">
        <f>IF(OR(AC58=""),"",IFERROR(AC58-AC59,""))</f>
        <v/>
      </c>
    </row>
    <row r="62">
      <c r="A62" s="9" t="inlineStr">
        <is>
          <t>지배주주 순이익</t>
        </is>
      </c>
      <c r="B62" s="10" t="n"/>
      <c r="C62" s="11" t="n">
        <v>2588</v>
      </c>
      <c r="D62" s="12" t="n">
        <v>751</v>
      </c>
      <c r="E62" s="12" t="n">
        <v>1859</v>
      </c>
      <c r="F62" s="12" t="n">
        <v>2207</v>
      </c>
      <c r="G62" s="12" t="n">
        <v>878</v>
      </c>
      <c r="H62" s="12" t="n">
        <v>2459</v>
      </c>
      <c r="I62" s="12" t="n">
        <v>-1454</v>
      </c>
      <c r="J62" s="12" t="n">
        <v>1593</v>
      </c>
      <c r="K62" s="12" t="n">
        <v>2641</v>
      </c>
      <c r="L62" s="12" t="n">
        <v>2014</v>
      </c>
      <c r="M62" s="12" t="n">
        <v>2012</v>
      </c>
      <c r="N62" s="12" t="n">
        <v>2397</v>
      </c>
      <c r="O62" s="11" t="n">
        <v>5724</v>
      </c>
      <c r="P62" s="12" t="n">
        <v>7127</v>
      </c>
      <c r="Q62" s="12" t="n">
        <v>5311</v>
      </c>
      <c r="R62" s="12" t="n">
        <v>-10487</v>
      </c>
      <c r="S62" s="12" t="n">
        <v>-9373</v>
      </c>
      <c r="T62" s="12" t="n">
        <v>-3659</v>
      </c>
      <c r="U62" s="12" t="n">
        <v>5193</v>
      </c>
      <c r="V62" s="12" t="n">
        <v>7544</v>
      </c>
      <c r="W62" s="12" t="n">
        <v>4090</v>
      </c>
      <c r="X62" s="12" t="n">
        <v>8260</v>
      </c>
      <c r="Y62" s="11">
        <f>IF(OR(Y61="",Y63=""),"",IFERROR(Y61*Y63,""))</f>
        <v/>
      </c>
      <c r="Z62" s="12">
        <f>IF(OR(Z61="",Z63=""),"",IFERROR(Z61*Z63,""))</f>
        <v/>
      </c>
      <c r="AA62" s="12">
        <f>IF(OR(AA61="",AA63=""),"",IFERROR(AA61*AA63,""))</f>
        <v/>
      </c>
      <c r="AB62" s="12">
        <f>IF(OR(AB61="",AB63=""),"",IFERROR(AB61*AB63,""))</f>
        <v/>
      </c>
      <c r="AC62" s="12">
        <f>IF(OR(AC61="",AC63=""),"",IFERROR(AC61*AC63,""))</f>
        <v/>
      </c>
    </row>
    <row r="63">
      <c r="A63" s="13" t="inlineStr">
        <is>
          <t>지배주주 순이익률</t>
        </is>
      </c>
      <c r="B63" s="10" t="inlineStr">
        <is>
          <t>MW 기본 100%</t>
        </is>
      </c>
      <c r="C63" s="14">
        <f>IF(OR(C62="",C61=""),"",IFERROR(C62/C61,""))</f>
        <v/>
      </c>
      <c r="D63" s="15">
        <f>IF(OR(D62="",D61=""),"",IFERROR(D62/D61,""))</f>
        <v/>
      </c>
      <c r="E63" s="15">
        <f>IF(OR(E62="",E61=""),"",IFERROR(E62/E61,""))</f>
        <v/>
      </c>
      <c r="F63" s="15">
        <f>IF(OR(F62="",F61=""),"",IFERROR(F62/F61,""))</f>
        <v/>
      </c>
      <c r="G63" s="15">
        <f>IF(OR(G62="",G61=""),"",IFERROR(G62/G61,""))</f>
        <v/>
      </c>
      <c r="H63" s="15">
        <f>IF(OR(H62="",H61=""),"",IFERROR(H62/H61,""))</f>
        <v/>
      </c>
      <c r="I63" s="15">
        <f>IF(OR(I62="",I61=""),"",IFERROR(I62/I61,""))</f>
        <v/>
      </c>
      <c r="J63" s="15">
        <f>IF(OR(J62="",J61=""),"",IFERROR(J62/J61,""))</f>
        <v/>
      </c>
      <c r="K63" s="15">
        <f>IF(OR(K62="",K61=""),"",IFERROR(K62/K61,""))</f>
        <v/>
      </c>
      <c r="L63" s="15">
        <f>IF(OR(L62="",L61=""),"",IFERROR(L62/L61,""))</f>
        <v/>
      </c>
      <c r="M63" s="15">
        <f>IF(OR(M62="",M61=""),"",IFERROR(M62/M61,""))</f>
        <v/>
      </c>
      <c r="N63" s="15">
        <f>IF(OR(N62="",N61=""),"",IFERROR(N62/N61,""))</f>
        <v/>
      </c>
      <c r="O63" s="14">
        <f>IF(OR(O62="",O61=""),"",IFERROR(O62/O61,""))</f>
        <v/>
      </c>
      <c r="P63" s="15">
        <f>IF(OR(P62="",P61=""),"",IFERROR(P62/P61,""))</f>
        <v/>
      </c>
      <c r="Q63" s="15">
        <f>IF(OR(Q62="",Q61=""),"",IFERROR(Q62/Q61,""))</f>
        <v/>
      </c>
      <c r="R63" s="15">
        <f>IF(OR(R62="",R61=""),"",IFERROR(R62/R61,""))</f>
        <v/>
      </c>
      <c r="S63" s="15">
        <f>IF(OR(S62="",S61=""),"",IFERROR(S62/S61,""))</f>
        <v/>
      </c>
      <c r="T63" s="15">
        <f>IF(OR(T62="",T61=""),"",IFERROR(T62/T61,""))</f>
        <v/>
      </c>
      <c r="U63" s="15">
        <f>IF(OR(U62="",U61=""),"",IFERROR(U62/U61,""))</f>
        <v/>
      </c>
      <c r="V63" s="15">
        <f>IF(OR(V62="",V61=""),"",IFERROR(V62/V61,""))</f>
        <v/>
      </c>
      <c r="W63" s="15">
        <f>IF(OR(W62="",W61=""),"",IFERROR(W62/W61,""))</f>
        <v/>
      </c>
      <c r="X63" s="15">
        <f>IF(OR(X62="",X61=""),"",IFERROR(X62/X61,""))</f>
        <v/>
      </c>
      <c r="Y63" s="25" t="n">
        <v>1</v>
      </c>
      <c r="Z63" s="26" t="n">
        <v>1</v>
      </c>
      <c r="AA63" s="26" t="n">
        <v>1</v>
      </c>
      <c r="AB63" s="26" t="n">
        <v>1</v>
      </c>
      <c r="AC63" s="26" t="n">
        <v>1</v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(2026.10.26)</t>
        </is>
      </c>
      <c r="B65" s="27" t="n">
        <v>2479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40664000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IF(O35="","",O35)</f>
        <v/>
      </c>
      <c r="P68" s="15">
        <f>IF(P35="","",P35)</f>
        <v/>
      </c>
      <c r="Q68" s="15">
        <f>IF(Q35="","",Q35)</f>
        <v/>
      </c>
      <c r="R68" s="15">
        <f>IF(R35="","",R35)</f>
        <v/>
      </c>
      <c r="S68" s="15">
        <f>IF(S35="","",S35)</f>
        <v/>
      </c>
      <c r="T68" s="15">
        <f>IF(T35="","",T35)</f>
        <v/>
      </c>
      <c r="U68" s="15">
        <f>IF(U35="","",U35)</f>
        <v/>
      </c>
      <c r="V68" s="15">
        <f>IF(V35="","",V35)</f>
        <v/>
      </c>
      <c r="W68" s="15">
        <f>IF(W35="","",W35)</f>
        <v/>
      </c>
      <c r="X68" s="15">
        <f>IF(X35="","",X35)</f>
        <v/>
      </c>
      <c r="Y68" s="14">
        <f>IF(Y35="","",Y35)</f>
        <v/>
      </c>
      <c r="Z68" s="15">
        <f>IF(Z35="","",Z35)</f>
        <v/>
      </c>
      <c r="AA68" s="15">
        <f>IF(AA35="","",AA35)</f>
        <v/>
      </c>
      <c r="AB68" s="15">
        <f>IF(AB35="","",AB35)</f>
        <v/>
      </c>
      <c r="AC68" s="15">
        <f>IF(AC35="","",AC35)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IF(OR(P62="",O62=""),"",IFERROR(P62/O62-1,""))</f>
        <v/>
      </c>
      <c r="Q69" s="15">
        <f>IF(OR(Q62="",P62=""),"",IFERROR(Q62/P62-1,""))</f>
        <v/>
      </c>
      <c r="R69" s="15">
        <f>IF(OR(R62="",Q62=""),"",IFERROR(R62/Q62-1,""))</f>
        <v/>
      </c>
      <c r="S69" s="15">
        <f>IF(OR(S62="",R62=""),"",IFERROR(S62/R62-1,""))</f>
        <v/>
      </c>
      <c r="T69" s="15">
        <f>IF(OR(T62="",S62=""),"",IFERROR(T62/S62-1,""))</f>
        <v/>
      </c>
      <c r="U69" s="15">
        <f>IF(OR(U62="",T62=""),"",IFERROR(U62/T62-1,""))</f>
        <v/>
      </c>
      <c r="V69" s="15">
        <f>IF(OR(V62="",U62=""),"",IFERROR(V62/U62-1,""))</f>
        <v/>
      </c>
      <c r="W69" s="15">
        <f>IF(OR(W62="",V62=""),"",IFERROR(W62/V62-1,""))</f>
        <v/>
      </c>
      <c r="X69" s="15">
        <f>IF(OR(X62="",W62=""),"",IFERROR(X62/W62-1,""))</f>
        <v/>
      </c>
      <c r="Y69" s="14">
        <f>IF(OR(Y62="",X62=""),"",IFERROR(Y62/X62-1,""))</f>
        <v/>
      </c>
      <c r="Z69" s="15">
        <f>IF(OR(Z62="",Y62=""),"",IFERROR(Z62/Y62-1,""))</f>
        <v/>
      </c>
      <c r="AA69" s="15">
        <f>IF(OR(AA62="",Z62=""),"",IFERROR(AA62/Z62-1,""))</f>
        <v/>
      </c>
      <c r="AB69" s="15">
        <f>IF(OR(AB62="",AA62=""),"",IFERROR(AB62/AA62-1,""))</f>
        <v/>
      </c>
      <c r="AC69" s="15">
        <f>IF(OR(AC62="",AB62=""),"",IFERROR(AC62/AB62-1,""))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IF(OR($B$67="",X62=""),"",IFERROR($B$67/X62,""))</f>
        <v/>
      </c>
      <c r="Y70" s="30">
        <f>IF(OR($B$67="",Y62=""),"",IFERROR($B$67/Y62,""))</f>
        <v/>
      </c>
      <c r="Z70" s="31">
        <f>IF(OR($B$67="",Z62=""),"",IFERROR($B$67/Z62,""))</f>
        <v/>
      </c>
      <c r="AA70" s="31">
        <f>IF(OR($B$67="",AA62=""),"",IFERROR($B$67/AA62,""))</f>
        <v/>
      </c>
      <c r="AB70" s="31">
        <f>IF(OR($B$67="",AB62=""),"",IFERROR($B$67/AB62,""))</f>
        <v/>
      </c>
      <c r="AC70" s="31">
        <f>IF(OR($B$67="",AC62=""),"",IFERROR($B$67/AC62,""))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IF(OR(O62="",$B$66=""),"",IFERROR(O62*1000000.0/$B$66,""))</f>
        <v/>
      </c>
      <c r="P72" s="29">
        <f>IF(OR(P62="",$B$66=""),"",IFERROR(P62*1000000.0/$B$66,""))</f>
        <v/>
      </c>
      <c r="Q72" s="29">
        <f>IF(OR(Q62="",$B$66=""),"",IFERROR(Q62*1000000.0/$B$66,""))</f>
        <v/>
      </c>
      <c r="R72" s="29">
        <f>IF(OR(R62="",$B$66=""),"",IFERROR(R62*1000000.0/$B$66,""))</f>
        <v/>
      </c>
      <c r="S72" s="29">
        <f>IF(OR(S62="",$B$66=""),"",IFERROR(S62*1000000.0/$B$66,""))</f>
        <v/>
      </c>
      <c r="T72" s="29">
        <f>IF(OR(T62="",$B$66=""),"",IFERROR(T62*1000000.0/$B$66,""))</f>
        <v/>
      </c>
      <c r="U72" s="29">
        <f>IF(OR(U62="",$B$66=""),"",IFERROR(U62*1000000.0/$B$66,""))</f>
        <v/>
      </c>
      <c r="V72" s="29">
        <f>IF(OR(V62="",$B$66=""),"",IFERROR(V62*1000000.0/$B$66,""))</f>
        <v/>
      </c>
      <c r="W72" s="29">
        <f>IF(OR(W62="",$B$66=""),"",IFERROR(W62*1000000.0/$B$66,""))</f>
        <v/>
      </c>
      <c r="X72" s="29">
        <f>IF(OR(X62="",$B$66=""),"",IFERROR(X62*1000000.0/$B$66,""))</f>
        <v/>
      </c>
      <c r="Y72" s="28">
        <f>IF(OR(Y62="",$B$66=""),"",IFERROR(Y62*1000000.0/$B$66,""))</f>
        <v/>
      </c>
      <c r="Z72" s="29">
        <f>IF(OR(Z62="",$B$66=""),"",IFERROR(Z62*1000000.0/$B$66,""))</f>
        <v/>
      </c>
      <c r="AA72" s="29">
        <f>IF(OR(AA62="",$B$66=""),"",IFERROR(AA62*1000000.0/$B$66,""))</f>
        <v/>
      </c>
      <c r="AB72" s="29">
        <f>IF(OR(AB62="",$B$66=""),"",IFERROR(AB62*1000000.0/$B$66,""))</f>
        <v/>
      </c>
      <c r="AC72" s="29">
        <f>IF(OR(AC62="",$B$66=""),"",IFERROR(AC62*1000000.0/$B$66,""))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IF(OR(Y62="",Y71=""),"",IFERROR(Y62*Y71,""))</f>
        <v/>
      </c>
      <c r="Z84" s="20">
        <f>IF(OR(Z62="",Z71=""),"",IFERROR(Z62*Z71,""))</f>
        <v/>
      </c>
      <c r="AA84" s="20">
        <f>IF(OR(AA62="",AA71=""),"",IFERROR(AA62*AA71,""))</f>
        <v/>
      </c>
      <c r="AB84" s="20">
        <f>IF(OR(AB62="",AB71=""),"",IFERROR(AB62*AB71,""))</f>
        <v/>
      </c>
      <c r="AC84" s="20">
        <f>IF(OR(AC62="",AC71=""),"",IFERROR(AC62*AC71,""))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2026.10.26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2024.2Q</t>
        </is>
      </c>
      <c r="D95" s="5" t="inlineStr">
        <is>
          <t>2024.3Q</t>
        </is>
      </c>
      <c r="E95" s="5" t="inlineStr">
        <is>
          <t>2024.4Q</t>
        </is>
      </c>
      <c r="F95" s="5" t="inlineStr">
        <is>
          <t>2025.1Q</t>
        </is>
      </c>
      <c r="G95" s="5" t="inlineStr">
        <is>
          <t>2025.2Q</t>
        </is>
      </c>
      <c r="H95" s="5" t="inlineStr">
        <is>
          <t>2025.3Q</t>
        </is>
      </c>
      <c r="I95" s="5" t="inlineStr">
        <is>
          <t>2025.4Q</t>
        </is>
      </c>
      <c r="J95" s="5" t="inlineStr">
        <is>
          <t>2026.1Q</t>
        </is>
      </c>
      <c r="K95" s="5" t="inlineStr">
        <is>
          <t>2026.2Q</t>
        </is>
      </c>
      <c r="L95" s="5" t="inlineStr">
        <is>
          <t>2026.3Q</t>
        </is>
      </c>
      <c r="M95" s="5" t="inlineStr">
        <is>
          <t>2026.4Q</t>
        </is>
      </c>
      <c r="N95" s="5" t="inlineStr">
        <is>
          <t>2027.1Q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33395</v>
      </c>
      <c r="D96" s="12" t="n">
        <v>31684</v>
      </c>
      <c r="E96" s="12" t="n">
        <v>31835</v>
      </c>
      <c r="F96" s="12" t="n">
        <v>31385</v>
      </c>
      <c r="G96" s="12" t="n">
        <v>31737</v>
      </c>
      <c r="H96" s="12" t="n">
        <v>32465</v>
      </c>
      <c r="I96" s="12" t="n">
        <v>34219</v>
      </c>
      <c r="J96" s="12" t="n">
        <v>30270</v>
      </c>
      <c r="K96" s="12" t="n">
        <v>34389</v>
      </c>
      <c r="L96" s="12" t="n">
        <v>31640</v>
      </c>
      <c r="M96" s="12" t="n">
        <v>33130</v>
      </c>
      <c r="N96" s="12" t="n">
        <v>37665</v>
      </c>
      <c r="T96" s="12" t="n">
        <v>33662</v>
      </c>
      <c r="U96" s="12" t="n">
        <v>33541</v>
      </c>
      <c r="V96" s="12" t="n">
        <v>31835</v>
      </c>
      <c r="W96" s="12" t="n">
        <v>34219</v>
      </c>
      <c r="X96" s="12" t="n">
        <v>33130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25719</v>
      </c>
      <c r="D98" s="20" t="n">
        <v>23857</v>
      </c>
      <c r="E98" s="20" t="n">
        <v>24074</v>
      </c>
      <c r="F98" s="20" t="n">
        <v>23328</v>
      </c>
      <c r="G98" s="20" t="n">
        <v>23699</v>
      </c>
      <c r="H98" s="20" t="n">
        <v>24290</v>
      </c>
      <c r="I98" s="20" t="n">
        <v>25322</v>
      </c>
      <c r="J98" s="20" t="n">
        <v>22555</v>
      </c>
      <c r="K98" s="20" t="n">
        <v>25203</v>
      </c>
      <c r="L98" s="20" t="n">
        <v>23485</v>
      </c>
      <c r="M98" s="20" t="n">
        <v>26358</v>
      </c>
      <c r="N98" s="20" t="n">
        <v>28276</v>
      </c>
      <c r="T98" s="20" t="n">
        <v>26361</v>
      </c>
      <c r="U98" s="20" t="n">
        <v>26156</v>
      </c>
      <c r="V98" s="20" t="n">
        <v>24074</v>
      </c>
      <c r="W98" s="20" t="n">
        <v>25322</v>
      </c>
      <c r="X98" s="20" t="n">
        <v>26358</v>
      </c>
    </row>
    <row r="99">
      <c r="A99" s="9" t="inlineStr">
        <is>
          <t>매출총이익</t>
        </is>
      </c>
      <c r="C99" s="12" t="n">
        <v>7676</v>
      </c>
      <c r="D99" s="12" t="n">
        <v>7827</v>
      </c>
      <c r="E99" s="12" t="n">
        <v>7761</v>
      </c>
      <c r="F99" s="12" t="n">
        <v>8057</v>
      </c>
      <c r="G99" s="12" t="n">
        <v>8038</v>
      </c>
      <c r="H99" s="12" t="n">
        <v>8175</v>
      </c>
      <c r="I99" s="12" t="n">
        <v>8897</v>
      </c>
      <c r="J99" s="12" t="n">
        <v>7715</v>
      </c>
      <c r="K99" s="12" t="n">
        <v>9186</v>
      </c>
      <c r="L99" s="12" t="n">
        <v>8155</v>
      </c>
      <c r="M99" s="12" t="n">
        <v>6772</v>
      </c>
      <c r="N99" s="12" t="n">
        <v>9389</v>
      </c>
      <c r="T99" s="12" t="n">
        <v>7301</v>
      </c>
      <c r="U99" s="12" t="n">
        <v>7385</v>
      </c>
      <c r="V99" s="12" t="n">
        <v>7761</v>
      </c>
      <c r="W99" s="12" t="n">
        <v>8897</v>
      </c>
      <c r="X99" s="12" t="n">
        <v>6772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판매비와 관리비</t>
        </is>
      </c>
      <c r="C101" s="20" t="n">
        <v>5134</v>
      </c>
      <c r="D101" s="20" t="n">
        <v>5922</v>
      </c>
      <c r="E101" s="20" t="n">
        <v>6149</v>
      </c>
      <c r="F101" s="20" t="n">
        <v>5721</v>
      </c>
      <c r="G101" s="20" t="n">
        <v>6197</v>
      </c>
      <c r="H101" s="20" t="n">
        <v>5774</v>
      </c>
      <c r="I101" s="20" t="n">
        <v>6157</v>
      </c>
      <c r="J101" s="20" t="n">
        <v>5731</v>
      </c>
      <c r="K101" s="20" t="n">
        <v>6115</v>
      </c>
      <c r="L101" s="20" t="n">
        <v>6032</v>
      </c>
      <c r="M101" s="20" t="n">
        <v>6059</v>
      </c>
      <c r="N101" s="20" t="n">
        <v>6517</v>
      </c>
      <c r="T101" s="20" t="n">
        <v>6540</v>
      </c>
      <c r="U101" s="20" t="n">
        <v>6311</v>
      </c>
      <c r="V101" s="20" t="n">
        <v>6149</v>
      </c>
      <c r="W101" s="20" t="n">
        <v>6157</v>
      </c>
      <c r="X101" s="20" t="n">
        <v>6059</v>
      </c>
    </row>
    <row r="102">
      <c r="A102" s="9" t="inlineStr">
        <is>
          <t>영업이익</t>
        </is>
      </c>
      <c r="C102" s="12" t="n">
        <v>2542</v>
      </c>
      <c r="D102" s="12" t="n">
        <v>1905</v>
      </c>
      <c r="E102" s="12" t="n">
        <v>1612</v>
      </c>
      <c r="F102" s="12" t="n">
        <v>2336</v>
      </c>
      <c r="G102" s="12" t="n">
        <v>1841</v>
      </c>
      <c r="H102" s="12" t="n">
        <v>2401</v>
      </c>
      <c r="I102" s="12" t="n">
        <v>2740</v>
      </c>
      <c r="J102" s="12" t="n">
        <v>1984</v>
      </c>
      <c r="K102" s="12" t="n">
        <v>3071</v>
      </c>
      <c r="L102" s="12" t="n">
        <v>2123</v>
      </c>
      <c r="M102" s="12" t="n">
        <v>713</v>
      </c>
      <c r="N102" s="12" t="n">
        <v>2872</v>
      </c>
      <c r="T102" s="12" t="n">
        <v>761</v>
      </c>
      <c r="U102" s="12" t="n">
        <v>1074</v>
      </c>
      <c r="V102" s="12" t="n">
        <v>1612</v>
      </c>
      <c r="W102" s="12" t="n">
        <v>2740</v>
      </c>
      <c r="X102" s="12" t="n">
        <v>713</v>
      </c>
    </row>
    <row r="103">
      <c r="A103" s="43" t="inlineStr">
        <is>
          <t>OPM</t>
        </is>
      </c>
      <c r="B103" s="3" t="inlineStr">
        <is>
          <t>영업이익 ÷ 매출</t>
        </is>
      </c>
      <c r="C103" s="15">
        <f>IF(OR(C102="",C96=""),"",IF(C96&lt;=0,"",IFERROR(C102/C96,"")))</f>
        <v/>
      </c>
      <c r="D103" s="15">
        <f>IF(OR(D102="",D96=""),"",IF(D96&lt;=0,"",IFERROR(D102/D96,"")))</f>
        <v/>
      </c>
      <c r="E103" s="15">
        <f>IF(OR(E102="",E96=""),"",IF(E96&lt;=0,"",IFERROR(E102/E96,"")))</f>
        <v/>
      </c>
      <c r="F103" s="15">
        <f>IF(OR(F102="",F96=""),"",IF(F96&lt;=0,"",IFERROR(F102/F96,"")))</f>
        <v/>
      </c>
      <c r="G103" s="15">
        <f>IF(OR(G102="",G96=""),"",IF(G96&lt;=0,"",IFERROR(G102/G96,"")))</f>
        <v/>
      </c>
      <c r="H103" s="15">
        <f>IF(OR(H102="",H96=""),"",IF(H96&lt;=0,"",IFERROR(H102/H96,"")))</f>
        <v/>
      </c>
      <c r="I103" s="15">
        <f>IF(OR(I102="",I96=""),"",IF(I96&lt;=0,"",IFERROR(I102/I96,"")))</f>
        <v/>
      </c>
      <c r="J103" s="15">
        <f>IF(OR(J102="",J96=""),"",IF(J96&lt;=0,"",IFERROR(J102/J96,"")))</f>
        <v/>
      </c>
      <c r="K103" s="15">
        <f>IF(OR(K102="",K96=""),"",IF(K96&lt;=0,"",IFERROR(K102/K96,"")))</f>
        <v/>
      </c>
      <c r="L103" s="15">
        <f>IF(OR(L102="",L96=""),"",IF(L96&lt;=0,"",IFERROR(L102/L96,"")))</f>
        <v/>
      </c>
      <c r="M103" s="15">
        <f>IF(OR(M102="",M96=""),"",IF(M96&lt;=0,"",IFERROR(M102/M96,"")))</f>
        <v/>
      </c>
      <c r="N103" s="15">
        <f>IF(OR(N102="",N96=""),"",IF(N96&lt;=0,"",IFERROR(N102/N96,"")))</f>
        <v/>
      </c>
      <c r="T103" s="15">
        <f>IF(OR(T102="",T96=""),"",IF(T96&lt;=0,"",IFERROR(T102/T96,"")))</f>
        <v/>
      </c>
      <c r="U103" s="15">
        <f>IF(OR(U102="",U96=""),"",IF(U96&lt;=0,"",IFERROR(U102/U96,"")))</f>
        <v/>
      </c>
      <c r="V103" s="15">
        <f>IF(OR(V102="",V96=""),"",IF(V96&lt;=0,"",IFERROR(V102/V96,"")))</f>
        <v/>
      </c>
      <c r="W103" s="15">
        <f>IF(OR(W102="",W96=""),"",IF(W96&lt;=0,"",IFERROR(W102/W96,"")))</f>
        <v/>
      </c>
      <c r="X103" s="15">
        <f>IF(OR(X102="",X96=""),"",IF(X96&lt;=0,"",IFERROR(X102/X96,"")))</f>
        <v/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IF(OR(G102="",C102=""),"",IF(C102&lt;=0,"",IFERROR(G102/C102-1,"")))</f>
        <v/>
      </c>
      <c r="H104" s="15">
        <f>IF(OR(H102="",D102=""),"",IF(D102&lt;=0,"",IFERROR(H102/D102-1,"")))</f>
        <v/>
      </c>
      <c r="I104" s="15">
        <f>IF(OR(I102="",E102=""),"",IF(E102&lt;=0,"",IFERROR(I102/E102-1,"")))</f>
        <v/>
      </c>
      <c r="J104" s="15">
        <f>IF(OR(J102="",F102=""),"",IF(F102&lt;=0,"",IFERROR(J102/F102-1,"")))</f>
        <v/>
      </c>
      <c r="K104" s="15">
        <f>IF(OR(K102="",G102=""),"",IF(G102&lt;=0,"",IFERROR(K102/G102-1,"")))</f>
        <v/>
      </c>
      <c r="L104" s="15">
        <f>IF(OR(L102="",H102=""),"",IF(H102&lt;=0,"",IFERROR(L102/H102-1,"")))</f>
        <v/>
      </c>
      <c r="M104" s="15">
        <f>IF(OR(M102="",I102=""),"",IF(I102&lt;=0,"",IFERROR(M102/I102-1,"")))</f>
        <v/>
      </c>
      <c r="N104" s="15">
        <f>IF(OR(N102="",J102=""),"",IF(J102&lt;=0,"",IFERROR(N102/J102-1,"")))</f>
        <v/>
      </c>
      <c r="T104" s="15">
        <f>IF(OR(T102="",S102=""),"",IF(S102&lt;=0,"",IFERROR(T102/S102-1,"")))</f>
        <v/>
      </c>
      <c r="U104" s="15">
        <f>IF(OR(U102="",T102=""),"",IF(T102&lt;=0,"",IFERROR(U102/T102-1,"")))</f>
        <v/>
      </c>
      <c r="V104" s="15">
        <f>IF(OR(V102="",U102=""),"",IF(U102&lt;=0,"",IFERROR(V102/U102-1,"")))</f>
        <v/>
      </c>
      <c r="W104" s="15">
        <f>IF(OR(W102="",V102=""),"",IF(V102&lt;=0,"",IFERROR(W102/V102-1,"")))</f>
        <v/>
      </c>
      <c r="X104" s="15">
        <f>IF(OR(X102="",W102=""),"",IF(W102&lt;=0,"",IFERROR(X102/W102-1,"")))</f>
        <v/>
      </c>
    </row>
    <row r="105">
      <c r="A105" s="18" t="inlineStr">
        <is>
          <t>이자수익</t>
        </is>
      </c>
      <c r="C105" s="20" t="n">
        <v>109</v>
      </c>
      <c r="D105" s="20" t="n">
        <v>139</v>
      </c>
      <c r="E105" s="20" t="n">
        <v>174</v>
      </c>
      <c r="F105" s="20" t="n">
        <v>169</v>
      </c>
      <c r="G105" s="20" t="n">
        <v>152</v>
      </c>
      <c r="H105" s="20" t="n">
        <v>106</v>
      </c>
      <c r="I105" s="20" t="n">
        <v>123</v>
      </c>
      <c r="J105" s="20" t="n">
        <v>75</v>
      </c>
      <c r="K105" s="20" t="n">
        <v>67</v>
      </c>
      <c r="L105" s="20" t="n">
        <v>68</v>
      </c>
      <c r="M105" s="20" t="n">
        <v>58</v>
      </c>
      <c r="N105" s="20" t="n">
        <v>59</v>
      </c>
      <c r="T105" s="20" t="n">
        <v>85</v>
      </c>
      <c r="U105" s="20" t="n">
        <v>73</v>
      </c>
      <c r="V105" s="20" t="n">
        <v>174</v>
      </c>
      <c r="W105" s="20" t="n">
        <v>123</v>
      </c>
      <c r="X105" s="20" t="n">
        <v>58</v>
      </c>
    </row>
    <row r="106">
      <c r="A106" s="18" t="inlineStr">
        <is>
          <t>배당금수익</t>
        </is>
      </c>
      <c r="C106" s="20" t="n">
        <v>39</v>
      </c>
      <c r="D106" s="20" t="n">
        <v>63</v>
      </c>
      <c r="E106" s="20" t="n">
        <v>3</v>
      </c>
      <c r="F106" s="20" t="n">
        <v>79</v>
      </c>
      <c r="G106" s="20" t="n">
        <v>38</v>
      </c>
      <c r="H106" s="20" t="n">
        <v>99</v>
      </c>
      <c r="I106" s="20" t="n">
        <v>3</v>
      </c>
      <c r="J106" s="20" t="n">
        <v>139</v>
      </c>
      <c r="K106" s="20" t="n">
        <v>0</v>
      </c>
      <c r="L106" s="20" t="n">
        <v>102</v>
      </c>
      <c r="M106" s="20" t="n">
        <v>0</v>
      </c>
      <c r="N106" s="20" t="n">
        <v>155</v>
      </c>
      <c r="T106" s="20" t="n">
        <v>3</v>
      </c>
      <c r="U106" s="20" t="n">
        <v>3</v>
      </c>
      <c r="V106" s="20" t="n">
        <v>3</v>
      </c>
      <c r="W106" s="20" t="n">
        <v>3</v>
      </c>
      <c r="X106" s="20" t="n">
        <v>0</v>
      </c>
    </row>
    <row r="107">
      <c r="A107" s="18" t="inlineStr">
        <is>
          <t>지분법이익</t>
        </is>
      </c>
      <c r="D107" s="20" t="n">
        <v>0</v>
      </c>
      <c r="E107" s="20" t="n">
        <v>0</v>
      </c>
      <c r="F107" s="20" t="n">
        <v>0</v>
      </c>
      <c r="G107" s="20" t="n">
        <v>3</v>
      </c>
      <c r="H107" s="20" t="n">
        <v>46</v>
      </c>
      <c r="I107" s="20" t="n">
        <v>29</v>
      </c>
      <c r="J107" s="20" t="n">
        <v>58</v>
      </c>
      <c r="K107" s="20" t="n">
        <v>50</v>
      </c>
      <c r="L107" s="20" t="n">
        <v>98</v>
      </c>
      <c r="M107" s="20" t="n">
        <v>192</v>
      </c>
      <c r="N107" s="20" t="n">
        <v>102</v>
      </c>
      <c r="T107" s="20" t="n">
        <v>26</v>
      </c>
      <c r="U107" s="20" t="n">
        <v>0</v>
      </c>
      <c r="V107" s="20" t="n">
        <v>0</v>
      </c>
      <c r="W107" s="20" t="n">
        <v>29</v>
      </c>
      <c r="X107" s="20" t="n">
        <v>192</v>
      </c>
    </row>
    <row r="108">
      <c r="A108" s="18" t="inlineStr">
        <is>
          <t>외환차익</t>
        </is>
      </c>
      <c r="C108" s="20" t="n">
        <v>185</v>
      </c>
      <c r="D108" s="20" t="n">
        <v>-480</v>
      </c>
      <c r="E108" s="20" t="n">
        <v>376</v>
      </c>
      <c r="F108" s="20" t="n">
        <v>455</v>
      </c>
      <c r="G108" s="20" t="n">
        <v>-455</v>
      </c>
      <c r="H108" s="20" t="n">
        <v>0</v>
      </c>
      <c r="I108" s="20" t="n">
        <v>0</v>
      </c>
      <c r="J108" s="20" t="n">
        <v>0</v>
      </c>
      <c r="M108" s="20" t="n">
        <v>51</v>
      </c>
      <c r="N108" s="20" t="n">
        <v>62</v>
      </c>
      <c r="T108" s="20" t="n">
        <v>157</v>
      </c>
      <c r="U108" s="20" t="n">
        <v>-111</v>
      </c>
      <c r="V108" s="20" t="n">
        <v>376</v>
      </c>
      <c r="W108" s="20" t="n">
        <v>0</v>
      </c>
      <c r="X108" s="20" t="n">
        <v>51</v>
      </c>
    </row>
    <row r="109">
      <c r="A109" s="18" t="inlineStr">
        <is>
          <t>기타</t>
        </is>
      </c>
      <c r="C109" s="20" t="n">
        <v>186</v>
      </c>
      <c r="D109" s="20" t="n">
        <v>98</v>
      </c>
      <c r="E109" s="20" t="n">
        <v>61</v>
      </c>
      <c r="F109" s="20" t="n">
        <v>72</v>
      </c>
      <c r="G109" s="20" t="n">
        <v>56</v>
      </c>
      <c r="H109" s="20" t="n">
        <v>190</v>
      </c>
      <c r="I109" s="20" t="n">
        <v>94</v>
      </c>
      <c r="J109" s="20" t="n">
        <v>50</v>
      </c>
      <c r="K109" s="20" t="n">
        <v>61</v>
      </c>
      <c r="L109" s="20" t="n">
        <v>57</v>
      </c>
      <c r="M109" s="20" t="n">
        <v>116</v>
      </c>
      <c r="N109" s="20" t="n">
        <v>119</v>
      </c>
      <c r="T109" s="20" t="n">
        <v>-31</v>
      </c>
      <c r="U109" s="20" t="n">
        <v>92</v>
      </c>
      <c r="V109" s="20" t="n">
        <v>61</v>
      </c>
      <c r="W109" s="20" t="n">
        <v>94</v>
      </c>
      <c r="X109" s="20" t="n">
        <v>116</v>
      </c>
    </row>
    <row r="110">
      <c r="A110" s="18" t="inlineStr">
        <is>
          <t>영업외수익 합계</t>
        </is>
      </c>
      <c r="C110" s="20" t="n">
        <v>519</v>
      </c>
      <c r="D110" s="20" t="n">
        <v>-180</v>
      </c>
      <c r="E110" s="20" t="n">
        <v>614</v>
      </c>
      <c r="F110" s="20" t="n">
        <v>775</v>
      </c>
      <c r="G110" s="20" t="n">
        <v>-206</v>
      </c>
      <c r="H110" s="20" t="n">
        <v>441</v>
      </c>
      <c r="I110" s="20" t="n">
        <v>249</v>
      </c>
      <c r="J110" s="20" t="n">
        <v>322</v>
      </c>
      <c r="K110" s="20" t="n">
        <v>178</v>
      </c>
      <c r="L110" s="20" t="n">
        <v>486</v>
      </c>
      <c r="M110" s="20" t="n">
        <v>417</v>
      </c>
      <c r="N110" s="20" t="n">
        <v>497</v>
      </c>
      <c r="T110" s="20" t="n">
        <v>389</v>
      </c>
      <c r="U110" s="20" t="n">
        <v>57</v>
      </c>
      <c r="V110" s="20" t="n">
        <v>614</v>
      </c>
      <c r="W110" s="20" t="n">
        <v>249</v>
      </c>
      <c r="X110" s="20" t="n">
        <v>417</v>
      </c>
    </row>
    <row r="111">
      <c r="A111" s="18" t="inlineStr">
        <is>
          <t>이자비용</t>
        </is>
      </c>
      <c r="C111" s="20" t="n">
        <v>17</v>
      </c>
      <c r="D111" s="20" t="n">
        <v>20</v>
      </c>
      <c r="E111" s="20" t="n">
        <v>20</v>
      </c>
      <c r="F111" s="20" t="n">
        <v>26</v>
      </c>
      <c r="G111" s="20" t="n">
        <v>36</v>
      </c>
      <c r="H111" s="20" t="n">
        <v>40</v>
      </c>
      <c r="I111" s="20" t="n">
        <v>44</v>
      </c>
      <c r="J111" s="20" t="n">
        <v>43</v>
      </c>
      <c r="K111" s="20" t="n">
        <v>43</v>
      </c>
      <c r="L111" s="20" t="n">
        <v>57</v>
      </c>
      <c r="M111" s="20" t="n">
        <v>106</v>
      </c>
      <c r="N111" s="20" t="n">
        <v>142</v>
      </c>
      <c r="T111" s="20" t="n">
        <v>28</v>
      </c>
      <c r="U111" s="20" t="n">
        <v>20</v>
      </c>
      <c r="V111" s="20" t="n">
        <v>20</v>
      </c>
      <c r="W111" s="20" t="n">
        <v>44</v>
      </c>
      <c r="X111" s="20" t="n">
        <v>106</v>
      </c>
    </row>
    <row r="112">
      <c r="A112" s="18" t="inlineStr">
        <is>
          <t>지분법손실</t>
        </is>
      </c>
      <c r="C112" s="20" t="n">
        <v>58</v>
      </c>
      <c r="D112" s="20" t="n">
        <v>-2</v>
      </c>
      <c r="E112" s="20" t="n">
        <v>-53</v>
      </c>
      <c r="F112" s="20" t="n">
        <v>14</v>
      </c>
      <c r="G112" s="20" t="n">
        <v>-14</v>
      </c>
      <c r="H112" s="20" t="n">
        <v>0</v>
      </c>
      <c r="I112" s="20" t="n">
        <v>0</v>
      </c>
      <c r="J112" s="20" t="n">
        <v>0</v>
      </c>
      <c r="T112" s="20" t="n">
        <v>0</v>
      </c>
      <c r="U112" s="20" t="n">
        <v>82</v>
      </c>
      <c r="V112" s="20" t="n">
        <v>-53</v>
      </c>
      <c r="W112" s="20" t="n">
        <v>0</v>
      </c>
    </row>
    <row r="113">
      <c r="A113" s="18" t="inlineStr">
        <is>
          <t>Cost Of Lease Revenue NOE</t>
        </is>
      </c>
      <c r="E113" s="20" t="n">
        <v>28</v>
      </c>
      <c r="F113" s="20" t="n">
        <v>25</v>
      </c>
      <c r="I113" s="20" t="n">
        <v>32</v>
      </c>
      <c r="J113" s="20" t="n">
        <v>21</v>
      </c>
      <c r="M113" s="20" t="n">
        <v>44</v>
      </c>
      <c r="N113" s="20" t="n">
        <v>64</v>
      </c>
      <c r="U113" s="20" t="n">
        <v>8</v>
      </c>
      <c r="V113" s="20" t="n">
        <v>28</v>
      </c>
      <c r="W113" s="20" t="n">
        <v>32</v>
      </c>
      <c r="X113" s="20" t="n">
        <v>44</v>
      </c>
    </row>
    <row r="114">
      <c r="A114" s="18" t="inlineStr">
        <is>
          <t>고정자산 압축손실</t>
        </is>
      </c>
      <c r="T114" s="20" t="n">
        <v>0</v>
      </c>
      <c r="U114" s="20" t="n">
        <v>0</v>
      </c>
    </row>
    <row r="115">
      <c r="A115" s="18" t="inlineStr">
        <is>
          <t>외환차손</t>
        </is>
      </c>
      <c r="D115" s="20" t="n">
        <v>0</v>
      </c>
      <c r="E115" s="20" t="n">
        <v>0</v>
      </c>
      <c r="F115" s="20" t="n">
        <v>0</v>
      </c>
      <c r="G115" s="20" t="n">
        <v>631</v>
      </c>
      <c r="H115" s="20" t="n">
        <v>-479</v>
      </c>
      <c r="I115" s="20" t="n">
        <v>153</v>
      </c>
      <c r="J115" s="20" t="n">
        <v>201</v>
      </c>
      <c r="K115" s="20" t="n">
        <v>56</v>
      </c>
      <c r="L115" s="20" t="n">
        <v>-257</v>
      </c>
      <c r="M115" s="20" t="n">
        <v>0</v>
      </c>
      <c r="N115" s="20" t="n">
        <v>0</v>
      </c>
      <c r="V115" s="20" t="n">
        <v>0</v>
      </c>
      <c r="W115" s="20" t="n">
        <v>153</v>
      </c>
      <c r="X115" s="20" t="n">
        <v>0</v>
      </c>
    </row>
    <row r="116">
      <c r="A116" s="18" t="inlineStr">
        <is>
          <t>기타</t>
        </is>
      </c>
      <c r="C116" s="20" t="n">
        <v>143</v>
      </c>
      <c r="D116" s="20" t="n">
        <v>62</v>
      </c>
      <c r="E116" s="20" t="n">
        <v>0</v>
      </c>
      <c r="F116" s="20" t="n">
        <v>45</v>
      </c>
      <c r="G116" s="20" t="n">
        <v>143</v>
      </c>
      <c r="H116" s="20" t="n">
        <v>-58</v>
      </c>
      <c r="I116" s="20" t="n">
        <v>34</v>
      </c>
      <c r="J116" s="20" t="n">
        <v>25</v>
      </c>
      <c r="K116" s="20" t="n">
        <v>80</v>
      </c>
      <c r="L116" s="20" t="n">
        <v>5</v>
      </c>
      <c r="M116" s="20" t="n">
        <v>8</v>
      </c>
      <c r="N116" s="20" t="n">
        <v>36</v>
      </c>
      <c r="T116" s="20" t="n">
        <v>38</v>
      </c>
      <c r="U116" s="20" t="n">
        <v>58</v>
      </c>
      <c r="V116" s="20" t="n">
        <v>0</v>
      </c>
      <c r="W116" s="20" t="n">
        <v>34</v>
      </c>
      <c r="X116" s="20" t="n">
        <v>8</v>
      </c>
    </row>
    <row r="117">
      <c r="A117" s="18" t="inlineStr">
        <is>
          <t>영업외비용 합계</t>
        </is>
      </c>
      <c r="C117" s="20" t="n">
        <v>200</v>
      </c>
      <c r="D117" s="20" t="n">
        <v>80</v>
      </c>
      <c r="E117" s="20" t="n">
        <v>86</v>
      </c>
      <c r="F117" s="20" t="n">
        <v>85</v>
      </c>
      <c r="G117" s="20" t="n">
        <v>796</v>
      </c>
      <c r="H117" s="20" t="n">
        <v>-417</v>
      </c>
      <c r="I117" s="20" t="n">
        <v>343</v>
      </c>
      <c r="J117" s="20" t="n">
        <v>290</v>
      </c>
      <c r="K117" s="20" t="n">
        <v>158</v>
      </c>
      <c r="L117" s="20" t="n">
        <v>-108</v>
      </c>
      <c r="M117" s="20" t="n">
        <v>353</v>
      </c>
      <c r="N117" s="20" t="n">
        <v>242</v>
      </c>
      <c r="T117" s="20" t="n">
        <v>116</v>
      </c>
      <c r="U117" s="20" t="n">
        <v>168</v>
      </c>
      <c r="V117" s="20" t="n">
        <v>86</v>
      </c>
      <c r="W117" s="20" t="n">
        <v>343</v>
      </c>
      <c r="X117" s="20" t="n">
        <v>353</v>
      </c>
    </row>
    <row r="118">
      <c r="A118" s="9" t="inlineStr">
        <is>
          <t>경상이익</t>
        </is>
      </c>
      <c r="C118" s="12" t="n">
        <v>2861</v>
      </c>
      <c r="D118" s="12" t="n">
        <v>1645</v>
      </c>
      <c r="E118" s="12" t="n">
        <v>2140</v>
      </c>
      <c r="F118" s="12" t="n">
        <v>3026</v>
      </c>
      <c r="G118" s="12" t="n">
        <v>839</v>
      </c>
      <c r="H118" s="12" t="n">
        <v>3259</v>
      </c>
      <c r="I118" s="12" t="n">
        <v>2646</v>
      </c>
      <c r="J118" s="12" t="n">
        <v>2016</v>
      </c>
      <c r="K118" s="12" t="n">
        <v>3091</v>
      </c>
      <c r="L118" s="12" t="n">
        <v>2717</v>
      </c>
      <c r="M118" s="12" t="n">
        <v>777</v>
      </c>
      <c r="N118" s="12" t="n">
        <v>3127</v>
      </c>
      <c r="T118" s="12" t="n">
        <v>1034</v>
      </c>
      <c r="U118" s="12" t="n">
        <v>963</v>
      </c>
      <c r="V118" s="12" t="n">
        <v>2140</v>
      </c>
      <c r="W118" s="12" t="n">
        <v>2646</v>
      </c>
      <c r="X118" s="12" t="n">
        <v>777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고정자산 매각이익</t>
        </is>
      </c>
      <c r="C120" s="20" t="n">
        <v>5</v>
      </c>
      <c r="D120" s="20" t="n">
        <v>6</v>
      </c>
      <c r="E120" s="20" t="n">
        <v>13</v>
      </c>
      <c r="F120" s="20" t="n">
        <v>11</v>
      </c>
      <c r="G120" s="20" t="n">
        <v>0</v>
      </c>
      <c r="H120" s="20" t="n">
        <v>0</v>
      </c>
      <c r="I120" s="20" t="n">
        <v>4</v>
      </c>
      <c r="J120" s="20" t="n">
        <v>7</v>
      </c>
      <c r="K120" s="20" t="n">
        <v>4</v>
      </c>
      <c r="L120" s="20" t="n">
        <v>2</v>
      </c>
      <c r="M120" s="20" t="n">
        <v>5</v>
      </c>
      <c r="N120" s="20" t="n">
        <v>0</v>
      </c>
      <c r="T120" s="20" t="n">
        <v>2</v>
      </c>
      <c r="U120" s="20" t="n">
        <v>1489</v>
      </c>
      <c r="V120" s="20" t="n">
        <v>13</v>
      </c>
      <c r="W120" s="20" t="n">
        <v>4</v>
      </c>
      <c r="X120" s="20" t="n">
        <v>5</v>
      </c>
    </row>
    <row r="121">
      <c r="A121" s="18" t="inlineStr">
        <is>
          <t>투자유가증권 매각이익</t>
        </is>
      </c>
      <c r="C121" s="20" t="n">
        <v>0</v>
      </c>
      <c r="D121" s="20" t="n">
        <v>0</v>
      </c>
      <c r="E121" s="20" t="n">
        <v>0</v>
      </c>
      <c r="F121" s="20" t="n">
        <v>5</v>
      </c>
      <c r="G121" s="20" t="n">
        <v>11</v>
      </c>
      <c r="H121" s="20" t="n">
        <v>6</v>
      </c>
      <c r="I121" s="20" t="n">
        <v>13</v>
      </c>
      <c r="J121" s="20" t="n">
        <v>0</v>
      </c>
      <c r="V121" s="20" t="n">
        <v>0</v>
      </c>
      <c r="W121" s="20" t="n">
        <v>13</v>
      </c>
    </row>
    <row r="122">
      <c r="A122" s="18" t="inlineStr">
        <is>
          <t>기타</t>
        </is>
      </c>
      <c r="D122" s="20" t="n">
        <v>0</v>
      </c>
      <c r="E122" s="20" t="n">
        <v>0</v>
      </c>
      <c r="H122" s="20" t="n">
        <v>6</v>
      </c>
      <c r="I122" s="20" t="n">
        <v>13</v>
      </c>
      <c r="L122" s="20" t="n">
        <v>0</v>
      </c>
      <c r="M122" s="20" t="n">
        <v>0</v>
      </c>
      <c r="T122" s="20" t="n">
        <v>244</v>
      </c>
      <c r="U122" s="20" t="n">
        <v>0</v>
      </c>
      <c r="V122" s="20" t="n">
        <v>0</v>
      </c>
      <c r="W122" s="20" t="n">
        <v>13</v>
      </c>
      <c r="X122" s="20" t="n">
        <v>0</v>
      </c>
    </row>
    <row r="123">
      <c r="A123" s="18" t="inlineStr">
        <is>
          <t>특별이익 합계</t>
        </is>
      </c>
      <c r="C123" s="20" t="n">
        <v>5</v>
      </c>
      <c r="D123" s="20" t="n">
        <v>6</v>
      </c>
      <c r="E123" s="20" t="n">
        <v>13</v>
      </c>
      <c r="F123" s="20" t="n">
        <v>16</v>
      </c>
      <c r="G123" s="20" t="n">
        <v>11</v>
      </c>
      <c r="H123" s="20" t="n">
        <v>6</v>
      </c>
      <c r="I123" s="20" t="n">
        <v>17</v>
      </c>
      <c r="J123" s="20" t="n">
        <v>7</v>
      </c>
      <c r="K123" s="20" t="n">
        <v>4</v>
      </c>
      <c r="L123" s="20" t="n">
        <v>2</v>
      </c>
      <c r="M123" s="20" t="n">
        <v>2862</v>
      </c>
      <c r="N123" s="20" t="n">
        <v>0</v>
      </c>
      <c r="T123" s="20" t="n">
        <v>246</v>
      </c>
      <c r="U123" s="20" t="n">
        <v>1489</v>
      </c>
      <c r="V123" s="20" t="n">
        <v>13</v>
      </c>
      <c r="W123" s="20" t="n">
        <v>17</v>
      </c>
      <c r="X123" s="20" t="n">
        <v>2862</v>
      </c>
    </row>
    <row r="124">
      <c r="A124" s="18" t="inlineStr">
        <is>
          <t>고정자산 제각·매각손실</t>
        </is>
      </c>
      <c r="C124" s="20" t="n">
        <v>125</v>
      </c>
      <c r="D124" s="20" t="n">
        <v>28</v>
      </c>
      <c r="E124" s="20" t="n">
        <v>58</v>
      </c>
      <c r="F124" s="20" t="n">
        <v>76</v>
      </c>
      <c r="G124" s="20" t="n">
        <v>106</v>
      </c>
      <c r="H124" s="20" t="n">
        <v>148</v>
      </c>
      <c r="I124" s="20" t="n">
        <v>101</v>
      </c>
      <c r="J124" s="20" t="n">
        <v>53</v>
      </c>
      <c r="K124" s="20" t="n">
        <v>83</v>
      </c>
      <c r="L124" s="20" t="n">
        <v>55</v>
      </c>
      <c r="M124" s="20" t="n">
        <v>172</v>
      </c>
      <c r="N124" s="20" t="n">
        <v>40</v>
      </c>
      <c r="T124" s="20" t="n">
        <v>317</v>
      </c>
      <c r="U124" s="20" t="n">
        <v>147</v>
      </c>
      <c r="V124" s="20" t="n">
        <v>58</v>
      </c>
      <c r="W124" s="20" t="n">
        <v>101</v>
      </c>
      <c r="X124" s="20" t="n">
        <v>172</v>
      </c>
    </row>
    <row r="125">
      <c r="A125" s="18" t="inlineStr">
        <is>
          <t>손상차손</t>
        </is>
      </c>
      <c r="E125" s="20" t="n">
        <v>0</v>
      </c>
      <c r="H125" s="20" t="n">
        <v>150</v>
      </c>
      <c r="I125" s="20" t="n">
        <v>1185</v>
      </c>
      <c r="L125" s="20" t="n">
        <v>0</v>
      </c>
      <c r="M125" s="20" t="n">
        <v>534</v>
      </c>
      <c r="T125" s="20" t="n">
        <v>0</v>
      </c>
      <c r="U125" s="20" t="n">
        <v>461</v>
      </c>
      <c r="V125" s="20" t="n">
        <v>0</v>
      </c>
      <c r="W125" s="20" t="n">
        <v>1185</v>
      </c>
      <c r="X125" s="20" t="n">
        <v>534</v>
      </c>
    </row>
    <row r="126">
      <c r="A126" s="18" t="inlineStr">
        <is>
          <t>특별퇴직금</t>
        </is>
      </c>
      <c r="E126" s="20" t="n">
        <v>0</v>
      </c>
      <c r="I126" s="20" t="n">
        <v>1886</v>
      </c>
      <c r="T126" s="20" t="n">
        <v>12</v>
      </c>
      <c r="U126" s="20" t="n">
        <v>407</v>
      </c>
      <c r="V126" s="20" t="n">
        <v>0</v>
      </c>
      <c r="W126" s="20" t="n">
        <v>1886</v>
      </c>
    </row>
    <row r="127">
      <c r="A127" s="18" t="inlineStr">
        <is>
          <t>기타</t>
        </is>
      </c>
      <c r="H127" s="20" t="n">
        <v>0</v>
      </c>
      <c r="I127" s="20" t="n">
        <v>0</v>
      </c>
      <c r="L127" s="20" t="n">
        <v>0</v>
      </c>
      <c r="M127" s="20" t="n">
        <v>0</v>
      </c>
      <c r="T127" s="20" t="n">
        <v>86</v>
      </c>
      <c r="U127" s="20" t="n">
        <v>0</v>
      </c>
      <c r="W127" s="20" t="n">
        <v>0</v>
      </c>
      <c r="X127" s="20" t="n">
        <v>0</v>
      </c>
    </row>
    <row r="128">
      <c r="A128" s="18" t="inlineStr">
        <is>
          <t>투자유가증권 매각손실</t>
        </is>
      </c>
      <c r="F128" s="20" t="n">
        <v>0</v>
      </c>
      <c r="J128" s="20" t="n">
        <v>5</v>
      </c>
      <c r="N128" s="20" t="n">
        <v>0</v>
      </c>
    </row>
    <row r="129">
      <c r="A129" s="18" t="inlineStr">
        <is>
          <t>특별손실 합계</t>
        </is>
      </c>
      <c r="C129" s="20" t="n">
        <v>125</v>
      </c>
      <c r="D129" s="20" t="n">
        <v>463</v>
      </c>
      <c r="E129" s="20" t="n">
        <v>58</v>
      </c>
      <c r="F129" s="20" t="n">
        <v>76</v>
      </c>
      <c r="G129" s="20" t="n">
        <v>106</v>
      </c>
      <c r="H129" s="20" t="n">
        <v>298</v>
      </c>
      <c r="I129" s="20" t="n">
        <v>3172</v>
      </c>
      <c r="J129" s="20" t="n">
        <v>58</v>
      </c>
      <c r="K129" s="20" t="n">
        <v>161</v>
      </c>
      <c r="L129" s="20" t="n">
        <v>55</v>
      </c>
      <c r="M129" s="20" t="n">
        <v>1084</v>
      </c>
      <c r="N129" s="20" t="n">
        <v>40</v>
      </c>
      <c r="T129" s="20" t="n">
        <v>10727</v>
      </c>
      <c r="U129" s="20" t="n">
        <v>1015</v>
      </c>
      <c r="V129" s="20" t="n">
        <v>58</v>
      </c>
      <c r="W129" s="20" t="n">
        <v>3172</v>
      </c>
      <c r="X129" s="20" t="n">
        <v>1084</v>
      </c>
    </row>
    <row r="130">
      <c r="A130" s="9" t="inlineStr">
        <is>
          <t>법인세차감전 순이익</t>
        </is>
      </c>
      <c r="C130" s="12" t="n">
        <v>2741</v>
      </c>
      <c r="D130" s="12" t="n">
        <v>1188</v>
      </c>
      <c r="E130" s="12" t="n">
        <v>2095</v>
      </c>
      <c r="F130" s="12" t="n">
        <v>2966</v>
      </c>
      <c r="G130" s="12" t="n">
        <v>744</v>
      </c>
      <c r="H130" s="12" t="n">
        <v>2967</v>
      </c>
      <c r="I130" s="12" t="n">
        <v>-509</v>
      </c>
      <c r="J130" s="12" t="n">
        <v>1965</v>
      </c>
      <c r="K130" s="12" t="n">
        <v>2934</v>
      </c>
      <c r="L130" s="12" t="n">
        <v>2664</v>
      </c>
      <c r="M130" s="12" t="n">
        <v>2555</v>
      </c>
      <c r="N130" s="12" t="n">
        <v>3087</v>
      </c>
      <c r="T130" s="12" t="n">
        <v>-9447</v>
      </c>
      <c r="U130" s="12" t="n">
        <v>1437</v>
      </c>
      <c r="V130" s="12" t="n">
        <v>2095</v>
      </c>
      <c r="W130" s="12" t="n">
        <v>-509</v>
      </c>
      <c r="X130" s="12" t="n">
        <v>2555</v>
      </c>
    </row>
    <row r="131">
      <c r="A131" s="18" t="inlineStr">
        <is>
          <t>법인세 등</t>
        </is>
      </c>
      <c r="C131" s="20" t="n">
        <v>165</v>
      </c>
      <c r="D131" s="20" t="n">
        <v>335</v>
      </c>
      <c r="E131" s="20" t="n">
        <v>212</v>
      </c>
      <c r="F131" s="20" t="n">
        <v>769</v>
      </c>
      <c r="G131" s="20" t="n">
        <v>-134</v>
      </c>
      <c r="H131" s="20" t="n">
        <v>433</v>
      </c>
      <c r="I131" s="20" t="n">
        <v>904</v>
      </c>
      <c r="J131" s="20" t="n">
        <v>335</v>
      </c>
      <c r="K131" s="20" t="n">
        <v>276</v>
      </c>
      <c r="L131" s="20" t="n">
        <v>560</v>
      </c>
      <c r="M131" s="20" t="n">
        <v>554</v>
      </c>
      <c r="N131" s="20" t="n">
        <v>613</v>
      </c>
      <c r="T131" s="20" t="n">
        <v>-726</v>
      </c>
      <c r="U131" s="20" t="n">
        <v>1270</v>
      </c>
      <c r="V131" s="20" t="n">
        <v>212</v>
      </c>
      <c r="W131" s="20" t="n">
        <v>904</v>
      </c>
      <c r="X131" s="20" t="n">
        <v>554</v>
      </c>
    </row>
    <row r="132">
      <c r="A132" s="9" t="inlineStr">
        <is>
          <t>순이익</t>
        </is>
      </c>
      <c r="C132" s="12" t="n">
        <v>2576</v>
      </c>
      <c r="D132" s="12" t="n">
        <v>853</v>
      </c>
      <c r="E132" s="12" t="n">
        <v>1883</v>
      </c>
      <c r="F132" s="12" t="n">
        <v>2197</v>
      </c>
      <c r="G132" s="12" t="n">
        <v>878</v>
      </c>
      <c r="H132" s="12" t="n">
        <v>2534</v>
      </c>
      <c r="I132" s="12" t="n">
        <v>-1413</v>
      </c>
      <c r="J132" s="12" t="n">
        <v>1630</v>
      </c>
      <c r="K132" s="12" t="n">
        <v>2658</v>
      </c>
      <c r="L132" s="12" t="n">
        <v>2104</v>
      </c>
      <c r="M132" s="12" t="n">
        <v>2001</v>
      </c>
      <c r="N132" s="12" t="n">
        <v>2474</v>
      </c>
      <c r="T132" s="12" t="n">
        <v>-8721</v>
      </c>
      <c r="U132" s="12" t="n">
        <v>167</v>
      </c>
      <c r="V132" s="12" t="n">
        <v>1883</v>
      </c>
      <c r="W132" s="12" t="n">
        <v>-1413</v>
      </c>
      <c r="X132" s="12" t="n">
        <v>2001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비지배주주 순이익</t>
        </is>
      </c>
      <c r="C134" s="12" t="n">
        <v>-12</v>
      </c>
      <c r="D134" s="12" t="n">
        <v>102</v>
      </c>
      <c r="E134" s="12" t="n">
        <v>24</v>
      </c>
      <c r="F134" s="12" t="n">
        <v>-10</v>
      </c>
      <c r="G134" s="12" t="n">
        <v>0</v>
      </c>
      <c r="H134" s="12" t="n">
        <v>75</v>
      </c>
      <c r="I134" s="12" t="n">
        <v>41</v>
      </c>
      <c r="J134" s="12" t="n">
        <v>37</v>
      </c>
      <c r="K134" s="12" t="n">
        <v>17</v>
      </c>
      <c r="L134" s="12" t="n">
        <v>90</v>
      </c>
      <c r="M134" s="12" t="n">
        <v>-11</v>
      </c>
      <c r="N134" s="12" t="n">
        <v>77</v>
      </c>
      <c r="T134" s="12" t="n">
        <v>260</v>
      </c>
      <c r="U134" s="12" t="n">
        <v>-47</v>
      </c>
      <c r="V134" s="12" t="n">
        <v>24</v>
      </c>
      <c r="W134" s="12" t="n">
        <v>41</v>
      </c>
      <c r="X134" s="12" t="n">
        <v>-11</v>
      </c>
    </row>
    <row r="135">
      <c r="A135" s="9" t="inlineStr">
        <is>
          <t>지배주주 순이익</t>
        </is>
      </c>
      <c r="C135" s="12" t="n">
        <v>2588</v>
      </c>
      <c r="D135" s="12" t="n">
        <v>751</v>
      </c>
      <c r="E135" s="12" t="n">
        <v>1859</v>
      </c>
      <c r="F135" s="12" t="n">
        <v>2207</v>
      </c>
      <c r="G135" s="12" t="n">
        <v>878</v>
      </c>
      <c r="H135" s="12" t="n">
        <v>2459</v>
      </c>
      <c r="I135" s="12" t="n">
        <v>-1454</v>
      </c>
      <c r="J135" s="12" t="n">
        <v>1593</v>
      </c>
      <c r="K135" s="12" t="n">
        <v>2641</v>
      </c>
      <c r="L135" s="12" t="n">
        <v>2014</v>
      </c>
      <c r="M135" s="12" t="n">
        <v>2012</v>
      </c>
      <c r="N135" s="12" t="n">
        <v>2397</v>
      </c>
      <c r="T135" s="12" t="n">
        <v>-8981</v>
      </c>
      <c r="U135" s="12" t="n">
        <v>214</v>
      </c>
      <c r="V135" s="12" t="n">
        <v>1859</v>
      </c>
      <c r="W135" s="12" t="n">
        <v>-1454</v>
      </c>
      <c r="X135" s="12" t="n">
        <v>2012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8">
      <c r="A138" s="16" t="inlineStr">
        <is>
          <t>포괄손익 · 전 항목</t>
        </is>
      </c>
      <c r="B138" s="42" t="inlineStr">
        <is>
          <t>분기 = 3개월 단독</t>
        </is>
      </c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2024.2Q</t>
        </is>
      </c>
      <c r="D139" s="5" t="inlineStr">
        <is>
          <t>2024.3Q</t>
        </is>
      </c>
      <c r="E139" s="5" t="inlineStr">
        <is>
          <t>2024.4Q</t>
        </is>
      </c>
      <c r="F139" s="5" t="inlineStr">
        <is>
          <t>2025.1Q</t>
        </is>
      </c>
      <c r="G139" s="5" t="inlineStr">
        <is>
          <t>2025.2Q</t>
        </is>
      </c>
      <c r="H139" s="5" t="inlineStr">
        <is>
          <t>2025.3Q</t>
        </is>
      </c>
      <c r="I139" s="5" t="inlineStr">
        <is>
          <t>2025.4Q</t>
        </is>
      </c>
      <c r="J139" s="5" t="inlineStr">
        <is>
          <t>2026.1Q</t>
        </is>
      </c>
      <c r="K139" s="5" t="inlineStr">
        <is>
          <t>2026.2Q</t>
        </is>
      </c>
      <c r="L139" s="5" t="inlineStr">
        <is>
          <t>2026.3Q</t>
        </is>
      </c>
      <c r="M139" s="5" t="inlineStr">
        <is>
          <t>2026.4Q</t>
        </is>
      </c>
      <c r="N139" s="5" t="inlineStr">
        <is>
          <t>2027.1Q</t>
        </is>
      </c>
      <c r="O139" s="5" t="inlineStr">
        <is>
          <t>2017</t>
        </is>
      </c>
      <c r="P139" s="5" t="inlineStr">
        <is>
          <t>2018</t>
        </is>
      </c>
      <c r="Q139" s="5" t="inlineStr">
        <is>
          <t>2019</t>
        </is>
      </c>
      <c r="R139" s="5" t="inlineStr">
        <is>
          <t>2020</t>
        </is>
      </c>
      <c r="S139" s="5" t="inlineStr">
        <is>
          <t>2021</t>
        </is>
      </c>
      <c r="T139" s="5" t="inlineStr">
        <is>
          <t>2022</t>
        </is>
      </c>
      <c r="U139" s="5" t="inlineStr">
        <is>
          <t>2023</t>
        </is>
      </c>
      <c r="V139" s="5" t="inlineStr">
        <is>
          <t>2024</t>
        </is>
      </c>
      <c r="W139" s="5" t="inlineStr">
        <is>
          <t>2025</t>
        </is>
      </c>
      <c r="X139" s="5" t="inlineStr">
        <is>
          <t>2026</t>
        </is>
      </c>
      <c r="Y139" s="5" t="inlineStr">
        <is>
          <t>2027(MW)</t>
        </is>
      </c>
      <c r="Z139" s="5" t="inlineStr">
        <is>
          <t>2028(MW)</t>
        </is>
      </c>
      <c r="AA139" s="5" t="inlineStr">
        <is>
          <t>2029(MW)</t>
        </is>
      </c>
      <c r="AB139" s="5" t="inlineStr">
        <is>
          <t>2030(MW)</t>
        </is>
      </c>
      <c r="AC139" s="5" t="inlineStr">
        <is>
          <t>2031(MW)</t>
        </is>
      </c>
    </row>
    <row r="140">
      <c r="A140" s="9" t="inlineStr">
        <is>
          <t>순이익</t>
        </is>
      </c>
      <c r="C140" s="12" t="n">
        <v>2576</v>
      </c>
      <c r="D140" s="12" t="n">
        <v>853</v>
      </c>
      <c r="E140" s="12" t="n">
        <v>1883</v>
      </c>
      <c r="F140" s="12" t="n">
        <v>2197</v>
      </c>
      <c r="G140" s="12" t="n">
        <v>878</v>
      </c>
      <c r="H140" s="12" t="n">
        <v>2534</v>
      </c>
      <c r="I140" s="12" t="n">
        <v>-1413</v>
      </c>
      <c r="J140" s="12" t="n">
        <v>1630</v>
      </c>
      <c r="K140" s="12" t="n">
        <v>2658</v>
      </c>
      <c r="L140" s="12" t="n">
        <v>2104</v>
      </c>
      <c r="M140" s="12" t="n">
        <v>2001</v>
      </c>
      <c r="N140" s="12" t="n">
        <v>2474</v>
      </c>
      <c r="T140" s="12" t="n">
        <v>-8721</v>
      </c>
      <c r="U140" s="12" t="n">
        <v>167</v>
      </c>
      <c r="V140" s="12" t="n">
        <v>1883</v>
      </c>
      <c r="W140" s="12" t="n">
        <v>-1413</v>
      </c>
      <c r="X140" s="12" t="n">
        <v>2001</v>
      </c>
    </row>
    <row r="141">
      <c r="A141" s="18" t="inlineStr">
        <is>
          <t>기타유가증권 평가차액</t>
        </is>
      </c>
      <c r="C141" s="20" t="n">
        <v>290</v>
      </c>
      <c r="D141" s="20" t="n">
        <v>-470</v>
      </c>
      <c r="E141" s="20" t="n">
        <v>151</v>
      </c>
      <c r="F141" s="20" t="n">
        <v>68</v>
      </c>
      <c r="G141" s="20" t="n">
        <v>-44</v>
      </c>
      <c r="H141" s="20" t="n">
        <v>158</v>
      </c>
      <c r="I141" s="20" t="n">
        <v>-90</v>
      </c>
      <c r="J141" s="20" t="n">
        <v>1</v>
      </c>
      <c r="K141" s="20" t="n">
        <v>329</v>
      </c>
      <c r="L141" s="20" t="n">
        <v>333</v>
      </c>
      <c r="M141" s="20" t="n">
        <v>-34</v>
      </c>
      <c r="N141" s="20" t="n">
        <v>1102</v>
      </c>
      <c r="T141" s="20" t="n">
        <v>244</v>
      </c>
      <c r="U141" s="20" t="n">
        <v>147</v>
      </c>
      <c r="V141" s="20" t="n">
        <v>151</v>
      </c>
      <c r="W141" s="20" t="n">
        <v>-90</v>
      </c>
      <c r="X141" s="20" t="n">
        <v>-34</v>
      </c>
    </row>
    <row r="142">
      <c r="A142" s="18" t="inlineStr">
        <is>
          <t>해외사업환산조정</t>
        </is>
      </c>
      <c r="C142" s="20" t="n">
        <v>1051</v>
      </c>
      <c r="D142" s="20" t="n">
        <v>-1314</v>
      </c>
      <c r="E142" s="20" t="n">
        <v>2053</v>
      </c>
      <c r="F142" s="20" t="n">
        <v>2603</v>
      </c>
      <c r="G142" s="20" t="n">
        <v>-3413</v>
      </c>
      <c r="H142" s="20" t="n">
        <v>2539</v>
      </c>
      <c r="I142" s="20" t="n">
        <v>-2271</v>
      </c>
      <c r="J142" s="20" t="n">
        <v>-274</v>
      </c>
      <c r="K142" s="20" t="n">
        <v>966</v>
      </c>
      <c r="L142" s="20" t="n">
        <v>1550</v>
      </c>
      <c r="M142" s="20" t="n">
        <v>-1095</v>
      </c>
      <c r="N142" s="20" t="n">
        <v>721</v>
      </c>
      <c r="T142" s="20" t="n">
        <v>2793</v>
      </c>
      <c r="U142" s="20" t="n">
        <v>674</v>
      </c>
      <c r="V142" s="20" t="n">
        <v>2053</v>
      </c>
      <c r="W142" s="20" t="n">
        <v>-2271</v>
      </c>
      <c r="X142" s="20" t="n">
        <v>-1095</v>
      </c>
    </row>
    <row r="143">
      <c r="A143" s="18" t="inlineStr">
        <is>
          <t>퇴직급여 조정액</t>
        </is>
      </c>
      <c r="C143" s="20" t="n">
        <v>111</v>
      </c>
      <c r="D143" s="20" t="n">
        <v>109</v>
      </c>
      <c r="E143" s="20" t="n">
        <v>1438</v>
      </c>
      <c r="F143" s="20" t="n">
        <v>20</v>
      </c>
      <c r="G143" s="20" t="n">
        <v>19</v>
      </c>
      <c r="H143" s="20" t="n">
        <v>19</v>
      </c>
      <c r="I143" s="20" t="n">
        <v>1157</v>
      </c>
      <c r="J143" s="20" t="n">
        <v>12</v>
      </c>
      <c r="K143" s="20" t="n">
        <v>0</v>
      </c>
      <c r="L143" s="20" t="n">
        <v>13</v>
      </c>
      <c r="M143" s="20" t="n">
        <v>1226</v>
      </c>
      <c r="N143" s="20" t="n">
        <v>-36</v>
      </c>
      <c r="T143" s="20" t="n">
        <v>610</v>
      </c>
      <c r="U143" s="20" t="n">
        <v>-435</v>
      </c>
      <c r="V143" s="20" t="n">
        <v>1438</v>
      </c>
      <c r="W143" s="20" t="n">
        <v>1157</v>
      </c>
      <c r="X143" s="20" t="n">
        <v>1226</v>
      </c>
    </row>
    <row r="144">
      <c r="A144" s="18" t="inlineStr">
        <is>
          <t>기타포괄손익 합계</t>
        </is>
      </c>
      <c r="C144" s="20" t="n">
        <v>1452</v>
      </c>
      <c r="D144" s="20" t="n">
        <v>-1675</v>
      </c>
      <c r="E144" s="20" t="n">
        <v>3642</v>
      </c>
      <c r="F144" s="20" t="n">
        <v>2691</v>
      </c>
      <c r="G144" s="20" t="n">
        <v>-3438</v>
      </c>
      <c r="H144" s="20" t="n">
        <v>2716</v>
      </c>
      <c r="I144" s="20" t="n">
        <v>-1204</v>
      </c>
      <c r="J144" s="20" t="n">
        <v>-261</v>
      </c>
      <c r="K144" s="20" t="n">
        <v>1295</v>
      </c>
      <c r="L144" s="20" t="n">
        <v>1896</v>
      </c>
      <c r="M144" s="20" t="n">
        <v>97</v>
      </c>
      <c r="N144" s="20" t="n">
        <v>1787</v>
      </c>
      <c r="T144" s="20" t="n">
        <v>3647</v>
      </c>
      <c r="U144" s="20" t="n">
        <v>386</v>
      </c>
      <c r="V144" s="20" t="n">
        <v>3642</v>
      </c>
      <c r="W144" s="20" t="n">
        <v>-1204</v>
      </c>
      <c r="X144" s="20" t="n">
        <v>97</v>
      </c>
    </row>
    <row r="145">
      <c r="A145" s="9" t="inlineStr">
        <is>
          <t>포괄이익</t>
        </is>
      </c>
      <c r="C145" s="12" t="n">
        <v>4028</v>
      </c>
      <c r="D145" s="12" t="n">
        <v>-822</v>
      </c>
      <c r="E145" s="12" t="n">
        <v>5525</v>
      </c>
      <c r="F145" s="12" t="n">
        <v>4888</v>
      </c>
      <c r="G145" s="12" t="n">
        <v>-2560</v>
      </c>
      <c r="H145" s="12" t="n">
        <v>5250</v>
      </c>
      <c r="I145" s="12" t="n">
        <v>-2617</v>
      </c>
      <c r="J145" s="12" t="n">
        <v>1369</v>
      </c>
      <c r="K145" s="12" t="n">
        <v>3953</v>
      </c>
      <c r="L145" s="12" t="n">
        <v>4000</v>
      </c>
      <c r="M145" s="12" t="n">
        <v>2098</v>
      </c>
      <c r="N145" s="12" t="n">
        <v>4261</v>
      </c>
      <c r="T145" s="12" t="n">
        <v>-5074</v>
      </c>
      <c r="U145" s="12" t="n">
        <v>553</v>
      </c>
      <c r="V145" s="12" t="n">
        <v>5525</v>
      </c>
      <c r="W145" s="12" t="n">
        <v>-2617</v>
      </c>
      <c r="X145" s="12" t="n">
        <v>2098</v>
      </c>
    </row>
    <row r="146">
      <c r="A146" s="9" t="inlineStr">
        <is>
          <t>지배주주 포괄이익</t>
        </is>
      </c>
      <c r="C146" s="12" t="n">
        <v>3962</v>
      </c>
      <c r="D146" s="12" t="n">
        <v>-825</v>
      </c>
      <c r="E146" s="12" t="n">
        <v>5353</v>
      </c>
      <c r="F146" s="12" t="n">
        <v>4716</v>
      </c>
      <c r="G146" s="12" t="n">
        <v>-2311</v>
      </c>
      <c r="H146" s="12" t="n">
        <v>4997</v>
      </c>
      <c r="I146" s="12" t="n">
        <v>-2526</v>
      </c>
      <c r="J146" s="12" t="n">
        <v>1387</v>
      </c>
      <c r="K146" s="12" t="n">
        <v>3860</v>
      </c>
      <c r="L146" s="12" t="n">
        <v>3756</v>
      </c>
      <c r="M146" s="12" t="n">
        <v>2033</v>
      </c>
      <c r="N146" s="12" t="n">
        <v>4128</v>
      </c>
      <c r="T146" s="12" t="n">
        <v>-5497</v>
      </c>
      <c r="U146" s="12" t="n">
        <v>552</v>
      </c>
      <c r="V146" s="12" t="n">
        <v>5353</v>
      </c>
      <c r="W146" s="12" t="n">
        <v>-2526</v>
      </c>
      <c r="X146" s="12" t="n">
        <v>2033</v>
      </c>
    </row>
    <row r="147">
      <c r="A147" s="9" t="inlineStr">
        <is>
          <t>비지배주주 포괄이익</t>
        </is>
      </c>
      <c r="C147" s="12" t="n">
        <v>66</v>
      </c>
      <c r="D147" s="12" t="n">
        <v>3</v>
      </c>
      <c r="E147" s="12" t="n">
        <v>172</v>
      </c>
      <c r="F147" s="12" t="n">
        <v>172</v>
      </c>
      <c r="G147" s="12" t="n">
        <v>-249</v>
      </c>
      <c r="H147" s="12" t="n">
        <v>253</v>
      </c>
      <c r="I147" s="12" t="n">
        <v>-91</v>
      </c>
      <c r="J147" s="12" t="n">
        <v>-18</v>
      </c>
      <c r="K147" s="12" t="n">
        <v>93</v>
      </c>
      <c r="L147" s="12" t="n">
        <v>244</v>
      </c>
      <c r="M147" s="12" t="n">
        <v>65</v>
      </c>
      <c r="N147" s="12" t="n">
        <v>133</v>
      </c>
      <c r="T147" s="12" t="n">
        <v>423</v>
      </c>
      <c r="U147" s="12" t="n">
        <v>1</v>
      </c>
      <c r="V147" s="12" t="n">
        <v>172</v>
      </c>
      <c r="W147" s="12" t="n">
        <v>-91</v>
      </c>
      <c r="X147" s="12" t="n">
        <v>65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2024.2Q</t>
        </is>
      </c>
      <c r="D150" s="5" t="inlineStr">
        <is>
          <t>2024.3Q</t>
        </is>
      </c>
      <c r="E150" s="5" t="inlineStr">
        <is>
          <t>2024.4Q</t>
        </is>
      </c>
      <c r="F150" s="5" t="inlineStr">
        <is>
          <t>2025.1Q</t>
        </is>
      </c>
      <c r="G150" s="5" t="inlineStr">
        <is>
          <t>2025.2Q</t>
        </is>
      </c>
      <c r="H150" s="5" t="inlineStr">
        <is>
          <t>2025.3Q</t>
        </is>
      </c>
      <c r="I150" s="5" t="inlineStr">
        <is>
          <t>2025.4Q</t>
        </is>
      </c>
      <c r="J150" s="5" t="inlineStr">
        <is>
          <t>2026.1Q</t>
        </is>
      </c>
      <c r="K150" s="5" t="inlineStr">
        <is>
          <t>2026.2Q</t>
        </is>
      </c>
      <c r="L150" s="5" t="inlineStr">
        <is>
          <t>2026.3Q</t>
        </is>
      </c>
      <c r="M150" s="5" t="inlineStr">
        <is>
          <t>2026.4Q</t>
        </is>
      </c>
      <c r="N150" s="5" t="inlineStr">
        <is>
          <t>2027.1Q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EnergyReportableSegmentsMember · 외부 고객 매출</t>
        </is>
      </c>
      <c r="F151" s="20" t="n">
        <v>10113</v>
      </c>
      <c r="I151" s="20" t="n">
        <v>4997</v>
      </c>
      <c r="J151" s="20" t="n">
        <v>10349</v>
      </c>
      <c r="M151" s="20" t="n">
        <v>11422</v>
      </c>
      <c r="N151" s="20" t="n">
        <v>15246</v>
      </c>
      <c r="W151" s="20" t="n">
        <v>4997</v>
      </c>
      <c r="X151" s="20" t="n">
        <v>11422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FunctionalMaterialsReportableSegmentMember · 외부 고객 매출</t>
        </is>
      </c>
      <c r="F153" s="20" t="n">
        <v>7495</v>
      </c>
      <c r="I153" s="20" t="n">
        <v>7940</v>
      </c>
      <c r="J153" s="20" t="n">
        <v>7834</v>
      </c>
      <c r="M153" s="20" t="n">
        <v>8585</v>
      </c>
      <c r="N153" s="20" t="n">
        <v>9596</v>
      </c>
      <c r="W153" s="20" t="n">
        <v>7940</v>
      </c>
      <c r="X153" s="20" t="n">
        <v>8585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OpticsAndSystemsReportableSegmentMember · 외부 고객 매출</t>
        </is>
      </c>
      <c r="F155" s="20" t="n">
        <v>9090</v>
      </c>
      <c r="I155" s="20" t="n">
        <v>10218</v>
      </c>
      <c r="J155" s="20" t="n">
        <v>7839</v>
      </c>
      <c r="M155" s="20" t="n">
        <v>8534</v>
      </c>
      <c r="N155" s="20" t="n">
        <v>9206</v>
      </c>
      <c r="W155" s="20" t="n">
        <v>10218</v>
      </c>
      <c r="X155" s="20" t="n">
        <v>8534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LifeSolutionsReportableSegmentMember · 외부 고객 매출</t>
        </is>
      </c>
      <c r="F157" s="20" t="n">
        <v>4687</v>
      </c>
      <c r="I157" s="20" t="n">
        <v>6592</v>
      </c>
      <c r="J157" s="20" t="n">
        <v>4248</v>
      </c>
      <c r="W157" s="20" t="n">
        <v>6592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W158" s="15">
        <f>IF(OR(W157="",V157=""),"",IF(V157&lt;=0,"",IFERROR(W157/V157-1,"")))</f>
        <v/>
      </c>
    </row>
    <row r="159">
      <c r="A159" s="18" t="inlineStr">
        <is>
          <t>ValueCoCreationBusinessesReportableSegmentMember · 외부 고객 매출</t>
        </is>
      </c>
      <c r="J159" s="20" t="n">
        <v>4248</v>
      </c>
      <c r="M159" s="20" t="n">
        <v>4589</v>
      </c>
      <c r="N159" s="20" t="n">
        <v>3617</v>
      </c>
      <c r="X159" s="20" t="n">
        <v>4589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J160" s="15">
        <f>IF(OR(J159="",F159=""),"",IF(F159&lt;=0,"",IFERROR(J159/F159-1,"")))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X160" s="15">
        <f>IF(OR(X159="",W159=""),"",IF(W159&lt;=0,"",IFERROR(X159/W159-1,"")))</f>
        <v/>
      </c>
    </row>
    <row r="161">
      <c r="A161" s="18" t="inlineStr">
        <is>
          <t>합계 · 외부 고객 매출</t>
        </is>
      </c>
      <c r="F161" s="20" t="n">
        <v>31385</v>
      </c>
      <c r="J161" s="20" t="n">
        <v>30270</v>
      </c>
      <c r="N161" s="20" t="n">
        <v>37665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J162" s="15">
        <f>IF(OR(J161="",F161=""),"",IF(F161&lt;=0,"",IFERROR(J161/F161-1,"")))</f>
        <v/>
      </c>
      <c r="N162" s="15">
        <f>IF(OR(N161="",J161=""),"",IF(J161&lt;=0,"",IFERROR(N161/J161-1,"")))</f>
        <v/>
      </c>
    </row>
    <row r="163">
      <c r="A163" s="18" t="inlineStr">
        <is>
          <t>조정액 · 외부 고객 매출</t>
        </is>
      </c>
      <c r="F163" s="20" t="n">
        <v>0</v>
      </c>
      <c r="I163" s="20" t="n">
        <v>0</v>
      </c>
      <c r="J163" s="20" t="n">
        <v>0</v>
      </c>
      <c r="M163" s="20" t="n">
        <v>0</v>
      </c>
      <c r="N163" s="20" t="n">
        <v>0</v>
      </c>
      <c r="W163" s="20" t="n">
        <v>0</v>
      </c>
      <c r="X163" s="20" t="n">
        <v>0</v>
      </c>
    </row>
    <row r="164">
      <c r="A164" s="9" t="inlineStr">
        <is>
          <t>외부 고객 매출</t>
        </is>
      </c>
      <c r="F164" s="12" t="n">
        <v>31385</v>
      </c>
      <c r="I164" s="12" t="n">
        <v>34219</v>
      </c>
      <c r="W164" s="12" t="n">
        <v>34219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I165" s="15">
        <f>IF(OR(I164="",E164=""),"",IF(E164&lt;=0,"",IFERROR(I164/E164-1,"")))</f>
        <v/>
      </c>
      <c r="W165" s="15">
        <f>IF(OR(W164="",V164=""),"",IF(V164&lt;=0,"",IFERROR(W164/V164-1,"")))</f>
        <v/>
      </c>
    </row>
    <row r="166">
      <c r="A166" s="18" t="inlineStr">
        <is>
          <t>EntityTotalMember · 외부 고객 매출</t>
        </is>
      </c>
      <c r="F166" s="20" t="n">
        <v>31385</v>
      </c>
      <c r="J166" s="20" t="n">
        <v>30270</v>
      </c>
      <c r="N166" s="20" t="n">
        <v>37665</v>
      </c>
    </row>
    <row r="167">
      <c r="A167" s="18" t="inlineStr">
        <is>
          <t>EnergyReportableSegmentsMember · 부문 간 내부매출·대체</t>
        </is>
      </c>
      <c r="F167" s="20" t="n">
        <v>151</v>
      </c>
      <c r="I167" s="20" t="n">
        <v>90</v>
      </c>
      <c r="J167" s="20" t="n">
        <v>105</v>
      </c>
      <c r="M167" s="20" t="n">
        <v>126</v>
      </c>
      <c r="N167" s="20" t="n">
        <v>87</v>
      </c>
      <c r="W167" s="20" t="n">
        <v>90</v>
      </c>
      <c r="X167" s="20" t="n">
        <v>126</v>
      </c>
    </row>
    <row r="168">
      <c r="A168" s="18" t="inlineStr">
        <is>
          <t>FunctionalMaterialsReportableSegmentMember · 부문 간 내부매출·대체</t>
        </is>
      </c>
      <c r="F168" s="20" t="n">
        <v>0</v>
      </c>
      <c r="I168" s="20" t="n">
        <v>0</v>
      </c>
      <c r="J168" s="20" t="n">
        <v>0</v>
      </c>
      <c r="M168" s="20" t="n">
        <v>0</v>
      </c>
      <c r="N168" s="20" t="n">
        <v>0</v>
      </c>
      <c r="W168" s="20" t="n">
        <v>0</v>
      </c>
      <c r="X168" s="20" t="n">
        <v>0</v>
      </c>
    </row>
    <row r="169">
      <c r="A169" s="18" t="inlineStr">
        <is>
          <t>OpticsAndSystemsReportableSegmentMember · 부문 간 내부매출·대체</t>
        </is>
      </c>
      <c r="F169" s="20" t="n">
        <v>0</v>
      </c>
      <c r="I169" s="20" t="n">
        <v>0</v>
      </c>
      <c r="J169" s="20" t="n">
        <v>0</v>
      </c>
      <c r="M169" s="20" t="n">
        <v>0</v>
      </c>
      <c r="N169" s="20" t="n">
        <v>0</v>
      </c>
      <c r="W169" s="20" t="n">
        <v>0</v>
      </c>
      <c r="X169" s="20" t="n">
        <v>0</v>
      </c>
    </row>
    <row r="170">
      <c r="A170" s="18" t="inlineStr">
        <is>
          <t>LifeSolutionsReportableSegmentMember · 부문 간 내부매출·대체</t>
        </is>
      </c>
      <c r="F170" s="20" t="n">
        <v>0</v>
      </c>
      <c r="I170" s="20" t="n">
        <v>0</v>
      </c>
      <c r="J170" s="20" t="n">
        <v>0</v>
      </c>
      <c r="W170" s="20" t="n">
        <v>0</v>
      </c>
    </row>
    <row r="171">
      <c r="A171" s="18" t="inlineStr">
        <is>
          <t>ValueCoCreationBusinessesReportableSegmentMember · 부문 간 내부매출·대체</t>
        </is>
      </c>
      <c r="J171" s="20" t="n">
        <v>0</v>
      </c>
      <c r="M171" s="20" t="n">
        <v>0</v>
      </c>
      <c r="N171" s="20" t="n">
        <v>0</v>
      </c>
      <c r="X171" s="20" t="n">
        <v>0</v>
      </c>
    </row>
    <row r="172">
      <c r="A172" s="18" t="inlineStr">
        <is>
          <t>합계 · 부문 간 내부매출·대체</t>
        </is>
      </c>
      <c r="F172" s="20" t="n">
        <v>151</v>
      </c>
      <c r="J172" s="20" t="n">
        <v>105</v>
      </c>
      <c r="N172" s="20" t="n">
        <v>87</v>
      </c>
    </row>
    <row r="173">
      <c r="A173" s="18" t="inlineStr">
        <is>
          <t>조정액 · 부문 간 내부매출·대체</t>
        </is>
      </c>
      <c r="F173" s="20" t="n">
        <v>-151</v>
      </c>
      <c r="I173" s="20" t="n">
        <v>-90</v>
      </c>
      <c r="J173" s="20" t="n">
        <v>-105</v>
      </c>
      <c r="M173" s="20" t="n">
        <v>-126</v>
      </c>
      <c r="N173" s="20" t="n">
        <v>-87</v>
      </c>
      <c r="W173" s="20" t="n">
        <v>-90</v>
      </c>
      <c r="X173" s="20" t="n">
        <v>-126</v>
      </c>
    </row>
    <row r="174">
      <c r="A174" s="18" t="inlineStr">
        <is>
          <t>부문 간 내부매출·대체</t>
        </is>
      </c>
      <c r="F174" s="20" t="n">
        <v>0</v>
      </c>
      <c r="I174" s="20" t="n">
        <v>0</v>
      </c>
      <c r="W174" s="20" t="n">
        <v>0</v>
      </c>
    </row>
    <row r="175">
      <c r="A175" s="18" t="inlineStr">
        <is>
          <t>EntityTotalMember · 부문 간 내부매출·대체</t>
        </is>
      </c>
      <c r="F175" s="20" t="n">
        <v>0</v>
      </c>
      <c r="J175" s="20" t="n">
        <v>0</v>
      </c>
      <c r="N175" s="20" t="n">
        <v>0</v>
      </c>
    </row>
    <row r="176">
      <c r="A176" s="18" t="inlineStr">
        <is>
          <t>EnergyReportableSegmentsMember · 계</t>
        </is>
      </c>
      <c r="F176" s="20" t="n">
        <v>10264</v>
      </c>
      <c r="I176" s="20" t="n">
        <v>5087</v>
      </c>
      <c r="J176" s="20" t="n">
        <v>10454</v>
      </c>
      <c r="M176" s="20" t="n">
        <v>11548</v>
      </c>
      <c r="N176" s="20" t="n">
        <v>15333</v>
      </c>
      <c r="W176" s="20" t="n">
        <v>5087</v>
      </c>
      <c r="X176" s="20" t="n">
        <v>11548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FunctionalMaterialsReportableSegmentMember · 계</t>
        </is>
      </c>
      <c r="F178" s="20" t="n">
        <v>7495</v>
      </c>
      <c r="I178" s="20" t="n">
        <v>7940</v>
      </c>
      <c r="J178" s="20" t="n">
        <v>7834</v>
      </c>
      <c r="M178" s="20" t="n">
        <v>8585</v>
      </c>
      <c r="N178" s="20" t="n">
        <v>9596</v>
      </c>
      <c r="W178" s="20" t="n">
        <v>7940</v>
      </c>
      <c r="X178" s="20" t="n">
        <v>8585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OpticsAndSystemsReportableSegmentMember · 계</t>
        </is>
      </c>
      <c r="F180" s="20" t="n">
        <v>9090</v>
      </c>
      <c r="I180" s="20" t="n">
        <v>10218</v>
      </c>
      <c r="J180" s="20" t="n">
        <v>7839</v>
      </c>
      <c r="M180" s="20" t="n">
        <v>8534</v>
      </c>
      <c r="N180" s="20" t="n">
        <v>9206</v>
      </c>
      <c r="W180" s="20" t="n">
        <v>10218</v>
      </c>
      <c r="X180" s="20" t="n">
        <v>8534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LifeSolutionsReportableSegmentMember · 계</t>
        </is>
      </c>
      <c r="F182" s="20" t="n">
        <v>4687</v>
      </c>
      <c r="I182" s="20" t="n">
        <v>6592</v>
      </c>
      <c r="J182" s="20" t="n">
        <v>4248</v>
      </c>
      <c r="W182" s="20" t="n">
        <v>6592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W183" s="15">
        <f>IF(OR(W182="",V182=""),"",IF(V182&lt;=0,"",IFERROR(W182/V182-1,"")))</f>
        <v/>
      </c>
    </row>
    <row r="184">
      <c r="A184" s="18" t="inlineStr">
        <is>
          <t>ValueCoCreationBusinessesReportableSegmentMember · 계</t>
        </is>
      </c>
      <c r="J184" s="20" t="n">
        <v>4248</v>
      </c>
      <c r="M184" s="20" t="n">
        <v>4589</v>
      </c>
      <c r="N184" s="20" t="n">
        <v>3617</v>
      </c>
      <c r="X184" s="20" t="n">
        <v>4589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J185" s="15">
        <f>IF(OR(J184="",F184=""),"",IF(F184&lt;=0,"",IFERROR(J184/F184-1,"")))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X185" s="15">
        <f>IF(OR(X184="",W184=""),"",IF(W184&lt;=0,"",IFERROR(X184/W184-1,"")))</f>
        <v/>
      </c>
    </row>
    <row r="186">
      <c r="A186" s="18" t="inlineStr">
        <is>
          <t>합계 · 계</t>
        </is>
      </c>
      <c r="F186" s="20" t="n">
        <v>31536</v>
      </c>
      <c r="J186" s="20" t="n">
        <v>30375</v>
      </c>
      <c r="N186" s="20" t="n">
        <v>37752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J187" s="15">
        <f>IF(OR(J186="",F186=""),"",IF(F186&lt;=0,"",IFERROR(J186/F186-1,"")))</f>
        <v/>
      </c>
      <c r="N187" s="15">
        <f>IF(OR(N186="",J186=""),"",IF(J186&lt;=0,"",IFERROR(N186/J186-1,"")))</f>
        <v/>
      </c>
    </row>
    <row r="188">
      <c r="A188" s="18" t="inlineStr">
        <is>
          <t>조정액 · 계</t>
        </is>
      </c>
      <c r="F188" s="20" t="n">
        <v>-151</v>
      </c>
      <c r="I188" s="20" t="n">
        <v>-90</v>
      </c>
      <c r="J188" s="20" t="n">
        <v>-105</v>
      </c>
      <c r="M188" s="20" t="n">
        <v>-126</v>
      </c>
      <c r="N188" s="20" t="n">
        <v>-87</v>
      </c>
      <c r="W188" s="20" t="n">
        <v>-90</v>
      </c>
      <c r="X188" s="20" t="n">
        <v>-126</v>
      </c>
    </row>
    <row r="189">
      <c r="A189" s="9" t="inlineStr">
        <is>
          <t>계</t>
        </is>
      </c>
      <c r="F189" s="12" t="n">
        <v>31385</v>
      </c>
      <c r="I189" s="12" t="n">
        <v>34219</v>
      </c>
      <c r="W189" s="12" t="n">
        <v>34219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I190" s="15">
        <f>IF(OR(I189="",E189=""),"",IF(E189&lt;=0,"",IFERROR(I189/E189-1,"")))</f>
        <v/>
      </c>
      <c r="W190" s="15">
        <f>IF(OR(W189="",V189=""),"",IF(V189&lt;=0,"",IFERROR(W189/V189-1,"")))</f>
        <v/>
      </c>
    </row>
    <row r="191">
      <c r="A191" s="18" t="inlineStr">
        <is>
          <t>EntityTotalMember · 계</t>
        </is>
      </c>
      <c r="F191" s="20" t="n">
        <v>31385</v>
      </c>
      <c r="J191" s="20" t="n">
        <v>30270</v>
      </c>
      <c r="N191" s="20" t="n">
        <v>37665</v>
      </c>
    </row>
    <row r="192">
      <c r="A192" s="18" t="inlineStr">
        <is>
          <t>EnergyReportableSegmentsMember · 부문 이익</t>
        </is>
      </c>
      <c r="F192" s="20" t="n">
        <v>649</v>
      </c>
      <c r="I192" s="20" t="n">
        <v>-645</v>
      </c>
      <c r="J192" s="20" t="n">
        <v>894</v>
      </c>
      <c r="M192" s="20" t="n">
        <v>58</v>
      </c>
      <c r="N192" s="20" t="n">
        <v>758</v>
      </c>
      <c r="W192" s="20" t="n">
        <v>-645</v>
      </c>
      <c r="X192" s="20" t="n">
        <v>58</v>
      </c>
    </row>
    <row r="193">
      <c r="A193" s="43" t="inlineStr">
        <is>
          <t>OPM</t>
        </is>
      </c>
      <c r="B193" s="3" t="inlineStr">
        <is>
          <t>영업이익 ÷ 매출</t>
        </is>
      </c>
      <c r="F193" s="15">
        <f>IF(OR(F192="",F176=""),"",IF(F176&lt;=0,"",IFERROR(F192/F176,"")))</f>
        <v/>
      </c>
      <c r="I193" s="15">
        <f>IF(OR(I192="",I176=""),"",IF(I176&lt;=0,"",IFERROR(I192/I176,"")))</f>
        <v/>
      </c>
      <c r="J193" s="15">
        <f>IF(OR(J192="",J176=""),"",IF(J176&lt;=0,"",IFERROR(J192/J176,"")))</f>
        <v/>
      </c>
      <c r="M193" s="15">
        <f>IF(OR(M192="",M176=""),"",IF(M176&lt;=0,"",IFERROR(M192/M176,"")))</f>
        <v/>
      </c>
      <c r="N193" s="15">
        <f>IF(OR(N192="",N176=""),"",IF(N176&lt;=0,"",IFERROR(N192/N176,"")))</f>
        <v/>
      </c>
      <c r="W193" s="15">
        <f>IF(OR(W192="",W176=""),"",IF(W176&lt;=0,"",IFERROR(W192/W176,"")))</f>
        <v/>
      </c>
      <c r="X193" s="15">
        <f>IF(OR(X192="",X176=""),"",IF(X176&lt;=0,"",IFERROR(X192/X176,"")))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5">
      <c r="A195" s="18" t="inlineStr">
        <is>
          <t>FunctionalMaterialsReportableSegmentMember · 부문 이익</t>
        </is>
      </c>
      <c r="F195" s="20" t="n">
        <v>149</v>
      </c>
      <c r="I195" s="20" t="n">
        <v>330</v>
      </c>
      <c r="J195" s="20" t="n">
        <v>306</v>
      </c>
      <c r="M195" s="20" t="n">
        <v>456</v>
      </c>
      <c r="N195" s="20" t="n">
        <v>950</v>
      </c>
      <c r="W195" s="20" t="n">
        <v>330</v>
      </c>
      <c r="X195" s="20" t="n">
        <v>456</v>
      </c>
    </row>
    <row r="196">
      <c r="A196" s="43" t="inlineStr">
        <is>
          <t>OPM</t>
        </is>
      </c>
      <c r="B196" s="3" t="inlineStr">
        <is>
          <t>영업이익 ÷ 매출</t>
        </is>
      </c>
      <c r="F196" s="15">
        <f>IF(OR(F195="",F178=""),"",IF(F178&lt;=0,"",IFERROR(F195/F178,"")))</f>
        <v/>
      </c>
      <c r="I196" s="15">
        <f>IF(OR(I195="",I178=""),"",IF(I178&lt;=0,"",IFERROR(I195/I178,"")))</f>
        <v/>
      </c>
      <c r="J196" s="15">
        <f>IF(OR(J195="",J178=""),"",IF(J178&lt;=0,"",IFERROR(J195/J178,"")))</f>
        <v/>
      </c>
      <c r="M196" s="15">
        <f>IF(OR(M195="",M178=""),"",IF(M178&lt;=0,"",IFERROR(M195/M178,"")))</f>
        <v/>
      </c>
      <c r="N196" s="15">
        <f>IF(OR(N195="",N178=""),"",IF(N178&lt;=0,"",IFERROR(N195/N178,"")))</f>
        <v/>
      </c>
      <c r="W196" s="15">
        <f>IF(OR(W195="",W178=""),"",IF(W178&lt;=0,"",IFERROR(W195/W178,"")))</f>
        <v/>
      </c>
      <c r="X196" s="15">
        <f>IF(OR(X195="",X178=""),"",IF(X178&lt;=0,"",IFERROR(X195/X178,"")))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OpticsAndSystemsReportableSegmentMember · 부문 이익</t>
        </is>
      </c>
      <c r="F198" s="20" t="n">
        <v>1198</v>
      </c>
      <c r="I198" s="20" t="n">
        <v>2222</v>
      </c>
      <c r="J198" s="20" t="n">
        <v>562</v>
      </c>
      <c r="M198" s="20" t="n">
        <v>-1</v>
      </c>
      <c r="N198" s="20" t="n">
        <v>1132</v>
      </c>
      <c r="W198" s="20" t="n">
        <v>2222</v>
      </c>
      <c r="X198" s="20" t="n">
        <v>-1</v>
      </c>
    </row>
    <row r="199">
      <c r="A199" s="43" t="inlineStr">
        <is>
          <t>OPM</t>
        </is>
      </c>
      <c r="B199" s="3" t="inlineStr">
        <is>
          <t>영업이익 ÷ 매출</t>
        </is>
      </c>
      <c r="F199" s="15">
        <f>IF(OR(F198="",F180=""),"",IF(F180&lt;=0,"",IFERROR(F198/F180,"")))</f>
        <v/>
      </c>
      <c r="I199" s="15">
        <f>IF(OR(I198="",I180=""),"",IF(I180&lt;=0,"",IFERROR(I198/I180,"")))</f>
        <v/>
      </c>
      <c r="J199" s="15">
        <f>IF(OR(J198="",J180=""),"",IF(J180&lt;=0,"",IFERROR(J198/J180,"")))</f>
        <v/>
      </c>
      <c r="M199" s="15">
        <f>IF(OR(M198="",M180=""),"",IF(M180&lt;=0,"",IFERROR(M198/M180,"")))</f>
        <v/>
      </c>
      <c r="N199" s="15">
        <f>IF(OR(N198="",N180=""),"",IF(N180&lt;=0,"",IFERROR(N198/N180,"")))</f>
        <v/>
      </c>
      <c r="W199" s="15">
        <f>IF(OR(W198="",W180=""),"",IF(W180&lt;=0,"",IFERROR(W198/W180,"")))</f>
        <v/>
      </c>
      <c r="X199" s="15">
        <f>IF(OR(X198="",X180=""),"",IF(X180&lt;=0,"",IFERROR(X198/X180,"")))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LifeSolutionsReportableSegmentMember · 부문 이익</t>
        </is>
      </c>
      <c r="F201" s="20" t="n">
        <v>340</v>
      </c>
      <c r="I201" s="20" t="n">
        <v>448</v>
      </c>
      <c r="J201" s="20" t="n">
        <v>222</v>
      </c>
      <c r="W201" s="20" t="n">
        <v>448</v>
      </c>
    </row>
    <row r="202">
      <c r="A202" s="43" t="inlineStr">
        <is>
          <t>OPM</t>
        </is>
      </c>
      <c r="B202" s="3" t="inlineStr">
        <is>
          <t>영업이익 ÷ 매출</t>
        </is>
      </c>
      <c r="F202" s="15">
        <f>IF(OR(F201="",F182=""),"",IF(F182&lt;=0,"",IFERROR(F201/F182,"")))</f>
        <v/>
      </c>
      <c r="I202" s="15">
        <f>IF(OR(I201="",I182=""),"",IF(I182&lt;=0,"",IFERROR(I201/I182,"")))</f>
        <v/>
      </c>
      <c r="J202" s="15">
        <f>IF(OR(J201="",J182=""),"",IF(J182&lt;=0,"",IFERROR(J201/J182,"")))</f>
        <v/>
      </c>
      <c r="W202" s="15">
        <f>IF(OR(W201="",W182=""),"",IF(W182&lt;=0,"",IFERROR(W201/W182,"")))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W203" s="15">
        <f>IF(OR(W201="",V201=""),"",IF(V201&lt;=0,"",IFERROR(W201/V201-1,"")))</f>
        <v/>
      </c>
    </row>
    <row r="204">
      <c r="A204" s="18" t="inlineStr">
        <is>
          <t>ValueCoCreationBusinessesReportableSegmentMember · 부문 이익</t>
        </is>
      </c>
      <c r="J204" s="20" t="n">
        <v>222</v>
      </c>
      <c r="M204" s="20" t="n">
        <v>200</v>
      </c>
      <c r="N204" s="20" t="n">
        <v>32</v>
      </c>
      <c r="X204" s="20" t="n">
        <v>200</v>
      </c>
    </row>
    <row r="205">
      <c r="A205" s="43" t="inlineStr">
        <is>
          <t>OPM</t>
        </is>
      </c>
      <c r="B205" s="3" t="inlineStr">
        <is>
          <t>영업이익 ÷ 매출</t>
        </is>
      </c>
      <c r="J205" s="15">
        <f>IF(OR(J204="",J184=""),"",IF(J184&lt;=0,"",IFERROR(J204/J184,"")))</f>
        <v/>
      </c>
      <c r="M205" s="15">
        <f>IF(OR(M204="",M184=""),"",IF(M184&lt;=0,"",IFERROR(M204/M184,"")))</f>
        <v/>
      </c>
      <c r="N205" s="15">
        <f>IF(OR(N204="",N184=""),"",IF(N184&lt;=0,"",IFERROR(N204/N184,"")))</f>
        <v/>
      </c>
      <c r="X205" s="15">
        <f>IF(OR(X204="",X184=""),"",IF(X184&lt;=0,"",IFERROR(X204/X184,"")))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J206" s="15">
        <f>IF(OR(J204="",F204=""),"",IF(F204&lt;=0,"",IFERROR(J204/F204-1,"")))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X206" s="15">
        <f>IF(OR(X204="",W204=""),"",IF(W204&lt;=0,"",IFERROR(X204/W204-1,"")))</f>
        <v/>
      </c>
    </row>
    <row r="207">
      <c r="A207" s="18" t="inlineStr">
        <is>
          <t>합계 · 부문 이익</t>
        </is>
      </c>
      <c r="F207" s="20" t="n">
        <v>2336</v>
      </c>
      <c r="J207" s="20" t="n">
        <v>1984</v>
      </c>
      <c r="N207" s="20" t="n">
        <v>2872</v>
      </c>
    </row>
    <row r="208">
      <c r="A208" s="43" t="inlineStr">
        <is>
          <t>OPM</t>
        </is>
      </c>
      <c r="B208" s="3" t="inlineStr">
        <is>
          <t>영업이익 ÷ 매출</t>
        </is>
      </c>
      <c r="F208" s="15">
        <f>IF(OR(F207="",F186=""),"",IF(F186&lt;=0,"",IFERROR(F207/F186,"")))</f>
        <v/>
      </c>
      <c r="J208" s="15">
        <f>IF(OR(J207="",J186=""),"",IF(J186&lt;=0,"",IFERROR(J207/J186,"")))</f>
        <v/>
      </c>
      <c r="N208" s="15">
        <f>IF(OR(N207="",N186=""),"",IF(N186&lt;=0,"",IFERROR(N207/N186,"")))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J209" s="15">
        <f>IF(OR(J207="",F207=""),"",IF(F207&lt;=0,"",IFERROR(J207/F207-1,"")))</f>
        <v/>
      </c>
      <c r="N209" s="15">
        <f>IF(OR(N207="",J207=""),"",IF(J207&lt;=0,"",IFERROR(N207/J207-1,"")))</f>
        <v/>
      </c>
    </row>
    <row r="210">
      <c r="A210" s="18" t="inlineStr">
        <is>
          <t>조정액 · 부문 이익</t>
        </is>
      </c>
      <c r="F210" s="20" t="n">
        <v>0</v>
      </c>
      <c r="I210" s="20" t="n">
        <v>0</v>
      </c>
      <c r="J210" s="20" t="n">
        <v>0</v>
      </c>
      <c r="M210" s="20" t="n">
        <v>0</v>
      </c>
      <c r="N210" s="20" t="n">
        <v>0</v>
      </c>
      <c r="W210" s="20" t="n">
        <v>0</v>
      </c>
      <c r="X210" s="20" t="n">
        <v>0</v>
      </c>
    </row>
    <row r="211">
      <c r="A211" s="9" t="inlineStr">
        <is>
          <t>부문 이익</t>
        </is>
      </c>
      <c r="F211" s="12" t="n">
        <v>2336</v>
      </c>
      <c r="I211" s="12" t="n">
        <v>2740</v>
      </c>
      <c r="W211" s="12" t="n">
        <v>2740</v>
      </c>
    </row>
    <row r="212">
      <c r="A212" s="43" t="inlineStr">
        <is>
          <t>OPM</t>
        </is>
      </c>
      <c r="B212" s="3" t="inlineStr">
        <is>
          <t>영업이익 ÷ 매출</t>
        </is>
      </c>
      <c r="F212" s="15">
        <f>IF(OR(F211="",F164=""),"",IF(F164&lt;=0,"",IFERROR(F211/F164,"")))</f>
        <v/>
      </c>
      <c r="I212" s="15">
        <f>IF(OR(I211="",I164=""),"",IF(I164&lt;=0,"",IFERROR(I211/I164,"")))</f>
        <v/>
      </c>
      <c r="W212" s="15">
        <f>IF(OR(W211="",W164=""),"",IF(W164&lt;=0,"",IFERROR(W211/W164,"")))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I213" s="15">
        <f>IF(OR(I211="",E211=""),"",IF(E211&lt;=0,"",IFERROR(I211/E211-1,"")))</f>
        <v/>
      </c>
      <c r="W213" s="15">
        <f>IF(OR(W211="",V211=""),"",IF(V211&lt;=0,"",IFERROR(W211/V211-1,"")))</f>
        <v/>
      </c>
    </row>
    <row r="214">
      <c r="A214" s="18" t="inlineStr">
        <is>
          <t>EntityTotalMember · 부문 이익</t>
        </is>
      </c>
      <c r="F214" s="20" t="n">
        <v>2336</v>
      </c>
      <c r="J214" s="20" t="n">
        <v>1984</v>
      </c>
      <c r="N214" s="20" t="n">
        <v>2872</v>
      </c>
    </row>
    <row r="216">
      <c r="A216" s="16" t="inlineStr">
        <is>
          <t>현금흐름표 · 전 항목</t>
        </is>
      </c>
      <c r="B216" s="42" t="inlineStr">
        <is>
          <t>분기 = 결산기 첫날부터 누계(공시 그대로)</t>
        </is>
      </c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</row>
    <row r="217">
      <c r="A217" s="5" t="inlineStr">
        <is>
          <t>항목</t>
        </is>
      </c>
      <c r="B217" s="5" t="inlineStr">
        <is>
          <t>참고</t>
        </is>
      </c>
      <c r="C217" s="5" t="inlineStr">
        <is>
          <t>2024.2Q</t>
        </is>
      </c>
      <c r="D217" s="5" t="inlineStr">
        <is>
          <t>2024.3Q</t>
        </is>
      </c>
      <c r="E217" s="5" t="inlineStr">
        <is>
          <t>2024.4Q</t>
        </is>
      </c>
      <c r="F217" s="5" t="inlineStr">
        <is>
          <t>2025.1Q</t>
        </is>
      </c>
      <c r="G217" s="5" t="inlineStr">
        <is>
          <t>2025.2Q</t>
        </is>
      </c>
      <c r="H217" s="5" t="inlineStr">
        <is>
          <t>2025.3Q</t>
        </is>
      </c>
      <c r="I217" s="5" t="inlineStr">
        <is>
          <t>2025.4Q</t>
        </is>
      </c>
      <c r="J217" s="5" t="inlineStr">
        <is>
          <t>2026.1Q</t>
        </is>
      </c>
      <c r="K217" s="5" t="inlineStr">
        <is>
          <t>2026.2Q</t>
        </is>
      </c>
      <c r="L217" s="5" t="inlineStr">
        <is>
          <t>2026.3Q</t>
        </is>
      </c>
      <c r="M217" s="5" t="inlineStr">
        <is>
          <t>2026.4Q</t>
        </is>
      </c>
      <c r="N217" s="5" t="inlineStr">
        <is>
          <t>2027.1Q</t>
        </is>
      </c>
      <c r="O217" s="5" t="inlineStr">
        <is>
          <t>2017</t>
        </is>
      </c>
      <c r="P217" s="5" t="inlineStr">
        <is>
          <t>2018</t>
        </is>
      </c>
      <c r="Q217" s="5" t="inlineStr">
        <is>
          <t>2019</t>
        </is>
      </c>
      <c r="R217" s="5" t="inlineStr">
        <is>
          <t>2020</t>
        </is>
      </c>
      <c r="S217" s="5" t="inlineStr">
        <is>
          <t>2021</t>
        </is>
      </c>
      <c r="T217" s="5" t="inlineStr">
        <is>
          <t>2022</t>
        </is>
      </c>
      <c r="U217" s="5" t="inlineStr">
        <is>
          <t>2023</t>
        </is>
      </c>
      <c r="V217" s="5" t="inlineStr">
        <is>
          <t>2024</t>
        </is>
      </c>
      <c r="W217" s="5" t="inlineStr">
        <is>
          <t>2025</t>
        </is>
      </c>
      <c r="X217" s="5" t="inlineStr">
        <is>
          <t>2026</t>
        </is>
      </c>
      <c r="Y217" s="5" t="inlineStr">
        <is>
          <t>2027(MW)</t>
        </is>
      </c>
      <c r="Z217" s="5" t="inlineStr">
        <is>
          <t>2028(MW)</t>
        </is>
      </c>
      <c r="AA217" s="5" t="inlineStr">
        <is>
          <t>2029(MW)</t>
        </is>
      </c>
      <c r="AB217" s="5" t="inlineStr">
        <is>
          <t>2030(MW)</t>
        </is>
      </c>
      <c r="AC217" s="5" t="inlineStr">
        <is>
          <t>2031(MW)</t>
        </is>
      </c>
    </row>
    <row r="218">
      <c r="A218" s="9" t="inlineStr">
        <is>
          <t>법인세차감전 순이익</t>
        </is>
      </c>
      <c r="E218" s="12" t="n">
        <v>9133</v>
      </c>
      <c r="I218" s="12" t="n">
        <v>6168</v>
      </c>
      <c r="M218" s="12" t="n">
        <v>10118</v>
      </c>
      <c r="O218" s="12" t="n">
        <v>6703</v>
      </c>
      <c r="P218" s="12" t="n">
        <v>8041</v>
      </c>
      <c r="Q218" s="12" t="n">
        <v>7665</v>
      </c>
      <c r="R218" s="12" t="n">
        <v>-9426</v>
      </c>
      <c r="S218" s="12" t="n">
        <v>-7698</v>
      </c>
      <c r="T218" s="12" t="n">
        <v>-1549</v>
      </c>
      <c r="U218" s="12" t="n">
        <v>7265</v>
      </c>
      <c r="V218" s="12" t="n">
        <v>9133</v>
      </c>
      <c r="W218" s="12" t="n">
        <v>6168</v>
      </c>
      <c r="X218" s="12" t="n">
        <v>10118</v>
      </c>
    </row>
    <row r="219">
      <c r="A219" s="18" t="inlineStr">
        <is>
          <t>감가상각비</t>
        </is>
      </c>
      <c r="E219" s="20" t="n">
        <v>4803</v>
      </c>
      <c r="I219" s="20" t="n">
        <v>5344</v>
      </c>
      <c r="M219" s="20" t="n">
        <v>5293</v>
      </c>
      <c r="O219" s="20" t="n">
        <v>4323</v>
      </c>
      <c r="P219" s="20" t="n">
        <v>3597</v>
      </c>
      <c r="Q219" s="20" t="n">
        <v>4649</v>
      </c>
      <c r="R219" s="20" t="n">
        <v>5875</v>
      </c>
      <c r="S219" s="20" t="n">
        <v>5446</v>
      </c>
      <c r="T219" s="20" t="n">
        <v>4542</v>
      </c>
      <c r="U219" s="20" t="n">
        <v>4737</v>
      </c>
      <c r="V219" s="20" t="n">
        <v>4803</v>
      </c>
      <c r="W219" s="20" t="n">
        <v>5344</v>
      </c>
      <c r="X219" s="20" t="n">
        <v>5293</v>
      </c>
    </row>
    <row r="220">
      <c r="A220" s="18" t="inlineStr">
        <is>
          <t>손상차손</t>
        </is>
      </c>
      <c r="E220" s="20" t="n">
        <v>0</v>
      </c>
      <c r="I220" s="20" t="n">
        <v>1335</v>
      </c>
      <c r="M220" s="20" t="n">
        <v>612</v>
      </c>
      <c r="O220" s="20" t="n">
        <v>3934</v>
      </c>
      <c r="P220" s="20" t="n">
        <v>385</v>
      </c>
      <c r="Q220" s="20" t="n">
        <v>19</v>
      </c>
      <c r="R220" s="20" t="n">
        <v>7782</v>
      </c>
      <c r="S220" s="20" t="n">
        <v>4742</v>
      </c>
      <c r="T220" s="20" t="n">
        <v>131</v>
      </c>
      <c r="U220" s="20" t="n">
        <v>461</v>
      </c>
      <c r="V220" s="20" t="n">
        <v>0</v>
      </c>
      <c r="W220" s="20" t="n">
        <v>1335</v>
      </c>
      <c r="X220" s="20" t="n">
        <v>612</v>
      </c>
    </row>
    <row r="221">
      <c r="A221" s="18" t="inlineStr">
        <is>
          <t>Loss On Withdrawal From Business Ope CF</t>
        </is>
      </c>
      <c r="Q221" s="20" t="n">
        <v>0</v>
      </c>
      <c r="R221" s="20" t="n">
        <v>1587</v>
      </c>
    </row>
    <row r="222">
      <c r="A222" s="18" t="inlineStr">
        <is>
          <t>투자유가증권 평가손익</t>
        </is>
      </c>
      <c r="S222" s="20" t="n">
        <v>0</v>
      </c>
      <c r="T222" s="20" t="n">
        <v>10312</v>
      </c>
      <c r="U222" s="20" t="n">
        <v>0</v>
      </c>
    </row>
    <row r="223">
      <c r="A223" s="18" t="inlineStr">
        <is>
          <t>사업구조개선비용</t>
        </is>
      </c>
      <c r="R223" s="20" t="n">
        <v>1587</v>
      </c>
      <c r="S223" s="20" t="n">
        <v>7319</v>
      </c>
      <c r="T223" s="20" t="n">
        <v>0</v>
      </c>
    </row>
    <row r="224">
      <c r="A224" s="18" t="inlineStr">
        <is>
          <t>Gain On Sales Of Investments In Capital Of Subsidiaries And Affiliates Ope CF</t>
        </is>
      </c>
      <c r="I224" s="20" t="n">
        <v>0</v>
      </c>
      <c r="M224" s="20" t="n">
        <v>-2857</v>
      </c>
      <c r="W224" s="20" t="n">
        <v>0</v>
      </c>
      <c r="X224" s="20" t="n">
        <v>-2857</v>
      </c>
    </row>
    <row r="225">
      <c r="A225" s="18" t="inlineStr">
        <is>
          <t>특별퇴직금</t>
        </is>
      </c>
      <c r="E225" s="20" t="n">
        <v>435</v>
      </c>
      <c r="I225" s="20" t="n">
        <v>1886</v>
      </c>
      <c r="M225" s="20" t="n">
        <v>378</v>
      </c>
      <c r="S225" s="20" t="n">
        <v>0</v>
      </c>
      <c r="T225" s="20" t="n">
        <v>635</v>
      </c>
      <c r="U225" s="20" t="n">
        <v>407</v>
      </c>
      <c r="V225" s="20" t="n">
        <v>435</v>
      </c>
      <c r="W225" s="20" t="n">
        <v>1886</v>
      </c>
      <c r="X225" s="20" t="n">
        <v>378</v>
      </c>
    </row>
    <row r="226">
      <c r="A226" s="18" t="inlineStr">
        <is>
          <t>영업권 상각</t>
        </is>
      </c>
      <c r="E226" s="20" t="n">
        <v>0</v>
      </c>
      <c r="O226" s="20" t="n">
        <v>0</v>
      </c>
      <c r="P226" s="20" t="n">
        <v>540</v>
      </c>
      <c r="Q226" s="20" t="n">
        <v>923</v>
      </c>
      <c r="R226" s="20" t="n">
        <v>1231</v>
      </c>
      <c r="S226" s="20" t="n">
        <v>590</v>
      </c>
      <c r="T226" s="20" t="n">
        <v>590</v>
      </c>
      <c r="U226" s="20" t="n">
        <v>48</v>
      </c>
      <c r="V226" s="20" t="n">
        <v>0</v>
      </c>
    </row>
    <row r="227">
      <c r="A227" s="18" t="inlineStr">
        <is>
          <t>퇴직급여부채 증감</t>
        </is>
      </c>
      <c r="E227" s="20" t="n">
        <v>232</v>
      </c>
      <c r="I227" s="20" t="n">
        <v>-536</v>
      </c>
      <c r="M227" s="20" t="n">
        <v>-261</v>
      </c>
      <c r="O227" s="20" t="n">
        <v>141</v>
      </c>
      <c r="P227" s="20" t="n">
        <v>230</v>
      </c>
      <c r="Q227" s="20" t="n">
        <v>126</v>
      </c>
      <c r="R227" s="20" t="n">
        <v>-445</v>
      </c>
      <c r="S227" s="20" t="n">
        <v>-1217</v>
      </c>
      <c r="T227" s="20" t="n">
        <v>-286</v>
      </c>
      <c r="U227" s="20" t="n">
        <v>38</v>
      </c>
      <c r="V227" s="20" t="n">
        <v>232</v>
      </c>
      <c r="W227" s="20" t="n">
        <v>-536</v>
      </c>
      <c r="X227" s="20" t="n">
        <v>-261</v>
      </c>
    </row>
    <row r="228">
      <c r="A228" s="18" t="inlineStr">
        <is>
          <t>대손충당금 증감</t>
        </is>
      </c>
      <c r="E228" s="20" t="n">
        <v>-405</v>
      </c>
      <c r="I228" s="20" t="n">
        <v>122</v>
      </c>
      <c r="M228" s="20" t="n">
        <v>107</v>
      </c>
      <c r="O228" s="20" t="n">
        <v>174</v>
      </c>
      <c r="P228" s="20" t="n">
        <v>-27</v>
      </c>
      <c r="Q228" s="20" t="n">
        <v>-51</v>
      </c>
      <c r="R228" s="20" t="n">
        <v>-66</v>
      </c>
      <c r="S228" s="20" t="n">
        <v>-23</v>
      </c>
      <c r="T228" s="20" t="n">
        <v>305</v>
      </c>
      <c r="U228" s="20" t="n">
        <v>-82</v>
      </c>
      <c r="V228" s="20" t="n">
        <v>-405</v>
      </c>
      <c r="W228" s="20" t="n">
        <v>122</v>
      </c>
      <c r="X228" s="20" t="n">
        <v>107</v>
      </c>
    </row>
    <row r="229">
      <c r="A229" s="18" t="inlineStr">
        <is>
          <t>이자·배당금 수익</t>
        </is>
      </c>
      <c r="E229" s="20" t="n">
        <v>-726</v>
      </c>
      <c r="I229" s="20" t="n">
        <v>-769</v>
      </c>
      <c r="M229" s="20" t="n">
        <v>-509</v>
      </c>
      <c r="O229" s="20" t="n">
        <v>-319</v>
      </c>
      <c r="P229" s="20" t="n">
        <v>-376</v>
      </c>
      <c r="Q229" s="20" t="n">
        <v>-495</v>
      </c>
      <c r="R229" s="20" t="n">
        <v>-359</v>
      </c>
      <c r="S229" s="20" t="n">
        <v>-461</v>
      </c>
      <c r="T229" s="20" t="n">
        <v>-280</v>
      </c>
      <c r="U229" s="20" t="n">
        <v>-327</v>
      </c>
      <c r="V229" s="20" t="n">
        <v>-726</v>
      </c>
      <c r="W229" s="20" t="n">
        <v>-769</v>
      </c>
      <c r="X229" s="20" t="n">
        <v>-509</v>
      </c>
    </row>
    <row r="230">
      <c r="A230" s="18" t="inlineStr">
        <is>
          <t>이자비용</t>
        </is>
      </c>
      <c r="E230" s="20" t="n">
        <v>79</v>
      </c>
      <c r="I230" s="20" t="n">
        <v>146</v>
      </c>
      <c r="M230" s="20" t="n">
        <v>249</v>
      </c>
      <c r="O230" s="20" t="n">
        <v>29</v>
      </c>
      <c r="P230" s="20" t="n">
        <v>37</v>
      </c>
      <c r="Q230" s="20" t="n">
        <v>53</v>
      </c>
      <c r="R230" s="20" t="n">
        <v>81</v>
      </c>
      <c r="S230" s="20" t="n">
        <v>112</v>
      </c>
      <c r="T230" s="20" t="n">
        <v>107</v>
      </c>
      <c r="U230" s="20" t="n">
        <v>103</v>
      </c>
      <c r="V230" s="20" t="n">
        <v>79</v>
      </c>
      <c r="W230" s="20" t="n">
        <v>146</v>
      </c>
      <c r="X230" s="20" t="n">
        <v>249</v>
      </c>
    </row>
    <row r="231">
      <c r="A231" s="18" t="inlineStr">
        <is>
          <t>지분법손익</t>
        </is>
      </c>
      <c r="E231" s="20" t="n">
        <v>46</v>
      </c>
      <c r="I231" s="20" t="n">
        <v>-78</v>
      </c>
      <c r="M231" s="20" t="n">
        <v>-398</v>
      </c>
      <c r="O231" s="20" t="n">
        <v>126</v>
      </c>
      <c r="P231" s="20" t="n">
        <v>-346</v>
      </c>
      <c r="Q231" s="20" t="n">
        <v>-546</v>
      </c>
      <c r="R231" s="20" t="n">
        <v>-164</v>
      </c>
      <c r="S231" s="20" t="n">
        <v>30</v>
      </c>
      <c r="T231" s="20" t="n">
        <v>-138</v>
      </c>
      <c r="U231" s="20" t="n">
        <v>152</v>
      </c>
      <c r="V231" s="20" t="n">
        <v>46</v>
      </c>
      <c r="W231" s="20" t="n">
        <v>-78</v>
      </c>
      <c r="X231" s="20" t="n">
        <v>-398</v>
      </c>
    </row>
    <row r="232">
      <c r="A232" s="18" t="inlineStr">
        <is>
          <t>투자유가증권 매각손익</t>
        </is>
      </c>
      <c r="E232" s="20" t="n">
        <v>0</v>
      </c>
      <c r="S232" s="20" t="n">
        <v>-16</v>
      </c>
      <c r="T232" s="20" t="n">
        <v>-329</v>
      </c>
      <c r="U232" s="20" t="n">
        <v>-9</v>
      </c>
      <c r="V232" s="20" t="n">
        <v>0</v>
      </c>
    </row>
    <row r="233">
      <c r="A233" s="18" t="inlineStr">
        <is>
          <t>고정자산 제각·매각손익</t>
        </is>
      </c>
      <c r="E233" s="20" t="n">
        <v>218</v>
      </c>
      <c r="I233" s="20" t="n">
        <v>416</v>
      </c>
      <c r="M233" s="20" t="n">
        <v>345</v>
      </c>
      <c r="O233" s="20" t="n">
        <v>-4064</v>
      </c>
      <c r="P233" s="20" t="n">
        <v>384</v>
      </c>
      <c r="Q233" s="20" t="n">
        <v>280</v>
      </c>
      <c r="R233" s="20" t="n">
        <v>308</v>
      </c>
      <c r="S233" s="20" t="n">
        <v>-6339</v>
      </c>
      <c r="T233" s="20" t="n">
        <v>433</v>
      </c>
      <c r="U233" s="20" t="n">
        <v>-1397</v>
      </c>
      <c r="V233" s="20" t="n">
        <v>218</v>
      </c>
      <c r="W233" s="20" t="n">
        <v>416</v>
      </c>
      <c r="X233" s="20" t="n">
        <v>345</v>
      </c>
    </row>
    <row r="234">
      <c r="A234" s="18" t="inlineStr">
        <is>
          <t>부의 영업권 발생이익</t>
        </is>
      </c>
      <c r="P234" s="20" t="n">
        <v>0</v>
      </c>
      <c r="Q234" s="20" t="n">
        <v>-2143</v>
      </c>
      <c r="R234" s="20" t="n">
        <v>0</v>
      </c>
    </row>
    <row r="235">
      <c r="A235" s="18" t="inlineStr">
        <is>
          <t>매출채권 증감</t>
        </is>
      </c>
      <c r="E235" s="20" t="n">
        <v>1020</v>
      </c>
      <c r="I235" s="20" t="n">
        <v>1930</v>
      </c>
      <c r="M235" s="20" t="n">
        <v>1247</v>
      </c>
      <c r="O235" s="20" t="n">
        <v>3617</v>
      </c>
      <c r="P235" s="20" t="n">
        <v>-3519</v>
      </c>
      <c r="Q235" s="20" t="n">
        <v>-4336</v>
      </c>
      <c r="R235" s="20" t="n">
        <v>9441</v>
      </c>
      <c r="S235" s="20" t="n">
        <v>464</v>
      </c>
      <c r="T235" s="20" t="n">
        <v>1004</v>
      </c>
      <c r="U235" s="20" t="n">
        <v>384</v>
      </c>
      <c r="V235" s="20" t="n">
        <v>1020</v>
      </c>
      <c r="W235" s="20" t="n">
        <v>1930</v>
      </c>
      <c r="X235" s="20" t="n">
        <v>1247</v>
      </c>
    </row>
    <row r="236">
      <c r="A236" s="18" t="inlineStr">
        <is>
          <t>재고자산 증감</t>
        </is>
      </c>
      <c r="E236" s="20" t="n">
        <v>3750</v>
      </c>
      <c r="I236" s="20" t="n">
        <v>333</v>
      </c>
      <c r="M236" s="20" t="n">
        <v>1953</v>
      </c>
      <c r="O236" s="20" t="n">
        <v>501</v>
      </c>
      <c r="P236" s="20" t="n">
        <v>-3599</v>
      </c>
      <c r="Q236" s="20" t="n">
        <v>-1344</v>
      </c>
      <c r="R236" s="20" t="n">
        <v>2707</v>
      </c>
      <c r="S236" s="20" t="n">
        <v>4530</v>
      </c>
      <c r="T236" s="20" t="n">
        <v>-1338</v>
      </c>
      <c r="U236" s="20" t="n">
        <v>-3868</v>
      </c>
      <c r="V236" s="20" t="n">
        <v>3750</v>
      </c>
      <c r="W236" s="20" t="n">
        <v>333</v>
      </c>
      <c r="X236" s="20" t="n">
        <v>1953</v>
      </c>
    </row>
    <row r="237">
      <c r="A237" s="18" t="inlineStr">
        <is>
          <t>매입채무 증감</t>
        </is>
      </c>
      <c r="E237" s="20" t="n">
        <v>-1467</v>
      </c>
      <c r="I237" s="20" t="n">
        <v>-242</v>
      </c>
      <c r="M237" s="20" t="n">
        <v>-2418</v>
      </c>
      <c r="O237" s="20" t="n">
        <v>-719</v>
      </c>
      <c r="P237" s="20" t="n">
        <v>5349</v>
      </c>
      <c r="Q237" s="20" t="n">
        <v>-3229</v>
      </c>
      <c r="R237" s="20" t="n">
        <v>-3004</v>
      </c>
      <c r="S237" s="20" t="n">
        <v>852</v>
      </c>
      <c r="T237" s="20" t="n">
        <v>1251</v>
      </c>
      <c r="U237" s="20" t="n">
        <v>-1320</v>
      </c>
      <c r="V237" s="20" t="n">
        <v>-1467</v>
      </c>
      <c r="W237" s="20" t="n">
        <v>-242</v>
      </c>
      <c r="X237" s="20" t="n">
        <v>-2418</v>
      </c>
    </row>
    <row r="238">
      <c r="A238" s="18" t="inlineStr">
        <is>
          <t>선수금 증감</t>
        </is>
      </c>
      <c r="E238" s="20" t="n">
        <v>-1466</v>
      </c>
      <c r="I238" s="20" t="n">
        <v>-2182</v>
      </c>
      <c r="M238" s="20" t="n">
        <v>-1138</v>
      </c>
      <c r="S238" s="20" t="n">
        <v>274</v>
      </c>
      <c r="T238" s="20" t="n">
        <v>14086</v>
      </c>
      <c r="U238" s="20" t="n">
        <v>-1816</v>
      </c>
      <c r="V238" s="20" t="n">
        <v>-1466</v>
      </c>
      <c r="W238" s="20" t="n">
        <v>-2182</v>
      </c>
      <c r="X238" s="20" t="n">
        <v>-1138</v>
      </c>
    </row>
    <row r="239">
      <c r="A239" s="18" t="inlineStr">
        <is>
          <t>미지급비용 증감</t>
        </is>
      </c>
      <c r="I239" s="20" t="n">
        <v>-511</v>
      </c>
      <c r="M239" s="20" t="n">
        <v>-1069</v>
      </c>
      <c r="O239" s="20" t="n">
        <v>-279</v>
      </c>
      <c r="P239" s="20" t="n">
        <v>73</v>
      </c>
      <c r="Q239" s="20" t="n">
        <v>821</v>
      </c>
      <c r="R239" s="20" t="n">
        <v>-1674</v>
      </c>
      <c r="S239" s="20" t="n">
        <v>6728</v>
      </c>
      <c r="T239" s="20" t="n">
        <v>-8851</v>
      </c>
      <c r="U239" s="20" t="n">
        <v>-1042</v>
      </c>
      <c r="W239" s="20" t="n">
        <v>-511</v>
      </c>
      <c r="X239" s="20" t="n">
        <v>-1069</v>
      </c>
    </row>
    <row r="240">
      <c r="A240" s="18" t="inlineStr">
        <is>
          <t>미수금 증감</t>
        </is>
      </c>
      <c r="O240" s="20" t="n">
        <v>-16</v>
      </c>
      <c r="P240" s="20" t="n">
        <v>-811</v>
      </c>
      <c r="Q240" s="20" t="n">
        <v>-317</v>
      </c>
      <c r="R240" s="20" t="n">
        <v>807</v>
      </c>
      <c r="S240" s="20" t="n">
        <v>-1006</v>
      </c>
    </row>
    <row r="241">
      <c r="A241" s="18" t="inlineStr">
        <is>
          <t>미지급금 증감</t>
        </is>
      </c>
      <c r="E241" s="20" t="n">
        <v>-612</v>
      </c>
      <c r="I241" s="20" t="n">
        <v>-1006</v>
      </c>
      <c r="M241" s="20" t="n">
        <v>849</v>
      </c>
      <c r="V241" s="20" t="n">
        <v>-612</v>
      </c>
      <c r="W241" s="20" t="n">
        <v>-1006</v>
      </c>
      <c r="X241" s="20" t="n">
        <v>849</v>
      </c>
    </row>
    <row r="242">
      <c r="A242" s="18" t="inlineStr">
        <is>
          <t>기타</t>
        </is>
      </c>
      <c r="E242" s="20" t="n">
        <v>-818</v>
      </c>
      <c r="I242" s="20" t="n">
        <v>-1328</v>
      </c>
      <c r="M242" s="20" t="n">
        <v>-1522</v>
      </c>
      <c r="O242" s="20" t="n">
        <v>-1706</v>
      </c>
      <c r="P242" s="20" t="n">
        <v>-993</v>
      </c>
      <c r="Q242" s="20" t="n">
        <v>939</v>
      </c>
      <c r="R242" s="20" t="n">
        <v>-1222</v>
      </c>
      <c r="S242" s="20" t="n">
        <v>-571</v>
      </c>
      <c r="T242" s="20" t="n">
        <v>1952</v>
      </c>
      <c r="U242" s="20" t="n">
        <v>1459</v>
      </c>
      <c r="V242" s="20" t="n">
        <v>-818</v>
      </c>
      <c r="W242" s="20" t="n">
        <v>-1328</v>
      </c>
      <c r="X242" s="20" t="n">
        <v>-1522</v>
      </c>
    </row>
    <row r="243">
      <c r="A243" s="18" t="inlineStr">
        <is>
          <t>소계</t>
        </is>
      </c>
      <c r="E243" s="20" t="n">
        <v>14222</v>
      </c>
      <c r="I243" s="20" t="n">
        <v>11028</v>
      </c>
      <c r="M243" s="20" t="n">
        <v>10979</v>
      </c>
      <c r="O243" s="20" t="n">
        <v>12445</v>
      </c>
      <c r="P243" s="20" t="n">
        <v>8965</v>
      </c>
      <c r="Q243" s="20" t="n">
        <v>3014</v>
      </c>
      <c r="R243" s="20" t="n">
        <v>13459</v>
      </c>
      <c r="S243" s="20" t="n">
        <v>14762</v>
      </c>
      <c r="T243" s="20" t="n">
        <v>22577</v>
      </c>
      <c r="U243" s="20" t="n">
        <v>6235</v>
      </c>
      <c r="V243" s="20" t="n">
        <v>14222</v>
      </c>
      <c r="W243" s="20" t="n">
        <v>11028</v>
      </c>
      <c r="X243" s="20" t="n">
        <v>10979</v>
      </c>
    </row>
    <row r="244">
      <c r="A244" s="18" t="inlineStr">
        <is>
          <t>이자·배당금 수취</t>
        </is>
      </c>
      <c r="E244" s="20" t="n">
        <v>733</v>
      </c>
      <c r="I244" s="20" t="n">
        <v>882</v>
      </c>
      <c r="M244" s="20" t="n">
        <v>570</v>
      </c>
      <c r="O244" s="20" t="n">
        <v>303</v>
      </c>
      <c r="P244" s="20" t="n">
        <v>383</v>
      </c>
      <c r="Q244" s="20" t="n">
        <v>496</v>
      </c>
      <c r="R244" s="20" t="n">
        <v>577</v>
      </c>
      <c r="S244" s="20" t="n">
        <v>582</v>
      </c>
      <c r="T244" s="20" t="n">
        <v>298</v>
      </c>
      <c r="U244" s="20" t="n">
        <v>479</v>
      </c>
      <c r="V244" s="20" t="n">
        <v>733</v>
      </c>
      <c r="W244" s="20" t="n">
        <v>882</v>
      </c>
      <c r="X244" s="20" t="n">
        <v>570</v>
      </c>
    </row>
    <row r="245">
      <c r="A245" s="18" t="inlineStr">
        <is>
          <t>이자 지급</t>
        </is>
      </c>
      <c r="E245" s="20" t="n">
        <v>-69</v>
      </c>
      <c r="I245" s="20" t="n">
        <v>-128</v>
      </c>
      <c r="M245" s="20" t="n">
        <v>-213</v>
      </c>
      <c r="O245" s="20" t="n">
        <v>-29</v>
      </c>
      <c r="P245" s="20" t="n">
        <v>-37</v>
      </c>
      <c r="Q245" s="20" t="n">
        <v>-68</v>
      </c>
      <c r="R245" s="20" t="n">
        <v>-82</v>
      </c>
      <c r="S245" s="20" t="n">
        <v>-105</v>
      </c>
      <c r="T245" s="20" t="n">
        <v>-109</v>
      </c>
      <c r="U245" s="20" t="n">
        <v>-102</v>
      </c>
      <c r="V245" s="20" t="n">
        <v>-69</v>
      </c>
      <c r="W245" s="20" t="n">
        <v>-128</v>
      </c>
      <c r="X245" s="20" t="n">
        <v>-213</v>
      </c>
    </row>
    <row r="246">
      <c r="A246" s="18" t="inlineStr">
        <is>
          <t>법인세 납부·환급</t>
        </is>
      </c>
      <c r="E246" s="20" t="n">
        <v>-646</v>
      </c>
      <c r="I246" s="20" t="n">
        <v>-1946</v>
      </c>
      <c r="R246" s="20" t="n">
        <v>272</v>
      </c>
      <c r="S246" s="20" t="n">
        <v>-2210</v>
      </c>
      <c r="T246" s="20" t="n">
        <v>-4324</v>
      </c>
      <c r="U246" s="20" t="n">
        <v>-2611</v>
      </c>
      <c r="V246" s="20" t="n">
        <v>-646</v>
      </c>
      <c r="W246" s="20" t="n">
        <v>-1946</v>
      </c>
    </row>
    <row r="247">
      <c r="A247" s="18" t="inlineStr">
        <is>
          <t>법인세 납부</t>
        </is>
      </c>
      <c r="I247" s="20" t="n">
        <v>-1946</v>
      </c>
      <c r="M247" s="20" t="n">
        <v>-2411</v>
      </c>
      <c r="O247" s="20" t="n">
        <v>-748</v>
      </c>
      <c r="P247" s="20" t="n">
        <v>-1514</v>
      </c>
      <c r="Q247" s="20" t="n">
        <v>-2869</v>
      </c>
      <c r="R247" s="20" t="n">
        <v>272</v>
      </c>
      <c r="W247" s="20" t="n">
        <v>-1946</v>
      </c>
      <c r="X247" s="20" t="n">
        <v>-2411</v>
      </c>
    </row>
    <row r="248">
      <c r="A248" s="9" t="inlineStr">
        <is>
          <t>영업활동 현금흐름</t>
        </is>
      </c>
      <c r="E248" s="12" t="n">
        <v>14240</v>
      </c>
      <c r="I248" s="12" t="n">
        <v>9836</v>
      </c>
      <c r="M248" s="12" t="n">
        <v>8925</v>
      </c>
      <c r="O248" s="12" t="n">
        <v>11971</v>
      </c>
      <c r="P248" s="12" t="n">
        <v>7797</v>
      </c>
      <c r="Q248" s="12" t="n">
        <v>573</v>
      </c>
      <c r="R248" s="12" t="n">
        <v>14226</v>
      </c>
      <c r="S248" s="12" t="n">
        <v>13029</v>
      </c>
      <c r="T248" s="12" t="n">
        <v>18442</v>
      </c>
      <c r="U248" s="12" t="n">
        <v>4001</v>
      </c>
      <c r="V248" s="12" t="n">
        <v>14240</v>
      </c>
      <c r="W248" s="12" t="n">
        <v>9836</v>
      </c>
      <c r="X248" s="12" t="n">
        <v>8925</v>
      </c>
    </row>
    <row r="249">
      <c r="A249" s="18" t="inlineStr">
        <is>
          <t>정기예금 예입</t>
        </is>
      </c>
      <c r="E249" s="20" t="n">
        <v>-881</v>
      </c>
      <c r="I249" s="20" t="n">
        <v>0</v>
      </c>
      <c r="M249" s="20" t="n">
        <v>-800</v>
      </c>
      <c r="O249" s="20" t="n">
        <v>-3118</v>
      </c>
      <c r="P249" s="20" t="n">
        <v>-559</v>
      </c>
      <c r="Q249" s="20" t="n">
        <v>-281</v>
      </c>
      <c r="R249" s="20" t="n">
        <v>-218</v>
      </c>
      <c r="S249" s="20" t="n">
        <v>-221</v>
      </c>
      <c r="T249" s="20" t="n">
        <v>-2215</v>
      </c>
      <c r="U249" s="20" t="n">
        <v>-1601</v>
      </c>
      <c r="V249" s="20" t="n">
        <v>-881</v>
      </c>
      <c r="W249" s="20" t="n">
        <v>0</v>
      </c>
      <c r="X249" s="20" t="n">
        <v>-800</v>
      </c>
    </row>
    <row r="250">
      <c r="A250" s="18" t="inlineStr">
        <is>
          <t>정기예금 인출</t>
        </is>
      </c>
      <c r="E250" s="20" t="n">
        <v>2482</v>
      </c>
      <c r="I250" s="20" t="n">
        <v>0</v>
      </c>
      <c r="M250" s="20" t="n">
        <v>800</v>
      </c>
      <c r="O250" s="20" t="n">
        <v>162</v>
      </c>
      <c r="P250" s="20" t="n">
        <v>3170</v>
      </c>
      <c r="Q250" s="20" t="n">
        <v>445</v>
      </c>
      <c r="R250" s="20" t="n">
        <v>218</v>
      </c>
      <c r="S250" s="20" t="n">
        <v>207</v>
      </c>
      <c r="T250" s="20" t="n">
        <v>221</v>
      </c>
      <c r="U250" s="20" t="n">
        <v>2215</v>
      </c>
      <c r="V250" s="20" t="n">
        <v>2482</v>
      </c>
      <c r="W250" s="20" t="n">
        <v>0</v>
      </c>
      <c r="X250" s="20" t="n">
        <v>800</v>
      </c>
    </row>
    <row r="251">
      <c r="A251" s="18" t="inlineStr">
        <is>
          <t>Payments Of Real Estate For Rent In Construction Inv CF</t>
        </is>
      </c>
      <c r="P251" s="20" t="n">
        <v>0</v>
      </c>
      <c r="Q251" s="20" t="n">
        <v>-3487</v>
      </c>
      <c r="R251" s="20" t="n">
        <v>-2360</v>
      </c>
      <c r="S251" s="20" t="n">
        <v>0</v>
      </c>
    </row>
    <row r="252">
      <c r="A252" s="18" t="inlineStr">
        <is>
          <t>유형자산 취득(설비투자)</t>
        </is>
      </c>
      <c r="E252" s="20" t="n">
        <v>-6027</v>
      </c>
      <c r="I252" s="20" t="n">
        <v>-7850</v>
      </c>
      <c r="M252" s="20" t="n">
        <v>-7840</v>
      </c>
      <c r="O252" s="20" t="n">
        <v>-3259</v>
      </c>
      <c r="P252" s="20" t="n">
        <v>-5523</v>
      </c>
      <c r="Q252" s="20" t="n">
        <v>-9074</v>
      </c>
      <c r="R252" s="20" t="n">
        <v>-7898</v>
      </c>
      <c r="S252" s="20" t="n">
        <v>-6268</v>
      </c>
      <c r="T252" s="20" t="n">
        <v>-4030</v>
      </c>
      <c r="U252" s="20" t="n">
        <v>-4931</v>
      </c>
      <c r="V252" s="20" t="n">
        <v>-6027</v>
      </c>
      <c r="W252" s="20" t="n">
        <v>-7850</v>
      </c>
      <c r="X252" s="20" t="n">
        <v>-7840</v>
      </c>
    </row>
    <row r="253">
      <c r="A253" s="18" t="inlineStr">
        <is>
          <t>유형자산 매각</t>
        </is>
      </c>
      <c r="E253" s="20" t="n">
        <v>29</v>
      </c>
      <c r="I253" s="20" t="n">
        <v>35</v>
      </c>
      <c r="M253" s="20" t="n">
        <v>77</v>
      </c>
      <c r="O253" s="20" t="n">
        <v>6052</v>
      </c>
      <c r="P253" s="20" t="n">
        <v>830</v>
      </c>
      <c r="Q253" s="20" t="n">
        <v>15</v>
      </c>
      <c r="R253" s="20" t="n">
        <v>6</v>
      </c>
      <c r="S253" s="20" t="n">
        <v>14784</v>
      </c>
      <c r="T253" s="20" t="n">
        <v>832</v>
      </c>
      <c r="U253" s="20" t="n">
        <v>5649</v>
      </c>
      <c r="V253" s="20" t="n">
        <v>29</v>
      </c>
      <c r="W253" s="20" t="n">
        <v>35</v>
      </c>
      <c r="X253" s="20" t="n">
        <v>77</v>
      </c>
    </row>
    <row r="254">
      <c r="A254" s="18" t="inlineStr">
        <is>
          <t>무형자산 취득</t>
        </is>
      </c>
      <c r="E254" s="20" t="n">
        <v>-572</v>
      </c>
      <c r="I254" s="20" t="n">
        <v>-360</v>
      </c>
      <c r="M254" s="20" t="n">
        <v>-480</v>
      </c>
      <c r="P254" s="20" t="n">
        <v>-362</v>
      </c>
      <c r="Q254" s="20" t="n">
        <v>-2180</v>
      </c>
      <c r="R254" s="20" t="n">
        <v>-508</v>
      </c>
      <c r="S254" s="20" t="n">
        <v>-483</v>
      </c>
      <c r="T254" s="20" t="n">
        <v>-1112</v>
      </c>
      <c r="U254" s="20" t="n">
        <v>-595</v>
      </c>
      <c r="V254" s="20" t="n">
        <v>-572</v>
      </c>
      <c r="W254" s="20" t="n">
        <v>-360</v>
      </c>
      <c r="X254" s="20" t="n">
        <v>-480</v>
      </c>
    </row>
    <row r="255">
      <c r="A255" s="18" t="inlineStr">
        <is>
          <t>투자유가증권 취득</t>
        </is>
      </c>
      <c r="E255" s="20" t="n">
        <v>-72</v>
      </c>
      <c r="O255" s="20" t="n">
        <v>-1507</v>
      </c>
      <c r="P255" s="20" t="n">
        <v>-1632</v>
      </c>
      <c r="Q255" s="20" t="n">
        <v>-10252</v>
      </c>
      <c r="R255" s="20" t="n">
        <v>-130</v>
      </c>
      <c r="S255" s="20" t="n">
        <v>-31</v>
      </c>
      <c r="T255" s="20" t="n">
        <v>-7</v>
      </c>
      <c r="U255" s="20" t="n">
        <v>-6</v>
      </c>
      <c r="V255" s="20" t="n">
        <v>-72</v>
      </c>
    </row>
    <row r="256">
      <c r="A256" s="18" t="inlineStr">
        <is>
          <t>투자유가증권 매각</t>
        </is>
      </c>
      <c r="E256" s="20" t="n">
        <v>0</v>
      </c>
      <c r="I256" s="20" t="n">
        <v>130</v>
      </c>
      <c r="M256" s="20" t="n">
        <v>63</v>
      </c>
      <c r="Q256" s="20" t="n">
        <v>274</v>
      </c>
      <c r="R256" s="20" t="n">
        <v>332</v>
      </c>
      <c r="S256" s="20" t="n">
        <v>37</v>
      </c>
      <c r="T256" s="20" t="n">
        <v>2403</v>
      </c>
      <c r="U256" s="20" t="n">
        <v>985</v>
      </c>
      <c r="V256" s="20" t="n">
        <v>0</v>
      </c>
      <c r="W256" s="20" t="n">
        <v>130</v>
      </c>
      <c r="X256" s="20" t="n">
        <v>63</v>
      </c>
    </row>
    <row r="257">
      <c r="A257" s="18" t="inlineStr">
        <is>
          <t>사업양수 지출</t>
        </is>
      </c>
      <c r="P257" s="20" t="n">
        <v>0</v>
      </c>
      <c r="Q257" s="20" t="n">
        <v>-949</v>
      </c>
      <c r="R257" s="20" t="n">
        <v>-1521</v>
      </c>
      <c r="S257" s="20" t="n">
        <v>0</v>
      </c>
    </row>
    <row r="258">
      <c r="A258" s="18" t="inlineStr">
        <is>
          <t>연결범위 변경 자회사 주식 취득</t>
        </is>
      </c>
      <c r="I258" s="20" t="n">
        <v>0</v>
      </c>
      <c r="M258" s="20" t="n">
        <v>-7955</v>
      </c>
      <c r="O258" s="20" t="n">
        <v>0</v>
      </c>
      <c r="P258" s="20" t="n">
        <v>-4940</v>
      </c>
      <c r="Q258" s="20" t="n">
        <v>-16683</v>
      </c>
      <c r="R258" s="20" t="n">
        <v>0</v>
      </c>
      <c r="W258" s="20" t="n">
        <v>0</v>
      </c>
      <c r="X258" s="20" t="n">
        <v>-7955</v>
      </c>
    </row>
    <row r="259">
      <c r="A259" s="18" t="inlineStr">
        <is>
          <t>관계회사 주식 취득</t>
        </is>
      </c>
      <c r="O259" s="20" t="n">
        <v>-465</v>
      </c>
      <c r="P259" s="20" t="n">
        <v>0</v>
      </c>
      <c r="Q259" s="20" t="n">
        <v>-4200</v>
      </c>
      <c r="R259" s="20" t="n">
        <v>0</v>
      </c>
    </row>
    <row r="260">
      <c r="A260" s="18" t="inlineStr">
        <is>
          <t>관계회사 출자금 매각 수입</t>
        </is>
      </c>
      <c r="O260" s="20" t="n">
        <v>0</v>
      </c>
      <c r="P260" s="20" t="n">
        <v>98</v>
      </c>
      <c r="Q260" s="20" t="n">
        <v>0</v>
      </c>
    </row>
    <row r="261">
      <c r="A261" s="18" t="inlineStr">
        <is>
          <t>단기대여금 순증감</t>
        </is>
      </c>
      <c r="O261" s="20" t="n">
        <v>12</v>
      </c>
      <c r="P261" s="20" t="n">
        <v>0</v>
      </c>
    </row>
    <row r="262">
      <c r="A262" s="18" t="inlineStr">
        <is>
          <t>Proceeds From Sales Of Investments In Capital Of Subsidiaries And Associates Resulting In Change In Scope Of Consolidation Inv CF</t>
        </is>
      </c>
      <c r="I262" s="20" t="n">
        <v>0</v>
      </c>
      <c r="M262" s="20" t="n">
        <v>998</v>
      </c>
      <c r="W262" s="20" t="n">
        <v>0</v>
      </c>
      <c r="X262" s="20" t="n">
        <v>998</v>
      </c>
    </row>
    <row r="263">
      <c r="A263" s="18" t="inlineStr">
        <is>
          <t>기타</t>
        </is>
      </c>
      <c r="E263" s="20" t="n">
        <v>121</v>
      </c>
      <c r="I263" s="20" t="n">
        <v>20</v>
      </c>
      <c r="M263" s="20" t="n">
        <v>79</v>
      </c>
      <c r="O263" s="20" t="n">
        <v>-219</v>
      </c>
      <c r="P263" s="20" t="n">
        <v>-2</v>
      </c>
      <c r="Q263" s="20" t="n">
        <v>61</v>
      </c>
      <c r="R263" s="20" t="n">
        <v>-19</v>
      </c>
      <c r="S263" s="20" t="n">
        <v>14</v>
      </c>
      <c r="T263" s="20" t="n">
        <v>0</v>
      </c>
      <c r="U263" s="20" t="n">
        <v>-3</v>
      </c>
      <c r="V263" s="20" t="n">
        <v>121</v>
      </c>
      <c r="W263" s="20" t="n">
        <v>20</v>
      </c>
      <c r="X263" s="20" t="n">
        <v>79</v>
      </c>
    </row>
    <row r="264">
      <c r="A264" s="9" t="inlineStr">
        <is>
          <t>투자활동 현금흐름</t>
        </is>
      </c>
      <c r="E264" s="12" t="n">
        <v>-4848</v>
      </c>
      <c r="I264" s="12" t="n">
        <v>-8025</v>
      </c>
      <c r="M264" s="12" t="n">
        <v>-15058</v>
      </c>
      <c r="O264" s="12" t="n">
        <v>-2342</v>
      </c>
      <c r="P264" s="12" t="n">
        <v>-8920</v>
      </c>
      <c r="Q264" s="12" t="n">
        <v>-46326</v>
      </c>
      <c r="R264" s="12" t="n">
        <v>-12098</v>
      </c>
      <c r="S264" s="12" t="n">
        <v>8039</v>
      </c>
      <c r="T264" s="12" t="n">
        <v>-3908</v>
      </c>
      <c r="U264" s="12" t="n">
        <v>1713</v>
      </c>
      <c r="V264" s="12" t="n">
        <v>-4848</v>
      </c>
      <c r="W264" s="12" t="n">
        <v>-8025</v>
      </c>
      <c r="X264" s="12" t="n">
        <v>-15058</v>
      </c>
    </row>
    <row r="265">
      <c r="A265" s="18" t="inlineStr">
        <is>
          <t>단기차입금 순증감</t>
        </is>
      </c>
      <c r="P265" s="20" t="n">
        <v>0</v>
      </c>
      <c r="Q265" s="20" t="n">
        <v>12088</v>
      </c>
      <c r="R265" s="20" t="n">
        <v>-8500</v>
      </c>
      <c r="S265" s="20" t="n">
        <v>-5000</v>
      </c>
      <c r="T265" s="20" t="n">
        <v>-3500</v>
      </c>
      <c r="U265" s="20" t="n">
        <v>0</v>
      </c>
    </row>
    <row r="266">
      <c r="A266" s="18" t="inlineStr">
        <is>
          <t>장기차입</t>
        </is>
      </c>
      <c r="E266" s="20" t="n">
        <v>560</v>
      </c>
      <c r="I266" s="20" t="n">
        <v>13000</v>
      </c>
      <c r="M266" s="20" t="n">
        <v>20000</v>
      </c>
      <c r="P266" s="20" t="n">
        <v>0</v>
      </c>
      <c r="Q266" s="20" t="n">
        <v>7974</v>
      </c>
      <c r="R266" s="20" t="n">
        <v>28235</v>
      </c>
      <c r="S266" s="20" t="n">
        <v>6000</v>
      </c>
      <c r="T266" s="20" t="n">
        <v>0</v>
      </c>
      <c r="U266" s="20" t="n">
        <v>0</v>
      </c>
      <c r="V266" s="20" t="n">
        <v>560</v>
      </c>
      <c r="W266" s="20" t="n">
        <v>13000</v>
      </c>
      <c r="X266" s="20" t="n">
        <v>20000</v>
      </c>
    </row>
    <row r="267">
      <c r="A267" s="18" t="inlineStr">
        <is>
          <t>장기차입금 상환</t>
        </is>
      </c>
      <c r="E267" s="20" t="n">
        <v>-8123</v>
      </c>
      <c r="I267" s="20" t="n">
        <v>-12563</v>
      </c>
      <c r="M267" s="20" t="n">
        <v>-1563</v>
      </c>
      <c r="O267" s="20" t="n">
        <v>-35</v>
      </c>
      <c r="P267" s="20" t="n">
        <v>-36</v>
      </c>
      <c r="Q267" s="20" t="n">
        <v>-35</v>
      </c>
      <c r="R267" s="20" t="n">
        <v>-1098</v>
      </c>
      <c r="S267" s="20" t="n">
        <v>-7388</v>
      </c>
      <c r="T267" s="20" t="n">
        <v>-1598</v>
      </c>
      <c r="U267" s="20" t="n">
        <v>-6844</v>
      </c>
      <c r="V267" s="20" t="n">
        <v>-8123</v>
      </c>
      <c r="W267" s="20" t="n">
        <v>-12563</v>
      </c>
      <c r="X267" s="20" t="n">
        <v>-1563</v>
      </c>
    </row>
    <row r="268">
      <c r="A268" s="18" t="inlineStr">
        <is>
          <t>연결범위 변경 없는 자회사 주식 취득</t>
        </is>
      </c>
      <c r="R268" s="20" t="n">
        <v>0</v>
      </c>
      <c r="S268" s="20" t="n">
        <v>-5335</v>
      </c>
      <c r="T268" s="20" t="n">
        <v>0</v>
      </c>
    </row>
    <row r="269">
      <c r="A269" s="18" t="inlineStr">
        <is>
          <t>비지배주주 환급</t>
        </is>
      </c>
      <c r="Q269" s="20" t="n">
        <v>0</v>
      </c>
      <c r="R269" s="20" t="n">
        <v>-104</v>
      </c>
      <c r="S269" s="20" t="n">
        <v>0</v>
      </c>
    </row>
    <row r="270">
      <c r="A270" s="18" t="inlineStr">
        <is>
          <t>자기주식 취득</t>
        </is>
      </c>
      <c r="E270" s="20" t="n">
        <v>0</v>
      </c>
      <c r="I270" s="20" t="n">
        <v>-5000</v>
      </c>
      <c r="M270" s="20" t="n">
        <v>-13232</v>
      </c>
      <c r="O270" s="20" t="n">
        <v>0</v>
      </c>
      <c r="P270" s="20" t="n">
        <v>-1</v>
      </c>
      <c r="Q270" s="20" t="n">
        <v>-0</v>
      </c>
      <c r="R270" s="20" t="n">
        <v>-5039</v>
      </c>
      <c r="S270" s="20" t="n">
        <v>0</v>
      </c>
      <c r="T270" s="20" t="n">
        <v>0</v>
      </c>
      <c r="U270" s="20" t="n">
        <v>-5000</v>
      </c>
      <c r="V270" s="20" t="n">
        <v>0</v>
      </c>
      <c r="W270" s="20" t="n">
        <v>-5000</v>
      </c>
      <c r="X270" s="20" t="n">
        <v>-13232</v>
      </c>
    </row>
    <row r="271">
      <c r="A271" s="18" t="inlineStr">
        <is>
          <t>비지배주주 납입</t>
        </is>
      </c>
      <c r="P271" s="20" t="n">
        <v>0</v>
      </c>
      <c r="Q271" s="20" t="n">
        <v>5029</v>
      </c>
      <c r="R271" s="20" t="n">
        <v>0</v>
      </c>
    </row>
    <row r="272">
      <c r="A272" s="18" t="inlineStr">
        <is>
          <t>비지배주주 배당금 지급</t>
        </is>
      </c>
      <c r="E272" s="20" t="n">
        <v>-62</v>
      </c>
      <c r="I272" s="20" t="n">
        <v>-683</v>
      </c>
      <c r="M272" s="20" t="n">
        <v>-75</v>
      </c>
      <c r="O272" s="20" t="n">
        <v>-38</v>
      </c>
      <c r="P272" s="20" t="n">
        <v>-31</v>
      </c>
      <c r="Q272" s="20" t="n">
        <v>-16</v>
      </c>
      <c r="R272" s="20" t="n">
        <v>-38</v>
      </c>
      <c r="S272" s="20" t="n">
        <v>-64</v>
      </c>
      <c r="T272" s="20" t="n">
        <v>-9</v>
      </c>
      <c r="U272" s="20" t="n">
        <v>-128</v>
      </c>
      <c r="V272" s="20" t="n">
        <v>-62</v>
      </c>
      <c r="W272" s="20" t="n">
        <v>-683</v>
      </c>
      <c r="X272" s="20" t="n">
        <v>-75</v>
      </c>
    </row>
    <row r="273">
      <c r="A273" s="18" t="inlineStr">
        <is>
          <t>배당금 지급</t>
        </is>
      </c>
      <c r="E273" s="20" t="n">
        <v>-1834</v>
      </c>
      <c r="I273" s="20" t="n">
        <v>-2454</v>
      </c>
      <c r="M273" s="20" t="n">
        <v>-2158</v>
      </c>
      <c r="O273" s="20" t="n">
        <v>-1902</v>
      </c>
      <c r="P273" s="20" t="n">
        <v>-1902</v>
      </c>
      <c r="Q273" s="20" t="n">
        <v>-2325</v>
      </c>
      <c r="R273" s="20" t="n">
        <v>-15081</v>
      </c>
      <c r="S273" s="20" t="n">
        <v>0</v>
      </c>
      <c r="T273" s="20" t="n">
        <v>-990</v>
      </c>
      <c r="U273" s="20" t="n">
        <v>-1938</v>
      </c>
      <c r="V273" s="20" t="n">
        <v>-1834</v>
      </c>
      <c r="W273" s="20" t="n">
        <v>-2454</v>
      </c>
      <c r="X273" s="20" t="n">
        <v>-2158</v>
      </c>
    </row>
    <row r="274">
      <c r="A274" s="18" t="inlineStr">
        <is>
          <t>리스부채 상환</t>
        </is>
      </c>
      <c r="E274" s="20" t="n">
        <v>-63</v>
      </c>
      <c r="I274" s="20" t="n">
        <v>-49</v>
      </c>
      <c r="M274" s="20" t="n">
        <v>-61</v>
      </c>
      <c r="O274" s="20" t="n">
        <v>-56</v>
      </c>
      <c r="P274" s="20" t="n">
        <v>-157</v>
      </c>
      <c r="Q274" s="20" t="n">
        <v>-107</v>
      </c>
      <c r="R274" s="20" t="n">
        <v>-166</v>
      </c>
      <c r="S274" s="20" t="n">
        <v>-101</v>
      </c>
      <c r="T274" s="20" t="n">
        <v>-114</v>
      </c>
      <c r="U274" s="20" t="n">
        <v>-92</v>
      </c>
      <c r="V274" s="20" t="n">
        <v>-63</v>
      </c>
      <c r="W274" s="20" t="n">
        <v>-49</v>
      </c>
      <c r="X274" s="20" t="n">
        <v>-61</v>
      </c>
    </row>
    <row r="275">
      <c r="A275" s="18" t="inlineStr">
        <is>
          <t>기타</t>
        </is>
      </c>
      <c r="E275" s="20" t="n">
        <v>32</v>
      </c>
      <c r="I275" s="20" t="n">
        <v>0</v>
      </c>
      <c r="T275" s="20" t="n">
        <v>0</v>
      </c>
      <c r="U275" s="20" t="n">
        <v>17</v>
      </c>
      <c r="V275" s="20" t="n">
        <v>32</v>
      </c>
      <c r="W275" s="20" t="n">
        <v>0</v>
      </c>
    </row>
    <row r="276">
      <c r="A276" s="9" t="inlineStr">
        <is>
          <t>재무활동 현금흐름</t>
        </is>
      </c>
      <c r="E276" s="12" t="n">
        <v>-9490</v>
      </c>
      <c r="I276" s="12" t="n">
        <v>-7749</v>
      </c>
      <c r="M276" s="12" t="n">
        <v>2911</v>
      </c>
      <c r="O276" s="12" t="n">
        <v>-2031</v>
      </c>
      <c r="P276" s="12" t="n">
        <v>-2127</v>
      </c>
      <c r="Q276" s="12" t="n">
        <v>22608</v>
      </c>
      <c r="R276" s="12" t="n">
        <v>-1791</v>
      </c>
      <c r="S276" s="12" t="n">
        <v>-11888</v>
      </c>
      <c r="T276" s="12" t="n">
        <v>-6211</v>
      </c>
      <c r="U276" s="12" t="n">
        <v>-13985</v>
      </c>
      <c r="V276" s="12" t="n">
        <v>-9490</v>
      </c>
      <c r="W276" s="12" t="n">
        <v>-7749</v>
      </c>
      <c r="X276" s="12" t="n">
        <v>2911</v>
      </c>
    </row>
    <row r="277">
      <c r="A277" s="18" t="inlineStr">
        <is>
          <t>현금성자산 환산차이</t>
        </is>
      </c>
      <c r="E277" s="20" t="n">
        <v>2194</v>
      </c>
      <c r="I277" s="20" t="n">
        <v>345</v>
      </c>
      <c r="M277" s="20" t="n">
        <v>1707</v>
      </c>
      <c r="O277" s="20" t="n">
        <v>-714</v>
      </c>
      <c r="P277" s="20" t="n">
        <v>-112</v>
      </c>
      <c r="Q277" s="20" t="n">
        <v>291</v>
      </c>
      <c r="R277" s="20" t="n">
        <v>-604</v>
      </c>
      <c r="S277" s="20" t="n">
        <v>1197</v>
      </c>
      <c r="T277" s="20" t="n">
        <v>2219</v>
      </c>
      <c r="U277" s="20" t="n">
        <v>1503</v>
      </c>
      <c r="V277" s="20" t="n">
        <v>2194</v>
      </c>
      <c r="W277" s="20" t="n">
        <v>345</v>
      </c>
      <c r="X277" s="20" t="n">
        <v>1707</v>
      </c>
    </row>
    <row r="278">
      <c r="A278" s="18" t="inlineStr">
        <is>
          <t>현금성자산 증감</t>
        </is>
      </c>
      <c r="E278" s="20" t="n">
        <v>2096</v>
      </c>
      <c r="I278" s="20" t="n">
        <v>-5593</v>
      </c>
      <c r="M278" s="20" t="n">
        <v>-1515</v>
      </c>
      <c r="O278" s="20" t="n">
        <v>6884</v>
      </c>
      <c r="P278" s="20" t="n">
        <v>-3362</v>
      </c>
      <c r="Q278" s="20" t="n">
        <v>-22854</v>
      </c>
      <c r="R278" s="20" t="n">
        <v>-267</v>
      </c>
      <c r="S278" s="20" t="n">
        <v>10377</v>
      </c>
      <c r="T278" s="20" t="n">
        <v>10542</v>
      </c>
      <c r="U278" s="20" t="n">
        <v>-6768</v>
      </c>
      <c r="V278" s="20" t="n">
        <v>2096</v>
      </c>
      <c r="W278" s="20" t="n">
        <v>-5593</v>
      </c>
      <c r="X278" s="20" t="n">
        <v>-1515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6810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80616</v>
      </c>
      <c r="D5" s="12" t="n">
        <v>85715</v>
      </c>
      <c r="E5" s="12" t="n">
        <v>84528</v>
      </c>
      <c r="F5" s="12" t="n">
        <v>85474</v>
      </c>
      <c r="G5" s="12" t="n">
        <v>87855</v>
      </c>
      <c r="H5" s="11" t="n">
        <v>99469</v>
      </c>
      <c r="I5" s="12" t="n">
        <v>94837</v>
      </c>
      <c r="J5" s="12" t="n">
        <v>92166</v>
      </c>
      <c r="K5" s="12" t="n">
        <v>84191</v>
      </c>
      <c r="L5" s="12" t="n">
        <v>85474</v>
      </c>
    </row>
    <row r="6">
      <c r="A6" s="18" t="inlineStr">
        <is>
          <t>현금및현금성자산</t>
        </is>
      </c>
      <c r="B6" s="10" t="n"/>
      <c r="C6" s="19" t="n">
        <v>31113</v>
      </c>
      <c r="D6" s="20" t="n">
        <v>33213</v>
      </c>
      <c r="E6" s="20" t="n">
        <v>30972</v>
      </c>
      <c r="F6" s="20" t="n">
        <v>31557</v>
      </c>
      <c r="G6" s="20" t="n">
        <v>27555</v>
      </c>
      <c r="H6" s="19" t="n">
        <v>45552</v>
      </c>
      <c r="I6" s="20" t="n">
        <v>38170</v>
      </c>
      <c r="J6" s="20" t="n">
        <v>38665</v>
      </c>
      <c r="K6" s="20" t="n">
        <v>33072</v>
      </c>
      <c r="L6" s="20" t="n">
        <v>31557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26466</v>
      </c>
      <c r="D8" s="20" t="n">
        <v>28402</v>
      </c>
      <c r="E8" s="20" t="n">
        <v>28514</v>
      </c>
      <c r="F8" s="20" t="n">
        <v>28064</v>
      </c>
      <c r="G8" s="20" t="n">
        <v>31910</v>
      </c>
      <c r="H8" s="19" t="n">
        <v>30160</v>
      </c>
      <c r="I8" s="20" t="n">
        <v>30439</v>
      </c>
      <c r="J8" s="20" t="n">
        <v>30446</v>
      </c>
      <c r="K8" s="20" t="n">
        <v>28446</v>
      </c>
      <c r="L8" s="20" t="n">
        <v>28064</v>
      </c>
    </row>
    <row r="9">
      <c r="A9" s="18" t="inlineStr">
        <is>
          <t>재고자산</t>
        </is>
      </c>
      <c r="B9" s="10" t="n"/>
      <c r="C9" s="19" t="n">
        <v>19699</v>
      </c>
      <c r="D9" s="20" t="n">
        <v>19759</v>
      </c>
      <c r="E9" s="20" t="n">
        <v>20271</v>
      </c>
      <c r="F9" s="20" t="n">
        <v>20137</v>
      </c>
      <c r="G9" s="20" t="n">
        <v>23566</v>
      </c>
      <c r="H9" s="19" t="n">
        <v>18378</v>
      </c>
      <c r="I9" s="20" t="n">
        <v>22476</v>
      </c>
      <c r="J9" s="20" t="n">
        <v>19617</v>
      </c>
      <c r="K9" s="20" t="n">
        <v>19190</v>
      </c>
      <c r="L9" s="20" t="n">
        <v>20137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79909</v>
      </c>
      <c r="D11" s="12" t="n">
        <v>82107</v>
      </c>
      <c r="E11" s="12" t="n">
        <v>84994</v>
      </c>
      <c r="F11" s="12" t="n">
        <v>94993</v>
      </c>
      <c r="G11" s="12" t="n">
        <v>97486</v>
      </c>
      <c r="H11" s="11" t="n">
        <v>78066</v>
      </c>
      <c r="I11" s="12" t="n">
        <v>73340</v>
      </c>
      <c r="J11" s="12" t="n">
        <v>78934</v>
      </c>
      <c r="K11" s="12" t="n">
        <v>80323</v>
      </c>
      <c r="L11" s="12" t="n">
        <v>94993</v>
      </c>
    </row>
    <row r="12">
      <c r="A12" s="18" t="inlineStr">
        <is>
          <t>유형자산</t>
        </is>
      </c>
      <c r="B12" s="10" t="n"/>
      <c r="C12" s="19" t="n">
        <v>54795</v>
      </c>
      <c r="D12" s="20" t="n">
        <v>56347</v>
      </c>
      <c r="E12" s="20" t="n">
        <v>58442</v>
      </c>
      <c r="F12" s="20" t="n">
        <v>60871</v>
      </c>
      <c r="G12" s="20" t="n">
        <v>61987</v>
      </c>
      <c r="H12" s="19" t="n">
        <v>55507</v>
      </c>
      <c r="I12" s="20" t="n">
        <v>51544</v>
      </c>
      <c r="J12" s="20" t="n">
        <v>54413</v>
      </c>
      <c r="K12" s="20" t="n">
        <v>54988</v>
      </c>
      <c r="L12" s="20" t="n">
        <v>60871</v>
      </c>
    </row>
    <row r="13">
      <c r="A13" s="18" t="inlineStr">
        <is>
          <t>무형자산</t>
        </is>
      </c>
      <c r="B13" s="10" t="n"/>
      <c r="C13" s="19" t="n">
        <v>4204</v>
      </c>
      <c r="D13" s="20" t="n">
        <v>4220</v>
      </c>
      <c r="E13" s="20" t="n">
        <v>4251</v>
      </c>
      <c r="F13" s="20" t="n">
        <v>10161</v>
      </c>
      <c r="G13" s="20" t="n">
        <v>9970</v>
      </c>
      <c r="H13" s="19" t="n">
        <v>5031</v>
      </c>
      <c r="I13" s="20" t="n">
        <v>4697</v>
      </c>
      <c r="J13" s="20" t="n">
        <v>4778</v>
      </c>
      <c r="K13" s="20" t="n">
        <v>4367</v>
      </c>
      <c r="L13" s="20" t="n">
        <v>10161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160525</v>
      </c>
      <c r="D16" s="12" t="n">
        <v>167822</v>
      </c>
      <c r="E16" s="12" t="n">
        <v>169522</v>
      </c>
      <c r="F16" s="12" t="n">
        <v>180467</v>
      </c>
      <c r="G16" s="12" t="n">
        <v>185341</v>
      </c>
      <c r="H16" s="11" t="n">
        <v>177535</v>
      </c>
      <c r="I16" s="12" t="n">
        <v>168177</v>
      </c>
      <c r="J16" s="12" t="n">
        <v>171100</v>
      </c>
      <c r="K16" s="12" t="n">
        <v>164514</v>
      </c>
      <c r="L16" s="12" t="n">
        <v>180467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40829</v>
      </c>
      <c r="D18" s="12" t="n">
        <v>44304</v>
      </c>
      <c r="E18" s="12" t="n">
        <v>56654</v>
      </c>
      <c r="F18" s="12" t="n">
        <v>46522</v>
      </c>
      <c r="G18" s="12" t="n">
        <v>48310</v>
      </c>
      <c r="H18" s="11" t="n">
        <v>57719</v>
      </c>
      <c r="I18" s="12" t="n">
        <v>55494</v>
      </c>
      <c r="J18" s="12" t="n">
        <v>59258</v>
      </c>
      <c r="K18" s="12" t="n">
        <v>44380</v>
      </c>
      <c r="L18" s="12" t="n">
        <v>46522</v>
      </c>
    </row>
    <row r="19">
      <c r="A19" s="18" t="inlineStr">
        <is>
          <t>매입채무</t>
        </is>
      </c>
      <c r="B19" s="10" t="n"/>
      <c r="C19" s="19" t="n">
        <v>16568</v>
      </c>
      <c r="D19" s="20" t="n">
        <v>16162</v>
      </c>
      <c r="E19" s="20" t="n">
        <v>16597</v>
      </c>
      <c r="F19" s="20" t="n">
        <v>15942</v>
      </c>
      <c r="G19" s="20" t="n">
        <v>16819</v>
      </c>
      <c r="H19" s="19" t="n">
        <v>19606</v>
      </c>
      <c r="I19" s="20" t="n">
        <v>18421</v>
      </c>
      <c r="J19" s="20" t="n">
        <v>17168</v>
      </c>
      <c r="K19" s="20" t="n">
        <v>16942</v>
      </c>
      <c r="L19" s="20" t="n">
        <v>15942</v>
      </c>
    </row>
    <row r="20">
      <c r="A20" s="18" t="inlineStr">
        <is>
          <t>단기차입금</t>
        </is>
      </c>
      <c r="B20" s="10" t="n"/>
      <c r="C20" s="19" t="n"/>
      <c r="D20" s="20" t="n"/>
      <c r="E20" s="20" t="n">
        <v>13200</v>
      </c>
      <c r="F20" s="20" t="n">
        <v>0</v>
      </c>
      <c r="G20" s="20" t="n">
        <v>3000</v>
      </c>
      <c r="H20" s="19" t="n">
        <v>0</v>
      </c>
      <c r="I20" s="20" t="n"/>
      <c r="J20" s="20" t="n"/>
      <c r="K20" s="20" t="n">
        <v>0</v>
      </c>
      <c r="L20" s="20" t="n">
        <v>0</v>
      </c>
    </row>
    <row r="21">
      <c r="A21" s="18" t="inlineStr">
        <is>
          <t>유동성장기부채</t>
        </is>
      </c>
      <c r="B21" s="10" t="n"/>
      <c r="C21" s="19" t="n">
        <v>1563</v>
      </c>
      <c r="D21" s="20" t="n">
        <v>1563</v>
      </c>
      <c r="E21" s="20" t="n">
        <v>1559</v>
      </c>
      <c r="F21" s="20" t="n">
        <v>2559</v>
      </c>
      <c r="G21" s="20" t="n">
        <v>2278</v>
      </c>
      <c r="H21" s="19" t="n">
        <v>6598</v>
      </c>
      <c r="I21" s="20" t="n">
        <v>8123</v>
      </c>
      <c r="J21" s="20" t="n">
        <v>12563</v>
      </c>
      <c r="K21" s="20" t="n">
        <v>1563</v>
      </c>
      <c r="L21" s="20" t="n">
        <v>2559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25301</v>
      </c>
      <c r="D23" s="12" t="n">
        <v>25122</v>
      </c>
      <c r="E23" s="12" t="n">
        <v>24783</v>
      </c>
      <c r="F23" s="12" t="n">
        <v>43762</v>
      </c>
      <c r="G23" s="12" t="n">
        <v>43836</v>
      </c>
      <c r="H23" s="11" t="n">
        <v>35200</v>
      </c>
      <c r="I23" s="12" t="n">
        <v>26743</v>
      </c>
      <c r="J23" s="12" t="n">
        <v>14535</v>
      </c>
      <c r="K23" s="12" t="n">
        <v>25963</v>
      </c>
      <c r="L23" s="12" t="n">
        <v>43762</v>
      </c>
    </row>
    <row r="24">
      <c r="A24" s="18" t="inlineStr">
        <is>
          <t>장기차입금</t>
        </is>
      </c>
      <c r="B24" s="10" t="n"/>
      <c r="C24" s="19" t="n">
        <v>16528</v>
      </c>
      <c r="D24" s="20" t="n">
        <v>16278</v>
      </c>
      <c r="E24" s="20" t="n">
        <v>15813</v>
      </c>
      <c r="F24" s="20" t="n">
        <v>34500</v>
      </c>
      <c r="G24" s="20" t="n">
        <v>34000</v>
      </c>
      <c r="H24" s="19" t="n">
        <v>25994</v>
      </c>
      <c r="I24" s="20" t="n">
        <v>17625</v>
      </c>
      <c r="J24" s="20" t="n">
        <v>5622</v>
      </c>
      <c r="K24" s="20" t="n">
        <v>17059</v>
      </c>
      <c r="L24" s="20" t="n">
        <v>34500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66130</v>
      </c>
      <c r="D27" s="12" t="n">
        <v>69426</v>
      </c>
      <c r="E27" s="12" t="n">
        <v>81437</v>
      </c>
      <c r="F27" s="12" t="n">
        <v>90284</v>
      </c>
      <c r="G27" s="12" t="n">
        <v>92146</v>
      </c>
      <c r="H27" s="11" t="n">
        <v>92919</v>
      </c>
      <c r="I27" s="12" t="n">
        <v>82237</v>
      </c>
      <c r="J27" s="12" t="n">
        <v>73793</v>
      </c>
      <c r="K27" s="12" t="n">
        <v>70343</v>
      </c>
      <c r="L27" s="12" t="n">
        <v>90284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91664</v>
      </c>
      <c r="D31" s="12" t="n">
        <v>95581</v>
      </c>
      <c r="E31" s="12" t="n">
        <v>85026</v>
      </c>
      <c r="F31" s="12" t="n">
        <v>87059</v>
      </c>
      <c r="G31" s="12" t="n">
        <v>90567</v>
      </c>
      <c r="H31" s="11" t="n">
        <v>81498</v>
      </c>
      <c r="I31" s="12" t="n">
        <v>82816</v>
      </c>
      <c r="J31" s="12" t="n">
        <v>93894</v>
      </c>
      <c r="K31" s="12" t="n">
        <v>91356</v>
      </c>
      <c r="L31" s="12" t="n">
        <v>87059</v>
      </c>
    </row>
    <row r="32">
      <c r="A32" s="18" t="inlineStr">
        <is>
          <t>자본금</t>
        </is>
      </c>
      <c r="B32" s="10" t="n"/>
      <c r="C32" s="19" t="n">
        <v>12203</v>
      </c>
      <c r="D32" s="20" t="n">
        <v>12203</v>
      </c>
      <c r="E32" s="20" t="n">
        <v>12203</v>
      </c>
      <c r="F32" s="20" t="n">
        <v>12203</v>
      </c>
      <c r="G32" s="20" t="n">
        <v>12203</v>
      </c>
      <c r="H32" s="19" t="n">
        <v>12203</v>
      </c>
      <c r="I32" s="20" t="n">
        <v>12203</v>
      </c>
      <c r="J32" s="20" t="n">
        <v>12203</v>
      </c>
      <c r="K32" s="20" t="n">
        <v>12203</v>
      </c>
      <c r="L32" s="20" t="n">
        <v>12203</v>
      </c>
    </row>
    <row r="33">
      <c r="A33" s="18" t="inlineStr">
        <is>
          <t>이익잉여금</t>
        </is>
      </c>
      <c r="B33" s="10" t="n"/>
      <c r="C33" s="19" t="n">
        <v>60871</v>
      </c>
      <c r="D33" s="20" t="n">
        <v>63512</v>
      </c>
      <c r="E33" s="20" t="n">
        <v>64447</v>
      </c>
      <c r="F33" s="20" t="n">
        <v>66459</v>
      </c>
      <c r="G33" s="20" t="n">
        <v>57366</v>
      </c>
      <c r="H33" s="19" t="n">
        <v>49756</v>
      </c>
      <c r="I33" s="20" t="n">
        <v>53011</v>
      </c>
      <c r="J33" s="20" t="n">
        <v>58721</v>
      </c>
      <c r="K33" s="20" t="n">
        <v>60357</v>
      </c>
      <c r="L33" s="20" t="n">
        <v>66459</v>
      </c>
    </row>
    <row r="34">
      <c r="A34" s="18" t="inlineStr">
        <is>
          <t>비지배지분</t>
        </is>
      </c>
      <c r="B34" s="10" t="n"/>
      <c r="C34" s="19" t="n">
        <v>2731</v>
      </c>
      <c r="D34" s="20" t="n">
        <v>2815</v>
      </c>
      <c r="E34" s="20" t="n">
        <v>3059</v>
      </c>
      <c r="F34" s="20" t="n">
        <v>3124</v>
      </c>
      <c r="G34" s="20" t="n">
        <v>2628</v>
      </c>
      <c r="H34" s="19" t="n">
        <v>3118</v>
      </c>
      <c r="I34" s="20" t="n">
        <v>3124</v>
      </c>
      <c r="J34" s="20" t="n">
        <v>3413</v>
      </c>
      <c r="K34" s="20" t="n">
        <v>2815</v>
      </c>
      <c r="L34" s="20" t="n">
        <v>3124</v>
      </c>
    </row>
    <row r="35">
      <c r="A35" s="9" t="inlineStr">
        <is>
          <t>자본총계</t>
        </is>
      </c>
      <c r="B35" s="10" t="n"/>
      <c r="C35" s="11" t="n">
        <v>94395</v>
      </c>
      <c r="D35" s="12" t="n">
        <v>98396</v>
      </c>
      <c r="E35" s="12" t="n">
        <v>88085</v>
      </c>
      <c r="F35" s="12" t="n">
        <v>90183</v>
      </c>
      <c r="G35" s="12" t="n">
        <v>93195</v>
      </c>
      <c r="H35" s="11" t="n">
        <v>84616</v>
      </c>
      <c r="I35" s="12" t="n">
        <v>85940</v>
      </c>
      <c r="J35" s="12" t="n">
        <v>97307</v>
      </c>
      <c r="K35" s="12" t="n">
        <v>94171</v>
      </c>
      <c r="L35" s="12" t="n">
        <v>90183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8925</v>
      </c>
      <c r="G37" s="12" t="n"/>
      <c r="H37" s="11" t="n">
        <v>18442</v>
      </c>
      <c r="I37" s="12" t="n">
        <v>4001</v>
      </c>
      <c r="J37" s="12" t="n">
        <v>14240</v>
      </c>
      <c r="K37" s="12" t="n">
        <v>9836</v>
      </c>
      <c r="L37" s="12" t="n">
        <v>8925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8320</v>
      </c>
      <c r="G38" s="20" t="n"/>
      <c r="H38" s="19" t="n">
        <v>5142</v>
      </c>
      <c r="I38" s="20" t="n">
        <v>5526</v>
      </c>
      <c r="J38" s="20" t="n">
        <v>6599</v>
      </c>
      <c r="K38" s="20" t="n">
        <v>8210</v>
      </c>
      <c r="L38" s="20" t="n">
        <v>8320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2158</v>
      </c>
      <c r="G40" s="20" t="n"/>
      <c r="H40" s="19" t="n">
        <v>990</v>
      </c>
      <c r="I40" s="20" t="n">
        <v>1938</v>
      </c>
      <c r="J40" s="20" t="n">
        <v>1834</v>
      </c>
      <c r="K40" s="20" t="n">
        <v>2454</v>
      </c>
      <c r="L40" s="20" t="n">
        <v>2158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IFERROR(IF((IF(COUNT('연간'!G62:J62)&lt;4,"",SUM('연간'!G62:J62)))&lt;=0,"적자",C28/(IF(COUNT('연간'!G62:J62)&lt;4,"",SUM('연간'!G62:J62)))),"")</f>
        <v/>
      </c>
      <c r="D49" s="47">
        <f>IFERROR(IF((IF(COUNT('연간'!H62:K62)&lt;4,"",SUM('연간'!H62:K62)))&lt;=0,"적자",D28/(IF(COUNT('연간'!H62:K62)&lt;4,"",SUM('연간'!H62:K62)))),"")</f>
        <v/>
      </c>
      <c r="E49" s="47">
        <f>IFERROR(IF((IF(COUNT('연간'!I62:L62)&lt;4,"",SUM('연간'!I62:L62)))&lt;=0,"적자",E28/(IF(COUNT('연간'!I62:L62)&lt;4,"",SUM('연간'!I62:L62)))),"")</f>
        <v/>
      </c>
      <c r="F49" s="47">
        <f>IFERROR(IF((IF(COUNT('연간'!J62:M62)&lt;4,"",SUM('연간'!J62:M62)))&lt;=0,"적자",F28/(IF(COUNT('연간'!J62:M62)&lt;4,"",SUM('연간'!J62:M62)))),"")</f>
        <v/>
      </c>
      <c r="G49" s="47">
        <f>IFERROR(IF((IF(COUNT('연간'!K62:N62)&lt;4,"",SUM('연간'!K62:N62)))&lt;=0,"적자",G28/(IF(COUNT('연간'!K62:N62)&lt;4,"",SUM('연간'!K62:N62)))),"")</f>
        <v/>
      </c>
      <c r="H49" s="46">
        <f>IFERROR(IF(('연간'!T62)&lt;=0,"적자",H28/('연간'!T62)),"")</f>
        <v/>
      </c>
      <c r="I49" s="47">
        <f>IFERROR(IF(('연간'!U62)&lt;=0,"적자",I28/('연간'!U62)),"")</f>
        <v/>
      </c>
      <c r="J49" s="47">
        <f>IFERROR(IF(('연간'!V62)&lt;=0,"적자",J28/('연간'!V62)),"")</f>
        <v/>
      </c>
      <c r="K49" s="47">
        <f>IFERROR(IF(('연간'!W62)&lt;=0,"적자",K28/('연간'!W62)),"")</f>
        <v/>
      </c>
      <c r="L49" s="47">
        <f>IFERROR(IF(('연간'!X62)&lt;=0,"적자",L28/('연간'!X62)),"")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IFERROR((IF(COUNT('연간'!G62:J62)&lt;4,"",SUM('연간'!G62:J62)))/C31,"")</f>
        <v/>
      </c>
      <c r="D51" s="36">
        <f>IFERROR((IF(COUNT('연간'!H62:K62)&lt;4,"",SUM('연간'!H62:K62)))/D31,"")</f>
        <v/>
      </c>
      <c r="E51" s="36">
        <f>IFERROR((IF(COUNT('연간'!I62:L62)&lt;4,"",SUM('연간'!I62:L62)))/E31,"")</f>
        <v/>
      </c>
      <c r="F51" s="36">
        <f>IFERROR((IF(COUNT('연간'!J62:M62)&lt;4,"",SUM('연간'!J62:M62)))/F31,"")</f>
        <v/>
      </c>
      <c r="G51" s="36">
        <f>IFERROR((IF(COUNT('연간'!K62:N62)&lt;4,"",SUM('연간'!K62:N62)))/G31,"")</f>
        <v/>
      </c>
      <c r="H51" s="35">
        <f>IFERROR(('연간'!T62)/H31,"")</f>
        <v/>
      </c>
      <c r="I51" s="36">
        <f>IFERROR(('연간'!U62)/I31,"")</f>
        <v/>
      </c>
      <c r="J51" s="36">
        <f>IFERROR(('연간'!V62)/J31,"")</f>
        <v/>
      </c>
      <c r="K51" s="36">
        <f>IFERROR(('연간'!W62)/K31,"")</f>
        <v/>
      </c>
      <c r="L51" s="36">
        <f>IFERROR(('연간'!X62)/L31,"")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IFERROR((IF(COUNT('연간'!G61:J61)&lt;4,"",SUM('연간'!G61:J61)))/C16,"")</f>
        <v/>
      </c>
      <c r="D52" s="36">
        <f>IFERROR((IF(COUNT('연간'!H61:K61)&lt;4,"",SUM('연간'!H61:K61)))/D16,"")</f>
        <v/>
      </c>
      <c r="E52" s="36">
        <f>IFERROR((IF(COUNT('연간'!I61:L61)&lt;4,"",SUM('연간'!I61:L61)))/E16,"")</f>
        <v/>
      </c>
      <c r="F52" s="36">
        <f>IFERROR((IF(COUNT('연간'!J61:M61)&lt;4,"",SUM('연간'!J61:M61)))/F16,"")</f>
        <v/>
      </c>
      <c r="G52" s="36">
        <f>IFERROR((IF(COUNT('연간'!K61:N61)&lt;4,"",SUM('연간'!K61:N61)))/G16,"")</f>
        <v/>
      </c>
      <c r="H52" s="35">
        <f>IFERROR(('연간'!T61)/H16,"")</f>
        <v/>
      </c>
      <c r="I52" s="36">
        <f>IFERROR(('연간'!U61)/I16,"")</f>
        <v/>
      </c>
      <c r="J52" s="36">
        <f>IFERROR(('연간'!V61)/J16,"")</f>
        <v/>
      </c>
      <c r="K52" s="36">
        <f>IFERROR(('연간'!W61)/K16,"")</f>
        <v/>
      </c>
      <c r="L52" s="36">
        <f>IFERROR(('연간'!X61)/L16,"")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IFERROR((IF(COUNT('연간'!G30:J30)&lt;4,"",SUM('연간'!G30:J30)))/(IF(COUNT('연간'!G4:J4)&lt;4,"",SUM('연간'!G4:J4))),"")</f>
        <v/>
      </c>
      <c r="D54" s="36">
        <f>IFERROR((IF(COUNT('연간'!H30:K30)&lt;4,"",SUM('연간'!H30:K30)))/(IF(COUNT('연간'!H4:K4)&lt;4,"",SUM('연간'!H4:K4))),"")</f>
        <v/>
      </c>
      <c r="E54" s="36">
        <f>IFERROR((IF(COUNT('연간'!I30:L30)&lt;4,"",SUM('연간'!I30:L30)))/(IF(COUNT('연간'!I4:L4)&lt;4,"",SUM('연간'!I4:L4))),"")</f>
        <v/>
      </c>
      <c r="F54" s="36">
        <f>IFERROR((IF(COUNT('연간'!J30:M30)&lt;4,"",SUM('연간'!J30:M30)))/(IF(COUNT('연간'!J4:M4)&lt;4,"",SUM('연간'!J4:M4))),"")</f>
        <v/>
      </c>
      <c r="G54" s="36">
        <f>IFERROR((IF(COUNT('연간'!K30:N30)&lt;4,"",SUM('연간'!K30:N30)))/(IF(COUNT('연간'!K4:N4)&lt;4,"",SUM('연간'!K4:N4))),"")</f>
        <v/>
      </c>
      <c r="H54" s="35">
        <f>IFERROR(('연간'!T30)/('연간'!T4),"")</f>
        <v/>
      </c>
      <c r="I54" s="36">
        <f>IFERROR(('연간'!U30)/('연간'!U4),"")</f>
        <v/>
      </c>
      <c r="J54" s="36">
        <f>IFERROR(('연간'!V30)/('연간'!V4),"")</f>
        <v/>
      </c>
      <c r="K54" s="36">
        <f>IFERROR(('연간'!W30)/('연간'!W4),"")</f>
        <v/>
      </c>
      <c r="L54" s="36">
        <f>IFERROR(('연간'!X30)/('연간'!X4),"")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IFERROR((IF(COUNT('연간'!G61:J61)&lt;4,"",SUM('연간'!G61:J61)))/(IF(COUNT('연간'!G4:J4)&lt;4,"",SUM('연간'!G4:J4))),"")</f>
        <v/>
      </c>
      <c r="D56" s="36">
        <f>IFERROR((IF(COUNT('연간'!H61:K61)&lt;4,"",SUM('연간'!H61:K61)))/(IF(COUNT('연간'!H4:K4)&lt;4,"",SUM('연간'!H4:K4))),"")</f>
        <v/>
      </c>
      <c r="E56" s="36">
        <f>IFERROR((IF(COUNT('연간'!I61:L61)&lt;4,"",SUM('연간'!I61:L61)))/(IF(COUNT('연간'!I4:L4)&lt;4,"",SUM('연간'!I4:L4))),"")</f>
        <v/>
      </c>
      <c r="F56" s="36">
        <f>IFERROR((IF(COUNT('연간'!J61:M61)&lt;4,"",SUM('연간'!J61:M61)))/(IF(COUNT('연간'!J4:M4)&lt;4,"",SUM('연간'!J4:M4))),"")</f>
        <v/>
      </c>
      <c r="G56" s="36">
        <f>IFERROR((IF(COUNT('연간'!K61:N61)&lt;4,"",SUM('연간'!K61:N61)))/(IF(COUNT('연간'!K4:N4)&lt;4,"",SUM('연간'!K4:N4))),"")</f>
        <v/>
      </c>
      <c r="H56" s="35">
        <f>IFERROR(('연간'!T61)/('연간'!T4),"")</f>
        <v/>
      </c>
      <c r="I56" s="36">
        <f>IFERROR(('연간'!U61)/('연간'!U4),"")</f>
        <v/>
      </c>
      <c r="J56" s="36">
        <f>IFERROR(('연간'!V61)/('연간'!V4),"")</f>
        <v/>
      </c>
      <c r="K56" s="36">
        <f>IFERROR(('연간'!W61)/('연간'!W4),"")</f>
        <v/>
      </c>
      <c r="L56" s="36">
        <f>IFERROR(('연간'!X61)/('연간'!X4),"")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IF(C37="","",IFERROR(C37/(IF(COUNT('연간'!G61:J61)&lt;4,"",SUM('연간'!G61:J61))),""))</f>
        <v/>
      </c>
      <c r="D64" s="31">
        <f>IF(D37="","",IFERROR(D37/(IF(COUNT('연간'!H61:K61)&lt;4,"",SUM('연간'!H61:K61))),""))</f>
        <v/>
      </c>
      <c r="E64" s="31">
        <f>IF(E37="","",IFERROR(E37/(IF(COUNT('연간'!I61:L61)&lt;4,"",SUM('연간'!I61:L61))),""))</f>
        <v/>
      </c>
      <c r="F64" s="31">
        <f>IF(F37="","",IFERROR(F37/(IF(COUNT('연간'!J61:M61)&lt;4,"",SUM('연간'!J61:M61))),""))</f>
        <v/>
      </c>
      <c r="G64" s="31">
        <f>IF(G37="","",IFERROR(G37/(IF(COUNT('연간'!K61:N61)&lt;4,"",SUM('연간'!K61:N61))),""))</f>
        <v/>
      </c>
      <c r="H64" s="30">
        <f>IF(H37="","",IFERROR(H37/('연간'!T61),""))</f>
        <v/>
      </c>
      <c r="I64" s="31">
        <f>IF(I37="","",IFERROR(I37/('연간'!U61),""))</f>
        <v/>
      </c>
      <c r="J64" s="31">
        <f>IF(J37="","",IFERROR(J37/('연간'!V61),""))</f>
        <v/>
      </c>
      <c r="K64" s="31">
        <f>IF(K37="","",IFERROR(K37/('연간'!W61),""))</f>
        <v/>
      </c>
      <c r="L64" s="31">
        <f>IF(L37="","",IFERROR(L37/('연간'!X61),""))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IF(C40="","",IFERROR(C40/(IF(COUNT('연간'!G62:J62)&lt;4,"",SUM('연간'!G62:J62))),""))</f>
        <v/>
      </c>
      <c r="D67" s="36">
        <f>IF(D40="","",IFERROR(D40/(IF(COUNT('연간'!H62:K62)&lt;4,"",SUM('연간'!H62:K62))),""))</f>
        <v/>
      </c>
      <c r="E67" s="36">
        <f>IF(E40="","",IFERROR(E40/(IF(COUNT('연간'!I62:L62)&lt;4,"",SUM('연간'!I62:L62))),""))</f>
        <v/>
      </c>
      <c r="F67" s="36">
        <f>IF(F40="","",IFERROR(F40/(IF(COUNT('연간'!J62:M62)&lt;4,"",SUM('연간'!J62:M62))),""))</f>
        <v/>
      </c>
      <c r="G67" s="36">
        <f>IF(G40="","",IFERROR(G40/(IF(COUNT('연간'!K62:N62)&lt;4,"",SUM('연간'!K62:N62))),""))</f>
        <v/>
      </c>
      <c r="H67" s="35">
        <f>IF(H40="","",IFERROR(H40/('연간'!T62),""))</f>
        <v/>
      </c>
      <c r="I67" s="36">
        <f>IF(I40="","",IFERROR(I40/('연간'!U62),""))</f>
        <v/>
      </c>
      <c r="J67" s="36">
        <f>IF(J40="","",IFERROR(J40/('연간'!V62),""))</f>
        <v/>
      </c>
      <c r="K67" s="36">
        <f>IF(K40="","",IFERROR(K40/('연간'!W62),""))</f>
        <v/>
      </c>
      <c r="L67" s="36">
        <f>IF(L40="","",IFERROR(L40/('연간'!X62),""))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31113</v>
      </c>
      <c r="D71" s="20" t="n">
        <v>33213</v>
      </c>
      <c r="E71" s="20" t="n">
        <v>30972</v>
      </c>
      <c r="F71" s="20" t="n">
        <v>31557</v>
      </c>
      <c r="G71" s="20" t="n">
        <v>27555</v>
      </c>
      <c r="H71" s="20" t="n">
        <v>45552</v>
      </c>
      <c r="I71" s="20" t="n">
        <v>38170</v>
      </c>
      <c r="J71" s="20" t="n">
        <v>38665</v>
      </c>
      <c r="K71" s="20" t="n">
        <v>33072</v>
      </c>
      <c r="L71" s="20" t="n">
        <v>31557</v>
      </c>
    </row>
    <row r="72">
      <c r="A72" s="18" t="inlineStr">
        <is>
          <t>받을어음·매출채권</t>
        </is>
      </c>
      <c r="C72" s="20" t="n">
        <v>26466</v>
      </c>
      <c r="D72" s="20" t="n">
        <v>28402</v>
      </c>
      <c r="E72" s="20" t="n">
        <v>28514</v>
      </c>
      <c r="F72" s="20" t="n">
        <v>28064</v>
      </c>
      <c r="G72" s="20" t="n">
        <v>31910</v>
      </c>
      <c r="H72" s="20" t="n">
        <v>30160</v>
      </c>
      <c r="I72" s="20" t="n">
        <v>30439</v>
      </c>
      <c r="J72" s="20" t="n">
        <v>30446</v>
      </c>
      <c r="K72" s="20" t="n">
        <v>28446</v>
      </c>
      <c r="L72" s="20" t="n">
        <v>28064</v>
      </c>
    </row>
    <row r="73">
      <c r="A73" s="18" t="inlineStr">
        <is>
          <t>Lease Investment Assets CA</t>
        </is>
      </c>
      <c r="F73" s="20" t="n">
        <v>506</v>
      </c>
      <c r="H73" s="20" t="n">
        <v>1071</v>
      </c>
      <c r="I73" s="20" t="n">
        <v>687</v>
      </c>
      <c r="J73" s="20" t="n">
        <v>628</v>
      </c>
      <c r="K73" s="20" t="n">
        <v>567</v>
      </c>
      <c r="L73" s="20" t="n">
        <v>506</v>
      </c>
    </row>
    <row r="74">
      <c r="A74" s="18" t="inlineStr">
        <is>
          <t>재고자산</t>
        </is>
      </c>
      <c r="C74" s="20" t="n">
        <v>19699</v>
      </c>
      <c r="D74" s="20" t="n">
        <v>19759</v>
      </c>
      <c r="E74" s="20" t="n">
        <v>20271</v>
      </c>
      <c r="F74" s="20" t="n">
        <v>20137</v>
      </c>
      <c r="G74" s="20" t="n">
        <v>23566</v>
      </c>
      <c r="H74" s="20" t="n">
        <v>18378</v>
      </c>
      <c r="I74" s="20" t="n">
        <v>22476</v>
      </c>
      <c r="J74" s="20" t="n">
        <v>19617</v>
      </c>
      <c r="K74" s="20" t="n">
        <v>19190</v>
      </c>
      <c r="L74" s="20" t="n">
        <v>20137</v>
      </c>
    </row>
    <row r="75">
      <c r="A75" s="18" t="inlineStr">
        <is>
          <t>기타</t>
        </is>
      </c>
      <c r="C75" s="20" t="n">
        <v>3778</v>
      </c>
      <c r="D75" s="20" t="n">
        <v>4815</v>
      </c>
      <c r="E75" s="20" t="n">
        <v>5276</v>
      </c>
      <c r="F75" s="20" t="n">
        <v>6216</v>
      </c>
      <c r="G75" s="20" t="n">
        <v>5336</v>
      </c>
      <c r="H75" s="20" t="n">
        <v>5154</v>
      </c>
      <c r="I75" s="20" t="n">
        <v>3991</v>
      </c>
      <c r="J75" s="20" t="n">
        <v>3380</v>
      </c>
      <c r="K75" s="20" t="n">
        <v>3335</v>
      </c>
      <c r="L75" s="20" t="n">
        <v>6216</v>
      </c>
    </row>
    <row r="76">
      <c r="A76" s="18" t="inlineStr">
        <is>
          <t>대손충당금</t>
        </is>
      </c>
      <c r="C76" s="20" t="n">
        <v>-440</v>
      </c>
      <c r="D76" s="20" t="n">
        <v>-474</v>
      </c>
      <c r="E76" s="20" t="n">
        <v>-505</v>
      </c>
      <c r="F76" s="20" t="n">
        <v>-500</v>
      </c>
      <c r="G76" s="20" t="n">
        <v>-512</v>
      </c>
      <c r="H76" s="20" t="n">
        <v>-846</v>
      </c>
      <c r="I76" s="20" t="n">
        <v>-926</v>
      </c>
      <c r="J76" s="20" t="n">
        <v>-570</v>
      </c>
      <c r="K76" s="20" t="n">
        <v>-419</v>
      </c>
      <c r="L76" s="20" t="n">
        <v>-500</v>
      </c>
    </row>
    <row r="77">
      <c r="A77" s="9" t="inlineStr">
        <is>
          <t>유동자산 합계</t>
        </is>
      </c>
      <c r="C77" s="12" t="n">
        <v>80616</v>
      </c>
      <c r="D77" s="12" t="n">
        <v>85715</v>
      </c>
      <c r="E77" s="12" t="n">
        <v>84528</v>
      </c>
      <c r="F77" s="12" t="n">
        <v>85474</v>
      </c>
      <c r="G77" s="12" t="n">
        <v>87855</v>
      </c>
      <c r="H77" s="12" t="n">
        <v>99469</v>
      </c>
      <c r="I77" s="12" t="n">
        <v>94837</v>
      </c>
      <c r="J77" s="12" t="n">
        <v>92166</v>
      </c>
      <c r="K77" s="12" t="n">
        <v>84191</v>
      </c>
      <c r="L77" s="12" t="n">
        <v>85474</v>
      </c>
    </row>
    <row r="78">
      <c r="A78" s="18" t="inlineStr">
        <is>
          <t>건물·구축물(순액)</t>
        </is>
      </c>
      <c r="F78" s="20" t="n">
        <v>11567</v>
      </c>
      <c r="H78" s="20" t="n">
        <v>10613</v>
      </c>
      <c r="I78" s="20" t="n">
        <v>10118</v>
      </c>
      <c r="J78" s="20" t="n">
        <v>11833</v>
      </c>
      <c r="K78" s="20" t="n">
        <v>11447</v>
      </c>
      <c r="L78" s="20" t="n">
        <v>11567</v>
      </c>
    </row>
    <row r="79">
      <c r="A79" s="18" t="inlineStr">
        <is>
          <t>기계장치·운반구(순액)</t>
        </is>
      </c>
      <c r="F79" s="20" t="n">
        <v>11033</v>
      </c>
      <c r="H79" s="20" t="n">
        <v>8799</v>
      </c>
      <c r="I79" s="20" t="n">
        <v>8915</v>
      </c>
      <c r="J79" s="20" t="n">
        <v>9988</v>
      </c>
      <c r="K79" s="20" t="n">
        <v>10734</v>
      </c>
      <c r="L79" s="20" t="n">
        <v>11033</v>
      </c>
    </row>
    <row r="80">
      <c r="A80" s="18" t="inlineStr">
        <is>
          <t>토지</t>
        </is>
      </c>
      <c r="C80" s="20" t="n">
        <v>28944</v>
      </c>
      <c r="D80" s="20" t="n">
        <v>28954</v>
      </c>
      <c r="E80" s="20" t="n">
        <v>28977</v>
      </c>
      <c r="F80" s="20" t="n">
        <v>28985</v>
      </c>
      <c r="G80" s="20" t="n">
        <v>28992</v>
      </c>
      <c r="H80" s="20" t="n">
        <v>32609</v>
      </c>
      <c r="I80" s="20" t="n">
        <v>28994</v>
      </c>
      <c r="J80" s="20" t="n">
        <v>29002</v>
      </c>
      <c r="K80" s="20" t="n">
        <v>28955</v>
      </c>
      <c r="L80" s="20" t="n">
        <v>28985</v>
      </c>
    </row>
    <row r="81">
      <c r="A81" s="18" t="inlineStr">
        <is>
          <t>건설중인자산</t>
        </is>
      </c>
      <c r="F81" s="20" t="n">
        <v>7213</v>
      </c>
      <c r="H81" s="20" t="n">
        <v>1620</v>
      </c>
      <c r="I81" s="20" t="n">
        <v>1842</v>
      </c>
      <c r="J81" s="20" t="n">
        <v>1827</v>
      </c>
      <c r="K81" s="20" t="n">
        <v>1975</v>
      </c>
      <c r="L81" s="20" t="n">
        <v>7213</v>
      </c>
    </row>
    <row r="82">
      <c r="A82" s="18" t="inlineStr">
        <is>
          <t>기타(순액)</t>
        </is>
      </c>
      <c r="C82" s="20" t="n">
        <v>25851</v>
      </c>
      <c r="D82" s="20" t="n">
        <v>27393</v>
      </c>
      <c r="E82" s="20" t="n">
        <v>29465</v>
      </c>
      <c r="F82" s="20" t="n">
        <v>31886</v>
      </c>
      <c r="G82" s="20" t="n">
        <v>32995</v>
      </c>
      <c r="H82" s="20" t="n">
        <v>1866</v>
      </c>
      <c r="I82" s="20" t="n">
        <v>1675</v>
      </c>
      <c r="J82" s="20" t="n">
        <v>1763</v>
      </c>
      <c r="K82" s="20" t="n">
        <v>1877</v>
      </c>
      <c r="L82" s="20" t="n">
        <v>31886</v>
      </c>
    </row>
    <row r="83">
      <c r="A83" s="18" t="inlineStr">
        <is>
          <t>유형자산 합계</t>
        </is>
      </c>
      <c r="C83" s="20" t="n">
        <v>54795</v>
      </c>
      <c r="D83" s="20" t="n">
        <v>56347</v>
      </c>
      <c r="E83" s="20" t="n">
        <v>58442</v>
      </c>
      <c r="F83" s="20" t="n">
        <v>60871</v>
      </c>
      <c r="G83" s="20" t="n">
        <v>61987</v>
      </c>
      <c r="H83" s="20" t="n">
        <v>55507</v>
      </c>
      <c r="I83" s="20" t="n">
        <v>51544</v>
      </c>
      <c r="J83" s="20" t="n">
        <v>54413</v>
      </c>
      <c r="K83" s="20" t="n">
        <v>54988</v>
      </c>
      <c r="L83" s="20" t="n">
        <v>60871</v>
      </c>
    </row>
    <row r="84">
      <c r="A84" s="18" t="inlineStr">
        <is>
          <t>영업권</t>
        </is>
      </c>
      <c r="F84" s="20" t="n">
        <v>6181</v>
      </c>
      <c r="G84" s="20" t="n">
        <v>6025</v>
      </c>
      <c r="H84" s="20" t="n">
        <v>48</v>
      </c>
      <c r="I84" s="20" t="n">
        <v>0</v>
      </c>
      <c r="K84" s="20" t="n">
        <v>0</v>
      </c>
      <c r="L84" s="20" t="n">
        <v>6181</v>
      </c>
    </row>
    <row r="85">
      <c r="A85" s="18" t="inlineStr">
        <is>
          <t>기타</t>
        </is>
      </c>
      <c r="F85" s="20" t="n">
        <v>3980</v>
      </c>
      <c r="G85" s="20" t="n">
        <v>3945</v>
      </c>
      <c r="H85" s="20" t="n">
        <v>4983</v>
      </c>
      <c r="I85" s="20" t="n">
        <v>4697</v>
      </c>
      <c r="K85" s="20" t="n">
        <v>4367</v>
      </c>
      <c r="L85" s="20" t="n">
        <v>3980</v>
      </c>
    </row>
    <row r="86">
      <c r="A86" s="18" t="inlineStr">
        <is>
          <t>무형자산 합계</t>
        </is>
      </c>
      <c r="C86" s="20" t="n">
        <v>4204</v>
      </c>
      <c r="D86" s="20" t="n">
        <v>4220</v>
      </c>
      <c r="E86" s="20" t="n">
        <v>4251</v>
      </c>
      <c r="F86" s="20" t="n">
        <v>10161</v>
      </c>
      <c r="G86" s="20" t="n">
        <v>9970</v>
      </c>
      <c r="H86" s="20" t="n">
        <v>5031</v>
      </c>
      <c r="I86" s="20" t="n">
        <v>4697</v>
      </c>
      <c r="J86" s="20" t="n">
        <v>4778</v>
      </c>
      <c r="K86" s="20" t="n">
        <v>4367</v>
      </c>
      <c r="L86" s="20" t="n">
        <v>10161</v>
      </c>
    </row>
    <row r="87">
      <c r="A87" s="18" t="inlineStr">
        <is>
          <t>투자유가증권</t>
        </is>
      </c>
      <c r="F87" s="20" t="n">
        <v>10803</v>
      </c>
      <c r="H87" s="20" t="n">
        <v>9672</v>
      </c>
      <c r="I87" s="20" t="n">
        <v>9503</v>
      </c>
      <c r="J87" s="20" t="n">
        <v>9568</v>
      </c>
      <c r="K87" s="20" t="n">
        <v>9667</v>
      </c>
      <c r="L87" s="20" t="n">
        <v>10803</v>
      </c>
    </row>
    <row r="88">
      <c r="A88" s="18" t="inlineStr">
        <is>
          <t>퇴직급여자산</t>
        </is>
      </c>
      <c r="F88" s="20" t="n">
        <v>11656</v>
      </c>
      <c r="H88" s="20" t="n">
        <v>4550</v>
      </c>
      <c r="I88" s="20" t="n">
        <v>4881</v>
      </c>
      <c r="J88" s="20" t="n">
        <v>7706</v>
      </c>
      <c r="K88" s="20" t="n">
        <v>9479</v>
      </c>
      <c r="L88" s="20" t="n">
        <v>11656</v>
      </c>
    </row>
    <row r="89">
      <c r="A89" s="18" t="inlineStr">
        <is>
          <t>이연법인세자산</t>
        </is>
      </c>
      <c r="F89" s="20" t="n">
        <v>929</v>
      </c>
      <c r="H89" s="20" t="n">
        <v>2152</v>
      </c>
      <c r="I89" s="20" t="n">
        <v>1780</v>
      </c>
      <c r="J89" s="20" t="n">
        <v>1564</v>
      </c>
      <c r="K89" s="20" t="n">
        <v>1163</v>
      </c>
      <c r="L89" s="20" t="n">
        <v>929</v>
      </c>
    </row>
    <row r="90">
      <c r="A90" s="18" t="inlineStr">
        <is>
          <t>기타</t>
        </is>
      </c>
      <c r="C90" s="20" t="n">
        <v>21273</v>
      </c>
      <c r="D90" s="20" t="n">
        <v>21913</v>
      </c>
      <c r="E90" s="20" t="n">
        <v>22693</v>
      </c>
      <c r="F90" s="20" t="n">
        <v>24362</v>
      </c>
      <c r="G90" s="20" t="n">
        <v>25934</v>
      </c>
      <c r="H90" s="20" t="n">
        <v>1376</v>
      </c>
      <c r="I90" s="20" t="n">
        <v>1026</v>
      </c>
      <c r="J90" s="20" t="n">
        <v>1007</v>
      </c>
      <c r="K90" s="20" t="n">
        <v>1034</v>
      </c>
      <c r="L90" s="20" t="n">
        <v>24362</v>
      </c>
    </row>
    <row r="91">
      <c r="A91" s="18" t="inlineStr">
        <is>
          <t>대손충당금</t>
        </is>
      </c>
      <c r="C91" s="20" t="n">
        <v>-363</v>
      </c>
      <c r="D91" s="20" t="n">
        <v>-373</v>
      </c>
      <c r="E91" s="20" t="n">
        <v>-392</v>
      </c>
      <c r="F91" s="20" t="n">
        <v>-401</v>
      </c>
      <c r="G91" s="20" t="n">
        <v>-405</v>
      </c>
      <c r="H91" s="20" t="n">
        <v>-222</v>
      </c>
      <c r="I91" s="20" t="n">
        <v>-91</v>
      </c>
      <c r="J91" s="20" t="n">
        <v>-102</v>
      </c>
      <c r="K91" s="20" t="n">
        <v>-375</v>
      </c>
      <c r="L91" s="20" t="n">
        <v>-401</v>
      </c>
    </row>
    <row r="92">
      <c r="A92" s="18" t="inlineStr">
        <is>
          <t>투자 및 기타자산 합계</t>
        </is>
      </c>
      <c r="C92" s="20" t="n">
        <v>20910</v>
      </c>
      <c r="D92" s="20" t="n">
        <v>21540</v>
      </c>
      <c r="E92" s="20" t="n">
        <v>22301</v>
      </c>
      <c r="F92" s="20" t="n">
        <v>23961</v>
      </c>
      <c r="G92" s="20" t="n">
        <v>25529</v>
      </c>
      <c r="H92" s="20" t="n">
        <v>17528</v>
      </c>
      <c r="I92" s="20" t="n">
        <v>17099</v>
      </c>
      <c r="J92" s="20" t="n">
        <v>19743</v>
      </c>
      <c r="K92" s="20" t="n">
        <v>20968</v>
      </c>
      <c r="L92" s="20" t="n">
        <v>23961</v>
      </c>
    </row>
    <row r="93">
      <c r="A93" s="9" t="inlineStr">
        <is>
          <t>비유동자산 합계</t>
        </is>
      </c>
      <c r="C93" s="12" t="n">
        <v>79909</v>
      </c>
      <c r="D93" s="12" t="n">
        <v>82107</v>
      </c>
      <c r="E93" s="12" t="n">
        <v>84994</v>
      </c>
      <c r="F93" s="12" t="n">
        <v>94993</v>
      </c>
      <c r="G93" s="12" t="n">
        <v>97486</v>
      </c>
      <c r="H93" s="12" t="n">
        <v>78066</v>
      </c>
      <c r="I93" s="12" t="n">
        <v>73340</v>
      </c>
      <c r="J93" s="12" t="n">
        <v>78934</v>
      </c>
      <c r="K93" s="12" t="n">
        <v>80323</v>
      </c>
      <c r="L93" s="12" t="n">
        <v>94993</v>
      </c>
    </row>
    <row r="94">
      <c r="A94" s="9" t="inlineStr">
        <is>
          <t>자산 합계</t>
        </is>
      </c>
      <c r="C94" s="12" t="n">
        <v>160525</v>
      </c>
      <c r="D94" s="12" t="n">
        <v>167822</v>
      </c>
      <c r="E94" s="12" t="n">
        <v>169522</v>
      </c>
      <c r="F94" s="12" t="n">
        <v>180467</v>
      </c>
      <c r="G94" s="12" t="n">
        <v>185341</v>
      </c>
      <c r="H94" s="12" t="n">
        <v>177535</v>
      </c>
      <c r="I94" s="12" t="n">
        <v>168177</v>
      </c>
      <c r="J94" s="12" t="n">
        <v>171100</v>
      </c>
      <c r="K94" s="12" t="n">
        <v>164514</v>
      </c>
      <c r="L94" s="12" t="n">
        <v>180467</v>
      </c>
    </row>
    <row r="95">
      <c r="A95" s="18" t="inlineStr">
        <is>
          <t>지급어음·매입채무</t>
        </is>
      </c>
      <c r="C95" s="20" t="n">
        <v>16568</v>
      </c>
      <c r="D95" s="20" t="n">
        <v>16162</v>
      </c>
      <c r="E95" s="20" t="n">
        <v>16597</v>
      </c>
      <c r="F95" s="20" t="n">
        <v>15942</v>
      </c>
      <c r="G95" s="20" t="n">
        <v>16819</v>
      </c>
      <c r="H95" s="20" t="n">
        <v>19606</v>
      </c>
      <c r="I95" s="20" t="n">
        <v>18421</v>
      </c>
      <c r="J95" s="20" t="n">
        <v>17168</v>
      </c>
      <c r="K95" s="20" t="n">
        <v>16942</v>
      </c>
      <c r="L95" s="20" t="n">
        <v>15942</v>
      </c>
    </row>
    <row r="96">
      <c r="A96" s="18" t="inlineStr">
        <is>
          <t>단기차입금</t>
        </is>
      </c>
      <c r="E96" s="20" t="n">
        <v>13200</v>
      </c>
      <c r="F96" s="20" t="n">
        <v>0</v>
      </c>
      <c r="G96" s="20" t="n">
        <v>3000</v>
      </c>
      <c r="H96" s="20" t="n">
        <v>0</v>
      </c>
      <c r="K96" s="20" t="n">
        <v>0</v>
      </c>
      <c r="L96" s="20" t="n">
        <v>0</v>
      </c>
    </row>
    <row r="97">
      <c r="A97" s="18" t="inlineStr">
        <is>
          <t>1년 내 상환 장기차입금</t>
        </is>
      </c>
      <c r="C97" s="20" t="n">
        <v>1563</v>
      </c>
      <c r="D97" s="20" t="n">
        <v>1563</v>
      </c>
      <c r="E97" s="20" t="n">
        <v>1559</v>
      </c>
      <c r="F97" s="20" t="n">
        <v>2559</v>
      </c>
      <c r="G97" s="20" t="n">
        <v>2278</v>
      </c>
      <c r="H97" s="20" t="n">
        <v>6598</v>
      </c>
      <c r="I97" s="20" t="n">
        <v>8123</v>
      </c>
      <c r="J97" s="20" t="n">
        <v>12563</v>
      </c>
      <c r="K97" s="20" t="n">
        <v>1563</v>
      </c>
      <c r="L97" s="20" t="n">
        <v>2559</v>
      </c>
    </row>
    <row r="98">
      <c r="A98" s="18" t="inlineStr">
        <is>
          <t>미지급금</t>
        </is>
      </c>
      <c r="F98" s="20" t="n">
        <v>7597</v>
      </c>
      <c r="H98" s="20" t="n">
        <v>4335</v>
      </c>
      <c r="I98" s="20" t="n">
        <v>5006</v>
      </c>
      <c r="J98" s="20" t="n">
        <v>6185</v>
      </c>
      <c r="K98" s="20" t="n">
        <v>4235</v>
      </c>
      <c r="L98" s="20" t="n">
        <v>7597</v>
      </c>
    </row>
    <row r="99">
      <c r="A99" s="18" t="inlineStr">
        <is>
          <t>미지급비용</t>
        </is>
      </c>
      <c r="F99" s="20" t="n">
        <v>7797</v>
      </c>
      <c r="H99" s="20" t="n">
        <v>9068</v>
      </c>
      <c r="I99" s="20" t="n">
        <v>8172</v>
      </c>
      <c r="J99" s="20" t="n">
        <v>8312</v>
      </c>
      <c r="K99" s="20" t="n">
        <v>8524</v>
      </c>
      <c r="L99" s="20" t="n">
        <v>7797</v>
      </c>
    </row>
    <row r="100">
      <c r="A100" s="18" t="inlineStr">
        <is>
          <t>미지급법인세</t>
        </is>
      </c>
      <c r="C100" s="20" t="n">
        <v>856</v>
      </c>
      <c r="D100" s="20" t="n">
        <v>967</v>
      </c>
      <c r="E100" s="20" t="n">
        <v>984</v>
      </c>
      <c r="F100" s="20" t="n">
        <v>966</v>
      </c>
      <c r="G100" s="20" t="n">
        <v>972</v>
      </c>
      <c r="H100" s="20" t="n">
        <v>829</v>
      </c>
      <c r="I100" s="20" t="n">
        <v>506</v>
      </c>
      <c r="J100" s="20" t="n">
        <v>1163</v>
      </c>
      <c r="K100" s="20" t="n">
        <v>1402</v>
      </c>
      <c r="L100" s="20" t="n">
        <v>966</v>
      </c>
    </row>
    <row r="101">
      <c r="A101" s="18" t="inlineStr">
        <is>
          <t>리스부채</t>
        </is>
      </c>
      <c r="F101" s="20" t="n">
        <v>81</v>
      </c>
      <c r="H101" s="20" t="n">
        <v>94</v>
      </c>
      <c r="I101" s="20" t="n">
        <v>95</v>
      </c>
      <c r="J101" s="20" t="n">
        <v>48</v>
      </c>
      <c r="K101" s="20" t="n">
        <v>63</v>
      </c>
      <c r="L101" s="20" t="n">
        <v>81</v>
      </c>
    </row>
    <row r="102">
      <c r="A102" s="18" t="inlineStr">
        <is>
          <t>자산복구부채</t>
        </is>
      </c>
      <c r="C102" s="20" t="n">
        <v>104</v>
      </c>
      <c r="D102" s="20" t="n">
        <v>0</v>
      </c>
      <c r="E102" s="20" t="n">
        <v>0</v>
      </c>
      <c r="F102" s="20" t="n">
        <v>0</v>
      </c>
      <c r="J102" s="20" t="n">
        <v>0</v>
      </c>
      <c r="K102" s="20" t="n">
        <v>103</v>
      </c>
      <c r="L102" s="20" t="n">
        <v>0</v>
      </c>
    </row>
    <row r="103">
      <c r="A103" s="18" t="inlineStr">
        <is>
          <t>기타</t>
        </is>
      </c>
      <c r="C103" s="20" t="n">
        <v>21738</v>
      </c>
      <c r="D103" s="20" t="n">
        <v>25612</v>
      </c>
      <c r="E103" s="20" t="n">
        <v>24314</v>
      </c>
      <c r="F103" s="20" t="n">
        <v>27055</v>
      </c>
      <c r="G103" s="20" t="n">
        <v>25241</v>
      </c>
      <c r="H103" s="20" t="n">
        <v>17189</v>
      </c>
      <c r="I103" s="20" t="n">
        <v>15171</v>
      </c>
      <c r="J103" s="20" t="n">
        <v>13819</v>
      </c>
      <c r="K103" s="20" t="n">
        <v>11548</v>
      </c>
      <c r="L103" s="20" t="n">
        <v>27055</v>
      </c>
    </row>
    <row r="104">
      <c r="A104" s="9" t="inlineStr">
        <is>
          <t>유동부채 합계</t>
        </is>
      </c>
      <c r="C104" s="12" t="n">
        <v>40829</v>
      </c>
      <c r="D104" s="12" t="n">
        <v>44304</v>
      </c>
      <c r="E104" s="12" t="n">
        <v>56654</v>
      </c>
      <c r="F104" s="12" t="n">
        <v>46522</v>
      </c>
      <c r="G104" s="12" t="n">
        <v>48310</v>
      </c>
      <c r="H104" s="12" t="n">
        <v>57719</v>
      </c>
      <c r="I104" s="12" t="n">
        <v>55494</v>
      </c>
      <c r="J104" s="12" t="n">
        <v>59258</v>
      </c>
      <c r="K104" s="12" t="n">
        <v>44380</v>
      </c>
      <c r="L104" s="12" t="n">
        <v>46522</v>
      </c>
    </row>
    <row r="105">
      <c r="A105" s="18" t="inlineStr">
        <is>
          <t>장기차입금</t>
        </is>
      </c>
      <c r="C105" s="20" t="n">
        <v>16528</v>
      </c>
      <c r="D105" s="20" t="n">
        <v>16278</v>
      </c>
      <c r="E105" s="20" t="n">
        <v>15813</v>
      </c>
      <c r="F105" s="20" t="n">
        <v>34500</v>
      </c>
      <c r="G105" s="20" t="n">
        <v>34000</v>
      </c>
      <c r="H105" s="20" t="n">
        <v>25994</v>
      </c>
      <c r="I105" s="20" t="n">
        <v>17625</v>
      </c>
      <c r="J105" s="20" t="n">
        <v>5622</v>
      </c>
      <c r="K105" s="20" t="n">
        <v>17059</v>
      </c>
      <c r="L105" s="20" t="n">
        <v>34500</v>
      </c>
    </row>
    <row r="106">
      <c r="A106" s="18" t="inlineStr">
        <is>
          <t>퇴직급여부채</t>
        </is>
      </c>
      <c r="C106" s="20" t="n">
        <v>4831</v>
      </c>
      <c r="D106" s="20" t="n">
        <v>4803</v>
      </c>
      <c r="E106" s="20" t="n">
        <v>4774</v>
      </c>
      <c r="F106" s="20" t="n">
        <v>5051</v>
      </c>
      <c r="G106" s="20" t="n">
        <v>4968</v>
      </c>
      <c r="H106" s="20" t="n">
        <v>5705</v>
      </c>
      <c r="I106" s="20" t="n">
        <v>5372</v>
      </c>
      <c r="J106" s="20" t="n">
        <v>5445</v>
      </c>
      <c r="K106" s="20" t="n">
        <v>4902</v>
      </c>
      <c r="L106" s="20" t="n">
        <v>5051</v>
      </c>
    </row>
    <row r="107">
      <c r="A107" s="18" t="inlineStr">
        <is>
          <t>리스부채</t>
        </is>
      </c>
      <c r="F107" s="20" t="n">
        <v>228</v>
      </c>
      <c r="H107" s="20" t="n">
        <v>176</v>
      </c>
      <c r="I107" s="20" t="n">
        <v>151</v>
      </c>
      <c r="J107" s="20" t="n">
        <v>111</v>
      </c>
      <c r="K107" s="20" t="n">
        <v>151</v>
      </c>
      <c r="L107" s="20" t="n">
        <v>228</v>
      </c>
    </row>
    <row r="108">
      <c r="A108" s="18" t="inlineStr">
        <is>
          <t>이연법인세부채</t>
        </is>
      </c>
      <c r="F108" s="20" t="n">
        <v>3502</v>
      </c>
      <c r="H108" s="20" t="n">
        <v>2512</v>
      </c>
      <c r="I108" s="20" t="n">
        <v>2849</v>
      </c>
      <c r="J108" s="20" t="n">
        <v>2682</v>
      </c>
      <c r="K108" s="20" t="n">
        <v>3347</v>
      </c>
      <c r="L108" s="20" t="n">
        <v>3502</v>
      </c>
    </row>
    <row r="109">
      <c r="A109" s="18" t="inlineStr">
        <is>
          <t>자산복구부채</t>
        </is>
      </c>
      <c r="C109" s="20" t="n">
        <v>298</v>
      </c>
      <c r="D109" s="20" t="n">
        <v>298</v>
      </c>
      <c r="E109" s="20" t="n">
        <v>299</v>
      </c>
      <c r="F109" s="20" t="n">
        <v>300</v>
      </c>
      <c r="G109" s="20" t="n">
        <v>300</v>
      </c>
      <c r="H109" s="20" t="n">
        <v>425</v>
      </c>
      <c r="I109" s="20" t="n">
        <v>434</v>
      </c>
      <c r="J109" s="20" t="n">
        <v>444</v>
      </c>
      <c r="K109" s="20" t="n">
        <v>297</v>
      </c>
      <c r="L109" s="20" t="n">
        <v>300</v>
      </c>
    </row>
    <row r="110">
      <c r="A110" s="18" t="inlineStr">
        <is>
          <t>기타</t>
        </is>
      </c>
      <c r="C110" s="20" t="n">
        <v>3644</v>
      </c>
      <c r="D110" s="20" t="n">
        <v>3743</v>
      </c>
      <c r="E110" s="20" t="n">
        <v>3897</v>
      </c>
      <c r="F110" s="20" t="n">
        <v>3911</v>
      </c>
      <c r="G110" s="20" t="n">
        <v>4568</v>
      </c>
      <c r="H110" s="20" t="n">
        <v>388</v>
      </c>
      <c r="I110" s="20" t="n">
        <v>312</v>
      </c>
      <c r="J110" s="20" t="n">
        <v>231</v>
      </c>
      <c r="K110" s="20" t="n">
        <v>207</v>
      </c>
      <c r="L110" s="20" t="n">
        <v>3911</v>
      </c>
    </row>
    <row r="111">
      <c r="A111" s="9" t="inlineStr">
        <is>
          <t>비유동부채 합계</t>
        </is>
      </c>
      <c r="C111" s="12" t="n">
        <v>25301</v>
      </c>
      <c r="D111" s="12" t="n">
        <v>25122</v>
      </c>
      <c r="E111" s="12" t="n">
        <v>24783</v>
      </c>
      <c r="F111" s="12" t="n">
        <v>43762</v>
      </c>
      <c r="G111" s="12" t="n">
        <v>43836</v>
      </c>
      <c r="H111" s="12" t="n">
        <v>35200</v>
      </c>
      <c r="I111" s="12" t="n">
        <v>26743</v>
      </c>
      <c r="J111" s="12" t="n">
        <v>14535</v>
      </c>
      <c r="K111" s="12" t="n">
        <v>25963</v>
      </c>
      <c r="L111" s="12" t="n">
        <v>43762</v>
      </c>
    </row>
    <row r="112">
      <c r="A112" s="9" t="inlineStr">
        <is>
          <t>부채 합계</t>
        </is>
      </c>
      <c r="C112" s="12" t="n">
        <v>66130</v>
      </c>
      <c r="D112" s="12" t="n">
        <v>69426</v>
      </c>
      <c r="E112" s="12" t="n">
        <v>81437</v>
      </c>
      <c r="F112" s="12" t="n">
        <v>90284</v>
      </c>
      <c r="G112" s="12" t="n">
        <v>92146</v>
      </c>
      <c r="H112" s="12" t="n">
        <v>92919</v>
      </c>
      <c r="I112" s="12" t="n">
        <v>82237</v>
      </c>
      <c r="J112" s="12" t="n">
        <v>73793</v>
      </c>
      <c r="K112" s="12" t="n">
        <v>70343</v>
      </c>
      <c r="L112" s="12" t="n">
        <v>90284</v>
      </c>
    </row>
    <row r="113">
      <c r="A113" s="18" t="inlineStr">
        <is>
          <t>자본금</t>
        </is>
      </c>
      <c r="C113" s="20" t="n">
        <v>12203</v>
      </c>
      <c r="D113" s="20" t="n">
        <v>12203</v>
      </c>
      <c r="E113" s="20" t="n">
        <v>12203</v>
      </c>
      <c r="F113" s="20" t="n">
        <v>12203</v>
      </c>
      <c r="G113" s="20" t="n">
        <v>12203</v>
      </c>
      <c r="H113" s="20" t="n">
        <v>12203</v>
      </c>
      <c r="I113" s="20" t="n">
        <v>12203</v>
      </c>
      <c r="J113" s="20" t="n">
        <v>12203</v>
      </c>
      <c r="K113" s="20" t="n">
        <v>12203</v>
      </c>
      <c r="L113" s="20" t="n">
        <v>12203</v>
      </c>
    </row>
    <row r="114">
      <c r="A114" s="18" t="inlineStr">
        <is>
          <t>자본잉여금</t>
        </is>
      </c>
      <c r="C114" s="20" t="n">
        <v>18534</v>
      </c>
      <c r="D114" s="20" t="n">
        <v>18544</v>
      </c>
      <c r="E114" s="20" t="n">
        <v>18544</v>
      </c>
      <c r="F114" s="20" t="n">
        <v>18544</v>
      </c>
      <c r="G114" s="20" t="n">
        <v>17339</v>
      </c>
      <c r="H114" s="20" t="n">
        <v>28290</v>
      </c>
      <c r="I114" s="20" t="n">
        <v>22951</v>
      </c>
      <c r="J114" s="20" t="n">
        <v>22953</v>
      </c>
      <c r="K114" s="20" t="n">
        <v>18534</v>
      </c>
      <c r="L114" s="20" t="n">
        <v>18544</v>
      </c>
    </row>
    <row r="115">
      <c r="A115" s="18" t="inlineStr">
        <is>
          <t>이익잉여금</t>
        </is>
      </c>
      <c r="C115" s="20" t="n">
        <v>60871</v>
      </c>
      <c r="D115" s="20" t="n">
        <v>63512</v>
      </c>
      <c r="E115" s="20" t="n">
        <v>64447</v>
      </c>
      <c r="F115" s="20" t="n">
        <v>66459</v>
      </c>
      <c r="G115" s="20" t="n">
        <v>57366</v>
      </c>
      <c r="H115" s="20" t="n">
        <v>49756</v>
      </c>
      <c r="I115" s="20" t="n">
        <v>53011</v>
      </c>
      <c r="J115" s="20" t="n">
        <v>58721</v>
      </c>
      <c r="K115" s="20" t="n">
        <v>60357</v>
      </c>
      <c r="L115" s="20" t="n">
        <v>66459</v>
      </c>
    </row>
    <row r="116">
      <c r="A116" s="18" t="inlineStr">
        <is>
          <t>자기주식</t>
        </is>
      </c>
      <c r="C116" s="20" t="n">
        <v>-6189</v>
      </c>
      <c r="D116" s="20" t="n">
        <v>-6142</v>
      </c>
      <c r="E116" s="20" t="n">
        <v>-19374</v>
      </c>
      <c r="F116" s="20" t="n">
        <v>-19374</v>
      </c>
      <c r="G116" s="20" t="n">
        <v>-7299</v>
      </c>
      <c r="H116" s="20" t="n">
        <v>-6034</v>
      </c>
      <c r="I116" s="20" t="n">
        <v>-5678</v>
      </c>
      <c r="J116" s="20" t="n">
        <v>-5648</v>
      </c>
      <c r="K116" s="20" t="n">
        <v>-6189</v>
      </c>
      <c r="L116" s="20" t="n">
        <v>-19374</v>
      </c>
    </row>
    <row r="117">
      <c r="A117" s="9" t="inlineStr">
        <is>
          <t>주주자본 합계</t>
        </is>
      </c>
      <c r="C117" s="12" t="n">
        <v>85419</v>
      </c>
      <c r="D117" s="12" t="n">
        <v>88117</v>
      </c>
      <c r="E117" s="12" t="n">
        <v>75820</v>
      </c>
      <c r="F117" s="12" t="n">
        <v>77832</v>
      </c>
      <c r="G117" s="12" t="n">
        <v>79609</v>
      </c>
      <c r="H117" s="12" t="n">
        <v>84215</v>
      </c>
      <c r="I117" s="12" t="n">
        <v>82487</v>
      </c>
      <c r="J117" s="12" t="n">
        <v>88229</v>
      </c>
      <c r="K117" s="12" t="n">
        <v>84905</v>
      </c>
      <c r="L117" s="12" t="n">
        <v>77832</v>
      </c>
    </row>
    <row r="118">
      <c r="A118" s="18" t="inlineStr">
        <is>
          <t>기타유가증권 평가차액</t>
        </is>
      </c>
      <c r="C118" s="20" t="n">
        <v>514</v>
      </c>
      <c r="D118" s="20" t="n">
        <v>840</v>
      </c>
      <c r="E118" s="20" t="n">
        <v>1170</v>
      </c>
      <c r="F118" s="20" t="n">
        <v>1131</v>
      </c>
      <c r="G118" s="20" t="n">
        <v>2237</v>
      </c>
      <c r="H118" s="20" t="n">
        <v>233</v>
      </c>
      <c r="I118" s="20" t="n">
        <v>334</v>
      </c>
      <c r="J118" s="20" t="n">
        <v>420</v>
      </c>
      <c r="K118" s="20" t="n">
        <v>515</v>
      </c>
      <c r="L118" s="20" t="n">
        <v>1131</v>
      </c>
    </row>
    <row r="119">
      <c r="A119" s="18" t="inlineStr">
        <is>
          <t>해외사업환산조정</t>
        </is>
      </c>
      <c r="C119" s="20" t="n">
        <v>4524</v>
      </c>
      <c r="D119" s="20" t="n">
        <v>5417</v>
      </c>
      <c r="E119" s="20" t="n">
        <v>6816</v>
      </c>
      <c r="F119" s="20" t="n">
        <v>5650</v>
      </c>
      <c r="G119" s="20" t="n">
        <v>6311</v>
      </c>
      <c r="H119" s="20" t="n">
        <v>-1212</v>
      </c>
      <c r="I119" s="20" t="n">
        <v>1781</v>
      </c>
      <c r="J119" s="20" t="n">
        <v>5265</v>
      </c>
      <c r="K119" s="20" t="n">
        <v>4741</v>
      </c>
      <c r="L119" s="20" t="n">
        <v>5650</v>
      </c>
    </row>
    <row r="120">
      <c r="A120" s="18" t="inlineStr">
        <is>
          <t>퇴직급여 조정누계액</t>
        </is>
      </c>
      <c r="C120" s="20" t="n">
        <v>1207</v>
      </c>
      <c r="D120" s="20" t="n">
        <v>1207</v>
      </c>
      <c r="E120" s="20" t="n">
        <v>1220</v>
      </c>
      <c r="F120" s="20" t="n">
        <v>2446</v>
      </c>
      <c r="G120" s="20" t="n">
        <v>2410</v>
      </c>
      <c r="H120" s="20" t="n">
        <v>-1738</v>
      </c>
      <c r="I120" s="20" t="n">
        <v>-1786</v>
      </c>
      <c r="J120" s="20" t="n">
        <v>-20</v>
      </c>
      <c r="K120" s="20" t="n">
        <v>1195</v>
      </c>
      <c r="L120" s="20" t="n">
        <v>2446</v>
      </c>
    </row>
    <row r="121">
      <c r="A121" s="18" t="inlineStr">
        <is>
          <t>기타포괄손익누계액 합계</t>
        </is>
      </c>
      <c r="C121" s="20" t="n">
        <v>6245</v>
      </c>
      <c r="D121" s="20" t="n">
        <v>7464</v>
      </c>
      <c r="E121" s="20" t="n">
        <v>9206</v>
      </c>
      <c r="F121" s="20" t="n">
        <v>9227</v>
      </c>
      <c r="G121" s="20" t="n">
        <v>10958</v>
      </c>
      <c r="H121" s="20" t="n">
        <v>-2717</v>
      </c>
      <c r="I121" s="20" t="n">
        <v>329</v>
      </c>
      <c r="J121" s="20" t="n">
        <v>5665</v>
      </c>
      <c r="K121" s="20" t="n">
        <v>6451</v>
      </c>
      <c r="L121" s="20" t="n">
        <v>9227</v>
      </c>
    </row>
    <row r="122">
      <c r="A122" s="18" t="inlineStr">
        <is>
          <t>비지배지분</t>
        </is>
      </c>
      <c r="C122" s="20" t="n">
        <v>2731</v>
      </c>
      <c r="D122" s="20" t="n">
        <v>2815</v>
      </c>
      <c r="E122" s="20" t="n">
        <v>3059</v>
      </c>
      <c r="F122" s="20" t="n">
        <v>3124</v>
      </c>
      <c r="G122" s="20" t="n">
        <v>2628</v>
      </c>
      <c r="H122" s="20" t="n">
        <v>3118</v>
      </c>
      <c r="I122" s="20" t="n">
        <v>3124</v>
      </c>
      <c r="J122" s="20" t="n">
        <v>3413</v>
      </c>
      <c r="K122" s="20" t="n">
        <v>2815</v>
      </c>
      <c r="L122" s="20" t="n">
        <v>3124</v>
      </c>
    </row>
    <row r="123">
      <c r="A123" s="9" t="inlineStr">
        <is>
          <t>순자산 합계</t>
        </is>
      </c>
      <c r="C123" s="12" t="n">
        <v>94395</v>
      </c>
      <c r="D123" s="12" t="n">
        <v>98396</v>
      </c>
      <c r="E123" s="12" t="n">
        <v>88085</v>
      </c>
      <c r="F123" s="12" t="n">
        <v>90183</v>
      </c>
      <c r="G123" s="12" t="n">
        <v>93195</v>
      </c>
      <c r="H123" s="12" t="n">
        <v>84616</v>
      </c>
      <c r="I123" s="12" t="n">
        <v>85940</v>
      </c>
      <c r="J123" s="12" t="n">
        <v>97307</v>
      </c>
      <c r="K123" s="12" t="n">
        <v>94171</v>
      </c>
      <c r="L123" s="12" t="n">
        <v>90183</v>
      </c>
    </row>
    <row r="124">
      <c r="A124" s="9" t="inlineStr">
        <is>
          <t>부채·순자산 합계</t>
        </is>
      </c>
      <c r="C124" s="12" t="n">
        <v>160525</v>
      </c>
      <c r="D124" s="12" t="n">
        <v>167822</v>
      </c>
      <c r="E124" s="12" t="n">
        <v>169522</v>
      </c>
      <c r="F124" s="12" t="n">
        <v>180467</v>
      </c>
      <c r="G124" s="12" t="n">
        <v>185341</v>
      </c>
      <c r="H124" s="12" t="n">
        <v>177535</v>
      </c>
      <c r="I124" s="12" t="n">
        <v>168177</v>
      </c>
      <c r="J124" s="12" t="n">
        <v>171100</v>
      </c>
      <c r="K124" s="12" t="n">
        <v>164514</v>
      </c>
      <c r="L124" s="12" t="n">
        <v>180467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https://www2.jpx.co.jp/disc/68100/140120260724599100.pdf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https://www2.jpx.co.jp/disc/68100/140120260422508533.pdf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https://www2.jpx.co.jp/disc/68100/140120260127539164.pdf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https://www2.jpx.co.jp/disc/68100/140120251006568988.pdf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https://www2.jpx.co.jp/disc/68100/140120250709510922.pdf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https://www2.jpx.co.jp/disc/68100/140120250411514008.pdf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https://www2.jpx.co.jp/disc/68100/140120250127555706.pdf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https://www2.jpx.co.jp/disc/68100/140120241029504539.pdf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https://www2.jpx.co.jp/disc/68100/140120240722552159.pdf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https://www2.jpx.co.jp/disc/68100/140120240419573445.pdf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https://www2.jpx.co.jp/disc/68100/140120240126519811.pdf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https://www2.jpx.co.jp/disc/68100/140120231005563391.pdf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https://www2.jpx.co.jp/disc/68100/140120230724526136.pdf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https://www2.jpx.co.jp/disc/68100/140120230421550792.pdf</t>
        </is>
      </c>
    </row>
    <row r="18">
      <c r="A18" t="inlineStr">
        <is>
          <t>2023-01-31</t>
        </is>
      </c>
      <c r="B18" t="inlineStr">
        <is>
          <t>2023년 3월 결산기 ３분기 결산단신</t>
        </is>
      </c>
      <c r="C18" t="inlineStr">
        <is>
          <t>https://www2.jpx.co.jp/disc/68100/140120230127594453.pdf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https://www2.jpx.co.jp/disc/68100/140120221027550909.pdf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https://www2.jpx.co.jp/disc/68100/140120220414521613.pdf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https://www2.jpx.co.jp/disc/68100/140120210427401991.pdf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https://www2.jpx.co.jp/disc/68100/140120200512410594.pdf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https://www2.jpx.co.jp/disc/68100/140120190425411507.pdf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https://www2.jpx.co.jp/disc/68100/140120180426422384.pdf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2026-10-26T10:58:02Z</dcterms:created>
  <dcterms:modified xmlns:dcterms="http://purl.org/dc/terms/" xmlns:xsi="http://www.w3.org/2001/XMLSchema-instance" xsi:type="dcterms:W3CDTF">2026-10-26T10:58:03Z</dcterms:modified>
</cp:coreProperties>
</file>