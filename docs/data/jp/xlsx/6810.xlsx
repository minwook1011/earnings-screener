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6810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33395</v>
      </c>
      <c r="D4" s="12" t="n">
        <v>31684</v>
      </c>
      <c r="E4" s="12" t="n">
        <v>31835</v>
      </c>
      <c r="F4" s="12" t="n">
        <v>31385</v>
      </c>
      <c r="G4" s="12" t="n">
        <v>31737</v>
      </c>
      <c r="H4" s="12" t="n">
        <v>32465</v>
      </c>
      <c r="I4" s="12" t="n">
        <v>34219</v>
      </c>
      <c r="J4" s="12" t="n">
        <v>30270</v>
      </c>
      <c r="K4" s="12" t="n">
        <v>34389</v>
      </c>
      <c r="L4" s="12" t="n">
        <v>31640</v>
      </c>
      <c r="M4" s="12" t="n">
        <v>33130</v>
      </c>
      <c r="N4" s="12" t="n">
        <v>37665</v>
      </c>
      <c r="O4" s="11" t="n">
        <v>135116</v>
      </c>
      <c r="P4" s="12" t="n">
        <v>148198</v>
      </c>
      <c r="Q4" s="12" t="n">
        <v>150584</v>
      </c>
      <c r="R4" s="12" t="n">
        <v>145041</v>
      </c>
      <c r="S4" s="12" t="n">
        <v>139055</v>
      </c>
      <c r="T4" s="12" t="n">
        <v>138215</v>
      </c>
      <c r="U4" s="12" t="n">
        <v>132776</v>
      </c>
      <c r="V4" s="12" t="n">
        <v>129139</v>
      </c>
      <c r="W4" s="12" t="n">
        <v>129806</v>
      </c>
      <c r="X4" s="12" t="n">
        <v>129429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EnergyReportableSegmentsMember</t>
        </is>
      </c>
      <c r="B7" s="10" t="n"/>
      <c r="C7" s="19" t="n"/>
      <c r="D7" s="20" t="n"/>
      <c r="E7" s="20" t="n"/>
      <c r="F7" s="20" t="n">
        <v>10113</v>
      </c>
      <c r="G7" s="20" t="n"/>
      <c r="H7" s="20" t="n"/>
      <c r="I7" s="20" t="n">
        <v>4997</v>
      </c>
      <c r="J7" s="20" t="n">
        <v>10349</v>
      </c>
      <c r="K7" s="20" t="n"/>
      <c r="L7" s="20" t="n"/>
      <c r="M7" s="20" t="n">
        <v>11422</v>
      </c>
      <c r="N7" s="20" t="n">
        <v>15246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36630</v>
      </c>
      <c r="X7" s="20" t="n">
        <v>42458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FunctionalMaterialsReportableSegmentMember</t>
        </is>
      </c>
      <c r="B10" s="10" t="n"/>
      <c r="C10" s="19" t="n"/>
      <c r="D10" s="20" t="n"/>
      <c r="E10" s="20" t="n"/>
      <c r="F10" s="20" t="n">
        <v>7495</v>
      </c>
      <c r="G10" s="20" t="n"/>
      <c r="H10" s="20" t="n"/>
      <c r="I10" s="20" t="n">
        <v>7940</v>
      </c>
      <c r="J10" s="20" t="n">
        <v>7834</v>
      </c>
      <c r="K10" s="20" t="n"/>
      <c r="L10" s="20" t="n"/>
      <c r="M10" s="20" t="n">
        <v>8585</v>
      </c>
      <c r="N10" s="20" t="n">
        <v>9596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31790</v>
      </c>
      <c r="X10" s="20" t="n">
        <v>32614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OpticsAndSystemsReportableSegmentMember</t>
        </is>
      </c>
      <c r="B13" s="10" t="n"/>
      <c r="C13" s="19" t="n"/>
      <c r="D13" s="20" t="n"/>
      <c r="E13" s="20" t="n"/>
      <c r="F13" s="20" t="n">
        <v>9090</v>
      </c>
      <c r="G13" s="20" t="n"/>
      <c r="H13" s="20" t="n"/>
      <c r="I13" s="20" t="n">
        <v>10218</v>
      </c>
      <c r="J13" s="20" t="n">
        <v>7839</v>
      </c>
      <c r="K13" s="20" t="n"/>
      <c r="L13" s="20" t="n"/>
      <c r="M13" s="20" t="n">
        <v>8534</v>
      </c>
      <c r="N13" s="20" t="n">
        <v>9206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35932</v>
      </c>
      <c r="X13" s="20" t="n">
        <v>36413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LifeSolutionsReportableSegmentMember</t>
        </is>
      </c>
      <c r="B16" s="10" t="n"/>
      <c r="C16" s="19" t="n"/>
      <c r="D16" s="20" t="n"/>
      <c r="E16" s="20" t="n"/>
      <c r="F16" s="20" t="n">
        <v>4687</v>
      </c>
      <c r="G16" s="20" t="n"/>
      <c r="H16" s="20" t="n"/>
      <c r="I16" s="20" t="n">
        <v>6592</v>
      </c>
      <c r="J16" s="20" t="n">
        <v>4248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25454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ValueCoCreationBusinessesReportableSegmentMember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>
        <v>4248</v>
      </c>
      <c r="K19" s="20" t="n"/>
      <c r="L19" s="20" t="n"/>
      <c r="M19" s="20" t="n">
        <v>4589</v>
      </c>
      <c r="N19" s="20" t="n">
        <v>3617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>
        <v>17944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>
        <v>0</v>
      </c>
      <c r="X22" s="20" t="n">
        <v>0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>
        <v>31385</v>
      </c>
      <c r="G25" s="20" t="n"/>
      <c r="H25" s="20" t="n"/>
      <c r="I25" s="20" t="n"/>
      <c r="J25" s="20" t="n">
        <v>30270</v>
      </c>
      <c r="K25" s="20" t="n"/>
      <c r="L25" s="20" t="n"/>
      <c r="M25" s="20" t="n"/>
      <c r="N25" s="20" t="n">
        <v>37665</v>
      </c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25719</v>
      </c>
      <c r="D29" s="20" t="n">
        <v>23857</v>
      </c>
      <c r="E29" s="20" t="n">
        <v>24074</v>
      </c>
      <c r="F29" s="20" t="n">
        <v>23328</v>
      </c>
      <c r="G29" s="20" t="n">
        <v>23699</v>
      </c>
      <c r="H29" s="20" t="n">
        <v>24290</v>
      </c>
      <c r="I29" s="20" t="n">
        <v>25322</v>
      </c>
      <c r="J29" s="20" t="n">
        <v>22555</v>
      </c>
      <c r="K29" s="20" t="n">
        <v>25203</v>
      </c>
      <c r="L29" s="20" t="n">
        <v>23485</v>
      </c>
      <c r="M29" s="20" t="n">
        <v>26358</v>
      </c>
      <c r="N29" s="20" t="n">
        <v>28276</v>
      </c>
      <c r="O29" s="19" t="n">
        <v>104871</v>
      </c>
      <c r="P29" s="20" t="n">
        <v>113870</v>
      </c>
      <c r="Q29" s="20" t="n">
        <v>119417</v>
      </c>
      <c r="R29" s="20" t="n">
        <v>117710</v>
      </c>
      <c r="S29" s="20" t="n">
        <v>108992</v>
      </c>
      <c r="T29" s="20" t="n">
        <v>103613</v>
      </c>
      <c r="U29" s="20" t="n">
        <v>102678</v>
      </c>
      <c r="V29" s="20" t="n">
        <v>98643</v>
      </c>
      <c r="W29" s="20" t="n">
        <v>96639</v>
      </c>
      <c r="X29" s="20" t="n">
        <v>97601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5134</v>
      </c>
      <c r="D35" s="20" t="n">
        <v>5922</v>
      </c>
      <c r="E35" s="20" t="n">
        <v>6149</v>
      </c>
      <c r="F35" s="20" t="n">
        <v>5721</v>
      </c>
      <c r="G35" s="20" t="n">
        <v>6197</v>
      </c>
      <c r="H35" s="20" t="n">
        <v>5774</v>
      </c>
      <c r="I35" s="20" t="n">
        <v>6157</v>
      </c>
      <c r="J35" s="20" t="n">
        <v>5731</v>
      </c>
      <c r="K35" s="20" t="n">
        <v>6115</v>
      </c>
      <c r="L35" s="20" t="n">
        <v>6032</v>
      </c>
      <c r="M35" s="20" t="n">
        <v>6059</v>
      </c>
      <c r="N35" s="20" t="n">
        <v>6517</v>
      </c>
      <c r="O35" s="19" t="n">
        <v>22678</v>
      </c>
      <c r="P35" s="20" t="n">
        <v>25480</v>
      </c>
      <c r="Q35" s="20" t="n">
        <v>25743</v>
      </c>
      <c r="R35" s="20" t="n">
        <v>27468</v>
      </c>
      <c r="S35" s="20" t="n">
        <v>26257</v>
      </c>
      <c r="T35" s="20" t="n">
        <v>25270</v>
      </c>
      <c r="U35" s="20" t="n">
        <v>24460</v>
      </c>
      <c r="V35" s="20" t="n">
        <v>22413</v>
      </c>
      <c r="W35" s="20" t="n">
        <v>23849</v>
      </c>
      <c r="X35" s="20" t="n">
        <v>23937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2542</v>
      </c>
      <c r="D37" s="12" t="n">
        <v>1905</v>
      </c>
      <c r="E37" s="12" t="n">
        <v>1612</v>
      </c>
      <c r="F37" s="12" t="n">
        <v>2336</v>
      </c>
      <c r="G37" s="12" t="n">
        <v>1841</v>
      </c>
      <c r="H37" s="12" t="n">
        <v>2401</v>
      </c>
      <c r="I37" s="12" t="n">
        <v>2740</v>
      </c>
      <c r="J37" s="12" t="n">
        <v>1984</v>
      </c>
      <c r="K37" s="12" t="n">
        <v>3071</v>
      </c>
      <c r="L37" s="12" t="n">
        <v>2123</v>
      </c>
      <c r="M37" s="12" t="n">
        <v>713</v>
      </c>
      <c r="N37" s="12" t="n">
        <v>2872</v>
      </c>
      <c r="O37" s="11" t="n">
        <v>7567</v>
      </c>
      <c r="P37" s="12" t="n">
        <v>8848</v>
      </c>
      <c r="Q37" s="12" t="n">
        <v>5424</v>
      </c>
      <c r="R37" s="12" t="n">
        <v>-137</v>
      </c>
      <c r="S37" s="12" t="n">
        <v>3806</v>
      </c>
      <c r="T37" s="12" t="n">
        <v>9332</v>
      </c>
      <c r="U37" s="12" t="n">
        <v>5638</v>
      </c>
      <c r="V37" s="12" t="n">
        <v>8083</v>
      </c>
      <c r="W37" s="12" t="n">
        <v>9318</v>
      </c>
      <c r="X37" s="12" t="n">
        <v>7891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8934</v>
      </c>
      <c r="P42" s="20" t="n">
        <v>9780</v>
      </c>
      <c r="Q42" s="20" t="n">
        <v>9921</v>
      </c>
      <c r="R42" s="20" t="n">
        <v>10479</v>
      </c>
      <c r="S42" s="20" t="n">
        <v>10151</v>
      </c>
      <c r="T42" s="20" t="n">
        <v>9369</v>
      </c>
      <c r="U42" s="20" t="n">
        <v>9641</v>
      </c>
      <c r="V42" s="20" t="n">
        <v>9299</v>
      </c>
      <c r="W42" s="20" t="n">
        <v>9787</v>
      </c>
      <c r="X42" s="20" t="n">
        <v>10454</v>
      </c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>
        <v>397</v>
      </c>
      <c r="P44" s="20" t="n">
        <v>575</v>
      </c>
      <c r="Q44" s="20" t="n">
        <v>969</v>
      </c>
      <c r="R44" s="20" t="n">
        <v>1332</v>
      </c>
      <c r="S44" s="20" t="n">
        <v>1107</v>
      </c>
      <c r="T44" s="20" t="n">
        <v>1108</v>
      </c>
      <c r="U44" s="20" t="n">
        <v>1156</v>
      </c>
      <c r="V44" s="20" t="n">
        <v>1107</v>
      </c>
      <c r="W44" s="20" t="n">
        <v>1311</v>
      </c>
      <c r="X44" s="20" t="n">
        <v>1404</v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>
        <v>2427</v>
      </c>
      <c r="P46" s="20" t="n">
        <v>2671</v>
      </c>
      <c r="Q46" s="20" t="n">
        <v>2185</v>
      </c>
      <c r="R46" s="20" t="n">
        <v>2246</v>
      </c>
      <c r="S46" s="20" t="n">
        <v>3061</v>
      </c>
      <c r="T46" s="20" t="n">
        <v>2628</v>
      </c>
      <c r="U46" s="20" t="n">
        <v>2936</v>
      </c>
      <c r="V46" s="20" t="n">
        <v>2367</v>
      </c>
      <c r="W46" s="20" t="n">
        <v>2534</v>
      </c>
      <c r="X46" s="20" t="n">
        <v>2684</v>
      </c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5</v>
      </c>
      <c r="D53" s="20" t="n">
        <v>6</v>
      </c>
      <c r="E53" s="20" t="n">
        <v>13</v>
      </c>
      <c r="F53" s="20" t="n">
        <v>16</v>
      </c>
      <c r="G53" s="20" t="n">
        <v>11</v>
      </c>
      <c r="H53" s="20" t="n">
        <v>6</v>
      </c>
      <c r="I53" s="20" t="n">
        <v>17</v>
      </c>
      <c r="J53" s="20" t="n">
        <v>7</v>
      </c>
      <c r="K53" s="20" t="n">
        <v>4</v>
      </c>
      <c r="L53" s="20" t="n">
        <v>2</v>
      </c>
      <c r="M53" s="20" t="n">
        <v>2862</v>
      </c>
      <c r="N53" s="20" t="n">
        <v>0</v>
      </c>
      <c r="O53" s="19" t="n">
        <v>4480</v>
      </c>
      <c r="P53" s="20" t="n">
        <v>1421</v>
      </c>
      <c r="Q53" s="20" t="n">
        <v>2895</v>
      </c>
      <c r="R53" s="20" t="n">
        <v>186</v>
      </c>
      <c r="S53" s="20" t="n">
        <v>7965</v>
      </c>
      <c r="T53" s="20" t="n">
        <v>342</v>
      </c>
      <c r="U53" s="20" t="n">
        <v>1634</v>
      </c>
      <c r="V53" s="20" t="n">
        <v>24</v>
      </c>
      <c r="W53" s="20" t="n">
        <v>50</v>
      </c>
      <c r="X53" s="20" t="n">
        <v>2875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125</v>
      </c>
      <c r="D55" s="20" t="n">
        <v>463</v>
      </c>
      <c r="E55" s="20" t="n">
        <v>58</v>
      </c>
      <c r="F55" s="20" t="n">
        <v>76</v>
      </c>
      <c r="G55" s="20" t="n">
        <v>106</v>
      </c>
      <c r="H55" s="20" t="n">
        <v>298</v>
      </c>
      <c r="I55" s="20" t="n">
        <v>3172</v>
      </c>
      <c r="J55" s="20" t="n">
        <v>58</v>
      </c>
      <c r="K55" s="20" t="n">
        <v>161</v>
      </c>
      <c r="L55" s="20" t="n">
        <v>55</v>
      </c>
      <c r="M55" s="20" t="n">
        <v>1084</v>
      </c>
      <c r="N55" s="20" t="n">
        <v>40</v>
      </c>
      <c r="O55" s="19" t="n">
        <v>5164</v>
      </c>
      <c r="P55" s="20" t="n">
        <v>1947</v>
      </c>
      <c r="Q55" s="20" t="n">
        <v>1821</v>
      </c>
      <c r="R55" s="20" t="n">
        <v>9688</v>
      </c>
      <c r="S55" s="20" t="n">
        <v>19509</v>
      </c>
      <c r="T55" s="20" t="n">
        <v>11779</v>
      </c>
      <c r="U55" s="20" t="n">
        <v>1096</v>
      </c>
      <c r="V55" s="20" t="n">
        <v>677</v>
      </c>
      <c r="W55" s="20" t="n">
        <v>3652</v>
      </c>
      <c r="X55" s="20" t="n">
        <v>1358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519</v>
      </c>
      <c r="D57" s="20" t="n">
        <v>-180</v>
      </c>
      <c r="E57" s="20" t="n">
        <v>614</v>
      </c>
      <c r="F57" s="20" t="n">
        <v>775</v>
      </c>
      <c r="G57" s="20" t="n">
        <v>-206</v>
      </c>
      <c r="H57" s="20" t="n">
        <v>441</v>
      </c>
      <c r="I57" s="20" t="n">
        <v>249</v>
      </c>
      <c r="J57" s="20" t="n">
        <v>322</v>
      </c>
      <c r="K57" s="20" t="n">
        <v>178</v>
      </c>
      <c r="L57" s="20" t="n">
        <v>486</v>
      </c>
      <c r="M57" s="20" t="n">
        <v>417</v>
      </c>
      <c r="N57" s="20" t="n">
        <v>497</v>
      </c>
      <c r="O57" s="19" t="n">
        <v>492</v>
      </c>
      <c r="P57" s="20" t="n">
        <v>949</v>
      </c>
      <c r="Q57" s="20" t="n">
        <v>1780</v>
      </c>
      <c r="R57" s="20" t="n">
        <v>882</v>
      </c>
      <c r="S57" s="20" t="n">
        <v>930</v>
      </c>
      <c r="T57" s="20" t="n">
        <v>994</v>
      </c>
      <c r="U57" s="20" t="n">
        <v>1596</v>
      </c>
      <c r="V57" s="20" t="n">
        <v>2176</v>
      </c>
      <c r="W57" s="20" t="n">
        <v>1259</v>
      </c>
      <c r="X57" s="20" t="n">
        <v>1403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200</v>
      </c>
      <c r="D59" s="20" t="n">
        <v>80</v>
      </c>
      <c r="E59" s="20" t="n">
        <v>86</v>
      </c>
      <c r="F59" s="20" t="n">
        <v>85</v>
      </c>
      <c r="G59" s="20" t="n">
        <v>796</v>
      </c>
      <c r="H59" s="20" t="n">
        <v>-417</v>
      </c>
      <c r="I59" s="20" t="n">
        <v>343</v>
      </c>
      <c r="J59" s="20" t="n">
        <v>290</v>
      </c>
      <c r="K59" s="20" t="n">
        <v>158</v>
      </c>
      <c r="L59" s="20" t="n">
        <v>-108</v>
      </c>
      <c r="M59" s="20" t="n">
        <v>353</v>
      </c>
      <c r="N59" s="20" t="n">
        <v>242</v>
      </c>
      <c r="O59" s="19" t="n">
        <v>672</v>
      </c>
      <c r="P59" s="20" t="n">
        <v>1230</v>
      </c>
      <c r="Q59" s="20" t="n">
        <v>613</v>
      </c>
      <c r="R59" s="20" t="n">
        <v>669</v>
      </c>
      <c r="S59" s="20" t="n">
        <v>890</v>
      </c>
      <c r="T59" s="20" t="n">
        <v>438</v>
      </c>
      <c r="U59" s="20" t="n">
        <v>507</v>
      </c>
      <c r="V59" s="20" t="n">
        <v>473</v>
      </c>
      <c r="W59" s="20" t="n">
        <v>807</v>
      </c>
      <c r="X59" s="20" t="n">
        <v>693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2741</v>
      </c>
      <c r="D61" s="12" t="n">
        <v>1188</v>
      </c>
      <c r="E61" s="12" t="n">
        <v>2095</v>
      </c>
      <c r="F61" s="12" t="n">
        <v>2966</v>
      </c>
      <c r="G61" s="12" t="n">
        <v>744</v>
      </c>
      <c r="H61" s="12" t="n">
        <v>2967</v>
      </c>
      <c r="I61" s="12" t="n">
        <v>-509</v>
      </c>
      <c r="J61" s="12" t="n">
        <v>1965</v>
      </c>
      <c r="K61" s="12" t="n">
        <v>2934</v>
      </c>
      <c r="L61" s="12" t="n">
        <v>2664</v>
      </c>
      <c r="M61" s="12" t="n">
        <v>2555</v>
      </c>
      <c r="N61" s="12" t="n">
        <v>3087</v>
      </c>
      <c r="O61" s="11" t="n">
        <v>6703</v>
      </c>
      <c r="P61" s="12" t="n">
        <v>8041</v>
      </c>
      <c r="Q61" s="12" t="n">
        <v>7665</v>
      </c>
      <c r="R61" s="12" t="n">
        <v>-9426</v>
      </c>
      <c r="S61" s="12" t="n">
        <v>-7698</v>
      </c>
      <c r="T61" s="12" t="n">
        <v>-1549</v>
      </c>
      <c r="U61" s="12" t="n">
        <v>7265</v>
      </c>
      <c r="V61" s="12" t="n">
        <v>9133</v>
      </c>
      <c r="W61" s="12" t="n">
        <v>6168</v>
      </c>
      <c r="X61" s="12" t="n">
        <v>10118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165</v>
      </c>
      <c r="D63" s="20" t="n">
        <v>335</v>
      </c>
      <c r="E63" s="20" t="n">
        <v>212</v>
      </c>
      <c r="F63" s="20" t="n">
        <v>769</v>
      </c>
      <c r="G63" s="20" t="n">
        <v>-134</v>
      </c>
      <c r="H63" s="20" t="n">
        <v>433</v>
      </c>
      <c r="I63" s="20" t="n">
        <v>904</v>
      </c>
      <c r="J63" s="20" t="n">
        <v>335</v>
      </c>
      <c r="K63" s="20" t="n">
        <v>276</v>
      </c>
      <c r="L63" s="20" t="n">
        <v>560</v>
      </c>
      <c r="M63" s="20" t="n">
        <v>554</v>
      </c>
      <c r="N63" s="20" t="n">
        <v>613</v>
      </c>
      <c r="O63" s="19" t="n">
        <v>867</v>
      </c>
      <c r="P63" s="20" t="n">
        <v>868</v>
      </c>
      <c r="Q63" s="20" t="n">
        <v>2170</v>
      </c>
      <c r="R63" s="20" t="n">
        <v>736</v>
      </c>
      <c r="S63" s="20" t="n">
        <v>1799</v>
      </c>
      <c r="T63" s="20" t="n">
        <v>1718</v>
      </c>
      <c r="U63" s="20" t="n">
        <v>2009</v>
      </c>
      <c r="V63" s="20" t="n">
        <v>1482</v>
      </c>
      <c r="W63" s="20" t="n">
        <v>1972</v>
      </c>
      <c r="X63" s="20" t="n">
        <v>1725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2576</v>
      </c>
      <c r="D65" s="12" t="n">
        <v>853</v>
      </c>
      <c r="E65" s="12" t="n">
        <v>1883</v>
      </c>
      <c r="F65" s="12" t="n">
        <v>2197</v>
      </c>
      <c r="G65" s="12" t="n">
        <v>878</v>
      </c>
      <c r="H65" s="12" t="n">
        <v>2534</v>
      </c>
      <c r="I65" s="12" t="n">
        <v>-1413</v>
      </c>
      <c r="J65" s="12" t="n">
        <v>1630</v>
      </c>
      <c r="K65" s="12" t="n">
        <v>2658</v>
      </c>
      <c r="L65" s="12" t="n">
        <v>2104</v>
      </c>
      <c r="M65" s="12" t="n">
        <v>2001</v>
      </c>
      <c r="N65" s="12" t="n">
        <v>2474</v>
      </c>
      <c r="O65" s="11" t="n">
        <v>5836</v>
      </c>
      <c r="P65" s="12" t="n">
        <v>7173</v>
      </c>
      <c r="Q65" s="12" t="n">
        <v>5495</v>
      </c>
      <c r="R65" s="12" t="n">
        <v>-10162</v>
      </c>
      <c r="S65" s="12" t="n">
        <v>-9497</v>
      </c>
      <c r="T65" s="12" t="n">
        <v>-3267</v>
      </c>
      <c r="U65" s="12" t="n">
        <v>5256</v>
      </c>
      <c r="V65" s="12" t="n">
        <v>7651</v>
      </c>
      <c r="W65" s="12" t="n">
        <v>4196</v>
      </c>
      <c r="X65" s="12" t="n">
        <v>8393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2588</v>
      </c>
      <c r="D67" s="12" t="n">
        <v>751</v>
      </c>
      <c r="E67" s="12" t="n">
        <v>1859</v>
      </c>
      <c r="F67" s="12" t="n">
        <v>2207</v>
      </c>
      <c r="G67" s="12" t="n">
        <v>878</v>
      </c>
      <c r="H67" s="12" t="n">
        <v>2459</v>
      </c>
      <c r="I67" s="12" t="n">
        <v>-1454</v>
      </c>
      <c r="J67" s="12" t="n">
        <v>1593</v>
      </c>
      <c r="K67" s="12" t="n">
        <v>2641</v>
      </c>
      <c r="L67" s="12" t="n">
        <v>2014</v>
      </c>
      <c r="M67" s="12" t="n">
        <v>2012</v>
      </c>
      <c r="N67" s="12" t="n">
        <v>2397</v>
      </c>
      <c r="O67" s="11" t="n">
        <v>5724</v>
      </c>
      <c r="P67" s="12" t="n">
        <v>7127</v>
      </c>
      <c r="Q67" s="12" t="n">
        <v>5311</v>
      </c>
      <c r="R67" s="12" t="n">
        <v>-10487</v>
      </c>
      <c r="S67" s="12" t="n">
        <v>-9373</v>
      </c>
      <c r="T67" s="12" t="n">
        <v>-3659</v>
      </c>
      <c r="U67" s="12" t="n">
        <v>5193</v>
      </c>
      <c r="V67" s="12" t="n">
        <v>7544</v>
      </c>
      <c r="W67" s="12" t="n">
        <v>4090</v>
      </c>
      <c r="X67" s="12" t="n">
        <v>8260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(2026.10.28)</t>
        </is>
      </c>
      <c r="B71" s="27" t="n">
        <v>2543</v>
      </c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>
        <v>40664000</v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 2026.10.28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2024.2Q</t>
        </is>
      </c>
      <c r="D101" s="5" t="inlineStr">
        <is>
          <t>2024.3Q</t>
        </is>
      </c>
      <c r="E101" s="5" t="inlineStr">
        <is>
          <t>2024.4Q</t>
        </is>
      </c>
      <c r="F101" s="5" t="inlineStr">
        <is>
          <t>2025.1Q</t>
        </is>
      </c>
      <c r="G101" s="5" t="inlineStr">
        <is>
          <t>2025.2Q</t>
        </is>
      </c>
      <c r="H101" s="5" t="inlineStr">
        <is>
          <t>2025.3Q</t>
        </is>
      </c>
      <c r="I101" s="5" t="inlineStr">
        <is>
          <t>2025.4Q</t>
        </is>
      </c>
      <c r="J101" s="5" t="inlineStr">
        <is>
          <t>2026.1Q</t>
        </is>
      </c>
      <c r="K101" s="5" t="inlineStr">
        <is>
          <t>2026.2Q</t>
        </is>
      </c>
      <c r="L101" s="5" t="inlineStr">
        <is>
          <t>2026.3Q</t>
        </is>
      </c>
      <c r="M101" s="5" t="inlineStr">
        <is>
          <t>2026.4Q</t>
        </is>
      </c>
      <c r="N101" s="5" t="inlineStr">
        <is>
          <t>2027.1Q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33395</v>
      </c>
      <c r="D102" s="12" t="n">
        <v>31684</v>
      </c>
      <c r="E102" s="12" t="n">
        <v>31835</v>
      </c>
      <c r="F102" s="12" t="n">
        <v>31385</v>
      </c>
      <c r="G102" s="12" t="n">
        <v>31737</v>
      </c>
      <c r="H102" s="12" t="n">
        <v>32465</v>
      </c>
      <c r="I102" s="12" t="n">
        <v>34219</v>
      </c>
      <c r="J102" s="12" t="n">
        <v>30270</v>
      </c>
      <c r="K102" s="12" t="n">
        <v>34389</v>
      </c>
      <c r="L102" s="12" t="n">
        <v>31640</v>
      </c>
      <c r="M102" s="12" t="n">
        <v>33130</v>
      </c>
      <c r="N102" s="12" t="n">
        <v>37665</v>
      </c>
      <c r="T102" s="12" t="n">
        <v>33662</v>
      </c>
      <c r="U102" s="12" t="n">
        <v>33541</v>
      </c>
      <c r="V102" s="12" t="n">
        <v>31835</v>
      </c>
      <c r="W102" s="12" t="n">
        <v>34219</v>
      </c>
      <c r="X102" s="12" t="n">
        <v>33130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25719</v>
      </c>
      <c r="D104" s="20" t="n">
        <v>23857</v>
      </c>
      <c r="E104" s="20" t="n">
        <v>24074</v>
      </c>
      <c r="F104" s="20" t="n">
        <v>23328</v>
      </c>
      <c r="G104" s="20" t="n">
        <v>23699</v>
      </c>
      <c r="H104" s="20" t="n">
        <v>24290</v>
      </c>
      <c r="I104" s="20" t="n">
        <v>25322</v>
      </c>
      <c r="J104" s="20" t="n">
        <v>22555</v>
      </c>
      <c r="K104" s="20" t="n">
        <v>25203</v>
      </c>
      <c r="L104" s="20" t="n">
        <v>23485</v>
      </c>
      <c r="M104" s="20" t="n">
        <v>26358</v>
      </c>
      <c r="N104" s="20" t="n">
        <v>28276</v>
      </c>
      <c r="T104" s="20" t="n">
        <v>26361</v>
      </c>
      <c r="U104" s="20" t="n">
        <v>26156</v>
      </c>
      <c r="V104" s="20" t="n">
        <v>24074</v>
      </c>
      <c r="W104" s="20" t="n">
        <v>25322</v>
      </c>
      <c r="X104" s="20" t="n">
        <v>26358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7676</v>
      </c>
      <c r="D106" s="12" t="n">
        <v>7827</v>
      </c>
      <c r="E106" s="12" t="n">
        <v>7761</v>
      </c>
      <c r="F106" s="12" t="n">
        <v>8057</v>
      </c>
      <c r="G106" s="12" t="n">
        <v>8038</v>
      </c>
      <c r="H106" s="12" t="n">
        <v>8175</v>
      </c>
      <c r="I106" s="12" t="n">
        <v>8897</v>
      </c>
      <c r="J106" s="12" t="n">
        <v>7715</v>
      </c>
      <c r="K106" s="12" t="n">
        <v>9186</v>
      </c>
      <c r="L106" s="12" t="n">
        <v>8155</v>
      </c>
      <c r="M106" s="12" t="n">
        <v>6772</v>
      </c>
      <c r="N106" s="12" t="n">
        <v>9389</v>
      </c>
      <c r="T106" s="12" t="n">
        <v>7301</v>
      </c>
      <c r="U106" s="12" t="n">
        <v>7385</v>
      </c>
      <c r="V106" s="12" t="n">
        <v>7761</v>
      </c>
      <c r="W106" s="12" t="n">
        <v>8897</v>
      </c>
      <c r="X106" s="12" t="n">
        <v>6772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판매비와 관리비</t>
        </is>
      </c>
      <c r="C108" s="20" t="n">
        <v>5134</v>
      </c>
      <c r="D108" s="20" t="n">
        <v>5922</v>
      </c>
      <c r="E108" s="20" t="n">
        <v>6149</v>
      </c>
      <c r="F108" s="20" t="n">
        <v>5721</v>
      </c>
      <c r="G108" s="20" t="n">
        <v>6197</v>
      </c>
      <c r="H108" s="20" t="n">
        <v>5774</v>
      </c>
      <c r="I108" s="20" t="n">
        <v>6157</v>
      </c>
      <c r="J108" s="20" t="n">
        <v>5731</v>
      </c>
      <c r="K108" s="20" t="n">
        <v>6115</v>
      </c>
      <c r="L108" s="20" t="n">
        <v>6032</v>
      </c>
      <c r="M108" s="20" t="n">
        <v>6059</v>
      </c>
      <c r="N108" s="20" t="n">
        <v>6517</v>
      </c>
      <c r="T108" s="20" t="n">
        <v>6540</v>
      </c>
      <c r="U108" s="20" t="n">
        <v>6311</v>
      </c>
      <c r="V108" s="20" t="n">
        <v>6149</v>
      </c>
      <c r="W108" s="20" t="n">
        <v>6157</v>
      </c>
      <c r="X108" s="20" t="n">
        <v>6059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</t>
        </is>
      </c>
      <c r="C110" s="12" t="n">
        <v>2542</v>
      </c>
      <c r="D110" s="12" t="n">
        <v>1905</v>
      </c>
      <c r="E110" s="12" t="n">
        <v>1612</v>
      </c>
      <c r="F110" s="12" t="n">
        <v>2336</v>
      </c>
      <c r="G110" s="12" t="n">
        <v>1841</v>
      </c>
      <c r="H110" s="12" t="n">
        <v>2401</v>
      </c>
      <c r="I110" s="12" t="n">
        <v>2740</v>
      </c>
      <c r="J110" s="12" t="n">
        <v>1984</v>
      </c>
      <c r="K110" s="12" t="n">
        <v>3071</v>
      </c>
      <c r="L110" s="12" t="n">
        <v>2123</v>
      </c>
      <c r="M110" s="12" t="n">
        <v>713</v>
      </c>
      <c r="N110" s="12" t="n">
        <v>2872</v>
      </c>
      <c r="T110" s="12" t="n">
        <v>761</v>
      </c>
      <c r="U110" s="12" t="n">
        <v>1074</v>
      </c>
      <c r="V110" s="12" t="n">
        <v>1612</v>
      </c>
      <c r="W110" s="12" t="n">
        <v>2740</v>
      </c>
      <c r="X110" s="12" t="n">
        <v>713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IF(OR(C110="",C102=""),"",IF(C102&lt;=0,"",IFERROR(C110/C102,"")))</f>
        <v/>
      </c>
      <c r="D111" s="15">
        <f>IF(OR(D110="",D102=""),"",IF(D102&lt;=0,"",IFERROR(D110/D102,"")))</f>
        <v/>
      </c>
      <c r="E111" s="15">
        <f>IF(OR(E110="",E102=""),"",IF(E102&lt;=0,"",IFERROR(E110/E102,"")))</f>
        <v/>
      </c>
      <c r="F111" s="15">
        <f>IF(OR(F110="",F102=""),"",IF(F102&lt;=0,"",IFERROR(F110/F102,"")))</f>
        <v/>
      </c>
      <c r="G111" s="15">
        <f>IF(OR(G110="",G102=""),"",IF(G102&lt;=0,"",IFERROR(G110/G102,"")))</f>
        <v/>
      </c>
      <c r="H111" s="15">
        <f>IF(OR(H110="",H102=""),"",IF(H102&lt;=0,"",IFERROR(H110/H102,"")))</f>
        <v/>
      </c>
      <c r="I111" s="15">
        <f>IF(OR(I110="",I102=""),"",IF(I102&lt;=0,"",IFERROR(I110/I102,"")))</f>
        <v/>
      </c>
      <c r="J111" s="15">
        <f>IF(OR(J110="",J102=""),"",IF(J102&lt;=0,"",IFERROR(J110/J102,"")))</f>
        <v/>
      </c>
      <c r="K111" s="15">
        <f>IF(OR(K110="",K102=""),"",IF(K102&lt;=0,"",IFERROR(K110/K102,"")))</f>
        <v/>
      </c>
      <c r="L111" s="15">
        <f>IF(OR(L110="",L102=""),"",IF(L102&lt;=0,"",IFERROR(L110/L102,"")))</f>
        <v/>
      </c>
      <c r="M111" s="15">
        <f>IF(OR(M110="",M102=""),"",IF(M102&lt;=0,"",IFERROR(M110/M102,"")))</f>
        <v/>
      </c>
      <c r="N111" s="15">
        <f>IF(OR(N110="",N102=""),"",IF(N102&lt;=0,"",IFERROR(N110/N102,"")))</f>
        <v/>
      </c>
      <c r="T111" s="15">
        <f>IF(OR(T110="",T102=""),"",IF(T102&lt;=0,"",IFERROR(T110/T102,"")))</f>
        <v/>
      </c>
      <c r="U111" s="15">
        <f>IF(OR(U110="",U102=""),"",IF(U102&lt;=0,"",IFERROR(U110/U102,"")))</f>
        <v/>
      </c>
      <c r="V111" s="15">
        <f>IF(OR(V110="",V102=""),"",IF(V102&lt;=0,"",IFERROR(V110/V102,"")))</f>
        <v/>
      </c>
      <c r="W111" s="15">
        <f>IF(OR(W110="",W102=""),"",IF(W102&lt;=0,"",IFERROR(W110/W102,"")))</f>
        <v/>
      </c>
      <c r="X111" s="15">
        <f>IF(OR(X110="",X102=""),"",IF(X102&lt;=0,"",IFERROR(X110/X102,"")))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T112" s="15">
        <f>IF(OR(T110="",S110=""),"",IF(S110&lt;=0,"",IFERROR(T110/S110-1,"")))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이자수익</t>
        </is>
      </c>
      <c r="C113" s="20" t="n">
        <v>109</v>
      </c>
      <c r="D113" s="20" t="n">
        <v>139</v>
      </c>
      <c r="E113" s="20" t="n">
        <v>174</v>
      </c>
      <c r="F113" s="20" t="n">
        <v>169</v>
      </c>
      <c r="G113" s="20" t="n">
        <v>152</v>
      </c>
      <c r="H113" s="20" t="n">
        <v>106</v>
      </c>
      <c r="I113" s="20" t="n">
        <v>123</v>
      </c>
      <c r="J113" s="20" t="n">
        <v>75</v>
      </c>
      <c r="K113" s="20" t="n">
        <v>67</v>
      </c>
      <c r="L113" s="20" t="n">
        <v>68</v>
      </c>
      <c r="M113" s="20" t="n">
        <v>58</v>
      </c>
      <c r="N113" s="20" t="n">
        <v>59</v>
      </c>
      <c r="T113" s="20" t="n">
        <v>85</v>
      </c>
      <c r="U113" s="20" t="n">
        <v>73</v>
      </c>
      <c r="V113" s="20" t="n">
        <v>174</v>
      </c>
      <c r="W113" s="20" t="n">
        <v>123</v>
      </c>
      <c r="X113" s="20" t="n">
        <v>58</v>
      </c>
    </row>
    <row r="114">
      <c r="A114" s="18" t="inlineStr">
        <is>
          <t>배당금수익</t>
        </is>
      </c>
      <c r="C114" s="20" t="n">
        <v>39</v>
      </c>
      <c r="D114" s="20" t="n">
        <v>63</v>
      </c>
      <c r="E114" s="20" t="n">
        <v>3</v>
      </c>
      <c r="F114" s="20" t="n">
        <v>79</v>
      </c>
      <c r="G114" s="20" t="n">
        <v>38</v>
      </c>
      <c r="H114" s="20" t="n">
        <v>99</v>
      </c>
      <c r="I114" s="20" t="n">
        <v>3</v>
      </c>
      <c r="J114" s="20" t="n">
        <v>139</v>
      </c>
      <c r="K114" s="20" t="n">
        <v>0</v>
      </c>
      <c r="L114" s="20" t="n">
        <v>102</v>
      </c>
      <c r="M114" s="20" t="n">
        <v>0</v>
      </c>
      <c r="N114" s="20" t="n">
        <v>155</v>
      </c>
      <c r="T114" s="20" t="n">
        <v>3</v>
      </c>
      <c r="U114" s="20" t="n">
        <v>3</v>
      </c>
      <c r="V114" s="20" t="n">
        <v>3</v>
      </c>
      <c r="W114" s="20" t="n">
        <v>3</v>
      </c>
      <c r="X114" s="20" t="n">
        <v>0</v>
      </c>
    </row>
    <row r="115">
      <c r="A115" s="18" t="inlineStr">
        <is>
          <t>지분법이익</t>
        </is>
      </c>
      <c r="D115" s="20" t="n">
        <v>0</v>
      </c>
      <c r="E115" s="20" t="n">
        <v>0</v>
      </c>
      <c r="F115" s="20" t="n">
        <v>0</v>
      </c>
      <c r="G115" s="20" t="n">
        <v>3</v>
      </c>
      <c r="H115" s="20" t="n">
        <v>46</v>
      </c>
      <c r="I115" s="20" t="n">
        <v>29</v>
      </c>
      <c r="J115" s="20" t="n">
        <v>58</v>
      </c>
      <c r="K115" s="20" t="n">
        <v>50</v>
      </c>
      <c r="L115" s="20" t="n">
        <v>98</v>
      </c>
      <c r="M115" s="20" t="n">
        <v>192</v>
      </c>
      <c r="N115" s="20" t="n">
        <v>102</v>
      </c>
      <c r="T115" s="20" t="n">
        <v>26</v>
      </c>
      <c r="U115" s="20" t="n">
        <v>0</v>
      </c>
      <c r="V115" s="20" t="n">
        <v>0</v>
      </c>
      <c r="W115" s="20" t="n">
        <v>29</v>
      </c>
      <c r="X115" s="20" t="n">
        <v>192</v>
      </c>
    </row>
    <row r="116">
      <c r="A116" s="18" t="inlineStr">
        <is>
          <t>외환차익</t>
        </is>
      </c>
      <c r="C116" s="20" t="n">
        <v>185</v>
      </c>
      <c r="D116" s="20" t="n">
        <v>-480</v>
      </c>
      <c r="E116" s="20" t="n">
        <v>376</v>
      </c>
      <c r="F116" s="20" t="n">
        <v>455</v>
      </c>
      <c r="G116" s="20" t="n">
        <v>-455</v>
      </c>
      <c r="H116" s="20" t="n">
        <v>0</v>
      </c>
      <c r="I116" s="20" t="n">
        <v>0</v>
      </c>
      <c r="J116" s="20" t="n">
        <v>0</v>
      </c>
      <c r="M116" s="20" t="n">
        <v>51</v>
      </c>
      <c r="N116" s="20" t="n">
        <v>62</v>
      </c>
      <c r="T116" s="20" t="n">
        <v>157</v>
      </c>
      <c r="U116" s="20" t="n">
        <v>-111</v>
      </c>
      <c r="V116" s="20" t="n">
        <v>376</v>
      </c>
      <c r="W116" s="20" t="n">
        <v>0</v>
      </c>
      <c r="X116" s="20" t="n">
        <v>51</v>
      </c>
    </row>
    <row r="117">
      <c r="A117" s="18" t="inlineStr">
        <is>
          <t>기타</t>
        </is>
      </c>
      <c r="C117" s="20" t="n">
        <v>186</v>
      </c>
      <c r="D117" s="20" t="n">
        <v>98</v>
      </c>
      <c r="E117" s="20" t="n">
        <v>61</v>
      </c>
      <c r="F117" s="20" t="n">
        <v>72</v>
      </c>
      <c r="G117" s="20" t="n">
        <v>56</v>
      </c>
      <c r="H117" s="20" t="n">
        <v>190</v>
      </c>
      <c r="I117" s="20" t="n">
        <v>94</v>
      </c>
      <c r="J117" s="20" t="n">
        <v>50</v>
      </c>
      <c r="K117" s="20" t="n">
        <v>61</v>
      </c>
      <c r="L117" s="20" t="n">
        <v>57</v>
      </c>
      <c r="M117" s="20" t="n">
        <v>116</v>
      </c>
      <c r="N117" s="20" t="n">
        <v>119</v>
      </c>
      <c r="T117" s="20" t="n">
        <v>-31</v>
      </c>
      <c r="U117" s="20" t="n">
        <v>92</v>
      </c>
      <c r="V117" s="20" t="n">
        <v>61</v>
      </c>
      <c r="W117" s="20" t="n">
        <v>94</v>
      </c>
      <c r="X117" s="20" t="n">
        <v>116</v>
      </c>
    </row>
    <row r="118">
      <c r="A118" s="18" t="inlineStr">
        <is>
          <t>영업외수익 합계</t>
        </is>
      </c>
      <c r="C118" s="20" t="n">
        <v>519</v>
      </c>
      <c r="D118" s="20" t="n">
        <v>-180</v>
      </c>
      <c r="E118" s="20" t="n">
        <v>614</v>
      </c>
      <c r="F118" s="20" t="n">
        <v>775</v>
      </c>
      <c r="G118" s="20" t="n">
        <v>-206</v>
      </c>
      <c r="H118" s="20" t="n">
        <v>441</v>
      </c>
      <c r="I118" s="20" t="n">
        <v>249</v>
      </c>
      <c r="J118" s="20" t="n">
        <v>322</v>
      </c>
      <c r="K118" s="20" t="n">
        <v>178</v>
      </c>
      <c r="L118" s="20" t="n">
        <v>486</v>
      </c>
      <c r="M118" s="20" t="n">
        <v>417</v>
      </c>
      <c r="N118" s="20" t="n">
        <v>497</v>
      </c>
      <c r="T118" s="20" t="n">
        <v>389</v>
      </c>
      <c r="U118" s="20" t="n">
        <v>57</v>
      </c>
      <c r="V118" s="20" t="n">
        <v>614</v>
      </c>
      <c r="W118" s="20" t="n">
        <v>249</v>
      </c>
      <c r="X118" s="20" t="n">
        <v>417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IF(OR(G118="",C118=""),"",IF(G118*C118&lt;=0,"",IFERROR(G118/C118-1,"")))</f>
        <v/>
      </c>
      <c r="H119" s="15">
        <f>IF(OR(H118="",D118=""),"",IF(H118*D118&lt;=0,"",IFERROR(H118/D118-1,"")))</f>
        <v/>
      </c>
      <c r="I119" s="15">
        <f>IF(OR(I118="",E118=""),"",IF(I118*E118&lt;=0,"",IFERROR(I118/E118-1,"")))</f>
        <v/>
      </c>
      <c r="J119" s="15">
        <f>IF(OR(J118="",F118=""),"",IF(J118*F118&lt;=0,"",IFERROR(J118/F118-1,"")))</f>
        <v/>
      </c>
      <c r="K119" s="15">
        <f>IF(OR(K118="",G118=""),"",IF(K118*G118&lt;=0,"",IFERROR(K118/G118-1,"")))</f>
        <v/>
      </c>
      <c r="L119" s="15">
        <f>IF(OR(L118="",H118=""),"",IF(L118*H118&lt;=0,"",IFERROR(L118/H118-1,"")))</f>
        <v/>
      </c>
      <c r="M119" s="15">
        <f>IF(OR(M118="",I118=""),"",IF(M118*I118&lt;=0,"",IFERROR(M118/I118-1,"")))</f>
        <v/>
      </c>
      <c r="N119" s="15">
        <f>IF(OR(N118="",J118=""),"",IF(N118*J118&lt;=0,"",IFERROR(N118/J118-1,"")))</f>
        <v/>
      </c>
      <c r="T119" s="15">
        <f>IF(OR(T118="",S118=""),"",IF(T118*S118&lt;=0,"",IFERROR(T118/S118-1,"")))</f>
        <v/>
      </c>
      <c r="U119" s="15">
        <f>IF(OR(U118="",T118=""),"",IF(U118*T118&lt;=0,"",IFERROR(U118/T118-1,"")))</f>
        <v/>
      </c>
      <c r="V119" s="15">
        <f>IF(OR(V118="",U118=""),"",IF(V118*U118&lt;=0,"",IFERROR(V118/U118-1,"")))</f>
        <v/>
      </c>
      <c r="W119" s="15">
        <f>IF(OR(W118="",V118=""),"",IF(W118*V118&lt;=0,"",IFERROR(W118/V118-1,"")))</f>
        <v/>
      </c>
      <c r="X119" s="15">
        <f>IF(OR(X118="",W118=""),"",IF(X118*W118&lt;=0,"",IFERROR(X118/W118-1,"")))</f>
        <v/>
      </c>
    </row>
    <row r="120">
      <c r="A120" s="18" t="inlineStr">
        <is>
          <t>이자비용</t>
        </is>
      </c>
      <c r="C120" s="20" t="n">
        <v>17</v>
      </c>
      <c r="D120" s="20" t="n">
        <v>20</v>
      </c>
      <c r="E120" s="20" t="n">
        <v>20</v>
      </c>
      <c r="F120" s="20" t="n">
        <v>26</v>
      </c>
      <c r="G120" s="20" t="n">
        <v>36</v>
      </c>
      <c r="H120" s="20" t="n">
        <v>40</v>
      </c>
      <c r="I120" s="20" t="n">
        <v>44</v>
      </c>
      <c r="J120" s="20" t="n">
        <v>43</v>
      </c>
      <c r="K120" s="20" t="n">
        <v>43</v>
      </c>
      <c r="L120" s="20" t="n">
        <v>57</v>
      </c>
      <c r="M120" s="20" t="n">
        <v>106</v>
      </c>
      <c r="N120" s="20" t="n">
        <v>142</v>
      </c>
      <c r="T120" s="20" t="n">
        <v>28</v>
      </c>
      <c r="U120" s="20" t="n">
        <v>20</v>
      </c>
      <c r="V120" s="20" t="n">
        <v>20</v>
      </c>
      <c r="W120" s="20" t="n">
        <v>44</v>
      </c>
      <c r="X120" s="20" t="n">
        <v>106</v>
      </c>
    </row>
    <row r="121">
      <c r="A121" s="18" t="inlineStr">
        <is>
          <t>지분법손실</t>
        </is>
      </c>
      <c r="C121" s="20" t="n">
        <v>58</v>
      </c>
      <c r="D121" s="20" t="n">
        <v>-2</v>
      </c>
      <c r="E121" s="20" t="n">
        <v>-53</v>
      </c>
      <c r="F121" s="20" t="n">
        <v>14</v>
      </c>
      <c r="G121" s="20" t="n">
        <v>-14</v>
      </c>
      <c r="H121" s="20" t="n">
        <v>0</v>
      </c>
      <c r="I121" s="20" t="n">
        <v>0</v>
      </c>
      <c r="J121" s="20" t="n">
        <v>0</v>
      </c>
      <c r="T121" s="20" t="n">
        <v>0</v>
      </c>
      <c r="U121" s="20" t="n">
        <v>82</v>
      </c>
      <c r="V121" s="20" t="n">
        <v>-53</v>
      </c>
      <c r="W121" s="20" t="n">
        <v>0</v>
      </c>
    </row>
    <row r="122">
      <c r="A122" s="18" t="inlineStr">
        <is>
          <t>Cost Of Lease Revenue NOE</t>
        </is>
      </c>
      <c r="E122" s="20" t="n">
        <v>28</v>
      </c>
      <c r="F122" s="20" t="n">
        <v>25</v>
      </c>
      <c r="I122" s="20" t="n">
        <v>32</v>
      </c>
      <c r="J122" s="20" t="n">
        <v>21</v>
      </c>
      <c r="M122" s="20" t="n">
        <v>44</v>
      </c>
      <c r="N122" s="20" t="n">
        <v>64</v>
      </c>
      <c r="U122" s="20" t="n">
        <v>8</v>
      </c>
      <c r="V122" s="20" t="n">
        <v>28</v>
      </c>
      <c r="W122" s="20" t="n">
        <v>32</v>
      </c>
      <c r="X122" s="20" t="n">
        <v>44</v>
      </c>
    </row>
    <row r="123">
      <c r="A123" s="18" t="inlineStr">
        <is>
          <t>고정자산 압축손실</t>
        </is>
      </c>
      <c r="T123" s="20" t="n">
        <v>0</v>
      </c>
      <c r="U123" s="20" t="n">
        <v>0</v>
      </c>
    </row>
    <row r="124">
      <c r="A124" s="18" t="inlineStr">
        <is>
          <t>외환차손</t>
        </is>
      </c>
      <c r="D124" s="20" t="n">
        <v>0</v>
      </c>
      <c r="E124" s="20" t="n">
        <v>0</v>
      </c>
      <c r="F124" s="20" t="n">
        <v>0</v>
      </c>
      <c r="G124" s="20" t="n">
        <v>631</v>
      </c>
      <c r="H124" s="20" t="n">
        <v>-479</v>
      </c>
      <c r="I124" s="20" t="n">
        <v>153</v>
      </c>
      <c r="J124" s="20" t="n">
        <v>201</v>
      </c>
      <c r="K124" s="20" t="n">
        <v>56</v>
      </c>
      <c r="L124" s="20" t="n">
        <v>-257</v>
      </c>
      <c r="M124" s="20" t="n">
        <v>0</v>
      </c>
      <c r="N124" s="20" t="n">
        <v>0</v>
      </c>
      <c r="V124" s="20" t="n">
        <v>0</v>
      </c>
      <c r="W124" s="20" t="n">
        <v>153</v>
      </c>
      <c r="X124" s="20" t="n">
        <v>0</v>
      </c>
    </row>
    <row r="125">
      <c r="A125" s="18" t="inlineStr">
        <is>
          <t>기타</t>
        </is>
      </c>
      <c r="C125" s="20" t="n">
        <v>143</v>
      </c>
      <c r="D125" s="20" t="n">
        <v>62</v>
      </c>
      <c r="E125" s="20" t="n">
        <v>0</v>
      </c>
      <c r="F125" s="20" t="n">
        <v>45</v>
      </c>
      <c r="G125" s="20" t="n">
        <v>143</v>
      </c>
      <c r="H125" s="20" t="n">
        <v>-58</v>
      </c>
      <c r="I125" s="20" t="n">
        <v>34</v>
      </c>
      <c r="J125" s="20" t="n">
        <v>25</v>
      </c>
      <c r="K125" s="20" t="n">
        <v>80</v>
      </c>
      <c r="L125" s="20" t="n">
        <v>5</v>
      </c>
      <c r="M125" s="20" t="n">
        <v>8</v>
      </c>
      <c r="N125" s="20" t="n">
        <v>36</v>
      </c>
      <c r="T125" s="20" t="n">
        <v>38</v>
      </c>
      <c r="U125" s="20" t="n">
        <v>58</v>
      </c>
      <c r="V125" s="20" t="n">
        <v>0</v>
      </c>
      <c r="W125" s="20" t="n">
        <v>34</v>
      </c>
      <c r="X125" s="20" t="n">
        <v>8</v>
      </c>
    </row>
    <row r="126">
      <c r="A126" s="18" t="inlineStr">
        <is>
          <t>영업외비용 합계</t>
        </is>
      </c>
      <c r="C126" s="20" t="n">
        <v>200</v>
      </c>
      <c r="D126" s="20" t="n">
        <v>80</v>
      </c>
      <c r="E126" s="20" t="n">
        <v>86</v>
      </c>
      <c r="F126" s="20" t="n">
        <v>85</v>
      </c>
      <c r="G126" s="20" t="n">
        <v>796</v>
      </c>
      <c r="H126" s="20" t="n">
        <v>-417</v>
      </c>
      <c r="I126" s="20" t="n">
        <v>343</v>
      </c>
      <c r="J126" s="20" t="n">
        <v>290</v>
      </c>
      <c r="K126" s="20" t="n">
        <v>158</v>
      </c>
      <c r="L126" s="20" t="n">
        <v>-108</v>
      </c>
      <c r="M126" s="20" t="n">
        <v>353</v>
      </c>
      <c r="N126" s="20" t="n">
        <v>242</v>
      </c>
      <c r="T126" s="20" t="n">
        <v>116</v>
      </c>
      <c r="U126" s="20" t="n">
        <v>168</v>
      </c>
      <c r="V126" s="20" t="n">
        <v>86</v>
      </c>
      <c r="W126" s="20" t="n">
        <v>343</v>
      </c>
      <c r="X126" s="20" t="n">
        <v>353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9" t="inlineStr">
        <is>
          <t>경상이익</t>
        </is>
      </c>
      <c r="C128" s="12" t="n">
        <v>2861</v>
      </c>
      <c r="D128" s="12" t="n">
        <v>1645</v>
      </c>
      <c r="E128" s="12" t="n">
        <v>2140</v>
      </c>
      <c r="F128" s="12" t="n">
        <v>3026</v>
      </c>
      <c r="G128" s="12" t="n">
        <v>839</v>
      </c>
      <c r="H128" s="12" t="n">
        <v>3259</v>
      </c>
      <c r="I128" s="12" t="n">
        <v>2646</v>
      </c>
      <c r="J128" s="12" t="n">
        <v>2016</v>
      </c>
      <c r="K128" s="12" t="n">
        <v>3091</v>
      </c>
      <c r="L128" s="12" t="n">
        <v>2717</v>
      </c>
      <c r="M128" s="12" t="n">
        <v>777</v>
      </c>
      <c r="N128" s="12" t="n">
        <v>3127</v>
      </c>
      <c r="T128" s="12" t="n">
        <v>1034</v>
      </c>
      <c r="U128" s="12" t="n">
        <v>963</v>
      </c>
      <c r="V128" s="12" t="n">
        <v>2140</v>
      </c>
      <c r="W128" s="12" t="n">
        <v>2646</v>
      </c>
      <c r="X128" s="12" t="n">
        <v>777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고정자산 매각이익</t>
        </is>
      </c>
      <c r="C130" s="20" t="n">
        <v>5</v>
      </c>
      <c r="D130" s="20" t="n">
        <v>6</v>
      </c>
      <c r="E130" s="20" t="n">
        <v>13</v>
      </c>
      <c r="F130" s="20" t="n">
        <v>11</v>
      </c>
      <c r="G130" s="20" t="n">
        <v>0</v>
      </c>
      <c r="H130" s="20" t="n">
        <v>0</v>
      </c>
      <c r="I130" s="20" t="n">
        <v>4</v>
      </c>
      <c r="J130" s="20" t="n">
        <v>7</v>
      </c>
      <c r="K130" s="20" t="n">
        <v>4</v>
      </c>
      <c r="L130" s="20" t="n">
        <v>2</v>
      </c>
      <c r="M130" s="20" t="n">
        <v>5</v>
      </c>
      <c r="N130" s="20" t="n">
        <v>0</v>
      </c>
      <c r="T130" s="20" t="n">
        <v>2</v>
      </c>
      <c r="U130" s="20" t="n">
        <v>1489</v>
      </c>
      <c r="V130" s="20" t="n">
        <v>13</v>
      </c>
      <c r="W130" s="20" t="n">
        <v>4</v>
      </c>
      <c r="X130" s="20" t="n">
        <v>5</v>
      </c>
    </row>
    <row r="131">
      <c r="A131" s="18" t="inlineStr">
        <is>
          <t>투자유가증권 매각이익</t>
        </is>
      </c>
      <c r="C131" s="20" t="n">
        <v>0</v>
      </c>
      <c r="D131" s="20" t="n">
        <v>0</v>
      </c>
      <c r="E131" s="20" t="n">
        <v>0</v>
      </c>
      <c r="F131" s="20" t="n">
        <v>5</v>
      </c>
      <c r="G131" s="20" t="n">
        <v>11</v>
      </c>
      <c r="H131" s="20" t="n">
        <v>6</v>
      </c>
      <c r="I131" s="20" t="n">
        <v>13</v>
      </c>
      <c r="J131" s="20" t="n">
        <v>0</v>
      </c>
      <c r="V131" s="20" t="n">
        <v>0</v>
      </c>
      <c r="W131" s="20" t="n">
        <v>13</v>
      </c>
    </row>
    <row r="132">
      <c r="A132" s="18" t="inlineStr">
        <is>
          <t>기타</t>
        </is>
      </c>
      <c r="D132" s="20" t="n">
        <v>0</v>
      </c>
      <c r="E132" s="20" t="n">
        <v>0</v>
      </c>
      <c r="H132" s="20" t="n">
        <v>6</v>
      </c>
      <c r="I132" s="20" t="n">
        <v>13</v>
      </c>
      <c r="L132" s="20" t="n">
        <v>0</v>
      </c>
      <c r="M132" s="20" t="n">
        <v>0</v>
      </c>
      <c r="T132" s="20" t="n">
        <v>244</v>
      </c>
      <c r="U132" s="20" t="n">
        <v>0</v>
      </c>
      <c r="V132" s="20" t="n">
        <v>0</v>
      </c>
      <c r="W132" s="20" t="n">
        <v>13</v>
      </c>
      <c r="X132" s="20" t="n">
        <v>0</v>
      </c>
    </row>
    <row r="133">
      <c r="A133" s="18" t="inlineStr">
        <is>
          <t>특별이익 합계</t>
        </is>
      </c>
      <c r="C133" s="20" t="n">
        <v>5</v>
      </c>
      <c r="D133" s="20" t="n">
        <v>6</v>
      </c>
      <c r="E133" s="20" t="n">
        <v>13</v>
      </c>
      <c r="F133" s="20" t="n">
        <v>16</v>
      </c>
      <c r="G133" s="20" t="n">
        <v>11</v>
      </c>
      <c r="H133" s="20" t="n">
        <v>6</v>
      </c>
      <c r="I133" s="20" t="n">
        <v>17</v>
      </c>
      <c r="J133" s="20" t="n">
        <v>7</v>
      </c>
      <c r="K133" s="20" t="n">
        <v>4</v>
      </c>
      <c r="L133" s="20" t="n">
        <v>2</v>
      </c>
      <c r="M133" s="20" t="n">
        <v>2862</v>
      </c>
      <c r="N133" s="20" t="n">
        <v>0</v>
      </c>
      <c r="T133" s="20" t="n">
        <v>246</v>
      </c>
      <c r="U133" s="20" t="n">
        <v>1489</v>
      </c>
      <c r="V133" s="20" t="n">
        <v>13</v>
      </c>
      <c r="W133" s="20" t="n">
        <v>17</v>
      </c>
      <c r="X133" s="20" t="n">
        <v>2862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18" t="inlineStr">
        <is>
          <t>고정자산 제각·매각손실</t>
        </is>
      </c>
      <c r="C135" s="20" t="n">
        <v>125</v>
      </c>
      <c r="D135" s="20" t="n">
        <v>28</v>
      </c>
      <c r="E135" s="20" t="n">
        <v>58</v>
      </c>
      <c r="F135" s="20" t="n">
        <v>76</v>
      </c>
      <c r="G135" s="20" t="n">
        <v>106</v>
      </c>
      <c r="H135" s="20" t="n">
        <v>148</v>
      </c>
      <c r="I135" s="20" t="n">
        <v>101</v>
      </c>
      <c r="J135" s="20" t="n">
        <v>53</v>
      </c>
      <c r="K135" s="20" t="n">
        <v>83</v>
      </c>
      <c r="L135" s="20" t="n">
        <v>55</v>
      </c>
      <c r="M135" s="20" t="n">
        <v>172</v>
      </c>
      <c r="N135" s="20" t="n">
        <v>40</v>
      </c>
      <c r="T135" s="20" t="n">
        <v>317</v>
      </c>
      <c r="U135" s="20" t="n">
        <v>147</v>
      </c>
      <c r="V135" s="20" t="n">
        <v>58</v>
      </c>
      <c r="W135" s="20" t="n">
        <v>101</v>
      </c>
      <c r="X135" s="20" t="n">
        <v>172</v>
      </c>
    </row>
    <row r="136">
      <c r="A136" s="18" t="inlineStr">
        <is>
          <t>손상차손</t>
        </is>
      </c>
      <c r="E136" s="20" t="n">
        <v>0</v>
      </c>
      <c r="H136" s="20" t="n">
        <v>150</v>
      </c>
      <c r="I136" s="20" t="n">
        <v>1185</v>
      </c>
      <c r="L136" s="20" t="n">
        <v>0</v>
      </c>
      <c r="M136" s="20" t="n">
        <v>534</v>
      </c>
      <c r="T136" s="20" t="n">
        <v>0</v>
      </c>
      <c r="U136" s="20" t="n">
        <v>461</v>
      </c>
      <c r="V136" s="20" t="n">
        <v>0</v>
      </c>
      <c r="W136" s="20" t="n">
        <v>1185</v>
      </c>
      <c r="X136" s="20" t="n">
        <v>534</v>
      </c>
    </row>
    <row r="137">
      <c r="A137" s="18" t="inlineStr">
        <is>
          <t>특별퇴직금</t>
        </is>
      </c>
      <c r="E137" s="20" t="n">
        <v>0</v>
      </c>
      <c r="I137" s="20" t="n">
        <v>1886</v>
      </c>
      <c r="T137" s="20" t="n">
        <v>12</v>
      </c>
      <c r="U137" s="20" t="n">
        <v>407</v>
      </c>
      <c r="V137" s="20" t="n">
        <v>0</v>
      </c>
      <c r="W137" s="20" t="n">
        <v>1886</v>
      </c>
    </row>
    <row r="138">
      <c r="A138" s="18" t="inlineStr">
        <is>
          <t>기타</t>
        </is>
      </c>
      <c r="H138" s="20" t="n">
        <v>0</v>
      </c>
      <c r="I138" s="20" t="n">
        <v>0</v>
      </c>
      <c r="L138" s="20" t="n">
        <v>0</v>
      </c>
      <c r="M138" s="20" t="n">
        <v>0</v>
      </c>
      <c r="T138" s="20" t="n">
        <v>86</v>
      </c>
      <c r="U138" s="20" t="n">
        <v>0</v>
      </c>
      <c r="W138" s="20" t="n">
        <v>0</v>
      </c>
      <c r="X138" s="20" t="n">
        <v>0</v>
      </c>
    </row>
    <row r="139">
      <c r="A139" s="18" t="inlineStr">
        <is>
          <t>투자유가증권 매각손실</t>
        </is>
      </c>
      <c r="F139" s="20" t="n">
        <v>0</v>
      </c>
      <c r="J139" s="20" t="n">
        <v>5</v>
      </c>
      <c r="N139" s="20" t="n">
        <v>0</v>
      </c>
    </row>
    <row r="140">
      <c r="A140" s="18" t="inlineStr">
        <is>
          <t>특별손실 합계</t>
        </is>
      </c>
      <c r="C140" s="20" t="n">
        <v>125</v>
      </c>
      <c r="D140" s="20" t="n">
        <v>463</v>
      </c>
      <c r="E140" s="20" t="n">
        <v>58</v>
      </c>
      <c r="F140" s="20" t="n">
        <v>76</v>
      </c>
      <c r="G140" s="20" t="n">
        <v>106</v>
      </c>
      <c r="H140" s="20" t="n">
        <v>298</v>
      </c>
      <c r="I140" s="20" t="n">
        <v>3172</v>
      </c>
      <c r="J140" s="20" t="n">
        <v>58</v>
      </c>
      <c r="K140" s="20" t="n">
        <v>161</v>
      </c>
      <c r="L140" s="20" t="n">
        <v>55</v>
      </c>
      <c r="M140" s="20" t="n">
        <v>1084</v>
      </c>
      <c r="N140" s="20" t="n">
        <v>40</v>
      </c>
      <c r="T140" s="20" t="n">
        <v>10727</v>
      </c>
      <c r="U140" s="20" t="n">
        <v>1015</v>
      </c>
      <c r="V140" s="20" t="n">
        <v>58</v>
      </c>
      <c r="W140" s="20" t="n">
        <v>3172</v>
      </c>
      <c r="X140" s="20" t="n">
        <v>1084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법인세차감전 순이익</t>
        </is>
      </c>
      <c r="C142" s="12" t="n">
        <v>2741</v>
      </c>
      <c r="D142" s="12" t="n">
        <v>1188</v>
      </c>
      <c r="E142" s="12" t="n">
        <v>2095</v>
      </c>
      <c r="F142" s="12" t="n">
        <v>2966</v>
      </c>
      <c r="G142" s="12" t="n">
        <v>744</v>
      </c>
      <c r="H142" s="12" t="n">
        <v>2967</v>
      </c>
      <c r="I142" s="12" t="n">
        <v>-509</v>
      </c>
      <c r="J142" s="12" t="n">
        <v>1965</v>
      </c>
      <c r="K142" s="12" t="n">
        <v>2934</v>
      </c>
      <c r="L142" s="12" t="n">
        <v>2664</v>
      </c>
      <c r="M142" s="12" t="n">
        <v>2555</v>
      </c>
      <c r="N142" s="12" t="n">
        <v>3087</v>
      </c>
      <c r="T142" s="12" t="n">
        <v>-9447</v>
      </c>
      <c r="U142" s="12" t="n">
        <v>1437</v>
      </c>
      <c r="V142" s="12" t="n">
        <v>2095</v>
      </c>
      <c r="W142" s="12" t="n">
        <v>-509</v>
      </c>
      <c r="X142" s="12" t="n">
        <v>2555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법인세 등</t>
        </is>
      </c>
      <c r="C144" s="20" t="n">
        <v>165</v>
      </c>
      <c r="D144" s="20" t="n">
        <v>335</v>
      </c>
      <c r="E144" s="20" t="n">
        <v>212</v>
      </c>
      <c r="F144" s="20" t="n">
        <v>769</v>
      </c>
      <c r="G144" s="20" t="n">
        <v>-134</v>
      </c>
      <c r="H144" s="20" t="n">
        <v>433</v>
      </c>
      <c r="I144" s="20" t="n">
        <v>904</v>
      </c>
      <c r="J144" s="20" t="n">
        <v>335</v>
      </c>
      <c r="K144" s="20" t="n">
        <v>276</v>
      </c>
      <c r="L144" s="20" t="n">
        <v>560</v>
      </c>
      <c r="M144" s="20" t="n">
        <v>554</v>
      </c>
      <c r="N144" s="20" t="n">
        <v>613</v>
      </c>
      <c r="T144" s="20" t="n">
        <v>-726</v>
      </c>
      <c r="U144" s="20" t="n">
        <v>1270</v>
      </c>
      <c r="V144" s="20" t="n">
        <v>212</v>
      </c>
      <c r="W144" s="20" t="n">
        <v>904</v>
      </c>
      <c r="X144" s="20" t="n">
        <v>554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순이익</t>
        </is>
      </c>
      <c r="C146" s="12" t="n">
        <v>2576</v>
      </c>
      <c r="D146" s="12" t="n">
        <v>853</v>
      </c>
      <c r="E146" s="12" t="n">
        <v>1883</v>
      </c>
      <c r="F146" s="12" t="n">
        <v>2197</v>
      </c>
      <c r="G146" s="12" t="n">
        <v>878</v>
      </c>
      <c r="H146" s="12" t="n">
        <v>2534</v>
      </c>
      <c r="I146" s="12" t="n">
        <v>-1413</v>
      </c>
      <c r="J146" s="12" t="n">
        <v>1630</v>
      </c>
      <c r="K146" s="12" t="n">
        <v>2658</v>
      </c>
      <c r="L146" s="12" t="n">
        <v>2104</v>
      </c>
      <c r="M146" s="12" t="n">
        <v>2001</v>
      </c>
      <c r="N146" s="12" t="n">
        <v>2474</v>
      </c>
      <c r="T146" s="12" t="n">
        <v>-8721</v>
      </c>
      <c r="U146" s="12" t="n">
        <v>167</v>
      </c>
      <c r="V146" s="12" t="n">
        <v>1883</v>
      </c>
      <c r="W146" s="12" t="n">
        <v>-1413</v>
      </c>
      <c r="X146" s="12" t="n">
        <v>2001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비지배주주 순이익</t>
        </is>
      </c>
      <c r="C148" s="12" t="n">
        <v>-12</v>
      </c>
      <c r="D148" s="12" t="n">
        <v>102</v>
      </c>
      <c r="E148" s="12" t="n">
        <v>24</v>
      </c>
      <c r="F148" s="12" t="n">
        <v>-10</v>
      </c>
      <c r="G148" s="12" t="n">
        <v>0</v>
      </c>
      <c r="H148" s="12" t="n">
        <v>75</v>
      </c>
      <c r="I148" s="12" t="n">
        <v>41</v>
      </c>
      <c r="J148" s="12" t="n">
        <v>37</v>
      </c>
      <c r="K148" s="12" t="n">
        <v>17</v>
      </c>
      <c r="L148" s="12" t="n">
        <v>90</v>
      </c>
      <c r="M148" s="12" t="n">
        <v>-11</v>
      </c>
      <c r="N148" s="12" t="n">
        <v>77</v>
      </c>
      <c r="T148" s="12" t="n">
        <v>260</v>
      </c>
      <c r="U148" s="12" t="n">
        <v>-47</v>
      </c>
      <c r="V148" s="12" t="n">
        <v>24</v>
      </c>
      <c r="W148" s="12" t="n">
        <v>41</v>
      </c>
      <c r="X148" s="12" t="n">
        <v>-11</v>
      </c>
    </row>
    <row r="149">
      <c r="A149" s="9" t="inlineStr">
        <is>
          <t>지배주주 순이익</t>
        </is>
      </c>
      <c r="C149" s="12" t="n">
        <v>2588</v>
      </c>
      <c r="D149" s="12" t="n">
        <v>751</v>
      </c>
      <c r="E149" s="12" t="n">
        <v>1859</v>
      </c>
      <c r="F149" s="12" t="n">
        <v>2207</v>
      </c>
      <c r="G149" s="12" t="n">
        <v>878</v>
      </c>
      <c r="H149" s="12" t="n">
        <v>2459</v>
      </c>
      <c r="I149" s="12" t="n">
        <v>-1454</v>
      </c>
      <c r="J149" s="12" t="n">
        <v>1593</v>
      </c>
      <c r="K149" s="12" t="n">
        <v>2641</v>
      </c>
      <c r="L149" s="12" t="n">
        <v>2014</v>
      </c>
      <c r="M149" s="12" t="n">
        <v>2012</v>
      </c>
      <c r="N149" s="12" t="n">
        <v>2397</v>
      </c>
      <c r="T149" s="12" t="n">
        <v>-8981</v>
      </c>
      <c r="U149" s="12" t="n">
        <v>214</v>
      </c>
      <c r="V149" s="12" t="n">
        <v>1859</v>
      </c>
      <c r="W149" s="12" t="n">
        <v>-1454</v>
      </c>
      <c r="X149" s="12" t="n">
        <v>2012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2">
      <c r="A152" s="16" t="inlineStr">
        <is>
          <t>포괄손익 · 전 항목</t>
        </is>
      </c>
      <c r="B152" s="42" t="inlineStr">
        <is>
          <t>분기 = 3개월 단독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9" t="inlineStr">
        <is>
          <t>순이익</t>
        </is>
      </c>
      <c r="C154" s="12" t="n">
        <v>2576</v>
      </c>
      <c r="D154" s="12" t="n">
        <v>853</v>
      </c>
      <c r="E154" s="12" t="n">
        <v>1883</v>
      </c>
      <c r="F154" s="12" t="n">
        <v>2197</v>
      </c>
      <c r="G154" s="12" t="n">
        <v>878</v>
      </c>
      <c r="H154" s="12" t="n">
        <v>2534</v>
      </c>
      <c r="I154" s="12" t="n">
        <v>-1413</v>
      </c>
      <c r="J154" s="12" t="n">
        <v>1630</v>
      </c>
      <c r="K154" s="12" t="n">
        <v>2658</v>
      </c>
      <c r="L154" s="12" t="n">
        <v>2104</v>
      </c>
      <c r="M154" s="12" t="n">
        <v>2001</v>
      </c>
      <c r="N154" s="12" t="n">
        <v>2474</v>
      </c>
      <c r="T154" s="12" t="n">
        <v>-8721</v>
      </c>
      <c r="U154" s="12" t="n">
        <v>167</v>
      </c>
      <c r="V154" s="12" t="n">
        <v>1883</v>
      </c>
      <c r="W154" s="12" t="n">
        <v>-1413</v>
      </c>
      <c r="X154" s="12" t="n">
        <v>2001</v>
      </c>
    </row>
    <row r="155">
      <c r="A155" s="18" t="inlineStr">
        <is>
          <t>기타유가증권 평가차액</t>
        </is>
      </c>
      <c r="C155" s="20" t="n">
        <v>290</v>
      </c>
      <c r="D155" s="20" t="n">
        <v>-470</v>
      </c>
      <c r="E155" s="20" t="n">
        <v>151</v>
      </c>
      <c r="F155" s="20" t="n">
        <v>68</v>
      </c>
      <c r="G155" s="20" t="n">
        <v>-44</v>
      </c>
      <c r="H155" s="20" t="n">
        <v>158</v>
      </c>
      <c r="I155" s="20" t="n">
        <v>-90</v>
      </c>
      <c r="J155" s="20" t="n">
        <v>1</v>
      </c>
      <c r="K155" s="20" t="n">
        <v>329</v>
      </c>
      <c r="L155" s="20" t="n">
        <v>333</v>
      </c>
      <c r="M155" s="20" t="n">
        <v>-34</v>
      </c>
      <c r="N155" s="20" t="n">
        <v>1102</v>
      </c>
      <c r="T155" s="20" t="n">
        <v>244</v>
      </c>
      <c r="U155" s="20" t="n">
        <v>147</v>
      </c>
      <c r="V155" s="20" t="n">
        <v>151</v>
      </c>
      <c r="W155" s="20" t="n">
        <v>-90</v>
      </c>
      <c r="X155" s="20" t="n">
        <v>-34</v>
      </c>
    </row>
    <row r="156">
      <c r="A156" s="18" t="inlineStr">
        <is>
          <t>해외사업환산조정</t>
        </is>
      </c>
      <c r="C156" s="20" t="n">
        <v>1051</v>
      </c>
      <c r="D156" s="20" t="n">
        <v>-1314</v>
      </c>
      <c r="E156" s="20" t="n">
        <v>2053</v>
      </c>
      <c r="F156" s="20" t="n">
        <v>2603</v>
      </c>
      <c r="G156" s="20" t="n">
        <v>-3413</v>
      </c>
      <c r="H156" s="20" t="n">
        <v>2539</v>
      </c>
      <c r="I156" s="20" t="n">
        <v>-2271</v>
      </c>
      <c r="J156" s="20" t="n">
        <v>-274</v>
      </c>
      <c r="K156" s="20" t="n">
        <v>966</v>
      </c>
      <c r="L156" s="20" t="n">
        <v>1550</v>
      </c>
      <c r="M156" s="20" t="n">
        <v>-1095</v>
      </c>
      <c r="N156" s="20" t="n">
        <v>721</v>
      </c>
      <c r="T156" s="20" t="n">
        <v>2793</v>
      </c>
      <c r="U156" s="20" t="n">
        <v>674</v>
      </c>
      <c r="V156" s="20" t="n">
        <v>2053</v>
      </c>
      <c r="W156" s="20" t="n">
        <v>-2271</v>
      </c>
      <c r="X156" s="20" t="n">
        <v>-1095</v>
      </c>
    </row>
    <row r="157">
      <c r="A157" s="18" t="inlineStr">
        <is>
          <t>퇴직급여 조정액</t>
        </is>
      </c>
      <c r="C157" s="20" t="n">
        <v>111</v>
      </c>
      <c r="D157" s="20" t="n">
        <v>109</v>
      </c>
      <c r="E157" s="20" t="n">
        <v>1438</v>
      </c>
      <c r="F157" s="20" t="n">
        <v>20</v>
      </c>
      <c r="G157" s="20" t="n">
        <v>19</v>
      </c>
      <c r="H157" s="20" t="n">
        <v>19</v>
      </c>
      <c r="I157" s="20" t="n">
        <v>1157</v>
      </c>
      <c r="J157" s="20" t="n">
        <v>12</v>
      </c>
      <c r="K157" s="20" t="n">
        <v>0</v>
      </c>
      <c r="L157" s="20" t="n">
        <v>13</v>
      </c>
      <c r="M157" s="20" t="n">
        <v>1226</v>
      </c>
      <c r="N157" s="20" t="n">
        <v>-36</v>
      </c>
      <c r="T157" s="20" t="n">
        <v>610</v>
      </c>
      <c r="U157" s="20" t="n">
        <v>-435</v>
      </c>
      <c r="V157" s="20" t="n">
        <v>1438</v>
      </c>
      <c r="W157" s="20" t="n">
        <v>1157</v>
      </c>
      <c r="X157" s="20" t="n">
        <v>1226</v>
      </c>
    </row>
    <row r="158">
      <c r="A158" s="18" t="inlineStr">
        <is>
          <t>기타포괄손익 합계</t>
        </is>
      </c>
      <c r="C158" s="20" t="n">
        <v>1452</v>
      </c>
      <c r="D158" s="20" t="n">
        <v>-1675</v>
      </c>
      <c r="E158" s="20" t="n">
        <v>3642</v>
      </c>
      <c r="F158" s="20" t="n">
        <v>2691</v>
      </c>
      <c r="G158" s="20" t="n">
        <v>-3438</v>
      </c>
      <c r="H158" s="20" t="n">
        <v>2716</v>
      </c>
      <c r="I158" s="20" t="n">
        <v>-1204</v>
      </c>
      <c r="J158" s="20" t="n">
        <v>-261</v>
      </c>
      <c r="K158" s="20" t="n">
        <v>1295</v>
      </c>
      <c r="L158" s="20" t="n">
        <v>1896</v>
      </c>
      <c r="M158" s="20" t="n">
        <v>97</v>
      </c>
      <c r="N158" s="20" t="n">
        <v>1787</v>
      </c>
      <c r="T158" s="20" t="n">
        <v>3647</v>
      </c>
      <c r="U158" s="20" t="n">
        <v>386</v>
      </c>
      <c r="V158" s="20" t="n">
        <v>3642</v>
      </c>
      <c r="W158" s="20" t="n">
        <v>-1204</v>
      </c>
      <c r="X158" s="20" t="n">
        <v>97</v>
      </c>
    </row>
    <row r="159">
      <c r="A159" s="9" t="inlineStr">
        <is>
          <t>포괄이익</t>
        </is>
      </c>
      <c r="C159" s="12" t="n">
        <v>4028</v>
      </c>
      <c r="D159" s="12" t="n">
        <v>-822</v>
      </c>
      <c r="E159" s="12" t="n">
        <v>5525</v>
      </c>
      <c r="F159" s="12" t="n">
        <v>4888</v>
      </c>
      <c r="G159" s="12" t="n">
        <v>-2560</v>
      </c>
      <c r="H159" s="12" t="n">
        <v>5250</v>
      </c>
      <c r="I159" s="12" t="n">
        <v>-2617</v>
      </c>
      <c r="J159" s="12" t="n">
        <v>1369</v>
      </c>
      <c r="K159" s="12" t="n">
        <v>3953</v>
      </c>
      <c r="L159" s="12" t="n">
        <v>4000</v>
      </c>
      <c r="M159" s="12" t="n">
        <v>2098</v>
      </c>
      <c r="N159" s="12" t="n">
        <v>4261</v>
      </c>
      <c r="T159" s="12" t="n">
        <v>-5074</v>
      </c>
      <c r="U159" s="12" t="n">
        <v>553</v>
      </c>
      <c r="V159" s="12" t="n">
        <v>5525</v>
      </c>
      <c r="W159" s="12" t="n">
        <v>-2617</v>
      </c>
      <c r="X159" s="12" t="n">
        <v>2098</v>
      </c>
    </row>
    <row r="160">
      <c r="A160" s="9" t="inlineStr">
        <is>
          <t>지배주주 포괄이익</t>
        </is>
      </c>
      <c r="C160" s="12" t="n">
        <v>3962</v>
      </c>
      <c r="D160" s="12" t="n">
        <v>-825</v>
      </c>
      <c r="E160" s="12" t="n">
        <v>5353</v>
      </c>
      <c r="F160" s="12" t="n">
        <v>4716</v>
      </c>
      <c r="G160" s="12" t="n">
        <v>-2311</v>
      </c>
      <c r="H160" s="12" t="n">
        <v>4997</v>
      </c>
      <c r="I160" s="12" t="n">
        <v>-2526</v>
      </c>
      <c r="J160" s="12" t="n">
        <v>1387</v>
      </c>
      <c r="K160" s="12" t="n">
        <v>3860</v>
      </c>
      <c r="L160" s="12" t="n">
        <v>3756</v>
      </c>
      <c r="M160" s="12" t="n">
        <v>2033</v>
      </c>
      <c r="N160" s="12" t="n">
        <v>4128</v>
      </c>
      <c r="T160" s="12" t="n">
        <v>-5497</v>
      </c>
      <c r="U160" s="12" t="n">
        <v>552</v>
      </c>
      <c r="V160" s="12" t="n">
        <v>5353</v>
      </c>
      <c r="W160" s="12" t="n">
        <v>-2526</v>
      </c>
      <c r="X160" s="12" t="n">
        <v>2033</v>
      </c>
    </row>
    <row r="161">
      <c r="A161" s="9" t="inlineStr">
        <is>
          <t>비지배주주 포괄이익</t>
        </is>
      </c>
      <c r="C161" s="12" t="n">
        <v>66</v>
      </c>
      <c r="D161" s="12" t="n">
        <v>3</v>
      </c>
      <c r="E161" s="12" t="n">
        <v>172</v>
      </c>
      <c r="F161" s="12" t="n">
        <v>172</v>
      </c>
      <c r="G161" s="12" t="n">
        <v>-249</v>
      </c>
      <c r="H161" s="12" t="n">
        <v>253</v>
      </c>
      <c r="I161" s="12" t="n">
        <v>-91</v>
      </c>
      <c r="J161" s="12" t="n">
        <v>-18</v>
      </c>
      <c r="K161" s="12" t="n">
        <v>93</v>
      </c>
      <c r="L161" s="12" t="n">
        <v>244</v>
      </c>
      <c r="M161" s="12" t="n">
        <v>65</v>
      </c>
      <c r="N161" s="12" t="n">
        <v>133</v>
      </c>
      <c r="T161" s="12" t="n">
        <v>423</v>
      </c>
      <c r="U161" s="12" t="n">
        <v>1</v>
      </c>
      <c r="V161" s="12" t="n">
        <v>172</v>
      </c>
      <c r="W161" s="12" t="n">
        <v>-91</v>
      </c>
      <c r="X161" s="12" t="n">
        <v>65</v>
      </c>
    </row>
    <row r="163">
      <c r="A163" s="16" t="inlineStr">
        <is>
          <t>부문 · 전 항목</t>
        </is>
      </c>
      <c r="B163" s="42" t="inlineStr">
        <is>
          <t>부문 · 항목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2024.2Q</t>
        </is>
      </c>
      <c r="D164" s="5" t="inlineStr">
        <is>
          <t>2024.3Q</t>
        </is>
      </c>
      <c r="E164" s="5" t="inlineStr">
        <is>
          <t>2024.4Q</t>
        </is>
      </c>
      <c r="F164" s="5" t="inlineStr">
        <is>
          <t>2025.1Q</t>
        </is>
      </c>
      <c r="G164" s="5" t="inlineStr">
        <is>
          <t>2025.2Q</t>
        </is>
      </c>
      <c r="H164" s="5" t="inlineStr">
        <is>
          <t>2025.3Q</t>
        </is>
      </c>
      <c r="I164" s="5" t="inlineStr">
        <is>
          <t>2025.4Q</t>
        </is>
      </c>
      <c r="J164" s="5" t="inlineStr">
        <is>
          <t>2026.1Q</t>
        </is>
      </c>
      <c r="K164" s="5" t="inlineStr">
        <is>
          <t>2026.2Q</t>
        </is>
      </c>
      <c r="L164" s="5" t="inlineStr">
        <is>
          <t>2026.3Q</t>
        </is>
      </c>
      <c r="M164" s="5" t="inlineStr">
        <is>
          <t>2026.4Q</t>
        </is>
      </c>
      <c r="N164" s="5" t="inlineStr">
        <is>
          <t>2027.1Q</t>
        </is>
      </c>
      <c r="O164" s="5" t="inlineStr">
        <is>
          <t>2017</t>
        </is>
      </c>
      <c r="P164" s="5" t="inlineStr">
        <is>
          <t>2018</t>
        </is>
      </c>
      <c r="Q164" s="5" t="inlineStr">
        <is>
          <t>2019</t>
        </is>
      </c>
      <c r="R164" s="5" t="inlineStr">
        <is>
          <t>2020</t>
        </is>
      </c>
      <c r="S164" s="5" t="inlineStr">
        <is>
          <t>2021</t>
        </is>
      </c>
      <c r="T164" s="5" t="inlineStr">
        <is>
          <t>2022</t>
        </is>
      </c>
      <c r="U164" s="5" t="inlineStr">
        <is>
          <t>2023</t>
        </is>
      </c>
      <c r="V164" s="5" t="inlineStr">
        <is>
          <t>2024</t>
        </is>
      </c>
      <c r="W164" s="5" t="inlineStr">
        <is>
          <t>2025</t>
        </is>
      </c>
      <c r="X164" s="5" t="inlineStr">
        <is>
          <t>2026</t>
        </is>
      </c>
      <c r="Y164" s="5" t="inlineStr">
        <is>
          <t>2027(MW)</t>
        </is>
      </c>
      <c r="Z164" s="5" t="inlineStr">
        <is>
          <t>2028(MW)</t>
        </is>
      </c>
      <c r="AA164" s="5" t="inlineStr">
        <is>
          <t>2029(MW)</t>
        </is>
      </c>
      <c r="AB164" s="5" t="inlineStr">
        <is>
          <t>2030(MW)</t>
        </is>
      </c>
      <c r="AC164" s="5" t="inlineStr">
        <is>
          <t>2031(MW)</t>
        </is>
      </c>
    </row>
    <row r="165">
      <c r="A165" s="18" t="inlineStr">
        <is>
          <t>EnergyReportableSegmentsMember · 외부 고객 매출</t>
        </is>
      </c>
      <c r="F165" s="20" t="n">
        <v>10113</v>
      </c>
      <c r="I165" s="20" t="n">
        <v>4997</v>
      </c>
      <c r="J165" s="20" t="n">
        <v>10349</v>
      </c>
      <c r="M165" s="20" t="n">
        <v>11422</v>
      </c>
      <c r="N165" s="20" t="n">
        <v>15246</v>
      </c>
      <c r="W165" s="20" t="n">
        <v>4997</v>
      </c>
      <c r="X165" s="20" t="n">
        <v>11422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FunctionalMaterialsReportableSegmentMember · 외부 고객 매출</t>
        </is>
      </c>
      <c r="F167" s="20" t="n">
        <v>7495</v>
      </c>
      <c r="I167" s="20" t="n">
        <v>7940</v>
      </c>
      <c r="J167" s="20" t="n">
        <v>7834</v>
      </c>
      <c r="M167" s="20" t="n">
        <v>8585</v>
      </c>
      <c r="N167" s="20" t="n">
        <v>9596</v>
      </c>
      <c r="W167" s="20" t="n">
        <v>7940</v>
      </c>
      <c r="X167" s="20" t="n">
        <v>8585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OpticsAndSystemsReportableSegmentMember · 외부 고객 매출</t>
        </is>
      </c>
      <c r="F169" s="20" t="n">
        <v>9090</v>
      </c>
      <c r="I169" s="20" t="n">
        <v>10218</v>
      </c>
      <c r="J169" s="20" t="n">
        <v>7839</v>
      </c>
      <c r="M169" s="20" t="n">
        <v>8534</v>
      </c>
      <c r="N169" s="20" t="n">
        <v>9206</v>
      </c>
      <c r="W169" s="20" t="n">
        <v>10218</v>
      </c>
      <c r="X169" s="20" t="n">
        <v>8534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LifeSolutionsReportableSegmentMember · 외부 고객 매출</t>
        </is>
      </c>
      <c r="F171" s="20" t="n">
        <v>4687</v>
      </c>
      <c r="I171" s="20" t="n">
        <v>6592</v>
      </c>
      <c r="J171" s="20" t="n">
        <v>4248</v>
      </c>
      <c r="W171" s="20" t="n">
        <v>6592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W172" s="15">
        <f>IF(OR(W171="",V171=""),"",IF(V171&lt;=0,"",IFERROR(W171/V171-1,"")))</f>
        <v/>
      </c>
    </row>
    <row r="173">
      <c r="A173" s="18" t="inlineStr">
        <is>
          <t>ValueCoCreationBusinessesReportableSegmentMember · 외부 고객 매출</t>
        </is>
      </c>
      <c r="J173" s="20" t="n">
        <v>4248</v>
      </c>
      <c r="M173" s="20" t="n">
        <v>4589</v>
      </c>
      <c r="N173" s="20" t="n">
        <v>3617</v>
      </c>
      <c r="X173" s="20" t="n">
        <v>4589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J174" s="15">
        <f>IF(OR(J173="",F173=""),"",IF(F173&lt;=0,"",IFERROR(J173/F173-1,"")))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X174" s="15">
        <f>IF(OR(X173="",W173=""),"",IF(W173&lt;=0,"",IFERROR(X173/W173-1,"")))</f>
        <v/>
      </c>
    </row>
    <row r="175">
      <c r="A175" s="18" t="inlineStr">
        <is>
          <t>합계 · 외부 고객 매출</t>
        </is>
      </c>
      <c r="F175" s="20" t="n">
        <v>31385</v>
      </c>
      <c r="J175" s="20" t="n">
        <v>30270</v>
      </c>
      <c r="N175" s="20" t="n">
        <v>37665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J176" s="15">
        <f>IF(OR(J175="",F175=""),"",IF(F175&lt;=0,"",IFERROR(J175/F175-1,"")))</f>
        <v/>
      </c>
      <c r="N176" s="15">
        <f>IF(OR(N175="",J175=""),"",IF(J175&lt;=0,"",IFERROR(N175/J175-1,"")))</f>
        <v/>
      </c>
    </row>
    <row r="177">
      <c r="A177" s="18" t="inlineStr">
        <is>
          <t>조정액 · 외부 고객 매출</t>
        </is>
      </c>
      <c r="F177" s="20" t="n">
        <v>0</v>
      </c>
      <c r="I177" s="20" t="n">
        <v>0</v>
      </c>
      <c r="J177" s="20" t="n">
        <v>0</v>
      </c>
      <c r="M177" s="20" t="n">
        <v>0</v>
      </c>
      <c r="N177" s="20" t="n">
        <v>0</v>
      </c>
      <c r="W177" s="20" t="n">
        <v>0</v>
      </c>
      <c r="X177" s="20" t="n">
        <v>0</v>
      </c>
    </row>
    <row r="178">
      <c r="A178" s="9" t="inlineStr">
        <is>
          <t>외부 고객 매출</t>
        </is>
      </c>
      <c r="F178" s="12" t="n">
        <v>31385</v>
      </c>
      <c r="I178" s="12" t="n">
        <v>34219</v>
      </c>
      <c r="W178" s="12" t="n">
        <v>34219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I179" s="15">
        <f>IF(OR(I178="",E178=""),"",IF(E178&lt;=0,"",IFERROR(I178/E178-1,"")))</f>
        <v/>
      </c>
      <c r="W179" s="15">
        <f>IF(OR(W178="",V178=""),"",IF(V178&lt;=0,"",IFERROR(W178/V178-1,"")))</f>
        <v/>
      </c>
    </row>
    <row r="180">
      <c r="A180" s="18" t="inlineStr">
        <is>
          <t>EntityTotalMember · 외부 고객 매출</t>
        </is>
      </c>
      <c r="F180" s="20" t="n">
        <v>31385</v>
      </c>
      <c r="J180" s="20" t="n">
        <v>30270</v>
      </c>
      <c r="N180" s="20" t="n">
        <v>37665</v>
      </c>
    </row>
    <row r="181">
      <c r="A181" s="18" t="inlineStr">
        <is>
          <t>EnergyReportableSegmentsMember · 부문 간 내부매출·대체</t>
        </is>
      </c>
      <c r="F181" s="20" t="n">
        <v>151</v>
      </c>
      <c r="I181" s="20" t="n">
        <v>90</v>
      </c>
      <c r="J181" s="20" t="n">
        <v>105</v>
      </c>
      <c r="M181" s="20" t="n">
        <v>126</v>
      </c>
      <c r="N181" s="20" t="n">
        <v>87</v>
      </c>
      <c r="W181" s="20" t="n">
        <v>90</v>
      </c>
      <c r="X181" s="20" t="n">
        <v>126</v>
      </c>
    </row>
    <row r="182">
      <c r="A182" s="18" t="inlineStr">
        <is>
          <t>FunctionalMaterialsReportableSegmentMember · 부문 간 내부매출·대체</t>
        </is>
      </c>
      <c r="F182" s="20" t="n">
        <v>0</v>
      </c>
      <c r="I182" s="20" t="n">
        <v>0</v>
      </c>
      <c r="J182" s="20" t="n">
        <v>0</v>
      </c>
      <c r="M182" s="20" t="n">
        <v>0</v>
      </c>
      <c r="N182" s="20" t="n">
        <v>0</v>
      </c>
      <c r="W182" s="20" t="n">
        <v>0</v>
      </c>
      <c r="X182" s="20" t="n">
        <v>0</v>
      </c>
    </row>
    <row r="183">
      <c r="A183" s="18" t="inlineStr">
        <is>
          <t>OpticsAndSystemsReportableSegmentMember · 부문 간 내부매출·대체</t>
        </is>
      </c>
      <c r="F183" s="20" t="n">
        <v>0</v>
      </c>
      <c r="I183" s="20" t="n">
        <v>0</v>
      </c>
      <c r="J183" s="20" t="n">
        <v>0</v>
      </c>
      <c r="M183" s="20" t="n">
        <v>0</v>
      </c>
      <c r="N183" s="20" t="n">
        <v>0</v>
      </c>
      <c r="W183" s="20" t="n">
        <v>0</v>
      </c>
      <c r="X183" s="20" t="n">
        <v>0</v>
      </c>
    </row>
    <row r="184">
      <c r="A184" s="18" t="inlineStr">
        <is>
          <t>LifeSolutionsReportableSegmentMember · 부문 간 내부매출·대체</t>
        </is>
      </c>
      <c r="F184" s="20" t="n">
        <v>0</v>
      </c>
      <c r="I184" s="20" t="n">
        <v>0</v>
      </c>
      <c r="J184" s="20" t="n">
        <v>0</v>
      </c>
      <c r="W184" s="20" t="n">
        <v>0</v>
      </c>
    </row>
    <row r="185">
      <c r="A185" s="18" t="inlineStr">
        <is>
          <t>ValueCoCreationBusinessesReportableSegmentMember · 부문 간 내부매출·대체</t>
        </is>
      </c>
      <c r="J185" s="20" t="n">
        <v>0</v>
      </c>
      <c r="M185" s="20" t="n">
        <v>0</v>
      </c>
      <c r="N185" s="20" t="n">
        <v>0</v>
      </c>
      <c r="X185" s="20" t="n">
        <v>0</v>
      </c>
    </row>
    <row r="186">
      <c r="A186" s="18" t="inlineStr">
        <is>
          <t>합계 · 부문 간 내부매출·대체</t>
        </is>
      </c>
      <c r="F186" s="20" t="n">
        <v>151</v>
      </c>
      <c r="J186" s="20" t="n">
        <v>105</v>
      </c>
      <c r="N186" s="20" t="n">
        <v>87</v>
      </c>
    </row>
    <row r="187">
      <c r="A187" s="18" t="inlineStr">
        <is>
          <t>조정액 · 부문 간 내부매출·대체</t>
        </is>
      </c>
      <c r="F187" s="20" t="n">
        <v>-151</v>
      </c>
      <c r="I187" s="20" t="n">
        <v>-90</v>
      </c>
      <c r="J187" s="20" t="n">
        <v>-105</v>
      </c>
      <c r="M187" s="20" t="n">
        <v>-126</v>
      </c>
      <c r="N187" s="20" t="n">
        <v>-87</v>
      </c>
      <c r="W187" s="20" t="n">
        <v>-90</v>
      </c>
      <c r="X187" s="20" t="n">
        <v>-126</v>
      </c>
    </row>
    <row r="188">
      <c r="A188" s="18" t="inlineStr">
        <is>
          <t>부문 간 내부매출·대체</t>
        </is>
      </c>
      <c r="F188" s="20" t="n">
        <v>0</v>
      </c>
      <c r="I188" s="20" t="n">
        <v>0</v>
      </c>
      <c r="W188" s="20" t="n">
        <v>0</v>
      </c>
    </row>
    <row r="189">
      <c r="A189" s="18" t="inlineStr">
        <is>
          <t>EntityTotalMember · 부문 간 내부매출·대체</t>
        </is>
      </c>
      <c r="F189" s="20" t="n">
        <v>0</v>
      </c>
      <c r="J189" s="20" t="n">
        <v>0</v>
      </c>
      <c r="N189" s="20" t="n">
        <v>0</v>
      </c>
    </row>
    <row r="190">
      <c r="A190" s="18" t="inlineStr">
        <is>
          <t>EnergyReportableSegmentsMember · 계</t>
        </is>
      </c>
      <c r="F190" s="20" t="n">
        <v>10264</v>
      </c>
      <c r="I190" s="20" t="n">
        <v>5087</v>
      </c>
      <c r="J190" s="20" t="n">
        <v>10454</v>
      </c>
      <c r="M190" s="20" t="n">
        <v>11548</v>
      </c>
      <c r="N190" s="20" t="n">
        <v>15333</v>
      </c>
      <c r="W190" s="20" t="n">
        <v>5087</v>
      </c>
      <c r="X190" s="20" t="n">
        <v>11548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FunctionalMaterialsReportableSegmentMember · 계</t>
        </is>
      </c>
      <c r="F192" s="20" t="n">
        <v>7495</v>
      </c>
      <c r="I192" s="20" t="n">
        <v>7940</v>
      </c>
      <c r="J192" s="20" t="n">
        <v>7834</v>
      </c>
      <c r="M192" s="20" t="n">
        <v>8585</v>
      </c>
      <c r="N192" s="20" t="n">
        <v>9596</v>
      </c>
      <c r="W192" s="20" t="n">
        <v>7940</v>
      </c>
      <c r="X192" s="20" t="n">
        <v>8585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OpticsAndSystemsReportableSegmentMember · 계</t>
        </is>
      </c>
      <c r="F194" s="20" t="n">
        <v>9090</v>
      </c>
      <c r="I194" s="20" t="n">
        <v>10218</v>
      </c>
      <c r="J194" s="20" t="n">
        <v>7839</v>
      </c>
      <c r="M194" s="20" t="n">
        <v>8534</v>
      </c>
      <c r="N194" s="20" t="n">
        <v>9206</v>
      </c>
      <c r="W194" s="20" t="n">
        <v>10218</v>
      </c>
      <c r="X194" s="20" t="n">
        <v>8534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LifeSolutionsReportableSegmentMember · 계</t>
        </is>
      </c>
      <c r="F196" s="20" t="n">
        <v>4687</v>
      </c>
      <c r="I196" s="20" t="n">
        <v>6592</v>
      </c>
      <c r="J196" s="20" t="n">
        <v>4248</v>
      </c>
      <c r="W196" s="20" t="n">
        <v>6592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W197" s="15">
        <f>IF(OR(W196="",V196=""),"",IF(V196&lt;=0,"",IFERROR(W196/V196-1,"")))</f>
        <v/>
      </c>
    </row>
    <row r="198">
      <c r="A198" s="18" t="inlineStr">
        <is>
          <t>ValueCoCreationBusinessesReportableSegmentMember · 계</t>
        </is>
      </c>
      <c r="J198" s="20" t="n">
        <v>4248</v>
      </c>
      <c r="M198" s="20" t="n">
        <v>4589</v>
      </c>
      <c r="N198" s="20" t="n">
        <v>3617</v>
      </c>
      <c r="X198" s="20" t="n">
        <v>4589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J199" s="15">
        <f>IF(OR(J198="",F198=""),"",IF(F198&lt;=0,"",IFERROR(J198/F198-1,"")))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X199" s="15">
        <f>IF(OR(X198="",W198=""),"",IF(W198&lt;=0,"",IFERROR(X198/W198-1,"")))</f>
        <v/>
      </c>
    </row>
    <row r="200">
      <c r="A200" s="18" t="inlineStr">
        <is>
          <t>합계 · 계</t>
        </is>
      </c>
      <c r="F200" s="20" t="n">
        <v>31536</v>
      </c>
      <c r="J200" s="20" t="n">
        <v>30375</v>
      </c>
      <c r="N200" s="20" t="n">
        <v>37752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J201" s="15">
        <f>IF(OR(J200="",F200=""),"",IF(F200&lt;=0,"",IFERROR(J200/F200-1,"")))</f>
        <v/>
      </c>
      <c r="N201" s="15">
        <f>IF(OR(N200="",J200=""),"",IF(J200&lt;=0,"",IFERROR(N200/J200-1,"")))</f>
        <v/>
      </c>
    </row>
    <row r="202">
      <c r="A202" s="18" t="inlineStr">
        <is>
          <t>조정액 · 계</t>
        </is>
      </c>
      <c r="F202" s="20" t="n">
        <v>-151</v>
      </c>
      <c r="I202" s="20" t="n">
        <v>-90</v>
      </c>
      <c r="J202" s="20" t="n">
        <v>-105</v>
      </c>
      <c r="M202" s="20" t="n">
        <v>-126</v>
      </c>
      <c r="N202" s="20" t="n">
        <v>-87</v>
      </c>
      <c r="W202" s="20" t="n">
        <v>-90</v>
      </c>
      <c r="X202" s="20" t="n">
        <v>-126</v>
      </c>
    </row>
    <row r="203">
      <c r="A203" s="9" t="inlineStr">
        <is>
          <t>계</t>
        </is>
      </c>
      <c r="F203" s="12" t="n">
        <v>31385</v>
      </c>
      <c r="I203" s="12" t="n">
        <v>34219</v>
      </c>
      <c r="W203" s="12" t="n">
        <v>34219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I204" s="15">
        <f>IF(OR(I203="",E203=""),"",IF(E203&lt;=0,"",IFERROR(I203/E203-1,"")))</f>
        <v/>
      </c>
      <c r="W204" s="15">
        <f>IF(OR(W203="",V203=""),"",IF(V203&lt;=0,"",IFERROR(W203/V203-1,"")))</f>
        <v/>
      </c>
    </row>
    <row r="205">
      <c r="A205" s="18" t="inlineStr">
        <is>
          <t>EntityTotalMember · 계</t>
        </is>
      </c>
      <c r="F205" s="20" t="n">
        <v>31385</v>
      </c>
      <c r="J205" s="20" t="n">
        <v>30270</v>
      </c>
      <c r="N205" s="20" t="n">
        <v>37665</v>
      </c>
    </row>
    <row r="206">
      <c r="A206" s="18" t="inlineStr">
        <is>
          <t>EnergyReportableSegmentsMember · 부문 이익</t>
        </is>
      </c>
      <c r="F206" s="20" t="n">
        <v>649</v>
      </c>
      <c r="I206" s="20" t="n">
        <v>-645</v>
      </c>
      <c r="J206" s="20" t="n">
        <v>894</v>
      </c>
      <c r="M206" s="20" t="n">
        <v>58</v>
      </c>
      <c r="N206" s="20" t="n">
        <v>758</v>
      </c>
      <c r="W206" s="20" t="n">
        <v>-645</v>
      </c>
      <c r="X206" s="20" t="n">
        <v>58</v>
      </c>
    </row>
    <row r="207">
      <c r="A207" s="43" t="inlineStr">
        <is>
          <t>OPM</t>
        </is>
      </c>
      <c r="B207" s="3" t="inlineStr">
        <is>
          <t>영업이익 ÷ 매출</t>
        </is>
      </c>
      <c r="F207" s="15">
        <f>IF(OR(F206="",F190=""),"",IF(F190&lt;=0,"",IFERROR(F206/F190,"")))</f>
        <v/>
      </c>
      <c r="I207" s="15">
        <f>IF(OR(I206="",I190=""),"",IF(I190&lt;=0,"",IFERROR(I206/I190,"")))</f>
        <v/>
      </c>
      <c r="J207" s="15">
        <f>IF(OR(J206="",J190=""),"",IF(J190&lt;=0,"",IFERROR(J206/J190,"")))</f>
        <v/>
      </c>
      <c r="M207" s="15">
        <f>IF(OR(M206="",M190=""),"",IF(M190&lt;=0,"",IFERROR(M206/M190,"")))</f>
        <v/>
      </c>
      <c r="N207" s="15">
        <f>IF(OR(N206="",N190=""),"",IF(N190&lt;=0,"",IFERROR(N206/N190,"")))</f>
        <v/>
      </c>
      <c r="W207" s="15">
        <f>IF(OR(W206="",W190=""),"",IF(W190&lt;=0,"",IFERROR(W206/W190,"")))</f>
        <v/>
      </c>
      <c r="X207" s="15">
        <f>IF(OR(X206="",X190=""),"",IF(X190&lt;=0,"",IFERROR(X206/X190,"")))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FunctionalMaterialsReportableSegmentMember · 부문 이익</t>
        </is>
      </c>
      <c r="F209" s="20" t="n">
        <v>149</v>
      </c>
      <c r="I209" s="20" t="n">
        <v>330</v>
      </c>
      <c r="J209" s="20" t="n">
        <v>306</v>
      </c>
      <c r="M209" s="20" t="n">
        <v>456</v>
      </c>
      <c r="N209" s="20" t="n">
        <v>950</v>
      </c>
      <c r="W209" s="20" t="n">
        <v>330</v>
      </c>
      <c r="X209" s="20" t="n">
        <v>456</v>
      </c>
    </row>
    <row r="210">
      <c r="A210" s="43" t="inlineStr">
        <is>
          <t>OPM</t>
        </is>
      </c>
      <c r="B210" s="3" t="inlineStr">
        <is>
          <t>영업이익 ÷ 매출</t>
        </is>
      </c>
      <c r="F210" s="15">
        <f>IF(OR(F209="",F192=""),"",IF(F192&lt;=0,"",IFERROR(F209/F192,"")))</f>
        <v/>
      </c>
      <c r="I210" s="15">
        <f>IF(OR(I209="",I192=""),"",IF(I192&lt;=0,"",IFERROR(I209/I192,"")))</f>
        <v/>
      </c>
      <c r="J210" s="15">
        <f>IF(OR(J209="",J192=""),"",IF(J192&lt;=0,"",IFERROR(J209/J192,"")))</f>
        <v/>
      </c>
      <c r="M210" s="15">
        <f>IF(OR(M209="",M192=""),"",IF(M192&lt;=0,"",IFERROR(M209/M192,"")))</f>
        <v/>
      </c>
      <c r="N210" s="15">
        <f>IF(OR(N209="",N192=""),"",IF(N192&lt;=0,"",IFERROR(N209/N192,"")))</f>
        <v/>
      </c>
      <c r="W210" s="15">
        <f>IF(OR(W209="",W192=""),"",IF(W192&lt;=0,"",IFERROR(W209/W192,"")))</f>
        <v/>
      </c>
      <c r="X210" s="15">
        <f>IF(OR(X209="",X192=""),"",IF(X192&lt;=0,"",IFERROR(X209/X192,"")))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OpticsAndSystemsReportableSegmentMember · 부문 이익</t>
        </is>
      </c>
      <c r="F212" s="20" t="n">
        <v>1198</v>
      </c>
      <c r="I212" s="20" t="n">
        <v>2222</v>
      </c>
      <c r="J212" s="20" t="n">
        <v>562</v>
      </c>
      <c r="M212" s="20" t="n">
        <v>-1</v>
      </c>
      <c r="N212" s="20" t="n">
        <v>1132</v>
      </c>
      <c r="W212" s="20" t="n">
        <v>2222</v>
      </c>
      <c r="X212" s="20" t="n">
        <v>-1</v>
      </c>
    </row>
    <row r="213">
      <c r="A213" s="43" t="inlineStr">
        <is>
          <t>OPM</t>
        </is>
      </c>
      <c r="B213" s="3" t="inlineStr">
        <is>
          <t>영업이익 ÷ 매출</t>
        </is>
      </c>
      <c r="F213" s="15">
        <f>IF(OR(F212="",F194=""),"",IF(F194&lt;=0,"",IFERROR(F212/F194,"")))</f>
        <v/>
      </c>
      <c r="I213" s="15">
        <f>IF(OR(I212="",I194=""),"",IF(I194&lt;=0,"",IFERROR(I212/I194,"")))</f>
        <v/>
      </c>
      <c r="J213" s="15">
        <f>IF(OR(J212="",J194=""),"",IF(J194&lt;=0,"",IFERROR(J212/J194,"")))</f>
        <v/>
      </c>
      <c r="M213" s="15">
        <f>IF(OR(M212="",M194=""),"",IF(M194&lt;=0,"",IFERROR(M212/M194,"")))</f>
        <v/>
      </c>
      <c r="N213" s="15">
        <f>IF(OR(N212="",N194=""),"",IF(N194&lt;=0,"",IFERROR(N212/N194,"")))</f>
        <v/>
      </c>
      <c r="W213" s="15">
        <f>IF(OR(W212="",W194=""),"",IF(W194&lt;=0,"",IFERROR(W212/W194,"")))</f>
        <v/>
      </c>
      <c r="X213" s="15">
        <f>IF(OR(X212="",X194=""),"",IF(X194&lt;=0,"",IFERROR(X212/X194,"")))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LifeSolutionsReportableSegmentMember · 부문 이익</t>
        </is>
      </c>
      <c r="F215" s="20" t="n">
        <v>340</v>
      </c>
      <c r="I215" s="20" t="n">
        <v>448</v>
      </c>
      <c r="J215" s="20" t="n">
        <v>222</v>
      </c>
      <c r="W215" s="20" t="n">
        <v>448</v>
      </c>
    </row>
    <row r="216">
      <c r="A216" s="43" t="inlineStr">
        <is>
          <t>OPM</t>
        </is>
      </c>
      <c r="B216" s="3" t="inlineStr">
        <is>
          <t>영업이익 ÷ 매출</t>
        </is>
      </c>
      <c r="F216" s="15">
        <f>IF(OR(F215="",F196=""),"",IF(F196&lt;=0,"",IFERROR(F215/F196,"")))</f>
        <v/>
      </c>
      <c r="I216" s="15">
        <f>IF(OR(I215="",I196=""),"",IF(I196&lt;=0,"",IFERROR(I215/I196,"")))</f>
        <v/>
      </c>
      <c r="J216" s="15">
        <f>IF(OR(J215="",J196=""),"",IF(J196&lt;=0,"",IFERROR(J215/J196,"")))</f>
        <v/>
      </c>
      <c r="W216" s="15">
        <f>IF(OR(W215="",W196=""),"",IF(W196&lt;=0,"",IFERROR(W215/W196,"")))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W217" s="15">
        <f>IF(OR(W215="",V215=""),"",IF(V215&lt;=0,"",IFERROR(W215/V215-1,"")))</f>
        <v/>
      </c>
    </row>
    <row r="218">
      <c r="A218" s="18" t="inlineStr">
        <is>
          <t>ValueCoCreationBusinessesReportableSegmentMember · 부문 이익</t>
        </is>
      </c>
      <c r="J218" s="20" t="n">
        <v>222</v>
      </c>
      <c r="M218" s="20" t="n">
        <v>200</v>
      </c>
      <c r="N218" s="20" t="n">
        <v>32</v>
      </c>
      <c r="X218" s="20" t="n">
        <v>200</v>
      </c>
    </row>
    <row r="219">
      <c r="A219" s="43" t="inlineStr">
        <is>
          <t>OPM</t>
        </is>
      </c>
      <c r="B219" s="3" t="inlineStr">
        <is>
          <t>영업이익 ÷ 매출</t>
        </is>
      </c>
      <c r="J219" s="15">
        <f>IF(OR(J218="",J198=""),"",IF(J198&lt;=0,"",IFERROR(J218/J198,"")))</f>
        <v/>
      </c>
      <c r="M219" s="15">
        <f>IF(OR(M218="",M198=""),"",IF(M198&lt;=0,"",IFERROR(M218/M198,"")))</f>
        <v/>
      </c>
      <c r="N219" s="15">
        <f>IF(OR(N218="",N198=""),"",IF(N198&lt;=0,"",IFERROR(N218/N198,"")))</f>
        <v/>
      </c>
      <c r="X219" s="15">
        <f>IF(OR(X218="",X198=""),"",IF(X198&lt;=0,"",IFERROR(X218/X198,"")))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J220" s="15">
        <f>IF(OR(J218="",F218=""),"",IF(F218&lt;=0,"",IFERROR(J218/F218-1,"")))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X220" s="15">
        <f>IF(OR(X218="",W218=""),"",IF(W218&lt;=0,"",IFERROR(X218/W218-1,"")))</f>
        <v/>
      </c>
    </row>
    <row r="221">
      <c r="A221" s="18" t="inlineStr">
        <is>
          <t>합계 · 부문 이익</t>
        </is>
      </c>
      <c r="F221" s="20" t="n">
        <v>2336</v>
      </c>
      <c r="J221" s="20" t="n">
        <v>1984</v>
      </c>
      <c r="N221" s="20" t="n">
        <v>2872</v>
      </c>
    </row>
    <row r="222">
      <c r="A222" s="43" t="inlineStr">
        <is>
          <t>OPM</t>
        </is>
      </c>
      <c r="B222" s="3" t="inlineStr">
        <is>
          <t>영업이익 ÷ 매출</t>
        </is>
      </c>
      <c r="F222" s="15">
        <f>IF(OR(F221="",F200=""),"",IF(F200&lt;=0,"",IFERROR(F221/F200,"")))</f>
        <v/>
      </c>
      <c r="J222" s="15">
        <f>IF(OR(J221="",J200=""),"",IF(J200&lt;=0,"",IFERROR(J221/J200,"")))</f>
        <v/>
      </c>
      <c r="N222" s="15">
        <f>IF(OR(N221="",N200=""),"",IF(N200&lt;=0,"",IFERROR(N221/N200,"")))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J223" s="15">
        <f>IF(OR(J221="",F221=""),"",IF(F221&lt;=0,"",IFERROR(J221/F221-1,"")))</f>
        <v/>
      </c>
      <c r="N223" s="15">
        <f>IF(OR(N221="",J221=""),"",IF(J221&lt;=0,"",IFERROR(N221/J221-1,"")))</f>
        <v/>
      </c>
    </row>
    <row r="224">
      <c r="A224" s="18" t="inlineStr">
        <is>
          <t>조정액 · 부문 이익</t>
        </is>
      </c>
      <c r="F224" s="20" t="n">
        <v>0</v>
      </c>
      <c r="I224" s="20" t="n">
        <v>0</v>
      </c>
      <c r="J224" s="20" t="n">
        <v>0</v>
      </c>
      <c r="M224" s="20" t="n">
        <v>0</v>
      </c>
      <c r="N224" s="20" t="n">
        <v>0</v>
      </c>
      <c r="W224" s="20" t="n">
        <v>0</v>
      </c>
      <c r="X224" s="20" t="n">
        <v>0</v>
      </c>
    </row>
    <row r="225">
      <c r="A225" s="9" t="inlineStr">
        <is>
          <t>부문 이익</t>
        </is>
      </c>
      <c r="F225" s="12" t="n">
        <v>2336</v>
      </c>
      <c r="I225" s="12" t="n">
        <v>2740</v>
      </c>
      <c r="W225" s="12" t="n">
        <v>2740</v>
      </c>
    </row>
    <row r="226">
      <c r="A226" s="43" t="inlineStr">
        <is>
          <t>OPM</t>
        </is>
      </c>
      <c r="B226" s="3" t="inlineStr">
        <is>
          <t>영업이익 ÷ 매출</t>
        </is>
      </c>
      <c r="F226" s="15">
        <f>IF(OR(F225="",F178=""),"",IF(F178&lt;=0,"",IFERROR(F225/F178,"")))</f>
        <v/>
      </c>
      <c r="I226" s="15">
        <f>IF(OR(I225="",I178=""),"",IF(I178&lt;=0,"",IFERROR(I225/I178,"")))</f>
        <v/>
      </c>
      <c r="W226" s="15">
        <f>IF(OR(W225="",W178=""),"",IF(W178&lt;=0,"",IFERROR(W225/W178,"")))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I227" s="15">
        <f>IF(OR(I225="",E225=""),"",IF(E225&lt;=0,"",IFERROR(I225/E225-1,"")))</f>
        <v/>
      </c>
      <c r="W227" s="15">
        <f>IF(OR(W225="",V225=""),"",IF(V225&lt;=0,"",IFERROR(W225/V225-1,"")))</f>
        <v/>
      </c>
    </row>
    <row r="228">
      <c r="A228" s="18" t="inlineStr">
        <is>
          <t>EntityTotalMember · 부문 이익</t>
        </is>
      </c>
      <c r="F228" s="20" t="n">
        <v>2336</v>
      </c>
      <c r="J228" s="20" t="n">
        <v>1984</v>
      </c>
      <c r="N228" s="20" t="n">
        <v>2872</v>
      </c>
    </row>
    <row r="230">
      <c r="A230" s="16" t="inlineStr">
        <is>
          <t>현금흐름표 · 전 항목</t>
        </is>
      </c>
      <c r="B230" s="42" t="inlineStr">
        <is>
          <t>분기 = 결산기 첫날부터 누계(공시 그대로)</t>
        </is>
      </c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</row>
    <row r="231">
      <c r="A231" s="5" t="inlineStr">
        <is>
          <t>항목</t>
        </is>
      </c>
      <c r="B231" s="5" t="inlineStr">
        <is>
          <t>참고</t>
        </is>
      </c>
      <c r="C231" s="5" t="inlineStr">
        <is>
          <t>2024.2Q</t>
        </is>
      </c>
      <c r="D231" s="5" t="inlineStr">
        <is>
          <t>2024.3Q</t>
        </is>
      </c>
      <c r="E231" s="5" t="inlineStr">
        <is>
          <t>2024.4Q</t>
        </is>
      </c>
      <c r="F231" s="5" t="inlineStr">
        <is>
          <t>2025.1Q</t>
        </is>
      </c>
      <c r="G231" s="5" t="inlineStr">
        <is>
          <t>2025.2Q</t>
        </is>
      </c>
      <c r="H231" s="5" t="inlineStr">
        <is>
          <t>2025.3Q</t>
        </is>
      </c>
      <c r="I231" s="5" t="inlineStr">
        <is>
          <t>2025.4Q</t>
        </is>
      </c>
      <c r="J231" s="5" t="inlineStr">
        <is>
          <t>2026.1Q</t>
        </is>
      </c>
      <c r="K231" s="5" t="inlineStr">
        <is>
          <t>2026.2Q</t>
        </is>
      </c>
      <c r="L231" s="5" t="inlineStr">
        <is>
          <t>2026.3Q</t>
        </is>
      </c>
      <c r="M231" s="5" t="inlineStr">
        <is>
          <t>2026.4Q</t>
        </is>
      </c>
      <c r="N231" s="5" t="inlineStr">
        <is>
          <t>2027.1Q</t>
        </is>
      </c>
      <c r="O231" s="5" t="inlineStr">
        <is>
          <t>2017</t>
        </is>
      </c>
      <c r="P231" s="5" t="inlineStr">
        <is>
          <t>2018</t>
        </is>
      </c>
      <c r="Q231" s="5" t="inlineStr">
        <is>
          <t>2019</t>
        </is>
      </c>
      <c r="R231" s="5" t="inlineStr">
        <is>
          <t>2020</t>
        </is>
      </c>
      <c r="S231" s="5" t="inlineStr">
        <is>
          <t>2021</t>
        </is>
      </c>
      <c r="T231" s="5" t="inlineStr">
        <is>
          <t>2022</t>
        </is>
      </c>
      <c r="U231" s="5" t="inlineStr">
        <is>
          <t>2023</t>
        </is>
      </c>
      <c r="V231" s="5" t="inlineStr">
        <is>
          <t>2024</t>
        </is>
      </c>
      <c r="W231" s="5" t="inlineStr">
        <is>
          <t>2025</t>
        </is>
      </c>
      <c r="X231" s="5" t="inlineStr">
        <is>
          <t>2026</t>
        </is>
      </c>
      <c r="Y231" s="5" t="inlineStr">
        <is>
          <t>2027(MW)</t>
        </is>
      </c>
      <c r="Z231" s="5" t="inlineStr">
        <is>
          <t>2028(MW)</t>
        </is>
      </c>
      <c r="AA231" s="5" t="inlineStr">
        <is>
          <t>2029(MW)</t>
        </is>
      </c>
      <c r="AB231" s="5" t="inlineStr">
        <is>
          <t>2030(MW)</t>
        </is>
      </c>
      <c r="AC231" s="5" t="inlineStr">
        <is>
          <t>2031(MW)</t>
        </is>
      </c>
    </row>
    <row r="232">
      <c r="A232" s="9" t="inlineStr">
        <is>
          <t>법인세차감전 순이익</t>
        </is>
      </c>
      <c r="E232" s="12" t="n">
        <v>9133</v>
      </c>
      <c r="I232" s="12" t="n">
        <v>6168</v>
      </c>
      <c r="M232" s="12" t="n">
        <v>10118</v>
      </c>
      <c r="O232" s="12" t="n">
        <v>6703</v>
      </c>
      <c r="P232" s="12" t="n">
        <v>8041</v>
      </c>
      <c r="Q232" s="12" t="n">
        <v>7665</v>
      </c>
      <c r="R232" s="12" t="n">
        <v>-9426</v>
      </c>
      <c r="S232" s="12" t="n">
        <v>-7698</v>
      </c>
      <c r="T232" s="12" t="n">
        <v>-1549</v>
      </c>
      <c r="U232" s="12" t="n">
        <v>7265</v>
      </c>
      <c r="V232" s="12" t="n">
        <v>9133</v>
      </c>
      <c r="W232" s="12" t="n">
        <v>6168</v>
      </c>
      <c r="X232" s="12" t="n">
        <v>10118</v>
      </c>
    </row>
    <row r="233">
      <c r="A233" s="18" t="inlineStr">
        <is>
          <t>감가상각비</t>
        </is>
      </c>
      <c r="E233" s="20" t="n">
        <v>4803</v>
      </c>
      <c r="I233" s="20" t="n">
        <v>5344</v>
      </c>
      <c r="M233" s="20" t="n">
        <v>5293</v>
      </c>
      <c r="O233" s="20" t="n">
        <v>4323</v>
      </c>
      <c r="P233" s="20" t="n">
        <v>3597</v>
      </c>
      <c r="Q233" s="20" t="n">
        <v>4649</v>
      </c>
      <c r="R233" s="20" t="n">
        <v>5875</v>
      </c>
      <c r="S233" s="20" t="n">
        <v>5446</v>
      </c>
      <c r="T233" s="20" t="n">
        <v>4542</v>
      </c>
      <c r="U233" s="20" t="n">
        <v>4737</v>
      </c>
      <c r="V233" s="20" t="n">
        <v>4803</v>
      </c>
      <c r="W233" s="20" t="n">
        <v>5344</v>
      </c>
      <c r="X233" s="20" t="n">
        <v>5293</v>
      </c>
    </row>
    <row r="234">
      <c r="A234" s="18" t="inlineStr">
        <is>
          <t>손상차손</t>
        </is>
      </c>
      <c r="E234" s="20" t="n">
        <v>0</v>
      </c>
      <c r="I234" s="20" t="n">
        <v>1335</v>
      </c>
      <c r="M234" s="20" t="n">
        <v>612</v>
      </c>
      <c r="O234" s="20" t="n">
        <v>3934</v>
      </c>
      <c r="P234" s="20" t="n">
        <v>385</v>
      </c>
      <c r="Q234" s="20" t="n">
        <v>19</v>
      </c>
      <c r="R234" s="20" t="n">
        <v>7782</v>
      </c>
      <c r="S234" s="20" t="n">
        <v>4742</v>
      </c>
      <c r="T234" s="20" t="n">
        <v>131</v>
      </c>
      <c r="U234" s="20" t="n">
        <v>461</v>
      </c>
      <c r="V234" s="20" t="n">
        <v>0</v>
      </c>
      <c r="W234" s="20" t="n">
        <v>1335</v>
      </c>
      <c r="X234" s="20" t="n">
        <v>612</v>
      </c>
    </row>
    <row r="235">
      <c r="A235" s="18" t="inlineStr">
        <is>
          <t>사업 철수 손실</t>
        </is>
      </c>
      <c r="Q235" s="20" t="n">
        <v>0</v>
      </c>
      <c r="R235" s="20" t="n">
        <v>1587</v>
      </c>
    </row>
    <row r="236">
      <c r="A236" s="18" t="inlineStr">
        <is>
          <t>투자유가증권 평가손익</t>
        </is>
      </c>
      <c r="S236" s="20" t="n">
        <v>0</v>
      </c>
      <c r="T236" s="20" t="n">
        <v>10312</v>
      </c>
      <c r="U236" s="20" t="n">
        <v>0</v>
      </c>
    </row>
    <row r="237">
      <c r="A237" s="18" t="inlineStr">
        <is>
          <t>사업구조개선비용</t>
        </is>
      </c>
      <c r="R237" s="20" t="n">
        <v>1587</v>
      </c>
      <c r="S237" s="20" t="n">
        <v>7319</v>
      </c>
      <c r="T237" s="20" t="n">
        <v>0</v>
      </c>
    </row>
    <row r="238">
      <c r="A238" s="18" t="inlineStr">
        <is>
          <t>Gain On Sales Of Investments In Capital Of Subsidiaries And Affiliates Ope CF</t>
        </is>
      </c>
      <c r="I238" s="20" t="n">
        <v>0</v>
      </c>
      <c r="M238" s="20" t="n">
        <v>-2857</v>
      </c>
      <c r="W238" s="20" t="n">
        <v>0</v>
      </c>
      <c r="X238" s="20" t="n">
        <v>-2857</v>
      </c>
    </row>
    <row r="239">
      <c r="A239" s="18" t="inlineStr">
        <is>
          <t>특별퇴직금</t>
        </is>
      </c>
      <c r="E239" s="20" t="n">
        <v>435</v>
      </c>
      <c r="I239" s="20" t="n">
        <v>1886</v>
      </c>
      <c r="M239" s="20" t="n">
        <v>378</v>
      </c>
      <c r="S239" s="20" t="n">
        <v>0</v>
      </c>
      <c r="T239" s="20" t="n">
        <v>635</v>
      </c>
      <c r="U239" s="20" t="n">
        <v>407</v>
      </c>
      <c r="V239" s="20" t="n">
        <v>435</v>
      </c>
      <c r="W239" s="20" t="n">
        <v>1886</v>
      </c>
      <c r="X239" s="20" t="n">
        <v>378</v>
      </c>
    </row>
    <row r="240">
      <c r="A240" s="18" t="inlineStr">
        <is>
          <t>영업권 상각</t>
        </is>
      </c>
      <c r="E240" s="20" t="n">
        <v>0</v>
      </c>
      <c r="O240" s="20" t="n">
        <v>0</v>
      </c>
      <c r="P240" s="20" t="n">
        <v>540</v>
      </c>
      <c r="Q240" s="20" t="n">
        <v>923</v>
      </c>
      <c r="R240" s="20" t="n">
        <v>1231</v>
      </c>
      <c r="S240" s="20" t="n">
        <v>590</v>
      </c>
      <c r="T240" s="20" t="n">
        <v>590</v>
      </c>
      <c r="U240" s="20" t="n">
        <v>48</v>
      </c>
      <c r="V240" s="20" t="n">
        <v>0</v>
      </c>
    </row>
    <row r="241">
      <c r="A241" s="18" t="inlineStr">
        <is>
          <t>퇴직급여부채 증감</t>
        </is>
      </c>
      <c r="E241" s="20" t="n">
        <v>232</v>
      </c>
      <c r="I241" s="20" t="n">
        <v>-536</v>
      </c>
      <c r="M241" s="20" t="n">
        <v>-261</v>
      </c>
      <c r="O241" s="20" t="n">
        <v>141</v>
      </c>
      <c r="P241" s="20" t="n">
        <v>230</v>
      </c>
      <c r="Q241" s="20" t="n">
        <v>126</v>
      </c>
      <c r="R241" s="20" t="n">
        <v>-445</v>
      </c>
      <c r="S241" s="20" t="n">
        <v>-1217</v>
      </c>
      <c r="T241" s="20" t="n">
        <v>-286</v>
      </c>
      <c r="U241" s="20" t="n">
        <v>38</v>
      </c>
      <c r="V241" s="20" t="n">
        <v>232</v>
      </c>
      <c r="W241" s="20" t="n">
        <v>-536</v>
      </c>
      <c r="X241" s="20" t="n">
        <v>-261</v>
      </c>
    </row>
    <row r="242">
      <c r="A242" s="18" t="inlineStr">
        <is>
          <t>대손충당금 증감</t>
        </is>
      </c>
      <c r="E242" s="20" t="n">
        <v>-405</v>
      </c>
      <c r="I242" s="20" t="n">
        <v>122</v>
      </c>
      <c r="M242" s="20" t="n">
        <v>107</v>
      </c>
      <c r="O242" s="20" t="n">
        <v>174</v>
      </c>
      <c r="P242" s="20" t="n">
        <v>-27</v>
      </c>
      <c r="Q242" s="20" t="n">
        <v>-51</v>
      </c>
      <c r="R242" s="20" t="n">
        <v>-66</v>
      </c>
      <c r="S242" s="20" t="n">
        <v>-23</v>
      </c>
      <c r="T242" s="20" t="n">
        <v>305</v>
      </c>
      <c r="U242" s="20" t="n">
        <v>-82</v>
      </c>
      <c r="V242" s="20" t="n">
        <v>-405</v>
      </c>
      <c r="W242" s="20" t="n">
        <v>122</v>
      </c>
      <c r="X242" s="20" t="n">
        <v>107</v>
      </c>
    </row>
    <row r="243">
      <c r="A243" s="18" t="inlineStr">
        <is>
          <t>이자·배당금 수익</t>
        </is>
      </c>
      <c r="E243" s="20" t="n">
        <v>-726</v>
      </c>
      <c r="I243" s="20" t="n">
        <v>-769</v>
      </c>
      <c r="M243" s="20" t="n">
        <v>-509</v>
      </c>
      <c r="O243" s="20" t="n">
        <v>-319</v>
      </c>
      <c r="P243" s="20" t="n">
        <v>-376</v>
      </c>
      <c r="Q243" s="20" t="n">
        <v>-495</v>
      </c>
      <c r="R243" s="20" t="n">
        <v>-359</v>
      </c>
      <c r="S243" s="20" t="n">
        <v>-461</v>
      </c>
      <c r="T243" s="20" t="n">
        <v>-280</v>
      </c>
      <c r="U243" s="20" t="n">
        <v>-327</v>
      </c>
      <c r="V243" s="20" t="n">
        <v>-726</v>
      </c>
      <c r="W243" s="20" t="n">
        <v>-769</v>
      </c>
      <c r="X243" s="20" t="n">
        <v>-509</v>
      </c>
    </row>
    <row r="244">
      <c r="A244" s="18" t="inlineStr">
        <is>
          <t>이자비용</t>
        </is>
      </c>
      <c r="E244" s="20" t="n">
        <v>79</v>
      </c>
      <c r="I244" s="20" t="n">
        <v>146</v>
      </c>
      <c r="M244" s="20" t="n">
        <v>249</v>
      </c>
      <c r="O244" s="20" t="n">
        <v>29</v>
      </c>
      <c r="P244" s="20" t="n">
        <v>37</v>
      </c>
      <c r="Q244" s="20" t="n">
        <v>53</v>
      </c>
      <c r="R244" s="20" t="n">
        <v>81</v>
      </c>
      <c r="S244" s="20" t="n">
        <v>112</v>
      </c>
      <c r="T244" s="20" t="n">
        <v>107</v>
      </c>
      <c r="U244" s="20" t="n">
        <v>103</v>
      </c>
      <c r="V244" s="20" t="n">
        <v>79</v>
      </c>
      <c r="W244" s="20" t="n">
        <v>146</v>
      </c>
      <c r="X244" s="20" t="n">
        <v>249</v>
      </c>
    </row>
    <row r="245">
      <c r="A245" s="18" t="inlineStr">
        <is>
          <t>지분법손익</t>
        </is>
      </c>
      <c r="E245" s="20" t="n">
        <v>46</v>
      </c>
      <c r="I245" s="20" t="n">
        <v>-78</v>
      </c>
      <c r="M245" s="20" t="n">
        <v>-398</v>
      </c>
      <c r="O245" s="20" t="n">
        <v>126</v>
      </c>
      <c r="P245" s="20" t="n">
        <v>-346</v>
      </c>
      <c r="Q245" s="20" t="n">
        <v>-546</v>
      </c>
      <c r="R245" s="20" t="n">
        <v>-164</v>
      </c>
      <c r="S245" s="20" t="n">
        <v>30</v>
      </c>
      <c r="T245" s="20" t="n">
        <v>-138</v>
      </c>
      <c r="U245" s="20" t="n">
        <v>152</v>
      </c>
      <c r="V245" s="20" t="n">
        <v>46</v>
      </c>
      <c r="W245" s="20" t="n">
        <v>-78</v>
      </c>
      <c r="X245" s="20" t="n">
        <v>-398</v>
      </c>
    </row>
    <row r="246">
      <c r="A246" s="18" t="inlineStr">
        <is>
          <t>투자유가증권 매각손익</t>
        </is>
      </c>
      <c r="E246" s="20" t="n">
        <v>0</v>
      </c>
      <c r="S246" s="20" t="n">
        <v>-16</v>
      </c>
      <c r="T246" s="20" t="n">
        <v>-329</v>
      </c>
      <c r="U246" s="20" t="n">
        <v>-9</v>
      </c>
      <c r="V246" s="20" t="n">
        <v>0</v>
      </c>
    </row>
    <row r="247">
      <c r="A247" s="18" t="inlineStr">
        <is>
          <t>고정자산 제각·매각손익</t>
        </is>
      </c>
      <c r="E247" s="20" t="n">
        <v>218</v>
      </c>
      <c r="I247" s="20" t="n">
        <v>416</v>
      </c>
      <c r="M247" s="20" t="n">
        <v>345</v>
      </c>
      <c r="O247" s="20" t="n">
        <v>-4064</v>
      </c>
      <c r="P247" s="20" t="n">
        <v>384</v>
      </c>
      <c r="Q247" s="20" t="n">
        <v>280</v>
      </c>
      <c r="R247" s="20" t="n">
        <v>308</v>
      </c>
      <c r="S247" s="20" t="n">
        <v>-6339</v>
      </c>
      <c r="T247" s="20" t="n">
        <v>433</v>
      </c>
      <c r="U247" s="20" t="n">
        <v>-1397</v>
      </c>
      <c r="V247" s="20" t="n">
        <v>218</v>
      </c>
      <c r="W247" s="20" t="n">
        <v>416</v>
      </c>
      <c r="X247" s="20" t="n">
        <v>345</v>
      </c>
    </row>
    <row r="248">
      <c r="A248" s="18" t="inlineStr">
        <is>
          <t>부의 영업권 발생이익</t>
        </is>
      </c>
      <c r="P248" s="20" t="n">
        <v>0</v>
      </c>
      <c r="Q248" s="20" t="n">
        <v>-2143</v>
      </c>
      <c r="R248" s="20" t="n">
        <v>0</v>
      </c>
    </row>
    <row r="249">
      <c r="A249" s="18" t="inlineStr">
        <is>
          <t>매출채권 증감</t>
        </is>
      </c>
      <c r="E249" s="20" t="n">
        <v>1020</v>
      </c>
      <c r="I249" s="20" t="n">
        <v>1930</v>
      </c>
      <c r="M249" s="20" t="n">
        <v>1247</v>
      </c>
      <c r="O249" s="20" t="n">
        <v>3617</v>
      </c>
      <c r="P249" s="20" t="n">
        <v>-3519</v>
      </c>
      <c r="Q249" s="20" t="n">
        <v>-4336</v>
      </c>
      <c r="R249" s="20" t="n">
        <v>9441</v>
      </c>
      <c r="S249" s="20" t="n">
        <v>464</v>
      </c>
      <c r="T249" s="20" t="n">
        <v>1004</v>
      </c>
      <c r="U249" s="20" t="n">
        <v>384</v>
      </c>
      <c r="V249" s="20" t="n">
        <v>1020</v>
      </c>
      <c r="W249" s="20" t="n">
        <v>1930</v>
      </c>
      <c r="X249" s="20" t="n">
        <v>1247</v>
      </c>
    </row>
    <row r="250">
      <c r="A250" s="18" t="inlineStr">
        <is>
          <t>재고자산 증감</t>
        </is>
      </c>
      <c r="E250" s="20" t="n">
        <v>3750</v>
      </c>
      <c r="I250" s="20" t="n">
        <v>333</v>
      </c>
      <c r="M250" s="20" t="n">
        <v>1953</v>
      </c>
      <c r="O250" s="20" t="n">
        <v>501</v>
      </c>
      <c r="P250" s="20" t="n">
        <v>-3599</v>
      </c>
      <c r="Q250" s="20" t="n">
        <v>-1344</v>
      </c>
      <c r="R250" s="20" t="n">
        <v>2707</v>
      </c>
      <c r="S250" s="20" t="n">
        <v>4530</v>
      </c>
      <c r="T250" s="20" t="n">
        <v>-1338</v>
      </c>
      <c r="U250" s="20" t="n">
        <v>-3868</v>
      </c>
      <c r="V250" s="20" t="n">
        <v>3750</v>
      </c>
      <c r="W250" s="20" t="n">
        <v>333</v>
      </c>
      <c r="X250" s="20" t="n">
        <v>1953</v>
      </c>
    </row>
    <row r="251">
      <c r="A251" s="18" t="inlineStr">
        <is>
          <t>매입채무 증감</t>
        </is>
      </c>
      <c r="E251" s="20" t="n">
        <v>-1467</v>
      </c>
      <c r="I251" s="20" t="n">
        <v>-242</v>
      </c>
      <c r="M251" s="20" t="n">
        <v>-2418</v>
      </c>
      <c r="O251" s="20" t="n">
        <v>-719</v>
      </c>
      <c r="P251" s="20" t="n">
        <v>5349</v>
      </c>
      <c r="Q251" s="20" t="n">
        <v>-3229</v>
      </c>
      <c r="R251" s="20" t="n">
        <v>-3004</v>
      </c>
      <c r="S251" s="20" t="n">
        <v>852</v>
      </c>
      <c r="T251" s="20" t="n">
        <v>1251</v>
      </c>
      <c r="U251" s="20" t="n">
        <v>-1320</v>
      </c>
      <c r="V251" s="20" t="n">
        <v>-1467</v>
      </c>
      <c r="W251" s="20" t="n">
        <v>-242</v>
      </c>
      <c r="X251" s="20" t="n">
        <v>-2418</v>
      </c>
    </row>
    <row r="252">
      <c r="A252" s="18" t="inlineStr">
        <is>
          <t>선수금 증감</t>
        </is>
      </c>
      <c r="E252" s="20" t="n">
        <v>-1466</v>
      </c>
      <c r="I252" s="20" t="n">
        <v>-2182</v>
      </c>
      <c r="M252" s="20" t="n">
        <v>-1138</v>
      </c>
      <c r="S252" s="20" t="n">
        <v>274</v>
      </c>
      <c r="T252" s="20" t="n">
        <v>14086</v>
      </c>
      <c r="U252" s="20" t="n">
        <v>-1816</v>
      </c>
      <c r="V252" s="20" t="n">
        <v>-1466</v>
      </c>
      <c r="W252" s="20" t="n">
        <v>-2182</v>
      </c>
      <c r="X252" s="20" t="n">
        <v>-1138</v>
      </c>
    </row>
    <row r="253">
      <c r="A253" s="18" t="inlineStr">
        <is>
          <t>미지급비용 증감</t>
        </is>
      </c>
      <c r="I253" s="20" t="n">
        <v>-511</v>
      </c>
      <c r="M253" s="20" t="n">
        <v>-1069</v>
      </c>
      <c r="O253" s="20" t="n">
        <v>-279</v>
      </c>
      <c r="P253" s="20" t="n">
        <v>73</v>
      </c>
      <c r="Q253" s="20" t="n">
        <v>821</v>
      </c>
      <c r="R253" s="20" t="n">
        <v>-1674</v>
      </c>
      <c r="S253" s="20" t="n">
        <v>6728</v>
      </c>
      <c r="T253" s="20" t="n">
        <v>-8851</v>
      </c>
      <c r="U253" s="20" t="n">
        <v>-1042</v>
      </c>
      <c r="W253" s="20" t="n">
        <v>-511</v>
      </c>
      <c r="X253" s="20" t="n">
        <v>-1069</v>
      </c>
    </row>
    <row r="254">
      <c r="A254" s="18" t="inlineStr">
        <is>
          <t>미수금 증감</t>
        </is>
      </c>
      <c r="O254" s="20" t="n">
        <v>-16</v>
      </c>
      <c r="P254" s="20" t="n">
        <v>-811</v>
      </c>
      <c r="Q254" s="20" t="n">
        <v>-317</v>
      </c>
      <c r="R254" s="20" t="n">
        <v>807</v>
      </c>
      <c r="S254" s="20" t="n">
        <v>-1006</v>
      </c>
    </row>
    <row r="255">
      <c r="A255" s="18" t="inlineStr">
        <is>
          <t>미지급금 증감</t>
        </is>
      </c>
      <c r="E255" s="20" t="n">
        <v>-612</v>
      </c>
      <c r="I255" s="20" t="n">
        <v>-1006</v>
      </c>
      <c r="M255" s="20" t="n">
        <v>849</v>
      </c>
      <c r="V255" s="20" t="n">
        <v>-612</v>
      </c>
      <c r="W255" s="20" t="n">
        <v>-1006</v>
      </c>
      <c r="X255" s="20" t="n">
        <v>849</v>
      </c>
    </row>
    <row r="256">
      <c r="A256" s="18" t="inlineStr">
        <is>
          <t>기타</t>
        </is>
      </c>
      <c r="E256" s="20" t="n">
        <v>-818</v>
      </c>
      <c r="I256" s="20" t="n">
        <v>-1328</v>
      </c>
      <c r="M256" s="20" t="n">
        <v>-1522</v>
      </c>
      <c r="O256" s="20" t="n">
        <v>-1706</v>
      </c>
      <c r="P256" s="20" t="n">
        <v>-993</v>
      </c>
      <c r="Q256" s="20" t="n">
        <v>939</v>
      </c>
      <c r="R256" s="20" t="n">
        <v>-1222</v>
      </c>
      <c r="S256" s="20" t="n">
        <v>-571</v>
      </c>
      <c r="T256" s="20" t="n">
        <v>1952</v>
      </c>
      <c r="U256" s="20" t="n">
        <v>1459</v>
      </c>
      <c r="V256" s="20" t="n">
        <v>-818</v>
      </c>
      <c r="W256" s="20" t="n">
        <v>-1328</v>
      </c>
      <c r="X256" s="20" t="n">
        <v>-1522</v>
      </c>
    </row>
    <row r="257">
      <c r="A257" s="18" t="inlineStr">
        <is>
          <t>소계</t>
        </is>
      </c>
      <c r="E257" s="20" t="n">
        <v>14222</v>
      </c>
      <c r="I257" s="20" t="n">
        <v>11028</v>
      </c>
      <c r="M257" s="20" t="n">
        <v>10979</v>
      </c>
      <c r="O257" s="20" t="n">
        <v>12445</v>
      </c>
      <c r="P257" s="20" t="n">
        <v>8965</v>
      </c>
      <c r="Q257" s="20" t="n">
        <v>3014</v>
      </c>
      <c r="R257" s="20" t="n">
        <v>13459</v>
      </c>
      <c r="S257" s="20" t="n">
        <v>14762</v>
      </c>
      <c r="T257" s="20" t="n">
        <v>22577</v>
      </c>
      <c r="U257" s="20" t="n">
        <v>6235</v>
      </c>
      <c r="V257" s="20" t="n">
        <v>14222</v>
      </c>
      <c r="W257" s="20" t="n">
        <v>11028</v>
      </c>
      <c r="X257" s="20" t="n">
        <v>10979</v>
      </c>
    </row>
    <row r="258">
      <c r="A258" s="18" t="inlineStr">
        <is>
          <t>이자·배당금 수취</t>
        </is>
      </c>
      <c r="E258" s="20" t="n">
        <v>733</v>
      </c>
      <c r="I258" s="20" t="n">
        <v>882</v>
      </c>
      <c r="M258" s="20" t="n">
        <v>570</v>
      </c>
      <c r="O258" s="20" t="n">
        <v>303</v>
      </c>
      <c r="P258" s="20" t="n">
        <v>383</v>
      </c>
      <c r="Q258" s="20" t="n">
        <v>496</v>
      </c>
      <c r="R258" s="20" t="n">
        <v>577</v>
      </c>
      <c r="S258" s="20" t="n">
        <v>582</v>
      </c>
      <c r="T258" s="20" t="n">
        <v>298</v>
      </c>
      <c r="U258" s="20" t="n">
        <v>479</v>
      </c>
      <c r="V258" s="20" t="n">
        <v>733</v>
      </c>
      <c r="W258" s="20" t="n">
        <v>882</v>
      </c>
      <c r="X258" s="20" t="n">
        <v>570</v>
      </c>
    </row>
    <row r="259">
      <c r="A259" s="18" t="inlineStr">
        <is>
          <t>이자 지급</t>
        </is>
      </c>
      <c r="E259" s="20" t="n">
        <v>-69</v>
      </c>
      <c r="I259" s="20" t="n">
        <v>-128</v>
      </c>
      <c r="M259" s="20" t="n">
        <v>-213</v>
      </c>
      <c r="O259" s="20" t="n">
        <v>-29</v>
      </c>
      <c r="P259" s="20" t="n">
        <v>-37</v>
      </c>
      <c r="Q259" s="20" t="n">
        <v>-68</v>
      </c>
      <c r="R259" s="20" t="n">
        <v>-82</v>
      </c>
      <c r="S259" s="20" t="n">
        <v>-105</v>
      </c>
      <c r="T259" s="20" t="n">
        <v>-109</v>
      </c>
      <c r="U259" s="20" t="n">
        <v>-102</v>
      </c>
      <c r="V259" s="20" t="n">
        <v>-69</v>
      </c>
      <c r="W259" s="20" t="n">
        <v>-128</v>
      </c>
      <c r="X259" s="20" t="n">
        <v>-213</v>
      </c>
    </row>
    <row r="260">
      <c r="A260" s="18" t="inlineStr">
        <is>
          <t>법인세 납부·환급</t>
        </is>
      </c>
      <c r="E260" s="20" t="n">
        <v>-646</v>
      </c>
      <c r="I260" s="20" t="n">
        <v>-1946</v>
      </c>
      <c r="R260" s="20" t="n">
        <v>272</v>
      </c>
      <c r="S260" s="20" t="n">
        <v>-2210</v>
      </c>
      <c r="T260" s="20" t="n">
        <v>-4324</v>
      </c>
      <c r="U260" s="20" t="n">
        <v>-2611</v>
      </c>
      <c r="V260" s="20" t="n">
        <v>-646</v>
      </c>
      <c r="W260" s="20" t="n">
        <v>-1946</v>
      </c>
    </row>
    <row r="261">
      <c r="A261" s="18" t="inlineStr">
        <is>
          <t>법인세 납부</t>
        </is>
      </c>
      <c r="I261" s="20" t="n">
        <v>-1946</v>
      </c>
      <c r="M261" s="20" t="n">
        <v>-2411</v>
      </c>
      <c r="O261" s="20" t="n">
        <v>-748</v>
      </c>
      <c r="P261" s="20" t="n">
        <v>-1514</v>
      </c>
      <c r="Q261" s="20" t="n">
        <v>-2869</v>
      </c>
      <c r="R261" s="20" t="n">
        <v>272</v>
      </c>
      <c r="W261" s="20" t="n">
        <v>-1946</v>
      </c>
      <c r="X261" s="20" t="n">
        <v>-2411</v>
      </c>
    </row>
    <row r="262">
      <c r="A262" s="9" t="inlineStr">
        <is>
          <t>영업활동 현금흐름</t>
        </is>
      </c>
      <c r="E262" s="12" t="n">
        <v>14240</v>
      </c>
      <c r="I262" s="12" t="n">
        <v>9836</v>
      </c>
      <c r="M262" s="12" t="n">
        <v>8925</v>
      </c>
      <c r="O262" s="12" t="n">
        <v>11971</v>
      </c>
      <c r="P262" s="12" t="n">
        <v>7797</v>
      </c>
      <c r="Q262" s="12" t="n">
        <v>573</v>
      </c>
      <c r="R262" s="12" t="n">
        <v>14226</v>
      </c>
      <c r="S262" s="12" t="n">
        <v>13029</v>
      </c>
      <c r="T262" s="12" t="n">
        <v>18442</v>
      </c>
      <c r="U262" s="12" t="n">
        <v>4001</v>
      </c>
      <c r="V262" s="12" t="n">
        <v>14240</v>
      </c>
      <c r="W262" s="12" t="n">
        <v>9836</v>
      </c>
      <c r="X262" s="12" t="n">
        <v>8925</v>
      </c>
    </row>
    <row r="263">
      <c r="A263" s="18" t="inlineStr">
        <is>
          <t>정기예금 예입</t>
        </is>
      </c>
      <c r="E263" s="20" t="n">
        <v>-881</v>
      </c>
      <c r="I263" s="20" t="n">
        <v>0</v>
      </c>
      <c r="M263" s="20" t="n">
        <v>-800</v>
      </c>
      <c r="O263" s="20" t="n">
        <v>-3118</v>
      </c>
      <c r="P263" s="20" t="n">
        <v>-559</v>
      </c>
      <c r="Q263" s="20" t="n">
        <v>-281</v>
      </c>
      <c r="R263" s="20" t="n">
        <v>-218</v>
      </c>
      <c r="S263" s="20" t="n">
        <v>-221</v>
      </c>
      <c r="T263" s="20" t="n">
        <v>-2215</v>
      </c>
      <c r="U263" s="20" t="n">
        <v>-1601</v>
      </c>
      <c r="V263" s="20" t="n">
        <v>-881</v>
      </c>
      <c r="W263" s="20" t="n">
        <v>0</v>
      </c>
      <c r="X263" s="20" t="n">
        <v>-800</v>
      </c>
    </row>
    <row r="264">
      <c r="A264" s="18" t="inlineStr">
        <is>
          <t>정기예금 인출</t>
        </is>
      </c>
      <c r="E264" s="20" t="n">
        <v>2482</v>
      </c>
      <c r="I264" s="20" t="n">
        <v>0</v>
      </c>
      <c r="M264" s="20" t="n">
        <v>800</v>
      </c>
      <c r="O264" s="20" t="n">
        <v>162</v>
      </c>
      <c r="P264" s="20" t="n">
        <v>3170</v>
      </c>
      <c r="Q264" s="20" t="n">
        <v>445</v>
      </c>
      <c r="R264" s="20" t="n">
        <v>218</v>
      </c>
      <c r="S264" s="20" t="n">
        <v>207</v>
      </c>
      <c r="T264" s="20" t="n">
        <v>221</v>
      </c>
      <c r="U264" s="20" t="n">
        <v>2215</v>
      </c>
      <c r="V264" s="20" t="n">
        <v>2482</v>
      </c>
      <c r="W264" s="20" t="n">
        <v>0</v>
      </c>
      <c r="X264" s="20" t="n">
        <v>800</v>
      </c>
    </row>
    <row r="265">
      <c r="A265" s="18" t="inlineStr">
        <is>
          <t>Payments Of Real Estate For Rent In Construction Inv CF</t>
        </is>
      </c>
      <c r="P265" s="20" t="n">
        <v>0</v>
      </c>
      <c r="Q265" s="20" t="n">
        <v>-3487</v>
      </c>
      <c r="R265" s="20" t="n">
        <v>-2360</v>
      </c>
      <c r="S265" s="20" t="n">
        <v>0</v>
      </c>
    </row>
    <row r="266">
      <c r="A266" s="18" t="inlineStr">
        <is>
          <t>유형자산 취득(설비투자)</t>
        </is>
      </c>
      <c r="E266" s="20" t="n">
        <v>-6027</v>
      </c>
      <c r="I266" s="20" t="n">
        <v>-7850</v>
      </c>
      <c r="M266" s="20" t="n">
        <v>-7840</v>
      </c>
      <c r="O266" s="20" t="n">
        <v>-3259</v>
      </c>
      <c r="P266" s="20" t="n">
        <v>-5523</v>
      </c>
      <c r="Q266" s="20" t="n">
        <v>-9074</v>
      </c>
      <c r="R266" s="20" t="n">
        <v>-7898</v>
      </c>
      <c r="S266" s="20" t="n">
        <v>-6268</v>
      </c>
      <c r="T266" s="20" t="n">
        <v>-4030</v>
      </c>
      <c r="U266" s="20" t="n">
        <v>-4931</v>
      </c>
      <c r="V266" s="20" t="n">
        <v>-6027</v>
      </c>
      <c r="W266" s="20" t="n">
        <v>-7850</v>
      </c>
      <c r="X266" s="20" t="n">
        <v>-7840</v>
      </c>
    </row>
    <row r="267">
      <c r="A267" s="18" t="inlineStr">
        <is>
          <t>유형자산 매각</t>
        </is>
      </c>
      <c r="E267" s="20" t="n">
        <v>29</v>
      </c>
      <c r="I267" s="20" t="n">
        <v>35</v>
      </c>
      <c r="M267" s="20" t="n">
        <v>77</v>
      </c>
      <c r="O267" s="20" t="n">
        <v>6052</v>
      </c>
      <c r="P267" s="20" t="n">
        <v>830</v>
      </c>
      <c r="Q267" s="20" t="n">
        <v>15</v>
      </c>
      <c r="R267" s="20" t="n">
        <v>6</v>
      </c>
      <c r="S267" s="20" t="n">
        <v>14784</v>
      </c>
      <c r="T267" s="20" t="n">
        <v>832</v>
      </c>
      <c r="U267" s="20" t="n">
        <v>5649</v>
      </c>
      <c r="V267" s="20" t="n">
        <v>29</v>
      </c>
      <c r="W267" s="20" t="n">
        <v>35</v>
      </c>
      <c r="X267" s="20" t="n">
        <v>77</v>
      </c>
    </row>
    <row r="268">
      <c r="A268" s="18" t="inlineStr">
        <is>
          <t>무형자산 취득</t>
        </is>
      </c>
      <c r="E268" s="20" t="n">
        <v>-572</v>
      </c>
      <c r="I268" s="20" t="n">
        <v>-360</v>
      </c>
      <c r="M268" s="20" t="n">
        <v>-480</v>
      </c>
      <c r="P268" s="20" t="n">
        <v>-362</v>
      </c>
      <c r="Q268" s="20" t="n">
        <v>-2180</v>
      </c>
      <c r="R268" s="20" t="n">
        <v>-508</v>
      </c>
      <c r="S268" s="20" t="n">
        <v>-483</v>
      </c>
      <c r="T268" s="20" t="n">
        <v>-1112</v>
      </c>
      <c r="U268" s="20" t="n">
        <v>-595</v>
      </c>
      <c r="V268" s="20" t="n">
        <v>-572</v>
      </c>
      <c r="W268" s="20" t="n">
        <v>-360</v>
      </c>
      <c r="X268" s="20" t="n">
        <v>-480</v>
      </c>
    </row>
    <row r="269">
      <c r="A269" s="18" t="inlineStr">
        <is>
          <t>투자유가증권 취득</t>
        </is>
      </c>
      <c r="E269" s="20" t="n">
        <v>-72</v>
      </c>
      <c r="O269" s="20" t="n">
        <v>-1507</v>
      </c>
      <c r="P269" s="20" t="n">
        <v>-1632</v>
      </c>
      <c r="Q269" s="20" t="n">
        <v>-10252</v>
      </c>
      <c r="R269" s="20" t="n">
        <v>-130</v>
      </c>
      <c r="S269" s="20" t="n">
        <v>-31</v>
      </c>
      <c r="T269" s="20" t="n">
        <v>-7</v>
      </c>
      <c r="U269" s="20" t="n">
        <v>-6</v>
      </c>
      <c r="V269" s="20" t="n">
        <v>-72</v>
      </c>
    </row>
    <row r="270">
      <c r="A270" s="18" t="inlineStr">
        <is>
          <t>투자유가증권 매각</t>
        </is>
      </c>
      <c r="E270" s="20" t="n">
        <v>0</v>
      </c>
      <c r="I270" s="20" t="n">
        <v>130</v>
      </c>
      <c r="M270" s="20" t="n">
        <v>63</v>
      </c>
      <c r="Q270" s="20" t="n">
        <v>274</v>
      </c>
      <c r="R270" s="20" t="n">
        <v>332</v>
      </c>
      <c r="S270" s="20" t="n">
        <v>37</v>
      </c>
      <c r="T270" s="20" t="n">
        <v>2403</v>
      </c>
      <c r="U270" s="20" t="n">
        <v>985</v>
      </c>
      <c r="V270" s="20" t="n">
        <v>0</v>
      </c>
      <c r="W270" s="20" t="n">
        <v>130</v>
      </c>
      <c r="X270" s="20" t="n">
        <v>63</v>
      </c>
    </row>
    <row r="271">
      <c r="A271" s="18" t="inlineStr">
        <is>
          <t>사업양수 지출</t>
        </is>
      </c>
      <c r="P271" s="20" t="n">
        <v>0</v>
      </c>
      <c r="Q271" s="20" t="n">
        <v>-949</v>
      </c>
      <c r="R271" s="20" t="n">
        <v>-1521</v>
      </c>
      <c r="S271" s="20" t="n">
        <v>0</v>
      </c>
    </row>
    <row r="272">
      <c r="A272" s="18" t="inlineStr">
        <is>
          <t>연결범위 변경 자회사 주식 취득</t>
        </is>
      </c>
      <c r="I272" s="20" t="n">
        <v>0</v>
      </c>
      <c r="M272" s="20" t="n">
        <v>-7955</v>
      </c>
      <c r="O272" s="20" t="n">
        <v>0</v>
      </c>
      <c r="P272" s="20" t="n">
        <v>-4940</v>
      </c>
      <c r="Q272" s="20" t="n">
        <v>-16683</v>
      </c>
      <c r="R272" s="20" t="n">
        <v>0</v>
      </c>
      <c r="W272" s="20" t="n">
        <v>0</v>
      </c>
      <c r="X272" s="20" t="n">
        <v>-7955</v>
      </c>
    </row>
    <row r="273">
      <c r="A273" s="18" t="inlineStr">
        <is>
          <t>관계회사 주식 취득</t>
        </is>
      </c>
      <c r="O273" s="20" t="n">
        <v>-465</v>
      </c>
      <c r="P273" s="20" t="n">
        <v>0</v>
      </c>
      <c r="Q273" s="20" t="n">
        <v>-4200</v>
      </c>
      <c r="R273" s="20" t="n">
        <v>0</v>
      </c>
    </row>
    <row r="274">
      <c r="A274" s="18" t="inlineStr">
        <is>
          <t>관계회사 출자금 매각 수입</t>
        </is>
      </c>
      <c r="O274" s="20" t="n">
        <v>0</v>
      </c>
      <c r="P274" s="20" t="n">
        <v>98</v>
      </c>
      <c r="Q274" s="20" t="n">
        <v>0</v>
      </c>
    </row>
    <row r="275">
      <c r="A275" s="18" t="inlineStr">
        <is>
          <t>단기대여금 순증감</t>
        </is>
      </c>
      <c r="O275" s="20" t="n">
        <v>12</v>
      </c>
      <c r="P275" s="20" t="n">
        <v>0</v>
      </c>
    </row>
    <row r="276">
      <c r="A276" s="18" t="inlineStr">
        <is>
          <t>Proceeds From Sales Of Investments In Capital Of Subsidiaries And Associates Resulting In Change In Scope Of Consolidation Inv CF</t>
        </is>
      </c>
      <c r="I276" s="20" t="n">
        <v>0</v>
      </c>
      <c r="M276" s="20" t="n">
        <v>998</v>
      </c>
      <c r="W276" s="20" t="n">
        <v>0</v>
      </c>
      <c r="X276" s="20" t="n">
        <v>998</v>
      </c>
    </row>
    <row r="277">
      <c r="A277" s="18" t="inlineStr">
        <is>
          <t>기타</t>
        </is>
      </c>
      <c r="E277" s="20" t="n">
        <v>121</v>
      </c>
      <c r="I277" s="20" t="n">
        <v>20</v>
      </c>
      <c r="M277" s="20" t="n">
        <v>79</v>
      </c>
      <c r="O277" s="20" t="n">
        <v>-219</v>
      </c>
      <c r="P277" s="20" t="n">
        <v>-2</v>
      </c>
      <c r="Q277" s="20" t="n">
        <v>61</v>
      </c>
      <c r="R277" s="20" t="n">
        <v>-19</v>
      </c>
      <c r="S277" s="20" t="n">
        <v>14</v>
      </c>
      <c r="T277" s="20" t="n">
        <v>0</v>
      </c>
      <c r="U277" s="20" t="n">
        <v>-3</v>
      </c>
      <c r="V277" s="20" t="n">
        <v>121</v>
      </c>
      <c r="W277" s="20" t="n">
        <v>20</v>
      </c>
      <c r="X277" s="20" t="n">
        <v>79</v>
      </c>
    </row>
    <row r="278">
      <c r="A278" s="9" t="inlineStr">
        <is>
          <t>투자활동 현금흐름</t>
        </is>
      </c>
      <c r="E278" s="12" t="n">
        <v>-4848</v>
      </c>
      <c r="I278" s="12" t="n">
        <v>-8025</v>
      </c>
      <c r="M278" s="12" t="n">
        <v>-15058</v>
      </c>
      <c r="O278" s="12" t="n">
        <v>-2342</v>
      </c>
      <c r="P278" s="12" t="n">
        <v>-8920</v>
      </c>
      <c r="Q278" s="12" t="n">
        <v>-46326</v>
      </c>
      <c r="R278" s="12" t="n">
        <v>-12098</v>
      </c>
      <c r="S278" s="12" t="n">
        <v>8039</v>
      </c>
      <c r="T278" s="12" t="n">
        <v>-3908</v>
      </c>
      <c r="U278" s="12" t="n">
        <v>1713</v>
      </c>
      <c r="V278" s="12" t="n">
        <v>-4848</v>
      </c>
      <c r="W278" s="12" t="n">
        <v>-8025</v>
      </c>
      <c r="X278" s="12" t="n">
        <v>-15058</v>
      </c>
    </row>
    <row r="279">
      <c r="A279" s="18" t="inlineStr">
        <is>
          <t>단기차입금 순증감</t>
        </is>
      </c>
      <c r="P279" s="20" t="n">
        <v>0</v>
      </c>
      <c r="Q279" s="20" t="n">
        <v>12088</v>
      </c>
      <c r="R279" s="20" t="n">
        <v>-8500</v>
      </c>
      <c r="S279" s="20" t="n">
        <v>-5000</v>
      </c>
      <c r="T279" s="20" t="n">
        <v>-3500</v>
      </c>
      <c r="U279" s="20" t="n">
        <v>0</v>
      </c>
    </row>
    <row r="280">
      <c r="A280" s="18" t="inlineStr">
        <is>
          <t>장기차입</t>
        </is>
      </c>
      <c r="E280" s="20" t="n">
        <v>560</v>
      </c>
      <c r="I280" s="20" t="n">
        <v>13000</v>
      </c>
      <c r="M280" s="20" t="n">
        <v>20000</v>
      </c>
      <c r="P280" s="20" t="n">
        <v>0</v>
      </c>
      <c r="Q280" s="20" t="n">
        <v>7974</v>
      </c>
      <c r="R280" s="20" t="n">
        <v>28235</v>
      </c>
      <c r="S280" s="20" t="n">
        <v>6000</v>
      </c>
      <c r="T280" s="20" t="n">
        <v>0</v>
      </c>
      <c r="U280" s="20" t="n">
        <v>0</v>
      </c>
      <c r="V280" s="20" t="n">
        <v>560</v>
      </c>
      <c r="W280" s="20" t="n">
        <v>13000</v>
      </c>
      <c r="X280" s="20" t="n">
        <v>20000</v>
      </c>
    </row>
    <row r="281">
      <c r="A281" s="18" t="inlineStr">
        <is>
          <t>장기차입금 상환</t>
        </is>
      </c>
      <c r="E281" s="20" t="n">
        <v>-8123</v>
      </c>
      <c r="I281" s="20" t="n">
        <v>-12563</v>
      </c>
      <c r="M281" s="20" t="n">
        <v>-1563</v>
      </c>
      <c r="O281" s="20" t="n">
        <v>-35</v>
      </c>
      <c r="P281" s="20" t="n">
        <v>-36</v>
      </c>
      <c r="Q281" s="20" t="n">
        <v>-35</v>
      </c>
      <c r="R281" s="20" t="n">
        <v>-1098</v>
      </c>
      <c r="S281" s="20" t="n">
        <v>-7388</v>
      </c>
      <c r="T281" s="20" t="n">
        <v>-1598</v>
      </c>
      <c r="U281" s="20" t="n">
        <v>-6844</v>
      </c>
      <c r="V281" s="20" t="n">
        <v>-8123</v>
      </c>
      <c r="W281" s="20" t="n">
        <v>-12563</v>
      </c>
      <c r="X281" s="20" t="n">
        <v>-1563</v>
      </c>
    </row>
    <row r="282">
      <c r="A282" s="18" t="inlineStr">
        <is>
          <t>연결범위 변경 없는 자회사 주식 취득</t>
        </is>
      </c>
      <c r="R282" s="20" t="n">
        <v>0</v>
      </c>
      <c r="S282" s="20" t="n">
        <v>-5335</v>
      </c>
      <c r="T282" s="20" t="n">
        <v>0</v>
      </c>
    </row>
    <row r="283">
      <c r="A283" s="18" t="inlineStr">
        <is>
          <t>비지배주주 환급</t>
        </is>
      </c>
      <c r="Q283" s="20" t="n">
        <v>0</v>
      </c>
      <c r="R283" s="20" t="n">
        <v>-104</v>
      </c>
      <c r="S283" s="20" t="n">
        <v>0</v>
      </c>
    </row>
    <row r="284">
      <c r="A284" s="18" t="inlineStr">
        <is>
          <t>자기주식 취득</t>
        </is>
      </c>
      <c r="E284" s="20" t="n">
        <v>0</v>
      </c>
      <c r="I284" s="20" t="n">
        <v>-5000</v>
      </c>
      <c r="M284" s="20" t="n">
        <v>-13232</v>
      </c>
      <c r="O284" s="20" t="n">
        <v>0</v>
      </c>
      <c r="P284" s="20" t="n">
        <v>-1</v>
      </c>
      <c r="Q284" s="20" t="n">
        <v>-0</v>
      </c>
      <c r="R284" s="20" t="n">
        <v>-5039</v>
      </c>
      <c r="S284" s="20" t="n">
        <v>0</v>
      </c>
      <c r="T284" s="20" t="n">
        <v>0</v>
      </c>
      <c r="U284" s="20" t="n">
        <v>-5000</v>
      </c>
      <c r="V284" s="20" t="n">
        <v>0</v>
      </c>
      <c r="W284" s="20" t="n">
        <v>-5000</v>
      </c>
      <c r="X284" s="20" t="n">
        <v>-13232</v>
      </c>
    </row>
    <row r="285">
      <c r="A285" s="18" t="inlineStr">
        <is>
          <t>비지배주주 납입</t>
        </is>
      </c>
      <c r="P285" s="20" t="n">
        <v>0</v>
      </c>
      <c r="Q285" s="20" t="n">
        <v>5029</v>
      </c>
      <c r="R285" s="20" t="n">
        <v>0</v>
      </c>
    </row>
    <row r="286">
      <c r="A286" s="18" t="inlineStr">
        <is>
          <t>비지배주주 배당금 지급</t>
        </is>
      </c>
      <c r="E286" s="20" t="n">
        <v>-62</v>
      </c>
      <c r="I286" s="20" t="n">
        <v>-683</v>
      </c>
      <c r="M286" s="20" t="n">
        <v>-75</v>
      </c>
      <c r="O286" s="20" t="n">
        <v>-38</v>
      </c>
      <c r="P286" s="20" t="n">
        <v>-31</v>
      </c>
      <c r="Q286" s="20" t="n">
        <v>-16</v>
      </c>
      <c r="R286" s="20" t="n">
        <v>-38</v>
      </c>
      <c r="S286" s="20" t="n">
        <v>-64</v>
      </c>
      <c r="T286" s="20" t="n">
        <v>-9</v>
      </c>
      <c r="U286" s="20" t="n">
        <v>-128</v>
      </c>
      <c r="V286" s="20" t="n">
        <v>-62</v>
      </c>
      <c r="W286" s="20" t="n">
        <v>-683</v>
      </c>
      <c r="X286" s="20" t="n">
        <v>-75</v>
      </c>
    </row>
    <row r="287">
      <c r="A287" s="18" t="inlineStr">
        <is>
          <t>배당금 지급</t>
        </is>
      </c>
      <c r="E287" s="20" t="n">
        <v>-1834</v>
      </c>
      <c r="I287" s="20" t="n">
        <v>-2454</v>
      </c>
      <c r="M287" s="20" t="n">
        <v>-2158</v>
      </c>
      <c r="O287" s="20" t="n">
        <v>-1902</v>
      </c>
      <c r="P287" s="20" t="n">
        <v>-1902</v>
      </c>
      <c r="Q287" s="20" t="n">
        <v>-2325</v>
      </c>
      <c r="R287" s="20" t="n">
        <v>-15081</v>
      </c>
      <c r="S287" s="20" t="n">
        <v>0</v>
      </c>
      <c r="T287" s="20" t="n">
        <v>-990</v>
      </c>
      <c r="U287" s="20" t="n">
        <v>-1938</v>
      </c>
      <c r="V287" s="20" t="n">
        <v>-1834</v>
      </c>
      <c r="W287" s="20" t="n">
        <v>-2454</v>
      </c>
      <c r="X287" s="20" t="n">
        <v>-2158</v>
      </c>
    </row>
    <row r="288">
      <c r="A288" s="18" t="inlineStr">
        <is>
          <t>리스부채 상환</t>
        </is>
      </c>
      <c r="E288" s="20" t="n">
        <v>-63</v>
      </c>
      <c r="I288" s="20" t="n">
        <v>-49</v>
      </c>
      <c r="M288" s="20" t="n">
        <v>-61</v>
      </c>
      <c r="O288" s="20" t="n">
        <v>-56</v>
      </c>
      <c r="P288" s="20" t="n">
        <v>-157</v>
      </c>
      <c r="Q288" s="20" t="n">
        <v>-107</v>
      </c>
      <c r="R288" s="20" t="n">
        <v>-166</v>
      </c>
      <c r="S288" s="20" t="n">
        <v>-101</v>
      </c>
      <c r="T288" s="20" t="n">
        <v>-114</v>
      </c>
      <c r="U288" s="20" t="n">
        <v>-92</v>
      </c>
      <c r="V288" s="20" t="n">
        <v>-63</v>
      </c>
      <c r="W288" s="20" t="n">
        <v>-49</v>
      </c>
      <c r="X288" s="20" t="n">
        <v>-61</v>
      </c>
    </row>
    <row r="289">
      <c r="A289" s="18" t="inlineStr">
        <is>
          <t>기타</t>
        </is>
      </c>
      <c r="E289" s="20" t="n">
        <v>32</v>
      </c>
      <c r="I289" s="20" t="n">
        <v>0</v>
      </c>
      <c r="T289" s="20" t="n">
        <v>0</v>
      </c>
      <c r="U289" s="20" t="n">
        <v>17</v>
      </c>
      <c r="V289" s="20" t="n">
        <v>32</v>
      </c>
      <c r="W289" s="20" t="n">
        <v>0</v>
      </c>
    </row>
    <row r="290">
      <c r="A290" s="9" t="inlineStr">
        <is>
          <t>재무활동 현금흐름</t>
        </is>
      </c>
      <c r="E290" s="12" t="n">
        <v>-9490</v>
      </c>
      <c r="I290" s="12" t="n">
        <v>-7749</v>
      </c>
      <c r="M290" s="12" t="n">
        <v>2911</v>
      </c>
      <c r="O290" s="12" t="n">
        <v>-2031</v>
      </c>
      <c r="P290" s="12" t="n">
        <v>-2127</v>
      </c>
      <c r="Q290" s="12" t="n">
        <v>22608</v>
      </c>
      <c r="R290" s="12" t="n">
        <v>-1791</v>
      </c>
      <c r="S290" s="12" t="n">
        <v>-11888</v>
      </c>
      <c r="T290" s="12" t="n">
        <v>-6211</v>
      </c>
      <c r="U290" s="12" t="n">
        <v>-13985</v>
      </c>
      <c r="V290" s="12" t="n">
        <v>-9490</v>
      </c>
      <c r="W290" s="12" t="n">
        <v>-7749</v>
      </c>
      <c r="X290" s="12" t="n">
        <v>2911</v>
      </c>
    </row>
    <row r="291">
      <c r="A291" s="18" t="inlineStr">
        <is>
          <t>현금성자산 환산차이</t>
        </is>
      </c>
      <c r="E291" s="20" t="n">
        <v>2194</v>
      </c>
      <c r="I291" s="20" t="n">
        <v>345</v>
      </c>
      <c r="M291" s="20" t="n">
        <v>1707</v>
      </c>
      <c r="O291" s="20" t="n">
        <v>-714</v>
      </c>
      <c r="P291" s="20" t="n">
        <v>-112</v>
      </c>
      <c r="Q291" s="20" t="n">
        <v>291</v>
      </c>
      <c r="R291" s="20" t="n">
        <v>-604</v>
      </c>
      <c r="S291" s="20" t="n">
        <v>1197</v>
      </c>
      <c r="T291" s="20" t="n">
        <v>2219</v>
      </c>
      <c r="U291" s="20" t="n">
        <v>1503</v>
      </c>
      <c r="V291" s="20" t="n">
        <v>2194</v>
      </c>
      <c r="W291" s="20" t="n">
        <v>345</v>
      </c>
      <c r="X291" s="20" t="n">
        <v>1707</v>
      </c>
    </row>
    <row r="292">
      <c r="A292" s="18" t="inlineStr">
        <is>
          <t>현금성자산 증감</t>
        </is>
      </c>
      <c r="E292" s="20" t="n">
        <v>2096</v>
      </c>
      <c r="I292" s="20" t="n">
        <v>-5593</v>
      </c>
      <c r="M292" s="20" t="n">
        <v>-1515</v>
      </c>
      <c r="O292" s="20" t="n">
        <v>6884</v>
      </c>
      <c r="P292" s="20" t="n">
        <v>-3362</v>
      </c>
      <c r="Q292" s="20" t="n">
        <v>-22854</v>
      </c>
      <c r="R292" s="20" t="n">
        <v>-267</v>
      </c>
      <c r="S292" s="20" t="n">
        <v>10377</v>
      </c>
      <c r="T292" s="20" t="n">
        <v>10542</v>
      </c>
      <c r="U292" s="20" t="n">
        <v>-6768</v>
      </c>
      <c r="V292" s="20" t="n">
        <v>2096</v>
      </c>
      <c r="W292" s="20" t="n">
        <v>-5593</v>
      </c>
      <c r="X292" s="20" t="n">
        <v>-1515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6810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80616</v>
      </c>
      <c r="D5" s="12" t="n">
        <v>85715</v>
      </c>
      <c r="E5" s="12" t="n">
        <v>84528</v>
      </c>
      <c r="F5" s="12" t="n">
        <v>85474</v>
      </c>
      <c r="G5" s="12" t="n">
        <v>87855</v>
      </c>
      <c r="H5" s="11" t="n">
        <v>99469</v>
      </c>
      <c r="I5" s="12" t="n">
        <v>94837</v>
      </c>
      <c r="J5" s="12" t="n">
        <v>92166</v>
      </c>
      <c r="K5" s="12" t="n">
        <v>84191</v>
      </c>
      <c r="L5" s="12" t="n">
        <v>85474</v>
      </c>
    </row>
    <row r="6">
      <c r="A6" s="18" t="inlineStr">
        <is>
          <t>현금및현금성자산</t>
        </is>
      </c>
      <c r="B6" s="10" t="n"/>
      <c r="C6" s="19" t="n">
        <v>31113</v>
      </c>
      <c r="D6" s="20" t="n">
        <v>33213</v>
      </c>
      <c r="E6" s="20" t="n">
        <v>30972</v>
      </c>
      <c r="F6" s="20" t="n">
        <v>31557</v>
      </c>
      <c r="G6" s="20" t="n">
        <v>27555</v>
      </c>
      <c r="H6" s="19" t="n">
        <v>45552</v>
      </c>
      <c r="I6" s="20" t="n">
        <v>38170</v>
      </c>
      <c r="J6" s="20" t="n">
        <v>38665</v>
      </c>
      <c r="K6" s="20" t="n">
        <v>33072</v>
      </c>
      <c r="L6" s="20" t="n">
        <v>31557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26466</v>
      </c>
      <c r="D8" s="20" t="n">
        <v>28402</v>
      </c>
      <c r="E8" s="20" t="n">
        <v>28514</v>
      </c>
      <c r="F8" s="20" t="n">
        <v>28064</v>
      </c>
      <c r="G8" s="20" t="n">
        <v>31910</v>
      </c>
      <c r="H8" s="19" t="n">
        <v>30160</v>
      </c>
      <c r="I8" s="20" t="n">
        <v>30439</v>
      </c>
      <c r="J8" s="20" t="n">
        <v>30446</v>
      </c>
      <c r="K8" s="20" t="n">
        <v>28446</v>
      </c>
      <c r="L8" s="20" t="n">
        <v>28064</v>
      </c>
    </row>
    <row r="9">
      <c r="A9" s="18" t="inlineStr">
        <is>
          <t>재고자산</t>
        </is>
      </c>
      <c r="B9" s="10" t="n"/>
      <c r="C9" s="19" t="n">
        <v>19699</v>
      </c>
      <c r="D9" s="20" t="n">
        <v>19759</v>
      </c>
      <c r="E9" s="20" t="n">
        <v>20271</v>
      </c>
      <c r="F9" s="20" t="n">
        <v>20137</v>
      </c>
      <c r="G9" s="20" t="n">
        <v>23566</v>
      </c>
      <c r="H9" s="19" t="n">
        <v>18378</v>
      </c>
      <c r="I9" s="20" t="n">
        <v>22476</v>
      </c>
      <c r="J9" s="20" t="n">
        <v>19617</v>
      </c>
      <c r="K9" s="20" t="n">
        <v>19190</v>
      </c>
      <c r="L9" s="20" t="n">
        <v>20137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79909</v>
      </c>
      <c r="D11" s="12" t="n">
        <v>82107</v>
      </c>
      <c r="E11" s="12" t="n">
        <v>84994</v>
      </c>
      <c r="F11" s="12" t="n">
        <v>94993</v>
      </c>
      <c r="G11" s="12" t="n">
        <v>97486</v>
      </c>
      <c r="H11" s="11" t="n">
        <v>78066</v>
      </c>
      <c r="I11" s="12" t="n">
        <v>73340</v>
      </c>
      <c r="J11" s="12" t="n">
        <v>78934</v>
      </c>
      <c r="K11" s="12" t="n">
        <v>80323</v>
      </c>
      <c r="L11" s="12" t="n">
        <v>94993</v>
      </c>
    </row>
    <row r="12">
      <c r="A12" s="18" t="inlineStr">
        <is>
          <t>유형자산</t>
        </is>
      </c>
      <c r="B12" s="10" t="n"/>
      <c r="C12" s="19" t="n">
        <v>54795</v>
      </c>
      <c r="D12" s="20" t="n">
        <v>56347</v>
      </c>
      <c r="E12" s="20" t="n">
        <v>58442</v>
      </c>
      <c r="F12" s="20" t="n">
        <v>60871</v>
      </c>
      <c r="G12" s="20" t="n">
        <v>61987</v>
      </c>
      <c r="H12" s="19" t="n">
        <v>55507</v>
      </c>
      <c r="I12" s="20" t="n">
        <v>51544</v>
      </c>
      <c r="J12" s="20" t="n">
        <v>54413</v>
      </c>
      <c r="K12" s="20" t="n">
        <v>54988</v>
      </c>
      <c r="L12" s="20" t="n">
        <v>60871</v>
      </c>
    </row>
    <row r="13">
      <c r="A13" s="18" t="inlineStr">
        <is>
          <t>무형자산</t>
        </is>
      </c>
      <c r="B13" s="10" t="n"/>
      <c r="C13" s="19" t="n">
        <v>4204</v>
      </c>
      <c r="D13" s="20" t="n">
        <v>4220</v>
      </c>
      <c r="E13" s="20" t="n">
        <v>4251</v>
      </c>
      <c r="F13" s="20" t="n">
        <v>10161</v>
      </c>
      <c r="G13" s="20" t="n">
        <v>9970</v>
      </c>
      <c r="H13" s="19" t="n">
        <v>5031</v>
      </c>
      <c r="I13" s="20" t="n">
        <v>4697</v>
      </c>
      <c r="J13" s="20" t="n">
        <v>4778</v>
      </c>
      <c r="K13" s="20" t="n">
        <v>4367</v>
      </c>
      <c r="L13" s="20" t="n">
        <v>10161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160525</v>
      </c>
      <c r="D16" s="12" t="n">
        <v>167822</v>
      </c>
      <c r="E16" s="12" t="n">
        <v>169522</v>
      </c>
      <c r="F16" s="12" t="n">
        <v>180467</v>
      </c>
      <c r="G16" s="12" t="n">
        <v>185341</v>
      </c>
      <c r="H16" s="11" t="n">
        <v>177535</v>
      </c>
      <c r="I16" s="12" t="n">
        <v>168177</v>
      </c>
      <c r="J16" s="12" t="n">
        <v>171100</v>
      </c>
      <c r="K16" s="12" t="n">
        <v>164514</v>
      </c>
      <c r="L16" s="12" t="n">
        <v>180467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40829</v>
      </c>
      <c r="D18" s="12" t="n">
        <v>44304</v>
      </c>
      <c r="E18" s="12" t="n">
        <v>56654</v>
      </c>
      <c r="F18" s="12" t="n">
        <v>46522</v>
      </c>
      <c r="G18" s="12" t="n">
        <v>48310</v>
      </c>
      <c r="H18" s="11" t="n">
        <v>57719</v>
      </c>
      <c r="I18" s="12" t="n">
        <v>55494</v>
      </c>
      <c r="J18" s="12" t="n">
        <v>59258</v>
      </c>
      <c r="K18" s="12" t="n">
        <v>44380</v>
      </c>
      <c r="L18" s="12" t="n">
        <v>46522</v>
      </c>
    </row>
    <row r="19">
      <c r="A19" s="18" t="inlineStr">
        <is>
          <t>매입채무</t>
        </is>
      </c>
      <c r="B19" s="10" t="n"/>
      <c r="C19" s="19" t="n">
        <v>16568</v>
      </c>
      <c r="D19" s="20" t="n">
        <v>16162</v>
      </c>
      <c r="E19" s="20" t="n">
        <v>16597</v>
      </c>
      <c r="F19" s="20" t="n">
        <v>15942</v>
      </c>
      <c r="G19" s="20" t="n">
        <v>16819</v>
      </c>
      <c r="H19" s="19" t="n">
        <v>19606</v>
      </c>
      <c r="I19" s="20" t="n">
        <v>18421</v>
      </c>
      <c r="J19" s="20" t="n">
        <v>17168</v>
      </c>
      <c r="K19" s="20" t="n">
        <v>16942</v>
      </c>
      <c r="L19" s="20" t="n">
        <v>15942</v>
      </c>
    </row>
    <row r="20">
      <c r="A20" s="18" t="inlineStr">
        <is>
          <t>단기차입금</t>
        </is>
      </c>
      <c r="B20" s="10" t="n"/>
      <c r="C20" s="19" t="n"/>
      <c r="D20" s="20" t="n"/>
      <c r="E20" s="20" t="n">
        <v>13200</v>
      </c>
      <c r="F20" s="20" t="n">
        <v>0</v>
      </c>
      <c r="G20" s="20" t="n">
        <v>3000</v>
      </c>
      <c r="H20" s="19" t="n">
        <v>0</v>
      </c>
      <c r="I20" s="20" t="n"/>
      <c r="J20" s="20" t="n"/>
      <c r="K20" s="20" t="n">
        <v>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1563</v>
      </c>
      <c r="D21" s="20" t="n">
        <v>1563</v>
      </c>
      <c r="E21" s="20" t="n">
        <v>1559</v>
      </c>
      <c r="F21" s="20" t="n">
        <v>2559</v>
      </c>
      <c r="G21" s="20" t="n">
        <v>2278</v>
      </c>
      <c r="H21" s="19" t="n">
        <v>6598</v>
      </c>
      <c r="I21" s="20" t="n">
        <v>8123</v>
      </c>
      <c r="J21" s="20" t="n">
        <v>12563</v>
      </c>
      <c r="K21" s="20" t="n">
        <v>1563</v>
      </c>
      <c r="L21" s="20" t="n">
        <v>2559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25301</v>
      </c>
      <c r="D23" s="12" t="n">
        <v>25122</v>
      </c>
      <c r="E23" s="12" t="n">
        <v>24783</v>
      </c>
      <c r="F23" s="12" t="n">
        <v>43762</v>
      </c>
      <c r="G23" s="12" t="n">
        <v>43836</v>
      </c>
      <c r="H23" s="11" t="n">
        <v>35200</v>
      </c>
      <c r="I23" s="12" t="n">
        <v>26743</v>
      </c>
      <c r="J23" s="12" t="n">
        <v>14535</v>
      </c>
      <c r="K23" s="12" t="n">
        <v>25963</v>
      </c>
      <c r="L23" s="12" t="n">
        <v>43762</v>
      </c>
    </row>
    <row r="24">
      <c r="A24" s="18" t="inlineStr">
        <is>
          <t>장기차입금</t>
        </is>
      </c>
      <c r="B24" s="10" t="n"/>
      <c r="C24" s="19" t="n">
        <v>16528</v>
      </c>
      <c r="D24" s="20" t="n">
        <v>16278</v>
      </c>
      <c r="E24" s="20" t="n">
        <v>15813</v>
      </c>
      <c r="F24" s="20" t="n">
        <v>34500</v>
      </c>
      <c r="G24" s="20" t="n">
        <v>34000</v>
      </c>
      <c r="H24" s="19" t="n">
        <v>25994</v>
      </c>
      <c r="I24" s="20" t="n">
        <v>17625</v>
      </c>
      <c r="J24" s="20" t="n">
        <v>5622</v>
      </c>
      <c r="K24" s="20" t="n">
        <v>17059</v>
      </c>
      <c r="L24" s="20" t="n">
        <v>34500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66130</v>
      </c>
      <c r="D27" s="12" t="n">
        <v>69426</v>
      </c>
      <c r="E27" s="12" t="n">
        <v>81437</v>
      </c>
      <c r="F27" s="12" t="n">
        <v>90284</v>
      </c>
      <c r="G27" s="12" t="n">
        <v>92146</v>
      </c>
      <c r="H27" s="11" t="n">
        <v>92919</v>
      </c>
      <c r="I27" s="12" t="n">
        <v>82237</v>
      </c>
      <c r="J27" s="12" t="n">
        <v>73793</v>
      </c>
      <c r="K27" s="12" t="n">
        <v>70343</v>
      </c>
      <c r="L27" s="12" t="n">
        <v>90284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91664</v>
      </c>
      <c r="D31" s="12" t="n">
        <v>95581</v>
      </c>
      <c r="E31" s="12" t="n">
        <v>85026</v>
      </c>
      <c r="F31" s="12" t="n">
        <v>87059</v>
      </c>
      <c r="G31" s="12" t="n">
        <v>90567</v>
      </c>
      <c r="H31" s="11" t="n">
        <v>81498</v>
      </c>
      <c r="I31" s="12" t="n">
        <v>82816</v>
      </c>
      <c r="J31" s="12" t="n">
        <v>93894</v>
      </c>
      <c r="K31" s="12" t="n">
        <v>91356</v>
      </c>
      <c r="L31" s="12" t="n">
        <v>87059</v>
      </c>
    </row>
    <row r="32">
      <c r="A32" s="18" t="inlineStr">
        <is>
          <t>자본금</t>
        </is>
      </c>
      <c r="B32" s="10" t="n"/>
      <c r="C32" s="19" t="n">
        <v>12203</v>
      </c>
      <c r="D32" s="20" t="n">
        <v>12203</v>
      </c>
      <c r="E32" s="20" t="n">
        <v>12203</v>
      </c>
      <c r="F32" s="20" t="n">
        <v>12203</v>
      </c>
      <c r="G32" s="20" t="n">
        <v>12203</v>
      </c>
      <c r="H32" s="19" t="n">
        <v>12203</v>
      </c>
      <c r="I32" s="20" t="n">
        <v>12203</v>
      </c>
      <c r="J32" s="20" t="n">
        <v>12203</v>
      </c>
      <c r="K32" s="20" t="n">
        <v>12203</v>
      </c>
      <c r="L32" s="20" t="n">
        <v>12203</v>
      </c>
    </row>
    <row r="33">
      <c r="A33" s="18" t="inlineStr">
        <is>
          <t>이익잉여금</t>
        </is>
      </c>
      <c r="B33" s="10" t="n"/>
      <c r="C33" s="19" t="n">
        <v>60871</v>
      </c>
      <c r="D33" s="20" t="n">
        <v>63512</v>
      </c>
      <c r="E33" s="20" t="n">
        <v>64447</v>
      </c>
      <c r="F33" s="20" t="n">
        <v>66459</v>
      </c>
      <c r="G33" s="20" t="n">
        <v>57366</v>
      </c>
      <c r="H33" s="19" t="n">
        <v>49756</v>
      </c>
      <c r="I33" s="20" t="n">
        <v>53011</v>
      </c>
      <c r="J33" s="20" t="n">
        <v>58721</v>
      </c>
      <c r="K33" s="20" t="n">
        <v>60357</v>
      </c>
      <c r="L33" s="20" t="n">
        <v>66459</v>
      </c>
    </row>
    <row r="34">
      <c r="A34" s="18" t="inlineStr">
        <is>
          <t>비지배지분</t>
        </is>
      </c>
      <c r="B34" s="10" t="n"/>
      <c r="C34" s="19" t="n">
        <v>2731</v>
      </c>
      <c r="D34" s="20" t="n">
        <v>2815</v>
      </c>
      <c r="E34" s="20" t="n">
        <v>3059</v>
      </c>
      <c r="F34" s="20" t="n">
        <v>3124</v>
      </c>
      <c r="G34" s="20" t="n">
        <v>2628</v>
      </c>
      <c r="H34" s="19" t="n">
        <v>3118</v>
      </c>
      <c r="I34" s="20" t="n">
        <v>3124</v>
      </c>
      <c r="J34" s="20" t="n">
        <v>3413</v>
      </c>
      <c r="K34" s="20" t="n">
        <v>2815</v>
      </c>
      <c r="L34" s="20" t="n">
        <v>3124</v>
      </c>
    </row>
    <row r="35">
      <c r="A35" s="9" t="inlineStr">
        <is>
          <t>자본총계</t>
        </is>
      </c>
      <c r="B35" s="10" t="n"/>
      <c r="C35" s="11" t="n">
        <v>94395</v>
      </c>
      <c r="D35" s="12" t="n">
        <v>98396</v>
      </c>
      <c r="E35" s="12" t="n">
        <v>88085</v>
      </c>
      <c r="F35" s="12" t="n">
        <v>90183</v>
      </c>
      <c r="G35" s="12" t="n">
        <v>93195</v>
      </c>
      <c r="H35" s="11" t="n">
        <v>84616</v>
      </c>
      <c r="I35" s="12" t="n">
        <v>85940</v>
      </c>
      <c r="J35" s="12" t="n">
        <v>97307</v>
      </c>
      <c r="K35" s="12" t="n">
        <v>94171</v>
      </c>
      <c r="L35" s="12" t="n">
        <v>90183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8925</v>
      </c>
      <c r="G37" s="12" t="n"/>
      <c r="H37" s="11" t="n">
        <v>18442</v>
      </c>
      <c r="I37" s="12" t="n">
        <v>4001</v>
      </c>
      <c r="J37" s="12" t="n">
        <v>14240</v>
      </c>
      <c r="K37" s="12" t="n">
        <v>9836</v>
      </c>
      <c r="L37" s="12" t="n">
        <v>8925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8320</v>
      </c>
      <c r="G38" s="20" t="n"/>
      <c r="H38" s="19" t="n">
        <v>5142</v>
      </c>
      <c r="I38" s="20" t="n">
        <v>5526</v>
      </c>
      <c r="J38" s="20" t="n">
        <v>6599</v>
      </c>
      <c r="K38" s="20" t="n">
        <v>8210</v>
      </c>
      <c r="L38" s="20" t="n">
        <v>8320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2158</v>
      </c>
      <c r="G40" s="20" t="n"/>
      <c r="H40" s="19" t="n">
        <v>990</v>
      </c>
      <c r="I40" s="20" t="n">
        <v>1938</v>
      </c>
      <c r="J40" s="20" t="n">
        <v>1834</v>
      </c>
      <c r="K40" s="20" t="n">
        <v>2454</v>
      </c>
      <c r="L40" s="20" t="n">
        <v>2158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31113</v>
      </c>
      <c r="D71" s="20" t="n">
        <v>33213</v>
      </c>
      <c r="E71" s="20" t="n">
        <v>30972</v>
      </c>
      <c r="F71" s="20" t="n">
        <v>31557</v>
      </c>
      <c r="G71" s="20" t="n">
        <v>27555</v>
      </c>
      <c r="H71" s="20" t="n">
        <v>45552</v>
      </c>
      <c r="I71" s="20" t="n">
        <v>38170</v>
      </c>
      <c r="J71" s="20" t="n">
        <v>38665</v>
      </c>
      <c r="K71" s="20" t="n">
        <v>33072</v>
      </c>
      <c r="L71" s="20" t="n">
        <v>31557</v>
      </c>
    </row>
    <row r="72">
      <c r="A72" s="18" t="inlineStr">
        <is>
          <t>받을어음·매출채권</t>
        </is>
      </c>
      <c r="C72" s="20" t="n">
        <v>26466</v>
      </c>
      <c r="D72" s="20" t="n">
        <v>28402</v>
      </c>
      <c r="E72" s="20" t="n">
        <v>28514</v>
      </c>
      <c r="F72" s="20" t="n">
        <v>28064</v>
      </c>
      <c r="G72" s="20" t="n">
        <v>31910</v>
      </c>
      <c r="H72" s="20" t="n">
        <v>30160</v>
      </c>
      <c r="I72" s="20" t="n">
        <v>30439</v>
      </c>
      <c r="J72" s="20" t="n">
        <v>30446</v>
      </c>
      <c r="K72" s="20" t="n">
        <v>28446</v>
      </c>
      <c r="L72" s="20" t="n">
        <v>28064</v>
      </c>
    </row>
    <row r="73">
      <c r="A73" s="18" t="inlineStr">
        <is>
          <t>리스투자자산</t>
        </is>
      </c>
      <c r="F73" s="20" t="n">
        <v>506</v>
      </c>
      <c r="H73" s="20" t="n">
        <v>1071</v>
      </c>
      <c r="I73" s="20" t="n">
        <v>687</v>
      </c>
      <c r="J73" s="20" t="n">
        <v>628</v>
      </c>
      <c r="K73" s="20" t="n">
        <v>567</v>
      </c>
      <c r="L73" s="20" t="n">
        <v>506</v>
      </c>
    </row>
    <row r="74">
      <c r="A74" s="18" t="inlineStr">
        <is>
          <t>재고자산</t>
        </is>
      </c>
      <c r="C74" s="20" t="n">
        <v>19699</v>
      </c>
      <c r="D74" s="20" t="n">
        <v>19759</v>
      </c>
      <c r="E74" s="20" t="n">
        <v>20271</v>
      </c>
      <c r="F74" s="20" t="n">
        <v>20137</v>
      </c>
      <c r="G74" s="20" t="n">
        <v>23566</v>
      </c>
      <c r="H74" s="20" t="n">
        <v>18378</v>
      </c>
      <c r="I74" s="20" t="n">
        <v>22476</v>
      </c>
      <c r="J74" s="20" t="n">
        <v>19617</v>
      </c>
      <c r="K74" s="20" t="n">
        <v>19190</v>
      </c>
      <c r="L74" s="20" t="n">
        <v>20137</v>
      </c>
    </row>
    <row r="75">
      <c r="A75" s="18" t="inlineStr">
        <is>
          <t>기타</t>
        </is>
      </c>
      <c r="C75" s="20" t="n">
        <v>3778</v>
      </c>
      <c r="D75" s="20" t="n">
        <v>4815</v>
      </c>
      <c r="E75" s="20" t="n">
        <v>5276</v>
      </c>
      <c r="F75" s="20" t="n">
        <v>6216</v>
      </c>
      <c r="G75" s="20" t="n">
        <v>5336</v>
      </c>
      <c r="H75" s="20" t="n">
        <v>5154</v>
      </c>
      <c r="I75" s="20" t="n">
        <v>3991</v>
      </c>
      <c r="J75" s="20" t="n">
        <v>3380</v>
      </c>
      <c r="K75" s="20" t="n">
        <v>3335</v>
      </c>
      <c r="L75" s="20" t="n">
        <v>6216</v>
      </c>
    </row>
    <row r="76">
      <c r="A76" s="18" t="inlineStr">
        <is>
          <t>대손충당금</t>
        </is>
      </c>
      <c r="C76" s="20" t="n">
        <v>-440</v>
      </c>
      <c r="D76" s="20" t="n">
        <v>-474</v>
      </c>
      <c r="E76" s="20" t="n">
        <v>-505</v>
      </c>
      <c r="F76" s="20" t="n">
        <v>-500</v>
      </c>
      <c r="G76" s="20" t="n">
        <v>-512</v>
      </c>
      <c r="H76" s="20" t="n">
        <v>-846</v>
      </c>
      <c r="I76" s="20" t="n">
        <v>-926</v>
      </c>
      <c r="J76" s="20" t="n">
        <v>-570</v>
      </c>
      <c r="K76" s="20" t="n">
        <v>-419</v>
      </c>
      <c r="L76" s="20" t="n">
        <v>-500</v>
      </c>
    </row>
    <row r="77">
      <c r="A77" s="9" t="inlineStr">
        <is>
          <t>유동자산 합계</t>
        </is>
      </c>
      <c r="C77" s="12" t="n">
        <v>80616</v>
      </c>
      <c r="D77" s="12" t="n">
        <v>85715</v>
      </c>
      <c r="E77" s="12" t="n">
        <v>84528</v>
      </c>
      <c r="F77" s="12" t="n">
        <v>85474</v>
      </c>
      <c r="G77" s="12" t="n">
        <v>87855</v>
      </c>
      <c r="H77" s="12" t="n">
        <v>99469</v>
      </c>
      <c r="I77" s="12" t="n">
        <v>94837</v>
      </c>
      <c r="J77" s="12" t="n">
        <v>92166</v>
      </c>
      <c r="K77" s="12" t="n">
        <v>84191</v>
      </c>
      <c r="L77" s="12" t="n">
        <v>85474</v>
      </c>
    </row>
    <row r="78">
      <c r="A78" s="18" t="inlineStr">
        <is>
          <t>건물·구축물(순액)</t>
        </is>
      </c>
      <c r="F78" s="20" t="n">
        <v>11567</v>
      </c>
      <c r="H78" s="20" t="n">
        <v>10613</v>
      </c>
      <c r="I78" s="20" t="n">
        <v>10118</v>
      </c>
      <c r="J78" s="20" t="n">
        <v>11833</v>
      </c>
      <c r="K78" s="20" t="n">
        <v>11447</v>
      </c>
      <c r="L78" s="20" t="n">
        <v>11567</v>
      </c>
    </row>
    <row r="79">
      <c r="A79" s="18" t="inlineStr">
        <is>
          <t>기계장치·운반구(순액)</t>
        </is>
      </c>
      <c r="F79" s="20" t="n">
        <v>11033</v>
      </c>
      <c r="H79" s="20" t="n">
        <v>8799</v>
      </c>
      <c r="I79" s="20" t="n">
        <v>8915</v>
      </c>
      <c r="J79" s="20" t="n">
        <v>9988</v>
      </c>
      <c r="K79" s="20" t="n">
        <v>10734</v>
      </c>
      <c r="L79" s="20" t="n">
        <v>11033</v>
      </c>
    </row>
    <row r="80">
      <c r="A80" s="18" t="inlineStr">
        <is>
          <t>토지</t>
        </is>
      </c>
      <c r="C80" s="20" t="n">
        <v>28944</v>
      </c>
      <c r="D80" s="20" t="n">
        <v>28954</v>
      </c>
      <c r="E80" s="20" t="n">
        <v>28977</v>
      </c>
      <c r="F80" s="20" t="n">
        <v>28985</v>
      </c>
      <c r="G80" s="20" t="n">
        <v>28992</v>
      </c>
      <c r="H80" s="20" t="n">
        <v>32609</v>
      </c>
      <c r="I80" s="20" t="n">
        <v>28994</v>
      </c>
      <c r="J80" s="20" t="n">
        <v>29002</v>
      </c>
      <c r="K80" s="20" t="n">
        <v>28955</v>
      </c>
      <c r="L80" s="20" t="n">
        <v>28985</v>
      </c>
    </row>
    <row r="81">
      <c r="A81" s="18" t="inlineStr">
        <is>
          <t>건설중인자산</t>
        </is>
      </c>
      <c r="F81" s="20" t="n">
        <v>7213</v>
      </c>
      <c r="H81" s="20" t="n">
        <v>1620</v>
      </c>
      <c r="I81" s="20" t="n">
        <v>1842</v>
      </c>
      <c r="J81" s="20" t="n">
        <v>1827</v>
      </c>
      <c r="K81" s="20" t="n">
        <v>1975</v>
      </c>
      <c r="L81" s="20" t="n">
        <v>7213</v>
      </c>
    </row>
    <row r="82">
      <c r="A82" s="18" t="inlineStr">
        <is>
          <t>기타(순액)</t>
        </is>
      </c>
      <c r="C82" s="20" t="n">
        <v>25851</v>
      </c>
      <c r="D82" s="20" t="n">
        <v>27393</v>
      </c>
      <c r="E82" s="20" t="n">
        <v>29465</v>
      </c>
      <c r="F82" s="20" t="n">
        <v>31886</v>
      </c>
      <c r="G82" s="20" t="n">
        <v>32995</v>
      </c>
      <c r="H82" s="20" t="n">
        <v>1866</v>
      </c>
      <c r="I82" s="20" t="n">
        <v>1675</v>
      </c>
      <c r="J82" s="20" t="n">
        <v>1763</v>
      </c>
      <c r="K82" s="20" t="n">
        <v>1877</v>
      </c>
      <c r="L82" s="20" t="n">
        <v>31886</v>
      </c>
    </row>
    <row r="83">
      <c r="A83" s="18" t="inlineStr">
        <is>
          <t>유형자산 합계</t>
        </is>
      </c>
      <c r="C83" s="20" t="n">
        <v>54795</v>
      </c>
      <c r="D83" s="20" t="n">
        <v>56347</v>
      </c>
      <c r="E83" s="20" t="n">
        <v>58442</v>
      </c>
      <c r="F83" s="20" t="n">
        <v>60871</v>
      </c>
      <c r="G83" s="20" t="n">
        <v>61987</v>
      </c>
      <c r="H83" s="20" t="n">
        <v>55507</v>
      </c>
      <c r="I83" s="20" t="n">
        <v>51544</v>
      </c>
      <c r="J83" s="20" t="n">
        <v>54413</v>
      </c>
      <c r="K83" s="20" t="n">
        <v>54988</v>
      </c>
      <c r="L83" s="20" t="n">
        <v>60871</v>
      </c>
    </row>
    <row r="84">
      <c r="A84" s="18" t="inlineStr">
        <is>
          <t>영업권</t>
        </is>
      </c>
      <c r="F84" s="20" t="n">
        <v>6181</v>
      </c>
      <c r="G84" s="20" t="n">
        <v>6025</v>
      </c>
      <c r="H84" s="20" t="n">
        <v>48</v>
      </c>
      <c r="I84" s="20" t="n">
        <v>0</v>
      </c>
      <c r="K84" s="20" t="n">
        <v>0</v>
      </c>
      <c r="L84" s="20" t="n">
        <v>6181</v>
      </c>
    </row>
    <row r="85">
      <c r="A85" s="18" t="inlineStr">
        <is>
          <t>기타</t>
        </is>
      </c>
      <c r="F85" s="20" t="n">
        <v>3980</v>
      </c>
      <c r="G85" s="20" t="n">
        <v>3945</v>
      </c>
      <c r="H85" s="20" t="n">
        <v>4983</v>
      </c>
      <c r="I85" s="20" t="n">
        <v>4697</v>
      </c>
      <c r="K85" s="20" t="n">
        <v>4367</v>
      </c>
      <c r="L85" s="20" t="n">
        <v>3980</v>
      </c>
    </row>
    <row r="86">
      <c r="A86" s="18" t="inlineStr">
        <is>
          <t>무형자산 합계</t>
        </is>
      </c>
      <c r="C86" s="20" t="n">
        <v>4204</v>
      </c>
      <c r="D86" s="20" t="n">
        <v>4220</v>
      </c>
      <c r="E86" s="20" t="n">
        <v>4251</v>
      </c>
      <c r="F86" s="20" t="n">
        <v>10161</v>
      </c>
      <c r="G86" s="20" t="n">
        <v>9970</v>
      </c>
      <c r="H86" s="20" t="n">
        <v>5031</v>
      </c>
      <c r="I86" s="20" t="n">
        <v>4697</v>
      </c>
      <c r="J86" s="20" t="n">
        <v>4778</v>
      </c>
      <c r="K86" s="20" t="n">
        <v>4367</v>
      </c>
      <c r="L86" s="20" t="n">
        <v>10161</v>
      </c>
    </row>
    <row r="87">
      <c r="A87" s="18" t="inlineStr">
        <is>
          <t>투자유가증권</t>
        </is>
      </c>
      <c r="F87" s="20" t="n">
        <v>10803</v>
      </c>
      <c r="H87" s="20" t="n">
        <v>9672</v>
      </c>
      <c r="I87" s="20" t="n">
        <v>9503</v>
      </c>
      <c r="J87" s="20" t="n">
        <v>9568</v>
      </c>
      <c r="K87" s="20" t="n">
        <v>9667</v>
      </c>
      <c r="L87" s="20" t="n">
        <v>10803</v>
      </c>
    </row>
    <row r="88">
      <c r="A88" s="18" t="inlineStr">
        <is>
          <t>퇴직급여자산</t>
        </is>
      </c>
      <c r="F88" s="20" t="n">
        <v>11656</v>
      </c>
      <c r="H88" s="20" t="n">
        <v>4550</v>
      </c>
      <c r="I88" s="20" t="n">
        <v>4881</v>
      </c>
      <c r="J88" s="20" t="n">
        <v>7706</v>
      </c>
      <c r="K88" s="20" t="n">
        <v>9479</v>
      </c>
      <c r="L88" s="20" t="n">
        <v>11656</v>
      </c>
    </row>
    <row r="89">
      <c r="A89" s="18" t="inlineStr">
        <is>
          <t>이연법인세자산</t>
        </is>
      </c>
      <c r="F89" s="20" t="n">
        <v>929</v>
      </c>
      <c r="H89" s="20" t="n">
        <v>2152</v>
      </c>
      <c r="I89" s="20" t="n">
        <v>1780</v>
      </c>
      <c r="J89" s="20" t="n">
        <v>1564</v>
      </c>
      <c r="K89" s="20" t="n">
        <v>1163</v>
      </c>
      <c r="L89" s="20" t="n">
        <v>929</v>
      </c>
    </row>
    <row r="90">
      <c r="A90" s="18" t="inlineStr">
        <is>
          <t>기타</t>
        </is>
      </c>
      <c r="C90" s="20" t="n">
        <v>21273</v>
      </c>
      <c r="D90" s="20" t="n">
        <v>21913</v>
      </c>
      <c r="E90" s="20" t="n">
        <v>22693</v>
      </c>
      <c r="F90" s="20" t="n">
        <v>24362</v>
      </c>
      <c r="G90" s="20" t="n">
        <v>25934</v>
      </c>
      <c r="H90" s="20" t="n">
        <v>1376</v>
      </c>
      <c r="I90" s="20" t="n">
        <v>1026</v>
      </c>
      <c r="J90" s="20" t="n">
        <v>1007</v>
      </c>
      <c r="K90" s="20" t="n">
        <v>1034</v>
      </c>
      <c r="L90" s="20" t="n">
        <v>24362</v>
      </c>
    </row>
    <row r="91">
      <c r="A91" s="18" t="inlineStr">
        <is>
          <t>대손충당금</t>
        </is>
      </c>
      <c r="C91" s="20" t="n">
        <v>-363</v>
      </c>
      <c r="D91" s="20" t="n">
        <v>-373</v>
      </c>
      <c r="E91" s="20" t="n">
        <v>-392</v>
      </c>
      <c r="F91" s="20" t="n">
        <v>-401</v>
      </c>
      <c r="G91" s="20" t="n">
        <v>-405</v>
      </c>
      <c r="H91" s="20" t="n">
        <v>-222</v>
      </c>
      <c r="I91" s="20" t="n">
        <v>-91</v>
      </c>
      <c r="J91" s="20" t="n">
        <v>-102</v>
      </c>
      <c r="K91" s="20" t="n">
        <v>-375</v>
      </c>
      <c r="L91" s="20" t="n">
        <v>-401</v>
      </c>
    </row>
    <row r="92">
      <c r="A92" s="18" t="inlineStr">
        <is>
          <t>투자 및 기타자산 합계</t>
        </is>
      </c>
      <c r="C92" s="20" t="n">
        <v>20910</v>
      </c>
      <c r="D92" s="20" t="n">
        <v>21540</v>
      </c>
      <c r="E92" s="20" t="n">
        <v>22301</v>
      </c>
      <c r="F92" s="20" t="n">
        <v>23961</v>
      </c>
      <c r="G92" s="20" t="n">
        <v>25529</v>
      </c>
      <c r="H92" s="20" t="n">
        <v>17528</v>
      </c>
      <c r="I92" s="20" t="n">
        <v>17099</v>
      </c>
      <c r="J92" s="20" t="n">
        <v>19743</v>
      </c>
      <c r="K92" s="20" t="n">
        <v>20968</v>
      </c>
      <c r="L92" s="20" t="n">
        <v>23961</v>
      </c>
    </row>
    <row r="93">
      <c r="A93" s="9" t="inlineStr">
        <is>
          <t>비유동자산 합계</t>
        </is>
      </c>
      <c r="C93" s="12" t="n">
        <v>79909</v>
      </c>
      <c r="D93" s="12" t="n">
        <v>82107</v>
      </c>
      <c r="E93" s="12" t="n">
        <v>84994</v>
      </c>
      <c r="F93" s="12" t="n">
        <v>94993</v>
      </c>
      <c r="G93" s="12" t="n">
        <v>97486</v>
      </c>
      <c r="H93" s="12" t="n">
        <v>78066</v>
      </c>
      <c r="I93" s="12" t="n">
        <v>73340</v>
      </c>
      <c r="J93" s="12" t="n">
        <v>78934</v>
      </c>
      <c r="K93" s="12" t="n">
        <v>80323</v>
      </c>
      <c r="L93" s="12" t="n">
        <v>94993</v>
      </c>
    </row>
    <row r="94">
      <c r="A94" s="9" t="inlineStr">
        <is>
          <t>자산 합계</t>
        </is>
      </c>
      <c r="C94" s="12" t="n">
        <v>160525</v>
      </c>
      <c r="D94" s="12" t="n">
        <v>167822</v>
      </c>
      <c r="E94" s="12" t="n">
        <v>169522</v>
      </c>
      <c r="F94" s="12" t="n">
        <v>180467</v>
      </c>
      <c r="G94" s="12" t="n">
        <v>185341</v>
      </c>
      <c r="H94" s="12" t="n">
        <v>177535</v>
      </c>
      <c r="I94" s="12" t="n">
        <v>168177</v>
      </c>
      <c r="J94" s="12" t="n">
        <v>171100</v>
      </c>
      <c r="K94" s="12" t="n">
        <v>164514</v>
      </c>
      <c r="L94" s="12" t="n">
        <v>180467</v>
      </c>
    </row>
    <row r="95">
      <c r="A95" s="18" t="inlineStr">
        <is>
          <t>지급어음·매입채무</t>
        </is>
      </c>
      <c r="C95" s="20" t="n">
        <v>16568</v>
      </c>
      <c r="D95" s="20" t="n">
        <v>16162</v>
      </c>
      <c r="E95" s="20" t="n">
        <v>16597</v>
      </c>
      <c r="F95" s="20" t="n">
        <v>15942</v>
      </c>
      <c r="G95" s="20" t="n">
        <v>16819</v>
      </c>
      <c r="H95" s="20" t="n">
        <v>19606</v>
      </c>
      <c r="I95" s="20" t="n">
        <v>18421</v>
      </c>
      <c r="J95" s="20" t="n">
        <v>17168</v>
      </c>
      <c r="K95" s="20" t="n">
        <v>16942</v>
      </c>
      <c r="L95" s="20" t="n">
        <v>15942</v>
      </c>
    </row>
    <row r="96">
      <c r="A96" s="18" t="inlineStr">
        <is>
          <t>단기차입금</t>
        </is>
      </c>
      <c r="E96" s="20" t="n">
        <v>13200</v>
      </c>
      <c r="F96" s="20" t="n">
        <v>0</v>
      </c>
      <c r="G96" s="20" t="n">
        <v>3000</v>
      </c>
      <c r="H96" s="20" t="n">
        <v>0</v>
      </c>
      <c r="K96" s="20" t="n">
        <v>0</v>
      </c>
      <c r="L96" s="20" t="n">
        <v>0</v>
      </c>
    </row>
    <row r="97">
      <c r="A97" s="18" t="inlineStr">
        <is>
          <t>1년 내 상환 장기차입금</t>
        </is>
      </c>
      <c r="C97" s="20" t="n">
        <v>1563</v>
      </c>
      <c r="D97" s="20" t="n">
        <v>1563</v>
      </c>
      <c r="E97" s="20" t="n">
        <v>1559</v>
      </c>
      <c r="F97" s="20" t="n">
        <v>2559</v>
      </c>
      <c r="G97" s="20" t="n">
        <v>2278</v>
      </c>
      <c r="H97" s="20" t="n">
        <v>6598</v>
      </c>
      <c r="I97" s="20" t="n">
        <v>8123</v>
      </c>
      <c r="J97" s="20" t="n">
        <v>12563</v>
      </c>
      <c r="K97" s="20" t="n">
        <v>1563</v>
      </c>
      <c r="L97" s="20" t="n">
        <v>2559</v>
      </c>
    </row>
    <row r="98">
      <c r="A98" s="18" t="inlineStr">
        <is>
          <t>미지급금</t>
        </is>
      </c>
      <c r="F98" s="20" t="n">
        <v>7597</v>
      </c>
      <c r="H98" s="20" t="n">
        <v>4335</v>
      </c>
      <c r="I98" s="20" t="n">
        <v>5006</v>
      </c>
      <c r="J98" s="20" t="n">
        <v>6185</v>
      </c>
      <c r="K98" s="20" t="n">
        <v>4235</v>
      </c>
      <c r="L98" s="20" t="n">
        <v>7597</v>
      </c>
    </row>
    <row r="99">
      <c r="A99" s="18" t="inlineStr">
        <is>
          <t>미지급비용</t>
        </is>
      </c>
      <c r="F99" s="20" t="n">
        <v>7797</v>
      </c>
      <c r="H99" s="20" t="n">
        <v>9068</v>
      </c>
      <c r="I99" s="20" t="n">
        <v>8172</v>
      </c>
      <c r="J99" s="20" t="n">
        <v>8312</v>
      </c>
      <c r="K99" s="20" t="n">
        <v>8524</v>
      </c>
      <c r="L99" s="20" t="n">
        <v>7797</v>
      </c>
    </row>
    <row r="100">
      <c r="A100" s="18" t="inlineStr">
        <is>
          <t>미지급법인세</t>
        </is>
      </c>
      <c r="C100" s="20" t="n">
        <v>856</v>
      </c>
      <c r="D100" s="20" t="n">
        <v>967</v>
      </c>
      <c r="E100" s="20" t="n">
        <v>984</v>
      </c>
      <c r="F100" s="20" t="n">
        <v>966</v>
      </c>
      <c r="G100" s="20" t="n">
        <v>972</v>
      </c>
      <c r="H100" s="20" t="n">
        <v>829</v>
      </c>
      <c r="I100" s="20" t="n">
        <v>506</v>
      </c>
      <c r="J100" s="20" t="n">
        <v>1163</v>
      </c>
      <c r="K100" s="20" t="n">
        <v>1402</v>
      </c>
      <c r="L100" s="20" t="n">
        <v>966</v>
      </c>
    </row>
    <row r="101">
      <c r="A101" s="18" t="inlineStr">
        <is>
          <t>리스부채</t>
        </is>
      </c>
      <c r="F101" s="20" t="n">
        <v>81</v>
      </c>
      <c r="H101" s="20" t="n">
        <v>94</v>
      </c>
      <c r="I101" s="20" t="n">
        <v>95</v>
      </c>
      <c r="J101" s="20" t="n">
        <v>48</v>
      </c>
      <c r="K101" s="20" t="n">
        <v>63</v>
      </c>
      <c r="L101" s="20" t="n">
        <v>81</v>
      </c>
    </row>
    <row r="102">
      <c r="A102" s="18" t="inlineStr">
        <is>
          <t>자산복구부채</t>
        </is>
      </c>
      <c r="C102" s="20" t="n">
        <v>104</v>
      </c>
      <c r="D102" s="20" t="n">
        <v>0</v>
      </c>
      <c r="E102" s="20" t="n">
        <v>0</v>
      </c>
      <c r="F102" s="20" t="n">
        <v>0</v>
      </c>
      <c r="J102" s="20" t="n">
        <v>0</v>
      </c>
      <c r="K102" s="20" t="n">
        <v>103</v>
      </c>
      <c r="L102" s="20" t="n">
        <v>0</v>
      </c>
    </row>
    <row r="103">
      <c r="A103" s="18" t="inlineStr">
        <is>
          <t>기타</t>
        </is>
      </c>
      <c r="C103" s="20" t="n">
        <v>21738</v>
      </c>
      <c r="D103" s="20" t="n">
        <v>25612</v>
      </c>
      <c r="E103" s="20" t="n">
        <v>24314</v>
      </c>
      <c r="F103" s="20" t="n">
        <v>27055</v>
      </c>
      <c r="G103" s="20" t="n">
        <v>25241</v>
      </c>
      <c r="H103" s="20" t="n">
        <v>17189</v>
      </c>
      <c r="I103" s="20" t="n">
        <v>15171</v>
      </c>
      <c r="J103" s="20" t="n">
        <v>13819</v>
      </c>
      <c r="K103" s="20" t="n">
        <v>11548</v>
      </c>
      <c r="L103" s="20" t="n">
        <v>27055</v>
      </c>
    </row>
    <row r="104">
      <c r="A104" s="9" t="inlineStr">
        <is>
          <t>유동부채 합계</t>
        </is>
      </c>
      <c r="C104" s="12" t="n">
        <v>40829</v>
      </c>
      <c r="D104" s="12" t="n">
        <v>44304</v>
      </c>
      <c r="E104" s="12" t="n">
        <v>56654</v>
      </c>
      <c r="F104" s="12" t="n">
        <v>46522</v>
      </c>
      <c r="G104" s="12" t="n">
        <v>48310</v>
      </c>
      <c r="H104" s="12" t="n">
        <v>57719</v>
      </c>
      <c r="I104" s="12" t="n">
        <v>55494</v>
      </c>
      <c r="J104" s="12" t="n">
        <v>59258</v>
      </c>
      <c r="K104" s="12" t="n">
        <v>44380</v>
      </c>
      <c r="L104" s="12" t="n">
        <v>46522</v>
      </c>
    </row>
    <row r="105">
      <c r="A105" s="18" t="inlineStr">
        <is>
          <t>장기차입금</t>
        </is>
      </c>
      <c r="C105" s="20" t="n">
        <v>16528</v>
      </c>
      <c r="D105" s="20" t="n">
        <v>16278</v>
      </c>
      <c r="E105" s="20" t="n">
        <v>15813</v>
      </c>
      <c r="F105" s="20" t="n">
        <v>34500</v>
      </c>
      <c r="G105" s="20" t="n">
        <v>34000</v>
      </c>
      <c r="H105" s="20" t="n">
        <v>25994</v>
      </c>
      <c r="I105" s="20" t="n">
        <v>17625</v>
      </c>
      <c r="J105" s="20" t="n">
        <v>5622</v>
      </c>
      <c r="K105" s="20" t="n">
        <v>17059</v>
      </c>
      <c r="L105" s="20" t="n">
        <v>34500</v>
      </c>
    </row>
    <row r="106">
      <c r="A106" s="18" t="inlineStr">
        <is>
          <t>퇴직급여부채</t>
        </is>
      </c>
      <c r="C106" s="20" t="n">
        <v>4831</v>
      </c>
      <c r="D106" s="20" t="n">
        <v>4803</v>
      </c>
      <c r="E106" s="20" t="n">
        <v>4774</v>
      </c>
      <c r="F106" s="20" t="n">
        <v>5051</v>
      </c>
      <c r="G106" s="20" t="n">
        <v>4968</v>
      </c>
      <c r="H106" s="20" t="n">
        <v>5705</v>
      </c>
      <c r="I106" s="20" t="n">
        <v>5372</v>
      </c>
      <c r="J106" s="20" t="n">
        <v>5445</v>
      </c>
      <c r="K106" s="20" t="n">
        <v>4902</v>
      </c>
      <c r="L106" s="20" t="n">
        <v>5051</v>
      </c>
    </row>
    <row r="107">
      <c r="A107" s="18" t="inlineStr">
        <is>
          <t>리스부채</t>
        </is>
      </c>
      <c r="F107" s="20" t="n">
        <v>228</v>
      </c>
      <c r="H107" s="20" t="n">
        <v>176</v>
      </c>
      <c r="I107" s="20" t="n">
        <v>151</v>
      </c>
      <c r="J107" s="20" t="n">
        <v>111</v>
      </c>
      <c r="K107" s="20" t="n">
        <v>151</v>
      </c>
      <c r="L107" s="20" t="n">
        <v>228</v>
      </c>
    </row>
    <row r="108">
      <c r="A108" s="18" t="inlineStr">
        <is>
          <t>이연법인세부채</t>
        </is>
      </c>
      <c r="F108" s="20" t="n">
        <v>3502</v>
      </c>
      <c r="H108" s="20" t="n">
        <v>2512</v>
      </c>
      <c r="I108" s="20" t="n">
        <v>2849</v>
      </c>
      <c r="J108" s="20" t="n">
        <v>2682</v>
      </c>
      <c r="K108" s="20" t="n">
        <v>3347</v>
      </c>
      <c r="L108" s="20" t="n">
        <v>3502</v>
      </c>
    </row>
    <row r="109">
      <c r="A109" s="18" t="inlineStr">
        <is>
          <t>자산복구부채</t>
        </is>
      </c>
      <c r="C109" s="20" t="n">
        <v>298</v>
      </c>
      <c r="D109" s="20" t="n">
        <v>298</v>
      </c>
      <c r="E109" s="20" t="n">
        <v>299</v>
      </c>
      <c r="F109" s="20" t="n">
        <v>300</v>
      </c>
      <c r="G109" s="20" t="n">
        <v>300</v>
      </c>
      <c r="H109" s="20" t="n">
        <v>425</v>
      </c>
      <c r="I109" s="20" t="n">
        <v>434</v>
      </c>
      <c r="J109" s="20" t="n">
        <v>444</v>
      </c>
      <c r="K109" s="20" t="n">
        <v>297</v>
      </c>
      <c r="L109" s="20" t="n">
        <v>300</v>
      </c>
    </row>
    <row r="110">
      <c r="A110" s="18" t="inlineStr">
        <is>
          <t>기타</t>
        </is>
      </c>
      <c r="C110" s="20" t="n">
        <v>3644</v>
      </c>
      <c r="D110" s="20" t="n">
        <v>3743</v>
      </c>
      <c r="E110" s="20" t="n">
        <v>3897</v>
      </c>
      <c r="F110" s="20" t="n">
        <v>3911</v>
      </c>
      <c r="G110" s="20" t="n">
        <v>4568</v>
      </c>
      <c r="H110" s="20" t="n">
        <v>388</v>
      </c>
      <c r="I110" s="20" t="n">
        <v>312</v>
      </c>
      <c r="J110" s="20" t="n">
        <v>231</v>
      </c>
      <c r="K110" s="20" t="n">
        <v>207</v>
      </c>
      <c r="L110" s="20" t="n">
        <v>3911</v>
      </c>
    </row>
    <row r="111">
      <c r="A111" s="9" t="inlineStr">
        <is>
          <t>비유동부채 합계</t>
        </is>
      </c>
      <c r="C111" s="12" t="n">
        <v>25301</v>
      </c>
      <c r="D111" s="12" t="n">
        <v>25122</v>
      </c>
      <c r="E111" s="12" t="n">
        <v>24783</v>
      </c>
      <c r="F111" s="12" t="n">
        <v>43762</v>
      </c>
      <c r="G111" s="12" t="n">
        <v>43836</v>
      </c>
      <c r="H111" s="12" t="n">
        <v>35200</v>
      </c>
      <c r="I111" s="12" t="n">
        <v>26743</v>
      </c>
      <c r="J111" s="12" t="n">
        <v>14535</v>
      </c>
      <c r="K111" s="12" t="n">
        <v>25963</v>
      </c>
      <c r="L111" s="12" t="n">
        <v>43762</v>
      </c>
    </row>
    <row r="112">
      <c r="A112" s="9" t="inlineStr">
        <is>
          <t>부채 합계</t>
        </is>
      </c>
      <c r="C112" s="12" t="n">
        <v>66130</v>
      </c>
      <c r="D112" s="12" t="n">
        <v>69426</v>
      </c>
      <c r="E112" s="12" t="n">
        <v>81437</v>
      </c>
      <c r="F112" s="12" t="n">
        <v>90284</v>
      </c>
      <c r="G112" s="12" t="n">
        <v>92146</v>
      </c>
      <c r="H112" s="12" t="n">
        <v>92919</v>
      </c>
      <c r="I112" s="12" t="n">
        <v>82237</v>
      </c>
      <c r="J112" s="12" t="n">
        <v>73793</v>
      </c>
      <c r="K112" s="12" t="n">
        <v>70343</v>
      </c>
      <c r="L112" s="12" t="n">
        <v>90284</v>
      </c>
    </row>
    <row r="113">
      <c r="A113" s="18" t="inlineStr">
        <is>
          <t>자본금</t>
        </is>
      </c>
      <c r="C113" s="20" t="n">
        <v>12203</v>
      </c>
      <c r="D113" s="20" t="n">
        <v>12203</v>
      </c>
      <c r="E113" s="20" t="n">
        <v>12203</v>
      </c>
      <c r="F113" s="20" t="n">
        <v>12203</v>
      </c>
      <c r="G113" s="20" t="n">
        <v>12203</v>
      </c>
      <c r="H113" s="20" t="n">
        <v>12203</v>
      </c>
      <c r="I113" s="20" t="n">
        <v>12203</v>
      </c>
      <c r="J113" s="20" t="n">
        <v>12203</v>
      </c>
      <c r="K113" s="20" t="n">
        <v>12203</v>
      </c>
      <c r="L113" s="20" t="n">
        <v>12203</v>
      </c>
    </row>
    <row r="114">
      <c r="A114" s="18" t="inlineStr">
        <is>
          <t>자본잉여금</t>
        </is>
      </c>
      <c r="C114" s="20" t="n">
        <v>18534</v>
      </c>
      <c r="D114" s="20" t="n">
        <v>18544</v>
      </c>
      <c r="E114" s="20" t="n">
        <v>18544</v>
      </c>
      <c r="F114" s="20" t="n">
        <v>18544</v>
      </c>
      <c r="G114" s="20" t="n">
        <v>17339</v>
      </c>
      <c r="H114" s="20" t="n">
        <v>28290</v>
      </c>
      <c r="I114" s="20" t="n">
        <v>22951</v>
      </c>
      <c r="J114" s="20" t="n">
        <v>22953</v>
      </c>
      <c r="K114" s="20" t="n">
        <v>18534</v>
      </c>
      <c r="L114" s="20" t="n">
        <v>18544</v>
      </c>
    </row>
    <row r="115">
      <c r="A115" s="18" t="inlineStr">
        <is>
          <t>이익잉여금</t>
        </is>
      </c>
      <c r="C115" s="20" t="n">
        <v>60871</v>
      </c>
      <c r="D115" s="20" t="n">
        <v>63512</v>
      </c>
      <c r="E115" s="20" t="n">
        <v>64447</v>
      </c>
      <c r="F115" s="20" t="n">
        <v>66459</v>
      </c>
      <c r="G115" s="20" t="n">
        <v>57366</v>
      </c>
      <c r="H115" s="20" t="n">
        <v>49756</v>
      </c>
      <c r="I115" s="20" t="n">
        <v>53011</v>
      </c>
      <c r="J115" s="20" t="n">
        <v>58721</v>
      </c>
      <c r="K115" s="20" t="n">
        <v>60357</v>
      </c>
      <c r="L115" s="20" t="n">
        <v>66459</v>
      </c>
    </row>
    <row r="116">
      <c r="A116" s="18" t="inlineStr">
        <is>
          <t>자기주식</t>
        </is>
      </c>
      <c r="C116" s="20" t="n">
        <v>-6189</v>
      </c>
      <c r="D116" s="20" t="n">
        <v>-6142</v>
      </c>
      <c r="E116" s="20" t="n">
        <v>-19374</v>
      </c>
      <c r="F116" s="20" t="n">
        <v>-19374</v>
      </c>
      <c r="G116" s="20" t="n">
        <v>-7299</v>
      </c>
      <c r="H116" s="20" t="n">
        <v>-6034</v>
      </c>
      <c r="I116" s="20" t="n">
        <v>-5678</v>
      </c>
      <c r="J116" s="20" t="n">
        <v>-5648</v>
      </c>
      <c r="K116" s="20" t="n">
        <v>-6189</v>
      </c>
      <c r="L116" s="20" t="n">
        <v>-19374</v>
      </c>
    </row>
    <row r="117">
      <c r="A117" s="9" t="inlineStr">
        <is>
          <t>주주자본 합계</t>
        </is>
      </c>
      <c r="C117" s="12" t="n">
        <v>85419</v>
      </c>
      <c r="D117" s="12" t="n">
        <v>88117</v>
      </c>
      <c r="E117" s="12" t="n">
        <v>75820</v>
      </c>
      <c r="F117" s="12" t="n">
        <v>77832</v>
      </c>
      <c r="G117" s="12" t="n">
        <v>79609</v>
      </c>
      <c r="H117" s="12" t="n">
        <v>84215</v>
      </c>
      <c r="I117" s="12" t="n">
        <v>82487</v>
      </c>
      <c r="J117" s="12" t="n">
        <v>88229</v>
      </c>
      <c r="K117" s="12" t="n">
        <v>84905</v>
      </c>
      <c r="L117" s="12" t="n">
        <v>77832</v>
      </c>
    </row>
    <row r="118">
      <c r="A118" s="18" t="inlineStr">
        <is>
          <t>기타유가증권 평가차액</t>
        </is>
      </c>
      <c r="C118" s="20" t="n">
        <v>514</v>
      </c>
      <c r="D118" s="20" t="n">
        <v>840</v>
      </c>
      <c r="E118" s="20" t="n">
        <v>1170</v>
      </c>
      <c r="F118" s="20" t="n">
        <v>1131</v>
      </c>
      <c r="G118" s="20" t="n">
        <v>2237</v>
      </c>
      <c r="H118" s="20" t="n">
        <v>233</v>
      </c>
      <c r="I118" s="20" t="n">
        <v>334</v>
      </c>
      <c r="J118" s="20" t="n">
        <v>420</v>
      </c>
      <c r="K118" s="20" t="n">
        <v>515</v>
      </c>
      <c r="L118" s="20" t="n">
        <v>1131</v>
      </c>
    </row>
    <row r="119">
      <c r="A119" s="18" t="inlineStr">
        <is>
          <t>해외사업환산조정</t>
        </is>
      </c>
      <c r="C119" s="20" t="n">
        <v>4524</v>
      </c>
      <c r="D119" s="20" t="n">
        <v>5417</v>
      </c>
      <c r="E119" s="20" t="n">
        <v>6816</v>
      </c>
      <c r="F119" s="20" t="n">
        <v>5650</v>
      </c>
      <c r="G119" s="20" t="n">
        <v>6311</v>
      </c>
      <c r="H119" s="20" t="n">
        <v>-1212</v>
      </c>
      <c r="I119" s="20" t="n">
        <v>1781</v>
      </c>
      <c r="J119" s="20" t="n">
        <v>5265</v>
      </c>
      <c r="K119" s="20" t="n">
        <v>4741</v>
      </c>
      <c r="L119" s="20" t="n">
        <v>5650</v>
      </c>
    </row>
    <row r="120">
      <c r="A120" s="18" t="inlineStr">
        <is>
          <t>퇴직급여 조정누계액</t>
        </is>
      </c>
      <c r="C120" s="20" t="n">
        <v>1207</v>
      </c>
      <c r="D120" s="20" t="n">
        <v>1207</v>
      </c>
      <c r="E120" s="20" t="n">
        <v>1220</v>
      </c>
      <c r="F120" s="20" t="n">
        <v>2446</v>
      </c>
      <c r="G120" s="20" t="n">
        <v>2410</v>
      </c>
      <c r="H120" s="20" t="n">
        <v>-1738</v>
      </c>
      <c r="I120" s="20" t="n">
        <v>-1786</v>
      </c>
      <c r="J120" s="20" t="n">
        <v>-20</v>
      </c>
      <c r="K120" s="20" t="n">
        <v>1195</v>
      </c>
      <c r="L120" s="20" t="n">
        <v>2446</v>
      </c>
    </row>
    <row r="121">
      <c r="A121" s="18" t="inlineStr">
        <is>
          <t>기타포괄손익누계액 합계</t>
        </is>
      </c>
      <c r="C121" s="20" t="n">
        <v>6245</v>
      </c>
      <c r="D121" s="20" t="n">
        <v>7464</v>
      </c>
      <c r="E121" s="20" t="n">
        <v>9206</v>
      </c>
      <c r="F121" s="20" t="n">
        <v>9227</v>
      </c>
      <c r="G121" s="20" t="n">
        <v>10958</v>
      </c>
      <c r="H121" s="20" t="n">
        <v>-2717</v>
      </c>
      <c r="I121" s="20" t="n">
        <v>329</v>
      </c>
      <c r="J121" s="20" t="n">
        <v>5665</v>
      </c>
      <c r="K121" s="20" t="n">
        <v>6451</v>
      </c>
      <c r="L121" s="20" t="n">
        <v>9227</v>
      </c>
    </row>
    <row r="122">
      <c r="A122" s="18" t="inlineStr">
        <is>
          <t>비지배지분</t>
        </is>
      </c>
      <c r="C122" s="20" t="n">
        <v>2731</v>
      </c>
      <c r="D122" s="20" t="n">
        <v>2815</v>
      </c>
      <c r="E122" s="20" t="n">
        <v>3059</v>
      </c>
      <c r="F122" s="20" t="n">
        <v>3124</v>
      </c>
      <c r="G122" s="20" t="n">
        <v>2628</v>
      </c>
      <c r="H122" s="20" t="n">
        <v>3118</v>
      </c>
      <c r="I122" s="20" t="n">
        <v>3124</v>
      </c>
      <c r="J122" s="20" t="n">
        <v>3413</v>
      </c>
      <c r="K122" s="20" t="n">
        <v>2815</v>
      </c>
      <c r="L122" s="20" t="n">
        <v>3124</v>
      </c>
    </row>
    <row r="123">
      <c r="A123" s="9" t="inlineStr">
        <is>
          <t>순자산 합계</t>
        </is>
      </c>
      <c r="C123" s="12" t="n">
        <v>94395</v>
      </c>
      <c r="D123" s="12" t="n">
        <v>98396</v>
      </c>
      <c r="E123" s="12" t="n">
        <v>88085</v>
      </c>
      <c r="F123" s="12" t="n">
        <v>90183</v>
      </c>
      <c r="G123" s="12" t="n">
        <v>93195</v>
      </c>
      <c r="H123" s="12" t="n">
        <v>84616</v>
      </c>
      <c r="I123" s="12" t="n">
        <v>85940</v>
      </c>
      <c r="J123" s="12" t="n">
        <v>97307</v>
      </c>
      <c r="K123" s="12" t="n">
        <v>94171</v>
      </c>
      <c r="L123" s="12" t="n">
        <v>90183</v>
      </c>
    </row>
    <row r="124">
      <c r="A124" s="9" t="inlineStr">
        <is>
          <t>부채·순자산 합계</t>
        </is>
      </c>
      <c r="C124" s="12" t="n">
        <v>160525</v>
      </c>
      <c r="D124" s="12" t="n">
        <v>167822</v>
      </c>
      <c r="E124" s="12" t="n">
        <v>169522</v>
      </c>
      <c r="F124" s="12" t="n">
        <v>180467</v>
      </c>
      <c r="G124" s="12" t="n">
        <v>185341</v>
      </c>
      <c r="H124" s="12" t="n">
        <v>177535</v>
      </c>
      <c r="I124" s="12" t="n">
        <v>168177</v>
      </c>
      <c r="J124" s="12" t="n">
        <v>171100</v>
      </c>
      <c r="K124" s="12" t="n">
        <v>164514</v>
      </c>
      <c r="L124" s="12" t="n">
        <v>180467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https://www2.jpx.co.jp/disc/68100/140120260724599100.pdf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https://www2.jpx.co.jp/disc/68100/140120260422508533.pdf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https://www2.jpx.co.jp/disc/68100/140120260127539164.pdf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https://www2.jpx.co.jp/disc/68100/140120251006568988.pdf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https://www2.jpx.co.jp/disc/68100/140120250709510922.pdf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https://www2.jpx.co.jp/disc/68100/140120250411514008.pdf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https://www2.jpx.co.jp/disc/68100/140120250127555706.pdf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https://www2.jpx.co.jp/disc/68100/140120241029504539.pdf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https://www2.jpx.co.jp/disc/68100/140120240722552159.pdf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https://www2.jpx.co.jp/disc/68100/140120240419573445.pdf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https://www2.jpx.co.jp/disc/68100/140120240126519811.pdf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https://www2.jpx.co.jp/disc/68100/140120231005563391.pdf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https://www2.jpx.co.jp/disc/68100/140120230724526136.pdf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https://www2.jpx.co.jp/disc/68100/140120230421550792.pdf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https://www2.jpx.co.jp/disc/68100/140120230127594453.pdf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https://www2.jpx.co.jp/disc/68100/140120221027550909.pdf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https://www2.jpx.co.jp/disc/68100/140120220414521613.pdf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https://www2.jpx.co.jp/disc/68100/140120210427401991.pdf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https://www2.jpx.co.jp/disc/68100/140120200512410594.pdf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https://www2.jpx.co.jp/disc/68100/140120190425411507.pdf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https://www2.jpx.co.jp/disc/68100/140120180426422384.pdf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2026-10-28T06:58:52Z</dcterms:created>
  <dcterms:modified xmlns:dcterms="http://purl.org/dc/terms/" xmlns:xsi="http://www.w3.org/2001/XMLSchema-instance" xsi:type="dcterms:W3CDTF">2026-10-28T06:58:52Z</dcterms:modified>
</cp:coreProperties>
</file>