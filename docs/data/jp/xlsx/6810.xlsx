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연간" sheetId="1" state="visible" r:id="rId1"/>
    <sheet xmlns:r="http://schemas.openxmlformats.org/officeDocument/2006/relationships" name="재무상태표" sheetId="2" state="visible" r:id="rId2"/>
    <sheet xmlns:r="http://schemas.openxmlformats.org/officeDocument/2006/relationships" name="출처" sheetId="3" state="visible" r:id="rId3"/>
  </sheets>
  <definedNames>
    <definedName name="_xlnm.Print_Titles" localSheetId="0">'연간'!$3:$3</definedName>
    <definedName name="_xlnm.Print_Titles" localSheetId="1">'재무상태표'!$3:$3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.0%;-0.0%;&quot;-&quot;"/>
    <numFmt numFmtId="165" formatCode="#,##0;(#,##0);&quot;-&quot;"/>
    <numFmt numFmtId="166" formatCode="0.0&quot;x&quot;;-0.0&quot;x&quot;;&quot;-&quot;"/>
    <numFmt numFmtId="167" formatCode="0.0&quot;년&quot;;-0.0&quot;년&quot;;&quot;-&quot;"/>
    <numFmt numFmtId="168" formatCode="0&quot;일&quot;;-0&quot;일&quot;;&quot;-&quot;"/>
  </numFmts>
  <fonts count="17">
    <font>
      <name val="Calibri"/>
      <family val="2"/>
      <color theme="1"/>
      <sz val="11"/>
      <scheme val="minor"/>
    </font>
    <font>
      <name val="맑은 고딕"/>
      <b val="1"/>
      <color rgb="00000000"/>
      <sz val="20"/>
    </font>
    <font>
      <name val="맑은 고딕"/>
      <color rgb="00FF0000"/>
      <sz val="11"/>
    </font>
    <font>
      <name val="맑은 고딕"/>
      <color rgb="00808080"/>
      <sz val="9"/>
    </font>
    <font>
      <name val="맑은 고딕"/>
      <color rgb="000000FF"/>
      <sz val="9"/>
    </font>
    <font>
      <name val="맑은 고딕"/>
      <b val="1"/>
      <color rgb="00000000"/>
      <sz val="10"/>
    </font>
    <font>
      <name val="맑은 고딕"/>
      <color rgb="00808080"/>
      <sz val="11"/>
    </font>
    <font>
      <name val="맑은 고딕"/>
      <b val="1"/>
      <color rgb="00FFFFFF"/>
      <sz val="11"/>
    </font>
    <font>
      <name val="맑은 고딕"/>
      <color rgb="00000000"/>
      <sz val="11"/>
    </font>
    <font>
      <name val="맑은 고딕"/>
      <color rgb="000000FF"/>
      <sz val="11"/>
    </font>
    <font>
      <name val="맑은 고딕"/>
      <b val="1"/>
      <color rgb="00000000"/>
      <sz val="11"/>
    </font>
    <font>
      <name val="맑은 고딕"/>
      <b val="1"/>
      <color rgb="00FF0000"/>
      <sz val="11"/>
    </font>
    <font>
      <name val="맑은 고딕"/>
      <b val="1"/>
      <color rgb="00808080"/>
      <sz val="9"/>
    </font>
    <font>
      <name val="맑은 고딕"/>
      <color rgb="00FF0000"/>
      <sz val="9"/>
    </font>
    <font>
      <name val="맑은 고딕"/>
      <b val="1"/>
      <color rgb="00FFFFFF"/>
      <sz val="9"/>
    </font>
    <font>
      <name val="맑은 고딕"/>
      <b val="1"/>
      <sz val="20"/>
    </font>
    <font>
      <name val="맑은 고딕"/>
      <b val="1"/>
      <sz val="10"/>
    </font>
  </fonts>
  <fills count="7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808080"/>
      </patternFill>
    </fill>
    <fill>
      <patternFill patternType="solid">
        <fgColor rgb="00A6A6A6"/>
      </patternFill>
    </fill>
    <fill>
      <patternFill patternType="solid">
        <fgColor rgb="00DDEBF7"/>
      </patternFill>
    </fill>
    <fill>
      <patternFill patternType="solid">
        <fgColor rgb="FFD9D9D9"/>
      </patternFill>
    </fill>
  </fills>
  <borders count="4">
    <border>
      <left/>
      <right/>
      <top/>
      <bottom/>
      <diagonal/>
    </border>
    <border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left style="thin">
        <color rgb="007F7F7F"/>
      </left>
      <top/>
      <bottom/>
    </border>
  </borders>
  <cellStyleXfs count="1">
    <xf numFmtId="0" fontId="0" fillId="0" borderId="0"/>
  </cellStyleXfs>
  <cellXfs count="5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165" fontId="10" fillId="0" borderId="3" applyAlignment="1" pivotButton="0" quotePrefix="0" xfId="0">
      <alignment horizontal="center" vertical="center"/>
    </xf>
    <xf numFmtId="165" fontId="10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 indent="1"/>
    </xf>
    <xf numFmtId="164" fontId="6" fillId="0" borderId="3" applyAlignment="1" pivotButton="0" quotePrefix="0" xfId="0">
      <alignment horizontal="center" vertical="center"/>
    </xf>
    <xf numFmtId="164" fontId="6" fillId="0" borderId="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/>
    </xf>
    <xf numFmtId="0" fontId="7" fillId="3" borderId="3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165" fontId="8" fillId="0" borderId="3" applyAlignment="1" pivotButton="0" quotePrefix="0" xfId="0">
      <alignment horizontal="center" vertical="center"/>
    </xf>
    <xf numFmtId="165" fontId="8" fillId="0" borderId="0" applyAlignment="1" pivotButton="0" quotePrefix="0" xfId="0">
      <alignment horizontal="center" vertical="center"/>
    </xf>
    <xf numFmtId="165" fontId="9" fillId="0" borderId="3" applyAlignment="1" pivotButton="0" quotePrefix="0" xfId="0">
      <alignment horizontal="center" vertical="center"/>
    </xf>
    <xf numFmtId="165" fontId="9" fillId="0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center" vertical="center"/>
    </xf>
    <xf numFmtId="0" fontId="7" fillId="4" borderId="3" applyAlignment="1" pivotButton="0" quotePrefix="0" xfId="0">
      <alignment horizontal="center" vertical="center"/>
    </xf>
    <xf numFmtId="164" fontId="9" fillId="0" borderId="3" applyAlignment="1" pivotButton="0" quotePrefix="0" xfId="0">
      <alignment horizontal="center" vertical="center"/>
    </xf>
    <xf numFmtId="164" fontId="9" fillId="0" borderId="0" applyAlignment="1" pivotButton="0" quotePrefix="0" xfId="0">
      <alignment horizontal="center" vertical="center"/>
    </xf>
    <xf numFmtId="3" fontId="10" fillId="0" borderId="0" applyAlignment="1" pivotButton="0" quotePrefix="0" xfId="0">
      <alignment horizontal="center" vertical="center"/>
    </xf>
    <xf numFmtId="3" fontId="8" fillId="0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166" fontId="8" fillId="0" borderId="3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  <xf numFmtId="166" fontId="9" fillId="0" borderId="3" applyAlignment="1" pivotButton="0" quotePrefix="0" xfId="0">
      <alignment horizontal="center" vertical="center"/>
    </xf>
    <xf numFmtId="166" fontId="9" fillId="0" borderId="0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64" fontId="8" fillId="0" borderId="3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164" fontId="11" fillId="0" borderId="3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0" fontId="0" fillId="0" borderId="3" pivotButton="0" quotePrefix="0" xfId="0"/>
    <xf numFmtId="0" fontId="12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14" fillId="3" borderId="0" applyAlignment="1" pivotButton="0" quotePrefix="0" xfId="0">
      <alignment horizontal="center" vertical="center"/>
    </xf>
    <xf numFmtId="0" fontId="13" fillId="0" borderId="0" pivotButton="0" quotePrefix="0" xfId="0"/>
    <xf numFmtId="0" fontId="8" fillId="0" borderId="0" applyAlignment="1" pivotButton="0" quotePrefix="0" xfId="0">
      <alignment horizontal="left" vertical="center" indent="1"/>
    </xf>
    <xf numFmtId="167" fontId="8" fillId="0" borderId="3" applyAlignment="1" pivotButton="0" quotePrefix="0" xfId="0">
      <alignment horizontal="center" vertical="center"/>
    </xf>
    <xf numFmtId="167" fontId="8" fillId="0" borderId="0" applyAlignment="1" pivotButton="0" quotePrefix="0" xfId="0">
      <alignment horizontal="center" vertical="center"/>
    </xf>
    <xf numFmtId="168" fontId="8" fillId="0" borderId="3" applyAlignment="1" pivotButton="0" quotePrefix="0" xfId="0">
      <alignment horizontal="center" vertical="center"/>
    </xf>
    <xf numFmtId="168" fontId="8" fillId="0" borderId="0" applyAlignment="1" pivotButton="0" quotePrefix="0" xfId="0">
      <alignment horizontal="center" vertical="center"/>
    </xf>
    <xf numFmtId="0" fontId="15" fillId="0" borderId="0" pivotButton="0" quotePrefix="0" xfId="0"/>
    <xf numFmtId="0" fontId="16" fillId="6" borderId="0" pivotButton="0" quotePrefix="0" xfId="0"/>
  </cellXfs>
  <cellStyles count="1">
    <cellStyle name="Normal" xfId="0" builtinId="0" hidden="0"/>
  </cellStyles>
  <dxfs count="1">
    <dxf>
      <font>
        <name val="맑은 고딕"/>
        <b val="1"/>
        <color rgb="00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243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4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outlineLevel="1" width="11" customWidth="1" min="8" max="8"/>
    <col outlineLevel="1" width="11" customWidth="1" min="9" max="9"/>
    <col outlineLevel="1" width="11" customWidth="1" min="10" max="10"/>
    <col outlineLevel="1" width="11" customWidth="1" min="11" max="11"/>
    <col outlineLevel="1" width="11" customWidth="1" min="12" max="12"/>
    <col outlineLevel="1" width="11" customWidth="1" min="13" max="13"/>
    <col outlineLevel="1"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</cols>
  <sheetData>
    <row r="1" ht="30" customHeight="1">
      <c r="A1" s="1" t="inlineStr">
        <is>
          <t>6810 Model</t>
        </is>
      </c>
    </row>
    <row r="2">
      <c r="A2" s="2" t="inlineStr">
        <is>
          <t>모를 땐 보수적으로</t>
        </is>
      </c>
      <c r="B2" s="3" t="inlineStr">
        <is>
          <t>(단위: 백만엔)</t>
        </is>
      </c>
      <c r="C2" s="3" t="inlineStr">
        <is>
          <t>3월 결산 · 일본 기준 · 2027.1Q = 2027년 3월 결산기 1분기</t>
        </is>
      </c>
      <c r="Y2" s="4" t="inlineStr">
        <is>
          <t>(추정: 파란 글씨 = 직접 입력)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2024.2Q</t>
        </is>
      </c>
      <c r="D3" s="5" t="inlineStr">
        <is>
          <t>2024.3Q</t>
        </is>
      </c>
      <c r="E3" s="5" t="inlineStr">
        <is>
          <t>2024.4Q</t>
        </is>
      </c>
      <c r="F3" s="5" t="inlineStr">
        <is>
          <t>2025.1Q</t>
        </is>
      </c>
      <c r="G3" s="5" t="inlineStr">
        <is>
          <t>2025.2Q</t>
        </is>
      </c>
      <c r="H3" s="5" t="inlineStr">
        <is>
          <t>2025.3Q</t>
        </is>
      </c>
      <c r="I3" s="5" t="inlineStr">
        <is>
          <t>2025.4Q</t>
        </is>
      </c>
      <c r="J3" s="5" t="inlineStr">
        <is>
          <t>2026.1Q</t>
        </is>
      </c>
      <c r="K3" s="5" t="inlineStr">
        <is>
          <t>2026.2Q</t>
        </is>
      </c>
      <c r="L3" s="5" t="inlineStr">
        <is>
          <t>2026.3Q</t>
        </is>
      </c>
      <c r="M3" s="5" t="inlineStr">
        <is>
          <t>2026.4Q</t>
        </is>
      </c>
      <c r="N3" s="5" t="inlineStr">
        <is>
          <t>2027.1Q</t>
        </is>
      </c>
      <c r="O3" s="6" t="inlineStr">
        <is>
          <t>2017</t>
        </is>
      </c>
      <c r="P3" s="5" t="inlineStr">
        <is>
          <t>2018</t>
        </is>
      </c>
      <c r="Q3" s="5" t="inlineStr">
        <is>
          <t>2019</t>
        </is>
      </c>
      <c r="R3" s="5" t="inlineStr">
        <is>
          <t>2020</t>
        </is>
      </c>
      <c r="S3" s="5" t="inlineStr">
        <is>
          <t>2021</t>
        </is>
      </c>
      <c r="T3" s="5" t="inlineStr">
        <is>
          <t>2022</t>
        </is>
      </c>
      <c r="U3" s="5" t="inlineStr">
        <is>
          <t>2023</t>
        </is>
      </c>
      <c r="V3" s="5" t="inlineStr">
        <is>
          <t>2024</t>
        </is>
      </c>
      <c r="W3" s="5" t="inlineStr">
        <is>
          <t>2025</t>
        </is>
      </c>
      <c r="X3" s="5" t="inlineStr">
        <is>
          <t>2026</t>
        </is>
      </c>
      <c r="Y3" s="7" t="inlineStr">
        <is>
          <t>2027(MW)</t>
        </is>
      </c>
      <c r="Z3" s="8" t="inlineStr">
        <is>
          <t>2028(MW)</t>
        </is>
      </c>
      <c r="AA3" s="8" t="inlineStr">
        <is>
          <t>2029(MW)</t>
        </is>
      </c>
      <c r="AB3" s="8" t="inlineStr">
        <is>
          <t>2030(MW)</t>
        </is>
      </c>
      <c r="AC3" s="8" t="inlineStr">
        <is>
          <t>2031(MW)</t>
        </is>
      </c>
    </row>
    <row r="4">
      <c r="A4" s="9" t="inlineStr">
        <is>
          <t>매출액</t>
        </is>
      </c>
      <c r="B4" s="10" t="inlineStr">
        <is>
          <t>MW = 제품 합계</t>
        </is>
      </c>
      <c r="C4" s="11" t="n">
        <v>33395</v>
      </c>
      <c r="D4" s="12" t="n">
        <v>31684</v>
      </c>
      <c r="E4" s="12" t="n">
        <v>31835</v>
      </c>
      <c r="F4" s="12" t="n">
        <v>31385</v>
      </c>
      <c r="G4" s="12" t="n">
        <v>31737</v>
      </c>
      <c r="H4" s="12" t="n">
        <v>32465</v>
      </c>
      <c r="I4" s="12" t="n">
        <v>34219</v>
      </c>
      <c r="J4" s="12" t="n">
        <v>30270</v>
      </c>
      <c r="K4" s="12" t="n">
        <v>34389</v>
      </c>
      <c r="L4" s="12" t="n">
        <v>31640</v>
      </c>
      <c r="M4" s="12" t="n">
        <v>33130</v>
      </c>
      <c r="N4" s="12" t="n">
        <v>37665</v>
      </c>
      <c r="O4" s="11" t="n">
        <v>135116</v>
      </c>
      <c r="P4" s="12" t="n">
        <v>148198</v>
      </c>
      <c r="Q4" s="12" t="n">
        <v>150584</v>
      </c>
      <c r="R4" s="12" t="n">
        <v>145041</v>
      </c>
      <c r="S4" s="12" t="n">
        <v>139055</v>
      </c>
      <c r="T4" s="12" t="n">
        <v>138215</v>
      </c>
      <c r="U4" s="12" t="n">
        <v>132776</v>
      </c>
      <c r="V4" s="12" t="n">
        <v>129139</v>
      </c>
      <c r="W4" s="12" t="n">
        <v>129806</v>
      </c>
      <c r="X4" s="12" t="n">
        <v>129429</v>
      </c>
      <c r="Y4" s="11">
        <f>IF(COUNT(Y7,Y10,Y13,Y16,Y19,Y22,Y25)=0,"",SUM(Y7,Y10,Y13,Y16,Y19,Y22,Y25))</f>
        <v/>
      </c>
      <c r="Z4" s="12">
        <f>IF(COUNT(Z7,Z10,Z13,Z16,Z19,Z22,Z25)=0,"",SUM(Z7,Z10,Z13,Z16,Z19,Z22,Z25))</f>
        <v/>
      </c>
      <c r="AA4" s="12">
        <f>IF(COUNT(AA7,AA10,AA13,AA16,AA19,AA22,AA25)=0,"",SUM(AA7,AA10,AA13,AA16,AA19,AA22,AA25))</f>
        <v/>
      </c>
      <c r="AB4" s="12">
        <f>IF(COUNT(AB7,AB10,AB13,AB16,AB19,AB22,AB25)=0,"",SUM(AB7,AB10,AB13,AB16,AB19,AB22,AB25))</f>
        <v/>
      </c>
      <c r="AC4" s="12">
        <f>IF(COUNT(AC7,AC10,AC13,AC16,AC19,AC22,AC25)=0,"",SUM(AC7,AC10,AC13,AC16,AC19,AC22,AC25))</f>
        <v/>
      </c>
    </row>
    <row r="5">
      <c r="A5" s="13" t="inlineStr">
        <is>
          <t>YoY</t>
        </is>
      </c>
      <c r="B5" s="10" t="n"/>
      <c r="C5" s="14" t="n"/>
      <c r="D5" s="15" t="n"/>
      <c r="E5" s="15" t="n"/>
      <c r="F5" s="15" t="n"/>
      <c r="G5" s="15">
        <f>IF(OR(G4="",C4=""),"",IFERROR(G4/C4-1,""))</f>
        <v/>
      </c>
      <c r="H5" s="15">
        <f>IF(OR(H4="",D4=""),"",IFERROR(H4/D4-1,""))</f>
        <v/>
      </c>
      <c r="I5" s="15">
        <f>IF(OR(I4="",E4=""),"",IFERROR(I4/E4-1,""))</f>
        <v/>
      </c>
      <c r="J5" s="15">
        <f>IF(OR(J4="",F4=""),"",IFERROR(J4/F4-1,""))</f>
        <v/>
      </c>
      <c r="K5" s="15">
        <f>IF(OR(K4="",G4=""),"",IFERROR(K4/G4-1,""))</f>
        <v/>
      </c>
      <c r="L5" s="15">
        <f>IF(OR(L4="",H4=""),"",IFERROR(L4/H4-1,""))</f>
        <v/>
      </c>
      <c r="M5" s="15">
        <f>IF(OR(M4="",I4=""),"",IFERROR(M4/I4-1,""))</f>
        <v/>
      </c>
      <c r="N5" s="15">
        <f>IF(OR(N4="",J4=""),"",IFERROR(N4/J4-1,""))</f>
        <v/>
      </c>
      <c r="O5" s="14" t="n"/>
      <c r="P5" s="15">
        <f>IF(OR(P4="",O4=""),"",IFERROR(P4/O4-1,""))</f>
        <v/>
      </c>
      <c r="Q5" s="15">
        <f>IF(OR(Q4="",P4=""),"",IFERROR(Q4/P4-1,""))</f>
        <v/>
      </c>
      <c r="R5" s="15">
        <f>IF(OR(R4="",Q4=""),"",IFERROR(R4/Q4-1,""))</f>
        <v/>
      </c>
      <c r="S5" s="15">
        <f>IF(OR(S4="",R4=""),"",IFERROR(S4/R4-1,""))</f>
        <v/>
      </c>
      <c r="T5" s="15">
        <f>IF(OR(T4="",S4=""),"",IFERROR(T4/S4-1,""))</f>
        <v/>
      </c>
      <c r="U5" s="15">
        <f>IF(OR(U4="",T4=""),"",IFERROR(U4/T4-1,""))</f>
        <v/>
      </c>
      <c r="V5" s="15">
        <f>IF(OR(V4="",U4=""),"",IFERROR(V4/U4-1,""))</f>
        <v/>
      </c>
      <c r="W5" s="15">
        <f>IF(OR(W4="",V4=""),"",IFERROR(W4/V4-1,""))</f>
        <v/>
      </c>
      <c r="X5" s="15">
        <f>IF(OR(X4="",W4=""),"",IFERROR(X4/W4-1,""))</f>
        <v/>
      </c>
      <c r="Y5" s="14">
        <f>IF(OR(Y4="",X4=""),"",IFERROR(Y4/X4-1,""))</f>
        <v/>
      </c>
      <c r="Z5" s="15">
        <f>IF(OR(Z4="",Y4=""),"",IFERROR(Z4/Y4-1,""))</f>
        <v/>
      </c>
      <c r="AA5" s="15">
        <f>IF(OR(AA4="",Z4=""),"",IFERROR(AA4/Z4-1,""))</f>
        <v/>
      </c>
      <c r="AB5" s="15">
        <f>IF(OR(AB4="",AA4=""),"",IFERROR(AB4/AA4-1,""))</f>
        <v/>
      </c>
      <c r="AC5" s="15">
        <f>IF(OR(AC4="",AB4=""),"",IFERROR(AC4/AB4-1,""))</f>
        <v/>
      </c>
    </row>
    <row r="6">
      <c r="A6" s="16" t="inlineStr">
        <is>
          <t>제품별 매출 분류</t>
        </is>
      </c>
      <c r="B6" s="16" t="inlineStr">
        <is>
          <t>사업보고서 매출실적</t>
        </is>
      </c>
      <c r="C6" s="17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7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7" t="n"/>
      <c r="Z6" s="16" t="n"/>
      <c r="AA6" s="16" t="n"/>
      <c r="AB6" s="16" t="n"/>
      <c r="AC6" s="16" t="n"/>
    </row>
    <row r="7">
      <c r="A7" s="18" t="inlineStr">
        <is>
          <t>EnergyReportableSegmentsMember</t>
        </is>
      </c>
      <c r="B7" s="10" t="n"/>
      <c r="C7" s="19" t="n"/>
      <c r="D7" s="20" t="n"/>
      <c r="E7" s="20" t="n"/>
      <c r="F7" s="20" t="n">
        <v>10113</v>
      </c>
      <c r="G7" s="20" t="n"/>
      <c r="H7" s="20" t="n"/>
      <c r="I7" s="20" t="n">
        <v>4997</v>
      </c>
      <c r="J7" s="20" t="n">
        <v>10349</v>
      </c>
      <c r="K7" s="20" t="n"/>
      <c r="L7" s="20" t="n"/>
      <c r="M7" s="20" t="n">
        <v>11422</v>
      </c>
      <c r="N7" s="20" t="n">
        <v>15246</v>
      </c>
      <c r="O7" s="19" t="n"/>
      <c r="P7" s="20" t="n"/>
      <c r="Q7" s="20" t="n"/>
      <c r="R7" s="20" t="n"/>
      <c r="S7" s="20" t="n"/>
      <c r="T7" s="20" t="n"/>
      <c r="U7" s="20" t="n"/>
      <c r="V7" s="20" t="n"/>
      <c r="W7" s="20" t="n">
        <v>36630</v>
      </c>
      <c r="X7" s="20" t="n">
        <v>42458</v>
      </c>
      <c r="Y7" s="21" t="n"/>
      <c r="Z7" s="22" t="n"/>
      <c r="AA7" s="22" t="n"/>
      <c r="AB7" s="22" t="n"/>
      <c r="AC7" s="22" t="n"/>
    </row>
    <row r="8">
      <c r="A8" s="13" t="inlineStr">
        <is>
          <t>비중</t>
        </is>
      </c>
      <c r="B8" s="10" t="n"/>
      <c r="C8" s="14">
        <f>IF(OR(C7="",C4=""),"",IFERROR(C7/C4,""))</f>
        <v/>
      </c>
      <c r="D8" s="15">
        <f>IF(OR(D7="",D4=""),"",IFERROR(D7/D4,""))</f>
        <v/>
      </c>
      <c r="E8" s="15">
        <f>IF(OR(E7="",E4=""),"",IFERROR(E7/E4,""))</f>
        <v/>
      </c>
      <c r="F8" s="15">
        <f>IF(OR(F7="",F4=""),"",IFERROR(F7/F4,""))</f>
        <v/>
      </c>
      <c r="G8" s="15">
        <f>IF(OR(G7="",G4=""),"",IFERROR(G7/G4,""))</f>
        <v/>
      </c>
      <c r="H8" s="15">
        <f>IF(OR(H7="",H4=""),"",IFERROR(H7/H4,""))</f>
        <v/>
      </c>
      <c r="I8" s="15">
        <f>IF(OR(I7="",I4=""),"",IFERROR(I7/I4,""))</f>
        <v/>
      </c>
      <c r="J8" s="15">
        <f>IF(OR(J7="",J4=""),"",IFERROR(J7/J4,""))</f>
        <v/>
      </c>
      <c r="K8" s="15">
        <f>IF(OR(K7="",K4=""),"",IFERROR(K7/K4,""))</f>
        <v/>
      </c>
      <c r="L8" s="15">
        <f>IF(OR(L7="",L4=""),"",IFERROR(L7/L4,""))</f>
        <v/>
      </c>
      <c r="M8" s="15">
        <f>IF(OR(M7="",M4=""),"",IFERROR(M7/M4,""))</f>
        <v/>
      </c>
      <c r="N8" s="15">
        <f>IF(OR(N7="",N4=""),"",IFERROR(N7/N4,""))</f>
        <v/>
      </c>
      <c r="O8" s="14">
        <f>IF(OR(O7="",O4=""),"",IFERROR(O7/O4,""))</f>
        <v/>
      </c>
      <c r="P8" s="15">
        <f>IF(OR(P7="",P4=""),"",IFERROR(P7/P4,""))</f>
        <v/>
      </c>
      <c r="Q8" s="15">
        <f>IF(OR(Q7="",Q4=""),"",IFERROR(Q7/Q4,""))</f>
        <v/>
      </c>
      <c r="R8" s="15">
        <f>IF(OR(R7="",R4=""),"",IFERROR(R7/R4,""))</f>
        <v/>
      </c>
      <c r="S8" s="15">
        <f>IF(OR(S7="",S4=""),"",IFERROR(S7/S4,""))</f>
        <v/>
      </c>
      <c r="T8" s="15">
        <f>IF(OR(T7="",T4=""),"",IFERROR(T7/T4,""))</f>
        <v/>
      </c>
      <c r="U8" s="15">
        <f>IF(OR(U7="",U4=""),"",IFERROR(U7/U4,""))</f>
        <v/>
      </c>
      <c r="V8" s="15">
        <f>IF(OR(V7="",V4=""),"",IFERROR(V7/V4,""))</f>
        <v/>
      </c>
      <c r="W8" s="15">
        <f>IF(OR(W7="",W4=""),"",IFERROR(W7/W4,""))</f>
        <v/>
      </c>
      <c r="X8" s="15">
        <f>IF(OR(X7="",X4=""),"",IFERROR(X7/X4,""))</f>
        <v/>
      </c>
      <c r="Y8" s="14">
        <f>IF(OR(Y7="",Y4=""),"",IFERROR(Y7/Y4,""))</f>
        <v/>
      </c>
      <c r="Z8" s="15">
        <f>IF(OR(Z7="",Z4=""),"",IFERROR(Z7/Z4,""))</f>
        <v/>
      </c>
      <c r="AA8" s="15">
        <f>IF(OR(AA7="",AA4=""),"",IFERROR(AA7/AA4,""))</f>
        <v/>
      </c>
      <c r="AB8" s="15">
        <f>IF(OR(AB7="",AB4=""),"",IFERROR(AB7/AB4,""))</f>
        <v/>
      </c>
      <c r="AC8" s="15">
        <f>IF(OR(AC7="",AC4=""),"",IFERROR(AC7/AC4,""))</f>
        <v/>
      </c>
    </row>
    <row r="9">
      <c r="A9" s="13" t="inlineStr">
        <is>
          <t>YoY</t>
        </is>
      </c>
      <c r="B9" s="10" t="n"/>
      <c r="C9" s="14" t="n"/>
      <c r="D9" s="15" t="n"/>
      <c r="E9" s="15" t="n"/>
      <c r="F9" s="15" t="n"/>
      <c r="G9" s="15">
        <f>IF(OR(G7="",C7=""),"",IFERROR(G7/C7-1,""))</f>
        <v/>
      </c>
      <c r="H9" s="15">
        <f>IF(OR(H7="",D7=""),"",IFERROR(H7/D7-1,""))</f>
        <v/>
      </c>
      <c r="I9" s="15">
        <f>IF(OR(I7="",E7=""),"",IFERROR(I7/E7-1,""))</f>
        <v/>
      </c>
      <c r="J9" s="15">
        <f>IF(OR(J7="",F7=""),"",IFERROR(J7/F7-1,""))</f>
        <v/>
      </c>
      <c r="K9" s="15">
        <f>IF(OR(K7="",G7=""),"",IFERROR(K7/G7-1,""))</f>
        <v/>
      </c>
      <c r="L9" s="15">
        <f>IF(OR(L7="",H7=""),"",IFERROR(L7/H7-1,""))</f>
        <v/>
      </c>
      <c r="M9" s="15">
        <f>IF(OR(M7="",I7=""),"",IFERROR(M7/I7-1,""))</f>
        <v/>
      </c>
      <c r="N9" s="15">
        <f>IF(OR(N7="",J7=""),"",IFERROR(N7/J7-1,""))</f>
        <v/>
      </c>
      <c r="O9" s="14" t="n"/>
      <c r="P9" s="15">
        <f>IF(OR(P7="",O7=""),"",IFERROR(P7/O7-1,""))</f>
        <v/>
      </c>
      <c r="Q9" s="15">
        <f>IF(OR(Q7="",P7=""),"",IFERROR(Q7/P7-1,""))</f>
        <v/>
      </c>
      <c r="R9" s="15">
        <f>IF(OR(R7="",Q7=""),"",IFERROR(R7/Q7-1,""))</f>
        <v/>
      </c>
      <c r="S9" s="15">
        <f>IF(OR(S7="",R7=""),"",IFERROR(S7/R7-1,""))</f>
        <v/>
      </c>
      <c r="T9" s="15">
        <f>IF(OR(T7="",S7=""),"",IFERROR(T7/S7-1,""))</f>
        <v/>
      </c>
      <c r="U9" s="15">
        <f>IF(OR(U7="",T7=""),"",IFERROR(U7/T7-1,""))</f>
        <v/>
      </c>
      <c r="V9" s="15">
        <f>IF(OR(V7="",U7=""),"",IFERROR(V7/U7-1,""))</f>
        <v/>
      </c>
      <c r="W9" s="15">
        <f>IF(OR(W7="",V7=""),"",IFERROR(W7/V7-1,""))</f>
        <v/>
      </c>
      <c r="X9" s="15">
        <f>IF(OR(X7="",W7=""),"",IFERROR(X7/W7-1,""))</f>
        <v/>
      </c>
      <c r="Y9" s="14">
        <f>IF(OR(Y7="",X7=""),"",IFERROR(Y7/X7-1,""))</f>
        <v/>
      </c>
      <c r="Z9" s="15">
        <f>IF(OR(Z7="",Y7=""),"",IFERROR(Z7/Y7-1,""))</f>
        <v/>
      </c>
      <c r="AA9" s="15">
        <f>IF(OR(AA7="",Z7=""),"",IFERROR(AA7/Z7-1,""))</f>
        <v/>
      </c>
      <c r="AB9" s="15">
        <f>IF(OR(AB7="",AA7=""),"",IFERROR(AB7/AA7-1,""))</f>
        <v/>
      </c>
      <c r="AC9" s="15">
        <f>IF(OR(AC7="",AB7=""),"",IFERROR(AC7/AB7-1,""))</f>
        <v/>
      </c>
    </row>
    <row r="10">
      <c r="A10" s="18" t="inlineStr">
        <is>
          <t>FunctionalMaterialsReportableSegmentMember</t>
        </is>
      </c>
      <c r="B10" s="10" t="n"/>
      <c r="C10" s="19" t="n"/>
      <c r="D10" s="20" t="n"/>
      <c r="E10" s="20" t="n"/>
      <c r="F10" s="20" t="n">
        <v>7495</v>
      </c>
      <c r="G10" s="20" t="n"/>
      <c r="H10" s="20" t="n"/>
      <c r="I10" s="20" t="n">
        <v>7940</v>
      </c>
      <c r="J10" s="20" t="n">
        <v>7834</v>
      </c>
      <c r="K10" s="20" t="n"/>
      <c r="L10" s="20" t="n"/>
      <c r="M10" s="20" t="n">
        <v>8585</v>
      </c>
      <c r="N10" s="20" t="n">
        <v>9596</v>
      </c>
      <c r="O10" s="19" t="n"/>
      <c r="P10" s="20" t="n"/>
      <c r="Q10" s="20" t="n"/>
      <c r="R10" s="20" t="n"/>
      <c r="S10" s="20" t="n"/>
      <c r="T10" s="20" t="n"/>
      <c r="U10" s="20" t="n"/>
      <c r="V10" s="20" t="n"/>
      <c r="W10" s="20" t="n">
        <v>31790</v>
      </c>
      <c r="X10" s="20" t="n">
        <v>32614</v>
      </c>
      <c r="Y10" s="21" t="n"/>
      <c r="Z10" s="22" t="n"/>
      <c r="AA10" s="22" t="n"/>
      <c r="AB10" s="22" t="n"/>
      <c r="AC10" s="22" t="n"/>
    </row>
    <row r="11">
      <c r="A11" s="13" t="inlineStr">
        <is>
          <t>비중</t>
        </is>
      </c>
      <c r="B11" s="10" t="n"/>
      <c r="C11" s="14">
        <f>IF(OR(C10="",C4=""),"",IFERROR(C10/C4,""))</f>
        <v/>
      </c>
      <c r="D11" s="15">
        <f>IF(OR(D10="",D4=""),"",IFERROR(D10/D4,""))</f>
        <v/>
      </c>
      <c r="E11" s="15">
        <f>IF(OR(E10="",E4=""),"",IFERROR(E10/E4,""))</f>
        <v/>
      </c>
      <c r="F11" s="15">
        <f>IF(OR(F10="",F4=""),"",IFERROR(F10/F4,""))</f>
        <v/>
      </c>
      <c r="G11" s="15">
        <f>IF(OR(G10="",G4=""),"",IFERROR(G10/G4,""))</f>
        <v/>
      </c>
      <c r="H11" s="15">
        <f>IF(OR(H10="",H4=""),"",IFERROR(H10/H4,""))</f>
        <v/>
      </c>
      <c r="I11" s="15">
        <f>IF(OR(I10="",I4=""),"",IFERROR(I10/I4,""))</f>
        <v/>
      </c>
      <c r="J11" s="15">
        <f>IF(OR(J10="",J4=""),"",IFERROR(J10/J4,""))</f>
        <v/>
      </c>
      <c r="K11" s="15">
        <f>IF(OR(K10="",K4=""),"",IFERROR(K10/K4,""))</f>
        <v/>
      </c>
      <c r="L11" s="15">
        <f>IF(OR(L10="",L4=""),"",IFERROR(L10/L4,""))</f>
        <v/>
      </c>
      <c r="M11" s="15">
        <f>IF(OR(M10="",M4=""),"",IFERROR(M10/M4,""))</f>
        <v/>
      </c>
      <c r="N11" s="15">
        <f>IF(OR(N10="",N4=""),"",IFERROR(N10/N4,""))</f>
        <v/>
      </c>
      <c r="O11" s="14">
        <f>IF(OR(O10="",O4=""),"",IFERROR(O10/O4,""))</f>
        <v/>
      </c>
      <c r="P11" s="15">
        <f>IF(OR(P10="",P4=""),"",IFERROR(P10/P4,""))</f>
        <v/>
      </c>
      <c r="Q11" s="15">
        <f>IF(OR(Q10="",Q4=""),"",IFERROR(Q10/Q4,""))</f>
        <v/>
      </c>
      <c r="R11" s="15">
        <f>IF(OR(R10="",R4=""),"",IFERROR(R10/R4,""))</f>
        <v/>
      </c>
      <c r="S11" s="15">
        <f>IF(OR(S10="",S4=""),"",IFERROR(S10/S4,""))</f>
        <v/>
      </c>
      <c r="T11" s="15">
        <f>IF(OR(T10="",T4=""),"",IFERROR(T10/T4,""))</f>
        <v/>
      </c>
      <c r="U11" s="15">
        <f>IF(OR(U10="",U4=""),"",IFERROR(U10/U4,""))</f>
        <v/>
      </c>
      <c r="V11" s="15">
        <f>IF(OR(V10="",V4=""),"",IFERROR(V10/V4,""))</f>
        <v/>
      </c>
      <c r="W11" s="15">
        <f>IF(OR(W10="",W4=""),"",IFERROR(W10/W4,""))</f>
        <v/>
      </c>
      <c r="X11" s="15">
        <f>IF(OR(X10="",X4=""),"",IFERROR(X10/X4,""))</f>
        <v/>
      </c>
      <c r="Y11" s="14">
        <f>IF(OR(Y10="",Y4=""),"",IFERROR(Y10/Y4,""))</f>
        <v/>
      </c>
      <c r="Z11" s="15">
        <f>IF(OR(Z10="",Z4=""),"",IFERROR(Z10/Z4,""))</f>
        <v/>
      </c>
      <c r="AA11" s="15">
        <f>IF(OR(AA10="",AA4=""),"",IFERROR(AA10/AA4,""))</f>
        <v/>
      </c>
      <c r="AB11" s="15">
        <f>IF(OR(AB10="",AB4=""),"",IFERROR(AB10/AB4,""))</f>
        <v/>
      </c>
      <c r="AC11" s="15">
        <f>IF(OR(AC10="",AC4=""),"",IFERROR(AC10/AC4,""))</f>
        <v/>
      </c>
    </row>
    <row r="12">
      <c r="A12" s="13" t="inlineStr">
        <is>
          <t>YoY</t>
        </is>
      </c>
      <c r="B12" s="10" t="n"/>
      <c r="C12" s="14" t="n"/>
      <c r="D12" s="15" t="n"/>
      <c r="E12" s="15" t="n"/>
      <c r="F12" s="15" t="n"/>
      <c r="G12" s="15">
        <f>IF(OR(G10="",C10=""),"",IFERROR(G10/C10-1,""))</f>
        <v/>
      </c>
      <c r="H12" s="15">
        <f>IF(OR(H10="",D10=""),"",IFERROR(H10/D10-1,""))</f>
        <v/>
      </c>
      <c r="I12" s="15">
        <f>IF(OR(I10="",E10=""),"",IFERROR(I10/E10-1,""))</f>
        <v/>
      </c>
      <c r="J12" s="15">
        <f>IF(OR(J10="",F10=""),"",IFERROR(J10/F10-1,""))</f>
        <v/>
      </c>
      <c r="K12" s="15">
        <f>IF(OR(K10="",G10=""),"",IFERROR(K10/G10-1,""))</f>
        <v/>
      </c>
      <c r="L12" s="15">
        <f>IF(OR(L10="",H10=""),"",IFERROR(L10/H10-1,""))</f>
        <v/>
      </c>
      <c r="M12" s="15">
        <f>IF(OR(M10="",I10=""),"",IFERROR(M10/I10-1,""))</f>
        <v/>
      </c>
      <c r="N12" s="15">
        <f>IF(OR(N10="",J10=""),"",IFERROR(N10/J10-1,""))</f>
        <v/>
      </c>
      <c r="O12" s="14" t="n"/>
      <c r="P12" s="15">
        <f>IF(OR(P10="",O10=""),"",IFERROR(P10/O10-1,""))</f>
        <v/>
      </c>
      <c r="Q12" s="15">
        <f>IF(OR(Q10="",P10=""),"",IFERROR(Q10/P10-1,""))</f>
        <v/>
      </c>
      <c r="R12" s="15">
        <f>IF(OR(R10="",Q10=""),"",IFERROR(R10/Q10-1,""))</f>
        <v/>
      </c>
      <c r="S12" s="15">
        <f>IF(OR(S10="",R10=""),"",IFERROR(S10/R10-1,""))</f>
        <v/>
      </c>
      <c r="T12" s="15">
        <f>IF(OR(T10="",S10=""),"",IFERROR(T10/S10-1,""))</f>
        <v/>
      </c>
      <c r="U12" s="15">
        <f>IF(OR(U10="",T10=""),"",IFERROR(U10/T10-1,""))</f>
        <v/>
      </c>
      <c r="V12" s="15">
        <f>IF(OR(V10="",U10=""),"",IFERROR(V10/U10-1,""))</f>
        <v/>
      </c>
      <c r="W12" s="15">
        <f>IF(OR(W10="",V10=""),"",IFERROR(W10/V10-1,""))</f>
        <v/>
      </c>
      <c r="X12" s="15">
        <f>IF(OR(X10="",W10=""),"",IFERROR(X10/W10-1,""))</f>
        <v/>
      </c>
      <c r="Y12" s="14">
        <f>IF(OR(Y10="",X10=""),"",IFERROR(Y10/X10-1,""))</f>
        <v/>
      </c>
      <c r="Z12" s="15">
        <f>IF(OR(Z10="",Y10=""),"",IFERROR(Z10/Y10-1,""))</f>
        <v/>
      </c>
      <c r="AA12" s="15">
        <f>IF(OR(AA10="",Z10=""),"",IFERROR(AA10/Z10-1,""))</f>
        <v/>
      </c>
      <c r="AB12" s="15">
        <f>IF(OR(AB10="",AA10=""),"",IFERROR(AB10/AA10-1,""))</f>
        <v/>
      </c>
      <c r="AC12" s="15">
        <f>IF(OR(AC10="",AB10=""),"",IFERROR(AC10/AB10-1,""))</f>
        <v/>
      </c>
    </row>
    <row r="13">
      <c r="A13" s="18" t="inlineStr">
        <is>
          <t>OpticsAndSystemsReportableSegmentMember</t>
        </is>
      </c>
      <c r="B13" s="10" t="n"/>
      <c r="C13" s="19" t="n"/>
      <c r="D13" s="20" t="n"/>
      <c r="E13" s="20" t="n"/>
      <c r="F13" s="20" t="n">
        <v>9090</v>
      </c>
      <c r="G13" s="20" t="n"/>
      <c r="H13" s="20" t="n"/>
      <c r="I13" s="20" t="n">
        <v>10218</v>
      </c>
      <c r="J13" s="20" t="n">
        <v>7839</v>
      </c>
      <c r="K13" s="20" t="n"/>
      <c r="L13" s="20" t="n"/>
      <c r="M13" s="20" t="n">
        <v>8534</v>
      </c>
      <c r="N13" s="20" t="n">
        <v>9206</v>
      </c>
      <c r="O13" s="19" t="n"/>
      <c r="P13" s="20" t="n"/>
      <c r="Q13" s="20" t="n"/>
      <c r="R13" s="20" t="n"/>
      <c r="S13" s="20" t="n"/>
      <c r="T13" s="20" t="n"/>
      <c r="U13" s="20" t="n"/>
      <c r="V13" s="20" t="n"/>
      <c r="W13" s="20" t="n">
        <v>35932</v>
      </c>
      <c r="X13" s="20" t="n">
        <v>36413</v>
      </c>
      <c r="Y13" s="21" t="n"/>
      <c r="Z13" s="22" t="n"/>
      <c r="AA13" s="22" t="n"/>
      <c r="AB13" s="22" t="n"/>
      <c r="AC13" s="22" t="n"/>
    </row>
    <row r="14">
      <c r="A14" s="13" t="inlineStr">
        <is>
          <t>비중</t>
        </is>
      </c>
      <c r="B14" s="10" t="n"/>
      <c r="C14" s="14">
        <f>IF(OR(C13="",C4=""),"",IFERROR(C13/C4,""))</f>
        <v/>
      </c>
      <c r="D14" s="15">
        <f>IF(OR(D13="",D4=""),"",IFERROR(D13/D4,""))</f>
        <v/>
      </c>
      <c r="E14" s="15">
        <f>IF(OR(E13="",E4=""),"",IFERROR(E13/E4,""))</f>
        <v/>
      </c>
      <c r="F14" s="15">
        <f>IF(OR(F13="",F4=""),"",IFERROR(F13/F4,""))</f>
        <v/>
      </c>
      <c r="G14" s="15">
        <f>IF(OR(G13="",G4=""),"",IFERROR(G13/G4,""))</f>
        <v/>
      </c>
      <c r="H14" s="15">
        <f>IF(OR(H13="",H4=""),"",IFERROR(H13/H4,""))</f>
        <v/>
      </c>
      <c r="I14" s="15">
        <f>IF(OR(I13="",I4=""),"",IFERROR(I13/I4,""))</f>
        <v/>
      </c>
      <c r="J14" s="15">
        <f>IF(OR(J13="",J4=""),"",IFERROR(J13/J4,""))</f>
        <v/>
      </c>
      <c r="K14" s="15">
        <f>IF(OR(K13="",K4=""),"",IFERROR(K13/K4,""))</f>
        <v/>
      </c>
      <c r="L14" s="15">
        <f>IF(OR(L13="",L4=""),"",IFERROR(L13/L4,""))</f>
        <v/>
      </c>
      <c r="M14" s="15">
        <f>IF(OR(M13="",M4=""),"",IFERROR(M13/M4,""))</f>
        <v/>
      </c>
      <c r="N14" s="15">
        <f>IF(OR(N13="",N4=""),"",IFERROR(N13/N4,""))</f>
        <v/>
      </c>
      <c r="O14" s="14">
        <f>IF(OR(O13="",O4=""),"",IFERROR(O13/O4,""))</f>
        <v/>
      </c>
      <c r="P14" s="15">
        <f>IF(OR(P13="",P4=""),"",IFERROR(P13/P4,""))</f>
        <v/>
      </c>
      <c r="Q14" s="15">
        <f>IF(OR(Q13="",Q4=""),"",IFERROR(Q13/Q4,""))</f>
        <v/>
      </c>
      <c r="R14" s="15">
        <f>IF(OR(R13="",R4=""),"",IFERROR(R13/R4,""))</f>
        <v/>
      </c>
      <c r="S14" s="15">
        <f>IF(OR(S13="",S4=""),"",IFERROR(S13/S4,""))</f>
        <v/>
      </c>
      <c r="T14" s="15">
        <f>IF(OR(T13="",T4=""),"",IFERROR(T13/T4,""))</f>
        <v/>
      </c>
      <c r="U14" s="15">
        <f>IF(OR(U13="",U4=""),"",IFERROR(U13/U4,""))</f>
        <v/>
      </c>
      <c r="V14" s="15">
        <f>IF(OR(V13="",V4=""),"",IFERROR(V13/V4,""))</f>
        <v/>
      </c>
      <c r="W14" s="15">
        <f>IF(OR(W13="",W4=""),"",IFERROR(W13/W4,""))</f>
        <v/>
      </c>
      <c r="X14" s="15">
        <f>IF(OR(X13="",X4=""),"",IFERROR(X13/X4,""))</f>
        <v/>
      </c>
      <c r="Y14" s="14">
        <f>IF(OR(Y13="",Y4=""),"",IFERROR(Y13/Y4,""))</f>
        <v/>
      </c>
      <c r="Z14" s="15">
        <f>IF(OR(Z13="",Z4=""),"",IFERROR(Z13/Z4,""))</f>
        <v/>
      </c>
      <c r="AA14" s="15">
        <f>IF(OR(AA13="",AA4=""),"",IFERROR(AA13/AA4,""))</f>
        <v/>
      </c>
      <c r="AB14" s="15">
        <f>IF(OR(AB13="",AB4=""),"",IFERROR(AB13/AB4,""))</f>
        <v/>
      </c>
      <c r="AC14" s="15">
        <f>IF(OR(AC13="",AC4=""),"",IFERROR(AC13/AC4,""))</f>
        <v/>
      </c>
    </row>
    <row r="15">
      <c r="A15" s="13" t="inlineStr">
        <is>
          <t>YoY</t>
        </is>
      </c>
      <c r="B15" s="10" t="n"/>
      <c r="C15" s="14" t="n"/>
      <c r="D15" s="15" t="n"/>
      <c r="E15" s="15" t="n"/>
      <c r="F15" s="15" t="n"/>
      <c r="G15" s="15">
        <f>IF(OR(G13="",C13=""),"",IFERROR(G13/C13-1,""))</f>
        <v/>
      </c>
      <c r="H15" s="15">
        <f>IF(OR(H13="",D13=""),"",IFERROR(H13/D13-1,""))</f>
        <v/>
      </c>
      <c r="I15" s="15">
        <f>IF(OR(I13="",E13=""),"",IFERROR(I13/E13-1,""))</f>
        <v/>
      </c>
      <c r="J15" s="15">
        <f>IF(OR(J13="",F13=""),"",IFERROR(J13/F13-1,""))</f>
        <v/>
      </c>
      <c r="K15" s="15">
        <f>IF(OR(K13="",G13=""),"",IFERROR(K13/G13-1,""))</f>
        <v/>
      </c>
      <c r="L15" s="15">
        <f>IF(OR(L13="",H13=""),"",IFERROR(L13/H13-1,""))</f>
        <v/>
      </c>
      <c r="M15" s="15">
        <f>IF(OR(M13="",I13=""),"",IFERROR(M13/I13-1,""))</f>
        <v/>
      </c>
      <c r="N15" s="15">
        <f>IF(OR(N13="",J13=""),"",IFERROR(N13/J13-1,""))</f>
        <v/>
      </c>
      <c r="O15" s="14" t="n"/>
      <c r="P15" s="15">
        <f>IF(OR(P13="",O13=""),"",IFERROR(P13/O13-1,""))</f>
        <v/>
      </c>
      <c r="Q15" s="15">
        <f>IF(OR(Q13="",P13=""),"",IFERROR(Q13/P13-1,""))</f>
        <v/>
      </c>
      <c r="R15" s="15">
        <f>IF(OR(R13="",Q13=""),"",IFERROR(R13/Q13-1,""))</f>
        <v/>
      </c>
      <c r="S15" s="15">
        <f>IF(OR(S13="",R13=""),"",IFERROR(S13/R13-1,""))</f>
        <v/>
      </c>
      <c r="T15" s="15">
        <f>IF(OR(T13="",S13=""),"",IFERROR(T13/S13-1,""))</f>
        <v/>
      </c>
      <c r="U15" s="15">
        <f>IF(OR(U13="",T13=""),"",IFERROR(U13/T13-1,""))</f>
        <v/>
      </c>
      <c r="V15" s="15">
        <f>IF(OR(V13="",U13=""),"",IFERROR(V13/U13-1,""))</f>
        <v/>
      </c>
      <c r="W15" s="15">
        <f>IF(OR(W13="",V13=""),"",IFERROR(W13/V13-1,""))</f>
        <v/>
      </c>
      <c r="X15" s="15">
        <f>IF(OR(X13="",W13=""),"",IFERROR(X13/W13-1,""))</f>
        <v/>
      </c>
      <c r="Y15" s="14">
        <f>IF(OR(Y13="",X13=""),"",IFERROR(Y13/X13-1,""))</f>
        <v/>
      </c>
      <c r="Z15" s="15">
        <f>IF(OR(Z13="",Y13=""),"",IFERROR(Z13/Y13-1,""))</f>
        <v/>
      </c>
      <c r="AA15" s="15">
        <f>IF(OR(AA13="",Z13=""),"",IFERROR(AA13/Z13-1,""))</f>
        <v/>
      </c>
      <c r="AB15" s="15">
        <f>IF(OR(AB13="",AA13=""),"",IFERROR(AB13/AA13-1,""))</f>
        <v/>
      </c>
      <c r="AC15" s="15">
        <f>IF(OR(AC13="",AB13=""),"",IFERROR(AC13/AB13-1,""))</f>
        <v/>
      </c>
    </row>
    <row r="16">
      <c r="A16" s="18" t="inlineStr">
        <is>
          <t>LifeSolutionsReportableSegmentMember</t>
        </is>
      </c>
      <c r="B16" s="10" t="n"/>
      <c r="C16" s="19" t="n"/>
      <c r="D16" s="20" t="n"/>
      <c r="E16" s="20" t="n"/>
      <c r="F16" s="20" t="n">
        <v>4687</v>
      </c>
      <c r="G16" s="20" t="n"/>
      <c r="H16" s="20" t="n"/>
      <c r="I16" s="20" t="n">
        <v>6592</v>
      </c>
      <c r="J16" s="20" t="n">
        <v>4248</v>
      </c>
      <c r="K16" s="20" t="n"/>
      <c r="L16" s="20" t="n"/>
      <c r="M16" s="20" t="n"/>
      <c r="N16" s="20" t="n"/>
      <c r="O16" s="19" t="n"/>
      <c r="P16" s="20" t="n"/>
      <c r="Q16" s="20" t="n"/>
      <c r="R16" s="20" t="n"/>
      <c r="S16" s="20" t="n"/>
      <c r="T16" s="20" t="n"/>
      <c r="U16" s="20" t="n"/>
      <c r="V16" s="20" t="n"/>
      <c r="W16" s="20" t="n">
        <v>25454</v>
      </c>
      <c r="X16" s="20" t="n"/>
      <c r="Y16" s="21" t="n"/>
      <c r="Z16" s="22" t="n"/>
      <c r="AA16" s="22" t="n"/>
      <c r="AB16" s="22" t="n"/>
      <c r="AC16" s="22" t="n"/>
    </row>
    <row r="17">
      <c r="A17" s="13" t="inlineStr">
        <is>
          <t>비중</t>
        </is>
      </c>
      <c r="B17" s="10" t="n"/>
      <c r="C17" s="14">
        <f>IF(OR(C16="",C4=""),"",IFERROR(C16/C4,""))</f>
        <v/>
      </c>
      <c r="D17" s="15">
        <f>IF(OR(D16="",D4=""),"",IFERROR(D16/D4,""))</f>
        <v/>
      </c>
      <c r="E17" s="15">
        <f>IF(OR(E16="",E4=""),"",IFERROR(E16/E4,""))</f>
        <v/>
      </c>
      <c r="F17" s="15">
        <f>IF(OR(F16="",F4=""),"",IFERROR(F16/F4,""))</f>
        <v/>
      </c>
      <c r="G17" s="15">
        <f>IF(OR(G16="",G4=""),"",IFERROR(G16/G4,""))</f>
        <v/>
      </c>
      <c r="H17" s="15">
        <f>IF(OR(H16="",H4=""),"",IFERROR(H16/H4,""))</f>
        <v/>
      </c>
      <c r="I17" s="15">
        <f>IF(OR(I16="",I4=""),"",IFERROR(I16/I4,""))</f>
        <v/>
      </c>
      <c r="J17" s="15">
        <f>IF(OR(J16="",J4=""),"",IFERROR(J16/J4,""))</f>
        <v/>
      </c>
      <c r="K17" s="15">
        <f>IF(OR(K16="",K4=""),"",IFERROR(K16/K4,""))</f>
        <v/>
      </c>
      <c r="L17" s="15">
        <f>IF(OR(L16="",L4=""),"",IFERROR(L16/L4,""))</f>
        <v/>
      </c>
      <c r="M17" s="15">
        <f>IF(OR(M16="",M4=""),"",IFERROR(M16/M4,""))</f>
        <v/>
      </c>
      <c r="N17" s="15">
        <f>IF(OR(N16="",N4=""),"",IFERROR(N16/N4,""))</f>
        <v/>
      </c>
      <c r="O17" s="14">
        <f>IF(OR(O16="",O4=""),"",IFERROR(O16/O4,""))</f>
        <v/>
      </c>
      <c r="P17" s="15">
        <f>IF(OR(P16="",P4=""),"",IFERROR(P16/P4,""))</f>
        <v/>
      </c>
      <c r="Q17" s="15">
        <f>IF(OR(Q16="",Q4=""),"",IFERROR(Q16/Q4,""))</f>
        <v/>
      </c>
      <c r="R17" s="15">
        <f>IF(OR(R16="",R4=""),"",IFERROR(R16/R4,""))</f>
        <v/>
      </c>
      <c r="S17" s="15">
        <f>IF(OR(S16="",S4=""),"",IFERROR(S16/S4,""))</f>
        <v/>
      </c>
      <c r="T17" s="15">
        <f>IF(OR(T16="",T4=""),"",IFERROR(T16/T4,""))</f>
        <v/>
      </c>
      <c r="U17" s="15">
        <f>IF(OR(U16="",U4=""),"",IFERROR(U16/U4,""))</f>
        <v/>
      </c>
      <c r="V17" s="15">
        <f>IF(OR(V16="",V4=""),"",IFERROR(V16/V4,""))</f>
        <v/>
      </c>
      <c r="W17" s="15">
        <f>IF(OR(W16="",W4=""),"",IFERROR(W16/W4,""))</f>
        <v/>
      </c>
      <c r="X17" s="15">
        <f>IF(OR(X16="",X4=""),"",IFERROR(X16/X4,""))</f>
        <v/>
      </c>
      <c r="Y17" s="14">
        <f>IF(OR(Y16="",Y4=""),"",IFERROR(Y16/Y4,""))</f>
        <v/>
      </c>
      <c r="Z17" s="15">
        <f>IF(OR(Z16="",Z4=""),"",IFERROR(Z16/Z4,""))</f>
        <v/>
      </c>
      <c r="AA17" s="15">
        <f>IF(OR(AA16="",AA4=""),"",IFERROR(AA16/AA4,""))</f>
        <v/>
      </c>
      <c r="AB17" s="15">
        <f>IF(OR(AB16="",AB4=""),"",IFERROR(AB16/AB4,""))</f>
        <v/>
      </c>
      <c r="AC17" s="15">
        <f>IF(OR(AC16="",AC4=""),"",IFERROR(AC16/AC4,""))</f>
        <v/>
      </c>
    </row>
    <row r="18">
      <c r="A18" s="13" t="inlineStr">
        <is>
          <t>YoY</t>
        </is>
      </c>
      <c r="B18" s="10" t="n"/>
      <c r="C18" s="14" t="n"/>
      <c r="D18" s="15" t="n"/>
      <c r="E18" s="15" t="n"/>
      <c r="F18" s="15" t="n"/>
      <c r="G18" s="15">
        <f>IF(OR(G16="",C16=""),"",IFERROR(G16/C16-1,""))</f>
        <v/>
      </c>
      <c r="H18" s="15">
        <f>IF(OR(H16="",D16=""),"",IFERROR(H16/D16-1,""))</f>
        <v/>
      </c>
      <c r="I18" s="15">
        <f>IF(OR(I16="",E16=""),"",IFERROR(I16/E16-1,""))</f>
        <v/>
      </c>
      <c r="J18" s="15">
        <f>IF(OR(J16="",F16=""),"",IFERROR(J16/F16-1,""))</f>
        <v/>
      </c>
      <c r="K18" s="15">
        <f>IF(OR(K16="",G16=""),"",IFERROR(K16/G16-1,""))</f>
        <v/>
      </c>
      <c r="L18" s="15">
        <f>IF(OR(L16="",H16=""),"",IFERROR(L16/H16-1,""))</f>
        <v/>
      </c>
      <c r="M18" s="15">
        <f>IF(OR(M16="",I16=""),"",IFERROR(M16/I16-1,""))</f>
        <v/>
      </c>
      <c r="N18" s="15">
        <f>IF(OR(N16="",J16=""),"",IFERROR(N16/J16-1,""))</f>
        <v/>
      </c>
      <c r="O18" s="14" t="n"/>
      <c r="P18" s="15">
        <f>IF(OR(P16="",O16=""),"",IFERROR(P16/O16-1,""))</f>
        <v/>
      </c>
      <c r="Q18" s="15">
        <f>IF(OR(Q16="",P16=""),"",IFERROR(Q16/P16-1,""))</f>
        <v/>
      </c>
      <c r="R18" s="15">
        <f>IF(OR(R16="",Q16=""),"",IFERROR(R16/Q16-1,""))</f>
        <v/>
      </c>
      <c r="S18" s="15">
        <f>IF(OR(S16="",R16=""),"",IFERROR(S16/R16-1,""))</f>
        <v/>
      </c>
      <c r="T18" s="15">
        <f>IF(OR(T16="",S16=""),"",IFERROR(T16/S16-1,""))</f>
        <v/>
      </c>
      <c r="U18" s="15">
        <f>IF(OR(U16="",T16=""),"",IFERROR(U16/T16-1,""))</f>
        <v/>
      </c>
      <c r="V18" s="15">
        <f>IF(OR(V16="",U16=""),"",IFERROR(V16/U16-1,""))</f>
        <v/>
      </c>
      <c r="W18" s="15">
        <f>IF(OR(W16="",V16=""),"",IFERROR(W16/V16-1,""))</f>
        <v/>
      </c>
      <c r="X18" s="15">
        <f>IF(OR(X16="",W16=""),"",IFERROR(X16/W16-1,""))</f>
        <v/>
      </c>
      <c r="Y18" s="14">
        <f>IF(OR(Y16="",X16=""),"",IFERROR(Y16/X16-1,""))</f>
        <v/>
      </c>
      <c r="Z18" s="15">
        <f>IF(OR(Z16="",Y16=""),"",IFERROR(Z16/Y16-1,""))</f>
        <v/>
      </c>
      <c r="AA18" s="15">
        <f>IF(OR(AA16="",Z16=""),"",IFERROR(AA16/Z16-1,""))</f>
        <v/>
      </c>
      <c r="AB18" s="15">
        <f>IF(OR(AB16="",AA16=""),"",IFERROR(AB16/AA16-1,""))</f>
        <v/>
      </c>
      <c r="AC18" s="15">
        <f>IF(OR(AC16="",AB16=""),"",IFERROR(AC16/AB16-1,""))</f>
        <v/>
      </c>
    </row>
    <row r="19">
      <c r="A19" s="18" t="inlineStr">
        <is>
          <t>ValueCoCreationBusinessesReportableSegmentMember</t>
        </is>
      </c>
      <c r="B19" s="10" t="n"/>
      <c r="C19" s="19" t="n"/>
      <c r="D19" s="20" t="n"/>
      <c r="E19" s="20" t="n"/>
      <c r="F19" s="20" t="n"/>
      <c r="G19" s="20" t="n"/>
      <c r="H19" s="20" t="n"/>
      <c r="I19" s="20" t="n"/>
      <c r="J19" s="20" t="n">
        <v>4248</v>
      </c>
      <c r="K19" s="20" t="n"/>
      <c r="L19" s="20" t="n"/>
      <c r="M19" s="20" t="n">
        <v>4589</v>
      </c>
      <c r="N19" s="20" t="n">
        <v>3617</v>
      </c>
      <c r="O19" s="19" t="n"/>
      <c r="P19" s="20" t="n"/>
      <c r="Q19" s="20" t="n"/>
      <c r="R19" s="20" t="n"/>
      <c r="S19" s="20" t="n"/>
      <c r="T19" s="20" t="n"/>
      <c r="U19" s="20" t="n"/>
      <c r="V19" s="20" t="n"/>
      <c r="W19" s="20" t="n"/>
      <c r="X19" s="20" t="n">
        <v>17944</v>
      </c>
      <c r="Y19" s="21" t="n"/>
      <c r="Z19" s="22" t="n"/>
      <c r="AA19" s="22" t="n"/>
      <c r="AB19" s="22" t="n"/>
      <c r="AC19" s="22" t="n"/>
    </row>
    <row r="20">
      <c r="A20" s="13" t="inlineStr">
        <is>
          <t>비중</t>
        </is>
      </c>
      <c r="B20" s="10" t="n"/>
      <c r="C20" s="14">
        <f>IF(OR(C19="",C4=""),"",IFERROR(C19/C4,""))</f>
        <v/>
      </c>
      <c r="D20" s="15">
        <f>IF(OR(D19="",D4=""),"",IFERROR(D19/D4,""))</f>
        <v/>
      </c>
      <c r="E20" s="15">
        <f>IF(OR(E19="",E4=""),"",IFERROR(E19/E4,""))</f>
        <v/>
      </c>
      <c r="F20" s="15">
        <f>IF(OR(F19="",F4=""),"",IFERROR(F19/F4,""))</f>
        <v/>
      </c>
      <c r="G20" s="15">
        <f>IF(OR(G19="",G4=""),"",IFERROR(G19/G4,""))</f>
        <v/>
      </c>
      <c r="H20" s="15">
        <f>IF(OR(H19="",H4=""),"",IFERROR(H19/H4,""))</f>
        <v/>
      </c>
      <c r="I20" s="15">
        <f>IF(OR(I19="",I4=""),"",IFERROR(I19/I4,""))</f>
        <v/>
      </c>
      <c r="J20" s="15">
        <f>IF(OR(J19="",J4=""),"",IFERROR(J19/J4,""))</f>
        <v/>
      </c>
      <c r="K20" s="15">
        <f>IF(OR(K19="",K4=""),"",IFERROR(K19/K4,""))</f>
        <v/>
      </c>
      <c r="L20" s="15">
        <f>IF(OR(L19="",L4=""),"",IFERROR(L19/L4,""))</f>
        <v/>
      </c>
      <c r="M20" s="15">
        <f>IF(OR(M19="",M4=""),"",IFERROR(M19/M4,""))</f>
        <v/>
      </c>
      <c r="N20" s="15">
        <f>IF(OR(N19="",N4=""),"",IFERROR(N19/N4,""))</f>
        <v/>
      </c>
      <c r="O20" s="14">
        <f>IF(OR(O19="",O4=""),"",IFERROR(O19/O4,""))</f>
        <v/>
      </c>
      <c r="P20" s="15">
        <f>IF(OR(P19="",P4=""),"",IFERROR(P19/P4,""))</f>
        <v/>
      </c>
      <c r="Q20" s="15">
        <f>IF(OR(Q19="",Q4=""),"",IFERROR(Q19/Q4,""))</f>
        <v/>
      </c>
      <c r="R20" s="15">
        <f>IF(OR(R19="",R4=""),"",IFERROR(R19/R4,""))</f>
        <v/>
      </c>
      <c r="S20" s="15">
        <f>IF(OR(S19="",S4=""),"",IFERROR(S19/S4,""))</f>
        <v/>
      </c>
      <c r="T20" s="15">
        <f>IF(OR(T19="",T4=""),"",IFERROR(T19/T4,""))</f>
        <v/>
      </c>
      <c r="U20" s="15">
        <f>IF(OR(U19="",U4=""),"",IFERROR(U19/U4,""))</f>
        <v/>
      </c>
      <c r="V20" s="15">
        <f>IF(OR(V19="",V4=""),"",IFERROR(V19/V4,""))</f>
        <v/>
      </c>
      <c r="W20" s="15">
        <f>IF(OR(W19="",W4=""),"",IFERROR(W19/W4,""))</f>
        <v/>
      </c>
      <c r="X20" s="15">
        <f>IF(OR(X19="",X4=""),"",IFERROR(X19/X4,""))</f>
        <v/>
      </c>
      <c r="Y20" s="14">
        <f>IF(OR(Y19="",Y4=""),"",IFERROR(Y19/Y4,""))</f>
        <v/>
      </c>
      <c r="Z20" s="15">
        <f>IF(OR(Z19="",Z4=""),"",IFERROR(Z19/Z4,""))</f>
        <v/>
      </c>
      <c r="AA20" s="15">
        <f>IF(OR(AA19="",AA4=""),"",IFERROR(AA19/AA4,""))</f>
        <v/>
      </c>
      <c r="AB20" s="15">
        <f>IF(OR(AB19="",AB4=""),"",IFERROR(AB19/AB4,""))</f>
        <v/>
      </c>
      <c r="AC20" s="15">
        <f>IF(OR(AC19="",AC4=""),"",IFERROR(AC19/AC4,""))</f>
        <v/>
      </c>
    </row>
    <row r="21">
      <c r="A21" s="13" t="inlineStr">
        <is>
          <t>YoY</t>
        </is>
      </c>
      <c r="B21" s="10" t="n"/>
      <c r="C21" s="14" t="n"/>
      <c r="D21" s="15" t="n"/>
      <c r="E21" s="15" t="n"/>
      <c r="F21" s="15" t="n"/>
      <c r="G21" s="15">
        <f>IF(OR(G19="",C19=""),"",IFERROR(G19/C19-1,""))</f>
        <v/>
      </c>
      <c r="H21" s="15">
        <f>IF(OR(H19="",D19=""),"",IFERROR(H19/D19-1,""))</f>
        <v/>
      </c>
      <c r="I21" s="15">
        <f>IF(OR(I19="",E19=""),"",IFERROR(I19/E19-1,""))</f>
        <v/>
      </c>
      <c r="J21" s="15">
        <f>IF(OR(J19="",F19=""),"",IFERROR(J19/F19-1,""))</f>
        <v/>
      </c>
      <c r="K21" s="15">
        <f>IF(OR(K19="",G19=""),"",IFERROR(K19/G19-1,""))</f>
        <v/>
      </c>
      <c r="L21" s="15">
        <f>IF(OR(L19="",H19=""),"",IFERROR(L19/H19-1,""))</f>
        <v/>
      </c>
      <c r="M21" s="15">
        <f>IF(OR(M19="",I19=""),"",IFERROR(M19/I19-1,""))</f>
        <v/>
      </c>
      <c r="N21" s="15">
        <f>IF(OR(N19="",J19=""),"",IFERROR(N19/J19-1,""))</f>
        <v/>
      </c>
      <c r="O21" s="14" t="n"/>
      <c r="P21" s="15">
        <f>IF(OR(P19="",O19=""),"",IFERROR(P19/O19-1,""))</f>
        <v/>
      </c>
      <c r="Q21" s="15">
        <f>IF(OR(Q19="",P19=""),"",IFERROR(Q19/P19-1,""))</f>
        <v/>
      </c>
      <c r="R21" s="15">
        <f>IF(OR(R19="",Q19=""),"",IFERROR(R19/Q19-1,""))</f>
        <v/>
      </c>
      <c r="S21" s="15">
        <f>IF(OR(S19="",R19=""),"",IFERROR(S19/R19-1,""))</f>
        <v/>
      </c>
      <c r="T21" s="15">
        <f>IF(OR(T19="",S19=""),"",IFERROR(T19/S19-1,""))</f>
        <v/>
      </c>
      <c r="U21" s="15">
        <f>IF(OR(U19="",T19=""),"",IFERROR(U19/T19-1,""))</f>
        <v/>
      </c>
      <c r="V21" s="15">
        <f>IF(OR(V19="",U19=""),"",IFERROR(V19/U19-1,""))</f>
        <v/>
      </c>
      <c r="W21" s="15">
        <f>IF(OR(W19="",V19=""),"",IFERROR(W19/V19-1,""))</f>
        <v/>
      </c>
      <c r="X21" s="15">
        <f>IF(OR(X19="",W19=""),"",IFERROR(X19/W19-1,""))</f>
        <v/>
      </c>
      <c r="Y21" s="14">
        <f>IF(OR(Y19="",X19=""),"",IFERROR(Y19/X19-1,""))</f>
        <v/>
      </c>
      <c r="Z21" s="15">
        <f>IF(OR(Z19="",Y19=""),"",IFERROR(Z19/Y19-1,""))</f>
        <v/>
      </c>
      <c r="AA21" s="15">
        <f>IF(OR(AA19="",Z19=""),"",IFERROR(AA19/Z19-1,""))</f>
        <v/>
      </c>
      <c r="AB21" s="15">
        <f>IF(OR(AB19="",AA19=""),"",IFERROR(AB19/AA19-1,""))</f>
        <v/>
      </c>
      <c r="AC21" s="15">
        <f>IF(OR(AC19="",AB19=""),"",IFERROR(AC19/AB19-1,""))</f>
        <v/>
      </c>
    </row>
    <row r="22">
      <c r="A22" s="18" t="inlineStr">
        <is>
          <t>기타</t>
        </is>
      </c>
      <c r="B22" s="10" t="n"/>
      <c r="C22" s="19" t="n"/>
      <c r="D22" s="20" t="n"/>
      <c r="E22" s="20" t="n"/>
      <c r="F22" s="20" t="n"/>
      <c r="G22" s="20" t="n"/>
      <c r="H22" s="20" t="n"/>
      <c r="I22" s="20" t="n"/>
      <c r="J22" s="20" t="n"/>
      <c r="K22" s="20" t="n"/>
      <c r="L22" s="20" t="n"/>
      <c r="M22" s="20" t="n"/>
      <c r="N22" s="20" t="n"/>
      <c r="O22" s="19" t="n"/>
      <c r="P22" s="20" t="n"/>
      <c r="Q22" s="20" t="n"/>
      <c r="R22" s="20" t="n"/>
      <c r="S22" s="20" t="n"/>
      <c r="T22" s="20" t="n"/>
      <c r="U22" s="20" t="n"/>
      <c r="V22" s="20" t="n"/>
      <c r="W22" s="20" t="n">
        <v>0</v>
      </c>
      <c r="X22" s="20" t="n">
        <v>0</v>
      </c>
      <c r="Y22" s="21" t="n"/>
      <c r="Z22" s="22" t="n"/>
      <c r="AA22" s="22" t="n"/>
      <c r="AB22" s="22" t="n"/>
      <c r="AC22" s="22" t="n"/>
    </row>
    <row r="23">
      <c r="A23" s="13" t="inlineStr">
        <is>
          <t>비중</t>
        </is>
      </c>
      <c r="B23" s="10" t="n"/>
      <c r="C23" s="14">
        <f>IF(OR(C22="",C4=""),"",IFERROR(C22/C4,""))</f>
        <v/>
      </c>
      <c r="D23" s="15">
        <f>IF(OR(D22="",D4=""),"",IFERROR(D22/D4,""))</f>
        <v/>
      </c>
      <c r="E23" s="15">
        <f>IF(OR(E22="",E4=""),"",IFERROR(E22/E4,""))</f>
        <v/>
      </c>
      <c r="F23" s="15">
        <f>IF(OR(F22="",F4=""),"",IFERROR(F22/F4,""))</f>
        <v/>
      </c>
      <c r="G23" s="15">
        <f>IF(OR(G22="",G4=""),"",IFERROR(G22/G4,""))</f>
        <v/>
      </c>
      <c r="H23" s="15">
        <f>IF(OR(H22="",H4=""),"",IFERROR(H22/H4,""))</f>
        <v/>
      </c>
      <c r="I23" s="15">
        <f>IF(OR(I22="",I4=""),"",IFERROR(I22/I4,""))</f>
        <v/>
      </c>
      <c r="J23" s="15">
        <f>IF(OR(J22="",J4=""),"",IFERROR(J22/J4,""))</f>
        <v/>
      </c>
      <c r="K23" s="15">
        <f>IF(OR(K22="",K4=""),"",IFERROR(K22/K4,""))</f>
        <v/>
      </c>
      <c r="L23" s="15">
        <f>IF(OR(L22="",L4=""),"",IFERROR(L22/L4,""))</f>
        <v/>
      </c>
      <c r="M23" s="15">
        <f>IF(OR(M22="",M4=""),"",IFERROR(M22/M4,""))</f>
        <v/>
      </c>
      <c r="N23" s="15">
        <f>IF(OR(N22="",N4=""),"",IFERROR(N22/N4,""))</f>
        <v/>
      </c>
      <c r="O23" s="14">
        <f>IF(OR(O22="",O4=""),"",IFERROR(O22/O4,""))</f>
        <v/>
      </c>
      <c r="P23" s="15">
        <f>IF(OR(P22="",P4=""),"",IFERROR(P22/P4,""))</f>
        <v/>
      </c>
      <c r="Q23" s="15">
        <f>IF(OR(Q22="",Q4=""),"",IFERROR(Q22/Q4,""))</f>
        <v/>
      </c>
      <c r="R23" s="15">
        <f>IF(OR(R22="",R4=""),"",IFERROR(R22/R4,""))</f>
        <v/>
      </c>
      <c r="S23" s="15">
        <f>IF(OR(S22="",S4=""),"",IFERROR(S22/S4,""))</f>
        <v/>
      </c>
      <c r="T23" s="15">
        <f>IF(OR(T22="",T4=""),"",IFERROR(T22/T4,""))</f>
        <v/>
      </c>
      <c r="U23" s="15">
        <f>IF(OR(U22="",U4=""),"",IFERROR(U22/U4,""))</f>
        <v/>
      </c>
      <c r="V23" s="15">
        <f>IF(OR(V22="",V4=""),"",IFERROR(V22/V4,""))</f>
        <v/>
      </c>
      <c r="W23" s="15">
        <f>IF(OR(W22="",W4=""),"",IFERROR(W22/W4,""))</f>
        <v/>
      </c>
      <c r="X23" s="15">
        <f>IF(OR(X22="",X4=""),"",IFERROR(X22/X4,""))</f>
        <v/>
      </c>
      <c r="Y23" s="14">
        <f>IF(OR(Y22="",Y4=""),"",IFERROR(Y22/Y4,""))</f>
        <v/>
      </c>
      <c r="Z23" s="15">
        <f>IF(OR(Z22="",Z4=""),"",IFERROR(Z22/Z4,""))</f>
        <v/>
      </c>
      <c r="AA23" s="15">
        <f>IF(OR(AA22="",AA4=""),"",IFERROR(AA22/AA4,""))</f>
        <v/>
      </c>
      <c r="AB23" s="15">
        <f>IF(OR(AB22="",AB4=""),"",IFERROR(AB22/AB4,""))</f>
        <v/>
      </c>
      <c r="AC23" s="15">
        <f>IF(OR(AC22="",AC4=""),"",IFERROR(AC22/AC4,""))</f>
        <v/>
      </c>
    </row>
    <row r="24">
      <c r="A24" s="13" t="inlineStr">
        <is>
          <t>YoY</t>
        </is>
      </c>
      <c r="B24" s="10" t="n"/>
      <c r="C24" s="14" t="n"/>
      <c r="D24" s="15" t="n"/>
      <c r="E24" s="15" t="n"/>
      <c r="F24" s="15" t="n"/>
      <c r="G24" s="15">
        <f>IF(OR(G22="",C22=""),"",IFERROR(G22/C22-1,""))</f>
        <v/>
      </c>
      <c r="H24" s="15">
        <f>IF(OR(H22="",D22=""),"",IFERROR(H22/D22-1,""))</f>
        <v/>
      </c>
      <c r="I24" s="15">
        <f>IF(OR(I22="",E22=""),"",IFERROR(I22/E22-1,""))</f>
        <v/>
      </c>
      <c r="J24" s="15">
        <f>IF(OR(J22="",F22=""),"",IFERROR(J22/F22-1,""))</f>
        <v/>
      </c>
      <c r="K24" s="15">
        <f>IF(OR(K22="",G22=""),"",IFERROR(K22/G22-1,""))</f>
        <v/>
      </c>
      <c r="L24" s="15">
        <f>IF(OR(L22="",H22=""),"",IFERROR(L22/H22-1,""))</f>
        <v/>
      </c>
      <c r="M24" s="15">
        <f>IF(OR(M22="",I22=""),"",IFERROR(M22/I22-1,""))</f>
        <v/>
      </c>
      <c r="N24" s="15">
        <f>IF(OR(N22="",J22=""),"",IFERROR(N22/J22-1,""))</f>
        <v/>
      </c>
      <c r="O24" s="14" t="n"/>
      <c r="P24" s="15">
        <f>IF(OR(P22="",O22=""),"",IFERROR(P22/O22-1,""))</f>
        <v/>
      </c>
      <c r="Q24" s="15">
        <f>IF(OR(Q22="",P22=""),"",IFERROR(Q22/P22-1,""))</f>
        <v/>
      </c>
      <c r="R24" s="15">
        <f>IF(OR(R22="",Q22=""),"",IFERROR(R22/Q22-1,""))</f>
        <v/>
      </c>
      <c r="S24" s="15">
        <f>IF(OR(S22="",R22=""),"",IFERROR(S22/R22-1,""))</f>
        <v/>
      </c>
      <c r="T24" s="15">
        <f>IF(OR(T22="",S22=""),"",IFERROR(T22/S22-1,""))</f>
        <v/>
      </c>
      <c r="U24" s="15">
        <f>IF(OR(U22="",T22=""),"",IFERROR(U22/T22-1,""))</f>
        <v/>
      </c>
      <c r="V24" s="15">
        <f>IF(OR(V22="",U22=""),"",IFERROR(V22/U22-1,""))</f>
        <v/>
      </c>
      <c r="W24" s="15">
        <f>IF(OR(W22="",V22=""),"",IFERROR(W22/V22-1,""))</f>
        <v/>
      </c>
      <c r="X24" s="15">
        <f>IF(OR(X22="",W22=""),"",IFERROR(X22/W22-1,""))</f>
        <v/>
      </c>
      <c r="Y24" s="14">
        <f>IF(OR(Y22="",X22=""),"",IFERROR(Y22/X22-1,""))</f>
        <v/>
      </c>
      <c r="Z24" s="15">
        <f>IF(OR(Z22="",Y22=""),"",IFERROR(Z22/Y22-1,""))</f>
        <v/>
      </c>
      <c r="AA24" s="15">
        <f>IF(OR(AA22="",Z22=""),"",IFERROR(AA22/Z22-1,""))</f>
        <v/>
      </c>
      <c r="AB24" s="15">
        <f>IF(OR(AB22="",AA22=""),"",IFERROR(AB22/AA22-1,""))</f>
        <v/>
      </c>
      <c r="AC24" s="15">
        <f>IF(OR(AC22="",AB22=""),"",IFERROR(AC22/AB22-1,""))</f>
        <v/>
      </c>
    </row>
    <row r="25">
      <c r="A25" s="18" t="inlineStr">
        <is>
          <t>EntityTotalMember</t>
        </is>
      </c>
      <c r="B25" s="10" t="n"/>
      <c r="C25" s="19" t="n"/>
      <c r="D25" s="20" t="n"/>
      <c r="E25" s="20" t="n"/>
      <c r="F25" s="20" t="n">
        <v>31385</v>
      </c>
      <c r="G25" s="20" t="n"/>
      <c r="H25" s="20" t="n"/>
      <c r="I25" s="20" t="n"/>
      <c r="J25" s="20" t="n">
        <v>30270</v>
      </c>
      <c r="K25" s="20" t="n"/>
      <c r="L25" s="20" t="n"/>
      <c r="M25" s="20" t="n"/>
      <c r="N25" s="20" t="n">
        <v>37665</v>
      </c>
      <c r="O25" s="19" t="n"/>
      <c r="P25" s="20" t="n"/>
      <c r="Q25" s="20" t="n"/>
      <c r="R25" s="20" t="n"/>
      <c r="S25" s="20" t="n"/>
      <c r="T25" s="20" t="n"/>
      <c r="U25" s="20" t="n"/>
      <c r="V25" s="20" t="n"/>
      <c r="W25" s="20" t="n"/>
      <c r="X25" s="20" t="n"/>
      <c r="Y25" s="21" t="n"/>
      <c r="Z25" s="22" t="n"/>
      <c r="AA25" s="22" t="n"/>
      <c r="AB25" s="22" t="n"/>
      <c r="AC25" s="22" t="n"/>
    </row>
    <row r="26">
      <c r="A26" s="13" t="inlineStr">
        <is>
          <t>비중</t>
        </is>
      </c>
      <c r="B26" s="10" t="n"/>
      <c r="C26" s="14">
        <f>IF(OR(C25="",C4=""),"",IFERROR(C25/C4,""))</f>
        <v/>
      </c>
      <c r="D26" s="15">
        <f>IF(OR(D25="",D4=""),"",IFERROR(D25/D4,""))</f>
        <v/>
      </c>
      <c r="E26" s="15">
        <f>IF(OR(E25="",E4=""),"",IFERROR(E25/E4,""))</f>
        <v/>
      </c>
      <c r="F26" s="15">
        <f>IF(OR(F25="",F4=""),"",IFERROR(F25/F4,""))</f>
        <v/>
      </c>
      <c r="G26" s="15">
        <f>IF(OR(G25="",G4=""),"",IFERROR(G25/G4,""))</f>
        <v/>
      </c>
      <c r="H26" s="15">
        <f>IF(OR(H25="",H4=""),"",IFERROR(H25/H4,""))</f>
        <v/>
      </c>
      <c r="I26" s="15">
        <f>IF(OR(I25="",I4=""),"",IFERROR(I25/I4,""))</f>
        <v/>
      </c>
      <c r="J26" s="15">
        <f>IF(OR(J25="",J4=""),"",IFERROR(J25/J4,""))</f>
        <v/>
      </c>
      <c r="K26" s="15">
        <f>IF(OR(K25="",K4=""),"",IFERROR(K25/K4,""))</f>
        <v/>
      </c>
      <c r="L26" s="15">
        <f>IF(OR(L25="",L4=""),"",IFERROR(L25/L4,""))</f>
        <v/>
      </c>
      <c r="M26" s="15">
        <f>IF(OR(M25="",M4=""),"",IFERROR(M25/M4,""))</f>
        <v/>
      </c>
      <c r="N26" s="15">
        <f>IF(OR(N25="",N4=""),"",IFERROR(N25/N4,""))</f>
        <v/>
      </c>
      <c r="O26" s="14">
        <f>IF(OR(O25="",O4=""),"",IFERROR(O25/O4,""))</f>
        <v/>
      </c>
      <c r="P26" s="15">
        <f>IF(OR(P25="",P4=""),"",IFERROR(P25/P4,""))</f>
        <v/>
      </c>
      <c r="Q26" s="15">
        <f>IF(OR(Q25="",Q4=""),"",IFERROR(Q25/Q4,""))</f>
        <v/>
      </c>
      <c r="R26" s="15">
        <f>IF(OR(R25="",R4=""),"",IFERROR(R25/R4,""))</f>
        <v/>
      </c>
      <c r="S26" s="15">
        <f>IF(OR(S25="",S4=""),"",IFERROR(S25/S4,""))</f>
        <v/>
      </c>
      <c r="T26" s="15">
        <f>IF(OR(T25="",T4=""),"",IFERROR(T25/T4,""))</f>
        <v/>
      </c>
      <c r="U26" s="15">
        <f>IF(OR(U25="",U4=""),"",IFERROR(U25/U4,""))</f>
        <v/>
      </c>
      <c r="V26" s="15">
        <f>IF(OR(V25="",V4=""),"",IFERROR(V25/V4,""))</f>
        <v/>
      </c>
      <c r="W26" s="15">
        <f>IF(OR(W25="",W4=""),"",IFERROR(W25/W4,""))</f>
        <v/>
      </c>
      <c r="X26" s="15">
        <f>IF(OR(X25="",X4=""),"",IFERROR(X25/X4,""))</f>
        <v/>
      </c>
      <c r="Y26" s="14">
        <f>IF(OR(Y25="",Y4=""),"",IFERROR(Y25/Y4,""))</f>
        <v/>
      </c>
      <c r="Z26" s="15">
        <f>IF(OR(Z25="",Z4=""),"",IFERROR(Z25/Z4,""))</f>
        <v/>
      </c>
      <c r="AA26" s="15">
        <f>IF(OR(AA25="",AA4=""),"",IFERROR(AA25/AA4,""))</f>
        <v/>
      </c>
      <c r="AB26" s="15">
        <f>IF(OR(AB25="",AB4=""),"",IFERROR(AB25/AB4,""))</f>
        <v/>
      </c>
      <c r="AC26" s="15">
        <f>IF(OR(AC25="",AC4=""),"",IFERROR(AC25/AC4,""))</f>
        <v/>
      </c>
    </row>
    <row r="27">
      <c r="A27" s="13" t="inlineStr">
        <is>
          <t>YoY</t>
        </is>
      </c>
      <c r="B27" s="10" t="n"/>
      <c r="C27" s="14" t="n"/>
      <c r="D27" s="15" t="n"/>
      <c r="E27" s="15" t="n"/>
      <c r="F27" s="15" t="n"/>
      <c r="G27" s="15">
        <f>IF(OR(G25="",C25=""),"",IFERROR(G25/C25-1,""))</f>
        <v/>
      </c>
      <c r="H27" s="15">
        <f>IF(OR(H25="",D25=""),"",IFERROR(H25/D25-1,""))</f>
        <v/>
      </c>
      <c r="I27" s="15">
        <f>IF(OR(I25="",E25=""),"",IFERROR(I25/E25-1,""))</f>
        <v/>
      </c>
      <c r="J27" s="15">
        <f>IF(OR(J25="",F25=""),"",IFERROR(J25/F25-1,""))</f>
        <v/>
      </c>
      <c r="K27" s="15">
        <f>IF(OR(K25="",G25=""),"",IFERROR(K25/G25-1,""))</f>
        <v/>
      </c>
      <c r="L27" s="15">
        <f>IF(OR(L25="",H25=""),"",IFERROR(L25/H25-1,""))</f>
        <v/>
      </c>
      <c r="M27" s="15">
        <f>IF(OR(M25="",I25=""),"",IFERROR(M25/I25-1,""))</f>
        <v/>
      </c>
      <c r="N27" s="15">
        <f>IF(OR(N25="",J25=""),"",IFERROR(N25/J25-1,""))</f>
        <v/>
      </c>
      <c r="O27" s="14" t="n"/>
      <c r="P27" s="15">
        <f>IF(OR(P25="",O25=""),"",IFERROR(P25/O25-1,""))</f>
        <v/>
      </c>
      <c r="Q27" s="15">
        <f>IF(OR(Q25="",P25=""),"",IFERROR(Q25/P25-1,""))</f>
        <v/>
      </c>
      <c r="R27" s="15">
        <f>IF(OR(R25="",Q25=""),"",IFERROR(R25/Q25-1,""))</f>
        <v/>
      </c>
      <c r="S27" s="15">
        <f>IF(OR(S25="",R25=""),"",IFERROR(S25/R25-1,""))</f>
        <v/>
      </c>
      <c r="T27" s="15">
        <f>IF(OR(T25="",S25=""),"",IFERROR(T25/S25-1,""))</f>
        <v/>
      </c>
      <c r="U27" s="15">
        <f>IF(OR(U25="",T25=""),"",IFERROR(U25/T25-1,""))</f>
        <v/>
      </c>
      <c r="V27" s="15">
        <f>IF(OR(V25="",U25=""),"",IFERROR(V25/U25-1,""))</f>
        <v/>
      </c>
      <c r="W27" s="15">
        <f>IF(OR(W25="",V25=""),"",IFERROR(W25/V25-1,""))</f>
        <v/>
      </c>
      <c r="X27" s="15">
        <f>IF(OR(X25="",W25=""),"",IFERROR(X25/W25-1,""))</f>
        <v/>
      </c>
      <c r="Y27" s="14">
        <f>IF(OR(Y25="",X25=""),"",IFERROR(Y25/X25-1,""))</f>
        <v/>
      </c>
      <c r="Z27" s="15">
        <f>IF(OR(Z25="",Y25=""),"",IFERROR(Z25/Y25-1,""))</f>
        <v/>
      </c>
      <c r="AA27" s="15">
        <f>IF(OR(AA25="",Z25=""),"",IFERROR(AA25/Z25-1,""))</f>
        <v/>
      </c>
      <c r="AB27" s="15">
        <f>IF(OR(AB25="",AA25=""),"",IFERROR(AB25/AA25-1,""))</f>
        <v/>
      </c>
      <c r="AC27" s="15">
        <f>IF(OR(AC25="",AB25=""),"",IFERROR(AC25/AB25-1,""))</f>
        <v/>
      </c>
    </row>
    <row r="28">
      <c r="A28" s="16" t="inlineStr">
        <is>
          <t>매출원가</t>
        </is>
      </c>
      <c r="B28" s="16" t="n"/>
      <c r="C28" s="17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7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7" t="n"/>
      <c r="Z28" s="16" t="n"/>
      <c r="AA28" s="16" t="n"/>
      <c r="AB28" s="16" t="n"/>
      <c r="AC28" s="16" t="n"/>
    </row>
    <row r="29">
      <c r="A29" s="18" t="inlineStr">
        <is>
          <t>전체 매출원가</t>
        </is>
      </c>
      <c r="B29" s="10" t="n"/>
      <c r="C29" s="19" t="n">
        <v>25719</v>
      </c>
      <c r="D29" s="20" t="n">
        <v>23857</v>
      </c>
      <c r="E29" s="20" t="n">
        <v>24074</v>
      </c>
      <c r="F29" s="20" t="n">
        <v>23328</v>
      </c>
      <c r="G29" s="20" t="n">
        <v>23699</v>
      </c>
      <c r="H29" s="20" t="n">
        <v>24290</v>
      </c>
      <c r="I29" s="20" t="n">
        <v>25322</v>
      </c>
      <c r="J29" s="20" t="n">
        <v>22555</v>
      </c>
      <c r="K29" s="20" t="n">
        <v>25203</v>
      </c>
      <c r="L29" s="20" t="n">
        <v>23485</v>
      </c>
      <c r="M29" s="20" t="n">
        <v>26358</v>
      </c>
      <c r="N29" s="20" t="n">
        <v>28276</v>
      </c>
      <c r="O29" s="19" t="n">
        <v>104871</v>
      </c>
      <c r="P29" s="20" t="n">
        <v>113870</v>
      </c>
      <c r="Q29" s="20" t="n">
        <v>119417</v>
      </c>
      <c r="R29" s="20" t="n">
        <v>117710</v>
      </c>
      <c r="S29" s="20" t="n">
        <v>108992</v>
      </c>
      <c r="T29" s="20" t="n">
        <v>103613</v>
      </c>
      <c r="U29" s="20" t="n">
        <v>102678</v>
      </c>
      <c r="V29" s="20" t="n">
        <v>98643</v>
      </c>
      <c r="W29" s="20" t="n">
        <v>96639</v>
      </c>
      <c r="X29" s="20" t="n">
        <v>97601</v>
      </c>
      <c r="Y29" s="19" t="n"/>
      <c r="Z29" s="20" t="n"/>
      <c r="AA29" s="20" t="n"/>
      <c r="AB29" s="20" t="n"/>
      <c r="AC29" s="20" t="n"/>
    </row>
    <row r="30">
      <c r="A30" s="18" t="inlineStr">
        <is>
          <t>매출총이익</t>
        </is>
      </c>
      <c r="B30" s="10" t="n"/>
      <c r="C30" s="19">
        <f>IF(OR(C4="",C29=""),"",IFERROR(C4-C29,""))</f>
        <v/>
      </c>
      <c r="D30" s="20">
        <f>IF(OR(D4="",D29=""),"",IFERROR(D4-D29,""))</f>
        <v/>
      </c>
      <c r="E30" s="20">
        <f>IF(OR(E4="",E29=""),"",IFERROR(E4-E29,""))</f>
        <v/>
      </c>
      <c r="F30" s="20">
        <f>IF(OR(F4="",F29=""),"",IFERROR(F4-F29,""))</f>
        <v/>
      </c>
      <c r="G30" s="20">
        <f>IF(OR(G4="",G29=""),"",IFERROR(G4-G29,""))</f>
        <v/>
      </c>
      <c r="H30" s="20">
        <f>IF(OR(H4="",H29=""),"",IFERROR(H4-H29,""))</f>
        <v/>
      </c>
      <c r="I30" s="20">
        <f>IF(OR(I4="",I29=""),"",IFERROR(I4-I29,""))</f>
        <v/>
      </c>
      <c r="J30" s="20">
        <f>IF(OR(J4="",J29=""),"",IFERROR(J4-J29,""))</f>
        <v/>
      </c>
      <c r="K30" s="20">
        <f>IF(OR(K4="",K29=""),"",IFERROR(K4-K29,""))</f>
        <v/>
      </c>
      <c r="L30" s="20">
        <f>IF(OR(L4="",L29=""),"",IFERROR(L4-L29,""))</f>
        <v/>
      </c>
      <c r="M30" s="20">
        <f>IF(OR(M4="",M29=""),"",IFERROR(M4-M29,""))</f>
        <v/>
      </c>
      <c r="N30" s="20">
        <f>IF(OR(N4="",N29=""),"",IFERROR(N4-N29,""))</f>
        <v/>
      </c>
      <c r="O30" s="19">
        <f>IF(OR(O4="",O29=""),"",IFERROR(O4-O29,""))</f>
        <v/>
      </c>
      <c r="P30" s="20">
        <f>IF(OR(P4="",P29=""),"",IFERROR(P4-P29,""))</f>
        <v/>
      </c>
      <c r="Q30" s="20">
        <f>IF(OR(Q4="",Q29=""),"",IFERROR(Q4-Q29,""))</f>
        <v/>
      </c>
      <c r="R30" s="20">
        <f>IF(OR(R4="",R29=""),"",IFERROR(R4-R29,""))</f>
        <v/>
      </c>
      <c r="S30" s="20">
        <f>IF(OR(S4="",S29=""),"",IFERROR(S4-S29,""))</f>
        <v/>
      </c>
      <c r="T30" s="20">
        <f>IF(OR(T4="",T29=""),"",IFERROR(T4-T29,""))</f>
        <v/>
      </c>
      <c r="U30" s="20">
        <f>IF(OR(U4="",U29=""),"",IFERROR(U4-U29,""))</f>
        <v/>
      </c>
      <c r="V30" s="20">
        <f>IF(OR(V4="",V29=""),"",IFERROR(V4-V29,""))</f>
        <v/>
      </c>
      <c r="W30" s="20">
        <f>IF(OR(W4="",W29=""),"",IFERROR(W4-W29,""))</f>
        <v/>
      </c>
      <c r="X30" s="20">
        <f>IF(OR(X4="",X29=""),"",IFERROR(X4-X29,""))</f>
        <v/>
      </c>
      <c r="Y30" s="19" t="n"/>
      <c r="Z30" s="20" t="n"/>
      <c r="AA30" s="20" t="n"/>
      <c r="AB30" s="20" t="n"/>
      <c r="AC30" s="20" t="n"/>
    </row>
    <row r="31">
      <c r="A31" s="13" t="inlineStr">
        <is>
          <t>GPM</t>
        </is>
      </c>
      <c r="B31" s="10" t="n"/>
      <c r="C31" s="14">
        <f>IF(OR(C30="",C4=""),"",IFERROR(C30/C4,""))</f>
        <v/>
      </c>
      <c r="D31" s="15">
        <f>IF(OR(D30="",D4=""),"",IFERROR(D30/D4,""))</f>
        <v/>
      </c>
      <c r="E31" s="15">
        <f>IF(OR(E30="",E4=""),"",IFERROR(E30/E4,""))</f>
        <v/>
      </c>
      <c r="F31" s="15">
        <f>IF(OR(F30="",F4=""),"",IFERROR(F30/F4,""))</f>
        <v/>
      </c>
      <c r="G31" s="15">
        <f>IF(OR(G30="",G4=""),"",IFERROR(G30/G4,""))</f>
        <v/>
      </c>
      <c r="H31" s="15">
        <f>IF(OR(H30="",H4=""),"",IFERROR(H30/H4,""))</f>
        <v/>
      </c>
      <c r="I31" s="15">
        <f>IF(OR(I30="",I4=""),"",IFERROR(I30/I4,""))</f>
        <v/>
      </c>
      <c r="J31" s="15">
        <f>IF(OR(J30="",J4=""),"",IFERROR(J30/J4,""))</f>
        <v/>
      </c>
      <c r="K31" s="15">
        <f>IF(OR(K30="",K4=""),"",IFERROR(K30/K4,""))</f>
        <v/>
      </c>
      <c r="L31" s="15">
        <f>IF(OR(L30="",L4=""),"",IFERROR(L30/L4,""))</f>
        <v/>
      </c>
      <c r="M31" s="15">
        <f>IF(OR(M30="",M4=""),"",IFERROR(M30/M4,""))</f>
        <v/>
      </c>
      <c r="N31" s="15">
        <f>IF(OR(N30="",N4=""),"",IFERROR(N30/N4,""))</f>
        <v/>
      </c>
      <c r="O31" s="14">
        <f>IF(OR(O30="",O4=""),"",IFERROR(O30/O4,""))</f>
        <v/>
      </c>
      <c r="P31" s="15">
        <f>IF(OR(P30="",P4=""),"",IFERROR(P30/P4,""))</f>
        <v/>
      </c>
      <c r="Q31" s="15">
        <f>IF(OR(Q30="",Q4=""),"",IFERROR(Q30/Q4,""))</f>
        <v/>
      </c>
      <c r="R31" s="15">
        <f>IF(OR(R30="",R4=""),"",IFERROR(R30/R4,""))</f>
        <v/>
      </c>
      <c r="S31" s="15">
        <f>IF(OR(S30="",S4=""),"",IFERROR(S30/S4,""))</f>
        <v/>
      </c>
      <c r="T31" s="15">
        <f>IF(OR(T30="",T4=""),"",IFERROR(T30/T4,""))</f>
        <v/>
      </c>
      <c r="U31" s="15">
        <f>IF(OR(U30="",U4=""),"",IFERROR(U30/U4,""))</f>
        <v/>
      </c>
      <c r="V31" s="15">
        <f>IF(OR(V30="",V4=""),"",IFERROR(V30/V4,""))</f>
        <v/>
      </c>
      <c r="W31" s="15">
        <f>IF(OR(W30="",W4=""),"",IFERROR(W30/W4,""))</f>
        <v/>
      </c>
      <c r="X31" s="15">
        <f>IF(OR(X30="",X4=""),"",IFERROR(X30/X4,""))</f>
        <v/>
      </c>
      <c r="Y31" s="14">
        <f>IF(OR(Y30="",Y4=""),"",IFERROR(Y30/Y4,""))</f>
        <v/>
      </c>
      <c r="Z31" s="15">
        <f>IF(OR(Z30="",Z4=""),"",IFERROR(Z30/Z4,""))</f>
        <v/>
      </c>
      <c r="AA31" s="15">
        <f>IF(OR(AA30="",AA4=""),"",IFERROR(AA30/AA4,""))</f>
        <v/>
      </c>
      <c r="AB31" s="15">
        <f>IF(OR(AB30="",AB4=""),"",IFERROR(AB30/AB4,""))</f>
        <v/>
      </c>
      <c r="AC31" s="15">
        <f>IF(OR(AC30="",AC4=""),"",IFERROR(AC30/AC4,""))</f>
        <v/>
      </c>
    </row>
    <row r="32">
      <c r="A32" s="23" t="inlineStr">
        <is>
          <t>판매관리비</t>
        </is>
      </c>
      <c r="B32" s="23" t="n"/>
      <c r="C32" s="24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4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4" t="n"/>
      <c r="Z32" s="23" t="n"/>
      <c r="AA32" s="23" t="n"/>
      <c r="AB32" s="23" t="n"/>
      <c r="AC32" s="23" t="n"/>
    </row>
    <row r="33">
      <c r="A33" s="18" t="inlineStr">
        <is>
          <t>전체 판관비</t>
        </is>
      </c>
      <c r="B33" s="10" t="n"/>
      <c r="C33" s="19" t="n">
        <v>5134</v>
      </c>
      <c r="D33" s="20" t="n">
        <v>5922</v>
      </c>
      <c r="E33" s="20" t="n">
        <v>6149</v>
      </c>
      <c r="F33" s="20" t="n">
        <v>5721</v>
      </c>
      <c r="G33" s="20" t="n">
        <v>6197</v>
      </c>
      <c r="H33" s="20" t="n">
        <v>5774</v>
      </c>
      <c r="I33" s="20" t="n">
        <v>6157</v>
      </c>
      <c r="J33" s="20" t="n">
        <v>5731</v>
      </c>
      <c r="K33" s="20" t="n">
        <v>6115</v>
      </c>
      <c r="L33" s="20" t="n">
        <v>6032</v>
      </c>
      <c r="M33" s="20" t="n">
        <v>6059</v>
      </c>
      <c r="N33" s="20" t="n">
        <v>6517</v>
      </c>
      <c r="O33" s="19" t="n">
        <v>22678</v>
      </c>
      <c r="P33" s="20" t="n">
        <v>25480</v>
      </c>
      <c r="Q33" s="20" t="n">
        <v>25743</v>
      </c>
      <c r="R33" s="20" t="n">
        <v>27468</v>
      </c>
      <c r="S33" s="20" t="n">
        <v>26257</v>
      </c>
      <c r="T33" s="20" t="n">
        <v>25270</v>
      </c>
      <c r="U33" s="20" t="n">
        <v>24460</v>
      </c>
      <c r="V33" s="20" t="n">
        <v>22413</v>
      </c>
      <c r="W33" s="20" t="n">
        <v>23849</v>
      </c>
      <c r="X33" s="20" t="n">
        <v>23937</v>
      </c>
      <c r="Y33" s="19" t="n"/>
      <c r="Z33" s="20" t="n"/>
      <c r="AA33" s="20" t="n"/>
      <c r="AB33" s="20" t="n"/>
      <c r="AC33" s="20" t="n"/>
    </row>
    <row r="34">
      <c r="A34" s="9" t="inlineStr">
        <is>
          <t>영업이익</t>
        </is>
      </c>
      <c r="B34" s="10" t="inlineStr">
        <is>
          <t>MW = 매출 × OPM</t>
        </is>
      </c>
      <c r="C34" s="11" t="n">
        <v>2542</v>
      </c>
      <c r="D34" s="12" t="n">
        <v>1905</v>
      </c>
      <c r="E34" s="12" t="n">
        <v>1612</v>
      </c>
      <c r="F34" s="12" t="n">
        <v>2336</v>
      </c>
      <c r="G34" s="12" t="n">
        <v>1841</v>
      </c>
      <c r="H34" s="12" t="n">
        <v>2401</v>
      </c>
      <c r="I34" s="12" t="n">
        <v>2740</v>
      </c>
      <c r="J34" s="12" t="n">
        <v>1984</v>
      </c>
      <c r="K34" s="12" t="n">
        <v>3071</v>
      </c>
      <c r="L34" s="12" t="n">
        <v>2123</v>
      </c>
      <c r="M34" s="12" t="n">
        <v>713</v>
      </c>
      <c r="N34" s="12" t="n">
        <v>2872</v>
      </c>
      <c r="O34" s="11" t="n">
        <v>7567</v>
      </c>
      <c r="P34" s="12" t="n">
        <v>8848</v>
      </c>
      <c r="Q34" s="12" t="n">
        <v>5424</v>
      </c>
      <c r="R34" s="12" t="n">
        <v>-137</v>
      </c>
      <c r="S34" s="12" t="n">
        <v>3806</v>
      </c>
      <c r="T34" s="12" t="n">
        <v>9332</v>
      </c>
      <c r="U34" s="12" t="n">
        <v>5638</v>
      </c>
      <c r="V34" s="12" t="n">
        <v>8083</v>
      </c>
      <c r="W34" s="12" t="n">
        <v>9318</v>
      </c>
      <c r="X34" s="12" t="n">
        <v>7891</v>
      </c>
      <c r="Y34" s="11">
        <f>IF(OR(Y4="",Y35=""),"",IFERROR(Y4*Y35,""))</f>
        <v/>
      </c>
      <c r="Z34" s="12">
        <f>IF(OR(Z4="",Z35=""),"",IFERROR(Z4*Z35,""))</f>
        <v/>
      </c>
      <c r="AA34" s="12">
        <f>IF(OR(AA4="",AA35=""),"",IFERROR(AA4*AA35,""))</f>
        <v/>
      </c>
      <c r="AB34" s="12">
        <f>IF(OR(AB4="",AB35=""),"",IFERROR(AB4*AB35,""))</f>
        <v/>
      </c>
      <c r="AC34" s="12">
        <f>IF(OR(AC4="",AC35=""),"",IFERROR(AC4*AC35,""))</f>
        <v/>
      </c>
    </row>
    <row r="35">
      <c r="A35" s="13" t="inlineStr">
        <is>
          <t>OPM</t>
        </is>
      </c>
      <c r="B35" s="10" t="inlineStr">
        <is>
          <t>MW 입력</t>
        </is>
      </c>
      <c r="C35" s="14">
        <f>IF(OR(C34="",C4=""),"",IFERROR(C34/C4,""))</f>
        <v/>
      </c>
      <c r="D35" s="15">
        <f>IF(OR(D34="",D4=""),"",IFERROR(D34/D4,""))</f>
        <v/>
      </c>
      <c r="E35" s="15">
        <f>IF(OR(E34="",E4=""),"",IFERROR(E34/E4,""))</f>
        <v/>
      </c>
      <c r="F35" s="15">
        <f>IF(OR(F34="",F4=""),"",IFERROR(F34/F4,""))</f>
        <v/>
      </c>
      <c r="G35" s="15">
        <f>IF(OR(G34="",G4=""),"",IFERROR(G34/G4,""))</f>
        <v/>
      </c>
      <c r="H35" s="15">
        <f>IF(OR(H34="",H4=""),"",IFERROR(H34/H4,""))</f>
        <v/>
      </c>
      <c r="I35" s="15">
        <f>IF(OR(I34="",I4=""),"",IFERROR(I34/I4,""))</f>
        <v/>
      </c>
      <c r="J35" s="15">
        <f>IF(OR(J34="",J4=""),"",IFERROR(J34/J4,""))</f>
        <v/>
      </c>
      <c r="K35" s="15">
        <f>IF(OR(K34="",K4=""),"",IFERROR(K34/K4,""))</f>
        <v/>
      </c>
      <c r="L35" s="15">
        <f>IF(OR(L34="",L4=""),"",IFERROR(L34/L4,""))</f>
        <v/>
      </c>
      <c r="M35" s="15">
        <f>IF(OR(M34="",M4=""),"",IFERROR(M34/M4,""))</f>
        <v/>
      </c>
      <c r="N35" s="15">
        <f>IF(OR(N34="",N4=""),"",IFERROR(N34/N4,""))</f>
        <v/>
      </c>
      <c r="O35" s="14">
        <f>IF(OR(O34="",O4=""),"",IFERROR(O34/O4,""))</f>
        <v/>
      </c>
      <c r="P35" s="15">
        <f>IF(OR(P34="",P4=""),"",IFERROR(P34/P4,""))</f>
        <v/>
      </c>
      <c r="Q35" s="15">
        <f>IF(OR(Q34="",Q4=""),"",IFERROR(Q34/Q4,""))</f>
        <v/>
      </c>
      <c r="R35" s="15">
        <f>IF(OR(R34="",R4=""),"",IFERROR(R34/R4,""))</f>
        <v/>
      </c>
      <c r="S35" s="15">
        <f>IF(OR(S34="",S4=""),"",IFERROR(S34/S4,""))</f>
        <v/>
      </c>
      <c r="T35" s="15">
        <f>IF(OR(T34="",T4=""),"",IFERROR(T34/T4,""))</f>
        <v/>
      </c>
      <c r="U35" s="15">
        <f>IF(OR(U34="",U4=""),"",IFERROR(U34/U4,""))</f>
        <v/>
      </c>
      <c r="V35" s="15">
        <f>IF(OR(V34="",V4=""),"",IFERROR(V34/V4,""))</f>
        <v/>
      </c>
      <c r="W35" s="15">
        <f>IF(OR(W34="",W4=""),"",IFERROR(W34/W4,""))</f>
        <v/>
      </c>
      <c r="X35" s="15">
        <f>IF(OR(X34="",X4=""),"",IFERROR(X34/X4,""))</f>
        <v/>
      </c>
      <c r="Y35" s="25" t="n"/>
      <c r="Z35" s="26" t="n"/>
      <c r="AA35" s="26" t="n"/>
      <c r="AB35" s="26" t="n"/>
      <c r="AC35" s="26" t="n"/>
    </row>
    <row r="36">
      <c r="A36" s="13" t="inlineStr">
        <is>
          <t>증가율</t>
        </is>
      </c>
      <c r="B36" s="10" t="n"/>
      <c r="C36" s="14" t="n"/>
      <c r="D36" s="15" t="n"/>
      <c r="E36" s="15" t="n"/>
      <c r="F36" s="15" t="n"/>
      <c r="G36" s="15">
        <f>IF(OR(G34="",C34=""),"",IFERROR(G34/C34-1,""))</f>
        <v/>
      </c>
      <c r="H36" s="15">
        <f>IF(OR(H34="",D34=""),"",IFERROR(H34/D34-1,""))</f>
        <v/>
      </c>
      <c r="I36" s="15">
        <f>IF(OR(I34="",E34=""),"",IFERROR(I34/E34-1,""))</f>
        <v/>
      </c>
      <c r="J36" s="15">
        <f>IF(OR(J34="",F34=""),"",IFERROR(J34/F34-1,""))</f>
        <v/>
      </c>
      <c r="K36" s="15">
        <f>IF(OR(K34="",G34=""),"",IFERROR(K34/G34-1,""))</f>
        <v/>
      </c>
      <c r="L36" s="15">
        <f>IF(OR(L34="",H34=""),"",IFERROR(L34/H34-1,""))</f>
        <v/>
      </c>
      <c r="M36" s="15">
        <f>IF(OR(M34="",I34=""),"",IFERROR(M34/I34-1,""))</f>
        <v/>
      </c>
      <c r="N36" s="15">
        <f>IF(OR(N34="",J34=""),"",IFERROR(N34/J34-1,""))</f>
        <v/>
      </c>
      <c r="O36" s="14" t="n"/>
      <c r="P36" s="15">
        <f>IF(OR(P34="",O34=""),"",IFERROR(P34/O34-1,""))</f>
        <v/>
      </c>
      <c r="Q36" s="15">
        <f>IF(OR(Q34="",P34=""),"",IFERROR(Q34/P34-1,""))</f>
        <v/>
      </c>
      <c r="R36" s="15">
        <f>IF(OR(R34="",Q34=""),"",IFERROR(R34/Q34-1,""))</f>
        <v/>
      </c>
      <c r="S36" s="15">
        <f>IF(OR(S34="",R34=""),"",IFERROR(S34/R34-1,""))</f>
        <v/>
      </c>
      <c r="T36" s="15">
        <f>IF(OR(T34="",S34=""),"",IFERROR(T34/S34-1,""))</f>
        <v/>
      </c>
      <c r="U36" s="15">
        <f>IF(OR(U34="",T34=""),"",IFERROR(U34/T34-1,""))</f>
        <v/>
      </c>
      <c r="V36" s="15">
        <f>IF(OR(V34="",U34=""),"",IFERROR(V34/U34-1,""))</f>
        <v/>
      </c>
      <c r="W36" s="15">
        <f>IF(OR(W34="",V34=""),"",IFERROR(W34/V34-1,""))</f>
        <v/>
      </c>
      <c r="X36" s="15">
        <f>IF(OR(X34="",W34=""),"",IFERROR(X34/W34-1,""))</f>
        <v/>
      </c>
      <c r="Y36" s="14">
        <f>IF(OR(Y34="",X34=""),"",IFERROR(Y34/X34-1,""))</f>
        <v/>
      </c>
      <c r="Z36" s="15">
        <f>IF(OR(Z34="",Y34=""),"",IFERROR(Z34/Y34-1,""))</f>
        <v/>
      </c>
      <c r="AA36" s="15">
        <f>IF(OR(AA34="",Z34=""),"",IFERROR(AA34/Z34-1,""))</f>
        <v/>
      </c>
      <c r="AB36" s="15">
        <f>IF(OR(AB34="",AA34=""),"",IFERROR(AB34/AA34-1,""))</f>
        <v/>
      </c>
      <c r="AC36" s="15">
        <f>IF(OR(AC34="",AB34=""),"",IFERROR(AC34/AB34-1,""))</f>
        <v/>
      </c>
    </row>
    <row r="37">
      <c r="A37" s="16" t="inlineStr">
        <is>
          <t>비용의 성격별 분류</t>
        </is>
      </c>
      <c r="B37" s="16" t="inlineStr">
        <is>
          <t>참고 데이터</t>
        </is>
      </c>
      <c r="C37" s="17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7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7" t="n"/>
      <c r="Z37" s="16" t="n"/>
      <c r="AA37" s="16" t="n"/>
      <c r="AB37" s="16" t="n"/>
      <c r="AC37" s="16" t="n"/>
    </row>
    <row r="38">
      <c r="A38" s="9" t="inlineStr">
        <is>
          <t>총 판관비</t>
        </is>
      </c>
      <c r="B38" s="10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1">
        <f>IF(O33="","",O33)</f>
        <v/>
      </c>
      <c r="P38" s="12">
        <f>IF(P33="","",P33)</f>
        <v/>
      </c>
      <c r="Q38" s="12">
        <f>IF(Q33="","",Q33)</f>
        <v/>
      </c>
      <c r="R38" s="12">
        <f>IF(R33="","",R33)</f>
        <v/>
      </c>
      <c r="S38" s="12">
        <f>IF(S33="","",S33)</f>
        <v/>
      </c>
      <c r="T38" s="12">
        <f>IF(T33="","",T33)</f>
        <v/>
      </c>
      <c r="U38" s="12">
        <f>IF(U33="","",U33)</f>
        <v/>
      </c>
      <c r="V38" s="12">
        <f>IF(V33="","",V33)</f>
        <v/>
      </c>
      <c r="W38" s="12">
        <f>IF(W33="","",W33)</f>
        <v/>
      </c>
      <c r="X38" s="12">
        <f>IF(X33="","",X33)</f>
        <v/>
      </c>
      <c r="Y38" s="11" t="n"/>
      <c r="Z38" s="12" t="n"/>
      <c r="AA38" s="12" t="n"/>
      <c r="AB38" s="12" t="n"/>
      <c r="AC38" s="12" t="n"/>
    </row>
    <row r="39">
      <c r="A39" s="18" t="inlineStr">
        <is>
          <t>급여</t>
        </is>
      </c>
      <c r="B39" s="10" t="inlineStr">
        <is>
          <t>고정비</t>
        </is>
      </c>
      <c r="C39" s="19" t="n"/>
      <c r="D39" s="20" t="n"/>
      <c r="E39" s="20" t="n"/>
      <c r="F39" s="20" t="n"/>
      <c r="G39" s="20" t="n"/>
      <c r="H39" s="20" t="n"/>
      <c r="I39" s="20" t="n"/>
      <c r="J39" s="20" t="n"/>
      <c r="K39" s="20" t="n"/>
      <c r="L39" s="20" t="n"/>
      <c r="M39" s="20" t="n"/>
      <c r="N39" s="20" t="n"/>
      <c r="O39" s="19" t="n">
        <v>8934</v>
      </c>
      <c r="P39" s="20" t="n">
        <v>9780</v>
      </c>
      <c r="Q39" s="20" t="n">
        <v>9921</v>
      </c>
      <c r="R39" s="20" t="n">
        <v>10479</v>
      </c>
      <c r="S39" s="20" t="n">
        <v>10151</v>
      </c>
      <c r="T39" s="20" t="n">
        <v>9369</v>
      </c>
      <c r="U39" s="20" t="n">
        <v>9641</v>
      </c>
      <c r="V39" s="20" t="n">
        <v>9299</v>
      </c>
      <c r="W39" s="20" t="n">
        <v>9787</v>
      </c>
      <c r="X39" s="20" t="n">
        <v>10454</v>
      </c>
      <c r="Y39" s="19" t="n"/>
      <c r="Z39" s="20" t="n"/>
      <c r="AA39" s="20" t="n"/>
      <c r="AB39" s="20" t="n"/>
      <c r="AC39" s="20" t="n"/>
    </row>
    <row r="40">
      <c r="A40" s="13" t="inlineStr">
        <is>
          <t>% of Sales</t>
        </is>
      </c>
      <c r="B40" s="10" t="n"/>
      <c r="C40" s="14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  <c r="M40" s="15" t="n"/>
      <c r="N40" s="15" t="n"/>
      <c r="O40" s="14">
        <f>IF(OR(O39="",O4=""),"",IFERROR(O39/O4,""))</f>
        <v/>
      </c>
      <c r="P40" s="15">
        <f>IF(OR(P39="",P4=""),"",IFERROR(P39/P4,""))</f>
        <v/>
      </c>
      <c r="Q40" s="15">
        <f>IF(OR(Q39="",Q4=""),"",IFERROR(Q39/Q4,""))</f>
        <v/>
      </c>
      <c r="R40" s="15">
        <f>IF(OR(R39="",R4=""),"",IFERROR(R39/R4,""))</f>
        <v/>
      </c>
      <c r="S40" s="15">
        <f>IF(OR(S39="",S4=""),"",IFERROR(S39/S4,""))</f>
        <v/>
      </c>
      <c r="T40" s="15">
        <f>IF(OR(T39="",T4=""),"",IFERROR(T39/T4,""))</f>
        <v/>
      </c>
      <c r="U40" s="15">
        <f>IF(OR(U39="",U4=""),"",IFERROR(U39/U4,""))</f>
        <v/>
      </c>
      <c r="V40" s="15">
        <f>IF(OR(V39="",V4=""),"",IFERROR(V39/V4,""))</f>
        <v/>
      </c>
      <c r="W40" s="15">
        <f>IF(OR(W39="",W4=""),"",IFERROR(W39/W4,""))</f>
        <v/>
      </c>
      <c r="X40" s="15">
        <f>IF(OR(X39="",X4=""),"",IFERROR(X39/X4,""))</f>
        <v/>
      </c>
      <c r="Y40" s="14" t="n"/>
      <c r="Z40" s="15" t="n"/>
      <c r="AA40" s="15" t="n"/>
      <c r="AB40" s="15" t="n"/>
      <c r="AC40" s="15" t="n"/>
    </row>
    <row r="41">
      <c r="A41" s="18" t="inlineStr">
        <is>
          <t>감가상각비</t>
        </is>
      </c>
      <c r="B41" s="10" t="inlineStr">
        <is>
          <t>고정비</t>
        </is>
      </c>
      <c r="C41" s="19" t="n"/>
      <c r="D41" s="20" t="n"/>
      <c r="E41" s="20" t="n"/>
      <c r="F41" s="20" t="n"/>
      <c r="G41" s="20" t="n"/>
      <c r="H41" s="20" t="n"/>
      <c r="I41" s="20" t="n"/>
      <c r="J41" s="20" t="n"/>
      <c r="K41" s="20" t="n"/>
      <c r="L41" s="20" t="n"/>
      <c r="M41" s="20" t="n"/>
      <c r="N41" s="20" t="n"/>
      <c r="O41" s="19" t="n">
        <v>397</v>
      </c>
      <c r="P41" s="20" t="n">
        <v>575</v>
      </c>
      <c r="Q41" s="20" t="n">
        <v>969</v>
      </c>
      <c r="R41" s="20" t="n">
        <v>1332</v>
      </c>
      <c r="S41" s="20" t="n">
        <v>1107</v>
      </c>
      <c r="T41" s="20" t="n">
        <v>1108</v>
      </c>
      <c r="U41" s="20" t="n">
        <v>1156</v>
      </c>
      <c r="V41" s="20" t="n">
        <v>1107</v>
      </c>
      <c r="W41" s="20" t="n">
        <v>1311</v>
      </c>
      <c r="X41" s="20" t="n">
        <v>1404</v>
      </c>
      <c r="Y41" s="19" t="n"/>
      <c r="Z41" s="20" t="n"/>
      <c r="AA41" s="20" t="n"/>
      <c r="AB41" s="20" t="n"/>
      <c r="AC41" s="20" t="n"/>
    </row>
    <row r="42">
      <c r="A42" s="13" t="inlineStr">
        <is>
          <t>% of Sales</t>
        </is>
      </c>
      <c r="B42" s="10" t="n"/>
      <c r="C42" s="14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  <c r="M42" s="15" t="n"/>
      <c r="N42" s="15" t="n"/>
      <c r="O42" s="14">
        <f>IF(OR(O41="",O4=""),"",IFERROR(O41/O4,""))</f>
        <v/>
      </c>
      <c r="P42" s="15">
        <f>IF(OR(P41="",P4=""),"",IFERROR(P41/P4,""))</f>
        <v/>
      </c>
      <c r="Q42" s="15">
        <f>IF(OR(Q41="",Q4=""),"",IFERROR(Q41/Q4,""))</f>
        <v/>
      </c>
      <c r="R42" s="15">
        <f>IF(OR(R41="",R4=""),"",IFERROR(R41/R4,""))</f>
        <v/>
      </c>
      <c r="S42" s="15">
        <f>IF(OR(S41="",S4=""),"",IFERROR(S41/S4,""))</f>
        <v/>
      </c>
      <c r="T42" s="15">
        <f>IF(OR(T41="",T4=""),"",IFERROR(T41/T4,""))</f>
        <v/>
      </c>
      <c r="U42" s="15">
        <f>IF(OR(U41="",U4=""),"",IFERROR(U41/U4,""))</f>
        <v/>
      </c>
      <c r="V42" s="15">
        <f>IF(OR(V41="",V4=""),"",IFERROR(V41/V4,""))</f>
        <v/>
      </c>
      <c r="W42" s="15">
        <f>IF(OR(W41="",W4=""),"",IFERROR(W41/W4,""))</f>
        <v/>
      </c>
      <c r="X42" s="15">
        <f>IF(OR(X41="",X4=""),"",IFERROR(X41/X4,""))</f>
        <v/>
      </c>
      <c r="Y42" s="14" t="n"/>
      <c r="Z42" s="15" t="n"/>
      <c r="AA42" s="15" t="n"/>
      <c r="AB42" s="15" t="n"/>
      <c r="AC42" s="15" t="n"/>
    </row>
    <row r="43">
      <c r="A43" s="18" t="inlineStr">
        <is>
          <t>지급수수료</t>
        </is>
      </c>
      <c r="B43" s="10" t="inlineStr">
        <is>
          <t>고정비</t>
        </is>
      </c>
      <c r="C43" s="19" t="n"/>
      <c r="D43" s="20" t="n"/>
      <c r="E43" s="20" t="n"/>
      <c r="F43" s="20" t="n"/>
      <c r="G43" s="20" t="n"/>
      <c r="H43" s="20" t="n"/>
      <c r="I43" s="20" t="n"/>
      <c r="J43" s="20" t="n"/>
      <c r="K43" s="20" t="n"/>
      <c r="L43" s="20" t="n"/>
      <c r="M43" s="20" t="n"/>
      <c r="N43" s="20" t="n"/>
      <c r="O43" s="19" t="n">
        <v>2427</v>
      </c>
      <c r="P43" s="20" t="n">
        <v>2671</v>
      </c>
      <c r="Q43" s="20" t="n">
        <v>2185</v>
      </c>
      <c r="R43" s="20" t="n">
        <v>2246</v>
      </c>
      <c r="S43" s="20" t="n">
        <v>3061</v>
      </c>
      <c r="T43" s="20" t="n">
        <v>2628</v>
      </c>
      <c r="U43" s="20" t="n">
        <v>2936</v>
      </c>
      <c r="V43" s="20" t="n">
        <v>2367</v>
      </c>
      <c r="W43" s="20" t="n">
        <v>2534</v>
      </c>
      <c r="X43" s="20" t="n">
        <v>2684</v>
      </c>
      <c r="Y43" s="19" t="n"/>
      <c r="Z43" s="20" t="n"/>
      <c r="AA43" s="20" t="n"/>
      <c r="AB43" s="20" t="n"/>
      <c r="AC43" s="20" t="n"/>
    </row>
    <row r="44">
      <c r="A44" s="13" t="inlineStr">
        <is>
          <t>% of Sales</t>
        </is>
      </c>
      <c r="B44" s="10" t="n"/>
      <c r="C44" s="14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  <c r="M44" s="15" t="n"/>
      <c r="N44" s="15" t="n"/>
      <c r="O44" s="14">
        <f>IF(OR(O43="",O4=""),"",IFERROR(O43/O4,""))</f>
        <v/>
      </c>
      <c r="P44" s="15">
        <f>IF(OR(P43="",P4=""),"",IFERROR(P43/P4,""))</f>
        <v/>
      </c>
      <c r="Q44" s="15">
        <f>IF(OR(Q43="",Q4=""),"",IFERROR(Q43/Q4,""))</f>
        <v/>
      </c>
      <c r="R44" s="15">
        <f>IF(OR(R43="",R4=""),"",IFERROR(R43/R4,""))</f>
        <v/>
      </c>
      <c r="S44" s="15">
        <f>IF(OR(S43="",S4=""),"",IFERROR(S43/S4,""))</f>
        <v/>
      </c>
      <c r="T44" s="15">
        <f>IF(OR(T43="",T4=""),"",IFERROR(T43/T4,""))</f>
        <v/>
      </c>
      <c r="U44" s="15">
        <f>IF(OR(U43="",U4=""),"",IFERROR(U43/U4,""))</f>
        <v/>
      </c>
      <c r="V44" s="15">
        <f>IF(OR(V43="",V4=""),"",IFERROR(V43/V4,""))</f>
        <v/>
      </c>
      <c r="W44" s="15">
        <f>IF(OR(W43="",W4=""),"",IFERROR(W43/W4,""))</f>
        <v/>
      </c>
      <c r="X44" s="15">
        <f>IF(OR(X43="",X4=""),"",IFERROR(X43/X4,""))</f>
        <v/>
      </c>
      <c r="Y44" s="14" t="n"/>
      <c r="Z44" s="15" t="n"/>
      <c r="AA44" s="15" t="n"/>
      <c r="AB44" s="15" t="n"/>
      <c r="AC44" s="15" t="n"/>
    </row>
    <row r="45">
      <c r="A45" s="18" t="inlineStr">
        <is>
          <t>연구개발비</t>
        </is>
      </c>
      <c r="B45" s="10" t="inlineStr">
        <is>
          <t>변동비</t>
        </is>
      </c>
      <c r="C45" s="19" t="n"/>
      <c r="D45" s="20" t="n"/>
      <c r="E45" s="20" t="n"/>
      <c r="F45" s="20" t="n"/>
      <c r="G45" s="20" t="n"/>
      <c r="H45" s="20" t="n"/>
      <c r="I45" s="20" t="n"/>
      <c r="J45" s="20" t="n"/>
      <c r="K45" s="20" t="n"/>
      <c r="L45" s="20" t="n"/>
      <c r="M45" s="20" t="n"/>
      <c r="N45" s="20" t="n"/>
      <c r="O45" s="19" t="n"/>
      <c r="P45" s="20" t="n"/>
      <c r="Q45" s="20" t="n"/>
      <c r="R45" s="20" t="n"/>
      <c r="S45" s="20" t="n"/>
      <c r="T45" s="20" t="n"/>
      <c r="U45" s="20" t="n"/>
      <c r="V45" s="20" t="n"/>
      <c r="W45" s="20" t="n"/>
      <c r="X45" s="20" t="n"/>
      <c r="Y45" s="19" t="n"/>
      <c r="Z45" s="20" t="n"/>
      <c r="AA45" s="20" t="n"/>
      <c r="AB45" s="20" t="n"/>
      <c r="AC45" s="20" t="n"/>
    </row>
    <row r="46">
      <c r="A46" s="13" t="inlineStr">
        <is>
          <t>% of Sales</t>
        </is>
      </c>
      <c r="B46" s="10" t="n"/>
      <c r="C46" s="14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  <c r="M46" s="15" t="n"/>
      <c r="N46" s="15" t="n"/>
      <c r="O46" s="14">
        <f>IF(OR(O45="",O4=""),"",IFERROR(O45/O4,""))</f>
        <v/>
      </c>
      <c r="P46" s="15">
        <f>IF(OR(P45="",P4=""),"",IFERROR(P45/P4,""))</f>
        <v/>
      </c>
      <c r="Q46" s="15">
        <f>IF(OR(Q45="",Q4=""),"",IFERROR(Q45/Q4,""))</f>
        <v/>
      </c>
      <c r="R46" s="15">
        <f>IF(OR(R45="",R4=""),"",IFERROR(R45/R4,""))</f>
        <v/>
      </c>
      <c r="S46" s="15">
        <f>IF(OR(S45="",S4=""),"",IFERROR(S45/S4,""))</f>
        <v/>
      </c>
      <c r="T46" s="15">
        <f>IF(OR(T45="",T4=""),"",IFERROR(T45/T4,""))</f>
        <v/>
      </c>
      <c r="U46" s="15">
        <f>IF(OR(U45="",U4=""),"",IFERROR(U45/U4,""))</f>
        <v/>
      </c>
      <c r="V46" s="15">
        <f>IF(OR(V45="",V4=""),"",IFERROR(V45/V4,""))</f>
        <v/>
      </c>
      <c r="W46" s="15">
        <f>IF(OR(W45="",W4=""),"",IFERROR(W45/W4,""))</f>
        <v/>
      </c>
      <c r="X46" s="15">
        <f>IF(OR(X45="",X4=""),"",IFERROR(X45/X4,""))</f>
        <v/>
      </c>
      <c r="Y46" s="14" t="n"/>
      <c r="Z46" s="15" t="n"/>
      <c r="AA46" s="15" t="n"/>
      <c r="AB46" s="15" t="n"/>
      <c r="AC46" s="15" t="n"/>
    </row>
    <row r="47">
      <c r="A47" s="18" t="inlineStr">
        <is>
          <t>기타비용</t>
        </is>
      </c>
      <c r="B47" s="10" t="inlineStr">
        <is>
          <t>변동비</t>
        </is>
      </c>
      <c r="C47" s="19" t="n"/>
      <c r="D47" s="20" t="n"/>
      <c r="E47" s="20" t="n"/>
      <c r="F47" s="20" t="n"/>
      <c r="G47" s="20" t="n"/>
      <c r="H47" s="20" t="n"/>
      <c r="I47" s="20" t="n"/>
      <c r="J47" s="20" t="n"/>
      <c r="K47" s="20" t="n"/>
      <c r="L47" s="20" t="n"/>
      <c r="M47" s="20" t="n"/>
      <c r="N47" s="20" t="n"/>
      <c r="O47" s="19">
        <f>IF(OR(O38="",O39="",O41="",O43="",O45=""),"",IFERROR(O38-O39-O41-O43-O45,""))</f>
        <v/>
      </c>
      <c r="P47" s="20">
        <f>IF(OR(P38="",P39="",P41="",P43="",P45=""),"",IFERROR(P38-P39-P41-P43-P45,""))</f>
        <v/>
      </c>
      <c r="Q47" s="20">
        <f>IF(OR(Q38="",Q39="",Q41="",Q43="",Q45=""),"",IFERROR(Q38-Q39-Q41-Q43-Q45,""))</f>
        <v/>
      </c>
      <c r="R47" s="20">
        <f>IF(OR(R38="",R39="",R41="",R43="",R45=""),"",IFERROR(R38-R39-R41-R43-R45,""))</f>
        <v/>
      </c>
      <c r="S47" s="20">
        <f>IF(OR(S38="",S39="",S41="",S43="",S45=""),"",IFERROR(S38-S39-S41-S43-S45,""))</f>
        <v/>
      </c>
      <c r="T47" s="20">
        <f>IF(OR(T38="",T39="",T41="",T43="",T45=""),"",IFERROR(T38-T39-T41-T43-T45,""))</f>
        <v/>
      </c>
      <c r="U47" s="20">
        <f>IF(OR(U38="",U39="",U41="",U43="",U45=""),"",IFERROR(U38-U39-U41-U43-U45,""))</f>
        <v/>
      </c>
      <c r="V47" s="20">
        <f>IF(OR(V38="",V39="",V41="",V43="",V45=""),"",IFERROR(V38-V39-V41-V43-V45,""))</f>
        <v/>
      </c>
      <c r="W47" s="20">
        <f>IF(OR(W38="",W39="",W41="",W43="",W45=""),"",IFERROR(W38-W39-W41-W43-W45,""))</f>
        <v/>
      </c>
      <c r="X47" s="20">
        <f>IF(OR(X38="",X39="",X41="",X43="",X45=""),"",IFERROR(X38-X39-X41-X43-X45,""))</f>
        <v/>
      </c>
      <c r="Y47" s="19" t="n"/>
      <c r="Z47" s="20" t="n"/>
      <c r="AA47" s="20" t="n"/>
      <c r="AB47" s="20" t="n"/>
      <c r="AC47" s="20" t="n"/>
    </row>
    <row r="48">
      <c r="A48" s="13" t="inlineStr">
        <is>
          <t>% of Sales</t>
        </is>
      </c>
      <c r="B48" s="10" t="n"/>
      <c r="C48" s="14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  <c r="M48" s="15" t="n"/>
      <c r="N48" s="15" t="n"/>
      <c r="O48" s="14">
        <f>IF(OR(O47="",O4=""),"",IFERROR(O47/O4,""))</f>
        <v/>
      </c>
      <c r="P48" s="15">
        <f>IF(OR(P47="",P4=""),"",IFERROR(P47/P4,""))</f>
        <v/>
      </c>
      <c r="Q48" s="15">
        <f>IF(OR(Q47="",Q4=""),"",IFERROR(Q47/Q4,""))</f>
        <v/>
      </c>
      <c r="R48" s="15">
        <f>IF(OR(R47="",R4=""),"",IFERROR(R47/R4,""))</f>
        <v/>
      </c>
      <c r="S48" s="15">
        <f>IF(OR(S47="",S4=""),"",IFERROR(S47/S4,""))</f>
        <v/>
      </c>
      <c r="T48" s="15">
        <f>IF(OR(T47="",T4=""),"",IFERROR(T47/T4,""))</f>
        <v/>
      </c>
      <c r="U48" s="15">
        <f>IF(OR(U47="",U4=""),"",IFERROR(U47/U4,""))</f>
        <v/>
      </c>
      <c r="V48" s="15">
        <f>IF(OR(V47="",V4=""),"",IFERROR(V47/V4,""))</f>
        <v/>
      </c>
      <c r="W48" s="15">
        <f>IF(OR(W47="",W4=""),"",IFERROR(W47/W4,""))</f>
        <v/>
      </c>
      <c r="X48" s="15">
        <f>IF(OR(X47="",X4=""),"",IFERROR(X47/X4,""))</f>
        <v/>
      </c>
      <c r="Y48" s="14" t="n"/>
      <c r="Z48" s="15" t="n"/>
      <c r="AA48" s="15" t="n"/>
      <c r="AB48" s="15" t="n"/>
      <c r="AC48" s="15" t="n"/>
    </row>
    <row r="49">
      <c r="A49" s="16" t="inlineStr">
        <is>
          <t>당기순이익 추정</t>
        </is>
      </c>
      <c r="B49" s="16" t="n"/>
      <c r="C49" s="17" t="n"/>
      <c r="D49" s="16" t="n"/>
      <c r="E49" s="16" t="n"/>
      <c r="F49" s="16" t="n"/>
      <c r="G49" s="16" t="n"/>
      <c r="H49" s="16" t="n"/>
      <c r="I49" s="16" t="n"/>
      <c r="J49" s="16" t="n"/>
      <c r="K49" s="16" t="n"/>
      <c r="L49" s="16" t="n"/>
      <c r="M49" s="16" t="n"/>
      <c r="N49" s="16" t="n"/>
      <c r="O49" s="17" t="n"/>
      <c r="P49" s="16" t="n"/>
      <c r="Q49" s="16" t="n"/>
      <c r="R49" s="16" t="n"/>
      <c r="S49" s="16" t="n"/>
      <c r="T49" s="16" t="n"/>
      <c r="U49" s="16" t="n"/>
      <c r="V49" s="16" t="n"/>
      <c r="W49" s="16" t="n"/>
      <c r="X49" s="16" t="n"/>
      <c r="Y49" s="17" t="n"/>
      <c r="Z49" s="16" t="n"/>
      <c r="AA49" s="16" t="n"/>
      <c r="AB49" s="16" t="n"/>
      <c r="AC49" s="16" t="n"/>
    </row>
    <row r="50">
      <c r="A50" s="18" t="inlineStr">
        <is>
          <t>특별이익</t>
        </is>
      </c>
      <c r="B50" s="10" t="n"/>
      <c r="C50" s="19" t="n">
        <v>5</v>
      </c>
      <c r="D50" s="20" t="n">
        <v>6</v>
      </c>
      <c r="E50" s="20" t="n">
        <v>13</v>
      </c>
      <c r="F50" s="20" t="n">
        <v>16</v>
      </c>
      <c r="G50" s="20" t="n">
        <v>11</v>
      </c>
      <c r="H50" s="20" t="n">
        <v>6</v>
      </c>
      <c r="I50" s="20" t="n">
        <v>17</v>
      </c>
      <c r="J50" s="20" t="n">
        <v>7</v>
      </c>
      <c r="K50" s="20" t="n">
        <v>4</v>
      </c>
      <c r="L50" s="20" t="n">
        <v>2</v>
      </c>
      <c r="M50" s="20" t="n">
        <v>2862</v>
      </c>
      <c r="N50" s="20" t="n">
        <v>0</v>
      </c>
      <c r="O50" s="19" t="n">
        <v>4480</v>
      </c>
      <c r="P50" s="20" t="n">
        <v>1421</v>
      </c>
      <c r="Q50" s="20" t="n">
        <v>2895</v>
      </c>
      <c r="R50" s="20" t="n">
        <v>186</v>
      </c>
      <c r="S50" s="20" t="n">
        <v>7965</v>
      </c>
      <c r="T50" s="20" t="n">
        <v>342</v>
      </c>
      <c r="U50" s="20" t="n">
        <v>1634</v>
      </c>
      <c r="V50" s="20" t="n">
        <v>24</v>
      </c>
      <c r="W50" s="20" t="n">
        <v>50</v>
      </c>
      <c r="X50" s="20" t="n">
        <v>2875</v>
      </c>
      <c r="Y50" s="19">
        <f>IF(OR(Y4="",Y51=""),"",IFERROR(Y4*Y51,""))</f>
        <v/>
      </c>
      <c r="Z50" s="20">
        <f>IF(OR(Z4="",Z51=""),"",IFERROR(Z4*Z51,""))</f>
        <v/>
      </c>
      <c r="AA50" s="20">
        <f>IF(OR(AA4="",AA51=""),"",IFERROR(AA4*AA51,""))</f>
        <v/>
      </c>
      <c r="AB50" s="20">
        <f>IF(OR(AB4="",AB51=""),"",IFERROR(AB4*AB51,""))</f>
        <v/>
      </c>
      <c r="AC50" s="20">
        <f>IF(OR(AC4="",AC51=""),"",IFERROR(AC4*AC51,""))</f>
        <v/>
      </c>
    </row>
    <row r="51">
      <c r="A51" s="13" t="inlineStr">
        <is>
          <t>% of Sales</t>
        </is>
      </c>
      <c r="B51" s="10" t="inlineStr">
        <is>
          <t>MW = 최근 3년 평균</t>
        </is>
      </c>
      <c r="C51" s="14">
        <f>IF(OR(C50="",C4=""),"",IFERROR(C50/C4,""))</f>
        <v/>
      </c>
      <c r="D51" s="15">
        <f>IF(OR(D50="",D4=""),"",IFERROR(D50/D4,""))</f>
        <v/>
      </c>
      <c r="E51" s="15">
        <f>IF(OR(E50="",E4=""),"",IFERROR(E50/E4,""))</f>
        <v/>
      </c>
      <c r="F51" s="15">
        <f>IF(OR(F50="",F4=""),"",IFERROR(F50/F4,""))</f>
        <v/>
      </c>
      <c r="G51" s="15">
        <f>IF(OR(G50="",G4=""),"",IFERROR(G50/G4,""))</f>
        <v/>
      </c>
      <c r="H51" s="15">
        <f>IF(OR(H50="",H4=""),"",IFERROR(H50/H4,""))</f>
        <v/>
      </c>
      <c r="I51" s="15">
        <f>IF(OR(I50="",I4=""),"",IFERROR(I50/I4,""))</f>
        <v/>
      </c>
      <c r="J51" s="15">
        <f>IF(OR(J50="",J4=""),"",IFERROR(J50/J4,""))</f>
        <v/>
      </c>
      <c r="K51" s="15">
        <f>IF(OR(K50="",K4=""),"",IFERROR(K50/K4,""))</f>
        <v/>
      </c>
      <c r="L51" s="15">
        <f>IF(OR(L50="",L4=""),"",IFERROR(L50/L4,""))</f>
        <v/>
      </c>
      <c r="M51" s="15">
        <f>IF(OR(M50="",M4=""),"",IFERROR(M50/M4,""))</f>
        <v/>
      </c>
      <c r="N51" s="15">
        <f>IF(OR(N50="",N4=""),"",IFERROR(N50/N4,""))</f>
        <v/>
      </c>
      <c r="O51" s="14">
        <f>IF(OR(O50="",O4=""),"",IFERROR(O50/O4,""))</f>
        <v/>
      </c>
      <c r="P51" s="15">
        <f>IF(OR(P50="",P4=""),"",IFERROR(P50/P4,""))</f>
        <v/>
      </c>
      <c r="Q51" s="15">
        <f>IF(OR(Q50="",Q4=""),"",IFERROR(Q50/Q4,""))</f>
        <v/>
      </c>
      <c r="R51" s="15">
        <f>IF(OR(R50="",R4=""),"",IFERROR(R50/R4,""))</f>
        <v/>
      </c>
      <c r="S51" s="15">
        <f>IF(OR(S50="",S4=""),"",IFERROR(S50/S4,""))</f>
        <v/>
      </c>
      <c r="T51" s="15">
        <f>IF(OR(T50="",T4=""),"",IFERROR(T50/T4,""))</f>
        <v/>
      </c>
      <c r="U51" s="15">
        <f>IF(OR(U50="",U4=""),"",IFERROR(U50/U4,""))</f>
        <v/>
      </c>
      <c r="V51" s="15">
        <f>IF(OR(V50="",V4=""),"",IFERROR(V50/V4,""))</f>
        <v/>
      </c>
      <c r="W51" s="15">
        <f>IF(OR(W50="",W4=""),"",IFERROR(W50/W4,""))</f>
        <v/>
      </c>
      <c r="X51" s="15">
        <f>IF(OR(X50="",X4=""),"",IFERROR(X50/X4,""))</f>
        <v/>
      </c>
      <c r="Y51" s="25">
        <f>IFERROR(AVERAGE(V51,W51,X51),"")</f>
        <v/>
      </c>
      <c r="Z51" s="26">
        <f>Y51</f>
        <v/>
      </c>
      <c r="AA51" s="26">
        <f>Z51</f>
        <v/>
      </c>
      <c r="AB51" s="26">
        <f>AA51</f>
        <v/>
      </c>
      <c r="AC51" s="26">
        <f>AB51</f>
        <v/>
      </c>
    </row>
    <row r="52">
      <c r="A52" s="18" t="inlineStr">
        <is>
          <t>특별손실</t>
        </is>
      </c>
      <c r="B52" s="10" t="n"/>
      <c r="C52" s="19" t="n">
        <v>125</v>
      </c>
      <c r="D52" s="20" t="n">
        <v>463</v>
      </c>
      <c r="E52" s="20" t="n">
        <v>58</v>
      </c>
      <c r="F52" s="20" t="n">
        <v>76</v>
      </c>
      <c r="G52" s="20" t="n">
        <v>106</v>
      </c>
      <c r="H52" s="20" t="n">
        <v>298</v>
      </c>
      <c r="I52" s="20" t="n">
        <v>3172</v>
      </c>
      <c r="J52" s="20" t="n">
        <v>58</v>
      </c>
      <c r="K52" s="20" t="n">
        <v>161</v>
      </c>
      <c r="L52" s="20" t="n">
        <v>55</v>
      </c>
      <c r="M52" s="20" t="n">
        <v>1084</v>
      </c>
      <c r="N52" s="20" t="n">
        <v>40</v>
      </c>
      <c r="O52" s="19" t="n">
        <v>5164</v>
      </c>
      <c r="P52" s="20" t="n">
        <v>1947</v>
      </c>
      <c r="Q52" s="20" t="n">
        <v>1821</v>
      </c>
      <c r="R52" s="20" t="n">
        <v>9688</v>
      </c>
      <c r="S52" s="20" t="n">
        <v>19509</v>
      </c>
      <c r="T52" s="20" t="n">
        <v>11779</v>
      </c>
      <c r="U52" s="20" t="n">
        <v>1096</v>
      </c>
      <c r="V52" s="20" t="n">
        <v>677</v>
      </c>
      <c r="W52" s="20" t="n">
        <v>3652</v>
      </c>
      <c r="X52" s="20" t="n">
        <v>1358</v>
      </c>
      <c r="Y52" s="19">
        <f>IF(OR(Y4="",Y53=""),"",IFERROR(Y4*Y53,""))</f>
        <v/>
      </c>
      <c r="Z52" s="20">
        <f>IF(OR(Z4="",Z53=""),"",IFERROR(Z4*Z53,""))</f>
        <v/>
      </c>
      <c r="AA52" s="20">
        <f>IF(OR(AA4="",AA53=""),"",IFERROR(AA4*AA53,""))</f>
        <v/>
      </c>
      <c r="AB52" s="20">
        <f>IF(OR(AB4="",AB53=""),"",IFERROR(AB4*AB53,""))</f>
        <v/>
      </c>
      <c r="AC52" s="20">
        <f>IF(OR(AC4="",AC53=""),"",IFERROR(AC4*AC53,""))</f>
        <v/>
      </c>
    </row>
    <row r="53">
      <c r="A53" s="13" t="inlineStr">
        <is>
          <t>% of Sales</t>
        </is>
      </c>
      <c r="B53" s="10" t="n"/>
      <c r="C53" s="14">
        <f>IF(OR(C52="",C4=""),"",IFERROR(C52/C4,""))</f>
        <v/>
      </c>
      <c r="D53" s="15">
        <f>IF(OR(D52="",D4=""),"",IFERROR(D52/D4,""))</f>
        <v/>
      </c>
      <c r="E53" s="15">
        <f>IF(OR(E52="",E4=""),"",IFERROR(E52/E4,""))</f>
        <v/>
      </c>
      <c r="F53" s="15">
        <f>IF(OR(F52="",F4=""),"",IFERROR(F52/F4,""))</f>
        <v/>
      </c>
      <c r="G53" s="15">
        <f>IF(OR(G52="",G4=""),"",IFERROR(G52/G4,""))</f>
        <v/>
      </c>
      <c r="H53" s="15">
        <f>IF(OR(H52="",H4=""),"",IFERROR(H52/H4,""))</f>
        <v/>
      </c>
      <c r="I53" s="15">
        <f>IF(OR(I52="",I4=""),"",IFERROR(I52/I4,""))</f>
        <v/>
      </c>
      <c r="J53" s="15">
        <f>IF(OR(J52="",J4=""),"",IFERROR(J52/J4,""))</f>
        <v/>
      </c>
      <c r="K53" s="15">
        <f>IF(OR(K52="",K4=""),"",IFERROR(K52/K4,""))</f>
        <v/>
      </c>
      <c r="L53" s="15">
        <f>IF(OR(L52="",L4=""),"",IFERROR(L52/L4,""))</f>
        <v/>
      </c>
      <c r="M53" s="15">
        <f>IF(OR(M52="",M4=""),"",IFERROR(M52/M4,""))</f>
        <v/>
      </c>
      <c r="N53" s="15">
        <f>IF(OR(N52="",N4=""),"",IFERROR(N52/N4,""))</f>
        <v/>
      </c>
      <c r="O53" s="14">
        <f>IF(OR(O52="",O4=""),"",IFERROR(O52/O4,""))</f>
        <v/>
      </c>
      <c r="P53" s="15">
        <f>IF(OR(P52="",P4=""),"",IFERROR(P52/P4,""))</f>
        <v/>
      </c>
      <c r="Q53" s="15">
        <f>IF(OR(Q52="",Q4=""),"",IFERROR(Q52/Q4,""))</f>
        <v/>
      </c>
      <c r="R53" s="15">
        <f>IF(OR(R52="",R4=""),"",IFERROR(R52/R4,""))</f>
        <v/>
      </c>
      <c r="S53" s="15">
        <f>IF(OR(S52="",S4=""),"",IFERROR(S52/S4,""))</f>
        <v/>
      </c>
      <c r="T53" s="15">
        <f>IF(OR(T52="",T4=""),"",IFERROR(T52/T4,""))</f>
        <v/>
      </c>
      <c r="U53" s="15">
        <f>IF(OR(U52="",U4=""),"",IFERROR(U52/U4,""))</f>
        <v/>
      </c>
      <c r="V53" s="15">
        <f>IF(OR(V52="",V4=""),"",IFERROR(V52/V4,""))</f>
        <v/>
      </c>
      <c r="W53" s="15">
        <f>IF(OR(W52="",W4=""),"",IFERROR(W52/W4,""))</f>
        <v/>
      </c>
      <c r="X53" s="15">
        <f>IF(OR(X52="",X4=""),"",IFERROR(X52/X4,""))</f>
        <v/>
      </c>
      <c r="Y53" s="25">
        <f>IFERROR(AVERAGE(V53,W53,X53),"")</f>
        <v/>
      </c>
      <c r="Z53" s="26">
        <f>Y53</f>
        <v/>
      </c>
      <c r="AA53" s="26">
        <f>Z53</f>
        <v/>
      </c>
      <c r="AB53" s="26">
        <f>AA53</f>
        <v/>
      </c>
      <c r="AC53" s="26">
        <f>AB53</f>
        <v/>
      </c>
    </row>
    <row r="54">
      <c r="A54" s="18" t="inlineStr">
        <is>
          <t>영업외수익</t>
        </is>
      </c>
      <c r="B54" s="10" t="n"/>
      <c r="C54" s="19" t="n">
        <v>519</v>
      </c>
      <c r="D54" s="20" t="n">
        <v>-180</v>
      </c>
      <c r="E54" s="20" t="n">
        <v>614</v>
      </c>
      <c r="F54" s="20" t="n">
        <v>775</v>
      </c>
      <c r="G54" s="20" t="n">
        <v>-206</v>
      </c>
      <c r="H54" s="20" t="n">
        <v>441</v>
      </c>
      <c r="I54" s="20" t="n">
        <v>249</v>
      </c>
      <c r="J54" s="20" t="n">
        <v>322</v>
      </c>
      <c r="K54" s="20" t="n">
        <v>178</v>
      </c>
      <c r="L54" s="20" t="n">
        <v>486</v>
      </c>
      <c r="M54" s="20" t="n">
        <v>417</v>
      </c>
      <c r="N54" s="20" t="n">
        <v>497</v>
      </c>
      <c r="O54" s="19" t="n">
        <v>492</v>
      </c>
      <c r="P54" s="20" t="n">
        <v>949</v>
      </c>
      <c r="Q54" s="20" t="n">
        <v>1780</v>
      </c>
      <c r="R54" s="20" t="n">
        <v>882</v>
      </c>
      <c r="S54" s="20" t="n">
        <v>930</v>
      </c>
      <c r="T54" s="20" t="n">
        <v>994</v>
      </c>
      <c r="U54" s="20" t="n">
        <v>1596</v>
      </c>
      <c r="V54" s="20" t="n">
        <v>2176</v>
      </c>
      <c r="W54" s="20" t="n">
        <v>1259</v>
      </c>
      <c r="X54" s="20" t="n">
        <v>1403</v>
      </c>
      <c r="Y54" s="19">
        <f>IF(OR(Y4="",Y55=""),"",IFERROR(Y4*Y55,""))</f>
        <v/>
      </c>
      <c r="Z54" s="20">
        <f>IF(OR(Z4="",Z55=""),"",IFERROR(Z4*Z55,""))</f>
        <v/>
      </c>
      <c r="AA54" s="20">
        <f>IF(OR(AA4="",AA55=""),"",IFERROR(AA4*AA55,""))</f>
        <v/>
      </c>
      <c r="AB54" s="20">
        <f>IF(OR(AB4="",AB55=""),"",IFERROR(AB4*AB55,""))</f>
        <v/>
      </c>
      <c r="AC54" s="20">
        <f>IF(OR(AC4="",AC55=""),"",IFERROR(AC4*AC55,""))</f>
        <v/>
      </c>
    </row>
    <row r="55">
      <c r="A55" s="13" t="inlineStr">
        <is>
          <t>% of Sales</t>
        </is>
      </c>
      <c r="B55" s="10" t="n"/>
      <c r="C55" s="14">
        <f>IF(OR(C54="",C4=""),"",IFERROR(C54/C4,""))</f>
        <v/>
      </c>
      <c r="D55" s="15">
        <f>IF(OR(D54="",D4=""),"",IFERROR(D54/D4,""))</f>
        <v/>
      </c>
      <c r="E55" s="15">
        <f>IF(OR(E54="",E4=""),"",IFERROR(E54/E4,""))</f>
        <v/>
      </c>
      <c r="F55" s="15">
        <f>IF(OR(F54="",F4=""),"",IFERROR(F54/F4,""))</f>
        <v/>
      </c>
      <c r="G55" s="15">
        <f>IF(OR(G54="",G4=""),"",IFERROR(G54/G4,""))</f>
        <v/>
      </c>
      <c r="H55" s="15">
        <f>IF(OR(H54="",H4=""),"",IFERROR(H54/H4,""))</f>
        <v/>
      </c>
      <c r="I55" s="15">
        <f>IF(OR(I54="",I4=""),"",IFERROR(I54/I4,""))</f>
        <v/>
      </c>
      <c r="J55" s="15">
        <f>IF(OR(J54="",J4=""),"",IFERROR(J54/J4,""))</f>
        <v/>
      </c>
      <c r="K55" s="15">
        <f>IF(OR(K54="",K4=""),"",IFERROR(K54/K4,""))</f>
        <v/>
      </c>
      <c r="L55" s="15">
        <f>IF(OR(L54="",L4=""),"",IFERROR(L54/L4,""))</f>
        <v/>
      </c>
      <c r="M55" s="15">
        <f>IF(OR(M54="",M4=""),"",IFERROR(M54/M4,""))</f>
        <v/>
      </c>
      <c r="N55" s="15">
        <f>IF(OR(N54="",N4=""),"",IFERROR(N54/N4,""))</f>
        <v/>
      </c>
      <c r="O55" s="14">
        <f>IF(OR(O54="",O4=""),"",IFERROR(O54/O4,""))</f>
        <v/>
      </c>
      <c r="P55" s="15">
        <f>IF(OR(P54="",P4=""),"",IFERROR(P54/P4,""))</f>
        <v/>
      </c>
      <c r="Q55" s="15">
        <f>IF(OR(Q54="",Q4=""),"",IFERROR(Q54/Q4,""))</f>
        <v/>
      </c>
      <c r="R55" s="15">
        <f>IF(OR(R54="",R4=""),"",IFERROR(R54/R4,""))</f>
        <v/>
      </c>
      <c r="S55" s="15">
        <f>IF(OR(S54="",S4=""),"",IFERROR(S54/S4,""))</f>
        <v/>
      </c>
      <c r="T55" s="15">
        <f>IF(OR(T54="",T4=""),"",IFERROR(T54/T4,""))</f>
        <v/>
      </c>
      <c r="U55" s="15">
        <f>IF(OR(U54="",U4=""),"",IFERROR(U54/U4,""))</f>
        <v/>
      </c>
      <c r="V55" s="15">
        <f>IF(OR(V54="",V4=""),"",IFERROR(V54/V4,""))</f>
        <v/>
      </c>
      <c r="W55" s="15">
        <f>IF(OR(W54="",W4=""),"",IFERROR(W54/W4,""))</f>
        <v/>
      </c>
      <c r="X55" s="15">
        <f>IF(OR(X54="",X4=""),"",IFERROR(X54/X4,""))</f>
        <v/>
      </c>
      <c r="Y55" s="25">
        <f>IFERROR(AVERAGE(V55,W55,X55),"")</f>
        <v/>
      </c>
      <c r="Z55" s="26">
        <f>Y55</f>
        <v/>
      </c>
      <c r="AA55" s="26">
        <f>Z55</f>
        <v/>
      </c>
      <c r="AB55" s="26">
        <f>AA55</f>
        <v/>
      </c>
      <c r="AC55" s="26">
        <f>AB55</f>
        <v/>
      </c>
    </row>
    <row r="56">
      <c r="A56" s="18" t="inlineStr">
        <is>
          <t>영업외비용</t>
        </is>
      </c>
      <c r="B56" s="10" t="n"/>
      <c r="C56" s="19" t="n">
        <v>200</v>
      </c>
      <c r="D56" s="20" t="n">
        <v>80</v>
      </c>
      <c r="E56" s="20" t="n">
        <v>86</v>
      </c>
      <c r="F56" s="20" t="n">
        <v>85</v>
      </c>
      <c r="G56" s="20" t="n">
        <v>796</v>
      </c>
      <c r="H56" s="20" t="n">
        <v>-417</v>
      </c>
      <c r="I56" s="20" t="n">
        <v>343</v>
      </c>
      <c r="J56" s="20" t="n">
        <v>290</v>
      </c>
      <c r="K56" s="20" t="n">
        <v>158</v>
      </c>
      <c r="L56" s="20" t="n">
        <v>-108</v>
      </c>
      <c r="M56" s="20" t="n">
        <v>353</v>
      </c>
      <c r="N56" s="20" t="n">
        <v>242</v>
      </c>
      <c r="O56" s="19" t="n">
        <v>672</v>
      </c>
      <c r="P56" s="20" t="n">
        <v>1230</v>
      </c>
      <c r="Q56" s="20" t="n">
        <v>613</v>
      </c>
      <c r="R56" s="20" t="n">
        <v>669</v>
      </c>
      <c r="S56" s="20" t="n">
        <v>890</v>
      </c>
      <c r="T56" s="20" t="n">
        <v>438</v>
      </c>
      <c r="U56" s="20" t="n">
        <v>507</v>
      </c>
      <c r="V56" s="20" t="n">
        <v>473</v>
      </c>
      <c r="W56" s="20" t="n">
        <v>807</v>
      </c>
      <c r="X56" s="20" t="n">
        <v>693</v>
      </c>
      <c r="Y56" s="19">
        <f>IF(OR(Y4="",Y57=""),"",IFERROR(Y4*Y57,""))</f>
        <v/>
      </c>
      <c r="Z56" s="20">
        <f>IF(OR(Z4="",Z57=""),"",IFERROR(Z4*Z57,""))</f>
        <v/>
      </c>
      <c r="AA56" s="20">
        <f>IF(OR(AA4="",AA57=""),"",IFERROR(AA4*AA57,""))</f>
        <v/>
      </c>
      <c r="AB56" s="20">
        <f>IF(OR(AB4="",AB57=""),"",IFERROR(AB4*AB57,""))</f>
        <v/>
      </c>
      <c r="AC56" s="20">
        <f>IF(OR(AC4="",AC57=""),"",IFERROR(AC4*AC57,""))</f>
        <v/>
      </c>
    </row>
    <row r="57">
      <c r="A57" s="13" t="inlineStr">
        <is>
          <t>% of Sales</t>
        </is>
      </c>
      <c r="B57" s="10" t="n"/>
      <c r="C57" s="14">
        <f>IF(OR(C56="",C4=""),"",IFERROR(C56/C4,""))</f>
        <v/>
      </c>
      <c r="D57" s="15">
        <f>IF(OR(D56="",D4=""),"",IFERROR(D56/D4,""))</f>
        <v/>
      </c>
      <c r="E57" s="15">
        <f>IF(OR(E56="",E4=""),"",IFERROR(E56/E4,""))</f>
        <v/>
      </c>
      <c r="F57" s="15">
        <f>IF(OR(F56="",F4=""),"",IFERROR(F56/F4,""))</f>
        <v/>
      </c>
      <c r="G57" s="15">
        <f>IF(OR(G56="",G4=""),"",IFERROR(G56/G4,""))</f>
        <v/>
      </c>
      <c r="H57" s="15">
        <f>IF(OR(H56="",H4=""),"",IFERROR(H56/H4,""))</f>
        <v/>
      </c>
      <c r="I57" s="15">
        <f>IF(OR(I56="",I4=""),"",IFERROR(I56/I4,""))</f>
        <v/>
      </c>
      <c r="J57" s="15">
        <f>IF(OR(J56="",J4=""),"",IFERROR(J56/J4,""))</f>
        <v/>
      </c>
      <c r="K57" s="15">
        <f>IF(OR(K56="",K4=""),"",IFERROR(K56/K4,""))</f>
        <v/>
      </c>
      <c r="L57" s="15">
        <f>IF(OR(L56="",L4=""),"",IFERROR(L56/L4,""))</f>
        <v/>
      </c>
      <c r="M57" s="15">
        <f>IF(OR(M56="",M4=""),"",IFERROR(M56/M4,""))</f>
        <v/>
      </c>
      <c r="N57" s="15">
        <f>IF(OR(N56="",N4=""),"",IFERROR(N56/N4,""))</f>
        <v/>
      </c>
      <c r="O57" s="14">
        <f>IF(OR(O56="",O4=""),"",IFERROR(O56/O4,""))</f>
        <v/>
      </c>
      <c r="P57" s="15">
        <f>IF(OR(P56="",P4=""),"",IFERROR(P56/P4,""))</f>
        <v/>
      </c>
      <c r="Q57" s="15">
        <f>IF(OR(Q56="",Q4=""),"",IFERROR(Q56/Q4,""))</f>
        <v/>
      </c>
      <c r="R57" s="15">
        <f>IF(OR(R56="",R4=""),"",IFERROR(R56/R4,""))</f>
        <v/>
      </c>
      <c r="S57" s="15">
        <f>IF(OR(S56="",S4=""),"",IFERROR(S56/S4,""))</f>
        <v/>
      </c>
      <c r="T57" s="15">
        <f>IF(OR(T56="",T4=""),"",IFERROR(T56/T4,""))</f>
        <v/>
      </c>
      <c r="U57" s="15">
        <f>IF(OR(U56="",U4=""),"",IFERROR(U56/U4,""))</f>
        <v/>
      </c>
      <c r="V57" s="15">
        <f>IF(OR(V56="",V4=""),"",IFERROR(V56/V4,""))</f>
        <v/>
      </c>
      <c r="W57" s="15">
        <f>IF(OR(W56="",W4=""),"",IFERROR(W56/W4,""))</f>
        <v/>
      </c>
      <c r="X57" s="15">
        <f>IF(OR(X56="",X4=""),"",IFERROR(X56/X4,""))</f>
        <v/>
      </c>
      <c r="Y57" s="25">
        <f>IFERROR(AVERAGE(V57,W57,X57),"")</f>
        <v/>
      </c>
      <c r="Z57" s="26">
        <f>Y57</f>
        <v/>
      </c>
      <c r="AA57" s="26">
        <f>Z57</f>
        <v/>
      </c>
      <c r="AB57" s="26">
        <f>AA57</f>
        <v/>
      </c>
      <c r="AC57" s="26">
        <f>AB57</f>
        <v/>
      </c>
    </row>
    <row r="58">
      <c r="A58" s="9" t="inlineStr">
        <is>
          <t>법인세비용차감전순이익(손실)</t>
        </is>
      </c>
      <c r="B58" s="10" t="n"/>
      <c r="C58" s="11" t="n">
        <v>2741</v>
      </c>
      <c r="D58" s="12" t="n">
        <v>1188</v>
      </c>
      <c r="E58" s="12" t="n">
        <v>2095</v>
      </c>
      <c r="F58" s="12" t="n">
        <v>2966</v>
      </c>
      <c r="G58" s="12" t="n">
        <v>744</v>
      </c>
      <c r="H58" s="12" t="n">
        <v>2967</v>
      </c>
      <c r="I58" s="12" t="n">
        <v>-509</v>
      </c>
      <c r="J58" s="12" t="n">
        <v>1965</v>
      </c>
      <c r="K58" s="12" t="n">
        <v>2934</v>
      </c>
      <c r="L58" s="12" t="n">
        <v>2664</v>
      </c>
      <c r="M58" s="12" t="n">
        <v>2555</v>
      </c>
      <c r="N58" s="12" t="n">
        <v>3087</v>
      </c>
      <c r="O58" s="11" t="n">
        <v>6703</v>
      </c>
      <c r="P58" s="12" t="n">
        <v>8041</v>
      </c>
      <c r="Q58" s="12" t="n">
        <v>7665</v>
      </c>
      <c r="R58" s="12" t="n">
        <v>-9426</v>
      </c>
      <c r="S58" s="12" t="n">
        <v>-7698</v>
      </c>
      <c r="T58" s="12" t="n">
        <v>-1549</v>
      </c>
      <c r="U58" s="12" t="n">
        <v>7265</v>
      </c>
      <c r="V58" s="12" t="n">
        <v>9133</v>
      </c>
      <c r="W58" s="12" t="n">
        <v>6168</v>
      </c>
      <c r="X58" s="12" t="n">
        <v>10118</v>
      </c>
      <c r="Y58" s="11">
        <f>IF(OR(Y34=""),"",IFERROR(Y34+N(Y50)-N(Y52)+N(Y54)-N(Y56),""))</f>
        <v/>
      </c>
      <c r="Z58" s="12">
        <f>IF(OR(Z34=""),"",IFERROR(Z34+N(Z50)-N(Z52)+N(Z54)-N(Z56),""))</f>
        <v/>
      </c>
      <c r="AA58" s="12">
        <f>IF(OR(AA34=""),"",IFERROR(AA34+N(AA50)-N(AA52)+N(AA54)-N(AA56),""))</f>
        <v/>
      </c>
      <c r="AB58" s="12">
        <f>IF(OR(AB34=""),"",IFERROR(AB34+N(AB50)-N(AB52)+N(AB54)-N(AB56),""))</f>
        <v/>
      </c>
      <c r="AC58" s="12">
        <f>IF(OR(AC34=""),"",IFERROR(AC34+N(AC50)-N(AC52)+N(AC54)-N(AC56),""))</f>
        <v/>
      </c>
    </row>
    <row r="59">
      <c r="A59" s="18" t="inlineStr">
        <is>
          <t>법인세비용(수익)</t>
        </is>
      </c>
      <c r="B59" s="10" t="n"/>
      <c r="C59" s="19" t="n">
        <v>165</v>
      </c>
      <c r="D59" s="20" t="n">
        <v>335</v>
      </c>
      <c r="E59" s="20" t="n">
        <v>212</v>
      </c>
      <c r="F59" s="20" t="n">
        <v>769</v>
      </c>
      <c r="G59" s="20" t="n">
        <v>-134</v>
      </c>
      <c r="H59" s="20" t="n">
        <v>433</v>
      </c>
      <c r="I59" s="20" t="n">
        <v>904</v>
      </c>
      <c r="J59" s="20" t="n">
        <v>335</v>
      </c>
      <c r="K59" s="20" t="n">
        <v>276</v>
      </c>
      <c r="L59" s="20" t="n">
        <v>560</v>
      </c>
      <c r="M59" s="20" t="n">
        <v>554</v>
      </c>
      <c r="N59" s="20" t="n">
        <v>613</v>
      </c>
      <c r="O59" s="19" t="n">
        <v>867</v>
      </c>
      <c r="P59" s="20" t="n">
        <v>868</v>
      </c>
      <c r="Q59" s="20" t="n">
        <v>2170</v>
      </c>
      <c r="R59" s="20" t="n">
        <v>736</v>
      </c>
      <c r="S59" s="20" t="n">
        <v>1799</v>
      </c>
      <c r="T59" s="20" t="n">
        <v>1718</v>
      </c>
      <c r="U59" s="20" t="n">
        <v>2009</v>
      </c>
      <c r="V59" s="20" t="n">
        <v>1482</v>
      </c>
      <c r="W59" s="20" t="n">
        <v>1972</v>
      </c>
      <c r="X59" s="20" t="n">
        <v>1725</v>
      </c>
      <c r="Y59" s="19">
        <f>IF(OR(Y58="",Y60=""),"",IFERROR(MAX(Y58,0)*Y60,""))</f>
        <v/>
      </c>
      <c r="Z59" s="20">
        <f>IF(OR(Z58="",Z60=""),"",IFERROR(MAX(Z58,0)*Z60,""))</f>
        <v/>
      </c>
      <c r="AA59" s="20">
        <f>IF(OR(AA58="",AA60=""),"",IFERROR(MAX(AA58,0)*AA60,""))</f>
        <v/>
      </c>
      <c r="AB59" s="20">
        <f>IF(OR(AB58="",AB60=""),"",IFERROR(MAX(AB58,0)*AB60,""))</f>
        <v/>
      </c>
      <c r="AC59" s="20">
        <f>IF(OR(AC58="",AC60=""),"",IFERROR(MAX(AC58,0)*AC60,""))</f>
        <v/>
      </c>
    </row>
    <row r="60">
      <c r="A60" s="13" t="inlineStr">
        <is>
          <t>법인세율</t>
        </is>
      </c>
      <c r="B60" s="10" t="inlineStr">
        <is>
          <t>MW 기본 30%</t>
        </is>
      </c>
      <c r="C60" s="14">
        <f>IF(OR(C59="",C58=""),"",IFERROR(C59/C58,""))</f>
        <v/>
      </c>
      <c r="D60" s="15">
        <f>IF(OR(D59="",D58=""),"",IFERROR(D59/D58,""))</f>
        <v/>
      </c>
      <c r="E60" s="15">
        <f>IF(OR(E59="",E58=""),"",IFERROR(E59/E58,""))</f>
        <v/>
      </c>
      <c r="F60" s="15">
        <f>IF(OR(F59="",F58=""),"",IFERROR(F59/F58,""))</f>
        <v/>
      </c>
      <c r="G60" s="15">
        <f>IF(OR(G59="",G58=""),"",IFERROR(G59/G58,""))</f>
        <v/>
      </c>
      <c r="H60" s="15">
        <f>IF(OR(H59="",H58=""),"",IFERROR(H59/H58,""))</f>
        <v/>
      </c>
      <c r="I60" s="15">
        <f>IF(OR(I59="",I58=""),"",IFERROR(I59/I58,""))</f>
        <v/>
      </c>
      <c r="J60" s="15">
        <f>IF(OR(J59="",J58=""),"",IFERROR(J59/J58,""))</f>
        <v/>
      </c>
      <c r="K60" s="15">
        <f>IF(OR(K59="",K58=""),"",IFERROR(K59/K58,""))</f>
        <v/>
      </c>
      <c r="L60" s="15">
        <f>IF(OR(L59="",L58=""),"",IFERROR(L59/L58,""))</f>
        <v/>
      </c>
      <c r="M60" s="15">
        <f>IF(OR(M59="",M58=""),"",IFERROR(M59/M58,""))</f>
        <v/>
      </c>
      <c r="N60" s="15">
        <f>IF(OR(N59="",N58=""),"",IFERROR(N59/N58,""))</f>
        <v/>
      </c>
      <c r="O60" s="14">
        <f>IF(OR(O59="",O58=""),"",IFERROR(O59/O58,""))</f>
        <v/>
      </c>
      <c r="P60" s="15">
        <f>IF(OR(P59="",P58=""),"",IFERROR(P59/P58,""))</f>
        <v/>
      </c>
      <c r="Q60" s="15">
        <f>IF(OR(Q59="",Q58=""),"",IFERROR(Q59/Q58,""))</f>
        <v/>
      </c>
      <c r="R60" s="15">
        <f>IF(OR(R59="",R58=""),"",IFERROR(R59/R58,""))</f>
        <v/>
      </c>
      <c r="S60" s="15">
        <f>IF(OR(S59="",S58=""),"",IFERROR(S59/S58,""))</f>
        <v/>
      </c>
      <c r="T60" s="15">
        <f>IF(OR(T59="",T58=""),"",IFERROR(T59/T58,""))</f>
        <v/>
      </c>
      <c r="U60" s="15">
        <f>IF(OR(U59="",U58=""),"",IFERROR(U59/U58,""))</f>
        <v/>
      </c>
      <c r="V60" s="15">
        <f>IF(OR(V59="",V58=""),"",IFERROR(V59/V58,""))</f>
        <v/>
      </c>
      <c r="W60" s="15">
        <f>IF(OR(W59="",W58=""),"",IFERROR(W59/W58,""))</f>
        <v/>
      </c>
      <c r="X60" s="15">
        <f>IF(OR(X59="",X58=""),"",IFERROR(X59/X58,""))</f>
        <v/>
      </c>
      <c r="Y60" s="25" t="n">
        <v>0.3</v>
      </c>
      <c r="Z60" s="26" t="n">
        <v>0.3</v>
      </c>
      <c r="AA60" s="26" t="n">
        <v>0.3</v>
      </c>
      <c r="AB60" s="26" t="n">
        <v>0.3</v>
      </c>
      <c r="AC60" s="26" t="n">
        <v>0.3</v>
      </c>
    </row>
    <row r="61">
      <c r="A61" s="9" t="inlineStr">
        <is>
          <t>당기순이익(손실)</t>
        </is>
      </c>
      <c r="B61" s="10" t="n"/>
      <c r="C61" s="11" t="n">
        <v>2576</v>
      </c>
      <c r="D61" s="12" t="n">
        <v>853</v>
      </c>
      <c r="E61" s="12" t="n">
        <v>1883</v>
      </c>
      <c r="F61" s="12" t="n">
        <v>2197</v>
      </c>
      <c r="G61" s="12" t="n">
        <v>878</v>
      </c>
      <c r="H61" s="12" t="n">
        <v>2534</v>
      </c>
      <c r="I61" s="12" t="n">
        <v>-1413</v>
      </c>
      <c r="J61" s="12" t="n">
        <v>1630</v>
      </c>
      <c r="K61" s="12" t="n">
        <v>2658</v>
      </c>
      <c r="L61" s="12" t="n">
        <v>2104</v>
      </c>
      <c r="M61" s="12" t="n">
        <v>2001</v>
      </c>
      <c r="N61" s="12" t="n">
        <v>2474</v>
      </c>
      <c r="O61" s="11" t="n">
        <v>5836</v>
      </c>
      <c r="P61" s="12" t="n">
        <v>7173</v>
      </c>
      <c r="Q61" s="12" t="n">
        <v>5495</v>
      </c>
      <c r="R61" s="12" t="n">
        <v>-10162</v>
      </c>
      <c r="S61" s="12" t="n">
        <v>-9497</v>
      </c>
      <c r="T61" s="12" t="n">
        <v>-3267</v>
      </c>
      <c r="U61" s="12" t="n">
        <v>5256</v>
      </c>
      <c r="V61" s="12" t="n">
        <v>7651</v>
      </c>
      <c r="W61" s="12" t="n">
        <v>4196</v>
      </c>
      <c r="X61" s="12" t="n">
        <v>8393</v>
      </c>
      <c r="Y61" s="11">
        <f>IF(OR(Y58=""),"",IFERROR(Y58-Y59,""))</f>
        <v/>
      </c>
      <c r="Z61" s="12">
        <f>IF(OR(Z58=""),"",IFERROR(Z58-Z59,""))</f>
        <v/>
      </c>
      <c r="AA61" s="12">
        <f>IF(OR(AA58=""),"",IFERROR(AA58-AA59,""))</f>
        <v/>
      </c>
      <c r="AB61" s="12">
        <f>IF(OR(AB58=""),"",IFERROR(AB58-AB59,""))</f>
        <v/>
      </c>
      <c r="AC61" s="12">
        <f>IF(OR(AC58=""),"",IFERROR(AC58-AC59,""))</f>
        <v/>
      </c>
    </row>
    <row r="62">
      <c r="A62" s="9" t="inlineStr">
        <is>
          <t>지배주주 순이익</t>
        </is>
      </c>
      <c r="B62" s="10" t="n"/>
      <c r="C62" s="11" t="n">
        <v>2588</v>
      </c>
      <c r="D62" s="12" t="n">
        <v>751</v>
      </c>
      <c r="E62" s="12" t="n">
        <v>1859</v>
      </c>
      <c r="F62" s="12" t="n">
        <v>2207</v>
      </c>
      <c r="G62" s="12" t="n">
        <v>878</v>
      </c>
      <c r="H62" s="12" t="n">
        <v>2459</v>
      </c>
      <c r="I62" s="12" t="n">
        <v>-1454</v>
      </c>
      <c r="J62" s="12" t="n">
        <v>1593</v>
      </c>
      <c r="K62" s="12" t="n">
        <v>2641</v>
      </c>
      <c r="L62" s="12" t="n">
        <v>2014</v>
      </c>
      <c r="M62" s="12" t="n">
        <v>2012</v>
      </c>
      <c r="N62" s="12" t="n">
        <v>2397</v>
      </c>
      <c r="O62" s="11" t="n">
        <v>5724</v>
      </c>
      <c r="P62" s="12" t="n">
        <v>7127</v>
      </c>
      <c r="Q62" s="12" t="n">
        <v>5311</v>
      </c>
      <c r="R62" s="12" t="n">
        <v>-10487</v>
      </c>
      <c r="S62" s="12" t="n">
        <v>-9373</v>
      </c>
      <c r="T62" s="12" t="n">
        <v>-3659</v>
      </c>
      <c r="U62" s="12" t="n">
        <v>5193</v>
      </c>
      <c r="V62" s="12" t="n">
        <v>7544</v>
      </c>
      <c r="W62" s="12" t="n">
        <v>4090</v>
      </c>
      <c r="X62" s="12" t="n">
        <v>8260</v>
      </c>
      <c r="Y62" s="11">
        <f>IF(OR(Y61="",Y63=""),"",IFERROR(Y61*Y63,""))</f>
        <v/>
      </c>
      <c r="Z62" s="12">
        <f>IF(OR(Z61="",Z63=""),"",IFERROR(Z61*Z63,""))</f>
        <v/>
      </c>
      <c r="AA62" s="12">
        <f>IF(OR(AA61="",AA63=""),"",IFERROR(AA61*AA63,""))</f>
        <v/>
      </c>
      <c r="AB62" s="12">
        <f>IF(OR(AB61="",AB63=""),"",IFERROR(AB61*AB63,""))</f>
        <v/>
      </c>
      <c r="AC62" s="12">
        <f>IF(OR(AC61="",AC63=""),"",IFERROR(AC61*AC63,""))</f>
        <v/>
      </c>
    </row>
    <row r="63">
      <c r="A63" s="13" t="inlineStr">
        <is>
          <t>지배주주 순이익률</t>
        </is>
      </c>
      <c r="B63" s="10" t="inlineStr">
        <is>
          <t>MW 기본 100%</t>
        </is>
      </c>
      <c r="C63" s="14">
        <f>IF(OR(C62="",C61=""),"",IFERROR(C62/C61,""))</f>
        <v/>
      </c>
      <c r="D63" s="15">
        <f>IF(OR(D62="",D61=""),"",IFERROR(D62/D61,""))</f>
        <v/>
      </c>
      <c r="E63" s="15">
        <f>IF(OR(E62="",E61=""),"",IFERROR(E62/E61,""))</f>
        <v/>
      </c>
      <c r="F63" s="15">
        <f>IF(OR(F62="",F61=""),"",IFERROR(F62/F61,""))</f>
        <v/>
      </c>
      <c r="G63" s="15">
        <f>IF(OR(G62="",G61=""),"",IFERROR(G62/G61,""))</f>
        <v/>
      </c>
      <c r="H63" s="15">
        <f>IF(OR(H62="",H61=""),"",IFERROR(H62/H61,""))</f>
        <v/>
      </c>
      <c r="I63" s="15">
        <f>IF(OR(I62="",I61=""),"",IFERROR(I62/I61,""))</f>
        <v/>
      </c>
      <c r="J63" s="15">
        <f>IF(OR(J62="",J61=""),"",IFERROR(J62/J61,""))</f>
        <v/>
      </c>
      <c r="K63" s="15">
        <f>IF(OR(K62="",K61=""),"",IFERROR(K62/K61,""))</f>
        <v/>
      </c>
      <c r="L63" s="15">
        <f>IF(OR(L62="",L61=""),"",IFERROR(L62/L61,""))</f>
        <v/>
      </c>
      <c r="M63" s="15">
        <f>IF(OR(M62="",M61=""),"",IFERROR(M62/M61,""))</f>
        <v/>
      </c>
      <c r="N63" s="15">
        <f>IF(OR(N62="",N61=""),"",IFERROR(N62/N61,""))</f>
        <v/>
      </c>
      <c r="O63" s="14">
        <f>IF(OR(O62="",O61=""),"",IFERROR(O62/O61,""))</f>
        <v/>
      </c>
      <c r="P63" s="15">
        <f>IF(OR(P62="",P61=""),"",IFERROR(P62/P61,""))</f>
        <v/>
      </c>
      <c r="Q63" s="15">
        <f>IF(OR(Q62="",Q61=""),"",IFERROR(Q62/Q61,""))</f>
        <v/>
      </c>
      <c r="R63" s="15">
        <f>IF(OR(R62="",R61=""),"",IFERROR(R62/R61,""))</f>
        <v/>
      </c>
      <c r="S63" s="15">
        <f>IF(OR(S62="",S61=""),"",IFERROR(S62/S61,""))</f>
        <v/>
      </c>
      <c r="T63" s="15">
        <f>IF(OR(T62="",T61=""),"",IFERROR(T62/T61,""))</f>
        <v/>
      </c>
      <c r="U63" s="15">
        <f>IF(OR(U62="",U61=""),"",IFERROR(U62/U61,""))</f>
        <v/>
      </c>
      <c r="V63" s="15">
        <f>IF(OR(V62="",V61=""),"",IFERROR(V62/V61,""))</f>
        <v/>
      </c>
      <c r="W63" s="15">
        <f>IF(OR(W62="",W61=""),"",IFERROR(W62/W61,""))</f>
        <v/>
      </c>
      <c r="X63" s="15">
        <f>IF(OR(X62="",X61=""),"",IFERROR(X62/X61,""))</f>
        <v/>
      </c>
      <c r="Y63" s="25" t="n">
        <v>1</v>
      </c>
      <c r="Z63" s="26" t="n">
        <v>1</v>
      </c>
      <c r="AA63" s="26" t="n">
        <v>1</v>
      </c>
      <c r="AB63" s="26" t="n">
        <v>1</v>
      </c>
      <c r="AC63" s="26" t="n">
        <v>1</v>
      </c>
    </row>
    <row r="64">
      <c r="A64" s="16" t="inlineStr">
        <is>
          <t>목표주가 산출</t>
        </is>
      </c>
      <c r="B64" s="16" t="n"/>
      <c r="C64" s="17" t="n"/>
      <c r="D64" s="16" t="n"/>
      <c r="E64" s="16" t="n"/>
      <c r="F64" s="16" t="n"/>
      <c r="G64" s="16" t="n"/>
      <c r="H64" s="16" t="n"/>
      <c r="I64" s="16" t="n"/>
      <c r="J64" s="16" t="n"/>
      <c r="K64" s="16" t="n"/>
      <c r="L64" s="16" t="n"/>
      <c r="M64" s="16" t="n"/>
      <c r="N64" s="16" t="n"/>
      <c r="O64" s="17" t="n"/>
      <c r="P64" s="16" t="n"/>
      <c r="Q64" s="16" t="n"/>
      <c r="R64" s="16" t="n"/>
      <c r="S64" s="16" t="n"/>
      <c r="T64" s="16" t="n"/>
      <c r="U64" s="16" t="n"/>
      <c r="V64" s="16" t="n"/>
      <c r="W64" s="16" t="n"/>
      <c r="X64" s="16" t="n"/>
      <c r="Y64" s="17" t="n"/>
      <c r="Z64" s="16" t="n"/>
      <c r="AA64" s="16" t="n"/>
      <c r="AB64" s="16" t="n"/>
      <c r="AC64" s="16" t="n"/>
    </row>
    <row r="65">
      <c r="A65" s="18" t="inlineStr">
        <is>
          <t>현재 주가 ()</t>
        </is>
      </c>
      <c r="B65" s="27" t="n"/>
      <c r="C65" s="28" t="n"/>
      <c r="D65" s="29" t="n"/>
      <c r="E65" s="29" t="n"/>
      <c r="F65" s="29" t="n"/>
      <c r="G65" s="29" t="n"/>
      <c r="H65" s="29" t="n"/>
      <c r="I65" s="29" t="n"/>
      <c r="J65" s="29" t="n"/>
      <c r="K65" s="29" t="n"/>
      <c r="L65" s="29" t="n"/>
      <c r="M65" s="29" t="n"/>
      <c r="N65" s="29" t="n"/>
      <c r="O65" s="28" t="n"/>
      <c r="P65" s="29" t="n"/>
      <c r="Q65" s="29" t="n"/>
      <c r="R65" s="29" t="n"/>
      <c r="S65" s="29" t="n"/>
      <c r="T65" s="29" t="n"/>
      <c r="U65" s="29" t="n"/>
      <c r="V65" s="29" t="n"/>
      <c r="W65" s="29" t="n"/>
      <c r="X65" s="29" t="n"/>
      <c r="Y65" s="28" t="n"/>
      <c r="Z65" s="29" t="n"/>
      <c r="AA65" s="29" t="n"/>
      <c r="AB65" s="29" t="n"/>
      <c r="AC65" s="29" t="n"/>
    </row>
    <row r="66">
      <c r="A66" s="18" t="inlineStr">
        <is>
          <t>발행주식수 (보통주)</t>
        </is>
      </c>
      <c r="B66" s="27" t="n"/>
      <c r="C66" s="28" t="n"/>
      <c r="D66" s="29" t="n"/>
      <c r="E66" s="29" t="n"/>
      <c r="F66" s="29" t="n"/>
      <c r="G66" s="29" t="n"/>
      <c r="H66" s="29" t="n"/>
      <c r="I66" s="29" t="n"/>
      <c r="J66" s="29" t="n"/>
      <c r="K66" s="29" t="n"/>
      <c r="L66" s="29" t="n"/>
      <c r="M66" s="29" t="n"/>
      <c r="N66" s="29" t="n"/>
      <c r="O66" s="28" t="n"/>
      <c r="P66" s="29" t="n"/>
      <c r="Q66" s="29" t="n"/>
      <c r="R66" s="29" t="n"/>
      <c r="S66" s="29" t="n"/>
      <c r="T66" s="29" t="n"/>
      <c r="U66" s="29" t="n"/>
      <c r="V66" s="29" t="n"/>
      <c r="W66" s="29" t="n"/>
      <c r="X66" s="29" t="n"/>
      <c r="Y66" s="28" t="n"/>
      <c r="Z66" s="29" t="n"/>
      <c r="AA66" s="29" t="n"/>
      <c r="AB66" s="29" t="n"/>
      <c r="AC66" s="29" t="n"/>
    </row>
    <row r="67">
      <c r="A67" s="18" t="inlineStr">
        <is>
          <t>시가총액 (백만엔)</t>
        </is>
      </c>
      <c r="B67" s="12">
        <f>IF(OR(B65="",B66=""),"",B65*B66/1000000.0)</f>
        <v/>
      </c>
      <c r="C67" s="19" t="n"/>
      <c r="D67" s="20" t="n"/>
      <c r="E67" s="20" t="n"/>
      <c r="F67" s="20" t="n"/>
      <c r="G67" s="20" t="n"/>
      <c r="H67" s="20" t="n"/>
      <c r="I67" s="20" t="n"/>
      <c r="J67" s="20" t="n"/>
      <c r="K67" s="20" t="n"/>
      <c r="L67" s="20" t="n"/>
      <c r="M67" s="20" t="n"/>
      <c r="N67" s="20" t="n"/>
      <c r="O67" s="19" t="n"/>
      <c r="P67" s="20" t="n"/>
      <c r="Q67" s="20" t="n"/>
      <c r="R67" s="20" t="n"/>
      <c r="S67" s="20" t="n"/>
      <c r="T67" s="20" t="n"/>
      <c r="U67" s="20" t="n"/>
      <c r="V67" s="20" t="n"/>
      <c r="W67" s="20" t="n"/>
      <c r="X67" s="20" t="n"/>
      <c r="Y67" s="19" t="n"/>
      <c r="Z67" s="20" t="n"/>
      <c r="AA67" s="20" t="n"/>
      <c r="AB67" s="20" t="n"/>
      <c r="AC67" s="20" t="n"/>
    </row>
    <row r="68">
      <c r="A68" s="13" t="inlineStr">
        <is>
          <t>OPM</t>
        </is>
      </c>
      <c r="B68" s="10" t="n"/>
      <c r="C68" s="14" t="n"/>
      <c r="D68" s="15" t="n"/>
      <c r="E68" s="15" t="n"/>
      <c r="F68" s="15" t="n"/>
      <c r="G68" s="15" t="n"/>
      <c r="H68" s="15" t="n"/>
      <c r="I68" s="15" t="n"/>
      <c r="J68" s="15" t="n"/>
      <c r="K68" s="15" t="n"/>
      <c r="L68" s="15" t="n"/>
      <c r="M68" s="15" t="n"/>
      <c r="N68" s="15" t="n"/>
      <c r="O68" s="14">
        <f>IF(O35="","",O35)</f>
        <v/>
      </c>
      <c r="P68" s="15">
        <f>IF(P35="","",P35)</f>
        <v/>
      </c>
      <c r="Q68" s="15">
        <f>IF(Q35="","",Q35)</f>
        <v/>
      </c>
      <c r="R68" s="15">
        <f>IF(R35="","",R35)</f>
        <v/>
      </c>
      <c r="S68" s="15">
        <f>IF(S35="","",S35)</f>
        <v/>
      </c>
      <c r="T68" s="15">
        <f>IF(T35="","",T35)</f>
        <v/>
      </c>
      <c r="U68" s="15">
        <f>IF(U35="","",U35)</f>
        <v/>
      </c>
      <c r="V68" s="15">
        <f>IF(V35="","",V35)</f>
        <v/>
      </c>
      <c r="W68" s="15">
        <f>IF(W35="","",W35)</f>
        <v/>
      </c>
      <c r="X68" s="15">
        <f>IF(X35="","",X35)</f>
        <v/>
      </c>
      <c r="Y68" s="14">
        <f>IF(Y35="","",Y35)</f>
        <v/>
      </c>
      <c r="Z68" s="15">
        <f>IF(Z35="","",Z35)</f>
        <v/>
      </c>
      <c r="AA68" s="15">
        <f>IF(AA35="","",AA35)</f>
        <v/>
      </c>
      <c r="AB68" s="15">
        <f>IF(AB35="","",AB35)</f>
        <v/>
      </c>
      <c r="AC68" s="15">
        <f>IF(AC35="","",AC35)</f>
        <v/>
      </c>
    </row>
    <row r="69">
      <c r="A69" s="13" t="inlineStr">
        <is>
          <t>지배주주 순이익 증가율</t>
        </is>
      </c>
      <c r="B69" s="10" t="n"/>
      <c r="C69" s="14" t="n"/>
      <c r="D69" s="15" t="n"/>
      <c r="E69" s="15" t="n"/>
      <c r="F69" s="15" t="n"/>
      <c r="G69" s="15" t="n"/>
      <c r="H69" s="15" t="n"/>
      <c r="I69" s="15" t="n"/>
      <c r="J69" s="15" t="n"/>
      <c r="K69" s="15" t="n"/>
      <c r="L69" s="15" t="n"/>
      <c r="M69" s="15" t="n"/>
      <c r="N69" s="15" t="n"/>
      <c r="O69" s="14" t="n"/>
      <c r="P69" s="15">
        <f>IF(OR(P62="",O62=""),"",IFERROR(P62/O62-1,""))</f>
        <v/>
      </c>
      <c r="Q69" s="15">
        <f>IF(OR(Q62="",P62=""),"",IFERROR(Q62/P62-1,""))</f>
        <v/>
      </c>
      <c r="R69" s="15">
        <f>IF(OR(R62="",Q62=""),"",IFERROR(R62/Q62-1,""))</f>
        <v/>
      </c>
      <c r="S69" s="15">
        <f>IF(OR(S62="",R62=""),"",IFERROR(S62/R62-1,""))</f>
        <v/>
      </c>
      <c r="T69" s="15">
        <f>IF(OR(T62="",S62=""),"",IFERROR(T62/S62-1,""))</f>
        <v/>
      </c>
      <c r="U69" s="15">
        <f>IF(OR(U62="",T62=""),"",IFERROR(U62/T62-1,""))</f>
        <v/>
      </c>
      <c r="V69" s="15">
        <f>IF(OR(V62="",U62=""),"",IFERROR(V62/U62-1,""))</f>
        <v/>
      </c>
      <c r="W69" s="15">
        <f>IF(OR(W62="",V62=""),"",IFERROR(W62/V62-1,""))</f>
        <v/>
      </c>
      <c r="X69" s="15">
        <f>IF(OR(X62="",W62=""),"",IFERROR(X62/W62-1,""))</f>
        <v/>
      </c>
      <c r="Y69" s="14">
        <f>IF(OR(Y62="",X62=""),"",IFERROR(Y62/X62-1,""))</f>
        <v/>
      </c>
      <c r="Z69" s="15">
        <f>IF(OR(Z62="",Y62=""),"",IFERROR(Z62/Y62-1,""))</f>
        <v/>
      </c>
      <c r="AA69" s="15">
        <f>IF(OR(AA62="",Z62=""),"",IFERROR(AA62/Z62-1,""))</f>
        <v/>
      </c>
      <c r="AB69" s="15">
        <f>IF(OR(AB62="",AA62=""),"",IFERROR(AB62/AA62-1,""))</f>
        <v/>
      </c>
      <c r="AC69" s="15">
        <f>IF(OR(AC62="",AB62=""),"",IFERROR(AC62/AB62-1,""))</f>
        <v/>
      </c>
    </row>
    <row r="70">
      <c r="A70" s="18" t="inlineStr">
        <is>
          <t>P/E (현재 주가)</t>
        </is>
      </c>
      <c r="B70" s="10" t="inlineStr">
        <is>
          <t>시총 ÷ 지배순이익</t>
        </is>
      </c>
      <c r="C70" s="30" t="n"/>
      <c r="D70" s="31" t="n"/>
      <c r="E70" s="31" t="n"/>
      <c r="F70" s="31" t="n"/>
      <c r="G70" s="31" t="n"/>
      <c r="H70" s="31" t="n"/>
      <c r="I70" s="31" t="n"/>
      <c r="J70" s="31" t="n"/>
      <c r="K70" s="31" t="n"/>
      <c r="L70" s="31" t="n"/>
      <c r="M70" s="31" t="n"/>
      <c r="N70" s="31" t="n"/>
      <c r="O70" s="30" t="n"/>
      <c r="P70" s="31" t="n"/>
      <c r="Q70" s="31" t="n"/>
      <c r="R70" s="31" t="n"/>
      <c r="S70" s="31" t="n"/>
      <c r="T70" s="31" t="n"/>
      <c r="U70" s="31" t="n"/>
      <c r="V70" s="31" t="n"/>
      <c r="W70" s="31" t="n"/>
      <c r="X70" s="31">
        <f>IF(OR($B$67="",X62=""),"",IFERROR($B$67/X62,""))</f>
        <v/>
      </c>
      <c r="Y70" s="30">
        <f>IF(OR($B$67="",Y62=""),"",IFERROR($B$67/Y62,""))</f>
        <v/>
      </c>
      <c r="Z70" s="31">
        <f>IF(OR($B$67="",Z62=""),"",IFERROR($B$67/Z62,""))</f>
        <v/>
      </c>
      <c r="AA70" s="31">
        <f>IF(OR($B$67="",AA62=""),"",IFERROR($B$67/AA62,""))</f>
        <v/>
      </c>
      <c r="AB70" s="31">
        <f>IF(OR($B$67="",AB62=""),"",IFERROR($B$67/AB62,""))</f>
        <v/>
      </c>
      <c r="AC70" s="31">
        <f>IF(OR($B$67="",AC62=""),"",IFERROR($B$67/AC62,""))</f>
        <v/>
      </c>
    </row>
    <row r="71">
      <c r="A71" s="18" t="inlineStr">
        <is>
          <t>Target P/E</t>
        </is>
      </c>
      <c r="B71" s="10" t="inlineStr">
        <is>
          <t>직접 입력</t>
        </is>
      </c>
      <c r="C71" s="30" t="n"/>
      <c r="D71" s="31" t="n"/>
      <c r="E71" s="31" t="n"/>
      <c r="F71" s="31" t="n"/>
      <c r="G71" s="31" t="n"/>
      <c r="H71" s="31" t="n"/>
      <c r="I71" s="31" t="n"/>
      <c r="J71" s="31" t="n"/>
      <c r="K71" s="31" t="n"/>
      <c r="L71" s="31" t="n"/>
      <c r="M71" s="31" t="n"/>
      <c r="N71" s="31" t="n"/>
      <c r="O71" s="30" t="n"/>
      <c r="P71" s="31" t="n"/>
      <c r="Q71" s="31" t="n"/>
      <c r="R71" s="31" t="n"/>
      <c r="S71" s="31" t="n"/>
      <c r="T71" s="31" t="n"/>
      <c r="U71" s="31" t="n"/>
      <c r="V71" s="31" t="n"/>
      <c r="W71" s="31" t="n"/>
      <c r="X71" s="31" t="n"/>
      <c r="Y71" s="32" t="n"/>
      <c r="Z71" s="33" t="n"/>
      <c r="AA71" s="33" t="n"/>
      <c r="AB71" s="33" t="n"/>
      <c r="AC71" s="33" t="n"/>
    </row>
    <row r="72">
      <c r="A72" s="18" t="inlineStr">
        <is>
          <t>EPS</t>
        </is>
      </c>
      <c r="B72" s="10" t="inlineStr">
        <is>
          <t>지배순이익 ÷ 주식수</t>
        </is>
      </c>
      <c r="C72" s="28" t="n"/>
      <c r="D72" s="29" t="n"/>
      <c r="E72" s="29" t="n"/>
      <c r="F72" s="29" t="n"/>
      <c r="G72" s="29" t="n"/>
      <c r="H72" s="29" t="n"/>
      <c r="I72" s="29" t="n"/>
      <c r="J72" s="29" t="n"/>
      <c r="K72" s="29" t="n"/>
      <c r="L72" s="29" t="n"/>
      <c r="M72" s="29" t="n"/>
      <c r="N72" s="29" t="n"/>
      <c r="O72" s="28">
        <f>IF(OR(O62="",$B$66=""),"",IFERROR(O62*1000000.0/$B$66,""))</f>
        <v/>
      </c>
      <c r="P72" s="29">
        <f>IF(OR(P62="",$B$66=""),"",IFERROR(P62*1000000.0/$B$66,""))</f>
        <v/>
      </c>
      <c r="Q72" s="29">
        <f>IF(OR(Q62="",$B$66=""),"",IFERROR(Q62*1000000.0/$B$66,""))</f>
        <v/>
      </c>
      <c r="R72" s="29">
        <f>IF(OR(R62="",$B$66=""),"",IFERROR(R62*1000000.0/$B$66,""))</f>
        <v/>
      </c>
      <c r="S72" s="29">
        <f>IF(OR(S62="",$B$66=""),"",IFERROR(S62*1000000.0/$B$66,""))</f>
        <v/>
      </c>
      <c r="T72" s="29">
        <f>IF(OR(T62="",$B$66=""),"",IFERROR(T62*1000000.0/$B$66,""))</f>
        <v/>
      </c>
      <c r="U72" s="29">
        <f>IF(OR(U62="",$B$66=""),"",IFERROR(U62*1000000.0/$B$66,""))</f>
        <v/>
      </c>
      <c r="V72" s="29">
        <f>IF(OR(V62="",$B$66=""),"",IFERROR(V62*1000000.0/$B$66,""))</f>
        <v/>
      </c>
      <c r="W72" s="29">
        <f>IF(OR(W62="",$B$66=""),"",IFERROR(W62*1000000.0/$B$66,""))</f>
        <v/>
      </c>
      <c r="X72" s="29">
        <f>IF(OR(X62="",$B$66=""),"",IFERROR(X62*1000000.0/$B$66,""))</f>
        <v/>
      </c>
      <c r="Y72" s="28">
        <f>IF(OR(Y62="",$B$66=""),"",IFERROR(Y62*1000000.0/$B$66,""))</f>
        <v/>
      </c>
      <c r="Z72" s="29">
        <f>IF(OR(Z62="",$B$66=""),"",IFERROR(Z62*1000000.0/$B$66,""))</f>
        <v/>
      </c>
      <c r="AA72" s="29">
        <f>IF(OR(AA62="",$B$66=""),"",IFERROR(AA62*1000000.0/$B$66,""))</f>
        <v/>
      </c>
      <c r="AB72" s="29">
        <f>IF(OR(AB62="",$B$66=""),"",IFERROR(AB62*1000000.0/$B$66,""))</f>
        <v/>
      </c>
      <c r="AC72" s="29">
        <f>IF(OR(AC62="",$B$66=""),"",IFERROR(AC62*1000000.0/$B$66,""))</f>
        <v/>
      </c>
    </row>
    <row r="73">
      <c r="A73" s="9" t="inlineStr">
        <is>
          <t>목표주가</t>
        </is>
      </c>
      <c r="B73" s="10" t="n"/>
      <c r="C73" s="34" t="n"/>
      <c r="D73" s="27" t="n"/>
      <c r="E73" s="27" t="n"/>
      <c r="F73" s="27" t="n"/>
      <c r="G73" s="27" t="n"/>
      <c r="H73" s="27" t="n"/>
      <c r="I73" s="27" t="n"/>
      <c r="J73" s="27" t="n"/>
      <c r="K73" s="27" t="n"/>
      <c r="L73" s="27" t="n"/>
      <c r="M73" s="27" t="n"/>
      <c r="N73" s="27" t="n"/>
      <c r="O73" s="34" t="n"/>
      <c r="P73" s="27" t="n"/>
      <c r="Q73" s="27" t="n"/>
      <c r="R73" s="27" t="n"/>
      <c r="S73" s="27" t="n"/>
      <c r="T73" s="27" t="n"/>
      <c r="U73" s="27" t="n"/>
      <c r="V73" s="27" t="n"/>
      <c r="W73" s="27" t="n"/>
      <c r="X73" s="27" t="n"/>
      <c r="Y73" s="34">
        <f>IF(OR(Y72="",Y71=""),"",IFERROR(Y72*Y71,""))</f>
        <v/>
      </c>
      <c r="Z73" s="27">
        <f>IF(OR(Z72="",Z71=""),"",IFERROR(Z72*Z71,""))</f>
        <v/>
      </c>
      <c r="AA73" s="27">
        <f>IF(OR(AA72="",AA71=""),"",IFERROR(AA72*AA71,""))</f>
        <v/>
      </c>
      <c r="AB73" s="27">
        <f>IF(OR(AB72="",AB71=""),"",IFERROR(AB72*AB71,""))</f>
        <v/>
      </c>
      <c r="AC73" s="27">
        <f>IF(OR(AC72="",AC71=""),"",IFERROR(AC72*AC71,""))</f>
        <v/>
      </c>
    </row>
    <row r="74">
      <c r="A74" s="18" t="inlineStr">
        <is>
          <t>상승여력</t>
        </is>
      </c>
      <c r="B74" s="10" t="n"/>
      <c r="C74" s="35" t="n"/>
      <c r="D74" s="36" t="n"/>
      <c r="E74" s="36" t="n"/>
      <c r="F74" s="36" t="n"/>
      <c r="G74" s="36" t="n"/>
      <c r="H74" s="36" t="n"/>
      <c r="I74" s="36" t="n"/>
      <c r="J74" s="36" t="n"/>
      <c r="K74" s="36" t="n"/>
      <c r="L74" s="36" t="n"/>
      <c r="M74" s="36" t="n"/>
      <c r="N74" s="36" t="n"/>
      <c r="O74" s="35" t="n"/>
      <c r="P74" s="36" t="n"/>
      <c r="Q74" s="36" t="n"/>
      <c r="R74" s="36" t="n"/>
      <c r="S74" s="36" t="n"/>
      <c r="T74" s="36" t="n"/>
      <c r="U74" s="36" t="n"/>
      <c r="V74" s="36" t="n"/>
      <c r="W74" s="36" t="n"/>
      <c r="X74" s="36" t="n"/>
      <c r="Y74" s="37">
        <f>IF(OR(Y73="",$B$65=""),"",IFERROR(Y73/$B$65-1,""))</f>
        <v/>
      </c>
      <c r="Z74" s="38">
        <f>IF(OR(Z73="",$B$65=""),"",IFERROR(Z73/$B$65-1,""))</f>
        <v/>
      </c>
      <c r="AA74" s="38">
        <f>IF(OR(AA73="",$B$65=""),"",IFERROR(AA73/$B$65-1,""))</f>
        <v/>
      </c>
      <c r="AB74" s="38">
        <f>IF(OR(AB73="",$B$65=""),"",IFERROR(AB73/$B$65-1,""))</f>
        <v/>
      </c>
      <c r="AC74" s="38">
        <f>IF(OR(AC73="",$B$65=""),"",IFERROR(AC73/$B$65-1,""))</f>
        <v/>
      </c>
    </row>
    <row r="75">
      <c r="A75" s="16" t="inlineStr">
        <is>
          <t>자산가치 산출</t>
        </is>
      </c>
      <c r="B75" s="16" t="inlineStr">
        <is>
          <t>최신 분기 BS</t>
        </is>
      </c>
      <c r="C75" s="17" t="n"/>
      <c r="D75" s="16" t="n"/>
      <c r="E75" s="16" t="n"/>
      <c r="F75" s="16" t="n"/>
      <c r="G75" s="16" t="n"/>
      <c r="H75" s="16" t="n"/>
      <c r="I75" s="16" t="n"/>
      <c r="J75" s="16" t="n"/>
      <c r="K75" s="16" t="n"/>
      <c r="L75" s="16" t="n"/>
      <c r="M75" s="16" t="n"/>
      <c r="N75" s="16" t="n"/>
      <c r="O75" s="17" t="n"/>
      <c r="P75" s="16" t="n"/>
      <c r="Q75" s="16" t="n"/>
      <c r="R75" s="16" t="n"/>
      <c r="S75" s="16" t="n"/>
      <c r="T75" s="16" t="n"/>
      <c r="U75" s="16" t="n"/>
      <c r="V75" s="16" t="n"/>
      <c r="W75" s="16" t="n"/>
      <c r="X75" s="16" t="n"/>
      <c r="Y75" s="17" t="n"/>
      <c r="Z75" s="16" t="n"/>
      <c r="AA75" s="16" t="n"/>
      <c r="AB75" s="16" t="n"/>
      <c r="AC75" s="16" t="n"/>
    </row>
    <row r="76">
      <c r="A76" s="18" t="inlineStr">
        <is>
          <t>현금및현금성자산</t>
        </is>
      </c>
      <c r="B76" s="10" t="n"/>
      <c r="C76" s="19" t="n"/>
      <c r="D76" s="20" t="n"/>
      <c r="E76" s="20" t="n"/>
      <c r="F76" s="20" t="n"/>
      <c r="G76" s="20" t="n"/>
      <c r="H76" s="20" t="n"/>
      <c r="I76" s="20" t="n"/>
      <c r="J76" s="20" t="n"/>
      <c r="K76" s="20" t="n"/>
      <c r="L76" s="20" t="n"/>
      <c r="M76" s="20" t="n"/>
      <c r="N76" s="20" t="n"/>
      <c r="O76" s="19" t="n"/>
      <c r="P76" s="20" t="n"/>
      <c r="Q76" s="20" t="n"/>
      <c r="R76" s="20" t="n"/>
      <c r="S76" s="20" t="n"/>
      <c r="T76" s="20" t="n"/>
      <c r="U76" s="20" t="n"/>
      <c r="V76" s="20" t="n"/>
      <c r="W76" s="20" t="n"/>
      <c r="X76" s="20">
        <f>'재무상태표'!G6</f>
        <v/>
      </c>
      <c r="Y76" s="19">
        <f>'재무상태표'!G6</f>
        <v/>
      </c>
      <c r="Z76" s="20">
        <f>'재무상태표'!G6</f>
        <v/>
      </c>
      <c r="AA76" s="20">
        <f>'재무상태표'!G6</f>
        <v/>
      </c>
      <c r="AB76" s="20">
        <f>'재무상태표'!G6</f>
        <v/>
      </c>
      <c r="AC76" s="20">
        <f>'재무상태표'!G6</f>
        <v/>
      </c>
    </row>
    <row r="77">
      <c r="A77" s="18" t="inlineStr">
        <is>
          <t>단기금융상품</t>
        </is>
      </c>
      <c r="B77" s="10" t="n"/>
      <c r="C77" s="19" t="n"/>
      <c r="D77" s="20" t="n"/>
      <c r="E77" s="20" t="n"/>
      <c r="F77" s="20" t="n"/>
      <c r="G77" s="20" t="n"/>
      <c r="H77" s="20" t="n"/>
      <c r="I77" s="20" t="n"/>
      <c r="J77" s="20" t="n"/>
      <c r="K77" s="20" t="n"/>
      <c r="L77" s="20" t="n"/>
      <c r="M77" s="20" t="n"/>
      <c r="N77" s="20" t="n"/>
      <c r="O77" s="19" t="n"/>
      <c r="P77" s="20" t="n"/>
      <c r="Q77" s="20" t="n"/>
      <c r="R77" s="20" t="n"/>
      <c r="S77" s="20" t="n"/>
      <c r="T77" s="20" t="n"/>
      <c r="U77" s="20" t="n"/>
      <c r="V77" s="20" t="n"/>
      <c r="W77" s="20" t="n"/>
      <c r="X77" s="20">
        <f>'재무상태표'!G7</f>
        <v/>
      </c>
      <c r="Y77" s="19">
        <f>'재무상태표'!G7</f>
        <v/>
      </c>
      <c r="Z77" s="20">
        <f>'재무상태표'!G7</f>
        <v/>
      </c>
      <c r="AA77" s="20">
        <f>'재무상태표'!G7</f>
        <v/>
      </c>
      <c r="AB77" s="20">
        <f>'재무상태표'!G7</f>
        <v/>
      </c>
      <c r="AC77" s="20">
        <f>'재무상태표'!G7</f>
        <v/>
      </c>
    </row>
    <row r="78">
      <c r="A78" s="18" t="inlineStr">
        <is>
          <t>투자부동산</t>
        </is>
      </c>
      <c r="B78" s="10" t="n"/>
      <c r="C78" s="19" t="n"/>
      <c r="D78" s="20" t="n"/>
      <c r="E78" s="20" t="n"/>
      <c r="F78" s="20" t="n"/>
      <c r="G78" s="20" t="n"/>
      <c r="H78" s="20" t="n"/>
      <c r="I78" s="20" t="n"/>
      <c r="J78" s="20" t="n"/>
      <c r="K78" s="20" t="n"/>
      <c r="L78" s="20" t="n"/>
      <c r="M78" s="20" t="n"/>
      <c r="N78" s="20" t="n"/>
      <c r="O78" s="19" t="n"/>
      <c r="P78" s="20" t="n"/>
      <c r="Q78" s="20" t="n"/>
      <c r="R78" s="20" t="n"/>
      <c r="S78" s="20" t="n"/>
      <c r="T78" s="20" t="n"/>
      <c r="U78" s="20" t="n"/>
      <c r="V78" s="20" t="n"/>
      <c r="W78" s="20" t="n"/>
      <c r="X78" s="20">
        <f>'재무상태표'!G14</f>
        <v/>
      </c>
      <c r="Y78" s="19">
        <f>'재무상태표'!G14</f>
        <v/>
      </c>
      <c r="Z78" s="20">
        <f>'재무상태표'!G14</f>
        <v/>
      </c>
      <c r="AA78" s="20">
        <f>'재무상태표'!G14</f>
        <v/>
      </c>
      <c r="AB78" s="20">
        <f>'재무상태표'!G14</f>
        <v/>
      </c>
      <c r="AC78" s="20">
        <f>'재무상태표'!G14</f>
        <v/>
      </c>
    </row>
    <row r="79">
      <c r="A79" s="18" t="inlineStr">
        <is>
          <t>지배자본</t>
        </is>
      </c>
      <c r="B79" s="10" t="n"/>
      <c r="C79" s="19" t="n"/>
      <c r="D79" s="20" t="n"/>
      <c r="E79" s="20" t="n"/>
      <c r="F79" s="20" t="n"/>
      <c r="G79" s="20" t="n"/>
      <c r="H79" s="20" t="n"/>
      <c r="I79" s="20" t="n"/>
      <c r="J79" s="20" t="n"/>
      <c r="K79" s="20" t="n"/>
      <c r="L79" s="20" t="n"/>
      <c r="M79" s="20" t="n"/>
      <c r="N79" s="20" t="n"/>
      <c r="O79" s="19" t="n"/>
      <c r="P79" s="20" t="n"/>
      <c r="Q79" s="20" t="n"/>
      <c r="R79" s="20" t="n"/>
      <c r="S79" s="20" t="n"/>
      <c r="T79" s="20" t="n"/>
      <c r="U79" s="20" t="n"/>
      <c r="V79" s="20" t="n"/>
      <c r="W79" s="20" t="n"/>
      <c r="X79" s="20">
        <f>'재무상태표'!G31</f>
        <v/>
      </c>
      <c r="Y79" s="19">
        <f>'재무상태표'!G31</f>
        <v/>
      </c>
      <c r="Z79" s="20">
        <f>'재무상태표'!G31</f>
        <v/>
      </c>
      <c r="AA79" s="20">
        <f>'재무상태표'!G31</f>
        <v/>
      </c>
      <c r="AB79" s="20">
        <f>'재무상태표'!G31</f>
        <v/>
      </c>
      <c r="AC79" s="20">
        <f>'재무상태표'!G31</f>
        <v/>
      </c>
    </row>
    <row r="80">
      <c r="A80" s="18" t="inlineStr">
        <is>
          <t>부채</t>
        </is>
      </c>
      <c r="B80" s="10" t="n"/>
      <c r="C80" s="19" t="n"/>
      <c r="D80" s="20" t="n"/>
      <c r="E80" s="20" t="n"/>
      <c r="F80" s="20" t="n"/>
      <c r="G80" s="20" t="n"/>
      <c r="H80" s="20" t="n"/>
      <c r="I80" s="20" t="n"/>
      <c r="J80" s="20" t="n"/>
      <c r="K80" s="20" t="n"/>
      <c r="L80" s="20" t="n"/>
      <c r="M80" s="20" t="n"/>
      <c r="N80" s="20" t="n"/>
      <c r="O80" s="19" t="n"/>
      <c r="P80" s="20" t="n"/>
      <c r="Q80" s="20" t="n"/>
      <c r="R80" s="20" t="n"/>
      <c r="S80" s="20" t="n"/>
      <c r="T80" s="20" t="n"/>
      <c r="U80" s="20" t="n"/>
      <c r="V80" s="20" t="n"/>
      <c r="W80" s="20" t="n"/>
      <c r="X80" s="20">
        <f>'재무상태표'!G27</f>
        <v/>
      </c>
      <c r="Y80" s="19">
        <f>'재무상태표'!G27</f>
        <v/>
      </c>
      <c r="Z80" s="20">
        <f>'재무상태표'!G27</f>
        <v/>
      </c>
      <c r="AA80" s="20">
        <f>'재무상태표'!G27</f>
        <v/>
      </c>
      <c r="AB80" s="20">
        <f>'재무상태표'!G27</f>
        <v/>
      </c>
      <c r="AC80" s="20">
        <f>'재무상태표'!G27</f>
        <v/>
      </c>
    </row>
    <row r="81">
      <c r="A81" s="13" t="inlineStr">
        <is>
          <t>부채비율</t>
        </is>
      </c>
      <c r="B81" s="10" t="n"/>
      <c r="C81" s="14" t="n"/>
      <c r="D81" s="15" t="n"/>
      <c r="E81" s="15" t="n"/>
      <c r="F81" s="15" t="n"/>
      <c r="G81" s="15" t="n"/>
      <c r="H81" s="15" t="n"/>
      <c r="I81" s="15" t="n"/>
      <c r="J81" s="15" t="n"/>
      <c r="K81" s="15" t="n"/>
      <c r="L81" s="15" t="n"/>
      <c r="M81" s="15" t="n"/>
      <c r="N81" s="15" t="n"/>
      <c r="O81" s="14" t="n"/>
      <c r="P81" s="15" t="n"/>
      <c r="Q81" s="15" t="n"/>
      <c r="R81" s="15" t="n"/>
      <c r="S81" s="15" t="n"/>
      <c r="T81" s="15" t="n"/>
      <c r="U81" s="15" t="n"/>
      <c r="V81" s="15" t="n"/>
      <c r="W81" s="15" t="n"/>
      <c r="X81" s="15">
        <f>IF(OR(X80="",X79=""),"",IFERROR(X80/X79,""))</f>
        <v/>
      </c>
      <c r="Y81" s="14">
        <f>IF(OR(Y80="",Y79=""),"",IFERROR(Y80/Y79,""))</f>
        <v/>
      </c>
      <c r="Z81" s="15">
        <f>IF(OR(Z80="",Z79=""),"",IFERROR(Z80/Z79,""))</f>
        <v/>
      </c>
      <c r="AA81" s="15">
        <f>IF(OR(AA80="",AA79=""),"",IFERROR(AA80/AA79,""))</f>
        <v/>
      </c>
      <c r="AB81" s="15">
        <f>IF(OR(AB80="",AB79=""),"",IFERROR(AB80/AB79,""))</f>
        <v/>
      </c>
      <c r="AC81" s="15">
        <f>IF(OR(AC80="",AC79=""),"",IFERROR(AC80/AC79,""))</f>
        <v/>
      </c>
    </row>
    <row r="82">
      <c r="A82" s="9" t="inlineStr">
        <is>
          <t>자산가치</t>
        </is>
      </c>
      <c r="B82" s="10" t="inlineStr">
        <is>
          <t>현금+단기금융+투자부동산</t>
        </is>
      </c>
      <c r="C82" s="11" t="n"/>
      <c r="D82" s="12" t="n"/>
      <c r="E82" s="12" t="n"/>
      <c r="F82" s="12" t="n"/>
      <c r="G82" s="12" t="n"/>
      <c r="H82" s="12" t="n"/>
      <c r="I82" s="12" t="n"/>
      <c r="J82" s="12" t="n"/>
      <c r="K82" s="12" t="n"/>
      <c r="L82" s="12" t="n"/>
      <c r="M82" s="12" t="n"/>
      <c r="N82" s="12" t="n"/>
      <c r="O82" s="11" t="n"/>
      <c r="P82" s="12" t="n"/>
      <c r="Q82" s="12" t="n"/>
      <c r="R82" s="12" t="n"/>
      <c r="S82" s="12" t="n"/>
      <c r="T82" s="12" t="n"/>
      <c r="U82" s="12" t="n"/>
      <c r="V82" s="12" t="n"/>
      <c r="W82" s="12" t="n"/>
      <c r="X82" s="12">
        <f>SUM(X76,X77,X78)</f>
        <v/>
      </c>
      <c r="Y82" s="11">
        <f>SUM(Y76,Y77,Y78)</f>
        <v/>
      </c>
      <c r="Z82" s="12">
        <f>SUM(Z76,Z77,Z78)</f>
        <v/>
      </c>
      <c r="AA82" s="12">
        <f>SUM(AA76,AA77,AA78)</f>
        <v/>
      </c>
      <c r="AB82" s="12">
        <f>SUM(AB76,AB77,AB78)</f>
        <v/>
      </c>
      <c r="AC82" s="12">
        <f>SUM(AC76,AC77,AC78)</f>
        <v/>
      </c>
    </row>
    <row r="83">
      <c r="A83" s="16" t="inlineStr">
        <is>
          <t>기업가치 산출</t>
        </is>
      </c>
      <c r="B83" s="16" t="n"/>
      <c r="C83" s="17" t="n"/>
      <c r="D83" s="16" t="n"/>
      <c r="E83" s="16" t="n"/>
      <c r="F83" s="16" t="n"/>
      <c r="G83" s="16" t="n"/>
      <c r="H83" s="16" t="n"/>
      <c r="I83" s="16" t="n"/>
      <c r="J83" s="16" t="n"/>
      <c r="K83" s="16" t="n"/>
      <c r="L83" s="16" t="n"/>
      <c r="M83" s="16" t="n"/>
      <c r="N83" s="16" t="n"/>
      <c r="O83" s="17" t="n"/>
      <c r="P83" s="16" t="n"/>
      <c r="Q83" s="16" t="n"/>
      <c r="R83" s="16" t="n"/>
      <c r="S83" s="16" t="n"/>
      <c r="T83" s="16" t="n"/>
      <c r="U83" s="16" t="n"/>
      <c r="V83" s="16" t="n"/>
      <c r="W83" s="16" t="n"/>
      <c r="X83" s="16" t="n"/>
      <c r="Y83" s="17" t="n"/>
      <c r="Z83" s="16" t="n"/>
      <c r="AA83" s="16" t="n"/>
      <c r="AB83" s="16" t="n"/>
      <c r="AC83" s="16" t="n"/>
    </row>
    <row r="84">
      <c r="A84" s="18" t="inlineStr">
        <is>
          <t>목표 시가총액 (P/E)</t>
        </is>
      </c>
      <c r="B84" s="10" t="inlineStr">
        <is>
          <t>지배순이익 × Target P/E</t>
        </is>
      </c>
      <c r="C84" s="19" t="n"/>
      <c r="D84" s="20" t="n"/>
      <c r="E84" s="20" t="n"/>
      <c r="F84" s="20" t="n"/>
      <c r="G84" s="20" t="n"/>
      <c r="H84" s="20" t="n"/>
      <c r="I84" s="20" t="n"/>
      <c r="J84" s="20" t="n"/>
      <c r="K84" s="20" t="n"/>
      <c r="L84" s="20" t="n"/>
      <c r="M84" s="20" t="n"/>
      <c r="N84" s="20" t="n"/>
      <c r="O84" s="19" t="n"/>
      <c r="P84" s="20" t="n"/>
      <c r="Q84" s="20" t="n"/>
      <c r="R84" s="20" t="n"/>
      <c r="S84" s="20" t="n"/>
      <c r="T84" s="20" t="n"/>
      <c r="U84" s="20" t="n"/>
      <c r="V84" s="20" t="n"/>
      <c r="W84" s="20" t="n"/>
      <c r="X84" s="20" t="n"/>
      <c r="Y84" s="19">
        <f>IF(OR(Y62="",Y71=""),"",IFERROR(Y62*Y71,""))</f>
        <v/>
      </c>
      <c r="Z84" s="20">
        <f>IF(OR(Z62="",Z71=""),"",IFERROR(Z62*Z71,""))</f>
        <v/>
      </c>
      <c r="AA84" s="20">
        <f>IF(OR(AA62="",AA71=""),"",IFERROR(AA62*AA71,""))</f>
        <v/>
      </c>
      <c r="AB84" s="20">
        <f>IF(OR(AB62="",AB71=""),"",IFERROR(AB62*AB71,""))</f>
        <v/>
      </c>
      <c r="AC84" s="20">
        <f>IF(OR(AC62="",AC71=""),"",IFERROR(AC62*AC71,""))</f>
        <v/>
      </c>
    </row>
    <row r="85">
      <c r="A85" s="9" t="inlineStr">
        <is>
          <t>기업가치</t>
        </is>
      </c>
      <c r="B85" s="10" t="inlineStr">
        <is>
          <t>목표시총 + 자산가치</t>
        </is>
      </c>
      <c r="C85" s="11" t="n"/>
      <c r="D85" s="12" t="n"/>
      <c r="E85" s="12" t="n"/>
      <c r="F85" s="12" t="n"/>
      <c r="G85" s="12" t="n"/>
      <c r="H85" s="12" t="n"/>
      <c r="I85" s="12" t="n"/>
      <c r="J85" s="12" t="n"/>
      <c r="K85" s="12" t="n"/>
      <c r="L85" s="12" t="n"/>
      <c r="M85" s="12" t="n"/>
      <c r="N85" s="12" t="n"/>
      <c r="O85" s="11" t="n"/>
      <c r="P85" s="12" t="n"/>
      <c r="Q85" s="12" t="n"/>
      <c r="R85" s="12" t="n"/>
      <c r="S85" s="12" t="n"/>
      <c r="T85" s="12" t="n"/>
      <c r="U85" s="12" t="n"/>
      <c r="V85" s="12" t="n"/>
      <c r="W85" s="12" t="n"/>
      <c r="X85" s="12" t="n"/>
      <c r="Y85" s="11">
        <f>IF(OR(Y84=""),"",IFERROR(Y84+Y82,""))</f>
        <v/>
      </c>
      <c r="Z85" s="12">
        <f>IF(OR(Z84=""),"",IFERROR(Z84+Z82,""))</f>
        <v/>
      </c>
      <c r="AA85" s="12">
        <f>IF(OR(AA84=""),"",IFERROR(AA84+AA82,""))</f>
        <v/>
      </c>
      <c r="AB85" s="12">
        <f>IF(OR(AB84=""),"",IFERROR(AB84+AB82,""))</f>
        <v/>
      </c>
      <c r="AC85" s="12">
        <f>IF(OR(AC84=""),"",IFERROR(AC84+AC82,""))</f>
        <v/>
      </c>
    </row>
    <row r="86">
      <c r="A86" s="18" t="inlineStr">
        <is>
          <t>현재 시가총액</t>
        </is>
      </c>
      <c r="B86" s="10" t="n"/>
      <c r="C86" s="19" t="n"/>
      <c r="D86" s="20" t="n"/>
      <c r="E86" s="20" t="n"/>
      <c r="F86" s="20" t="n"/>
      <c r="G86" s="20" t="n"/>
      <c r="H86" s="20" t="n"/>
      <c r="I86" s="20" t="n"/>
      <c r="J86" s="20" t="n"/>
      <c r="K86" s="20" t="n"/>
      <c r="L86" s="20" t="n"/>
      <c r="M86" s="20" t="n"/>
      <c r="N86" s="20" t="n"/>
      <c r="O86" s="19" t="n"/>
      <c r="P86" s="20" t="n"/>
      <c r="Q86" s="20" t="n"/>
      <c r="R86" s="20" t="n"/>
      <c r="S86" s="20" t="n"/>
      <c r="T86" s="20" t="n"/>
      <c r="U86" s="20" t="n"/>
      <c r="V86" s="20" t="n"/>
      <c r="W86" s="20" t="n"/>
      <c r="X86" s="20" t="n"/>
      <c r="Y86" s="19">
        <f>$B$67</f>
        <v/>
      </c>
      <c r="Z86" s="20">
        <f>$B$67</f>
        <v/>
      </c>
      <c r="AA86" s="20">
        <f>$B$67</f>
        <v/>
      </c>
      <c r="AB86" s="20">
        <f>$B$67</f>
        <v/>
      </c>
      <c r="AC86" s="20">
        <f>$B$67</f>
        <v/>
      </c>
    </row>
    <row r="87">
      <c r="A87" s="18" t="inlineStr">
        <is>
          <t>상승여력</t>
        </is>
      </c>
      <c r="B87" s="10" t="n"/>
      <c r="C87" s="35" t="n"/>
      <c r="D87" s="36" t="n"/>
      <c r="E87" s="36" t="n"/>
      <c r="F87" s="36" t="n"/>
      <c r="G87" s="36" t="n"/>
      <c r="H87" s="36" t="n"/>
      <c r="I87" s="36" t="n"/>
      <c r="J87" s="36" t="n"/>
      <c r="K87" s="36" t="n"/>
      <c r="L87" s="36" t="n"/>
      <c r="M87" s="36" t="n"/>
      <c r="N87" s="36" t="n"/>
      <c r="O87" s="35" t="n"/>
      <c r="P87" s="36" t="n"/>
      <c r="Q87" s="36" t="n"/>
      <c r="R87" s="36" t="n"/>
      <c r="S87" s="36" t="n"/>
      <c r="T87" s="36" t="n"/>
      <c r="U87" s="36" t="n"/>
      <c r="V87" s="36" t="n"/>
      <c r="W87" s="36" t="n"/>
      <c r="X87" s="36" t="n"/>
      <c r="Y87" s="37">
        <f>IF(OR(Y85="",Y86=""),"",IFERROR(Y85/Y86-1,""))</f>
        <v/>
      </c>
      <c r="Z87" s="38">
        <f>IF(OR(Z85="",Z86=""),"",IFERROR(Z85/Z86-1,""))</f>
        <v/>
      </c>
      <c r="AA87" s="38">
        <f>IF(OR(AA85="",AA86=""),"",IFERROR(AA85/AA86-1,""))</f>
        <v/>
      </c>
      <c r="AB87" s="38">
        <f>IF(OR(AB85="",AB86=""),"",IFERROR(AB85/AB86-1,""))</f>
        <v/>
      </c>
      <c r="AC87" s="38">
        <f>IF(OR(AC85="",AC86=""),"",IFERROR(AC85/AC86-1,""))</f>
        <v/>
      </c>
    </row>
    <row r="88">
      <c r="C88" s="39" t="n"/>
      <c r="O88" s="39" t="n"/>
      <c r="Y88" s="39" t="n"/>
    </row>
    <row r="89">
      <c r="A89" s="40" t="inlineStr">
        <is>
          <t>출처</t>
        </is>
      </c>
      <c r="C89" s="39" t="n"/>
      <c r="O89" s="39" t="n"/>
      <c r="Y89" s="39" t="n"/>
    </row>
    <row r="90">
      <c r="A90" s="41" t="inlineStr">
        <is>
          <t>결산단신 XBRL(TDnet·JPX 보관소) — 쓴 문서는 '출처' 시트</t>
        </is>
      </c>
      <c r="C90" s="39" t="n"/>
      <c r="O90" s="39" t="n"/>
      <c r="Y90" s="39" t="n"/>
    </row>
    <row r="91">
      <c r="A91" s="41" t="inlineStr">
        <is>
          <t>분기 = 누계에서 앞 분기를 뺀 3개월 값</t>
        </is>
      </c>
      <c r="C91" s="39" t="n"/>
      <c r="O91" s="39" t="n"/>
      <c r="Y91" s="39" t="n"/>
    </row>
    <row r="92">
      <c r="A92" s="41" t="inlineStr">
        <is>
          <t>주가: 야후 파이낸스 일봉</t>
        </is>
      </c>
      <c r="C92" s="39" t="n"/>
      <c r="O92" s="39" t="n"/>
      <c r="Y92" s="39" t="n"/>
    </row>
    <row r="94">
      <c r="A94" s="16" t="inlineStr">
        <is>
          <t>손익계산서 · 전 항목</t>
        </is>
      </c>
      <c r="B94" s="42" t="inlineStr">
        <is>
          <t>분기 = 3개월 단독</t>
        </is>
      </c>
      <c r="C94" s="16" t="n"/>
      <c r="D94" s="16" t="n"/>
      <c r="E94" s="16" t="n"/>
      <c r="F94" s="16" t="n"/>
      <c r="G94" s="16" t="n"/>
      <c r="H94" s="16" t="n"/>
      <c r="I94" s="16" t="n"/>
      <c r="J94" s="16" t="n"/>
      <c r="K94" s="16" t="n"/>
      <c r="L94" s="16" t="n"/>
      <c r="M94" s="16" t="n"/>
      <c r="N94" s="16" t="n"/>
      <c r="O94" s="16" t="n"/>
      <c r="P94" s="16" t="n"/>
      <c r="Q94" s="16" t="n"/>
      <c r="R94" s="16" t="n"/>
      <c r="S94" s="16" t="n"/>
      <c r="T94" s="16" t="n"/>
      <c r="U94" s="16" t="n"/>
      <c r="V94" s="16" t="n"/>
      <c r="W94" s="16" t="n"/>
      <c r="X94" s="16" t="n"/>
      <c r="Y94" s="16" t="n"/>
      <c r="Z94" s="16" t="n"/>
      <c r="AA94" s="16" t="n"/>
      <c r="AB94" s="16" t="n"/>
      <c r="AC94" s="16" t="n"/>
    </row>
    <row r="95">
      <c r="A95" s="5" t="inlineStr">
        <is>
          <t>항목</t>
        </is>
      </c>
      <c r="B95" s="5" t="inlineStr">
        <is>
          <t>참고</t>
        </is>
      </c>
      <c r="C95" s="5" t="inlineStr">
        <is>
          <t>2024.2Q</t>
        </is>
      </c>
      <c r="D95" s="5" t="inlineStr">
        <is>
          <t>2024.3Q</t>
        </is>
      </c>
      <c r="E95" s="5" t="inlineStr">
        <is>
          <t>2024.4Q</t>
        </is>
      </c>
      <c r="F95" s="5" t="inlineStr">
        <is>
          <t>2025.1Q</t>
        </is>
      </c>
      <c r="G95" s="5" t="inlineStr">
        <is>
          <t>2025.2Q</t>
        </is>
      </c>
      <c r="H95" s="5" t="inlineStr">
        <is>
          <t>2025.3Q</t>
        </is>
      </c>
      <c r="I95" s="5" t="inlineStr">
        <is>
          <t>2025.4Q</t>
        </is>
      </c>
      <c r="J95" s="5" t="inlineStr">
        <is>
          <t>2026.1Q</t>
        </is>
      </c>
      <c r="K95" s="5" t="inlineStr">
        <is>
          <t>2026.2Q</t>
        </is>
      </c>
      <c r="L95" s="5" t="inlineStr">
        <is>
          <t>2026.3Q</t>
        </is>
      </c>
      <c r="M95" s="5" t="inlineStr">
        <is>
          <t>2026.4Q</t>
        </is>
      </c>
      <c r="N95" s="5" t="inlineStr">
        <is>
          <t>2027.1Q</t>
        </is>
      </c>
      <c r="O95" s="5" t="inlineStr">
        <is>
          <t>2017</t>
        </is>
      </c>
      <c r="P95" s="5" t="inlineStr">
        <is>
          <t>2018</t>
        </is>
      </c>
      <c r="Q95" s="5" t="inlineStr">
        <is>
          <t>2019</t>
        </is>
      </c>
      <c r="R95" s="5" t="inlineStr">
        <is>
          <t>2020</t>
        </is>
      </c>
      <c r="S95" s="5" t="inlineStr">
        <is>
          <t>2021</t>
        </is>
      </c>
      <c r="T95" s="5" t="inlineStr">
        <is>
          <t>2022</t>
        </is>
      </c>
      <c r="U95" s="5" t="inlineStr">
        <is>
          <t>2023</t>
        </is>
      </c>
      <c r="V95" s="5" t="inlineStr">
        <is>
          <t>2024</t>
        </is>
      </c>
      <c r="W95" s="5" t="inlineStr">
        <is>
          <t>2025</t>
        </is>
      </c>
      <c r="X95" s="5" t="inlineStr">
        <is>
          <t>2026</t>
        </is>
      </c>
      <c r="Y95" s="5" t="inlineStr">
        <is>
          <t>2027(MW)</t>
        </is>
      </c>
      <c r="Z95" s="5" t="inlineStr">
        <is>
          <t>2028(MW)</t>
        </is>
      </c>
      <c r="AA95" s="5" t="inlineStr">
        <is>
          <t>2029(MW)</t>
        </is>
      </c>
      <c r="AB95" s="5" t="inlineStr">
        <is>
          <t>2030(MW)</t>
        </is>
      </c>
      <c r="AC95" s="5" t="inlineStr">
        <is>
          <t>2031(MW)</t>
        </is>
      </c>
    </row>
    <row r="96">
      <c r="A96" s="9" t="inlineStr">
        <is>
          <t>매출액</t>
        </is>
      </c>
      <c r="C96" s="12" t="n">
        <v>33395</v>
      </c>
      <c r="D96" s="12" t="n">
        <v>31684</v>
      </c>
      <c r="E96" s="12" t="n">
        <v>31835</v>
      </c>
      <c r="F96" s="12" t="n">
        <v>31385</v>
      </c>
      <c r="G96" s="12" t="n">
        <v>31737</v>
      </c>
      <c r="H96" s="12" t="n">
        <v>32465</v>
      </c>
      <c r="I96" s="12" t="n">
        <v>34219</v>
      </c>
      <c r="J96" s="12" t="n">
        <v>30270</v>
      </c>
      <c r="K96" s="12" t="n">
        <v>34389</v>
      </c>
      <c r="L96" s="12" t="n">
        <v>31640</v>
      </c>
      <c r="M96" s="12" t="n">
        <v>33130</v>
      </c>
      <c r="N96" s="12" t="n">
        <v>37665</v>
      </c>
      <c r="T96" s="12" t="n">
        <v>33662</v>
      </c>
      <c r="U96" s="12" t="n">
        <v>33541</v>
      </c>
      <c r="V96" s="12" t="n">
        <v>31835</v>
      </c>
      <c r="W96" s="12" t="n">
        <v>34219</v>
      </c>
      <c r="X96" s="12" t="n">
        <v>33130</v>
      </c>
    </row>
    <row r="97">
      <c r="A97" s="18" t="inlineStr">
        <is>
          <t>매출원가</t>
        </is>
      </c>
      <c r="C97" s="20" t="n">
        <v>25719</v>
      </c>
      <c r="D97" s="20" t="n">
        <v>23857</v>
      </c>
      <c r="E97" s="20" t="n">
        <v>24074</v>
      </c>
      <c r="F97" s="20" t="n">
        <v>23328</v>
      </c>
      <c r="G97" s="20" t="n">
        <v>23699</v>
      </c>
      <c r="H97" s="20" t="n">
        <v>24290</v>
      </c>
      <c r="I97" s="20" t="n">
        <v>25322</v>
      </c>
      <c r="J97" s="20" t="n">
        <v>22555</v>
      </c>
      <c r="K97" s="20" t="n">
        <v>25203</v>
      </c>
      <c r="L97" s="20" t="n">
        <v>23485</v>
      </c>
      <c r="M97" s="20" t="n">
        <v>26358</v>
      </c>
      <c r="N97" s="20" t="n">
        <v>28276</v>
      </c>
      <c r="T97" s="20" t="n">
        <v>26361</v>
      </c>
      <c r="U97" s="20" t="n">
        <v>26156</v>
      </c>
      <c r="V97" s="20" t="n">
        <v>24074</v>
      </c>
      <c r="W97" s="20" t="n">
        <v>25322</v>
      </c>
      <c r="X97" s="20" t="n">
        <v>26358</v>
      </c>
    </row>
    <row r="98">
      <c r="A98" s="9" t="inlineStr">
        <is>
          <t>매출총이익</t>
        </is>
      </c>
      <c r="C98" s="12" t="n">
        <v>7676</v>
      </c>
      <c r="D98" s="12" t="n">
        <v>7827</v>
      </c>
      <c r="E98" s="12" t="n">
        <v>7761</v>
      </c>
      <c r="F98" s="12" t="n">
        <v>8057</v>
      </c>
      <c r="G98" s="12" t="n">
        <v>8038</v>
      </c>
      <c r="H98" s="12" t="n">
        <v>8175</v>
      </c>
      <c r="I98" s="12" t="n">
        <v>8897</v>
      </c>
      <c r="J98" s="12" t="n">
        <v>7715</v>
      </c>
      <c r="K98" s="12" t="n">
        <v>9186</v>
      </c>
      <c r="L98" s="12" t="n">
        <v>8155</v>
      </c>
      <c r="M98" s="12" t="n">
        <v>6772</v>
      </c>
      <c r="N98" s="12" t="n">
        <v>9389</v>
      </c>
      <c r="T98" s="12" t="n">
        <v>7301</v>
      </c>
      <c r="U98" s="12" t="n">
        <v>7385</v>
      </c>
      <c r="V98" s="12" t="n">
        <v>7761</v>
      </c>
      <c r="W98" s="12" t="n">
        <v>8897</v>
      </c>
      <c r="X98" s="12" t="n">
        <v>6772</v>
      </c>
    </row>
    <row r="99">
      <c r="A99" s="18" t="inlineStr">
        <is>
          <t>판매비와 관리비</t>
        </is>
      </c>
      <c r="C99" s="20" t="n">
        <v>5134</v>
      </c>
      <c r="D99" s="20" t="n">
        <v>5922</v>
      </c>
      <c r="E99" s="20" t="n">
        <v>6149</v>
      </c>
      <c r="F99" s="20" t="n">
        <v>5721</v>
      </c>
      <c r="G99" s="20" t="n">
        <v>6197</v>
      </c>
      <c r="H99" s="20" t="n">
        <v>5774</v>
      </c>
      <c r="I99" s="20" t="n">
        <v>6157</v>
      </c>
      <c r="J99" s="20" t="n">
        <v>5731</v>
      </c>
      <c r="K99" s="20" t="n">
        <v>6115</v>
      </c>
      <c r="L99" s="20" t="n">
        <v>6032</v>
      </c>
      <c r="M99" s="20" t="n">
        <v>6059</v>
      </c>
      <c r="N99" s="20" t="n">
        <v>6517</v>
      </c>
      <c r="T99" s="20" t="n">
        <v>6540</v>
      </c>
      <c r="U99" s="20" t="n">
        <v>6311</v>
      </c>
      <c r="V99" s="20" t="n">
        <v>6149</v>
      </c>
      <c r="W99" s="20" t="n">
        <v>6157</v>
      </c>
      <c r="X99" s="20" t="n">
        <v>6059</v>
      </c>
    </row>
    <row r="100">
      <c r="A100" s="9" t="inlineStr">
        <is>
          <t>영업이익</t>
        </is>
      </c>
      <c r="C100" s="12" t="n">
        <v>2542</v>
      </c>
      <c r="D100" s="12" t="n">
        <v>1905</v>
      </c>
      <c r="E100" s="12" t="n">
        <v>1612</v>
      </c>
      <c r="F100" s="12" t="n">
        <v>2336</v>
      </c>
      <c r="G100" s="12" t="n">
        <v>1841</v>
      </c>
      <c r="H100" s="12" t="n">
        <v>2401</v>
      </c>
      <c r="I100" s="12" t="n">
        <v>2740</v>
      </c>
      <c r="J100" s="12" t="n">
        <v>1984</v>
      </c>
      <c r="K100" s="12" t="n">
        <v>3071</v>
      </c>
      <c r="L100" s="12" t="n">
        <v>2123</v>
      </c>
      <c r="M100" s="12" t="n">
        <v>713</v>
      </c>
      <c r="N100" s="12" t="n">
        <v>2872</v>
      </c>
      <c r="T100" s="12" t="n">
        <v>761</v>
      </c>
      <c r="U100" s="12" t="n">
        <v>1074</v>
      </c>
      <c r="V100" s="12" t="n">
        <v>1612</v>
      </c>
      <c r="W100" s="12" t="n">
        <v>2740</v>
      </c>
      <c r="X100" s="12" t="n">
        <v>713</v>
      </c>
    </row>
    <row r="101">
      <c r="A101" s="18" t="inlineStr">
        <is>
          <t>이자수익</t>
        </is>
      </c>
      <c r="C101" s="20" t="n">
        <v>109</v>
      </c>
      <c r="D101" s="20" t="n">
        <v>139</v>
      </c>
      <c r="E101" s="20" t="n">
        <v>174</v>
      </c>
      <c r="F101" s="20" t="n">
        <v>169</v>
      </c>
      <c r="G101" s="20" t="n">
        <v>152</v>
      </c>
      <c r="H101" s="20" t="n">
        <v>106</v>
      </c>
      <c r="I101" s="20" t="n">
        <v>123</v>
      </c>
      <c r="J101" s="20" t="n">
        <v>75</v>
      </c>
      <c r="K101" s="20" t="n">
        <v>67</v>
      </c>
      <c r="L101" s="20" t="n">
        <v>68</v>
      </c>
      <c r="M101" s="20" t="n">
        <v>58</v>
      </c>
      <c r="N101" s="20" t="n">
        <v>59</v>
      </c>
      <c r="T101" s="20" t="n">
        <v>85</v>
      </c>
      <c r="U101" s="20" t="n">
        <v>73</v>
      </c>
      <c r="V101" s="20" t="n">
        <v>174</v>
      </c>
      <c r="W101" s="20" t="n">
        <v>123</v>
      </c>
      <c r="X101" s="20" t="n">
        <v>58</v>
      </c>
    </row>
    <row r="102">
      <c r="A102" s="18" t="inlineStr">
        <is>
          <t>배당금수익</t>
        </is>
      </c>
      <c r="C102" s="20" t="n">
        <v>39</v>
      </c>
      <c r="D102" s="20" t="n">
        <v>63</v>
      </c>
      <c r="E102" s="20" t="n">
        <v>3</v>
      </c>
      <c r="F102" s="20" t="n">
        <v>79</v>
      </c>
      <c r="G102" s="20" t="n">
        <v>38</v>
      </c>
      <c r="H102" s="20" t="n">
        <v>99</v>
      </c>
      <c r="I102" s="20" t="n">
        <v>3</v>
      </c>
      <c r="J102" s="20" t="n">
        <v>139</v>
      </c>
      <c r="K102" s="20" t="n">
        <v>0</v>
      </c>
      <c r="L102" s="20" t="n">
        <v>102</v>
      </c>
      <c r="M102" s="20" t="n">
        <v>0</v>
      </c>
      <c r="N102" s="20" t="n">
        <v>155</v>
      </c>
      <c r="T102" s="20" t="n">
        <v>3</v>
      </c>
      <c r="U102" s="20" t="n">
        <v>3</v>
      </c>
      <c r="V102" s="20" t="n">
        <v>3</v>
      </c>
      <c r="W102" s="20" t="n">
        <v>3</v>
      </c>
      <c r="X102" s="20" t="n">
        <v>0</v>
      </c>
    </row>
    <row r="103">
      <c r="A103" s="18" t="inlineStr">
        <is>
          <t>지분법이익</t>
        </is>
      </c>
      <c r="D103" s="20" t="n">
        <v>0</v>
      </c>
      <c r="E103" s="20" t="n">
        <v>0</v>
      </c>
      <c r="F103" s="20" t="n">
        <v>0</v>
      </c>
      <c r="G103" s="20" t="n">
        <v>3</v>
      </c>
      <c r="H103" s="20" t="n">
        <v>46</v>
      </c>
      <c r="I103" s="20" t="n">
        <v>29</v>
      </c>
      <c r="J103" s="20" t="n">
        <v>58</v>
      </c>
      <c r="K103" s="20" t="n">
        <v>50</v>
      </c>
      <c r="L103" s="20" t="n">
        <v>98</v>
      </c>
      <c r="M103" s="20" t="n">
        <v>192</v>
      </c>
      <c r="N103" s="20" t="n">
        <v>102</v>
      </c>
      <c r="T103" s="20" t="n">
        <v>26</v>
      </c>
      <c r="U103" s="20" t="n">
        <v>0</v>
      </c>
      <c r="V103" s="20" t="n">
        <v>0</v>
      </c>
      <c r="W103" s="20" t="n">
        <v>29</v>
      </c>
      <c r="X103" s="20" t="n">
        <v>192</v>
      </c>
    </row>
    <row r="104">
      <c r="A104" s="18" t="inlineStr">
        <is>
          <t>외환차익</t>
        </is>
      </c>
      <c r="C104" s="20" t="n">
        <v>185</v>
      </c>
      <c r="D104" s="20" t="n">
        <v>-480</v>
      </c>
      <c r="E104" s="20" t="n">
        <v>376</v>
      </c>
      <c r="F104" s="20" t="n">
        <v>455</v>
      </c>
      <c r="G104" s="20" t="n">
        <v>-455</v>
      </c>
      <c r="H104" s="20" t="n">
        <v>0</v>
      </c>
      <c r="I104" s="20" t="n">
        <v>0</v>
      </c>
      <c r="J104" s="20" t="n">
        <v>0</v>
      </c>
      <c r="M104" s="20" t="n">
        <v>51</v>
      </c>
      <c r="N104" s="20" t="n">
        <v>62</v>
      </c>
      <c r="T104" s="20" t="n">
        <v>157</v>
      </c>
      <c r="U104" s="20" t="n">
        <v>-111</v>
      </c>
      <c r="V104" s="20" t="n">
        <v>376</v>
      </c>
      <c r="W104" s="20" t="n">
        <v>0</v>
      </c>
      <c r="X104" s="20" t="n">
        <v>51</v>
      </c>
    </row>
    <row r="105">
      <c r="A105" s="18" t="inlineStr">
        <is>
          <t>기타</t>
        </is>
      </c>
      <c r="C105" s="20" t="n">
        <v>186</v>
      </c>
      <c r="D105" s="20" t="n">
        <v>98</v>
      </c>
      <c r="E105" s="20" t="n">
        <v>61</v>
      </c>
      <c r="F105" s="20" t="n">
        <v>72</v>
      </c>
      <c r="G105" s="20" t="n">
        <v>56</v>
      </c>
      <c r="H105" s="20" t="n">
        <v>190</v>
      </c>
      <c r="I105" s="20" t="n">
        <v>94</v>
      </c>
      <c r="J105" s="20" t="n">
        <v>50</v>
      </c>
      <c r="K105" s="20" t="n">
        <v>61</v>
      </c>
      <c r="L105" s="20" t="n">
        <v>57</v>
      </c>
      <c r="M105" s="20" t="n">
        <v>116</v>
      </c>
      <c r="N105" s="20" t="n">
        <v>119</v>
      </c>
      <c r="T105" s="20" t="n">
        <v>-31</v>
      </c>
      <c r="U105" s="20" t="n">
        <v>92</v>
      </c>
      <c r="V105" s="20" t="n">
        <v>61</v>
      </c>
      <c r="W105" s="20" t="n">
        <v>94</v>
      </c>
      <c r="X105" s="20" t="n">
        <v>116</v>
      </c>
    </row>
    <row r="106">
      <c r="A106" s="18" t="inlineStr">
        <is>
          <t>영업외수익 합계</t>
        </is>
      </c>
      <c r="C106" s="20" t="n">
        <v>519</v>
      </c>
      <c r="D106" s="20" t="n">
        <v>-180</v>
      </c>
      <c r="E106" s="20" t="n">
        <v>614</v>
      </c>
      <c r="F106" s="20" t="n">
        <v>775</v>
      </c>
      <c r="G106" s="20" t="n">
        <v>-206</v>
      </c>
      <c r="H106" s="20" t="n">
        <v>441</v>
      </c>
      <c r="I106" s="20" t="n">
        <v>249</v>
      </c>
      <c r="J106" s="20" t="n">
        <v>322</v>
      </c>
      <c r="K106" s="20" t="n">
        <v>178</v>
      </c>
      <c r="L106" s="20" t="n">
        <v>486</v>
      </c>
      <c r="M106" s="20" t="n">
        <v>417</v>
      </c>
      <c r="N106" s="20" t="n">
        <v>497</v>
      </c>
      <c r="T106" s="20" t="n">
        <v>389</v>
      </c>
      <c r="U106" s="20" t="n">
        <v>57</v>
      </c>
      <c r="V106" s="20" t="n">
        <v>614</v>
      </c>
      <c r="W106" s="20" t="n">
        <v>249</v>
      </c>
      <c r="X106" s="20" t="n">
        <v>417</v>
      </c>
    </row>
    <row r="107">
      <c r="A107" s="18" t="inlineStr">
        <is>
          <t>이자비용</t>
        </is>
      </c>
      <c r="C107" s="20" t="n">
        <v>17</v>
      </c>
      <c r="D107" s="20" t="n">
        <v>20</v>
      </c>
      <c r="E107" s="20" t="n">
        <v>20</v>
      </c>
      <c r="F107" s="20" t="n">
        <v>26</v>
      </c>
      <c r="G107" s="20" t="n">
        <v>36</v>
      </c>
      <c r="H107" s="20" t="n">
        <v>40</v>
      </c>
      <c r="I107" s="20" t="n">
        <v>44</v>
      </c>
      <c r="J107" s="20" t="n">
        <v>43</v>
      </c>
      <c r="K107" s="20" t="n">
        <v>43</v>
      </c>
      <c r="L107" s="20" t="n">
        <v>57</v>
      </c>
      <c r="M107" s="20" t="n">
        <v>106</v>
      </c>
      <c r="N107" s="20" t="n">
        <v>142</v>
      </c>
      <c r="T107" s="20" t="n">
        <v>28</v>
      </c>
      <c r="U107" s="20" t="n">
        <v>20</v>
      </c>
      <c r="V107" s="20" t="n">
        <v>20</v>
      </c>
      <c r="W107" s="20" t="n">
        <v>44</v>
      </c>
      <c r="X107" s="20" t="n">
        <v>106</v>
      </c>
    </row>
    <row r="108">
      <c r="A108" s="18" t="inlineStr">
        <is>
          <t>지분법손실</t>
        </is>
      </c>
      <c r="C108" s="20" t="n">
        <v>58</v>
      </c>
      <c r="D108" s="20" t="n">
        <v>-2</v>
      </c>
      <c r="E108" s="20" t="n">
        <v>-53</v>
      </c>
      <c r="F108" s="20" t="n">
        <v>14</v>
      </c>
      <c r="G108" s="20" t="n">
        <v>-14</v>
      </c>
      <c r="H108" s="20" t="n">
        <v>0</v>
      </c>
      <c r="I108" s="20" t="n">
        <v>0</v>
      </c>
      <c r="J108" s="20" t="n">
        <v>0</v>
      </c>
      <c r="T108" s="20" t="n">
        <v>0</v>
      </c>
      <c r="U108" s="20" t="n">
        <v>82</v>
      </c>
      <c r="V108" s="20" t="n">
        <v>-53</v>
      </c>
      <c r="W108" s="20" t="n">
        <v>0</v>
      </c>
    </row>
    <row r="109">
      <c r="A109" s="18" t="inlineStr">
        <is>
          <t>Cost Of Lease Revenue NOE</t>
        </is>
      </c>
      <c r="E109" s="20" t="n">
        <v>28</v>
      </c>
      <c r="F109" s="20" t="n">
        <v>25</v>
      </c>
      <c r="I109" s="20" t="n">
        <v>32</v>
      </c>
      <c r="J109" s="20" t="n">
        <v>21</v>
      </c>
      <c r="M109" s="20" t="n">
        <v>44</v>
      </c>
      <c r="N109" s="20" t="n">
        <v>64</v>
      </c>
      <c r="U109" s="20" t="n">
        <v>8</v>
      </c>
      <c r="V109" s="20" t="n">
        <v>28</v>
      </c>
      <c r="W109" s="20" t="n">
        <v>32</v>
      </c>
      <c r="X109" s="20" t="n">
        <v>44</v>
      </c>
    </row>
    <row r="110">
      <c r="A110" s="18" t="inlineStr">
        <is>
          <t>고정자산 압축손실</t>
        </is>
      </c>
      <c r="T110" s="20" t="n">
        <v>0</v>
      </c>
      <c r="U110" s="20" t="n">
        <v>0</v>
      </c>
    </row>
    <row r="111">
      <c r="A111" s="18" t="inlineStr">
        <is>
          <t>외환차손</t>
        </is>
      </c>
      <c r="D111" s="20" t="n">
        <v>0</v>
      </c>
      <c r="E111" s="20" t="n">
        <v>0</v>
      </c>
      <c r="F111" s="20" t="n">
        <v>0</v>
      </c>
      <c r="G111" s="20" t="n">
        <v>631</v>
      </c>
      <c r="H111" s="20" t="n">
        <v>-479</v>
      </c>
      <c r="I111" s="20" t="n">
        <v>153</v>
      </c>
      <c r="J111" s="20" t="n">
        <v>201</v>
      </c>
      <c r="K111" s="20" t="n">
        <v>56</v>
      </c>
      <c r="L111" s="20" t="n">
        <v>-257</v>
      </c>
      <c r="M111" s="20" t="n">
        <v>0</v>
      </c>
      <c r="N111" s="20" t="n">
        <v>0</v>
      </c>
      <c r="V111" s="20" t="n">
        <v>0</v>
      </c>
      <c r="W111" s="20" t="n">
        <v>153</v>
      </c>
      <c r="X111" s="20" t="n">
        <v>0</v>
      </c>
    </row>
    <row r="112">
      <c r="A112" s="18" t="inlineStr">
        <is>
          <t>기타</t>
        </is>
      </c>
      <c r="C112" s="20" t="n">
        <v>143</v>
      </c>
      <c r="D112" s="20" t="n">
        <v>62</v>
      </c>
      <c r="E112" s="20" t="n">
        <v>0</v>
      </c>
      <c r="F112" s="20" t="n">
        <v>45</v>
      </c>
      <c r="G112" s="20" t="n">
        <v>143</v>
      </c>
      <c r="H112" s="20" t="n">
        <v>-58</v>
      </c>
      <c r="I112" s="20" t="n">
        <v>34</v>
      </c>
      <c r="J112" s="20" t="n">
        <v>25</v>
      </c>
      <c r="K112" s="20" t="n">
        <v>80</v>
      </c>
      <c r="L112" s="20" t="n">
        <v>5</v>
      </c>
      <c r="M112" s="20" t="n">
        <v>8</v>
      </c>
      <c r="N112" s="20" t="n">
        <v>36</v>
      </c>
      <c r="T112" s="20" t="n">
        <v>38</v>
      </c>
      <c r="U112" s="20" t="n">
        <v>58</v>
      </c>
      <c r="V112" s="20" t="n">
        <v>0</v>
      </c>
      <c r="W112" s="20" t="n">
        <v>34</v>
      </c>
      <c r="X112" s="20" t="n">
        <v>8</v>
      </c>
    </row>
    <row r="113">
      <c r="A113" s="18" t="inlineStr">
        <is>
          <t>영업외비용 합계</t>
        </is>
      </c>
      <c r="C113" s="20" t="n">
        <v>200</v>
      </c>
      <c r="D113" s="20" t="n">
        <v>80</v>
      </c>
      <c r="E113" s="20" t="n">
        <v>86</v>
      </c>
      <c r="F113" s="20" t="n">
        <v>85</v>
      </c>
      <c r="G113" s="20" t="n">
        <v>796</v>
      </c>
      <c r="H113" s="20" t="n">
        <v>-417</v>
      </c>
      <c r="I113" s="20" t="n">
        <v>343</v>
      </c>
      <c r="J113" s="20" t="n">
        <v>290</v>
      </c>
      <c r="K113" s="20" t="n">
        <v>158</v>
      </c>
      <c r="L113" s="20" t="n">
        <v>-108</v>
      </c>
      <c r="M113" s="20" t="n">
        <v>353</v>
      </c>
      <c r="N113" s="20" t="n">
        <v>242</v>
      </c>
      <c r="T113" s="20" t="n">
        <v>116</v>
      </c>
      <c r="U113" s="20" t="n">
        <v>168</v>
      </c>
      <c r="V113" s="20" t="n">
        <v>86</v>
      </c>
      <c r="W113" s="20" t="n">
        <v>343</v>
      </c>
      <c r="X113" s="20" t="n">
        <v>353</v>
      </c>
    </row>
    <row r="114">
      <c r="A114" s="9" t="inlineStr">
        <is>
          <t>경상이익</t>
        </is>
      </c>
      <c r="C114" s="12" t="n">
        <v>2861</v>
      </c>
      <c r="D114" s="12" t="n">
        <v>1645</v>
      </c>
      <c r="E114" s="12" t="n">
        <v>2140</v>
      </c>
      <c r="F114" s="12" t="n">
        <v>3026</v>
      </c>
      <c r="G114" s="12" t="n">
        <v>839</v>
      </c>
      <c r="H114" s="12" t="n">
        <v>3259</v>
      </c>
      <c r="I114" s="12" t="n">
        <v>2646</v>
      </c>
      <c r="J114" s="12" t="n">
        <v>2016</v>
      </c>
      <c r="K114" s="12" t="n">
        <v>3091</v>
      </c>
      <c r="L114" s="12" t="n">
        <v>2717</v>
      </c>
      <c r="M114" s="12" t="n">
        <v>777</v>
      </c>
      <c r="N114" s="12" t="n">
        <v>3127</v>
      </c>
      <c r="T114" s="12" t="n">
        <v>1034</v>
      </c>
      <c r="U114" s="12" t="n">
        <v>963</v>
      </c>
      <c r="V114" s="12" t="n">
        <v>2140</v>
      </c>
      <c r="W114" s="12" t="n">
        <v>2646</v>
      </c>
      <c r="X114" s="12" t="n">
        <v>777</v>
      </c>
    </row>
    <row r="115">
      <c r="A115" s="18" t="inlineStr">
        <is>
          <t>고정자산 매각이익</t>
        </is>
      </c>
      <c r="C115" s="20" t="n">
        <v>5</v>
      </c>
      <c r="D115" s="20" t="n">
        <v>6</v>
      </c>
      <c r="E115" s="20" t="n">
        <v>13</v>
      </c>
      <c r="F115" s="20" t="n">
        <v>11</v>
      </c>
      <c r="G115" s="20" t="n">
        <v>0</v>
      </c>
      <c r="H115" s="20" t="n">
        <v>0</v>
      </c>
      <c r="I115" s="20" t="n">
        <v>4</v>
      </c>
      <c r="J115" s="20" t="n">
        <v>7</v>
      </c>
      <c r="K115" s="20" t="n">
        <v>4</v>
      </c>
      <c r="L115" s="20" t="n">
        <v>2</v>
      </c>
      <c r="M115" s="20" t="n">
        <v>5</v>
      </c>
      <c r="N115" s="20" t="n">
        <v>0</v>
      </c>
      <c r="T115" s="20" t="n">
        <v>2</v>
      </c>
      <c r="U115" s="20" t="n">
        <v>1489</v>
      </c>
      <c r="V115" s="20" t="n">
        <v>13</v>
      </c>
      <c r="W115" s="20" t="n">
        <v>4</v>
      </c>
      <c r="X115" s="20" t="n">
        <v>5</v>
      </c>
    </row>
    <row r="116">
      <c r="A116" s="18" t="inlineStr">
        <is>
          <t>투자유가증권 매각이익</t>
        </is>
      </c>
      <c r="C116" s="20" t="n">
        <v>0</v>
      </c>
      <c r="D116" s="20" t="n">
        <v>0</v>
      </c>
      <c r="E116" s="20" t="n">
        <v>0</v>
      </c>
      <c r="F116" s="20" t="n">
        <v>5</v>
      </c>
      <c r="G116" s="20" t="n">
        <v>11</v>
      </c>
      <c r="H116" s="20" t="n">
        <v>6</v>
      </c>
      <c r="I116" s="20" t="n">
        <v>13</v>
      </c>
      <c r="J116" s="20" t="n">
        <v>0</v>
      </c>
      <c r="V116" s="20" t="n">
        <v>0</v>
      </c>
      <c r="W116" s="20" t="n">
        <v>13</v>
      </c>
    </row>
    <row r="117">
      <c r="A117" s="18" t="inlineStr">
        <is>
          <t>기타</t>
        </is>
      </c>
      <c r="D117" s="20" t="n">
        <v>0</v>
      </c>
      <c r="E117" s="20" t="n">
        <v>0</v>
      </c>
      <c r="H117" s="20" t="n">
        <v>6</v>
      </c>
      <c r="I117" s="20" t="n">
        <v>13</v>
      </c>
      <c r="L117" s="20" t="n">
        <v>0</v>
      </c>
      <c r="M117" s="20" t="n">
        <v>0</v>
      </c>
      <c r="T117" s="20" t="n">
        <v>244</v>
      </c>
      <c r="U117" s="20" t="n">
        <v>0</v>
      </c>
      <c r="V117" s="20" t="n">
        <v>0</v>
      </c>
      <c r="W117" s="20" t="n">
        <v>13</v>
      </c>
      <c r="X117" s="20" t="n">
        <v>0</v>
      </c>
    </row>
    <row r="118">
      <c r="A118" s="18" t="inlineStr">
        <is>
          <t>특별이익 합계</t>
        </is>
      </c>
      <c r="C118" s="20" t="n">
        <v>5</v>
      </c>
      <c r="D118" s="20" t="n">
        <v>6</v>
      </c>
      <c r="E118" s="20" t="n">
        <v>13</v>
      </c>
      <c r="F118" s="20" t="n">
        <v>16</v>
      </c>
      <c r="G118" s="20" t="n">
        <v>11</v>
      </c>
      <c r="H118" s="20" t="n">
        <v>6</v>
      </c>
      <c r="I118" s="20" t="n">
        <v>17</v>
      </c>
      <c r="J118" s="20" t="n">
        <v>7</v>
      </c>
      <c r="K118" s="20" t="n">
        <v>4</v>
      </c>
      <c r="L118" s="20" t="n">
        <v>2</v>
      </c>
      <c r="M118" s="20" t="n">
        <v>2862</v>
      </c>
      <c r="N118" s="20" t="n">
        <v>0</v>
      </c>
      <c r="T118" s="20" t="n">
        <v>246</v>
      </c>
      <c r="U118" s="20" t="n">
        <v>1489</v>
      </c>
      <c r="V118" s="20" t="n">
        <v>13</v>
      </c>
      <c r="W118" s="20" t="n">
        <v>17</v>
      </c>
      <c r="X118" s="20" t="n">
        <v>2862</v>
      </c>
    </row>
    <row r="119">
      <c r="A119" s="18" t="inlineStr">
        <is>
          <t>고정자산 제각·매각손실</t>
        </is>
      </c>
      <c r="C119" s="20" t="n">
        <v>125</v>
      </c>
      <c r="D119" s="20" t="n">
        <v>28</v>
      </c>
      <c r="E119" s="20" t="n">
        <v>58</v>
      </c>
      <c r="F119" s="20" t="n">
        <v>76</v>
      </c>
      <c r="G119" s="20" t="n">
        <v>106</v>
      </c>
      <c r="H119" s="20" t="n">
        <v>148</v>
      </c>
      <c r="I119" s="20" t="n">
        <v>101</v>
      </c>
      <c r="J119" s="20" t="n">
        <v>53</v>
      </c>
      <c r="K119" s="20" t="n">
        <v>83</v>
      </c>
      <c r="L119" s="20" t="n">
        <v>55</v>
      </c>
      <c r="M119" s="20" t="n">
        <v>172</v>
      </c>
      <c r="N119" s="20" t="n">
        <v>40</v>
      </c>
      <c r="T119" s="20" t="n">
        <v>317</v>
      </c>
      <c r="U119" s="20" t="n">
        <v>147</v>
      </c>
      <c r="V119" s="20" t="n">
        <v>58</v>
      </c>
      <c r="W119" s="20" t="n">
        <v>101</v>
      </c>
      <c r="X119" s="20" t="n">
        <v>172</v>
      </c>
    </row>
    <row r="120">
      <c r="A120" s="18" t="inlineStr">
        <is>
          <t>손상차손</t>
        </is>
      </c>
      <c r="E120" s="20" t="n">
        <v>0</v>
      </c>
      <c r="H120" s="20" t="n">
        <v>150</v>
      </c>
      <c r="I120" s="20" t="n">
        <v>1185</v>
      </c>
      <c r="L120" s="20" t="n">
        <v>0</v>
      </c>
      <c r="M120" s="20" t="n">
        <v>534</v>
      </c>
      <c r="T120" s="20" t="n">
        <v>0</v>
      </c>
      <c r="U120" s="20" t="n">
        <v>461</v>
      </c>
      <c r="V120" s="20" t="n">
        <v>0</v>
      </c>
      <c r="W120" s="20" t="n">
        <v>1185</v>
      </c>
      <c r="X120" s="20" t="n">
        <v>534</v>
      </c>
    </row>
    <row r="121">
      <c r="A121" s="18" t="inlineStr">
        <is>
          <t>특별퇴직금</t>
        </is>
      </c>
      <c r="E121" s="20" t="n">
        <v>0</v>
      </c>
      <c r="I121" s="20" t="n">
        <v>1886</v>
      </c>
      <c r="T121" s="20" t="n">
        <v>12</v>
      </c>
      <c r="U121" s="20" t="n">
        <v>407</v>
      </c>
      <c r="V121" s="20" t="n">
        <v>0</v>
      </c>
      <c r="W121" s="20" t="n">
        <v>1886</v>
      </c>
    </row>
    <row r="122">
      <c r="A122" s="18" t="inlineStr">
        <is>
          <t>기타</t>
        </is>
      </c>
      <c r="H122" s="20" t="n">
        <v>0</v>
      </c>
      <c r="I122" s="20" t="n">
        <v>0</v>
      </c>
      <c r="L122" s="20" t="n">
        <v>0</v>
      </c>
      <c r="M122" s="20" t="n">
        <v>0</v>
      </c>
      <c r="T122" s="20" t="n">
        <v>86</v>
      </c>
      <c r="U122" s="20" t="n">
        <v>0</v>
      </c>
      <c r="W122" s="20" t="n">
        <v>0</v>
      </c>
      <c r="X122" s="20" t="n">
        <v>0</v>
      </c>
    </row>
    <row r="123">
      <c r="A123" s="18" t="inlineStr">
        <is>
          <t>투자유가증권 매각손실</t>
        </is>
      </c>
      <c r="F123" s="20" t="n">
        <v>0</v>
      </c>
      <c r="J123" s="20" t="n">
        <v>5</v>
      </c>
      <c r="N123" s="20" t="n">
        <v>0</v>
      </c>
    </row>
    <row r="124">
      <c r="A124" s="18" t="inlineStr">
        <is>
          <t>특별손실 합계</t>
        </is>
      </c>
      <c r="C124" s="20" t="n">
        <v>125</v>
      </c>
      <c r="D124" s="20" t="n">
        <v>463</v>
      </c>
      <c r="E124" s="20" t="n">
        <v>58</v>
      </c>
      <c r="F124" s="20" t="n">
        <v>76</v>
      </c>
      <c r="G124" s="20" t="n">
        <v>106</v>
      </c>
      <c r="H124" s="20" t="n">
        <v>298</v>
      </c>
      <c r="I124" s="20" t="n">
        <v>3172</v>
      </c>
      <c r="J124" s="20" t="n">
        <v>58</v>
      </c>
      <c r="K124" s="20" t="n">
        <v>161</v>
      </c>
      <c r="L124" s="20" t="n">
        <v>55</v>
      </c>
      <c r="M124" s="20" t="n">
        <v>1084</v>
      </c>
      <c r="N124" s="20" t="n">
        <v>40</v>
      </c>
      <c r="T124" s="20" t="n">
        <v>10727</v>
      </c>
      <c r="U124" s="20" t="n">
        <v>1015</v>
      </c>
      <c r="V124" s="20" t="n">
        <v>58</v>
      </c>
      <c r="W124" s="20" t="n">
        <v>3172</v>
      </c>
      <c r="X124" s="20" t="n">
        <v>1084</v>
      </c>
    </row>
    <row r="125">
      <c r="A125" s="9" t="inlineStr">
        <is>
          <t>법인세차감전 순이익</t>
        </is>
      </c>
      <c r="C125" s="12" t="n">
        <v>2741</v>
      </c>
      <c r="D125" s="12" t="n">
        <v>1188</v>
      </c>
      <c r="E125" s="12" t="n">
        <v>2095</v>
      </c>
      <c r="F125" s="12" t="n">
        <v>2966</v>
      </c>
      <c r="G125" s="12" t="n">
        <v>744</v>
      </c>
      <c r="H125" s="12" t="n">
        <v>2967</v>
      </c>
      <c r="I125" s="12" t="n">
        <v>-509</v>
      </c>
      <c r="J125" s="12" t="n">
        <v>1965</v>
      </c>
      <c r="K125" s="12" t="n">
        <v>2934</v>
      </c>
      <c r="L125" s="12" t="n">
        <v>2664</v>
      </c>
      <c r="M125" s="12" t="n">
        <v>2555</v>
      </c>
      <c r="N125" s="12" t="n">
        <v>3087</v>
      </c>
      <c r="T125" s="12" t="n">
        <v>-9447</v>
      </c>
      <c r="U125" s="12" t="n">
        <v>1437</v>
      </c>
      <c r="V125" s="12" t="n">
        <v>2095</v>
      </c>
      <c r="W125" s="12" t="n">
        <v>-509</v>
      </c>
      <c r="X125" s="12" t="n">
        <v>2555</v>
      </c>
    </row>
    <row r="126">
      <c r="A126" s="18" t="inlineStr">
        <is>
          <t>법인세 등</t>
        </is>
      </c>
      <c r="C126" s="20" t="n">
        <v>165</v>
      </c>
      <c r="D126" s="20" t="n">
        <v>335</v>
      </c>
      <c r="E126" s="20" t="n">
        <v>212</v>
      </c>
      <c r="F126" s="20" t="n">
        <v>769</v>
      </c>
      <c r="G126" s="20" t="n">
        <v>-134</v>
      </c>
      <c r="H126" s="20" t="n">
        <v>433</v>
      </c>
      <c r="I126" s="20" t="n">
        <v>904</v>
      </c>
      <c r="J126" s="20" t="n">
        <v>335</v>
      </c>
      <c r="K126" s="20" t="n">
        <v>276</v>
      </c>
      <c r="L126" s="20" t="n">
        <v>560</v>
      </c>
      <c r="M126" s="20" t="n">
        <v>554</v>
      </c>
      <c r="N126" s="20" t="n">
        <v>613</v>
      </c>
      <c r="T126" s="20" t="n">
        <v>-726</v>
      </c>
      <c r="U126" s="20" t="n">
        <v>1270</v>
      </c>
      <c r="V126" s="20" t="n">
        <v>212</v>
      </c>
      <c r="W126" s="20" t="n">
        <v>904</v>
      </c>
      <c r="X126" s="20" t="n">
        <v>554</v>
      </c>
    </row>
    <row r="127">
      <c r="A127" s="9" t="inlineStr">
        <is>
          <t>순이익</t>
        </is>
      </c>
      <c r="C127" s="12" t="n">
        <v>2576</v>
      </c>
      <c r="D127" s="12" t="n">
        <v>853</v>
      </c>
      <c r="E127" s="12" t="n">
        <v>1883</v>
      </c>
      <c r="F127" s="12" t="n">
        <v>2197</v>
      </c>
      <c r="G127" s="12" t="n">
        <v>878</v>
      </c>
      <c r="H127" s="12" t="n">
        <v>2534</v>
      </c>
      <c r="I127" s="12" t="n">
        <v>-1413</v>
      </c>
      <c r="J127" s="12" t="n">
        <v>1630</v>
      </c>
      <c r="K127" s="12" t="n">
        <v>2658</v>
      </c>
      <c r="L127" s="12" t="n">
        <v>2104</v>
      </c>
      <c r="M127" s="12" t="n">
        <v>2001</v>
      </c>
      <c r="N127" s="12" t="n">
        <v>2474</v>
      </c>
      <c r="T127" s="12" t="n">
        <v>-8721</v>
      </c>
      <c r="U127" s="12" t="n">
        <v>167</v>
      </c>
      <c r="V127" s="12" t="n">
        <v>1883</v>
      </c>
      <c r="W127" s="12" t="n">
        <v>-1413</v>
      </c>
      <c r="X127" s="12" t="n">
        <v>2001</v>
      </c>
    </row>
    <row r="128">
      <c r="A128" s="9" t="inlineStr">
        <is>
          <t>비지배주주 순이익</t>
        </is>
      </c>
      <c r="C128" s="12" t="n">
        <v>-12</v>
      </c>
      <c r="D128" s="12" t="n">
        <v>102</v>
      </c>
      <c r="E128" s="12" t="n">
        <v>24</v>
      </c>
      <c r="F128" s="12" t="n">
        <v>-10</v>
      </c>
      <c r="G128" s="12" t="n">
        <v>0</v>
      </c>
      <c r="H128" s="12" t="n">
        <v>75</v>
      </c>
      <c r="I128" s="12" t="n">
        <v>41</v>
      </c>
      <c r="J128" s="12" t="n">
        <v>37</v>
      </c>
      <c r="K128" s="12" t="n">
        <v>17</v>
      </c>
      <c r="L128" s="12" t="n">
        <v>90</v>
      </c>
      <c r="M128" s="12" t="n">
        <v>-11</v>
      </c>
      <c r="N128" s="12" t="n">
        <v>77</v>
      </c>
      <c r="T128" s="12" t="n">
        <v>260</v>
      </c>
      <c r="U128" s="12" t="n">
        <v>-47</v>
      </c>
      <c r="V128" s="12" t="n">
        <v>24</v>
      </c>
      <c r="W128" s="12" t="n">
        <v>41</v>
      </c>
      <c r="X128" s="12" t="n">
        <v>-11</v>
      </c>
    </row>
    <row r="129">
      <c r="A129" s="9" t="inlineStr">
        <is>
          <t>지배주주 순이익</t>
        </is>
      </c>
      <c r="C129" s="12" t="n">
        <v>2588</v>
      </c>
      <c r="D129" s="12" t="n">
        <v>751</v>
      </c>
      <c r="E129" s="12" t="n">
        <v>1859</v>
      </c>
      <c r="F129" s="12" t="n">
        <v>2207</v>
      </c>
      <c r="G129" s="12" t="n">
        <v>878</v>
      </c>
      <c r="H129" s="12" t="n">
        <v>2459</v>
      </c>
      <c r="I129" s="12" t="n">
        <v>-1454</v>
      </c>
      <c r="J129" s="12" t="n">
        <v>1593</v>
      </c>
      <c r="K129" s="12" t="n">
        <v>2641</v>
      </c>
      <c r="L129" s="12" t="n">
        <v>2014</v>
      </c>
      <c r="M129" s="12" t="n">
        <v>2012</v>
      </c>
      <c r="N129" s="12" t="n">
        <v>2397</v>
      </c>
      <c r="T129" s="12" t="n">
        <v>-8981</v>
      </c>
      <c r="U129" s="12" t="n">
        <v>214</v>
      </c>
      <c r="V129" s="12" t="n">
        <v>1859</v>
      </c>
      <c r="W129" s="12" t="n">
        <v>-1454</v>
      </c>
      <c r="X129" s="12" t="n">
        <v>2012</v>
      </c>
    </row>
    <row r="131">
      <c r="A131" s="16" t="inlineStr">
        <is>
          <t>포괄손익 · 전 항목</t>
        </is>
      </c>
      <c r="B131" s="42" t="inlineStr">
        <is>
          <t>분기 = 3개월 단독</t>
        </is>
      </c>
      <c r="C131" s="16" t="n"/>
      <c r="D131" s="16" t="n"/>
      <c r="E131" s="16" t="n"/>
      <c r="F131" s="16" t="n"/>
      <c r="G131" s="16" t="n"/>
      <c r="H131" s="16" t="n"/>
      <c r="I131" s="16" t="n"/>
      <c r="J131" s="16" t="n"/>
      <c r="K131" s="16" t="n"/>
      <c r="L131" s="16" t="n"/>
      <c r="M131" s="16" t="n"/>
      <c r="N131" s="16" t="n"/>
      <c r="O131" s="16" t="n"/>
      <c r="P131" s="16" t="n"/>
      <c r="Q131" s="16" t="n"/>
      <c r="R131" s="16" t="n"/>
      <c r="S131" s="16" t="n"/>
      <c r="T131" s="16" t="n"/>
      <c r="U131" s="16" t="n"/>
      <c r="V131" s="16" t="n"/>
      <c r="W131" s="16" t="n"/>
      <c r="X131" s="16" t="n"/>
      <c r="Y131" s="16" t="n"/>
      <c r="Z131" s="16" t="n"/>
      <c r="AA131" s="16" t="n"/>
      <c r="AB131" s="16" t="n"/>
      <c r="AC131" s="16" t="n"/>
    </row>
    <row r="132">
      <c r="A132" s="5" t="inlineStr">
        <is>
          <t>항목</t>
        </is>
      </c>
      <c r="B132" s="5" t="inlineStr">
        <is>
          <t>참고</t>
        </is>
      </c>
      <c r="C132" s="5" t="inlineStr">
        <is>
          <t>2024.2Q</t>
        </is>
      </c>
      <c r="D132" s="5" t="inlineStr">
        <is>
          <t>2024.3Q</t>
        </is>
      </c>
      <c r="E132" s="5" t="inlineStr">
        <is>
          <t>2024.4Q</t>
        </is>
      </c>
      <c r="F132" s="5" t="inlineStr">
        <is>
          <t>2025.1Q</t>
        </is>
      </c>
      <c r="G132" s="5" t="inlineStr">
        <is>
          <t>2025.2Q</t>
        </is>
      </c>
      <c r="H132" s="5" t="inlineStr">
        <is>
          <t>2025.3Q</t>
        </is>
      </c>
      <c r="I132" s="5" t="inlineStr">
        <is>
          <t>2025.4Q</t>
        </is>
      </c>
      <c r="J132" s="5" t="inlineStr">
        <is>
          <t>2026.1Q</t>
        </is>
      </c>
      <c r="K132" s="5" t="inlineStr">
        <is>
          <t>2026.2Q</t>
        </is>
      </c>
      <c r="L132" s="5" t="inlineStr">
        <is>
          <t>2026.3Q</t>
        </is>
      </c>
      <c r="M132" s="5" t="inlineStr">
        <is>
          <t>2026.4Q</t>
        </is>
      </c>
      <c r="N132" s="5" t="inlineStr">
        <is>
          <t>2027.1Q</t>
        </is>
      </c>
      <c r="O132" s="5" t="inlineStr">
        <is>
          <t>2017</t>
        </is>
      </c>
      <c r="P132" s="5" t="inlineStr">
        <is>
          <t>2018</t>
        </is>
      </c>
      <c r="Q132" s="5" t="inlineStr">
        <is>
          <t>2019</t>
        </is>
      </c>
      <c r="R132" s="5" t="inlineStr">
        <is>
          <t>2020</t>
        </is>
      </c>
      <c r="S132" s="5" t="inlineStr">
        <is>
          <t>2021</t>
        </is>
      </c>
      <c r="T132" s="5" t="inlineStr">
        <is>
          <t>2022</t>
        </is>
      </c>
      <c r="U132" s="5" t="inlineStr">
        <is>
          <t>2023</t>
        </is>
      </c>
      <c r="V132" s="5" t="inlineStr">
        <is>
          <t>2024</t>
        </is>
      </c>
      <c r="W132" s="5" t="inlineStr">
        <is>
          <t>2025</t>
        </is>
      </c>
      <c r="X132" s="5" t="inlineStr">
        <is>
          <t>2026</t>
        </is>
      </c>
      <c r="Y132" s="5" t="inlineStr">
        <is>
          <t>2027(MW)</t>
        </is>
      </c>
      <c r="Z132" s="5" t="inlineStr">
        <is>
          <t>2028(MW)</t>
        </is>
      </c>
      <c r="AA132" s="5" t="inlineStr">
        <is>
          <t>2029(MW)</t>
        </is>
      </c>
      <c r="AB132" s="5" t="inlineStr">
        <is>
          <t>2030(MW)</t>
        </is>
      </c>
      <c r="AC132" s="5" t="inlineStr">
        <is>
          <t>2031(MW)</t>
        </is>
      </c>
    </row>
    <row r="133">
      <c r="A133" s="9" t="inlineStr">
        <is>
          <t>순이익</t>
        </is>
      </c>
      <c r="C133" s="12" t="n">
        <v>2576</v>
      </c>
      <c r="D133" s="12" t="n">
        <v>853</v>
      </c>
      <c r="E133" s="12" t="n">
        <v>1883</v>
      </c>
      <c r="F133" s="12" t="n">
        <v>2197</v>
      </c>
      <c r="G133" s="12" t="n">
        <v>878</v>
      </c>
      <c r="H133" s="12" t="n">
        <v>2534</v>
      </c>
      <c r="I133" s="12" t="n">
        <v>-1413</v>
      </c>
      <c r="J133" s="12" t="n">
        <v>1630</v>
      </c>
      <c r="K133" s="12" t="n">
        <v>2658</v>
      </c>
      <c r="L133" s="12" t="n">
        <v>2104</v>
      </c>
      <c r="M133" s="12" t="n">
        <v>2001</v>
      </c>
      <c r="N133" s="12" t="n">
        <v>2474</v>
      </c>
      <c r="T133" s="12" t="n">
        <v>-8721</v>
      </c>
      <c r="U133" s="12" t="n">
        <v>167</v>
      </c>
      <c r="V133" s="12" t="n">
        <v>1883</v>
      </c>
      <c r="W133" s="12" t="n">
        <v>-1413</v>
      </c>
      <c r="X133" s="12" t="n">
        <v>2001</v>
      </c>
    </row>
    <row r="134">
      <c r="A134" s="18" t="inlineStr">
        <is>
          <t>기타유가증권 평가차액</t>
        </is>
      </c>
      <c r="C134" s="20" t="n">
        <v>290</v>
      </c>
      <c r="D134" s="20" t="n">
        <v>-470</v>
      </c>
      <c r="E134" s="20" t="n">
        <v>151</v>
      </c>
      <c r="F134" s="20" t="n">
        <v>68</v>
      </c>
      <c r="G134" s="20" t="n">
        <v>-44</v>
      </c>
      <c r="H134" s="20" t="n">
        <v>158</v>
      </c>
      <c r="I134" s="20" t="n">
        <v>-90</v>
      </c>
      <c r="J134" s="20" t="n">
        <v>1</v>
      </c>
      <c r="K134" s="20" t="n">
        <v>329</v>
      </c>
      <c r="L134" s="20" t="n">
        <v>333</v>
      </c>
      <c r="M134" s="20" t="n">
        <v>-34</v>
      </c>
      <c r="N134" s="20" t="n">
        <v>1102</v>
      </c>
      <c r="T134" s="20" t="n">
        <v>244</v>
      </c>
      <c r="U134" s="20" t="n">
        <v>147</v>
      </c>
      <c r="V134" s="20" t="n">
        <v>151</v>
      </c>
      <c r="W134" s="20" t="n">
        <v>-90</v>
      </c>
      <c r="X134" s="20" t="n">
        <v>-34</v>
      </c>
    </row>
    <row r="135">
      <c r="A135" s="18" t="inlineStr">
        <is>
          <t>해외사업환산조정</t>
        </is>
      </c>
      <c r="C135" s="20" t="n">
        <v>1051</v>
      </c>
      <c r="D135" s="20" t="n">
        <v>-1314</v>
      </c>
      <c r="E135" s="20" t="n">
        <v>2053</v>
      </c>
      <c r="F135" s="20" t="n">
        <v>2603</v>
      </c>
      <c r="G135" s="20" t="n">
        <v>-3413</v>
      </c>
      <c r="H135" s="20" t="n">
        <v>2539</v>
      </c>
      <c r="I135" s="20" t="n">
        <v>-2271</v>
      </c>
      <c r="J135" s="20" t="n">
        <v>-274</v>
      </c>
      <c r="K135" s="20" t="n">
        <v>966</v>
      </c>
      <c r="L135" s="20" t="n">
        <v>1550</v>
      </c>
      <c r="M135" s="20" t="n">
        <v>-1095</v>
      </c>
      <c r="N135" s="20" t="n">
        <v>721</v>
      </c>
      <c r="T135" s="20" t="n">
        <v>2793</v>
      </c>
      <c r="U135" s="20" t="n">
        <v>674</v>
      </c>
      <c r="V135" s="20" t="n">
        <v>2053</v>
      </c>
      <c r="W135" s="20" t="n">
        <v>-2271</v>
      </c>
      <c r="X135" s="20" t="n">
        <v>-1095</v>
      </c>
    </row>
    <row r="136">
      <c r="A136" s="18" t="inlineStr">
        <is>
          <t>퇴직급여 조정액</t>
        </is>
      </c>
      <c r="C136" s="20" t="n">
        <v>111</v>
      </c>
      <c r="D136" s="20" t="n">
        <v>109</v>
      </c>
      <c r="E136" s="20" t="n">
        <v>1438</v>
      </c>
      <c r="F136" s="20" t="n">
        <v>20</v>
      </c>
      <c r="G136" s="20" t="n">
        <v>19</v>
      </c>
      <c r="H136" s="20" t="n">
        <v>19</v>
      </c>
      <c r="I136" s="20" t="n">
        <v>1157</v>
      </c>
      <c r="J136" s="20" t="n">
        <v>12</v>
      </c>
      <c r="K136" s="20" t="n">
        <v>0</v>
      </c>
      <c r="L136" s="20" t="n">
        <v>13</v>
      </c>
      <c r="M136" s="20" t="n">
        <v>1226</v>
      </c>
      <c r="N136" s="20" t="n">
        <v>-36</v>
      </c>
      <c r="T136" s="20" t="n">
        <v>610</v>
      </c>
      <c r="U136" s="20" t="n">
        <v>-435</v>
      </c>
      <c r="V136" s="20" t="n">
        <v>1438</v>
      </c>
      <c r="W136" s="20" t="n">
        <v>1157</v>
      </c>
      <c r="X136" s="20" t="n">
        <v>1226</v>
      </c>
    </row>
    <row r="137">
      <c r="A137" s="18" t="inlineStr">
        <is>
          <t>기타포괄손익 합계</t>
        </is>
      </c>
      <c r="C137" s="20" t="n">
        <v>1452</v>
      </c>
      <c r="D137" s="20" t="n">
        <v>-1675</v>
      </c>
      <c r="E137" s="20" t="n">
        <v>3642</v>
      </c>
      <c r="F137" s="20" t="n">
        <v>2691</v>
      </c>
      <c r="G137" s="20" t="n">
        <v>-3438</v>
      </c>
      <c r="H137" s="20" t="n">
        <v>2716</v>
      </c>
      <c r="I137" s="20" t="n">
        <v>-1204</v>
      </c>
      <c r="J137" s="20" t="n">
        <v>-261</v>
      </c>
      <c r="K137" s="20" t="n">
        <v>1295</v>
      </c>
      <c r="L137" s="20" t="n">
        <v>1896</v>
      </c>
      <c r="M137" s="20" t="n">
        <v>97</v>
      </c>
      <c r="N137" s="20" t="n">
        <v>1787</v>
      </c>
      <c r="T137" s="20" t="n">
        <v>3647</v>
      </c>
      <c r="U137" s="20" t="n">
        <v>386</v>
      </c>
      <c r="V137" s="20" t="n">
        <v>3642</v>
      </c>
      <c r="W137" s="20" t="n">
        <v>-1204</v>
      </c>
      <c r="X137" s="20" t="n">
        <v>97</v>
      </c>
    </row>
    <row r="138">
      <c r="A138" s="9" t="inlineStr">
        <is>
          <t>포괄이익</t>
        </is>
      </c>
      <c r="C138" s="12" t="n">
        <v>4028</v>
      </c>
      <c r="D138" s="12" t="n">
        <v>-822</v>
      </c>
      <c r="E138" s="12" t="n">
        <v>5525</v>
      </c>
      <c r="F138" s="12" t="n">
        <v>4888</v>
      </c>
      <c r="G138" s="12" t="n">
        <v>-2560</v>
      </c>
      <c r="H138" s="12" t="n">
        <v>5250</v>
      </c>
      <c r="I138" s="12" t="n">
        <v>-2617</v>
      </c>
      <c r="J138" s="12" t="n">
        <v>1369</v>
      </c>
      <c r="K138" s="12" t="n">
        <v>3953</v>
      </c>
      <c r="L138" s="12" t="n">
        <v>4000</v>
      </c>
      <c r="M138" s="12" t="n">
        <v>2098</v>
      </c>
      <c r="N138" s="12" t="n">
        <v>4261</v>
      </c>
      <c r="T138" s="12" t="n">
        <v>-5074</v>
      </c>
      <c r="U138" s="12" t="n">
        <v>553</v>
      </c>
      <c r="V138" s="12" t="n">
        <v>5525</v>
      </c>
      <c r="W138" s="12" t="n">
        <v>-2617</v>
      </c>
      <c r="X138" s="12" t="n">
        <v>2098</v>
      </c>
    </row>
    <row r="139">
      <c r="A139" s="9" t="inlineStr">
        <is>
          <t>지배주주 포괄이익</t>
        </is>
      </c>
      <c r="C139" s="12" t="n">
        <v>3962</v>
      </c>
      <c r="D139" s="12" t="n">
        <v>-825</v>
      </c>
      <c r="E139" s="12" t="n">
        <v>5353</v>
      </c>
      <c r="F139" s="12" t="n">
        <v>4716</v>
      </c>
      <c r="G139" s="12" t="n">
        <v>-2311</v>
      </c>
      <c r="H139" s="12" t="n">
        <v>4997</v>
      </c>
      <c r="I139" s="12" t="n">
        <v>-2526</v>
      </c>
      <c r="J139" s="12" t="n">
        <v>1387</v>
      </c>
      <c r="K139" s="12" t="n">
        <v>3860</v>
      </c>
      <c r="L139" s="12" t="n">
        <v>3756</v>
      </c>
      <c r="M139" s="12" t="n">
        <v>2033</v>
      </c>
      <c r="N139" s="12" t="n">
        <v>4128</v>
      </c>
      <c r="T139" s="12" t="n">
        <v>-5497</v>
      </c>
      <c r="U139" s="12" t="n">
        <v>552</v>
      </c>
      <c r="V139" s="12" t="n">
        <v>5353</v>
      </c>
      <c r="W139" s="12" t="n">
        <v>-2526</v>
      </c>
      <c r="X139" s="12" t="n">
        <v>2033</v>
      </c>
    </row>
    <row r="140">
      <c r="A140" s="9" t="inlineStr">
        <is>
          <t>비지배주주 포괄이익</t>
        </is>
      </c>
      <c r="C140" s="12" t="n">
        <v>66</v>
      </c>
      <c r="D140" s="12" t="n">
        <v>3</v>
      </c>
      <c r="E140" s="12" t="n">
        <v>172</v>
      </c>
      <c r="F140" s="12" t="n">
        <v>172</v>
      </c>
      <c r="G140" s="12" t="n">
        <v>-249</v>
      </c>
      <c r="H140" s="12" t="n">
        <v>253</v>
      </c>
      <c r="I140" s="12" t="n">
        <v>-91</v>
      </c>
      <c r="J140" s="12" t="n">
        <v>-18</v>
      </c>
      <c r="K140" s="12" t="n">
        <v>93</v>
      </c>
      <c r="L140" s="12" t="n">
        <v>244</v>
      </c>
      <c r="M140" s="12" t="n">
        <v>65</v>
      </c>
      <c r="N140" s="12" t="n">
        <v>133</v>
      </c>
      <c r="T140" s="12" t="n">
        <v>423</v>
      </c>
      <c r="U140" s="12" t="n">
        <v>1</v>
      </c>
      <c r="V140" s="12" t="n">
        <v>172</v>
      </c>
      <c r="W140" s="12" t="n">
        <v>-91</v>
      </c>
      <c r="X140" s="12" t="n">
        <v>65</v>
      </c>
    </row>
    <row r="142">
      <c r="A142" s="16" t="inlineStr">
        <is>
          <t>부문 · 전 항목</t>
        </is>
      </c>
      <c r="B142" s="42" t="inlineStr">
        <is>
          <t>부문 · 항목</t>
        </is>
      </c>
      <c r="C142" s="16" t="n"/>
      <c r="D142" s="16" t="n"/>
      <c r="E142" s="16" t="n"/>
      <c r="F142" s="16" t="n"/>
      <c r="G142" s="16" t="n"/>
      <c r="H142" s="16" t="n"/>
      <c r="I142" s="16" t="n"/>
      <c r="J142" s="16" t="n"/>
      <c r="K142" s="16" t="n"/>
      <c r="L142" s="16" t="n"/>
      <c r="M142" s="16" t="n"/>
      <c r="N142" s="16" t="n"/>
      <c r="O142" s="16" t="n"/>
      <c r="P142" s="16" t="n"/>
      <c r="Q142" s="16" t="n"/>
      <c r="R142" s="16" t="n"/>
      <c r="S142" s="16" t="n"/>
      <c r="T142" s="16" t="n"/>
      <c r="U142" s="16" t="n"/>
      <c r="V142" s="16" t="n"/>
      <c r="W142" s="16" t="n"/>
      <c r="X142" s="16" t="n"/>
      <c r="Y142" s="16" t="n"/>
      <c r="Z142" s="16" t="n"/>
      <c r="AA142" s="16" t="n"/>
      <c r="AB142" s="16" t="n"/>
      <c r="AC142" s="16" t="n"/>
    </row>
    <row r="143">
      <c r="A143" s="5" t="inlineStr">
        <is>
          <t>항목</t>
        </is>
      </c>
      <c r="B143" s="5" t="inlineStr">
        <is>
          <t>참고</t>
        </is>
      </c>
      <c r="C143" s="5" t="inlineStr">
        <is>
          <t>2024.2Q</t>
        </is>
      </c>
      <c r="D143" s="5" t="inlineStr">
        <is>
          <t>2024.3Q</t>
        </is>
      </c>
      <c r="E143" s="5" t="inlineStr">
        <is>
          <t>2024.4Q</t>
        </is>
      </c>
      <c r="F143" s="5" t="inlineStr">
        <is>
          <t>2025.1Q</t>
        </is>
      </c>
      <c r="G143" s="5" t="inlineStr">
        <is>
          <t>2025.2Q</t>
        </is>
      </c>
      <c r="H143" s="5" t="inlineStr">
        <is>
          <t>2025.3Q</t>
        </is>
      </c>
      <c r="I143" s="5" t="inlineStr">
        <is>
          <t>2025.4Q</t>
        </is>
      </c>
      <c r="J143" s="5" t="inlineStr">
        <is>
          <t>2026.1Q</t>
        </is>
      </c>
      <c r="K143" s="5" t="inlineStr">
        <is>
          <t>2026.2Q</t>
        </is>
      </c>
      <c r="L143" s="5" t="inlineStr">
        <is>
          <t>2026.3Q</t>
        </is>
      </c>
      <c r="M143" s="5" t="inlineStr">
        <is>
          <t>2026.4Q</t>
        </is>
      </c>
      <c r="N143" s="5" t="inlineStr">
        <is>
          <t>2027.1Q</t>
        </is>
      </c>
      <c r="O143" s="5" t="inlineStr">
        <is>
          <t>2017</t>
        </is>
      </c>
      <c r="P143" s="5" t="inlineStr">
        <is>
          <t>2018</t>
        </is>
      </c>
      <c r="Q143" s="5" t="inlineStr">
        <is>
          <t>2019</t>
        </is>
      </c>
      <c r="R143" s="5" t="inlineStr">
        <is>
          <t>2020</t>
        </is>
      </c>
      <c r="S143" s="5" t="inlineStr">
        <is>
          <t>2021</t>
        </is>
      </c>
      <c r="T143" s="5" t="inlineStr">
        <is>
          <t>2022</t>
        </is>
      </c>
      <c r="U143" s="5" t="inlineStr">
        <is>
          <t>2023</t>
        </is>
      </c>
      <c r="V143" s="5" t="inlineStr">
        <is>
          <t>2024</t>
        </is>
      </c>
      <c r="W143" s="5" t="inlineStr">
        <is>
          <t>2025</t>
        </is>
      </c>
      <c r="X143" s="5" t="inlineStr">
        <is>
          <t>2026</t>
        </is>
      </c>
      <c r="Y143" s="5" t="inlineStr">
        <is>
          <t>2027(MW)</t>
        </is>
      </c>
      <c r="Z143" s="5" t="inlineStr">
        <is>
          <t>2028(MW)</t>
        </is>
      </c>
      <c r="AA143" s="5" t="inlineStr">
        <is>
          <t>2029(MW)</t>
        </is>
      </c>
      <c r="AB143" s="5" t="inlineStr">
        <is>
          <t>2030(MW)</t>
        </is>
      </c>
      <c r="AC143" s="5" t="inlineStr">
        <is>
          <t>2031(MW)</t>
        </is>
      </c>
    </row>
    <row r="144">
      <c r="A144" s="18" t="inlineStr">
        <is>
          <t>EnergyReportableSegmentsMember · 외부 고객 매출</t>
        </is>
      </c>
      <c r="F144" s="20" t="n">
        <v>10113</v>
      </c>
      <c r="I144" s="20" t="n">
        <v>4997</v>
      </c>
      <c r="J144" s="20" t="n">
        <v>10349</v>
      </c>
      <c r="M144" s="20" t="n">
        <v>11422</v>
      </c>
      <c r="N144" s="20" t="n">
        <v>15246</v>
      </c>
      <c r="W144" s="20" t="n">
        <v>4997</v>
      </c>
      <c r="X144" s="20" t="n">
        <v>11422</v>
      </c>
    </row>
    <row r="145">
      <c r="A145" s="18" t="inlineStr">
        <is>
          <t>FunctionalMaterialsReportableSegmentMember · 외부 고객 매출</t>
        </is>
      </c>
      <c r="F145" s="20" t="n">
        <v>7495</v>
      </c>
      <c r="I145" s="20" t="n">
        <v>7940</v>
      </c>
      <c r="J145" s="20" t="n">
        <v>7834</v>
      </c>
      <c r="M145" s="20" t="n">
        <v>8585</v>
      </c>
      <c r="N145" s="20" t="n">
        <v>9596</v>
      </c>
      <c r="W145" s="20" t="n">
        <v>7940</v>
      </c>
      <c r="X145" s="20" t="n">
        <v>8585</v>
      </c>
    </row>
    <row r="146">
      <c r="A146" s="18" t="inlineStr">
        <is>
          <t>OpticsAndSystemsReportableSegmentMember · 외부 고객 매출</t>
        </is>
      </c>
      <c r="F146" s="20" t="n">
        <v>9090</v>
      </c>
      <c r="I146" s="20" t="n">
        <v>10218</v>
      </c>
      <c r="J146" s="20" t="n">
        <v>7839</v>
      </c>
      <c r="M146" s="20" t="n">
        <v>8534</v>
      </c>
      <c r="N146" s="20" t="n">
        <v>9206</v>
      </c>
      <c r="W146" s="20" t="n">
        <v>10218</v>
      </c>
      <c r="X146" s="20" t="n">
        <v>8534</v>
      </c>
    </row>
    <row r="147">
      <c r="A147" s="18" t="inlineStr">
        <is>
          <t>LifeSolutionsReportableSegmentMember · 외부 고객 매출</t>
        </is>
      </c>
      <c r="F147" s="20" t="n">
        <v>4687</v>
      </c>
      <c r="I147" s="20" t="n">
        <v>6592</v>
      </c>
      <c r="J147" s="20" t="n">
        <v>4248</v>
      </c>
      <c r="W147" s="20" t="n">
        <v>6592</v>
      </c>
    </row>
    <row r="148">
      <c r="A148" s="18" t="inlineStr">
        <is>
          <t>ValueCoCreationBusinessesReportableSegmentMember · 외부 고객 매출</t>
        </is>
      </c>
      <c r="J148" s="20" t="n">
        <v>4248</v>
      </c>
      <c r="M148" s="20" t="n">
        <v>4589</v>
      </c>
      <c r="N148" s="20" t="n">
        <v>3617</v>
      </c>
      <c r="X148" s="20" t="n">
        <v>4589</v>
      </c>
    </row>
    <row r="149">
      <c r="A149" s="18" t="inlineStr">
        <is>
          <t>합계 · 외부 고객 매출</t>
        </is>
      </c>
      <c r="F149" s="20" t="n">
        <v>31385</v>
      </c>
      <c r="J149" s="20" t="n">
        <v>30270</v>
      </c>
      <c r="N149" s="20" t="n">
        <v>37665</v>
      </c>
    </row>
    <row r="150">
      <c r="A150" s="18" t="inlineStr">
        <is>
          <t>조정액 · 외부 고객 매출</t>
        </is>
      </c>
      <c r="F150" s="20" t="n">
        <v>0</v>
      </c>
      <c r="I150" s="20" t="n">
        <v>0</v>
      </c>
      <c r="J150" s="20" t="n">
        <v>0</v>
      </c>
      <c r="M150" s="20" t="n">
        <v>0</v>
      </c>
      <c r="N150" s="20" t="n">
        <v>0</v>
      </c>
      <c r="W150" s="20" t="n">
        <v>0</v>
      </c>
      <c r="X150" s="20" t="n">
        <v>0</v>
      </c>
    </row>
    <row r="151">
      <c r="A151" s="9" t="inlineStr">
        <is>
          <t>외부 고객 매출</t>
        </is>
      </c>
      <c r="F151" s="12" t="n">
        <v>31385</v>
      </c>
      <c r="I151" s="12" t="n">
        <v>34219</v>
      </c>
      <c r="W151" s="12" t="n">
        <v>34219</v>
      </c>
    </row>
    <row r="152">
      <c r="A152" s="18" t="inlineStr">
        <is>
          <t>EntityTotalMember · 외부 고객 매출</t>
        </is>
      </c>
      <c r="F152" s="20" t="n">
        <v>31385</v>
      </c>
      <c r="J152" s="20" t="n">
        <v>30270</v>
      </c>
      <c r="N152" s="20" t="n">
        <v>37665</v>
      </c>
    </row>
    <row r="153">
      <c r="A153" s="18" t="inlineStr">
        <is>
          <t>EnergyReportableSegmentsMember · 부문 간 내부매출·대체</t>
        </is>
      </c>
      <c r="F153" s="20" t="n">
        <v>151</v>
      </c>
      <c r="I153" s="20" t="n">
        <v>90</v>
      </c>
      <c r="J153" s="20" t="n">
        <v>105</v>
      </c>
      <c r="M153" s="20" t="n">
        <v>126</v>
      </c>
      <c r="N153" s="20" t="n">
        <v>87</v>
      </c>
      <c r="W153" s="20" t="n">
        <v>90</v>
      </c>
      <c r="X153" s="20" t="n">
        <v>126</v>
      </c>
    </row>
    <row r="154">
      <c r="A154" s="18" t="inlineStr">
        <is>
          <t>FunctionalMaterialsReportableSegmentMember · 부문 간 내부매출·대체</t>
        </is>
      </c>
      <c r="F154" s="20" t="n">
        <v>0</v>
      </c>
      <c r="I154" s="20" t="n">
        <v>0</v>
      </c>
      <c r="J154" s="20" t="n">
        <v>0</v>
      </c>
      <c r="M154" s="20" t="n">
        <v>0</v>
      </c>
      <c r="N154" s="20" t="n">
        <v>0</v>
      </c>
      <c r="W154" s="20" t="n">
        <v>0</v>
      </c>
      <c r="X154" s="20" t="n">
        <v>0</v>
      </c>
    </row>
    <row r="155">
      <c r="A155" s="18" t="inlineStr">
        <is>
          <t>OpticsAndSystemsReportableSegmentMember · 부문 간 내부매출·대체</t>
        </is>
      </c>
      <c r="F155" s="20" t="n">
        <v>0</v>
      </c>
      <c r="I155" s="20" t="n">
        <v>0</v>
      </c>
      <c r="J155" s="20" t="n">
        <v>0</v>
      </c>
      <c r="M155" s="20" t="n">
        <v>0</v>
      </c>
      <c r="N155" s="20" t="n">
        <v>0</v>
      </c>
      <c r="W155" s="20" t="n">
        <v>0</v>
      </c>
      <c r="X155" s="20" t="n">
        <v>0</v>
      </c>
    </row>
    <row r="156">
      <c r="A156" s="18" t="inlineStr">
        <is>
          <t>LifeSolutionsReportableSegmentMember · 부문 간 내부매출·대체</t>
        </is>
      </c>
      <c r="F156" s="20" t="n">
        <v>0</v>
      </c>
      <c r="I156" s="20" t="n">
        <v>0</v>
      </c>
      <c r="J156" s="20" t="n">
        <v>0</v>
      </c>
      <c r="W156" s="20" t="n">
        <v>0</v>
      </c>
    </row>
    <row r="157">
      <c r="A157" s="18" t="inlineStr">
        <is>
          <t>ValueCoCreationBusinessesReportableSegmentMember · 부문 간 내부매출·대체</t>
        </is>
      </c>
      <c r="J157" s="20" t="n">
        <v>0</v>
      </c>
      <c r="M157" s="20" t="n">
        <v>0</v>
      </c>
      <c r="N157" s="20" t="n">
        <v>0</v>
      </c>
      <c r="X157" s="20" t="n">
        <v>0</v>
      </c>
    </row>
    <row r="158">
      <c r="A158" s="18" t="inlineStr">
        <is>
          <t>합계 · 부문 간 내부매출·대체</t>
        </is>
      </c>
      <c r="F158" s="20" t="n">
        <v>151</v>
      </c>
      <c r="J158" s="20" t="n">
        <v>105</v>
      </c>
      <c r="N158" s="20" t="n">
        <v>87</v>
      </c>
    </row>
    <row r="159">
      <c r="A159" s="18" t="inlineStr">
        <is>
          <t>조정액 · 부문 간 내부매출·대체</t>
        </is>
      </c>
      <c r="F159" s="20" t="n">
        <v>-151</v>
      </c>
      <c r="I159" s="20" t="n">
        <v>-90</v>
      </c>
      <c r="J159" s="20" t="n">
        <v>-105</v>
      </c>
      <c r="M159" s="20" t="n">
        <v>-126</v>
      </c>
      <c r="N159" s="20" t="n">
        <v>-87</v>
      </c>
      <c r="W159" s="20" t="n">
        <v>-90</v>
      </c>
      <c r="X159" s="20" t="n">
        <v>-126</v>
      </c>
    </row>
    <row r="160">
      <c r="A160" s="18" t="inlineStr">
        <is>
          <t>부문 간 내부매출·대체</t>
        </is>
      </c>
      <c r="F160" s="20" t="n">
        <v>0</v>
      </c>
      <c r="I160" s="20" t="n">
        <v>0</v>
      </c>
      <c r="W160" s="20" t="n">
        <v>0</v>
      </c>
    </row>
    <row r="161">
      <c r="A161" s="18" t="inlineStr">
        <is>
          <t>EntityTotalMember · 부문 간 내부매출·대체</t>
        </is>
      </c>
      <c r="F161" s="20" t="n">
        <v>0</v>
      </c>
      <c r="J161" s="20" t="n">
        <v>0</v>
      </c>
      <c r="N161" s="20" t="n">
        <v>0</v>
      </c>
    </row>
    <row r="162">
      <c r="A162" s="18" t="inlineStr">
        <is>
          <t>EnergyReportableSegmentsMember · 계</t>
        </is>
      </c>
      <c r="F162" s="20" t="n">
        <v>10264</v>
      </c>
      <c r="I162" s="20" t="n">
        <v>5087</v>
      </c>
      <c r="J162" s="20" t="n">
        <v>10454</v>
      </c>
      <c r="M162" s="20" t="n">
        <v>11548</v>
      </c>
      <c r="N162" s="20" t="n">
        <v>15333</v>
      </c>
      <c r="W162" s="20" t="n">
        <v>5087</v>
      </c>
      <c r="X162" s="20" t="n">
        <v>11548</v>
      </c>
    </row>
    <row r="163">
      <c r="A163" s="18" t="inlineStr">
        <is>
          <t>FunctionalMaterialsReportableSegmentMember · 계</t>
        </is>
      </c>
      <c r="F163" s="20" t="n">
        <v>7495</v>
      </c>
      <c r="I163" s="20" t="n">
        <v>7940</v>
      </c>
      <c r="J163" s="20" t="n">
        <v>7834</v>
      </c>
      <c r="M163" s="20" t="n">
        <v>8585</v>
      </c>
      <c r="N163" s="20" t="n">
        <v>9596</v>
      </c>
      <c r="W163" s="20" t="n">
        <v>7940</v>
      </c>
      <c r="X163" s="20" t="n">
        <v>8585</v>
      </c>
    </row>
    <row r="164">
      <c r="A164" s="18" t="inlineStr">
        <is>
          <t>OpticsAndSystemsReportableSegmentMember · 계</t>
        </is>
      </c>
      <c r="F164" s="20" t="n">
        <v>9090</v>
      </c>
      <c r="I164" s="20" t="n">
        <v>10218</v>
      </c>
      <c r="J164" s="20" t="n">
        <v>7839</v>
      </c>
      <c r="M164" s="20" t="n">
        <v>8534</v>
      </c>
      <c r="N164" s="20" t="n">
        <v>9206</v>
      </c>
      <c r="W164" s="20" t="n">
        <v>10218</v>
      </c>
      <c r="X164" s="20" t="n">
        <v>8534</v>
      </c>
    </row>
    <row r="165">
      <c r="A165" s="18" t="inlineStr">
        <is>
          <t>LifeSolutionsReportableSegmentMember · 계</t>
        </is>
      </c>
      <c r="F165" s="20" t="n">
        <v>4687</v>
      </c>
      <c r="I165" s="20" t="n">
        <v>6592</v>
      </c>
      <c r="J165" s="20" t="n">
        <v>4248</v>
      </c>
      <c r="W165" s="20" t="n">
        <v>6592</v>
      </c>
    </row>
    <row r="166">
      <c r="A166" s="18" t="inlineStr">
        <is>
          <t>ValueCoCreationBusinessesReportableSegmentMember · 계</t>
        </is>
      </c>
      <c r="J166" s="20" t="n">
        <v>4248</v>
      </c>
      <c r="M166" s="20" t="n">
        <v>4589</v>
      </c>
      <c r="N166" s="20" t="n">
        <v>3617</v>
      </c>
      <c r="X166" s="20" t="n">
        <v>4589</v>
      </c>
    </row>
    <row r="167">
      <c r="A167" s="18" t="inlineStr">
        <is>
          <t>합계 · 계</t>
        </is>
      </c>
      <c r="F167" s="20" t="n">
        <v>31536</v>
      </c>
      <c r="J167" s="20" t="n">
        <v>30375</v>
      </c>
      <c r="N167" s="20" t="n">
        <v>37752</v>
      </c>
    </row>
    <row r="168">
      <c r="A168" s="18" t="inlineStr">
        <is>
          <t>조정액 · 계</t>
        </is>
      </c>
      <c r="F168" s="20" t="n">
        <v>-151</v>
      </c>
      <c r="I168" s="20" t="n">
        <v>-90</v>
      </c>
      <c r="J168" s="20" t="n">
        <v>-105</v>
      </c>
      <c r="M168" s="20" t="n">
        <v>-126</v>
      </c>
      <c r="N168" s="20" t="n">
        <v>-87</v>
      </c>
      <c r="W168" s="20" t="n">
        <v>-90</v>
      </c>
      <c r="X168" s="20" t="n">
        <v>-126</v>
      </c>
    </row>
    <row r="169">
      <c r="A169" s="9" t="inlineStr">
        <is>
          <t>계</t>
        </is>
      </c>
      <c r="F169" s="12" t="n">
        <v>31385</v>
      </c>
      <c r="I169" s="12" t="n">
        <v>34219</v>
      </c>
      <c r="W169" s="12" t="n">
        <v>34219</v>
      </c>
    </row>
    <row r="170">
      <c r="A170" s="18" t="inlineStr">
        <is>
          <t>EntityTotalMember · 계</t>
        </is>
      </c>
      <c r="F170" s="20" t="n">
        <v>31385</v>
      </c>
      <c r="J170" s="20" t="n">
        <v>30270</v>
      </c>
      <c r="N170" s="20" t="n">
        <v>37665</v>
      </c>
    </row>
    <row r="171">
      <c r="A171" s="18" t="inlineStr">
        <is>
          <t>EnergyReportableSegmentsMember · 부문 이익</t>
        </is>
      </c>
      <c r="F171" s="20" t="n">
        <v>649</v>
      </c>
      <c r="I171" s="20" t="n">
        <v>-645</v>
      </c>
      <c r="J171" s="20" t="n">
        <v>894</v>
      </c>
      <c r="M171" s="20" t="n">
        <v>58</v>
      </c>
      <c r="N171" s="20" t="n">
        <v>758</v>
      </c>
      <c r="W171" s="20" t="n">
        <v>-645</v>
      </c>
      <c r="X171" s="20" t="n">
        <v>58</v>
      </c>
    </row>
    <row r="172">
      <c r="A172" s="18" t="inlineStr">
        <is>
          <t>FunctionalMaterialsReportableSegmentMember · 부문 이익</t>
        </is>
      </c>
      <c r="F172" s="20" t="n">
        <v>149</v>
      </c>
      <c r="I172" s="20" t="n">
        <v>330</v>
      </c>
      <c r="J172" s="20" t="n">
        <v>306</v>
      </c>
      <c r="M172" s="20" t="n">
        <v>456</v>
      </c>
      <c r="N172" s="20" t="n">
        <v>950</v>
      </c>
      <c r="W172" s="20" t="n">
        <v>330</v>
      </c>
      <c r="X172" s="20" t="n">
        <v>456</v>
      </c>
    </row>
    <row r="173">
      <c r="A173" s="18" t="inlineStr">
        <is>
          <t>OpticsAndSystemsReportableSegmentMember · 부문 이익</t>
        </is>
      </c>
      <c r="F173" s="20" t="n">
        <v>1198</v>
      </c>
      <c r="I173" s="20" t="n">
        <v>2222</v>
      </c>
      <c r="J173" s="20" t="n">
        <v>562</v>
      </c>
      <c r="M173" s="20" t="n">
        <v>-1</v>
      </c>
      <c r="N173" s="20" t="n">
        <v>1132</v>
      </c>
      <c r="W173" s="20" t="n">
        <v>2222</v>
      </c>
      <c r="X173" s="20" t="n">
        <v>-1</v>
      </c>
    </row>
    <row r="174">
      <c r="A174" s="18" t="inlineStr">
        <is>
          <t>LifeSolutionsReportableSegmentMember · 부문 이익</t>
        </is>
      </c>
      <c r="F174" s="20" t="n">
        <v>340</v>
      </c>
      <c r="I174" s="20" t="n">
        <v>448</v>
      </c>
      <c r="J174" s="20" t="n">
        <v>222</v>
      </c>
      <c r="W174" s="20" t="n">
        <v>448</v>
      </c>
    </row>
    <row r="175">
      <c r="A175" s="18" t="inlineStr">
        <is>
          <t>ValueCoCreationBusinessesReportableSegmentMember · 부문 이익</t>
        </is>
      </c>
      <c r="J175" s="20" t="n">
        <v>222</v>
      </c>
      <c r="M175" s="20" t="n">
        <v>200</v>
      </c>
      <c r="N175" s="20" t="n">
        <v>32</v>
      </c>
      <c r="X175" s="20" t="n">
        <v>200</v>
      </c>
    </row>
    <row r="176">
      <c r="A176" s="18" t="inlineStr">
        <is>
          <t>합계 · 부문 이익</t>
        </is>
      </c>
      <c r="F176" s="20" t="n">
        <v>2336</v>
      </c>
      <c r="J176" s="20" t="n">
        <v>1984</v>
      </c>
      <c r="N176" s="20" t="n">
        <v>2872</v>
      </c>
    </row>
    <row r="177">
      <c r="A177" s="18" t="inlineStr">
        <is>
          <t>조정액 · 부문 이익</t>
        </is>
      </c>
      <c r="F177" s="20" t="n">
        <v>0</v>
      </c>
      <c r="I177" s="20" t="n">
        <v>0</v>
      </c>
      <c r="J177" s="20" t="n">
        <v>0</v>
      </c>
      <c r="M177" s="20" t="n">
        <v>0</v>
      </c>
      <c r="N177" s="20" t="n">
        <v>0</v>
      </c>
      <c r="W177" s="20" t="n">
        <v>0</v>
      </c>
      <c r="X177" s="20" t="n">
        <v>0</v>
      </c>
    </row>
    <row r="178">
      <c r="A178" s="9" t="inlineStr">
        <is>
          <t>부문 이익</t>
        </is>
      </c>
      <c r="F178" s="12" t="n">
        <v>2336</v>
      </c>
      <c r="I178" s="12" t="n">
        <v>2740</v>
      </c>
      <c r="W178" s="12" t="n">
        <v>2740</v>
      </c>
    </row>
    <row r="179">
      <c r="A179" s="18" t="inlineStr">
        <is>
          <t>EntityTotalMember · 부문 이익</t>
        </is>
      </c>
      <c r="F179" s="20" t="n">
        <v>2336</v>
      </c>
      <c r="J179" s="20" t="n">
        <v>1984</v>
      </c>
      <c r="N179" s="20" t="n">
        <v>2872</v>
      </c>
    </row>
    <row r="181">
      <c r="A181" s="16" t="inlineStr">
        <is>
          <t>현금흐름표 · 전 항목</t>
        </is>
      </c>
      <c r="B181" s="42" t="inlineStr">
        <is>
          <t>분기 = 결산기 첫날부터 누계(공시 그대로)</t>
        </is>
      </c>
      <c r="C181" s="16" t="n"/>
      <c r="D181" s="16" t="n"/>
      <c r="E181" s="16" t="n"/>
      <c r="F181" s="16" t="n"/>
      <c r="G181" s="16" t="n"/>
      <c r="H181" s="16" t="n"/>
      <c r="I181" s="16" t="n"/>
      <c r="J181" s="16" t="n"/>
      <c r="K181" s="16" t="n"/>
      <c r="L181" s="16" t="n"/>
      <c r="M181" s="16" t="n"/>
      <c r="N181" s="16" t="n"/>
      <c r="O181" s="16" t="n"/>
      <c r="P181" s="16" t="n"/>
      <c r="Q181" s="16" t="n"/>
      <c r="R181" s="16" t="n"/>
      <c r="S181" s="16" t="n"/>
      <c r="T181" s="16" t="n"/>
      <c r="U181" s="16" t="n"/>
      <c r="V181" s="16" t="n"/>
      <c r="W181" s="16" t="n"/>
      <c r="X181" s="16" t="n"/>
      <c r="Y181" s="16" t="n"/>
      <c r="Z181" s="16" t="n"/>
      <c r="AA181" s="16" t="n"/>
      <c r="AB181" s="16" t="n"/>
      <c r="AC181" s="16" t="n"/>
    </row>
    <row r="182">
      <c r="A182" s="5" t="inlineStr">
        <is>
          <t>항목</t>
        </is>
      </c>
      <c r="B182" s="5" t="inlineStr">
        <is>
          <t>참고</t>
        </is>
      </c>
      <c r="C182" s="5" t="inlineStr">
        <is>
          <t>2024.2Q</t>
        </is>
      </c>
      <c r="D182" s="5" t="inlineStr">
        <is>
          <t>2024.3Q</t>
        </is>
      </c>
      <c r="E182" s="5" t="inlineStr">
        <is>
          <t>2024.4Q</t>
        </is>
      </c>
      <c r="F182" s="5" t="inlineStr">
        <is>
          <t>2025.1Q</t>
        </is>
      </c>
      <c r="G182" s="5" t="inlineStr">
        <is>
          <t>2025.2Q</t>
        </is>
      </c>
      <c r="H182" s="5" t="inlineStr">
        <is>
          <t>2025.3Q</t>
        </is>
      </c>
      <c r="I182" s="5" t="inlineStr">
        <is>
          <t>2025.4Q</t>
        </is>
      </c>
      <c r="J182" s="5" t="inlineStr">
        <is>
          <t>2026.1Q</t>
        </is>
      </c>
      <c r="K182" s="5" t="inlineStr">
        <is>
          <t>2026.2Q</t>
        </is>
      </c>
      <c r="L182" s="5" t="inlineStr">
        <is>
          <t>2026.3Q</t>
        </is>
      </c>
      <c r="M182" s="5" t="inlineStr">
        <is>
          <t>2026.4Q</t>
        </is>
      </c>
      <c r="N182" s="5" t="inlineStr">
        <is>
          <t>2027.1Q</t>
        </is>
      </c>
      <c r="O182" s="5" t="inlineStr">
        <is>
          <t>2017</t>
        </is>
      </c>
      <c r="P182" s="5" t="inlineStr">
        <is>
          <t>2018</t>
        </is>
      </c>
      <c r="Q182" s="5" t="inlineStr">
        <is>
          <t>2019</t>
        </is>
      </c>
      <c r="R182" s="5" t="inlineStr">
        <is>
          <t>2020</t>
        </is>
      </c>
      <c r="S182" s="5" t="inlineStr">
        <is>
          <t>2021</t>
        </is>
      </c>
      <c r="T182" s="5" t="inlineStr">
        <is>
          <t>2022</t>
        </is>
      </c>
      <c r="U182" s="5" t="inlineStr">
        <is>
          <t>2023</t>
        </is>
      </c>
      <c r="V182" s="5" t="inlineStr">
        <is>
          <t>2024</t>
        </is>
      </c>
      <c r="W182" s="5" t="inlineStr">
        <is>
          <t>2025</t>
        </is>
      </c>
      <c r="X182" s="5" t="inlineStr">
        <is>
          <t>2026</t>
        </is>
      </c>
      <c r="Y182" s="5" t="inlineStr">
        <is>
          <t>2027(MW)</t>
        </is>
      </c>
      <c r="Z182" s="5" t="inlineStr">
        <is>
          <t>2028(MW)</t>
        </is>
      </c>
      <c r="AA182" s="5" t="inlineStr">
        <is>
          <t>2029(MW)</t>
        </is>
      </c>
      <c r="AB182" s="5" t="inlineStr">
        <is>
          <t>2030(MW)</t>
        </is>
      </c>
      <c r="AC182" s="5" t="inlineStr">
        <is>
          <t>2031(MW)</t>
        </is>
      </c>
    </row>
    <row r="183">
      <c r="A183" s="9" t="inlineStr">
        <is>
          <t>법인세차감전 순이익</t>
        </is>
      </c>
      <c r="E183" s="12" t="n">
        <v>9133</v>
      </c>
      <c r="I183" s="12" t="n">
        <v>6168</v>
      </c>
      <c r="M183" s="12" t="n">
        <v>10118</v>
      </c>
      <c r="O183" s="12" t="n">
        <v>6703</v>
      </c>
      <c r="P183" s="12" t="n">
        <v>8041</v>
      </c>
      <c r="Q183" s="12" t="n">
        <v>7665</v>
      </c>
      <c r="R183" s="12" t="n">
        <v>-9426</v>
      </c>
      <c r="S183" s="12" t="n">
        <v>-7698</v>
      </c>
      <c r="T183" s="12" t="n">
        <v>-1549</v>
      </c>
      <c r="U183" s="12" t="n">
        <v>7265</v>
      </c>
      <c r="V183" s="12" t="n">
        <v>9133</v>
      </c>
      <c r="W183" s="12" t="n">
        <v>6168</v>
      </c>
      <c r="X183" s="12" t="n">
        <v>10118</v>
      </c>
    </row>
    <row r="184">
      <c r="A184" s="18" t="inlineStr">
        <is>
          <t>감가상각비</t>
        </is>
      </c>
      <c r="E184" s="20" t="n">
        <v>4803</v>
      </c>
      <c r="I184" s="20" t="n">
        <v>5344</v>
      </c>
      <c r="M184" s="20" t="n">
        <v>5293</v>
      </c>
      <c r="O184" s="20" t="n">
        <v>4323</v>
      </c>
      <c r="P184" s="20" t="n">
        <v>3597</v>
      </c>
      <c r="Q184" s="20" t="n">
        <v>4649</v>
      </c>
      <c r="R184" s="20" t="n">
        <v>5875</v>
      </c>
      <c r="S184" s="20" t="n">
        <v>5446</v>
      </c>
      <c r="T184" s="20" t="n">
        <v>4542</v>
      </c>
      <c r="U184" s="20" t="n">
        <v>4737</v>
      </c>
      <c r="V184" s="20" t="n">
        <v>4803</v>
      </c>
      <c r="W184" s="20" t="n">
        <v>5344</v>
      </c>
      <c r="X184" s="20" t="n">
        <v>5293</v>
      </c>
    </row>
    <row r="185">
      <c r="A185" s="18" t="inlineStr">
        <is>
          <t>손상차손</t>
        </is>
      </c>
      <c r="E185" s="20" t="n">
        <v>0</v>
      </c>
      <c r="I185" s="20" t="n">
        <v>1335</v>
      </c>
      <c r="M185" s="20" t="n">
        <v>612</v>
      </c>
      <c r="O185" s="20" t="n">
        <v>3934</v>
      </c>
      <c r="P185" s="20" t="n">
        <v>385</v>
      </c>
      <c r="Q185" s="20" t="n">
        <v>19</v>
      </c>
      <c r="R185" s="20" t="n">
        <v>7782</v>
      </c>
      <c r="S185" s="20" t="n">
        <v>4742</v>
      </c>
      <c r="T185" s="20" t="n">
        <v>131</v>
      </c>
      <c r="U185" s="20" t="n">
        <v>461</v>
      </c>
      <c r="V185" s="20" t="n">
        <v>0</v>
      </c>
      <c r="W185" s="20" t="n">
        <v>1335</v>
      </c>
      <c r="X185" s="20" t="n">
        <v>612</v>
      </c>
    </row>
    <row r="186">
      <c r="A186" s="18" t="inlineStr">
        <is>
          <t>Loss On Withdrawal From Business Ope CF</t>
        </is>
      </c>
      <c r="Q186" s="20" t="n">
        <v>0</v>
      </c>
      <c r="R186" s="20" t="n">
        <v>1587</v>
      </c>
    </row>
    <row r="187">
      <c r="A187" s="18" t="inlineStr">
        <is>
          <t>투자유가증권 평가손익</t>
        </is>
      </c>
      <c r="S187" s="20" t="n">
        <v>0</v>
      </c>
      <c r="T187" s="20" t="n">
        <v>10312</v>
      </c>
      <c r="U187" s="20" t="n">
        <v>0</v>
      </c>
    </row>
    <row r="188">
      <c r="A188" s="18" t="inlineStr">
        <is>
          <t>사업구조개선비용</t>
        </is>
      </c>
      <c r="R188" s="20" t="n">
        <v>1587</v>
      </c>
      <c r="S188" s="20" t="n">
        <v>7319</v>
      </c>
      <c r="T188" s="20" t="n">
        <v>0</v>
      </c>
    </row>
    <row r="189">
      <c r="A189" s="18" t="inlineStr">
        <is>
          <t>Gain On Sales Of Investments In Capital Of Subsidiaries And Affiliates Ope CF</t>
        </is>
      </c>
      <c r="I189" s="20" t="n">
        <v>0</v>
      </c>
      <c r="M189" s="20" t="n">
        <v>-2857</v>
      </c>
      <c r="W189" s="20" t="n">
        <v>0</v>
      </c>
      <c r="X189" s="20" t="n">
        <v>-2857</v>
      </c>
    </row>
    <row r="190">
      <c r="A190" s="18" t="inlineStr">
        <is>
          <t>특별퇴직금</t>
        </is>
      </c>
      <c r="E190" s="20" t="n">
        <v>435</v>
      </c>
      <c r="I190" s="20" t="n">
        <v>1886</v>
      </c>
      <c r="M190" s="20" t="n">
        <v>378</v>
      </c>
      <c r="S190" s="20" t="n">
        <v>0</v>
      </c>
      <c r="T190" s="20" t="n">
        <v>635</v>
      </c>
      <c r="U190" s="20" t="n">
        <v>407</v>
      </c>
      <c r="V190" s="20" t="n">
        <v>435</v>
      </c>
      <c r="W190" s="20" t="n">
        <v>1886</v>
      </c>
      <c r="X190" s="20" t="n">
        <v>378</v>
      </c>
    </row>
    <row r="191">
      <c r="A191" s="18" t="inlineStr">
        <is>
          <t>영업권 상각</t>
        </is>
      </c>
      <c r="E191" s="20" t="n">
        <v>0</v>
      </c>
      <c r="O191" s="20" t="n">
        <v>0</v>
      </c>
      <c r="P191" s="20" t="n">
        <v>540</v>
      </c>
      <c r="Q191" s="20" t="n">
        <v>923</v>
      </c>
      <c r="R191" s="20" t="n">
        <v>1231</v>
      </c>
      <c r="S191" s="20" t="n">
        <v>590</v>
      </c>
      <c r="T191" s="20" t="n">
        <v>590</v>
      </c>
      <c r="U191" s="20" t="n">
        <v>48</v>
      </c>
      <c r="V191" s="20" t="n">
        <v>0</v>
      </c>
    </row>
    <row r="192">
      <c r="A192" s="18" t="inlineStr">
        <is>
          <t>퇴직급여부채 증감</t>
        </is>
      </c>
      <c r="E192" s="20" t="n">
        <v>232</v>
      </c>
      <c r="I192" s="20" t="n">
        <v>-536</v>
      </c>
      <c r="M192" s="20" t="n">
        <v>-261</v>
      </c>
      <c r="O192" s="20" t="n">
        <v>141</v>
      </c>
      <c r="P192" s="20" t="n">
        <v>230</v>
      </c>
      <c r="Q192" s="20" t="n">
        <v>126</v>
      </c>
      <c r="R192" s="20" t="n">
        <v>-445</v>
      </c>
      <c r="S192" s="20" t="n">
        <v>-1217</v>
      </c>
      <c r="T192" s="20" t="n">
        <v>-286</v>
      </c>
      <c r="U192" s="20" t="n">
        <v>38</v>
      </c>
      <c r="V192" s="20" t="n">
        <v>232</v>
      </c>
      <c r="W192" s="20" t="n">
        <v>-536</v>
      </c>
      <c r="X192" s="20" t="n">
        <v>-261</v>
      </c>
    </row>
    <row r="193">
      <c r="A193" s="18" t="inlineStr">
        <is>
          <t>대손충당금 증감</t>
        </is>
      </c>
      <c r="E193" s="20" t="n">
        <v>-405</v>
      </c>
      <c r="I193" s="20" t="n">
        <v>122</v>
      </c>
      <c r="M193" s="20" t="n">
        <v>107</v>
      </c>
      <c r="O193" s="20" t="n">
        <v>174</v>
      </c>
      <c r="P193" s="20" t="n">
        <v>-27</v>
      </c>
      <c r="Q193" s="20" t="n">
        <v>-51</v>
      </c>
      <c r="R193" s="20" t="n">
        <v>-66</v>
      </c>
      <c r="S193" s="20" t="n">
        <v>-23</v>
      </c>
      <c r="T193" s="20" t="n">
        <v>305</v>
      </c>
      <c r="U193" s="20" t="n">
        <v>-82</v>
      </c>
      <c r="V193" s="20" t="n">
        <v>-405</v>
      </c>
      <c r="W193" s="20" t="n">
        <v>122</v>
      </c>
      <c r="X193" s="20" t="n">
        <v>107</v>
      </c>
    </row>
    <row r="194">
      <c r="A194" s="18" t="inlineStr">
        <is>
          <t>이자·배당금 수익</t>
        </is>
      </c>
      <c r="E194" s="20" t="n">
        <v>-726</v>
      </c>
      <c r="I194" s="20" t="n">
        <v>-769</v>
      </c>
      <c r="M194" s="20" t="n">
        <v>-509</v>
      </c>
      <c r="O194" s="20" t="n">
        <v>-319</v>
      </c>
      <c r="P194" s="20" t="n">
        <v>-376</v>
      </c>
      <c r="Q194" s="20" t="n">
        <v>-495</v>
      </c>
      <c r="R194" s="20" t="n">
        <v>-359</v>
      </c>
      <c r="S194" s="20" t="n">
        <v>-461</v>
      </c>
      <c r="T194" s="20" t="n">
        <v>-280</v>
      </c>
      <c r="U194" s="20" t="n">
        <v>-327</v>
      </c>
      <c r="V194" s="20" t="n">
        <v>-726</v>
      </c>
      <c r="W194" s="20" t="n">
        <v>-769</v>
      </c>
      <c r="X194" s="20" t="n">
        <v>-509</v>
      </c>
    </row>
    <row r="195">
      <c r="A195" s="18" t="inlineStr">
        <is>
          <t>이자비용</t>
        </is>
      </c>
      <c r="E195" s="20" t="n">
        <v>79</v>
      </c>
      <c r="I195" s="20" t="n">
        <v>146</v>
      </c>
      <c r="M195" s="20" t="n">
        <v>249</v>
      </c>
      <c r="O195" s="20" t="n">
        <v>29</v>
      </c>
      <c r="P195" s="20" t="n">
        <v>37</v>
      </c>
      <c r="Q195" s="20" t="n">
        <v>53</v>
      </c>
      <c r="R195" s="20" t="n">
        <v>81</v>
      </c>
      <c r="S195" s="20" t="n">
        <v>112</v>
      </c>
      <c r="T195" s="20" t="n">
        <v>107</v>
      </c>
      <c r="U195" s="20" t="n">
        <v>103</v>
      </c>
      <c r="V195" s="20" t="n">
        <v>79</v>
      </c>
      <c r="W195" s="20" t="n">
        <v>146</v>
      </c>
      <c r="X195" s="20" t="n">
        <v>249</v>
      </c>
    </row>
    <row r="196">
      <c r="A196" s="18" t="inlineStr">
        <is>
          <t>지분법손익</t>
        </is>
      </c>
      <c r="E196" s="20" t="n">
        <v>46</v>
      </c>
      <c r="I196" s="20" t="n">
        <v>-78</v>
      </c>
      <c r="M196" s="20" t="n">
        <v>-398</v>
      </c>
      <c r="O196" s="20" t="n">
        <v>126</v>
      </c>
      <c r="P196" s="20" t="n">
        <v>-346</v>
      </c>
      <c r="Q196" s="20" t="n">
        <v>-546</v>
      </c>
      <c r="R196" s="20" t="n">
        <v>-164</v>
      </c>
      <c r="S196" s="20" t="n">
        <v>30</v>
      </c>
      <c r="T196" s="20" t="n">
        <v>-138</v>
      </c>
      <c r="U196" s="20" t="n">
        <v>152</v>
      </c>
      <c r="V196" s="20" t="n">
        <v>46</v>
      </c>
      <c r="W196" s="20" t="n">
        <v>-78</v>
      </c>
      <c r="X196" s="20" t="n">
        <v>-398</v>
      </c>
    </row>
    <row r="197">
      <c r="A197" s="18" t="inlineStr">
        <is>
          <t>투자유가증권 매각손익</t>
        </is>
      </c>
      <c r="E197" s="20" t="n">
        <v>0</v>
      </c>
      <c r="S197" s="20" t="n">
        <v>-16</v>
      </c>
      <c r="T197" s="20" t="n">
        <v>-329</v>
      </c>
      <c r="U197" s="20" t="n">
        <v>-9</v>
      </c>
      <c r="V197" s="20" t="n">
        <v>0</v>
      </c>
    </row>
    <row r="198">
      <c r="A198" s="18" t="inlineStr">
        <is>
          <t>고정자산 제각·매각손익</t>
        </is>
      </c>
      <c r="E198" s="20" t="n">
        <v>218</v>
      </c>
      <c r="I198" s="20" t="n">
        <v>416</v>
      </c>
      <c r="M198" s="20" t="n">
        <v>345</v>
      </c>
      <c r="O198" s="20" t="n">
        <v>-4064</v>
      </c>
      <c r="P198" s="20" t="n">
        <v>384</v>
      </c>
      <c r="Q198" s="20" t="n">
        <v>280</v>
      </c>
      <c r="R198" s="20" t="n">
        <v>308</v>
      </c>
      <c r="S198" s="20" t="n">
        <v>-6339</v>
      </c>
      <c r="T198" s="20" t="n">
        <v>433</v>
      </c>
      <c r="U198" s="20" t="n">
        <v>-1397</v>
      </c>
      <c r="V198" s="20" t="n">
        <v>218</v>
      </c>
      <c r="W198" s="20" t="n">
        <v>416</v>
      </c>
      <c r="X198" s="20" t="n">
        <v>345</v>
      </c>
    </row>
    <row r="199">
      <c r="A199" s="18" t="inlineStr">
        <is>
          <t>부의 영업권 발생이익</t>
        </is>
      </c>
      <c r="P199" s="20" t="n">
        <v>0</v>
      </c>
      <c r="Q199" s="20" t="n">
        <v>-2143</v>
      </c>
      <c r="R199" s="20" t="n">
        <v>0</v>
      </c>
    </row>
    <row r="200">
      <c r="A200" s="18" t="inlineStr">
        <is>
          <t>매출채권 증감</t>
        </is>
      </c>
      <c r="E200" s="20" t="n">
        <v>1020</v>
      </c>
      <c r="I200" s="20" t="n">
        <v>1930</v>
      </c>
      <c r="M200" s="20" t="n">
        <v>1247</v>
      </c>
      <c r="O200" s="20" t="n">
        <v>3617</v>
      </c>
      <c r="P200" s="20" t="n">
        <v>-3519</v>
      </c>
      <c r="Q200" s="20" t="n">
        <v>-4336</v>
      </c>
      <c r="R200" s="20" t="n">
        <v>9441</v>
      </c>
      <c r="S200" s="20" t="n">
        <v>464</v>
      </c>
      <c r="T200" s="20" t="n">
        <v>1004</v>
      </c>
      <c r="U200" s="20" t="n">
        <v>384</v>
      </c>
      <c r="V200" s="20" t="n">
        <v>1020</v>
      </c>
      <c r="W200" s="20" t="n">
        <v>1930</v>
      </c>
      <c r="X200" s="20" t="n">
        <v>1247</v>
      </c>
    </row>
    <row r="201">
      <c r="A201" s="18" t="inlineStr">
        <is>
          <t>재고자산 증감</t>
        </is>
      </c>
      <c r="E201" s="20" t="n">
        <v>3750</v>
      </c>
      <c r="I201" s="20" t="n">
        <v>333</v>
      </c>
      <c r="M201" s="20" t="n">
        <v>1953</v>
      </c>
      <c r="O201" s="20" t="n">
        <v>501</v>
      </c>
      <c r="P201" s="20" t="n">
        <v>-3599</v>
      </c>
      <c r="Q201" s="20" t="n">
        <v>-1344</v>
      </c>
      <c r="R201" s="20" t="n">
        <v>2707</v>
      </c>
      <c r="S201" s="20" t="n">
        <v>4530</v>
      </c>
      <c r="T201" s="20" t="n">
        <v>-1338</v>
      </c>
      <c r="U201" s="20" t="n">
        <v>-3868</v>
      </c>
      <c r="V201" s="20" t="n">
        <v>3750</v>
      </c>
      <c r="W201" s="20" t="n">
        <v>333</v>
      </c>
      <c r="X201" s="20" t="n">
        <v>1953</v>
      </c>
    </row>
    <row r="202">
      <c r="A202" s="18" t="inlineStr">
        <is>
          <t>매입채무 증감</t>
        </is>
      </c>
      <c r="E202" s="20" t="n">
        <v>-1467</v>
      </c>
      <c r="I202" s="20" t="n">
        <v>-242</v>
      </c>
      <c r="M202" s="20" t="n">
        <v>-2418</v>
      </c>
      <c r="O202" s="20" t="n">
        <v>-719</v>
      </c>
      <c r="P202" s="20" t="n">
        <v>5349</v>
      </c>
      <c r="Q202" s="20" t="n">
        <v>-3229</v>
      </c>
      <c r="R202" s="20" t="n">
        <v>-3004</v>
      </c>
      <c r="S202" s="20" t="n">
        <v>852</v>
      </c>
      <c r="T202" s="20" t="n">
        <v>1251</v>
      </c>
      <c r="U202" s="20" t="n">
        <v>-1320</v>
      </c>
      <c r="V202" s="20" t="n">
        <v>-1467</v>
      </c>
      <c r="W202" s="20" t="n">
        <v>-242</v>
      </c>
      <c r="X202" s="20" t="n">
        <v>-2418</v>
      </c>
    </row>
    <row r="203">
      <c r="A203" s="18" t="inlineStr">
        <is>
          <t>선수금 증감</t>
        </is>
      </c>
      <c r="E203" s="20" t="n">
        <v>-1466</v>
      </c>
      <c r="I203" s="20" t="n">
        <v>-2182</v>
      </c>
      <c r="M203" s="20" t="n">
        <v>-1138</v>
      </c>
      <c r="S203" s="20" t="n">
        <v>274</v>
      </c>
      <c r="T203" s="20" t="n">
        <v>14086</v>
      </c>
      <c r="U203" s="20" t="n">
        <v>-1816</v>
      </c>
      <c r="V203" s="20" t="n">
        <v>-1466</v>
      </c>
      <c r="W203" s="20" t="n">
        <v>-2182</v>
      </c>
      <c r="X203" s="20" t="n">
        <v>-1138</v>
      </c>
    </row>
    <row r="204">
      <c r="A204" s="18" t="inlineStr">
        <is>
          <t>미지급비용 증감</t>
        </is>
      </c>
      <c r="I204" s="20" t="n">
        <v>-511</v>
      </c>
      <c r="M204" s="20" t="n">
        <v>-1069</v>
      </c>
      <c r="O204" s="20" t="n">
        <v>-279</v>
      </c>
      <c r="P204" s="20" t="n">
        <v>73</v>
      </c>
      <c r="Q204" s="20" t="n">
        <v>821</v>
      </c>
      <c r="R204" s="20" t="n">
        <v>-1674</v>
      </c>
      <c r="S204" s="20" t="n">
        <v>6728</v>
      </c>
      <c r="T204" s="20" t="n">
        <v>-8851</v>
      </c>
      <c r="U204" s="20" t="n">
        <v>-1042</v>
      </c>
      <c r="W204" s="20" t="n">
        <v>-511</v>
      </c>
      <c r="X204" s="20" t="n">
        <v>-1069</v>
      </c>
    </row>
    <row r="205">
      <c r="A205" s="18" t="inlineStr">
        <is>
          <t>미수금 증감</t>
        </is>
      </c>
      <c r="O205" s="20" t="n">
        <v>-16</v>
      </c>
      <c r="P205" s="20" t="n">
        <v>-811</v>
      </c>
      <c r="Q205" s="20" t="n">
        <v>-317</v>
      </c>
      <c r="R205" s="20" t="n">
        <v>807</v>
      </c>
      <c r="S205" s="20" t="n">
        <v>-1006</v>
      </c>
    </row>
    <row r="206">
      <c r="A206" s="18" t="inlineStr">
        <is>
          <t>미지급금 증감</t>
        </is>
      </c>
      <c r="E206" s="20" t="n">
        <v>-612</v>
      </c>
      <c r="I206" s="20" t="n">
        <v>-1006</v>
      </c>
      <c r="M206" s="20" t="n">
        <v>849</v>
      </c>
      <c r="V206" s="20" t="n">
        <v>-612</v>
      </c>
      <c r="W206" s="20" t="n">
        <v>-1006</v>
      </c>
      <c r="X206" s="20" t="n">
        <v>849</v>
      </c>
    </row>
    <row r="207">
      <c r="A207" s="18" t="inlineStr">
        <is>
          <t>기타</t>
        </is>
      </c>
      <c r="E207" s="20" t="n">
        <v>-818</v>
      </c>
      <c r="I207" s="20" t="n">
        <v>-1328</v>
      </c>
      <c r="M207" s="20" t="n">
        <v>-1522</v>
      </c>
      <c r="O207" s="20" t="n">
        <v>-1706</v>
      </c>
      <c r="P207" s="20" t="n">
        <v>-993</v>
      </c>
      <c r="Q207" s="20" t="n">
        <v>939</v>
      </c>
      <c r="R207" s="20" t="n">
        <v>-1222</v>
      </c>
      <c r="S207" s="20" t="n">
        <v>-571</v>
      </c>
      <c r="T207" s="20" t="n">
        <v>1952</v>
      </c>
      <c r="U207" s="20" t="n">
        <v>1459</v>
      </c>
      <c r="V207" s="20" t="n">
        <v>-818</v>
      </c>
      <c r="W207" s="20" t="n">
        <v>-1328</v>
      </c>
      <c r="X207" s="20" t="n">
        <v>-1522</v>
      </c>
    </row>
    <row r="208">
      <c r="A208" s="18" t="inlineStr">
        <is>
          <t>소계</t>
        </is>
      </c>
      <c r="E208" s="20" t="n">
        <v>14222</v>
      </c>
      <c r="I208" s="20" t="n">
        <v>11028</v>
      </c>
      <c r="M208" s="20" t="n">
        <v>10979</v>
      </c>
      <c r="O208" s="20" t="n">
        <v>12445</v>
      </c>
      <c r="P208" s="20" t="n">
        <v>8965</v>
      </c>
      <c r="Q208" s="20" t="n">
        <v>3014</v>
      </c>
      <c r="R208" s="20" t="n">
        <v>13459</v>
      </c>
      <c r="S208" s="20" t="n">
        <v>14762</v>
      </c>
      <c r="T208" s="20" t="n">
        <v>22577</v>
      </c>
      <c r="U208" s="20" t="n">
        <v>6235</v>
      </c>
      <c r="V208" s="20" t="n">
        <v>14222</v>
      </c>
      <c r="W208" s="20" t="n">
        <v>11028</v>
      </c>
      <c r="X208" s="20" t="n">
        <v>10979</v>
      </c>
    </row>
    <row r="209">
      <c r="A209" s="18" t="inlineStr">
        <is>
          <t>이자·배당금 수취</t>
        </is>
      </c>
      <c r="E209" s="20" t="n">
        <v>733</v>
      </c>
      <c r="I209" s="20" t="n">
        <v>882</v>
      </c>
      <c r="M209" s="20" t="n">
        <v>570</v>
      </c>
      <c r="O209" s="20" t="n">
        <v>303</v>
      </c>
      <c r="P209" s="20" t="n">
        <v>383</v>
      </c>
      <c r="Q209" s="20" t="n">
        <v>496</v>
      </c>
      <c r="R209" s="20" t="n">
        <v>577</v>
      </c>
      <c r="S209" s="20" t="n">
        <v>582</v>
      </c>
      <c r="T209" s="20" t="n">
        <v>298</v>
      </c>
      <c r="U209" s="20" t="n">
        <v>479</v>
      </c>
      <c r="V209" s="20" t="n">
        <v>733</v>
      </c>
      <c r="W209" s="20" t="n">
        <v>882</v>
      </c>
      <c r="X209" s="20" t="n">
        <v>570</v>
      </c>
    </row>
    <row r="210">
      <c r="A210" s="18" t="inlineStr">
        <is>
          <t>이자 지급</t>
        </is>
      </c>
      <c r="E210" s="20" t="n">
        <v>-69</v>
      </c>
      <c r="I210" s="20" t="n">
        <v>-128</v>
      </c>
      <c r="M210" s="20" t="n">
        <v>-213</v>
      </c>
      <c r="O210" s="20" t="n">
        <v>-29</v>
      </c>
      <c r="P210" s="20" t="n">
        <v>-37</v>
      </c>
      <c r="Q210" s="20" t="n">
        <v>-68</v>
      </c>
      <c r="R210" s="20" t="n">
        <v>-82</v>
      </c>
      <c r="S210" s="20" t="n">
        <v>-105</v>
      </c>
      <c r="T210" s="20" t="n">
        <v>-109</v>
      </c>
      <c r="U210" s="20" t="n">
        <v>-102</v>
      </c>
      <c r="V210" s="20" t="n">
        <v>-69</v>
      </c>
      <c r="W210" s="20" t="n">
        <v>-128</v>
      </c>
      <c r="X210" s="20" t="n">
        <v>-213</v>
      </c>
    </row>
    <row r="211">
      <c r="A211" s="18" t="inlineStr">
        <is>
          <t>법인세 납부·환급</t>
        </is>
      </c>
      <c r="E211" s="20" t="n">
        <v>-646</v>
      </c>
      <c r="I211" s="20" t="n">
        <v>-1946</v>
      </c>
      <c r="R211" s="20" t="n">
        <v>272</v>
      </c>
      <c r="S211" s="20" t="n">
        <v>-2210</v>
      </c>
      <c r="T211" s="20" t="n">
        <v>-4324</v>
      </c>
      <c r="U211" s="20" t="n">
        <v>-2611</v>
      </c>
      <c r="V211" s="20" t="n">
        <v>-646</v>
      </c>
      <c r="W211" s="20" t="n">
        <v>-1946</v>
      </c>
    </row>
    <row r="212">
      <c r="A212" s="18" t="inlineStr">
        <is>
          <t>법인세 납부</t>
        </is>
      </c>
      <c r="I212" s="20" t="n">
        <v>-1946</v>
      </c>
      <c r="M212" s="20" t="n">
        <v>-2411</v>
      </c>
      <c r="O212" s="20" t="n">
        <v>-748</v>
      </c>
      <c r="P212" s="20" t="n">
        <v>-1514</v>
      </c>
      <c r="Q212" s="20" t="n">
        <v>-2869</v>
      </c>
      <c r="R212" s="20" t="n">
        <v>272</v>
      </c>
      <c r="W212" s="20" t="n">
        <v>-1946</v>
      </c>
      <c r="X212" s="20" t="n">
        <v>-2411</v>
      </c>
    </row>
    <row r="213">
      <c r="A213" s="9" t="inlineStr">
        <is>
          <t>영업활동 현금흐름</t>
        </is>
      </c>
      <c r="E213" s="12" t="n">
        <v>14240</v>
      </c>
      <c r="I213" s="12" t="n">
        <v>9836</v>
      </c>
      <c r="M213" s="12" t="n">
        <v>8925</v>
      </c>
      <c r="O213" s="12" t="n">
        <v>11971</v>
      </c>
      <c r="P213" s="12" t="n">
        <v>7797</v>
      </c>
      <c r="Q213" s="12" t="n">
        <v>573</v>
      </c>
      <c r="R213" s="12" t="n">
        <v>14226</v>
      </c>
      <c r="S213" s="12" t="n">
        <v>13029</v>
      </c>
      <c r="T213" s="12" t="n">
        <v>18442</v>
      </c>
      <c r="U213" s="12" t="n">
        <v>4001</v>
      </c>
      <c r="V213" s="12" t="n">
        <v>14240</v>
      </c>
      <c r="W213" s="12" t="n">
        <v>9836</v>
      </c>
      <c r="X213" s="12" t="n">
        <v>8925</v>
      </c>
    </row>
    <row r="214">
      <c r="A214" s="18" t="inlineStr">
        <is>
          <t>정기예금 예입</t>
        </is>
      </c>
      <c r="E214" s="20" t="n">
        <v>-881</v>
      </c>
      <c r="I214" s="20" t="n">
        <v>0</v>
      </c>
      <c r="M214" s="20" t="n">
        <v>-800</v>
      </c>
      <c r="O214" s="20" t="n">
        <v>-3118</v>
      </c>
      <c r="P214" s="20" t="n">
        <v>-559</v>
      </c>
      <c r="Q214" s="20" t="n">
        <v>-281</v>
      </c>
      <c r="R214" s="20" t="n">
        <v>-218</v>
      </c>
      <c r="S214" s="20" t="n">
        <v>-221</v>
      </c>
      <c r="T214" s="20" t="n">
        <v>-2215</v>
      </c>
      <c r="U214" s="20" t="n">
        <v>-1601</v>
      </c>
      <c r="V214" s="20" t="n">
        <v>-881</v>
      </c>
      <c r="W214" s="20" t="n">
        <v>0</v>
      </c>
      <c r="X214" s="20" t="n">
        <v>-800</v>
      </c>
    </row>
    <row r="215">
      <c r="A215" s="18" t="inlineStr">
        <is>
          <t>정기예금 인출</t>
        </is>
      </c>
      <c r="E215" s="20" t="n">
        <v>2482</v>
      </c>
      <c r="I215" s="20" t="n">
        <v>0</v>
      </c>
      <c r="M215" s="20" t="n">
        <v>800</v>
      </c>
      <c r="O215" s="20" t="n">
        <v>162</v>
      </c>
      <c r="P215" s="20" t="n">
        <v>3170</v>
      </c>
      <c r="Q215" s="20" t="n">
        <v>445</v>
      </c>
      <c r="R215" s="20" t="n">
        <v>218</v>
      </c>
      <c r="S215" s="20" t="n">
        <v>207</v>
      </c>
      <c r="T215" s="20" t="n">
        <v>221</v>
      </c>
      <c r="U215" s="20" t="n">
        <v>2215</v>
      </c>
      <c r="V215" s="20" t="n">
        <v>2482</v>
      </c>
      <c r="W215" s="20" t="n">
        <v>0</v>
      </c>
      <c r="X215" s="20" t="n">
        <v>800</v>
      </c>
    </row>
    <row r="216">
      <c r="A216" s="18" t="inlineStr">
        <is>
          <t>Payments Of Real Estate For Rent In Construction Inv CF</t>
        </is>
      </c>
      <c r="P216" s="20" t="n">
        <v>0</v>
      </c>
      <c r="Q216" s="20" t="n">
        <v>-3487</v>
      </c>
      <c r="R216" s="20" t="n">
        <v>-2360</v>
      </c>
      <c r="S216" s="20" t="n">
        <v>0</v>
      </c>
    </row>
    <row r="217">
      <c r="A217" s="18" t="inlineStr">
        <is>
          <t>유형자산 취득(설비투자)</t>
        </is>
      </c>
      <c r="E217" s="20" t="n">
        <v>-6027</v>
      </c>
      <c r="I217" s="20" t="n">
        <v>-7850</v>
      </c>
      <c r="M217" s="20" t="n">
        <v>-7840</v>
      </c>
      <c r="O217" s="20" t="n">
        <v>-3259</v>
      </c>
      <c r="P217" s="20" t="n">
        <v>-5523</v>
      </c>
      <c r="Q217" s="20" t="n">
        <v>-9074</v>
      </c>
      <c r="R217" s="20" t="n">
        <v>-7898</v>
      </c>
      <c r="S217" s="20" t="n">
        <v>-6268</v>
      </c>
      <c r="T217" s="20" t="n">
        <v>-4030</v>
      </c>
      <c r="U217" s="20" t="n">
        <v>-4931</v>
      </c>
      <c r="V217" s="20" t="n">
        <v>-6027</v>
      </c>
      <c r="W217" s="20" t="n">
        <v>-7850</v>
      </c>
      <c r="X217" s="20" t="n">
        <v>-7840</v>
      </c>
    </row>
    <row r="218">
      <c r="A218" s="18" t="inlineStr">
        <is>
          <t>유형자산 매각</t>
        </is>
      </c>
      <c r="E218" s="20" t="n">
        <v>29</v>
      </c>
      <c r="I218" s="20" t="n">
        <v>35</v>
      </c>
      <c r="M218" s="20" t="n">
        <v>77</v>
      </c>
      <c r="O218" s="20" t="n">
        <v>6052</v>
      </c>
      <c r="P218" s="20" t="n">
        <v>830</v>
      </c>
      <c r="Q218" s="20" t="n">
        <v>15</v>
      </c>
      <c r="R218" s="20" t="n">
        <v>6</v>
      </c>
      <c r="S218" s="20" t="n">
        <v>14784</v>
      </c>
      <c r="T218" s="20" t="n">
        <v>832</v>
      </c>
      <c r="U218" s="20" t="n">
        <v>5649</v>
      </c>
      <c r="V218" s="20" t="n">
        <v>29</v>
      </c>
      <c r="W218" s="20" t="n">
        <v>35</v>
      </c>
      <c r="X218" s="20" t="n">
        <v>77</v>
      </c>
    </row>
    <row r="219">
      <c r="A219" s="18" t="inlineStr">
        <is>
          <t>무형자산 취득</t>
        </is>
      </c>
      <c r="E219" s="20" t="n">
        <v>-572</v>
      </c>
      <c r="I219" s="20" t="n">
        <v>-360</v>
      </c>
      <c r="M219" s="20" t="n">
        <v>-480</v>
      </c>
      <c r="P219" s="20" t="n">
        <v>-362</v>
      </c>
      <c r="Q219" s="20" t="n">
        <v>-2180</v>
      </c>
      <c r="R219" s="20" t="n">
        <v>-508</v>
      </c>
      <c r="S219" s="20" t="n">
        <v>-483</v>
      </c>
      <c r="T219" s="20" t="n">
        <v>-1112</v>
      </c>
      <c r="U219" s="20" t="n">
        <v>-595</v>
      </c>
      <c r="V219" s="20" t="n">
        <v>-572</v>
      </c>
      <c r="W219" s="20" t="n">
        <v>-360</v>
      </c>
      <c r="X219" s="20" t="n">
        <v>-480</v>
      </c>
    </row>
    <row r="220">
      <c r="A220" s="18" t="inlineStr">
        <is>
          <t>투자유가증권 취득</t>
        </is>
      </c>
      <c r="E220" s="20" t="n">
        <v>-72</v>
      </c>
      <c r="O220" s="20" t="n">
        <v>-1507</v>
      </c>
      <c r="P220" s="20" t="n">
        <v>-1632</v>
      </c>
      <c r="Q220" s="20" t="n">
        <v>-10252</v>
      </c>
      <c r="R220" s="20" t="n">
        <v>-130</v>
      </c>
      <c r="S220" s="20" t="n">
        <v>-31</v>
      </c>
      <c r="T220" s="20" t="n">
        <v>-7</v>
      </c>
      <c r="U220" s="20" t="n">
        <v>-6</v>
      </c>
      <c r="V220" s="20" t="n">
        <v>-72</v>
      </c>
    </row>
    <row r="221">
      <c r="A221" s="18" t="inlineStr">
        <is>
          <t>투자유가증권 매각</t>
        </is>
      </c>
      <c r="E221" s="20" t="n">
        <v>0</v>
      </c>
      <c r="I221" s="20" t="n">
        <v>130</v>
      </c>
      <c r="M221" s="20" t="n">
        <v>63</v>
      </c>
      <c r="Q221" s="20" t="n">
        <v>274</v>
      </c>
      <c r="R221" s="20" t="n">
        <v>332</v>
      </c>
      <c r="S221" s="20" t="n">
        <v>37</v>
      </c>
      <c r="T221" s="20" t="n">
        <v>2403</v>
      </c>
      <c r="U221" s="20" t="n">
        <v>985</v>
      </c>
      <c r="V221" s="20" t="n">
        <v>0</v>
      </c>
      <c r="W221" s="20" t="n">
        <v>130</v>
      </c>
      <c r="X221" s="20" t="n">
        <v>63</v>
      </c>
    </row>
    <row r="222">
      <c r="A222" s="18" t="inlineStr">
        <is>
          <t>사업양수 지출</t>
        </is>
      </c>
      <c r="P222" s="20" t="n">
        <v>0</v>
      </c>
      <c r="Q222" s="20" t="n">
        <v>-949</v>
      </c>
      <c r="R222" s="20" t="n">
        <v>-1521</v>
      </c>
      <c r="S222" s="20" t="n">
        <v>0</v>
      </c>
    </row>
    <row r="223">
      <c r="A223" s="18" t="inlineStr">
        <is>
          <t>연결범위 변경 자회사 주식 취득</t>
        </is>
      </c>
      <c r="I223" s="20" t="n">
        <v>0</v>
      </c>
      <c r="M223" s="20" t="n">
        <v>-7955</v>
      </c>
      <c r="O223" s="20" t="n">
        <v>0</v>
      </c>
      <c r="P223" s="20" t="n">
        <v>-4940</v>
      </c>
      <c r="Q223" s="20" t="n">
        <v>-16683</v>
      </c>
      <c r="R223" s="20" t="n">
        <v>0</v>
      </c>
      <c r="W223" s="20" t="n">
        <v>0</v>
      </c>
      <c r="X223" s="20" t="n">
        <v>-7955</v>
      </c>
    </row>
    <row r="224">
      <c r="A224" s="18" t="inlineStr">
        <is>
          <t>관계회사 주식 취득</t>
        </is>
      </c>
      <c r="O224" s="20" t="n">
        <v>-465</v>
      </c>
      <c r="P224" s="20" t="n">
        <v>0</v>
      </c>
      <c r="Q224" s="20" t="n">
        <v>-4200</v>
      </c>
      <c r="R224" s="20" t="n">
        <v>0</v>
      </c>
    </row>
    <row r="225">
      <c r="A225" s="18" t="inlineStr">
        <is>
          <t>관계회사 출자금 매각 수입</t>
        </is>
      </c>
      <c r="O225" s="20" t="n">
        <v>0</v>
      </c>
      <c r="P225" s="20" t="n">
        <v>98</v>
      </c>
      <c r="Q225" s="20" t="n">
        <v>0</v>
      </c>
    </row>
    <row r="226">
      <c r="A226" s="18" t="inlineStr">
        <is>
          <t>단기대여금 순증감</t>
        </is>
      </c>
      <c r="O226" s="20" t="n">
        <v>12</v>
      </c>
      <c r="P226" s="20" t="n">
        <v>0</v>
      </c>
    </row>
    <row r="227">
      <c r="A227" s="18" t="inlineStr">
        <is>
          <t>Proceeds From Sales Of Investments In Capital Of Subsidiaries And Associates Resulting In Change In Scope Of Consolidation Inv CF</t>
        </is>
      </c>
      <c r="I227" s="20" t="n">
        <v>0</v>
      </c>
      <c r="M227" s="20" t="n">
        <v>998</v>
      </c>
      <c r="W227" s="20" t="n">
        <v>0</v>
      </c>
      <c r="X227" s="20" t="n">
        <v>998</v>
      </c>
    </row>
    <row r="228">
      <c r="A228" s="18" t="inlineStr">
        <is>
          <t>기타</t>
        </is>
      </c>
      <c r="E228" s="20" t="n">
        <v>121</v>
      </c>
      <c r="I228" s="20" t="n">
        <v>20</v>
      </c>
      <c r="M228" s="20" t="n">
        <v>79</v>
      </c>
      <c r="O228" s="20" t="n">
        <v>-219</v>
      </c>
      <c r="P228" s="20" t="n">
        <v>-2</v>
      </c>
      <c r="Q228" s="20" t="n">
        <v>61</v>
      </c>
      <c r="R228" s="20" t="n">
        <v>-19</v>
      </c>
      <c r="S228" s="20" t="n">
        <v>14</v>
      </c>
      <c r="T228" s="20" t="n">
        <v>0</v>
      </c>
      <c r="U228" s="20" t="n">
        <v>-3</v>
      </c>
      <c r="V228" s="20" t="n">
        <v>121</v>
      </c>
      <c r="W228" s="20" t="n">
        <v>20</v>
      </c>
      <c r="X228" s="20" t="n">
        <v>79</v>
      </c>
    </row>
    <row r="229">
      <c r="A229" s="9" t="inlineStr">
        <is>
          <t>투자활동 현금흐름</t>
        </is>
      </c>
      <c r="E229" s="12" t="n">
        <v>-4848</v>
      </c>
      <c r="I229" s="12" t="n">
        <v>-8025</v>
      </c>
      <c r="M229" s="12" t="n">
        <v>-15058</v>
      </c>
      <c r="O229" s="12" t="n">
        <v>-2342</v>
      </c>
      <c r="P229" s="12" t="n">
        <v>-8920</v>
      </c>
      <c r="Q229" s="12" t="n">
        <v>-46326</v>
      </c>
      <c r="R229" s="12" t="n">
        <v>-12098</v>
      </c>
      <c r="S229" s="12" t="n">
        <v>8039</v>
      </c>
      <c r="T229" s="12" t="n">
        <v>-3908</v>
      </c>
      <c r="U229" s="12" t="n">
        <v>1713</v>
      </c>
      <c r="V229" s="12" t="n">
        <v>-4848</v>
      </c>
      <c r="W229" s="12" t="n">
        <v>-8025</v>
      </c>
      <c r="X229" s="12" t="n">
        <v>-15058</v>
      </c>
    </row>
    <row r="230">
      <c r="A230" s="18" t="inlineStr">
        <is>
          <t>단기차입금 순증감</t>
        </is>
      </c>
      <c r="P230" s="20" t="n">
        <v>0</v>
      </c>
      <c r="Q230" s="20" t="n">
        <v>12088</v>
      </c>
      <c r="R230" s="20" t="n">
        <v>-8500</v>
      </c>
      <c r="S230" s="20" t="n">
        <v>-5000</v>
      </c>
      <c r="T230" s="20" t="n">
        <v>-3500</v>
      </c>
      <c r="U230" s="20" t="n">
        <v>0</v>
      </c>
    </row>
    <row r="231">
      <c r="A231" s="18" t="inlineStr">
        <is>
          <t>장기차입</t>
        </is>
      </c>
      <c r="E231" s="20" t="n">
        <v>560</v>
      </c>
      <c r="I231" s="20" t="n">
        <v>13000</v>
      </c>
      <c r="M231" s="20" t="n">
        <v>20000</v>
      </c>
      <c r="P231" s="20" t="n">
        <v>0</v>
      </c>
      <c r="Q231" s="20" t="n">
        <v>7974</v>
      </c>
      <c r="R231" s="20" t="n">
        <v>28235</v>
      </c>
      <c r="S231" s="20" t="n">
        <v>6000</v>
      </c>
      <c r="T231" s="20" t="n">
        <v>0</v>
      </c>
      <c r="U231" s="20" t="n">
        <v>0</v>
      </c>
      <c r="V231" s="20" t="n">
        <v>560</v>
      </c>
      <c r="W231" s="20" t="n">
        <v>13000</v>
      </c>
      <c r="X231" s="20" t="n">
        <v>20000</v>
      </c>
    </row>
    <row r="232">
      <c r="A232" s="18" t="inlineStr">
        <is>
          <t>장기차입금 상환</t>
        </is>
      </c>
      <c r="E232" s="20" t="n">
        <v>-8123</v>
      </c>
      <c r="I232" s="20" t="n">
        <v>-12563</v>
      </c>
      <c r="M232" s="20" t="n">
        <v>-1563</v>
      </c>
      <c r="O232" s="20" t="n">
        <v>-35</v>
      </c>
      <c r="P232" s="20" t="n">
        <v>-36</v>
      </c>
      <c r="Q232" s="20" t="n">
        <v>-35</v>
      </c>
      <c r="R232" s="20" t="n">
        <v>-1098</v>
      </c>
      <c r="S232" s="20" t="n">
        <v>-7388</v>
      </c>
      <c r="T232" s="20" t="n">
        <v>-1598</v>
      </c>
      <c r="U232" s="20" t="n">
        <v>-6844</v>
      </c>
      <c r="V232" s="20" t="n">
        <v>-8123</v>
      </c>
      <c r="W232" s="20" t="n">
        <v>-12563</v>
      </c>
      <c r="X232" s="20" t="n">
        <v>-1563</v>
      </c>
    </row>
    <row r="233">
      <c r="A233" s="18" t="inlineStr">
        <is>
          <t>연결범위 변경 없는 자회사 주식 취득</t>
        </is>
      </c>
      <c r="R233" s="20" t="n">
        <v>0</v>
      </c>
      <c r="S233" s="20" t="n">
        <v>-5335</v>
      </c>
      <c r="T233" s="20" t="n">
        <v>0</v>
      </c>
    </row>
    <row r="234">
      <c r="A234" s="18" t="inlineStr">
        <is>
          <t>비지배주주 환급</t>
        </is>
      </c>
      <c r="Q234" s="20" t="n">
        <v>0</v>
      </c>
      <c r="R234" s="20" t="n">
        <v>-104</v>
      </c>
      <c r="S234" s="20" t="n">
        <v>0</v>
      </c>
    </row>
    <row r="235">
      <c r="A235" s="18" t="inlineStr">
        <is>
          <t>자기주식 취득</t>
        </is>
      </c>
      <c r="E235" s="20" t="n">
        <v>0</v>
      </c>
      <c r="I235" s="20" t="n">
        <v>-5000</v>
      </c>
      <c r="M235" s="20" t="n">
        <v>-13232</v>
      </c>
      <c r="O235" s="20" t="n">
        <v>0</v>
      </c>
      <c r="P235" s="20" t="n">
        <v>-1</v>
      </c>
      <c r="Q235" s="20" t="n">
        <v>-0</v>
      </c>
      <c r="R235" s="20" t="n">
        <v>-5039</v>
      </c>
      <c r="S235" s="20" t="n">
        <v>0</v>
      </c>
      <c r="T235" s="20" t="n">
        <v>0</v>
      </c>
      <c r="U235" s="20" t="n">
        <v>-5000</v>
      </c>
      <c r="V235" s="20" t="n">
        <v>0</v>
      </c>
      <c r="W235" s="20" t="n">
        <v>-5000</v>
      </c>
      <c r="X235" s="20" t="n">
        <v>-13232</v>
      </c>
    </row>
    <row r="236">
      <c r="A236" s="18" t="inlineStr">
        <is>
          <t>비지배주주 납입</t>
        </is>
      </c>
      <c r="P236" s="20" t="n">
        <v>0</v>
      </c>
      <c r="Q236" s="20" t="n">
        <v>5029</v>
      </c>
      <c r="R236" s="20" t="n">
        <v>0</v>
      </c>
    </row>
    <row r="237">
      <c r="A237" s="18" t="inlineStr">
        <is>
          <t>비지배주주 배당금 지급</t>
        </is>
      </c>
      <c r="E237" s="20" t="n">
        <v>-62</v>
      </c>
      <c r="I237" s="20" t="n">
        <v>-683</v>
      </c>
      <c r="M237" s="20" t="n">
        <v>-75</v>
      </c>
      <c r="O237" s="20" t="n">
        <v>-38</v>
      </c>
      <c r="P237" s="20" t="n">
        <v>-31</v>
      </c>
      <c r="Q237" s="20" t="n">
        <v>-16</v>
      </c>
      <c r="R237" s="20" t="n">
        <v>-38</v>
      </c>
      <c r="S237" s="20" t="n">
        <v>-64</v>
      </c>
      <c r="T237" s="20" t="n">
        <v>-9</v>
      </c>
      <c r="U237" s="20" t="n">
        <v>-128</v>
      </c>
      <c r="V237" s="20" t="n">
        <v>-62</v>
      </c>
      <c r="W237" s="20" t="n">
        <v>-683</v>
      </c>
      <c r="X237" s="20" t="n">
        <v>-75</v>
      </c>
    </row>
    <row r="238">
      <c r="A238" s="18" t="inlineStr">
        <is>
          <t>배당금 지급</t>
        </is>
      </c>
      <c r="E238" s="20" t="n">
        <v>-1834</v>
      </c>
      <c r="I238" s="20" t="n">
        <v>-2454</v>
      </c>
      <c r="M238" s="20" t="n">
        <v>-2158</v>
      </c>
      <c r="O238" s="20" t="n">
        <v>-1902</v>
      </c>
      <c r="P238" s="20" t="n">
        <v>-1902</v>
      </c>
      <c r="Q238" s="20" t="n">
        <v>-2325</v>
      </c>
      <c r="R238" s="20" t="n">
        <v>-15081</v>
      </c>
      <c r="S238" s="20" t="n">
        <v>0</v>
      </c>
      <c r="T238" s="20" t="n">
        <v>-990</v>
      </c>
      <c r="U238" s="20" t="n">
        <v>-1938</v>
      </c>
      <c r="V238" s="20" t="n">
        <v>-1834</v>
      </c>
      <c r="W238" s="20" t="n">
        <v>-2454</v>
      </c>
      <c r="X238" s="20" t="n">
        <v>-2158</v>
      </c>
    </row>
    <row r="239">
      <c r="A239" s="18" t="inlineStr">
        <is>
          <t>리스부채 상환</t>
        </is>
      </c>
      <c r="E239" s="20" t="n">
        <v>-63</v>
      </c>
      <c r="I239" s="20" t="n">
        <v>-49</v>
      </c>
      <c r="M239" s="20" t="n">
        <v>-61</v>
      </c>
      <c r="O239" s="20" t="n">
        <v>-56</v>
      </c>
      <c r="P239" s="20" t="n">
        <v>-157</v>
      </c>
      <c r="Q239" s="20" t="n">
        <v>-107</v>
      </c>
      <c r="R239" s="20" t="n">
        <v>-166</v>
      </c>
      <c r="S239" s="20" t="n">
        <v>-101</v>
      </c>
      <c r="T239" s="20" t="n">
        <v>-114</v>
      </c>
      <c r="U239" s="20" t="n">
        <v>-92</v>
      </c>
      <c r="V239" s="20" t="n">
        <v>-63</v>
      </c>
      <c r="W239" s="20" t="n">
        <v>-49</v>
      </c>
      <c r="X239" s="20" t="n">
        <v>-61</v>
      </c>
    </row>
    <row r="240">
      <c r="A240" s="18" t="inlineStr">
        <is>
          <t>기타</t>
        </is>
      </c>
      <c r="E240" s="20" t="n">
        <v>32</v>
      </c>
      <c r="I240" s="20" t="n">
        <v>0</v>
      </c>
      <c r="T240" s="20" t="n">
        <v>0</v>
      </c>
      <c r="U240" s="20" t="n">
        <v>17</v>
      </c>
      <c r="V240" s="20" t="n">
        <v>32</v>
      </c>
      <c r="W240" s="20" t="n">
        <v>0</v>
      </c>
    </row>
    <row r="241">
      <c r="A241" s="9" t="inlineStr">
        <is>
          <t>재무활동 현금흐름</t>
        </is>
      </c>
      <c r="E241" s="12" t="n">
        <v>-9490</v>
      </c>
      <c r="I241" s="12" t="n">
        <v>-7749</v>
      </c>
      <c r="M241" s="12" t="n">
        <v>2911</v>
      </c>
      <c r="O241" s="12" t="n">
        <v>-2031</v>
      </c>
      <c r="P241" s="12" t="n">
        <v>-2127</v>
      </c>
      <c r="Q241" s="12" t="n">
        <v>22608</v>
      </c>
      <c r="R241" s="12" t="n">
        <v>-1791</v>
      </c>
      <c r="S241" s="12" t="n">
        <v>-11888</v>
      </c>
      <c r="T241" s="12" t="n">
        <v>-6211</v>
      </c>
      <c r="U241" s="12" t="n">
        <v>-13985</v>
      </c>
      <c r="V241" s="12" t="n">
        <v>-9490</v>
      </c>
      <c r="W241" s="12" t="n">
        <v>-7749</v>
      </c>
      <c r="X241" s="12" t="n">
        <v>2911</v>
      </c>
    </row>
    <row r="242">
      <c r="A242" s="18" t="inlineStr">
        <is>
          <t>현금성자산 환산차이</t>
        </is>
      </c>
      <c r="E242" s="20" t="n">
        <v>2194</v>
      </c>
      <c r="I242" s="20" t="n">
        <v>345</v>
      </c>
      <c r="M242" s="20" t="n">
        <v>1707</v>
      </c>
      <c r="O242" s="20" t="n">
        <v>-714</v>
      </c>
      <c r="P242" s="20" t="n">
        <v>-112</v>
      </c>
      <c r="Q242" s="20" t="n">
        <v>291</v>
      </c>
      <c r="R242" s="20" t="n">
        <v>-604</v>
      </c>
      <c r="S242" s="20" t="n">
        <v>1197</v>
      </c>
      <c r="T242" s="20" t="n">
        <v>2219</v>
      </c>
      <c r="U242" s="20" t="n">
        <v>1503</v>
      </c>
      <c r="V242" s="20" t="n">
        <v>2194</v>
      </c>
      <c r="W242" s="20" t="n">
        <v>345</v>
      </c>
      <c r="X242" s="20" t="n">
        <v>1707</v>
      </c>
    </row>
    <row r="243">
      <c r="A243" s="18" t="inlineStr">
        <is>
          <t>현금성자산 증감</t>
        </is>
      </c>
      <c r="E243" s="20" t="n">
        <v>2096</v>
      </c>
      <c r="I243" s="20" t="n">
        <v>-5593</v>
      </c>
      <c r="M243" s="20" t="n">
        <v>-1515</v>
      </c>
      <c r="O243" s="20" t="n">
        <v>6884</v>
      </c>
      <c r="P243" s="20" t="n">
        <v>-3362</v>
      </c>
      <c r="Q243" s="20" t="n">
        <v>-22854</v>
      </c>
      <c r="R243" s="20" t="n">
        <v>-267</v>
      </c>
      <c r="S243" s="20" t="n">
        <v>10377</v>
      </c>
      <c r="T243" s="20" t="n">
        <v>10542</v>
      </c>
      <c r="U243" s="20" t="n">
        <v>-6768</v>
      </c>
      <c r="V243" s="20" t="n">
        <v>2096</v>
      </c>
      <c r="W243" s="20" t="n">
        <v>-5593</v>
      </c>
      <c r="X243" s="20" t="n">
        <v>-1515</v>
      </c>
    </row>
  </sheetData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124"/>
  <sheetViews>
    <sheetView showGridLines="0" zoomScale="85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0" customWidth="1" min="2" max="2"/>
    <col outlineLevel="1" width="11" customWidth="1" min="3" max="3"/>
    <col outlineLevel="1" width="11" customWidth="1" min="4" max="4"/>
    <col outlineLevel="1" width="11" customWidth="1" min="5" max="5"/>
    <col outlineLevel="1" width="11" customWidth="1" min="6" max="6"/>
    <col outlineLevel="1"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30" customHeight="1">
      <c r="A1" s="1" t="inlineStr">
        <is>
          <t>6810 재무상태표</t>
        </is>
      </c>
    </row>
    <row r="2">
      <c r="A2" s="43" t="inlineStr">
        <is>
          <t>재무비율은 기말 잔액 기준 · 분기 손익은 최근 4분기 합산(TTM)</t>
        </is>
      </c>
      <c r="B2" s="3" t="inlineStr">
        <is>
          <t>(단위: 백만엔)</t>
        </is>
      </c>
    </row>
    <row r="3">
      <c r="A3" s="5" t="inlineStr">
        <is>
          <t>항목</t>
        </is>
      </c>
      <c r="B3" s="5" t="inlineStr">
        <is>
          <t>참고</t>
        </is>
      </c>
      <c r="C3" s="6" t="inlineStr">
        <is>
          <t>2026.1Q</t>
        </is>
      </c>
      <c r="D3" s="5" t="inlineStr">
        <is>
          <t>2026.2Q</t>
        </is>
      </c>
      <c r="E3" s="5" t="inlineStr">
        <is>
          <t>2026.3Q</t>
        </is>
      </c>
      <c r="F3" s="5" t="inlineStr">
        <is>
          <t>2026.4Q</t>
        </is>
      </c>
      <c r="G3" s="5" t="inlineStr">
        <is>
          <t>2027.1Q</t>
        </is>
      </c>
      <c r="H3" s="6" t="inlineStr">
        <is>
          <t>2022</t>
        </is>
      </c>
      <c r="I3" s="5" t="inlineStr">
        <is>
          <t>2023</t>
        </is>
      </c>
      <c r="J3" s="5" t="inlineStr">
        <is>
          <t>2024</t>
        </is>
      </c>
      <c r="K3" s="5" t="inlineStr">
        <is>
          <t>2025</t>
        </is>
      </c>
      <c r="L3" s="5" t="inlineStr">
        <is>
          <t>2026</t>
        </is>
      </c>
    </row>
    <row r="4">
      <c r="A4" s="16" t="inlineStr">
        <is>
          <t>자산</t>
        </is>
      </c>
      <c r="B4" s="16" t="n"/>
      <c r="C4" s="17" t="n"/>
      <c r="D4" s="16" t="n"/>
      <c r="E4" s="16" t="n"/>
      <c r="F4" s="16" t="n"/>
      <c r="G4" s="16" t="n"/>
      <c r="H4" s="17" t="n"/>
      <c r="I4" s="16" t="n"/>
      <c r="J4" s="16" t="n"/>
      <c r="K4" s="16" t="n"/>
      <c r="L4" s="16" t="n"/>
    </row>
    <row r="5">
      <c r="A5" s="9" t="inlineStr">
        <is>
          <t>유동자산</t>
        </is>
      </c>
      <c r="B5" s="10" t="n"/>
      <c r="C5" s="11" t="n">
        <v>80616</v>
      </c>
      <c r="D5" s="12" t="n">
        <v>85715</v>
      </c>
      <c r="E5" s="12" t="n">
        <v>84528</v>
      </c>
      <c r="F5" s="12" t="n">
        <v>85474</v>
      </c>
      <c r="G5" s="12" t="n">
        <v>87855</v>
      </c>
      <c r="H5" s="11" t="n">
        <v>99469</v>
      </c>
      <c r="I5" s="12" t="n">
        <v>94837</v>
      </c>
      <c r="J5" s="12" t="n">
        <v>92166</v>
      </c>
      <c r="K5" s="12" t="n">
        <v>84191</v>
      </c>
      <c r="L5" s="12" t="n">
        <v>85474</v>
      </c>
    </row>
    <row r="6">
      <c r="A6" s="18" t="inlineStr">
        <is>
          <t>현금및현금성자산</t>
        </is>
      </c>
      <c r="B6" s="10" t="n"/>
      <c r="C6" s="19" t="n">
        <v>31113</v>
      </c>
      <c r="D6" s="20" t="n">
        <v>33213</v>
      </c>
      <c r="E6" s="20" t="n">
        <v>30972</v>
      </c>
      <c r="F6" s="20" t="n">
        <v>31557</v>
      </c>
      <c r="G6" s="20" t="n">
        <v>27555</v>
      </c>
      <c r="H6" s="19" t="n">
        <v>45552</v>
      </c>
      <c r="I6" s="20" t="n">
        <v>38170</v>
      </c>
      <c r="J6" s="20" t="n">
        <v>38665</v>
      </c>
      <c r="K6" s="20" t="n">
        <v>33072</v>
      </c>
      <c r="L6" s="20" t="n">
        <v>31557</v>
      </c>
    </row>
    <row r="7">
      <c r="A7" s="18" t="inlineStr">
        <is>
          <t>단기금융상품</t>
        </is>
      </c>
      <c r="B7" s="10" t="n"/>
      <c r="C7" s="19" t="n"/>
      <c r="D7" s="20" t="n"/>
      <c r="E7" s="20" t="n"/>
      <c r="F7" s="20" t="n"/>
      <c r="G7" s="20" t="n"/>
      <c r="H7" s="19" t="n"/>
      <c r="I7" s="20" t="n"/>
      <c r="J7" s="20" t="n"/>
      <c r="K7" s="20" t="n"/>
      <c r="L7" s="20" t="n"/>
    </row>
    <row r="8">
      <c r="A8" s="18" t="inlineStr">
        <is>
          <t>매출채권</t>
        </is>
      </c>
      <c r="B8" s="10" t="n"/>
      <c r="C8" s="19" t="n">
        <v>26466</v>
      </c>
      <c r="D8" s="20" t="n">
        <v>28402</v>
      </c>
      <c r="E8" s="20" t="n">
        <v>28514</v>
      </c>
      <c r="F8" s="20" t="n">
        <v>28064</v>
      </c>
      <c r="G8" s="20" t="n">
        <v>31910</v>
      </c>
      <c r="H8" s="19" t="n">
        <v>30160</v>
      </c>
      <c r="I8" s="20" t="n">
        <v>30439</v>
      </c>
      <c r="J8" s="20" t="n">
        <v>30446</v>
      </c>
      <c r="K8" s="20" t="n">
        <v>28446</v>
      </c>
      <c r="L8" s="20" t="n">
        <v>28064</v>
      </c>
    </row>
    <row r="9">
      <c r="A9" s="18" t="inlineStr">
        <is>
          <t>재고자산</t>
        </is>
      </c>
      <c r="B9" s="10" t="n"/>
      <c r="C9" s="19" t="n">
        <v>19699</v>
      </c>
      <c r="D9" s="20" t="n">
        <v>19759</v>
      </c>
      <c r="E9" s="20" t="n">
        <v>20271</v>
      </c>
      <c r="F9" s="20" t="n">
        <v>20137</v>
      </c>
      <c r="G9" s="20" t="n">
        <v>23566</v>
      </c>
      <c r="H9" s="19" t="n">
        <v>18378</v>
      </c>
      <c r="I9" s="20" t="n">
        <v>22476</v>
      </c>
      <c r="J9" s="20" t="n">
        <v>19617</v>
      </c>
      <c r="K9" s="20" t="n">
        <v>19190</v>
      </c>
      <c r="L9" s="20" t="n">
        <v>20137</v>
      </c>
    </row>
    <row r="10">
      <c r="A10" s="18" t="inlineStr">
        <is>
          <t>기타유동자산</t>
        </is>
      </c>
      <c r="B10" s="10" t="inlineStr">
        <is>
          <t>총계 − 위 항목</t>
        </is>
      </c>
      <c r="C10" s="19">
        <f>IF(OR(C5=""),"",IFERROR(C5-SUM(C6,C7,C8,C9),""))</f>
        <v/>
      </c>
      <c r="D10" s="20">
        <f>IF(OR(D5=""),"",IFERROR(D5-SUM(D6,D7,D8,D9),""))</f>
        <v/>
      </c>
      <c r="E10" s="20">
        <f>IF(OR(E5=""),"",IFERROR(E5-SUM(E6,E7,E8,E9),""))</f>
        <v/>
      </c>
      <c r="F10" s="20">
        <f>IF(OR(F5=""),"",IFERROR(F5-SUM(F6,F7,F8,F9),""))</f>
        <v/>
      </c>
      <c r="G10" s="20">
        <f>IF(OR(G5=""),"",IFERROR(G5-SUM(G6,G7,G8,G9),""))</f>
        <v/>
      </c>
      <c r="H10" s="19">
        <f>IF(OR(H5=""),"",IFERROR(H5-SUM(H6,H7,H8,H9),""))</f>
        <v/>
      </c>
      <c r="I10" s="20">
        <f>IF(OR(I5=""),"",IFERROR(I5-SUM(I6,I7,I8,I9),""))</f>
        <v/>
      </c>
      <c r="J10" s="20">
        <f>IF(OR(J5=""),"",IFERROR(J5-SUM(J6,J7,J8,J9),""))</f>
        <v/>
      </c>
      <c r="K10" s="20">
        <f>IF(OR(K5=""),"",IFERROR(K5-SUM(K6,K7,K8,K9),""))</f>
        <v/>
      </c>
      <c r="L10" s="20">
        <f>IF(OR(L5=""),"",IFERROR(L5-SUM(L6,L7,L8,L9),""))</f>
        <v/>
      </c>
    </row>
    <row r="11">
      <c r="A11" s="9" t="inlineStr">
        <is>
          <t>비유동자산</t>
        </is>
      </c>
      <c r="B11" s="10" t="n"/>
      <c r="C11" s="11" t="n">
        <v>79909</v>
      </c>
      <c r="D11" s="12" t="n">
        <v>82107</v>
      </c>
      <c r="E11" s="12" t="n">
        <v>84994</v>
      </c>
      <c r="F11" s="12" t="n">
        <v>94993</v>
      </c>
      <c r="G11" s="12" t="n">
        <v>97486</v>
      </c>
      <c r="H11" s="11" t="n">
        <v>78066</v>
      </c>
      <c r="I11" s="12" t="n">
        <v>73340</v>
      </c>
      <c r="J11" s="12" t="n">
        <v>78934</v>
      </c>
      <c r="K11" s="12" t="n">
        <v>80323</v>
      </c>
      <c r="L11" s="12" t="n">
        <v>94993</v>
      </c>
    </row>
    <row r="12">
      <c r="A12" s="18" t="inlineStr">
        <is>
          <t>유형자산</t>
        </is>
      </c>
      <c r="B12" s="10" t="n"/>
      <c r="C12" s="19" t="n">
        <v>54795</v>
      </c>
      <c r="D12" s="20" t="n">
        <v>56347</v>
      </c>
      <c r="E12" s="20" t="n">
        <v>58442</v>
      </c>
      <c r="F12" s="20" t="n">
        <v>60871</v>
      </c>
      <c r="G12" s="20" t="n">
        <v>61987</v>
      </c>
      <c r="H12" s="19" t="n">
        <v>55507</v>
      </c>
      <c r="I12" s="20" t="n">
        <v>51544</v>
      </c>
      <c r="J12" s="20" t="n">
        <v>54413</v>
      </c>
      <c r="K12" s="20" t="n">
        <v>54988</v>
      </c>
      <c r="L12" s="20" t="n">
        <v>60871</v>
      </c>
    </row>
    <row r="13">
      <c r="A13" s="18" t="inlineStr">
        <is>
          <t>무형자산</t>
        </is>
      </c>
      <c r="B13" s="10" t="n"/>
      <c r="C13" s="19" t="n">
        <v>4204</v>
      </c>
      <c r="D13" s="20" t="n">
        <v>4220</v>
      </c>
      <c r="E13" s="20" t="n">
        <v>4251</v>
      </c>
      <c r="F13" s="20" t="n">
        <v>10161</v>
      </c>
      <c r="G13" s="20" t="n">
        <v>9970</v>
      </c>
      <c r="H13" s="19" t="n">
        <v>5031</v>
      </c>
      <c r="I13" s="20" t="n">
        <v>4697</v>
      </c>
      <c r="J13" s="20" t="n">
        <v>4778</v>
      </c>
      <c r="K13" s="20" t="n">
        <v>4367</v>
      </c>
      <c r="L13" s="20" t="n">
        <v>10161</v>
      </c>
    </row>
    <row r="14">
      <c r="A14" s="18" t="inlineStr">
        <is>
          <t>투자부동산</t>
        </is>
      </c>
      <c r="B14" s="10" t="n"/>
      <c r="C14" s="19" t="n"/>
      <c r="D14" s="20" t="n"/>
      <c r="E14" s="20" t="n"/>
      <c r="F14" s="20" t="n"/>
      <c r="G14" s="20" t="n"/>
      <c r="H14" s="19" t="n"/>
      <c r="I14" s="20" t="n"/>
      <c r="J14" s="20" t="n"/>
      <c r="K14" s="20" t="n"/>
      <c r="L14" s="20" t="n"/>
    </row>
    <row r="15">
      <c r="A15" s="18" t="inlineStr">
        <is>
          <t>기타비유동자산</t>
        </is>
      </c>
      <c r="B15" s="10" t="inlineStr">
        <is>
          <t>총계 − 위 항목</t>
        </is>
      </c>
      <c r="C15" s="19">
        <f>IF(OR(C11=""),"",IFERROR(C11-SUM(C12,C13,C14),""))</f>
        <v/>
      </c>
      <c r="D15" s="20">
        <f>IF(OR(D11=""),"",IFERROR(D11-SUM(D12,D13,D14),""))</f>
        <v/>
      </c>
      <c r="E15" s="20">
        <f>IF(OR(E11=""),"",IFERROR(E11-SUM(E12,E13,E14),""))</f>
        <v/>
      </c>
      <c r="F15" s="20">
        <f>IF(OR(F11=""),"",IFERROR(F11-SUM(F12,F13,F14),""))</f>
        <v/>
      </c>
      <c r="G15" s="20">
        <f>IF(OR(G11=""),"",IFERROR(G11-SUM(G12,G13,G14),""))</f>
        <v/>
      </c>
      <c r="H15" s="19">
        <f>IF(OR(H11=""),"",IFERROR(H11-SUM(H12,H13,H14),""))</f>
        <v/>
      </c>
      <c r="I15" s="20">
        <f>IF(OR(I11=""),"",IFERROR(I11-SUM(I12,I13,I14),""))</f>
        <v/>
      </c>
      <c r="J15" s="20">
        <f>IF(OR(J11=""),"",IFERROR(J11-SUM(J12,J13,J14),""))</f>
        <v/>
      </c>
      <c r="K15" s="20">
        <f>IF(OR(K11=""),"",IFERROR(K11-SUM(K12,K13,K14),""))</f>
        <v/>
      </c>
      <c r="L15" s="20">
        <f>IF(OR(L11=""),"",IFERROR(L11-SUM(L12,L13,L14),""))</f>
        <v/>
      </c>
    </row>
    <row r="16">
      <c r="A16" s="9" t="inlineStr">
        <is>
          <t>자산총계</t>
        </is>
      </c>
      <c r="B16" s="10" t="n"/>
      <c r="C16" s="11" t="n">
        <v>160525</v>
      </c>
      <c r="D16" s="12" t="n">
        <v>167822</v>
      </c>
      <c r="E16" s="12" t="n">
        <v>169522</v>
      </c>
      <c r="F16" s="12" t="n">
        <v>180467</v>
      </c>
      <c r="G16" s="12" t="n">
        <v>185341</v>
      </c>
      <c r="H16" s="11" t="n">
        <v>177535</v>
      </c>
      <c r="I16" s="12" t="n">
        <v>168177</v>
      </c>
      <c r="J16" s="12" t="n">
        <v>171100</v>
      </c>
      <c r="K16" s="12" t="n">
        <v>164514</v>
      </c>
      <c r="L16" s="12" t="n">
        <v>180467</v>
      </c>
    </row>
    <row r="17">
      <c r="A17" s="16" t="inlineStr">
        <is>
          <t>부채</t>
        </is>
      </c>
      <c r="B17" s="16" t="n"/>
      <c r="C17" s="17" t="n"/>
      <c r="D17" s="16" t="n"/>
      <c r="E17" s="16" t="n"/>
      <c r="F17" s="16" t="n"/>
      <c r="G17" s="16" t="n"/>
      <c r="H17" s="17" t="n"/>
      <c r="I17" s="16" t="n"/>
      <c r="J17" s="16" t="n"/>
      <c r="K17" s="16" t="n"/>
      <c r="L17" s="16" t="n"/>
    </row>
    <row r="18">
      <c r="A18" s="9" t="inlineStr">
        <is>
          <t>유동부채</t>
        </is>
      </c>
      <c r="B18" s="10" t="n"/>
      <c r="C18" s="11" t="n">
        <v>40829</v>
      </c>
      <c r="D18" s="12" t="n">
        <v>44304</v>
      </c>
      <c r="E18" s="12" t="n">
        <v>56654</v>
      </c>
      <c r="F18" s="12" t="n">
        <v>46522</v>
      </c>
      <c r="G18" s="12" t="n">
        <v>48310</v>
      </c>
      <c r="H18" s="11" t="n">
        <v>57719</v>
      </c>
      <c r="I18" s="12" t="n">
        <v>55494</v>
      </c>
      <c r="J18" s="12" t="n">
        <v>59258</v>
      </c>
      <c r="K18" s="12" t="n">
        <v>44380</v>
      </c>
      <c r="L18" s="12" t="n">
        <v>46522</v>
      </c>
    </row>
    <row r="19">
      <c r="A19" s="18" t="inlineStr">
        <is>
          <t>매입채무</t>
        </is>
      </c>
      <c r="B19" s="10" t="n"/>
      <c r="C19" s="19" t="n">
        <v>16568</v>
      </c>
      <c r="D19" s="20" t="n">
        <v>16162</v>
      </c>
      <c r="E19" s="20" t="n">
        <v>16597</v>
      </c>
      <c r="F19" s="20" t="n">
        <v>15942</v>
      </c>
      <c r="G19" s="20" t="n">
        <v>16819</v>
      </c>
      <c r="H19" s="19" t="n">
        <v>19606</v>
      </c>
      <c r="I19" s="20" t="n">
        <v>18421</v>
      </c>
      <c r="J19" s="20" t="n">
        <v>17168</v>
      </c>
      <c r="K19" s="20" t="n">
        <v>16942</v>
      </c>
      <c r="L19" s="20" t="n">
        <v>15942</v>
      </c>
    </row>
    <row r="20">
      <c r="A20" s="18" t="inlineStr">
        <is>
          <t>단기차입금</t>
        </is>
      </c>
      <c r="B20" s="10" t="n"/>
      <c r="C20" s="19" t="n"/>
      <c r="D20" s="20" t="n"/>
      <c r="E20" s="20" t="n">
        <v>13200</v>
      </c>
      <c r="F20" s="20" t="n">
        <v>0</v>
      </c>
      <c r="G20" s="20" t="n">
        <v>3000</v>
      </c>
      <c r="H20" s="19" t="n">
        <v>0</v>
      </c>
      <c r="I20" s="20" t="n"/>
      <c r="J20" s="20" t="n"/>
      <c r="K20" s="20" t="n">
        <v>0</v>
      </c>
      <c r="L20" s="20" t="n">
        <v>0</v>
      </c>
    </row>
    <row r="21">
      <c r="A21" s="18" t="inlineStr">
        <is>
          <t>유동성장기부채</t>
        </is>
      </c>
      <c r="B21" s="10" t="n"/>
      <c r="C21" s="19" t="n">
        <v>1563</v>
      </c>
      <c r="D21" s="20" t="n">
        <v>1563</v>
      </c>
      <c r="E21" s="20" t="n">
        <v>1559</v>
      </c>
      <c r="F21" s="20" t="n">
        <v>2559</v>
      </c>
      <c r="G21" s="20" t="n">
        <v>2278</v>
      </c>
      <c r="H21" s="19" t="n">
        <v>6598</v>
      </c>
      <c r="I21" s="20" t="n">
        <v>8123</v>
      </c>
      <c r="J21" s="20" t="n">
        <v>12563</v>
      </c>
      <c r="K21" s="20" t="n">
        <v>1563</v>
      </c>
      <c r="L21" s="20" t="n">
        <v>2559</v>
      </c>
    </row>
    <row r="22">
      <c r="A22" s="18" t="inlineStr">
        <is>
          <t>기타유동부채</t>
        </is>
      </c>
      <c r="B22" s="10" t="inlineStr">
        <is>
          <t>총계 − 위 항목</t>
        </is>
      </c>
      <c r="C22" s="19">
        <f>IF(OR(C18=""),"",IFERROR(C18-SUM(C19,C20,C21),""))</f>
        <v/>
      </c>
      <c r="D22" s="20">
        <f>IF(OR(D18=""),"",IFERROR(D18-SUM(D19,D20,D21),""))</f>
        <v/>
      </c>
      <c r="E22" s="20">
        <f>IF(OR(E18=""),"",IFERROR(E18-SUM(E19,E20,E21),""))</f>
        <v/>
      </c>
      <c r="F22" s="20">
        <f>IF(OR(F18=""),"",IFERROR(F18-SUM(F19,F20,F21),""))</f>
        <v/>
      </c>
      <c r="G22" s="20">
        <f>IF(OR(G18=""),"",IFERROR(G18-SUM(G19,G20,G21),""))</f>
        <v/>
      </c>
      <c r="H22" s="19">
        <f>IF(OR(H18=""),"",IFERROR(H18-SUM(H19,H20,H21),""))</f>
        <v/>
      </c>
      <c r="I22" s="20">
        <f>IF(OR(I18=""),"",IFERROR(I18-SUM(I19,I20,I21),""))</f>
        <v/>
      </c>
      <c r="J22" s="20">
        <f>IF(OR(J18=""),"",IFERROR(J18-SUM(J19,J20,J21),""))</f>
        <v/>
      </c>
      <c r="K22" s="20">
        <f>IF(OR(K18=""),"",IFERROR(K18-SUM(K19,K20,K21),""))</f>
        <v/>
      </c>
      <c r="L22" s="20">
        <f>IF(OR(L18=""),"",IFERROR(L18-SUM(L19,L20,L21),""))</f>
        <v/>
      </c>
    </row>
    <row r="23">
      <c r="A23" s="9" t="inlineStr">
        <is>
          <t>비유동부채</t>
        </is>
      </c>
      <c r="B23" s="10" t="n"/>
      <c r="C23" s="11" t="n">
        <v>25301</v>
      </c>
      <c r="D23" s="12" t="n">
        <v>25122</v>
      </c>
      <c r="E23" s="12" t="n">
        <v>24783</v>
      </c>
      <c r="F23" s="12" t="n">
        <v>43762</v>
      </c>
      <c r="G23" s="12" t="n">
        <v>43836</v>
      </c>
      <c r="H23" s="11" t="n">
        <v>35200</v>
      </c>
      <c r="I23" s="12" t="n">
        <v>26743</v>
      </c>
      <c r="J23" s="12" t="n">
        <v>14535</v>
      </c>
      <c r="K23" s="12" t="n">
        <v>25963</v>
      </c>
      <c r="L23" s="12" t="n">
        <v>43762</v>
      </c>
    </row>
    <row r="24">
      <c r="A24" s="18" t="inlineStr">
        <is>
          <t>장기차입금</t>
        </is>
      </c>
      <c r="B24" s="10" t="n"/>
      <c r="C24" s="19" t="n">
        <v>16528</v>
      </c>
      <c r="D24" s="20" t="n">
        <v>16278</v>
      </c>
      <c r="E24" s="20" t="n">
        <v>15813</v>
      </c>
      <c r="F24" s="20" t="n">
        <v>34500</v>
      </c>
      <c r="G24" s="20" t="n">
        <v>34000</v>
      </c>
      <c r="H24" s="19" t="n">
        <v>25994</v>
      </c>
      <c r="I24" s="20" t="n">
        <v>17625</v>
      </c>
      <c r="J24" s="20" t="n">
        <v>5622</v>
      </c>
      <c r="K24" s="20" t="n">
        <v>17059</v>
      </c>
      <c r="L24" s="20" t="n">
        <v>34500</v>
      </c>
    </row>
    <row r="25">
      <c r="A25" s="18" t="inlineStr">
        <is>
          <t>사채</t>
        </is>
      </c>
      <c r="B25" s="10" t="n"/>
      <c r="C25" s="19" t="n"/>
      <c r="D25" s="20" t="n"/>
      <c r="E25" s="20" t="n"/>
      <c r="F25" s="20" t="n"/>
      <c r="G25" s="20" t="n"/>
      <c r="H25" s="19" t="n"/>
      <c r="I25" s="20" t="n"/>
      <c r="J25" s="20" t="n"/>
      <c r="K25" s="20" t="n"/>
      <c r="L25" s="20" t="n"/>
    </row>
    <row r="26">
      <c r="A26" s="18" t="inlineStr">
        <is>
          <t>기타비유동부채</t>
        </is>
      </c>
      <c r="B26" s="10" t="inlineStr">
        <is>
          <t>총계 − 위 항목</t>
        </is>
      </c>
      <c r="C26" s="19">
        <f>IF(OR(C23=""),"",IFERROR(C23-SUM(C24,C25),""))</f>
        <v/>
      </c>
      <c r="D26" s="20">
        <f>IF(OR(D23=""),"",IFERROR(D23-SUM(D24,D25),""))</f>
        <v/>
      </c>
      <c r="E26" s="20">
        <f>IF(OR(E23=""),"",IFERROR(E23-SUM(E24,E25),""))</f>
        <v/>
      </c>
      <c r="F26" s="20">
        <f>IF(OR(F23=""),"",IFERROR(F23-SUM(F24,F25),""))</f>
        <v/>
      </c>
      <c r="G26" s="20">
        <f>IF(OR(G23=""),"",IFERROR(G23-SUM(G24,G25),""))</f>
        <v/>
      </c>
      <c r="H26" s="19">
        <f>IF(OR(H23=""),"",IFERROR(H23-SUM(H24,H25),""))</f>
        <v/>
      </c>
      <c r="I26" s="20">
        <f>IF(OR(I23=""),"",IFERROR(I23-SUM(I24,I25),""))</f>
        <v/>
      </c>
      <c r="J26" s="20">
        <f>IF(OR(J23=""),"",IFERROR(J23-SUM(J24,J25),""))</f>
        <v/>
      </c>
      <c r="K26" s="20">
        <f>IF(OR(K23=""),"",IFERROR(K23-SUM(K24,K25),""))</f>
        <v/>
      </c>
      <c r="L26" s="20">
        <f>IF(OR(L23=""),"",IFERROR(L23-SUM(L24,L25),""))</f>
        <v/>
      </c>
    </row>
    <row r="27">
      <c r="A27" s="9" t="inlineStr">
        <is>
          <t>부채총계</t>
        </is>
      </c>
      <c r="B27" s="10" t="n"/>
      <c r="C27" s="11" t="n">
        <v>66130</v>
      </c>
      <c r="D27" s="12" t="n">
        <v>69426</v>
      </c>
      <c r="E27" s="12" t="n">
        <v>81437</v>
      </c>
      <c r="F27" s="12" t="n">
        <v>90284</v>
      </c>
      <c r="G27" s="12" t="n">
        <v>92146</v>
      </c>
      <c r="H27" s="11" t="n">
        <v>92919</v>
      </c>
      <c r="I27" s="12" t="n">
        <v>82237</v>
      </c>
      <c r="J27" s="12" t="n">
        <v>73793</v>
      </c>
      <c r="K27" s="12" t="n">
        <v>70343</v>
      </c>
      <c r="L27" s="12" t="n">
        <v>90284</v>
      </c>
    </row>
    <row r="28">
      <c r="A28" s="18" t="inlineStr">
        <is>
          <t>총차입금</t>
        </is>
      </c>
      <c r="B28" s="10" t="inlineStr">
        <is>
          <t>단기+유동성장기+장기+사채</t>
        </is>
      </c>
      <c r="C28" s="19">
        <f>SUM(C20,C21,C24,C25)</f>
        <v/>
      </c>
      <c r="D28" s="20">
        <f>SUM(D20,D21,D24,D25)</f>
        <v/>
      </c>
      <c r="E28" s="20">
        <f>SUM(E20,E21,E24,E25)</f>
        <v/>
      </c>
      <c r="F28" s="20">
        <f>SUM(F20,F21,F24,F25)</f>
        <v/>
      </c>
      <c r="G28" s="20">
        <f>SUM(G20,G21,G24,G25)</f>
        <v/>
      </c>
      <c r="H28" s="19">
        <f>SUM(H20,H21,H24,H25)</f>
        <v/>
      </c>
      <c r="I28" s="20">
        <f>SUM(I20,I21,I24,I25)</f>
        <v/>
      </c>
      <c r="J28" s="20">
        <f>SUM(J20,J21,J24,J25)</f>
        <v/>
      </c>
      <c r="K28" s="20">
        <f>SUM(K20,K21,K24,K25)</f>
        <v/>
      </c>
      <c r="L28" s="20">
        <f>SUM(L20,L21,L24,L25)</f>
        <v/>
      </c>
    </row>
    <row r="29">
      <c r="A29" s="18" t="inlineStr">
        <is>
          <t>순차입금</t>
        </is>
      </c>
      <c r="B29" s="10" t="inlineStr">
        <is>
          <t>음수 = 순현금</t>
        </is>
      </c>
      <c r="C29" s="19">
        <f>C28-C6-N(C7)</f>
        <v/>
      </c>
      <c r="D29" s="20">
        <f>D28-D6-N(D7)</f>
        <v/>
      </c>
      <c r="E29" s="20">
        <f>E28-E6-N(E7)</f>
        <v/>
      </c>
      <c r="F29" s="20">
        <f>F28-F6-N(F7)</f>
        <v/>
      </c>
      <c r="G29" s="20">
        <f>G28-G6-N(G7)</f>
        <v/>
      </c>
      <c r="H29" s="19">
        <f>H28-H6-N(H7)</f>
        <v/>
      </c>
      <c r="I29" s="20">
        <f>I28-I6-N(I7)</f>
        <v/>
      </c>
      <c r="J29" s="20">
        <f>J28-J6-N(J7)</f>
        <v/>
      </c>
      <c r="K29" s="20">
        <f>K28-K6-N(K7)</f>
        <v/>
      </c>
      <c r="L29" s="20">
        <f>L28-L6-N(L7)</f>
        <v/>
      </c>
    </row>
    <row r="30">
      <c r="A30" s="16" t="inlineStr">
        <is>
          <t>자본</t>
        </is>
      </c>
      <c r="B30" s="16" t="n"/>
      <c r="C30" s="17" t="n"/>
      <c r="D30" s="16" t="n"/>
      <c r="E30" s="16" t="n"/>
      <c r="F30" s="16" t="n"/>
      <c r="G30" s="16" t="n"/>
      <c r="H30" s="17" t="n"/>
      <c r="I30" s="16" t="n"/>
      <c r="J30" s="16" t="n"/>
      <c r="K30" s="16" t="n"/>
      <c r="L30" s="16" t="n"/>
    </row>
    <row r="31">
      <c r="A31" s="9" t="inlineStr">
        <is>
          <t>지배주주지분</t>
        </is>
      </c>
      <c r="B31" s="10" t="n"/>
      <c r="C31" s="11" t="n">
        <v>91664</v>
      </c>
      <c r="D31" s="12" t="n">
        <v>95581</v>
      </c>
      <c r="E31" s="12" t="n">
        <v>85026</v>
      </c>
      <c r="F31" s="12" t="n">
        <v>87059</v>
      </c>
      <c r="G31" s="12" t="n">
        <v>90567</v>
      </c>
      <c r="H31" s="11" t="n">
        <v>81498</v>
      </c>
      <c r="I31" s="12" t="n">
        <v>82816</v>
      </c>
      <c r="J31" s="12" t="n">
        <v>93894</v>
      </c>
      <c r="K31" s="12" t="n">
        <v>91356</v>
      </c>
      <c r="L31" s="12" t="n">
        <v>87059</v>
      </c>
    </row>
    <row r="32">
      <c r="A32" s="18" t="inlineStr">
        <is>
          <t>자본금</t>
        </is>
      </c>
      <c r="B32" s="10" t="n"/>
      <c r="C32" s="19" t="n">
        <v>12203</v>
      </c>
      <c r="D32" s="20" t="n">
        <v>12203</v>
      </c>
      <c r="E32" s="20" t="n">
        <v>12203</v>
      </c>
      <c r="F32" s="20" t="n">
        <v>12203</v>
      </c>
      <c r="G32" s="20" t="n">
        <v>12203</v>
      </c>
      <c r="H32" s="19" t="n">
        <v>12203</v>
      </c>
      <c r="I32" s="20" t="n">
        <v>12203</v>
      </c>
      <c r="J32" s="20" t="n">
        <v>12203</v>
      </c>
      <c r="K32" s="20" t="n">
        <v>12203</v>
      </c>
      <c r="L32" s="20" t="n">
        <v>12203</v>
      </c>
    </row>
    <row r="33">
      <c r="A33" s="18" t="inlineStr">
        <is>
          <t>이익잉여금</t>
        </is>
      </c>
      <c r="B33" s="10" t="n"/>
      <c r="C33" s="19" t="n">
        <v>60871</v>
      </c>
      <c r="D33" s="20" t="n">
        <v>63512</v>
      </c>
      <c r="E33" s="20" t="n">
        <v>64447</v>
      </c>
      <c r="F33" s="20" t="n">
        <v>66459</v>
      </c>
      <c r="G33" s="20" t="n">
        <v>57366</v>
      </c>
      <c r="H33" s="19" t="n">
        <v>49756</v>
      </c>
      <c r="I33" s="20" t="n">
        <v>53011</v>
      </c>
      <c r="J33" s="20" t="n">
        <v>58721</v>
      </c>
      <c r="K33" s="20" t="n">
        <v>60357</v>
      </c>
      <c r="L33" s="20" t="n">
        <v>66459</v>
      </c>
    </row>
    <row r="34">
      <c r="A34" s="18" t="inlineStr">
        <is>
          <t>비지배지분</t>
        </is>
      </c>
      <c r="B34" s="10" t="n"/>
      <c r="C34" s="19" t="n">
        <v>2731</v>
      </c>
      <c r="D34" s="20" t="n">
        <v>2815</v>
      </c>
      <c r="E34" s="20" t="n">
        <v>3059</v>
      </c>
      <c r="F34" s="20" t="n">
        <v>3124</v>
      </c>
      <c r="G34" s="20" t="n">
        <v>2628</v>
      </c>
      <c r="H34" s="19" t="n">
        <v>3118</v>
      </c>
      <c r="I34" s="20" t="n">
        <v>3124</v>
      </c>
      <c r="J34" s="20" t="n">
        <v>3413</v>
      </c>
      <c r="K34" s="20" t="n">
        <v>2815</v>
      </c>
      <c r="L34" s="20" t="n">
        <v>3124</v>
      </c>
    </row>
    <row r="35">
      <c r="A35" s="9" t="inlineStr">
        <is>
          <t>자본총계</t>
        </is>
      </c>
      <c r="B35" s="10" t="n"/>
      <c r="C35" s="11" t="n">
        <v>94395</v>
      </c>
      <c r="D35" s="12" t="n">
        <v>98396</v>
      </c>
      <c r="E35" s="12" t="n">
        <v>88085</v>
      </c>
      <c r="F35" s="12" t="n">
        <v>90183</v>
      </c>
      <c r="G35" s="12" t="n">
        <v>93195</v>
      </c>
      <c r="H35" s="11" t="n">
        <v>84616</v>
      </c>
      <c r="I35" s="12" t="n">
        <v>85940</v>
      </c>
      <c r="J35" s="12" t="n">
        <v>97307</v>
      </c>
      <c r="K35" s="12" t="n">
        <v>94171</v>
      </c>
      <c r="L35" s="12" t="n">
        <v>90183</v>
      </c>
    </row>
    <row r="36">
      <c r="A36" s="16" t="inlineStr">
        <is>
          <t>현금흐름 요약</t>
        </is>
      </c>
      <c r="B36" s="16" t="inlineStr">
        <is>
          <t>분기 = TTM (있을 때만)</t>
        </is>
      </c>
      <c r="C36" s="17" t="n"/>
      <c r="D36" s="16" t="n"/>
      <c r="E36" s="16" t="n"/>
      <c r="F36" s="16" t="n"/>
      <c r="G36" s="16" t="n"/>
      <c r="H36" s="17" t="n"/>
      <c r="I36" s="16" t="n"/>
      <c r="J36" s="16" t="n"/>
      <c r="K36" s="16" t="n"/>
      <c r="L36" s="16" t="n"/>
    </row>
    <row r="37">
      <c r="A37" s="9" t="inlineStr">
        <is>
          <t>영업활동현금흐름</t>
        </is>
      </c>
      <c r="B37" s="10" t="n"/>
      <c r="C37" s="11" t="n"/>
      <c r="D37" s="12" t="n"/>
      <c r="E37" s="12" t="n"/>
      <c r="F37" s="12" t="n">
        <v>8925</v>
      </c>
      <c r="G37" s="12" t="n"/>
      <c r="H37" s="11" t="n">
        <v>18442</v>
      </c>
      <c r="I37" s="12" t="n">
        <v>4001</v>
      </c>
      <c r="J37" s="12" t="n">
        <v>14240</v>
      </c>
      <c r="K37" s="12" t="n">
        <v>9836</v>
      </c>
      <c r="L37" s="12" t="n">
        <v>8925</v>
      </c>
    </row>
    <row r="38">
      <c r="A38" s="18" t="inlineStr">
        <is>
          <t>CAPEX (유·무형 취득)</t>
        </is>
      </c>
      <c r="B38" s="10" t="inlineStr">
        <is>
          <t>양수로 입력</t>
        </is>
      </c>
      <c r="C38" s="19" t="n"/>
      <c r="D38" s="20" t="n"/>
      <c r="E38" s="20" t="n"/>
      <c r="F38" s="20" t="n">
        <v>8320</v>
      </c>
      <c r="G38" s="20" t="n"/>
      <c r="H38" s="19" t="n">
        <v>5142</v>
      </c>
      <c r="I38" s="20" t="n">
        <v>5526</v>
      </c>
      <c r="J38" s="20" t="n">
        <v>6599</v>
      </c>
      <c r="K38" s="20" t="n">
        <v>8210</v>
      </c>
      <c r="L38" s="20" t="n">
        <v>8320</v>
      </c>
    </row>
    <row r="39">
      <c r="A39" s="9" t="inlineStr">
        <is>
          <t>FCF</t>
        </is>
      </c>
      <c r="B39" s="10" t="n"/>
      <c r="C39" s="11">
        <f>IF(OR(C37="",C38=""),"",IFERROR(C37-C38,""))</f>
        <v/>
      </c>
      <c r="D39" s="12">
        <f>IF(OR(D37="",D38=""),"",IFERROR(D37-D38,""))</f>
        <v/>
      </c>
      <c r="E39" s="12">
        <f>IF(OR(E37="",E38=""),"",IFERROR(E37-E38,""))</f>
        <v/>
      </c>
      <c r="F39" s="12">
        <f>IF(OR(F37="",F38=""),"",IFERROR(F37-F38,""))</f>
        <v/>
      </c>
      <c r="G39" s="12">
        <f>IF(OR(G37="",G38=""),"",IFERROR(G37-G38,""))</f>
        <v/>
      </c>
      <c r="H39" s="11">
        <f>IF(OR(H37="",H38=""),"",IFERROR(H37-H38,""))</f>
        <v/>
      </c>
      <c r="I39" s="12">
        <f>IF(OR(I37="",I38=""),"",IFERROR(I37-I38,""))</f>
        <v/>
      </c>
      <c r="J39" s="12">
        <f>IF(OR(J37="",J38=""),"",IFERROR(J37-J38,""))</f>
        <v/>
      </c>
      <c r="K39" s="12">
        <f>IF(OR(K37="",K38=""),"",IFERROR(K37-K38,""))</f>
        <v/>
      </c>
      <c r="L39" s="12">
        <f>IF(OR(L37="",L38=""),"",IFERROR(L37-L38,""))</f>
        <v/>
      </c>
    </row>
    <row r="40">
      <c r="A40" s="18" t="inlineStr">
        <is>
          <t>배당금 지급</t>
        </is>
      </c>
      <c r="B40" s="10" t="inlineStr">
        <is>
          <t>양수로 입력</t>
        </is>
      </c>
      <c r="C40" s="19" t="n"/>
      <c r="D40" s="20" t="n"/>
      <c r="E40" s="20" t="n"/>
      <c r="F40" s="20" t="n">
        <v>2158</v>
      </c>
      <c r="G40" s="20" t="n"/>
      <c r="H40" s="19" t="n">
        <v>990</v>
      </c>
      <c r="I40" s="20" t="n">
        <v>1938</v>
      </c>
      <c r="J40" s="20" t="n">
        <v>1834</v>
      </c>
      <c r="K40" s="20" t="n">
        <v>2454</v>
      </c>
      <c r="L40" s="20" t="n">
        <v>2158</v>
      </c>
    </row>
    <row r="41">
      <c r="A41" s="16" t="inlineStr">
        <is>
          <t>주요 재무 비율</t>
        </is>
      </c>
      <c r="B41" s="16" t="inlineStr">
        <is>
          <t>기준 (빨간 글씨 = 미달)</t>
        </is>
      </c>
      <c r="C41" s="17" t="n"/>
      <c r="D41" s="16" t="n"/>
      <c r="E41" s="16" t="n"/>
      <c r="F41" s="16" t="n"/>
      <c r="G41" s="16" t="n"/>
      <c r="H41" s="17" t="n"/>
      <c r="I41" s="16" t="n"/>
      <c r="J41" s="16" t="n"/>
      <c r="K41" s="16" t="n"/>
      <c r="L41" s="16" t="n"/>
    </row>
    <row r="42">
      <c r="A42" s="23" t="inlineStr">
        <is>
          <t>안정성</t>
        </is>
      </c>
      <c r="B42" s="23" t="n"/>
      <c r="C42" s="24" t="n"/>
      <c r="D42" s="23" t="n"/>
      <c r="E42" s="23" t="n"/>
      <c r="F42" s="23" t="n"/>
      <c r="G42" s="23" t="n"/>
      <c r="H42" s="24" t="n"/>
      <c r="I42" s="23" t="n"/>
      <c r="J42" s="23" t="n"/>
      <c r="K42" s="23" t="n"/>
      <c r="L42" s="23" t="n"/>
    </row>
    <row r="43">
      <c r="A43" s="44" t="inlineStr">
        <is>
          <t>부채비율</t>
        </is>
      </c>
      <c r="B43" s="10" t="inlineStr">
        <is>
          <t>100%↓</t>
        </is>
      </c>
      <c r="C43" s="35">
        <f>IF(OR(C27="",C35=""),"",IFERROR(C27/C35,""))</f>
        <v/>
      </c>
      <c r="D43" s="36">
        <f>IF(OR(D27="",D35=""),"",IFERROR(D27/D35,""))</f>
        <v/>
      </c>
      <c r="E43" s="36">
        <f>IF(OR(E27="",E35=""),"",IFERROR(E27/E35,""))</f>
        <v/>
      </c>
      <c r="F43" s="36">
        <f>IF(OR(F27="",F35=""),"",IFERROR(F27/F35,""))</f>
        <v/>
      </c>
      <c r="G43" s="36">
        <f>IF(OR(G27="",G35=""),"",IFERROR(G27/G35,""))</f>
        <v/>
      </c>
      <c r="H43" s="35">
        <f>IF(OR(H27="",H35=""),"",IFERROR(H27/H35,""))</f>
        <v/>
      </c>
      <c r="I43" s="36">
        <f>IF(OR(I27="",I35=""),"",IFERROR(I27/I35,""))</f>
        <v/>
      </c>
      <c r="J43" s="36">
        <f>IF(OR(J27="",J35=""),"",IFERROR(J27/J35,""))</f>
        <v/>
      </c>
      <c r="K43" s="36">
        <f>IF(OR(K27="",K35=""),"",IFERROR(K27/K35,""))</f>
        <v/>
      </c>
      <c r="L43" s="36">
        <f>IF(OR(L27="",L35=""),"",IFERROR(L27/L35,""))</f>
        <v/>
      </c>
    </row>
    <row r="44">
      <c r="A44" s="44" t="inlineStr">
        <is>
          <t>순차입금비율</t>
        </is>
      </c>
      <c r="B44" s="10" t="inlineStr">
        <is>
          <t>0%↓ 순현금</t>
        </is>
      </c>
      <c r="C44" s="35">
        <f>IF(OR(C29="",C35=""),"",IFERROR(C29/C35,""))</f>
        <v/>
      </c>
      <c r="D44" s="36">
        <f>IF(OR(D29="",D35=""),"",IFERROR(D29/D35,""))</f>
        <v/>
      </c>
      <c r="E44" s="36">
        <f>IF(OR(E29="",E35=""),"",IFERROR(E29/E35,""))</f>
        <v/>
      </c>
      <c r="F44" s="36">
        <f>IF(OR(F29="",F35=""),"",IFERROR(F29/F35,""))</f>
        <v/>
      </c>
      <c r="G44" s="36">
        <f>IF(OR(G29="",G35=""),"",IFERROR(G29/G35,""))</f>
        <v/>
      </c>
      <c r="H44" s="35">
        <f>IF(OR(H29="",H35=""),"",IFERROR(H29/H35,""))</f>
        <v/>
      </c>
      <c r="I44" s="36">
        <f>IF(OR(I29="",I35=""),"",IFERROR(I29/I35,""))</f>
        <v/>
      </c>
      <c r="J44" s="36">
        <f>IF(OR(J29="",J35=""),"",IFERROR(J29/J35,""))</f>
        <v/>
      </c>
      <c r="K44" s="36">
        <f>IF(OR(K29="",K35=""),"",IFERROR(K29/K35,""))</f>
        <v/>
      </c>
      <c r="L44" s="36">
        <f>IF(OR(L29="",L35=""),"",IFERROR(L29/L35,""))</f>
        <v/>
      </c>
    </row>
    <row r="45">
      <c r="A45" s="44" t="inlineStr">
        <is>
          <t>자기자본비율</t>
        </is>
      </c>
      <c r="B45" s="10" t="inlineStr">
        <is>
          <t>50%↑</t>
        </is>
      </c>
      <c r="C45" s="35">
        <f>IF(OR(C35="",C16=""),"",IFERROR(C35/C16,""))</f>
        <v/>
      </c>
      <c r="D45" s="36">
        <f>IF(OR(D35="",D16=""),"",IFERROR(D35/D16,""))</f>
        <v/>
      </c>
      <c r="E45" s="36">
        <f>IF(OR(E35="",E16=""),"",IFERROR(E35/E16,""))</f>
        <v/>
      </c>
      <c r="F45" s="36">
        <f>IF(OR(F35="",F16=""),"",IFERROR(F35/F16,""))</f>
        <v/>
      </c>
      <c r="G45" s="36">
        <f>IF(OR(G35="",G16=""),"",IFERROR(G35/G16,""))</f>
        <v/>
      </c>
      <c r="H45" s="35">
        <f>IF(OR(H35="",H16=""),"",IFERROR(H35/H16,""))</f>
        <v/>
      </c>
      <c r="I45" s="36">
        <f>IF(OR(I35="",I16=""),"",IFERROR(I35/I16,""))</f>
        <v/>
      </c>
      <c r="J45" s="36">
        <f>IF(OR(J35="",J16=""),"",IFERROR(J35/J16,""))</f>
        <v/>
      </c>
      <c r="K45" s="36">
        <f>IF(OR(K35="",K16=""),"",IFERROR(K35/K16,""))</f>
        <v/>
      </c>
      <c r="L45" s="36">
        <f>IF(OR(L35="",L16=""),"",IFERROR(L35/L16,""))</f>
        <v/>
      </c>
    </row>
    <row r="46">
      <c r="A46" s="44" t="inlineStr">
        <is>
          <t>유동비율</t>
        </is>
      </c>
      <c r="B46" s="10" t="inlineStr">
        <is>
          <t>150%↑</t>
        </is>
      </c>
      <c r="C46" s="35">
        <f>IF(OR(C5="",C18=""),"",IFERROR(C5/C18,""))</f>
        <v/>
      </c>
      <c r="D46" s="36">
        <f>IF(OR(D5="",D18=""),"",IFERROR(D5/D18,""))</f>
        <v/>
      </c>
      <c r="E46" s="36">
        <f>IF(OR(E5="",E18=""),"",IFERROR(E5/E18,""))</f>
        <v/>
      </c>
      <c r="F46" s="36">
        <f>IF(OR(F5="",F18=""),"",IFERROR(F5/F18,""))</f>
        <v/>
      </c>
      <c r="G46" s="36">
        <f>IF(OR(G5="",G18=""),"",IFERROR(G5/G18,""))</f>
        <v/>
      </c>
      <c r="H46" s="35">
        <f>IF(OR(H5="",H18=""),"",IFERROR(H5/H18,""))</f>
        <v/>
      </c>
      <c r="I46" s="36">
        <f>IF(OR(I5="",I18=""),"",IFERROR(I5/I18,""))</f>
        <v/>
      </c>
      <c r="J46" s="36">
        <f>IF(OR(J5="",J18=""),"",IFERROR(J5/J18,""))</f>
        <v/>
      </c>
      <c r="K46" s="36">
        <f>IF(OR(K5="",K18=""),"",IFERROR(K5/K18,""))</f>
        <v/>
      </c>
      <c r="L46" s="36">
        <f>IF(OR(L5="",L18=""),"",IFERROR(L5/L18,""))</f>
        <v/>
      </c>
    </row>
    <row r="47">
      <c r="A47" s="44" t="inlineStr">
        <is>
          <t>당좌비율</t>
        </is>
      </c>
      <c r="B47" s="10" t="inlineStr">
        <is>
          <t>100%↑</t>
        </is>
      </c>
      <c r="C47" s="35">
        <f>IF(OR(C5="",C18=""),"",IFERROR((C5-N(C9))/C18,""))</f>
        <v/>
      </c>
      <c r="D47" s="36">
        <f>IF(OR(D5="",D18=""),"",IFERROR((D5-N(D9))/D18,""))</f>
        <v/>
      </c>
      <c r="E47" s="36">
        <f>IF(OR(E5="",E18=""),"",IFERROR((E5-N(E9))/E18,""))</f>
        <v/>
      </c>
      <c r="F47" s="36">
        <f>IF(OR(F5="",F18=""),"",IFERROR((F5-N(F9))/F18,""))</f>
        <v/>
      </c>
      <c r="G47" s="36">
        <f>IF(OR(G5="",G18=""),"",IFERROR((G5-N(G9))/G18,""))</f>
        <v/>
      </c>
      <c r="H47" s="35">
        <f>IF(OR(H5="",H18=""),"",IFERROR((H5-N(H9))/H18,""))</f>
        <v/>
      </c>
      <c r="I47" s="36">
        <f>IF(OR(I5="",I18=""),"",IFERROR((I5-N(I9))/I18,""))</f>
        <v/>
      </c>
      <c r="J47" s="36">
        <f>IF(OR(J5="",J18=""),"",IFERROR((J5-N(J9))/J18,""))</f>
        <v/>
      </c>
      <c r="K47" s="36">
        <f>IF(OR(K5="",K18=""),"",IFERROR((K5-N(K9))/K18,""))</f>
        <v/>
      </c>
      <c r="L47" s="36">
        <f>IF(OR(L5="",L18=""),"",IFERROR((L5-N(L9))/L18,""))</f>
        <v/>
      </c>
    </row>
    <row r="48">
      <c r="A48" s="44" t="inlineStr">
        <is>
          <t>이자보상배율</t>
        </is>
      </c>
      <c r="B48" s="10" t="inlineStr">
        <is>
          <t>5x↑ (금융원가 기준)</t>
        </is>
      </c>
      <c r="C48" s="30">
        <f>IFERROR((IF(COUNT('연간'!G34:J34)&lt;4,"",SUM('연간'!G34:J34)))/(IF(COUNT('연간'!G56:J56)&lt;4,"",SUM('연간'!G56:J56))),"")</f>
        <v/>
      </c>
      <c r="D48" s="31">
        <f>IFERROR((IF(COUNT('연간'!H34:K34)&lt;4,"",SUM('연간'!H34:K34)))/(IF(COUNT('연간'!H56:K56)&lt;4,"",SUM('연간'!H56:K56))),"")</f>
        <v/>
      </c>
      <c r="E48" s="31">
        <f>IFERROR((IF(COUNT('연간'!I34:L34)&lt;4,"",SUM('연간'!I34:L34)))/(IF(COUNT('연간'!I56:L56)&lt;4,"",SUM('연간'!I56:L56))),"")</f>
        <v/>
      </c>
      <c r="F48" s="31">
        <f>IFERROR((IF(COUNT('연간'!J34:M34)&lt;4,"",SUM('연간'!J34:M34)))/(IF(COUNT('연간'!J56:M56)&lt;4,"",SUM('연간'!J56:M56))),"")</f>
        <v/>
      </c>
      <c r="G48" s="31">
        <f>IFERROR((IF(COUNT('연간'!K34:N34)&lt;4,"",SUM('연간'!K34:N34)))/(IF(COUNT('연간'!K56:N56)&lt;4,"",SUM('연간'!K56:N56))),"")</f>
        <v/>
      </c>
      <c r="H48" s="30">
        <f>IFERROR(('연간'!T34)/('연간'!T56),"")</f>
        <v/>
      </c>
      <c r="I48" s="31">
        <f>IFERROR(('연간'!U34)/('연간'!U56),"")</f>
        <v/>
      </c>
      <c r="J48" s="31">
        <f>IFERROR(('연간'!V34)/('연간'!V56),"")</f>
        <v/>
      </c>
      <c r="K48" s="31">
        <f>IFERROR(('연간'!W34)/('연간'!W56),"")</f>
        <v/>
      </c>
      <c r="L48" s="31">
        <f>IFERROR(('연간'!X34)/('연간'!X56),"")</f>
        <v/>
      </c>
    </row>
    <row r="49">
      <c r="A49" s="44" t="inlineStr">
        <is>
          <t>차입금 상환연수</t>
        </is>
      </c>
      <c r="B49" s="10" t="inlineStr">
        <is>
          <t>4년↓ (버핏)</t>
        </is>
      </c>
      <c r="C49" s="45">
        <f>IFERROR(IF((IF(COUNT('연간'!G62:J62)&lt;4,"",SUM('연간'!G62:J62)))&lt;=0,"적자",C28/(IF(COUNT('연간'!G62:J62)&lt;4,"",SUM('연간'!G62:J62)))),"")</f>
        <v/>
      </c>
      <c r="D49" s="46">
        <f>IFERROR(IF((IF(COUNT('연간'!H62:K62)&lt;4,"",SUM('연간'!H62:K62)))&lt;=0,"적자",D28/(IF(COUNT('연간'!H62:K62)&lt;4,"",SUM('연간'!H62:K62)))),"")</f>
        <v/>
      </c>
      <c r="E49" s="46">
        <f>IFERROR(IF((IF(COUNT('연간'!I62:L62)&lt;4,"",SUM('연간'!I62:L62)))&lt;=0,"적자",E28/(IF(COUNT('연간'!I62:L62)&lt;4,"",SUM('연간'!I62:L62)))),"")</f>
        <v/>
      </c>
      <c r="F49" s="46">
        <f>IFERROR(IF((IF(COUNT('연간'!J62:M62)&lt;4,"",SUM('연간'!J62:M62)))&lt;=0,"적자",F28/(IF(COUNT('연간'!J62:M62)&lt;4,"",SUM('연간'!J62:M62)))),"")</f>
        <v/>
      </c>
      <c r="G49" s="46">
        <f>IFERROR(IF((IF(COUNT('연간'!K62:N62)&lt;4,"",SUM('연간'!K62:N62)))&lt;=0,"적자",G28/(IF(COUNT('연간'!K62:N62)&lt;4,"",SUM('연간'!K62:N62)))),"")</f>
        <v/>
      </c>
      <c r="H49" s="45">
        <f>IFERROR(IF(('연간'!T62)&lt;=0,"적자",H28/('연간'!T62)),"")</f>
        <v/>
      </c>
      <c r="I49" s="46">
        <f>IFERROR(IF(('연간'!U62)&lt;=0,"적자",I28/('연간'!U62)),"")</f>
        <v/>
      </c>
      <c r="J49" s="46">
        <f>IFERROR(IF(('연간'!V62)&lt;=0,"적자",J28/('연간'!V62)),"")</f>
        <v/>
      </c>
      <c r="K49" s="46">
        <f>IFERROR(IF(('연간'!W62)&lt;=0,"적자",K28/('연간'!W62)),"")</f>
        <v/>
      </c>
      <c r="L49" s="46">
        <f>IFERROR(IF(('연간'!X62)&lt;=0,"적자",L28/('연간'!X62)),"")</f>
        <v/>
      </c>
    </row>
    <row r="50">
      <c r="A50" s="23" t="inlineStr">
        <is>
          <t>수익성</t>
        </is>
      </c>
      <c r="B50" s="23" t="n"/>
      <c r="C50" s="24" t="n"/>
      <c r="D50" s="23" t="n"/>
      <c r="E50" s="23" t="n"/>
      <c r="F50" s="23" t="n"/>
      <c r="G50" s="23" t="n"/>
      <c r="H50" s="24" t="n"/>
      <c r="I50" s="23" t="n"/>
      <c r="J50" s="23" t="n"/>
      <c r="K50" s="23" t="n"/>
      <c r="L50" s="23" t="n"/>
    </row>
    <row r="51">
      <c r="A51" s="44" t="inlineStr">
        <is>
          <t>ROE</t>
        </is>
      </c>
      <c r="B51" s="10" t="inlineStr">
        <is>
          <t>15%↑ (버핏)</t>
        </is>
      </c>
      <c r="C51" s="35">
        <f>IFERROR((IF(COUNT('연간'!G62:J62)&lt;4,"",SUM('연간'!G62:J62)))/C31,"")</f>
        <v/>
      </c>
      <c r="D51" s="36">
        <f>IFERROR((IF(COUNT('연간'!H62:K62)&lt;4,"",SUM('연간'!H62:K62)))/D31,"")</f>
        <v/>
      </c>
      <c r="E51" s="36">
        <f>IFERROR((IF(COUNT('연간'!I62:L62)&lt;4,"",SUM('연간'!I62:L62)))/E31,"")</f>
        <v/>
      </c>
      <c r="F51" s="36">
        <f>IFERROR((IF(COUNT('연간'!J62:M62)&lt;4,"",SUM('연간'!J62:M62)))/F31,"")</f>
        <v/>
      </c>
      <c r="G51" s="36">
        <f>IFERROR((IF(COUNT('연간'!K62:N62)&lt;4,"",SUM('연간'!K62:N62)))/G31,"")</f>
        <v/>
      </c>
      <c r="H51" s="35">
        <f>IFERROR(('연간'!T62)/H31,"")</f>
        <v/>
      </c>
      <c r="I51" s="36">
        <f>IFERROR(('연간'!U62)/I31,"")</f>
        <v/>
      </c>
      <c r="J51" s="36">
        <f>IFERROR(('연간'!V62)/J31,"")</f>
        <v/>
      </c>
      <c r="K51" s="36">
        <f>IFERROR(('연간'!W62)/K31,"")</f>
        <v/>
      </c>
      <c r="L51" s="36">
        <f>IFERROR(('연간'!X62)/L31,"")</f>
        <v/>
      </c>
    </row>
    <row r="52">
      <c r="A52" s="44" t="inlineStr">
        <is>
          <t>ROA</t>
        </is>
      </c>
      <c r="B52" s="10" t="inlineStr">
        <is>
          <t>5%↑</t>
        </is>
      </c>
      <c r="C52" s="35">
        <f>IFERROR((IF(COUNT('연간'!G61:J61)&lt;4,"",SUM('연간'!G61:J61)))/C16,"")</f>
        <v/>
      </c>
      <c r="D52" s="36">
        <f>IFERROR((IF(COUNT('연간'!H61:K61)&lt;4,"",SUM('연간'!H61:K61)))/D16,"")</f>
        <v/>
      </c>
      <c r="E52" s="36">
        <f>IFERROR((IF(COUNT('연간'!I61:L61)&lt;4,"",SUM('연간'!I61:L61)))/E16,"")</f>
        <v/>
      </c>
      <c r="F52" s="36">
        <f>IFERROR((IF(COUNT('연간'!J61:M61)&lt;4,"",SUM('연간'!J61:M61)))/F16,"")</f>
        <v/>
      </c>
      <c r="G52" s="36">
        <f>IFERROR((IF(COUNT('연간'!K61:N61)&lt;4,"",SUM('연간'!K61:N61)))/G16,"")</f>
        <v/>
      </c>
      <c r="H52" s="35">
        <f>IFERROR(('연간'!T61)/H16,"")</f>
        <v/>
      </c>
      <c r="I52" s="36">
        <f>IFERROR(('연간'!U61)/I16,"")</f>
        <v/>
      </c>
      <c r="J52" s="36">
        <f>IFERROR(('연간'!V61)/J16,"")</f>
        <v/>
      </c>
      <c r="K52" s="36">
        <f>IFERROR(('연간'!W61)/K16,"")</f>
        <v/>
      </c>
      <c r="L52" s="36">
        <f>IFERROR(('연간'!X61)/L16,"")</f>
        <v/>
      </c>
    </row>
    <row r="53">
      <c r="A53" s="44" t="inlineStr">
        <is>
          <t>ROIC</t>
        </is>
      </c>
      <c r="B53" s="10" t="inlineStr">
        <is>
          <t>10%↑ (세후영업이익 기준)</t>
        </is>
      </c>
      <c r="C53" s="35">
        <f>IFERROR((IF(COUNT('연간'!G34:J34)&lt;4,"",SUM('연간'!G34:J34)))*(1-0.3)/(C35+C29),"")</f>
        <v/>
      </c>
      <c r="D53" s="36">
        <f>IFERROR((IF(COUNT('연간'!H34:K34)&lt;4,"",SUM('연간'!H34:K34)))*(1-0.3)/(D35+D29),"")</f>
        <v/>
      </c>
      <c r="E53" s="36">
        <f>IFERROR((IF(COUNT('연간'!I34:L34)&lt;4,"",SUM('연간'!I34:L34)))*(1-0.3)/(E35+E29),"")</f>
        <v/>
      </c>
      <c r="F53" s="36">
        <f>IFERROR((IF(COUNT('연간'!J34:M34)&lt;4,"",SUM('연간'!J34:M34)))*(1-0.3)/(F35+F29),"")</f>
        <v/>
      </c>
      <c r="G53" s="36">
        <f>IFERROR((IF(COUNT('연간'!K34:N34)&lt;4,"",SUM('연간'!K34:N34)))*(1-0.3)/(G35+G29),"")</f>
        <v/>
      </c>
      <c r="H53" s="35">
        <f>IFERROR(('연간'!T34)*(1-0.3)/(H35+H29),"")</f>
        <v/>
      </c>
      <c r="I53" s="36">
        <f>IFERROR(('연간'!U34)*(1-0.3)/(I35+I29),"")</f>
        <v/>
      </c>
      <c r="J53" s="36">
        <f>IFERROR(('연간'!V34)*(1-0.3)/(J35+J29),"")</f>
        <v/>
      </c>
      <c r="K53" s="36">
        <f>IFERROR(('연간'!W34)*(1-0.3)/(K35+K29),"")</f>
        <v/>
      </c>
      <c r="L53" s="36">
        <f>IFERROR(('연간'!X34)*(1-0.3)/(L35+L29),"")</f>
        <v/>
      </c>
    </row>
    <row r="54">
      <c r="A54" s="44" t="inlineStr">
        <is>
          <t>매출총이익률 (GPM)</t>
        </is>
      </c>
      <c r="B54" s="10" t="inlineStr">
        <is>
          <t>40%↑ (해자 신호)</t>
        </is>
      </c>
      <c r="C54" s="35">
        <f>IFERROR((IF(COUNT('연간'!G30:J30)&lt;4,"",SUM('연간'!G30:J30)))/(IF(COUNT('연간'!G4:J4)&lt;4,"",SUM('연간'!G4:J4))),"")</f>
        <v/>
      </c>
      <c r="D54" s="36">
        <f>IFERROR((IF(COUNT('연간'!H30:K30)&lt;4,"",SUM('연간'!H30:K30)))/(IF(COUNT('연간'!H4:K4)&lt;4,"",SUM('연간'!H4:K4))),"")</f>
        <v/>
      </c>
      <c r="E54" s="36">
        <f>IFERROR((IF(COUNT('연간'!I30:L30)&lt;4,"",SUM('연간'!I30:L30)))/(IF(COUNT('연간'!I4:L4)&lt;4,"",SUM('연간'!I4:L4))),"")</f>
        <v/>
      </c>
      <c r="F54" s="36">
        <f>IFERROR((IF(COUNT('연간'!J30:M30)&lt;4,"",SUM('연간'!J30:M30)))/(IF(COUNT('연간'!J4:M4)&lt;4,"",SUM('연간'!J4:M4))),"")</f>
        <v/>
      </c>
      <c r="G54" s="36">
        <f>IFERROR((IF(COUNT('연간'!K30:N30)&lt;4,"",SUM('연간'!K30:N30)))/(IF(COUNT('연간'!K4:N4)&lt;4,"",SUM('연간'!K4:N4))),"")</f>
        <v/>
      </c>
      <c r="H54" s="35">
        <f>IFERROR(('연간'!T30)/('연간'!T4),"")</f>
        <v/>
      </c>
      <c r="I54" s="36">
        <f>IFERROR(('연간'!U30)/('연간'!U4),"")</f>
        <v/>
      </c>
      <c r="J54" s="36">
        <f>IFERROR(('연간'!V30)/('연간'!V4),"")</f>
        <v/>
      </c>
      <c r="K54" s="36">
        <f>IFERROR(('연간'!W30)/('연간'!W4),"")</f>
        <v/>
      </c>
      <c r="L54" s="36">
        <f>IFERROR(('연간'!X30)/('연간'!X4),"")</f>
        <v/>
      </c>
    </row>
    <row r="55">
      <c r="A55" s="44" t="inlineStr">
        <is>
          <t>영업이익률 (OPM)</t>
        </is>
      </c>
      <c r="B55" s="10" t="inlineStr">
        <is>
          <t>15%↑</t>
        </is>
      </c>
      <c r="C55" s="35">
        <f>IFERROR((IF(COUNT('연간'!G34:J34)&lt;4,"",SUM('연간'!G34:J34)))/(IF(COUNT('연간'!G4:J4)&lt;4,"",SUM('연간'!G4:J4))),"")</f>
        <v/>
      </c>
      <c r="D55" s="36">
        <f>IFERROR((IF(COUNT('연간'!H34:K34)&lt;4,"",SUM('연간'!H34:K34)))/(IF(COUNT('연간'!H4:K4)&lt;4,"",SUM('연간'!H4:K4))),"")</f>
        <v/>
      </c>
      <c r="E55" s="36">
        <f>IFERROR((IF(COUNT('연간'!I34:L34)&lt;4,"",SUM('연간'!I34:L34)))/(IF(COUNT('연간'!I4:L4)&lt;4,"",SUM('연간'!I4:L4))),"")</f>
        <v/>
      </c>
      <c r="F55" s="36">
        <f>IFERROR((IF(COUNT('연간'!J34:M34)&lt;4,"",SUM('연간'!J34:M34)))/(IF(COUNT('연간'!J4:M4)&lt;4,"",SUM('연간'!J4:M4))),"")</f>
        <v/>
      </c>
      <c r="G55" s="36">
        <f>IFERROR((IF(COUNT('연간'!K34:N34)&lt;4,"",SUM('연간'!K34:N34)))/(IF(COUNT('연간'!K4:N4)&lt;4,"",SUM('연간'!K4:N4))),"")</f>
        <v/>
      </c>
      <c r="H55" s="35">
        <f>IFERROR(('연간'!T34)/('연간'!T4),"")</f>
        <v/>
      </c>
      <c r="I55" s="36">
        <f>IFERROR(('연간'!U34)/('연간'!U4),"")</f>
        <v/>
      </c>
      <c r="J55" s="36">
        <f>IFERROR(('연간'!V34)/('연간'!V4),"")</f>
        <v/>
      </c>
      <c r="K55" s="36">
        <f>IFERROR(('연간'!W34)/('연간'!W4),"")</f>
        <v/>
      </c>
      <c r="L55" s="36">
        <f>IFERROR(('연간'!X34)/('연간'!X4),"")</f>
        <v/>
      </c>
    </row>
    <row r="56">
      <c r="A56" s="44" t="inlineStr">
        <is>
          <t>순이익률</t>
        </is>
      </c>
      <c r="B56" s="10" t="inlineStr">
        <is>
          <t>10%↑</t>
        </is>
      </c>
      <c r="C56" s="35">
        <f>IFERROR((IF(COUNT('연간'!G61:J61)&lt;4,"",SUM('연간'!G61:J61)))/(IF(COUNT('연간'!G4:J4)&lt;4,"",SUM('연간'!G4:J4))),"")</f>
        <v/>
      </c>
      <c r="D56" s="36">
        <f>IFERROR((IF(COUNT('연간'!H61:K61)&lt;4,"",SUM('연간'!H61:K61)))/(IF(COUNT('연간'!H4:K4)&lt;4,"",SUM('연간'!H4:K4))),"")</f>
        <v/>
      </c>
      <c r="E56" s="36">
        <f>IFERROR((IF(COUNT('연간'!I61:L61)&lt;4,"",SUM('연간'!I61:L61)))/(IF(COUNT('연간'!I4:L4)&lt;4,"",SUM('연간'!I4:L4))),"")</f>
        <v/>
      </c>
      <c r="F56" s="36">
        <f>IFERROR((IF(COUNT('연간'!J61:M61)&lt;4,"",SUM('연간'!J61:M61)))/(IF(COUNT('연간'!J4:M4)&lt;4,"",SUM('연간'!J4:M4))),"")</f>
        <v/>
      </c>
      <c r="G56" s="36">
        <f>IFERROR((IF(COUNT('연간'!K61:N61)&lt;4,"",SUM('연간'!K61:N61)))/(IF(COUNT('연간'!K4:N4)&lt;4,"",SUM('연간'!K4:N4))),"")</f>
        <v/>
      </c>
      <c r="H56" s="35">
        <f>IFERROR(('연간'!T61)/('연간'!T4),"")</f>
        <v/>
      </c>
      <c r="I56" s="36">
        <f>IFERROR(('연간'!U61)/('연간'!U4),"")</f>
        <v/>
      </c>
      <c r="J56" s="36">
        <f>IFERROR(('연간'!V61)/('연간'!V4),"")</f>
        <v/>
      </c>
      <c r="K56" s="36">
        <f>IFERROR(('연간'!W61)/('연간'!W4),"")</f>
        <v/>
      </c>
      <c r="L56" s="36">
        <f>IFERROR(('연간'!X61)/('연간'!X4),"")</f>
        <v/>
      </c>
    </row>
    <row r="57">
      <c r="A57" s="23" t="inlineStr">
        <is>
          <t>효율성 (회전율)</t>
        </is>
      </c>
      <c r="B57" s="23" t="n"/>
      <c r="C57" s="24" t="n"/>
      <c r="D57" s="23" t="n"/>
      <c r="E57" s="23" t="n"/>
      <c r="F57" s="23" t="n"/>
      <c r="G57" s="23" t="n"/>
      <c r="H57" s="24" t="n"/>
      <c r="I57" s="23" t="n"/>
      <c r="J57" s="23" t="n"/>
      <c r="K57" s="23" t="n"/>
      <c r="L57" s="23" t="n"/>
    </row>
    <row r="58">
      <c r="A58" s="44" t="inlineStr">
        <is>
          <t>총자산회전율</t>
        </is>
      </c>
      <c r="B58" s="10" t="inlineStr">
        <is>
          <t>높을수록↑</t>
        </is>
      </c>
      <c r="C58" s="30">
        <f>IFERROR((IF(COUNT('연간'!G4:J4)&lt;4,"",SUM('연간'!G4:J4)))/C16,"")</f>
        <v/>
      </c>
      <c r="D58" s="31">
        <f>IFERROR((IF(COUNT('연간'!H4:K4)&lt;4,"",SUM('연간'!H4:K4)))/D16,"")</f>
        <v/>
      </c>
      <c r="E58" s="31">
        <f>IFERROR((IF(COUNT('연간'!I4:L4)&lt;4,"",SUM('연간'!I4:L4)))/E16,"")</f>
        <v/>
      </c>
      <c r="F58" s="31">
        <f>IFERROR((IF(COUNT('연간'!J4:M4)&lt;4,"",SUM('연간'!J4:M4)))/F16,"")</f>
        <v/>
      </c>
      <c r="G58" s="31">
        <f>IFERROR((IF(COUNT('연간'!K4:N4)&lt;4,"",SUM('연간'!K4:N4)))/G16,"")</f>
        <v/>
      </c>
      <c r="H58" s="30">
        <f>IFERROR(('연간'!T4)/H16,"")</f>
        <v/>
      </c>
      <c r="I58" s="31">
        <f>IFERROR(('연간'!U4)/I16,"")</f>
        <v/>
      </c>
      <c r="J58" s="31">
        <f>IFERROR(('연간'!V4)/J16,"")</f>
        <v/>
      </c>
      <c r="K58" s="31">
        <f>IFERROR(('연간'!W4)/K16,"")</f>
        <v/>
      </c>
      <c r="L58" s="31">
        <f>IFERROR(('연간'!X4)/L16,"")</f>
        <v/>
      </c>
    </row>
    <row r="59">
      <c r="A59" s="44" t="inlineStr">
        <is>
          <t>매출채권회전일수</t>
        </is>
      </c>
      <c r="B59" s="10" t="inlineStr">
        <is>
          <t>짧을수록↑</t>
        </is>
      </c>
      <c r="C59" s="47">
        <f>IFERROR(C8/(IF(COUNT('연간'!G4:J4)&lt;4,"",SUM('연간'!G4:J4)))*365,"")</f>
        <v/>
      </c>
      <c r="D59" s="48">
        <f>IFERROR(D8/(IF(COUNT('연간'!H4:K4)&lt;4,"",SUM('연간'!H4:K4)))*365,"")</f>
        <v/>
      </c>
      <c r="E59" s="48">
        <f>IFERROR(E8/(IF(COUNT('연간'!I4:L4)&lt;4,"",SUM('연간'!I4:L4)))*365,"")</f>
        <v/>
      </c>
      <c r="F59" s="48">
        <f>IFERROR(F8/(IF(COUNT('연간'!J4:M4)&lt;4,"",SUM('연간'!J4:M4)))*365,"")</f>
        <v/>
      </c>
      <c r="G59" s="48">
        <f>IFERROR(G8/(IF(COUNT('연간'!K4:N4)&lt;4,"",SUM('연간'!K4:N4)))*365,"")</f>
        <v/>
      </c>
      <c r="H59" s="47">
        <f>IFERROR(H8/('연간'!T4)*365,"")</f>
        <v/>
      </c>
      <c r="I59" s="48">
        <f>IFERROR(I8/('연간'!U4)*365,"")</f>
        <v/>
      </c>
      <c r="J59" s="48">
        <f>IFERROR(J8/('연간'!V4)*365,"")</f>
        <v/>
      </c>
      <c r="K59" s="48">
        <f>IFERROR(K8/('연간'!W4)*365,"")</f>
        <v/>
      </c>
      <c r="L59" s="48">
        <f>IFERROR(L8/('연간'!X4)*365,"")</f>
        <v/>
      </c>
    </row>
    <row r="60">
      <c r="A60" s="44" t="inlineStr">
        <is>
          <t>재고자산회전일수</t>
        </is>
      </c>
      <c r="B60" s="10" t="inlineStr">
        <is>
          <t>짧을수록↑</t>
        </is>
      </c>
      <c r="C60" s="47">
        <f>IFERROR(C9/(IF(COUNT('연간'!G29:J29)&lt;4,"",SUM('연간'!G29:J29)))*365,"")</f>
        <v/>
      </c>
      <c r="D60" s="48">
        <f>IFERROR(D9/(IF(COUNT('연간'!H29:K29)&lt;4,"",SUM('연간'!H29:K29)))*365,"")</f>
        <v/>
      </c>
      <c r="E60" s="48">
        <f>IFERROR(E9/(IF(COUNT('연간'!I29:L29)&lt;4,"",SUM('연간'!I29:L29)))*365,"")</f>
        <v/>
      </c>
      <c r="F60" s="48">
        <f>IFERROR(F9/(IF(COUNT('연간'!J29:M29)&lt;4,"",SUM('연간'!J29:M29)))*365,"")</f>
        <v/>
      </c>
      <c r="G60" s="48">
        <f>IFERROR(G9/(IF(COUNT('연간'!K29:N29)&lt;4,"",SUM('연간'!K29:N29)))*365,"")</f>
        <v/>
      </c>
      <c r="H60" s="47">
        <f>IFERROR(H9/('연간'!T29)*365,"")</f>
        <v/>
      </c>
      <c r="I60" s="48">
        <f>IFERROR(I9/('연간'!U29)*365,"")</f>
        <v/>
      </c>
      <c r="J60" s="48">
        <f>IFERROR(J9/('연간'!V29)*365,"")</f>
        <v/>
      </c>
      <c r="K60" s="48">
        <f>IFERROR(K9/('연간'!W29)*365,"")</f>
        <v/>
      </c>
      <c r="L60" s="48">
        <f>IFERROR(L9/('연간'!X29)*365,"")</f>
        <v/>
      </c>
    </row>
    <row r="61">
      <c r="A61" s="44" t="inlineStr">
        <is>
          <t>매입채무회전일수</t>
        </is>
      </c>
      <c r="B61" s="10" t="inlineStr">
        <is>
          <t>길수록 유리</t>
        </is>
      </c>
      <c r="C61" s="47">
        <f>IFERROR(C19/(IF(COUNT('연간'!G29:J29)&lt;4,"",SUM('연간'!G29:J29)))*365,"")</f>
        <v/>
      </c>
      <c r="D61" s="48">
        <f>IFERROR(D19/(IF(COUNT('연간'!H29:K29)&lt;4,"",SUM('연간'!H29:K29)))*365,"")</f>
        <v/>
      </c>
      <c r="E61" s="48">
        <f>IFERROR(E19/(IF(COUNT('연간'!I29:L29)&lt;4,"",SUM('연간'!I29:L29)))*365,"")</f>
        <v/>
      </c>
      <c r="F61" s="48">
        <f>IFERROR(F19/(IF(COUNT('연간'!J29:M29)&lt;4,"",SUM('연간'!J29:M29)))*365,"")</f>
        <v/>
      </c>
      <c r="G61" s="48">
        <f>IFERROR(G19/(IF(COUNT('연간'!K29:N29)&lt;4,"",SUM('연간'!K29:N29)))*365,"")</f>
        <v/>
      </c>
      <c r="H61" s="47">
        <f>IFERROR(H19/('연간'!T29)*365,"")</f>
        <v/>
      </c>
      <c r="I61" s="48">
        <f>IFERROR(I19/('연간'!U29)*365,"")</f>
        <v/>
      </c>
      <c r="J61" s="48">
        <f>IFERROR(J19/('연간'!V29)*365,"")</f>
        <v/>
      </c>
      <c r="K61" s="48">
        <f>IFERROR(K19/('연간'!W29)*365,"")</f>
        <v/>
      </c>
      <c r="L61" s="48">
        <f>IFERROR(L19/('연간'!X29)*365,"")</f>
        <v/>
      </c>
    </row>
    <row r="62">
      <c r="A62" s="44" t="inlineStr">
        <is>
          <t>현금전환주기 (CCC)</t>
        </is>
      </c>
      <c r="B62" s="10" t="inlineStr">
        <is>
          <t>짧을수록↑</t>
        </is>
      </c>
      <c r="C62" s="47">
        <f>IF(OR(C59="",C60="",C61=""),"",IFERROR(C59+C60-C61,""))</f>
        <v/>
      </c>
      <c r="D62" s="48">
        <f>IF(OR(D59="",D60="",D61=""),"",IFERROR(D59+D60-D61,""))</f>
        <v/>
      </c>
      <c r="E62" s="48">
        <f>IF(OR(E59="",E60="",E61=""),"",IFERROR(E59+E60-E61,""))</f>
        <v/>
      </c>
      <c r="F62" s="48">
        <f>IF(OR(F59="",F60="",F61=""),"",IFERROR(F59+F60-F61,""))</f>
        <v/>
      </c>
      <c r="G62" s="48">
        <f>IF(OR(G59="",G60="",G61=""),"",IFERROR(G59+G60-G61,""))</f>
        <v/>
      </c>
      <c r="H62" s="47">
        <f>IF(OR(H59="",H60="",H61=""),"",IFERROR(H59+H60-H61,""))</f>
        <v/>
      </c>
      <c r="I62" s="48">
        <f>IF(OR(I59="",I60="",I61=""),"",IFERROR(I59+I60-I61,""))</f>
        <v/>
      </c>
      <c r="J62" s="48">
        <f>IF(OR(J59="",J60="",J61=""),"",IFERROR(J59+J60-J61,""))</f>
        <v/>
      </c>
      <c r="K62" s="48">
        <f>IF(OR(K59="",K60="",K61=""),"",IFERROR(K59+K60-K61,""))</f>
        <v/>
      </c>
      <c r="L62" s="48">
        <f>IF(OR(L59="",L60="",L61=""),"",IFERROR(L59+L60-L61,""))</f>
        <v/>
      </c>
    </row>
    <row r="63">
      <c r="A63" s="23" t="inlineStr">
        <is>
          <t>현금흐름</t>
        </is>
      </c>
      <c r="B63" s="23" t="n"/>
      <c r="C63" s="24" t="n"/>
      <c r="D63" s="23" t="n"/>
      <c r="E63" s="23" t="n"/>
      <c r="F63" s="23" t="n"/>
      <c r="G63" s="23" t="n"/>
      <c r="H63" s="24" t="n"/>
      <c r="I63" s="23" t="n"/>
      <c r="J63" s="23" t="n"/>
      <c r="K63" s="23" t="n"/>
      <c r="L63" s="23" t="n"/>
    </row>
    <row r="64">
      <c r="A64" s="44" t="inlineStr">
        <is>
          <t>영업현금흐름 / 순이익</t>
        </is>
      </c>
      <c r="B64" s="10" t="inlineStr">
        <is>
          <t>1x↑ (이익의 질)</t>
        </is>
      </c>
      <c r="C64" s="30">
        <f>IF(C37="","",IFERROR(C37/(IF(COUNT('연간'!G61:J61)&lt;4,"",SUM('연간'!G61:J61))),""))</f>
        <v/>
      </c>
      <c r="D64" s="31">
        <f>IF(D37="","",IFERROR(D37/(IF(COUNT('연간'!H61:K61)&lt;4,"",SUM('연간'!H61:K61))),""))</f>
        <v/>
      </c>
      <c r="E64" s="31">
        <f>IF(E37="","",IFERROR(E37/(IF(COUNT('연간'!I61:L61)&lt;4,"",SUM('연간'!I61:L61))),""))</f>
        <v/>
      </c>
      <c r="F64" s="31">
        <f>IF(F37="","",IFERROR(F37/(IF(COUNT('연간'!J61:M61)&lt;4,"",SUM('연간'!J61:M61))),""))</f>
        <v/>
      </c>
      <c r="G64" s="31">
        <f>IF(G37="","",IFERROR(G37/(IF(COUNT('연간'!K61:N61)&lt;4,"",SUM('연간'!K61:N61))),""))</f>
        <v/>
      </c>
      <c r="H64" s="30">
        <f>IF(H37="","",IFERROR(H37/('연간'!T61),""))</f>
        <v/>
      </c>
      <c r="I64" s="31">
        <f>IF(I37="","",IFERROR(I37/('연간'!U61),""))</f>
        <v/>
      </c>
      <c r="J64" s="31">
        <f>IF(J37="","",IFERROR(J37/('연간'!V61),""))</f>
        <v/>
      </c>
      <c r="K64" s="31">
        <f>IF(K37="","",IFERROR(K37/('연간'!W61),""))</f>
        <v/>
      </c>
      <c r="L64" s="31">
        <f>IF(L37="","",IFERROR(L37/('연간'!X61),""))</f>
        <v/>
      </c>
    </row>
    <row r="65">
      <c r="A65" s="44" t="inlineStr">
        <is>
          <t>FCF 마진</t>
        </is>
      </c>
      <c r="B65" s="10" t="inlineStr">
        <is>
          <t>5%↑</t>
        </is>
      </c>
      <c r="C65" s="35">
        <f>IF(C39="","",IFERROR(C39/(IF(COUNT('연간'!G4:J4)&lt;4,"",SUM('연간'!G4:J4))),""))</f>
        <v/>
      </c>
      <c r="D65" s="36">
        <f>IF(D39="","",IFERROR(D39/(IF(COUNT('연간'!H4:K4)&lt;4,"",SUM('연간'!H4:K4))),""))</f>
        <v/>
      </c>
      <c r="E65" s="36">
        <f>IF(E39="","",IFERROR(E39/(IF(COUNT('연간'!I4:L4)&lt;4,"",SUM('연간'!I4:L4))),""))</f>
        <v/>
      </c>
      <c r="F65" s="36">
        <f>IF(F39="","",IFERROR(F39/(IF(COUNT('연간'!J4:M4)&lt;4,"",SUM('연간'!J4:M4))),""))</f>
        <v/>
      </c>
      <c r="G65" s="36">
        <f>IF(G39="","",IFERROR(G39/(IF(COUNT('연간'!K4:N4)&lt;4,"",SUM('연간'!K4:N4))),""))</f>
        <v/>
      </c>
      <c r="H65" s="35">
        <f>IF(H39="","",IFERROR(H39/('연간'!T4),""))</f>
        <v/>
      </c>
      <c r="I65" s="36">
        <f>IF(I39="","",IFERROR(I39/('연간'!U4),""))</f>
        <v/>
      </c>
      <c r="J65" s="36">
        <f>IF(J39="","",IFERROR(J39/('연간'!V4),""))</f>
        <v/>
      </c>
      <c r="K65" s="36">
        <f>IF(K39="","",IFERROR(K39/('연간'!W4),""))</f>
        <v/>
      </c>
      <c r="L65" s="36">
        <f>IF(L39="","",IFERROR(L39/('연간'!X4),""))</f>
        <v/>
      </c>
    </row>
    <row r="66">
      <c r="A66" s="44" t="inlineStr">
        <is>
          <t>CAPEX / 매출</t>
        </is>
      </c>
      <c r="B66" s="10" t="inlineStr">
        <is>
          <t>낮을수록↑ (자본 가벼움)</t>
        </is>
      </c>
      <c r="C66" s="35">
        <f>IF(C38="","",IFERROR(C38/(IF(COUNT('연간'!G4:J4)&lt;4,"",SUM('연간'!G4:J4))),""))</f>
        <v/>
      </c>
      <c r="D66" s="36">
        <f>IF(D38="","",IFERROR(D38/(IF(COUNT('연간'!H4:K4)&lt;4,"",SUM('연간'!H4:K4))),""))</f>
        <v/>
      </c>
      <c r="E66" s="36">
        <f>IF(E38="","",IFERROR(E38/(IF(COUNT('연간'!I4:L4)&lt;4,"",SUM('연간'!I4:L4))),""))</f>
        <v/>
      </c>
      <c r="F66" s="36">
        <f>IF(F38="","",IFERROR(F38/(IF(COUNT('연간'!J4:M4)&lt;4,"",SUM('연간'!J4:M4))),""))</f>
        <v/>
      </c>
      <c r="G66" s="36">
        <f>IF(G38="","",IFERROR(G38/(IF(COUNT('연간'!K4:N4)&lt;4,"",SUM('연간'!K4:N4))),""))</f>
        <v/>
      </c>
      <c r="H66" s="35">
        <f>IF(H38="","",IFERROR(H38/('연간'!T4),""))</f>
        <v/>
      </c>
      <c r="I66" s="36">
        <f>IF(I38="","",IFERROR(I38/('연간'!U4),""))</f>
        <v/>
      </c>
      <c r="J66" s="36">
        <f>IF(J38="","",IFERROR(J38/('연간'!V4),""))</f>
        <v/>
      </c>
      <c r="K66" s="36">
        <f>IF(K38="","",IFERROR(K38/('연간'!W4),""))</f>
        <v/>
      </c>
      <c r="L66" s="36">
        <f>IF(L38="","",IFERROR(L38/('연간'!X4),""))</f>
        <v/>
      </c>
    </row>
    <row r="67">
      <c r="A67" s="44" t="inlineStr">
        <is>
          <t>배당성향</t>
        </is>
      </c>
      <c r="B67" s="10" t="inlineStr">
        <is>
          <t>참고</t>
        </is>
      </c>
      <c r="C67" s="35">
        <f>IF(C40="","",IFERROR(C40/(IF(COUNT('연간'!G62:J62)&lt;4,"",SUM('연간'!G62:J62))),""))</f>
        <v/>
      </c>
      <c r="D67" s="36">
        <f>IF(D40="","",IFERROR(D40/(IF(COUNT('연간'!H62:K62)&lt;4,"",SUM('연간'!H62:K62))),""))</f>
        <v/>
      </c>
      <c r="E67" s="36">
        <f>IF(E40="","",IFERROR(E40/(IF(COUNT('연간'!I62:L62)&lt;4,"",SUM('연간'!I62:L62))),""))</f>
        <v/>
      </c>
      <c r="F67" s="36">
        <f>IF(F40="","",IFERROR(F40/(IF(COUNT('연간'!J62:M62)&lt;4,"",SUM('연간'!J62:M62))),""))</f>
        <v/>
      </c>
      <c r="G67" s="36">
        <f>IF(G40="","",IFERROR(G40/(IF(COUNT('연간'!K62:N62)&lt;4,"",SUM('연간'!K62:N62))),""))</f>
        <v/>
      </c>
      <c r="H67" s="35">
        <f>IF(H40="","",IFERROR(H40/('연간'!T62),""))</f>
        <v/>
      </c>
      <c r="I67" s="36">
        <f>IF(I40="","",IFERROR(I40/('연간'!U62),""))</f>
        <v/>
      </c>
      <c r="J67" s="36">
        <f>IF(J40="","",IFERROR(J40/('연간'!V62),""))</f>
        <v/>
      </c>
      <c r="K67" s="36">
        <f>IF(K40="","",IFERROR(K40/('연간'!W62),""))</f>
        <v/>
      </c>
      <c r="L67" s="36">
        <f>IF(L40="","",IFERROR(L40/('연간'!X62),""))</f>
        <v/>
      </c>
    </row>
    <row r="69">
      <c r="A69" s="16" t="inlineStr">
        <is>
          <t>재무상태표 · 전 항목</t>
        </is>
      </c>
      <c r="B69" s="42" t="inlineStr">
        <is>
          <t>분기 말 잔액</t>
        </is>
      </c>
      <c r="C69" s="16" t="n"/>
      <c r="D69" s="16" t="n"/>
      <c r="E69" s="16" t="n"/>
      <c r="F69" s="16" t="n"/>
      <c r="G69" s="16" t="n"/>
      <c r="H69" s="16" t="n"/>
      <c r="I69" s="16" t="n"/>
      <c r="J69" s="16" t="n"/>
      <c r="K69" s="16" t="n"/>
      <c r="L69" s="16" t="n"/>
    </row>
    <row r="70">
      <c r="A70" s="5" t="inlineStr">
        <is>
          <t>항목</t>
        </is>
      </c>
      <c r="B70" s="5" t="inlineStr">
        <is>
          <t>참고</t>
        </is>
      </c>
      <c r="C70" s="5" t="inlineStr">
        <is>
          <t>2026.1Q</t>
        </is>
      </c>
      <c r="D70" s="5" t="inlineStr">
        <is>
          <t>2026.2Q</t>
        </is>
      </c>
      <c r="E70" s="5" t="inlineStr">
        <is>
          <t>2026.3Q</t>
        </is>
      </c>
      <c r="F70" s="5" t="inlineStr">
        <is>
          <t>2026.4Q</t>
        </is>
      </c>
      <c r="G70" s="5" t="inlineStr">
        <is>
          <t>2027.1Q</t>
        </is>
      </c>
      <c r="H70" s="5" t="inlineStr">
        <is>
          <t>2022</t>
        </is>
      </c>
      <c r="I70" s="5" t="inlineStr">
        <is>
          <t>2023</t>
        </is>
      </c>
      <c r="J70" s="5" t="inlineStr">
        <is>
          <t>2024</t>
        </is>
      </c>
      <c r="K70" s="5" t="inlineStr">
        <is>
          <t>2025</t>
        </is>
      </c>
      <c r="L70" s="5" t="inlineStr">
        <is>
          <t>2026</t>
        </is>
      </c>
    </row>
    <row r="71">
      <c r="A71" s="18" t="inlineStr">
        <is>
          <t>현금 및 예금</t>
        </is>
      </c>
      <c r="C71" s="20" t="n">
        <v>31113</v>
      </c>
      <c r="D71" s="20" t="n">
        <v>33213</v>
      </c>
      <c r="E71" s="20" t="n">
        <v>30972</v>
      </c>
      <c r="F71" s="20" t="n">
        <v>31557</v>
      </c>
      <c r="G71" s="20" t="n">
        <v>27555</v>
      </c>
      <c r="H71" s="20" t="n">
        <v>45552</v>
      </c>
      <c r="I71" s="20" t="n">
        <v>38170</v>
      </c>
      <c r="J71" s="20" t="n">
        <v>38665</v>
      </c>
      <c r="K71" s="20" t="n">
        <v>33072</v>
      </c>
      <c r="L71" s="20" t="n">
        <v>31557</v>
      </c>
    </row>
    <row r="72">
      <c r="A72" s="18" t="inlineStr">
        <is>
          <t>받을어음·매출채권</t>
        </is>
      </c>
      <c r="C72" s="20" t="n">
        <v>26466</v>
      </c>
      <c r="D72" s="20" t="n">
        <v>28402</v>
      </c>
      <c r="E72" s="20" t="n">
        <v>28514</v>
      </c>
      <c r="F72" s="20" t="n">
        <v>28064</v>
      </c>
      <c r="G72" s="20" t="n">
        <v>31910</v>
      </c>
      <c r="H72" s="20" t="n">
        <v>30160</v>
      </c>
      <c r="I72" s="20" t="n">
        <v>30439</v>
      </c>
      <c r="J72" s="20" t="n">
        <v>30446</v>
      </c>
      <c r="K72" s="20" t="n">
        <v>28446</v>
      </c>
      <c r="L72" s="20" t="n">
        <v>28064</v>
      </c>
    </row>
    <row r="73">
      <c r="A73" s="18" t="inlineStr">
        <is>
          <t>Lease Investment Assets CA</t>
        </is>
      </c>
      <c r="F73" s="20" t="n">
        <v>506</v>
      </c>
      <c r="H73" s="20" t="n">
        <v>1071</v>
      </c>
      <c r="I73" s="20" t="n">
        <v>687</v>
      </c>
      <c r="J73" s="20" t="n">
        <v>628</v>
      </c>
      <c r="K73" s="20" t="n">
        <v>567</v>
      </c>
      <c r="L73" s="20" t="n">
        <v>506</v>
      </c>
    </row>
    <row r="74">
      <c r="A74" s="18" t="inlineStr">
        <is>
          <t>재고자산</t>
        </is>
      </c>
      <c r="C74" s="20" t="n">
        <v>19699</v>
      </c>
      <c r="D74" s="20" t="n">
        <v>19759</v>
      </c>
      <c r="E74" s="20" t="n">
        <v>20271</v>
      </c>
      <c r="F74" s="20" t="n">
        <v>20137</v>
      </c>
      <c r="G74" s="20" t="n">
        <v>23566</v>
      </c>
      <c r="H74" s="20" t="n">
        <v>18378</v>
      </c>
      <c r="I74" s="20" t="n">
        <v>22476</v>
      </c>
      <c r="J74" s="20" t="n">
        <v>19617</v>
      </c>
      <c r="K74" s="20" t="n">
        <v>19190</v>
      </c>
      <c r="L74" s="20" t="n">
        <v>20137</v>
      </c>
    </row>
    <row r="75">
      <c r="A75" s="18" t="inlineStr">
        <is>
          <t>기타</t>
        </is>
      </c>
      <c r="C75" s="20" t="n">
        <v>3778</v>
      </c>
      <c r="D75" s="20" t="n">
        <v>4815</v>
      </c>
      <c r="E75" s="20" t="n">
        <v>5276</v>
      </c>
      <c r="F75" s="20" t="n">
        <v>6216</v>
      </c>
      <c r="G75" s="20" t="n">
        <v>5336</v>
      </c>
      <c r="H75" s="20" t="n">
        <v>5154</v>
      </c>
      <c r="I75" s="20" t="n">
        <v>3991</v>
      </c>
      <c r="J75" s="20" t="n">
        <v>3380</v>
      </c>
      <c r="K75" s="20" t="n">
        <v>3335</v>
      </c>
      <c r="L75" s="20" t="n">
        <v>6216</v>
      </c>
    </row>
    <row r="76">
      <c r="A76" s="18" t="inlineStr">
        <is>
          <t>대손충당금</t>
        </is>
      </c>
      <c r="C76" s="20" t="n">
        <v>-440</v>
      </c>
      <c r="D76" s="20" t="n">
        <v>-474</v>
      </c>
      <c r="E76" s="20" t="n">
        <v>-505</v>
      </c>
      <c r="F76" s="20" t="n">
        <v>-500</v>
      </c>
      <c r="G76" s="20" t="n">
        <v>-512</v>
      </c>
      <c r="H76" s="20" t="n">
        <v>-846</v>
      </c>
      <c r="I76" s="20" t="n">
        <v>-926</v>
      </c>
      <c r="J76" s="20" t="n">
        <v>-570</v>
      </c>
      <c r="K76" s="20" t="n">
        <v>-419</v>
      </c>
      <c r="L76" s="20" t="n">
        <v>-500</v>
      </c>
    </row>
    <row r="77">
      <c r="A77" s="9" t="inlineStr">
        <is>
          <t>유동자산 합계</t>
        </is>
      </c>
      <c r="C77" s="12" t="n">
        <v>80616</v>
      </c>
      <c r="D77" s="12" t="n">
        <v>85715</v>
      </c>
      <c r="E77" s="12" t="n">
        <v>84528</v>
      </c>
      <c r="F77" s="12" t="n">
        <v>85474</v>
      </c>
      <c r="G77" s="12" t="n">
        <v>87855</v>
      </c>
      <c r="H77" s="12" t="n">
        <v>99469</v>
      </c>
      <c r="I77" s="12" t="n">
        <v>94837</v>
      </c>
      <c r="J77" s="12" t="n">
        <v>92166</v>
      </c>
      <c r="K77" s="12" t="n">
        <v>84191</v>
      </c>
      <c r="L77" s="12" t="n">
        <v>85474</v>
      </c>
    </row>
    <row r="78">
      <c r="A78" s="18" t="inlineStr">
        <is>
          <t>건물·구축물(순액)</t>
        </is>
      </c>
      <c r="F78" s="20" t="n">
        <v>11567</v>
      </c>
      <c r="H78" s="20" t="n">
        <v>10613</v>
      </c>
      <c r="I78" s="20" t="n">
        <v>10118</v>
      </c>
      <c r="J78" s="20" t="n">
        <v>11833</v>
      </c>
      <c r="K78" s="20" t="n">
        <v>11447</v>
      </c>
      <c r="L78" s="20" t="n">
        <v>11567</v>
      </c>
    </row>
    <row r="79">
      <c r="A79" s="18" t="inlineStr">
        <is>
          <t>기계장치·운반구(순액)</t>
        </is>
      </c>
      <c r="F79" s="20" t="n">
        <v>11033</v>
      </c>
      <c r="H79" s="20" t="n">
        <v>8799</v>
      </c>
      <c r="I79" s="20" t="n">
        <v>8915</v>
      </c>
      <c r="J79" s="20" t="n">
        <v>9988</v>
      </c>
      <c r="K79" s="20" t="n">
        <v>10734</v>
      </c>
      <c r="L79" s="20" t="n">
        <v>11033</v>
      </c>
    </row>
    <row r="80">
      <c r="A80" s="18" t="inlineStr">
        <is>
          <t>토지</t>
        </is>
      </c>
      <c r="C80" s="20" t="n">
        <v>28944</v>
      </c>
      <c r="D80" s="20" t="n">
        <v>28954</v>
      </c>
      <c r="E80" s="20" t="n">
        <v>28977</v>
      </c>
      <c r="F80" s="20" t="n">
        <v>28985</v>
      </c>
      <c r="G80" s="20" t="n">
        <v>28992</v>
      </c>
      <c r="H80" s="20" t="n">
        <v>32609</v>
      </c>
      <c r="I80" s="20" t="n">
        <v>28994</v>
      </c>
      <c r="J80" s="20" t="n">
        <v>29002</v>
      </c>
      <c r="K80" s="20" t="n">
        <v>28955</v>
      </c>
      <c r="L80" s="20" t="n">
        <v>28985</v>
      </c>
    </row>
    <row r="81">
      <c r="A81" s="18" t="inlineStr">
        <is>
          <t>건설중인자산</t>
        </is>
      </c>
      <c r="F81" s="20" t="n">
        <v>7213</v>
      </c>
      <c r="H81" s="20" t="n">
        <v>1620</v>
      </c>
      <c r="I81" s="20" t="n">
        <v>1842</v>
      </c>
      <c r="J81" s="20" t="n">
        <v>1827</v>
      </c>
      <c r="K81" s="20" t="n">
        <v>1975</v>
      </c>
      <c r="L81" s="20" t="n">
        <v>7213</v>
      </c>
    </row>
    <row r="82">
      <c r="A82" s="18" t="inlineStr">
        <is>
          <t>기타(순액)</t>
        </is>
      </c>
      <c r="C82" s="20" t="n">
        <v>25851</v>
      </c>
      <c r="D82" s="20" t="n">
        <v>27393</v>
      </c>
      <c r="E82" s="20" t="n">
        <v>29465</v>
      </c>
      <c r="F82" s="20" t="n">
        <v>31886</v>
      </c>
      <c r="G82" s="20" t="n">
        <v>32995</v>
      </c>
      <c r="H82" s="20" t="n">
        <v>1866</v>
      </c>
      <c r="I82" s="20" t="n">
        <v>1675</v>
      </c>
      <c r="J82" s="20" t="n">
        <v>1763</v>
      </c>
      <c r="K82" s="20" t="n">
        <v>1877</v>
      </c>
      <c r="L82" s="20" t="n">
        <v>31886</v>
      </c>
    </row>
    <row r="83">
      <c r="A83" s="18" t="inlineStr">
        <is>
          <t>유형자산 합계</t>
        </is>
      </c>
      <c r="C83" s="20" t="n">
        <v>54795</v>
      </c>
      <c r="D83" s="20" t="n">
        <v>56347</v>
      </c>
      <c r="E83" s="20" t="n">
        <v>58442</v>
      </c>
      <c r="F83" s="20" t="n">
        <v>60871</v>
      </c>
      <c r="G83" s="20" t="n">
        <v>61987</v>
      </c>
      <c r="H83" s="20" t="n">
        <v>55507</v>
      </c>
      <c r="I83" s="20" t="n">
        <v>51544</v>
      </c>
      <c r="J83" s="20" t="n">
        <v>54413</v>
      </c>
      <c r="K83" s="20" t="n">
        <v>54988</v>
      </c>
      <c r="L83" s="20" t="n">
        <v>60871</v>
      </c>
    </row>
    <row r="84">
      <c r="A84" s="18" t="inlineStr">
        <is>
          <t>영업권</t>
        </is>
      </c>
      <c r="F84" s="20" t="n">
        <v>6181</v>
      </c>
      <c r="G84" s="20" t="n">
        <v>6025</v>
      </c>
      <c r="H84" s="20" t="n">
        <v>48</v>
      </c>
      <c r="I84" s="20" t="n">
        <v>0</v>
      </c>
      <c r="K84" s="20" t="n">
        <v>0</v>
      </c>
      <c r="L84" s="20" t="n">
        <v>6181</v>
      </c>
    </row>
    <row r="85">
      <c r="A85" s="18" t="inlineStr">
        <is>
          <t>기타</t>
        </is>
      </c>
      <c r="F85" s="20" t="n">
        <v>3980</v>
      </c>
      <c r="G85" s="20" t="n">
        <v>3945</v>
      </c>
      <c r="H85" s="20" t="n">
        <v>4983</v>
      </c>
      <c r="I85" s="20" t="n">
        <v>4697</v>
      </c>
      <c r="K85" s="20" t="n">
        <v>4367</v>
      </c>
      <c r="L85" s="20" t="n">
        <v>3980</v>
      </c>
    </row>
    <row r="86">
      <c r="A86" s="18" t="inlineStr">
        <is>
          <t>무형자산 합계</t>
        </is>
      </c>
      <c r="C86" s="20" t="n">
        <v>4204</v>
      </c>
      <c r="D86" s="20" t="n">
        <v>4220</v>
      </c>
      <c r="E86" s="20" t="n">
        <v>4251</v>
      </c>
      <c r="F86" s="20" t="n">
        <v>10161</v>
      </c>
      <c r="G86" s="20" t="n">
        <v>9970</v>
      </c>
      <c r="H86" s="20" t="n">
        <v>5031</v>
      </c>
      <c r="I86" s="20" t="n">
        <v>4697</v>
      </c>
      <c r="J86" s="20" t="n">
        <v>4778</v>
      </c>
      <c r="K86" s="20" t="n">
        <v>4367</v>
      </c>
      <c r="L86" s="20" t="n">
        <v>10161</v>
      </c>
    </row>
    <row r="87">
      <c r="A87" s="18" t="inlineStr">
        <is>
          <t>투자유가증권</t>
        </is>
      </c>
      <c r="F87" s="20" t="n">
        <v>10803</v>
      </c>
      <c r="H87" s="20" t="n">
        <v>9672</v>
      </c>
      <c r="I87" s="20" t="n">
        <v>9503</v>
      </c>
      <c r="J87" s="20" t="n">
        <v>9568</v>
      </c>
      <c r="K87" s="20" t="n">
        <v>9667</v>
      </c>
      <c r="L87" s="20" t="n">
        <v>10803</v>
      </c>
    </row>
    <row r="88">
      <c r="A88" s="18" t="inlineStr">
        <is>
          <t>퇴직급여자산</t>
        </is>
      </c>
      <c r="F88" s="20" t="n">
        <v>11656</v>
      </c>
      <c r="H88" s="20" t="n">
        <v>4550</v>
      </c>
      <c r="I88" s="20" t="n">
        <v>4881</v>
      </c>
      <c r="J88" s="20" t="n">
        <v>7706</v>
      </c>
      <c r="K88" s="20" t="n">
        <v>9479</v>
      </c>
      <c r="L88" s="20" t="n">
        <v>11656</v>
      </c>
    </row>
    <row r="89">
      <c r="A89" s="18" t="inlineStr">
        <is>
          <t>이연법인세자산</t>
        </is>
      </c>
      <c r="F89" s="20" t="n">
        <v>929</v>
      </c>
      <c r="H89" s="20" t="n">
        <v>2152</v>
      </c>
      <c r="I89" s="20" t="n">
        <v>1780</v>
      </c>
      <c r="J89" s="20" t="n">
        <v>1564</v>
      </c>
      <c r="K89" s="20" t="n">
        <v>1163</v>
      </c>
      <c r="L89" s="20" t="n">
        <v>929</v>
      </c>
    </row>
    <row r="90">
      <c r="A90" s="18" t="inlineStr">
        <is>
          <t>기타</t>
        </is>
      </c>
      <c r="C90" s="20" t="n">
        <v>21273</v>
      </c>
      <c r="D90" s="20" t="n">
        <v>21913</v>
      </c>
      <c r="E90" s="20" t="n">
        <v>22693</v>
      </c>
      <c r="F90" s="20" t="n">
        <v>24362</v>
      </c>
      <c r="G90" s="20" t="n">
        <v>25934</v>
      </c>
      <c r="H90" s="20" t="n">
        <v>1376</v>
      </c>
      <c r="I90" s="20" t="n">
        <v>1026</v>
      </c>
      <c r="J90" s="20" t="n">
        <v>1007</v>
      </c>
      <c r="K90" s="20" t="n">
        <v>1034</v>
      </c>
      <c r="L90" s="20" t="n">
        <v>24362</v>
      </c>
    </row>
    <row r="91">
      <c r="A91" s="18" t="inlineStr">
        <is>
          <t>대손충당금</t>
        </is>
      </c>
      <c r="C91" s="20" t="n">
        <v>-363</v>
      </c>
      <c r="D91" s="20" t="n">
        <v>-373</v>
      </c>
      <c r="E91" s="20" t="n">
        <v>-392</v>
      </c>
      <c r="F91" s="20" t="n">
        <v>-401</v>
      </c>
      <c r="G91" s="20" t="n">
        <v>-405</v>
      </c>
      <c r="H91" s="20" t="n">
        <v>-222</v>
      </c>
      <c r="I91" s="20" t="n">
        <v>-91</v>
      </c>
      <c r="J91" s="20" t="n">
        <v>-102</v>
      </c>
      <c r="K91" s="20" t="n">
        <v>-375</v>
      </c>
      <c r="L91" s="20" t="n">
        <v>-401</v>
      </c>
    </row>
    <row r="92">
      <c r="A92" s="18" t="inlineStr">
        <is>
          <t>투자 및 기타자산 합계</t>
        </is>
      </c>
      <c r="C92" s="20" t="n">
        <v>20910</v>
      </c>
      <c r="D92" s="20" t="n">
        <v>21540</v>
      </c>
      <c r="E92" s="20" t="n">
        <v>22301</v>
      </c>
      <c r="F92" s="20" t="n">
        <v>23961</v>
      </c>
      <c r="G92" s="20" t="n">
        <v>25529</v>
      </c>
      <c r="H92" s="20" t="n">
        <v>17528</v>
      </c>
      <c r="I92" s="20" t="n">
        <v>17099</v>
      </c>
      <c r="J92" s="20" t="n">
        <v>19743</v>
      </c>
      <c r="K92" s="20" t="n">
        <v>20968</v>
      </c>
      <c r="L92" s="20" t="n">
        <v>23961</v>
      </c>
    </row>
    <row r="93">
      <c r="A93" s="9" t="inlineStr">
        <is>
          <t>비유동자산 합계</t>
        </is>
      </c>
      <c r="C93" s="12" t="n">
        <v>79909</v>
      </c>
      <c r="D93" s="12" t="n">
        <v>82107</v>
      </c>
      <c r="E93" s="12" t="n">
        <v>84994</v>
      </c>
      <c r="F93" s="12" t="n">
        <v>94993</v>
      </c>
      <c r="G93" s="12" t="n">
        <v>97486</v>
      </c>
      <c r="H93" s="12" t="n">
        <v>78066</v>
      </c>
      <c r="I93" s="12" t="n">
        <v>73340</v>
      </c>
      <c r="J93" s="12" t="n">
        <v>78934</v>
      </c>
      <c r="K93" s="12" t="n">
        <v>80323</v>
      </c>
      <c r="L93" s="12" t="n">
        <v>94993</v>
      </c>
    </row>
    <row r="94">
      <c r="A94" s="9" t="inlineStr">
        <is>
          <t>자산 합계</t>
        </is>
      </c>
      <c r="C94" s="12" t="n">
        <v>160525</v>
      </c>
      <c r="D94" s="12" t="n">
        <v>167822</v>
      </c>
      <c r="E94" s="12" t="n">
        <v>169522</v>
      </c>
      <c r="F94" s="12" t="n">
        <v>180467</v>
      </c>
      <c r="G94" s="12" t="n">
        <v>185341</v>
      </c>
      <c r="H94" s="12" t="n">
        <v>177535</v>
      </c>
      <c r="I94" s="12" t="n">
        <v>168177</v>
      </c>
      <c r="J94" s="12" t="n">
        <v>171100</v>
      </c>
      <c r="K94" s="12" t="n">
        <v>164514</v>
      </c>
      <c r="L94" s="12" t="n">
        <v>180467</v>
      </c>
    </row>
    <row r="95">
      <c r="A95" s="18" t="inlineStr">
        <is>
          <t>지급어음·매입채무</t>
        </is>
      </c>
      <c r="C95" s="20" t="n">
        <v>16568</v>
      </c>
      <c r="D95" s="20" t="n">
        <v>16162</v>
      </c>
      <c r="E95" s="20" t="n">
        <v>16597</v>
      </c>
      <c r="F95" s="20" t="n">
        <v>15942</v>
      </c>
      <c r="G95" s="20" t="n">
        <v>16819</v>
      </c>
      <c r="H95" s="20" t="n">
        <v>19606</v>
      </c>
      <c r="I95" s="20" t="n">
        <v>18421</v>
      </c>
      <c r="J95" s="20" t="n">
        <v>17168</v>
      </c>
      <c r="K95" s="20" t="n">
        <v>16942</v>
      </c>
      <c r="L95" s="20" t="n">
        <v>15942</v>
      </c>
    </row>
    <row r="96">
      <c r="A96" s="18" t="inlineStr">
        <is>
          <t>단기차입금</t>
        </is>
      </c>
      <c r="E96" s="20" t="n">
        <v>13200</v>
      </c>
      <c r="F96" s="20" t="n">
        <v>0</v>
      </c>
      <c r="G96" s="20" t="n">
        <v>3000</v>
      </c>
      <c r="H96" s="20" t="n">
        <v>0</v>
      </c>
      <c r="K96" s="20" t="n">
        <v>0</v>
      </c>
      <c r="L96" s="20" t="n">
        <v>0</v>
      </c>
    </row>
    <row r="97">
      <c r="A97" s="18" t="inlineStr">
        <is>
          <t>1년 내 상환 장기차입금</t>
        </is>
      </c>
      <c r="C97" s="20" t="n">
        <v>1563</v>
      </c>
      <c r="D97" s="20" t="n">
        <v>1563</v>
      </c>
      <c r="E97" s="20" t="n">
        <v>1559</v>
      </c>
      <c r="F97" s="20" t="n">
        <v>2559</v>
      </c>
      <c r="G97" s="20" t="n">
        <v>2278</v>
      </c>
      <c r="H97" s="20" t="n">
        <v>6598</v>
      </c>
      <c r="I97" s="20" t="n">
        <v>8123</v>
      </c>
      <c r="J97" s="20" t="n">
        <v>12563</v>
      </c>
      <c r="K97" s="20" t="n">
        <v>1563</v>
      </c>
      <c r="L97" s="20" t="n">
        <v>2559</v>
      </c>
    </row>
    <row r="98">
      <c r="A98" s="18" t="inlineStr">
        <is>
          <t>미지급금</t>
        </is>
      </c>
      <c r="F98" s="20" t="n">
        <v>7597</v>
      </c>
      <c r="H98" s="20" t="n">
        <v>4335</v>
      </c>
      <c r="I98" s="20" t="n">
        <v>5006</v>
      </c>
      <c r="J98" s="20" t="n">
        <v>6185</v>
      </c>
      <c r="K98" s="20" t="n">
        <v>4235</v>
      </c>
      <c r="L98" s="20" t="n">
        <v>7597</v>
      </c>
    </row>
    <row r="99">
      <c r="A99" s="18" t="inlineStr">
        <is>
          <t>미지급비용</t>
        </is>
      </c>
      <c r="F99" s="20" t="n">
        <v>7797</v>
      </c>
      <c r="H99" s="20" t="n">
        <v>9068</v>
      </c>
      <c r="I99" s="20" t="n">
        <v>8172</v>
      </c>
      <c r="J99" s="20" t="n">
        <v>8312</v>
      </c>
      <c r="K99" s="20" t="n">
        <v>8524</v>
      </c>
      <c r="L99" s="20" t="n">
        <v>7797</v>
      </c>
    </row>
    <row r="100">
      <c r="A100" s="18" t="inlineStr">
        <is>
          <t>미지급법인세</t>
        </is>
      </c>
      <c r="C100" s="20" t="n">
        <v>856</v>
      </c>
      <c r="D100" s="20" t="n">
        <v>967</v>
      </c>
      <c r="E100" s="20" t="n">
        <v>984</v>
      </c>
      <c r="F100" s="20" t="n">
        <v>966</v>
      </c>
      <c r="G100" s="20" t="n">
        <v>972</v>
      </c>
      <c r="H100" s="20" t="n">
        <v>829</v>
      </c>
      <c r="I100" s="20" t="n">
        <v>506</v>
      </c>
      <c r="J100" s="20" t="n">
        <v>1163</v>
      </c>
      <c r="K100" s="20" t="n">
        <v>1402</v>
      </c>
      <c r="L100" s="20" t="n">
        <v>966</v>
      </c>
    </row>
    <row r="101">
      <c r="A101" s="18" t="inlineStr">
        <is>
          <t>리스부채</t>
        </is>
      </c>
      <c r="F101" s="20" t="n">
        <v>81</v>
      </c>
      <c r="H101" s="20" t="n">
        <v>94</v>
      </c>
      <c r="I101" s="20" t="n">
        <v>95</v>
      </c>
      <c r="J101" s="20" t="n">
        <v>48</v>
      </c>
      <c r="K101" s="20" t="n">
        <v>63</v>
      </c>
      <c r="L101" s="20" t="n">
        <v>81</v>
      </c>
    </row>
    <row r="102">
      <c r="A102" s="18" t="inlineStr">
        <is>
          <t>자산복구부채</t>
        </is>
      </c>
      <c r="C102" s="20" t="n">
        <v>104</v>
      </c>
      <c r="D102" s="20" t="n">
        <v>0</v>
      </c>
      <c r="E102" s="20" t="n">
        <v>0</v>
      </c>
      <c r="F102" s="20" t="n">
        <v>0</v>
      </c>
      <c r="J102" s="20" t="n">
        <v>0</v>
      </c>
      <c r="K102" s="20" t="n">
        <v>103</v>
      </c>
      <c r="L102" s="20" t="n">
        <v>0</v>
      </c>
    </row>
    <row r="103">
      <c r="A103" s="18" t="inlineStr">
        <is>
          <t>기타</t>
        </is>
      </c>
      <c r="C103" s="20" t="n">
        <v>21738</v>
      </c>
      <c r="D103" s="20" t="n">
        <v>25612</v>
      </c>
      <c r="E103" s="20" t="n">
        <v>24314</v>
      </c>
      <c r="F103" s="20" t="n">
        <v>27055</v>
      </c>
      <c r="G103" s="20" t="n">
        <v>25241</v>
      </c>
      <c r="H103" s="20" t="n">
        <v>17189</v>
      </c>
      <c r="I103" s="20" t="n">
        <v>15171</v>
      </c>
      <c r="J103" s="20" t="n">
        <v>13819</v>
      </c>
      <c r="K103" s="20" t="n">
        <v>11548</v>
      </c>
      <c r="L103" s="20" t="n">
        <v>27055</v>
      </c>
    </row>
    <row r="104">
      <c r="A104" s="9" t="inlineStr">
        <is>
          <t>유동부채 합계</t>
        </is>
      </c>
      <c r="C104" s="12" t="n">
        <v>40829</v>
      </c>
      <c r="D104" s="12" t="n">
        <v>44304</v>
      </c>
      <c r="E104" s="12" t="n">
        <v>56654</v>
      </c>
      <c r="F104" s="12" t="n">
        <v>46522</v>
      </c>
      <c r="G104" s="12" t="n">
        <v>48310</v>
      </c>
      <c r="H104" s="12" t="n">
        <v>57719</v>
      </c>
      <c r="I104" s="12" t="n">
        <v>55494</v>
      </c>
      <c r="J104" s="12" t="n">
        <v>59258</v>
      </c>
      <c r="K104" s="12" t="n">
        <v>44380</v>
      </c>
      <c r="L104" s="12" t="n">
        <v>46522</v>
      </c>
    </row>
    <row r="105">
      <c r="A105" s="18" t="inlineStr">
        <is>
          <t>장기차입금</t>
        </is>
      </c>
      <c r="C105" s="20" t="n">
        <v>16528</v>
      </c>
      <c r="D105" s="20" t="n">
        <v>16278</v>
      </c>
      <c r="E105" s="20" t="n">
        <v>15813</v>
      </c>
      <c r="F105" s="20" t="n">
        <v>34500</v>
      </c>
      <c r="G105" s="20" t="n">
        <v>34000</v>
      </c>
      <c r="H105" s="20" t="n">
        <v>25994</v>
      </c>
      <c r="I105" s="20" t="n">
        <v>17625</v>
      </c>
      <c r="J105" s="20" t="n">
        <v>5622</v>
      </c>
      <c r="K105" s="20" t="n">
        <v>17059</v>
      </c>
      <c r="L105" s="20" t="n">
        <v>34500</v>
      </c>
    </row>
    <row r="106">
      <c r="A106" s="18" t="inlineStr">
        <is>
          <t>퇴직급여부채</t>
        </is>
      </c>
      <c r="C106" s="20" t="n">
        <v>4831</v>
      </c>
      <c r="D106" s="20" t="n">
        <v>4803</v>
      </c>
      <c r="E106" s="20" t="n">
        <v>4774</v>
      </c>
      <c r="F106" s="20" t="n">
        <v>5051</v>
      </c>
      <c r="G106" s="20" t="n">
        <v>4968</v>
      </c>
      <c r="H106" s="20" t="n">
        <v>5705</v>
      </c>
      <c r="I106" s="20" t="n">
        <v>5372</v>
      </c>
      <c r="J106" s="20" t="n">
        <v>5445</v>
      </c>
      <c r="K106" s="20" t="n">
        <v>4902</v>
      </c>
      <c r="L106" s="20" t="n">
        <v>5051</v>
      </c>
    </row>
    <row r="107">
      <c r="A107" s="18" t="inlineStr">
        <is>
          <t>리스부채</t>
        </is>
      </c>
      <c r="F107" s="20" t="n">
        <v>228</v>
      </c>
      <c r="H107" s="20" t="n">
        <v>176</v>
      </c>
      <c r="I107" s="20" t="n">
        <v>151</v>
      </c>
      <c r="J107" s="20" t="n">
        <v>111</v>
      </c>
      <c r="K107" s="20" t="n">
        <v>151</v>
      </c>
      <c r="L107" s="20" t="n">
        <v>228</v>
      </c>
    </row>
    <row r="108">
      <c r="A108" s="18" t="inlineStr">
        <is>
          <t>이연법인세부채</t>
        </is>
      </c>
      <c r="F108" s="20" t="n">
        <v>3502</v>
      </c>
      <c r="H108" s="20" t="n">
        <v>2512</v>
      </c>
      <c r="I108" s="20" t="n">
        <v>2849</v>
      </c>
      <c r="J108" s="20" t="n">
        <v>2682</v>
      </c>
      <c r="K108" s="20" t="n">
        <v>3347</v>
      </c>
      <c r="L108" s="20" t="n">
        <v>3502</v>
      </c>
    </row>
    <row r="109">
      <c r="A109" s="18" t="inlineStr">
        <is>
          <t>자산복구부채</t>
        </is>
      </c>
      <c r="C109" s="20" t="n">
        <v>298</v>
      </c>
      <c r="D109" s="20" t="n">
        <v>298</v>
      </c>
      <c r="E109" s="20" t="n">
        <v>299</v>
      </c>
      <c r="F109" s="20" t="n">
        <v>300</v>
      </c>
      <c r="G109" s="20" t="n">
        <v>300</v>
      </c>
      <c r="H109" s="20" t="n">
        <v>425</v>
      </c>
      <c r="I109" s="20" t="n">
        <v>434</v>
      </c>
      <c r="J109" s="20" t="n">
        <v>444</v>
      </c>
      <c r="K109" s="20" t="n">
        <v>297</v>
      </c>
      <c r="L109" s="20" t="n">
        <v>300</v>
      </c>
    </row>
    <row r="110">
      <c r="A110" s="18" t="inlineStr">
        <is>
          <t>기타</t>
        </is>
      </c>
      <c r="C110" s="20" t="n">
        <v>3644</v>
      </c>
      <c r="D110" s="20" t="n">
        <v>3743</v>
      </c>
      <c r="E110" s="20" t="n">
        <v>3897</v>
      </c>
      <c r="F110" s="20" t="n">
        <v>3911</v>
      </c>
      <c r="G110" s="20" t="n">
        <v>4568</v>
      </c>
      <c r="H110" s="20" t="n">
        <v>388</v>
      </c>
      <c r="I110" s="20" t="n">
        <v>312</v>
      </c>
      <c r="J110" s="20" t="n">
        <v>231</v>
      </c>
      <c r="K110" s="20" t="n">
        <v>207</v>
      </c>
      <c r="L110" s="20" t="n">
        <v>3911</v>
      </c>
    </row>
    <row r="111">
      <c r="A111" s="9" t="inlineStr">
        <is>
          <t>비유동부채 합계</t>
        </is>
      </c>
      <c r="C111" s="12" t="n">
        <v>25301</v>
      </c>
      <c r="D111" s="12" t="n">
        <v>25122</v>
      </c>
      <c r="E111" s="12" t="n">
        <v>24783</v>
      </c>
      <c r="F111" s="12" t="n">
        <v>43762</v>
      </c>
      <c r="G111" s="12" t="n">
        <v>43836</v>
      </c>
      <c r="H111" s="12" t="n">
        <v>35200</v>
      </c>
      <c r="I111" s="12" t="n">
        <v>26743</v>
      </c>
      <c r="J111" s="12" t="n">
        <v>14535</v>
      </c>
      <c r="K111" s="12" t="n">
        <v>25963</v>
      </c>
      <c r="L111" s="12" t="n">
        <v>43762</v>
      </c>
    </row>
    <row r="112">
      <c r="A112" s="9" t="inlineStr">
        <is>
          <t>부채 합계</t>
        </is>
      </c>
      <c r="C112" s="12" t="n">
        <v>66130</v>
      </c>
      <c r="D112" s="12" t="n">
        <v>69426</v>
      </c>
      <c r="E112" s="12" t="n">
        <v>81437</v>
      </c>
      <c r="F112" s="12" t="n">
        <v>90284</v>
      </c>
      <c r="G112" s="12" t="n">
        <v>92146</v>
      </c>
      <c r="H112" s="12" t="n">
        <v>92919</v>
      </c>
      <c r="I112" s="12" t="n">
        <v>82237</v>
      </c>
      <c r="J112" s="12" t="n">
        <v>73793</v>
      </c>
      <c r="K112" s="12" t="n">
        <v>70343</v>
      </c>
      <c r="L112" s="12" t="n">
        <v>90284</v>
      </c>
    </row>
    <row r="113">
      <c r="A113" s="18" t="inlineStr">
        <is>
          <t>자본금</t>
        </is>
      </c>
      <c r="C113" s="20" t="n">
        <v>12203</v>
      </c>
      <c r="D113" s="20" t="n">
        <v>12203</v>
      </c>
      <c r="E113" s="20" t="n">
        <v>12203</v>
      </c>
      <c r="F113" s="20" t="n">
        <v>12203</v>
      </c>
      <c r="G113" s="20" t="n">
        <v>12203</v>
      </c>
      <c r="H113" s="20" t="n">
        <v>12203</v>
      </c>
      <c r="I113" s="20" t="n">
        <v>12203</v>
      </c>
      <c r="J113" s="20" t="n">
        <v>12203</v>
      </c>
      <c r="K113" s="20" t="n">
        <v>12203</v>
      </c>
      <c r="L113" s="20" t="n">
        <v>12203</v>
      </c>
    </row>
    <row r="114">
      <c r="A114" s="18" t="inlineStr">
        <is>
          <t>자본잉여금</t>
        </is>
      </c>
      <c r="C114" s="20" t="n">
        <v>18534</v>
      </c>
      <c r="D114" s="20" t="n">
        <v>18544</v>
      </c>
      <c r="E114" s="20" t="n">
        <v>18544</v>
      </c>
      <c r="F114" s="20" t="n">
        <v>18544</v>
      </c>
      <c r="G114" s="20" t="n">
        <v>17339</v>
      </c>
      <c r="H114" s="20" t="n">
        <v>28290</v>
      </c>
      <c r="I114" s="20" t="n">
        <v>22951</v>
      </c>
      <c r="J114" s="20" t="n">
        <v>22953</v>
      </c>
      <c r="K114" s="20" t="n">
        <v>18534</v>
      </c>
      <c r="L114" s="20" t="n">
        <v>18544</v>
      </c>
    </row>
    <row r="115">
      <c r="A115" s="18" t="inlineStr">
        <is>
          <t>이익잉여금</t>
        </is>
      </c>
      <c r="C115" s="20" t="n">
        <v>60871</v>
      </c>
      <c r="D115" s="20" t="n">
        <v>63512</v>
      </c>
      <c r="E115" s="20" t="n">
        <v>64447</v>
      </c>
      <c r="F115" s="20" t="n">
        <v>66459</v>
      </c>
      <c r="G115" s="20" t="n">
        <v>57366</v>
      </c>
      <c r="H115" s="20" t="n">
        <v>49756</v>
      </c>
      <c r="I115" s="20" t="n">
        <v>53011</v>
      </c>
      <c r="J115" s="20" t="n">
        <v>58721</v>
      </c>
      <c r="K115" s="20" t="n">
        <v>60357</v>
      </c>
      <c r="L115" s="20" t="n">
        <v>66459</v>
      </c>
    </row>
    <row r="116">
      <c r="A116" s="18" t="inlineStr">
        <is>
          <t>자기주식</t>
        </is>
      </c>
      <c r="C116" s="20" t="n">
        <v>-6189</v>
      </c>
      <c r="D116" s="20" t="n">
        <v>-6142</v>
      </c>
      <c r="E116" s="20" t="n">
        <v>-19374</v>
      </c>
      <c r="F116" s="20" t="n">
        <v>-19374</v>
      </c>
      <c r="G116" s="20" t="n">
        <v>-7299</v>
      </c>
      <c r="H116" s="20" t="n">
        <v>-6034</v>
      </c>
      <c r="I116" s="20" t="n">
        <v>-5678</v>
      </c>
      <c r="J116" s="20" t="n">
        <v>-5648</v>
      </c>
      <c r="K116" s="20" t="n">
        <v>-6189</v>
      </c>
      <c r="L116" s="20" t="n">
        <v>-19374</v>
      </c>
    </row>
    <row r="117">
      <c r="A117" s="9" t="inlineStr">
        <is>
          <t>주주자본 합계</t>
        </is>
      </c>
      <c r="C117" s="12" t="n">
        <v>85419</v>
      </c>
      <c r="D117" s="12" t="n">
        <v>88117</v>
      </c>
      <c r="E117" s="12" t="n">
        <v>75820</v>
      </c>
      <c r="F117" s="12" t="n">
        <v>77832</v>
      </c>
      <c r="G117" s="12" t="n">
        <v>79609</v>
      </c>
      <c r="H117" s="12" t="n">
        <v>84215</v>
      </c>
      <c r="I117" s="12" t="n">
        <v>82487</v>
      </c>
      <c r="J117" s="12" t="n">
        <v>88229</v>
      </c>
      <c r="K117" s="12" t="n">
        <v>84905</v>
      </c>
      <c r="L117" s="12" t="n">
        <v>77832</v>
      </c>
    </row>
    <row r="118">
      <c r="A118" s="18" t="inlineStr">
        <is>
          <t>기타유가증권 평가차액</t>
        </is>
      </c>
      <c r="C118" s="20" t="n">
        <v>514</v>
      </c>
      <c r="D118" s="20" t="n">
        <v>840</v>
      </c>
      <c r="E118" s="20" t="n">
        <v>1170</v>
      </c>
      <c r="F118" s="20" t="n">
        <v>1131</v>
      </c>
      <c r="G118" s="20" t="n">
        <v>2237</v>
      </c>
      <c r="H118" s="20" t="n">
        <v>233</v>
      </c>
      <c r="I118" s="20" t="n">
        <v>334</v>
      </c>
      <c r="J118" s="20" t="n">
        <v>420</v>
      </c>
      <c r="K118" s="20" t="n">
        <v>515</v>
      </c>
      <c r="L118" s="20" t="n">
        <v>1131</v>
      </c>
    </row>
    <row r="119">
      <c r="A119" s="18" t="inlineStr">
        <is>
          <t>해외사업환산조정</t>
        </is>
      </c>
      <c r="C119" s="20" t="n">
        <v>4524</v>
      </c>
      <c r="D119" s="20" t="n">
        <v>5417</v>
      </c>
      <c r="E119" s="20" t="n">
        <v>6816</v>
      </c>
      <c r="F119" s="20" t="n">
        <v>5650</v>
      </c>
      <c r="G119" s="20" t="n">
        <v>6311</v>
      </c>
      <c r="H119" s="20" t="n">
        <v>-1212</v>
      </c>
      <c r="I119" s="20" t="n">
        <v>1781</v>
      </c>
      <c r="J119" s="20" t="n">
        <v>5265</v>
      </c>
      <c r="K119" s="20" t="n">
        <v>4741</v>
      </c>
      <c r="L119" s="20" t="n">
        <v>5650</v>
      </c>
    </row>
    <row r="120">
      <c r="A120" s="18" t="inlineStr">
        <is>
          <t>퇴직급여 조정누계액</t>
        </is>
      </c>
      <c r="C120" s="20" t="n">
        <v>1207</v>
      </c>
      <c r="D120" s="20" t="n">
        <v>1207</v>
      </c>
      <c r="E120" s="20" t="n">
        <v>1220</v>
      </c>
      <c r="F120" s="20" t="n">
        <v>2446</v>
      </c>
      <c r="G120" s="20" t="n">
        <v>2410</v>
      </c>
      <c r="H120" s="20" t="n">
        <v>-1738</v>
      </c>
      <c r="I120" s="20" t="n">
        <v>-1786</v>
      </c>
      <c r="J120" s="20" t="n">
        <v>-20</v>
      </c>
      <c r="K120" s="20" t="n">
        <v>1195</v>
      </c>
      <c r="L120" s="20" t="n">
        <v>2446</v>
      </c>
    </row>
    <row r="121">
      <c r="A121" s="18" t="inlineStr">
        <is>
          <t>기타포괄손익누계액 합계</t>
        </is>
      </c>
      <c r="C121" s="20" t="n">
        <v>6245</v>
      </c>
      <c r="D121" s="20" t="n">
        <v>7464</v>
      </c>
      <c r="E121" s="20" t="n">
        <v>9206</v>
      </c>
      <c r="F121" s="20" t="n">
        <v>9227</v>
      </c>
      <c r="G121" s="20" t="n">
        <v>10958</v>
      </c>
      <c r="H121" s="20" t="n">
        <v>-2717</v>
      </c>
      <c r="I121" s="20" t="n">
        <v>329</v>
      </c>
      <c r="J121" s="20" t="n">
        <v>5665</v>
      </c>
      <c r="K121" s="20" t="n">
        <v>6451</v>
      </c>
      <c r="L121" s="20" t="n">
        <v>9227</v>
      </c>
    </row>
    <row r="122">
      <c r="A122" s="18" t="inlineStr">
        <is>
          <t>비지배지분</t>
        </is>
      </c>
      <c r="C122" s="20" t="n">
        <v>2731</v>
      </c>
      <c r="D122" s="20" t="n">
        <v>2815</v>
      </c>
      <c r="E122" s="20" t="n">
        <v>3059</v>
      </c>
      <c r="F122" s="20" t="n">
        <v>3124</v>
      </c>
      <c r="G122" s="20" t="n">
        <v>2628</v>
      </c>
      <c r="H122" s="20" t="n">
        <v>3118</v>
      </c>
      <c r="I122" s="20" t="n">
        <v>3124</v>
      </c>
      <c r="J122" s="20" t="n">
        <v>3413</v>
      </c>
      <c r="K122" s="20" t="n">
        <v>2815</v>
      </c>
      <c r="L122" s="20" t="n">
        <v>3124</v>
      </c>
    </row>
    <row r="123">
      <c r="A123" s="9" t="inlineStr">
        <is>
          <t>순자산 합계</t>
        </is>
      </c>
      <c r="C123" s="12" t="n">
        <v>94395</v>
      </c>
      <c r="D123" s="12" t="n">
        <v>98396</v>
      </c>
      <c r="E123" s="12" t="n">
        <v>88085</v>
      </c>
      <c r="F123" s="12" t="n">
        <v>90183</v>
      </c>
      <c r="G123" s="12" t="n">
        <v>93195</v>
      </c>
      <c r="H123" s="12" t="n">
        <v>84616</v>
      </c>
      <c r="I123" s="12" t="n">
        <v>85940</v>
      </c>
      <c r="J123" s="12" t="n">
        <v>97307</v>
      </c>
      <c r="K123" s="12" t="n">
        <v>94171</v>
      </c>
      <c r="L123" s="12" t="n">
        <v>90183</v>
      </c>
    </row>
    <row r="124">
      <c r="A124" s="9" t="inlineStr">
        <is>
          <t>부채·순자산 합계</t>
        </is>
      </c>
      <c r="C124" s="12" t="n">
        <v>160525</v>
      </c>
      <c r="D124" s="12" t="n">
        <v>167822</v>
      </c>
      <c r="E124" s="12" t="n">
        <v>169522</v>
      </c>
      <c r="F124" s="12" t="n">
        <v>180467</v>
      </c>
      <c r="G124" s="12" t="n">
        <v>185341</v>
      </c>
      <c r="H124" s="12" t="n">
        <v>177535</v>
      </c>
      <c r="I124" s="12" t="n">
        <v>168177</v>
      </c>
      <c r="J124" s="12" t="n">
        <v>171100</v>
      </c>
      <c r="K124" s="12" t="n">
        <v>164514</v>
      </c>
      <c r="L124" s="12" t="n">
        <v>180467</v>
      </c>
    </row>
  </sheetData>
  <conditionalFormatting sqref="C43:L43">
    <cfRule type="expression" priority="1" dxfId="0">
      <formula>AND(ISNUMBER(C43),C43&gt;1.0)</formula>
    </cfRule>
  </conditionalFormatting>
  <conditionalFormatting sqref="C44:L44">
    <cfRule type="expression" priority="2" dxfId="0">
      <formula>AND(ISNUMBER(C44),C44&gt;0.5)</formula>
    </cfRule>
  </conditionalFormatting>
  <conditionalFormatting sqref="C45:L45">
    <cfRule type="expression" priority="3" dxfId="0">
      <formula>AND(ISNUMBER(C45),C45&lt;0.5)</formula>
    </cfRule>
  </conditionalFormatting>
  <conditionalFormatting sqref="C46:L46">
    <cfRule type="expression" priority="4" dxfId="0">
      <formula>AND(ISNUMBER(C46),C46&lt;1.5)</formula>
    </cfRule>
  </conditionalFormatting>
  <conditionalFormatting sqref="C47:L47">
    <cfRule type="expression" priority="5" dxfId="0">
      <formula>AND(ISNUMBER(C47),C47&lt;1.0)</formula>
    </cfRule>
  </conditionalFormatting>
  <conditionalFormatting sqref="C48:L48">
    <cfRule type="expression" priority="6" dxfId="0">
      <formula>AND(ISNUMBER(C48),C48&lt;5)</formula>
    </cfRule>
  </conditionalFormatting>
  <conditionalFormatting sqref="C49:L49">
    <cfRule type="expression" priority="7" dxfId="0">
      <formula>AND(ISNUMBER(C49),C49&gt;4)</formula>
    </cfRule>
  </conditionalFormatting>
  <conditionalFormatting sqref="C51:L51">
    <cfRule type="expression" priority="8" dxfId="0">
      <formula>AND(ISNUMBER(C51),C51&lt;0.15)</formula>
    </cfRule>
  </conditionalFormatting>
  <conditionalFormatting sqref="C52:L52">
    <cfRule type="expression" priority="9" dxfId="0">
      <formula>AND(ISNUMBER(C52),C52&lt;0.05)</formula>
    </cfRule>
  </conditionalFormatting>
  <conditionalFormatting sqref="C53:L53">
    <cfRule type="expression" priority="10" dxfId="0">
      <formula>AND(ISNUMBER(C53),C53&lt;0.1)</formula>
    </cfRule>
  </conditionalFormatting>
  <conditionalFormatting sqref="C54:L54">
    <cfRule type="expression" priority="11" dxfId="0">
      <formula>AND(ISNUMBER(C54),C54&lt;0.4)</formula>
    </cfRule>
  </conditionalFormatting>
  <conditionalFormatting sqref="C55:L55">
    <cfRule type="expression" priority="12" dxfId="0">
      <formula>AND(ISNUMBER(C55),C55&lt;0.15)</formula>
    </cfRule>
  </conditionalFormatting>
  <conditionalFormatting sqref="C56:L56">
    <cfRule type="expression" priority="13" dxfId="0">
      <formula>AND(ISNUMBER(C56),C56&lt;0.1)</formula>
    </cfRule>
  </conditionalFormatting>
  <conditionalFormatting sqref="C64:L64">
    <cfRule type="expression" priority="14" dxfId="0">
      <formula>AND(ISNUMBER(C64),C64&lt;1.0)</formula>
    </cfRule>
  </conditionalFormatting>
  <conditionalFormatting sqref="C65:L65">
    <cfRule type="expression" priority="15" dxfId="0">
      <formula>AND(ISNUMBER(C65),C65&lt;0.05)</formula>
    </cfRule>
  </conditionalFormatting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34" customWidth="1" min="2" max="2"/>
    <col width="60" customWidth="1" min="3" max="3"/>
  </cols>
  <sheetData>
    <row r="1">
      <c r="A1" s="49" t="inlineStr">
        <is>
          <t>출처 · 쓴 결산단신</t>
        </is>
      </c>
    </row>
    <row r="3">
      <c r="A3" s="50" t="inlineStr">
        <is>
          <t>공시일</t>
        </is>
      </c>
      <c r="B3" s="50" t="inlineStr">
        <is>
          <t>문서</t>
        </is>
      </c>
      <c r="C3" s="50" t="inlineStr">
        <is>
          <t>PDF</t>
        </is>
      </c>
    </row>
    <row r="4">
      <c r="A4" t="inlineStr">
        <is>
          <t>2026-07-31</t>
        </is>
      </c>
      <c r="B4" t="inlineStr">
        <is>
          <t>2027년 3월 결산기 １분기 결산단신</t>
        </is>
      </c>
      <c r="C4" t="inlineStr">
        <is>
          <t>https://www2.jpx.co.jp/disc/68100/140120260724599100.pdf</t>
        </is>
      </c>
    </row>
    <row r="5">
      <c r="A5" t="inlineStr">
        <is>
          <t>2026-04-27</t>
        </is>
      </c>
      <c r="B5" t="inlineStr">
        <is>
          <t>2026년 3월 결산기 연간 결산단신</t>
        </is>
      </c>
      <c r="C5" t="inlineStr">
        <is>
          <t>https://www2.jpx.co.jp/disc/68100/140120260422508533.pdf</t>
        </is>
      </c>
    </row>
    <row r="6">
      <c r="A6" t="inlineStr">
        <is>
          <t>2026-01-30</t>
        </is>
      </c>
      <c r="B6" t="inlineStr">
        <is>
          <t>2026년 3월 결산기 ３분기 결산단신</t>
        </is>
      </c>
      <c r="C6" t="inlineStr">
        <is>
          <t>https://www2.jpx.co.jp/disc/68100/140120260127539164.pdf</t>
        </is>
      </c>
    </row>
    <row r="7">
      <c r="A7" t="inlineStr">
        <is>
          <t>2025-10-31</t>
        </is>
      </c>
      <c r="B7" t="inlineStr">
        <is>
          <t>2026년 3월 결산기 ２분기 결산단신</t>
        </is>
      </c>
      <c r="C7" t="inlineStr">
        <is>
          <t>https://www2.jpx.co.jp/disc/68100/140120251006568988.pdf</t>
        </is>
      </c>
    </row>
    <row r="8">
      <c r="A8" t="inlineStr">
        <is>
          <t>2025-07-31</t>
        </is>
      </c>
      <c r="B8" t="inlineStr">
        <is>
          <t>2026년 3월 결산기 １분기 결산단신</t>
        </is>
      </c>
      <c r="C8" t="inlineStr">
        <is>
          <t>https://www2.jpx.co.jp/disc/68100/140120250709510922.pdf</t>
        </is>
      </c>
    </row>
    <row r="9">
      <c r="A9" t="inlineStr">
        <is>
          <t>2025-04-25</t>
        </is>
      </c>
      <c r="B9" t="inlineStr">
        <is>
          <t>2025년 3월 결산기 연간 결산단신</t>
        </is>
      </c>
      <c r="C9" t="inlineStr">
        <is>
          <t>https://www2.jpx.co.jp/disc/68100/140120250411514008.pdf</t>
        </is>
      </c>
    </row>
    <row r="10">
      <c r="A10" t="inlineStr">
        <is>
          <t>2025-01-31</t>
        </is>
      </c>
      <c r="B10" t="inlineStr">
        <is>
          <t>2025년 3월 결산기 ３분기 결산단신</t>
        </is>
      </c>
      <c r="C10" t="inlineStr">
        <is>
          <t>https://www2.jpx.co.jp/disc/68100/140120250127555706.pdf</t>
        </is>
      </c>
    </row>
    <row r="11">
      <c r="A11" t="inlineStr">
        <is>
          <t>2024-10-31</t>
        </is>
      </c>
      <c r="B11" t="inlineStr">
        <is>
          <t>2025년 3월 결산기 ２분기 결산단신</t>
        </is>
      </c>
      <c r="C11" t="inlineStr">
        <is>
          <t>https://www2.jpx.co.jp/disc/68100/140120241029504539.pdf</t>
        </is>
      </c>
    </row>
    <row r="12">
      <c r="A12" t="inlineStr">
        <is>
          <t>2024-07-31</t>
        </is>
      </c>
      <c r="B12" t="inlineStr">
        <is>
          <t>2025년 3월 결산기 １분기 결산단신</t>
        </is>
      </c>
      <c r="C12" t="inlineStr">
        <is>
          <t>https://www2.jpx.co.jp/disc/68100/140120240722552159.pdf</t>
        </is>
      </c>
    </row>
    <row r="13">
      <c r="A13" t="inlineStr">
        <is>
          <t>2024-04-26</t>
        </is>
      </c>
      <c r="B13" t="inlineStr">
        <is>
          <t>2024년 3월 결산기 연간 결산단신</t>
        </is>
      </c>
      <c r="C13" t="inlineStr">
        <is>
          <t>https://www2.jpx.co.jp/disc/68100/140120240419573445.pdf</t>
        </is>
      </c>
    </row>
    <row r="14">
      <c r="A14" t="inlineStr">
        <is>
          <t>2024-01-31</t>
        </is>
      </c>
      <c r="B14" t="inlineStr">
        <is>
          <t>2024년 3월 결산기 ３분기 결산단신</t>
        </is>
      </c>
      <c r="C14" t="inlineStr">
        <is>
          <t>https://www2.jpx.co.jp/disc/68100/140120240126519811.pdf</t>
        </is>
      </c>
    </row>
    <row r="15">
      <c r="A15" t="inlineStr">
        <is>
          <t>2023-10-30</t>
        </is>
      </c>
      <c r="B15" t="inlineStr">
        <is>
          <t>2024년 3월 결산기 ２분기 결산단신</t>
        </is>
      </c>
      <c r="C15" t="inlineStr">
        <is>
          <t>https://www2.jpx.co.jp/disc/68100/140120231005563391.pdf</t>
        </is>
      </c>
    </row>
    <row r="16">
      <c r="A16" t="inlineStr">
        <is>
          <t>2023-07-27</t>
        </is>
      </c>
      <c r="B16" t="inlineStr">
        <is>
          <t>2024년 3월 결산기 １분기 결산단신</t>
        </is>
      </c>
      <c r="C16" t="inlineStr">
        <is>
          <t>https://www2.jpx.co.jp/disc/68100/140120230724526136.pdf</t>
        </is>
      </c>
    </row>
    <row r="17">
      <c r="A17" t="inlineStr">
        <is>
          <t>2023-04-27</t>
        </is>
      </c>
      <c r="B17" t="inlineStr">
        <is>
          <t>2023년 3월 결산기 연간 결산단신</t>
        </is>
      </c>
      <c r="C17" t="inlineStr">
        <is>
          <t>https://www2.jpx.co.jp/disc/68100/140120230421550792.pdf</t>
        </is>
      </c>
    </row>
    <row r="18">
      <c r="A18" t="inlineStr">
        <is>
          <t>2023-01-31</t>
        </is>
      </c>
      <c r="B18" t="inlineStr">
        <is>
          <t>2023년 3월 결산기 ３분기 결산단신</t>
        </is>
      </c>
      <c r="C18" t="inlineStr">
        <is>
          <t>https://www2.jpx.co.jp/disc/68100/140120230127594453.pdf</t>
        </is>
      </c>
    </row>
    <row r="19">
      <c r="A19" t="inlineStr">
        <is>
          <t>2022-10-28</t>
        </is>
      </c>
      <c r="B19" t="inlineStr">
        <is>
          <t>2023년 3월 결산기 ２분기 결산단신</t>
        </is>
      </c>
      <c r="C19" t="inlineStr">
        <is>
          <t>https://www2.jpx.co.jp/disc/68100/140120221027550909.pdf</t>
        </is>
      </c>
    </row>
    <row r="20">
      <c r="A20" t="inlineStr">
        <is>
          <t>2022-05-13</t>
        </is>
      </c>
      <c r="B20" t="inlineStr">
        <is>
          <t>2022년 3월 결산기 연간 결산단신</t>
        </is>
      </c>
      <c r="C20" t="inlineStr">
        <is>
          <t>https://www2.jpx.co.jp/disc/68100/140120220414521613.pdf</t>
        </is>
      </c>
    </row>
    <row r="21">
      <c r="A21" t="inlineStr">
        <is>
          <t>2021-04-28</t>
        </is>
      </c>
      <c r="B21" t="inlineStr">
        <is>
          <t>2021년 3월 결산기 연간 결산단신</t>
        </is>
      </c>
      <c r="C21" t="inlineStr">
        <is>
          <t>https://www2.jpx.co.jp/disc/68100/140120210427401991.pdf</t>
        </is>
      </c>
    </row>
    <row r="22">
      <c r="A22" t="inlineStr">
        <is>
          <t>2020-05-13</t>
        </is>
      </c>
      <c r="B22" t="inlineStr">
        <is>
          <t>2020년 3월 결산기 연간 결산단신</t>
        </is>
      </c>
      <c r="C22" t="inlineStr">
        <is>
          <t>https://www2.jpx.co.jp/disc/68100/140120200512410594.pdf</t>
        </is>
      </c>
    </row>
    <row r="23">
      <c r="A23" t="inlineStr">
        <is>
          <t>2019-04-26</t>
        </is>
      </c>
      <c r="B23" t="inlineStr">
        <is>
          <t>2019년 3월 결산기 연간 결산단신</t>
        </is>
      </c>
      <c r="C23" t="inlineStr">
        <is>
          <t>https://www2.jpx.co.jp/disc/68100/140120190425411507.pdf</t>
        </is>
      </c>
    </row>
    <row r="24">
      <c r="A24" t="inlineStr">
        <is>
          <t>2018-04-27</t>
        </is>
      </c>
      <c r="B24" t="inlineStr">
        <is>
          <t>연간 결산단신</t>
        </is>
      </c>
      <c r="C24" t="inlineStr">
        <is>
          <t>https://www2.jpx.co.jp/disc/68100/140120180426422384.pdf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2026-10-25T13:41:35Z</dcterms:created>
  <dcterms:modified xmlns:dcterms="http://purl.org/dc/terms/" xmlns:xsi="http://www.w3.org/2001/XMLSchema-instance" xsi:type="dcterms:W3CDTF">2026-10-25T13:41:35Z</dcterms:modified>
</cp:coreProperties>
</file>