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8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양품계획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162913</v>
      </c>
      <c r="D4" s="12" t="n">
        <v>156926</v>
      </c>
      <c r="E4" s="12" t="n">
        <v>175860</v>
      </c>
      <c r="F4" s="12" t="n">
        <v>165978</v>
      </c>
      <c r="G4" s="12" t="n">
        <v>197690</v>
      </c>
      <c r="H4" s="12" t="n">
        <v>184333</v>
      </c>
      <c r="I4" s="12" t="n">
        <v>209070</v>
      </c>
      <c r="J4" s="12" t="n">
        <v>193536</v>
      </c>
      <c r="K4" s="12" t="n">
        <v>228227</v>
      </c>
      <c r="L4" s="12" t="n">
        <v>210322</v>
      </c>
      <c r="M4" s="12" t="n">
        <v>252239</v>
      </c>
      <c r="N4" s="12" t="n">
        <v>232804</v>
      </c>
      <c r="O4" s="11" t="n"/>
      <c r="P4" s="12" t="n">
        <v>378801</v>
      </c>
      <c r="Q4" s="12" t="n">
        <v>408848</v>
      </c>
      <c r="R4" s="12" t="n">
        <v>437775</v>
      </c>
      <c r="S4" s="12" t="n">
        <v>453689</v>
      </c>
      <c r="T4" s="12" t="n">
        <v>496171</v>
      </c>
      <c r="U4" s="12" t="n">
        <v>581412</v>
      </c>
      <c r="V4" s="12" t="n">
        <v>661677</v>
      </c>
      <c r="W4" s="12" t="n">
        <v>784629</v>
      </c>
      <c r="X4" s="12" t="n">
        <v>923592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국내 사업</t>
        </is>
      </c>
      <c r="B7" s="10" t="n"/>
      <c r="C7" s="19" t="n">
        <v>97671</v>
      </c>
      <c r="D7" s="20" t="n">
        <v>87229</v>
      </c>
      <c r="E7" s="20" t="n">
        <v>108228</v>
      </c>
      <c r="F7" s="20" t="n">
        <v>95807</v>
      </c>
      <c r="G7" s="20" t="n">
        <v>122102</v>
      </c>
      <c r="H7" s="20" t="n">
        <v>103884</v>
      </c>
      <c r="I7" s="20" t="n">
        <v>133086</v>
      </c>
      <c r="J7" s="20" t="n">
        <v>111071</v>
      </c>
      <c r="K7" s="20" t="n">
        <v>133267</v>
      </c>
      <c r="L7" s="20" t="n">
        <v>111077</v>
      </c>
      <c r="M7" s="20" t="n">
        <v>146774</v>
      </c>
      <c r="N7" s="20" t="n">
        <v>119875</v>
      </c>
      <c r="O7" s="19" t="n"/>
      <c r="P7" s="20" t="n"/>
      <c r="Q7" s="20" t="n"/>
      <c r="R7" s="20" t="n"/>
      <c r="S7" s="20" t="n"/>
      <c r="T7" s="20" t="n"/>
      <c r="U7" s="20" t="n">
        <v>342829</v>
      </c>
      <c r="V7" s="20" t="n">
        <v>388935</v>
      </c>
      <c r="W7" s="20" t="n">
        <v>470143</v>
      </c>
      <c r="X7" s="20" t="n">
        <v>510993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동아시아 사업</t>
        </is>
      </c>
      <c r="B10" s="10" t="n"/>
      <c r="C10" s="19" t="n">
        <v>46478</v>
      </c>
      <c r="D10" s="20" t="n">
        <v>49379</v>
      </c>
      <c r="E10" s="20" t="n">
        <v>48392</v>
      </c>
      <c r="F10" s="20" t="n">
        <v>50310</v>
      </c>
      <c r="G10" s="20" t="n">
        <v>54073</v>
      </c>
      <c r="H10" s="20" t="n">
        <v>56268</v>
      </c>
      <c r="I10" s="20" t="n">
        <v>54258</v>
      </c>
      <c r="J10" s="20" t="n">
        <v>57648</v>
      </c>
      <c r="K10" s="20" t="n">
        <v>67995</v>
      </c>
      <c r="L10" s="20" t="n">
        <v>68066</v>
      </c>
      <c r="M10" s="20" t="n">
        <v>76751</v>
      </c>
      <c r="N10" s="20" t="n">
        <v>80971</v>
      </c>
      <c r="O10" s="19" t="n"/>
      <c r="P10" s="20" t="n"/>
      <c r="Q10" s="20" t="n"/>
      <c r="R10" s="20" t="n"/>
      <c r="S10" s="20" t="n"/>
      <c r="T10" s="20" t="n"/>
      <c r="U10" s="20" t="n">
        <v>171630</v>
      </c>
      <c r="V10" s="20" t="n">
        <v>194559</v>
      </c>
      <c r="W10" s="20" t="n">
        <v>222247</v>
      </c>
      <c r="X10" s="20" t="n">
        <v>293783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동남·남아시아·오세아니아 사업</t>
        </is>
      </c>
      <c r="B13" s="10" t="n"/>
      <c r="C13" s="19" t="n">
        <v>8575</v>
      </c>
      <c r="D13" s="20" t="n">
        <v>10417</v>
      </c>
      <c r="E13" s="20" t="n">
        <v>9853</v>
      </c>
      <c r="F13" s="20" t="n">
        <v>10293</v>
      </c>
      <c r="G13" s="20" t="n">
        <v>10856</v>
      </c>
      <c r="H13" s="20" t="n">
        <v>13611</v>
      </c>
      <c r="I13" s="20" t="n">
        <v>11962</v>
      </c>
      <c r="J13" s="20" t="n">
        <v>13676</v>
      </c>
      <c r="K13" s="20" t="n">
        <v>14482</v>
      </c>
      <c r="L13" s="20" t="n">
        <v>18635</v>
      </c>
      <c r="M13" s="20" t="n">
        <v>15957</v>
      </c>
      <c r="N13" s="20" t="n">
        <v>17445</v>
      </c>
      <c r="O13" s="19" t="n"/>
      <c r="P13" s="20" t="n"/>
      <c r="Q13" s="20" t="n"/>
      <c r="R13" s="20" t="n"/>
      <c r="S13" s="20" t="n"/>
      <c r="T13" s="20" t="n"/>
      <c r="U13" s="20" t="n">
        <v>31470</v>
      </c>
      <c r="V13" s="20" t="n">
        <v>39138</v>
      </c>
      <c r="W13" s="20" t="n">
        <v>50105</v>
      </c>
      <c r="X13" s="20" t="n">
        <v>66519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구미 사업</t>
        </is>
      </c>
      <c r="B16" s="10" t="n"/>
      <c r="C16" s="19" t="n">
        <v>10187</v>
      </c>
      <c r="D16" s="20" t="n">
        <v>9901</v>
      </c>
      <c r="E16" s="20" t="n">
        <v>9388</v>
      </c>
      <c r="F16" s="20" t="n">
        <v>9567</v>
      </c>
      <c r="G16" s="20" t="n">
        <v>10657</v>
      </c>
      <c r="H16" s="20" t="n">
        <v>10571</v>
      </c>
      <c r="I16" s="20" t="n">
        <v>9764</v>
      </c>
      <c r="J16" s="20" t="n">
        <v>11141</v>
      </c>
      <c r="K16" s="20" t="n">
        <v>12482</v>
      </c>
      <c r="L16" s="20" t="n">
        <v>12543</v>
      </c>
      <c r="M16" s="20" t="n">
        <v>12758</v>
      </c>
      <c r="N16" s="20" t="n">
        <v>14512</v>
      </c>
      <c r="O16" s="19" t="n"/>
      <c r="P16" s="20" t="n"/>
      <c r="Q16" s="20" t="n"/>
      <c r="R16" s="20" t="n"/>
      <c r="S16" s="20" t="n"/>
      <c r="T16" s="20" t="n"/>
      <c r="U16" s="20" t="n">
        <v>35482</v>
      </c>
      <c r="V16" s="20" t="n">
        <v>39043</v>
      </c>
      <c r="W16" s="20" t="n">
        <v>42133</v>
      </c>
      <c r="X16" s="20" t="n">
        <v>52295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0" t="n">
        <v>0</v>
      </c>
      <c r="O19" s="19" t="n"/>
      <c r="P19" s="20" t="n"/>
      <c r="Q19" s="20" t="n"/>
      <c r="R19" s="20" t="n"/>
      <c r="S19" s="20" t="n"/>
      <c r="T19" s="20" t="n"/>
      <c r="U19" s="20" t="n">
        <v>0</v>
      </c>
      <c r="V19" s="20" t="n">
        <v>0</v>
      </c>
      <c r="W19" s="20" t="n">
        <v>0</v>
      </c>
      <c r="X19" s="20" t="n">
        <v>0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81077</v>
      </c>
      <c r="D23" s="20" t="n">
        <v>79224</v>
      </c>
      <c r="E23" s="20" t="n">
        <v>85274</v>
      </c>
      <c r="F23" s="20" t="n">
        <v>79692</v>
      </c>
      <c r="G23" s="20" t="n">
        <v>95697</v>
      </c>
      <c r="H23" s="20" t="n">
        <v>91117</v>
      </c>
      <c r="I23" s="20" t="n">
        <v>101522</v>
      </c>
      <c r="J23" s="20" t="n">
        <v>93317</v>
      </c>
      <c r="K23" s="20" t="n">
        <v>108083</v>
      </c>
      <c r="L23" s="20" t="n">
        <v>100710</v>
      </c>
      <c r="M23" s="20" t="n">
        <v>119157</v>
      </c>
      <c r="N23" s="20" t="n">
        <v>107951</v>
      </c>
      <c r="O23" s="19" t="n"/>
      <c r="P23" s="20" t="n">
        <v>187731</v>
      </c>
      <c r="Q23" s="20" t="n">
        <v>198317</v>
      </c>
      <c r="R23" s="20" t="n">
        <v>221084</v>
      </c>
      <c r="S23" s="20" t="n">
        <v>231355</v>
      </c>
      <c r="T23" s="20" t="n">
        <v>261814</v>
      </c>
      <c r="U23" s="20" t="n">
        <v>309862</v>
      </c>
      <c r="V23" s="20" t="n">
        <v>325267</v>
      </c>
      <c r="W23" s="20" t="n">
        <v>381653</v>
      </c>
      <c r="X23" s="20" t="n">
        <v>435901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67954</v>
      </c>
      <c r="D29" s="20" t="n">
        <v>67484</v>
      </c>
      <c r="E29" s="20" t="n">
        <v>72216</v>
      </c>
      <c r="F29" s="20" t="n">
        <v>72620</v>
      </c>
      <c r="G29" s="20" t="n">
        <v>80035</v>
      </c>
      <c r="H29" s="20" t="n">
        <v>79067</v>
      </c>
      <c r="I29" s="20" t="n">
        <v>84248</v>
      </c>
      <c r="J29" s="20" t="n">
        <v>85785</v>
      </c>
      <c r="K29" s="20" t="n">
        <v>91760</v>
      </c>
      <c r="L29" s="20" t="n">
        <v>92951</v>
      </c>
      <c r="M29" s="20" t="n">
        <v>97305</v>
      </c>
      <c r="N29" s="20" t="n">
        <v>102239</v>
      </c>
      <c r="O29" s="19" t="n"/>
      <c r="P29" s="20" t="n">
        <v>146532</v>
      </c>
      <c r="Q29" s="20" t="n">
        <v>166636</v>
      </c>
      <c r="R29" s="20" t="n">
        <v>181248</v>
      </c>
      <c r="S29" s="20" t="n">
        <v>179887</v>
      </c>
      <c r="T29" s="20" t="n">
        <v>201582</v>
      </c>
      <c r="U29" s="20" t="n">
        <v>238412</v>
      </c>
      <c r="V29" s="20" t="n">
        <v>280274</v>
      </c>
      <c r="W29" s="20" t="n">
        <v>329135</v>
      </c>
      <c r="X29" s="20" t="n">
        <v>384255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13882</v>
      </c>
      <c r="D31" s="12" t="n">
        <v>10217</v>
      </c>
      <c r="E31" s="12" t="n">
        <v>18370</v>
      </c>
      <c r="F31" s="12" t="n">
        <v>13666</v>
      </c>
      <c r="G31" s="12" t="n">
        <v>21957</v>
      </c>
      <c r="H31" s="12" t="n">
        <v>14148</v>
      </c>
      <c r="I31" s="12" t="n">
        <v>23301</v>
      </c>
      <c r="J31" s="12" t="n">
        <v>14434</v>
      </c>
      <c r="K31" s="12" t="n">
        <v>28383</v>
      </c>
      <c r="L31" s="12" t="n">
        <v>16662</v>
      </c>
      <c r="M31" s="12" t="n">
        <v>35777</v>
      </c>
      <c r="N31" s="12" t="n">
        <v>22614</v>
      </c>
      <c r="O31" s="11" t="n"/>
      <c r="P31" s="12" t="n">
        <v>45286</v>
      </c>
      <c r="Q31" s="12" t="n">
        <v>44743</v>
      </c>
      <c r="R31" s="12" t="n">
        <v>36380</v>
      </c>
      <c r="S31" s="12" t="n">
        <v>42447</v>
      </c>
      <c r="T31" s="12" t="n">
        <v>32773</v>
      </c>
      <c r="U31" s="12" t="n">
        <v>33137</v>
      </c>
      <c r="V31" s="12" t="n">
        <v>56135</v>
      </c>
      <c r="W31" s="12" t="n">
        <v>73840</v>
      </c>
      <c r="X31" s="12" t="n">
        <v>103436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>
        <v>42094</v>
      </c>
      <c r="Q36" s="20" t="n">
        <v>48729</v>
      </c>
      <c r="R36" s="20" t="n">
        <v>51867</v>
      </c>
      <c r="S36" s="20" t="n">
        <v>46342</v>
      </c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>
        <v>8644</v>
      </c>
      <c r="Q38" s="20" t="n">
        <v>9867</v>
      </c>
      <c r="R38" s="20" t="n">
        <v>17622</v>
      </c>
      <c r="S38" s="20" t="n">
        <v>18969</v>
      </c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395</v>
      </c>
      <c r="D47" s="20" t="n">
        <v>19</v>
      </c>
      <c r="E47" s="20" t="n">
        <v>8617</v>
      </c>
      <c r="F47" s="20" t="n">
        <v>985</v>
      </c>
      <c r="G47" s="20" t="n">
        <v>17</v>
      </c>
      <c r="H47" s="20" t="n">
        <v>2</v>
      </c>
      <c r="I47" s="20" t="n">
        <v>334</v>
      </c>
      <c r="J47" s="20" t="n">
        <v>26</v>
      </c>
      <c r="K47" s="20" t="n">
        <v>2374</v>
      </c>
      <c r="L47" s="20" t="n">
        <v>233</v>
      </c>
      <c r="M47" s="20" t="n">
        <v>1784</v>
      </c>
      <c r="N47" s="20" t="n">
        <v>7</v>
      </c>
      <c r="O47" s="19" t="n"/>
      <c r="P47" s="20" t="n">
        <v>16</v>
      </c>
      <c r="Q47" s="20" t="n">
        <v>8635</v>
      </c>
      <c r="R47" s="20" t="n">
        <v>19</v>
      </c>
      <c r="S47" s="20" t="n">
        <v>4922</v>
      </c>
      <c r="T47" s="20" t="n">
        <v>224</v>
      </c>
      <c r="U47" s="20" t="n">
        <v>3047</v>
      </c>
      <c r="V47" s="20" t="n">
        <v>10016</v>
      </c>
      <c r="W47" s="20" t="n">
        <v>379</v>
      </c>
      <c r="X47" s="20" t="n">
        <v>4398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118</v>
      </c>
      <c r="D49" s="20" t="n">
        <v>283</v>
      </c>
      <c r="E49" s="20" t="n">
        <v>653</v>
      </c>
      <c r="F49" s="20" t="n">
        <v>4825</v>
      </c>
      <c r="G49" s="20" t="n">
        <v>101</v>
      </c>
      <c r="H49" s="20" t="n">
        <v>432</v>
      </c>
      <c r="I49" s="20" t="n">
        <v>553</v>
      </c>
      <c r="J49" s="20" t="n">
        <v>5636</v>
      </c>
      <c r="K49" s="20" t="n">
        <v>22</v>
      </c>
      <c r="L49" s="20" t="n">
        <v>188</v>
      </c>
      <c r="M49" s="20" t="n">
        <v>3130</v>
      </c>
      <c r="N49" s="20" t="n">
        <v>3046</v>
      </c>
      <c r="O49" s="19" t="n"/>
      <c r="P49" s="20" t="n">
        <v>838</v>
      </c>
      <c r="Q49" s="20" t="n">
        <v>612</v>
      </c>
      <c r="R49" s="20" t="n">
        <v>1792</v>
      </c>
      <c r="S49" s="20" t="n">
        <v>1702</v>
      </c>
      <c r="T49" s="20" t="n">
        <v>4234</v>
      </c>
      <c r="U49" s="20" t="n">
        <v>5436</v>
      </c>
      <c r="V49" s="20" t="n">
        <v>5879</v>
      </c>
      <c r="W49" s="20" t="n">
        <v>6722</v>
      </c>
      <c r="X49" s="20" t="n">
        <v>6386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990</v>
      </c>
      <c r="D51" s="20" t="n">
        <v>356</v>
      </c>
      <c r="E51" s="20" t="n">
        <v>1631</v>
      </c>
      <c r="F51" s="20" t="n">
        <v>-402</v>
      </c>
      <c r="G51" s="20" t="n">
        <v>467</v>
      </c>
      <c r="H51" s="20" t="n">
        <v>630</v>
      </c>
      <c r="I51" s="20" t="n">
        <v>553</v>
      </c>
      <c r="J51" s="20" t="n">
        <v>634</v>
      </c>
      <c r="K51" s="20" t="n">
        <v>1661</v>
      </c>
      <c r="L51" s="20" t="n">
        <v>1891</v>
      </c>
      <c r="M51" s="20" t="n">
        <v>570</v>
      </c>
      <c r="N51" s="20" t="n">
        <v>602</v>
      </c>
      <c r="O51" s="19" t="n"/>
      <c r="P51" s="20" t="n">
        <v>1462</v>
      </c>
      <c r="Q51" s="20" t="n">
        <v>1957</v>
      </c>
      <c r="R51" s="20" t="n">
        <v>1214</v>
      </c>
      <c r="S51" s="20" t="n">
        <v>4420</v>
      </c>
      <c r="T51" s="20" t="n">
        <v>6067</v>
      </c>
      <c r="U51" s="20" t="n">
        <v>5169</v>
      </c>
      <c r="V51" s="20" t="n">
        <v>2575</v>
      </c>
      <c r="W51" s="20" t="n">
        <v>2284</v>
      </c>
      <c r="X51" s="20" t="n">
        <v>4724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584</v>
      </c>
      <c r="D53" s="20" t="n">
        <v>688</v>
      </c>
      <c r="E53" s="20" t="n">
        <v>849</v>
      </c>
      <c r="F53" s="20" t="n">
        <v>812</v>
      </c>
      <c r="G53" s="20" t="n">
        <v>1134</v>
      </c>
      <c r="H53" s="20" t="n">
        <v>1481</v>
      </c>
      <c r="I53" s="20" t="n">
        <v>615</v>
      </c>
      <c r="J53" s="20" t="n">
        <v>592</v>
      </c>
      <c r="K53" s="20" t="n">
        <v>923</v>
      </c>
      <c r="L53" s="20" t="n">
        <v>801</v>
      </c>
      <c r="M53" s="20" t="n">
        <v>824</v>
      </c>
      <c r="N53" s="20" t="n">
        <v>942</v>
      </c>
      <c r="O53" s="19" t="n"/>
      <c r="P53" s="20" t="n">
        <v>763</v>
      </c>
      <c r="Q53" s="20" t="n">
        <v>840</v>
      </c>
      <c r="R53" s="20" t="n">
        <v>1218</v>
      </c>
      <c r="S53" s="20" t="n">
        <v>1498</v>
      </c>
      <c r="T53" s="20" t="n">
        <v>1626</v>
      </c>
      <c r="U53" s="20" t="n">
        <v>2150</v>
      </c>
      <c r="V53" s="20" t="n">
        <v>2933</v>
      </c>
      <c r="W53" s="20" t="n">
        <v>3822</v>
      </c>
      <c r="X53" s="20" t="n">
        <v>3490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14565</v>
      </c>
      <c r="D55" s="12" t="n">
        <v>9621</v>
      </c>
      <c r="E55" s="12" t="n">
        <v>27116</v>
      </c>
      <c r="F55" s="12" t="n">
        <v>8612</v>
      </c>
      <c r="G55" s="12" t="n">
        <v>21206</v>
      </c>
      <c r="H55" s="12" t="n">
        <v>12867</v>
      </c>
      <c r="I55" s="12" t="n">
        <v>23020</v>
      </c>
      <c r="J55" s="12" t="n">
        <v>8865</v>
      </c>
      <c r="K55" s="12" t="n">
        <v>31473</v>
      </c>
      <c r="L55" s="12" t="n">
        <v>17796</v>
      </c>
      <c r="M55" s="12" t="n">
        <v>34179</v>
      </c>
      <c r="N55" s="12" t="n">
        <v>19235</v>
      </c>
      <c r="O55" s="11" t="n"/>
      <c r="P55" s="12" t="n">
        <v>45163</v>
      </c>
      <c r="Q55" s="12" t="n">
        <v>53883</v>
      </c>
      <c r="R55" s="12" t="n">
        <v>34603</v>
      </c>
      <c r="S55" s="12" t="n">
        <v>48589</v>
      </c>
      <c r="T55" s="12" t="n">
        <v>33204</v>
      </c>
      <c r="U55" s="12" t="n">
        <v>33767</v>
      </c>
      <c r="V55" s="12" t="n">
        <v>59914</v>
      </c>
      <c r="W55" s="12" t="n">
        <v>65958</v>
      </c>
      <c r="X55" s="12" t="n">
        <v>102683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4714</v>
      </c>
      <c r="D57" s="20" t="n">
        <v>3487</v>
      </c>
      <c r="E57" s="20" t="n">
        <v>9361</v>
      </c>
      <c r="F57" s="20" t="n">
        <v>515</v>
      </c>
      <c r="G57" s="20" t="n">
        <v>6212</v>
      </c>
      <c r="H57" s="20" t="n">
        <v>2146</v>
      </c>
      <c r="I57" s="20" t="n">
        <v>4944</v>
      </c>
      <c r="J57" s="20" t="n">
        <v>1783</v>
      </c>
      <c r="K57" s="20" t="n">
        <v>9350</v>
      </c>
      <c r="L57" s="20" t="n">
        <v>5101</v>
      </c>
      <c r="M57" s="20" t="n">
        <v>9410</v>
      </c>
      <c r="N57" s="20" t="n">
        <v>999</v>
      </c>
      <c r="O57" s="19" t="n"/>
      <c r="P57" s="20" t="n">
        <v>14969</v>
      </c>
      <c r="Q57" s="20" t="n">
        <v>19751</v>
      </c>
      <c r="R57" s="20" t="n">
        <v>11910</v>
      </c>
      <c r="S57" s="20" t="n">
        <v>14918</v>
      </c>
      <c r="T57" s="20" t="n">
        <v>8426</v>
      </c>
      <c r="U57" s="20" t="n">
        <v>11441</v>
      </c>
      <c r="V57" s="20" t="n">
        <v>18077</v>
      </c>
      <c r="W57" s="20" t="n">
        <v>15085</v>
      </c>
      <c r="X57" s="20" t="n">
        <v>24860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9850</v>
      </c>
      <c r="D59" s="12" t="n">
        <v>6135</v>
      </c>
      <c r="E59" s="12" t="n">
        <v>17754</v>
      </c>
      <c r="F59" s="12" t="n">
        <v>8097</v>
      </c>
      <c r="G59" s="12" t="n">
        <v>14994</v>
      </c>
      <c r="H59" s="12" t="n">
        <v>10721</v>
      </c>
      <c r="I59" s="12" t="n">
        <v>18076</v>
      </c>
      <c r="J59" s="12" t="n">
        <v>7081</v>
      </c>
      <c r="K59" s="12" t="n">
        <v>22122</v>
      </c>
      <c r="L59" s="12" t="n">
        <v>12696</v>
      </c>
      <c r="M59" s="12" t="n">
        <v>24768</v>
      </c>
      <c r="N59" s="12" t="n">
        <v>18236</v>
      </c>
      <c r="O59" s="11" t="n"/>
      <c r="P59" s="12" t="n">
        <v>30193</v>
      </c>
      <c r="Q59" s="12" t="n">
        <v>34131</v>
      </c>
      <c r="R59" s="12" t="n">
        <v>22693</v>
      </c>
      <c r="S59" s="12" t="n">
        <v>33670</v>
      </c>
      <c r="T59" s="12" t="n">
        <v>24778</v>
      </c>
      <c r="U59" s="12" t="n">
        <v>22326</v>
      </c>
      <c r="V59" s="12" t="n">
        <v>41836</v>
      </c>
      <c r="W59" s="12" t="n">
        <v>50872</v>
      </c>
      <c r="X59" s="12" t="n">
        <v>77822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9801</v>
      </c>
      <c r="D61" s="12" t="n">
        <v>5971</v>
      </c>
      <c r="E61" s="12" t="n">
        <v>17735</v>
      </c>
      <c r="F61" s="12" t="n">
        <v>8059</v>
      </c>
      <c r="G61" s="12" t="n">
        <v>14955</v>
      </c>
      <c r="H61" s="12" t="n">
        <v>10527</v>
      </c>
      <c r="I61" s="12" t="n">
        <v>18109</v>
      </c>
      <c r="J61" s="12" t="n">
        <v>7255</v>
      </c>
      <c r="K61" s="12" t="n">
        <v>22047</v>
      </c>
      <c r="L61" s="12" t="n">
        <v>12215</v>
      </c>
      <c r="M61" s="12" t="n">
        <v>24291</v>
      </c>
      <c r="N61" s="12" t="n">
        <v>17869</v>
      </c>
      <c r="O61" s="11" t="n"/>
      <c r="P61" s="12" t="n">
        <v>30113</v>
      </c>
      <c r="Q61" s="12" t="n">
        <v>33845</v>
      </c>
      <c r="R61" s="12" t="n">
        <v>23253</v>
      </c>
      <c r="S61" s="12" t="n">
        <v>33903</v>
      </c>
      <c r="T61" s="12" t="n">
        <v>24558</v>
      </c>
      <c r="U61" s="12" t="n">
        <v>22052</v>
      </c>
      <c r="V61" s="12" t="n">
        <v>41566</v>
      </c>
      <c r="W61" s="12" t="n">
        <v>50846</v>
      </c>
      <c r="X61" s="12" t="n">
        <v>76422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(2026.10.28)</t>
        </is>
      </c>
      <c r="B65" s="27" t="n">
        <v>4731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561560000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2026.10.28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2024.1Q</t>
        </is>
      </c>
      <c r="D95" s="5" t="inlineStr">
        <is>
          <t>2024.2Q</t>
        </is>
      </c>
      <c r="E95" s="5" t="inlineStr">
        <is>
          <t>2024.3Q</t>
        </is>
      </c>
      <c r="F95" s="5" t="inlineStr">
        <is>
          <t>2024.4Q</t>
        </is>
      </c>
      <c r="G95" s="5" t="inlineStr">
        <is>
          <t>2025.1Q</t>
        </is>
      </c>
      <c r="H95" s="5" t="inlineStr">
        <is>
          <t>2025.2Q</t>
        </is>
      </c>
      <c r="I95" s="5" t="inlineStr">
        <is>
          <t>2025.3Q</t>
        </is>
      </c>
      <c r="J95" s="5" t="inlineStr">
        <is>
          <t>2025.4Q</t>
        </is>
      </c>
      <c r="K95" s="5" t="inlineStr">
        <is>
          <t>2026.1Q</t>
        </is>
      </c>
      <c r="L95" s="5" t="inlineStr">
        <is>
          <t>2026.2Q</t>
        </is>
      </c>
      <c r="M95" s="5" t="inlineStr">
        <is>
          <t>2026.3Q</t>
        </is>
      </c>
      <c r="N95" s="5" t="inlineStr">
        <is>
          <t>2026.4Q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18" t="inlineStr">
        <is>
          <t>영업수익</t>
        </is>
      </c>
      <c r="C96" s="20" t="n">
        <v>162913</v>
      </c>
      <c r="D96" s="20" t="n">
        <v>156926</v>
      </c>
      <c r="E96" s="20" t="n">
        <v>175860</v>
      </c>
      <c r="F96" s="20" t="n">
        <v>165978</v>
      </c>
      <c r="G96" s="20" t="n">
        <v>197690</v>
      </c>
      <c r="H96" s="20" t="n">
        <v>184333</v>
      </c>
      <c r="I96" s="20" t="n">
        <v>209070</v>
      </c>
      <c r="J96" s="20" t="n">
        <v>193536</v>
      </c>
      <c r="K96" s="20" t="n">
        <v>228227</v>
      </c>
      <c r="L96" s="20" t="n">
        <v>210322</v>
      </c>
      <c r="M96" s="20" t="n">
        <v>252239</v>
      </c>
      <c r="N96" s="20" t="n">
        <v>232804</v>
      </c>
      <c r="T96" s="20" t="n">
        <v>125415</v>
      </c>
      <c r="U96" s="20" t="n">
        <v>145615</v>
      </c>
      <c r="V96" s="20" t="n">
        <v>165978</v>
      </c>
      <c r="W96" s="20" t="n">
        <v>193536</v>
      </c>
      <c r="X96" s="20" t="n">
        <v>232804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영업원가</t>
        </is>
      </c>
      <c r="C98" s="20" t="n">
        <v>81077</v>
      </c>
      <c r="D98" s="20" t="n">
        <v>79224</v>
      </c>
      <c r="E98" s="20" t="n">
        <v>85274</v>
      </c>
      <c r="F98" s="20" t="n">
        <v>79692</v>
      </c>
      <c r="G98" s="20" t="n">
        <v>95697</v>
      </c>
      <c r="H98" s="20" t="n">
        <v>91117</v>
      </c>
      <c r="I98" s="20" t="n">
        <v>101522</v>
      </c>
      <c r="J98" s="20" t="n">
        <v>93317</v>
      </c>
      <c r="K98" s="20" t="n">
        <v>108083</v>
      </c>
      <c r="L98" s="20" t="n">
        <v>100710</v>
      </c>
      <c r="M98" s="20" t="n">
        <v>119157</v>
      </c>
      <c r="N98" s="20" t="n">
        <v>107951</v>
      </c>
      <c r="T98" s="20" t="n">
        <v>66104</v>
      </c>
      <c r="U98" s="20" t="n">
        <v>73558</v>
      </c>
      <c r="V98" s="20" t="n">
        <v>79692</v>
      </c>
      <c r="W98" s="20" t="n">
        <v>93317</v>
      </c>
      <c r="X98" s="20" t="n">
        <v>107951</v>
      </c>
    </row>
    <row r="99">
      <c r="A99" s="18" t="inlineStr">
        <is>
          <t>영업총이익</t>
        </is>
      </c>
      <c r="C99" s="20" t="n">
        <v>81836</v>
      </c>
      <c r="D99" s="20" t="n">
        <v>77702</v>
      </c>
      <c r="E99" s="20" t="n">
        <v>90586</v>
      </c>
      <c r="F99" s="20" t="n">
        <v>86286</v>
      </c>
      <c r="G99" s="20" t="n">
        <v>101992</v>
      </c>
      <c r="H99" s="20" t="n">
        <v>93216</v>
      </c>
      <c r="I99" s="20" t="n">
        <v>107549</v>
      </c>
      <c r="J99" s="20" t="n">
        <v>100218</v>
      </c>
      <c r="K99" s="20" t="n">
        <v>120144</v>
      </c>
      <c r="L99" s="20" t="n">
        <v>109612</v>
      </c>
      <c r="M99" s="20" t="n">
        <v>133082</v>
      </c>
      <c r="N99" s="20" t="n">
        <v>124853</v>
      </c>
      <c r="T99" s="20" t="n">
        <v>59310</v>
      </c>
      <c r="U99" s="20" t="n">
        <v>72056</v>
      </c>
      <c r="V99" s="20" t="n">
        <v>86286</v>
      </c>
      <c r="W99" s="20" t="n">
        <v>100218</v>
      </c>
      <c r="X99" s="20" t="n">
        <v>124853</v>
      </c>
    </row>
    <row r="100">
      <c r="A100" s="18" t="inlineStr">
        <is>
          <t>판매비와 관리비</t>
        </is>
      </c>
      <c r="C100" s="20" t="n">
        <v>67954</v>
      </c>
      <c r="D100" s="20" t="n">
        <v>67484</v>
      </c>
      <c r="E100" s="20" t="n">
        <v>72216</v>
      </c>
      <c r="F100" s="20" t="n">
        <v>72620</v>
      </c>
      <c r="G100" s="20" t="n">
        <v>80035</v>
      </c>
      <c r="H100" s="20" t="n">
        <v>79067</v>
      </c>
      <c r="I100" s="20" t="n">
        <v>84248</v>
      </c>
      <c r="J100" s="20" t="n">
        <v>85785</v>
      </c>
      <c r="K100" s="20" t="n">
        <v>91760</v>
      </c>
      <c r="L100" s="20" t="n">
        <v>92951</v>
      </c>
      <c r="M100" s="20" t="n">
        <v>97305</v>
      </c>
      <c r="N100" s="20" t="n">
        <v>102239</v>
      </c>
      <c r="T100" s="20" t="n">
        <v>51369</v>
      </c>
      <c r="U100" s="20" t="n">
        <v>61592</v>
      </c>
      <c r="V100" s="20" t="n">
        <v>72620</v>
      </c>
      <c r="W100" s="20" t="n">
        <v>85785</v>
      </c>
      <c r="X100" s="20" t="n">
        <v>102239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IF(OR(G100="",C100=""),"",IF(G100*C100&lt;=0,"",IFERROR(G100/C100-1,"")))</f>
        <v/>
      </c>
      <c r="H101" s="15">
        <f>IF(OR(H100="",D100=""),"",IF(H100*D100&lt;=0,"",IFERROR(H100/D100-1,"")))</f>
        <v/>
      </c>
      <c r="I101" s="15">
        <f>IF(OR(I100="",E100=""),"",IF(I100*E100&lt;=0,"",IFERROR(I100/E100-1,"")))</f>
        <v/>
      </c>
      <c r="J101" s="15">
        <f>IF(OR(J100="",F100=""),"",IF(J100*F100&lt;=0,"",IFERROR(J100/F100-1,"")))</f>
        <v/>
      </c>
      <c r="K101" s="15">
        <f>IF(OR(K100="",G100=""),"",IF(K100*G100&lt;=0,"",IFERROR(K100/G100-1,"")))</f>
        <v/>
      </c>
      <c r="L101" s="15">
        <f>IF(OR(L100="",H100=""),"",IF(L100*H100&lt;=0,"",IFERROR(L100/H100-1,"")))</f>
        <v/>
      </c>
      <c r="M101" s="15">
        <f>IF(OR(M100="",I100=""),"",IF(M100*I100&lt;=0,"",IFERROR(M100/I100-1,"")))</f>
        <v/>
      </c>
      <c r="N101" s="15">
        <f>IF(OR(N100="",J100=""),"",IF(N100*J100&lt;=0,"",IFERROR(N100/J100-1,"")))</f>
        <v/>
      </c>
      <c r="T101" s="15">
        <f>IF(OR(T100="",S100=""),"",IF(T100*S100&lt;=0,"",IFERROR(T100/S100-1,"")))</f>
        <v/>
      </c>
      <c r="U101" s="15">
        <f>IF(OR(U100="",T100=""),"",IF(U100*T100&lt;=0,"",IFERROR(U100/T100-1,"")))</f>
        <v/>
      </c>
      <c r="V101" s="15">
        <f>IF(OR(V100="",U100=""),"",IF(V100*U100&lt;=0,"",IFERROR(V100/U100-1,"")))</f>
        <v/>
      </c>
      <c r="W101" s="15">
        <f>IF(OR(W100="",V100=""),"",IF(W100*V100&lt;=0,"",IFERROR(W100/V100-1,"")))</f>
        <v/>
      </c>
      <c r="X101" s="15">
        <f>IF(OR(X100="",W100=""),"",IF(X100*W100&lt;=0,"",IFERROR(X100/W100-1,"")))</f>
        <v/>
      </c>
    </row>
    <row r="102">
      <c r="A102" s="9" t="inlineStr">
        <is>
          <t>영업이익</t>
        </is>
      </c>
      <c r="C102" s="12" t="n">
        <v>13882</v>
      </c>
      <c r="D102" s="12" t="n">
        <v>10217</v>
      </c>
      <c r="E102" s="12" t="n">
        <v>18370</v>
      </c>
      <c r="F102" s="12" t="n">
        <v>13666</v>
      </c>
      <c r="G102" s="12" t="n">
        <v>21957</v>
      </c>
      <c r="H102" s="12" t="n">
        <v>14148</v>
      </c>
      <c r="I102" s="12" t="n">
        <v>23301</v>
      </c>
      <c r="J102" s="12" t="n">
        <v>14434</v>
      </c>
      <c r="K102" s="12" t="n">
        <v>28383</v>
      </c>
      <c r="L102" s="12" t="n">
        <v>16662</v>
      </c>
      <c r="M102" s="12" t="n">
        <v>35777</v>
      </c>
      <c r="N102" s="12" t="n">
        <v>22614</v>
      </c>
      <c r="T102" s="12" t="n">
        <v>7941</v>
      </c>
      <c r="U102" s="12" t="n">
        <v>10465</v>
      </c>
      <c r="V102" s="12" t="n">
        <v>13666</v>
      </c>
      <c r="W102" s="12" t="n">
        <v>14434</v>
      </c>
      <c r="X102" s="12" t="n">
        <v>22614</v>
      </c>
    </row>
    <row r="103">
      <c r="A103" s="43" t="inlineStr">
        <is>
          <t>OPM</t>
        </is>
      </c>
      <c r="B103" s="3" t="inlineStr">
        <is>
          <t>영업이익 ÷ 매출</t>
        </is>
      </c>
      <c r="C103" s="15">
        <f>IF(OR(C102="",C96=""),"",IF(C96&lt;=0,"",IFERROR(C102/C96,"")))</f>
        <v/>
      </c>
      <c r="D103" s="15">
        <f>IF(OR(D102="",D96=""),"",IF(D96&lt;=0,"",IFERROR(D102/D96,"")))</f>
        <v/>
      </c>
      <c r="E103" s="15">
        <f>IF(OR(E102="",E96=""),"",IF(E96&lt;=0,"",IFERROR(E102/E96,"")))</f>
        <v/>
      </c>
      <c r="F103" s="15">
        <f>IF(OR(F102="",F96=""),"",IF(F96&lt;=0,"",IFERROR(F102/F96,"")))</f>
        <v/>
      </c>
      <c r="G103" s="15">
        <f>IF(OR(G102="",G96=""),"",IF(G96&lt;=0,"",IFERROR(G102/G96,"")))</f>
        <v/>
      </c>
      <c r="H103" s="15">
        <f>IF(OR(H102="",H96=""),"",IF(H96&lt;=0,"",IFERROR(H102/H96,"")))</f>
        <v/>
      </c>
      <c r="I103" s="15">
        <f>IF(OR(I102="",I96=""),"",IF(I96&lt;=0,"",IFERROR(I102/I96,"")))</f>
        <v/>
      </c>
      <c r="J103" s="15">
        <f>IF(OR(J102="",J96=""),"",IF(J96&lt;=0,"",IFERROR(J102/J96,"")))</f>
        <v/>
      </c>
      <c r="K103" s="15">
        <f>IF(OR(K102="",K96=""),"",IF(K96&lt;=0,"",IFERROR(K102/K96,"")))</f>
        <v/>
      </c>
      <c r="L103" s="15">
        <f>IF(OR(L102="",L96=""),"",IF(L96&lt;=0,"",IFERROR(L102/L96,"")))</f>
        <v/>
      </c>
      <c r="M103" s="15">
        <f>IF(OR(M102="",M96=""),"",IF(M96&lt;=0,"",IFERROR(M102/M96,"")))</f>
        <v/>
      </c>
      <c r="N103" s="15">
        <f>IF(OR(N102="",N96=""),"",IF(N96&lt;=0,"",IFERROR(N102/N96,"")))</f>
        <v/>
      </c>
      <c r="T103" s="15">
        <f>IF(OR(T102="",T96=""),"",IF(T96&lt;=0,"",IFERROR(T102/T96,"")))</f>
        <v/>
      </c>
      <c r="U103" s="15">
        <f>IF(OR(U102="",U96=""),"",IF(U96&lt;=0,"",IFERROR(U102/U96,"")))</f>
        <v/>
      </c>
      <c r="V103" s="15">
        <f>IF(OR(V102="",V96=""),"",IF(V96&lt;=0,"",IFERROR(V102/V96,"")))</f>
        <v/>
      </c>
      <c r="W103" s="15">
        <f>IF(OR(W102="",W96=""),"",IF(W96&lt;=0,"",IFERROR(W102/W96,"")))</f>
        <v/>
      </c>
      <c r="X103" s="15">
        <f>IF(OR(X102="",X96=""),"",IF(X96&lt;=0,"",IFERROR(X102/X96,"")))</f>
        <v/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IF(OR(G102="",C102=""),"",IF(C102&lt;=0,"",IFERROR(G102/C102-1,"")))</f>
        <v/>
      </c>
      <c r="H104" s="15">
        <f>IF(OR(H102="",D102=""),"",IF(D102&lt;=0,"",IFERROR(H102/D102-1,"")))</f>
        <v/>
      </c>
      <c r="I104" s="15">
        <f>IF(OR(I102="",E102=""),"",IF(E102&lt;=0,"",IFERROR(I102/E102-1,"")))</f>
        <v/>
      </c>
      <c r="J104" s="15">
        <f>IF(OR(J102="",F102=""),"",IF(F102&lt;=0,"",IFERROR(J102/F102-1,"")))</f>
        <v/>
      </c>
      <c r="K104" s="15">
        <f>IF(OR(K102="",G102=""),"",IF(G102&lt;=0,"",IFERROR(K102/G102-1,"")))</f>
        <v/>
      </c>
      <c r="L104" s="15">
        <f>IF(OR(L102="",H102=""),"",IF(H102&lt;=0,"",IFERROR(L102/H102-1,"")))</f>
        <v/>
      </c>
      <c r="M104" s="15">
        <f>IF(OR(M102="",I102=""),"",IF(I102&lt;=0,"",IFERROR(M102/I102-1,"")))</f>
        <v/>
      </c>
      <c r="N104" s="15">
        <f>IF(OR(N102="",J102=""),"",IF(J102&lt;=0,"",IFERROR(N102/J102-1,"")))</f>
        <v/>
      </c>
      <c r="T104" s="15">
        <f>IF(OR(T102="",S102=""),"",IF(S102&lt;=0,"",IFERROR(T102/S102-1,"")))</f>
        <v/>
      </c>
      <c r="U104" s="15">
        <f>IF(OR(U102="",T102=""),"",IF(T102&lt;=0,"",IFERROR(U102/T102-1,"")))</f>
        <v/>
      </c>
      <c r="V104" s="15">
        <f>IF(OR(V102="",U102=""),"",IF(U102&lt;=0,"",IFERROR(V102/U102-1,"")))</f>
        <v/>
      </c>
      <c r="W104" s="15">
        <f>IF(OR(W102="",V102=""),"",IF(V102&lt;=0,"",IFERROR(W102/V102-1,"")))</f>
        <v/>
      </c>
      <c r="X104" s="15">
        <f>IF(OR(X102="",W102=""),"",IF(W102&lt;=0,"",IFERROR(X102/W102-1,"")))</f>
        <v/>
      </c>
    </row>
    <row r="105">
      <c r="A105" s="18" t="inlineStr">
        <is>
          <t>이자수익</t>
        </is>
      </c>
      <c r="C105" s="20" t="n">
        <v>218</v>
      </c>
      <c r="D105" s="20" t="n">
        <v>139</v>
      </c>
      <c r="E105" s="20" t="n">
        <v>210</v>
      </c>
      <c r="F105" s="20" t="n">
        <v>124</v>
      </c>
      <c r="G105" s="20" t="n">
        <v>142</v>
      </c>
      <c r="H105" s="20" t="n">
        <v>173</v>
      </c>
      <c r="I105" s="20" t="n">
        <v>160</v>
      </c>
      <c r="J105" s="20" t="n">
        <v>152</v>
      </c>
      <c r="K105" s="20" t="n">
        <v>103</v>
      </c>
      <c r="L105" s="20" t="n">
        <v>158</v>
      </c>
      <c r="M105" s="20" t="n">
        <v>148</v>
      </c>
      <c r="N105" s="20" t="n">
        <v>206</v>
      </c>
      <c r="T105" s="20" t="n">
        <v>57</v>
      </c>
      <c r="U105" s="20" t="n">
        <v>132</v>
      </c>
      <c r="V105" s="20" t="n">
        <v>124</v>
      </c>
      <c r="W105" s="20" t="n">
        <v>152</v>
      </c>
      <c r="X105" s="20" t="n">
        <v>206</v>
      </c>
    </row>
    <row r="106">
      <c r="A106" s="18" t="inlineStr">
        <is>
          <t>배당금수익</t>
        </is>
      </c>
      <c r="E106" s="20" t="n">
        <v>0</v>
      </c>
      <c r="F106" s="20" t="n">
        <v>78</v>
      </c>
      <c r="T106" s="20" t="n">
        <v>94</v>
      </c>
      <c r="U106" s="20" t="n">
        <v>81</v>
      </c>
      <c r="V106" s="20" t="n">
        <v>78</v>
      </c>
    </row>
    <row r="107">
      <c r="A107" s="18" t="inlineStr">
        <is>
          <t>보조금 수입</t>
        </is>
      </c>
      <c r="C107" s="20" t="n">
        <v>15</v>
      </c>
      <c r="D107" s="20" t="n">
        <v>1</v>
      </c>
      <c r="E107" s="20" t="n">
        <v>15</v>
      </c>
      <c r="F107" s="20" t="n">
        <v>8</v>
      </c>
      <c r="G107" s="20" t="n">
        <v>149</v>
      </c>
      <c r="H107" s="20" t="n">
        <v>128</v>
      </c>
      <c r="I107" s="20" t="n">
        <v>36</v>
      </c>
      <c r="J107" s="20" t="n">
        <v>146</v>
      </c>
      <c r="K107" s="20" t="n">
        <v>10</v>
      </c>
      <c r="L107" s="20" t="n">
        <v>10</v>
      </c>
      <c r="M107" s="20" t="n">
        <v>144</v>
      </c>
      <c r="N107" s="20" t="n">
        <v>-17</v>
      </c>
      <c r="T107" s="20" t="n">
        <v>202</v>
      </c>
      <c r="U107" s="20" t="n">
        <v>91</v>
      </c>
      <c r="V107" s="20" t="n">
        <v>8</v>
      </c>
      <c r="W107" s="20" t="n">
        <v>146</v>
      </c>
      <c r="X107" s="20" t="n">
        <v>-17</v>
      </c>
    </row>
    <row r="108">
      <c r="A108" s="18" t="inlineStr">
        <is>
          <t>외환차익</t>
        </is>
      </c>
      <c r="C108" s="20" t="n">
        <v>632</v>
      </c>
      <c r="D108" s="20" t="n">
        <v>137</v>
      </c>
      <c r="E108" s="20" t="n">
        <v>1204</v>
      </c>
      <c r="F108" s="20" t="n">
        <v>-737</v>
      </c>
      <c r="G108" s="20" t="n">
        <v>0</v>
      </c>
      <c r="H108" s="20" t="n">
        <v>0</v>
      </c>
      <c r="I108" s="20" t="n">
        <v>0</v>
      </c>
      <c r="J108" s="20" t="n">
        <v>0</v>
      </c>
      <c r="K108" s="20" t="n">
        <v>1408</v>
      </c>
      <c r="L108" s="20" t="n">
        <v>1604</v>
      </c>
      <c r="M108" s="20" t="n">
        <v>185</v>
      </c>
      <c r="N108" s="20" t="n">
        <v>17</v>
      </c>
      <c r="T108" s="20" t="n">
        <v>417</v>
      </c>
      <c r="U108" s="20" t="n">
        <v>1694</v>
      </c>
      <c r="V108" s="20" t="n">
        <v>-737</v>
      </c>
      <c r="W108" s="20" t="n">
        <v>0</v>
      </c>
      <c r="X108" s="20" t="n">
        <v>17</v>
      </c>
    </row>
    <row r="109">
      <c r="A109" s="18" t="inlineStr">
        <is>
          <t>대손충당금 환입</t>
        </is>
      </c>
      <c r="F109" s="20" t="n">
        <v>1</v>
      </c>
      <c r="J109" s="20" t="n">
        <v>1</v>
      </c>
      <c r="N109" s="20" t="n">
        <v>2</v>
      </c>
      <c r="V109" s="20" t="n">
        <v>1</v>
      </c>
      <c r="W109" s="20" t="n">
        <v>1</v>
      </c>
      <c r="X109" s="20" t="n">
        <v>2</v>
      </c>
    </row>
    <row r="110">
      <c r="A110" s="18" t="inlineStr">
        <is>
          <t>기타</t>
        </is>
      </c>
      <c r="C110" s="20" t="n">
        <v>124</v>
      </c>
      <c r="D110" s="20" t="n">
        <v>79</v>
      </c>
      <c r="E110" s="20" t="n">
        <v>198</v>
      </c>
      <c r="F110" s="20" t="n">
        <v>81</v>
      </c>
      <c r="G110" s="20" t="n">
        <v>176</v>
      </c>
      <c r="H110" s="20" t="n">
        <v>328</v>
      </c>
      <c r="I110" s="20" t="n">
        <v>156</v>
      </c>
      <c r="J110" s="20" t="n">
        <v>229</v>
      </c>
      <c r="K110" s="20" t="n">
        <v>139</v>
      </c>
      <c r="L110" s="20" t="n">
        <v>118</v>
      </c>
      <c r="M110" s="20" t="n">
        <v>89</v>
      </c>
      <c r="N110" s="20" t="n">
        <v>386</v>
      </c>
      <c r="T110" s="20" t="n">
        <v>273</v>
      </c>
      <c r="U110" s="20" t="n">
        <v>348</v>
      </c>
      <c r="V110" s="20" t="n">
        <v>81</v>
      </c>
      <c r="W110" s="20" t="n">
        <v>229</v>
      </c>
      <c r="X110" s="20" t="n">
        <v>386</v>
      </c>
    </row>
    <row r="111">
      <c r="A111" s="18" t="inlineStr">
        <is>
          <t>영업외수익 합계</t>
        </is>
      </c>
      <c r="C111" s="20" t="n">
        <v>990</v>
      </c>
      <c r="D111" s="20" t="n">
        <v>356</v>
      </c>
      <c r="E111" s="20" t="n">
        <v>1631</v>
      </c>
      <c r="F111" s="20" t="n">
        <v>-402</v>
      </c>
      <c r="G111" s="20" t="n">
        <v>467</v>
      </c>
      <c r="H111" s="20" t="n">
        <v>630</v>
      </c>
      <c r="I111" s="20" t="n">
        <v>553</v>
      </c>
      <c r="J111" s="20" t="n">
        <v>634</v>
      </c>
      <c r="K111" s="20" t="n">
        <v>1661</v>
      </c>
      <c r="L111" s="20" t="n">
        <v>1891</v>
      </c>
      <c r="M111" s="20" t="n">
        <v>570</v>
      </c>
      <c r="N111" s="20" t="n">
        <v>602</v>
      </c>
      <c r="T111" s="20" t="n">
        <v>1183</v>
      </c>
      <c r="U111" s="20" t="n">
        <v>2450</v>
      </c>
      <c r="V111" s="20" t="n">
        <v>-402</v>
      </c>
      <c r="W111" s="20" t="n">
        <v>634</v>
      </c>
      <c r="X111" s="20" t="n">
        <v>602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18" t="inlineStr">
        <is>
          <t>이자비용</t>
        </is>
      </c>
      <c r="C113" s="20" t="n">
        <v>496</v>
      </c>
      <c r="D113" s="20" t="n">
        <v>516</v>
      </c>
      <c r="E113" s="20" t="n">
        <v>625</v>
      </c>
      <c r="F113" s="20" t="n">
        <v>589</v>
      </c>
      <c r="G113" s="20" t="n">
        <v>627</v>
      </c>
      <c r="H113" s="20" t="n">
        <v>667</v>
      </c>
      <c r="I113" s="20" t="n">
        <v>727</v>
      </c>
      <c r="J113" s="20" t="n">
        <v>745</v>
      </c>
      <c r="K113" s="20" t="n">
        <v>748</v>
      </c>
      <c r="L113" s="20" t="n">
        <v>776</v>
      </c>
      <c r="M113" s="20" t="n">
        <v>781</v>
      </c>
      <c r="N113" s="20" t="n">
        <v>769</v>
      </c>
      <c r="T113" s="20" t="n">
        <v>271</v>
      </c>
      <c r="U113" s="20" t="n">
        <v>513</v>
      </c>
      <c r="V113" s="20" t="n">
        <v>589</v>
      </c>
      <c r="W113" s="20" t="n">
        <v>745</v>
      </c>
      <c r="X113" s="20" t="n">
        <v>769</v>
      </c>
    </row>
    <row r="114">
      <c r="A114" s="18" t="inlineStr">
        <is>
          <t>외환차손</t>
        </is>
      </c>
      <c r="C114" s="20" t="n">
        <v>0</v>
      </c>
      <c r="D114" s="20" t="n">
        <v>0</v>
      </c>
      <c r="E114" s="20" t="n">
        <v>0</v>
      </c>
      <c r="F114" s="20" t="n">
        <v>0</v>
      </c>
      <c r="G114" s="20" t="n">
        <v>433</v>
      </c>
      <c r="H114" s="20" t="n">
        <v>633</v>
      </c>
      <c r="I114" s="20" t="n">
        <v>-264</v>
      </c>
      <c r="J114" s="20" t="n">
        <v>-591</v>
      </c>
      <c r="K114" s="20" t="n">
        <v>0</v>
      </c>
      <c r="L114" s="20" t="n">
        <v>0</v>
      </c>
      <c r="M114" s="20" t="n">
        <v>0</v>
      </c>
      <c r="N114" s="20" t="n">
        <v>0</v>
      </c>
      <c r="V114" s="20" t="n">
        <v>0</v>
      </c>
      <c r="W114" s="20" t="n">
        <v>-591</v>
      </c>
      <c r="X114" s="20" t="n">
        <v>0</v>
      </c>
    </row>
    <row r="115">
      <c r="A115" s="18" t="inlineStr">
        <is>
          <t>기타</t>
        </is>
      </c>
      <c r="C115" s="20" t="n">
        <v>88</v>
      </c>
      <c r="D115" s="20" t="n">
        <v>172</v>
      </c>
      <c r="E115" s="20" t="n">
        <v>223</v>
      </c>
      <c r="F115" s="20" t="n">
        <v>223</v>
      </c>
      <c r="G115" s="20" t="n">
        <v>73</v>
      </c>
      <c r="H115" s="20" t="n">
        <v>181</v>
      </c>
      <c r="I115" s="20" t="n">
        <v>153</v>
      </c>
      <c r="J115" s="20" t="n">
        <v>438</v>
      </c>
      <c r="K115" s="20" t="n">
        <v>175</v>
      </c>
      <c r="L115" s="20" t="n">
        <v>25</v>
      </c>
      <c r="M115" s="20" t="n">
        <v>42</v>
      </c>
      <c r="N115" s="20" t="n">
        <v>174</v>
      </c>
      <c r="T115" s="20" t="n">
        <v>207</v>
      </c>
      <c r="U115" s="20" t="n">
        <v>379</v>
      </c>
      <c r="V115" s="20" t="n">
        <v>223</v>
      </c>
      <c r="W115" s="20" t="n">
        <v>438</v>
      </c>
      <c r="X115" s="20" t="n">
        <v>174</v>
      </c>
    </row>
    <row r="116">
      <c r="A116" s="18" t="inlineStr">
        <is>
          <t>영업외비용 합계</t>
        </is>
      </c>
      <c r="C116" s="20" t="n">
        <v>584</v>
      </c>
      <c r="D116" s="20" t="n">
        <v>688</v>
      </c>
      <c r="E116" s="20" t="n">
        <v>849</v>
      </c>
      <c r="F116" s="20" t="n">
        <v>812</v>
      </c>
      <c r="G116" s="20" t="n">
        <v>1134</v>
      </c>
      <c r="H116" s="20" t="n">
        <v>1481</v>
      </c>
      <c r="I116" s="20" t="n">
        <v>615</v>
      </c>
      <c r="J116" s="20" t="n">
        <v>592</v>
      </c>
      <c r="K116" s="20" t="n">
        <v>923</v>
      </c>
      <c r="L116" s="20" t="n">
        <v>801</v>
      </c>
      <c r="M116" s="20" t="n">
        <v>824</v>
      </c>
      <c r="N116" s="20" t="n">
        <v>942</v>
      </c>
      <c r="T116" s="20" t="n">
        <v>477</v>
      </c>
      <c r="U116" s="20" t="n">
        <v>892</v>
      </c>
      <c r="V116" s="20" t="n">
        <v>812</v>
      </c>
      <c r="W116" s="20" t="n">
        <v>592</v>
      </c>
      <c r="X116" s="20" t="n">
        <v>942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G117" s="15">
        <f>IF(OR(G116="",C116=""),"",IF(G116*C116&lt;=0,"",IFERROR(G116/C116-1,"")))</f>
        <v/>
      </c>
      <c r="H117" s="15">
        <f>IF(OR(H116="",D116=""),"",IF(H116*D116&lt;=0,"",IFERROR(H116/D116-1,"")))</f>
        <v/>
      </c>
      <c r="I117" s="15">
        <f>IF(OR(I116="",E116=""),"",IF(I116*E116&lt;=0,"",IFERROR(I116/E116-1,"")))</f>
        <v/>
      </c>
      <c r="J117" s="15">
        <f>IF(OR(J116="",F116=""),"",IF(J116*F116&lt;=0,"",IFERROR(J116/F116-1,"")))</f>
        <v/>
      </c>
      <c r="K117" s="15">
        <f>IF(OR(K116="",G116=""),"",IF(K116*G116&lt;=0,"",IFERROR(K116/G116-1,"")))</f>
        <v/>
      </c>
      <c r="L117" s="15">
        <f>IF(OR(L116="",H116=""),"",IF(L116*H116&lt;=0,"",IFERROR(L116/H116-1,"")))</f>
        <v/>
      </c>
      <c r="M117" s="15">
        <f>IF(OR(M116="",I116=""),"",IF(M116*I116&lt;=0,"",IFERROR(M116/I116-1,"")))</f>
        <v/>
      </c>
      <c r="N117" s="15">
        <f>IF(OR(N116="",J116=""),"",IF(N116*J116&lt;=0,"",IFERROR(N116/J116-1,"")))</f>
        <v/>
      </c>
      <c r="T117" s="15">
        <f>IF(OR(T116="",S116=""),"",IF(T116*S116&lt;=0,"",IFERROR(T116/S116-1,"")))</f>
        <v/>
      </c>
      <c r="U117" s="15">
        <f>IF(OR(U116="",T116=""),"",IF(U116*T116&lt;=0,"",IFERROR(U116/T116-1,"")))</f>
        <v/>
      </c>
      <c r="V117" s="15">
        <f>IF(OR(V116="",U116=""),"",IF(V116*U116&lt;=0,"",IFERROR(V116/U116-1,"")))</f>
        <v/>
      </c>
      <c r="W117" s="15">
        <f>IF(OR(W116="",V116=""),"",IF(W116*V116&lt;=0,"",IFERROR(W116/V116-1,"")))</f>
        <v/>
      </c>
      <c r="X117" s="15">
        <f>IF(OR(X116="",W116=""),"",IF(X116*W116&lt;=0,"",IFERROR(X116/W116-1,"")))</f>
        <v/>
      </c>
    </row>
    <row r="118">
      <c r="A118" s="9" t="inlineStr">
        <is>
          <t>경상이익</t>
        </is>
      </c>
      <c r="C118" s="12" t="n">
        <v>14288</v>
      </c>
      <c r="D118" s="12" t="n">
        <v>9885</v>
      </c>
      <c r="E118" s="12" t="n">
        <v>19153</v>
      </c>
      <c r="F118" s="12" t="n">
        <v>12451</v>
      </c>
      <c r="G118" s="12" t="n">
        <v>21290</v>
      </c>
      <c r="H118" s="12" t="n">
        <v>13297</v>
      </c>
      <c r="I118" s="12" t="n">
        <v>23239</v>
      </c>
      <c r="J118" s="12" t="n">
        <v>14475</v>
      </c>
      <c r="K118" s="12" t="n">
        <v>29121</v>
      </c>
      <c r="L118" s="12" t="n">
        <v>17752</v>
      </c>
      <c r="M118" s="12" t="n">
        <v>35523</v>
      </c>
      <c r="N118" s="12" t="n">
        <v>22274</v>
      </c>
      <c r="T118" s="12" t="n">
        <v>8646</v>
      </c>
      <c r="U118" s="12" t="n">
        <v>12023</v>
      </c>
      <c r="V118" s="12" t="n">
        <v>12451</v>
      </c>
      <c r="W118" s="12" t="n">
        <v>14475</v>
      </c>
      <c r="X118" s="12" t="n">
        <v>22274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IF(OR(G118="",C118=""),"",IF(C118&lt;=0,"",IFERROR(G118/C118-1,"")))</f>
        <v/>
      </c>
      <c r="H119" s="15">
        <f>IF(OR(H118="",D118=""),"",IF(D118&lt;=0,"",IFERROR(H118/D118-1,"")))</f>
        <v/>
      </c>
      <c r="I119" s="15">
        <f>IF(OR(I118="",E118=""),"",IF(E118&lt;=0,"",IFERROR(I118/E118-1,"")))</f>
        <v/>
      </c>
      <c r="J119" s="15">
        <f>IF(OR(J118="",F118=""),"",IF(F118&lt;=0,"",IFERROR(J118/F118-1,"")))</f>
        <v/>
      </c>
      <c r="K119" s="15">
        <f>IF(OR(K118="",G118=""),"",IF(G118&lt;=0,"",IFERROR(K118/G118-1,"")))</f>
        <v/>
      </c>
      <c r="L119" s="15">
        <f>IF(OR(L118="",H118=""),"",IF(H118&lt;=0,"",IFERROR(L118/H118-1,"")))</f>
        <v/>
      </c>
      <c r="M119" s="15">
        <f>IF(OR(M118="",I118=""),"",IF(I118&lt;=0,"",IFERROR(M118/I118-1,"")))</f>
        <v/>
      </c>
      <c r="N119" s="15">
        <f>IF(OR(N118="",J118=""),"",IF(J118&lt;=0,"",IFERROR(N118/J118-1,"")))</f>
        <v/>
      </c>
      <c r="T119" s="15">
        <f>IF(OR(T118="",S118=""),"",IF(S118&lt;=0,"",IFERROR(T118/S118-1,"")))</f>
        <v/>
      </c>
      <c r="U119" s="15">
        <f>IF(OR(U118="",T118=""),"",IF(T118&lt;=0,"",IFERROR(U118/T118-1,"")))</f>
        <v/>
      </c>
      <c r="V119" s="15">
        <f>IF(OR(V118="",U118=""),"",IF(U118&lt;=0,"",IFERROR(V118/U118-1,"")))</f>
        <v/>
      </c>
      <c r="W119" s="15">
        <f>IF(OR(W118="",V118=""),"",IF(V118&lt;=0,"",IFERROR(W118/V118-1,"")))</f>
        <v/>
      </c>
      <c r="X119" s="15">
        <f>IF(OR(X118="",W118=""),"",IF(W118&lt;=0,"",IFERROR(X118/W118-1,"")))</f>
        <v/>
      </c>
    </row>
    <row r="120">
      <c r="A120" s="18" t="inlineStr">
        <is>
          <t>투자유가증권 매각이익</t>
        </is>
      </c>
      <c r="E120" s="20" t="n">
        <v>0</v>
      </c>
      <c r="F120" s="20" t="n">
        <v>0</v>
      </c>
      <c r="G120" s="20" t="n">
        <v>0</v>
      </c>
      <c r="H120" s="20" t="n">
        <v>0</v>
      </c>
      <c r="I120" s="20" t="n">
        <v>0</v>
      </c>
      <c r="J120" s="20" t="n">
        <v>0</v>
      </c>
      <c r="K120" s="20" t="n">
        <v>2367</v>
      </c>
      <c r="L120" s="20" t="n">
        <v>0</v>
      </c>
      <c r="M120" s="20" t="n">
        <v>0</v>
      </c>
      <c r="N120" s="20" t="n">
        <v>0</v>
      </c>
      <c r="T120" s="20" t="n">
        <v>24</v>
      </c>
      <c r="U120" s="20" t="n">
        <v>0</v>
      </c>
      <c r="V120" s="20" t="n">
        <v>0</v>
      </c>
      <c r="W120" s="20" t="n">
        <v>0</v>
      </c>
      <c r="X120" s="20" t="n">
        <v>0</v>
      </c>
    </row>
    <row r="121">
      <c r="A121" s="18" t="inlineStr">
        <is>
          <t>고정자산 매각이익</t>
        </is>
      </c>
      <c r="C121" s="20" t="n">
        <v>0</v>
      </c>
      <c r="D121" s="20" t="n">
        <v>1</v>
      </c>
      <c r="E121" s="20" t="n">
        <v>7942</v>
      </c>
      <c r="F121" s="20" t="n">
        <v>6</v>
      </c>
      <c r="G121" s="20" t="n">
        <v>1</v>
      </c>
      <c r="H121" s="20" t="n">
        <v>0</v>
      </c>
      <c r="I121" s="20" t="n">
        <v>0</v>
      </c>
      <c r="J121" s="20" t="n">
        <v>0</v>
      </c>
      <c r="K121" s="20" t="n">
        <v>5</v>
      </c>
      <c r="L121" s="20" t="n">
        <v>0</v>
      </c>
      <c r="M121" s="20" t="n">
        <v>0</v>
      </c>
      <c r="N121" s="20" t="n">
        <v>0</v>
      </c>
      <c r="T121" s="20" t="n">
        <v>1</v>
      </c>
      <c r="U121" s="20" t="n">
        <v>68</v>
      </c>
      <c r="V121" s="20" t="n">
        <v>6</v>
      </c>
      <c r="W121" s="20" t="n">
        <v>0</v>
      </c>
      <c r="X121" s="20" t="n">
        <v>0</v>
      </c>
    </row>
    <row r="122">
      <c r="A122" s="18" t="inlineStr">
        <is>
          <t>리스조건 변경이익</t>
        </is>
      </c>
      <c r="C122" s="20" t="n">
        <v>323</v>
      </c>
      <c r="D122" s="20" t="n">
        <v>12</v>
      </c>
      <c r="E122" s="20" t="n">
        <v>672</v>
      </c>
      <c r="F122" s="20" t="n">
        <v>781</v>
      </c>
      <c r="G122" s="20" t="n">
        <v>15</v>
      </c>
      <c r="H122" s="20" t="n">
        <v>3</v>
      </c>
      <c r="I122" s="20" t="n">
        <v>2</v>
      </c>
      <c r="J122" s="20" t="n">
        <v>25</v>
      </c>
      <c r="K122" s="20" t="n">
        <v>2</v>
      </c>
      <c r="L122" s="20" t="n">
        <v>232</v>
      </c>
      <c r="M122" s="20" t="n">
        <v>68</v>
      </c>
      <c r="N122" s="20" t="n">
        <v>7</v>
      </c>
      <c r="U122" s="20" t="n">
        <v>7</v>
      </c>
      <c r="V122" s="20" t="n">
        <v>781</v>
      </c>
      <c r="W122" s="20" t="n">
        <v>25</v>
      </c>
      <c r="X122" s="20" t="n">
        <v>7</v>
      </c>
    </row>
    <row r="123">
      <c r="A123" s="18" t="inlineStr">
        <is>
          <t>보상금 수취</t>
        </is>
      </c>
      <c r="F123" s="20" t="n">
        <v>0</v>
      </c>
      <c r="J123" s="20" t="n">
        <v>0</v>
      </c>
      <c r="N123" s="20" t="n">
        <v>0</v>
      </c>
      <c r="V123" s="20" t="n">
        <v>0</v>
      </c>
      <c r="W123" s="20" t="n">
        <v>0</v>
      </c>
      <c r="X123" s="20" t="n">
        <v>0</v>
      </c>
    </row>
    <row r="124">
      <c r="A124" s="18" t="inlineStr">
        <is>
          <t>기타</t>
        </is>
      </c>
      <c r="C124" s="20" t="n">
        <v>70</v>
      </c>
      <c r="D124" s="20" t="n">
        <v>8</v>
      </c>
      <c r="E124" s="20" t="n">
        <v>2</v>
      </c>
      <c r="F124" s="20" t="n">
        <v>198</v>
      </c>
      <c r="G124" s="20" t="n">
        <v>0</v>
      </c>
      <c r="H124" s="20" t="n">
        <v>0</v>
      </c>
      <c r="I124" s="20" t="n">
        <v>0</v>
      </c>
      <c r="J124" s="20" t="n">
        <v>0</v>
      </c>
      <c r="T124" s="20" t="n">
        <v>-1</v>
      </c>
      <c r="U124" s="20" t="n">
        <v>1</v>
      </c>
      <c r="V124" s="20" t="n">
        <v>198</v>
      </c>
      <c r="W124" s="20" t="n">
        <v>0</v>
      </c>
    </row>
    <row r="125">
      <c r="A125" s="18" t="inlineStr">
        <is>
          <t>특별이익 합계</t>
        </is>
      </c>
      <c r="C125" s="20" t="n">
        <v>395</v>
      </c>
      <c r="D125" s="20" t="n">
        <v>19</v>
      </c>
      <c r="E125" s="20" t="n">
        <v>8617</v>
      </c>
      <c r="F125" s="20" t="n">
        <v>985</v>
      </c>
      <c r="G125" s="20" t="n">
        <v>17</v>
      </c>
      <c r="H125" s="20" t="n">
        <v>2</v>
      </c>
      <c r="I125" s="20" t="n">
        <v>334</v>
      </c>
      <c r="J125" s="20" t="n">
        <v>26</v>
      </c>
      <c r="K125" s="20" t="n">
        <v>2374</v>
      </c>
      <c r="L125" s="20" t="n">
        <v>233</v>
      </c>
      <c r="M125" s="20" t="n">
        <v>1784</v>
      </c>
      <c r="N125" s="20" t="n">
        <v>7</v>
      </c>
      <c r="T125" s="20" t="n">
        <v>220</v>
      </c>
      <c r="U125" s="20" t="n">
        <v>78</v>
      </c>
      <c r="V125" s="20" t="n">
        <v>985</v>
      </c>
      <c r="W125" s="20" t="n">
        <v>26</v>
      </c>
      <c r="X125" s="20" t="n">
        <v>7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IF(OR(G125="",C125=""),"",IF(G125*C125&lt;=0,"",IFERROR(G125/C125-1,"")))</f>
        <v/>
      </c>
      <c r="H126" s="15">
        <f>IF(OR(H125="",D125=""),"",IF(H125*D125&lt;=0,"",IFERROR(H125/D125-1,"")))</f>
        <v/>
      </c>
      <c r="I126" s="15">
        <f>IF(OR(I125="",E125=""),"",IF(I125*E125&lt;=0,"",IFERROR(I125/E125-1,"")))</f>
        <v/>
      </c>
      <c r="J126" s="15">
        <f>IF(OR(J125="",F125=""),"",IF(J125*F125&lt;=0,"",IFERROR(J125/F125-1,"")))</f>
        <v/>
      </c>
      <c r="K126" s="15">
        <f>IF(OR(K125="",G125=""),"",IF(K125*G125&lt;=0,"",IFERROR(K125/G125-1,"")))</f>
        <v/>
      </c>
      <c r="L126" s="15">
        <f>IF(OR(L125="",H125=""),"",IF(L125*H125&lt;=0,"",IFERROR(L125/H125-1,"")))</f>
        <v/>
      </c>
      <c r="M126" s="15">
        <f>IF(OR(M125="",I125=""),"",IF(M125*I125&lt;=0,"",IFERROR(M125/I125-1,"")))</f>
        <v/>
      </c>
      <c r="N126" s="15">
        <f>IF(OR(N125="",J125=""),"",IF(N125*J125&lt;=0,"",IFERROR(N125/J125-1,"")))</f>
        <v/>
      </c>
      <c r="T126" s="15">
        <f>IF(OR(T125="",S125=""),"",IF(T125*S125&lt;=0,"",IFERROR(T125/S125-1,"")))</f>
        <v/>
      </c>
      <c r="U126" s="15">
        <f>IF(OR(U125="",T125=""),"",IF(U125*T125&lt;=0,"",IFERROR(U125/T125-1,"")))</f>
        <v/>
      </c>
      <c r="V126" s="15">
        <f>IF(OR(V125="",U125=""),"",IF(V125*U125&lt;=0,"",IFERROR(V125/U125-1,"")))</f>
        <v/>
      </c>
      <c r="W126" s="15">
        <f>IF(OR(W125="",V125=""),"",IF(W125*V125&lt;=0,"",IFERROR(W125/V125-1,"")))</f>
        <v/>
      </c>
      <c r="X126" s="15">
        <f>IF(OR(X125="",W125=""),"",IF(X125*W125&lt;=0,"",IFERROR(X125/W125-1,"")))</f>
        <v/>
      </c>
    </row>
    <row r="127">
      <c r="A127" s="18" t="inlineStr">
        <is>
          <t>손상차손</t>
        </is>
      </c>
      <c r="C127" s="20" t="n">
        <v>94</v>
      </c>
      <c r="D127" s="20" t="n">
        <v>257</v>
      </c>
      <c r="E127" s="20" t="n">
        <v>0</v>
      </c>
      <c r="F127" s="20" t="n">
        <v>4000</v>
      </c>
      <c r="G127" s="20" t="n">
        <v>0</v>
      </c>
      <c r="H127" s="20" t="n">
        <v>223</v>
      </c>
      <c r="I127" s="20" t="n">
        <v>19</v>
      </c>
      <c r="J127" s="20" t="n">
        <v>4762</v>
      </c>
      <c r="M127" s="20" t="n">
        <v>136</v>
      </c>
      <c r="N127" s="20" t="n">
        <v>2699</v>
      </c>
      <c r="U127" s="20" t="n">
        <v>4904</v>
      </c>
      <c r="V127" s="20" t="n">
        <v>4000</v>
      </c>
      <c r="W127" s="20" t="n">
        <v>4762</v>
      </c>
      <c r="X127" s="20" t="n">
        <v>2699</v>
      </c>
    </row>
    <row r="128">
      <c r="A128" s="18" t="inlineStr">
        <is>
          <t>고정자산 제각손실</t>
        </is>
      </c>
      <c r="C128" s="20" t="n">
        <v>8</v>
      </c>
      <c r="D128" s="20" t="n">
        <v>25</v>
      </c>
      <c r="E128" s="20" t="n">
        <v>43</v>
      </c>
      <c r="F128" s="20" t="n">
        <v>60</v>
      </c>
      <c r="G128" s="20" t="n">
        <v>101</v>
      </c>
      <c r="H128" s="20" t="n">
        <v>209</v>
      </c>
      <c r="I128" s="20" t="n">
        <v>-9</v>
      </c>
      <c r="J128" s="20" t="n">
        <v>679</v>
      </c>
      <c r="K128" s="20" t="n">
        <v>22</v>
      </c>
      <c r="L128" s="20" t="n">
        <v>88</v>
      </c>
      <c r="M128" s="20" t="n">
        <v>2960</v>
      </c>
      <c r="N128" s="20" t="n">
        <v>326</v>
      </c>
      <c r="T128" s="20" t="n">
        <v>170</v>
      </c>
      <c r="U128" s="20" t="n">
        <v>265</v>
      </c>
      <c r="V128" s="20" t="n">
        <v>60</v>
      </c>
      <c r="W128" s="20" t="n">
        <v>679</v>
      </c>
      <c r="X128" s="20" t="n">
        <v>326</v>
      </c>
    </row>
    <row r="129">
      <c r="A129" s="18" t="inlineStr">
        <is>
          <t>관계회사 정리손실</t>
        </is>
      </c>
      <c r="F129" s="20" t="n">
        <v>12</v>
      </c>
      <c r="J129" s="20" t="n">
        <v>0</v>
      </c>
      <c r="U129" s="20" t="n">
        <v>0</v>
      </c>
      <c r="V129" s="20" t="n">
        <v>12</v>
      </c>
      <c r="W129" s="20" t="n">
        <v>0</v>
      </c>
    </row>
    <row r="130">
      <c r="A130" s="18" t="inlineStr">
        <is>
          <t>임대차계약 해약손실</t>
        </is>
      </c>
      <c r="F130" s="20" t="n">
        <v>0</v>
      </c>
      <c r="J130" s="20" t="n">
        <v>0</v>
      </c>
      <c r="N130" s="20" t="n">
        <v>0</v>
      </c>
      <c r="V130" s="20" t="n">
        <v>0</v>
      </c>
      <c r="W130" s="20" t="n">
        <v>0</v>
      </c>
      <c r="X130" s="20" t="n">
        <v>0</v>
      </c>
    </row>
    <row r="131">
      <c r="A131" s="18" t="inlineStr">
        <is>
          <t>기타</t>
        </is>
      </c>
      <c r="C131" s="20" t="n">
        <v>15</v>
      </c>
      <c r="D131" s="20" t="n">
        <v>0</v>
      </c>
      <c r="E131" s="20" t="n">
        <v>117</v>
      </c>
      <c r="F131" s="20" t="n">
        <v>753</v>
      </c>
      <c r="G131" s="20" t="n">
        <v>0</v>
      </c>
      <c r="H131" s="20" t="n">
        <v>0</v>
      </c>
      <c r="I131" s="20" t="n">
        <v>0</v>
      </c>
      <c r="J131" s="20" t="n">
        <v>195</v>
      </c>
      <c r="M131" s="20" t="n">
        <v>34</v>
      </c>
      <c r="N131" s="20" t="n">
        <v>21</v>
      </c>
      <c r="T131" s="20" t="n">
        <v>2</v>
      </c>
      <c r="U131" s="20" t="n">
        <v>199</v>
      </c>
      <c r="V131" s="20" t="n">
        <v>753</v>
      </c>
      <c r="W131" s="20" t="n">
        <v>195</v>
      </c>
      <c r="X131" s="20" t="n">
        <v>21</v>
      </c>
    </row>
    <row r="132">
      <c r="A132" s="18" t="inlineStr">
        <is>
          <t>특별손실 합계</t>
        </is>
      </c>
      <c r="C132" s="20" t="n">
        <v>118</v>
      </c>
      <c r="D132" s="20" t="n">
        <v>283</v>
      </c>
      <c r="E132" s="20" t="n">
        <v>653</v>
      </c>
      <c r="F132" s="20" t="n">
        <v>4825</v>
      </c>
      <c r="G132" s="20" t="n">
        <v>101</v>
      </c>
      <c r="H132" s="20" t="n">
        <v>432</v>
      </c>
      <c r="I132" s="20" t="n">
        <v>553</v>
      </c>
      <c r="J132" s="20" t="n">
        <v>5636</v>
      </c>
      <c r="K132" s="20" t="n">
        <v>22</v>
      </c>
      <c r="L132" s="20" t="n">
        <v>188</v>
      </c>
      <c r="M132" s="20" t="n">
        <v>3130</v>
      </c>
      <c r="N132" s="20" t="n">
        <v>3046</v>
      </c>
      <c r="T132" s="20" t="n">
        <v>2412</v>
      </c>
      <c r="U132" s="20" t="n">
        <v>5369</v>
      </c>
      <c r="V132" s="20" t="n">
        <v>4825</v>
      </c>
      <c r="W132" s="20" t="n">
        <v>5636</v>
      </c>
      <c r="X132" s="20" t="n">
        <v>3046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IF(OR(G132="",C132=""),"",IF(G132*C132&lt;=0,"",IFERROR(G132/C132-1,"")))</f>
        <v/>
      </c>
      <c r="H133" s="15">
        <f>IF(OR(H132="",D132=""),"",IF(H132*D132&lt;=0,"",IFERROR(H132/D132-1,"")))</f>
        <v/>
      </c>
      <c r="I133" s="15">
        <f>IF(OR(I132="",E132=""),"",IF(I132*E132&lt;=0,"",IFERROR(I132/E132-1,"")))</f>
        <v/>
      </c>
      <c r="J133" s="15">
        <f>IF(OR(J132="",F132=""),"",IF(J132*F132&lt;=0,"",IFERROR(J132/F132-1,"")))</f>
        <v/>
      </c>
      <c r="K133" s="15">
        <f>IF(OR(K132="",G132=""),"",IF(K132*G132&lt;=0,"",IFERROR(K132/G132-1,"")))</f>
        <v/>
      </c>
      <c r="L133" s="15">
        <f>IF(OR(L132="",H132=""),"",IF(L132*H132&lt;=0,"",IFERROR(L132/H132-1,"")))</f>
        <v/>
      </c>
      <c r="M133" s="15">
        <f>IF(OR(M132="",I132=""),"",IF(M132*I132&lt;=0,"",IFERROR(M132/I132-1,"")))</f>
        <v/>
      </c>
      <c r="N133" s="15">
        <f>IF(OR(N132="",J132=""),"",IF(N132*J132&lt;=0,"",IFERROR(N132/J132-1,"")))</f>
        <v/>
      </c>
      <c r="T133" s="15">
        <f>IF(OR(T132="",S132=""),"",IF(T132*S132&lt;=0,"",IFERROR(T132/S132-1,"")))</f>
        <v/>
      </c>
      <c r="U133" s="15">
        <f>IF(OR(U132="",T132=""),"",IF(U132*T132&lt;=0,"",IFERROR(U132/T132-1,"")))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  <c r="X133" s="15">
        <f>IF(OR(X132="",W132=""),"",IF(X132*W132&lt;=0,"",IFERROR(X132/W132-1,"")))</f>
        <v/>
      </c>
    </row>
    <row r="134">
      <c r="A134" s="9" t="inlineStr">
        <is>
          <t>법인세차감전 순이익</t>
        </is>
      </c>
      <c r="C134" s="12" t="n">
        <v>14565</v>
      </c>
      <c r="D134" s="12" t="n">
        <v>9621</v>
      </c>
      <c r="E134" s="12" t="n">
        <v>27116</v>
      </c>
      <c r="F134" s="12" t="n">
        <v>8612</v>
      </c>
      <c r="G134" s="12" t="n">
        <v>21206</v>
      </c>
      <c r="H134" s="12" t="n">
        <v>12867</v>
      </c>
      <c r="I134" s="12" t="n">
        <v>23020</v>
      </c>
      <c r="J134" s="12" t="n">
        <v>8865</v>
      </c>
      <c r="K134" s="12" t="n">
        <v>31473</v>
      </c>
      <c r="L134" s="12" t="n">
        <v>17796</v>
      </c>
      <c r="M134" s="12" t="n">
        <v>34179</v>
      </c>
      <c r="N134" s="12" t="n">
        <v>19235</v>
      </c>
      <c r="T134" s="12" t="n">
        <v>6455</v>
      </c>
      <c r="U134" s="12" t="n">
        <v>6732</v>
      </c>
      <c r="V134" s="12" t="n">
        <v>8612</v>
      </c>
      <c r="W134" s="12" t="n">
        <v>8865</v>
      </c>
      <c r="X134" s="12" t="n">
        <v>19235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6">
      <c r="A136" s="18" t="inlineStr">
        <is>
          <t>법인세 등 합계</t>
        </is>
      </c>
      <c r="C136" s="20" t="n">
        <v>4714</v>
      </c>
      <c r="D136" s="20" t="n">
        <v>3487</v>
      </c>
      <c r="E136" s="20" t="n">
        <v>9361</v>
      </c>
      <c r="F136" s="20" t="n">
        <v>515</v>
      </c>
      <c r="G136" s="20" t="n">
        <v>6212</v>
      </c>
      <c r="H136" s="20" t="n">
        <v>2146</v>
      </c>
      <c r="I136" s="20" t="n">
        <v>4944</v>
      </c>
      <c r="J136" s="20" t="n">
        <v>1783</v>
      </c>
      <c r="K136" s="20" t="n">
        <v>9350</v>
      </c>
      <c r="L136" s="20" t="n">
        <v>5101</v>
      </c>
      <c r="M136" s="20" t="n">
        <v>9410</v>
      </c>
      <c r="N136" s="20" t="n">
        <v>999</v>
      </c>
      <c r="T136" s="20" t="n">
        <v>1786</v>
      </c>
      <c r="U136" s="20" t="n">
        <v>3304</v>
      </c>
      <c r="V136" s="20" t="n">
        <v>515</v>
      </c>
      <c r="W136" s="20" t="n">
        <v>1783</v>
      </c>
      <c r="X136" s="20" t="n">
        <v>999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IF(OR(G136="",C136=""),"",IF(G136*C136&lt;=0,"",IFERROR(G136/C136-1,"")))</f>
        <v/>
      </c>
      <c r="H137" s="15">
        <f>IF(OR(H136="",D136=""),"",IF(H136*D136&lt;=0,"",IFERROR(H136/D136-1,"")))</f>
        <v/>
      </c>
      <c r="I137" s="15">
        <f>IF(OR(I136="",E136=""),"",IF(I136*E136&lt;=0,"",IFERROR(I136/E136-1,"")))</f>
        <v/>
      </c>
      <c r="J137" s="15">
        <f>IF(OR(J136="",F136=""),"",IF(J136*F136&lt;=0,"",IFERROR(J136/F136-1,"")))</f>
        <v/>
      </c>
      <c r="K137" s="15">
        <f>IF(OR(K136="",G136=""),"",IF(K136*G136&lt;=0,"",IFERROR(K136/G136-1,"")))</f>
        <v/>
      </c>
      <c r="L137" s="15">
        <f>IF(OR(L136="",H136=""),"",IF(L136*H136&lt;=0,"",IFERROR(L136/H136-1,"")))</f>
        <v/>
      </c>
      <c r="M137" s="15">
        <f>IF(OR(M136="",I136=""),"",IF(M136*I136&lt;=0,"",IFERROR(M136/I136-1,"")))</f>
        <v/>
      </c>
      <c r="N137" s="15">
        <f>IF(OR(N136="",J136=""),"",IF(N136*J136&lt;=0,"",IFERROR(N136/J136-1,"")))</f>
        <v/>
      </c>
      <c r="T137" s="15">
        <f>IF(OR(T136="",S136=""),"",IF(T136*S136&lt;=0,"",IFERROR(T136/S136-1,"")))</f>
        <v/>
      </c>
      <c r="U137" s="15">
        <f>IF(OR(U136="",T136=""),"",IF(U136*T136&lt;=0,"",IFERROR(U136/T136-1,"")))</f>
        <v/>
      </c>
      <c r="V137" s="15">
        <f>IF(OR(V136="",U136=""),"",IF(V136*U136&lt;=0,"",IFERROR(V136/U136-1,"")))</f>
        <v/>
      </c>
      <c r="W137" s="15">
        <f>IF(OR(W136="",V136=""),"",IF(W136*V136&lt;=0,"",IFERROR(W136/V136-1,"")))</f>
        <v/>
      </c>
      <c r="X137" s="15">
        <f>IF(OR(X136="",W136=""),"",IF(X136*W136&lt;=0,"",IFERROR(X136/W136-1,"")))</f>
        <v/>
      </c>
    </row>
    <row r="138">
      <c r="A138" s="9" t="inlineStr">
        <is>
          <t>순이익</t>
        </is>
      </c>
      <c r="C138" s="12" t="n">
        <v>9850</v>
      </c>
      <c r="D138" s="12" t="n">
        <v>6135</v>
      </c>
      <c r="E138" s="12" t="n">
        <v>17754</v>
      </c>
      <c r="F138" s="12" t="n">
        <v>8097</v>
      </c>
      <c r="G138" s="12" t="n">
        <v>14994</v>
      </c>
      <c r="H138" s="12" t="n">
        <v>10721</v>
      </c>
      <c r="I138" s="12" t="n">
        <v>18076</v>
      </c>
      <c r="J138" s="12" t="n">
        <v>7081</v>
      </c>
      <c r="K138" s="12" t="n">
        <v>22122</v>
      </c>
      <c r="L138" s="12" t="n">
        <v>12696</v>
      </c>
      <c r="M138" s="12" t="n">
        <v>24768</v>
      </c>
      <c r="N138" s="12" t="n">
        <v>18236</v>
      </c>
      <c r="T138" s="12" t="n">
        <v>4670</v>
      </c>
      <c r="U138" s="12" t="n">
        <v>3428</v>
      </c>
      <c r="V138" s="12" t="n">
        <v>8097</v>
      </c>
      <c r="W138" s="12" t="n">
        <v>7081</v>
      </c>
      <c r="X138" s="12" t="n">
        <v>18236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H139" s="15">
        <f>IF(OR(H138="",D138=""),"",IF(D138&lt;=0,"",IFERROR(H138/D138-1,"")))</f>
        <v/>
      </c>
      <c r="I139" s="15">
        <f>IF(OR(I138="",E138=""),"",IF(E138&lt;=0,"",IFERROR(I138/E138-1,"")))</f>
        <v/>
      </c>
      <c r="J139" s="15">
        <f>IF(OR(J138="",F138=""),"",IF(F138&lt;=0,"",IFERROR(J138/F138-1,"")))</f>
        <v/>
      </c>
      <c r="K139" s="15">
        <f>IF(OR(K138="",G138=""),"",IF(G138&lt;=0,"",IFERROR(K138/G138-1,"")))</f>
        <v/>
      </c>
      <c r="L139" s="15">
        <f>IF(OR(L138="",H138=""),"",IF(H138&lt;=0,"",IFERROR(L138/H138-1,"")))</f>
        <v/>
      </c>
      <c r="M139" s="15">
        <f>IF(OR(M138="",I138=""),"",IF(I138&lt;=0,"",IFERROR(M138/I138-1,"")))</f>
        <v/>
      </c>
      <c r="N139" s="15">
        <f>IF(OR(N138="",J138=""),"",IF(J138&lt;=0,"",IFERROR(N138/J138-1,"")))</f>
        <v/>
      </c>
      <c r="T139" s="15">
        <f>IF(OR(T138="",S138=""),"",IF(S138&lt;=0,"",IFERROR(T138/S138-1,"")))</f>
        <v/>
      </c>
      <c r="U139" s="15">
        <f>IF(OR(U138="",T138=""),"",IF(T138&lt;=0,"",IFERROR(U138/T138-1,"")))</f>
        <v/>
      </c>
      <c r="V139" s="15">
        <f>IF(OR(V138="",U138=""),"",IF(U138&lt;=0,"",IFERROR(V138/U138-1,"")))</f>
        <v/>
      </c>
      <c r="W139" s="15">
        <f>IF(OR(W138="",V138=""),"",IF(V138&lt;=0,"",IFERROR(W138/V138-1,"")))</f>
        <v/>
      </c>
      <c r="X139" s="15">
        <f>IF(OR(X138="",W138=""),"",IF(W138&lt;=0,"",IFERROR(X138/W138-1,"")))</f>
        <v/>
      </c>
    </row>
    <row r="140">
      <c r="A140" s="9" t="inlineStr">
        <is>
          <t>비지배주주 순이익</t>
        </is>
      </c>
      <c r="C140" s="12" t="n">
        <v>49</v>
      </c>
      <c r="D140" s="12" t="n">
        <v>163</v>
      </c>
      <c r="E140" s="12" t="n">
        <v>20</v>
      </c>
      <c r="F140" s="12" t="n">
        <v>38</v>
      </c>
      <c r="G140" s="12" t="n">
        <v>39</v>
      </c>
      <c r="H140" s="12" t="n">
        <v>194</v>
      </c>
      <c r="I140" s="12" t="n">
        <v>-34</v>
      </c>
      <c r="J140" s="12" t="n">
        <v>-173</v>
      </c>
      <c r="K140" s="12" t="n">
        <v>75</v>
      </c>
      <c r="L140" s="12" t="n">
        <v>481</v>
      </c>
      <c r="M140" s="12" t="n">
        <v>476</v>
      </c>
      <c r="N140" s="12" t="n">
        <v>368</v>
      </c>
      <c r="T140" s="12" t="n">
        <v>110</v>
      </c>
      <c r="U140" s="12" t="n">
        <v>58</v>
      </c>
      <c r="V140" s="12" t="n">
        <v>38</v>
      </c>
      <c r="W140" s="12" t="n">
        <v>-173</v>
      </c>
      <c r="X140" s="12" t="n">
        <v>368</v>
      </c>
    </row>
    <row r="141">
      <c r="A141" s="9" t="inlineStr">
        <is>
          <t>지배주주 순이익</t>
        </is>
      </c>
      <c r="C141" s="12" t="n">
        <v>9801</v>
      </c>
      <c r="D141" s="12" t="n">
        <v>5971</v>
      </c>
      <c r="E141" s="12" t="n">
        <v>17735</v>
      </c>
      <c r="F141" s="12" t="n">
        <v>8059</v>
      </c>
      <c r="G141" s="12" t="n">
        <v>14955</v>
      </c>
      <c r="H141" s="12" t="n">
        <v>10527</v>
      </c>
      <c r="I141" s="12" t="n">
        <v>18109</v>
      </c>
      <c r="J141" s="12" t="n">
        <v>7255</v>
      </c>
      <c r="K141" s="12" t="n">
        <v>22047</v>
      </c>
      <c r="L141" s="12" t="n">
        <v>12215</v>
      </c>
      <c r="M141" s="12" t="n">
        <v>24291</v>
      </c>
      <c r="N141" s="12" t="n">
        <v>17869</v>
      </c>
      <c r="T141" s="12" t="n">
        <v>4560</v>
      </c>
      <c r="U141" s="12" t="n">
        <v>3370</v>
      </c>
      <c r="V141" s="12" t="n">
        <v>8059</v>
      </c>
      <c r="W141" s="12" t="n">
        <v>7255</v>
      </c>
      <c r="X141" s="12" t="n">
        <v>17869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T142" s="15">
        <f>IF(OR(T141="",S141=""),"",IF(S141&lt;=0,"",IFERROR(T141/S141-1,"")))</f>
        <v/>
      </c>
      <c r="U142" s="15">
        <f>IF(OR(U141="",T141=""),"",IF(T141&lt;=0,"",IFERROR(U141/T141-1,"")))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4">
      <c r="A144" s="16" t="inlineStr">
        <is>
          <t>포괄손익 · 전 항목</t>
        </is>
      </c>
      <c r="B144" s="42" t="inlineStr">
        <is>
          <t>분기 = 3개월 단독</t>
        </is>
      </c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</row>
    <row r="145">
      <c r="A145" s="5" t="inlineStr">
        <is>
          <t>항목</t>
        </is>
      </c>
      <c r="B145" s="5" t="inlineStr">
        <is>
          <t>참고</t>
        </is>
      </c>
      <c r="C145" s="5" t="inlineStr">
        <is>
          <t>2024.1Q</t>
        </is>
      </c>
      <c r="D145" s="5" t="inlineStr">
        <is>
          <t>2024.2Q</t>
        </is>
      </c>
      <c r="E145" s="5" t="inlineStr">
        <is>
          <t>2024.3Q</t>
        </is>
      </c>
      <c r="F145" s="5" t="inlineStr">
        <is>
          <t>2024.4Q</t>
        </is>
      </c>
      <c r="G145" s="5" t="inlineStr">
        <is>
          <t>2025.1Q</t>
        </is>
      </c>
      <c r="H145" s="5" t="inlineStr">
        <is>
          <t>2025.2Q</t>
        </is>
      </c>
      <c r="I145" s="5" t="inlineStr">
        <is>
          <t>2025.3Q</t>
        </is>
      </c>
      <c r="J145" s="5" t="inlineStr">
        <is>
          <t>2025.4Q</t>
        </is>
      </c>
      <c r="K145" s="5" t="inlineStr">
        <is>
          <t>2026.1Q</t>
        </is>
      </c>
      <c r="L145" s="5" t="inlineStr">
        <is>
          <t>2026.2Q</t>
        </is>
      </c>
      <c r="M145" s="5" t="inlineStr">
        <is>
          <t>2026.3Q</t>
        </is>
      </c>
      <c r="N145" s="5" t="inlineStr">
        <is>
          <t>2026.4Q</t>
        </is>
      </c>
      <c r="O145" s="5" t="inlineStr">
        <is>
          <t>2017</t>
        </is>
      </c>
      <c r="P145" s="5" t="inlineStr">
        <is>
          <t>2018</t>
        </is>
      </c>
      <c r="Q145" s="5" t="inlineStr">
        <is>
          <t>2019</t>
        </is>
      </c>
      <c r="R145" s="5" t="inlineStr">
        <is>
          <t>2020</t>
        </is>
      </c>
      <c r="S145" s="5" t="inlineStr">
        <is>
          <t>2021</t>
        </is>
      </c>
      <c r="T145" s="5" t="inlineStr">
        <is>
          <t>2022</t>
        </is>
      </c>
      <c r="U145" s="5" t="inlineStr">
        <is>
          <t>2023</t>
        </is>
      </c>
      <c r="V145" s="5" t="inlineStr">
        <is>
          <t>2024</t>
        </is>
      </c>
      <c r="W145" s="5" t="inlineStr">
        <is>
          <t>2025</t>
        </is>
      </c>
      <c r="X145" s="5" t="inlineStr">
        <is>
          <t>2026</t>
        </is>
      </c>
      <c r="Y145" s="5" t="inlineStr">
        <is>
          <t>2027(MW)</t>
        </is>
      </c>
      <c r="Z145" s="5" t="inlineStr">
        <is>
          <t>2028(MW)</t>
        </is>
      </c>
      <c r="AA145" s="5" t="inlineStr">
        <is>
          <t>2029(MW)</t>
        </is>
      </c>
      <c r="AB145" s="5" t="inlineStr">
        <is>
          <t>2030(MW)</t>
        </is>
      </c>
      <c r="AC145" s="5" t="inlineStr">
        <is>
          <t>2031(MW)</t>
        </is>
      </c>
    </row>
    <row r="146">
      <c r="A146" s="9" t="inlineStr">
        <is>
          <t>순이익</t>
        </is>
      </c>
      <c r="C146" s="12" t="n">
        <v>9850</v>
      </c>
      <c r="D146" s="12" t="n">
        <v>6135</v>
      </c>
      <c r="E146" s="12" t="n">
        <v>17754</v>
      </c>
      <c r="F146" s="12" t="n">
        <v>8097</v>
      </c>
      <c r="G146" s="12" t="n">
        <v>14994</v>
      </c>
      <c r="H146" s="12" t="n">
        <v>10721</v>
      </c>
      <c r="I146" s="12" t="n">
        <v>18076</v>
      </c>
      <c r="J146" s="12" t="n">
        <v>7081</v>
      </c>
      <c r="K146" s="12" t="n">
        <v>22122</v>
      </c>
      <c r="L146" s="12" t="n">
        <v>12696</v>
      </c>
      <c r="M146" s="12" t="n">
        <v>24768</v>
      </c>
      <c r="N146" s="12" t="n">
        <v>18236</v>
      </c>
      <c r="T146" s="12" t="n">
        <v>4670</v>
      </c>
      <c r="U146" s="12" t="n">
        <v>3428</v>
      </c>
      <c r="V146" s="12" t="n">
        <v>8097</v>
      </c>
      <c r="W146" s="12" t="n">
        <v>7081</v>
      </c>
      <c r="X146" s="12" t="n">
        <v>18236</v>
      </c>
    </row>
    <row r="147">
      <c r="A147" s="18" t="inlineStr">
        <is>
          <t>기타유가증권 평가차액</t>
        </is>
      </c>
      <c r="C147" s="20" t="n">
        <v>110</v>
      </c>
      <c r="D147" s="20" t="n">
        <v>220</v>
      </c>
      <c r="E147" s="20" t="n">
        <v>257</v>
      </c>
      <c r="F147" s="20" t="n">
        <v>-94</v>
      </c>
      <c r="G147" s="20" t="n">
        <v>184</v>
      </c>
      <c r="H147" s="20" t="n">
        <v>-30</v>
      </c>
      <c r="I147" s="20" t="n">
        <v>221</v>
      </c>
      <c r="J147" s="20" t="n">
        <v>-87</v>
      </c>
      <c r="K147" s="20" t="n">
        <v>-1631</v>
      </c>
      <c r="L147" s="20" t="n">
        <v>0</v>
      </c>
      <c r="M147" s="20" t="n">
        <v>0</v>
      </c>
      <c r="N147" s="20" t="n">
        <v>0</v>
      </c>
      <c r="T147" s="20" t="n">
        <v>239</v>
      </c>
      <c r="U147" s="20" t="n">
        <v>189</v>
      </c>
      <c r="V147" s="20" t="n">
        <v>-94</v>
      </c>
      <c r="W147" s="20" t="n">
        <v>-87</v>
      </c>
      <c r="X147" s="20" t="n">
        <v>0</v>
      </c>
    </row>
    <row r="148">
      <c r="A148" s="18" t="inlineStr">
        <is>
          <t>이연헤지손익</t>
        </is>
      </c>
      <c r="C148" s="20" t="n">
        <v>2398</v>
      </c>
      <c r="D148" s="20" t="n">
        <v>3532</v>
      </c>
      <c r="E148" s="20" t="n">
        <v>11817</v>
      </c>
      <c r="F148" s="20" t="n">
        <v>-22348</v>
      </c>
      <c r="G148" s="20" t="n">
        <v>8449</v>
      </c>
      <c r="H148" s="20" t="n">
        <v>-3166</v>
      </c>
      <c r="I148" s="20" t="n">
        <v>-11924</v>
      </c>
      <c r="J148" s="20" t="n">
        <v>5321</v>
      </c>
      <c r="K148" s="20" t="n">
        <v>16657</v>
      </c>
      <c r="L148" s="20" t="n">
        <v>-4539</v>
      </c>
      <c r="M148" s="20" t="n">
        <v>1932</v>
      </c>
      <c r="N148" s="20" t="n">
        <v>-4942</v>
      </c>
      <c r="T148" s="20" t="n">
        <v>2800</v>
      </c>
      <c r="U148" s="20" t="n">
        <v>9586</v>
      </c>
      <c r="V148" s="20" t="n">
        <v>-22348</v>
      </c>
      <c r="W148" s="20" t="n">
        <v>5321</v>
      </c>
      <c r="X148" s="20" t="n">
        <v>-4942</v>
      </c>
    </row>
    <row r="149">
      <c r="A149" s="18" t="inlineStr">
        <is>
          <t>해외사업환산조정</t>
        </is>
      </c>
      <c r="C149" s="20" t="n">
        <v>1551</v>
      </c>
      <c r="D149" s="20" t="n">
        <v>554</v>
      </c>
      <c r="E149" s="20" t="n">
        <v>4894</v>
      </c>
      <c r="F149" s="20" t="n">
        <v>-4605</v>
      </c>
      <c r="G149" s="20" t="n">
        <v>472</v>
      </c>
      <c r="H149" s="20" t="n">
        <v>-104</v>
      </c>
      <c r="I149" s="20" t="n">
        <v>-2350</v>
      </c>
      <c r="J149" s="20" t="n">
        <v>1208</v>
      </c>
      <c r="K149" s="20" t="n">
        <v>5614</v>
      </c>
      <c r="L149" s="20" t="n">
        <v>2417</v>
      </c>
      <c r="M149" s="20" t="n">
        <v>2197</v>
      </c>
      <c r="N149" s="20" t="n">
        <v>987</v>
      </c>
      <c r="T149" s="20" t="n">
        <v>2601</v>
      </c>
      <c r="U149" s="20" t="n">
        <v>763</v>
      </c>
      <c r="V149" s="20" t="n">
        <v>-4605</v>
      </c>
      <c r="W149" s="20" t="n">
        <v>1208</v>
      </c>
      <c r="X149" s="20" t="n">
        <v>987</v>
      </c>
    </row>
    <row r="150">
      <c r="A150" s="18" t="inlineStr">
        <is>
          <t>기타포괄손익 합계</t>
        </is>
      </c>
      <c r="C150" s="20" t="n">
        <v>4060</v>
      </c>
      <c r="D150" s="20" t="n">
        <v>4306</v>
      </c>
      <c r="E150" s="20" t="n">
        <v>16968</v>
      </c>
      <c r="F150" s="20" t="n">
        <v>-27046</v>
      </c>
      <c r="G150" s="20" t="n">
        <v>9107</v>
      </c>
      <c r="H150" s="20" t="n">
        <v>-3301</v>
      </c>
      <c r="I150" s="20" t="n">
        <v>-14054</v>
      </c>
      <c r="J150" s="20" t="n">
        <v>6442</v>
      </c>
      <c r="K150" s="20" t="n">
        <v>20641</v>
      </c>
      <c r="L150" s="20" t="n">
        <v>-2123</v>
      </c>
      <c r="M150" s="20" t="n">
        <v>4129</v>
      </c>
      <c r="N150" s="20" t="n">
        <v>-3955</v>
      </c>
      <c r="T150" s="20" t="n">
        <v>5640</v>
      </c>
      <c r="U150" s="20" t="n">
        <v>10537</v>
      </c>
      <c r="V150" s="20" t="n">
        <v>-27046</v>
      </c>
      <c r="W150" s="20" t="n">
        <v>6442</v>
      </c>
      <c r="X150" s="20" t="n">
        <v>-3955</v>
      </c>
    </row>
    <row r="151">
      <c r="A151" s="9" t="inlineStr">
        <is>
          <t>포괄이익</t>
        </is>
      </c>
      <c r="C151" s="12" t="n">
        <v>13911</v>
      </c>
      <c r="D151" s="12" t="n">
        <v>10441</v>
      </c>
      <c r="E151" s="12" t="n">
        <v>34722</v>
      </c>
      <c r="F151" s="12" t="n">
        <v>-18951</v>
      </c>
      <c r="G151" s="12" t="n">
        <v>24101</v>
      </c>
      <c r="H151" s="12" t="n">
        <v>7421</v>
      </c>
      <c r="I151" s="12" t="n">
        <v>4020</v>
      </c>
      <c r="J151" s="12" t="n">
        <v>13524</v>
      </c>
      <c r="K151" s="12" t="n">
        <v>42764</v>
      </c>
      <c r="L151" s="12" t="n">
        <v>10572</v>
      </c>
      <c r="M151" s="12" t="n">
        <v>28898</v>
      </c>
      <c r="N151" s="12" t="n">
        <v>14281</v>
      </c>
      <c r="T151" s="12" t="n">
        <v>10310</v>
      </c>
      <c r="U151" s="12" t="n">
        <v>13966</v>
      </c>
      <c r="V151" s="12" t="n">
        <v>-18951</v>
      </c>
      <c r="W151" s="12" t="n">
        <v>13524</v>
      </c>
      <c r="X151" s="12" t="n">
        <v>14281</v>
      </c>
    </row>
    <row r="152">
      <c r="A152" s="9" t="inlineStr">
        <is>
          <t>지배주주 포괄이익</t>
        </is>
      </c>
      <c r="C152" s="12" t="n">
        <v>13833</v>
      </c>
      <c r="D152" s="12" t="n">
        <v>10272</v>
      </c>
      <c r="E152" s="12" t="n">
        <v>34634</v>
      </c>
      <c r="F152" s="12" t="n">
        <v>-18953</v>
      </c>
      <c r="G152" s="12" t="n">
        <v>24037</v>
      </c>
      <c r="H152" s="12" t="n">
        <v>7206</v>
      </c>
      <c r="I152" s="12" t="n">
        <v>4083</v>
      </c>
      <c r="J152" s="12" t="n">
        <v>13616</v>
      </c>
      <c r="K152" s="12" t="n">
        <v>42477</v>
      </c>
      <c r="L152" s="12" t="n">
        <v>10001</v>
      </c>
      <c r="M152" s="12" t="n">
        <v>28608</v>
      </c>
      <c r="N152" s="12" t="n">
        <v>13708</v>
      </c>
      <c r="T152" s="12" t="n">
        <v>10152</v>
      </c>
      <c r="U152" s="12" t="n">
        <v>13805</v>
      </c>
      <c r="V152" s="12" t="n">
        <v>-18953</v>
      </c>
      <c r="W152" s="12" t="n">
        <v>13616</v>
      </c>
      <c r="X152" s="12" t="n">
        <v>13708</v>
      </c>
    </row>
    <row r="153">
      <c r="A153" s="9" t="inlineStr">
        <is>
          <t>비지배주주 포괄이익</t>
        </is>
      </c>
      <c r="C153" s="12" t="n">
        <v>77</v>
      </c>
      <c r="D153" s="12" t="n">
        <v>170</v>
      </c>
      <c r="E153" s="12" t="n">
        <v>88</v>
      </c>
      <c r="F153" s="12" t="n">
        <v>2</v>
      </c>
      <c r="G153" s="12" t="n">
        <v>64</v>
      </c>
      <c r="H153" s="12" t="n">
        <v>215</v>
      </c>
      <c r="I153" s="12" t="n">
        <v>-64</v>
      </c>
      <c r="J153" s="12" t="n">
        <v>-92</v>
      </c>
      <c r="K153" s="12" t="n">
        <v>286</v>
      </c>
      <c r="L153" s="12" t="n">
        <v>572</v>
      </c>
      <c r="M153" s="12" t="n">
        <v>289</v>
      </c>
      <c r="N153" s="12" t="n">
        <v>574</v>
      </c>
      <c r="T153" s="12" t="n">
        <v>159</v>
      </c>
      <c r="U153" s="12" t="n">
        <v>161</v>
      </c>
      <c r="V153" s="12" t="n">
        <v>2</v>
      </c>
      <c r="W153" s="12" t="n">
        <v>-92</v>
      </c>
      <c r="X153" s="12" t="n">
        <v>574</v>
      </c>
    </row>
    <row r="155">
      <c r="A155" s="16" t="inlineStr">
        <is>
          <t>부문 · 전 항목</t>
        </is>
      </c>
      <c r="B155" s="42" t="inlineStr">
        <is>
          <t>부문 · 항목</t>
        </is>
      </c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</row>
    <row r="156">
      <c r="A156" s="5" t="inlineStr">
        <is>
          <t>항목</t>
        </is>
      </c>
      <c r="B156" s="5" t="inlineStr">
        <is>
          <t>참고</t>
        </is>
      </c>
      <c r="C156" s="5" t="inlineStr">
        <is>
          <t>2024.1Q</t>
        </is>
      </c>
      <c r="D156" s="5" t="inlineStr">
        <is>
          <t>2024.2Q</t>
        </is>
      </c>
      <c r="E156" s="5" t="inlineStr">
        <is>
          <t>2024.3Q</t>
        </is>
      </c>
      <c r="F156" s="5" t="inlineStr">
        <is>
          <t>2024.4Q</t>
        </is>
      </c>
      <c r="G156" s="5" t="inlineStr">
        <is>
          <t>2025.1Q</t>
        </is>
      </c>
      <c r="H156" s="5" t="inlineStr">
        <is>
          <t>2025.2Q</t>
        </is>
      </c>
      <c r="I156" s="5" t="inlineStr">
        <is>
          <t>2025.3Q</t>
        </is>
      </c>
      <c r="J156" s="5" t="inlineStr">
        <is>
          <t>2025.4Q</t>
        </is>
      </c>
      <c r="K156" s="5" t="inlineStr">
        <is>
          <t>2026.1Q</t>
        </is>
      </c>
      <c r="L156" s="5" t="inlineStr">
        <is>
          <t>2026.2Q</t>
        </is>
      </c>
      <c r="M156" s="5" t="inlineStr">
        <is>
          <t>2026.3Q</t>
        </is>
      </c>
      <c r="N156" s="5" t="inlineStr">
        <is>
          <t>2026.4Q</t>
        </is>
      </c>
      <c r="O156" s="5" t="inlineStr">
        <is>
          <t>2017</t>
        </is>
      </c>
      <c r="P156" s="5" t="inlineStr">
        <is>
          <t>2018</t>
        </is>
      </c>
      <c r="Q156" s="5" t="inlineStr">
        <is>
          <t>2019</t>
        </is>
      </c>
      <c r="R156" s="5" t="inlineStr">
        <is>
          <t>2020</t>
        </is>
      </c>
      <c r="S156" s="5" t="inlineStr">
        <is>
          <t>2021</t>
        </is>
      </c>
      <c r="T156" s="5" t="inlineStr">
        <is>
          <t>2022</t>
        </is>
      </c>
      <c r="U156" s="5" t="inlineStr">
        <is>
          <t>2023</t>
        </is>
      </c>
      <c r="V156" s="5" t="inlineStr">
        <is>
          <t>2024</t>
        </is>
      </c>
      <c r="W156" s="5" t="inlineStr">
        <is>
          <t>2025</t>
        </is>
      </c>
      <c r="X156" s="5" t="inlineStr">
        <is>
          <t>2026</t>
        </is>
      </c>
      <c r="Y156" s="5" t="inlineStr">
        <is>
          <t>2027(MW)</t>
        </is>
      </c>
      <c r="Z156" s="5" t="inlineStr">
        <is>
          <t>2028(MW)</t>
        </is>
      </c>
      <c r="AA156" s="5" t="inlineStr">
        <is>
          <t>2029(MW)</t>
        </is>
      </c>
      <c r="AB156" s="5" t="inlineStr">
        <is>
          <t>2030(MW)</t>
        </is>
      </c>
      <c r="AC156" s="5" t="inlineStr">
        <is>
          <t>2031(MW)</t>
        </is>
      </c>
    </row>
    <row r="157">
      <c r="A157" s="18" t="inlineStr">
        <is>
          <t>국내 사업 · (1) 외부 고객 영업수익</t>
        </is>
      </c>
      <c r="C157" s="20" t="n">
        <v>97671</v>
      </c>
      <c r="D157" s="20" t="n">
        <v>87229</v>
      </c>
      <c r="E157" s="20" t="n">
        <v>108228</v>
      </c>
      <c r="F157" s="20" t="n">
        <v>95807</v>
      </c>
      <c r="G157" s="20" t="n">
        <v>122102</v>
      </c>
      <c r="H157" s="20" t="n">
        <v>103884</v>
      </c>
      <c r="I157" s="20" t="n">
        <v>133086</v>
      </c>
      <c r="J157" s="20" t="n">
        <v>111071</v>
      </c>
      <c r="K157" s="20" t="n">
        <v>133267</v>
      </c>
      <c r="L157" s="20" t="n">
        <v>111077</v>
      </c>
      <c r="M157" s="20" t="n">
        <v>146774</v>
      </c>
      <c r="N157" s="20" t="n">
        <v>119875</v>
      </c>
      <c r="V157" s="20" t="n">
        <v>95807</v>
      </c>
      <c r="W157" s="20" t="n">
        <v>111071</v>
      </c>
      <c r="X157" s="20" t="n">
        <v>119875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동아시아 사업 · (1) 외부 고객 영업수익</t>
        </is>
      </c>
      <c r="C159" s="20" t="n">
        <v>46478</v>
      </c>
      <c r="D159" s="20" t="n">
        <v>49379</v>
      </c>
      <c r="E159" s="20" t="n">
        <v>48392</v>
      </c>
      <c r="F159" s="20" t="n">
        <v>50310</v>
      </c>
      <c r="G159" s="20" t="n">
        <v>54073</v>
      </c>
      <c r="H159" s="20" t="n">
        <v>56268</v>
      </c>
      <c r="I159" s="20" t="n">
        <v>54258</v>
      </c>
      <c r="J159" s="20" t="n">
        <v>57648</v>
      </c>
      <c r="K159" s="20" t="n">
        <v>67995</v>
      </c>
      <c r="L159" s="20" t="n">
        <v>68066</v>
      </c>
      <c r="M159" s="20" t="n">
        <v>76751</v>
      </c>
      <c r="N159" s="20" t="n">
        <v>80971</v>
      </c>
      <c r="V159" s="20" t="n">
        <v>50310</v>
      </c>
      <c r="W159" s="20" t="n">
        <v>57648</v>
      </c>
      <c r="X159" s="20" t="n">
        <v>80971</v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IF(OR(G159="",C159=""),"",IF(C159&lt;=0,"",IFERROR(G159/C159-1,"")))</f>
        <v/>
      </c>
      <c r="H160" s="15">
        <f>IF(OR(H159="",D159=""),"",IF(D159&lt;=0,"",IFERROR(H159/D159-1,"")))</f>
        <v/>
      </c>
      <c r="I160" s="15">
        <f>IF(OR(I159="",E159=""),"",IF(E159&lt;=0,"",IFERROR(I159/E159-1,"")))</f>
        <v/>
      </c>
      <c r="J160" s="15">
        <f>IF(OR(J159="",F159=""),"",IF(F159&lt;=0,"",IFERROR(J159/F159-1,"")))</f>
        <v/>
      </c>
      <c r="K160" s="15">
        <f>IF(OR(K159="",G159=""),"",IF(G159&lt;=0,"",IFERROR(K159/G159-1,"")))</f>
        <v/>
      </c>
      <c r="L160" s="15">
        <f>IF(OR(L159="",H159=""),"",IF(H159&lt;=0,"",IFERROR(L159/H159-1,"")))</f>
        <v/>
      </c>
      <c r="M160" s="15">
        <f>IF(OR(M159="",I159=""),"",IF(I159&lt;=0,"",IFERROR(M159/I159-1,"")))</f>
        <v/>
      </c>
      <c r="N160" s="15">
        <f>IF(OR(N159="",J159=""),"",IF(J159&lt;=0,"",IFERROR(N159/J159-1,"")))</f>
        <v/>
      </c>
      <c r="V160" s="15">
        <f>IF(OR(V159="",U159=""),"",IF(U159&lt;=0,"",IFERROR(V159/U159-1,"")))</f>
        <v/>
      </c>
      <c r="W160" s="15">
        <f>IF(OR(W159="",V159=""),"",IF(V159&lt;=0,"",IFERROR(W159/V159-1,"")))</f>
        <v/>
      </c>
      <c r="X160" s="15">
        <f>IF(OR(X159="",W159=""),"",IF(W159&lt;=0,"",IFERROR(X159/W159-1,"")))</f>
        <v/>
      </c>
    </row>
    <row r="161">
      <c r="A161" s="18" t="inlineStr">
        <is>
          <t>동남·남아시아·오세아니아 사업 · (1) 외부 고객 영업수익</t>
        </is>
      </c>
      <c r="C161" s="20" t="n">
        <v>8575</v>
      </c>
      <c r="D161" s="20" t="n">
        <v>10417</v>
      </c>
      <c r="E161" s="20" t="n">
        <v>9853</v>
      </c>
      <c r="F161" s="20" t="n">
        <v>10293</v>
      </c>
      <c r="G161" s="20" t="n">
        <v>10856</v>
      </c>
      <c r="H161" s="20" t="n">
        <v>13611</v>
      </c>
      <c r="I161" s="20" t="n">
        <v>11962</v>
      </c>
      <c r="J161" s="20" t="n">
        <v>13676</v>
      </c>
      <c r="K161" s="20" t="n">
        <v>14482</v>
      </c>
      <c r="L161" s="20" t="n">
        <v>18635</v>
      </c>
      <c r="M161" s="20" t="n">
        <v>15957</v>
      </c>
      <c r="N161" s="20" t="n">
        <v>17445</v>
      </c>
      <c r="V161" s="20" t="n">
        <v>10293</v>
      </c>
      <c r="W161" s="20" t="n">
        <v>13676</v>
      </c>
      <c r="X161" s="20" t="n">
        <v>17445</v>
      </c>
    </row>
    <row r="162">
      <c r="A162" s="43" t="inlineStr">
        <is>
          <t>YoY</t>
        </is>
      </c>
      <c r="B162" s="3" t="inlineStr">
        <is>
          <t>전년 같은 분기·전년 대비</t>
        </is>
      </c>
      <c r="G162" s="15">
        <f>IF(OR(G161="",C161=""),"",IF(C161&lt;=0,"",IFERROR(G161/C161-1,"")))</f>
        <v/>
      </c>
      <c r="H162" s="15">
        <f>IF(OR(H161="",D161=""),"",IF(D161&lt;=0,"",IFERROR(H161/D161-1,"")))</f>
        <v/>
      </c>
      <c r="I162" s="15">
        <f>IF(OR(I161="",E161=""),"",IF(E161&lt;=0,"",IFERROR(I161/E161-1,"")))</f>
        <v/>
      </c>
      <c r="J162" s="15">
        <f>IF(OR(J161="",F161=""),"",IF(F161&lt;=0,"",IFERROR(J161/F161-1,"")))</f>
        <v/>
      </c>
      <c r="K162" s="15">
        <f>IF(OR(K161="",G161=""),"",IF(G161&lt;=0,"",IFERROR(K161/G161-1,"")))</f>
        <v/>
      </c>
      <c r="L162" s="15">
        <f>IF(OR(L161="",H161=""),"",IF(H161&lt;=0,"",IFERROR(L161/H161-1,"")))</f>
        <v/>
      </c>
      <c r="M162" s="15">
        <f>IF(OR(M161="",I161=""),"",IF(I161&lt;=0,"",IFERROR(M161/I161-1,"")))</f>
        <v/>
      </c>
      <c r="N162" s="15">
        <f>IF(OR(N161="",J161=""),"",IF(J161&lt;=0,"",IFERROR(N161/J161-1,"")))</f>
        <v/>
      </c>
      <c r="V162" s="15">
        <f>IF(OR(V161="",U161=""),"",IF(U161&lt;=0,"",IFERROR(V161/U161-1,"")))</f>
        <v/>
      </c>
      <c r="W162" s="15">
        <f>IF(OR(W161="",V161=""),"",IF(V161&lt;=0,"",IFERROR(W161/V161-1,"")))</f>
        <v/>
      </c>
      <c r="X162" s="15">
        <f>IF(OR(X161="",W161=""),"",IF(W161&lt;=0,"",IFERROR(X161/W161-1,"")))</f>
        <v/>
      </c>
    </row>
    <row r="163">
      <c r="A163" s="18" t="inlineStr">
        <is>
          <t>구미 사업 · (1) 외부 고객 영업수익</t>
        </is>
      </c>
      <c r="C163" s="20" t="n">
        <v>10187</v>
      </c>
      <c r="D163" s="20" t="n">
        <v>9901</v>
      </c>
      <c r="E163" s="20" t="n">
        <v>9388</v>
      </c>
      <c r="F163" s="20" t="n">
        <v>9567</v>
      </c>
      <c r="G163" s="20" t="n">
        <v>10657</v>
      </c>
      <c r="H163" s="20" t="n">
        <v>10571</v>
      </c>
      <c r="I163" s="20" t="n">
        <v>9764</v>
      </c>
      <c r="J163" s="20" t="n">
        <v>11141</v>
      </c>
      <c r="K163" s="20" t="n">
        <v>12482</v>
      </c>
      <c r="L163" s="20" t="n">
        <v>12543</v>
      </c>
      <c r="M163" s="20" t="n">
        <v>12758</v>
      </c>
      <c r="N163" s="20" t="n">
        <v>14512</v>
      </c>
      <c r="V163" s="20" t="n">
        <v>9567</v>
      </c>
      <c r="W163" s="20" t="n">
        <v>11141</v>
      </c>
      <c r="X163" s="20" t="n">
        <v>14512</v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IF(OR(G163="",C163=""),"",IF(C163&lt;=0,"",IFERROR(G163/C163-1,"")))</f>
        <v/>
      </c>
      <c r="H164" s="15">
        <f>IF(OR(H163="",D163=""),"",IF(D163&lt;=0,"",IFERROR(H163/D163-1,"")))</f>
        <v/>
      </c>
      <c r="I164" s="15">
        <f>IF(OR(I163="",E163=""),"",IF(E163&lt;=0,"",IFERROR(I163/E163-1,"")))</f>
        <v/>
      </c>
      <c r="J164" s="15">
        <f>IF(OR(J163="",F163=""),"",IF(F163&lt;=0,"",IFERROR(J163/F163-1,"")))</f>
        <v/>
      </c>
      <c r="K164" s="15">
        <f>IF(OR(K163="",G163=""),"",IF(G163&lt;=0,"",IFERROR(K163/G163-1,"")))</f>
        <v/>
      </c>
      <c r="L164" s="15">
        <f>IF(OR(L163="",H163=""),"",IF(H163&lt;=0,"",IFERROR(L163/H163-1,"")))</f>
        <v/>
      </c>
      <c r="M164" s="15">
        <f>IF(OR(M163="",I163=""),"",IF(I163&lt;=0,"",IFERROR(M163/I163-1,"")))</f>
        <v/>
      </c>
      <c r="N164" s="15">
        <f>IF(OR(N163="",J163=""),"",IF(J163&lt;=0,"",IFERROR(N163/J163-1,"")))</f>
        <v/>
      </c>
      <c r="V164" s="15">
        <f>IF(OR(V163="",U163=""),"",IF(U163&lt;=0,"",IFERROR(V163/U163-1,"")))</f>
        <v/>
      </c>
      <c r="W164" s="15">
        <f>IF(OR(W163="",V163=""),"",IF(V163&lt;=0,"",IFERROR(W163/V163-1,"")))</f>
        <v/>
      </c>
      <c r="X164" s="15">
        <f>IF(OR(X163="",W163=""),"",IF(W163&lt;=0,"",IFERROR(X163/W163-1,"")))</f>
        <v/>
      </c>
    </row>
    <row r="165">
      <c r="A165" s="18" t="inlineStr">
        <is>
          <t>보고부문 합계 · (1) 외부 고객 영업수익</t>
        </is>
      </c>
      <c r="C165" s="20" t="n">
        <v>162913</v>
      </c>
      <c r="D165" s="20" t="n">
        <v>156926</v>
      </c>
      <c r="E165" s="20" t="n">
        <v>175860</v>
      </c>
      <c r="F165" s="20" t="n">
        <v>165978</v>
      </c>
      <c r="G165" s="20" t="n">
        <v>197690</v>
      </c>
      <c r="H165" s="20" t="n">
        <v>184333</v>
      </c>
      <c r="I165" s="20" t="n">
        <v>209070</v>
      </c>
      <c r="J165" s="20" t="n">
        <v>193536</v>
      </c>
      <c r="K165" s="20" t="n">
        <v>228227</v>
      </c>
      <c r="L165" s="20" t="n">
        <v>210322</v>
      </c>
      <c r="M165" s="20" t="n">
        <v>252239</v>
      </c>
      <c r="N165" s="20" t="n">
        <v>232804</v>
      </c>
      <c r="V165" s="20" t="n">
        <v>165978</v>
      </c>
      <c r="W165" s="20" t="n">
        <v>193536</v>
      </c>
      <c r="X165" s="20" t="n">
        <v>232804</v>
      </c>
    </row>
    <row r="166">
      <c r="A166" s="43" t="inlineStr">
        <is>
          <t>YoY</t>
        </is>
      </c>
      <c r="B166" s="3" t="inlineStr">
        <is>
          <t>전년 같은 분기·전년 대비</t>
        </is>
      </c>
      <c r="G166" s="15">
        <f>IF(OR(G165="",C165=""),"",IF(C165&lt;=0,"",IFERROR(G165/C165-1,"")))</f>
        <v/>
      </c>
      <c r="H166" s="15">
        <f>IF(OR(H165="",D165=""),"",IF(D165&lt;=0,"",IFERROR(H165/D165-1,"")))</f>
        <v/>
      </c>
      <c r="I166" s="15">
        <f>IF(OR(I165="",E165=""),"",IF(E165&lt;=0,"",IFERROR(I165/E165-1,"")))</f>
        <v/>
      </c>
      <c r="J166" s="15">
        <f>IF(OR(J165="",F165=""),"",IF(F165&lt;=0,"",IFERROR(J165/F165-1,"")))</f>
        <v/>
      </c>
      <c r="K166" s="15">
        <f>IF(OR(K165="",G165=""),"",IF(G165&lt;=0,"",IFERROR(K165/G165-1,"")))</f>
        <v/>
      </c>
      <c r="L166" s="15">
        <f>IF(OR(L165="",H165=""),"",IF(H165&lt;=0,"",IFERROR(L165/H165-1,"")))</f>
        <v/>
      </c>
      <c r="M166" s="15">
        <f>IF(OR(M165="",I165=""),"",IF(I165&lt;=0,"",IFERROR(M165/I165-1,"")))</f>
        <v/>
      </c>
      <c r="N166" s="15">
        <f>IF(OR(N165="",J165=""),"",IF(J165&lt;=0,"",IFERROR(N165/J165-1,"")))</f>
        <v/>
      </c>
      <c r="V166" s="15">
        <f>IF(OR(V165="",U165=""),"",IF(U165&lt;=0,"",IFERROR(V165/U165-1,"")))</f>
        <v/>
      </c>
      <c r="W166" s="15">
        <f>IF(OR(W165="",V165=""),"",IF(V165&lt;=0,"",IFERROR(W165/V165-1,"")))</f>
        <v/>
      </c>
      <c r="X166" s="15">
        <f>IF(OR(X165="",W165=""),"",IF(W165&lt;=0,"",IFERROR(X165/W165-1,"")))</f>
        <v/>
      </c>
    </row>
    <row r="167">
      <c r="A167" s="18" t="inlineStr">
        <is>
          <t>기타 · (1) 외부 고객 영업수익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0</v>
      </c>
      <c r="N167" s="20" t="n">
        <v>0</v>
      </c>
      <c r="V167" s="20" t="n">
        <v>0</v>
      </c>
      <c r="W167" s="20" t="n">
        <v>0</v>
      </c>
      <c r="X167" s="20" t="n">
        <v>0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G168" s="15">
        <f>IF(OR(G167="",C167=""),"",IF(C167&lt;=0,"",IFERROR(G167/C167-1,"")))</f>
        <v/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J168" s="15">
        <f>IF(OR(J167="",F167=""),"",IF(F167&lt;=0,"",IFERROR(J167/F167-1,"")))</f>
        <v/>
      </c>
      <c r="K168" s="15">
        <f>IF(OR(K167="",G167=""),"",IF(G167&lt;=0,"",IFERROR(K167/G167-1,"")))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N168" s="15">
        <f>IF(OR(N167="",J167=""),"",IF(J167&lt;=0,"",IFERROR(N167/J167-1,"")))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조정액 · (1) 외부 고객 영업수익</t>
        </is>
      </c>
      <c r="C169" s="20" t="n">
        <v>0</v>
      </c>
      <c r="D169" s="20" t="n">
        <v>0</v>
      </c>
      <c r="E169" s="20" t="n">
        <v>0</v>
      </c>
      <c r="F169" s="20" t="n">
        <v>0</v>
      </c>
      <c r="G169" s="20" t="n">
        <v>0</v>
      </c>
      <c r="H169" s="20" t="n">
        <v>0</v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0" t="n">
        <v>0</v>
      </c>
      <c r="V169" s="20" t="n">
        <v>0</v>
      </c>
      <c r="W169" s="20" t="n">
        <v>0</v>
      </c>
      <c r="X169" s="20" t="n">
        <v>0</v>
      </c>
    </row>
    <row r="170">
      <c r="A170" s="9" t="inlineStr">
        <is>
          <t>(1) 외부 고객 영업수익</t>
        </is>
      </c>
      <c r="C170" s="12" t="n">
        <v>162913</v>
      </c>
      <c r="D170" s="12" t="n">
        <v>156926</v>
      </c>
      <c r="E170" s="12" t="n">
        <v>175860</v>
      </c>
      <c r="F170" s="12" t="n">
        <v>165978</v>
      </c>
      <c r="G170" s="12" t="n">
        <v>197690</v>
      </c>
      <c r="H170" s="12" t="n">
        <v>184333</v>
      </c>
      <c r="I170" s="12" t="n">
        <v>209070</v>
      </c>
      <c r="J170" s="12" t="n">
        <v>193536</v>
      </c>
      <c r="K170" s="12" t="n">
        <v>228227</v>
      </c>
      <c r="L170" s="12" t="n">
        <v>210322</v>
      </c>
      <c r="M170" s="12" t="n">
        <v>252239</v>
      </c>
      <c r="N170" s="12" t="n">
        <v>232804</v>
      </c>
      <c r="V170" s="12" t="n">
        <v>165978</v>
      </c>
      <c r="W170" s="12" t="n">
        <v>193536</v>
      </c>
      <c r="X170" s="12" t="n">
        <v>232804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국내 사업 · (2) 부문 간 내부 영업수익·대체</t>
        </is>
      </c>
      <c r="C172" s="20" t="n">
        <v>0</v>
      </c>
      <c r="D172" s="20" t="n">
        <v>0</v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  <c r="K172" s="20" t="n">
        <v>0</v>
      </c>
      <c r="L172" s="20" t="n">
        <v>0</v>
      </c>
      <c r="M172" s="20" t="n">
        <v>0</v>
      </c>
      <c r="N172" s="20" t="n">
        <v>0</v>
      </c>
      <c r="V172" s="20" t="n">
        <v>0</v>
      </c>
      <c r="W172" s="20" t="n">
        <v>0</v>
      </c>
      <c r="X172" s="20" t="n">
        <v>0</v>
      </c>
    </row>
    <row r="173">
      <c r="A173" s="18" t="inlineStr">
        <is>
          <t>동아시아 사업 · (2) 부문 간 내부 영업수익·대체</t>
        </is>
      </c>
      <c r="C173" s="20" t="n">
        <v>0</v>
      </c>
      <c r="D173" s="20" t="n">
        <v>0</v>
      </c>
      <c r="E173" s="20" t="n">
        <v>0</v>
      </c>
      <c r="F173" s="20" t="n">
        <v>0</v>
      </c>
      <c r="G173" s="20" t="n">
        <v>0</v>
      </c>
      <c r="H173" s="20" t="n">
        <v>0</v>
      </c>
      <c r="I173" s="20" t="n">
        <v>0</v>
      </c>
      <c r="J173" s="20" t="n">
        <v>0</v>
      </c>
      <c r="K173" s="20" t="n">
        <v>0</v>
      </c>
      <c r="L173" s="20" t="n">
        <v>0</v>
      </c>
      <c r="M173" s="20" t="n">
        <v>6</v>
      </c>
      <c r="N173" s="20" t="n">
        <v>10</v>
      </c>
      <c r="V173" s="20" t="n">
        <v>0</v>
      </c>
      <c r="W173" s="20" t="n">
        <v>0</v>
      </c>
      <c r="X173" s="20" t="n">
        <v>10</v>
      </c>
    </row>
    <row r="174">
      <c r="A174" s="18" t="inlineStr">
        <is>
          <t>동남·남아시아·오세아니아 사업 · (2) 부문 간 내부 영업수익·대체</t>
        </is>
      </c>
      <c r="C174" s="20" t="n">
        <v>0</v>
      </c>
      <c r="D174" s="20" t="n">
        <v>0</v>
      </c>
      <c r="E174" s="20" t="n">
        <v>0</v>
      </c>
      <c r="F174" s="20" t="n">
        <v>0</v>
      </c>
      <c r="G174" s="20" t="n">
        <v>0</v>
      </c>
      <c r="H174" s="20" t="n">
        <v>0</v>
      </c>
      <c r="I174" s="20" t="n">
        <v>0</v>
      </c>
      <c r="J174" s="20" t="n">
        <v>0</v>
      </c>
      <c r="K174" s="20" t="n">
        <v>0</v>
      </c>
      <c r="L174" s="20" t="n">
        <v>0</v>
      </c>
      <c r="M174" s="20" t="n">
        <v>0</v>
      </c>
      <c r="N174" s="20" t="n">
        <v>0</v>
      </c>
      <c r="V174" s="20" t="n">
        <v>0</v>
      </c>
      <c r="W174" s="20" t="n">
        <v>0</v>
      </c>
      <c r="X174" s="20" t="n">
        <v>0</v>
      </c>
    </row>
    <row r="175">
      <c r="A175" s="18" t="inlineStr">
        <is>
          <t>구미 사업 · (2) 부문 간 내부 영업수익·대체</t>
        </is>
      </c>
      <c r="C175" s="20" t="n">
        <v>0</v>
      </c>
      <c r="D175" s="20" t="n">
        <v>0</v>
      </c>
      <c r="E175" s="20" t="n">
        <v>0</v>
      </c>
      <c r="F175" s="20" t="n">
        <v>0</v>
      </c>
      <c r="G175" s="20" t="n">
        <v>0</v>
      </c>
      <c r="H175" s="20" t="n">
        <v>0</v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0" t="n">
        <v>0</v>
      </c>
      <c r="V175" s="20" t="n">
        <v>0</v>
      </c>
      <c r="W175" s="20" t="n">
        <v>0</v>
      </c>
      <c r="X175" s="20" t="n">
        <v>0</v>
      </c>
    </row>
    <row r="176">
      <c r="A176" s="18" t="inlineStr">
        <is>
          <t>보고부문 합계 · (2) 부문 간 내부 영업수익·대체</t>
        </is>
      </c>
      <c r="C176" s="20" t="n">
        <v>0</v>
      </c>
      <c r="D176" s="20" t="n">
        <v>0</v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0</v>
      </c>
      <c r="K176" s="20" t="n">
        <v>0</v>
      </c>
      <c r="L176" s="20" t="n">
        <v>0</v>
      </c>
      <c r="M176" s="20" t="n">
        <v>6</v>
      </c>
      <c r="N176" s="20" t="n">
        <v>10</v>
      </c>
      <c r="V176" s="20" t="n">
        <v>0</v>
      </c>
      <c r="W176" s="20" t="n">
        <v>0</v>
      </c>
      <c r="X176" s="20" t="n">
        <v>10</v>
      </c>
    </row>
    <row r="177">
      <c r="A177" s="18" t="inlineStr">
        <is>
          <t>기타 · (2) 부문 간 내부 영업수익·대체</t>
        </is>
      </c>
      <c r="C177" s="20" t="n">
        <v>147</v>
      </c>
      <c r="D177" s="20" t="n">
        <v>152</v>
      </c>
      <c r="E177" s="20" t="n">
        <v>160</v>
      </c>
      <c r="F177" s="20" t="n">
        <v>191</v>
      </c>
      <c r="G177" s="20" t="n">
        <v>243</v>
      </c>
      <c r="H177" s="20" t="n">
        <v>336</v>
      </c>
      <c r="I177" s="20" t="n">
        <v>399</v>
      </c>
      <c r="J177" s="20" t="n">
        <v>423</v>
      </c>
      <c r="K177" s="20" t="n">
        <v>518</v>
      </c>
      <c r="L177" s="20" t="n">
        <v>557</v>
      </c>
      <c r="M177" s="20" t="n">
        <v>634</v>
      </c>
      <c r="N177" s="20" t="n">
        <v>718</v>
      </c>
      <c r="V177" s="20" t="n">
        <v>191</v>
      </c>
      <c r="W177" s="20" t="n">
        <v>423</v>
      </c>
      <c r="X177" s="20" t="n">
        <v>718</v>
      </c>
    </row>
    <row r="178">
      <c r="A178" s="18" t="inlineStr">
        <is>
          <t>조정액 · (2) 부문 간 내부 영업수익·대체</t>
        </is>
      </c>
      <c r="C178" s="20" t="n">
        <v>-147</v>
      </c>
      <c r="D178" s="20" t="n">
        <v>-152</v>
      </c>
      <c r="E178" s="20" t="n">
        <v>-160</v>
      </c>
      <c r="F178" s="20" t="n">
        <v>-192</v>
      </c>
      <c r="G178" s="20" t="n">
        <v>-243</v>
      </c>
      <c r="H178" s="20" t="n">
        <v>-336</v>
      </c>
      <c r="I178" s="20" t="n">
        <v>-399</v>
      </c>
      <c r="J178" s="20" t="n">
        <v>-423</v>
      </c>
      <c r="K178" s="20" t="n">
        <v>-518</v>
      </c>
      <c r="L178" s="20" t="n">
        <v>-557</v>
      </c>
      <c r="M178" s="20" t="n">
        <v>-641</v>
      </c>
      <c r="N178" s="20" t="n">
        <v>-727</v>
      </c>
      <c r="V178" s="20" t="n">
        <v>-192</v>
      </c>
      <c r="W178" s="20" t="n">
        <v>-423</v>
      </c>
      <c r="X178" s="20" t="n">
        <v>-727</v>
      </c>
    </row>
    <row r="179">
      <c r="A179" s="18" t="inlineStr">
        <is>
          <t>(2) 부문 간 내부 영업수익·대체</t>
        </is>
      </c>
      <c r="C179" s="20" t="n">
        <v>0</v>
      </c>
      <c r="D179" s="20" t="n">
        <v>0</v>
      </c>
      <c r="E179" s="20" t="n">
        <v>0</v>
      </c>
      <c r="F179" s="20" t="n">
        <v>0</v>
      </c>
      <c r="G179" s="20" t="n">
        <v>0</v>
      </c>
      <c r="H179" s="20" t="n">
        <v>0</v>
      </c>
      <c r="I179" s="20" t="n">
        <v>0</v>
      </c>
      <c r="J179" s="20" t="n">
        <v>0</v>
      </c>
      <c r="K179" s="20" t="n">
        <v>0</v>
      </c>
      <c r="L179" s="20" t="n">
        <v>0</v>
      </c>
      <c r="M179" s="20" t="n">
        <v>0</v>
      </c>
      <c r="N179" s="20" t="n">
        <v>0</v>
      </c>
      <c r="V179" s="20" t="n">
        <v>0</v>
      </c>
      <c r="W179" s="20" t="n">
        <v>0</v>
      </c>
      <c r="X179" s="20" t="n">
        <v>0</v>
      </c>
    </row>
    <row r="180">
      <c r="A180" s="18" t="inlineStr">
        <is>
          <t>국내 사업 · 계</t>
        </is>
      </c>
      <c r="C180" s="20" t="n">
        <v>97672</v>
      </c>
      <c r="D180" s="20" t="n">
        <v>87229</v>
      </c>
      <c r="E180" s="20" t="n">
        <v>108227</v>
      </c>
      <c r="F180" s="20" t="n">
        <v>95808</v>
      </c>
      <c r="G180" s="20" t="n">
        <v>122102</v>
      </c>
      <c r="H180" s="20" t="n">
        <v>103884</v>
      </c>
      <c r="I180" s="20" t="n">
        <v>133086</v>
      </c>
      <c r="J180" s="20" t="n">
        <v>111071</v>
      </c>
      <c r="K180" s="20" t="n">
        <v>133267</v>
      </c>
      <c r="L180" s="20" t="n">
        <v>111077</v>
      </c>
      <c r="M180" s="20" t="n">
        <v>146774</v>
      </c>
      <c r="N180" s="20" t="n">
        <v>119876</v>
      </c>
      <c r="V180" s="20" t="n">
        <v>95808</v>
      </c>
      <c r="W180" s="20" t="n">
        <v>111071</v>
      </c>
      <c r="X180" s="20" t="n">
        <v>119876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V181" s="15">
        <f>IF(OR(V180="",U180=""),"",IF(U180&lt;=0,"",IFERROR(V180/U180-1,"")))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동아시아 사업 · 계</t>
        </is>
      </c>
      <c r="C182" s="20" t="n">
        <v>46478</v>
      </c>
      <c r="D182" s="20" t="n">
        <v>49379</v>
      </c>
      <c r="E182" s="20" t="n">
        <v>48392</v>
      </c>
      <c r="F182" s="20" t="n">
        <v>50310</v>
      </c>
      <c r="G182" s="20" t="n">
        <v>54073</v>
      </c>
      <c r="H182" s="20" t="n">
        <v>56268</v>
      </c>
      <c r="I182" s="20" t="n">
        <v>54258</v>
      </c>
      <c r="J182" s="20" t="n">
        <v>57648</v>
      </c>
      <c r="K182" s="20" t="n">
        <v>67995</v>
      </c>
      <c r="L182" s="20" t="n">
        <v>68066</v>
      </c>
      <c r="M182" s="20" t="n">
        <v>76758</v>
      </c>
      <c r="N182" s="20" t="n">
        <v>80981</v>
      </c>
      <c r="V182" s="20" t="n">
        <v>50310</v>
      </c>
      <c r="W182" s="20" t="n">
        <v>57648</v>
      </c>
      <c r="X182" s="20" t="n">
        <v>80981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L183" s="15">
        <f>IF(OR(L182="",H182=""),"",IF(H182&lt;=0,"",IFERROR(L182/H182-1,"")))</f>
        <v/>
      </c>
      <c r="M183" s="15">
        <f>IF(OR(M182="",I182=""),"",IF(I182&lt;=0,"",IFERROR(M182/I182-1,"")))</f>
        <v/>
      </c>
      <c r="N183" s="15">
        <f>IF(OR(N182="",J182=""),"",IF(J182&lt;=0,"",IFERROR(N182/J182-1,"")))</f>
        <v/>
      </c>
      <c r="V183" s="15">
        <f>IF(OR(V182="",U182=""),"",IF(U182&lt;=0,"",IFERROR(V182/U182-1,"")))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동남·남아시아·오세아니아 사업 · 계</t>
        </is>
      </c>
      <c r="C184" s="20" t="n">
        <v>8575</v>
      </c>
      <c r="D184" s="20" t="n">
        <v>10417</v>
      </c>
      <c r="E184" s="20" t="n">
        <v>9853</v>
      </c>
      <c r="F184" s="20" t="n">
        <v>10293</v>
      </c>
      <c r="G184" s="20" t="n">
        <v>10856</v>
      </c>
      <c r="H184" s="20" t="n">
        <v>13611</v>
      </c>
      <c r="I184" s="20" t="n">
        <v>11962</v>
      </c>
      <c r="J184" s="20" t="n">
        <v>13676</v>
      </c>
      <c r="K184" s="20" t="n">
        <v>14482</v>
      </c>
      <c r="L184" s="20" t="n">
        <v>18635</v>
      </c>
      <c r="M184" s="20" t="n">
        <v>15957</v>
      </c>
      <c r="N184" s="20" t="n">
        <v>17445</v>
      </c>
      <c r="V184" s="20" t="n">
        <v>10293</v>
      </c>
      <c r="W184" s="20" t="n">
        <v>13676</v>
      </c>
      <c r="X184" s="20" t="n">
        <v>17445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V185" s="15">
        <f>IF(OR(V184="",U184=""),"",IF(U184&lt;=0,"",IFERROR(V184/U184-1,"")))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구미 사업 · 계</t>
        </is>
      </c>
      <c r="C186" s="20" t="n">
        <v>10187</v>
      </c>
      <c r="D186" s="20" t="n">
        <v>9901</v>
      </c>
      <c r="E186" s="20" t="n">
        <v>9388</v>
      </c>
      <c r="F186" s="20" t="n">
        <v>9567</v>
      </c>
      <c r="G186" s="20" t="n">
        <v>10657</v>
      </c>
      <c r="H186" s="20" t="n">
        <v>10571</v>
      </c>
      <c r="I186" s="20" t="n">
        <v>9764</v>
      </c>
      <c r="J186" s="20" t="n">
        <v>11141</v>
      </c>
      <c r="K186" s="20" t="n">
        <v>12482</v>
      </c>
      <c r="L186" s="20" t="n">
        <v>12543</v>
      </c>
      <c r="M186" s="20" t="n">
        <v>12758</v>
      </c>
      <c r="N186" s="20" t="n">
        <v>14512</v>
      </c>
      <c r="V186" s="20" t="n">
        <v>9567</v>
      </c>
      <c r="W186" s="20" t="n">
        <v>11141</v>
      </c>
      <c r="X186" s="20" t="n">
        <v>14512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보고부문 합계 · 계</t>
        </is>
      </c>
      <c r="C188" s="20" t="n">
        <v>162913</v>
      </c>
      <c r="D188" s="20" t="n">
        <v>156927</v>
      </c>
      <c r="E188" s="20" t="n">
        <v>175859</v>
      </c>
      <c r="F188" s="20" t="n">
        <v>165978</v>
      </c>
      <c r="G188" s="20" t="n">
        <v>197690</v>
      </c>
      <c r="H188" s="20" t="n">
        <v>184333</v>
      </c>
      <c r="I188" s="20" t="n">
        <v>209070</v>
      </c>
      <c r="J188" s="20" t="n">
        <v>193536</v>
      </c>
      <c r="K188" s="20" t="n">
        <v>228227</v>
      </c>
      <c r="L188" s="20" t="n">
        <v>210322</v>
      </c>
      <c r="M188" s="20" t="n">
        <v>252246</v>
      </c>
      <c r="N188" s="20" t="n">
        <v>232814</v>
      </c>
      <c r="V188" s="20" t="n">
        <v>165978</v>
      </c>
      <c r="W188" s="20" t="n">
        <v>193536</v>
      </c>
      <c r="X188" s="20" t="n">
        <v>232814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I189" s="15">
        <f>IF(OR(I188="",E188=""),"",IF(E188&lt;=0,"",IFERROR(I188/E188-1,"")))</f>
        <v/>
      </c>
      <c r="J189" s="15">
        <f>IF(OR(J188="",F188=""),"",IF(F188&lt;=0,"",IFERROR(J188/F188-1,"")))</f>
        <v/>
      </c>
      <c r="K189" s="15">
        <f>IF(OR(K188="",G188=""),"",IF(G188&lt;=0,"",IFERROR(K188/G188-1,"")))</f>
        <v/>
      </c>
      <c r="L189" s="15">
        <f>IF(OR(L188="",H188=""),"",IF(H188&lt;=0,"",IFERROR(L188/H188-1,"")))</f>
        <v/>
      </c>
      <c r="M189" s="15">
        <f>IF(OR(M188="",I188=""),"",IF(I188&lt;=0,"",IFERROR(M188/I188-1,"")))</f>
        <v/>
      </c>
      <c r="N189" s="15">
        <f>IF(OR(N188="",J188=""),"",IF(J188&lt;=0,"",IFERROR(N188/J188-1,"")))</f>
        <v/>
      </c>
      <c r="V189" s="15">
        <f>IF(OR(V188="",U188=""),"",IF(U188&lt;=0,"",IFERROR(V188/U188-1,"")))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0">
      <c r="A190" s="18" t="inlineStr">
        <is>
          <t>기타 · 계</t>
        </is>
      </c>
      <c r="C190" s="20" t="n">
        <v>147</v>
      </c>
      <c r="D190" s="20" t="n">
        <v>152</v>
      </c>
      <c r="E190" s="20" t="n">
        <v>160</v>
      </c>
      <c r="F190" s="20" t="n">
        <v>191</v>
      </c>
      <c r="G190" s="20" t="n">
        <v>243</v>
      </c>
      <c r="H190" s="20" t="n">
        <v>336</v>
      </c>
      <c r="I190" s="20" t="n">
        <v>399</v>
      </c>
      <c r="J190" s="20" t="n">
        <v>423</v>
      </c>
      <c r="K190" s="20" t="n">
        <v>518</v>
      </c>
      <c r="L190" s="20" t="n">
        <v>557</v>
      </c>
      <c r="M190" s="20" t="n">
        <v>634</v>
      </c>
      <c r="N190" s="20" t="n">
        <v>718</v>
      </c>
      <c r="V190" s="20" t="n">
        <v>191</v>
      </c>
      <c r="W190" s="20" t="n">
        <v>423</v>
      </c>
      <c r="X190" s="20" t="n">
        <v>718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V191" s="15">
        <f>IF(OR(V190="",U190=""),"",IF(U190&lt;=0,"",IFERROR(V190/U190-1,"")))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조정액 · 계</t>
        </is>
      </c>
      <c r="C192" s="20" t="n">
        <v>-147</v>
      </c>
      <c r="D192" s="20" t="n">
        <v>-152</v>
      </c>
      <c r="E192" s="20" t="n">
        <v>-160</v>
      </c>
      <c r="F192" s="20" t="n">
        <v>-192</v>
      </c>
      <c r="G192" s="20" t="n">
        <v>-243</v>
      </c>
      <c r="H192" s="20" t="n">
        <v>-336</v>
      </c>
      <c r="I192" s="20" t="n">
        <v>-399</v>
      </c>
      <c r="J192" s="20" t="n">
        <v>-423</v>
      </c>
      <c r="K192" s="20" t="n">
        <v>-518</v>
      </c>
      <c r="L192" s="20" t="n">
        <v>-557</v>
      </c>
      <c r="M192" s="20" t="n">
        <v>-641</v>
      </c>
      <c r="N192" s="20" t="n">
        <v>-727</v>
      </c>
      <c r="V192" s="20" t="n">
        <v>-192</v>
      </c>
      <c r="W192" s="20" t="n">
        <v>-423</v>
      </c>
      <c r="X192" s="20" t="n">
        <v>-727</v>
      </c>
    </row>
    <row r="193">
      <c r="A193" s="18" t="inlineStr">
        <is>
          <t>계</t>
        </is>
      </c>
      <c r="C193" s="20" t="n">
        <v>162913</v>
      </c>
      <c r="D193" s="20" t="n">
        <v>156926</v>
      </c>
      <c r="E193" s="20" t="n">
        <v>175860</v>
      </c>
      <c r="F193" s="20" t="n">
        <v>165978</v>
      </c>
      <c r="G193" s="20" t="n">
        <v>197690</v>
      </c>
      <c r="H193" s="20" t="n">
        <v>184333</v>
      </c>
      <c r="I193" s="20" t="n">
        <v>209070</v>
      </c>
      <c r="J193" s="20" t="n">
        <v>193536</v>
      </c>
      <c r="K193" s="20" t="n">
        <v>228227</v>
      </c>
      <c r="L193" s="20" t="n">
        <v>210322</v>
      </c>
      <c r="M193" s="20" t="n">
        <v>252239</v>
      </c>
      <c r="N193" s="20" t="n">
        <v>232804</v>
      </c>
      <c r="V193" s="20" t="n">
        <v>165978</v>
      </c>
      <c r="W193" s="20" t="n">
        <v>193536</v>
      </c>
      <c r="X193" s="20" t="n">
        <v>232804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IF(OR(G193="",C193=""),"",IF(C193&lt;=0,"",IFERROR(G193/C193-1,"")))</f>
        <v/>
      </c>
      <c r="H194" s="15">
        <f>IF(OR(H193="",D193=""),"",IF(D193&lt;=0,"",IFERROR(H193/D193-1,"")))</f>
        <v/>
      </c>
      <c r="I194" s="15">
        <f>IF(OR(I193="",E193=""),"",IF(E193&lt;=0,"",IFERROR(I193/E193-1,"")))</f>
        <v/>
      </c>
      <c r="J194" s="15">
        <f>IF(OR(J193="",F193=""),"",IF(F193&lt;=0,"",IFERROR(J193/F193-1,"")))</f>
        <v/>
      </c>
      <c r="K194" s="15">
        <f>IF(OR(K193="",G193=""),"",IF(G193&lt;=0,"",IFERROR(K193/G193-1,"")))</f>
        <v/>
      </c>
      <c r="L194" s="15">
        <f>IF(OR(L193="",H193=""),"",IF(H193&lt;=0,"",IFERROR(L193/H193-1,"")))</f>
        <v/>
      </c>
      <c r="M194" s="15">
        <f>IF(OR(M193="",I193=""),"",IF(I193&lt;=0,"",IFERROR(M193/I193-1,"")))</f>
        <v/>
      </c>
      <c r="N194" s="15">
        <f>IF(OR(N193="",J193=""),"",IF(J193&lt;=0,"",IFERROR(N193/J193-1,"")))</f>
        <v/>
      </c>
      <c r="V194" s="15">
        <f>IF(OR(V193="",U193=""),"",IF(U193&lt;=0,"",IFERROR(V193/U193-1,"")))</f>
        <v/>
      </c>
      <c r="W194" s="15">
        <f>IF(OR(W193="",V193=""),"",IF(V193&lt;=0,"",IFERROR(W193/V193-1,"")))</f>
        <v/>
      </c>
      <c r="X194" s="15">
        <f>IF(OR(X193="",W193=""),"",IF(W193&lt;=0,"",IFERROR(X193/W193-1,"")))</f>
        <v/>
      </c>
    </row>
    <row r="195">
      <c r="A195" s="18" t="inlineStr">
        <is>
          <t>국내 사업 · 부문 이익</t>
        </is>
      </c>
      <c r="C195" s="20" t="n">
        <v>9977</v>
      </c>
      <c r="D195" s="20" t="n">
        <v>6951</v>
      </c>
      <c r="E195" s="20" t="n">
        <v>13882</v>
      </c>
      <c r="F195" s="20" t="n">
        <v>8905</v>
      </c>
      <c r="G195" s="20" t="n">
        <v>15036</v>
      </c>
      <c r="H195" s="20" t="n">
        <v>9044</v>
      </c>
      <c r="I195" s="20" t="n">
        <v>17229</v>
      </c>
      <c r="J195" s="20" t="n">
        <v>10802</v>
      </c>
      <c r="K195" s="20" t="n">
        <v>18361</v>
      </c>
      <c r="L195" s="20" t="n">
        <v>9134</v>
      </c>
      <c r="M195" s="20" t="n">
        <v>23684</v>
      </c>
      <c r="N195" s="20" t="n">
        <v>12211</v>
      </c>
      <c r="V195" s="20" t="n">
        <v>8905</v>
      </c>
      <c r="W195" s="20" t="n">
        <v>10802</v>
      </c>
      <c r="X195" s="20" t="n">
        <v>12211</v>
      </c>
    </row>
    <row r="196">
      <c r="A196" s="43" t="inlineStr">
        <is>
          <t>OPM</t>
        </is>
      </c>
      <c r="B196" s="3" t="inlineStr">
        <is>
          <t>영업이익 ÷ 매출</t>
        </is>
      </c>
      <c r="C196" s="15">
        <f>IF(OR(C195="",C180=""),"",IF(C180&lt;=0,"",IFERROR(C195/C180,"")))</f>
        <v/>
      </c>
      <c r="D196" s="15">
        <f>IF(OR(D195="",D180=""),"",IF(D180&lt;=0,"",IFERROR(D195/D180,"")))</f>
        <v/>
      </c>
      <c r="E196" s="15">
        <f>IF(OR(E195="",E180=""),"",IF(E180&lt;=0,"",IFERROR(E195/E180,"")))</f>
        <v/>
      </c>
      <c r="F196" s="15">
        <f>IF(OR(F195="",F180=""),"",IF(F180&lt;=0,"",IFERROR(F195/F180,"")))</f>
        <v/>
      </c>
      <c r="G196" s="15">
        <f>IF(OR(G195="",G180=""),"",IF(G180&lt;=0,"",IFERROR(G195/G180,"")))</f>
        <v/>
      </c>
      <c r="H196" s="15">
        <f>IF(OR(H195="",H180=""),"",IF(H180&lt;=0,"",IFERROR(H195/H180,"")))</f>
        <v/>
      </c>
      <c r="I196" s="15">
        <f>IF(OR(I195="",I180=""),"",IF(I180&lt;=0,"",IFERROR(I195/I180,"")))</f>
        <v/>
      </c>
      <c r="J196" s="15">
        <f>IF(OR(J195="",J180=""),"",IF(J180&lt;=0,"",IFERROR(J195/J180,"")))</f>
        <v/>
      </c>
      <c r="K196" s="15">
        <f>IF(OR(K195="",K180=""),"",IF(K180&lt;=0,"",IFERROR(K195/K180,"")))</f>
        <v/>
      </c>
      <c r="L196" s="15">
        <f>IF(OR(L195="",L180=""),"",IF(L180&lt;=0,"",IFERROR(L195/L180,"")))</f>
        <v/>
      </c>
      <c r="M196" s="15">
        <f>IF(OR(M195="",M180=""),"",IF(M180&lt;=0,"",IFERROR(M195/M180,"")))</f>
        <v/>
      </c>
      <c r="N196" s="15">
        <f>IF(OR(N195="",N180=""),"",IF(N180&lt;=0,"",IFERROR(N195/N180,"")))</f>
        <v/>
      </c>
      <c r="V196" s="15">
        <f>IF(OR(V195="",V180=""),"",IF(V180&lt;=0,"",IFERROR(V195/V180,"")))</f>
        <v/>
      </c>
      <c r="W196" s="15">
        <f>IF(OR(W195="",W180=""),"",IF(W180&lt;=0,"",IFERROR(W195/W180,"")))</f>
        <v/>
      </c>
      <c r="X196" s="15">
        <f>IF(OR(X195="",X180=""),"",IF(X180&lt;=0,"",IFERROR(X195/X180,"")))</f>
        <v/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IF(OR(G195="",C195=""),"",IF(C195&lt;=0,"",IFERROR(G195/C195-1,"")))</f>
        <v/>
      </c>
      <c r="H197" s="15">
        <f>IF(OR(H195="",D195=""),"",IF(D195&lt;=0,"",IFERROR(H195/D195-1,"")))</f>
        <v/>
      </c>
      <c r="I197" s="15">
        <f>IF(OR(I195="",E195=""),"",IF(E195&lt;=0,"",IFERROR(I195/E195-1,"")))</f>
        <v/>
      </c>
      <c r="J197" s="15">
        <f>IF(OR(J195="",F195=""),"",IF(F195&lt;=0,"",IFERROR(J195/F195-1,"")))</f>
        <v/>
      </c>
      <c r="K197" s="15">
        <f>IF(OR(K195="",G195=""),"",IF(G195&lt;=0,"",IFERROR(K195/G195-1,"")))</f>
        <v/>
      </c>
      <c r="L197" s="15">
        <f>IF(OR(L195="",H195=""),"",IF(H195&lt;=0,"",IFERROR(L195/H195-1,"")))</f>
        <v/>
      </c>
      <c r="M197" s="15">
        <f>IF(OR(M195="",I195=""),"",IF(I195&lt;=0,"",IFERROR(M195/I195-1,"")))</f>
        <v/>
      </c>
      <c r="N197" s="15">
        <f>IF(OR(N195="",J195=""),"",IF(J195&lt;=0,"",IFERROR(N195/J195-1,"")))</f>
        <v/>
      </c>
      <c r="V197" s="15">
        <f>IF(OR(V195="",U195=""),"",IF(U195&lt;=0,"",IFERROR(V195/U195-1,"")))</f>
        <v/>
      </c>
      <c r="W197" s="15">
        <f>IF(OR(W195="",V195=""),"",IF(V195&lt;=0,"",IFERROR(W195/V195-1,"")))</f>
        <v/>
      </c>
      <c r="X197" s="15">
        <f>IF(OR(X195="",W195=""),"",IF(W195&lt;=0,"",IFERROR(X195/W195-1,"")))</f>
        <v/>
      </c>
    </row>
    <row r="198">
      <c r="A198" s="18" t="inlineStr">
        <is>
          <t>동아시아 사업 · 부문 이익</t>
        </is>
      </c>
      <c r="C198" s="20" t="n">
        <v>8499</v>
      </c>
      <c r="D198" s="20" t="n">
        <v>7724</v>
      </c>
      <c r="E198" s="20" t="n">
        <v>9291</v>
      </c>
      <c r="F198" s="20" t="n">
        <v>10015</v>
      </c>
      <c r="G198" s="20" t="n">
        <v>11110</v>
      </c>
      <c r="H198" s="20" t="n">
        <v>10256</v>
      </c>
      <c r="I198" s="20" t="n">
        <v>11166</v>
      </c>
      <c r="J198" s="20" t="n">
        <v>10262</v>
      </c>
      <c r="K198" s="20" t="n">
        <v>14213</v>
      </c>
      <c r="L198" s="20" t="n">
        <v>13352</v>
      </c>
      <c r="M198" s="20" t="n">
        <v>17854</v>
      </c>
      <c r="N198" s="20" t="n">
        <v>16271</v>
      </c>
      <c r="V198" s="20" t="n">
        <v>10015</v>
      </c>
      <c r="W198" s="20" t="n">
        <v>10262</v>
      </c>
      <c r="X198" s="20" t="n">
        <v>16271</v>
      </c>
    </row>
    <row r="199">
      <c r="A199" s="43" t="inlineStr">
        <is>
          <t>OPM</t>
        </is>
      </c>
      <c r="B199" s="3" t="inlineStr">
        <is>
          <t>영업이익 ÷ 매출</t>
        </is>
      </c>
      <c r="C199" s="15">
        <f>IF(OR(C198="",C182=""),"",IF(C182&lt;=0,"",IFERROR(C198/C182,"")))</f>
        <v/>
      </c>
      <c r="D199" s="15">
        <f>IF(OR(D198="",D182=""),"",IF(D182&lt;=0,"",IFERROR(D198/D182,"")))</f>
        <v/>
      </c>
      <c r="E199" s="15">
        <f>IF(OR(E198="",E182=""),"",IF(E182&lt;=0,"",IFERROR(E198/E182,"")))</f>
        <v/>
      </c>
      <c r="F199" s="15">
        <f>IF(OR(F198="",F182=""),"",IF(F182&lt;=0,"",IFERROR(F198/F182,"")))</f>
        <v/>
      </c>
      <c r="G199" s="15">
        <f>IF(OR(G198="",G182=""),"",IF(G182&lt;=0,"",IFERROR(G198/G182,"")))</f>
        <v/>
      </c>
      <c r="H199" s="15">
        <f>IF(OR(H198="",H182=""),"",IF(H182&lt;=0,"",IFERROR(H198/H182,"")))</f>
        <v/>
      </c>
      <c r="I199" s="15">
        <f>IF(OR(I198="",I182=""),"",IF(I182&lt;=0,"",IFERROR(I198/I182,"")))</f>
        <v/>
      </c>
      <c r="J199" s="15">
        <f>IF(OR(J198="",J182=""),"",IF(J182&lt;=0,"",IFERROR(J198/J182,"")))</f>
        <v/>
      </c>
      <c r="K199" s="15">
        <f>IF(OR(K198="",K182=""),"",IF(K182&lt;=0,"",IFERROR(K198/K182,"")))</f>
        <v/>
      </c>
      <c r="L199" s="15">
        <f>IF(OR(L198="",L182=""),"",IF(L182&lt;=0,"",IFERROR(L198/L182,"")))</f>
        <v/>
      </c>
      <c r="M199" s="15">
        <f>IF(OR(M198="",M182=""),"",IF(M182&lt;=0,"",IFERROR(M198/M182,"")))</f>
        <v/>
      </c>
      <c r="N199" s="15">
        <f>IF(OR(N198="",N182=""),"",IF(N182&lt;=0,"",IFERROR(N198/N182,"")))</f>
        <v/>
      </c>
      <c r="V199" s="15">
        <f>IF(OR(V198="",V182=""),"",IF(V182&lt;=0,"",IFERROR(V198/V182,"")))</f>
        <v/>
      </c>
      <c r="W199" s="15">
        <f>IF(OR(W198="",W182=""),"",IF(W182&lt;=0,"",IFERROR(W198/W182,"")))</f>
        <v/>
      </c>
      <c r="X199" s="15">
        <f>IF(OR(X198="",X182=""),"",IF(X182&lt;=0,"",IFERROR(X198/X182,"")))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K200" s="15">
        <f>IF(OR(K198="",G198=""),"",IF(G198&lt;=0,"",IFERROR(K198/G198-1,"")))</f>
        <v/>
      </c>
      <c r="L200" s="15">
        <f>IF(OR(L198="",H198=""),"",IF(H198&lt;=0,"",IFERROR(L198/H198-1,"")))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  <c r="V200" s="15">
        <f>IF(OR(V198="",U198=""),"",IF(U198&lt;=0,"",IFERROR(V198/U198-1,"")))</f>
        <v/>
      </c>
      <c r="W200" s="15">
        <f>IF(OR(W198="",V198=""),"",IF(V198&lt;=0,"",IFERROR(W198/V198-1,"")))</f>
        <v/>
      </c>
      <c r="X200" s="15">
        <f>IF(OR(X198="",W198=""),"",IF(W198&lt;=0,"",IFERROR(X198/W198-1,"")))</f>
        <v/>
      </c>
    </row>
    <row r="201">
      <c r="A201" s="18" t="inlineStr">
        <is>
          <t>동남·남아시아·오세아니아 사업 · 부문 이익</t>
        </is>
      </c>
      <c r="C201" s="20" t="n">
        <v>809</v>
      </c>
      <c r="D201" s="20" t="n">
        <v>1664</v>
      </c>
      <c r="E201" s="20" t="n">
        <v>1092</v>
      </c>
      <c r="F201" s="20" t="n">
        <v>1034</v>
      </c>
      <c r="G201" s="20" t="n">
        <v>1133</v>
      </c>
      <c r="H201" s="20" t="n">
        <v>2168</v>
      </c>
      <c r="I201" s="20" t="n">
        <v>1173</v>
      </c>
      <c r="J201" s="20" t="n">
        <v>1110</v>
      </c>
      <c r="K201" s="20" t="n">
        <v>1805</v>
      </c>
      <c r="L201" s="20" t="n">
        <v>3049</v>
      </c>
      <c r="M201" s="20" t="n">
        <v>2103</v>
      </c>
      <c r="N201" s="20" t="n">
        <v>2206</v>
      </c>
      <c r="V201" s="20" t="n">
        <v>1034</v>
      </c>
      <c r="W201" s="20" t="n">
        <v>1110</v>
      </c>
      <c r="X201" s="20" t="n">
        <v>2206</v>
      </c>
    </row>
    <row r="202">
      <c r="A202" s="43" t="inlineStr">
        <is>
          <t>OPM</t>
        </is>
      </c>
      <c r="B202" s="3" t="inlineStr">
        <is>
          <t>영업이익 ÷ 매출</t>
        </is>
      </c>
      <c r="C202" s="15">
        <f>IF(OR(C201="",C184=""),"",IF(C184&lt;=0,"",IFERROR(C201/C184,"")))</f>
        <v/>
      </c>
      <c r="D202" s="15">
        <f>IF(OR(D201="",D184=""),"",IF(D184&lt;=0,"",IFERROR(D201/D184,"")))</f>
        <v/>
      </c>
      <c r="E202" s="15">
        <f>IF(OR(E201="",E184=""),"",IF(E184&lt;=0,"",IFERROR(E201/E184,"")))</f>
        <v/>
      </c>
      <c r="F202" s="15">
        <f>IF(OR(F201="",F184=""),"",IF(F184&lt;=0,"",IFERROR(F201/F184,"")))</f>
        <v/>
      </c>
      <c r="G202" s="15">
        <f>IF(OR(G201="",G184=""),"",IF(G184&lt;=0,"",IFERROR(G201/G184,"")))</f>
        <v/>
      </c>
      <c r="H202" s="15">
        <f>IF(OR(H201="",H184=""),"",IF(H184&lt;=0,"",IFERROR(H201/H184,"")))</f>
        <v/>
      </c>
      <c r="I202" s="15">
        <f>IF(OR(I201="",I184=""),"",IF(I184&lt;=0,"",IFERROR(I201/I184,"")))</f>
        <v/>
      </c>
      <c r="J202" s="15">
        <f>IF(OR(J201="",J184=""),"",IF(J184&lt;=0,"",IFERROR(J201/J184,"")))</f>
        <v/>
      </c>
      <c r="K202" s="15">
        <f>IF(OR(K201="",K184=""),"",IF(K184&lt;=0,"",IFERROR(K201/K184,"")))</f>
        <v/>
      </c>
      <c r="L202" s="15">
        <f>IF(OR(L201="",L184=""),"",IF(L184&lt;=0,"",IFERROR(L201/L184,"")))</f>
        <v/>
      </c>
      <c r="M202" s="15">
        <f>IF(OR(M201="",M184=""),"",IF(M184&lt;=0,"",IFERROR(M201/M184,"")))</f>
        <v/>
      </c>
      <c r="N202" s="15">
        <f>IF(OR(N201="",N184=""),"",IF(N184&lt;=0,"",IFERROR(N201/N184,"")))</f>
        <v/>
      </c>
      <c r="V202" s="15">
        <f>IF(OR(V201="",V184=""),"",IF(V184&lt;=0,"",IFERROR(V201/V184,"")))</f>
        <v/>
      </c>
      <c r="W202" s="15">
        <f>IF(OR(W201="",W184=""),"",IF(W184&lt;=0,"",IFERROR(W201/W184,"")))</f>
        <v/>
      </c>
      <c r="X202" s="15">
        <f>IF(OR(X201="",X184=""),"",IF(X184&lt;=0,"",IFERROR(X201/X184,"")))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IF(OR(G201="",C201=""),"",IF(C201&lt;=0,"",IFERROR(G201/C201-1,"")))</f>
        <v/>
      </c>
      <c r="H203" s="15">
        <f>IF(OR(H201="",D201=""),"",IF(D201&lt;=0,"",IFERROR(H201/D201-1,"")))</f>
        <v/>
      </c>
      <c r="I203" s="15">
        <f>IF(OR(I201="",E201=""),"",IF(E201&lt;=0,"",IFERROR(I201/E201-1,"")))</f>
        <v/>
      </c>
      <c r="J203" s="15">
        <f>IF(OR(J201="",F201=""),"",IF(F201&lt;=0,"",IFERROR(J201/F201-1,"")))</f>
        <v/>
      </c>
      <c r="K203" s="15">
        <f>IF(OR(K201="",G201=""),"",IF(G201&lt;=0,"",IFERROR(K201/G201-1,"")))</f>
        <v/>
      </c>
      <c r="L203" s="15">
        <f>IF(OR(L201="",H201=""),"",IF(H201&lt;=0,"",IFERROR(L201/H201-1,"")))</f>
        <v/>
      </c>
      <c r="M203" s="15">
        <f>IF(OR(M201="",I201=""),"",IF(I201&lt;=0,"",IFERROR(M201/I201-1,"")))</f>
        <v/>
      </c>
      <c r="N203" s="15">
        <f>IF(OR(N201="",J201=""),"",IF(J201&lt;=0,"",IFERROR(N201/J201-1,"")))</f>
        <v/>
      </c>
      <c r="V203" s="15">
        <f>IF(OR(V201="",U201=""),"",IF(U201&lt;=0,"",IFERROR(V201/U201-1,"")))</f>
        <v/>
      </c>
      <c r="W203" s="15">
        <f>IF(OR(W201="",V201=""),"",IF(V201&lt;=0,"",IFERROR(W201/V201-1,"")))</f>
        <v/>
      </c>
      <c r="X203" s="15">
        <f>IF(OR(X201="",W201=""),"",IF(W201&lt;=0,"",IFERROR(X201/W201-1,"")))</f>
        <v/>
      </c>
    </row>
    <row r="204">
      <c r="A204" s="18" t="inlineStr">
        <is>
          <t>구미 사업 · 부문 이익</t>
        </is>
      </c>
      <c r="C204" s="20" t="n">
        <v>1152</v>
      </c>
      <c r="D204" s="20" t="n">
        <v>1191</v>
      </c>
      <c r="E204" s="20" t="n">
        <v>1509</v>
      </c>
      <c r="F204" s="20" t="n">
        <v>1654</v>
      </c>
      <c r="G204" s="20" t="n">
        <v>2253</v>
      </c>
      <c r="H204" s="20" t="n">
        <v>1381</v>
      </c>
      <c r="I204" s="20" t="n">
        <v>1684</v>
      </c>
      <c r="J204" s="20" t="n">
        <v>1604</v>
      </c>
      <c r="K204" s="20" t="n">
        <v>2824</v>
      </c>
      <c r="L204" s="20" t="n">
        <v>1162</v>
      </c>
      <c r="M204" s="20" t="n">
        <v>1533</v>
      </c>
      <c r="N204" s="20" t="n">
        <v>2578</v>
      </c>
      <c r="V204" s="20" t="n">
        <v>1654</v>
      </c>
      <c r="W204" s="20" t="n">
        <v>1604</v>
      </c>
      <c r="X204" s="20" t="n">
        <v>2578</v>
      </c>
    </row>
    <row r="205">
      <c r="A205" s="43" t="inlineStr">
        <is>
          <t>OPM</t>
        </is>
      </c>
      <c r="B205" s="3" t="inlineStr">
        <is>
          <t>영업이익 ÷ 매출</t>
        </is>
      </c>
      <c r="C205" s="15">
        <f>IF(OR(C204="",C186=""),"",IF(C186&lt;=0,"",IFERROR(C204/C186,"")))</f>
        <v/>
      </c>
      <c r="D205" s="15">
        <f>IF(OR(D204="",D186=""),"",IF(D186&lt;=0,"",IFERROR(D204/D186,"")))</f>
        <v/>
      </c>
      <c r="E205" s="15">
        <f>IF(OR(E204="",E186=""),"",IF(E186&lt;=0,"",IFERROR(E204/E186,"")))</f>
        <v/>
      </c>
      <c r="F205" s="15">
        <f>IF(OR(F204="",F186=""),"",IF(F186&lt;=0,"",IFERROR(F204/F186,"")))</f>
        <v/>
      </c>
      <c r="G205" s="15">
        <f>IF(OR(G204="",G186=""),"",IF(G186&lt;=0,"",IFERROR(G204/G186,"")))</f>
        <v/>
      </c>
      <c r="H205" s="15">
        <f>IF(OR(H204="",H186=""),"",IF(H186&lt;=0,"",IFERROR(H204/H186,"")))</f>
        <v/>
      </c>
      <c r="I205" s="15">
        <f>IF(OR(I204="",I186=""),"",IF(I186&lt;=0,"",IFERROR(I204/I186,"")))</f>
        <v/>
      </c>
      <c r="J205" s="15">
        <f>IF(OR(J204="",J186=""),"",IF(J186&lt;=0,"",IFERROR(J204/J186,"")))</f>
        <v/>
      </c>
      <c r="K205" s="15">
        <f>IF(OR(K204="",K186=""),"",IF(K186&lt;=0,"",IFERROR(K204/K186,"")))</f>
        <v/>
      </c>
      <c r="L205" s="15">
        <f>IF(OR(L204="",L186=""),"",IF(L186&lt;=0,"",IFERROR(L204/L186,"")))</f>
        <v/>
      </c>
      <c r="M205" s="15">
        <f>IF(OR(M204="",M186=""),"",IF(M186&lt;=0,"",IFERROR(M204/M186,"")))</f>
        <v/>
      </c>
      <c r="N205" s="15">
        <f>IF(OR(N204="",N186=""),"",IF(N186&lt;=0,"",IFERROR(N204/N186,"")))</f>
        <v/>
      </c>
      <c r="V205" s="15">
        <f>IF(OR(V204="",V186=""),"",IF(V186&lt;=0,"",IFERROR(V204/V186,"")))</f>
        <v/>
      </c>
      <c r="W205" s="15">
        <f>IF(OR(W204="",W186=""),"",IF(W186&lt;=0,"",IFERROR(W204/W186,"")))</f>
        <v/>
      </c>
      <c r="X205" s="15">
        <f>IF(OR(X204="",X186=""),"",IF(X186&lt;=0,"",IFERROR(X204/X186,"")))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IF(OR(G204="",C204=""),"",IF(C204&lt;=0,"",IFERROR(G204/C204-1,"")))</f>
        <v/>
      </c>
      <c r="H206" s="15">
        <f>IF(OR(H204="",D204=""),"",IF(D204&lt;=0,"",IFERROR(H204/D204-1,"")))</f>
        <v/>
      </c>
      <c r="I206" s="15">
        <f>IF(OR(I204="",E204=""),"",IF(E204&lt;=0,"",IFERROR(I204/E204-1,"")))</f>
        <v/>
      </c>
      <c r="J206" s="15">
        <f>IF(OR(J204="",F204=""),"",IF(F204&lt;=0,"",IFERROR(J204/F204-1,"")))</f>
        <v/>
      </c>
      <c r="K206" s="15">
        <f>IF(OR(K204="",G204=""),"",IF(G204&lt;=0,"",IFERROR(K204/G204-1,"")))</f>
        <v/>
      </c>
      <c r="L206" s="15">
        <f>IF(OR(L204="",H204=""),"",IF(H204&lt;=0,"",IFERROR(L204/H204-1,"")))</f>
        <v/>
      </c>
      <c r="M206" s="15">
        <f>IF(OR(M204="",I204=""),"",IF(I204&lt;=0,"",IFERROR(M204/I204-1,"")))</f>
        <v/>
      </c>
      <c r="N206" s="15">
        <f>IF(OR(N204="",J204=""),"",IF(J204&lt;=0,"",IFERROR(N204/J204-1,"")))</f>
        <v/>
      </c>
      <c r="V206" s="15">
        <f>IF(OR(V204="",U204=""),"",IF(U204&lt;=0,"",IFERROR(V204/U204-1,"")))</f>
        <v/>
      </c>
      <c r="W206" s="15">
        <f>IF(OR(W204="",V204=""),"",IF(V204&lt;=0,"",IFERROR(W204/V204-1,"")))</f>
        <v/>
      </c>
      <c r="X206" s="15">
        <f>IF(OR(X204="",W204=""),"",IF(W204&lt;=0,"",IFERROR(X204/W204-1,"")))</f>
        <v/>
      </c>
    </row>
    <row r="207">
      <c r="A207" s="18" t="inlineStr">
        <is>
          <t>보고부문 합계 · 부문 이익</t>
        </is>
      </c>
      <c r="C207" s="20" t="n">
        <v>20438</v>
      </c>
      <c r="D207" s="20" t="n">
        <v>17531</v>
      </c>
      <c r="E207" s="20" t="n">
        <v>25772</v>
      </c>
      <c r="F207" s="20" t="n">
        <v>21609</v>
      </c>
      <c r="G207" s="20" t="n">
        <v>29534</v>
      </c>
      <c r="H207" s="20" t="n">
        <v>22848</v>
      </c>
      <c r="I207" s="20" t="n">
        <v>31253</v>
      </c>
      <c r="J207" s="20" t="n">
        <v>23777</v>
      </c>
      <c r="K207" s="20" t="n">
        <v>37204</v>
      </c>
      <c r="L207" s="20" t="n">
        <v>26698</v>
      </c>
      <c r="M207" s="20" t="n">
        <v>45174</v>
      </c>
      <c r="N207" s="20" t="n">
        <v>33266</v>
      </c>
      <c r="V207" s="20" t="n">
        <v>21609</v>
      </c>
      <c r="W207" s="20" t="n">
        <v>23777</v>
      </c>
      <c r="X207" s="20" t="n">
        <v>33266</v>
      </c>
    </row>
    <row r="208">
      <c r="A208" s="43" t="inlineStr">
        <is>
          <t>OPM</t>
        </is>
      </c>
      <c r="B208" s="3" t="inlineStr">
        <is>
          <t>영업이익 ÷ 매출</t>
        </is>
      </c>
      <c r="C208" s="15">
        <f>IF(OR(C207="",C188=""),"",IF(C188&lt;=0,"",IFERROR(C207/C188,"")))</f>
        <v/>
      </c>
      <c r="D208" s="15">
        <f>IF(OR(D207="",D188=""),"",IF(D188&lt;=0,"",IFERROR(D207/D188,"")))</f>
        <v/>
      </c>
      <c r="E208" s="15">
        <f>IF(OR(E207="",E188=""),"",IF(E188&lt;=0,"",IFERROR(E207/E188,"")))</f>
        <v/>
      </c>
      <c r="F208" s="15">
        <f>IF(OR(F207="",F188=""),"",IF(F188&lt;=0,"",IFERROR(F207/F188,"")))</f>
        <v/>
      </c>
      <c r="G208" s="15">
        <f>IF(OR(G207="",G188=""),"",IF(G188&lt;=0,"",IFERROR(G207/G188,"")))</f>
        <v/>
      </c>
      <c r="H208" s="15">
        <f>IF(OR(H207="",H188=""),"",IF(H188&lt;=0,"",IFERROR(H207/H188,"")))</f>
        <v/>
      </c>
      <c r="I208" s="15">
        <f>IF(OR(I207="",I188=""),"",IF(I188&lt;=0,"",IFERROR(I207/I188,"")))</f>
        <v/>
      </c>
      <c r="J208" s="15">
        <f>IF(OR(J207="",J188=""),"",IF(J188&lt;=0,"",IFERROR(J207/J188,"")))</f>
        <v/>
      </c>
      <c r="K208" s="15">
        <f>IF(OR(K207="",K188=""),"",IF(K188&lt;=0,"",IFERROR(K207/K188,"")))</f>
        <v/>
      </c>
      <c r="L208" s="15">
        <f>IF(OR(L207="",L188=""),"",IF(L188&lt;=0,"",IFERROR(L207/L188,"")))</f>
        <v/>
      </c>
      <c r="M208" s="15">
        <f>IF(OR(M207="",M188=""),"",IF(M188&lt;=0,"",IFERROR(M207/M188,"")))</f>
        <v/>
      </c>
      <c r="N208" s="15">
        <f>IF(OR(N207="",N188=""),"",IF(N188&lt;=0,"",IFERROR(N207/N188,"")))</f>
        <v/>
      </c>
      <c r="V208" s="15">
        <f>IF(OR(V207="",V188=""),"",IF(V188&lt;=0,"",IFERROR(V207/V188,"")))</f>
        <v/>
      </c>
      <c r="W208" s="15">
        <f>IF(OR(W207="",W188=""),"",IF(W188&lt;=0,"",IFERROR(W207/W188,"")))</f>
        <v/>
      </c>
      <c r="X208" s="15">
        <f>IF(OR(X207="",X188=""),"",IF(X188&lt;=0,"",IFERROR(X207/X188,"")))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IF(OR(G207="",C207=""),"",IF(C207&lt;=0,"",IFERROR(G207/C207-1,"")))</f>
        <v/>
      </c>
      <c r="H209" s="15">
        <f>IF(OR(H207="",D207=""),"",IF(D207&lt;=0,"",IFERROR(H207/D207-1,"")))</f>
        <v/>
      </c>
      <c r="I209" s="15">
        <f>IF(OR(I207="",E207=""),"",IF(E207&lt;=0,"",IFERROR(I207/E207-1,"")))</f>
        <v/>
      </c>
      <c r="J209" s="15">
        <f>IF(OR(J207="",F207=""),"",IF(F207&lt;=0,"",IFERROR(J207/F207-1,"")))</f>
        <v/>
      </c>
      <c r="K209" s="15">
        <f>IF(OR(K207="",G207=""),"",IF(G207&lt;=0,"",IFERROR(K207/G207-1,"")))</f>
        <v/>
      </c>
      <c r="L209" s="15">
        <f>IF(OR(L207="",H207=""),"",IF(H207&lt;=0,"",IFERROR(L207/H207-1,"")))</f>
        <v/>
      </c>
      <c r="M209" s="15">
        <f>IF(OR(M207="",I207=""),"",IF(I207&lt;=0,"",IFERROR(M207/I207-1,"")))</f>
        <v/>
      </c>
      <c r="N209" s="15">
        <f>IF(OR(N207="",J207=""),"",IF(J207&lt;=0,"",IFERROR(N207/J207-1,"")))</f>
        <v/>
      </c>
      <c r="V209" s="15">
        <f>IF(OR(V207="",U207=""),"",IF(U207&lt;=0,"",IFERROR(V207/U207-1,"")))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0">
      <c r="A210" s="18" t="inlineStr">
        <is>
          <t>기타 · 부문 이익</t>
        </is>
      </c>
      <c r="C210" s="20" t="n">
        <v>14</v>
      </c>
      <c r="D210" s="20" t="n">
        <v>17</v>
      </c>
      <c r="E210" s="20" t="n">
        <v>5</v>
      </c>
      <c r="F210" s="20" t="n">
        <v>7</v>
      </c>
      <c r="G210" s="20" t="n">
        <v>12</v>
      </c>
      <c r="H210" s="20" t="n">
        <v>17</v>
      </c>
      <c r="I210" s="20" t="n">
        <v>19</v>
      </c>
      <c r="J210" s="20" t="n">
        <v>25</v>
      </c>
      <c r="K210" s="20" t="n">
        <v>31</v>
      </c>
      <c r="L210" s="20" t="n">
        <v>28</v>
      </c>
      <c r="M210" s="20" t="n">
        <v>37</v>
      </c>
      <c r="N210" s="20" t="n">
        <v>44</v>
      </c>
      <c r="V210" s="20" t="n">
        <v>7</v>
      </c>
      <c r="W210" s="20" t="n">
        <v>25</v>
      </c>
      <c r="X210" s="20" t="n">
        <v>44</v>
      </c>
    </row>
    <row r="211">
      <c r="A211" s="43" t="inlineStr">
        <is>
          <t>OPM</t>
        </is>
      </c>
      <c r="B211" s="3" t="inlineStr">
        <is>
          <t>영업이익 ÷ 매출</t>
        </is>
      </c>
      <c r="C211" s="15">
        <f>IF(OR(C210="",C190=""),"",IF(C190&lt;=0,"",IFERROR(C210/C190,"")))</f>
        <v/>
      </c>
      <c r="D211" s="15">
        <f>IF(OR(D210="",D190=""),"",IF(D190&lt;=0,"",IFERROR(D210/D190,"")))</f>
        <v/>
      </c>
      <c r="E211" s="15">
        <f>IF(OR(E210="",E190=""),"",IF(E190&lt;=0,"",IFERROR(E210/E190,"")))</f>
        <v/>
      </c>
      <c r="F211" s="15">
        <f>IF(OR(F210="",F190=""),"",IF(F190&lt;=0,"",IFERROR(F210/F190,"")))</f>
        <v/>
      </c>
      <c r="G211" s="15">
        <f>IF(OR(G210="",G190=""),"",IF(G190&lt;=0,"",IFERROR(G210/G190,"")))</f>
        <v/>
      </c>
      <c r="H211" s="15">
        <f>IF(OR(H210="",H190=""),"",IF(H190&lt;=0,"",IFERROR(H210/H190,"")))</f>
        <v/>
      </c>
      <c r="I211" s="15">
        <f>IF(OR(I210="",I190=""),"",IF(I190&lt;=0,"",IFERROR(I210/I190,"")))</f>
        <v/>
      </c>
      <c r="J211" s="15">
        <f>IF(OR(J210="",J190=""),"",IF(J190&lt;=0,"",IFERROR(J210/J190,"")))</f>
        <v/>
      </c>
      <c r="K211" s="15">
        <f>IF(OR(K210="",K190=""),"",IF(K190&lt;=0,"",IFERROR(K210/K190,"")))</f>
        <v/>
      </c>
      <c r="L211" s="15">
        <f>IF(OR(L210="",L190=""),"",IF(L190&lt;=0,"",IFERROR(L210/L190,"")))</f>
        <v/>
      </c>
      <c r="M211" s="15">
        <f>IF(OR(M210="",M190=""),"",IF(M190&lt;=0,"",IFERROR(M210/M190,"")))</f>
        <v/>
      </c>
      <c r="N211" s="15">
        <f>IF(OR(N210="",N190=""),"",IF(N190&lt;=0,"",IFERROR(N210/N190,"")))</f>
        <v/>
      </c>
      <c r="V211" s="15">
        <f>IF(OR(V210="",V190=""),"",IF(V190&lt;=0,"",IFERROR(V210/V190,"")))</f>
        <v/>
      </c>
      <c r="W211" s="15">
        <f>IF(OR(W210="",W190=""),"",IF(W190&lt;=0,"",IFERROR(W210/W190,"")))</f>
        <v/>
      </c>
      <c r="X211" s="15">
        <f>IF(OR(X210="",X190=""),"",IF(X190&lt;=0,"",IFERROR(X210/X190,"")))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G212" s="15">
        <f>IF(OR(G210="",C210=""),"",IF(C210&lt;=0,"",IFERROR(G210/C210-1,"")))</f>
        <v/>
      </c>
      <c r="H212" s="15">
        <f>IF(OR(H210="",D210=""),"",IF(D210&lt;=0,"",IFERROR(H210/D210-1,"")))</f>
        <v/>
      </c>
      <c r="I212" s="15">
        <f>IF(OR(I210="",E210=""),"",IF(E210&lt;=0,"",IFERROR(I210/E210-1,"")))</f>
        <v/>
      </c>
      <c r="J212" s="15">
        <f>IF(OR(J210="",F210=""),"",IF(F210&lt;=0,"",IFERROR(J210/F210-1,"")))</f>
        <v/>
      </c>
      <c r="K212" s="15">
        <f>IF(OR(K210="",G210=""),"",IF(G210&lt;=0,"",IFERROR(K210/G210-1,"")))</f>
        <v/>
      </c>
      <c r="L212" s="15">
        <f>IF(OR(L210="",H210=""),"",IF(H210&lt;=0,"",IFERROR(L210/H210-1,"")))</f>
        <v/>
      </c>
      <c r="M212" s="15">
        <f>IF(OR(M210="",I210=""),"",IF(I210&lt;=0,"",IFERROR(M210/I210-1,"")))</f>
        <v/>
      </c>
      <c r="N212" s="15">
        <f>IF(OR(N210="",J210=""),"",IF(J210&lt;=0,"",IFERROR(N210/J210-1,"")))</f>
        <v/>
      </c>
      <c r="V212" s="15">
        <f>IF(OR(V210="",U210=""),"",IF(U210&lt;=0,"",IFERROR(V210/U210-1,"")))</f>
        <v/>
      </c>
      <c r="W212" s="15">
        <f>IF(OR(W210="",V210=""),"",IF(V210&lt;=0,"",IFERROR(W210/V210-1,"")))</f>
        <v/>
      </c>
      <c r="X212" s="15">
        <f>IF(OR(X210="",W210=""),"",IF(W210&lt;=0,"",IFERROR(X210/W210-1,"")))</f>
        <v/>
      </c>
    </row>
    <row r="213">
      <c r="A213" s="18" t="inlineStr">
        <is>
          <t>조정액 · 부문 이익</t>
        </is>
      </c>
      <c r="C213" s="20" t="n">
        <v>-6570</v>
      </c>
      <c r="D213" s="20" t="n">
        <v>-7331</v>
      </c>
      <c r="E213" s="20" t="n">
        <v>-7407</v>
      </c>
      <c r="F213" s="20" t="n">
        <v>-7951</v>
      </c>
      <c r="G213" s="20" t="n">
        <v>-7589</v>
      </c>
      <c r="H213" s="20" t="n">
        <v>-8717</v>
      </c>
      <c r="I213" s="20" t="n">
        <v>-7970</v>
      </c>
      <c r="J213" s="20" t="n">
        <v>-9369</v>
      </c>
      <c r="K213" s="20" t="n">
        <v>-8852</v>
      </c>
      <c r="L213" s="20" t="n">
        <v>-10064</v>
      </c>
      <c r="M213" s="20" t="n">
        <v>-9435</v>
      </c>
      <c r="N213" s="20" t="n">
        <v>-10695</v>
      </c>
      <c r="V213" s="20" t="n">
        <v>-7951</v>
      </c>
      <c r="W213" s="20" t="n">
        <v>-9369</v>
      </c>
      <c r="X213" s="20" t="n">
        <v>-10695</v>
      </c>
    </row>
    <row r="214">
      <c r="A214" s="9" t="inlineStr">
        <is>
          <t>부문 이익</t>
        </is>
      </c>
      <c r="C214" s="12" t="n">
        <v>13882</v>
      </c>
      <c r="D214" s="12" t="n">
        <v>10217</v>
      </c>
      <c r="E214" s="12" t="n">
        <v>18370</v>
      </c>
      <c r="F214" s="12" t="n">
        <v>13666</v>
      </c>
      <c r="G214" s="12" t="n">
        <v>21957</v>
      </c>
      <c r="H214" s="12" t="n">
        <v>14148</v>
      </c>
      <c r="I214" s="12" t="n">
        <v>23301</v>
      </c>
      <c r="J214" s="12" t="n">
        <v>14434</v>
      </c>
      <c r="K214" s="12" t="n">
        <v>28383</v>
      </c>
      <c r="L214" s="12" t="n">
        <v>16662</v>
      </c>
      <c r="M214" s="12" t="n">
        <v>35777</v>
      </c>
      <c r="N214" s="12" t="n">
        <v>22614</v>
      </c>
      <c r="V214" s="12" t="n">
        <v>13666</v>
      </c>
      <c r="W214" s="12" t="n">
        <v>14434</v>
      </c>
      <c r="X214" s="12" t="n">
        <v>22614</v>
      </c>
    </row>
    <row r="215">
      <c r="A215" s="43" t="inlineStr">
        <is>
          <t>OPM</t>
        </is>
      </c>
      <c r="B215" s="3" t="inlineStr">
        <is>
          <t>영업이익 ÷ 매출</t>
        </is>
      </c>
      <c r="C215" s="15">
        <f>IF(OR(C214="",C170=""),"",IF(C170&lt;=0,"",IFERROR(C214/C170,"")))</f>
        <v/>
      </c>
      <c r="D215" s="15">
        <f>IF(OR(D214="",D170=""),"",IF(D170&lt;=0,"",IFERROR(D214/D170,"")))</f>
        <v/>
      </c>
      <c r="E215" s="15">
        <f>IF(OR(E214="",E170=""),"",IF(E170&lt;=0,"",IFERROR(E214/E170,"")))</f>
        <v/>
      </c>
      <c r="F215" s="15">
        <f>IF(OR(F214="",F170=""),"",IF(F170&lt;=0,"",IFERROR(F214/F170,"")))</f>
        <v/>
      </c>
      <c r="G215" s="15">
        <f>IF(OR(G214="",G170=""),"",IF(G170&lt;=0,"",IFERROR(G214/G170,"")))</f>
        <v/>
      </c>
      <c r="H215" s="15">
        <f>IF(OR(H214="",H170=""),"",IF(H170&lt;=0,"",IFERROR(H214/H170,"")))</f>
        <v/>
      </c>
      <c r="I215" s="15">
        <f>IF(OR(I214="",I170=""),"",IF(I170&lt;=0,"",IFERROR(I214/I170,"")))</f>
        <v/>
      </c>
      <c r="J215" s="15">
        <f>IF(OR(J214="",J170=""),"",IF(J170&lt;=0,"",IFERROR(J214/J170,"")))</f>
        <v/>
      </c>
      <c r="K215" s="15">
        <f>IF(OR(K214="",K170=""),"",IF(K170&lt;=0,"",IFERROR(K214/K170,"")))</f>
        <v/>
      </c>
      <c r="L215" s="15">
        <f>IF(OR(L214="",L170=""),"",IF(L170&lt;=0,"",IFERROR(L214/L170,"")))</f>
        <v/>
      </c>
      <c r="M215" s="15">
        <f>IF(OR(M214="",M170=""),"",IF(M170&lt;=0,"",IFERROR(M214/M170,"")))</f>
        <v/>
      </c>
      <c r="N215" s="15">
        <f>IF(OR(N214="",N170=""),"",IF(N170&lt;=0,"",IFERROR(N214/N170,"")))</f>
        <v/>
      </c>
      <c r="V215" s="15">
        <f>IF(OR(V214="",V170=""),"",IF(V170&lt;=0,"",IFERROR(V214/V170,"")))</f>
        <v/>
      </c>
      <c r="W215" s="15">
        <f>IF(OR(W214="",W170=""),"",IF(W170&lt;=0,"",IFERROR(W214/W170,"")))</f>
        <v/>
      </c>
      <c r="X215" s="15">
        <f>IF(OR(X214="",X170=""),"",IF(X170&lt;=0,"",IFERROR(X214/X170,"")))</f>
        <v/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G216" s="15">
        <f>IF(OR(G214="",C214=""),"",IF(C214&lt;=0,"",IFERROR(G214/C214-1,"")))</f>
        <v/>
      </c>
      <c r="H216" s="15">
        <f>IF(OR(H214="",D214=""),"",IF(D214&lt;=0,"",IFERROR(H214/D214-1,"")))</f>
        <v/>
      </c>
      <c r="I216" s="15">
        <f>IF(OR(I214="",E214=""),"",IF(E214&lt;=0,"",IFERROR(I214/E214-1,"")))</f>
        <v/>
      </c>
      <c r="J216" s="15">
        <f>IF(OR(J214="",F214=""),"",IF(F214&lt;=0,"",IFERROR(J214/F214-1,"")))</f>
        <v/>
      </c>
      <c r="K216" s="15">
        <f>IF(OR(K214="",G214=""),"",IF(G214&lt;=0,"",IFERROR(K214/G214-1,"")))</f>
        <v/>
      </c>
      <c r="L216" s="15">
        <f>IF(OR(L214="",H214=""),"",IF(H214&lt;=0,"",IFERROR(L214/H214-1,"")))</f>
        <v/>
      </c>
      <c r="M216" s="15">
        <f>IF(OR(M214="",I214=""),"",IF(I214&lt;=0,"",IFERROR(M214/I214-1,"")))</f>
        <v/>
      </c>
      <c r="N216" s="15">
        <f>IF(OR(N214="",J214=""),"",IF(J214&lt;=0,"",IFERROR(N214/J214-1,"")))</f>
        <v/>
      </c>
      <c r="V216" s="15">
        <f>IF(OR(V214="",U214=""),"",IF(U214&lt;=0,"",IFERROR(V214/U214-1,"")))</f>
        <v/>
      </c>
      <c r="W216" s="15">
        <f>IF(OR(W214="",V214=""),"",IF(V214&lt;=0,"",IFERROR(W214/V214-1,"")))</f>
        <v/>
      </c>
      <c r="X216" s="15">
        <f>IF(OR(X214="",W214=""),"",IF(W214&lt;=0,"",IFERROR(X214/W214-1,"")))</f>
        <v/>
      </c>
    </row>
    <row r="218">
      <c r="A218" s="16" t="inlineStr">
        <is>
          <t>현금흐름표 · 전 항목</t>
        </is>
      </c>
      <c r="B218" s="42" t="inlineStr">
        <is>
          <t>분기 = 결산기 첫날부터 누계(공시 그대로)</t>
        </is>
      </c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</row>
    <row r="219">
      <c r="A219" s="5" t="inlineStr">
        <is>
          <t>항목</t>
        </is>
      </c>
      <c r="B219" s="5" t="inlineStr">
        <is>
          <t>참고</t>
        </is>
      </c>
      <c r="C219" s="5" t="inlineStr">
        <is>
          <t>2024.1Q</t>
        </is>
      </c>
      <c r="D219" s="5" t="inlineStr">
        <is>
          <t>2024.2Q</t>
        </is>
      </c>
      <c r="E219" s="5" t="inlineStr">
        <is>
          <t>2024.3Q</t>
        </is>
      </c>
      <c r="F219" s="5" t="inlineStr">
        <is>
          <t>2024.4Q</t>
        </is>
      </c>
      <c r="G219" s="5" t="inlineStr">
        <is>
          <t>2025.1Q</t>
        </is>
      </c>
      <c r="H219" s="5" t="inlineStr">
        <is>
          <t>2025.2Q</t>
        </is>
      </c>
      <c r="I219" s="5" t="inlineStr">
        <is>
          <t>2025.3Q</t>
        </is>
      </c>
      <c r="J219" s="5" t="inlineStr">
        <is>
          <t>2025.4Q</t>
        </is>
      </c>
      <c r="K219" s="5" t="inlineStr">
        <is>
          <t>2026.1Q</t>
        </is>
      </c>
      <c r="L219" s="5" t="inlineStr">
        <is>
          <t>2026.2Q</t>
        </is>
      </c>
      <c r="M219" s="5" t="inlineStr">
        <is>
          <t>2026.3Q</t>
        </is>
      </c>
      <c r="N219" s="5" t="inlineStr">
        <is>
          <t>2026.4Q</t>
        </is>
      </c>
      <c r="O219" s="5" t="inlineStr">
        <is>
          <t>2017</t>
        </is>
      </c>
      <c r="P219" s="5" t="inlineStr">
        <is>
          <t>2018</t>
        </is>
      </c>
      <c r="Q219" s="5" t="inlineStr">
        <is>
          <t>2019</t>
        </is>
      </c>
      <c r="R219" s="5" t="inlineStr">
        <is>
          <t>2020</t>
        </is>
      </c>
      <c r="S219" s="5" t="inlineStr">
        <is>
          <t>2021</t>
        </is>
      </c>
      <c r="T219" s="5" t="inlineStr">
        <is>
          <t>2022</t>
        </is>
      </c>
      <c r="U219" s="5" t="inlineStr">
        <is>
          <t>2023</t>
        </is>
      </c>
      <c r="V219" s="5" t="inlineStr">
        <is>
          <t>2024</t>
        </is>
      </c>
      <c r="W219" s="5" t="inlineStr">
        <is>
          <t>2025</t>
        </is>
      </c>
      <c r="X219" s="5" t="inlineStr">
        <is>
          <t>2026</t>
        </is>
      </c>
      <c r="Y219" s="5" t="inlineStr">
        <is>
          <t>2027(MW)</t>
        </is>
      </c>
      <c r="Z219" s="5" t="inlineStr">
        <is>
          <t>2028(MW)</t>
        </is>
      </c>
      <c r="AA219" s="5" t="inlineStr">
        <is>
          <t>2029(MW)</t>
        </is>
      </c>
      <c r="AB219" s="5" t="inlineStr">
        <is>
          <t>2030(MW)</t>
        </is>
      </c>
      <c r="AC219" s="5" t="inlineStr">
        <is>
          <t>2031(MW)</t>
        </is>
      </c>
    </row>
    <row r="220">
      <c r="A220" s="9" t="inlineStr">
        <is>
          <t>법인세차감전 순이익</t>
        </is>
      </c>
      <c r="D220" s="12" t="n">
        <v>24186</v>
      </c>
      <c r="F220" s="12" t="n">
        <v>59914</v>
      </c>
      <c r="H220" s="12" t="n">
        <v>34073</v>
      </c>
      <c r="J220" s="12" t="n">
        <v>65958</v>
      </c>
      <c r="L220" s="12" t="n">
        <v>49269</v>
      </c>
      <c r="N220" s="12" t="n">
        <v>102683</v>
      </c>
      <c r="P220" s="12" t="n">
        <v>45163</v>
      </c>
      <c r="Q220" s="12" t="n">
        <v>53883</v>
      </c>
      <c r="R220" s="12" t="n">
        <v>34603</v>
      </c>
      <c r="S220" s="12" t="n">
        <v>48589</v>
      </c>
      <c r="T220" s="12" t="n">
        <v>33204</v>
      </c>
      <c r="U220" s="12" t="n">
        <v>33767</v>
      </c>
      <c r="V220" s="12" t="n">
        <v>59914</v>
      </c>
      <c r="W220" s="12" t="n">
        <v>65958</v>
      </c>
      <c r="X220" s="12" t="n">
        <v>102683</v>
      </c>
    </row>
    <row r="221">
      <c r="A221" s="18" t="inlineStr">
        <is>
          <t>감가상각비</t>
        </is>
      </c>
      <c r="D221" s="20" t="n">
        <v>10729</v>
      </c>
      <c r="F221" s="20" t="n">
        <v>22306</v>
      </c>
      <c r="H221" s="20" t="n">
        <v>12065</v>
      </c>
      <c r="J221" s="20" t="n">
        <v>24830</v>
      </c>
      <c r="L221" s="20" t="n">
        <v>13939</v>
      </c>
      <c r="N221" s="20" t="n">
        <v>29365</v>
      </c>
      <c r="P221" s="20" t="n">
        <v>6872</v>
      </c>
      <c r="Q221" s="20" t="n">
        <v>7889</v>
      </c>
      <c r="R221" s="20" t="n">
        <v>15328</v>
      </c>
      <c r="S221" s="20" t="n">
        <v>15561</v>
      </c>
      <c r="T221" s="20" t="n">
        <v>17596</v>
      </c>
      <c r="U221" s="20" t="n">
        <v>19535</v>
      </c>
      <c r="V221" s="20" t="n">
        <v>22306</v>
      </c>
      <c r="W221" s="20" t="n">
        <v>24830</v>
      </c>
      <c r="X221" s="20" t="n">
        <v>29365</v>
      </c>
    </row>
    <row r="222">
      <c r="A222" s="18" t="inlineStr">
        <is>
          <t>소프트웨어 상각비</t>
        </is>
      </c>
      <c r="D222" s="20" t="n">
        <v>2915</v>
      </c>
      <c r="H222" s="20" t="n">
        <v>3500</v>
      </c>
      <c r="L222" s="20" t="n">
        <v>4228</v>
      </c>
    </row>
    <row r="223">
      <c r="A223" s="18" t="inlineStr">
        <is>
          <t>소프트웨어 투자 상각</t>
        </is>
      </c>
      <c r="F223" s="20" t="n">
        <v>6119</v>
      </c>
      <c r="J223" s="20" t="n">
        <v>7425</v>
      </c>
      <c r="N223" s="20" t="n">
        <v>9067</v>
      </c>
      <c r="P223" s="20" t="n">
        <v>2126</v>
      </c>
      <c r="Q223" s="20" t="n">
        <v>2384</v>
      </c>
      <c r="R223" s="20" t="n">
        <v>2716</v>
      </c>
      <c r="S223" s="20" t="n">
        <v>3714</v>
      </c>
      <c r="T223" s="20" t="n">
        <v>4738</v>
      </c>
      <c r="U223" s="20" t="n">
        <v>5532</v>
      </c>
      <c r="V223" s="20" t="n">
        <v>6119</v>
      </c>
      <c r="W223" s="20" t="n">
        <v>7425</v>
      </c>
      <c r="X223" s="20" t="n">
        <v>9067</v>
      </c>
    </row>
    <row r="224">
      <c r="A224" s="18" t="inlineStr">
        <is>
          <t>영업권 상각</t>
        </is>
      </c>
      <c r="D224" s="20" t="n">
        <v>524</v>
      </c>
      <c r="F224" s="20" t="n">
        <v>549</v>
      </c>
      <c r="H224" s="20" t="n">
        <v>24</v>
      </c>
      <c r="J224" s="20" t="n">
        <v>49</v>
      </c>
      <c r="L224" s="20" t="n">
        <v>25</v>
      </c>
      <c r="N224" s="20" t="n">
        <v>41</v>
      </c>
      <c r="P224" s="20" t="n">
        <v>866</v>
      </c>
      <c r="Q224" s="20" t="n">
        <v>848</v>
      </c>
      <c r="R224" s="20" t="n">
        <v>807</v>
      </c>
      <c r="S224" s="20" t="n">
        <v>847</v>
      </c>
      <c r="T224" s="20" t="n">
        <v>952</v>
      </c>
      <c r="U224" s="20" t="n">
        <v>1003</v>
      </c>
      <c r="V224" s="20" t="n">
        <v>549</v>
      </c>
      <c r="W224" s="20" t="n">
        <v>49</v>
      </c>
      <c r="X224" s="20" t="n">
        <v>41</v>
      </c>
    </row>
    <row r="225">
      <c r="A225" s="18" t="inlineStr">
        <is>
          <t>대손충당금 증감</t>
        </is>
      </c>
      <c r="D225" s="20" t="n">
        <v>-3</v>
      </c>
      <c r="F225" s="20" t="n">
        <v>-201</v>
      </c>
      <c r="H225" s="20" t="n">
        <v>-178</v>
      </c>
      <c r="J225" s="20" t="n">
        <v>-9568</v>
      </c>
      <c r="L225" s="20" t="n">
        <v>-3</v>
      </c>
      <c r="N225" s="20" t="n">
        <v>14</v>
      </c>
      <c r="P225" s="20" t="n">
        <v>-20</v>
      </c>
      <c r="Q225" s="20" t="n">
        <v>-37</v>
      </c>
      <c r="R225" s="20" t="n">
        <v>-9</v>
      </c>
      <c r="S225" s="20" t="n">
        <v>-35</v>
      </c>
      <c r="T225" s="20" t="n">
        <v>-2</v>
      </c>
      <c r="U225" s="20" t="n">
        <v>-5</v>
      </c>
      <c r="V225" s="20" t="n">
        <v>-201</v>
      </c>
      <c r="W225" s="20" t="n">
        <v>-9568</v>
      </c>
      <c r="X225" s="20" t="n">
        <v>14</v>
      </c>
    </row>
    <row r="226">
      <c r="A226" s="18" t="inlineStr">
        <is>
          <t>임원 상여충당금 증감</t>
        </is>
      </c>
      <c r="D226" s="20" t="n">
        <v>-86</v>
      </c>
      <c r="F226" s="20" t="n">
        <v>30</v>
      </c>
      <c r="H226" s="20" t="n">
        <v>-146</v>
      </c>
      <c r="J226" s="20" t="n">
        <v>269</v>
      </c>
      <c r="L226" s="20" t="n">
        <v>-377</v>
      </c>
      <c r="N226" s="20" t="n">
        <v>-92</v>
      </c>
      <c r="P226" s="20" t="n">
        <v>9</v>
      </c>
      <c r="Q226" s="20" t="n">
        <v>-6</v>
      </c>
      <c r="R226" s="20" t="n">
        <v>-36</v>
      </c>
      <c r="S226" s="20" t="n">
        <v>62</v>
      </c>
      <c r="T226" s="20" t="n">
        <v>11</v>
      </c>
      <c r="U226" s="20" t="n">
        <v>127</v>
      </c>
      <c r="V226" s="20" t="n">
        <v>30</v>
      </c>
      <c r="W226" s="20" t="n">
        <v>269</v>
      </c>
      <c r="X226" s="20" t="n">
        <v>-92</v>
      </c>
    </row>
    <row r="227">
      <c r="A227" s="18" t="inlineStr">
        <is>
          <t>임원 퇴직위로 충당금 증감</t>
        </is>
      </c>
      <c r="D227" s="20" t="n">
        <v>1</v>
      </c>
      <c r="F227" s="20" t="n">
        <v>3</v>
      </c>
      <c r="H227" s="20" t="n">
        <v>-20</v>
      </c>
      <c r="J227" s="20" t="n">
        <v>-11</v>
      </c>
      <c r="L227" s="20" t="n">
        <v>2</v>
      </c>
      <c r="N227" s="20" t="n">
        <v>7</v>
      </c>
      <c r="P227" s="20" t="n">
        <v>10</v>
      </c>
      <c r="Q227" s="20" t="n">
        <v>2</v>
      </c>
      <c r="R227" s="20" t="n">
        <v>0</v>
      </c>
      <c r="S227" s="20" t="n">
        <v>27</v>
      </c>
      <c r="T227" s="20" t="n">
        <v>-44</v>
      </c>
      <c r="U227" s="20" t="n">
        <v>2</v>
      </c>
      <c r="V227" s="20" t="n">
        <v>3</v>
      </c>
      <c r="W227" s="20" t="n">
        <v>-11</v>
      </c>
      <c r="X227" s="20" t="n">
        <v>7</v>
      </c>
    </row>
    <row r="228">
      <c r="A228" s="18" t="inlineStr">
        <is>
          <t>반품조정 충당금 증감</t>
        </is>
      </c>
      <c r="P228" s="20" t="n">
        <v>-1</v>
      </c>
      <c r="Q228" s="20" t="n">
        <v>28</v>
      </c>
      <c r="R228" s="20" t="n">
        <v>-43</v>
      </c>
      <c r="S228" s="20" t="n">
        <v>0</v>
      </c>
    </row>
    <row r="229">
      <c r="A229" s="18" t="inlineStr">
        <is>
          <t>이자·배당금 수익</t>
        </is>
      </c>
      <c r="D229" s="20" t="n">
        <v>-357</v>
      </c>
      <c r="F229" s="20" t="n">
        <v>-770</v>
      </c>
      <c r="H229" s="20" t="n">
        <v>-315</v>
      </c>
      <c r="J229" s="20" t="n">
        <v>-718</v>
      </c>
      <c r="L229" s="20" t="n">
        <v>-261</v>
      </c>
      <c r="N229" s="20" t="n">
        <v>-615</v>
      </c>
      <c r="P229" s="20" t="n">
        <v>-577</v>
      </c>
      <c r="Q229" s="20" t="n">
        <v>-784</v>
      </c>
      <c r="R229" s="20" t="n">
        <v>-680</v>
      </c>
      <c r="S229" s="20" t="n">
        <v>-361</v>
      </c>
      <c r="T229" s="20" t="n">
        <v>-321</v>
      </c>
      <c r="U229" s="20" t="n">
        <v>-508</v>
      </c>
      <c r="V229" s="20" t="n">
        <v>-770</v>
      </c>
      <c r="W229" s="20" t="n">
        <v>-718</v>
      </c>
      <c r="X229" s="20" t="n">
        <v>-615</v>
      </c>
    </row>
    <row r="230">
      <c r="A230" s="18" t="inlineStr">
        <is>
          <t>이자비용</t>
        </is>
      </c>
      <c r="D230" s="20" t="n">
        <v>1012</v>
      </c>
      <c r="F230" s="20" t="n">
        <v>2226</v>
      </c>
      <c r="H230" s="20" t="n">
        <v>1294</v>
      </c>
      <c r="J230" s="20" t="n">
        <v>2766</v>
      </c>
      <c r="L230" s="20" t="n">
        <v>1524</v>
      </c>
      <c r="N230" s="20" t="n">
        <v>3074</v>
      </c>
      <c r="P230" s="20" t="n">
        <v>34</v>
      </c>
      <c r="Q230" s="20" t="n">
        <v>27</v>
      </c>
      <c r="R230" s="20" t="n">
        <v>892</v>
      </c>
      <c r="S230" s="20" t="n">
        <v>1395</v>
      </c>
      <c r="T230" s="20" t="n">
        <v>1352</v>
      </c>
      <c r="U230" s="20" t="n">
        <v>1663</v>
      </c>
      <c r="V230" s="20" t="n">
        <v>2226</v>
      </c>
      <c r="W230" s="20" t="n">
        <v>2766</v>
      </c>
      <c r="X230" s="20" t="n">
        <v>3074</v>
      </c>
    </row>
    <row r="231">
      <c r="A231" s="18" t="inlineStr">
        <is>
          <t>외환차손익</t>
        </is>
      </c>
      <c r="D231" s="20" t="n">
        <v>-509</v>
      </c>
      <c r="F231" s="20" t="n">
        <v>-1619</v>
      </c>
      <c r="H231" s="20" t="n">
        <v>43</v>
      </c>
      <c r="J231" s="20" t="n">
        <v>-144</v>
      </c>
      <c r="L231" s="20" t="n">
        <v>-1958</v>
      </c>
      <c r="N231" s="20" t="n">
        <v>-1344</v>
      </c>
      <c r="P231" s="20" t="n">
        <v>-263</v>
      </c>
      <c r="Q231" s="20" t="n">
        <v>-159</v>
      </c>
      <c r="R231" s="20" t="n">
        <v>199</v>
      </c>
      <c r="S231" s="20" t="n">
        <v>-912</v>
      </c>
      <c r="T231" s="20" t="n">
        <v>-3318</v>
      </c>
      <c r="U231" s="20" t="n">
        <v>-1342</v>
      </c>
      <c r="V231" s="20" t="n">
        <v>-1619</v>
      </c>
      <c r="W231" s="20" t="n">
        <v>-144</v>
      </c>
      <c r="X231" s="20" t="n">
        <v>-1344</v>
      </c>
    </row>
    <row r="232">
      <c r="A232" s="18" t="inlineStr">
        <is>
          <t>투자유가증권 평가손익</t>
        </is>
      </c>
      <c r="F232" s="20" t="n">
        <v>63</v>
      </c>
      <c r="J232" s="20" t="n">
        <v>0</v>
      </c>
      <c r="U232" s="20" t="n">
        <v>0</v>
      </c>
      <c r="V232" s="20" t="n">
        <v>63</v>
      </c>
      <c r="W232" s="20" t="n">
        <v>0</v>
      </c>
    </row>
    <row r="233">
      <c r="A233" s="18" t="inlineStr">
        <is>
          <t>투자유가증권 매각손익</t>
        </is>
      </c>
      <c r="D233" s="20" t="n">
        <v>0</v>
      </c>
      <c r="F233" s="20" t="n">
        <v>0</v>
      </c>
      <c r="H233" s="20" t="n">
        <v>0</v>
      </c>
      <c r="J233" s="20" t="n">
        <v>0</v>
      </c>
      <c r="L233" s="20" t="n">
        <v>-2367</v>
      </c>
      <c r="N233" s="20" t="n">
        <v>-2367</v>
      </c>
      <c r="P233" s="20" t="n">
        <v>0</v>
      </c>
      <c r="Q233" s="20" t="n">
        <v>-8634</v>
      </c>
      <c r="R233" s="20" t="n">
        <v>-18</v>
      </c>
      <c r="S233" s="20" t="n">
        <v>-118</v>
      </c>
      <c r="T233" s="20" t="n">
        <v>-25</v>
      </c>
      <c r="U233" s="20" t="n">
        <v>-2960</v>
      </c>
      <c r="V233" s="20" t="n">
        <v>0</v>
      </c>
      <c r="W233" s="20" t="n">
        <v>0</v>
      </c>
      <c r="X233" s="20" t="n">
        <v>-2367</v>
      </c>
    </row>
    <row r="234">
      <c r="A234" s="18" t="inlineStr">
        <is>
          <t>지분법손익</t>
        </is>
      </c>
      <c r="P234" s="20" t="n">
        <v>-8</v>
      </c>
      <c r="Q234" s="20" t="n">
        <v>-32</v>
      </c>
      <c r="R234" s="20" t="n">
        <v>-76</v>
      </c>
      <c r="S234" s="20" t="n">
        <v>-7</v>
      </c>
      <c r="T234" s="20" t="n">
        <v>0</v>
      </c>
    </row>
    <row r="235">
      <c r="A235" s="18" t="inlineStr">
        <is>
          <t>고정자산 매각이익</t>
        </is>
      </c>
      <c r="F235" s="20" t="n">
        <v>-7949</v>
      </c>
      <c r="J235" s="20" t="n">
        <v>-1</v>
      </c>
      <c r="N235" s="20" t="n">
        <v>-5</v>
      </c>
      <c r="U235" s="20" t="n">
        <v>-72</v>
      </c>
      <c r="V235" s="20" t="n">
        <v>-7949</v>
      </c>
      <c r="W235" s="20" t="n">
        <v>-1</v>
      </c>
      <c r="X235" s="20" t="n">
        <v>-5</v>
      </c>
    </row>
    <row r="236">
      <c r="A236" s="18" t="inlineStr">
        <is>
          <t>고정자산 제각손실</t>
        </is>
      </c>
      <c r="D236" s="20" t="n">
        <v>33</v>
      </c>
      <c r="F236" s="20" t="n">
        <v>136</v>
      </c>
      <c r="H236" s="20" t="n">
        <v>310</v>
      </c>
      <c r="J236" s="20" t="n">
        <v>980</v>
      </c>
      <c r="L236" s="20" t="n">
        <v>110</v>
      </c>
      <c r="N236" s="20" t="n">
        <v>3396</v>
      </c>
      <c r="P236" s="20" t="n">
        <v>329</v>
      </c>
      <c r="Q236" s="20" t="n">
        <v>320</v>
      </c>
      <c r="R236" s="20" t="n">
        <v>567</v>
      </c>
      <c r="S236" s="20" t="n">
        <v>278</v>
      </c>
      <c r="T236" s="20" t="n">
        <v>1990</v>
      </c>
      <c r="U236" s="20" t="n">
        <v>332</v>
      </c>
      <c r="V236" s="20" t="n">
        <v>136</v>
      </c>
      <c r="W236" s="20" t="n">
        <v>980</v>
      </c>
      <c r="X236" s="20" t="n">
        <v>3396</v>
      </c>
    </row>
    <row r="237">
      <c r="A237" s="18" t="inlineStr">
        <is>
          <t>손상차손</t>
        </is>
      </c>
      <c r="D237" s="20" t="n">
        <v>351</v>
      </c>
      <c r="F237" s="20" t="n">
        <v>4351</v>
      </c>
      <c r="H237" s="20" t="n">
        <v>223</v>
      </c>
      <c r="J237" s="20" t="n">
        <v>5004</v>
      </c>
      <c r="L237" s="20" t="n">
        <v>99</v>
      </c>
      <c r="N237" s="20" t="n">
        <v>2934</v>
      </c>
      <c r="P237" s="20" t="n">
        <v>455</v>
      </c>
      <c r="Q237" s="20" t="n">
        <v>291</v>
      </c>
      <c r="R237" s="20" t="n">
        <v>1181</v>
      </c>
      <c r="S237" s="20" t="n">
        <v>1168</v>
      </c>
      <c r="T237" s="20" t="n">
        <v>2240</v>
      </c>
      <c r="U237" s="20" t="n">
        <v>4904</v>
      </c>
      <c r="V237" s="20" t="n">
        <v>4351</v>
      </c>
      <c r="W237" s="20" t="n">
        <v>5004</v>
      </c>
      <c r="X237" s="20" t="n">
        <v>2934</v>
      </c>
    </row>
    <row r="238">
      <c r="A238" s="18" t="inlineStr">
        <is>
          <t>단계적 취득 차손익</t>
        </is>
      </c>
      <c r="S238" s="20" t="n">
        <v>-260</v>
      </c>
      <c r="T238" s="20" t="n">
        <v>0</v>
      </c>
    </row>
    <row r="239">
      <c r="A239" s="18" t="inlineStr">
        <is>
          <t>매출채권 증감</t>
        </is>
      </c>
      <c r="D239" s="20" t="n">
        <v>-151</v>
      </c>
      <c r="F239" s="20" t="n">
        <v>-18350</v>
      </c>
      <c r="H239" s="20" t="n">
        <v>4837</v>
      </c>
      <c r="J239" s="20" t="n">
        <v>8399</v>
      </c>
      <c r="L239" s="20" t="n">
        <v>582</v>
      </c>
      <c r="N239" s="20" t="n">
        <v>-3120</v>
      </c>
      <c r="P239" s="20" t="n">
        <v>-1143</v>
      </c>
      <c r="Q239" s="20" t="n">
        <v>-590</v>
      </c>
      <c r="R239" s="20" t="n">
        <v>-3156</v>
      </c>
      <c r="S239" s="20" t="n">
        <v>1345</v>
      </c>
      <c r="T239" s="20" t="n">
        <v>-837</v>
      </c>
      <c r="U239" s="20" t="n">
        <v>-1941</v>
      </c>
      <c r="V239" s="20" t="n">
        <v>-18350</v>
      </c>
      <c r="W239" s="20" t="n">
        <v>8399</v>
      </c>
      <c r="X239" s="20" t="n">
        <v>-3120</v>
      </c>
    </row>
    <row r="240">
      <c r="A240" s="18" t="inlineStr">
        <is>
          <t>재고자산 증감</t>
        </is>
      </c>
      <c r="D240" s="20" t="n">
        <v>-1637</v>
      </c>
      <c r="F240" s="20" t="n">
        <v>-23022</v>
      </c>
      <c r="H240" s="20" t="n">
        <v>-17752</v>
      </c>
      <c r="J240" s="20" t="n">
        <v>-15455</v>
      </c>
      <c r="L240" s="20" t="n">
        <v>-10953</v>
      </c>
      <c r="N240" s="20" t="n">
        <v>-26794</v>
      </c>
      <c r="P240" s="20" t="n">
        <v>-252</v>
      </c>
      <c r="Q240" s="20" t="n">
        <v>-16509</v>
      </c>
      <c r="R240" s="20" t="n">
        <v>-18023</v>
      </c>
      <c r="S240" s="20" t="n">
        <v>-4357</v>
      </c>
      <c r="T240" s="20" t="n">
        <v>-14253</v>
      </c>
      <c r="U240" s="20" t="n">
        <v>-2047</v>
      </c>
      <c r="V240" s="20" t="n">
        <v>-23022</v>
      </c>
      <c r="W240" s="20" t="n">
        <v>-15455</v>
      </c>
      <c r="X240" s="20" t="n">
        <v>-26794</v>
      </c>
    </row>
    <row r="241">
      <c r="A241" s="18" t="inlineStr">
        <is>
          <t>매입채무 증감</t>
        </is>
      </c>
      <c r="D241" s="20" t="n">
        <v>3984</v>
      </c>
      <c r="F241" s="20" t="n">
        <v>34326</v>
      </c>
      <c r="H241" s="20" t="n">
        <v>-16401</v>
      </c>
      <c r="J241" s="20" t="n">
        <v>-3307</v>
      </c>
      <c r="L241" s="20" t="n">
        <v>3403</v>
      </c>
      <c r="N241" s="20" t="n">
        <v>2582</v>
      </c>
      <c r="P241" s="20" t="n">
        <v>381</v>
      </c>
      <c r="Q241" s="20" t="n">
        <v>1816</v>
      </c>
      <c r="R241" s="20" t="n">
        <v>7792</v>
      </c>
      <c r="S241" s="20" t="n">
        <v>4541</v>
      </c>
      <c r="T241" s="20" t="n">
        <v>6708</v>
      </c>
      <c r="U241" s="20" t="n">
        <v>-3495</v>
      </c>
      <c r="V241" s="20" t="n">
        <v>34326</v>
      </c>
      <c r="W241" s="20" t="n">
        <v>-3307</v>
      </c>
      <c r="X241" s="20" t="n">
        <v>2582</v>
      </c>
    </row>
    <row r="242">
      <c r="A242" s="18" t="inlineStr">
        <is>
          <t>기타 자산 증감</t>
        </is>
      </c>
      <c r="D242" s="20" t="n">
        <v>-2581</v>
      </c>
      <c r="F242" s="20" t="n">
        <v>-3250</v>
      </c>
      <c r="H242" s="20" t="n">
        <v>-3529</v>
      </c>
      <c r="J242" s="20" t="n">
        <v>-1361</v>
      </c>
      <c r="L242" s="20" t="n">
        <v>-2868</v>
      </c>
      <c r="N242" s="20" t="n">
        <v>-1594</v>
      </c>
      <c r="P242" s="20" t="n">
        <v>-280</v>
      </c>
      <c r="Q242" s="20" t="n">
        <v>-2846</v>
      </c>
      <c r="R242" s="20" t="n">
        <v>1041</v>
      </c>
      <c r="S242" s="20" t="n">
        <v>-1034</v>
      </c>
      <c r="T242" s="20" t="n">
        <v>-3469</v>
      </c>
      <c r="U242" s="20" t="n">
        <v>676</v>
      </c>
      <c r="V242" s="20" t="n">
        <v>-3250</v>
      </c>
      <c r="W242" s="20" t="n">
        <v>-1361</v>
      </c>
      <c r="X242" s="20" t="n">
        <v>-1594</v>
      </c>
    </row>
    <row r="243">
      <c r="A243" s="18" t="inlineStr">
        <is>
          <t>기타 부채 증감</t>
        </is>
      </c>
      <c r="D243" s="20" t="n">
        <v>-748</v>
      </c>
      <c r="F243" s="20" t="n">
        <v>2623</v>
      </c>
      <c r="H243" s="20" t="n">
        <v>409</v>
      </c>
      <c r="J243" s="20" t="n">
        <v>10232</v>
      </c>
      <c r="L243" s="20" t="n">
        <v>-4318</v>
      </c>
      <c r="N243" s="20" t="n">
        <v>204</v>
      </c>
      <c r="P243" s="20" t="n">
        <v>4223</v>
      </c>
      <c r="Q243" s="20" t="n">
        <v>3080</v>
      </c>
      <c r="R243" s="20" t="n">
        <v>2570</v>
      </c>
      <c r="S243" s="20" t="n">
        <v>-1875</v>
      </c>
      <c r="T243" s="20" t="n">
        <v>-1067</v>
      </c>
      <c r="U243" s="20" t="n">
        <v>5369</v>
      </c>
      <c r="V243" s="20" t="n">
        <v>2623</v>
      </c>
      <c r="W243" s="20" t="n">
        <v>10232</v>
      </c>
      <c r="X243" s="20" t="n">
        <v>204</v>
      </c>
    </row>
    <row r="244">
      <c r="A244" s="18" t="inlineStr">
        <is>
          <t>신주예약권</t>
        </is>
      </c>
      <c r="D244" s="20" t="n">
        <v>34</v>
      </c>
      <c r="F244" s="20" t="n">
        <v>-106</v>
      </c>
      <c r="H244" s="20" t="n">
        <v>0</v>
      </c>
      <c r="J244" s="20" t="n">
        <v>0</v>
      </c>
      <c r="P244" s="20" t="n">
        <v>86</v>
      </c>
      <c r="Q244" s="20" t="n">
        <v>82</v>
      </c>
      <c r="R244" s="20" t="n">
        <v>320</v>
      </c>
      <c r="S244" s="20" t="n">
        <v>353</v>
      </c>
      <c r="T244" s="20" t="n">
        <v>61</v>
      </c>
      <c r="U244" s="20" t="n">
        <v>67</v>
      </c>
      <c r="V244" s="20" t="n">
        <v>-106</v>
      </c>
      <c r="W244" s="20" t="n">
        <v>0</v>
      </c>
    </row>
    <row r="245">
      <c r="A245" s="18" t="inlineStr">
        <is>
          <t>신주예약권 환입이익</t>
        </is>
      </c>
      <c r="S245" s="20" t="n">
        <v>-677</v>
      </c>
      <c r="T245" s="20" t="n">
        <v>0</v>
      </c>
    </row>
    <row r="246">
      <c r="A246" s="18" t="inlineStr">
        <is>
          <t>기타</t>
        </is>
      </c>
      <c r="D246" s="20" t="n">
        <v>145</v>
      </c>
      <c r="F246" s="20" t="n">
        <v>-432</v>
      </c>
      <c r="H246" s="20" t="n">
        <v>521</v>
      </c>
      <c r="J246" s="20" t="n">
        <v>1117</v>
      </c>
      <c r="L246" s="20" t="n">
        <v>707</v>
      </c>
      <c r="N246" s="20" t="n">
        <v>1302</v>
      </c>
      <c r="P246" s="20" t="n">
        <v>376</v>
      </c>
      <c r="Q246" s="20" t="n">
        <v>-62</v>
      </c>
      <c r="R246" s="20" t="n">
        <v>-263</v>
      </c>
      <c r="S246" s="20" t="n">
        <v>-323</v>
      </c>
      <c r="T246" s="20" t="n">
        <v>-903</v>
      </c>
      <c r="U246" s="20" t="n">
        <v>587</v>
      </c>
      <c r="V246" s="20" t="n">
        <v>-432</v>
      </c>
      <c r="W246" s="20" t="n">
        <v>1117</v>
      </c>
      <c r="X246" s="20" t="n">
        <v>1302</v>
      </c>
    </row>
    <row r="247">
      <c r="A247" s="18" t="inlineStr">
        <is>
          <t>소계</t>
        </is>
      </c>
      <c r="D247" s="20" t="n">
        <v>37844</v>
      </c>
      <c r="F247" s="20" t="n">
        <v>76945</v>
      </c>
      <c r="H247" s="20" t="n">
        <v>18961</v>
      </c>
      <c r="J247" s="20" t="n">
        <v>96465</v>
      </c>
      <c r="L247" s="20" t="n">
        <v>50786</v>
      </c>
      <c r="N247" s="20" t="n">
        <v>118740</v>
      </c>
      <c r="P247" s="20" t="n">
        <v>58388</v>
      </c>
      <c r="Q247" s="20" t="n">
        <v>40992</v>
      </c>
      <c r="R247" s="20" t="n">
        <v>45715</v>
      </c>
      <c r="S247" s="20" t="n">
        <v>67920</v>
      </c>
      <c r="T247" s="20" t="n">
        <v>44613</v>
      </c>
      <c r="U247" s="20" t="n">
        <v>61194</v>
      </c>
      <c r="V247" s="20" t="n">
        <v>76945</v>
      </c>
      <c r="W247" s="20" t="n">
        <v>96465</v>
      </c>
      <c r="X247" s="20" t="n">
        <v>118740</v>
      </c>
    </row>
    <row r="248">
      <c r="A248" s="18" t="inlineStr">
        <is>
          <t>이자·배당금 수취</t>
        </is>
      </c>
      <c r="D248" s="20" t="n">
        <v>357</v>
      </c>
      <c r="F248" s="20" t="n">
        <v>770</v>
      </c>
      <c r="H248" s="20" t="n">
        <v>311</v>
      </c>
      <c r="J248" s="20" t="n">
        <v>714</v>
      </c>
      <c r="L248" s="20" t="n">
        <v>262</v>
      </c>
      <c r="N248" s="20" t="n">
        <v>613</v>
      </c>
      <c r="P248" s="20" t="n">
        <v>575</v>
      </c>
      <c r="Q248" s="20" t="n">
        <v>756</v>
      </c>
      <c r="R248" s="20" t="n">
        <v>624</v>
      </c>
      <c r="S248" s="20" t="n">
        <v>349</v>
      </c>
      <c r="T248" s="20" t="n">
        <v>321</v>
      </c>
      <c r="U248" s="20" t="n">
        <v>508</v>
      </c>
      <c r="V248" s="20" t="n">
        <v>770</v>
      </c>
      <c r="W248" s="20" t="n">
        <v>714</v>
      </c>
      <c r="X248" s="20" t="n">
        <v>613</v>
      </c>
    </row>
    <row r="249">
      <c r="A249" s="18" t="inlineStr">
        <is>
          <t>이자 지급</t>
        </is>
      </c>
      <c r="D249" s="20" t="n">
        <v>-995</v>
      </c>
      <c r="F249" s="20" t="n">
        <v>-2155</v>
      </c>
      <c r="H249" s="20" t="n">
        <v>-1279</v>
      </c>
      <c r="J249" s="20" t="n">
        <v>-2657</v>
      </c>
      <c r="L249" s="20" t="n">
        <v>-1510</v>
      </c>
      <c r="N249" s="20" t="n">
        <v>-3010</v>
      </c>
      <c r="P249" s="20" t="n">
        <v>-28</v>
      </c>
      <c r="Q249" s="20" t="n">
        <v>-18</v>
      </c>
      <c r="R249" s="20" t="n">
        <v>-894</v>
      </c>
      <c r="S249" s="20" t="n">
        <v>-1408</v>
      </c>
      <c r="T249" s="20" t="n">
        <v>-1350</v>
      </c>
      <c r="U249" s="20" t="n">
        <v>-1642</v>
      </c>
      <c r="V249" s="20" t="n">
        <v>-2155</v>
      </c>
      <c r="W249" s="20" t="n">
        <v>-2657</v>
      </c>
      <c r="X249" s="20" t="n">
        <v>-3010</v>
      </c>
    </row>
    <row r="250">
      <c r="A250" s="18" t="inlineStr">
        <is>
          <t>법인세 납부·환급</t>
        </is>
      </c>
      <c r="D250" s="20" t="n">
        <v>-9389</v>
      </c>
      <c r="H250" s="20" t="n">
        <v>-10187</v>
      </c>
      <c r="L250" s="20" t="n">
        <v>-5553</v>
      </c>
    </row>
    <row r="251">
      <c r="A251" s="18" t="inlineStr">
        <is>
          <t>법인세 납부</t>
        </is>
      </c>
      <c r="F251" s="20" t="n">
        <v>-17056</v>
      </c>
      <c r="J251" s="20" t="n">
        <v>-21166</v>
      </c>
      <c r="N251" s="20" t="n">
        <v>-16948</v>
      </c>
      <c r="P251" s="20" t="n">
        <v>-11952</v>
      </c>
      <c r="Q251" s="20" t="n">
        <v>-18049</v>
      </c>
      <c r="R251" s="20" t="n">
        <v>-20992</v>
      </c>
      <c r="S251" s="20" t="n">
        <v>-5414</v>
      </c>
      <c r="T251" s="20" t="n">
        <v>-20233</v>
      </c>
      <c r="U251" s="20" t="n">
        <v>-3533</v>
      </c>
      <c r="V251" s="20" t="n">
        <v>-17056</v>
      </c>
      <c r="W251" s="20" t="n">
        <v>-21166</v>
      </c>
      <c r="X251" s="20" t="n">
        <v>-16948</v>
      </c>
    </row>
    <row r="252">
      <c r="A252" s="9" t="inlineStr">
        <is>
          <t>영업활동 현금흐름</t>
        </is>
      </c>
      <c r="D252" s="12" t="n">
        <v>27817</v>
      </c>
      <c r="F252" s="12" t="n">
        <v>58504</v>
      </c>
      <c r="H252" s="12" t="n">
        <v>7806</v>
      </c>
      <c r="J252" s="12" t="n">
        <v>73355</v>
      </c>
      <c r="L252" s="12" t="n">
        <v>43984</v>
      </c>
      <c r="N252" s="12" t="n">
        <v>99396</v>
      </c>
      <c r="P252" s="12" t="n">
        <v>46982</v>
      </c>
      <c r="Q252" s="12" t="n">
        <v>23680</v>
      </c>
      <c r="R252" s="12" t="n">
        <v>24452</v>
      </c>
      <c r="S252" s="12" t="n">
        <v>61447</v>
      </c>
      <c r="T252" s="12" t="n">
        <v>23350</v>
      </c>
      <c r="U252" s="12" t="n">
        <v>56527</v>
      </c>
      <c r="V252" s="12" t="n">
        <v>58504</v>
      </c>
      <c r="W252" s="12" t="n">
        <v>73355</v>
      </c>
      <c r="X252" s="12" t="n">
        <v>99396</v>
      </c>
    </row>
    <row r="253">
      <c r="A253" s="18" t="inlineStr">
        <is>
          <t>정기예금 예입</t>
        </is>
      </c>
      <c r="D253" s="20" t="n">
        <v>-18</v>
      </c>
      <c r="F253" s="20" t="n">
        <v>0</v>
      </c>
      <c r="H253" s="20" t="n">
        <v>-1502</v>
      </c>
      <c r="J253" s="20" t="n">
        <v>-1502</v>
      </c>
      <c r="L253" s="20" t="n">
        <v>-27</v>
      </c>
      <c r="N253" s="20" t="n">
        <v>-28</v>
      </c>
      <c r="P253" s="20" t="n">
        <v>-1138</v>
      </c>
      <c r="Q253" s="20" t="n">
        <v>-774</v>
      </c>
      <c r="R253" s="20" t="n">
        <v>-3296</v>
      </c>
      <c r="S253" s="20" t="n">
        <v>-3</v>
      </c>
      <c r="T253" s="20" t="n">
        <v>0</v>
      </c>
      <c r="U253" s="20" t="n">
        <v>-7</v>
      </c>
      <c r="V253" s="20" t="n">
        <v>0</v>
      </c>
      <c r="W253" s="20" t="n">
        <v>-1502</v>
      </c>
      <c r="X253" s="20" t="n">
        <v>-28</v>
      </c>
    </row>
    <row r="254">
      <c r="A254" s="18" t="inlineStr">
        <is>
          <t>정기예금 인출</t>
        </is>
      </c>
      <c r="F254" s="20" t="n">
        <v>25</v>
      </c>
      <c r="J254" s="20" t="n">
        <v>1460</v>
      </c>
      <c r="N254" s="20" t="n">
        <v>0</v>
      </c>
      <c r="P254" s="20" t="n">
        <v>692</v>
      </c>
      <c r="Q254" s="20" t="n">
        <v>2553</v>
      </c>
      <c r="R254" s="20" t="n">
        <v>57</v>
      </c>
      <c r="S254" s="20" t="n">
        <v>20</v>
      </c>
      <c r="T254" s="20" t="n">
        <v>795</v>
      </c>
      <c r="U254" s="20" t="n">
        <v>0</v>
      </c>
      <c r="V254" s="20" t="n">
        <v>25</v>
      </c>
      <c r="W254" s="20" t="n">
        <v>1460</v>
      </c>
      <c r="X254" s="20" t="n">
        <v>0</v>
      </c>
    </row>
    <row r="255">
      <c r="A255" s="18" t="inlineStr">
        <is>
          <t>유형자산 취득(설비투자)</t>
        </is>
      </c>
      <c r="D255" s="20" t="n">
        <v>-12113</v>
      </c>
      <c r="F255" s="20" t="n">
        <v>-22609</v>
      </c>
      <c r="H255" s="20" t="n">
        <v>-11298</v>
      </c>
      <c r="J255" s="20" t="n">
        <v>-23319</v>
      </c>
      <c r="L255" s="20" t="n">
        <v>-12026</v>
      </c>
      <c r="N255" s="20" t="n">
        <v>-21730</v>
      </c>
      <c r="P255" s="20" t="n">
        <v>-9417</v>
      </c>
      <c r="Q255" s="20" t="n">
        <v>-13055</v>
      </c>
      <c r="R255" s="20" t="n">
        <v>-16834</v>
      </c>
      <c r="S255" s="20" t="n">
        <v>-8487</v>
      </c>
      <c r="T255" s="20" t="n">
        <v>-8030</v>
      </c>
      <c r="U255" s="20" t="n">
        <v>-16570</v>
      </c>
      <c r="V255" s="20" t="n">
        <v>-22609</v>
      </c>
      <c r="W255" s="20" t="n">
        <v>-23319</v>
      </c>
      <c r="X255" s="20" t="n">
        <v>-21730</v>
      </c>
    </row>
    <row r="256">
      <c r="A256" s="18" t="inlineStr">
        <is>
          <t>유형자산 매각</t>
        </is>
      </c>
      <c r="F256" s="20" t="n">
        <v>10108</v>
      </c>
      <c r="J256" s="20" t="n">
        <v>31</v>
      </c>
      <c r="N256" s="20" t="n">
        <v>51</v>
      </c>
      <c r="U256" s="20" t="n">
        <v>72</v>
      </c>
      <c r="V256" s="20" t="n">
        <v>10108</v>
      </c>
      <c r="W256" s="20" t="n">
        <v>31</v>
      </c>
      <c r="X256" s="20" t="n">
        <v>51</v>
      </c>
    </row>
    <row r="257">
      <c r="A257" s="18" t="inlineStr">
        <is>
          <t>유가증권 취득</t>
        </is>
      </c>
      <c r="F257" s="20" t="n">
        <v>-15</v>
      </c>
      <c r="J257" s="20" t="n">
        <v>0</v>
      </c>
      <c r="U257" s="20" t="n">
        <v>0</v>
      </c>
      <c r="V257" s="20" t="n">
        <v>-15</v>
      </c>
      <c r="W257" s="20" t="n">
        <v>0</v>
      </c>
    </row>
    <row r="258">
      <c r="A258" s="18" t="inlineStr">
        <is>
          <t>점포 차지권·보증금 지출</t>
        </is>
      </c>
      <c r="D258" s="20" t="n">
        <v>-1448</v>
      </c>
      <c r="F258" s="20" t="n">
        <v>-4347</v>
      </c>
      <c r="H258" s="20" t="n">
        <v>-1308</v>
      </c>
      <c r="J258" s="20" t="n">
        <v>-2668</v>
      </c>
      <c r="L258" s="20" t="n">
        <v>-925</v>
      </c>
      <c r="N258" s="20" t="n">
        <v>-1982</v>
      </c>
      <c r="P258" s="20" t="n">
        <v>-1353</v>
      </c>
      <c r="Q258" s="20" t="n">
        <v>-1418</v>
      </c>
      <c r="R258" s="20" t="n">
        <v>-1691</v>
      </c>
      <c r="S258" s="20" t="n">
        <v>-1584</v>
      </c>
      <c r="T258" s="20" t="n">
        <v>-1796</v>
      </c>
      <c r="U258" s="20" t="n">
        <v>-3076</v>
      </c>
      <c r="V258" s="20" t="n">
        <v>-4347</v>
      </c>
      <c r="W258" s="20" t="n">
        <v>-2668</v>
      </c>
      <c r="X258" s="20" t="n">
        <v>-1982</v>
      </c>
    </row>
    <row r="259">
      <c r="A259" s="18" t="inlineStr">
        <is>
          <t>점포 보증금 회수</t>
        </is>
      </c>
      <c r="D259" s="20" t="n">
        <v>381</v>
      </c>
      <c r="F259" s="20" t="n">
        <v>1612</v>
      </c>
      <c r="H259" s="20" t="n">
        <v>429</v>
      </c>
      <c r="J259" s="20" t="n">
        <v>1195</v>
      </c>
      <c r="L259" s="20" t="n">
        <v>493</v>
      </c>
      <c r="N259" s="20" t="n">
        <v>1286</v>
      </c>
      <c r="P259" s="20" t="n">
        <v>623</v>
      </c>
      <c r="Q259" s="20" t="n">
        <v>428</v>
      </c>
      <c r="R259" s="20" t="n">
        <v>1575</v>
      </c>
      <c r="S259" s="20" t="n">
        <v>831</v>
      </c>
      <c r="T259" s="20" t="n">
        <v>498</v>
      </c>
      <c r="U259" s="20" t="n">
        <v>1302</v>
      </c>
      <c r="V259" s="20" t="n">
        <v>1612</v>
      </c>
      <c r="W259" s="20" t="n">
        <v>1195</v>
      </c>
      <c r="X259" s="20" t="n">
        <v>1286</v>
      </c>
    </row>
    <row r="260">
      <c r="A260" s="18" t="inlineStr">
        <is>
          <t>무형자산 취득</t>
        </is>
      </c>
      <c r="D260" s="20" t="n">
        <v>-4753</v>
      </c>
      <c r="F260" s="20" t="n">
        <v>-11977</v>
      </c>
      <c r="H260" s="20" t="n">
        <v>-8347</v>
      </c>
      <c r="J260" s="20" t="n">
        <v>-15007</v>
      </c>
      <c r="L260" s="20" t="n">
        <v>-6064</v>
      </c>
      <c r="N260" s="20" t="n">
        <v>-9613</v>
      </c>
      <c r="P260" s="20" t="n">
        <v>-3203</v>
      </c>
      <c r="Q260" s="20" t="n">
        <v>-5438</v>
      </c>
      <c r="R260" s="20" t="n">
        <v>-11488</v>
      </c>
      <c r="S260" s="20" t="n">
        <v>-8852</v>
      </c>
      <c r="T260" s="20" t="n">
        <v>-7853</v>
      </c>
      <c r="U260" s="20" t="n">
        <v>-6728</v>
      </c>
      <c r="V260" s="20" t="n">
        <v>-11977</v>
      </c>
      <c r="W260" s="20" t="n">
        <v>-15007</v>
      </c>
      <c r="X260" s="20" t="n">
        <v>-9613</v>
      </c>
    </row>
    <row r="261">
      <c r="A261" s="18" t="inlineStr">
        <is>
          <t>투자유가증권 매각</t>
        </is>
      </c>
      <c r="D261" s="20" t="n">
        <v>0</v>
      </c>
      <c r="F261" s="20" t="n">
        <v>0</v>
      </c>
      <c r="H261" s="20" t="n">
        <v>0</v>
      </c>
      <c r="J261" s="20" t="n">
        <v>0</v>
      </c>
      <c r="L261" s="20" t="n">
        <v>2857</v>
      </c>
      <c r="N261" s="20" t="n">
        <v>2857</v>
      </c>
      <c r="P261" s="20" t="n">
        <v>0</v>
      </c>
      <c r="Q261" s="20" t="n">
        <v>12357</v>
      </c>
      <c r="R261" s="20" t="n">
        <v>22</v>
      </c>
      <c r="S261" s="20" t="n">
        <v>218</v>
      </c>
      <c r="T261" s="20" t="n">
        <v>158</v>
      </c>
      <c r="U261" s="20" t="n">
        <v>3716</v>
      </c>
      <c r="V261" s="20" t="n">
        <v>0</v>
      </c>
      <c r="W261" s="20" t="n">
        <v>0</v>
      </c>
      <c r="X261" s="20" t="n">
        <v>2857</v>
      </c>
    </row>
    <row r="262">
      <c r="A262" s="18" t="inlineStr">
        <is>
          <t>관계회사 주식 취득</t>
        </is>
      </c>
      <c r="P262" s="20" t="n">
        <v>-190</v>
      </c>
      <c r="Q262" s="20" t="n">
        <v>0</v>
      </c>
    </row>
    <row r="263">
      <c r="A263" s="18" t="inlineStr">
        <is>
          <t>연결범위 변경 자회사 주식 취득(수입)</t>
        </is>
      </c>
      <c r="S263" s="20" t="n">
        <v>414</v>
      </c>
      <c r="T263" s="20" t="n">
        <v>0</v>
      </c>
    </row>
    <row r="264">
      <c r="A264" s="18" t="inlineStr">
        <is>
          <t>장기대여</t>
        </is>
      </c>
      <c r="S264" s="20" t="n">
        <v>-669</v>
      </c>
    </row>
    <row r="265">
      <c r="A265" s="18" t="inlineStr">
        <is>
          <t>투자부동산 매각</t>
        </is>
      </c>
      <c r="S265" s="20" t="n">
        <v>3104</v>
      </c>
      <c r="T265" s="20" t="n">
        <v>0</v>
      </c>
    </row>
    <row r="266">
      <c r="A266" s="18" t="inlineStr">
        <is>
          <t>기타</t>
        </is>
      </c>
      <c r="D266" s="20" t="n">
        <v>-380</v>
      </c>
      <c r="F266" s="20" t="n">
        <v>-451</v>
      </c>
      <c r="H266" s="20" t="n">
        <v>-454</v>
      </c>
      <c r="J266" s="20" t="n">
        <v>-1121</v>
      </c>
      <c r="L266" s="20" t="n">
        <v>-86</v>
      </c>
      <c r="N266" s="20" t="n">
        <v>-965</v>
      </c>
      <c r="P266" s="20" t="n">
        <v>-304</v>
      </c>
      <c r="Q266" s="20" t="n">
        <v>-145</v>
      </c>
      <c r="R266" s="20" t="n">
        <v>218</v>
      </c>
      <c r="S266" s="20" t="n">
        <v>799</v>
      </c>
      <c r="T266" s="20" t="n">
        <v>-455</v>
      </c>
      <c r="U266" s="20" t="n">
        <v>-814</v>
      </c>
      <c r="V266" s="20" t="n">
        <v>-451</v>
      </c>
      <c r="W266" s="20" t="n">
        <v>-1121</v>
      </c>
      <c r="X266" s="20" t="n">
        <v>-965</v>
      </c>
    </row>
    <row r="267">
      <c r="A267" s="9" t="inlineStr">
        <is>
          <t>투자활동 현금흐름</t>
        </is>
      </c>
      <c r="D267" s="12" t="n">
        <v>-18334</v>
      </c>
      <c r="F267" s="12" t="n">
        <v>-27654</v>
      </c>
      <c r="H267" s="12" t="n">
        <v>-22481</v>
      </c>
      <c r="J267" s="12" t="n">
        <v>-40931</v>
      </c>
      <c r="L267" s="12" t="n">
        <v>-15779</v>
      </c>
      <c r="N267" s="12" t="n">
        <v>-30124</v>
      </c>
      <c r="P267" s="12" t="n">
        <v>-14290</v>
      </c>
      <c r="Q267" s="12" t="n">
        <v>-5492</v>
      </c>
      <c r="R267" s="12" t="n">
        <v>-31435</v>
      </c>
      <c r="S267" s="12" t="n">
        <v>-13538</v>
      </c>
      <c r="T267" s="12" t="n">
        <v>-16683</v>
      </c>
      <c r="U267" s="12" t="n">
        <v>-22106</v>
      </c>
      <c r="V267" s="12" t="n">
        <v>-27654</v>
      </c>
      <c r="W267" s="12" t="n">
        <v>-40931</v>
      </c>
      <c r="X267" s="12" t="n">
        <v>-30124</v>
      </c>
    </row>
    <row r="268">
      <c r="A268" s="18" t="inlineStr">
        <is>
          <t>단기차입금 순증감</t>
        </is>
      </c>
      <c r="D268" s="20" t="n">
        <v>885</v>
      </c>
      <c r="F268" s="20" t="n">
        <v>-9288</v>
      </c>
      <c r="H268" s="20" t="n">
        <v>16006</v>
      </c>
      <c r="J268" s="20" t="n">
        <v>-367</v>
      </c>
      <c r="L268" s="20" t="n">
        <v>-4708</v>
      </c>
      <c r="N268" s="20" t="n">
        <v>-4429</v>
      </c>
      <c r="P268" s="20" t="n">
        <v>-2552</v>
      </c>
      <c r="Q268" s="20" t="n">
        <v>382</v>
      </c>
      <c r="R268" s="20" t="n">
        <v>3386</v>
      </c>
      <c r="S268" s="20" t="n">
        <v>45</v>
      </c>
      <c r="T268" s="20" t="n">
        <v>-1103</v>
      </c>
      <c r="U268" s="20" t="n">
        <v>10653</v>
      </c>
      <c r="V268" s="20" t="n">
        <v>-9288</v>
      </c>
      <c r="W268" s="20" t="n">
        <v>-367</v>
      </c>
      <c r="X268" s="20" t="n">
        <v>-4429</v>
      </c>
    </row>
    <row r="269">
      <c r="A269" s="18" t="inlineStr">
        <is>
          <t>장기차입</t>
        </is>
      </c>
      <c r="D269" s="20" t="n">
        <v>0</v>
      </c>
      <c r="F269" s="20" t="n">
        <v>0</v>
      </c>
      <c r="H269" s="20" t="n">
        <v>2754</v>
      </c>
      <c r="J269" s="20" t="n">
        <v>2754</v>
      </c>
      <c r="L269" s="20" t="n">
        <v>0</v>
      </c>
      <c r="N269" s="20" t="n">
        <v>0</v>
      </c>
      <c r="P269" s="20" t="n">
        <v>1651</v>
      </c>
      <c r="Q269" s="20" t="n">
        <v>0</v>
      </c>
      <c r="R269" s="20" t="n">
        <v>483</v>
      </c>
      <c r="S269" s="20" t="n">
        <v>0</v>
      </c>
      <c r="T269" s="20" t="n">
        <v>27551</v>
      </c>
      <c r="U269" s="20" t="n">
        <v>0</v>
      </c>
      <c r="V269" s="20" t="n">
        <v>0</v>
      </c>
      <c r="W269" s="20" t="n">
        <v>2754</v>
      </c>
      <c r="X269" s="20" t="n">
        <v>0</v>
      </c>
    </row>
    <row r="270">
      <c r="A270" s="18" t="inlineStr">
        <is>
          <t>장기차입금 상환</t>
        </is>
      </c>
      <c r="D270" s="20" t="n">
        <v>-1191</v>
      </c>
      <c r="F270" s="20" t="n">
        <v>-21980</v>
      </c>
      <c r="H270" s="20" t="n">
        <v>-350</v>
      </c>
      <c r="J270" s="20" t="n">
        <v>-929</v>
      </c>
      <c r="L270" s="20" t="n">
        <v>-717</v>
      </c>
      <c r="N270" s="20" t="n">
        <v>-11518</v>
      </c>
      <c r="P270" s="20" t="n">
        <v>-7961</v>
      </c>
      <c r="Q270" s="20" t="n">
        <v>-631</v>
      </c>
      <c r="R270" s="20" t="n">
        <v>-557</v>
      </c>
      <c r="S270" s="20" t="n">
        <v>-388</v>
      </c>
      <c r="T270" s="20" t="n">
        <v>-65644</v>
      </c>
      <c r="U270" s="20" t="n">
        <v>-735</v>
      </c>
      <c r="V270" s="20" t="n">
        <v>-21980</v>
      </c>
      <c r="W270" s="20" t="n">
        <v>-929</v>
      </c>
      <c r="X270" s="20" t="n">
        <v>-11518</v>
      </c>
    </row>
    <row r="271">
      <c r="A271" s="18" t="inlineStr">
        <is>
          <t>사채 발행</t>
        </is>
      </c>
      <c r="F271" s="20" t="n">
        <v>30000</v>
      </c>
      <c r="J271" s="20" t="n">
        <v>0</v>
      </c>
      <c r="U271" s="20" t="n">
        <v>0</v>
      </c>
      <c r="V271" s="20" t="n">
        <v>30000</v>
      </c>
      <c r="W271" s="20" t="n">
        <v>0</v>
      </c>
    </row>
    <row r="272">
      <c r="A272" s="18" t="inlineStr">
        <is>
          <t>리스부채 상환</t>
        </is>
      </c>
      <c r="D272" s="20" t="n">
        <v>-6099</v>
      </c>
      <c r="F272" s="20" t="n">
        <v>-11858</v>
      </c>
      <c r="H272" s="20" t="n">
        <v>-6482</v>
      </c>
      <c r="J272" s="20" t="n">
        <v>-12868</v>
      </c>
      <c r="L272" s="20" t="n">
        <v>-7180</v>
      </c>
      <c r="N272" s="20" t="n">
        <v>-15360</v>
      </c>
      <c r="Q272" s="20" t="n">
        <v>0</v>
      </c>
      <c r="R272" s="20" t="n">
        <v>-5707</v>
      </c>
      <c r="S272" s="20" t="n">
        <v>-8289</v>
      </c>
      <c r="T272" s="20" t="n">
        <v>-9593</v>
      </c>
      <c r="U272" s="20" t="n">
        <v>-10933</v>
      </c>
      <c r="V272" s="20" t="n">
        <v>-11858</v>
      </c>
      <c r="W272" s="20" t="n">
        <v>-12868</v>
      </c>
      <c r="X272" s="20" t="n">
        <v>-15360</v>
      </c>
    </row>
    <row r="273">
      <c r="A273" s="18" t="inlineStr">
        <is>
          <t>비지배주주 납입</t>
        </is>
      </c>
      <c r="D273" s="20" t="n">
        <v>329</v>
      </c>
      <c r="F273" s="20" t="n">
        <v>483</v>
      </c>
      <c r="H273" s="20" t="n">
        <v>0</v>
      </c>
      <c r="J273" s="20" t="n">
        <v>45</v>
      </c>
      <c r="L273" s="20" t="n">
        <v>2352</v>
      </c>
      <c r="N273" s="20" t="n">
        <v>2704</v>
      </c>
      <c r="P273" s="20" t="n">
        <v>101</v>
      </c>
      <c r="Q273" s="20" t="n">
        <v>157</v>
      </c>
      <c r="R273" s="20" t="n">
        <v>344</v>
      </c>
      <c r="S273" s="20" t="n">
        <v>199</v>
      </c>
      <c r="T273" s="20" t="n">
        <v>99</v>
      </c>
      <c r="U273" s="20" t="n">
        <v>263</v>
      </c>
      <c r="V273" s="20" t="n">
        <v>483</v>
      </c>
      <c r="W273" s="20" t="n">
        <v>45</v>
      </c>
      <c r="X273" s="20" t="n">
        <v>2704</v>
      </c>
    </row>
    <row r="274">
      <c r="A274" s="18" t="inlineStr">
        <is>
          <t>자기주식 취득</t>
        </is>
      </c>
      <c r="P274" s="20" t="n">
        <v>-5066</v>
      </c>
      <c r="Q274" s="20" t="n">
        <v>-0</v>
      </c>
      <c r="R274" s="20" t="n">
        <v>-0</v>
      </c>
    </row>
    <row r="275">
      <c r="A275" s="18" t="inlineStr">
        <is>
          <t>자기주식 매각</t>
        </is>
      </c>
      <c r="D275" s="20" t="n">
        <v>378</v>
      </c>
      <c r="F275" s="20" t="n">
        <v>608</v>
      </c>
      <c r="H275" s="20" t="n">
        <v>356</v>
      </c>
      <c r="J275" s="20" t="n">
        <v>925</v>
      </c>
      <c r="L275" s="20" t="n">
        <v>702</v>
      </c>
      <c r="N275" s="20" t="n">
        <v>1487</v>
      </c>
      <c r="P275" s="20" t="n">
        <v>454</v>
      </c>
      <c r="Q275" s="20" t="n">
        <v>615</v>
      </c>
      <c r="R275" s="20" t="n">
        <v>675</v>
      </c>
      <c r="S275" s="20" t="n">
        <v>0</v>
      </c>
      <c r="T275" s="20" t="n">
        <v>1072</v>
      </c>
      <c r="U275" s="20" t="n">
        <v>714</v>
      </c>
      <c r="V275" s="20" t="n">
        <v>608</v>
      </c>
      <c r="W275" s="20" t="n">
        <v>925</v>
      </c>
      <c r="X275" s="20" t="n">
        <v>1487</v>
      </c>
    </row>
    <row r="276">
      <c r="A276" s="18" t="inlineStr">
        <is>
          <t>배당금 지급</t>
        </is>
      </c>
      <c r="D276" s="20" t="n">
        <v>-5521</v>
      </c>
      <c r="F276" s="20" t="n">
        <v>-11045</v>
      </c>
      <c r="H276" s="20" t="n">
        <v>-5528</v>
      </c>
      <c r="J276" s="20" t="n">
        <v>-11634</v>
      </c>
      <c r="L276" s="20" t="n">
        <v>-7774</v>
      </c>
      <c r="N276" s="20" t="n">
        <v>-16654</v>
      </c>
      <c r="P276" s="20" t="n">
        <v>-8385</v>
      </c>
      <c r="Q276" s="20" t="n">
        <v>-9854</v>
      </c>
      <c r="R276" s="20" t="n">
        <v>-9960</v>
      </c>
      <c r="S276" s="20" t="n">
        <v>-6589</v>
      </c>
      <c r="T276" s="20" t="n">
        <v>-11029</v>
      </c>
      <c r="U276" s="20" t="n">
        <v>-11040</v>
      </c>
      <c r="V276" s="20" t="n">
        <v>-11045</v>
      </c>
      <c r="W276" s="20" t="n">
        <v>-11634</v>
      </c>
      <c r="X276" s="20" t="n">
        <v>-16654</v>
      </c>
    </row>
    <row r="277">
      <c r="A277" s="18" t="inlineStr">
        <is>
          <t>비지배주주 배당금 지급</t>
        </is>
      </c>
      <c r="P277" s="20" t="n">
        <v>0</v>
      </c>
      <c r="Q277" s="20" t="n">
        <v>-173</v>
      </c>
      <c r="R277" s="20" t="n">
        <v>-132</v>
      </c>
      <c r="S277" s="20" t="n">
        <v>-140</v>
      </c>
      <c r="T277" s="20" t="n">
        <v>0</v>
      </c>
    </row>
    <row r="278">
      <c r="A278" s="18" t="inlineStr">
        <is>
          <t>기타</t>
        </is>
      </c>
      <c r="D278" s="20" t="n">
        <v>-332</v>
      </c>
      <c r="F278" s="20" t="n">
        <v>-332</v>
      </c>
      <c r="H278" s="20" t="n">
        <v>0</v>
      </c>
      <c r="J278" s="20" t="n">
        <v>-45</v>
      </c>
      <c r="L278" s="20" t="n">
        <v>-1</v>
      </c>
      <c r="N278" s="20" t="n">
        <v>-1</v>
      </c>
      <c r="T278" s="20" t="n">
        <v>0</v>
      </c>
      <c r="U278" s="20" t="n">
        <v>-155</v>
      </c>
      <c r="V278" s="20" t="n">
        <v>-332</v>
      </c>
      <c r="W278" s="20" t="n">
        <v>-45</v>
      </c>
      <c r="X278" s="20" t="n">
        <v>-1</v>
      </c>
    </row>
    <row r="279">
      <c r="A279" s="9" t="inlineStr">
        <is>
          <t>재무활동 현금흐름</t>
        </is>
      </c>
      <c r="D279" s="12" t="n">
        <v>-11550</v>
      </c>
      <c r="F279" s="12" t="n">
        <v>-23412</v>
      </c>
      <c r="H279" s="12" t="n">
        <v>6756</v>
      </c>
      <c r="J279" s="12" t="n">
        <v>-22120</v>
      </c>
      <c r="L279" s="12" t="n">
        <v>-17327</v>
      </c>
      <c r="N279" s="12" t="n">
        <v>-43771</v>
      </c>
      <c r="P279" s="12" t="n">
        <v>-21759</v>
      </c>
      <c r="Q279" s="12" t="n">
        <v>-9505</v>
      </c>
      <c r="R279" s="12" t="n">
        <v>-11467</v>
      </c>
      <c r="S279" s="12" t="n">
        <v>-15162</v>
      </c>
      <c r="T279" s="12" t="n">
        <v>-58647</v>
      </c>
      <c r="U279" s="12" t="n">
        <v>-11232</v>
      </c>
      <c r="V279" s="12" t="n">
        <v>-23412</v>
      </c>
      <c r="W279" s="12" t="n">
        <v>-22120</v>
      </c>
      <c r="X279" s="12" t="n">
        <v>-43771</v>
      </c>
    </row>
    <row r="280">
      <c r="A280" s="18" t="inlineStr">
        <is>
          <t>현금성자산 환산차이</t>
        </is>
      </c>
      <c r="D280" s="20" t="n">
        <v>1847</v>
      </c>
      <c r="F280" s="20" t="n">
        <v>3098</v>
      </c>
      <c r="H280" s="20" t="n">
        <v>55</v>
      </c>
      <c r="J280" s="20" t="n">
        <v>-296</v>
      </c>
      <c r="L280" s="20" t="n">
        <v>6730</v>
      </c>
      <c r="N280" s="20" t="n">
        <v>8328</v>
      </c>
      <c r="P280" s="20" t="n">
        <v>1008</v>
      </c>
      <c r="Q280" s="20" t="n">
        <v>-2255</v>
      </c>
      <c r="R280" s="20" t="n">
        <v>-1280</v>
      </c>
      <c r="S280" s="20" t="n">
        <v>2246</v>
      </c>
      <c r="T280" s="20" t="n">
        <v>7192</v>
      </c>
      <c r="U280" s="20" t="n">
        <v>1764</v>
      </c>
      <c r="V280" s="20" t="n">
        <v>3098</v>
      </c>
      <c r="W280" s="20" t="n">
        <v>-296</v>
      </c>
      <c r="X280" s="20" t="n">
        <v>8328</v>
      </c>
    </row>
    <row r="281">
      <c r="A281" s="18" t="inlineStr">
        <is>
          <t>현금성자산 증감</t>
        </is>
      </c>
      <c r="D281" s="20" t="n">
        <v>-219</v>
      </c>
      <c r="F281" s="20" t="n">
        <v>10536</v>
      </c>
      <c r="H281" s="20" t="n">
        <v>-7863</v>
      </c>
      <c r="J281" s="20" t="n">
        <v>10007</v>
      </c>
      <c r="L281" s="20" t="n">
        <v>17608</v>
      </c>
      <c r="N281" s="20" t="n">
        <v>33828</v>
      </c>
      <c r="P281" s="20" t="n">
        <v>11941</v>
      </c>
      <c r="Q281" s="20" t="n">
        <v>6427</v>
      </c>
      <c r="R281" s="20" t="n">
        <v>-19731</v>
      </c>
      <c r="S281" s="20" t="n">
        <v>34993</v>
      </c>
      <c r="T281" s="20" t="n">
        <v>-44787</v>
      </c>
      <c r="U281" s="20" t="n">
        <v>24952</v>
      </c>
      <c r="V281" s="20" t="n">
        <v>10536</v>
      </c>
      <c r="W281" s="20" t="n">
        <v>10007</v>
      </c>
      <c r="X281" s="20" t="n">
        <v>33828</v>
      </c>
    </row>
    <row r="282">
      <c r="A282" s="18" t="inlineStr">
        <is>
          <t>결산기 변경 현금성자산 증감</t>
        </is>
      </c>
      <c r="S282" s="20" t="n">
        <v>8426</v>
      </c>
      <c r="T282" s="20" t="n">
        <v>0</v>
      </c>
    </row>
    <row r="283">
      <c r="A283" s="18" t="inlineStr">
        <is>
          <t>연결 제외 현금성자산 감소</t>
        </is>
      </c>
      <c r="D283" s="20" t="n">
        <v>-65</v>
      </c>
      <c r="F283" s="20" t="n">
        <v>-192</v>
      </c>
      <c r="H283" s="20" t="n">
        <v>0</v>
      </c>
      <c r="J283" s="20" t="n">
        <v>-175</v>
      </c>
      <c r="N283" s="20" t="n">
        <v>0</v>
      </c>
      <c r="U283" s="20" t="n">
        <v>0</v>
      </c>
      <c r="V283" s="20" t="n">
        <v>-192</v>
      </c>
      <c r="W283" s="20" t="n">
        <v>-175</v>
      </c>
      <c r="X283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양품계획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367068</v>
      </c>
      <c r="D5" s="12" t="n">
        <v>401901</v>
      </c>
      <c r="E5" s="12" t="n">
        <v>411193</v>
      </c>
      <c r="F5" s="12" t="n">
        <v>434348</v>
      </c>
      <c r="G5" s="12" t="n">
        <v>447501</v>
      </c>
      <c r="H5" s="11" t="n">
        <v>262206</v>
      </c>
      <c r="I5" s="12" t="n">
        <v>293412</v>
      </c>
      <c r="J5" s="12" t="n">
        <v>335447</v>
      </c>
      <c r="K5" s="12" t="n">
        <v>367068</v>
      </c>
      <c r="L5" s="12" t="n">
        <v>447501</v>
      </c>
    </row>
    <row r="6">
      <c r="A6" s="18" t="inlineStr">
        <is>
          <t>현금및현금성자산</t>
        </is>
      </c>
      <c r="B6" s="10" t="n"/>
      <c r="C6" s="19" t="n">
        <v>134926</v>
      </c>
      <c r="D6" s="20" t="n">
        <v>149252</v>
      </c>
      <c r="E6" s="20" t="n">
        <v>152245</v>
      </c>
      <c r="F6" s="20" t="n">
        <v>168716</v>
      </c>
      <c r="G6" s="20" t="n">
        <v>168675</v>
      </c>
      <c r="H6" s="19" t="n">
        <v>90162</v>
      </c>
      <c r="I6" s="20" t="n">
        <v>115038</v>
      </c>
      <c r="J6" s="20" t="n">
        <v>125225</v>
      </c>
      <c r="K6" s="20" t="n">
        <v>134926</v>
      </c>
      <c r="L6" s="20" t="n">
        <v>168675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18024</v>
      </c>
      <c r="D8" s="20" t="n">
        <v>21887</v>
      </c>
      <c r="E8" s="20" t="n">
        <v>18834</v>
      </c>
      <c r="F8" s="20" t="n">
        <v>27540</v>
      </c>
      <c r="G8" s="20" t="n">
        <v>24764</v>
      </c>
      <c r="H8" s="19" t="n">
        <v>10268</v>
      </c>
      <c r="I8" s="20" t="n">
        <v>12323</v>
      </c>
      <c r="J8" s="20" t="n">
        <v>16804</v>
      </c>
      <c r="K8" s="20" t="n">
        <v>18024</v>
      </c>
      <c r="L8" s="20" t="n">
        <v>24764</v>
      </c>
    </row>
    <row r="9">
      <c r="A9" s="18" t="inlineStr">
        <is>
          <t>재고자산</t>
        </is>
      </c>
      <c r="B9" s="10" t="n"/>
      <c r="C9" s="19" t="n">
        <v>169983</v>
      </c>
      <c r="D9" s="20" t="n">
        <v>170249</v>
      </c>
      <c r="E9" s="20" t="n">
        <v>187200</v>
      </c>
      <c r="F9" s="20" t="n">
        <v>177528</v>
      </c>
      <c r="G9" s="20" t="n">
        <v>205665</v>
      </c>
      <c r="H9" s="19" t="n">
        <v>129558</v>
      </c>
      <c r="I9" s="20" t="n">
        <v>133296</v>
      </c>
      <c r="J9" s="20" t="n">
        <v>154020</v>
      </c>
      <c r="K9" s="20" t="n">
        <v>169983</v>
      </c>
      <c r="L9" s="20" t="n">
        <v>205665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195680</v>
      </c>
      <c r="D11" s="12" t="n">
        <v>217624</v>
      </c>
      <c r="E11" s="12" t="n">
        <v>220921</v>
      </c>
      <c r="F11" s="12" t="n">
        <v>222144</v>
      </c>
      <c r="G11" s="12" t="n">
        <v>224798</v>
      </c>
      <c r="H11" s="11" t="n">
        <v>137118</v>
      </c>
      <c r="I11" s="12" t="n">
        <v>160302</v>
      </c>
      <c r="J11" s="12" t="n">
        <v>174103</v>
      </c>
      <c r="K11" s="12" t="n">
        <v>195680</v>
      </c>
      <c r="L11" s="12" t="n">
        <v>224798</v>
      </c>
    </row>
    <row r="12">
      <c r="A12" s="18" t="inlineStr">
        <is>
          <t>유형자산</t>
        </is>
      </c>
      <c r="B12" s="10" t="n"/>
      <c r="C12" s="19" t="n">
        <v>109929</v>
      </c>
      <c r="D12" s="20" t="n">
        <v>118498</v>
      </c>
      <c r="E12" s="20" t="n">
        <v>123957</v>
      </c>
      <c r="F12" s="20" t="n">
        <v>129257</v>
      </c>
      <c r="G12" s="20" t="n">
        <v>130578</v>
      </c>
      <c r="H12" s="19" t="n">
        <v>73082</v>
      </c>
      <c r="I12" s="20" t="n">
        <v>83630</v>
      </c>
      <c r="J12" s="20" t="n">
        <v>93514</v>
      </c>
      <c r="K12" s="20" t="n">
        <v>109929</v>
      </c>
      <c r="L12" s="20" t="n">
        <v>130578</v>
      </c>
    </row>
    <row r="13">
      <c r="A13" s="18" t="inlineStr">
        <is>
          <t>무형자산</t>
        </is>
      </c>
      <c r="B13" s="10" t="n"/>
      <c r="C13" s="19" t="n">
        <v>42201</v>
      </c>
      <c r="D13" s="20" t="n">
        <v>42601</v>
      </c>
      <c r="E13" s="20" t="n">
        <v>42836</v>
      </c>
      <c r="F13" s="20" t="n">
        <v>39347</v>
      </c>
      <c r="G13" s="20" t="n">
        <v>38872</v>
      </c>
      <c r="H13" s="19" t="n">
        <v>29627</v>
      </c>
      <c r="I13" s="20" t="n">
        <v>29555</v>
      </c>
      <c r="J13" s="20" t="n">
        <v>34843</v>
      </c>
      <c r="K13" s="20" t="n">
        <v>42201</v>
      </c>
      <c r="L13" s="20" t="n">
        <v>38872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562749</v>
      </c>
      <c r="D16" s="12" t="n">
        <v>619526</v>
      </c>
      <c r="E16" s="12" t="n">
        <v>632115</v>
      </c>
      <c r="F16" s="12" t="n">
        <v>656493</v>
      </c>
      <c r="G16" s="12" t="n">
        <v>672299</v>
      </c>
      <c r="H16" s="11" t="n">
        <v>399324</v>
      </c>
      <c r="I16" s="12" t="n">
        <v>453715</v>
      </c>
      <c r="J16" s="12" t="n">
        <v>509551</v>
      </c>
      <c r="K16" s="12" t="n">
        <v>562749</v>
      </c>
      <c r="L16" s="12" t="n">
        <v>672299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134689</v>
      </c>
      <c r="D18" s="12" t="n">
        <v>142874</v>
      </c>
      <c r="E18" s="12" t="n">
        <v>143260</v>
      </c>
      <c r="F18" s="12" t="n">
        <v>144688</v>
      </c>
      <c r="G18" s="12" t="n">
        <v>150070</v>
      </c>
      <c r="H18" s="11" t="n">
        <v>78923</v>
      </c>
      <c r="I18" s="12" t="n">
        <v>123470</v>
      </c>
      <c r="J18" s="12" t="n">
        <v>121024</v>
      </c>
      <c r="K18" s="12" t="n">
        <v>134689</v>
      </c>
      <c r="L18" s="12" t="n">
        <v>150070</v>
      </c>
    </row>
    <row r="19">
      <c r="A19" s="18" t="inlineStr">
        <is>
          <t>매입채무</t>
        </is>
      </c>
      <c r="B19" s="10" t="n"/>
      <c r="C19" s="19" t="n">
        <v>56402</v>
      </c>
      <c r="D19" s="20" t="n">
        <v>59391</v>
      </c>
      <c r="E19" s="20" t="n">
        <v>62917</v>
      </c>
      <c r="F19" s="20" t="n">
        <v>63989</v>
      </c>
      <c r="G19" s="20" t="n">
        <v>63636</v>
      </c>
      <c r="H19" s="19" t="n">
        <v>36462</v>
      </c>
      <c r="I19" s="20" t="n">
        <v>35157</v>
      </c>
      <c r="J19" s="20" t="n">
        <v>59168</v>
      </c>
      <c r="K19" s="20" t="n">
        <v>56402</v>
      </c>
      <c r="L19" s="20" t="n">
        <v>63636</v>
      </c>
    </row>
    <row r="20">
      <c r="A20" s="18" t="inlineStr">
        <is>
          <t>단기차입금</t>
        </is>
      </c>
      <c r="B20" s="10" t="n"/>
      <c r="C20" s="19" t="n">
        <v>4914</v>
      </c>
      <c r="D20" s="20" t="n">
        <v>340</v>
      </c>
      <c r="E20" s="20" t="n">
        <v>251</v>
      </c>
      <c r="F20" s="20" t="n">
        <v>98</v>
      </c>
      <c r="G20" s="20" t="n">
        <v>511</v>
      </c>
      <c r="H20" s="19" t="n">
        <v>3902</v>
      </c>
      <c r="I20" s="20" t="n">
        <v>14775</v>
      </c>
      <c r="J20" s="20" t="n">
        <v>5446</v>
      </c>
      <c r="K20" s="20" t="n">
        <v>4914</v>
      </c>
      <c r="L20" s="20" t="n">
        <v>511</v>
      </c>
    </row>
    <row r="21">
      <c r="A21" s="18" t="inlineStr">
        <is>
          <t>유동성장기부채</t>
        </is>
      </c>
      <c r="B21" s="10" t="n"/>
      <c r="C21" s="19" t="n">
        <v>10000</v>
      </c>
      <c r="D21" s="20" t="n">
        <v>10267</v>
      </c>
      <c r="E21" s="20" t="n">
        <v>10000</v>
      </c>
      <c r="F21" s="20" t="n">
        <v>0</v>
      </c>
      <c r="G21" s="20" t="n">
        <v>0</v>
      </c>
      <c r="H21" s="19" t="n">
        <v>2232</v>
      </c>
      <c r="I21" s="20" t="n">
        <v>22545</v>
      </c>
      <c r="J21" s="20" t="n">
        <v>0</v>
      </c>
      <c r="K21" s="20" t="n">
        <v>10000</v>
      </c>
      <c r="L21" s="20" t="n">
        <v>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92138</v>
      </c>
      <c r="D23" s="12" t="n">
        <v>103292</v>
      </c>
      <c r="E23" s="12" t="n">
        <v>104550</v>
      </c>
      <c r="F23" s="12" t="n">
        <v>107165</v>
      </c>
      <c r="G23" s="12" t="n">
        <v>102964</v>
      </c>
      <c r="H23" s="11" t="n">
        <v>75548</v>
      </c>
      <c r="I23" s="12" t="n">
        <v>62798</v>
      </c>
      <c r="J23" s="12" t="n">
        <v>91521</v>
      </c>
      <c r="K23" s="12" t="n">
        <v>92138</v>
      </c>
      <c r="L23" s="12" t="n">
        <v>102964</v>
      </c>
    </row>
    <row r="24">
      <c r="A24" s="18" t="inlineStr">
        <is>
          <t>장기차입금</t>
        </is>
      </c>
      <c r="B24" s="10" t="n"/>
      <c r="C24" s="19" t="n">
        <v>1824</v>
      </c>
      <c r="D24" s="20" t="n">
        <v>1824</v>
      </c>
      <c r="E24" s="20" t="n">
        <v>1106</v>
      </c>
      <c r="F24" s="20" t="n">
        <v>1494</v>
      </c>
      <c r="G24" s="20" t="n">
        <v>305</v>
      </c>
      <c r="H24" s="19" t="n">
        <v>31906</v>
      </c>
      <c r="I24" s="20" t="n">
        <v>11171</v>
      </c>
      <c r="J24" s="20" t="n">
        <v>10000</v>
      </c>
      <c r="K24" s="20" t="n">
        <v>1824</v>
      </c>
      <c r="L24" s="20" t="n">
        <v>305</v>
      </c>
    </row>
    <row r="25">
      <c r="A25" s="18" t="inlineStr">
        <is>
          <t>사채</t>
        </is>
      </c>
      <c r="B25" s="10" t="n"/>
      <c r="C25" s="19" t="n">
        <v>30000</v>
      </c>
      <c r="D25" s="20" t="n">
        <v>30000</v>
      </c>
      <c r="E25" s="20" t="n">
        <v>30000</v>
      </c>
      <c r="F25" s="20" t="n">
        <v>30000</v>
      </c>
      <c r="G25" s="20" t="n">
        <v>30000</v>
      </c>
      <c r="H25" s="19" t="n"/>
      <c r="I25" s="20" t="n">
        <v>0</v>
      </c>
      <c r="J25" s="20" t="n">
        <v>30000</v>
      </c>
      <c r="K25" s="20" t="n">
        <v>30000</v>
      </c>
      <c r="L25" s="20" t="n">
        <v>30000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226828</v>
      </c>
      <c r="D27" s="12" t="n">
        <v>246167</v>
      </c>
      <c r="E27" s="12" t="n">
        <v>247811</v>
      </c>
      <c r="F27" s="12" t="n">
        <v>251853</v>
      </c>
      <c r="G27" s="12" t="n">
        <v>253034</v>
      </c>
      <c r="H27" s="11" t="n">
        <v>154472</v>
      </c>
      <c r="I27" s="12" t="n">
        <v>186268</v>
      </c>
      <c r="J27" s="12" t="n">
        <v>212546</v>
      </c>
      <c r="K27" s="12" t="n">
        <v>226828</v>
      </c>
      <c r="L27" s="12" t="n">
        <v>253034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331748</v>
      </c>
      <c r="D31" s="12" t="n">
        <v>366733</v>
      </c>
      <c r="E31" s="12" t="n">
        <v>376952</v>
      </c>
      <c r="F31" s="12" t="n">
        <v>396798</v>
      </c>
      <c r="G31" s="12" t="n">
        <v>410708</v>
      </c>
      <c r="H31" s="11" t="n">
        <v>241556</v>
      </c>
      <c r="I31" s="12" t="n">
        <v>263599</v>
      </c>
      <c r="J31" s="12" t="n">
        <v>292813</v>
      </c>
      <c r="K31" s="12" t="n">
        <v>331748</v>
      </c>
      <c r="L31" s="12" t="n">
        <v>410708</v>
      </c>
    </row>
    <row r="32">
      <c r="A32" s="18" t="inlineStr">
        <is>
          <t>자본금</t>
        </is>
      </c>
      <c r="B32" s="10" t="n"/>
      <c r="C32" s="19" t="n">
        <v>6766</v>
      </c>
      <c r="D32" s="20" t="n">
        <v>6766</v>
      </c>
      <c r="E32" s="20" t="n">
        <v>6766</v>
      </c>
      <c r="F32" s="20" t="n">
        <v>6766</v>
      </c>
      <c r="G32" s="20" t="n">
        <v>6766</v>
      </c>
      <c r="H32" s="19" t="n">
        <v>6766</v>
      </c>
      <c r="I32" s="20" t="n">
        <v>6766</v>
      </c>
      <c r="J32" s="20" t="n">
        <v>6766</v>
      </c>
      <c r="K32" s="20" t="n">
        <v>6766</v>
      </c>
      <c r="L32" s="20" t="n">
        <v>6766</v>
      </c>
    </row>
    <row r="33">
      <c r="A33" s="18" t="inlineStr">
        <is>
          <t>이익잉여금</t>
        </is>
      </c>
      <c r="B33" s="10" t="n"/>
      <c r="C33" s="19" t="n">
        <v>300771</v>
      </c>
      <c r="D33" s="20" t="n">
        <v>315045</v>
      </c>
      <c r="E33" s="20" t="n">
        <v>327260</v>
      </c>
      <c r="F33" s="20" t="n">
        <v>342666</v>
      </c>
      <c r="G33" s="20" t="n">
        <v>360534</v>
      </c>
      <c r="H33" s="19" t="n">
        <v>219534</v>
      </c>
      <c r="I33" s="20" t="n">
        <v>230541</v>
      </c>
      <c r="J33" s="20" t="n">
        <v>260789</v>
      </c>
      <c r="K33" s="20" t="n">
        <v>300771</v>
      </c>
      <c r="L33" s="20" t="n">
        <v>360534</v>
      </c>
    </row>
    <row r="34">
      <c r="A34" s="18" t="inlineStr">
        <is>
          <t>비지배지분</t>
        </is>
      </c>
      <c r="B34" s="10" t="n"/>
      <c r="C34" s="19" t="n">
        <v>3828</v>
      </c>
      <c r="D34" s="20" t="n">
        <v>6308</v>
      </c>
      <c r="E34" s="20" t="n">
        <v>7039</v>
      </c>
      <c r="F34" s="20" t="n">
        <v>7528</v>
      </c>
      <c r="G34" s="20" t="n">
        <v>8254</v>
      </c>
      <c r="H34" s="19" t="n">
        <v>2632</v>
      </c>
      <c r="I34" s="20" t="n">
        <v>3216</v>
      </c>
      <c r="J34" s="20" t="n">
        <v>3704</v>
      </c>
      <c r="K34" s="20" t="n">
        <v>3828</v>
      </c>
      <c r="L34" s="20" t="n">
        <v>8254</v>
      </c>
    </row>
    <row r="35">
      <c r="A35" s="9" t="inlineStr">
        <is>
          <t>자본총계</t>
        </is>
      </c>
      <c r="B35" s="10" t="n"/>
      <c r="C35" s="11" t="n">
        <v>335920</v>
      </c>
      <c r="D35" s="12" t="n">
        <v>373359</v>
      </c>
      <c r="E35" s="12" t="n">
        <v>384304</v>
      </c>
      <c r="F35" s="12" t="n">
        <v>404639</v>
      </c>
      <c r="G35" s="12" t="n">
        <v>419265</v>
      </c>
      <c r="H35" s="11" t="n">
        <v>244852</v>
      </c>
      <c r="I35" s="12" t="n">
        <v>267446</v>
      </c>
      <c r="J35" s="12" t="n">
        <v>297004</v>
      </c>
      <c r="K35" s="12" t="n">
        <v>335920</v>
      </c>
      <c r="L35" s="12" t="n">
        <v>419265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73355</v>
      </c>
      <c r="D37" s="12" t="n"/>
      <c r="E37" s="12" t="n">
        <v>109533</v>
      </c>
      <c r="F37" s="12" t="n"/>
      <c r="G37" s="12" t="n">
        <v>99396</v>
      </c>
      <c r="H37" s="11" t="n">
        <v>23350</v>
      </c>
      <c r="I37" s="12" t="n">
        <v>56527</v>
      </c>
      <c r="J37" s="12" t="n">
        <v>58504</v>
      </c>
      <c r="K37" s="12" t="n">
        <v>73355</v>
      </c>
      <c r="L37" s="12" t="n">
        <v>99396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38326</v>
      </c>
      <c r="D38" s="20" t="n"/>
      <c r="E38" s="20" t="n">
        <v>36771</v>
      </c>
      <c r="F38" s="20" t="n"/>
      <c r="G38" s="20" t="n">
        <v>31343</v>
      </c>
      <c r="H38" s="19" t="n">
        <v>15883</v>
      </c>
      <c r="I38" s="20" t="n">
        <v>23298</v>
      </c>
      <c r="J38" s="20" t="n">
        <v>34586</v>
      </c>
      <c r="K38" s="20" t="n">
        <v>38326</v>
      </c>
      <c r="L38" s="20" t="n">
        <v>31343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11634</v>
      </c>
      <c r="D40" s="20" t="n"/>
      <c r="E40" s="20" t="n">
        <v>13880</v>
      </c>
      <c r="F40" s="20" t="n"/>
      <c r="G40" s="20" t="n">
        <v>16654</v>
      </c>
      <c r="H40" s="19" t="n">
        <v>11029</v>
      </c>
      <c r="I40" s="20" t="n">
        <v>11040</v>
      </c>
      <c r="J40" s="20" t="n">
        <v>11045</v>
      </c>
      <c r="K40" s="20" t="n">
        <v>11634</v>
      </c>
      <c r="L40" s="20" t="n">
        <v>16654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134926</v>
      </c>
      <c r="D71" s="20" t="n">
        <v>149252</v>
      </c>
      <c r="E71" s="20" t="n">
        <v>152245</v>
      </c>
      <c r="F71" s="20" t="n">
        <v>168716</v>
      </c>
      <c r="G71" s="20" t="n">
        <v>168675</v>
      </c>
      <c r="H71" s="20" t="n">
        <v>90162</v>
      </c>
      <c r="I71" s="20" t="n">
        <v>115038</v>
      </c>
      <c r="J71" s="20" t="n">
        <v>125225</v>
      </c>
      <c r="K71" s="20" t="n">
        <v>134926</v>
      </c>
      <c r="L71" s="20" t="n">
        <v>168675</v>
      </c>
    </row>
    <row r="72">
      <c r="A72" s="18" t="inlineStr">
        <is>
          <t>받을어음·매출채권</t>
        </is>
      </c>
      <c r="C72" s="20" t="n">
        <v>18024</v>
      </c>
      <c r="D72" s="20" t="n">
        <v>21887</v>
      </c>
      <c r="E72" s="20" t="n">
        <v>18834</v>
      </c>
      <c r="F72" s="20" t="n">
        <v>27540</v>
      </c>
      <c r="G72" s="20" t="n">
        <v>24764</v>
      </c>
      <c r="H72" s="20" t="n">
        <v>10268</v>
      </c>
      <c r="I72" s="20" t="n">
        <v>12323</v>
      </c>
      <c r="J72" s="20" t="n">
        <v>16804</v>
      </c>
      <c r="K72" s="20" t="n">
        <v>18024</v>
      </c>
      <c r="L72" s="20" t="n">
        <v>24764</v>
      </c>
    </row>
    <row r="73">
      <c r="A73" s="18" t="inlineStr">
        <is>
          <t>상품</t>
        </is>
      </c>
      <c r="C73" s="20" t="n">
        <v>169766</v>
      </c>
      <c r="D73" s="20" t="n">
        <v>169706</v>
      </c>
      <c r="E73" s="20" t="n">
        <v>186825</v>
      </c>
      <c r="F73" s="20" t="n">
        <v>177012</v>
      </c>
      <c r="G73" s="20" t="n">
        <v>205335</v>
      </c>
      <c r="H73" s="20" t="n">
        <v>129202</v>
      </c>
      <c r="I73" s="20" t="n">
        <v>133078</v>
      </c>
      <c r="J73" s="20" t="n">
        <v>153572</v>
      </c>
      <c r="K73" s="20" t="n">
        <v>169766</v>
      </c>
      <c r="L73" s="20" t="n">
        <v>205335</v>
      </c>
    </row>
    <row r="74">
      <c r="A74" s="18" t="inlineStr">
        <is>
          <t>재공품</t>
        </is>
      </c>
      <c r="C74" s="20" t="n">
        <v>129</v>
      </c>
      <c r="D74" s="20" t="n">
        <v>444</v>
      </c>
      <c r="E74" s="20" t="n">
        <v>288</v>
      </c>
      <c r="F74" s="20" t="n">
        <v>421</v>
      </c>
      <c r="G74" s="20" t="n">
        <v>204</v>
      </c>
      <c r="H74" s="20" t="n">
        <v>297</v>
      </c>
      <c r="I74" s="20" t="n">
        <v>139</v>
      </c>
      <c r="J74" s="20" t="n">
        <v>336</v>
      </c>
      <c r="K74" s="20" t="n">
        <v>129</v>
      </c>
      <c r="L74" s="20" t="n">
        <v>204</v>
      </c>
    </row>
    <row r="75">
      <c r="A75" s="18" t="inlineStr">
        <is>
          <t>저장품</t>
        </is>
      </c>
      <c r="C75" s="20" t="n">
        <v>88</v>
      </c>
      <c r="D75" s="20" t="n">
        <v>99</v>
      </c>
      <c r="E75" s="20" t="n">
        <v>87</v>
      </c>
      <c r="F75" s="20" t="n">
        <v>95</v>
      </c>
      <c r="G75" s="20" t="n">
        <v>126</v>
      </c>
      <c r="H75" s="20" t="n">
        <v>59</v>
      </c>
      <c r="I75" s="20" t="n">
        <v>79</v>
      </c>
      <c r="J75" s="20" t="n">
        <v>112</v>
      </c>
      <c r="K75" s="20" t="n">
        <v>88</v>
      </c>
      <c r="L75" s="20" t="n">
        <v>126</v>
      </c>
    </row>
    <row r="76">
      <c r="A76" s="18" t="inlineStr">
        <is>
          <t>미수금</t>
        </is>
      </c>
      <c r="C76" s="20" t="n">
        <v>19685</v>
      </c>
      <c r="D76" s="20" t="n">
        <v>24521</v>
      </c>
      <c r="E76" s="20" t="n">
        <v>19307</v>
      </c>
      <c r="F76" s="20" t="n">
        <v>24444</v>
      </c>
      <c r="G76" s="20" t="n">
        <v>17061</v>
      </c>
      <c r="H76" s="20" t="n">
        <v>15829</v>
      </c>
      <c r="I76" s="20" t="n">
        <v>12894</v>
      </c>
      <c r="J76" s="20" t="n">
        <v>15836</v>
      </c>
      <c r="K76" s="20" t="n">
        <v>19685</v>
      </c>
      <c r="L76" s="20" t="n">
        <v>17061</v>
      </c>
    </row>
    <row r="77">
      <c r="A77" s="18" t="inlineStr">
        <is>
          <t>기타</t>
        </is>
      </c>
      <c r="C77" s="20" t="n">
        <v>24453</v>
      </c>
      <c r="D77" s="20" t="n">
        <v>35996</v>
      </c>
      <c r="E77" s="20" t="n">
        <v>33611</v>
      </c>
      <c r="F77" s="20" t="n">
        <v>36123</v>
      </c>
      <c r="G77" s="20" t="n">
        <v>31351</v>
      </c>
      <c r="H77" s="20" t="n">
        <v>16405</v>
      </c>
      <c r="I77" s="20" t="n">
        <v>19880</v>
      </c>
      <c r="J77" s="20" t="n">
        <v>23565</v>
      </c>
      <c r="K77" s="20" t="n">
        <v>24453</v>
      </c>
      <c r="L77" s="20" t="n">
        <v>31351</v>
      </c>
    </row>
    <row r="78">
      <c r="A78" s="18" t="inlineStr">
        <is>
          <t>대손충당금</t>
        </is>
      </c>
      <c r="C78" s="20" t="n">
        <v>-6</v>
      </c>
      <c r="D78" s="20" t="n">
        <v>-6</v>
      </c>
      <c r="E78" s="20" t="n">
        <v>-6</v>
      </c>
      <c r="F78" s="20" t="n">
        <v>-6</v>
      </c>
      <c r="G78" s="20" t="n">
        <v>-18</v>
      </c>
      <c r="H78" s="20" t="n">
        <v>-20</v>
      </c>
      <c r="I78" s="20" t="n">
        <v>-20</v>
      </c>
      <c r="J78" s="20" t="n">
        <v>-6</v>
      </c>
      <c r="K78" s="20" t="n">
        <v>-6</v>
      </c>
      <c r="L78" s="20" t="n">
        <v>-18</v>
      </c>
    </row>
    <row r="79">
      <c r="A79" s="9" t="inlineStr">
        <is>
          <t>유동자산 합계</t>
        </is>
      </c>
      <c r="C79" s="12" t="n">
        <v>367068</v>
      </c>
      <c r="D79" s="12" t="n">
        <v>401901</v>
      </c>
      <c r="E79" s="12" t="n">
        <v>411193</v>
      </c>
      <c r="F79" s="12" t="n">
        <v>434348</v>
      </c>
      <c r="G79" s="12" t="n">
        <v>447501</v>
      </c>
      <c r="H79" s="12" t="n">
        <v>262206</v>
      </c>
      <c r="I79" s="12" t="n">
        <v>293412</v>
      </c>
      <c r="J79" s="12" t="n">
        <v>335447</v>
      </c>
      <c r="K79" s="12" t="n">
        <v>367068</v>
      </c>
      <c r="L79" s="12" t="n">
        <v>447501</v>
      </c>
    </row>
    <row r="80">
      <c r="A80" s="18" t="inlineStr">
        <is>
          <t>건물·구축물</t>
        </is>
      </c>
      <c r="C80" s="20" t="n">
        <v>101579</v>
      </c>
      <c r="D80" s="20" t="n">
        <v>109000</v>
      </c>
      <c r="E80" s="20" t="n">
        <v>113110</v>
      </c>
      <c r="F80" s="20" t="n">
        <v>117147</v>
      </c>
      <c r="G80" s="20" t="n">
        <v>119925</v>
      </c>
      <c r="H80" s="20" t="n">
        <v>70646</v>
      </c>
      <c r="I80" s="20" t="n">
        <v>79388</v>
      </c>
      <c r="J80" s="20" t="n">
        <v>89999</v>
      </c>
      <c r="K80" s="20" t="n">
        <v>101579</v>
      </c>
      <c r="L80" s="20" t="n">
        <v>119925</v>
      </c>
    </row>
    <row r="81">
      <c r="A81" s="18" t="inlineStr">
        <is>
          <t>감가상각누계액</t>
        </is>
      </c>
      <c r="C81" s="20" t="n">
        <v>-54172</v>
      </c>
      <c r="D81" s="20" t="n">
        <v>-57393</v>
      </c>
      <c r="E81" s="20" t="n">
        <v>-59870</v>
      </c>
      <c r="F81" s="20" t="n">
        <v>-62033</v>
      </c>
      <c r="G81" s="20" t="n">
        <v>-63964</v>
      </c>
      <c r="H81" s="20" t="n">
        <v>-41415</v>
      </c>
      <c r="I81" s="20" t="n">
        <v>-46873</v>
      </c>
      <c r="J81" s="20" t="n">
        <v>-49375</v>
      </c>
      <c r="K81" s="20" t="n">
        <v>-54172</v>
      </c>
      <c r="L81" s="20" t="n">
        <v>-63964</v>
      </c>
    </row>
    <row r="82">
      <c r="A82" s="18" t="inlineStr">
        <is>
          <t>건물·구축물(순액)</t>
        </is>
      </c>
      <c r="C82" s="20" t="n">
        <v>47407</v>
      </c>
      <c r="D82" s="20" t="n">
        <v>51607</v>
      </c>
      <c r="E82" s="20" t="n">
        <v>53240</v>
      </c>
      <c r="F82" s="20" t="n">
        <v>55113</v>
      </c>
      <c r="G82" s="20" t="n">
        <v>55961</v>
      </c>
      <c r="H82" s="20" t="n">
        <v>29230</v>
      </c>
      <c r="I82" s="20" t="n">
        <v>32514</v>
      </c>
      <c r="J82" s="20" t="n">
        <v>40624</v>
      </c>
      <c r="K82" s="20" t="n">
        <v>47407</v>
      </c>
      <c r="L82" s="20" t="n">
        <v>55961</v>
      </c>
    </row>
    <row r="83">
      <c r="A83" s="18" t="inlineStr">
        <is>
          <t>기계장치·운반구</t>
        </is>
      </c>
      <c r="C83" s="20" t="n">
        <v>6521</v>
      </c>
      <c r="D83" s="20" t="n">
        <v>6777</v>
      </c>
      <c r="E83" s="20" t="n">
        <v>8207</v>
      </c>
      <c r="F83" s="20" t="n">
        <v>8111</v>
      </c>
      <c r="G83" s="20" t="n">
        <v>8545</v>
      </c>
      <c r="H83" s="20" t="n">
        <v>5285</v>
      </c>
      <c r="I83" s="20" t="n">
        <v>5607</v>
      </c>
      <c r="J83" s="20" t="n">
        <v>5718</v>
      </c>
      <c r="K83" s="20" t="n">
        <v>6521</v>
      </c>
      <c r="L83" s="20" t="n">
        <v>8545</v>
      </c>
    </row>
    <row r="84">
      <c r="A84" s="18" t="inlineStr">
        <is>
          <t>감가상각누계액</t>
        </is>
      </c>
      <c r="C84" s="20" t="n">
        <v>-4963</v>
      </c>
      <c r="D84" s="20" t="n">
        <v>-5209</v>
      </c>
      <c r="E84" s="20" t="n">
        <v>-5427</v>
      </c>
      <c r="F84" s="20" t="n">
        <v>-4942</v>
      </c>
      <c r="G84" s="20" t="n">
        <v>-5080</v>
      </c>
      <c r="H84" s="20" t="n">
        <v>-3784</v>
      </c>
      <c r="I84" s="20" t="n">
        <v>-4286</v>
      </c>
      <c r="J84" s="20" t="n">
        <v>-4353</v>
      </c>
      <c r="K84" s="20" t="n">
        <v>-4963</v>
      </c>
      <c r="L84" s="20" t="n">
        <v>-5080</v>
      </c>
    </row>
    <row r="85">
      <c r="A85" s="18" t="inlineStr">
        <is>
          <t>기계장치·운반구(순액)</t>
        </is>
      </c>
      <c r="C85" s="20" t="n">
        <v>1558</v>
      </c>
      <c r="D85" s="20" t="n">
        <v>1568</v>
      </c>
      <c r="E85" s="20" t="n">
        <v>2779</v>
      </c>
      <c r="F85" s="20" t="n">
        <v>3169</v>
      </c>
      <c r="G85" s="20" t="n">
        <v>3464</v>
      </c>
      <c r="H85" s="20" t="n">
        <v>1500</v>
      </c>
      <c r="I85" s="20" t="n">
        <v>1321</v>
      </c>
      <c r="J85" s="20" t="n">
        <v>1364</v>
      </c>
      <c r="K85" s="20" t="n">
        <v>1558</v>
      </c>
      <c r="L85" s="20" t="n">
        <v>3464</v>
      </c>
    </row>
    <row r="86">
      <c r="A86" s="18" t="inlineStr">
        <is>
          <t>공구·기구·비품</t>
        </is>
      </c>
      <c r="C86" s="20" t="n">
        <v>36503</v>
      </c>
      <c r="D86" s="20" t="n">
        <v>38597</v>
      </c>
      <c r="E86" s="20" t="n">
        <v>39453</v>
      </c>
      <c r="F86" s="20" t="n">
        <v>40237</v>
      </c>
      <c r="G86" s="20" t="n">
        <v>39014</v>
      </c>
      <c r="H86" s="20" t="n">
        <v>27938</v>
      </c>
      <c r="I86" s="20" t="n">
        <v>31456</v>
      </c>
      <c r="J86" s="20" t="n">
        <v>34426</v>
      </c>
      <c r="K86" s="20" t="n">
        <v>36503</v>
      </c>
      <c r="L86" s="20" t="n">
        <v>39014</v>
      </c>
    </row>
    <row r="87">
      <c r="A87" s="18" t="inlineStr">
        <is>
          <t>감가상각누계액</t>
        </is>
      </c>
      <c r="C87" s="20" t="n">
        <v>-25344</v>
      </c>
      <c r="D87" s="20" t="n">
        <v>-26518</v>
      </c>
      <c r="E87" s="20" t="n">
        <v>-27403</v>
      </c>
      <c r="F87" s="20" t="n">
        <v>-27966</v>
      </c>
      <c r="G87" s="20" t="n">
        <v>-26951</v>
      </c>
      <c r="H87" s="20" t="n">
        <v>-19711</v>
      </c>
      <c r="I87" s="20" t="n">
        <v>-22532</v>
      </c>
      <c r="J87" s="20" t="n">
        <v>-24406</v>
      </c>
      <c r="K87" s="20" t="n">
        <v>-25344</v>
      </c>
      <c r="L87" s="20" t="n">
        <v>-26951</v>
      </c>
    </row>
    <row r="88">
      <c r="A88" s="18" t="inlineStr">
        <is>
          <t>공구·기구·비품(순액)</t>
        </is>
      </c>
      <c r="C88" s="20" t="n">
        <v>11159</v>
      </c>
      <c r="D88" s="20" t="n">
        <v>12078</v>
      </c>
      <c r="E88" s="20" t="n">
        <v>12049</v>
      </c>
      <c r="F88" s="20" t="n">
        <v>12271</v>
      </c>
      <c r="G88" s="20" t="n">
        <v>12062</v>
      </c>
      <c r="H88" s="20" t="n">
        <v>8227</v>
      </c>
      <c r="I88" s="20" t="n">
        <v>8924</v>
      </c>
      <c r="J88" s="20" t="n">
        <v>10020</v>
      </c>
      <c r="K88" s="20" t="n">
        <v>11159</v>
      </c>
      <c r="L88" s="20" t="n">
        <v>12062</v>
      </c>
    </row>
    <row r="89">
      <c r="A89" s="18" t="inlineStr">
        <is>
          <t>토지</t>
        </is>
      </c>
      <c r="C89" s="20" t="n">
        <v>930</v>
      </c>
      <c r="D89" s="20" t="n">
        <v>924</v>
      </c>
      <c r="E89" s="20" t="n">
        <v>909</v>
      </c>
      <c r="F89" s="20" t="n">
        <v>1007</v>
      </c>
      <c r="G89" s="20" t="n">
        <v>977</v>
      </c>
      <c r="H89" s="20" t="n">
        <v>1558</v>
      </c>
      <c r="I89" s="20" t="n">
        <v>1558</v>
      </c>
      <c r="J89" s="20" t="n">
        <v>935</v>
      </c>
      <c r="K89" s="20" t="n">
        <v>930</v>
      </c>
      <c r="L89" s="20" t="n">
        <v>977</v>
      </c>
    </row>
    <row r="90">
      <c r="A90" s="18" t="inlineStr">
        <is>
          <t>리스자산</t>
        </is>
      </c>
      <c r="C90" s="20" t="n">
        <v>76</v>
      </c>
      <c r="D90" s="20" t="n">
        <v>76</v>
      </c>
      <c r="E90" s="20" t="n">
        <v>76</v>
      </c>
      <c r="F90" s="20" t="n">
        <v>76</v>
      </c>
      <c r="G90" s="20" t="n">
        <v>76</v>
      </c>
      <c r="H90" s="20" t="n">
        <v>76</v>
      </c>
      <c r="I90" s="20" t="n">
        <v>94</v>
      </c>
      <c r="J90" s="20" t="n">
        <v>76</v>
      </c>
      <c r="K90" s="20" t="n">
        <v>76</v>
      </c>
      <c r="L90" s="20" t="n">
        <v>76</v>
      </c>
    </row>
    <row r="91">
      <c r="A91" s="18" t="inlineStr">
        <is>
          <t>감가상각누계액</t>
        </is>
      </c>
      <c r="C91" s="20" t="n">
        <v>-57</v>
      </c>
      <c r="D91" s="20" t="n">
        <v>-59</v>
      </c>
      <c r="E91" s="20" t="n">
        <v>-60</v>
      </c>
      <c r="F91" s="20" t="n">
        <v>-62</v>
      </c>
      <c r="G91" s="20" t="n">
        <v>-64</v>
      </c>
      <c r="H91" s="20" t="n">
        <v>-34</v>
      </c>
      <c r="I91" s="20" t="n">
        <v>-41</v>
      </c>
      <c r="J91" s="20" t="n">
        <v>-49</v>
      </c>
      <c r="K91" s="20" t="n">
        <v>-57</v>
      </c>
      <c r="L91" s="20" t="n">
        <v>-64</v>
      </c>
    </row>
    <row r="92">
      <c r="A92" s="18" t="inlineStr">
        <is>
          <t>리스자산(순액)</t>
        </is>
      </c>
      <c r="C92" s="20" t="n">
        <v>19</v>
      </c>
      <c r="D92" s="20" t="n">
        <v>17</v>
      </c>
      <c r="E92" s="20" t="n">
        <v>15</v>
      </c>
      <c r="F92" s="20" t="n">
        <v>13</v>
      </c>
      <c r="G92" s="20" t="n">
        <v>11</v>
      </c>
      <c r="H92" s="20" t="n">
        <v>41</v>
      </c>
      <c r="I92" s="20" t="n">
        <v>52</v>
      </c>
      <c r="J92" s="20" t="n">
        <v>26</v>
      </c>
      <c r="K92" s="20" t="n">
        <v>19</v>
      </c>
      <c r="L92" s="20" t="n">
        <v>11</v>
      </c>
    </row>
    <row r="93">
      <c r="A93" s="18" t="inlineStr">
        <is>
          <t>사용권자산</t>
        </is>
      </c>
      <c r="C93" s="20" t="n">
        <v>92631</v>
      </c>
      <c r="D93" s="20" t="n">
        <v>100683</v>
      </c>
      <c r="E93" s="20" t="n">
        <v>109212</v>
      </c>
      <c r="F93" s="20" t="n">
        <v>114657</v>
      </c>
      <c r="H93" s="20" t="n">
        <v>57886</v>
      </c>
      <c r="I93" s="20" t="n">
        <v>72537</v>
      </c>
      <c r="J93" s="20" t="n">
        <v>78496</v>
      </c>
      <c r="K93" s="20" t="n">
        <v>92631</v>
      </c>
    </row>
    <row r="94">
      <c r="A94" s="18" t="inlineStr">
        <is>
          <t>감가상각누계액</t>
        </is>
      </c>
      <c r="C94" s="20" t="n">
        <v>-47177</v>
      </c>
      <c r="D94" s="20" t="n">
        <v>-52763</v>
      </c>
      <c r="E94" s="20" t="n">
        <v>-57180</v>
      </c>
      <c r="F94" s="20" t="n">
        <v>-60153</v>
      </c>
      <c r="H94" s="20" t="n">
        <v>-26908</v>
      </c>
      <c r="I94" s="20" t="n">
        <v>-35109</v>
      </c>
      <c r="J94" s="20" t="n">
        <v>-40518</v>
      </c>
      <c r="K94" s="20" t="n">
        <v>-47177</v>
      </c>
    </row>
    <row r="95">
      <c r="A95" s="18" t="inlineStr">
        <is>
          <t>사용권자산(순액)</t>
        </is>
      </c>
      <c r="C95" s="20" t="n">
        <v>45454</v>
      </c>
      <c r="D95" s="20" t="n">
        <v>47919</v>
      </c>
      <c r="E95" s="20" t="n">
        <v>52031</v>
      </c>
      <c r="F95" s="20" t="n">
        <v>54503</v>
      </c>
      <c r="H95" s="20" t="n">
        <v>30978</v>
      </c>
      <c r="I95" s="20" t="n">
        <v>37428</v>
      </c>
      <c r="J95" s="20" t="n">
        <v>37978</v>
      </c>
      <c r="K95" s="20" t="n">
        <v>45454</v>
      </c>
    </row>
    <row r="96">
      <c r="A96" s="18" t="inlineStr">
        <is>
          <t>사용권자산</t>
        </is>
      </c>
      <c r="C96" s="20" t="n">
        <v>92631</v>
      </c>
      <c r="G96" s="20" t="n">
        <v>115591</v>
      </c>
      <c r="K96" s="20" t="n">
        <v>92631</v>
      </c>
      <c r="L96" s="20" t="n">
        <v>115591</v>
      </c>
    </row>
    <row r="97">
      <c r="A97" s="18" t="inlineStr">
        <is>
          <t>감가상각누계액</t>
        </is>
      </c>
      <c r="C97" s="20" t="n">
        <v>-47177</v>
      </c>
      <c r="G97" s="20" t="n">
        <v>-60943</v>
      </c>
      <c r="K97" s="20" t="n">
        <v>-47177</v>
      </c>
      <c r="L97" s="20" t="n">
        <v>-60943</v>
      </c>
    </row>
    <row r="98">
      <c r="A98" s="18" t="inlineStr">
        <is>
          <t>사용권자산(순액)</t>
        </is>
      </c>
      <c r="C98" s="20" t="n">
        <v>45454</v>
      </c>
      <c r="G98" s="20" t="n">
        <v>54647</v>
      </c>
      <c r="K98" s="20" t="n">
        <v>45454</v>
      </c>
      <c r="L98" s="20" t="n">
        <v>54647</v>
      </c>
    </row>
    <row r="99">
      <c r="A99" s="18" t="inlineStr">
        <is>
          <t>건설중인자산</t>
        </is>
      </c>
      <c r="C99" s="20" t="n">
        <v>3400</v>
      </c>
      <c r="D99" s="20" t="n">
        <v>4383</v>
      </c>
      <c r="E99" s="20" t="n">
        <v>2930</v>
      </c>
      <c r="F99" s="20" t="n">
        <v>3178</v>
      </c>
      <c r="G99" s="20" t="n">
        <v>3453</v>
      </c>
      <c r="H99" s="20" t="n">
        <v>1545</v>
      </c>
      <c r="I99" s="20" t="n">
        <v>1831</v>
      </c>
      <c r="J99" s="20" t="n">
        <v>2565</v>
      </c>
      <c r="K99" s="20" t="n">
        <v>3400</v>
      </c>
      <c r="L99" s="20" t="n">
        <v>3453</v>
      </c>
    </row>
    <row r="100">
      <c r="A100" s="18" t="inlineStr">
        <is>
          <t>유형자산 합계</t>
        </is>
      </c>
      <c r="C100" s="20" t="n">
        <v>109929</v>
      </c>
      <c r="D100" s="20" t="n">
        <v>118498</v>
      </c>
      <c r="E100" s="20" t="n">
        <v>123957</v>
      </c>
      <c r="F100" s="20" t="n">
        <v>129257</v>
      </c>
      <c r="G100" s="20" t="n">
        <v>130578</v>
      </c>
      <c r="H100" s="20" t="n">
        <v>73082</v>
      </c>
      <c r="I100" s="20" t="n">
        <v>83630</v>
      </c>
      <c r="J100" s="20" t="n">
        <v>93514</v>
      </c>
      <c r="K100" s="20" t="n">
        <v>109929</v>
      </c>
      <c r="L100" s="20" t="n">
        <v>130578</v>
      </c>
    </row>
    <row r="101">
      <c r="A101" s="18" t="inlineStr">
        <is>
          <t>영업권</t>
        </is>
      </c>
      <c r="C101" s="20" t="n">
        <v>173</v>
      </c>
      <c r="D101" s="20" t="n">
        <v>166</v>
      </c>
      <c r="E101" s="20" t="n">
        <v>155</v>
      </c>
      <c r="F101" s="20" t="n">
        <v>141</v>
      </c>
      <c r="G101" s="20" t="n">
        <v>131</v>
      </c>
      <c r="H101" s="20" t="n">
        <v>1767</v>
      </c>
      <c r="I101" s="20" t="n">
        <v>759</v>
      </c>
      <c r="J101" s="20" t="n">
        <v>223</v>
      </c>
      <c r="K101" s="20" t="n">
        <v>173</v>
      </c>
      <c r="L101" s="20" t="n">
        <v>131</v>
      </c>
    </row>
    <row r="102">
      <c r="A102" s="18" t="inlineStr">
        <is>
          <t>소프트웨어</t>
        </is>
      </c>
      <c r="C102" s="20" t="n">
        <v>40155</v>
      </c>
      <c r="D102" s="20" t="n">
        <v>40541</v>
      </c>
      <c r="E102" s="20" t="n">
        <v>40945</v>
      </c>
      <c r="F102" s="20" t="n">
        <v>37468</v>
      </c>
      <c r="G102" s="20" t="n">
        <v>37075</v>
      </c>
      <c r="H102" s="20" t="n">
        <v>25686</v>
      </c>
      <c r="I102" s="20" t="n">
        <v>26885</v>
      </c>
      <c r="J102" s="20" t="n">
        <v>32771</v>
      </c>
      <c r="K102" s="20" t="n">
        <v>40155</v>
      </c>
      <c r="L102" s="20" t="n">
        <v>37075</v>
      </c>
    </row>
    <row r="103">
      <c r="A103" s="18" t="inlineStr">
        <is>
          <t>기타</t>
        </is>
      </c>
      <c r="C103" s="20" t="n">
        <v>1872</v>
      </c>
      <c r="D103" s="20" t="n">
        <v>1893</v>
      </c>
      <c r="E103" s="20" t="n">
        <v>1735</v>
      </c>
      <c r="F103" s="20" t="n">
        <v>1737</v>
      </c>
      <c r="G103" s="20" t="n">
        <v>1664</v>
      </c>
      <c r="H103" s="20" t="n">
        <v>2173</v>
      </c>
      <c r="I103" s="20" t="n">
        <v>1910</v>
      </c>
      <c r="J103" s="20" t="n">
        <v>1849</v>
      </c>
      <c r="K103" s="20" t="n">
        <v>1872</v>
      </c>
      <c r="L103" s="20" t="n">
        <v>1664</v>
      </c>
    </row>
    <row r="104">
      <c r="A104" s="18" t="inlineStr">
        <is>
          <t>무형자산 합계</t>
        </is>
      </c>
      <c r="C104" s="20" t="n">
        <v>42201</v>
      </c>
      <c r="D104" s="20" t="n">
        <v>42601</v>
      </c>
      <c r="E104" s="20" t="n">
        <v>42836</v>
      </c>
      <c r="F104" s="20" t="n">
        <v>39347</v>
      </c>
      <c r="G104" s="20" t="n">
        <v>38872</v>
      </c>
      <c r="H104" s="20" t="n">
        <v>29627</v>
      </c>
      <c r="I104" s="20" t="n">
        <v>29555</v>
      </c>
      <c r="J104" s="20" t="n">
        <v>34843</v>
      </c>
      <c r="K104" s="20" t="n">
        <v>42201</v>
      </c>
      <c r="L104" s="20" t="n">
        <v>38872</v>
      </c>
    </row>
    <row r="105">
      <c r="A105" s="18" t="inlineStr">
        <is>
          <t>투자유가증권</t>
        </is>
      </c>
      <c r="C105" s="20" t="n">
        <v>2841</v>
      </c>
      <c r="D105" s="20" t="n">
        <v>0</v>
      </c>
      <c r="E105" s="20" t="n">
        <v>0</v>
      </c>
      <c r="F105" s="20" t="n">
        <v>0</v>
      </c>
      <c r="G105" s="20" t="n">
        <v>0</v>
      </c>
      <c r="H105" s="20" t="n">
        <v>4573</v>
      </c>
      <c r="I105" s="20" t="n">
        <v>1713</v>
      </c>
      <c r="J105" s="20" t="n">
        <v>2425</v>
      </c>
      <c r="K105" s="20" t="n">
        <v>2841</v>
      </c>
      <c r="L105" s="20" t="n">
        <v>0</v>
      </c>
    </row>
    <row r="106">
      <c r="A106" s="18" t="inlineStr">
        <is>
          <t>이연법인세자산</t>
        </is>
      </c>
      <c r="C106" s="20" t="n">
        <v>2186</v>
      </c>
      <c r="D106" s="20" t="n">
        <v>2292</v>
      </c>
      <c r="E106" s="20" t="n">
        <v>2431</v>
      </c>
      <c r="F106" s="20" t="n">
        <v>2458</v>
      </c>
      <c r="G106" s="20" t="n">
        <v>6666</v>
      </c>
      <c r="H106" s="20" t="n">
        <v>2884</v>
      </c>
      <c r="I106" s="20" t="n">
        <v>2774</v>
      </c>
      <c r="J106" s="20" t="n">
        <v>2211</v>
      </c>
      <c r="K106" s="20" t="n">
        <v>2186</v>
      </c>
      <c r="L106" s="20" t="n">
        <v>6666</v>
      </c>
    </row>
    <row r="107">
      <c r="A107" s="18" t="inlineStr">
        <is>
          <t>임차보증금·보증금</t>
        </is>
      </c>
      <c r="C107" s="20" t="n">
        <v>27668</v>
      </c>
      <c r="D107" s="20" t="n">
        <v>28227</v>
      </c>
      <c r="E107" s="20" t="n">
        <v>28574</v>
      </c>
      <c r="F107" s="20" t="n">
        <v>28752</v>
      </c>
      <c r="G107" s="20" t="n">
        <v>29172</v>
      </c>
      <c r="H107" s="20" t="n">
        <v>21442</v>
      </c>
      <c r="I107" s="20" t="n">
        <v>23846</v>
      </c>
      <c r="J107" s="20" t="n">
        <v>26249</v>
      </c>
      <c r="K107" s="20" t="n">
        <v>27668</v>
      </c>
      <c r="L107" s="20" t="n">
        <v>29172</v>
      </c>
    </row>
    <row r="108">
      <c r="A108" s="18" t="inlineStr">
        <is>
          <t>고정화 영업채권</t>
        </is>
      </c>
      <c r="C108" s="20" t="n">
        <v>0</v>
      </c>
      <c r="I108" s="20" t="n">
        <v>0</v>
      </c>
      <c r="J108" s="20" t="n">
        <v>12458</v>
      </c>
      <c r="K108" s="20" t="n">
        <v>0</v>
      </c>
    </row>
    <row r="109">
      <c r="A109" s="18" t="inlineStr">
        <is>
          <t>기타</t>
        </is>
      </c>
      <c r="C109" s="20" t="n">
        <v>10934</v>
      </c>
      <c r="D109" s="20" t="n">
        <v>26083</v>
      </c>
      <c r="E109" s="20" t="n">
        <v>23199</v>
      </c>
      <c r="F109" s="20" t="n">
        <v>22405</v>
      </c>
      <c r="G109" s="20" t="n">
        <v>19590</v>
      </c>
      <c r="H109" s="20" t="n">
        <v>5604</v>
      </c>
      <c r="I109" s="20" t="n">
        <v>18873</v>
      </c>
      <c r="J109" s="20" t="n">
        <v>12048</v>
      </c>
      <c r="K109" s="20" t="n">
        <v>10934</v>
      </c>
      <c r="L109" s="20" t="n">
        <v>19590</v>
      </c>
    </row>
    <row r="110">
      <c r="A110" s="18" t="inlineStr">
        <is>
          <t>대손충당금</t>
        </is>
      </c>
      <c r="C110" s="20" t="n">
        <v>-80</v>
      </c>
      <c r="D110" s="20" t="n">
        <v>-78</v>
      </c>
      <c r="E110" s="20" t="n">
        <v>-77</v>
      </c>
      <c r="F110" s="20" t="n">
        <v>-75</v>
      </c>
      <c r="G110" s="20" t="n">
        <v>-82</v>
      </c>
      <c r="H110" s="20" t="n">
        <v>-98</v>
      </c>
      <c r="I110" s="20" t="n">
        <v>-92</v>
      </c>
      <c r="J110" s="20" t="n">
        <v>-9649</v>
      </c>
      <c r="K110" s="20" t="n">
        <v>-80</v>
      </c>
      <c r="L110" s="20" t="n">
        <v>-82</v>
      </c>
    </row>
    <row r="111">
      <c r="A111" s="18" t="inlineStr">
        <is>
          <t>투자 및 기타자산 합계</t>
        </is>
      </c>
      <c r="C111" s="20" t="n">
        <v>43549</v>
      </c>
      <c r="D111" s="20" t="n">
        <v>56524</v>
      </c>
      <c r="E111" s="20" t="n">
        <v>54127</v>
      </c>
      <c r="F111" s="20" t="n">
        <v>53540</v>
      </c>
      <c r="G111" s="20" t="n">
        <v>55348</v>
      </c>
      <c r="H111" s="20" t="n">
        <v>34407</v>
      </c>
      <c r="I111" s="20" t="n">
        <v>47116</v>
      </c>
      <c r="J111" s="20" t="n">
        <v>45744</v>
      </c>
      <c r="K111" s="20" t="n">
        <v>43549</v>
      </c>
      <c r="L111" s="20" t="n">
        <v>55348</v>
      </c>
    </row>
    <row r="112">
      <c r="A112" s="9" t="inlineStr">
        <is>
          <t>비유동자산 합계</t>
        </is>
      </c>
      <c r="C112" s="12" t="n">
        <v>195680</v>
      </c>
      <c r="D112" s="12" t="n">
        <v>217624</v>
      </c>
      <c r="E112" s="12" t="n">
        <v>220921</v>
      </c>
      <c r="F112" s="12" t="n">
        <v>222144</v>
      </c>
      <c r="G112" s="12" t="n">
        <v>224798</v>
      </c>
      <c r="H112" s="12" t="n">
        <v>137118</v>
      </c>
      <c r="I112" s="12" t="n">
        <v>160302</v>
      </c>
      <c r="J112" s="12" t="n">
        <v>174103</v>
      </c>
      <c r="K112" s="12" t="n">
        <v>195680</v>
      </c>
      <c r="L112" s="12" t="n">
        <v>224798</v>
      </c>
    </row>
    <row r="113">
      <c r="A113" s="9" t="inlineStr">
        <is>
          <t>자산 합계</t>
        </is>
      </c>
      <c r="C113" s="12" t="n">
        <v>562749</v>
      </c>
      <c r="D113" s="12" t="n">
        <v>619526</v>
      </c>
      <c r="E113" s="12" t="n">
        <v>632115</v>
      </c>
      <c r="F113" s="12" t="n">
        <v>656493</v>
      </c>
      <c r="G113" s="12" t="n">
        <v>672299</v>
      </c>
      <c r="H113" s="12" t="n">
        <v>399324</v>
      </c>
      <c r="I113" s="12" t="n">
        <v>453715</v>
      </c>
      <c r="J113" s="12" t="n">
        <v>509551</v>
      </c>
      <c r="K113" s="12" t="n">
        <v>562749</v>
      </c>
      <c r="L113" s="12" t="n">
        <v>672299</v>
      </c>
    </row>
    <row r="114">
      <c r="A114" s="18" t="inlineStr">
        <is>
          <t>매입채무</t>
        </is>
      </c>
      <c r="C114" s="20" t="n">
        <v>56402</v>
      </c>
      <c r="D114" s="20" t="n">
        <v>59391</v>
      </c>
      <c r="E114" s="20" t="n">
        <v>62917</v>
      </c>
      <c r="F114" s="20" t="n">
        <v>63989</v>
      </c>
      <c r="G114" s="20" t="n">
        <v>63636</v>
      </c>
      <c r="H114" s="20" t="n">
        <v>36462</v>
      </c>
      <c r="I114" s="20" t="n">
        <v>35157</v>
      </c>
      <c r="J114" s="20" t="n">
        <v>59168</v>
      </c>
      <c r="K114" s="20" t="n">
        <v>56402</v>
      </c>
      <c r="L114" s="20" t="n">
        <v>63636</v>
      </c>
    </row>
    <row r="115">
      <c r="A115" s="18" t="inlineStr">
        <is>
          <t>단기차입금</t>
        </is>
      </c>
      <c r="C115" s="20" t="n">
        <v>4914</v>
      </c>
      <c r="D115" s="20" t="n">
        <v>340</v>
      </c>
      <c r="E115" s="20" t="n">
        <v>251</v>
      </c>
      <c r="F115" s="20" t="n">
        <v>98</v>
      </c>
      <c r="G115" s="20" t="n">
        <v>511</v>
      </c>
      <c r="H115" s="20" t="n">
        <v>3902</v>
      </c>
      <c r="I115" s="20" t="n">
        <v>14775</v>
      </c>
      <c r="J115" s="20" t="n">
        <v>5446</v>
      </c>
      <c r="K115" s="20" t="n">
        <v>4914</v>
      </c>
      <c r="L115" s="20" t="n">
        <v>511</v>
      </c>
    </row>
    <row r="116">
      <c r="A116" s="18" t="inlineStr">
        <is>
          <t>1년 내 상환 장기차입금</t>
        </is>
      </c>
      <c r="C116" s="20" t="n">
        <v>10000</v>
      </c>
      <c r="D116" s="20" t="n">
        <v>10267</v>
      </c>
      <c r="E116" s="20" t="n">
        <v>10000</v>
      </c>
      <c r="F116" s="20" t="n">
        <v>0</v>
      </c>
      <c r="G116" s="20" t="n">
        <v>0</v>
      </c>
      <c r="H116" s="20" t="n">
        <v>2232</v>
      </c>
      <c r="I116" s="20" t="n">
        <v>22545</v>
      </c>
      <c r="J116" s="20" t="n">
        <v>0</v>
      </c>
      <c r="K116" s="20" t="n">
        <v>10000</v>
      </c>
      <c r="L116" s="20" t="n">
        <v>0</v>
      </c>
    </row>
    <row r="117">
      <c r="A117" s="18" t="inlineStr">
        <is>
          <t>리스부채</t>
        </is>
      </c>
      <c r="C117" s="20" t="n">
        <v>13971</v>
      </c>
      <c r="D117" s="20" t="n">
        <v>14788</v>
      </c>
      <c r="E117" s="20" t="n">
        <v>16419</v>
      </c>
      <c r="F117" s="20" t="n">
        <v>16597</v>
      </c>
      <c r="G117" s="20" t="n">
        <v>17249</v>
      </c>
      <c r="H117" s="20" t="n">
        <v>10003</v>
      </c>
      <c r="I117" s="20" t="n">
        <v>12343</v>
      </c>
      <c r="J117" s="20" t="n">
        <v>12156</v>
      </c>
      <c r="K117" s="20" t="n">
        <v>13971</v>
      </c>
      <c r="L117" s="20" t="n">
        <v>17249</v>
      </c>
    </row>
    <row r="118">
      <c r="A118" s="18" t="inlineStr">
        <is>
          <t>미지급금</t>
        </is>
      </c>
      <c r="C118" s="20" t="n">
        <v>18476</v>
      </c>
      <c r="D118" s="20" t="n">
        <v>17906</v>
      </c>
      <c r="E118" s="20" t="n">
        <v>17107</v>
      </c>
      <c r="F118" s="20" t="n">
        <v>16024</v>
      </c>
      <c r="G118" s="20" t="n">
        <v>20851</v>
      </c>
      <c r="H118" s="20" t="n">
        <v>11475</v>
      </c>
      <c r="I118" s="20" t="n">
        <v>11711</v>
      </c>
      <c r="J118" s="20" t="n">
        <v>15693</v>
      </c>
      <c r="K118" s="20" t="n">
        <v>18476</v>
      </c>
      <c r="L118" s="20" t="n">
        <v>20851</v>
      </c>
    </row>
    <row r="119">
      <c r="A119" s="18" t="inlineStr">
        <is>
          <t>미지급비용</t>
        </is>
      </c>
      <c r="C119" s="20" t="n">
        <v>12368</v>
      </c>
      <c r="D119" s="20" t="n">
        <v>15473</v>
      </c>
      <c r="E119" s="20" t="n">
        <v>13091</v>
      </c>
      <c r="F119" s="20" t="n">
        <v>15273</v>
      </c>
      <c r="G119" s="20" t="n">
        <v>14043</v>
      </c>
      <c r="H119" s="20" t="n">
        <v>6725</v>
      </c>
      <c r="I119" s="20" t="n">
        <v>9279</v>
      </c>
      <c r="J119" s="20" t="n">
        <v>9831</v>
      </c>
      <c r="K119" s="20" t="n">
        <v>12368</v>
      </c>
      <c r="L119" s="20" t="n">
        <v>14043</v>
      </c>
    </row>
    <row r="120">
      <c r="A120" s="18" t="inlineStr">
        <is>
          <t>미지급법인세</t>
        </is>
      </c>
      <c r="C120" s="20" t="n">
        <v>3427</v>
      </c>
      <c r="D120" s="20" t="n">
        <v>9088</v>
      </c>
      <c r="E120" s="20" t="n">
        <v>11473</v>
      </c>
      <c r="F120" s="20" t="n">
        <v>15337</v>
      </c>
      <c r="G120" s="20" t="n">
        <v>17902</v>
      </c>
      <c r="H120" s="20" t="n">
        <v>1447</v>
      </c>
      <c r="I120" s="20" t="n">
        <v>8412</v>
      </c>
      <c r="J120" s="20" t="n">
        <v>9168</v>
      </c>
      <c r="K120" s="20" t="n">
        <v>3427</v>
      </c>
      <c r="L120" s="20" t="n">
        <v>17902</v>
      </c>
    </row>
    <row r="121">
      <c r="A121" s="18" t="inlineStr">
        <is>
          <t>상여충당금</t>
        </is>
      </c>
      <c r="C121" s="20" t="n">
        <v>2881</v>
      </c>
      <c r="D121" s="20" t="n">
        <v>2904</v>
      </c>
      <c r="E121" s="20" t="n">
        <v>2386</v>
      </c>
      <c r="F121" s="20" t="n">
        <v>3196</v>
      </c>
      <c r="G121" s="20" t="n">
        <v>4391</v>
      </c>
      <c r="H121" s="20" t="n">
        <v>1336</v>
      </c>
      <c r="I121" s="20" t="n">
        <v>2028</v>
      </c>
      <c r="J121" s="20" t="n">
        <v>2123</v>
      </c>
      <c r="K121" s="20" t="n">
        <v>2881</v>
      </c>
      <c r="L121" s="20" t="n">
        <v>4391</v>
      </c>
    </row>
    <row r="122">
      <c r="A122" s="18" t="inlineStr">
        <is>
          <t>임원 상여충당금</t>
        </is>
      </c>
      <c r="C122" s="20" t="n">
        <v>504</v>
      </c>
      <c r="D122" s="20" t="n">
        <v>119</v>
      </c>
      <c r="E122" s="20" t="n">
        <v>127</v>
      </c>
      <c r="F122" s="20" t="n">
        <v>220</v>
      </c>
      <c r="G122" s="20" t="n">
        <v>412</v>
      </c>
      <c r="H122" s="20" t="n">
        <v>78</v>
      </c>
      <c r="I122" s="20" t="n">
        <v>205</v>
      </c>
      <c r="J122" s="20" t="n">
        <v>235</v>
      </c>
      <c r="K122" s="20" t="n">
        <v>504</v>
      </c>
      <c r="L122" s="20" t="n">
        <v>412</v>
      </c>
    </row>
    <row r="123">
      <c r="A123" s="18" t="inlineStr">
        <is>
          <t>포인트 충당금</t>
        </is>
      </c>
      <c r="H123" s="20" t="n">
        <v>0</v>
      </c>
    </row>
    <row r="124">
      <c r="A124" s="18" t="inlineStr">
        <is>
          <t>기타</t>
        </is>
      </c>
      <c r="C124" s="20" t="n">
        <v>11742</v>
      </c>
      <c r="D124" s="20" t="n">
        <v>12594</v>
      </c>
      <c r="E124" s="20" t="n">
        <v>9485</v>
      </c>
      <c r="F124" s="20" t="n">
        <v>13949</v>
      </c>
      <c r="G124" s="20" t="n">
        <v>11071</v>
      </c>
      <c r="H124" s="20" t="n">
        <v>5259</v>
      </c>
      <c r="I124" s="20" t="n">
        <v>7010</v>
      </c>
      <c r="J124" s="20" t="n">
        <v>7199</v>
      </c>
      <c r="K124" s="20" t="n">
        <v>11742</v>
      </c>
      <c r="L124" s="20" t="n">
        <v>11071</v>
      </c>
    </row>
    <row r="125">
      <c r="A125" s="9" t="inlineStr">
        <is>
          <t>유동부채 합계</t>
        </is>
      </c>
      <c r="C125" s="12" t="n">
        <v>134689</v>
      </c>
      <c r="D125" s="12" t="n">
        <v>142874</v>
      </c>
      <c r="E125" s="12" t="n">
        <v>143260</v>
      </c>
      <c r="F125" s="12" t="n">
        <v>144688</v>
      </c>
      <c r="G125" s="12" t="n">
        <v>150070</v>
      </c>
      <c r="H125" s="12" t="n">
        <v>78923</v>
      </c>
      <c r="I125" s="12" t="n">
        <v>123470</v>
      </c>
      <c r="J125" s="12" t="n">
        <v>121024</v>
      </c>
      <c r="K125" s="12" t="n">
        <v>134689</v>
      </c>
      <c r="L125" s="12" t="n">
        <v>150070</v>
      </c>
    </row>
    <row r="126">
      <c r="A126" s="18" t="inlineStr">
        <is>
          <t>사채</t>
        </is>
      </c>
      <c r="C126" s="20" t="n">
        <v>30000</v>
      </c>
      <c r="D126" s="20" t="n">
        <v>30000</v>
      </c>
      <c r="E126" s="20" t="n">
        <v>30000</v>
      </c>
      <c r="F126" s="20" t="n">
        <v>30000</v>
      </c>
      <c r="G126" s="20" t="n">
        <v>30000</v>
      </c>
      <c r="I126" s="20" t="n">
        <v>0</v>
      </c>
      <c r="J126" s="20" t="n">
        <v>30000</v>
      </c>
      <c r="K126" s="20" t="n">
        <v>30000</v>
      </c>
      <c r="L126" s="20" t="n">
        <v>30000</v>
      </c>
    </row>
    <row r="127">
      <c r="A127" s="18" t="inlineStr">
        <is>
          <t>장기차입금</t>
        </is>
      </c>
      <c r="C127" s="20" t="n">
        <v>1824</v>
      </c>
      <c r="D127" s="20" t="n">
        <v>1824</v>
      </c>
      <c r="E127" s="20" t="n">
        <v>1106</v>
      </c>
      <c r="F127" s="20" t="n">
        <v>1494</v>
      </c>
      <c r="G127" s="20" t="n">
        <v>305</v>
      </c>
      <c r="H127" s="20" t="n">
        <v>31906</v>
      </c>
      <c r="I127" s="20" t="n">
        <v>11171</v>
      </c>
      <c r="J127" s="20" t="n">
        <v>10000</v>
      </c>
      <c r="K127" s="20" t="n">
        <v>1824</v>
      </c>
      <c r="L127" s="20" t="n">
        <v>305</v>
      </c>
    </row>
    <row r="128">
      <c r="A128" s="18" t="inlineStr">
        <is>
          <t>리스부채</t>
        </is>
      </c>
      <c r="C128" s="20" t="n">
        <v>41417</v>
      </c>
      <c r="D128" s="20" t="n">
        <v>43231</v>
      </c>
      <c r="E128" s="20" t="n">
        <v>45954</v>
      </c>
      <c r="F128" s="20" t="n">
        <v>47881</v>
      </c>
      <c r="G128" s="20" t="n">
        <v>47740</v>
      </c>
      <c r="H128" s="20" t="n">
        <v>28406</v>
      </c>
      <c r="I128" s="20" t="n">
        <v>34822</v>
      </c>
      <c r="J128" s="20" t="n">
        <v>34467</v>
      </c>
      <c r="K128" s="20" t="n">
        <v>41417</v>
      </c>
      <c r="L128" s="20" t="n">
        <v>47740</v>
      </c>
    </row>
    <row r="129">
      <c r="A129" s="18" t="inlineStr">
        <is>
          <t>이연법인세부채</t>
        </is>
      </c>
      <c r="C129" s="20" t="n">
        <v>6276</v>
      </c>
      <c r="D129" s="20" t="n">
        <v>14346</v>
      </c>
      <c r="E129" s="20" t="n">
        <v>12907</v>
      </c>
      <c r="F129" s="20" t="n">
        <v>11967</v>
      </c>
      <c r="G129" s="20" t="n">
        <v>8017</v>
      </c>
      <c r="H129" s="20" t="n">
        <v>6379</v>
      </c>
      <c r="I129" s="20" t="n">
        <v>8462</v>
      </c>
      <c r="J129" s="20" t="n">
        <v>6543</v>
      </c>
      <c r="K129" s="20" t="n">
        <v>6276</v>
      </c>
      <c r="L129" s="20" t="n">
        <v>8017</v>
      </c>
    </row>
    <row r="130">
      <c r="A130" s="18" t="inlineStr">
        <is>
          <t>임원 퇴직위로 충당금</t>
        </is>
      </c>
      <c r="C130" s="20" t="n">
        <v>22</v>
      </c>
      <c r="D130" s="20" t="n">
        <v>21</v>
      </c>
      <c r="E130" s="20" t="n">
        <v>25</v>
      </c>
      <c r="F130" s="20" t="n">
        <v>27</v>
      </c>
      <c r="G130" s="20" t="n">
        <v>30</v>
      </c>
      <c r="H130" s="20" t="n">
        <v>29</v>
      </c>
      <c r="I130" s="20" t="n">
        <v>31</v>
      </c>
      <c r="J130" s="20" t="n">
        <v>34</v>
      </c>
      <c r="K130" s="20" t="n">
        <v>22</v>
      </c>
      <c r="L130" s="20" t="n">
        <v>30</v>
      </c>
    </row>
    <row r="131">
      <c r="A131" s="18" t="inlineStr">
        <is>
          <t>주식급여 충당금</t>
        </is>
      </c>
      <c r="C131" s="20" t="n">
        <v>2691</v>
      </c>
      <c r="D131" s="20" t="n">
        <v>2907</v>
      </c>
      <c r="E131" s="20" t="n">
        <v>3142</v>
      </c>
      <c r="F131" s="20" t="n">
        <v>3368</v>
      </c>
      <c r="G131" s="20" t="n">
        <v>3549</v>
      </c>
      <c r="H131" s="20" t="n">
        <v>545</v>
      </c>
      <c r="I131" s="20" t="n">
        <v>1131</v>
      </c>
      <c r="J131" s="20" t="n">
        <v>1862</v>
      </c>
      <c r="K131" s="20" t="n">
        <v>2691</v>
      </c>
      <c r="L131" s="20" t="n">
        <v>3549</v>
      </c>
    </row>
    <row r="132">
      <c r="A132" s="18" t="inlineStr">
        <is>
          <t>기타</t>
        </is>
      </c>
      <c r="C132" s="20" t="n">
        <v>9907</v>
      </c>
      <c r="D132" s="20" t="n">
        <v>10961</v>
      </c>
      <c r="E132" s="20" t="n">
        <v>11414</v>
      </c>
      <c r="F132" s="20" t="n">
        <v>12426</v>
      </c>
      <c r="G132" s="20" t="n">
        <v>13320</v>
      </c>
      <c r="H132" s="20" t="n">
        <v>8281</v>
      </c>
      <c r="I132" s="20" t="n">
        <v>7178</v>
      </c>
      <c r="J132" s="20" t="n">
        <v>8614</v>
      </c>
      <c r="K132" s="20" t="n">
        <v>9907</v>
      </c>
      <c r="L132" s="20" t="n">
        <v>13320</v>
      </c>
    </row>
    <row r="133">
      <c r="A133" s="9" t="inlineStr">
        <is>
          <t>비유동부채 합계</t>
        </is>
      </c>
      <c r="C133" s="12" t="n">
        <v>92138</v>
      </c>
      <c r="D133" s="12" t="n">
        <v>103292</v>
      </c>
      <c r="E133" s="12" t="n">
        <v>104550</v>
      </c>
      <c r="F133" s="12" t="n">
        <v>107165</v>
      </c>
      <c r="G133" s="12" t="n">
        <v>102964</v>
      </c>
      <c r="H133" s="12" t="n">
        <v>75548</v>
      </c>
      <c r="I133" s="12" t="n">
        <v>62798</v>
      </c>
      <c r="J133" s="12" t="n">
        <v>91521</v>
      </c>
      <c r="K133" s="12" t="n">
        <v>92138</v>
      </c>
      <c r="L133" s="12" t="n">
        <v>102964</v>
      </c>
    </row>
    <row r="134">
      <c r="A134" s="9" t="inlineStr">
        <is>
          <t>부채 합계</t>
        </is>
      </c>
      <c r="C134" s="12" t="n">
        <v>226828</v>
      </c>
      <c r="D134" s="12" t="n">
        <v>246167</v>
      </c>
      <c r="E134" s="12" t="n">
        <v>247811</v>
      </c>
      <c r="F134" s="12" t="n">
        <v>251853</v>
      </c>
      <c r="G134" s="12" t="n">
        <v>253034</v>
      </c>
      <c r="H134" s="12" t="n">
        <v>154472</v>
      </c>
      <c r="I134" s="12" t="n">
        <v>186268</v>
      </c>
      <c r="J134" s="12" t="n">
        <v>212546</v>
      </c>
      <c r="K134" s="12" t="n">
        <v>226828</v>
      </c>
      <c r="L134" s="12" t="n">
        <v>253034</v>
      </c>
    </row>
    <row r="135">
      <c r="A135" s="18" t="inlineStr">
        <is>
          <t>자본금</t>
        </is>
      </c>
      <c r="C135" s="20" t="n">
        <v>6766</v>
      </c>
      <c r="D135" s="20" t="n">
        <v>6766</v>
      </c>
      <c r="E135" s="20" t="n">
        <v>6766</v>
      </c>
      <c r="F135" s="20" t="n">
        <v>6766</v>
      </c>
      <c r="G135" s="20" t="n">
        <v>6766</v>
      </c>
      <c r="H135" s="20" t="n">
        <v>6766</v>
      </c>
      <c r="I135" s="20" t="n">
        <v>6766</v>
      </c>
      <c r="J135" s="20" t="n">
        <v>6766</v>
      </c>
      <c r="K135" s="20" t="n">
        <v>6766</v>
      </c>
      <c r="L135" s="20" t="n">
        <v>6766</v>
      </c>
    </row>
    <row r="136">
      <c r="A136" s="18" t="inlineStr">
        <is>
          <t>자본잉여금</t>
        </is>
      </c>
      <c r="C136" s="20" t="n">
        <v>31765</v>
      </c>
      <c r="D136" s="20" t="n">
        <v>31893</v>
      </c>
      <c r="E136" s="20" t="n">
        <v>31894</v>
      </c>
      <c r="F136" s="20" t="n">
        <v>31894</v>
      </c>
      <c r="G136" s="20" t="n">
        <v>31899</v>
      </c>
      <c r="H136" s="20" t="n">
        <v>29586</v>
      </c>
      <c r="I136" s="20" t="n">
        <v>29620</v>
      </c>
      <c r="J136" s="20" t="n">
        <v>29719</v>
      </c>
      <c r="K136" s="20" t="n">
        <v>31765</v>
      </c>
      <c r="L136" s="20" t="n">
        <v>31899</v>
      </c>
    </row>
    <row r="137">
      <c r="A137" s="18" t="inlineStr">
        <is>
          <t>이익잉여금</t>
        </is>
      </c>
      <c r="C137" s="20" t="n">
        <v>300771</v>
      </c>
      <c r="D137" s="20" t="n">
        <v>315045</v>
      </c>
      <c r="E137" s="20" t="n">
        <v>327260</v>
      </c>
      <c r="F137" s="20" t="n">
        <v>342666</v>
      </c>
      <c r="G137" s="20" t="n">
        <v>360534</v>
      </c>
      <c r="H137" s="20" t="n">
        <v>219534</v>
      </c>
      <c r="I137" s="20" t="n">
        <v>230541</v>
      </c>
      <c r="J137" s="20" t="n">
        <v>260789</v>
      </c>
      <c r="K137" s="20" t="n">
        <v>300771</v>
      </c>
      <c r="L137" s="20" t="n">
        <v>360534</v>
      </c>
    </row>
    <row r="138">
      <c r="A138" s="18" t="inlineStr">
        <is>
          <t>자기주식</t>
        </is>
      </c>
      <c r="C138" s="20" t="n">
        <v>-30461</v>
      </c>
      <c r="D138" s="20" t="n">
        <v>-30308</v>
      </c>
      <c r="E138" s="20" t="n">
        <v>-30091</v>
      </c>
      <c r="F138" s="20" t="n">
        <v>-29968</v>
      </c>
      <c r="G138" s="20" t="n">
        <v>-29771</v>
      </c>
      <c r="H138" s="20" t="n">
        <v>-31082</v>
      </c>
      <c r="I138" s="20" t="n">
        <v>-29920</v>
      </c>
      <c r="J138" s="20" t="n">
        <v>-29272</v>
      </c>
      <c r="K138" s="20" t="n">
        <v>-30461</v>
      </c>
      <c r="L138" s="20" t="n">
        <v>-29771</v>
      </c>
    </row>
    <row r="139">
      <c r="A139" s="9" t="inlineStr">
        <is>
          <t>주주자본 합계</t>
        </is>
      </c>
      <c r="C139" s="12" t="n">
        <v>308841</v>
      </c>
      <c r="D139" s="12" t="n">
        <v>323395</v>
      </c>
      <c r="E139" s="12" t="n">
        <v>335828</v>
      </c>
      <c r="F139" s="12" t="n">
        <v>351358</v>
      </c>
      <c r="G139" s="12" t="n">
        <v>369428</v>
      </c>
      <c r="H139" s="12" t="n">
        <v>224805</v>
      </c>
      <c r="I139" s="12" t="n">
        <v>237008</v>
      </c>
      <c r="J139" s="12" t="n">
        <v>268002</v>
      </c>
      <c r="K139" s="12" t="n">
        <v>308841</v>
      </c>
      <c r="L139" s="12" t="n">
        <v>369428</v>
      </c>
    </row>
    <row r="140">
      <c r="A140" s="18" t="inlineStr">
        <is>
          <t>기타유가증권 평가차액</t>
        </is>
      </c>
      <c r="C140" s="20" t="n">
        <v>1631</v>
      </c>
      <c r="D140" s="20" t="n">
        <v>0</v>
      </c>
      <c r="E140" s="20" t="n">
        <v>0</v>
      </c>
      <c r="F140" s="20" t="n">
        <v>0</v>
      </c>
      <c r="G140" s="20" t="n">
        <v>0</v>
      </c>
      <c r="H140" s="20" t="n">
        <v>2309</v>
      </c>
      <c r="I140" s="20" t="n">
        <v>849</v>
      </c>
      <c r="J140" s="20" t="n">
        <v>1343</v>
      </c>
      <c r="K140" s="20" t="n">
        <v>1631</v>
      </c>
      <c r="L140" s="20" t="n">
        <v>0</v>
      </c>
    </row>
    <row r="141">
      <c r="A141" s="18" t="inlineStr">
        <is>
          <t>이연헤지손익</t>
        </is>
      </c>
      <c r="C141" s="20" t="n">
        <v>13349</v>
      </c>
      <c r="D141" s="20" t="n">
        <v>30006</v>
      </c>
      <c r="E141" s="20" t="n">
        <v>25467</v>
      </c>
      <c r="F141" s="20" t="n">
        <v>27399</v>
      </c>
      <c r="G141" s="20" t="n">
        <v>22457</v>
      </c>
      <c r="H141" s="20" t="n">
        <v>7577</v>
      </c>
      <c r="I141" s="20" t="n">
        <v>19270</v>
      </c>
      <c r="J141" s="20" t="n">
        <v>14669</v>
      </c>
      <c r="K141" s="20" t="n">
        <v>13349</v>
      </c>
      <c r="L141" s="20" t="n">
        <v>22457</v>
      </c>
    </row>
    <row r="142">
      <c r="A142" s="18" t="inlineStr">
        <is>
          <t>해외사업환산조정</t>
        </is>
      </c>
      <c r="C142" s="20" t="n">
        <v>7925</v>
      </c>
      <c r="D142" s="20" t="n">
        <v>13329</v>
      </c>
      <c r="E142" s="20" t="n">
        <v>15655</v>
      </c>
      <c r="F142" s="20" t="n">
        <v>18039</v>
      </c>
      <c r="G142" s="20" t="n">
        <v>18820</v>
      </c>
      <c r="H142" s="20" t="n">
        <v>6863</v>
      </c>
      <c r="I142" s="20" t="n">
        <v>6470</v>
      </c>
      <c r="J142" s="20" t="n">
        <v>8798</v>
      </c>
      <c r="K142" s="20" t="n">
        <v>7925</v>
      </c>
      <c r="L142" s="20" t="n">
        <v>18820</v>
      </c>
    </row>
    <row r="143">
      <c r="A143" s="18" t="inlineStr">
        <is>
          <t>기타포괄손익누계액 합계</t>
        </is>
      </c>
      <c r="C143" s="20" t="n">
        <v>22906</v>
      </c>
      <c r="D143" s="20" t="n">
        <v>43336</v>
      </c>
      <c r="E143" s="20" t="n">
        <v>41122</v>
      </c>
      <c r="F143" s="20" t="n">
        <v>45439</v>
      </c>
      <c r="G143" s="20" t="n">
        <v>41278</v>
      </c>
      <c r="H143" s="20" t="n">
        <v>16750</v>
      </c>
      <c r="I143" s="20" t="n">
        <v>26590</v>
      </c>
      <c r="J143" s="20" t="n">
        <v>24810</v>
      </c>
      <c r="K143" s="20" t="n">
        <v>22906</v>
      </c>
      <c r="L143" s="20" t="n">
        <v>41278</v>
      </c>
    </row>
    <row r="144">
      <c r="A144" s="18" t="inlineStr">
        <is>
          <t>신주예약권</t>
        </is>
      </c>
      <c r="C144" s="20" t="n">
        <v>344</v>
      </c>
      <c r="D144" s="20" t="n">
        <v>318</v>
      </c>
      <c r="E144" s="20" t="n">
        <v>313</v>
      </c>
      <c r="F144" s="20" t="n">
        <v>313</v>
      </c>
      <c r="G144" s="20" t="n">
        <v>303</v>
      </c>
      <c r="H144" s="20" t="n">
        <v>664</v>
      </c>
      <c r="I144" s="20" t="n">
        <v>631</v>
      </c>
      <c r="J144" s="20" t="n">
        <v>487</v>
      </c>
      <c r="K144" s="20" t="n">
        <v>344</v>
      </c>
      <c r="L144" s="20" t="n">
        <v>303</v>
      </c>
    </row>
    <row r="145">
      <c r="A145" s="18" t="inlineStr">
        <is>
          <t>비지배지분</t>
        </is>
      </c>
      <c r="C145" s="20" t="n">
        <v>3828</v>
      </c>
      <c r="D145" s="20" t="n">
        <v>6308</v>
      </c>
      <c r="E145" s="20" t="n">
        <v>7039</v>
      </c>
      <c r="F145" s="20" t="n">
        <v>7528</v>
      </c>
      <c r="G145" s="20" t="n">
        <v>8254</v>
      </c>
      <c r="H145" s="20" t="n">
        <v>2632</v>
      </c>
      <c r="I145" s="20" t="n">
        <v>3216</v>
      </c>
      <c r="J145" s="20" t="n">
        <v>3704</v>
      </c>
      <c r="K145" s="20" t="n">
        <v>3828</v>
      </c>
      <c r="L145" s="20" t="n">
        <v>8254</v>
      </c>
    </row>
    <row r="146">
      <c r="A146" s="9" t="inlineStr">
        <is>
          <t>순자산 합계</t>
        </is>
      </c>
      <c r="C146" s="12" t="n">
        <v>335920</v>
      </c>
      <c r="D146" s="12" t="n">
        <v>373359</v>
      </c>
      <c r="E146" s="12" t="n">
        <v>384304</v>
      </c>
      <c r="F146" s="12" t="n">
        <v>404639</v>
      </c>
      <c r="G146" s="12" t="n">
        <v>419265</v>
      </c>
      <c r="H146" s="12" t="n">
        <v>244852</v>
      </c>
      <c r="I146" s="12" t="n">
        <v>267446</v>
      </c>
      <c r="J146" s="12" t="n">
        <v>297004</v>
      </c>
      <c r="K146" s="12" t="n">
        <v>335920</v>
      </c>
      <c r="L146" s="12" t="n">
        <v>419265</v>
      </c>
    </row>
    <row r="147">
      <c r="A147" s="9" t="inlineStr">
        <is>
          <t>부채·순자산 합계</t>
        </is>
      </c>
      <c r="C147" s="12" t="n">
        <v>562749</v>
      </c>
      <c r="D147" s="12" t="n">
        <v>619526</v>
      </c>
      <c r="E147" s="12" t="n">
        <v>632115</v>
      </c>
      <c r="F147" s="12" t="n">
        <v>656493</v>
      </c>
      <c r="G147" s="12" t="n">
        <v>672299</v>
      </c>
      <c r="H147" s="12" t="n">
        <v>399324</v>
      </c>
      <c r="I147" s="12" t="n">
        <v>453715</v>
      </c>
      <c r="J147" s="12" t="n">
        <v>509551</v>
      </c>
      <c r="K147" s="12" t="n">
        <v>562749</v>
      </c>
      <c r="L147" s="12" t="n">
        <v>672299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양품계획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annual_100m · FY8/26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매출</t>
        </is>
      </c>
      <c r="B6" s="55" t="n">
        <v>9235.9</v>
      </c>
      <c r="C6" s="56" t="inlineStr">
        <is>
          <t>2단계 보고서 자료(회사 설명회 자료·공시)</t>
        </is>
      </c>
    </row>
    <row r="7">
      <c r="A7" s="54" t="inlineStr">
        <is>
          <t>gp</t>
        </is>
      </c>
      <c r="B7" s="55" t="n">
        <v>4876.9</v>
      </c>
    </row>
    <row r="8">
      <c r="A8" s="54" t="inlineStr">
        <is>
          <t>영업이익</t>
        </is>
      </c>
      <c r="B8" s="55" t="n">
        <v>1034.4</v>
      </c>
    </row>
    <row r="9">
      <c r="A9" s="54" t="inlineStr">
        <is>
          <t>순이익</t>
        </is>
      </c>
      <c r="B9" s="55" t="n">
        <v>764.2</v>
      </c>
    </row>
    <row r="10">
      <c r="A10" s="54" t="inlineStr">
        <is>
          <t>EPS</t>
        </is>
      </c>
      <c r="B10" s="55" t="n">
        <v>143.98</v>
      </c>
    </row>
    <row r="12">
      <c r="A12" s="52" t="inlineStr">
        <is>
          <t>annual_100m · FY8/25</t>
        </is>
      </c>
      <c r="B12" s="52" t="n"/>
      <c r="C12" s="52" t="n"/>
    </row>
    <row r="13">
      <c r="A13" s="53" t="inlineStr">
        <is>
          <t>항목</t>
        </is>
      </c>
      <c r="B13" s="53" t="inlineStr">
        <is>
          <t>값</t>
        </is>
      </c>
      <c r="C13" s="53" t="inlineStr">
        <is>
          <t>출처</t>
        </is>
      </c>
    </row>
    <row r="14">
      <c r="A14" s="54" t="inlineStr">
        <is>
          <t>매출</t>
        </is>
      </c>
      <c r="B14" s="55" t="n">
        <v>7846.3</v>
      </c>
      <c r="C14" s="56" t="inlineStr">
        <is>
          <t>2단계 보고서 자료(회사 설명회 자료·공시)</t>
        </is>
      </c>
    </row>
    <row r="15">
      <c r="A15" s="54" t="inlineStr">
        <is>
          <t>gp</t>
        </is>
      </c>
      <c r="B15" s="55" t="n">
        <v>4029.8</v>
      </c>
    </row>
    <row r="16">
      <c r="A16" s="54" t="inlineStr">
        <is>
          <t>영업이익</t>
        </is>
      </c>
      <c r="B16" s="55" t="n">
        <v>738.4</v>
      </c>
    </row>
    <row r="17">
      <c r="A17" s="54" t="inlineStr">
        <is>
          <t>순이익</t>
        </is>
      </c>
      <c r="B17" s="55" t="n">
        <v>508.5</v>
      </c>
    </row>
    <row r="18">
      <c r="A18" s="54" t="inlineStr">
        <is>
          <t>EPS</t>
        </is>
      </c>
      <c r="B18" s="55" t="n">
        <v>95.92</v>
      </c>
    </row>
    <row r="20">
      <c r="A20" s="52" t="inlineStr">
        <is>
          <t>annual_100m · FY8/24</t>
        </is>
      </c>
      <c r="B20" s="52" t="n"/>
      <c r="C20" s="52" t="n"/>
    </row>
    <row r="21">
      <c r="A21" s="53" t="inlineStr">
        <is>
          <t>항목</t>
        </is>
      </c>
      <c r="B21" s="53" t="inlineStr">
        <is>
          <t>값</t>
        </is>
      </c>
      <c r="C21" s="53" t="inlineStr">
        <is>
          <t>출처</t>
        </is>
      </c>
    </row>
    <row r="22">
      <c r="A22" s="54" t="inlineStr">
        <is>
          <t>매출</t>
        </is>
      </c>
      <c r="B22" s="55" t="n">
        <v>6616.8</v>
      </c>
      <c r="C22" s="56" t="inlineStr">
        <is>
          <t>2단계 보고서 자료(회사 설명회 자료·공시)</t>
        </is>
      </c>
    </row>
    <row r="23">
      <c r="A23" s="54" t="inlineStr">
        <is>
          <t>gp</t>
        </is>
      </c>
      <c r="B23" s="55" t="n">
        <v>3364.1</v>
      </c>
    </row>
    <row r="24">
      <c r="A24" s="54" t="inlineStr">
        <is>
          <t>영업이익</t>
        </is>
      </c>
      <c r="B24" s="55" t="n">
        <v>561.4</v>
      </c>
    </row>
    <row r="25">
      <c r="A25" s="54" t="inlineStr">
        <is>
          <t>순이익</t>
        </is>
      </c>
      <c r="B25" s="55" t="n">
        <v>415.7</v>
      </c>
    </row>
    <row r="27">
      <c r="A27" s="52" t="inlineStr">
        <is>
          <t>가이던스 FY8 27</t>
        </is>
      </c>
      <c r="B27" s="52" t="n"/>
      <c r="C27" s="52" t="n"/>
    </row>
    <row r="28">
      <c r="A28" s="53" t="inlineStr">
        <is>
          <t>항목</t>
        </is>
      </c>
      <c r="B28" s="53" t="inlineStr">
        <is>
          <t>값</t>
        </is>
      </c>
      <c r="C28" s="53" t="inlineStr">
        <is>
          <t>출처</t>
        </is>
      </c>
    </row>
    <row r="29">
      <c r="A29" s="54" t="inlineStr">
        <is>
          <t>매출</t>
        </is>
      </c>
      <c r="B29" s="57" t="n">
        <v>10140</v>
      </c>
      <c r="C29" s="56" t="inlineStr">
        <is>
          <t>2단계 보고서 자료(회사 설명회 자료·공시)</t>
        </is>
      </c>
    </row>
    <row r="30">
      <c r="A30" s="54" t="inlineStr">
        <is>
          <t>영업이익</t>
        </is>
      </c>
      <c r="B30" s="57" t="n">
        <v>1140</v>
      </c>
    </row>
    <row r="31">
      <c r="A31" s="54" t="inlineStr">
        <is>
          <t>순이익</t>
        </is>
      </c>
      <c r="B31" s="57" t="n">
        <v>730</v>
      </c>
    </row>
    <row r="32">
      <c r="A32" s="54" t="inlineStr">
        <is>
          <t>EPS</t>
        </is>
      </c>
      <c r="B32" s="55" t="n">
        <v>137.45</v>
      </c>
    </row>
    <row r="33">
      <c r="A33" s="54" t="inlineStr">
        <is>
          <t>dps</t>
        </is>
      </c>
      <c r="B33" s="57" t="n">
        <v>38</v>
      </c>
    </row>
    <row r="35">
      <c r="A35" s="52" t="inlineStr">
        <is>
          <t>guidance_path_op · FY8/26</t>
        </is>
      </c>
      <c r="B35" s="52" t="n"/>
      <c r="C35" s="52" t="n"/>
    </row>
    <row r="36">
      <c r="A36" s="53" t="inlineStr">
        <is>
          <t>항목</t>
        </is>
      </c>
      <c r="B36" s="53" t="inlineStr">
        <is>
          <t>값</t>
        </is>
      </c>
      <c r="C36" s="53" t="inlineStr">
        <is>
          <t>출처</t>
        </is>
      </c>
    </row>
    <row r="37">
      <c r="A37" s="54" t="inlineStr">
        <is>
          <t>최초</t>
        </is>
      </c>
      <c r="B37" s="57" t="n">
        <v>790</v>
      </c>
      <c r="C37" s="56" t="inlineStr">
        <is>
          <t>2단계 보고서 자료(회사 설명회 자료·공시)</t>
        </is>
      </c>
    </row>
    <row r="38">
      <c r="A38" s="54" t="inlineStr">
        <is>
          <t>2Q</t>
        </is>
      </c>
      <c r="B38" s="57" t="n">
        <v>890</v>
      </c>
    </row>
    <row r="39">
      <c r="A39" s="54" t="inlineStr">
        <is>
          <t>3Q</t>
        </is>
      </c>
      <c r="B39" s="57" t="n">
        <v>980</v>
      </c>
    </row>
    <row r="40">
      <c r="A40" s="54" t="inlineStr">
        <is>
          <t>실제</t>
        </is>
      </c>
      <c r="B40" s="57" t="n">
        <v>1034</v>
      </c>
    </row>
    <row r="42">
      <c r="A42" s="52" t="inlineStr">
        <is>
          <t>guidance_path_op · FY8/25</t>
        </is>
      </c>
      <c r="B42" s="52" t="n"/>
      <c r="C42" s="52" t="n"/>
    </row>
    <row r="43">
      <c r="A43" s="53" t="inlineStr">
        <is>
          <t>항목</t>
        </is>
      </c>
      <c r="B43" s="53" t="inlineStr">
        <is>
          <t>값</t>
        </is>
      </c>
      <c r="C43" s="53" t="inlineStr">
        <is>
          <t>출처</t>
        </is>
      </c>
    </row>
    <row r="44">
      <c r="A44" s="54" t="inlineStr">
        <is>
          <t>최초</t>
        </is>
      </c>
      <c r="B44" s="57" t="n">
        <v>550</v>
      </c>
      <c r="C44" s="56" t="inlineStr">
        <is>
          <t>2단계 보고서 자료(회사 설명회 자료·공시)</t>
        </is>
      </c>
    </row>
    <row r="45">
      <c r="A45" s="54" t="inlineStr">
        <is>
          <t>1Q</t>
        </is>
      </c>
      <c r="B45" s="57" t="n">
        <v>640</v>
      </c>
    </row>
    <row r="46">
      <c r="A46" s="54" t="inlineStr">
        <is>
          <t>2Q</t>
        </is>
      </c>
      <c r="B46" s="57" t="n">
        <v>670</v>
      </c>
    </row>
    <row r="47">
      <c r="A47" s="54" t="inlineStr">
        <is>
          <t>3Q</t>
        </is>
      </c>
      <c r="B47" s="57" t="n">
        <v>700</v>
      </c>
    </row>
    <row r="48">
      <c r="A48" s="54" t="inlineStr">
        <is>
          <t>실제</t>
        </is>
      </c>
      <c r="B48" s="57" t="n">
        <v>738</v>
      </c>
    </row>
    <row r="50">
      <c r="A50" s="52" t="inlineStr">
        <is>
          <t>segment_FY26 · 국내</t>
        </is>
      </c>
      <c r="B50" s="52" t="n"/>
      <c r="C50" s="52" t="n"/>
    </row>
    <row r="51">
      <c r="A51" s="53" t="inlineStr">
        <is>
          <t>항목</t>
        </is>
      </c>
      <c r="B51" s="53" t="inlineStr">
        <is>
          <t>값</t>
        </is>
      </c>
      <c r="C51" s="53" t="inlineStr">
        <is>
          <t>출처</t>
        </is>
      </c>
    </row>
    <row r="52">
      <c r="A52" s="54" t="inlineStr">
        <is>
          <t>매출</t>
        </is>
      </c>
      <c r="B52" s="55" t="n">
        <v>5109.9</v>
      </c>
      <c r="C52" s="56" t="inlineStr">
        <is>
          <t>2단계 보고서 자료(회사 설명회 자료·공시)</t>
        </is>
      </c>
    </row>
    <row r="53">
      <c r="A53" s="54" t="inlineStr">
        <is>
          <t>YoY</t>
        </is>
      </c>
      <c r="B53" s="55" t="n">
        <v>8.699999999999999</v>
      </c>
    </row>
    <row r="54">
      <c r="A54" s="54" t="inlineStr">
        <is>
          <t>영업이익</t>
        </is>
      </c>
      <c r="B54" s="55" t="n">
        <v>633.9</v>
      </c>
    </row>
    <row r="55">
      <c r="A55" s="54" t="inlineStr">
        <is>
          <t>영업이익 YoY</t>
        </is>
      </c>
      <c r="B55" s="55" t="n">
        <v>21.6</v>
      </c>
    </row>
    <row r="57">
      <c r="A57" s="52" t="inlineStr">
        <is>
          <t>segment_FY26 · 동아시아</t>
        </is>
      </c>
      <c r="B57" s="52" t="n"/>
      <c r="C57" s="52" t="n"/>
    </row>
    <row r="58">
      <c r="A58" s="53" t="inlineStr">
        <is>
          <t>항목</t>
        </is>
      </c>
      <c r="B58" s="53" t="inlineStr">
        <is>
          <t>값</t>
        </is>
      </c>
      <c r="C58" s="53" t="inlineStr">
        <is>
          <t>출처</t>
        </is>
      </c>
    </row>
    <row r="59">
      <c r="A59" s="54" t="inlineStr">
        <is>
          <t>매출</t>
        </is>
      </c>
      <c r="B59" s="55" t="n">
        <v>2937.8</v>
      </c>
      <c r="C59" s="56" t="inlineStr">
        <is>
          <t>2단계 보고서 자료(회사 설명회 자료·공시)</t>
        </is>
      </c>
    </row>
    <row r="60">
      <c r="A60" s="54" t="inlineStr">
        <is>
          <t>YoY</t>
        </is>
      </c>
      <c r="B60" s="55" t="n">
        <v>32.2</v>
      </c>
    </row>
    <row r="61">
      <c r="A61" s="54" t="inlineStr">
        <is>
          <t>영업이익</t>
        </is>
      </c>
      <c r="B61" s="55" t="n">
        <v>616.9</v>
      </c>
    </row>
    <row r="62">
      <c r="A62" s="54" t="inlineStr">
        <is>
          <t>영업이익 YoY</t>
        </is>
      </c>
      <c r="B62" s="55" t="n">
        <v>44.2</v>
      </c>
    </row>
    <row r="64">
      <c r="A64" s="52" t="inlineStr">
        <is>
          <t>segment_FY26 · 동남아·오세아니아</t>
        </is>
      </c>
      <c r="B64" s="52" t="n"/>
      <c r="C64" s="52" t="n"/>
    </row>
    <row r="65">
      <c r="A65" s="53" t="inlineStr">
        <is>
          <t>항목</t>
        </is>
      </c>
      <c r="B65" s="53" t="inlineStr">
        <is>
          <t>값</t>
        </is>
      </c>
      <c r="C65" s="53" t="inlineStr">
        <is>
          <t>출처</t>
        </is>
      </c>
    </row>
    <row r="66">
      <c r="A66" s="54" t="inlineStr">
        <is>
          <t>매출</t>
        </is>
      </c>
      <c r="B66" s="55" t="n">
        <v>665.2</v>
      </c>
      <c r="C66" s="56" t="inlineStr">
        <is>
          <t>2단계 보고서 자료(회사 설명회 자료·공시)</t>
        </is>
      </c>
    </row>
    <row r="67">
      <c r="A67" s="54" t="inlineStr">
        <is>
          <t>YoY</t>
        </is>
      </c>
      <c r="B67" s="55" t="n">
        <v>32.8</v>
      </c>
    </row>
    <row r="68">
      <c r="A68" s="54" t="inlineStr">
        <is>
          <t>영업이익</t>
        </is>
      </c>
      <c r="B68" s="55" t="n">
        <v>91.59999999999999</v>
      </c>
    </row>
    <row r="69">
      <c r="A69" s="54" t="inlineStr">
        <is>
          <t>영업이익 YoY</t>
        </is>
      </c>
      <c r="B69" s="55" t="n">
        <v>64.09999999999999</v>
      </c>
    </row>
    <row r="71">
      <c r="A71" s="52" t="inlineStr">
        <is>
          <t>segment_FY26 · 유럽·미주</t>
        </is>
      </c>
      <c r="B71" s="52" t="n"/>
      <c r="C71" s="52" t="n"/>
    </row>
    <row r="72">
      <c r="A72" s="53" t="inlineStr">
        <is>
          <t>항목</t>
        </is>
      </c>
      <c r="B72" s="53" t="inlineStr">
        <is>
          <t>값</t>
        </is>
      </c>
      <c r="C72" s="53" t="inlineStr">
        <is>
          <t>출처</t>
        </is>
      </c>
    </row>
    <row r="73">
      <c r="A73" s="54" t="inlineStr">
        <is>
          <t>매출</t>
        </is>
      </c>
      <c r="B73" s="55" t="n">
        <v>523</v>
      </c>
      <c r="C73" s="56" t="inlineStr">
        <is>
          <t>2단계 보고서 자료(회사 설명회 자료·공시)</t>
        </is>
      </c>
    </row>
    <row r="74">
      <c r="A74" s="54" t="inlineStr">
        <is>
          <t>YoY</t>
        </is>
      </c>
      <c r="B74" s="55" t="n">
        <v>24.1</v>
      </c>
    </row>
    <row r="75">
      <c r="A75" s="54" t="inlineStr">
        <is>
          <t>영업이익</t>
        </is>
      </c>
      <c r="B75" s="55" t="n">
        <v>81</v>
      </c>
    </row>
    <row r="76">
      <c r="A76" s="54" t="inlineStr">
        <is>
          <t>영업이익 YoY</t>
        </is>
      </c>
      <c r="B76" s="55" t="n">
        <v>17</v>
      </c>
    </row>
    <row r="78">
      <c r="A78" s="52" t="inlineStr">
        <is>
          <t>컨센서스 yahoo</t>
        </is>
      </c>
      <c r="B78" s="52" t="n"/>
      <c r="C78" s="52" t="n"/>
    </row>
    <row r="79">
      <c r="A79" s="53" t="inlineStr">
        <is>
          <t>항목</t>
        </is>
      </c>
      <c r="B79" s="53" t="inlineStr">
        <is>
          <t>값</t>
        </is>
      </c>
      <c r="C79" s="53" t="inlineStr">
        <is>
          <t>출처</t>
        </is>
      </c>
    </row>
    <row r="80">
      <c r="A80" s="54" t="inlineStr">
        <is>
          <t>목표주가 중앙값</t>
        </is>
      </c>
      <c r="B80" s="57" t="n">
        <v>5250</v>
      </c>
      <c r="C80" s="56" t="inlineStr">
        <is>
          <t>2단계 보고서 자료(회사 설명회 자료·공시)</t>
        </is>
      </c>
    </row>
    <row r="81">
      <c r="A81" s="54" t="inlineStr">
        <is>
          <t>목표주가 평균</t>
        </is>
      </c>
      <c r="B81" s="57" t="n">
        <v>5063</v>
      </c>
    </row>
    <row r="82">
      <c r="A82" s="54" t="inlineStr">
        <is>
          <t>EPS surprise 4Q26 %</t>
        </is>
      </c>
      <c r="B82" s="55" t="n">
        <v>68.3</v>
      </c>
    </row>
    <row r="84">
      <c r="A84" s="52" t="inlineStr">
        <is>
          <t>consensus_yahoo · FY8/27</t>
        </is>
      </c>
      <c r="B84" s="52" t="n"/>
      <c r="C84" s="52" t="n"/>
    </row>
    <row r="85">
      <c r="A85" s="53" t="inlineStr">
        <is>
          <t>항목</t>
        </is>
      </c>
      <c r="B85" s="53" t="inlineStr">
        <is>
          <t>값</t>
        </is>
      </c>
      <c r="C85" s="53" t="inlineStr">
        <is>
          <t>출처</t>
        </is>
      </c>
    </row>
    <row r="86">
      <c r="A86" s="54" t="inlineStr">
        <is>
          <t>EPS</t>
        </is>
      </c>
      <c r="B86" s="55" t="n">
        <v>144.75</v>
      </c>
      <c r="C86" s="56" t="inlineStr">
        <is>
          <t>2단계 보고서 자료(회사 설명회 자료·공시)</t>
        </is>
      </c>
    </row>
    <row r="87">
      <c r="A87" s="54" t="inlineStr">
        <is>
          <t>매출</t>
        </is>
      </c>
      <c r="B87" s="57" t="n">
        <v>10162</v>
      </c>
    </row>
    <row r="89">
      <c r="A89" s="52" t="inlineStr">
        <is>
          <t>consensus_yahoo · FY8/28</t>
        </is>
      </c>
      <c r="B89" s="52" t="n"/>
      <c r="C89" s="52" t="n"/>
    </row>
    <row r="90">
      <c r="A90" s="53" t="inlineStr">
        <is>
          <t>항목</t>
        </is>
      </c>
      <c r="B90" s="53" t="inlineStr">
        <is>
          <t>값</t>
        </is>
      </c>
      <c r="C90" s="53" t="inlineStr">
        <is>
          <t>출처</t>
        </is>
      </c>
    </row>
    <row r="91">
      <c r="A91" s="54" t="inlineStr">
        <is>
          <t>EPS</t>
        </is>
      </c>
      <c r="B91" s="55" t="n">
        <v>167.04</v>
      </c>
      <c r="C91" s="56" t="inlineStr">
        <is>
          <t>2단계 보고서 자료(회사 설명회 자료·공시)</t>
        </is>
      </c>
    </row>
    <row r="92">
      <c r="A92" s="54" t="inlineStr">
        <is>
          <t>매출</t>
        </is>
      </c>
      <c r="B92" s="57" t="n">
        <v>11055</v>
      </c>
    </row>
    <row r="94">
      <c r="A94" s="52" t="inlineStr">
        <is>
          <t>컨센서스 yahoo · 1Q27</t>
        </is>
      </c>
      <c r="B94" s="52" t="n"/>
      <c r="C94" s="52" t="n"/>
    </row>
    <row r="95">
      <c r="A95" s="53" t="inlineStr">
        <is>
          <t>항목</t>
        </is>
      </c>
      <c r="B95" s="53" t="inlineStr">
        <is>
          <t>값</t>
        </is>
      </c>
      <c r="C95" s="53" t="inlineStr">
        <is>
          <t>출처</t>
        </is>
      </c>
    </row>
    <row r="96">
      <c r="A96" s="54" t="inlineStr">
        <is>
          <t>EPS</t>
        </is>
      </c>
      <c r="B96" s="55" t="n">
        <v>43.23</v>
      </c>
      <c r="C96" s="56" t="inlineStr">
        <is>
          <t>2단계 보고서 자료(회사 설명회 자료·공시)</t>
        </is>
      </c>
    </row>
    <row r="97">
      <c r="A97" s="54" t="inlineStr">
        <is>
          <t>매출</t>
        </is>
      </c>
      <c r="B97" s="55" t="n">
        <v>2574.7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2026-10-14</t>
        </is>
      </c>
      <c r="B4" t="inlineStr">
        <is>
          <t>2026년 8월 결산기 연간 결산단신</t>
        </is>
      </c>
      <c r="C4" t="inlineStr">
        <is>
          <t>https://www2.jpx.co.jp/disc/74530/140120261013549891.pdf</t>
        </is>
      </c>
    </row>
    <row r="5">
      <c r="A5" t="inlineStr">
        <is>
          <t>2026-07-10</t>
        </is>
      </c>
      <c r="B5" t="inlineStr">
        <is>
          <t>2026년 8월 결산기 ３분기 결산단신</t>
        </is>
      </c>
      <c r="C5" t="inlineStr">
        <is>
          <t>https://www2.jpx.co.jp/disc/74530/140120260709590770.pdf</t>
        </is>
      </c>
    </row>
    <row r="6">
      <c r="A6" t="inlineStr">
        <is>
          <t>2026-04-10</t>
        </is>
      </c>
      <c r="B6" t="inlineStr">
        <is>
          <t>2026년 8월 결산기 ２분기 결산단신</t>
        </is>
      </c>
      <c r="C6" t="inlineStr">
        <is>
          <t>https://www2.jpx.co.jp/disc/74530/140120260410501440.pdf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https://www2.jpx.co.jp/disc/74530/140120260113532828.pdf</t>
        </is>
      </c>
    </row>
    <row r="8">
      <c r="A8" t="inlineStr">
        <is>
          <t>2025-10-10</t>
        </is>
      </c>
      <c r="B8" t="inlineStr">
        <is>
          <t>2025년 8월 결산기 연간 결산단신</t>
        </is>
      </c>
      <c r="C8" t="inlineStr">
        <is>
          <t>https://www2.jpx.co.jp/disc/74530/140120251009571106.pdf</t>
        </is>
      </c>
    </row>
    <row r="9">
      <c r="A9" t="inlineStr">
        <is>
          <t>2025-07-11</t>
        </is>
      </c>
      <c r="B9" t="inlineStr">
        <is>
          <t>2025년 8월 결산기 ３분기 결산단신</t>
        </is>
      </c>
      <c r="C9" t="inlineStr">
        <is>
          <t>https://www2.jpx.co.jp/disc/74530/140120250710511638.pdf</t>
        </is>
      </c>
    </row>
    <row r="10">
      <c r="A10" t="inlineStr">
        <is>
          <t>2025-04-11</t>
        </is>
      </c>
      <c r="B10" t="inlineStr">
        <is>
          <t>2025년 8월 결산기 ２분기 결산단신</t>
        </is>
      </c>
      <c r="C10" t="inlineStr">
        <is>
          <t>https://www2.jpx.co.jp/disc/74530/140120250402507799.pdf</t>
        </is>
      </c>
    </row>
    <row r="11">
      <c r="A11" t="inlineStr">
        <is>
          <t>2025-01-10</t>
        </is>
      </c>
      <c r="B11" t="inlineStr">
        <is>
          <t>2025년 8월 결산기 １분기 결산단신</t>
        </is>
      </c>
      <c r="C11" t="inlineStr">
        <is>
          <t>https://www2.jpx.co.jp/disc/74530/140120250109548333.pdf</t>
        </is>
      </c>
    </row>
    <row r="12">
      <c r="A12" t="inlineStr">
        <is>
          <t>2024-10-11</t>
        </is>
      </c>
      <c r="B12" t="inlineStr">
        <is>
          <t>2024년 8월 결산기 연간 결산단신</t>
        </is>
      </c>
      <c r="C12" t="inlineStr">
        <is>
          <t>https://www2.jpx.co.jp/disc/74530/140120241009595370.pdf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https://www2.jpx.co.jp/disc/74530/140120240710546730.pdf</t>
        </is>
      </c>
    </row>
    <row r="14">
      <c r="A14" t="inlineStr">
        <is>
          <t>2024-04-12</t>
        </is>
      </c>
      <c r="B14" t="inlineStr">
        <is>
          <t>2024년 8월 결산기 ２분기 결산단신</t>
        </is>
      </c>
      <c r="C14" t="inlineStr">
        <is>
          <t>https://www2.jpx.co.jp/disc/74530/140120240408567264.pdf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https://www2.jpx.co.jp/disc/74530/140120240111513306.pdf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https://www2.jpx.co.jp/disc/74530/140120231011564841.pdf</t>
        </is>
      </c>
    </row>
    <row r="17">
      <c r="A17" t="inlineStr">
        <is>
          <t>2023-07-07</t>
        </is>
      </c>
      <c r="B17" t="inlineStr">
        <is>
          <t>2023년 8월 결산기 ３분기 결산단신</t>
        </is>
      </c>
      <c r="C17" t="inlineStr">
        <is>
          <t>https://www2.jpx.co.jp/disc/74530/140120230705518329.pdf</t>
        </is>
      </c>
    </row>
    <row r="18">
      <c r="A18" t="inlineStr">
        <is>
          <t>2023-04-13</t>
        </is>
      </c>
      <c r="B18" t="inlineStr">
        <is>
          <t>2023년 8월 결산기 ２분기 결산단신</t>
        </is>
      </c>
      <c r="C18" t="inlineStr">
        <is>
          <t>https://www2.jpx.co.jp/disc/74530/140120230412545982.pdf</t>
        </is>
      </c>
    </row>
    <row r="19">
      <c r="A19" t="inlineStr">
        <is>
          <t>2023-01-06</t>
        </is>
      </c>
      <c r="B19" t="inlineStr">
        <is>
          <t>2023년 8월 결산기 １분기 결산단신</t>
        </is>
      </c>
      <c r="C19" t="inlineStr">
        <is>
          <t>https://www2.jpx.co.jp/disc/74530/140120230105585793.pdf</t>
        </is>
      </c>
    </row>
    <row r="20">
      <c r="A20" t="inlineStr">
        <is>
          <t>2022-10-13</t>
        </is>
      </c>
      <c r="B20" t="inlineStr">
        <is>
          <t>2022년 8월 결산기 연간 결산단신</t>
        </is>
      </c>
      <c r="C20" t="inlineStr">
        <is>
          <t>https://www2.jpx.co.jp/disc/74530/140120221012543497.pdf</t>
        </is>
      </c>
    </row>
    <row r="21">
      <c r="A21" t="inlineStr">
        <is>
          <t>2021-10-14</t>
        </is>
      </c>
      <c r="B21" t="inlineStr">
        <is>
          <t>2021년 8월 결산기 연간 결산단신</t>
        </is>
      </c>
      <c r="C21" t="inlineStr">
        <is>
          <t>https://www2.jpx.co.jp/disc/74530/140120211013410197.pdf</t>
        </is>
      </c>
    </row>
    <row r="22">
      <c r="A22" t="inlineStr">
        <is>
          <t>2020-10-08</t>
        </is>
      </c>
      <c r="B22" t="inlineStr">
        <is>
          <t>2020년 8월 결산기 연간 결산단신</t>
        </is>
      </c>
      <c r="C22" t="inlineStr">
        <is>
          <t>https://www2.jpx.co.jp/disc/74530/140120201007401012.pdf</t>
        </is>
      </c>
    </row>
    <row r="23">
      <c r="A23" t="inlineStr">
        <is>
          <t>2020-04-09</t>
        </is>
      </c>
      <c r="B23" t="inlineStr">
        <is>
          <t>2020년 2월 결산기 연간 결산단신</t>
        </is>
      </c>
      <c r="C23" t="inlineStr">
        <is>
          <t>https://www2.jpx.co.jp/disc/74530/140120200408491241.pdf</t>
        </is>
      </c>
    </row>
    <row r="24">
      <c r="A24" t="inlineStr">
        <is>
          <t>2019-04-10</t>
        </is>
      </c>
      <c r="B24" t="inlineStr">
        <is>
          <t>2019년 2월 결산기 연간 결산단신</t>
        </is>
      </c>
      <c r="C24" t="inlineStr">
        <is>
          <t>https://www2.jpx.co.jp/disc/74530/140120190410402697.pdf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2026-10-28T06:59:57Z</dcterms:created>
  <dcterms:modified xmlns:dcterms="http://purl.org/dc/terms/" xmlns:xsi="http://www.w3.org/2001/XMLSchema-instance" xsi:type="dcterms:W3CDTF">2026-10-28T06:59:58Z</dcterms:modified>
</cp:coreProperties>
</file>