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섹터 데이터" sheetId="6" state="visible" r:id="rId6"/>
    <sheet xmlns:r="http://schemas.openxmlformats.org/officeDocument/2006/relationships" name="출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양품계획 손익계산서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영업수익</t>
        </is>
      </c>
      <c r="C4" s="6" t="n">
        <v>1229.46</v>
      </c>
      <c r="D4" s="6" t="n">
        <v>1215.5</v>
      </c>
      <c r="E4" s="6" t="n">
        <v>1262.6</v>
      </c>
      <c r="F4" s="6" t="n">
        <v>1254.15</v>
      </c>
      <c r="G4" s="6" t="n">
        <v>1369.48</v>
      </c>
      <c r="H4" s="6" t="n">
        <v>1463.82</v>
      </c>
      <c r="I4" s="6" t="n">
        <v>1524.67</v>
      </c>
      <c r="J4" s="6" t="n">
        <v>1456.15</v>
      </c>
      <c r="K4" s="6" t="n">
        <v>1629.13</v>
      </c>
      <c r="L4" s="6" t="n">
        <v>1569.26</v>
      </c>
      <c r="M4" s="6" t="n">
        <v>1758.6</v>
      </c>
      <c r="N4" s="6" t="n">
        <v>1659.78</v>
      </c>
      <c r="O4" s="6" t="n">
        <v>1976.9</v>
      </c>
      <c r="P4" s="6" t="n">
        <v>1843.33</v>
      </c>
      <c r="Q4" s="6" t="n">
        <v>2090.7</v>
      </c>
      <c r="R4" s="6" t="n">
        <v>1935.36</v>
      </c>
      <c r="S4" s="6" t="n">
        <v>2282.27</v>
      </c>
      <c r="T4" s="6" t="n">
        <v>2103.22</v>
      </c>
      <c r="U4" s="6" t="n">
        <v>2522.39</v>
      </c>
      <c r="V4" s="6" t="n">
        <v>2328.04</v>
      </c>
      <c r="Y4" s="6" t="n">
        <v>4536.89</v>
      </c>
      <c r="Z4" s="6" t="n">
        <v>4961.71</v>
      </c>
      <c r="AA4" s="6" t="n">
        <v>5814.12</v>
      </c>
      <c r="AB4" s="6" t="n">
        <v>6616.77</v>
      </c>
      <c r="AC4" s="6" t="n">
        <v>7846.29</v>
      </c>
      <c r="AD4" s="6" t="n">
        <v>9235.92</v>
      </c>
      <c r="AE4" s="7" t="inlineStr">
        <is>
          <t>결산단신 XBRL(거래소 공시, TDnet·JPX 보관소). 쓴 문서: 2026-10-14, 2026-07-10, 2026-04-10, 2026-01-14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</row>
    <row r="6">
      <c r="A6" s="10" t="inlineStr">
        <is>
          <t>영업원가</t>
        </is>
      </c>
      <c r="C6" s="11" t="n">
        <v>632.11</v>
      </c>
      <c r="D6" s="11" t="n">
        <v>642.8200000000001</v>
      </c>
      <c r="E6" s="11" t="n">
        <v>682.17</v>
      </c>
      <c r="F6" s="11" t="n">
        <v>661.04</v>
      </c>
      <c r="G6" s="11" t="n">
        <v>744.17</v>
      </c>
      <c r="H6" s="11" t="n">
        <v>827.62</v>
      </c>
      <c r="I6" s="11" t="n">
        <v>791.25</v>
      </c>
      <c r="J6" s="11" t="n">
        <v>735.58</v>
      </c>
      <c r="K6" s="11" t="n">
        <v>810.77</v>
      </c>
      <c r="L6" s="11" t="n">
        <v>792.24</v>
      </c>
      <c r="M6" s="11" t="n">
        <v>852.74</v>
      </c>
      <c r="N6" s="11" t="n">
        <v>796.92</v>
      </c>
      <c r="O6" s="11" t="n">
        <v>956.97</v>
      </c>
      <c r="P6" s="11" t="n">
        <v>911.17</v>
      </c>
      <c r="Q6" s="11" t="n">
        <v>1015.22</v>
      </c>
      <c r="R6" s="11" t="n">
        <v>933.17</v>
      </c>
      <c r="S6" s="11" t="n">
        <v>1080.83</v>
      </c>
      <c r="T6" s="11" t="n">
        <v>1007.1</v>
      </c>
      <c r="U6" s="11" t="n">
        <v>1191.57</v>
      </c>
      <c r="V6" s="11" t="n">
        <v>1079.51</v>
      </c>
      <c r="Y6" s="11" t="n">
        <v>2313.55</v>
      </c>
      <c r="Z6" s="11" t="n">
        <v>2618.14</v>
      </c>
      <c r="AA6" s="11" t="n">
        <v>3098.62</v>
      </c>
      <c r="AB6" s="11" t="n">
        <v>3252.67</v>
      </c>
      <c r="AC6" s="11" t="n">
        <v>3816.53</v>
      </c>
      <c r="AD6" s="11" t="n">
        <v>4359.01</v>
      </c>
    </row>
    <row r="7">
      <c r="A7" s="5" t="inlineStr">
        <is>
          <t>영업총이익</t>
        </is>
      </c>
      <c r="C7" s="6" t="n">
        <v>597.34</v>
      </c>
      <c r="D7" s="6" t="n">
        <v>572.6900000000001</v>
      </c>
      <c r="E7" s="6" t="n">
        <v>580.4299999999999</v>
      </c>
      <c r="F7" s="6" t="n">
        <v>593.1</v>
      </c>
      <c r="G7" s="6" t="n">
        <v>625.3</v>
      </c>
      <c r="H7" s="6" t="n">
        <v>636.2</v>
      </c>
      <c r="I7" s="6" t="n">
        <v>733.4299999999999</v>
      </c>
      <c r="J7" s="6" t="n">
        <v>720.5599999999999</v>
      </c>
      <c r="K7" s="6" t="n">
        <v>818.36</v>
      </c>
      <c r="L7" s="6" t="n">
        <v>777.02</v>
      </c>
      <c r="M7" s="6" t="n">
        <v>905.86</v>
      </c>
      <c r="N7" s="6" t="n">
        <v>862.86</v>
      </c>
      <c r="O7" s="6" t="n">
        <v>1019.92</v>
      </c>
      <c r="P7" s="6" t="n">
        <v>932.16</v>
      </c>
      <c r="Q7" s="6" t="n">
        <v>1075.49</v>
      </c>
      <c r="R7" s="6" t="n">
        <v>1002.18</v>
      </c>
      <c r="S7" s="6" t="n">
        <v>1201.44</v>
      </c>
      <c r="T7" s="6" t="n">
        <v>1096.12</v>
      </c>
      <c r="U7" s="6" t="n">
        <v>1330.82</v>
      </c>
      <c r="V7" s="6" t="n">
        <v>1248.53</v>
      </c>
      <c r="W7" s="6" t="n">
        <v>2113.8</v>
      </c>
      <c r="X7" s="6" t="n">
        <v>2176.28</v>
      </c>
      <c r="Y7" s="6" t="n">
        <v>2223.34</v>
      </c>
      <c r="Z7" s="6" t="n">
        <v>2343.56</v>
      </c>
      <c r="AA7" s="6" t="n">
        <v>2715.49</v>
      </c>
      <c r="AB7" s="6" t="n">
        <v>3364.1</v>
      </c>
      <c r="AC7" s="6" t="n">
        <v>4029.75</v>
      </c>
      <c r="AD7" s="6" t="n">
        <v>4876.91</v>
      </c>
    </row>
    <row r="8">
      <c r="A8" s="10" t="inlineStr">
        <is>
          <t>광고선전비</t>
        </is>
      </c>
      <c r="W8" s="11" t="n">
        <v>69.68000000000001</v>
      </c>
      <c r="X8" s="11" t="n">
        <v>74.88</v>
      </c>
      <c r="Y8" s="11" t="n">
        <v>66.38</v>
      </c>
    </row>
    <row r="9">
      <c r="A9" s="10" t="inlineStr">
        <is>
          <t>배송·운반비</t>
        </is>
      </c>
      <c r="W9" s="11" t="n">
        <v>178.45</v>
      </c>
      <c r="X9" s="11" t="n">
        <v>213.9</v>
      </c>
      <c r="Y9" s="11" t="n">
        <v>266.76</v>
      </c>
    </row>
    <row r="10">
      <c r="A10" s="10" t="inlineStr">
        <is>
          <t>종업원 급여·상여</t>
        </is>
      </c>
      <c r="W10" s="11" t="n">
        <v>487.29</v>
      </c>
      <c r="X10" s="11" t="n">
        <v>518.67</v>
      </c>
      <c r="Y10" s="11" t="n">
        <v>463.42</v>
      </c>
    </row>
    <row r="11">
      <c r="A11" s="10" t="inlineStr">
        <is>
          <t>임원 상여충당금 전입</t>
        </is>
      </c>
      <c r="W11" s="11" t="n">
        <v>0.74</v>
      </c>
      <c r="X11" s="11" t="n">
        <v>0.16</v>
      </c>
      <c r="Y11" s="11" t="n">
        <v>0.66</v>
      </c>
    </row>
    <row r="12">
      <c r="A12" s="10" t="inlineStr">
        <is>
          <t>임차료</t>
        </is>
      </c>
      <c r="W12" s="11" t="n">
        <v>406.57</v>
      </c>
      <c r="X12" s="11" t="n">
        <v>372.57</v>
      </c>
      <c r="Y12" s="11" t="n">
        <v>342.92</v>
      </c>
    </row>
    <row r="13">
      <c r="A13" s="10" t="inlineStr">
        <is>
          <t>감가상각비</t>
        </is>
      </c>
      <c r="W13" s="11" t="n">
        <v>98.67</v>
      </c>
      <c r="X13" s="11" t="n">
        <v>176.22</v>
      </c>
      <c r="Y13" s="11" t="n">
        <v>189.69</v>
      </c>
    </row>
    <row r="14">
      <c r="A14" s="10" t="inlineStr">
        <is>
          <t>포인트 충당금 전입</t>
        </is>
      </c>
      <c r="W14" s="11" t="n">
        <v>0.11</v>
      </c>
      <c r="X14" s="11" t="n">
        <v>1.64</v>
      </c>
      <c r="Y14" s="11" t="n">
        <v>-0.93</v>
      </c>
    </row>
    <row r="15">
      <c r="A15" s="10" t="inlineStr">
        <is>
          <t>기타</t>
        </is>
      </c>
      <c r="W15" s="11" t="n">
        <v>424.82</v>
      </c>
      <c r="X15" s="11" t="n">
        <v>454.42</v>
      </c>
      <c r="Y15" s="11" t="n">
        <v>469.94</v>
      </c>
    </row>
    <row r="16">
      <c r="A16" s="10" t="inlineStr">
        <is>
          <t>판매비와 관리비</t>
        </is>
      </c>
      <c r="C16" s="11" t="n">
        <v>485.87</v>
      </c>
      <c r="D16" s="11" t="n">
        <v>495.62</v>
      </c>
      <c r="E16" s="11" t="n">
        <v>520.64</v>
      </c>
      <c r="F16" s="11" t="n">
        <v>513.6900000000001</v>
      </c>
      <c r="G16" s="11" t="n">
        <v>575.09</v>
      </c>
      <c r="H16" s="11" t="n">
        <v>584.63</v>
      </c>
      <c r="I16" s="11" t="n">
        <v>608.48</v>
      </c>
      <c r="J16" s="11" t="n">
        <v>615.92</v>
      </c>
      <c r="K16" s="11" t="n">
        <v>679.54</v>
      </c>
      <c r="L16" s="11" t="n">
        <v>674.84</v>
      </c>
      <c r="M16" s="11" t="n">
        <v>722.16</v>
      </c>
      <c r="N16" s="11" t="n">
        <v>726.2</v>
      </c>
      <c r="O16" s="11" t="n">
        <v>800.35</v>
      </c>
      <c r="P16" s="11" t="n">
        <v>790.67</v>
      </c>
      <c r="Q16" s="11" t="n">
        <v>842.48</v>
      </c>
      <c r="R16" s="11" t="n">
        <v>857.85</v>
      </c>
      <c r="S16" s="11" t="n">
        <v>917.6</v>
      </c>
      <c r="T16" s="11" t="n">
        <v>929.51</v>
      </c>
      <c r="U16" s="11" t="n">
        <v>973.05</v>
      </c>
      <c r="V16" s="11" t="n">
        <v>1022.39</v>
      </c>
      <c r="W16" s="11" t="n">
        <v>1666.36</v>
      </c>
      <c r="X16" s="11" t="n">
        <v>1812.48</v>
      </c>
      <c r="Y16" s="11" t="n">
        <v>1798.87</v>
      </c>
      <c r="Z16" s="11" t="n">
        <v>2015.82</v>
      </c>
      <c r="AA16" s="11" t="n">
        <v>2384.12</v>
      </c>
      <c r="AB16" s="11" t="n">
        <v>2802.74</v>
      </c>
      <c r="AC16" s="11" t="n">
        <v>3291.35</v>
      </c>
      <c r="AD16" s="11" t="n">
        <v>3842.55</v>
      </c>
    </row>
    <row r="17">
      <c r="A17" s="5" t="inlineStr">
        <is>
          <t>영업이익</t>
        </is>
      </c>
      <c r="C17" s="6" t="n">
        <v>111.47</v>
      </c>
      <c r="D17" s="6" t="n">
        <v>77.06999999999999</v>
      </c>
      <c r="E17" s="6" t="n">
        <v>59.78</v>
      </c>
      <c r="F17" s="6" t="n">
        <v>79.41</v>
      </c>
      <c r="G17" s="6" t="n">
        <v>50.21</v>
      </c>
      <c r="H17" s="6" t="n">
        <v>51.56</v>
      </c>
      <c r="I17" s="6" t="n">
        <v>124.95</v>
      </c>
      <c r="J17" s="6" t="n">
        <v>104.65</v>
      </c>
      <c r="K17" s="6" t="n">
        <v>138.82</v>
      </c>
      <c r="L17" s="6" t="n">
        <v>102.17</v>
      </c>
      <c r="M17" s="6" t="n">
        <v>183.7</v>
      </c>
      <c r="N17" s="6" t="n">
        <v>136.66</v>
      </c>
      <c r="O17" s="6" t="n">
        <v>219.57</v>
      </c>
      <c r="P17" s="6" t="n">
        <v>141.48</v>
      </c>
      <c r="Q17" s="6" t="n">
        <v>233.01</v>
      </c>
      <c r="R17" s="6" t="n">
        <v>144.34</v>
      </c>
      <c r="S17" s="6" t="n">
        <v>283.83</v>
      </c>
      <c r="T17" s="6" t="n">
        <v>166.62</v>
      </c>
      <c r="U17" s="6" t="n">
        <v>357.77</v>
      </c>
      <c r="V17" s="6" t="n">
        <v>226.14</v>
      </c>
      <c r="W17" s="6" t="n">
        <v>447.43</v>
      </c>
      <c r="X17" s="6" t="n">
        <v>363.8</v>
      </c>
      <c r="Y17" s="6" t="n">
        <v>424.47</v>
      </c>
      <c r="Z17" s="6" t="n">
        <v>327.73</v>
      </c>
      <c r="AA17" s="6" t="n">
        <v>331.37</v>
      </c>
      <c r="AB17" s="6" t="n">
        <v>561.35</v>
      </c>
      <c r="AC17" s="6" t="n">
        <v>738.4</v>
      </c>
      <c r="AD17" s="6" t="n">
        <v>1034.36</v>
      </c>
    </row>
    <row r="18">
      <c r="A18" s="8" t="inlineStr">
        <is>
          <t>영업이익률</t>
        </is>
      </c>
      <c r="C18" s="9">
        <f>IF(OR(C17="",C4=""),"",IFERROR(C17/C4,""))</f>
        <v/>
      </c>
      <c r="D18" s="9">
        <f>IF(OR(D17="",D4=""),"",IFERROR(D17/D4,""))</f>
        <v/>
      </c>
      <c r="E18" s="9">
        <f>IF(OR(E17="",E4=""),"",IFERROR(E17/E4,""))</f>
        <v/>
      </c>
      <c r="F18" s="9">
        <f>IF(OR(F17="",F4=""),"",IFERROR(F17/F4,""))</f>
        <v/>
      </c>
      <c r="G18" s="9">
        <f>IF(OR(G17="",G4=""),"",IFERROR(G17/G4,""))</f>
        <v/>
      </c>
      <c r="H18" s="9">
        <f>IF(OR(H17="",H4=""),"",IFERROR(H17/H4,""))</f>
        <v/>
      </c>
      <c r="I18" s="9">
        <f>IF(OR(I17="",I4=""),"",IFERROR(I17/I4,""))</f>
        <v/>
      </c>
      <c r="J18" s="9">
        <f>IF(OR(J17="",J4=""),"",IFERROR(J17/J4,""))</f>
        <v/>
      </c>
      <c r="K18" s="9">
        <f>IF(OR(K17="",K4=""),"",IFERROR(K17/K4,""))</f>
        <v/>
      </c>
      <c r="L18" s="9">
        <f>IF(OR(L17="",L4=""),"",IFERROR(L17/L4,""))</f>
        <v/>
      </c>
      <c r="M18" s="9">
        <f>IF(OR(M17="",M4=""),"",IFERROR(M17/M4,""))</f>
        <v/>
      </c>
      <c r="N18" s="9">
        <f>IF(OR(N17="",N4=""),"",IFERROR(N17/N4,""))</f>
        <v/>
      </c>
      <c r="O18" s="9">
        <f>IF(OR(O17="",O4=""),"",IFERROR(O17/O4,""))</f>
        <v/>
      </c>
      <c r="P18" s="9">
        <f>IF(OR(P17="",P4=""),"",IFERROR(P17/P4,""))</f>
        <v/>
      </c>
      <c r="Q18" s="9">
        <f>IF(OR(Q17="",Q4=""),"",IFERROR(Q17/Q4,""))</f>
        <v/>
      </c>
      <c r="R18" s="9">
        <f>IF(OR(R17="",R4=""),"",IFERROR(R17/R4,""))</f>
        <v/>
      </c>
      <c r="S18" s="9">
        <f>IF(OR(S17="",S4=""),"",IFERROR(S17/S4,""))</f>
        <v/>
      </c>
      <c r="T18" s="9">
        <f>IF(OR(T17="",T4=""),"",IFERROR(T17/T4,""))</f>
        <v/>
      </c>
      <c r="U18" s="9">
        <f>IF(OR(U17="",U4=""),"",IFERROR(U17/U4,""))</f>
        <v/>
      </c>
      <c r="V18" s="9">
        <f>IF(OR(V17="",V4=""),"",IFERROR(V17/V4,""))</f>
        <v/>
      </c>
      <c r="W18" s="9">
        <f>IF(OR(W17="",W4=""),"",IFERROR(W17/W4,""))</f>
        <v/>
      </c>
      <c r="X18" s="9">
        <f>IF(OR(X17="",X4=""),"",IFERROR(X17/X4,""))</f>
        <v/>
      </c>
      <c r="Y18" s="9">
        <f>IF(OR(Y17="",Y4=""),"",IFERROR(Y17/Y4,""))</f>
        <v/>
      </c>
      <c r="Z18" s="9">
        <f>IF(OR(Z17="",Z4=""),"",IFERROR(Z17/Z4,""))</f>
        <v/>
      </c>
      <c r="AA18" s="9">
        <f>IF(OR(AA17="",AA4=""),"",IFERROR(AA17/AA4,""))</f>
        <v/>
      </c>
      <c r="AB18" s="9">
        <f>IF(OR(AB17="",AB4=""),"",IFERROR(AB17/AB4,""))</f>
        <v/>
      </c>
      <c r="AC18" s="9">
        <f>IF(OR(AC17="",AC4=""),"",IFERROR(AC17/AC4,""))</f>
        <v/>
      </c>
      <c r="AD18" s="9">
        <f>IF(OR(AD17="",AD4=""),"",IFERROR(AD17/AD4,""))</f>
        <v/>
      </c>
    </row>
    <row r="19">
      <c r="A19" s="8" t="inlineStr">
        <is>
          <t>YoY</t>
        </is>
      </c>
      <c r="G19" s="9">
        <f>IF(OR(G17="",C17=""),"",IFERROR(G17/C17-1,""))</f>
        <v/>
      </c>
      <c r="H19" s="9">
        <f>IF(OR(H17="",D17=""),"",IFERROR(H17/D17-1,""))</f>
        <v/>
      </c>
      <c r="I19" s="9">
        <f>IF(OR(I17="",E17=""),"",IFERROR(I17/E17-1,""))</f>
        <v/>
      </c>
      <c r="J19" s="9">
        <f>IF(OR(J17="",F17=""),"",IFERROR(J17/F17-1,""))</f>
        <v/>
      </c>
      <c r="K19" s="9">
        <f>IF(OR(K17="",G17=""),"",IFERROR(K17/G17-1,""))</f>
        <v/>
      </c>
      <c r="L19" s="9">
        <f>IF(OR(L17="",H17=""),"",IFERROR(L17/H17-1,""))</f>
        <v/>
      </c>
      <c r="M19" s="9">
        <f>IF(OR(M17="",I17=""),"",IFERROR(M17/I17-1,""))</f>
        <v/>
      </c>
      <c r="N19" s="9">
        <f>IF(OR(N17="",J17=""),"",IFERROR(N17/J17-1,""))</f>
        <v/>
      </c>
      <c r="O19" s="9">
        <f>IF(OR(O17="",K17=""),"",IFERROR(O17/K17-1,""))</f>
        <v/>
      </c>
      <c r="P19" s="9">
        <f>IF(OR(P17="",L17=""),"",IFERROR(P17/L17-1,""))</f>
        <v/>
      </c>
      <c r="Q19" s="9">
        <f>IF(OR(Q17="",M17=""),"",IFERROR(Q17/M17-1,""))</f>
        <v/>
      </c>
      <c r="R19" s="9">
        <f>IF(OR(R17="",N17=""),"",IFERROR(R17/N17-1,""))</f>
        <v/>
      </c>
      <c r="S19" s="9">
        <f>IF(OR(S17="",O17=""),"",IFERROR(S17/O17-1,""))</f>
        <v/>
      </c>
      <c r="T19" s="9">
        <f>IF(OR(T17="",P17=""),"",IFERROR(T17/P17-1,""))</f>
        <v/>
      </c>
      <c r="U19" s="9">
        <f>IF(OR(U17="",Q17=""),"",IFERROR(U17/Q17-1,""))</f>
        <v/>
      </c>
      <c r="V19" s="9">
        <f>IF(OR(V17="",R17=""),"",IFERROR(V17/R17-1,""))</f>
        <v/>
      </c>
      <c r="X19" s="9">
        <f>IF(OR(X17="",W17=""),"",IFERROR(X17/W17-1,""))</f>
        <v/>
      </c>
      <c r="Y19" s="9">
        <f>IF(OR(Y17="",X17=""),"",IFERROR(Y17/X17-1,""))</f>
        <v/>
      </c>
      <c r="Z19" s="9">
        <f>IF(OR(Z17="",Y17=""),"",IFERROR(Z17/Y17-1,""))</f>
        <v/>
      </c>
      <c r="AA19" s="9">
        <f>IF(OR(AA17="",Z17=""),"",IFERROR(AA17/Z17-1,""))</f>
        <v/>
      </c>
      <c r="AB19" s="9">
        <f>IF(OR(AB17="",AA17=""),"",IFERROR(AB17/AA17-1,""))</f>
        <v/>
      </c>
      <c r="AC19" s="9">
        <f>IF(OR(AC17="",AB17=""),"",IFERROR(AC17/AB17-1,""))</f>
        <v/>
      </c>
      <c r="AD19" s="9">
        <f>IF(OR(AD17="",AC17=""),"",IFERROR(AD17/AC17-1,""))</f>
        <v/>
      </c>
    </row>
    <row r="20">
      <c r="A20" s="10" t="inlineStr">
        <is>
          <t>이자수익</t>
        </is>
      </c>
      <c r="C20" s="11" t="n">
        <v>0.4</v>
      </c>
      <c r="D20" s="11" t="n">
        <v>0.44</v>
      </c>
      <c r="E20" s="11" t="n">
        <v>0.46</v>
      </c>
      <c r="F20" s="11" t="n">
        <v>0.57</v>
      </c>
      <c r="G20" s="11" t="n">
        <v>0.76</v>
      </c>
      <c r="H20" s="11" t="n">
        <v>0.78</v>
      </c>
      <c r="I20" s="11" t="n">
        <v>0.96</v>
      </c>
      <c r="J20" s="11" t="n">
        <v>1.32</v>
      </c>
      <c r="K20" s="11" t="n">
        <v>2.18</v>
      </c>
      <c r="L20" s="11" t="n">
        <v>1.39</v>
      </c>
      <c r="M20" s="11" t="n">
        <v>2.1</v>
      </c>
      <c r="N20" s="11" t="n">
        <v>1.24</v>
      </c>
      <c r="O20" s="11" t="n">
        <v>1.42</v>
      </c>
      <c r="P20" s="11" t="n">
        <v>1.73</v>
      </c>
      <c r="Q20" s="11" t="n">
        <v>1.6</v>
      </c>
      <c r="R20" s="11" t="n">
        <v>1.52</v>
      </c>
      <c r="S20" s="11" t="n">
        <v>1.03</v>
      </c>
      <c r="T20" s="11" t="n">
        <v>1.58</v>
      </c>
      <c r="U20" s="11" t="n">
        <v>1.48</v>
      </c>
      <c r="V20" s="11" t="n">
        <v>2.06</v>
      </c>
      <c r="W20" s="11" t="n">
        <v>5.87</v>
      </c>
      <c r="X20" s="11" t="n">
        <v>5.66</v>
      </c>
      <c r="Y20" s="11" t="n">
        <v>2.58</v>
      </c>
      <c r="Z20" s="11" t="n">
        <v>1.87</v>
      </c>
      <c r="AA20" s="11" t="n">
        <v>3.82</v>
      </c>
      <c r="AB20" s="11" t="n">
        <v>6.91</v>
      </c>
      <c r="AC20" s="11" t="n">
        <v>6.27</v>
      </c>
      <c r="AD20" s="11" t="n">
        <v>6.15</v>
      </c>
    </row>
    <row r="21">
      <c r="A21" s="10" t="inlineStr">
        <is>
          <t>배당금수익</t>
        </is>
      </c>
      <c r="C21" s="11" t="n">
        <v>0</v>
      </c>
      <c r="D21" s="11" t="n">
        <v>0.4</v>
      </c>
      <c r="E21" s="11" t="n">
        <v>0</v>
      </c>
      <c r="F21" s="11" t="n">
        <v>0.9399999999999999</v>
      </c>
      <c r="I21" s="11" t="n">
        <v>0</v>
      </c>
      <c r="J21" s="11" t="n">
        <v>0.8100000000000001</v>
      </c>
      <c r="M21" s="11" t="n">
        <v>0</v>
      </c>
      <c r="N21" s="11" t="n">
        <v>0.78</v>
      </c>
      <c r="W21" s="11" t="n">
        <v>1.97</v>
      </c>
      <c r="X21" s="11" t="n">
        <v>1.13</v>
      </c>
      <c r="Y21" s="11" t="n">
        <v>1.03</v>
      </c>
      <c r="Z21" s="11" t="n">
        <v>1.34</v>
      </c>
      <c r="AA21" s="11" t="n">
        <v>1.26</v>
      </c>
      <c r="AB21" s="11" t="n">
        <v>0.78</v>
      </c>
      <c r="AC21" s="11" t="n">
        <v>0.9</v>
      </c>
      <c r="AD21" s="11" t="n">
        <v>0</v>
      </c>
    </row>
    <row r="22">
      <c r="A22" s="10" t="inlineStr">
        <is>
          <t>협찬금 수입</t>
        </is>
      </c>
      <c r="W22" s="11" t="n">
        <v>0.67</v>
      </c>
      <c r="X22" s="11" t="n">
        <v>0.68</v>
      </c>
      <c r="Y22" s="11" t="n">
        <v>0.99</v>
      </c>
      <c r="Z22" s="11" t="n">
        <v>1.34</v>
      </c>
      <c r="AA22" s="11" t="n">
        <v>1.05</v>
      </c>
      <c r="AB22" s="11" t="n">
        <v>0.4</v>
      </c>
      <c r="AC22" s="11" t="n">
        <v>0.14</v>
      </c>
      <c r="AD22" s="11" t="n">
        <v>0.09</v>
      </c>
    </row>
    <row r="23">
      <c r="A23" s="10" t="inlineStr">
        <is>
          <t>보조금 수입</t>
        </is>
      </c>
      <c r="C23" s="11" t="n">
        <v>3.28</v>
      </c>
      <c r="D23" s="11" t="n">
        <v>3.28</v>
      </c>
      <c r="E23" s="11" t="n">
        <v>1.72</v>
      </c>
      <c r="F23" s="11" t="n">
        <v>2.02</v>
      </c>
      <c r="G23" s="11" t="n">
        <v>0.24</v>
      </c>
      <c r="H23" s="11" t="n">
        <v>0.01</v>
      </c>
      <c r="I23" s="11" t="n">
        <v>0.48</v>
      </c>
      <c r="J23" s="11" t="n">
        <v>0.91</v>
      </c>
      <c r="K23" s="11" t="n">
        <v>0.15</v>
      </c>
      <c r="L23" s="11" t="n">
        <v>0.01</v>
      </c>
      <c r="M23" s="11" t="n">
        <v>0.15</v>
      </c>
      <c r="N23" s="11" t="n">
        <v>0.08</v>
      </c>
      <c r="O23" s="11" t="n">
        <v>1.49</v>
      </c>
      <c r="P23" s="11" t="n">
        <v>1.28</v>
      </c>
      <c r="Q23" s="11" t="n">
        <v>0.36</v>
      </c>
      <c r="R23" s="11" t="n">
        <v>1.46</v>
      </c>
      <c r="S23" s="11" t="n">
        <v>0.1</v>
      </c>
      <c r="T23" s="11" t="n">
        <v>0.1</v>
      </c>
      <c r="U23" s="11" t="n">
        <v>1.44</v>
      </c>
      <c r="V23" s="11" t="n">
        <v>-0.17</v>
      </c>
      <c r="W23" s="11" t="n">
        <v>4.53</v>
      </c>
      <c r="X23" s="11" t="n">
        <v>0.43</v>
      </c>
      <c r="Y23" s="11" t="n">
        <v>5.26</v>
      </c>
      <c r="Z23" s="11" t="n">
        <v>10.3</v>
      </c>
      <c r="AA23" s="11" t="n">
        <v>1.64</v>
      </c>
      <c r="AB23" s="11" t="n">
        <v>0.39</v>
      </c>
      <c r="AC23" s="11" t="n">
        <v>4.59</v>
      </c>
      <c r="AD23" s="11" t="n">
        <v>1.47</v>
      </c>
    </row>
    <row r="24">
      <c r="A24" s="10" t="inlineStr">
        <is>
          <t>임대료 수익</t>
        </is>
      </c>
      <c r="W24" s="11" t="n">
        <v>1.1</v>
      </c>
      <c r="X24" s="11" t="n">
        <v>1.15</v>
      </c>
      <c r="Y24" s="11" t="n">
        <v>1.06</v>
      </c>
      <c r="Z24" s="11" t="n">
        <v>0</v>
      </c>
    </row>
    <row r="25">
      <c r="A25" s="10" t="inlineStr">
        <is>
          <t>외환차익</t>
        </is>
      </c>
      <c r="C25" s="11" t="n">
        <v>4.96</v>
      </c>
      <c r="D25" s="11" t="n">
        <v>9.390000000000001</v>
      </c>
      <c r="E25" s="11" t="n">
        <v>20.6</v>
      </c>
      <c r="F25" s="11" t="n">
        <v>4.17</v>
      </c>
      <c r="G25" s="11" t="n">
        <v>5.79</v>
      </c>
      <c r="H25" s="11" t="n">
        <v>0.43</v>
      </c>
      <c r="I25" s="11" t="n">
        <v>11.12</v>
      </c>
      <c r="J25" s="11" t="n">
        <v>16.94</v>
      </c>
      <c r="K25" s="11" t="n">
        <v>6.32</v>
      </c>
      <c r="L25" s="11" t="n">
        <v>1.37</v>
      </c>
      <c r="M25" s="11" t="n">
        <v>12.04</v>
      </c>
      <c r="N25" s="11" t="n">
        <v>-7.37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14.08</v>
      </c>
      <c r="T25" s="11" t="n">
        <v>16.04</v>
      </c>
      <c r="U25" s="11" t="n">
        <v>1.85</v>
      </c>
      <c r="V25" s="11" t="n">
        <v>0.17</v>
      </c>
      <c r="X25" s="11" t="n">
        <v>0</v>
      </c>
      <c r="Y25" s="11" t="n">
        <v>27.14</v>
      </c>
      <c r="Z25" s="11" t="n">
        <v>39.12</v>
      </c>
      <c r="AA25" s="11" t="n">
        <v>34.28</v>
      </c>
      <c r="AB25" s="11" t="n">
        <v>12.36</v>
      </c>
      <c r="AC25" s="11" t="n">
        <v>0</v>
      </c>
      <c r="AD25" s="11" t="n">
        <v>32.14</v>
      </c>
    </row>
    <row r="26">
      <c r="A26" s="10" t="inlineStr">
        <is>
          <t>대손충당금 환입</t>
        </is>
      </c>
      <c r="N26" s="11" t="n">
        <v>0.01</v>
      </c>
      <c r="R26" s="11" t="n">
        <v>0.01</v>
      </c>
      <c r="V26" s="11" t="n">
        <v>0.02</v>
      </c>
      <c r="W26" s="11" t="n">
        <v>0.37</v>
      </c>
      <c r="X26" s="11" t="n">
        <v>0.06</v>
      </c>
      <c r="Y26" s="11" t="n">
        <v>0.34</v>
      </c>
      <c r="Z26" s="11" t="n">
        <v>0.04</v>
      </c>
      <c r="AA26" s="11" t="n">
        <v>0.04</v>
      </c>
      <c r="AB26" s="11" t="n">
        <v>0.05</v>
      </c>
      <c r="AC26" s="11" t="n">
        <v>2.02</v>
      </c>
      <c r="AD26" s="11" t="n">
        <v>0.06</v>
      </c>
    </row>
    <row r="27">
      <c r="A27" s="10" t="inlineStr">
        <is>
          <t>지분법이익</t>
        </is>
      </c>
      <c r="C27" s="11" t="n">
        <v>0</v>
      </c>
      <c r="D27" s="11" t="n">
        <v>0</v>
      </c>
      <c r="E27" s="11" t="n">
        <v>0</v>
      </c>
      <c r="F27" s="11" t="n">
        <v>0</v>
      </c>
      <c r="W27" s="11" t="n">
        <v>0.32</v>
      </c>
      <c r="X27" s="11" t="n">
        <v>0.76</v>
      </c>
      <c r="Y27" s="11" t="n">
        <v>0.07000000000000001</v>
      </c>
      <c r="Z27" s="11" t="n">
        <v>0</v>
      </c>
    </row>
    <row r="28">
      <c r="A28" s="10" t="inlineStr">
        <is>
          <t>기타</t>
        </is>
      </c>
      <c r="C28" s="11" t="n">
        <v>1.08</v>
      </c>
      <c r="D28" s="11" t="n">
        <v>0.88</v>
      </c>
      <c r="E28" s="11" t="n">
        <v>1.94</v>
      </c>
      <c r="F28" s="11" t="n">
        <v>2.73</v>
      </c>
      <c r="G28" s="11" t="n">
        <v>1.09</v>
      </c>
      <c r="H28" s="11" t="n">
        <v>2.04</v>
      </c>
      <c r="I28" s="11" t="n">
        <v>3.02</v>
      </c>
      <c r="J28" s="11" t="n">
        <v>3.48</v>
      </c>
      <c r="K28" s="11" t="n">
        <v>1.24</v>
      </c>
      <c r="L28" s="11" t="n">
        <v>0.79</v>
      </c>
      <c r="M28" s="11" t="n">
        <v>1.98</v>
      </c>
      <c r="N28" s="11" t="n">
        <v>0.8100000000000001</v>
      </c>
      <c r="O28" s="11" t="n">
        <v>1.76</v>
      </c>
      <c r="P28" s="11" t="n">
        <v>3.28</v>
      </c>
      <c r="Q28" s="11" t="n">
        <v>1.56</v>
      </c>
      <c r="R28" s="11" t="n">
        <v>2.29</v>
      </c>
      <c r="S28" s="11" t="n">
        <v>1.39</v>
      </c>
      <c r="T28" s="11" t="n">
        <v>1.18</v>
      </c>
      <c r="U28" s="11" t="n">
        <v>0.89</v>
      </c>
      <c r="V28" s="11" t="n">
        <v>3.86</v>
      </c>
      <c r="W28" s="11" t="n">
        <v>4.72</v>
      </c>
      <c r="X28" s="11" t="n">
        <v>2.23</v>
      </c>
      <c r="Y28" s="11" t="n">
        <v>5.69</v>
      </c>
      <c r="Z28" s="11" t="n">
        <v>6.63</v>
      </c>
      <c r="AA28" s="11" t="n">
        <v>9.630000000000001</v>
      </c>
      <c r="AB28" s="11" t="n">
        <v>4.82</v>
      </c>
      <c r="AC28" s="11" t="n">
        <v>8.890000000000001</v>
      </c>
      <c r="AD28" s="11" t="n">
        <v>7.32</v>
      </c>
    </row>
    <row r="29">
      <c r="A29" s="5" t="inlineStr">
        <is>
          <t>영업외수익 합계</t>
        </is>
      </c>
      <c r="C29" s="6" t="n">
        <v>9.74</v>
      </c>
      <c r="D29" s="6" t="n">
        <v>14.4</v>
      </c>
      <c r="E29" s="6" t="n">
        <v>24.7</v>
      </c>
      <c r="F29" s="6" t="n">
        <v>11.83</v>
      </c>
      <c r="G29" s="6" t="n">
        <v>7.9</v>
      </c>
      <c r="H29" s="6" t="n">
        <v>3.71</v>
      </c>
      <c r="I29" s="6" t="n">
        <v>15.58</v>
      </c>
      <c r="J29" s="6" t="n">
        <v>24.5</v>
      </c>
      <c r="K29" s="6" t="n">
        <v>9.9</v>
      </c>
      <c r="L29" s="6" t="n">
        <v>3.56</v>
      </c>
      <c r="M29" s="6" t="n">
        <v>16.31</v>
      </c>
      <c r="N29" s="6" t="n">
        <v>-4.02</v>
      </c>
      <c r="O29" s="6" t="n">
        <v>4.67</v>
      </c>
      <c r="P29" s="6" t="n">
        <v>6.3</v>
      </c>
      <c r="Q29" s="6" t="n">
        <v>5.53</v>
      </c>
      <c r="R29" s="6" t="n">
        <v>6.34</v>
      </c>
      <c r="S29" s="6" t="n">
        <v>16.61</v>
      </c>
      <c r="T29" s="6" t="n">
        <v>18.91</v>
      </c>
      <c r="U29" s="6" t="n">
        <v>5.7</v>
      </c>
      <c r="V29" s="6" t="n">
        <v>6.02</v>
      </c>
      <c r="W29" s="6" t="n">
        <v>19.57</v>
      </c>
      <c r="X29" s="6" t="n">
        <v>12.14</v>
      </c>
      <c r="Y29" s="6" t="n">
        <v>44.2</v>
      </c>
      <c r="Z29" s="6" t="n">
        <v>60.67</v>
      </c>
      <c r="AA29" s="6" t="n">
        <v>51.69</v>
      </c>
      <c r="AB29" s="6" t="n">
        <v>25.75</v>
      </c>
      <c r="AC29" s="6" t="n">
        <v>22.84</v>
      </c>
      <c r="AD29" s="6" t="n">
        <v>47.24</v>
      </c>
    </row>
    <row r="30">
      <c r="A30" s="10" t="inlineStr">
        <is>
          <t>이자비용</t>
        </is>
      </c>
      <c r="C30" s="11" t="n">
        <v>3.61</v>
      </c>
      <c r="D30" s="11" t="n">
        <v>3.35</v>
      </c>
      <c r="E30" s="11" t="n">
        <v>3.85</v>
      </c>
      <c r="F30" s="11" t="n">
        <v>2.71</v>
      </c>
      <c r="G30" s="11" t="n">
        <v>3.44</v>
      </c>
      <c r="H30" s="11" t="n">
        <v>3.76</v>
      </c>
      <c r="I30" s="11" t="n">
        <v>4.3</v>
      </c>
      <c r="J30" s="11" t="n">
        <v>5.13</v>
      </c>
      <c r="K30" s="11" t="n">
        <v>4.96</v>
      </c>
      <c r="L30" s="11" t="n">
        <v>5.16</v>
      </c>
      <c r="M30" s="11" t="n">
        <v>6.25</v>
      </c>
      <c r="N30" s="11" t="n">
        <v>5.89</v>
      </c>
      <c r="O30" s="11" t="n">
        <v>6.27</v>
      </c>
      <c r="P30" s="11" t="n">
        <v>6.67</v>
      </c>
      <c r="Q30" s="11" t="n">
        <v>7.27</v>
      </c>
      <c r="R30" s="11" t="n">
        <v>7.45</v>
      </c>
      <c r="S30" s="11" t="n">
        <v>7.48</v>
      </c>
      <c r="T30" s="11" t="n">
        <v>7.76</v>
      </c>
      <c r="U30" s="11" t="n">
        <v>7.81</v>
      </c>
      <c r="V30" s="11" t="n">
        <v>7.69</v>
      </c>
      <c r="W30" s="11" t="n">
        <v>0.27</v>
      </c>
      <c r="X30" s="11" t="n">
        <v>8.92</v>
      </c>
      <c r="Y30" s="11" t="n">
        <v>13.95</v>
      </c>
      <c r="Z30" s="11" t="n">
        <v>13.52</v>
      </c>
      <c r="AA30" s="11" t="n">
        <v>16.63</v>
      </c>
      <c r="AB30" s="11" t="n">
        <v>22.26</v>
      </c>
      <c r="AC30" s="11" t="n">
        <v>27.66</v>
      </c>
      <c r="AD30" s="11" t="n">
        <v>30.74</v>
      </c>
    </row>
    <row r="31">
      <c r="A31" s="10" t="inlineStr">
        <is>
          <t>지급수수료</t>
        </is>
      </c>
      <c r="W31" s="11" t="n">
        <v>0</v>
      </c>
      <c r="X31" s="11" t="n">
        <v>0</v>
      </c>
      <c r="Y31" s="11" t="n">
        <v>0</v>
      </c>
    </row>
    <row r="32">
      <c r="A32" s="10" t="inlineStr">
        <is>
          <t>해약 위약금</t>
        </is>
      </c>
      <c r="X32" s="11" t="n">
        <v>0</v>
      </c>
      <c r="Y32" s="11" t="n">
        <v>0.03</v>
      </c>
      <c r="Z32" s="11" t="n">
        <v>0</v>
      </c>
    </row>
    <row r="33">
      <c r="A33" s="10" t="inlineStr">
        <is>
          <t>외환차손</t>
        </is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4.33</v>
      </c>
      <c r="P33" s="11" t="n">
        <v>6.33</v>
      </c>
      <c r="Q33" s="11" t="n">
        <v>-2.64</v>
      </c>
      <c r="R33" s="11" t="n">
        <v>-5.91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7.44</v>
      </c>
      <c r="X33" s="11" t="n">
        <v>1.26</v>
      </c>
      <c r="AB33" s="11" t="n">
        <v>0</v>
      </c>
      <c r="AC33" s="11" t="n">
        <v>2.11</v>
      </c>
      <c r="AD33" s="11" t="n">
        <v>0</v>
      </c>
    </row>
    <row r="34">
      <c r="A34" s="10" t="inlineStr">
        <is>
          <t>기타</t>
        </is>
      </c>
      <c r="C34" s="11" t="n">
        <v>0.14</v>
      </c>
      <c r="D34" s="11" t="n">
        <v>0</v>
      </c>
      <c r="E34" s="11" t="n">
        <v>0.53</v>
      </c>
      <c r="F34" s="11" t="n">
        <v>2.07</v>
      </c>
      <c r="G34" s="11" t="n">
        <v>0.06</v>
      </c>
      <c r="H34" s="11" t="n">
        <v>0.16</v>
      </c>
      <c r="I34" s="11" t="n">
        <v>0.86</v>
      </c>
      <c r="J34" s="11" t="n">
        <v>3.79</v>
      </c>
      <c r="K34" s="11" t="n">
        <v>0.88</v>
      </c>
      <c r="L34" s="11" t="n">
        <v>1.72</v>
      </c>
      <c r="M34" s="11" t="n">
        <v>2.23</v>
      </c>
      <c r="N34" s="11" t="n">
        <v>2.23</v>
      </c>
      <c r="O34" s="11" t="n">
        <v>0.73</v>
      </c>
      <c r="P34" s="11" t="n">
        <v>1.81</v>
      </c>
      <c r="Q34" s="11" t="n">
        <v>1.53</v>
      </c>
      <c r="R34" s="11" t="n">
        <v>4.38</v>
      </c>
      <c r="S34" s="11" t="n">
        <v>1.75</v>
      </c>
      <c r="T34" s="11" t="n">
        <v>0.25</v>
      </c>
      <c r="U34" s="11" t="n">
        <v>0.42</v>
      </c>
      <c r="V34" s="11" t="n">
        <v>1.74</v>
      </c>
      <c r="W34" s="11" t="n">
        <v>0.68</v>
      </c>
      <c r="X34" s="11" t="n">
        <v>1.99</v>
      </c>
      <c r="Y34" s="11" t="n">
        <v>0.99</v>
      </c>
      <c r="Z34" s="11" t="n">
        <v>2.74</v>
      </c>
      <c r="AA34" s="11" t="n">
        <v>4.87</v>
      </c>
      <c r="AB34" s="11" t="n">
        <v>7.06</v>
      </c>
      <c r="AC34" s="11" t="n">
        <v>8.449999999999999</v>
      </c>
      <c r="AD34" s="11" t="n">
        <v>4.16</v>
      </c>
    </row>
    <row r="35">
      <c r="A35" s="10" t="inlineStr">
        <is>
          <t>영업외비용 합계</t>
        </is>
      </c>
      <c r="C35" s="11" t="n">
        <v>3.76</v>
      </c>
      <c r="D35" s="11" t="n">
        <v>3.34</v>
      </c>
      <c r="E35" s="11" t="n">
        <v>4.39</v>
      </c>
      <c r="F35" s="11" t="n">
        <v>4.77</v>
      </c>
      <c r="G35" s="11" t="n">
        <v>3.51</v>
      </c>
      <c r="H35" s="11" t="n">
        <v>3.92</v>
      </c>
      <c r="I35" s="11" t="n">
        <v>5.15</v>
      </c>
      <c r="J35" s="11" t="n">
        <v>8.92</v>
      </c>
      <c r="K35" s="11" t="n">
        <v>5.84</v>
      </c>
      <c r="L35" s="11" t="n">
        <v>6.88</v>
      </c>
      <c r="M35" s="11" t="n">
        <v>8.49</v>
      </c>
      <c r="N35" s="11" t="n">
        <v>8.119999999999999</v>
      </c>
      <c r="O35" s="11" t="n">
        <v>11.34</v>
      </c>
      <c r="P35" s="11" t="n">
        <v>14.81</v>
      </c>
      <c r="Q35" s="11" t="n">
        <v>6.15</v>
      </c>
      <c r="R35" s="11" t="n">
        <v>5.92</v>
      </c>
      <c r="S35" s="11" t="n">
        <v>9.23</v>
      </c>
      <c r="T35" s="11" t="n">
        <v>8.01</v>
      </c>
      <c r="U35" s="11" t="n">
        <v>8.24</v>
      </c>
      <c r="V35" s="11" t="n">
        <v>9.42</v>
      </c>
      <c r="W35" s="11" t="n">
        <v>8.4</v>
      </c>
      <c r="X35" s="11" t="n">
        <v>12.18</v>
      </c>
      <c r="Y35" s="11" t="n">
        <v>14.98</v>
      </c>
      <c r="Z35" s="11" t="n">
        <v>16.26</v>
      </c>
      <c r="AA35" s="11" t="n">
        <v>21.5</v>
      </c>
      <c r="AB35" s="11" t="n">
        <v>29.33</v>
      </c>
      <c r="AC35" s="11" t="n">
        <v>38.22</v>
      </c>
      <c r="AD35" s="11" t="n">
        <v>34.9</v>
      </c>
    </row>
    <row r="36">
      <c r="A36" s="5" t="inlineStr">
        <is>
          <t>경상이익</t>
        </is>
      </c>
      <c r="C36" s="6" t="n">
        <v>117.45</v>
      </c>
      <c r="D36" s="6" t="n">
        <v>88.13</v>
      </c>
      <c r="E36" s="6" t="n">
        <v>80.09999999999999</v>
      </c>
      <c r="F36" s="6" t="n">
        <v>86.45999999999999</v>
      </c>
      <c r="G36" s="6" t="n">
        <v>54.61</v>
      </c>
      <c r="H36" s="6" t="n">
        <v>51.35</v>
      </c>
      <c r="I36" s="6" t="n">
        <v>135.37</v>
      </c>
      <c r="J36" s="6" t="n">
        <v>120.23</v>
      </c>
      <c r="K36" s="6" t="n">
        <v>142.88</v>
      </c>
      <c r="L36" s="6" t="n">
        <v>98.84999999999999</v>
      </c>
      <c r="M36" s="6" t="n">
        <v>191.53</v>
      </c>
      <c r="N36" s="6" t="n">
        <v>124.51</v>
      </c>
      <c r="O36" s="6" t="n">
        <v>212.9</v>
      </c>
      <c r="P36" s="6" t="n">
        <v>132.97</v>
      </c>
      <c r="Q36" s="6" t="n">
        <v>232.39</v>
      </c>
      <c r="R36" s="6" t="n">
        <v>144.75</v>
      </c>
      <c r="S36" s="6" t="n">
        <v>291.21</v>
      </c>
      <c r="T36" s="6" t="n">
        <v>177.52</v>
      </c>
      <c r="U36" s="6" t="n">
        <v>355.23</v>
      </c>
      <c r="V36" s="6" t="n">
        <v>222.74</v>
      </c>
      <c r="W36" s="6" t="n">
        <v>458.61</v>
      </c>
      <c r="X36" s="6" t="n">
        <v>363.77</v>
      </c>
      <c r="Y36" s="6" t="n">
        <v>453.69</v>
      </c>
      <c r="Z36" s="6" t="n">
        <v>372.14</v>
      </c>
      <c r="AA36" s="6" t="n">
        <v>361.56</v>
      </c>
      <c r="AB36" s="6" t="n">
        <v>557.77</v>
      </c>
      <c r="AC36" s="6" t="n">
        <v>723.01</v>
      </c>
      <c r="AD36" s="6" t="n">
        <v>1046.7</v>
      </c>
    </row>
    <row r="37">
      <c r="A37" s="8" t="inlineStr">
        <is>
          <t>경상이익률</t>
        </is>
      </c>
      <c r="C37" s="9">
        <f>IF(OR(C36="",C4=""),"",IFERROR(C36/C4,""))</f>
        <v/>
      </c>
      <c r="D37" s="9">
        <f>IF(OR(D36="",D4=""),"",IFERROR(D36/D4,""))</f>
        <v/>
      </c>
      <c r="E37" s="9">
        <f>IF(OR(E36="",E4=""),"",IFERROR(E36/E4,""))</f>
        <v/>
      </c>
      <c r="F37" s="9">
        <f>IF(OR(F36="",F4=""),"",IFERROR(F36/F4,""))</f>
        <v/>
      </c>
      <c r="G37" s="9">
        <f>IF(OR(G36="",G4=""),"",IFERROR(G36/G4,""))</f>
        <v/>
      </c>
      <c r="H37" s="9">
        <f>IF(OR(H36="",H4=""),"",IFERROR(H36/H4,""))</f>
        <v/>
      </c>
      <c r="I37" s="9">
        <f>IF(OR(I36="",I4=""),"",IFERROR(I36/I4,""))</f>
        <v/>
      </c>
      <c r="J37" s="9">
        <f>IF(OR(J36="",J4=""),"",IFERROR(J36/J4,""))</f>
        <v/>
      </c>
      <c r="K37" s="9">
        <f>IF(OR(K36="",K4=""),"",IFERROR(K36/K4,""))</f>
        <v/>
      </c>
      <c r="L37" s="9">
        <f>IF(OR(L36="",L4=""),"",IFERROR(L36/L4,""))</f>
        <v/>
      </c>
      <c r="M37" s="9">
        <f>IF(OR(M36="",M4=""),"",IFERROR(M36/M4,""))</f>
        <v/>
      </c>
      <c r="N37" s="9">
        <f>IF(OR(N36="",N4=""),"",IFERROR(N36/N4,""))</f>
        <v/>
      </c>
      <c r="O37" s="9">
        <f>IF(OR(O36="",O4=""),"",IFERROR(O36/O4,""))</f>
        <v/>
      </c>
      <c r="P37" s="9">
        <f>IF(OR(P36="",P4=""),"",IFERROR(P36/P4,""))</f>
        <v/>
      </c>
      <c r="Q37" s="9">
        <f>IF(OR(Q36="",Q4=""),"",IFERROR(Q36/Q4,""))</f>
        <v/>
      </c>
      <c r="R37" s="9">
        <f>IF(OR(R36="",R4=""),"",IFERROR(R36/R4,""))</f>
        <v/>
      </c>
      <c r="S37" s="9">
        <f>IF(OR(S36="",S4=""),"",IFERROR(S36/S4,""))</f>
        <v/>
      </c>
      <c r="T37" s="9">
        <f>IF(OR(T36="",T4=""),"",IFERROR(T36/T4,""))</f>
        <v/>
      </c>
      <c r="U37" s="9">
        <f>IF(OR(U36="",U4=""),"",IFERROR(U36/U4,""))</f>
        <v/>
      </c>
      <c r="V37" s="9">
        <f>IF(OR(V36="",V4=""),"",IFERROR(V36/V4,""))</f>
        <v/>
      </c>
      <c r="W37" s="9">
        <f>IF(OR(W36="",W4=""),"",IFERROR(W36/W4,""))</f>
        <v/>
      </c>
      <c r="X37" s="9">
        <f>IF(OR(X36="",X4=""),"",IFERROR(X36/X4,""))</f>
        <v/>
      </c>
      <c r="Y37" s="9">
        <f>IF(OR(Y36="",Y4=""),"",IFERROR(Y36/Y4,""))</f>
        <v/>
      </c>
      <c r="Z37" s="9">
        <f>IF(OR(Z36="",Z4=""),"",IFERROR(Z36/Z4,""))</f>
        <v/>
      </c>
      <c r="AA37" s="9">
        <f>IF(OR(AA36="",AA4=""),"",IFERROR(AA36/AA4,""))</f>
        <v/>
      </c>
      <c r="AB37" s="9">
        <f>IF(OR(AB36="",AB4=""),"",IFERROR(AB36/AB4,""))</f>
        <v/>
      </c>
      <c r="AC37" s="9">
        <f>IF(OR(AC36="",AC4=""),"",IFERROR(AC36/AC4,""))</f>
        <v/>
      </c>
      <c r="AD37" s="9">
        <f>IF(OR(AD36="",AD4=""),"",IFERROR(AD36/AD4,""))</f>
        <v/>
      </c>
    </row>
    <row r="38">
      <c r="A38" s="10" t="inlineStr">
        <is>
          <t>투자유가증권 매각이익</t>
        </is>
      </c>
      <c r="E38" s="11" t="n">
        <v>0.01</v>
      </c>
      <c r="F38" s="11" t="n">
        <v>0.24</v>
      </c>
      <c r="I38" s="11" t="n">
        <v>25.43</v>
      </c>
      <c r="J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23.67</v>
      </c>
      <c r="T38" s="11" t="n">
        <v>0</v>
      </c>
      <c r="U38" s="11" t="n">
        <v>0</v>
      </c>
      <c r="V38" s="11" t="n">
        <v>0</v>
      </c>
      <c r="W38" s="11" t="n">
        <v>86.34</v>
      </c>
      <c r="X38" s="11" t="n">
        <v>0.18</v>
      </c>
      <c r="Y38" s="11" t="n">
        <v>1.18</v>
      </c>
      <c r="Z38" s="11" t="n">
        <v>0.25</v>
      </c>
      <c r="AA38" s="11" t="n">
        <v>29.6</v>
      </c>
      <c r="AB38" s="11" t="n">
        <v>0</v>
      </c>
      <c r="AC38" s="11" t="n">
        <v>0</v>
      </c>
      <c r="AD38" s="11" t="n">
        <v>23.67</v>
      </c>
    </row>
    <row r="39">
      <c r="A39" s="10" t="inlineStr">
        <is>
          <t>고정자산 매각이익</t>
        </is>
      </c>
      <c r="C39" s="11" t="n">
        <v>0</v>
      </c>
      <c r="D39" s="11" t="n">
        <v>0.01</v>
      </c>
      <c r="E39" s="11" t="n">
        <v>0</v>
      </c>
      <c r="F39" s="11" t="n">
        <v>0.01</v>
      </c>
      <c r="G39" s="11" t="n">
        <v>0.04</v>
      </c>
      <c r="H39" s="11" t="n">
        <v>0</v>
      </c>
      <c r="I39" s="11" t="n">
        <v>0</v>
      </c>
      <c r="J39" s="11" t="n">
        <v>0.68</v>
      </c>
      <c r="K39" s="11" t="n">
        <v>0</v>
      </c>
      <c r="L39" s="11" t="n">
        <v>0.01</v>
      </c>
      <c r="M39" s="11" t="n">
        <v>79.42</v>
      </c>
      <c r="N39" s="11" t="n">
        <v>0.06</v>
      </c>
      <c r="O39" s="11" t="n">
        <v>0.01</v>
      </c>
      <c r="P39" s="11" t="n">
        <v>0</v>
      </c>
      <c r="Q39" s="11" t="n">
        <v>0</v>
      </c>
      <c r="R39" s="11" t="n">
        <v>0</v>
      </c>
      <c r="S39" s="11" t="n">
        <v>0.05</v>
      </c>
      <c r="T39" s="11" t="n">
        <v>0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7.21</v>
      </c>
      <c r="Z39" s="11" t="n">
        <v>0.02</v>
      </c>
      <c r="AA39" s="11" t="n">
        <v>0.72</v>
      </c>
      <c r="AB39" s="11" t="n">
        <v>79.48999999999999</v>
      </c>
      <c r="AC39" s="11" t="n">
        <v>0.01</v>
      </c>
      <c r="AD39" s="11" t="n">
        <v>0.05</v>
      </c>
    </row>
    <row r="40">
      <c r="A40" s="10" t="inlineStr">
        <is>
          <t>단계적 취득 차익</t>
        </is>
      </c>
      <c r="E40" s="11" t="n">
        <v>0</v>
      </c>
      <c r="F40" s="11" t="n">
        <v>0</v>
      </c>
      <c r="Y40" s="11" t="n">
        <v>2.6</v>
      </c>
      <c r="Z40" s="11" t="n">
        <v>0</v>
      </c>
    </row>
    <row r="41">
      <c r="A41" s="10" t="inlineStr">
        <is>
          <t>리스해약 채무면제이익</t>
        </is>
      </c>
      <c r="C41" s="11" t="n">
        <v>0</v>
      </c>
      <c r="D41" s="11" t="n">
        <v>0</v>
      </c>
      <c r="E41" s="11" t="n">
        <v>0</v>
      </c>
    </row>
    <row r="42">
      <c r="A42" s="10" t="inlineStr">
        <is>
          <t>리스해약 채무면제이익</t>
        </is>
      </c>
      <c r="Y42" s="11" t="n">
        <v>31.35</v>
      </c>
      <c r="Z42" s="11" t="n">
        <v>0</v>
      </c>
    </row>
    <row r="43">
      <c r="A43" s="10" t="inlineStr">
        <is>
          <t>신주예약권 환입이익</t>
        </is>
      </c>
      <c r="Y43" s="11" t="n">
        <v>6.77</v>
      </c>
      <c r="Z43" s="11" t="n">
        <v>0</v>
      </c>
    </row>
    <row r="44">
      <c r="A44" s="10" t="inlineStr">
        <is>
          <t>리스조건 변경이익</t>
        </is>
      </c>
      <c r="G44" s="11" t="n">
        <v>0</v>
      </c>
      <c r="H44" s="11" t="n">
        <v>0.04</v>
      </c>
      <c r="I44" s="11" t="n">
        <v>0</v>
      </c>
      <c r="K44" s="11" t="n">
        <v>3.23</v>
      </c>
      <c r="L44" s="11" t="n">
        <v>0.12</v>
      </c>
      <c r="M44" s="11" t="n">
        <v>6.72</v>
      </c>
      <c r="O44" s="11" t="n">
        <v>0.15</v>
      </c>
      <c r="S44" s="11" t="n">
        <v>0.02</v>
      </c>
    </row>
    <row r="45">
      <c r="A45" s="10" t="inlineStr">
        <is>
          <t>리스조건 변경이익</t>
        </is>
      </c>
      <c r="Y45" s="11" t="n">
        <v>0.09</v>
      </c>
      <c r="Z45" s="11" t="n">
        <v>1.96</v>
      </c>
      <c r="AA45" s="11" t="n">
        <v>0.11</v>
      </c>
      <c r="AB45" s="11" t="n">
        <v>17.88</v>
      </c>
      <c r="AC45" s="11" t="n">
        <v>0.45</v>
      </c>
      <c r="AD45" s="11" t="n">
        <v>3.09</v>
      </c>
    </row>
    <row r="46">
      <c r="A46" s="10" t="inlineStr">
        <is>
          <t>보상금 수취</t>
        </is>
      </c>
      <c r="N46" s="11" t="n">
        <v>0</v>
      </c>
      <c r="R46" s="11" t="n">
        <v>0</v>
      </c>
      <c r="V46" s="11" t="n">
        <v>0</v>
      </c>
      <c r="AB46" s="11" t="n">
        <v>0</v>
      </c>
      <c r="AC46" s="11" t="n">
        <v>3.31</v>
      </c>
      <c r="AD46" s="11" t="n">
        <v>17.15</v>
      </c>
    </row>
    <row r="47">
      <c r="A47" s="10" t="inlineStr">
        <is>
          <t>기타</t>
        </is>
      </c>
      <c r="C47" s="11" t="n">
        <v>0</v>
      </c>
      <c r="D47" s="11" t="n">
        <v>0</v>
      </c>
      <c r="E47" s="11" t="n">
        <v>0.01</v>
      </c>
      <c r="F47" s="11" t="n">
        <v>-0.01</v>
      </c>
      <c r="G47" s="11" t="n">
        <v>0</v>
      </c>
      <c r="H47" s="11" t="n">
        <v>0</v>
      </c>
      <c r="I47" s="11" t="n">
        <v>0</v>
      </c>
      <c r="J47" s="11" t="n">
        <v>0.01</v>
      </c>
      <c r="K47" s="11" t="n">
        <v>0.7</v>
      </c>
      <c r="L47" s="11" t="n">
        <v>0.08</v>
      </c>
      <c r="M47" s="11" t="n">
        <v>0.02</v>
      </c>
      <c r="N47" s="11" t="n">
        <v>1.98</v>
      </c>
      <c r="O47" s="11" t="n">
        <v>0</v>
      </c>
      <c r="P47" s="11" t="n">
        <v>0</v>
      </c>
      <c r="Q47" s="11" t="n">
        <v>0</v>
      </c>
      <c r="R47" s="11" t="n">
        <v>0</v>
      </c>
      <c r="Y47" s="11" t="n">
        <v>0.09</v>
      </c>
      <c r="Z47" s="11" t="n">
        <v>0</v>
      </c>
      <c r="AA47" s="11" t="n">
        <v>0.01</v>
      </c>
      <c r="AB47" s="11" t="n">
        <v>2.78</v>
      </c>
      <c r="AC47" s="11" t="n">
        <v>0</v>
      </c>
    </row>
    <row r="48">
      <c r="A48" s="10" t="inlineStr">
        <is>
          <t>특별이익 합계</t>
        </is>
      </c>
      <c r="C48" s="11" t="n">
        <v>0</v>
      </c>
      <c r="D48" s="11" t="n">
        <v>0.01</v>
      </c>
      <c r="E48" s="11" t="n">
        <v>0.03</v>
      </c>
      <c r="F48" s="11" t="n">
        <v>2.2</v>
      </c>
      <c r="G48" s="11" t="n">
        <v>0.05</v>
      </c>
      <c r="H48" s="11" t="n">
        <v>4.2</v>
      </c>
      <c r="I48" s="11" t="n">
        <v>25.44</v>
      </c>
      <c r="J48" s="11" t="n">
        <v>0.78</v>
      </c>
      <c r="K48" s="11" t="n">
        <v>3.95</v>
      </c>
      <c r="L48" s="11" t="n">
        <v>0.19</v>
      </c>
      <c r="M48" s="11" t="n">
        <v>86.17</v>
      </c>
      <c r="N48" s="11" t="n">
        <v>9.85</v>
      </c>
      <c r="O48" s="11" t="n">
        <v>0.17</v>
      </c>
      <c r="P48" s="11" t="n">
        <v>0.02</v>
      </c>
      <c r="Q48" s="11" t="n">
        <v>3.34</v>
      </c>
      <c r="R48" s="11" t="n">
        <v>0.26</v>
      </c>
      <c r="S48" s="11" t="n">
        <v>23.74</v>
      </c>
      <c r="T48" s="11" t="n">
        <v>2.33</v>
      </c>
      <c r="U48" s="11" t="n">
        <v>17.84</v>
      </c>
      <c r="V48" s="11" t="n">
        <v>0.07000000000000001</v>
      </c>
      <c r="W48" s="11" t="n">
        <v>86.34999999999999</v>
      </c>
      <c r="X48" s="11" t="n">
        <v>0.19</v>
      </c>
      <c r="Y48" s="11" t="n">
        <v>49.22</v>
      </c>
      <c r="Z48" s="11" t="n">
        <v>2.24</v>
      </c>
      <c r="AA48" s="11" t="n">
        <v>30.47</v>
      </c>
      <c r="AB48" s="11" t="n">
        <v>100.16</v>
      </c>
      <c r="AC48" s="11" t="n">
        <v>3.79</v>
      </c>
      <c r="AD48" s="11" t="n">
        <v>43.98</v>
      </c>
    </row>
    <row r="49">
      <c r="A49" s="10" t="inlineStr">
        <is>
          <t>손상차손</t>
        </is>
      </c>
      <c r="E49" s="11" t="n">
        <v>0</v>
      </c>
      <c r="F49" s="11" t="n">
        <v>22.4</v>
      </c>
      <c r="G49" s="11" t="n">
        <v>0</v>
      </c>
      <c r="H49" s="11" t="n">
        <v>0</v>
      </c>
      <c r="I49" s="11" t="n">
        <v>0</v>
      </c>
      <c r="J49" s="11" t="n">
        <v>49.04</v>
      </c>
      <c r="K49" s="11" t="n">
        <v>0.9399999999999999</v>
      </c>
      <c r="L49" s="11" t="n">
        <v>2.57</v>
      </c>
      <c r="M49" s="11" t="n">
        <v>0</v>
      </c>
      <c r="N49" s="11" t="n">
        <v>40</v>
      </c>
      <c r="O49" s="11" t="n">
        <v>0</v>
      </c>
      <c r="P49" s="11" t="n">
        <v>2.23</v>
      </c>
      <c r="Q49" s="11" t="n">
        <v>0.19</v>
      </c>
      <c r="R49" s="11" t="n">
        <v>47.62</v>
      </c>
      <c r="U49" s="11" t="n">
        <v>1.36</v>
      </c>
      <c r="V49" s="11" t="n">
        <v>26.99</v>
      </c>
      <c r="W49" s="11" t="n">
        <v>2.91</v>
      </c>
      <c r="X49" s="11" t="n">
        <v>11.81</v>
      </c>
      <c r="Y49" s="11" t="n">
        <v>11.68</v>
      </c>
      <c r="Z49" s="11" t="n">
        <v>22.4</v>
      </c>
      <c r="AA49" s="11" t="n">
        <v>49.04</v>
      </c>
      <c r="AB49" s="11" t="n">
        <v>43.51</v>
      </c>
      <c r="AC49" s="11" t="n">
        <v>50.04</v>
      </c>
      <c r="AD49" s="11" t="n">
        <v>29.34</v>
      </c>
    </row>
    <row r="50">
      <c r="A50" s="10" t="inlineStr">
        <is>
          <t>고정자산 제각손실</t>
        </is>
      </c>
      <c r="C50" s="11" t="n">
        <v>0.76</v>
      </c>
      <c r="D50" s="11" t="n">
        <v>16.82</v>
      </c>
      <c r="E50" s="11" t="n">
        <v>0.62</v>
      </c>
      <c r="F50" s="11" t="n">
        <v>1.7</v>
      </c>
      <c r="G50" s="11" t="n">
        <v>0.33</v>
      </c>
      <c r="H50" s="11" t="n">
        <v>0.25</v>
      </c>
      <c r="I50" s="11" t="n">
        <v>0.09</v>
      </c>
      <c r="J50" s="11" t="n">
        <v>2.65</v>
      </c>
      <c r="K50" s="11" t="n">
        <v>0.08</v>
      </c>
      <c r="L50" s="11" t="n">
        <v>0.25</v>
      </c>
      <c r="M50" s="11" t="n">
        <v>0.43</v>
      </c>
      <c r="N50" s="11" t="n">
        <v>0.6</v>
      </c>
      <c r="O50" s="11" t="n">
        <v>1.01</v>
      </c>
      <c r="P50" s="11" t="n">
        <v>2.09</v>
      </c>
      <c r="Q50" s="11" t="n">
        <v>-0.09</v>
      </c>
      <c r="R50" s="11" t="n">
        <v>6.79</v>
      </c>
      <c r="S50" s="11" t="n">
        <v>0.22</v>
      </c>
      <c r="T50" s="11" t="n">
        <v>0.88</v>
      </c>
      <c r="U50" s="11" t="n">
        <v>29.6</v>
      </c>
      <c r="V50" s="11" t="n">
        <v>3.26</v>
      </c>
      <c r="W50" s="11" t="n">
        <v>3.2</v>
      </c>
      <c r="X50" s="11" t="n">
        <v>5.67</v>
      </c>
      <c r="Y50" s="11" t="n">
        <v>2.78</v>
      </c>
      <c r="Z50" s="11" t="n">
        <v>19.9</v>
      </c>
      <c r="AA50" s="11" t="n">
        <v>3.32</v>
      </c>
      <c r="AB50" s="11" t="n">
        <v>1.36</v>
      </c>
      <c r="AC50" s="11" t="n">
        <v>9.800000000000001</v>
      </c>
      <c r="AD50" s="11" t="n">
        <v>33.96</v>
      </c>
    </row>
    <row r="51">
      <c r="A51" s="10" t="inlineStr">
        <is>
          <t>리스해약 손실</t>
        </is>
      </c>
      <c r="X51" s="11" t="n">
        <v>0</v>
      </c>
      <c r="Y51" s="11" t="n">
        <v>0</v>
      </c>
    </row>
    <row r="52">
      <c r="A52" s="10" t="inlineStr">
        <is>
          <t>관계회사 정리손실</t>
        </is>
      </c>
      <c r="J52" s="11" t="n">
        <v>0</v>
      </c>
      <c r="N52" s="11" t="n">
        <v>0.12</v>
      </c>
      <c r="R52" s="11" t="n">
        <v>0</v>
      </c>
      <c r="AA52" s="11" t="n">
        <v>0</v>
      </c>
      <c r="AB52" s="11" t="n">
        <v>5.06</v>
      </c>
      <c r="AC52" s="11" t="n">
        <v>0</v>
      </c>
    </row>
    <row r="53">
      <c r="A53" s="10" t="inlineStr">
        <is>
          <t>임대차계약 해약손실</t>
        </is>
      </c>
      <c r="E53" s="11" t="n">
        <v>0</v>
      </c>
      <c r="F53" s="11" t="n">
        <v>0</v>
      </c>
      <c r="N53" s="11" t="n">
        <v>0</v>
      </c>
      <c r="R53" s="11" t="n">
        <v>0</v>
      </c>
      <c r="V53" s="11" t="n">
        <v>0</v>
      </c>
      <c r="Y53" s="11" t="n">
        <v>2.5</v>
      </c>
      <c r="Z53" s="11" t="n">
        <v>0</v>
      </c>
      <c r="AB53" s="11" t="n">
        <v>0</v>
      </c>
      <c r="AC53" s="11" t="n">
        <v>5.41</v>
      </c>
      <c r="AD53" s="11" t="n">
        <v>0</v>
      </c>
    </row>
    <row r="54">
      <c r="A54" s="10" t="inlineStr">
        <is>
          <t>기타</t>
        </is>
      </c>
      <c r="C54" s="11" t="n">
        <v>0</v>
      </c>
      <c r="D54" s="11" t="n">
        <v>0</v>
      </c>
      <c r="E54" s="11" t="n">
        <v>0.01</v>
      </c>
      <c r="F54" s="11" t="n">
        <v>0.02</v>
      </c>
      <c r="G54" s="11" t="n">
        <v>0</v>
      </c>
      <c r="H54" s="11" t="n">
        <v>0</v>
      </c>
      <c r="I54" s="11" t="n">
        <v>0</v>
      </c>
      <c r="J54" s="11" t="n">
        <v>1.99</v>
      </c>
      <c r="K54" s="11" t="n">
        <v>0.15</v>
      </c>
      <c r="L54" s="11" t="n">
        <v>0</v>
      </c>
      <c r="M54" s="11" t="n">
        <v>1.17</v>
      </c>
      <c r="N54" s="11" t="n">
        <v>7.53</v>
      </c>
      <c r="O54" s="11" t="n">
        <v>0</v>
      </c>
      <c r="P54" s="11" t="n">
        <v>0</v>
      </c>
      <c r="Q54" s="11" t="n">
        <v>0</v>
      </c>
      <c r="R54" s="11" t="n">
        <v>1.95</v>
      </c>
      <c r="U54" s="11" t="n">
        <v>0.34</v>
      </c>
      <c r="V54" s="11" t="n">
        <v>0.21</v>
      </c>
      <c r="W54" s="11" t="n">
        <v>0</v>
      </c>
      <c r="X54" s="11" t="n">
        <v>0.42</v>
      </c>
      <c r="Y54" s="11" t="n">
        <v>0.05</v>
      </c>
      <c r="Z54" s="11" t="n">
        <v>0.03</v>
      </c>
      <c r="AA54" s="11" t="n">
        <v>1.99</v>
      </c>
      <c r="AB54" s="11" t="n">
        <v>8.85</v>
      </c>
      <c r="AC54" s="11" t="n">
        <v>1.95</v>
      </c>
      <c r="AD54" s="11" t="n">
        <v>0.55</v>
      </c>
    </row>
    <row r="55">
      <c r="A55" s="10" t="inlineStr">
        <is>
          <t>특별손실 합계</t>
        </is>
      </c>
      <c r="C55" s="11" t="n">
        <v>0.76</v>
      </c>
      <c r="D55" s="11" t="n">
        <v>16.82</v>
      </c>
      <c r="E55" s="11" t="n">
        <v>0.64</v>
      </c>
      <c r="F55" s="11" t="n">
        <v>24.12</v>
      </c>
      <c r="G55" s="11" t="n">
        <v>0.33</v>
      </c>
      <c r="H55" s="11" t="n">
        <v>0.25</v>
      </c>
      <c r="I55" s="11" t="n">
        <v>0.09</v>
      </c>
      <c r="J55" s="11" t="n">
        <v>53.69</v>
      </c>
      <c r="K55" s="11" t="n">
        <v>1.18</v>
      </c>
      <c r="L55" s="11" t="n">
        <v>2.83</v>
      </c>
      <c r="M55" s="11" t="n">
        <v>6.53</v>
      </c>
      <c r="N55" s="11" t="n">
        <v>48.25</v>
      </c>
      <c r="O55" s="11" t="n">
        <v>1.01</v>
      </c>
      <c r="P55" s="11" t="n">
        <v>4.32</v>
      </c>
      <c r="Q55" s="11" t="n">
        <v>5.53</v>
      </c>
      <c r="R55" s="11" t="n">
        <v>56.36</v>
      </c>
      <c r="S55" s="11" t="n">
        <v>0.22</v>
      </c>
      <c r="T55" s="11" t="n">
        <v>1.88</v>
      </c>
      <c r="U55" s="11" t="n">
        <v>31.3</v>
      </c>
      <c r="V55" s="11" t="n">
        <v>30.46</v>
      </c>
      <c r="W55" s="11" t="n">
        <v>6.12</v>
      </c>
      <c r="X55" s="11" t="n">
        <v>17.92</v>
      </c>
      <c r="Y55" s="11" t="n">
        <v>17.02</v>
      </c>
      <c r="Z55" s="11" t="n">
        <v>42.34</v>
      </c>
      <c r="AA55" s="11" t="n">
        <v>54.36</v>
      </c>
      <c r="AB55" s="11" t="n">
        <v>58.79</v>
      </c>
      <c r="AC55" s="11" t="n">
        <v>67.22</v>
      </c>
      <c r="AD55" s="11" t="n">
        <v>63.86</v>
      </c>
    </row>
    <row r="56">
      <c r="A56" s="10" t="inlineStr">
        <is>
          <t>법인세차감전 순이익</t>
        </is>
      </c>
      <c r="C56" s="11" t="n">
        <v>116.69</v>
      </c>
      <c r="D56" s="11" t="n">
        <v>71.31999999999999</v>
      </c>
      <c r="E56" s="11" t="n">
        <v>79.48</v>
      </c>
      <c r="F56" s="11" t="n">
        <v>64.55</v>
      </c>
      <c r="G56" s="11" t="n">
        <v>54.33</v>
      </c>
      <c r="H56" s="11" t="n">
        <v>55.3</v>
      </c>
      <c r="I56" s="11" t="n">
        <v>160.72</v>
      </c>
      <c r="J56" s="11" t="n">
        <v>67.31999999999999</v>
      </c>
      <c r="K56" s="11" t="n">
        <v>145.65</v>
      </c>
      <c r="L56" s="11" t="n">
        <v>96.20999999999999</v>
      </c>
      <c r="M56" s="11" t="n">
        <v>271.16</v>
      </c>
      <c r="N56" s="11" t="n">
        <v>86.12</v>
      </c>
      <c r="O56" s="11" t="n">
        <v>212.06</v>
      </c>
      <c r="P56" s="11" t="n">
        <v>128.67</v>
      </c>
      <c r="Q56" s="11" t="n">
        <v>230.2</v>
      </c>
      <c r="R56" s="11" t="n">
        <v>88.65000000000001</v>
      </c>
      <c r="S56" s="11" t="n">
        <v>314.73</v>
      </c>
      <c r="T56" s="11" t="n">
        <v>177.96</v>
      </c>
      <c r="U56" s="11" t="n">
        <v>341.79</v>
      </c>
      <c r="V56" s="11" t="n">
        <v>192.35</v>
      </c>
      <c r="W56" s="11" t="n">
        <v>538.83</v>
      </c>
      <c r="X56" s="11" t="n">
        <v>346.03</v>
      </c>
      <c r="Y56" s="11" t="n">
        <v>485.89</v>
      </c>
      <c r="Z56" s="11" t="n">
        <v>332.04</v>
      </c>
      <c r="AA56" s="11" t="n">
        <v>337.67</v>
      </c>
      <c r="AB56" s="11" t="n">
        <v>599.14</v>
      </c>
      <c r="AC56" s="11" t="n">
        <v>659.58</v>
      </c>
      <c r="AD56" s="11" t="n">
        <v>1026.83</v>
      </c>
    </row>
    <row r="57">
      <c r="A57" s="10" t="inlineStr">
        <is>
          <t>법인세·주민세·사업세</t>
        </is>
      </c>
      <c r="W57" s="11" t="n">
        <v>170.49</v>
      </c>
      <c r="X57" s="11" t="n">
        <v>127.17</v>
      </c>
      <c r="Y57" s="11" t="n">
        <v>164.5</v>
      </c>
      <c r="Z57" s="11" t="n">
        <v>56.64</v>
      </c>
      <c r="AA57" s="11" t="n">
        <v>136.66</v>
      </c>
      <c r="AB57" s="11" t="n">
        <v>176.2</v>
      </c>
      <c r="AC57" s="11" t="n">
        <v>149.77</v>
      </c>
      <c r="AD57" s="11" t="n">
        <v>309.85</v>
      </c>
    </row>
    <row r="58">
      <c r="A58" s="10" t="inlineStr">
        <is>
          <t>과년도 법인세</t>
        </is>
      </c>
      <c r="W58" s="11" t="n">
        <v>31.31</v>
      </c>
      <c r="X58" s="11" t="n">
        <v>0</v>
      </c>
    </row>
    <row r="59">
      <c r="A59" s="10" t="inlineStr">
        <is>
          <t>법인세 조정액</t>
        </is>
      </c>
      <c r="W59" s="11" t="n">
        <v>-4.29</v>
      </c>
      <c r="X59" s="11" t="n">
        <v>-8.07</v>
      </c>
      <c r="Y59" s="11" t="n">
        <v>-15.31</v>
      </c>
      <c r="Z59" s="11" t="n">
        <v>27.61</v>
      </c>
      <c r="AA59" s="11" t="n">
        <v>-22.25</v>
      </c>
      <c r="AB59" s="11" t="n">
        <v>4.57</v>
      </c>
      <c r="AC59" s="11" t="n">
        <v>1.08</v>
      </c>
      <c r="AD59" s="11" t="n">
        <v>-61.25</v>
      </c>
    </row>
    <row r="60">
      <c r="A60" s="10" t="inlineStr">
        <is>
          <t>법인세 등 합계</t>
        </is>
      </c>
      <c r="C60" s="11" t="n">
        <v>38.1</v>
      </c>
      <c r="D60" s="11" t="n">
        <v>1.46</v>
      </c>
      <c r="E60" s="11" t="n">
        <v>26.84</v>
      </c>
      <c r="F60" s="11" t="n">
        <v>17.86</v>
      </c>
      <c r="G60" s="11" t="n">
        <v>14.81</v>
      </c>
      <c r="H60" s="11" t="n">
        <v>19.32</v>
      </c>
      <c r="I60" s="11" t="n">
        <v>47.24</v>
      </c>
      <c r="J60" s="11" t="n">
        <v>33.04</v>
      </c>
      <c r="K60" s="11" t="n">
        <v>47.14</v>
      </c>
      <c r="L60" s="11" t="n">
        <v>34.87</v>
      </c>
      <c r="M60" s="11" t="n">
        <v>93.61</v>
      </c>
      <c r="N60" s="11" t="n">
        <v>5.15</v>
      </c>
      <c r="O60" s="11" t="n">
        <v>62.12</v>
      </c>
      <c r="P60" s="11" t="n">
        <v>21.46</v>
      </c>
      <c r="Q60" s="11" t="n">
        <v>49.44</v>
      </c>
      <c r="R60" s="11" t="n">
        <v>17.83</v>
      </c>
      <c r="S60" s="11" t="n">
        <v>93.5</v>
      </c>
      <c r="T60" s="11" t="n">
        <v>51.01</v>
      </c>
      <c r="U60" s="11" t="n">
        <v>94.09999999999999</v>
      </c>
      <c r="V60" s="11" t="n">
        <v>9.99</v>
      </c>
      <c r="W60" s="11" t="n">
        <v>197.51</v>
      </c>
      <c r="X60" s="11" t="n">
        <v>119.1</v>
      </c>
      <c r="Y60" s="11" t="n">
        <v>149.18</v>
      </c>
      <c r="Z60" s="11" t="n">
        <v>84.26000000000001</v>
      </c>
      <c r="AA60" s="11" t="n">
        <v>114.41</v>
      </c>
      <c r="AB60" s="11" t="n">
        <v>180.77</v>
      </c>
      <c r="AC60" s="11" t="n">
        <v>150.85</v>
      </c>
      <c r="AD60" s="11" t="n">
        <v>248.6</v>
      </c>
    </row>
    <row r="61">
      <c r="A61" s="5" t="inlineStr">
        <is>
          <t>순이익</t>
        </is>
      </c>
      <c r="C61" s="6" t="n">
        <v>78.58</v>
      </c>
      <c r="D61" s="6" t="n">
        <v>69.87</v>
      </c>
      <c r="E61" s="6" t="n">
        <v>52.63</v>
      </c>
      <c r="F61" s="6" t="n">
        <v>46.7</v>
      </c>
      <c r="G61" s="6" t="n">
        <v>39.51</v>
      </c>
      <c r="H61" s="6" t="n">
        <v>35.98</v>
      </c>
      <c r="I61" s="6" t="n">
        <v>113.49</v>
      </c>
      <c r="J61" s="6" t="n">
        <v>34.28</v>
      </c>
      <c r="K61" s="6" t="n">
        <v>98.5</v>
      </c>
      <c r="L61" s="6" t="n">
        <v>61.35</v>
      </c>
      <c r="M61" s="6" t="n">
        <v>177.54</v>
      </c>
      <c r="N61" s="6" t="n">
        <v>80.97</v>
      </c>
      <c r="O61" s="6" t="n">
        <v>149.94</v>
      </c>
      <c r="P61" s="6" t="n">
        <v>107.21</v>
      </c>
      <c r="Q61" s="6" t="n">
        <v>180.76</v>
      </c>
      <c r="R61" s="6" t="n">
        <v>70.81</v>
      </c>
      <c r="S61" s="6" t="n">
        <v>221.22</v>
      </c>
      <c r="T61" s="6" t="n">
        <v>126.96</v>
      </c>
      <c r="U61" s="6" t="n">
        <v>247.68</v>
      </c>
      <c r="V61" s="6" t="n">
        <v>182.36</v>
      </c>
      <c r="W61" s="6" t="n">
        <v>341.31</v>
      </c>
      <c r="X61" s="6" t="n">
        <v>226.93</v>
      </c>
      <c r="Y61" s="6" t="n">
        <v>336.7</v>
      </c>
      <c r="Z61" s="6" t="n">
        <v>247.78</v>
      </c>
      <c r="AA61" s="6" t="n">
        <v>223.26</v>
      </c>
      <c r="AB61" s="6" t="n">
        <v>418.36</v>
      </c>
      <c r="AC61" s="6" t="n">
        <v>508.72</v>
      </c>
      <c r="AD61" s="6" t="n">
        <v>778.22</v>
      </c>
    </row>
    <row r="62">
      <c r="A62" s="5" t="inlineStr">
        <is>
          <t>비지배주주 순이익</t>
        </is>
      </c>
      <c r="C62" s="6" t="n">
        <v>0.14</v>
      </c>
      <c r="D62" s="6" t="n">
        <v>0.53</v>
      </c>
      <c r="E62" s="6" t="n">
        <v>0.43</v>
      </c>
      <c r="F62" s="6" t="n">
        <v>1.1</v>
      </c>
      <c r="G62" s="6" t="n">
        <v>0.5600000000000001</v>
      </c>
      <c r="H62" s="6" t="n">
        <v>1.35</v>
      </c>
      <c r="I62" s="6" t="n">
        <v>0.25</v>
      </c>
      <c r="J62" s="6" t="n">
        <v>0.58</v>
      </c>
      <c r="K62" s="6" t="n">
        <v>0.49</v>
      </c>
      <c r="L62" s="6" t="n">
        <v>1.63</v>
      </c>
      <c r="M62" s="6" t="n">
        <v>0.2</v>
      </c>
      <c r="N62" s="6" t="n">
        <v>0.38</v>
      </c>
      <c r="O62" s="6" t="n">
        <v>0.39</v>
      </c>
      <c r="P62" s="6" t="n">
        <v>1.94</v>
      </c>
      <c r="Q62" s="6" t="n">
        <v>-0.34</v>
      </c>
      <c r="R62" s="6" t="n">
        <v>-1.73</v>
      </c>
      <c r="S62" s="6" t="n">
        <v>0.75</v>
      </c>
      <c r="T62" s="6" t="n">
        <v>4.81</v>
      </c>
      <c r="U62" s="6" t="n">
        <v>4.76</v>
      </c>
      <c r="V62" s="6" t="n">
        <v>3.68</v>
      </c>
      <c r="W62" s="6" t="n">
        <v>2.86</v>
      </c>
      <c r="X62" s="6" t="n">
        <v>-5.59</v>
      </c>
      <c r="Y62" s="6" t="n">
        <v>-2.32</v>
      </c>
      <c r="Z62" s="6" t="n">
        <v>2.2</v>
      </c>
      <c r="AA62" s="6" t="n">
        <v>2.74</v>
      </c>
      <c r="AB62" s="6" t="n">
        <v>2.7</v>
      </c>
      <c r="AC62" s="6" t="n">
        <v>0.26</v>
      </c>
      <c r="AD62" s="6" t="n">
        <v>14</v>
      </c>
    </row>
    <row r="63">
      <c r="A63" s="5" t="inlineStr">
        <is>
          <t>지배주주 순이익</t>
        </is>
      </c>
      <c r="C63" s="6" t="n">
        <v>78.43000000000001</v>
      </c>
      <c r="D63" s="6" t="n">
        <v>69.34</v>
      </c>
      <c r="E63" s="6" t="n">
        <v>52.21</v>
      </c>
      <c r="F63" s="6" t="n">
        <v>45.6</v>
      </c>
      <c r="G63" s="6" t="n">
        <v>38.95</v>
      </c>
      <c r="H63" s="6" t="n">
        <v>34.63</v>
      </c>
      <c r="I63" s="6" t="n">
        <v>113.24</v>
      </c>
      <c r="J63" s="6" t="n">
        <v>33.7</v>
      </c>
      <c r="K63" s="6" t="n">
        <v>98.01000000000001</v>
      </c>
      <c r="L63" s="6" t="n">
        <v>59.71</v>
      </c>
      <c r="M63" s="6" t="n">
        <v>177.35</v>
      </c>
      <c r="N63" s="6" t="n">
        <v>80.59</v>
      </c>
      <c r="O63" s="6" t="n">
        <v>149.55</v>
      </c>
      <c r="P63" s="6" t="n">
        <v>105.27</v>
      </c>
      <c r="Q63" s="6" t="n">
        <v>181.09</v>
      </c>
      <c r="R63" s="6" t="n">
        <v>72.55</v>
      </c>
      <c r="S63" s="6" t="n">
        <v>220.47</v>
      </c>
      <c r="T63" s="6" t="n">
        <v>122.15</v>
      </c>
      <c r="U63" s="6" t="n">
        <v>242.91</v>
      </c>
      <c r="V63" s="6" t="n">
        <v>178.69</v>
      </c>
      <c r="W63" s="6" t="n">
        <v>338.45</v>
      </c>
      <c r="X63" s="6" t="n">
        <v>232.53</v>
      </c>
      <c r="Y63" s="6" t="n">
        <v>339.03</v>
      </c>
      <c r="Z63" s="6" t="n">
        <v>245.58</v>
      </c>
      <c r="AA63" s="6" t="n">
        <v>220.52</v>
      </c>
      <c r="AB63" s="6" t="n">
        <v>415.66</v>
      </c>
      <c r="AC63" s="6" t="n">
        <v>508.46</v>
      </c>
      <c r="AD63" s="6" t="n">
        <v>764.22</v>
      </c>
    </row>
    <row r="64">
      <c r="A64" s="8" t="inlineStr">
        <is>
          <t>순이익률</t>
        </is>
      </c>
      <c r="C64" s="9">
        <f>IF(OR(C63="",C4=""),"",IFERROR(C63/C4,""))</f>
        <v/>
      </c>
      <c r="D64" s="9">
        <f>IF(OR(D63="",D4=""),"",IFERROR(D63/D4,""))</f>
        <v/>
      </c>
      <c r="E64" s="9">
        <f>IF(OR(E63="",E4=""),"",IFERROR(E63/E4,""))</f>
        <v/>
      </c>
      <c r="F64" s="9">
        <f>IF(OR(F63="",F4=""),"",IFERROR(F63/F4,""))</f>
        <v/>
      </c>
      <c r="G64" s="9">
        <f>IF(OR(G63="",G4=""),"",IFERROR(G63/G4,""))</f>
        <v/>
      </c>
      <c r="H64" s="9">
        <f>IF(OR(H63="",H4=""),"",IFERROR(H63/H4,""))</f>
        <v/>
      </c>
      <c r="I64" s="9">
        <f>IF(OR(I63="",I4=""),"",IFERROR(I63/I4,""))</f>
        <v/>
      </c>
      <c r="J64" s="9">
        <f>IF(OR(J63="",J4=""),"",IFERROR(J63/J4,""))</f>
        <v/>
      </c>
      <c r="K64" s="9">
        <f>IF(OR(K63="",K4=""),"",IFERROR(K63/K4,""))</f>
        <v/>
      </c>
      <c r="L64" s="9">
        <f>IF(OR(L63="",L4=""),"",IFERROR(L63/L4,""))</f>
        <v/>
      </c>
      <c r="M64" s="9">
        <f>IF(OR(M63="",M4=""),"",IFERROR(M63/M4,""))</f>
        <v/>
      </c>
      <c r="N64" s="9">
        <f>IF(OR(N63="",N4=""),"",IFERROR(N63/N4,""))</f>
        <v/>
      </c>
      <c r="O64" s="9">
        <f>IF(OR(O63="",O4=""),"",IFERROR(O63/O4,""))</f>
        <v/>
      </c>
      <c r="P64" s="9">
        <f>IF(OR(P63="",P4=""),"",IFERROR(P63/P4,""))</f>
        <v/>
      </c>
      <c r="Q64" s="9">
        <f>IF(OR(Q63="",Q4=""),"",IFERROR(Q63/Q4,""))</f>
        <v/>
      </c>
      <c r="R64" s="9">
        <f>IF(OR(R63="",R4=""),"",IFERROR(R63/R4,""))</f>
        <v/>
      </c>
      <c r="S64" s="9">
        <f>IF(OR(S63="",S4=""),"",IFERROR(S63/S4,""))</f>
        <v/>
      </c>
      <c r="T64" s="9">
        <f>IF(OR(T63="",T4=""),"",IFERROR(T63/T4,""))</f>
        <v/>
      </c>
      <c r="U64" s="9">
        <f>IF(OR(U63="",U4=""),"",IFERROR(U63/U4,""))</f>
        <v/>
      </c>
      <c r="V64" s="9">
        <f>IF(OR(V63="",V4=""),"",IFERROR(V63/V4,""))</f>
        <v/>
      </c>
      <c r="W64" s="9">
        <f>IF(OR(W63="",W4=""),"",IFERROR(W63/W4,""))</f>
        <v/>
      </c>
      <c r="X64" s="9">
        <f>IF(OR(X63="",X4=""),"",IFERROR(X63/X4,""))</f>
        <v/>
      </c>
      <c r="Y64" s="9">
        <f>IF(OR(Y63="",Y4=""),"",IFERROR(Y63/Y4,""))</f>
        <v/>
      </c>
      <c r="Z64" s="9">
        <f>IF(OR(Z63="",Z4=""),"",IFERROR(Z63/Z4,""))</f>
        <v/>
      </c>
      <c r="AA64" s="9">
        <f>IF(OR(AA63="",AA4=""),"",IFERROR(AA63/AA4,""))</f>
        <v/>
      </c>
      <c r="AB64" s="9">
        <f>IF(OR(AB63="",AB4=""),"",IFERROR(AB63/AB4,""))</f>
        <v/>
      </c>
      <c r="AC64" s="9">
        <f>IF(OR(AC63="",AC4=""),"",IFERROR(AC63/AC4,""))</f>
        <v/>
      </c>
      <c r="AD64" s="9">
        <f>IF(OR(AD63="",AD4=""),"",IFERROR(AD63/AD4,""))</f>
        <v/>
      </c>
    </row>
    <row r="65">
      <c r="A65" s="8" t="inlineStr">
        <is>
          <t>YoY</t>
        </is>
      </c>
      <c r="G65" s="9">
        <f>IF(OR(G63="",C63=""),"",IFERROR(G63/C63-1,""))</f>
        <v/>
      </c>
      <c r="H65" s="9">
        <f>IF(OR(H63="",D63=""),"",IFERROR(H63/D63-1,""))</f>
        <v/>
      </c>
      <c r="I65" s="9">
        <f>IF(OR(I63="",E63=""),"",IFERROR(I63/E63-1,""))</f>
        <v/>
      </c>
      <c r="J65" s="9">
        <f>IF(OR(J63="",F63=""),"",IFERROR(J63/F63-1,""))</f>
        <v/>
      </c>
      <c r="K65" s="9">
        <f>IF(OR(K63="",G63=""),"",IFERROR(K63/G63-1,""))</f>
        <v/>
      </c>
      <c r="L65" s="9">
        <f>IF(OR(L63="",H63=""),"",IFERROR(L63/H63-1,""))</f>
        <v/>
      </c>
      <c r="M65" s="9">
        <f>IF(OR(M63="",I63=""),"",IFERROR(M63/I63-1,""))</f>
        <v/>
      </c>
      <c r="N65" s="9">
        <f>IF(OR(N63="",J63=""),"",IFERROR(N63/J63-1,""))</f>
        <v/>
      </c>
      <c r="O65" s="9">
        <f>IF(OR(O63="",K63=""),"",IFERROR(O63/K63-1,""))</f>
        <v/>
      </c>
      <c r="P65" s="9">
        <f>IF(OR(P63="",L63=""),"",IFERROR(P63/L63-1,""))</f>
        <v/>
      </c>
      <c r="Q65" s="9">
        <f>IF(OR(Q63="",M63=""),"",IFERROR(Q63/M63-1,""))</f>
        <v/>
      </c>
      <c r="R65" s="9">
        <f>IF(OR(R63="",N63=""),"",IFERROR(R63/N63-1,""))</f>
        <v/>
      </c>
      <c r="S65" s="9">
        <f>IF(OR(S63="",O63=""),"",IFERROR(S63/O63-1,""))</f>
        <v/>
      </c>
      <c r="T65" s="9">
        <f>IF(OR(T63="",P63=""),"",IFERROR(T63/P63-1,""))</f>
        <v/>
      </c>
      <c r="U65" s="9">
        <f>IF(OR(U63="",Q63=""),"",IFERROR(U63/Q63-1,""))</f>
        <v/>
      </c>
      <c r="V65" s="9">
        <f>IF(OR(V63="",R63=""),"",IFERROR(V63/R63-1,""))</f>
        <v/>
      </c>
      <c r="X65" s="9">
        <f>IF(OR(X63="",W63=""),"",IFERROR(X63/W63-1,""))</f>
        <v/>
      </c>
      <c r="Y65" s="9">
        <f>IF(OR(Y63="",X63=""),"",IFERROR(Y63/X63-1,""))</f>
        <v/>
      </c>
      <c r="Z65" s="9">
        <f>IF(OR(Z63="",Y63=""),"",IFERROR(Z63/Y63-1,""))</f>
        <v/>
      </c>
      <c r="AA65" s="9">
        <f>IF(OR(AA63="",Z63=""),"",IFERROR(AA63/Z63-1,""))</f>
        <v/>
      </c>
      <c r="AB65" s="9">
        <f>IF(OR(AB63="",AA63=""),"",IFERROR(AB63/AA63-1,""))</f>
        <v/>
      </c>
      <c r="AC65" s="9">
        <f>IF(OR(AC63="",AB63=""),"",IFERROR(AC63/AB63-1,""))</f>
        <v/>
      </c>
      <c r="AD65" s="9">
        <f>IF(OR(AD63="",AC63=""),"",IFERROR(AD63/AC63-1,""))</f>
        <v/>
      </c>
    </row>
    <row r="66">
      <c r="A66" s="5" t="inlineStr">
        <is>
          <t>매출액</t>
        </is>
      </c>
      <c r="W66" s="6" t="n">
        <v>4088.48</v>
      </c>
      <c r="X66" s="6" t="n">
        <v>4377.75</v>
      </c>
      <c r="Y66" s="6" t="n">
        <v>4523.35</v>
      </c>
    </row>
    <row r="67">
      <c r="A67" s="8" t="inlineStr">
        <is>
          <t>YoY</t>
        </is>
      </c>
      <c r="G67" s="9">
        <f>IF(OR(G66="",C66=""),"",IFERROR(G66/C66-1,""))</f>
        <v/>
      </c>
      <c r="H67" s="9">
        <f>IF(OR(H66="",D66=""),"",IFERROR(H66/D66-1,""))</f>
        <v/>
      </c>
      <c r="I67" s="9">
        <f>IF(OR(I66="",E66=""),"",IFERROR(I66/E66-1,""))</f>
        <v/>
      </c>
      <c r="J67" s="9">
        <f>IF(OR(J66="",F66=""),"",IFERROR(J66/F66-1,""))</f>
        <v/>
      </c>
      <c r="K67" s="9">
        <f>IF(OR(K66="",G66=""),"",IFERROR(K66/G66-1,""))</f>
        <v/>
      </c>
      <c r="L67" s="9">
        <f>IF(OR(L66="",H66=""),"",IFERROR(L66/H66-1,""))</f>
        <v/>
      </c>
      <c r="M67" s="9">
        <f>IF(OR(M66="",I66=""),"",IFERROR(M66/I66-1,""))</f>
        <v/>
      </c>
      <c r="N67" s="9">
        <f>IF(OR(N66="",J66=""),"",IFERROR(N66/J66-1,""))</f>
        <v/>
      </c>
      <c r="O67" s="9">
        <f>IF(OR(O66="",K66=""),"",IFERROR(O66/K66-1,""))</f>
        <v/>
      </c>
      <c r="P67" s="9">
        <f>IF(OR(P66="",L66=""),"",IFERROR(P66/L66-1,""))</f>
        <v/>
      </c>
      <c r="Q67" s="9">
        <f>IF(OR(Q66="",M66=""),"",IFERROR(Q66/M66-1,""))</f>
        <v/>
      </c>
      <c r="R67" s="9">
        <f>IF(OR(R66="",N66=""),"",IFERROR(R66/N66-1,""))</f>
        <v/>
      </c>
      <c r="S67" s="9">
        <f>IF(OR(S66="",O66=""),"",IFERROR(S66/O66-1,""))</f>
        <v/>
      </c>
      <c r="T67" s="9">
        <f>IF(OR(T66="",P66=""),"",IFERROR(T66/P66-1,""))</f>
        <v/>
      </c>
      <c r="U67" s="9">
        <f>IF(OR(U66="",Q66=""),"",IFERROR(U66/Q66-1,""))</f>
        <v/>
      </c>
      <c r="V67" s="9">
        <f>IF(OR(V66="",R66=""),"",IFERROR(V66/R66-1,""))</f>
        <v/>
      </c>
      <c r="X67" s="9">
        <f>IF(OR(X66="",W66=""),"",IFERROR(X66/W66-1,""))</f>
        <v/>
      </c>
      <c r="Y67" s="9">
        <f>IF(OR(Y66="",X66=""),"",IFERROR(Y66/X66-1,""))</f>
        <v/>
      </c>
      <c r="Z67" s="9">
        <f>IF(OR(Z66="",Y66=""),"",IFERROR(Z66/Y66-1,""))</f>
        <v/>
      </c>
      <c r="AA67" s="9">
        <f>IF(OR(AA66="",Z66=""),"",IFERROR(AA66/Z66-1,""))</f>
        <v/>
      </c>
      <c r="AB67" s="9">
        <f>IF(OR(AB66="",AA66=""),"",IFERROR(AB66/AA66-1,""))</f>
        <v/>
      </c>
      <c r="AC67" s="9">
        <f>IF(OR(AC66="",AB66=""),"",IFERROR(AC66/AB66-1,""))</f>
        <v/>
      </c>
      <c r="AD67" s="9">
        <f>IF(OR(AD66="",AC66=""),"",IFERROR(AD66/AC66-1,""))</f>
        <v/>
      </c>
    </row>
    <row r="68">
      <c r="A68" s="5" t="inlineStr">
        <is>
          <t>매출원가</t>
        </is>
      </c>
      <c r="W68" s="6" t="n">
        <v>1983.17</v>
      </c>
      <c r="X68" s="6" t="n">
        <v>2210.84</v>
      </c>
      <c r="Y68" s="6" t="n">
        <v>2313.55</v>
      </c>
    </row>
    <row r="69">
      <c r="A69" s="5" t="inlineStr">
        <is>
          <t>매출총이익</t>
        </is>
      </c>
      <c r="W69" s="6" t="n">
        <v>2105.31</v>
      </c>
      <c r="X69" s="6" t="n">
        <v>2166.91</v>
      </c>
      <c r="Y69" s="6" t="n">
        <v>2209.8</v>
      </c>
    </row>
    <row r="70">
      <c r="A70" s="8" t="inlineStr">
        <is>
          <t>매출총이익률</t>
        </is>
      </c>
      <c r="C70" s="9">
        <f>IF(OR(C69="",C4=""),"",IFERROR(C69/C4,""))</f>
        <v/>
      </c>
      <c r="D70" s="9">
        <f>IF(OR(D69="",D4=""),"",IFERROR(D69/D4,""))</f>
        <v/>
      </c>
      <c r="E70" s="9">
        <f>IF(OR(E69="",E4=""),"",IFERROR(E69/E4,""))</f>
        <v/>
      </c>
      <c r="F70" s="9">
        <f>IF(OR(F69="",F4=""),"",IFERROR(F69/F4,""))</f>
        <v/>
      </c>
      <c r="G70" s="9">
        <f>IF(OR(G69="",G4=""),"",IFERROR(G69/G4,""))</f>
        <v/>
      </c>
      <c r="H70" s="9">
        <f>IF(OR(H69="",H4=""),"",IFERROR(H69/H4,""))</f>
        <v/>
      </c>
      <c r="I70" s="9">
        <f>IF(OR(I69="",I4=""),"",IFERROR(I69/I4,""))</f>
        <v/>
      </c>
      <c r="J70" s="9">
        <f>IF(OR(J69="",J4=""),"",IFERROR(J69/J4,""))</f>
        <v/>
      </c>
      <c r="K70" s="9">
        <f>IF(OR(K69="",K4=""),"",IFERROR(K69/K4,""))</f>
        <v/>
      </c>
      <c r="L70" s="9">
        <f>IF(OR(L69="",L4=""),"",IFERROR(L69/L4,""))</f>
        <v/>
      </c>
      <c r="M70" s="9">
        <f>IF(OR(M69="",M4=""),"",IFERROR(M69/M4,""))</f>
        <v/>
      </c>
      <c r="N70" s="9">
        <f>IF(OR(N69="",N4=""),"",IFERROR(N69/N4,""))</f>
        <v/>
      </c>
      <c r="O70" s="9">
        <f>IF(OR(O69="",O4=""),"",IFERROR(O69/O4,""))</f>
        <v/>
      </c>
      <c r="P70" s="9">
        <f>IF(OR(P69="",P4=""),"",IFERROR(P69/P4,""))</f>
        <v/>
      </c>
      <c r="Q70" s="9">
        <f>IF(OR(Q69="",Q4=""),"",IFERROR(Q69/Q4,""))</f>
        <v/>
      </c>
      <c r="R70" s="9">
        <f>IF(OR(R69="",R4=""),"",IFERROR(R69/R4,""))</f>
        <v/>
      </c>
      <c r="S70" s="9">
        <f>IF(OR(S69="",S4=""),"",IFERROR(S69/S4,""))</f>
        <v/>
      </c>
      <c r="T70" s="9">
        <f>IF(OR(T69="",T4=""),"",IFERROR(T69/T4,""))</f>
        <v/>
      </c>
      <c r="U70" s="9">
        <f>IF(OR(U69="",U4=""),"",IFERROR(U69/U4,""))</f>
        <v/>
      </c>
      <c r="V70" s="9">
        <f>IF(OR(V69="",V4=""),"",IFERROR(V69/V4,""))</f>
        <v/>
      </c>
      <c r="W70" s="9">
        <f>IF(OR(W69="",W4=""),"",IFERROR(W69/W4,""))</f>
        <v/>
      </c>
      <c r="X70" s="9">
        <f>IF(OR(X69="",X4=""),"",IFERROR(X69/X4,""))</f>
        <v/>
      </c>
      <c r="Y70" s="9">
        <f>IF(OR(Y69="",Y4=""),"",IFERROR(Y69/Y4,""))</f>
        <v/>
      </c>
      <c r="Z70" s="9">
        <f>IF(OR(Z69="",Z4=""),"",IFERROR(Z69/Z4,""))</f>
        <v/>
      </c>
      <c r="AA70" s="9">
        <f>IF(OR(AA69="",AA4=""),"",IFERROR(AA69/AA4,""))</f>
        <v/>
      </c>
      <c r="AB70" s="9">
        <f>IF(OR(AB69="",AB4=""),"",IFERROR(AB69/AB4,""))</f>
        <v/>
      </c>
      <c r="AC70" s="9">
        <f>IF(OR(AC69="",AC4=""),"",IFERROR(AC69/AC4,""))</f>
        <v/>
      </c>
      <c r="AD70" s="9">
        <f>IF(OR(AD69="",AD4=""),"",IFERROR(AD69/AD4,""))</f>
        <v/>
      </c>
    </row>
    <row r="71">
      <c r="A71" s="5" t="inlineStr">
        <is>
          <t>영업수입</t>
        </is>
      </c>
      <c r="W71" s="6" t="n">
        <v>8.49</v>
      </c>
      <c r="X71" s="6" t="n">
        <v>9.369999999999999</v>
      </c>
      <c r="Y71" s="6" t="n">
        <v>13.54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양품계획 포괄손익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5" t="inlineStr">
        <is>
          <t>순이익</t>
        </is>
      </c>
      <c r="C4" s="6" t="n">
        <v>78.58</v>
      </c>
      <c r="D4" s="6" t="n">
        <v>69.87</v>
      </c>
      <c r="E4" s="6" t="n">
        <v>52.63</v>
      </c>
      <c r="F4" s="6" t="n">
        <v>46.7</v>
      </c>
      <c r="G4" s="6" t="n">
        <v>39.51</v>
      </c>
      <c r="H4" s="6" t="n">
        <v>35.98</v>
      </c>
      <c r="I4" s="6" t="n">
        <v>113.49</v>
      </c>
      <c r="J4" s="6" t="n">
        <v>34.28</v>
      </c>
      <c r="K4" s="6" t="n">
        <v>98.5</v>
      </c>
      <c r="L4" s="6" t="n">
        <v>61.35</v>
      </c>
      <c r="M4" s="6" t="n">
        <v>177.54</v>
      </c>
      <c r="N4" s="6" t="n">
        <v>80.97</v>
      </c>
      <c r="O4" s="6" t="n">
        <v>149.94</v>
      </c>
      <c r="P4" s="6" t="n">
        <v>107.21</v>
      </c>
      <c r="Q4" s="6" t="n">
        <v>180.76</v>
      </c>
      <c r="R4" s="6" t="n">
        <v>70.81</v>
      </c>
      <c r="S4" s="6" t="n">
        <v>221.22</v>
      </c>
      <c r="T4" s="6" t="n">
        <v>126.96</v>
      </c>
      <c r="U4" s="6" t="n">
        <v>247.68</v>
      </c>
      <c r="V4" s="6" t="n">
        <v>182.36</v>
      </c>
      <c r="W4" s="6" t="n">
        <v>341.31</v>
      </c>
      <c r="X4" s="6" t="n">
        <v>226.93</v>
      </c>
      <c r="Y4" s="6" t="n">
        <v>336.7</v>
      </c>
      <c r="Z4" s="6" t="n">
        <v>247.78</v>
      </c>
      <c r="AA4" s="6" t="n">
        <v>223.26</v>
      </c>
      <c r="AB4" s="6" t="n">
        <v>418.36</v>
      </c>
      <c r="AC4" s="6" t="n">
        <v>508.72</v>
      </c>
      <c r="AD4" s="6" t="n">
        <v>778.22</v>
      </c>
      <c r="AE4" s="7" t="inlineStr">
        <is>
          <t>결산단신 XBRL(거래소 공시, TDnet·JPX 보관소). 쓴 문서: 2026-10-14, 2026-07-10, 2026-04-10, 2026-01-14 외 26건 — '출처' 시트에 전부</t>
        </is>
      </c>
    </row>
    <row r="5">
      <c r="A5" s="10" t="inlineStr">
        <is>
          <t>기타유가증권 평가차액</t>
        </is>
      </c>
      <c r="C5" s="11" t="n">
        <v>-2.79</v>
      </c>
      <c r="D5" s="11" t="n">
        <v>-0.42</v>
      </c>
      <c r="E5" s="11" t="n">
        <v>0.66</v>
      </c>
      <c r="F5" s="11" t="n">
        <v>2.39</v>
      </c>
      <c r="G5" s="11" t="n">
        <v>1.42</v>
      </c>
      <c r="H5" s="11" t="n">
        <v>-1.96</v>
      </c>
      <c r="I5" s="11" t="n">
        <v>-15.95</v>
      </c>
      <c r="J5" s="11" t="n">
        <v>1.89</v>
      </c>
      <c r="K5" s="11" t="n">
        <v>1.1</v>
      </c>
      <c r="L5" s="11" t="n">
        <v>2.2</v>
      </c>
      <c r="M5" s="11" t="n">
        <v>2.57</v>
      </c>
      <c r="N5" s="11" t="n">
        <v>-0.9399999999999999</v>
      </c>
      <c r="O5" s="11" t="n">
        <v>1.84</v>
      </c>
      <c r="P5" s="11" t="n">
        <v>-0.3</v>
      </c>
      <c r="Q5" s="11" t="n">
        <v>2.21</v>
      </c>
      <c r="R5" s="11" t="n">
        <v>-0.87</v>
      </c>
      <c r="S5" s="11" t="n">
        <v>-16.31</v>
      </c>
      <c r="T5" s="11" t="n">
        <v>0</v>
      </c>
      <c r="U5" s="11" t="n">
        <v>0</v>
      </c>
      <c r="V5" s="11" t="n">
        <v>0</v>
      </c>
      <c r="W5" s="11" t="n">
        <v>-30.51</v>
      </c>
      <c r="X5" s="11" t="n">
        <v>-2.8</v>
      </c>
      <c r="Y5" s="11" t="n">
        <v>7.2</v>
      </c>
      <c r="Z5" s="11" t="n">
        <v>-0.16</v>
      </c>
      <c r="AA5" s="11" t="n">
        <v>-14.6</v>
      </c>
      <c r="AB5" s="11" t="n">
        <v>4.93</v>
      </c>
      <c r="AC5" s="11" t="n">
        <v>2.88</v>
      </c>
      <c r="AD5" s="11" t="n">
        <v>-16.31</v>
      </c>
    </row>
    <row r="6">
      <c r="A6" s="10" t="inlineStr">
        <is>
          <t>이연헤지손익</t>
        </is>
      </c>
      <c r="C6" s="11" t="n">
        <v>1.44</v>
      </c>
      <c r="D6" s="11" t="n">
        <v>-4.5</v>
      </c>
      <c r="E6" s="11" t="n">
        <v>45.97</v>
      </c>
      <c r="F6" s="11" t="n">
        <v>28</v>
      </c>
      <c r="G6" s="11" t="n">
        <v>-25.69</v>
      </c>
      <c r="H6" s="11" t="n">
        <v>-18.96</v>
      </c>
      <c r="I6" s="11" t="n">
        <v>65.72</v>
      </c>
      <c r="J6" s="11" t="n">
        <v>95.86</v>
      </c>
      <c r="K6" s="11" t="n">
        <v>23.98</v>
      </c>
      <c r="L6" s="11" t="n">
        <v>35.32</v>
      </c>
      <c r="M6" s="11" t="n">
        <v>118.17</v>
      </c>
      <c r="N6" s="11" t="n">
        <v>-223.48</v>
      </c>
      <c r="O6" s="11" t="n">
        <v>84.48999999999999</v>
      </c>
      <c r="P6" s="11" t="n">
        <v>-31.66</v>
      </c>
      <c r="Q6" s="11" t="n">
        <v>-119.24</v>
      </c>
      <c r="R6" s="11" t="n">
        <v>53.21</v>
      </c>
      <c r="S6" s="11" t="n">
        <v>166.57</v>
      </c>
      <c r="T6" s="11" t="n">
        <v>-45.39</v>
      </c>
      <c r="U6" s="11" t="n">
        <v>19.32</v>
      </c>
      <c r="V6" s="11" t="n">
        <v>-49.42</v>
      </c>
      <c r="W6" s="11" t="n">
        <v>35.08</v>
      </c>
      <c r="X6" s="11" t="n">
        <v>10.84</v>
      </c>
      <c r="Y6" s="11" t="n">
        <v>-1.88</v>
      </c>
      <c r="Z6" s="11" t="n">
        <v>70.91</v>
      </c>
      <c r="AA6" s="11" t="n">
        <v>116.93</v>
      </c>
      <c r="AB6" s="11" t="n">
        <v>-46.01</v>
      </c>
      <c r="AC6" s="11" t="n">
        <v>-13.2</v>
      </c>
      <c r="AD6" s="11" t="n">
        <v>91.08</v>
      </c>
    </row>
    <row r="7">
      <c r="A7" s="10" t="inlineStr">
        <is>
          <t>해외사업환산조정</t>
        </is>
      </c>
      <c r="C7" s="11" t="n">
        <v>13.49</v>
      </c>
      <c r="D7" s="11" t="n">
        <v>9.94</v>
      </c>
      <c r="E7" s="11" t="n">
        <v>24.87</v>
      </c>
      <c r="F7" s="11" t="n">
        <v>26.01</v>
      </c>
      <c r="G7" s="11" t="n">
        <v>-15.85</v>
      </c>
      <c r="H7" s="11" t="n">
        <v>2.31</v>
      </c>
      <c r="I7" s="11" t="n">
        <v>4.01</v>
      </c>
      <c r="J7" s="11" t="n">
        <v>7.63</v>
      </c>
      <c r="K7" s="11" t="n">
        <v>15.51</v>
      </c>
      <c r="L7" s="11" t="n">
        <v>5.54</v>
      </c>
      <c r="M7" s="11" t="n">
        <v>48.94</v>
      </c>
      <c r="N7" s="11" t="n">
        <v>-46.05</v>
      </c>
      <c r="O7" s="11" t="n">
        <v>4.72</v>
      </c>
      <c r="P7" s="11" t="n">
        <v>-1.04</v>
      </c>
      <c r="Q7" s="11" t="n">
        <v>-23.5</v>
      </c>
      <c r="R7" s="11" t="n">
        <v>12.08</v>
      </c>
      <c r="S7" s="11" t="n">
        <v>56.14</v>
      </c>
      <c r="T7" s="11" t="n">
        <v>24.17</v>
      </c>
      <c r="U7" s="11" t="n">
        <v>21.97</v>
      </c>
      <c r="V7" s="11" t="n">
        <v>9.869999999999999</v>
      </c>
      <c r="W7" s="11" t="n">
        <v>-45.4</v>
      </c>
      <c r="X7" s="11" t="n">
        <v>-15.37</v>
      </c>
      <c r="Y7" s="11" t="n">
        <v>33.82</v>
      </c>
      <c r="Z7" s="11" t="n">
        <v>74.31</v>
      </c>
      <c r="AA7" s="11" t="n">
        <v>-1.9</v>
      </c>
      <c r="AB7" s="11" t="n">
        <v>23.94</v>
      </c>
      <c r="AC7" s="11" t="n">
        <v>-7.74</v>
      </c>
      <c r="AD7" s="11" t="n">
        <v>112.15</v>
      </c>
    </row>
    <row r="8">
      <c r="A8" s="10" t="inlineStr">
        <is>
          <t>지분법 적용회사 지분 해당액</t>
        </is>
      </c>
      <c r="C8" s="11" t="n">
        <v>0</v>
      </c>
      <c r="D8" s="11" t="n">
        <v>0</v>
      </c>
      <c r="E8" s="11" t="n">
        <v>0</v>
      </c>
      <c r="F8" s="11" t="n">
        <v>0</v>
      </c>
      <c r="W8" s="11" t="n">
        <v>-0.14</v>
      </c>
      <c r="X8" s="11" t="n">
        <v>0.06</v>
      </c>
      <c r="Y8" s="11" t="n">
        <v>0</v>
      </c>
      <c r="Z8" s="11" t="n">
        <v>0</v>
      </c>
    </row>
    <row r="9">
      <c r="A9" s="10" t="inlineStr">
        <is>
          <t>기타포괄손익 합계</t>
        </is>
      </c>
      <c r="C9" s="11" t="n">
        <v>12.14</v>
      </c>
      <c r="D9" s="11" t="n">
        <v>5.01</v>
      </c>
      <c r="E9" s="11" t="n">
        <v>71.51000000000001</v>
      </c>
      <c r="F9" s="11" t="n">
        <v>56.4</v>
      </c>
      <c r="G9" s="11" t="n">
        <v>-40.11</v>
      </c>
      <c r="H9" s="11" t="n">
        <v>-18.64</v>
      </c>
      <c r="I9" s="11" t="n">
        <v>53.8</v>
      </c>
      <c r="J9" s="11" t="n">
        <v>105.37</v>
      </c>
      <c r="K9" s="11" t="n">
        <v>40.6</v>
      </c>
      <c r="L9" s="11" t="n">
        <v>43.06</v>
      </c>
      <c r="M9" s="11" t="n">
        <v>169.68</v>
      </c>
      <c r="N9" s="11" t="n">
        <v>-270.46</v>
      </c>
      <c r="O9" s="11" t="n">
        <v>91.06999999999999</v>
      </c>
      <c r="P9" s="11" t="n">
        <v>-33.01</v>
      </c>
      <c r="Q9" s="11" t="n">
        <v>-140.54</v>
      </c>
      <c r="R9" s="11" t="n">
        <v>64.42</v>
      </c>
      <c r="S9" s="11" t="n">
        <v>206.41</v>
      </c>
      <c r="T9" s="11" t="n">
        <v>-21.23</v>
      </c>
      <c r="U9" s="11" t="n">
        <v>41.29</v>
      </c>
      <c r="V9" s="11" t="n">
        <v>-39.55</v>
      </c>
      <c r="W9" s="11" t="n">
        <v>-40.98</v>
      </c>
      <c r="X9" s="11" t="n">
        <v>-7.27</v>
      </c>
      <c r="Y9" s="11" t="n">
        <v>39.13</v>
      </c>
      <c r="Z9" s="11" t="n">
        <v>145.06</v>
      </c>
      <c r="AA9" s="11" t="n">
        <v>100.42</v>
      </c>
      <c r="AB9" s="11" t="n">
        <v>-17.12</v>
      </c>
      <c r="AC9" s="11" t="n">
        <v>-18.06</v>
      </c>
      <c r="AD9" s="11" t="n">
        <v>186.92</v>
      </c>
    </row>
    <row r="10">
      <c r="A10" s="10" t="inlineStr">
        <is>
          <t>포괄이익</t>
        </is>
      </c>
      <c r="C10" s="11" t="n">
        <v>90.73</v>
      </c>
      <c r="D10" s="11" t="n">
        <v>74.87</v>
      </c>
      <c r="E10" s="11" t="n">
        <v>124.15</v>
      </c>
      <c r="F10" s="11" t="n">
        <v>103.1</v>
      </c>
      <c r="G10" s="11" t="n">
        <v>-0.6</v>
      </c>
      <c r="H10" s="11" t="n">
        <v>17.34</v>
      </c>
      <c r="I10" s="11" t="n">
        <v>167.28</v>
      </c>
      <c r="J10" s="11" t="n">
        <v>139.66</v>
      </c>
      <c r="K10" s="11" t="n">
        <v>139.11</v>
      </c>
      <c r="L10" s="11" t="n">
        <v>104.41</v>
      </c>
      <c r="M10" s="11" t="n">
        <v>347.22</v>
      </c>
      <c r="N10" s="11" t="n">
        <v>-189.51</v>
      </c>
      <c r="O10" s="11" t="n">
        <v>241.01</v>
      </c>
      <c r="P10" s="11" t="n">
        <v>74.20999999999999</v>
      </c>
      <c r="Q10" s="11" t="n">
        <v>40.2</v>
      </c>
      <c r="R10" s="11" t="n">
        <v>135.24</v>
      </c>
      <c r="S10" s="11" t="n">
        <v>427.64</v>
      </c>
      <c r="T10" s="11" t="n">
        <v>105.72</v>
      </c>
      <c r="U10" s="11" t="n">
        <v>288.98</v>
      </c>
      <c r="V10" s="11" t="n">
        <v>142.81</v>
      </c>
      <c r="W10" s="11" t="n">
        <v>300.32</v>
      </c>
      <c r="X10" s="11" t="n">
        <v>219.66</v>
      </c>
      <c r="Y10" s="11" t="n">
        <v>375.84</v>
      </c>
      <c r="Z10" s="11" t="n">
        <v>392.85</v>
      </c>
      <c r="AA10" s="11" t="n">
        <v>323.68</v>
      </c>
      <c r="AB10" s="11" t="n">
        <v>401.23</v>
      </c>
      <c r="AC10" s="11" t="n">
        <v>490.66</v>
      </c>
      <c r="AD10" s="11" t="n">
        <v>965.15</v>
      </c>
    </row>
    <row r="11">
      <c r="A11" s="10" t="inlineStr">
        <is>
          <t>지배주주 포괄이익</t>
        </is>
      </c>
      <c r="C11" s="11" t="n">
        <v>90.66</v>
      </c>
      <c r="D11" s="11" t="n">
        <v>73.59999999999999</v>
      </c>
      <c r="E11" s="11" t="n">
        <v>122.43</v>
      </c>
      <c r="F11" s="11" t="n">
        <v>101.52</v>
      </c>
      <c r="G11" s="11" t="n">
        <v>-1.63</v>
      </c>
      <c r="H11" s="11" t="n">
        <v>16.32</v>
      </c>
      <c r="I11" s="11" t="n">
        <v>166.18</v>
      </c>
      <c r="J11" s="11" t="n">
        <v>138.05</v>
      </c>
      <c r="K11" s="11" t="n">
        <v>138.33</v>
      </c>
      <c r="L11" s="11" t="n">
        <v>102.72</v>
      </c>
      <c r="M11" s="11" t="n">
        <v>346.34</v>
      </c>
      <c r="N11" s="11" t="n">
        <v>-189.53</v>
      </c>
      <c r="O11" s="11" t="n">
        <v>240.37</v>
      </c>
      <c r="P11" s="11" t="n">
        <v>72.06</v>
      </c>
      <c r="Q11" s="11" t="n">
        <v>40.83</v>
      </c>
      <c r="R11" s="11" t="n">
        <v>136.16</v>
      </c>
      <c r="S11" s="11" t="n">
        <v>424.77</v>
      </c>
      <c r="T11" s="11" t="n">
        <v>100.01</v>
      </c>
      <c r="U11" s="11" t="n">
        <v>286.08</v>
      </c>
      <c r="V11" s="11" t="n">
        <v>137.08</v>
      </c>
      <c r="W11" s="11" t="n">
        <v>299.92</v>
      </c>
      <c r="X11" s="11" t="n">
        <v>225.55</v>
      </c>
      <c r="Y11" s="11" t="n">
        <v>378.1</v>
      </c>
      <c r="Z11" s="11" t="n">
        <v>388.21</v>
      </c>
      <c r="AA11" s="11" t="n">
        <v>318.92</v>
      </c>
      <c r="AB11" s="11" t="n">
        <v>397.86</v>
      </c>
      <c r="AC11" s="11" t="n">
        <v>489.42</v>
      </c>
      <c r="AD11" s="11" t="n">
        <v>947.9400000000001</v>
      </c>
    </row>
    <row r="12">
      <c r="A12" s="10" t="inlineStr">
        <is>
          <t>비지배주주 포괄이익</t>
        </is>
      </c>
      <c r="C12" s="11" t="n">
        <v>0.07000000000000001</v>
      </c>
      <c r="D12" s="11" t="n">
        <v>1.26</v>
      </c>
      <c r="E12" s="11" t="n">
        <v>1.72</v>
      </c>
      <c r="F12" s="11" t="n">
        <v>1.59</v>
      </c>
      <c r="G12" s="11" t="n">
        <v>1.03</v>
      </c>
      <c r="H12" s="11" t="n">
        <v>1.02</v>
      </c>
      <c r="I12" s="11" t="n">
        <v>1.1</v>
      </c>
      <c r="J12" s="11" t="n">
        <v>1.61</v>
      </c>
      <c r="K12" s="11" t="n">
        <v>0.77</v>
      </c>
      <c r="L12" s="11" t="n">
        <v>1.7</v>
      </c>
      <c r="M12" s="11" t="n">
        <v>0.88</v>
      </c>
      <c r="N12" s="11" t="n">
        <v>0.02</v>
      </c>
      <c r="O12" s="11" t="n">
        <v>0.64</v>
      </c>
      <c r="P12" s="11" t="n">
        <v>2.15</v>
      </c>
      <c r="Q12" s="11" t="n">
        <v>-0.64</v>
      </c>
      <c r="R12" s="11" t="n">
        <v>-0.92</v>
      </c>
      <c r="S12" s="11" t="n">
        <v>2.86</v>
      </c>
      <c r="T12" s="11" t="n">
        <v>5.72</v>
      </c>
      <c r="U12" s="11" t="n">
        <v>2.89</v>
      </c>
      <c r="V12" s="11" t="n">
        <v>5.74</v>
      </c>
      <c r="W12" s="11" t="n">
        <v>0.4</v>
      </c>
      <c r="X12" s="11" t="n">
        <v>-5.89</v>
      </c>
      <c r="Y12" s="11" t="n">
        <v>-2.25</v>
      </c>
      <c r="Z12" s="11" t="n">
        <v>4.64</v>
      </c>
      <c r="AA12" s="11" t="n">
        <v>4.76</v>
      </c>
      <c r="AB12" s="11" t="n">
        <v>3.37</v>
      </c>
      <c r="AC12" s="11" t="n">
        <v>1.23</v>
      </c>
      <c r="AD12" s="11" t="n">
        <v>17.21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양품계획 재무상태표</t>
        </is>
      </c>
    </row>
    <row r="2">
      <c r="A2" s="2" t="inlineStr">
        <is>
          <t>결산기 기준(27.2Q = 2027년 결산기 2분기) · 8월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현금 및 예금</t>
        </is>
      </c>
      <c r="C4" s="11" t="n">
        <v>1190.84</v>
      </c>
      <c r="D4" s="11" t="n">
        <v>1295.15</v>
      </c>
      <c r="E4" s="11" t="n">
        <v>795.14</v>
      </c>
      <c r="F4" s="11" t="n">
        <v>901.62</v>
      </c>
      <c r="G4" s="11" t="n">
        <v>748.47</v>
      </c>
      <c r="H4" s="11" t="n">
        <v>829.4400000000001</v>
      </c>
      <c r="I4" s="11" t="n">
        <v>995.55</v>
      </c>
      <c r="J4" s="11" t="n">
        <v>1150.38</v>
      </c>
      <c r="K4" s="11" t="n">
        <v>1133.88</v>
      </c>
      <c r="L4" s="11" t="n">
        <v>1148.28</v>
      </c>
      <c r="M4" s="11" t="n">
        <v>1245.7</v>
      </c>
      <c r="N4" s="11" t="n">
        <v>1252.25</v>
      </c>
      <c r="O4" s="11" t="n">
        <v>1286.47</v>
      </c>
      <c r="P4" s="11" t="n">
        <v>1188.99</v>
      </c>
      <c r="Q4" s="11" t="n">
        <v>1400.05</v>
      </c>
      <c r="R4" s="11" t="n">
        <v>1349.26</v>
      </c>
      <c r="S4" s="11" t="n">
        <v>1492.52</v>
      </c>
      <c r="T4" s="11" t="n">
        <v>1522.45</v>
      </c>
      <c r="U4" s="11" t="n">
        <v>1687.16</v>
      </c>
      <c r="V4" s="11" t="n">
        <v>1686.75</v>
      </c>
      <c r="W4" s="11" t="n">
        <v>554.4400000000001</v>
      </c>
      <c r="X4" s="11" t="n">
        <v>923.08</v>
      </c>
      <c r="Y4" s="11" t="n">
        <v>1357.52</v>
      </c>
      <c r="Z4" s="11" t="n">
        <v>901.62</v>
      </c>
      <c r="AA4" s="11" t="n">
        <v>1150.38</v>
      </c>
      <c r="AB4" s="11" t="n">
        <v>1252.25</v>
      </c>
      <c r="AC4" s="11" t="n">
        <v>1349.26</v>
      </c>
      <c r="AD4" s="11" t="n">
        <v>1686.75</v>
      </c>
      <c r="AE4" s="7" t="inlineStr">
        <is>
          <t>결산단신 XBRL(거래소 공시, TDnet·JPX 보관소). 쓴 문서: 2026-10-14, 2026-07-10, 2026-04-10, 2026-01-14 외 26건 — '출처' 시트에 전부</t>
        </is>
      </c>
    </row>
    <row r="5">
      <c r="A5" s="10" t="inlineStr">
        <is>
          <t>받을어음·매출채권</t>
        </is>
      </c>
      <c r="C5" s="11" t="n">
        <v>111.92</v>
      </c>
      <c r="D5" s="11" t="n">
        <v>89.88</v>
      </c>
      <c r="E5" s="11" t="n">
        <v>121.2</v>
      </c>
      <c r="F5" s="11" t="n">
        <v>102.68</v>
      </c>
      <c r="G5" s="11" t="n">
        <v>137.19</v>
      </c>
      <c r="H5" s="11" t="n">
        <v>116.48</v>
      </c>
      <c r="I5" s="11" t="n">
        <v>134.06</v>
      </c>
      <c r="J5" s="11" t="n">
        <v>123.23</v>
      </c>
      <c r="K5" s="11" t="n">
        <v>168.92</v>
      </c>
      <c r="L5" s="11" t="n">
        <v>128.24</v>
      </c>
      <c r="M5" s="11" t="n">
        <v>155.74</v>
      </c>
      <c r="N5" s="11" t="n">
        <v>168.04</v>
      </c>
      <c r="O5" s="11" t="n">
        <v>234.83</v>
      </c>
      <c r="P5" s="11" t="n">
        <v>145.08</v>
      </c>
      <c r="Q5" s="11" t="n">
        <v>207.46</v>
      </c>
      <c r="R5" s="11" t="n">
        <v>180.24</v>
      </c>
      <c r="S5" s="11" t="n">
        <v>218.87</v>
      </c>
      <c r="T5" s="11" t="n">
        <v>188.34</v>
      </c>
      <c r="U5" s="11" t="n">
        <v>275.4</v>
      </c>
      <c r="V5" s="11" t="n">
        <v>247.64</v>
      </c>
      <c r="W5" s="11" t="n">
        <v>89.2</v>
      </c>
      <c r="X5" s="11" t="n">
        <v>92.15000000000001</v>
      </c>
      <c r="Y5" s="11" t="n">
        <v>87.42</v>
      </c>
      <c r="Z5" s="11" t="n">
        <v>102.68</v>
      </c>
      <c r="AA5" s="11" t="n">
        <v>123.23</v>
      </c>
      <c r="AB5" s="11" t="n">
        <v>168.04</v>
      </c>
      <c r="AC5" s="11" t="n">
        <v>180.24</v>
      </c>
      <c r="AD5" s="11" t="n">
        <v>247.64</v>
      </c>
    </row>
    <row r="6">
      <c r="A6" s="10" t="inlineStr">
        <is>
          <t>상품</t>
        </is>
      </c>
      <c r="C6" s="11" t="n">
        <v>1121.4</v>
      </c>
      <c r="D6" s="11" t="n">
        <v>1134.97</v>
      </c>
      <c r="E6" s="11" t="n">
        <v>1181.5</v>
      </c>
      <c r="F6" s="11" t="n">
        <v>1292.02</v>
      </c>
      <c r="G6" s="11" t="n">
        <v>1430.35</v>
      </c>
      <c r="H6" s="11" t="n">
        <v>1364.89</v>
      </c>
      <c r="I6" s="11" t="n">
        <v>1241.36</v>
      </c>
      <c r="J6" s="11" t="n">
        <v>1330.78</v>
      </c>
      <c r="K6" s="11" t="n">
        <v>1297.17</v>
      </c>
      <c r="L6" s="11" t="n">
        <v>1366.71</v>
      </c>
      <c r="M6" s="11" t="n">
        <v>1363.31</v>
      </c>
      <c r="N6" s="11" t="n">
        <v>1535.72</v>
      </c>
      <c r="O6" s="11" t="n">
        <v>1621.98</v>
      </c>
      <c r="P6" s="11" t="n">
        <v>1712.95</v>
      </c>
      <c r="Q6" s="11" t="n">
        <v>1589.35</v>
      </c>
      <c r="R6" s="11" t="n">
        <v>1697.66</v>
      </c>
      <c r="S6" s="11" t="n">
        <v>1697.06</v>
      </c>
      <c r="T6" s="11" t="n">
        <v>1868.25</v>
      </c>
      <c r="U6" s="11" t="n">
        <v>1770.12</v>
      </c>
      <c r="V6" s="11" t="n">
        <v>2053.35</v>
      </c>
      <c r="W6" s="11" t="n">
        <v>880.04</v>
      </c>
      <c r="X6" s="11" t="n">
        <v>1049.88</v>
      </c>
      <c r="Y6" s="11" t="n">
        <v>1061.64</v>
      </c>
      <c r="Z6" s="11" t="n">
        <v>1292.02</v>
      </c>
      <c r="AA6" s="11" t="n">
        <v>1330.78</v>
      </c>
      <c r="AB6" s="11" t="n">
        <v>1535.72</v>
      </c>
      <c r="AC6" s="11" t="n">
        <v>1697.66</v>
      </c>
      <c r="AD6" s="11" t="n">
        <v>2053.35</v>
      </c>
    </row>
    <row r="7">
      <c r="A7" s="10" t="inlineStr">
        <is>
          <t>재공품</t>
        </is>
      </c>
      <c r="C7" s="11" t="n">
        <v>3.53</v>
      </c>
      <c r="D7" s="11" t="n">
        <v>2.12</v>
      </c>
      <c r="E7" s="11" t="n">
        <v>4.45</v>
      </c>
      <c r="F7" s="11" t="n">
        <v>2.97</v>
      </c>
      <c r="G7" s="11" t="n">
        <v>4.96</v>
      </c>
      <c r="H7" s="11" t="n">
        <v>2.22</v>
      </c>
      <c r="I7" s="11" t="n">
        <v>2.87</v>
      </c>
      <c r="J7" s="11" t="n">
        <v>1.39</v>
      </c>
      <c r="K7" s="11" t="n">
        <v>3.9</v>
      </c>
      <c r="L7" s="11" t="n">
        <v>1.8</v>
      </c>
      <c r="M7" s="11" t="n">
        <v>3.91</v>
      </c>
      <c r="N7" s="11" t="n">
        <v>3.36</v>
      </c>
      <c r="O7" s="11" t="n">
        <v>5.94</v>
      </c>
      <c r="P7" s="11" t="n">
        <v>2.16</v>
      </c>
      <c r="Q7" s="11" t="n">
        <v>3.79</v>
      </c>
      <c r="R7" s="11" t="n">
        <v>1.29</v>
      </c>
      <c r="S7" s="11" t="n">
        <v>4.44</v>
      </c>
      <c r="T7" s="11" t="n">
        <v>2.88</v>
      </c>
      <c r="U7" s="11" t="n">
        <v>4.21</v>
      </c>
      <c r="V7" s="11" t="n">
        <v>2.04</v>
      </c>
      <c r="W7" s="11" t="n">
        <v>2.02</v>
      </c>
      <c r="X7" s="11" t="n">
        <v>2.33</v>
      </c>
      <c r="Y7" s="11" t="n">
        <v>2.04</v>
      </c>
      <c r="Z7" s="11" t="n">
        <v>2.97</v>
      </c>
      <c r="AA7" s="11" t="n">
        <v>1.39</v>
      </c>
      <c r="AB7" s="11" t="n">
        <v>3.36</v>
      </c>
      <c r="AC7" s="11" t="n">
        <v>1.29</v>
      </c>
      <c r="AD7" s="11" t="n">
        <v>2.04</v>
      </c>
    </row>
    <row r="8">
      <c r="A8" s="10" t="inlineStr">
        <is>
          <t>저장품</t>
        </is>
      </c>
      <c r="C8" s="11" t="n">
        <v>0.67</v>
      </c>
      <c r="D8" s="11" t="n">
        <v>0.62</v>
      </c>
      <c r="E8" s="11" t="n">
        <v>0.6899999999999999</v>
      </c>
      <c r="F8" s="11" t="n">
        <v>0.59</v>
      </c>
      <c r="G8" s="11" t="n">
        <v>0.65</v>
      </c>
      <c r="H8" s="11" t="n">
        <v>0.78</v>
      </c>
      <c r="I8" s="11" t="n">
        <v>0.76</v>
      </c>
      <c r="J8" s="11" t="n">
        <v>0.79</v>
      </c>
      <c r="K8" s="11" t="n">
        <v>0.6899999999999999</v>
      </c>
      <c r="L8" s="11" t="n">
        <v>0.96</v>
      </c>
      <c r="M8" s="11" t="n">
        <v>1.11</v>
      </c>
      <c r="N8" s="11" t="n">
        <v>1.12</v>
      </c>
      <c r="O8" s="11" t="n">
        <v>0.95</v>
      </c>
      <c r="P8" s="11" t="n">
        <v>1.08</v>
      </c>
      <c r="Q8" s="11" t="n">
        <v>0.9399999999999999</v>
      </c>
      <c r="R8" s="11" t="n">
        <v>0.88</v>
      </c>
      <c r="S8" s="11" t="n">
        <v>0.99</v>
      </c>
      <c r="T8" s="11" t="n">
        <v>0.87</v>
      </c>
      <c r="U8" s="11" t="n">
        <v>0.95</v>
      </c>
      <c r="V8" s="11" t="n">
        <v>1.26</v>
      </c>
      <c r="W8" s="11" t="n">
        <v>0.59</v>
      </c>
      <c r="X8" s="11" t="n">
        <v>0.63</v>
      </c>
      <c r="Y8" s="11" t="n">
        <v>0.91</v>
      </c>
      <c r="Z8" s="11" t="n">
        <v>0.59</v>
      </c>
      <c r="AA8" s="11" t="n">
        <v>0.79</v>
      </c>
      <c r="AB8" s="11" t="n">
        <v>1.12</v>
      </c>
      <c r="AC8" s="11" t="n">
        <v>0.88</v>
      </c>
      <c r="AD8" s="11" t="n">
        <v>1.26</v>
      </c>
    </row>
    <row r="9">
      <c r="A9" s="10" t="inlineStr">
        <is>
          <t>미수금</t>
        </is>
      </c>
      <c r="C9" s="11" t="n">
        <v>156.65</v>
      </c>
      <c r="D9" s="11" t="n">
        <v>124.96</v>
      </c>
      <c r="E9" s="11" t="n">
        <v>175.88</v>
      </c>
      <c r="F9" s="11" t="n">
        <v>158.29</v>
      </c>
      <c r="G9" s="11" t="n">
        <v>186.13</v>
      </c>
      <c r="H9" s="11" t="n">
        <v>131.77</v>
      </c>
      <c r="I9" s="11" t="n">
        <v>146.15</v>
      </c>
      <c r="J9" s="11" t="n">
        <v>128.94</v>
      </c>
      <c r="K9" s="11" t="n">
        <v>167.22</v>
      </c>
      <c r="L9" s="11" t="n">
        <v>127.12</v>
      </c>
      <c r="M9" s="11" t="n">
        <v>151.94</v>
      </c>
      <c r="N9" s="11" t="n">
        <v>158.36</v>
      </c>
      <c r="O9" s="11" t="n">
        <v>221.67</v>
      </c>
      <c r="P9" s="11" t="n">
        <v>135.16</v>
      </c>
      <c r="Q9" s="11" t="n">
        <v>203.65</v>
      </c>
      <c r="R9" s="11" t="n">
        <v>196.85</v>
      </c>
      <c r="S9" s="11" t="n">
        <v>245.21</v>
      </c>
      <c r="T9" s="11" t="n">
        <v>193.07</v>
      </c>
      <c r="U9" s="11" t="n">
        <v>244.44</v>
      </c>
      <c r="V9" s="11" t="n">
        <v>170.61</v>
      </c>
      <c r="W9" s="11" t="n">
        <v>106.63</v>
      </c>
      <c r="X9" s="11" t="n">
        <v>119.3</v>
      </c>
      <c r="Y9" s="11" t="n">
        <v>118.36</v>
      </c>
      <c r="Z9" s="11" t="n">
        <v>158.29</v>
      </c>
      <c r="AA9" s="11" t="n">
        <v>128.94</v>
      </c>
      <c r="AB9" s="11" t="n">
        <v>158.36</v>
      </c>
      <c r="AC9" s="11" t="n">
        <v>196.85</v>
      </c>
      <c r="AD9" s="11" t="n">
        <v>170.61</v>
      </c>
    </row>
    <row r="10">
      <c r="A10" s="10" t="inlineStr">
        <is>
          <t>기타</t>
        </is>
      </c>
      <c r="C10" s="11" t="n">
        <v>62.36</v>
      </c>
      <c r="D10" s="11" t="n">
        <v>54.5</v>
      </c>
      <c r="E10" s="11" t="n">
        <v>124.08</v>
      </c>
      <c r="F10" s="11" t="n">
        <v>164.05</v>
      </c>
      <c r="G10" s="11" t="n">
        <v>154.44</v>
      </c>
      <c r="H10" s="11" t="n">
        <v>132.96</v>
      </c>
      <c r="I10" s="11" t="n">
        <v>141.91</v>
      </c>
      <c r="J10" s="11" t="n">
        <v>198.8</v>
      </c>
      <c r="K10" s="11" t="n">
        <v>249.55</v>
      </c>
      <c r="L10" s="11" t="n">
        <v>273.57</v>
      </c>
      <c r="M10" s="11" t="n">
        <v>354.26</v>
      </c>
      <c r="N10" s="11" t="n">
        <v>235.65</v>
      </c>
      <c r="O10" s="11" t="n">
        <v>314.02</v>
      </c>
      <c r="P10" s="11" t="n">
        <v>300.6</v>
      </c>
      <c r="Q10" s="11" t="n">
        <v>217.04</v>
      </c>
      <c r="R10" s="11" t="n">
        <v>244.53</v>
      </c>
      <c r="S10" s="11" t="n">
        <v>359.96</v>
      </c>
      <c r="T10" s="11" t="n">
        <v>336.11</v>
      </c>
      <c r="U10" s="11" t="n">
        <v>361.23</v>
      </c>
      <c r="V10" s="11" t="n">
        <v>313.51</v>
      </c>
      <c r="W10" s="11" t="n">
        <v>42.31</v>
      </c>
      <c r="X10" s="11" t="n">
        <v>53.04</v>
      </c>
      <c r="Y10" s="11" t="n">
        <v>62.67</v>
      </c>
      <c r="Z10" s="11" t="n">
        <v>164.05</v>
      </c>
      <c r="AA10" s="11" t="n">
        <v>198.8</v>
      </c>
      <c r="AB10" s="11" t="n">
        <v>235.65</v>
      </c>
      <c r="AC10" s="11" t="n">
        <v>244.53</v>
      </c>
      <c r="AD10" s="11" t="n">
        <v>313.51</v>
      </c>
    </row>
    <row r="11">
      <c r="A11" s="10" t="inlineStr">
        <is>
          <t>대손충당금</t>
        </is>
      </c>
      <c r="C11" s="11" t="n">
        <v>-0.11</v>
      </c>
      <c r="D11" s="11" t="n">
        <v>-0.11</v>
      </c>
      <c r="E11" s="11" t="n">
        <v>-0.11</v>
      </c>
      <c r="F11" s="11" t="n">
        <v>-0.2</v>
      </c>
      <c r="G11" s="11" t="n">
        <v>-0.2</v>
      </c>
      <c r="H11" s="11" t="n">
        <v>-0.2</v>
      </c>
      <c r="I11" s="11" t="n">
        <v>-0.2</v>
      </c>
      <c r="J11" s="11" t="n">
        <v>-0.2</v>
      </c>
      <c r="K11" s="11" t="n">
        <v>-0.2</v>
      </c>
      <c r="L11" s="11" t="n">
        <v>-0.2</v>
      </c>
      <c r="M11" s="11" t="n">
        <v>-0.2</v>
      </c>
      <c r="N11" s="11" t="n">
        <v>-0.06</v>
      </c>
      <c r="O11" s="11" t="n">
        <v>-0.06</v>
      </c>
      <c r="P11" s="11" t="n">
        <v>-0.06</v>
      </c>
      <c r="Q11" s="11" t="n">
        <v>-0.06</v>
      </c>
      <c r="R11" s="11" t="n">
        <v>-0.06</v>
      </c>
      <c r="S11" s="11" t="n">
        <v>-0.06</v>
      </c>
      <c r="T11" s="11" t="n">
        <v>-0.06</v>
      </c>
      <c r="U11" s="11" t="n">
        <v>-0.06</v>
      </c>
      <c r="V11" s="11" t="n">
        <v>-0.18</v>
      </c>
      <c r="W11" s="11" t="n">
        <v>-0.03</v>
      </c>
      <c r="X11" s="11" t="n">
        <v>-0.4</v>
      </c>
      <c r="Y11" s="11" t="n">
        <v>-0.11</v>
      </c>
      <c r="Z11" s="11" t="n">
        <v>-0.2</v>
      </c>
      <c r="AA11" s="11" t="n">
        <v>-0.2</v>
      </c>
      <c r="AB11" s="11" t="n">
        <v>-0.06</v>
      </c>
      <c r="AC11" s="11" t="n">
        <v>-0.06</v>
      </c>
      <c r="AD11" s="11" t="n">
        <v>-0.18</v>
      </c>
    </row>
    <row r="12">
      <c r="A12" s="10" t="inlineStr">
        <is>
          <t>유동자산 합계</t>
        </is>
      </c>
      <c r="C12" s="11" t="n">
        <v>2647.29</v>
      </c>
      <c r="D12" s="11" t="n">
        <v>2702.11</v>
      </c>
      <c r="E12" s="11" t="n">
        <v>2402.84</v>
      </c>
      <c r="F12" s="11" t="n">
        <v>2622.06</v>
      </c>
      <c r="G12" s="11" t="n">
        <v>2662.02</v>
      </c>
      <c r="H12" s="11" t="n">
        <v>2578.38</v>
      </c>
      <c r="I12" s="11" t="n">
        <v>2662.48</v>
      </c>
      <c r="J12" s="11" t="n">
        <v>2934.12</v>
      </c>
      <c r="K12" s="11" t="n">
        <v>3021.15</v>
      </c>
      <c r="L12" s="11" t="n">
        <v>3046.49</v>
      </c>
      <c r="M12" s="11" t="n">
        <v>3275.79</v>
      </c>
      <c r="N12" s="11" t="n">
        <v>3354.47</v>
      </c>
      <c r="O12" s="11" t="n">
        <v>3685.83</v>
      </c>
      <c r="P12" s="11" t="n">
        <v>3486</v>
      </c>
      <c r="Q12" s="11" t="n">
        <v>3622.25</v>
      </c>
      <c r="R12" s="11" t="n">
        <v>3670.68</v>
      </c>
      <c r="S12" s="11" t="n">
        <v>4019.01</v>
      </c>
      <c r="T12" s="11" t="n">
        <v>4111.93</v>
      </c>
      <c r="U12" s="11" t="n">
        <v>4343.48</v>
      </c>
      <c r="V12" s="11" t="n">
        <v>4475.01</v>
      </c>
      <c r="W12" s="11" t="n">
        <v>1675.22</v>
      </c>
      <c r="X12" s="11" t="n">
        <v>2240.05</v>
      </c>
      <c r="Y12" s="11" t="n">
        <v>2690.47</v>
      </c>
      <c r="Z12" s="11" t="n">
        <v>2622.06</v>
      </c>
      <c r="AA12" s="11" t="n">
        <v>2934.12</v>
      </c>
      <c r="AB12" s="11" t="n">
        <v>3354.47</v>
      </c>
      <c r="AC12" s="11" t="n">
        <v>3670.68</v>
      </c>
      <c r="AD12" s="11" t="n">
        <v>4475.01</v>
      </c>
    </row>
    <row r="13">
      <c r="A13" s="10" t="inlineStr">
        <is>
          <t>건물·구축물</t>
        </is>
      </c>
      <c r="C13" s="11" t="n">
        <v>639.4400000000001</v>
      </c>
      <c r="D13" s="11" t="n">
        <v>654.55</v>
      </c>
      <c r="E13" s="11" t="n">
        <v>688.24</v>
      </c>
      <c r="F13" s="11" t="n">
        <v>706.46</v>
      </c>
      <c r="G13" s="11" t="n">
        <v>740.4299999999999</v>
      </c>
      <c r="H13" s="11" t="n">
        <v>763.36</v>
      </c>
      <c r="I13" s="11" t="n">
        <v>790.6799999999999</v>
      </c>
      <c r="J13" s="11" t="n">
        <v>793.88</v>
      </c>
      <c r="K13" s="11" t="n">
        <v>850.29</v>
      </c>
      <c r="L13" s="11" t="n">
        <v>880.0599999999999</v>
      </c>
      <c r="M13" s="11" t="n">
        <v>906.03</v>
      </c>
      <c r="N13" s="11" t="n">
        <v>899.99</v>
      </c>
      <c r="O13" s="11" t="n">
        <v>956.89</v>
      </c>
      <c r="P13" s="11" t="n">
        <v>971.11</v>
      </c>
      <c r="Q13" s="11" t="n">
        <v>1003.42</v>
      </c>
      <c r="R13" s="11" t="n">
        <v>1015.79</v>
      </c>
      <c r="S13" s="11" t="n">
        <v>1090</v>
      </c>
      <c r="T13" s="11" t="n">
        <v>1131.1</v>
      </c>
      <c r="U13" s="11" t="n">
        <v>1171.47</v>
      </c>
      <c r="V13" s="11" t="n">
        <v>1199.25</v>
      </c>
      <c r="W13" s="11" t="n">
        <v>547.52</v>
      </c>
      <c r="X13" s="11" t="n">
        <v>573.14</v>
      </c>
      <c r="Y13" s="11" t="n">
        <v>620.54</v>
      </c>
      <c r="Z13" s="11" t="n">
        <v>706.46</v>
      </c>
      <c r="AA13" s="11" t="n">
        <v>793.88</v>
      </c>
      <c r="AB13" s="11" t="n">
        <v>899.99</v>
      </c>
      <c r="AC13" s="11" t="n">
        <v>1015.79</v>
      </c>
      <c r="AD13" s="11" t="n">
        <v>1199.25</v>
      </c>
    </row>
    <row r="14">
      <c r="A14" s="10" t="inlineStr">
        <is>
          <t>감가상각누계액</t>
        </is>
      </c>
      <c r="C14" s="11" t="n">
        <v>-353.63</v>
      </c>
      <c r="D14" s="11" t="n">
        <v>-369.22</v>
      </c>
      <c r="E14" s="11" t="n">
        <v>-394.81</v>
      </c>
      <c r="F14" s="11" t="n">
        <v>-414.15</v>
      </c>
      <c r="G14" s="11" t="n">
        <v>-421.94</v>
      </c>
      <c r="H14" s="11" t="n">
        <v>-433.85</v>
      </c>
      <c r="I14" s="11" t="n">
        <v>-449.6</v>
      </c>
      <c r="J14" s="11" t="n">
        <v>-468.73</v>
      </c>
      <c r="K14" s="11" t="n">
        <v>-483.24</v>
      </c>
      <c r="L14" s="11" t="n">
        <v>-495.27</v>
      </c>
      <c r="M14" s="11" t="n">
        <v>-511.88</v>
      </c>
      <c r="N14" s="11" t="n">
        <v>-493.75</v>
      </c>
      <c r="O14" s="11" t="n">
        <v>-507.16</v>
      </c>
      <c r="P14" s="11" t="n">
        <v>-517.66</v>
      </c>
      <c r="Q14" s="11" t="n">
        <v>-523.38</v>
      </c>
      <c r="R14" s="11" t="n">
        <v>-541.72</v>
      </c>
      <c r="S14" s="11" t="n">
        <v>-573.9299999999999</v>
      </c>
      <c r="T14" s="11" t="n">
        <v>-598.7</v>
      </c>
      <c r="U14" s="11" t="n">
        <v>-620.33</v>
      </c>
      <c r="V14" s="11" t="n">
        <v>-639.64</v>
      </c>
      <c r="W14" s="11" t="n">
        <v>-243.31</v>
      </c>
      <c r="X14" s="11" t="n">
        <v>-300.51</v>
      </c>
      <c r="Y14" s="11" t="n">
        <v>-340.1</v>
      </c>
      <c r="Z14" s="11" t="n">
        <v>-414.15</v>
      </c>
      <c r="AA14" s="11" t="n">
        <v>-468.73</v>
      </c>
      <c r="AB14" s="11" t="n">
        <v>-493.75</v>
      </c>
      <c r="AC14" s="11" t="n">
        <v>-541.72</v>
      </c>
      <c r="AD14" s="11" t="n">
        <v>-639.64</v>
      </c>
    </row>
    <row r="15">
      <c r="A15" s="10" t="inlineStr">
        <is>
          <t>건물·구축물(순액)</t>
        </is>
      </c>
      <c r="C15" s="11" t="n">
        <v>285.8</v>
      </c>
      <c r="D15" s="11" t="n">
        <v>285.32</v>
      </c>
      <c r="E15" s="11" t="n">
        <v>293.42</v>
      </c>
      <c r="F15" s="11" t="n">
        <v>292.3</v>
      </c>
      <c r="G15" s="11" t="n">
        <v>318.49</v>
      </c>
      <c r="H15" s="11" t="n">
        <v>329.51</v>
      </c>
      <c r="I15" s="11" t="n">
        <v>341.08</v>
      </c>
      <c r="J15" s="11" t="n">
        <v>325.14</v>
      </c>
      <c r="K15" s="11" t="n">
        <v>367.04</v>
      </c>
      <c r="L15" s="11" t="n">
        <v>384.78</v>
      </c>
      <c r="M15" s="11" t="n">
        <v>394.14</v>
      </c>
      <c r="N15" s="11" t="n">
        <v>406.24</v>
      </c>
      <c r="O15" s="11" t="n">
        <v>449.73</v>
      </c>
      <c r="P15" s="11" t="n">
        <v>453.44</v>
      </c>
      <c r="Q15" s="11" t="n">
        <v>480.04</v>
      </c>
      <c r="R15" s="11" t="n">
        <v>474.07</v>
      </c>
      <c r="S15" s="11" t="n">
        <v>516.0700000000001</v>
      </c>
      <c r="T15" s="11" t="n">
        <v>532.4</v>
      </c>
      <c r="U15" s="11" t="n">
        <v>551.13</v>
      </c>
      <c r="V15" s="11" t="n">
        <v>559.61</v>
      </c>
      <c r="W15" s="11" t="n">
        <v>304.21</v>
      </c>
      <c r="X15" s="11" t="n">
        <v>272.62</v>
      </c>
      <c r="Y15" s="11" t="n">
        <v>280.44</v>
      </c>
      <c r="Z15" s="11" t="n">
        <v>292.3</v>
      </c>
      <c r="AA15" s="11" t="n">
        <v>325.14</v>
      </c>
      <c r="AB15" s="11" t="n">
        <v>406.24</v>
      </c>
      <c r="AC15" s="11" t="n">
        <v>474.07</v>
      </c>
      <c r="AD15" s="11" t="n">
        <v>559.61</v>
      </c>
    </row>
    <row r="16">
      <c r="A16" s="10" t="inlineStr">
        <is>
          <t>기계장치·운반구</t>
        </is>
      </c>
      <c r="C16" s="11" t="n">
        <v>47.07</v>
      </c>
      <c r="D16" s="11" t="n">
        <v>47.46</v>
      </c>
      <c r="E16" s="11" t="n">
        <v>49.26</v>
      </c>
      <c r="F16" s="11" t="n">
        <v>52.85</v>
      </c>
      <c r="G16" s="11" t="n">
        <v>52.36</v>
      </c>
      <c r="H16" s="11" t="n">
        <v>52.93</v>
      </c>
      <c r="I16" s="11" t="n">
        <v>54.48</v>
      </c>
      <c r="J16" s="11" t="n">
        <v>56.07</v>
      </c>
      <c r="K16" s="11" t="n">
        <v>57.53</v>
      </c>
      <c r="L16" s="11" t="n">
        <v>58.1</v>
      </c>
      <c r="M16" s="11" t="n">
        <v>57.65</v>
      </c>
      <c r="N16" s="11" t="n">
        <v>57.18</v>
      </c>
      <c r="O16" s="11" t="n">
        <v>59.6</v>
      </c>
      <c r="P16" s="11" t="n">
        <v>62.34</v>
      </c>
      <c r="Q16" s="11" t="n">
        <v>63.81</v>
      </c>
      <c r="R16" s="11" t="n">
        <v>65.20999999999999</v>
      </c>
      <c r="S16" s="11" t="n">
        <v>67.77</v>
      </c>
      <c r="T16" s="11" t="n">
        <v>82.06999999999999</v>
      </c>
      <c r="U16" s="11" t="n">
        <v>81.11</v>
      </c>
      <c r="V16" s="11" t="n">
        <v>85.45</v>
      </c>
      <c r="W16" s="11" t="n">
        <v>44.61</v>
      </c>
      <c r="X16" s="11" t="n">
        <v>47.99</v>
      </c>
      <c r="Y16" s="11" t="n">
        <v>46.84</v>
      </c>
      <c r="Z16" s="11" t="n">
        <v>52.85</v>
      </c>
      <c r="AA16" s="11" t="n">
        <v>56.07</v>
      </c>
      <c r="AB16" s="11" t="n">
        <v>57.18</v>
      </c>
      <c r="AC16" s="11" t="n">
        <v>65.20999999999999</v>
      </c>
      <c r="AD16" s="11" t="n">
        <v>85.45</v>
      </c>
    </row>
    <row r="17">
      <c r="A17" s="10" t="inlineStr">
        <is>
          <t>감가상각누계액</t>
        </is>
      </c>
      <c r="C17" s="11" t="n">
        <v>-31.84</v>
      </c>
      <c r="D17" s="11" t="n">
        <v>-33.08</v>
      </c>
      <c r="E17" s="11" t="n">
        <v>-35</v>
      </c>
      <c r="F17" s="11" t="n">
        <v>-37.84</v>
      </c>
      <c r="G17" s="11" t="n">
        <v>-38.31</v>
      </c>
      <c r="H17" s="11" t="n">
        <v>-39.34</v>
      </c>
      <c r="I17" s="11" t="n">
        <v>-40.8</v>
      </c>
      <c r="J17" s="11" t="n">
        <v>-42.86</v>
      </c>
      <c r="K17" s="11" t="n">
        <v>-43.32</v>
      </c>
      <c r="L17" s="11" t="n">
        <v>-44.32</v>
      </c>
      <c r="M17" s="11" t="n">
        <v>-44.29</v>
      </c>
      <c r="N17" s="11" t="n">
        <v>-43.53</v>
      </c>
      <c r="O17" s="11" t="n">
        <v>-44.27</v>
      </c>
      <c r="P17" s="11" t="n">
        <v>-45.67</v>
      </c>
      <c r="Q17" s="11" t="n">
        <v>-46.8</v>
      </c>
      <c r="R17" s="11" t="n">
        <v>-49.63</v>
      </c>
      <c r="S17" s="11" t="n">
        <v>-52.09</v>
      </c>
      <c r="T17" s="11" t="n">
        <v>-54.27</v>
      </c>
      <c r="U17" s="11" t="n">
        <v>-49.42</v>
      </c>
      <c r="V17" s="11" t="n">
        <v>-50.8</v>
      </c>
      <c r="W17" s="11" t="n">
        <v>-22.46</v>
      </c>
      <c r="X17" s="11" t="n">
        <v>-28.3</v>
      </c>
      <c r="Y17" s="11" t="n">
        <v>-30.93</v>
      </c>
      <c r="Z17" s="11" t="n">
        <v>-37.84</v>
      </c>
      <c r="AA17" s="11" t="n">
        <v>-42.86</v>
      </c>
      <c r="AB17" s="11" t="n">
        <v>-43.53</v>
      </c>
      <c r="AC17" s="11" t="n">
        <v>-49.63</v>
      </c>
      <c r="AD17" s="11" t="n">
        <v>-50.8</v>
      </c>
    </row>
    <row r="18">
      <c r="A18" s="10" t="inlineStr">
        <is>
          <t>기계장치·운반구(순액)</t>
        </is>
      </c>
      <c r="C18" s="11" t="n">
        <v>15.22</v>
      </c>
      <c r="D18" s="11" t="n">
        <v>14.38</v>
      </c>
      <c r="E18" s="11" t="n">
        <v>14.26</v>
      </c>
      <c r="F18" s="11" t="n">
        <v>15</v>
      </c>
      <c r="G18" s="11" t="n">
        <v>14.05</v>
      </c>
      <c r="H18" s="11" t="n">
        <v>13.58</v>
      </c>
      <c r="I18" s="11" t="n">
        <v>13.68</v>
      </c>
      <c r="J18" s="11" t="n">
        <v>13.21</v>
      </c>
      <c r="K18" s="11" t="n">
        <v>14.2</v>
      </c>
      <c r="L18" s="11" t="n">
        <v>13.77</v>
      </c>
      <c r="M18" s="11" t="n">
        <v>13.35</v>
      </c>
      <c r="N18" s="11" t="n">
        <v>13.64</v>
      </c>
      <c r="O18" s="11" t="n">
        <v>15.32</v>
      </c>
      <c r="P18" s="11" t="n">
        <v>16.67</v>
      </c>
      <c r="Q18" s="11" t="n">
        <v>17</v>
      </c>
      <c r="R18" s="11" t="n">
        <v>15.58</v>
      </c>
      <c r="S18" s="11" t="n">
        <v>15.68</v>
      </c>
      <c r="T18" s="11" t="n">
        <v>27.79</v>
      </c>
      <c r="U18" s="11" t="n">
        <v>31.69</v>
      </c>
      <c r="V18" s="11" t="n">
        <v>34.64</v>
      </c>
      <c r="W18" s="11" t="n">
        <v>22.14</v>
      </c>
      <c r="X18" s="11" t="n">
        <v>19.68</v>
      </c>
      <c r="Y18" s="11" t="n">
        <v>15.91</v>
      </c>
      <c r="Z18" s="11" t="n">
        <v>15</v>
      </c>
      <c r="AA18" s="11" t="n">
        <v>13.21</v>
      </c>
      <c r="AB18" s="11" t="n">
        <v>13.64</v>
      </c>
      <c r="AC18" s="11" t="n">
        <v>15.58</v>
      </c>
      <c r="AD18" s="11" t="n">
        <v>34.64</v>
      </c>
    </row>
    <row r="19">
      <c r="A19" s="10" t="inlineStr">
        <is>
          <t>공구·기구·비품</t>
        </is>
      </c>
      <c r="C19" s="11" t="n">
        <v>266.83</v>
      </c>
      <c r="D19" s="11" t="n">
        <v>263.94</v>
      </c>
      <c r="E19" s="11" t="n">
        <v>278.39</v>
      </c>
      <c r="F19" s="11" t="n">
        <v>279.38</v>
      </c>
      <c r="G19" s="11" t="n">
        <v>292.72</v>
      </c>
      <c r="H19" s="11" t="n">
        <v>303.18</v>
      </c>
      <c r="I19" s="11" t="n">
        <v>314.68</v>
      </c>
      <c r="J19" s="11" t="n">
        <v>314.56</v>
      </c>
      <c r="K19" s="11" t="n">
        <v>332.65</v>
      </c>
      <c r="L19" s="11" t="n">
        <v>340.66</v>
      </c>
      <c r="M19" s="11" t="n">
        <v>353.89</v>
      </c>
      <c r="N19" s="11" t="n">
        <v>344.26</v>
      </c>
      <c r="O19" s="11" t="n">
        <v>355.88</v>
      </c>
      <c r="P19" s="11" t="n">
        <v>361.02</v>
      </c>
      <c r="Q19" s="11" t="n">
        <v>371.43</v>
      </c>
      <c r="R19" s="11" t="n">
        <v>365.03</v>
      </c>
      <c r="S19" s="11" t="n">
        <v>385.97</v>
      </c>
      <c r="T19" s="11" t="n">
        <v>394.53</v>
      </c>
      <c r="U19" s="11" t="n">
        <v>402.37</v>
      </c>
      <c r="V19" s="11" t="n">
        <v>390.14</v>
      </c>
      <c r="W19" s="11" t="n">
        <v>222.23</v>
      </c>
      <c r="X19" s="11" t="n">
        <v>236.61</v>
      </c>
      <c r="Y19" s="11" t="n">
        <v>258.59</v>
      </c>
      <c r="Z19" s="11" t="n">
        <v>279.38</v>
      </c>
      <c r="AA19" s="11" t="n">
        <v>314.56</v>
      </c>
      <c r="AB19" s="11" t="n">
        <v>344.26</v>
      </c>
      <c r="AC19" s="11" t="n">
        <v>365.03</v>
      </c>
      <c r="AD19" s="11" t="n">
        <v>390.14</v>
      </c>
    </row>
    <row r="20">
      <c r="A20" s="10" t="inlineStr">
        <is>
          <t>감가상각누계액</t>
        </is>
      </c>
      <c r="C20" s="11" t="n">
        <v>-178.59</v>
      </c>
      <c r="D20" s="11" t="n">
        <v>-178.85</v>
      </c>
      <c r="E20" s="11" t="n">
        <v>-189.87</v>
      </c>
      <c r="F20" s="11" t="n">
        <v>-197.11</v>
      </c>
      <c r="G20" s="11" t="n">
        <v>-202.95</v>
      </c>
      <c r="H20" s="11" t="n">
        <v>-208.94</v>
      </c>
      <c r="I20" s="11" t="n">
        <v>-217.28</v>
      </c>
      <c r="J20" s="11" t="n">
        <v>-225.32</v>
      </c>
      <c r="K20" s="11" t="n">
        <v>-233.7</v>
      </c>
      <c r="L20" s="11" t="n">
        <v>-238.96</v>
      </c>
      <c r="M20" s="11" t="n">
        <v>-248.32</v>
      </c>
      <c r="N20" s="11" t="n">
        <v>-244.06</v>
      </c>
      <c r="O20" s="11" t="n">
        <v>-248.74</v>
      </c>
      <c r="P20" s="11" t="n">
        <v>-252.93</v>
      </c>
      <c r="Q20" s="11" t="n">
        <v>-256.79</v>
      </c>
      <c r="R20" s="11" t="n">
        <v>-253.44</v>
      </c>
      <c r="S20" s="11" t="n">
        <v>-265.18</v>
      </c>
      <c r="T20" s="11" t="n">
        <v>-274.03</v>
      </c>
      <c r="U20" s="11" t="n">
        <v>-279.66</v>
      </c>
      <c r="V20" s="11" t="n">
        <v>-269.51</v>
      </c>
      <c r="W20" s="11" t="n">
        <v>-132.61</v>
      </c>
      <c r="X20" s="11" t="n">
        <v>-147.12</v>
      </c>
      <c r="Y20" s="11" t="n">
        <v>-171.28</v>
      </c>
      <c r="Z20" s="11" t="n">
        <v>-197.11</v>
      </c>
      <c r="AA20" s="11" t="n">
        <v>-225.32</v>
      </c>
      <c r="AB20" s="11" t="n">
        <v>-244.06</v>
      </c>
      <c r="AC20" s="11" t="n">
        <v>-253.44</v>
      </c>
      <c r="AD20" s="11" t="n">
        <v>-269.51</v>
      </c>
    </row>
    <row r="21">
      <c r="A21" s="10" t="inlineStr">
        <is>
          <t>공구·기구·비품(순액)</t>
        </is>
      </c>
      <c r="C21" s="11" t="n">
        <v>88.23</v>
      </c>
      <c r="D21" s="11" t="n">
        <v>85.09</v>
      </c>
      <c r="E21" s="11" t="n">
        <v>88.52</v>
      </c>
      <c r="F21" s="11" t="n">
        <v>82.27</v>
      </c>
      <c r="G21" s="11" t="n">
        <v>89.76000000000001</v>
      </c>
      <c r="H21" s="11" t="n">
        <v>94.23999999999999</v>
      </c>
      <c r="I21" s="11" t="n">
        <v>97.39</v>
      </c>
      <c r="J21" s="11" t="n">
        <v>89.23999999999999</v>
      </c>
      <c r="K21" s="11" t="n">
        <v>98.95</v>
      </c>
      <c r="L21" s="11" t="n">
        <v>101.69</v>
      </c>
      <c r="M21" s="11" t="n">
        <v>105.56</v>
      </c>
      <c r="N21" s="11" t="n">
        <v>100.2</v>
      </c>
      <c r="O21" s="11" t="n">
        <v>107.13</v>
      </c>
      <c r="P21" s="11" t="n">
        <v>108.09</v>
      </c>
      <c r="Q21" s="11" t="n">
        <v>114.63</v>
      </c>
      <c r="R21" s="11" t="n">
        <v>111.59</v>
      </c>
      <c r="S21" s="11" t="n">
        <v>120.78</v>
      </c>
      <c r="T21" s="11" t="n">
        <v>120.49</v>
      </c>
      <c r="U21" s="11" t="n">
        <v>122.71</v>
      </c>
      <c r="V21" s="11" t="n">
        <v>120.62</v>
      </c>
      <c r="W21" s="11" t="n">
        <v>89.61</v>
      </c>
      <c r="X21" s="11" t="n">
        <v>89.48</v>
      </c>
      <c r="Y21" s="11" t="n">
        <v>87.3</v>
      </c>
      <c r="Z21" s="11" t="n">
        <v>82.27</v>
      </c>
      <c r="AA21" s="11" t="n">
        <v>89.23999999999999</v>
      </c>
      <c r="AB21" s="11" t="n">
        <v>100.2</v>
      </c>
      <c r="AC21" s="11" t="n">
        <v>111.59</v>
      </c>
      <c r="AD21" s="11" t="n">
        <v>120.62</v>
      </c>
    </row>
    <row r="22">
      <c r="A22" s="10" t="inlineStr">
        <is>
          <t>토지</t>
        </is>
      </c>
      <c r="C22" s="11" t="n">
        <v>15.58</v>
      </c>
      <c r="D22" s="11" t="n">
        <v>15.58</v>
      </c>
      <c r="E22" s="11" t="n">
        <v>15.58</v>
      </c>
      <c r="F22" s="11" t="n">
        <v>15.58</v>
      </c>
      <c r="G22" s="11" t="n">
        <v>15.58</v>
      </c>
      <c r="H22" s="11" t="n">
        <v>15.58</v>
      </c>
      <c r="I22" s="11" t="n">
        <v>15.58</v>
      </c>
      <c r="J22" s="11" t="n">
        <v>15.58</v>
      </c>
      <c r="K22" s="11" t="n">
        <v>15.58</v>
      </c>
      <c r="L22" s="11" t="n">
        <v>15.38</v>
      </c>
      <c r="M22" s="11" t="n">
        <v>9.35</v>
      </c>
      <c r="N22" s="11" t="n">
        <v>9.35</v>
      </c>
      <c r="O22" s="11" t="n">
        <v>9.300000000000001</v>
      </c>
      <c r="P22" s="11" t="n">
        <v>9.300000000000001</v>
      </c>
      <c r="Q22" s="11" t="n">
        <v>9.300000000000001</v>
      </c>
      <c r="R22" s="11" t="n">
        <v>9.300000000000001</v>
      </c>
      <c r="S22" s="11" t="n">
        <v>9.24</v>
      </c>
      <c r="T22" s="11" t="n">
        <v>9.09</v>
      </c>
      <c r="U22" s="11" t="n">
        <v>10.07</v>
      </c>
      <c r="V22" s="11" t="n">
        <v>9.77</v>
      </c>
      <c r="W22" s="11" t="n">
        <v>19.07</v>
      </c>
      <c r="X22" s="11" t="n">
        <v>18.66</v>
      </c>
      <c r="Y22" s="11" t="n">
        <v>15.37</v>
      </c>
      <c r="Z22" s="11" t="n">
        <v>15.58</v>
      </c>
      <c r="AA22" s="11" t="n">
        <v>15.58</v>
      </c>
      <c r="AB22" s="11" t="n">
        <v>9.35</v>
      </c>
      <c r="AC22" s="11" t="n">
        <v>9.300000000000001</v>
      </c>
      <c r="AD22" s="11" t="n">
        <v>9.77</v>
      </c>
    </row>
    <row r="23">
      <c r="A23" s="10" t="inlineStr">
        <is>
          <t>리스자산</t>
        </is>
      </c>
      <c r="C23" s="11" t="n">
        <v>0.76</v>
      </c>
      <c r="D23" s="11" t="n">
        <v>0.76</v>
      </c>
      <c r="E23" s="11" t="n">
        <v>0.76</v>
      </c>
      <c r="F23" s="11" t="n">
        <v>0.76</v>
      </c>
      <c r="G23" s="11" t="n">
        <v>0.76</v>
      </c>
      <c r="H23" s="11" t="n">
        <v>0.76</v>
      </c>
      <c r="I23" s="11" t="n">
        <v>0.76</v>
      </c>
      <c r="J23" s="11" t="n">
        <v>0.9399999999999999</v>
      </c>
      <c r="K23" s="11" t="n">
        <v>0.76</v>
      </c>
      <c r="L23" s="11" t="n">
        <v>0.76</v>
      </c>
      <c r="M23" s="11" t="n">
        <v>0.76</v>
      </c>
      <c r="N23" s="11" t="n">
        <v>0.76</v>
      </c>
      <c r="O23" s="11" t="n">
        <v>0.76</v>
      </c>
      <c r="P23" s="11" t="n">
        <v>0.76</v>
      </c>
      <c r="Q23" s="11" t="n">
        <v>0.76</v>
      </c>
      <c r="R23" s="11" t="n">
        <v>0.76</v>
      </c>
      <c r="S23" s="11" t="n">
        <v>0.76</v>
      </c>
      <c r="T23" s="11" t="n">
        <v>0.76</v>
      </c>
      <c r="U23" s="11" t="n">
        <v>0.76</v>
      </c>
      <c r="V23" s="11" t="n">
        <v>0.76</v>
      </c>
      <c r="W23" s="11" t="n">
        <v>0.88</v>
      </c>
      <c r="X23" s="11" t="n">
        <v>0.78</v>
      </c>
      <c r="Y23" s="11" t="n">
        <v>0.76</v>
      </c>
      <c r="Z23" s="11" t="n">
        <v>0.76</v>
      </c>
      <c r="AA23" s="11" t="n">
        <v>0.9399999999999999</v>
      </c>
      <c r="AB23" s="11" t="n">
        <v>0.76</v>
      </c>
      <c r="AC23" s="11" t="n">
        <v>0.76</v>
      </c>
      <c r="AD23" s="11" t="n">
        <v>0.76</v>
      </c>
    </row>
    <row r="24">
      <c r="A24" s="10" t="inlineStr">
        <is>
          <t>감가상각누계액</t>
        </is>
      </c>
      <c r="C24" s="11" t="n">
        <v>-0.29</v>
      </c>
      <c r="D24" s="11" t="n">
        <v>-0.3</v>
      </c>
      <c r="E24" s="11" t="n">
        <v>-0.32</v>
      </c>
      <c r="F24" s="11" t="n">
        <v>-0.34</v>
      </c>
      <c r="G24" s="11" t="n">
        <v>-0.36</v>
      </c>
      <c r="H24" s="11" t="n">
        <v>-0.38</v>
      </c>
      <c r="I24" s="11" t="n">
        <v>-0.39</v>
      </c>
      <c r="J24" s="11" t="n">
        <v>-0.41</v>
      </c>
      <c r="K24" s="11" t="n">
        <v>-0.43</v>
      </c>
      <c r="L24" s="11" t="n">
        <v>-0.45</v>
      </c>
      <c r="M24" s="11" t="n">
        <v>-0.47</v>
      </c>
      <c r="N24" s="11" t="n">
        <v>-0.49</v>
      </c>
      <c r="O24" s="11" t="n">
        <v>-0.51</v>
      </c>
      <c r="P24" s="11" t="n">
        <v>-0.53</v>
      </c>
      <c r="Q24" s="11" t="n">
        <v>-0.55</v>
      </c>
      <c r="R24" s="11" t="n">
        <v>-0.57</v>
      </c>
      <c r="S24" s="11" t="n">
        <v>-0.59</v>
      </c>
      <c r="T24" s="11" t="n">
        <v>-0.6</v>
      </c>
      <c r="U24" s="11" t="n">
        <v>-0.62</v>
      </c>
      <c r="V24" s="11" t="n">
        <v>-0.64</v>
      </c>
      <c r="W24" s="11" t="n">
        <v>-0.2</v>
      </c>
      <c r="X24" s="11" t="n">
        <v>-0.21</v>
      </c>
      <c r="Y24" s="11" t="n">
        <v>-0.27</v>
      </c>
      <c r="Z24" s="11" t="n">
        <v>-0.34</v>
      </c>
      <c r="AA24" s="11" t="n">
        <v>-0.41</v>
      </c>
      <c r="AB24" s="11" t="n">
        <v>-0.49</v>
      </c>
      <c r="AC24" s="11" t="n">
        <v>-0.57</v>
      </c>
      <c r="AD24" s="11" t="n">
        <v>-0.64</v>
      </c>
    </row>
    <row r="25">
      <c r="A25" s="10" t="inlineStr">
        <is>
          <t>리스자산(순액)</t>
        </is>
      </c>
      <c r="C25" s="11" t="n">
        <v>0.47</v>
      </c>
      <c r="D25" s="11" t="n">
        <v>0.45</v>
      </c>
      <c r="E25" s="11" t="n">
        <v>0.43</v>
      </c>
      <c r="F25" s="11" t="n">
        <v>0.41</v>
      </c>
      <c r="G25" s="11" t="n">
        <v>0.4</v>
      </c>
      <c r="H25" s="11" t="n">
        <v>0.38</v>
      </c>
      <c r="I25" s="11" t="n">
        <v>0.36</v>
      </c>
      <c r="J25" s="11" t="n">
        <v>0.52</v>
      </c>
      <c r="K25" s="11" t="n">
        <v>0.32</v>
      </c>
      <c r="L25" s="11" t="n">
        <v>0.3</v>
      </c>
      <c r="M25" s="11" t="n">
        <v>0.28</v>
      </c>
      <c r="N25" s="11" t="n">
        <v>0.26</v>
      </c>
      <c r="O25" s="11" t="n">
        <v>0.24</v>
      </c>
      <c r="P25" s="11" t="n">
        <v>0.22</v>
      </c>
      <c r="Q25" s="11" t="n">
        <v>0.2</v>
      </c>
      <c r="R25" s="11" t="n">
        <v>0.19</v>
      </c>
      <c r="S25" s="11" t="n">
        <v>0.17</v>
      </c>
      <c r="T25" s="11" t="n">
        <v>0.15</v>
      </c>
      <c r="U25" s="11" t="n">
        <v>0.13</v>
      </c>
      <c r="V25" s="11" t="n">
        <v>0.11</v>
      </c>
      <c r="W25" s="11" t="n">
        <v>0.68</v>
      </c>
      <c r="X25" s="11" t="n">
        <v>0.57</v>
      </c>
      <c r="Y25" s="11" t="n">
        <v>0.49</v>
      </c>
      <c r="Z25" s="11" t="n">
        <v>0.41</v>
      </c>
      <c r="AA25" s="11" t="n">
        <v>0.52</v>
      </c>
      <c r="AB25" s="11" t="n">
        <v>0.26</v>
      </c>
      <c r="AC25" s="11" t="n">
        <v>0.19</v>
      </c>
      <c r="AD25" s="11" t="n">
        <v>0.11</v>
      </c>
    </row>
    <row r="26">
      <c r="A26" s="10" t="inlineStr">
        <is>
          <t>사용권자산</t>
        </is>
      </c>
      <c r="F26" s="11" t="n">
        <v>578.86</v>
      </c>
      <c r="J26" s="11" t="n">
        <v>725.37</v>
      </c>
      <c r="N26" s="11" t="n">
        <v>784.96</v>
      </c>
      <c r="R26" s="11" t="n">
        <v>926.3099999999999</v>
      </c>
      <c r="W26" s="11" t="n">
        <v>0</v>
      </c>
      <c r="X26" s="11" t="n">
        <v>367.75</v>
      </c>
      <c r="Y26" s="11" t="n">
        <v>442</v>
      </c>
      <c r="Z26" s="11" t="n">
        <v>578.86</v>
      </c>
      <c r="AA26" s="11" t="n">
        <v>725.37</v>
      </c>
      <c r="AB26" s="11" t="n">
        <v>784.96</v>
      </c>
      <c r="AC26" s="11" t="n">
        <v>926.3099999999999</v>
      </c>
    </row>
    <row r="27">
      <c r="A27" s="10" t="inlineStr">
        <is>
          <t>감가상각누계액</t>
        </is>
      </c>
      <c r="F27" s="11" t="n">
        <v>-269.08</v>
      </c>
      <c r="J27" s="11" t="n">
        <v>-351.09</v>
      </c>
      <c r="N27" s="11" t="n">
        <v>-405.18</v>
      </c>
      <c r="R27" s="11" t="n">
        <v>-471.77</v>
      </c>
      <c r="W27" s="11" t="n">
        <v>0</v>
      </c>
      <c r="X27" s="11" t="n">
        <v>-97.73</v>
      </c>
      <c r="Y27" s="11" t="n">
        <v>-177.68</v>
      </c>
      <c r="Z27" s="11" t="n">
        <v>-269.08</v>
      </c>
      <c r="AA27" s="11" t="n">
        <v>-351.09</v>
      </c>
      <c r="AB27" s="11" t="n">
        <v>-405.18</v>
      </c>
      <c r="AC27" s="11" t="n">
        <v>-471.77</v>
      </c>
    </row>
    <row r="28">
      <c r="A28" s="10" t="inlineStr">
        <is>
          <t>사용권자산(순액)</t>
        </is>
      </c>
      <c r="F28" s="11" t="n">
        <v>309.78</v>
      </c>
      <c r="J28" s="11" t="n">
        <v>374.28</v>
      </c>
      <c r="N28" s="11" t="n">
        <v>379.78</v>
      </c>
      <c r="R28" s="11" t="n">
        <v>454.54</v>
      </c>
      <c r="W28" s="11" t="n">
        <v>0</v>
      </c>
      <c r="X28" s="11" t="n">
        <v>270.02</v>
      </c>
      <c r="Y28" s="11" t="n">
        <v>264.32</v>
      </c>
      <c r="Z28" s="11" t="n">
        <v>309.78</v>
      </c>
      <c r="AA28" s="11" t="n">
        <v>374.28</v>
      </c>
      <c r="AB28" s="11" t="n">
        <v>379.78</v>
      </c>
      <c r="AC28" s="11" t="n">
        <v>454.54</v>
      </c>
    </row>
    <row r="29">
      <c r="A29" s="10" t="inlineStr">
        <is>
          <t>사용권자산</t>
        </is>
      </c>
      <c r="N29" s="11" t="n">
        <v>784.96</v>
      </c>
      <c r="P29" s="11" t="n">
        <v>852.02</v>
      </c>
      <c r="R29" s="11" t="n">
        <v>926.3099999999999</v>
      </c>
      <c r="T29" s="11" t="n">
        <v>1092.12</v>
      </c>
      <c r="AB29" s="11" t="n">
        <v>784.96</v>
      </c>
      <c r="AC29" s="11" t="n">
        <v>926.3099999999999</v>
      </c>
    </row>
    <row r="30">
      <c r="A30" s="10" t="inlineStr">
        <is>
          <t>감가상각누계액</t>
        </is>
      </c>
      <c r="N30" s="11" t="n">
        <v>-405.18</v>
      </c>
      <c r="P30" s="11" t="n">
        <v>-434.28</v>
      </c>
      <c r="R30" s="11" t="n">
        <v>-471.77</v>
      </c>
      <c r="T30" s="11" t="n">
        <v>-571.8</v>
      </c>
      <c r="AB30" s="11" t="n">
        <v>-405.18</v>
      </c>
      <c r="AC30" s="11" t="n">
        <v>-471.77</v>
      </c>
    </row>
    <row r="31">
      <c r="A31" s="10" t="inlineStr">
        <is>
          <t>사용권자산(순액)</t>
        </is>
      </c>
      <c r="N31" s="11" t="n">
        <v>379.78</v>
      </c>
      <c r="P31" s="11" t="n">
        <v>417.74</v>
      </c>
      <c r="R31" s="11" t="n">
        <v>454.54</v>
      </c>
      <c r="T31" s="11" t="n">
        <v>520.3099999999999</v>
      </c>
      <c r="AB31" s="11" t="n">
        <v>379.78</v>
      </c>
      <c r="AC31" s="11" t="n">
        <v>454.54</v>
      </c>
    </row>
    <row r="32">
      <c r="A32" s="10" t="inlineStr">
        <is>
          <t>사용권자산</t>
        </is>
      </c>
      <c r="C32" s="11" t="n">
        <v>464.76</v>
      </c>
      <c r="D32" s="11" t="n">
        <v>484.24</v>
      </c>
      <c r="E32" s="11" t="n">
        <v>543.38</v>
      </c>
      <c r="F32" s="11" t="n">
        <v>578.86</v>
      </c>
      <c r="G32" s="11" t="n">
        <v>592.76</v>
      </c>
      <c r="H32" s="11" t="n">
        <v>610.04</v>
      </c>
      <c r="I32" s="11" t="n">
        <v>652.59</v>
      </c>
      <c r="J32" s="11" t="n">
        <v>725.37</v>
      </c>
      <c r="K32" s="11" t="n">
        <v>756.54</v>
      </c>
      <c r="L32" s="11" t="n">
        <v>777.83</v>
      </c>
      <c r="M32" s="11" t="n">
        <v>811.97</v>
      </c>
      <c r="N32" s="11" t="n">
        <v>784.96</v>
      </c>
      <c r="O32" s="11" t="n">
        <v>814.55</v>
      </c>
      <c r="Q32" s="11" t="n">
        <v>926.64</v>
      </c>
      <c r="R32" s="11" t="n">
        <v>926.3099999999999</v>
      </c>
      <c r="S32" s="11" t="n">
        <v>1006.83</v>
      </c>
      <c r="U32" s="11" t="n">
        <v>1146.57</v>
      </c>
      <c r="W32" s="11" t="n">
        <v>0</v>
      </c>
      <c r="X32" s="11" t="n">
        <v>367.75</v>
      </c>
      <c r="Y32" s="11" t="n">
        <v>442</v>
      </c>
      <c r="Z32" s="11" t="n">
        <v>578.86</v>
      </c>
      <c r="AA32" s="11" t="n">
        <v>725.37</v>
      </c>
      <c r="AB32" s="11" t="n">
        <v>784.96</v>
      </c>
      <c r="AC32" s="11" t="n">
        <v>926.3099999999999</v>
      </c>
    </row>
    <row r="33">
      <c r="A33" s="10" t="inlineStr">
        <is>
          <t>감가상각누계액</t>
        </is>
      </c>
      <c r="C33" s="11" t="n">
        <v>-194.75</v>
      </c>
      <c r="D33" s="11" t="n">
        <v>-214.24</v>
      </c>
      <c r="E33" s="11" t="n">
        <v>-257.8</v>
      </c>
      <c r="F33" s="11" t="n">
        <v>-269.08</v>
      </c>
      <c r="G33" s="11" t="n">
        <v>-281.34</v>
      </c>
      <c r="H33" s="11" t="n">
        <v>-298.19</v>
      </c>
      <c r="I33" s="11" t="n">
        <v>-315.77</v>
      </c>
      <c r="J33" s="11" t="n">
        <v>-351.09</v>
      </c>
      <c r="K33" s="11" t="n">
        <v>-372.86</v>
      </c>
      <c r="L33" s="11" t="n">
        <v>-391.33</v>
      </c>
      <c r="M33" s="11" t="n">
        <v>-410.41</v>
      </c>
      <c r="N33" s="11" t="n">
        <v>-405.18</v>
      </c>
      <c r="O33" s="11" t="n">
        <v>-418.4</v>
      </c>
      <c r="Q33" s="11" t="n">
        <v>-457.15</v>
      </c>
      <c r="R33" s="11" t="n">
        <v>-471.77</v>
      </c>
      <c r="S33" s="11" t="n">
        <v>-527.63</v>
      </c>
      <c r="U33" s="11" t="n">
        <v>-601.53</v>
      </c>
      <c r="W33" s="11" t="n">
        <v>0</v>
      </c>
      <c r="X33" s="11" t="n">
        <v>-97.73</v>
      </c>
      <c r="Y33" s="11" t="n">
        <v>-177.68</v>
      </c>
      <c r="Z33" s="11" t="n">
        <v>-269.08</v>
      </c>
      <c r="AA33" s="11" t="n">
        <v>-351.09</v>
      </c>
      <c r="AB33" s="11" t="n">
        <v>-405.18</v>
      </c>
      <c r="AC33" s="11" t="n">
        <v>-471.77</v>
      </c>
    </row>
    <row r="34">
      <c r="A34" s="10" t="inlineStr">
        <is>
          <t>사용권자산(순액)</t>
        </is>
      </c>
      <c r="C34" s="11" t="n">
        <v>270</v>
      </c>
      <c r="D34" s="11" t="n">
        <v>269.99</v>
      </c>
      <c r="E34" s="11" t="n">
        <v>285.57</v>
      </c>
      <c r="F34" s="11" t="n">
        <v>309.78</v>
      </c>
      <c r="G34" s="11" t="n">
        <v>311.41</v>
      </c>
      <c r="H34" s="11" t="n">
        <v>311.84</v>
      </c>
      <c r="I34" s="11" t="n">
        <v>336.82</v>
      </c>
      <c r="J34" s="11" t="n">
        <v>374.28</v>
      </c>
      <c r="K34" s="11" t="n">
        <v>383.67</v>
      </c>
      <c r="L34" s="11" t="n">
        <v>386.5</v>
      </c>
      <c r="M34" s="11" t="n">
        <v>401.55</v>
      </c>
      <c r="N34" s="11" t="n">
        <v>379.78</v>
      </c>
      <c r="O34" s="11" t="n">
        <v>396.15</v>
      </c>
      <c r="Q34" s="11" t="n">
        <v>469.49</v>
      </c>
      <c r="R34" s="11" t="n">
        <v>454.54</v>
      </c>
      <c r="S34" s="11" t="n">
        <v>479.19</v>
      </c>
      <c r="U34" s="11" t="n">
        <v>545.03</v>
      </c>
      <c r="W34" s="11" t="n">
        <v>0</v>
      </c>
      <c r="X34" s="11" t="n">
        <v>270.02</v>
      </c>
      <c r="Y34" s="11" t="n">
        <v>264.32</v>
      </c>
      <c r="Z34" s="11" t="n">
        <v>309.78</v>
      </c>
      <c r="AA34" s="11" t="n">
        <v>374.28</v>
      </c>
      <c r="AB34" s="11" t="n">
        <v>379.78</v>
      </c>
      <c r="AC34" s="11" t="n">
        <v>454.54</v>
      </c>
    </row>
    <row r="35">
      <c r="A35" s="10" t="inlineStr">
        <is>
          <t>사용권자산</t>
        </is>
      </c>
      <c r="R35" s="11" t="n">
        <v>926.3099999999999</v>
      </c>
      <c r="V35" s="11" t="n">
        <v>1155.91</v>
      </c>
      <c r="AC35" s="11" t="n">
        <v>926.3099999999999</v>
      </c>
      <c r="AD35" s="11" t="n">
        <v>1155.91</v>
      </c>
    </row>
    <row r="36">
      <c r="A36" s="10" t="inlineStr">
        <is>
          <t>감가상각누계액</t>
        </is>
      </c>
      <c r="R36" s="11" t="n">
        <v>-471.77</v>
      </c>
      <c r="V36" s="11" t="n">
        <v>-609.4299999999999</v>
      </c>
      <c r="AC36" s="11" t="n">
        <v>-471.77</v>
      </c>
      <c r="AD36" s="11" t="n">
        <v>-609.4299999999999</v>
      </c>
    </row>
    <row r="37">
      <c r="A37" s="10" t="inlineStr">
        <is>
          <t>사용권자산(순액)</t>
        </is>
      </c>
      <c r="R37" s="11" t="n">
        <v>454.54</v>
      </c>
      <c r="V37" s="11" t="n">
        <v>546.47</v>
      </c>
      <c r="AC37" s="11" t="n">
        <v>454.54</v>
      </c>
      <c r="AD37" s="11" t="n">
        <v>546.47</v>
      </c>
    </row>
    <row r="38">
      <c r="A38" s="10" t="inlineStr">
        <is>
          <t>건설중인자산</t>
        </is>
      </c>
      <c r="C38" s="11" t="n">
        <v>5.92</v>
      </c>
      <c r="D38" s="11" t="n">
        <v>3.45</v>
      </c>
      <c r="E38" s="11" t="n">
        <v>7.44</v>
      </c>
      <c r="F38" s="11" t="n">
        <v>15.45</v>
      </c>
      <c r="G38" s="11" t="n">
        <v>13.04</v>
      </c>
      <c r="H38" s="11" t="n">
        <v>5.65</v>
      </c>
      <c r="I38" s="11" t="n">
        <v>11.35</v>
      </c>
      <c r="J38" s="11" t="n">
        <v>18.31</v>
      </c>
      <c r="K38" s="11" t="n">
        <v>18.2</v>
      </c>
      <c r="L38" s="11" t="n">
        <v>25.94</v>
      </c>
      <c r="M38" s="11" t="n">
        <v>34.78</v>
      </c>
      <c r="N38" s="11" t="n">
        <v>25.65</v>
      </c>
      <c r="O38" s="11" t="n">
        <v>17.13</v>
      </c>
      <c r="P38" s="11" t="n">
        <v>17.12</v>
      </c>
      <c r="Q38" s="11" t="n">
        <v>26.92</v>
      </c>
      <c r="R38" s="11" t="n">
        <v>34</v>
      </c>
      <c r="S38" s="11" t="n">
        <v>43.83</v>
      </c>
      <c r="T38" s="11" t="n">
        <v>29.3</v>
      </c>
      <c r="U38" s="11" t="n">
        <v>31.78</v>
      </c>
      <c r="V38" s="11" t="n">
        <v>34.53</v>
      </c>
      <c r="W38" s="11" t="n">
        <v>25.92</v>
      </c>
      <c r="X38" s="11" t="n">
        <v>7.04</v>
      </c>
      <c r="Y38" s="11" t="n">
        <v>6.73</v>
      </c>
      <c r="Z38" s="11" t="n">
        <v>15.45</v>
      </c>
      <c r="AA38" s="11" t="n">
        <v>18.31</v>
      </c>
      <c r="AB38" s="11" t="n">
        <v>25.65</v>
      </c>
      <c r="AC38" s="11" t="n">
        <v>34</v>
      </c>
      <c r="AD38" s="11" t="n">
        <v>34.53</v>
      </c>
    </row>
    <row r="39">
      <c r="A39" s="10" t="inlineStr">
        <is>
          <t>유형자산 합계</t>
        </is>
      </c>
      <c r="C39" s="11" t="n">
        <v>681.25</v>
      </c>
      <c r="D39" s="11" t="n">
        <v>674.29</v>
      </c>
      <c r="E39" s="11" t="n">
        <v>705.25</v>
      </c>
      <c r="F39" s="11" t="n">
        <v>730.8200000000001</v>
      </c>
      <c r="G39" s="11" t="n">
        <v>762.75</v>
      </c>
      <c r="H39" s="11" t="n">
        <v>770.79</v>
      </c>
      <c r="I39" s="11" t="n">
        <v>816.27</v>
      </c>
      <c r="J39" s="11" t="n">
        <v>836.3</v>
      </c>
      <c r="K39" s="11" t="n">
        <v>897.98</v>
      </c>
      <c r="L39" s="11" t="n">
        <v>928.4</v>
      </c>
      <c r="M39" s="11" t="n">
        <v>959.04</v>
      </c>
      <c r="N39" s="11" t="n">
        <v>935.14</v>
      </c>
      <c r="O39" s="11" t="n">
        <v>995.03</v>
      </c>
      <c r="P39" s="11" t="n">
        <v>1022.61</v>
      </c>
      <c r="Q39" s="11" t="n">
        <v>1117.61</v>
      </c>
      <c r="R39" s="11" t="n">
        <v>1099.29</v>
      </c>
      <c r="S39" s="11" t="n">
        <v>1184.98</v>
      </c>
      <c r="T39" s="11" t="n">
        <v>1239.57</v>
      </c>
      <c r="U39" s="11" t="n">
        <v>1292.57</v>
      </c>
      <c r="V39" s="11" t="n">
        <v>1305.78</v>
      </c>
      <c r="W39" s="11" t="n">
        <v>461.67</v>
      </c>
      <c r="X39" s="11" t="n">
        <v>678.1</v>
      </c>
      <c r="Y39" s="11" t="n">
        <v>670.6</v>
      </c>
      <c r="Z39" s="11" t="n">
        <v>730.8200000000001</v>
      </c>
      <c r="AA39" s="11" t="n">
        <v>836.3</v>
      </c>
      <c r="AB39" s="11" t="n">
        <v>935.14</v>
      </c>
      <c r="AC39" s="11" t="n">
        <v>1099.29</v>
      </c>
      <c r="AD39" s="11" t="n">
        <v>1305.78</v>
      </c>
    </row>
    <row r="40">
      <c r="A40" s="10" t="inlineStr">
        <is>
          <t>영업권</t>
        </is>
      </c>
      <c r="C40" s="11" t="n">
        <v>22.72</v>
      </c>
      <c r="D40" s="11" t="n">
        <v>20.6</v>
      </c>
      <c r="E40" s="11" t="n">
        <v>19.59</v>
      </c>
      <c r="F40" s="11" t="n">
        <v>17.67</v>
      </c>
      <c r="G40" s="11" t="n">
        <v>14.93</v>
      </c>
      <c r="H40" s="11" t="n">
        <v>12.32</v>
      </c>
      <c r="I40" s="11" t="n">
        <v>10.01</v>
      </c>
      <c r="J40" s="11" t="n">
        <v>7.59</v>
      </c>
      <c r="K40" s="11" t="n">
        <v>5.16</v>
      </c>
      <c r="L40" s="11" t="n">
        <v>2.53</v>
      </c>
      <c r="M40" s="11" t="n">
        <v>2.43</v>
      </c>
      <c r="N40" s="11" t="n">
        <v>2.23</v>
      </c>
      <c r="O40" s="11" t="n">
        <v>2.07</v>
      </c>
      <c r="P40" s="11" t="n">
        <v>1.98</v>
      </c>
      <c r="Q40" s="11" t="n">
        <v>1.85</v>
      </c>
      <c r="R40" s="11" t="n">
        <v>1.73</v>
      </c>
      <c r="S40" s="11" t="n">
        <v>1.66</v>
      </c>
      <c r="T40" s="11" t="n">
        <v>1.55</v>
      </c>
      <c r="U40" s="11" t="n">
        <v>1.41</v>
      </c>
      <c r="V40" s="11" t="n">
        <v>1.31</v>
      </c>
      <c r="W40" s="11" t="n">
        <v>42.37</v>
      </c>
      <c r="X40" s="11" t="n">
        <v>28.19</v>
      </c>
      <c r="Y40" s="11" t="n">
        <v>24.39</v>
      </c>
      <c r="Z40" s="11" t="n">
        <v>17.67</v>
      </c>
      <c r="AA40" s="11" t="n">
        <v>7.59</v>
      </c>
      <c r="AB40" s="11" t="n">
        <v>2.23</v>
      </c>
      <c r="AC40" s="11" t="n">
        <v>1.73</v>
      </c>
      <c r="AD40" s="11" t="n">
        <v>1.31</v>
      </c>
    </row>
    <row r="41">
      <c r="A41" s="10" t="inlineStr">
        <is>
          <t>소프트웨어</t>
        </is>
      </c>
      <c r="C41" s="11" t="n">
        <v>261.87</v>
      </c>
      <c r="D41" s="11" t="n">
        <v>254.29</v>
      </c>
      <c r="E41" s="11" t="n">
        <v>253.87</v>
      </c>
      <c r="F41" s="11" t="n">
        <v>256.86</v>
      </c>
      <c r="G41" s="11" t="n">
        <v>255.65</v>
      </c>
      <c r="H41" s="11" t="n">
        <v>258.15</v>
      </c>
      <c r="I41" s="11" t="n">
        <v>261.52</v>
      </c>
      <c r="J41" s="11" t="n">
        <v>268.85</v>
      </c>
      <c r="K41" s="11" t="n">
        <v>276.12</v>
      </c>
      <c r="L41" s="11" t="n">
        <v>289.62</v>
      </c>
      <c r="M41" s="11" t="n">
        <v>304.21</v>
      </c>
      <c r="N41" s="11" t="n">
        <v>327.71</v>
      </c>
      <c r="O41" s="11" t="n">
        <v>344.88</v>
      </c>
      <c r="P41" s="11" t="n">
        <v>358.85</v>
      </c>
      <c r="Q41" s="11" t="n">
        <v>376.68</v>
      </c>
      <c r="R41" s="11" t="n">
        <v>401.55</v>
      </c>
      <c r="S41" s="11" t="n">
        <v>405.41</v>
      </c>
      <c r="T41" s="11" t="n">
        <v>409.45</v>
      </c>
      <c r="U41" s="11" t="n">
        <v>374.68</v>
      </c>
      <c r="V41" s="11" t="n">
        <v>370.75</v>
      </c>
      <c r="W41" s="11" t="n">
        <v>102.2</v>
      </c>
      <c r="X41" s="11" t="n">
        <v>192.67</v>
      </c>
      <c r="Y41" s="11" t="n">
        <v>248.85</v>
      </c>
      <c r="Z41" s="11" t="n">
        <v>256.86</v>
      </c>
      <c r="AA41" s="11" t="n">
        <v>268.85</v>
      </c>
      <c r="AB41" s="11" t="n">
        <v>327.71</v>
      </c>
      <c r="AC41" s="11" t="n">
        <v>401.55</v>
      </c>
      <c r="AD41" s="11" t="n">
        <v>370.75</v>
      </c>
    </row>
    <row r="42">
      <c r="A42" s="10" t="inlineStr">
        <is>
          <t>기타</t>
        </is>
      </c>
      <c r="C42" s="11" t="n">
        <v>21.46</v>
      </c>
      <c r="D42" s="11" t="n">
        <v>21.51</v>
      </c>
      <c r="E42" s="11" t="n">
        <v>21.93</v>
      </c>
      <c r="F42" s="11" t="n">
        <v>21.73</v>
      </c>
      <c r="G42" s="11" t="n">
        <v>21.95</v>
      </c>
      <c r="H42" s="11" t="n">
        <v>22.01</v>
      </c>
      <c r="I42" s="11" t="n">
        <v>22.22</v>
      </c>
      <c r="J42" s="11" t="n">
        <v>19.1</v>
      </c>
      <c r="K42" s="11" t="n">
        <v>18.48</v>
      </c>
      <c r="L42" s="11" t="n">
        <v>18.52</v>
      </c>
      <c r="M42" s="11" t="n">
        <v>18.69</v>
      </c>
      <c r="N42" s="11" t="n">
        <v>18.49</v>
      </c>
      <c r="O42" s="11" t="n">
        <v>18.42</v>
      </c>
      <c r="P42" s="11" t="n">
        <v>18.38</v>
      </c>
      <c r="Q42" s="11" t="n">
        <v>18.53</v>
      </c>
      <c r="R42" s="11" t="n">
        <v>18.72</v>
      </c>
      <c r="S42" s="11" t="n">
        <v>18.93</v>
      </c>
      <c r="T42" s="11" t="n">
        <v>17.35</v>
      </c>
      <c r="U42" s="11" t="n">
        <v>17.37</v>
      </c>
      <c r="V42" s="11" t="n">
        <v>16.64</v>
      </c>
      <c r="W42" s="11" t="n">
        <v>20.22</v>
      </c>
      <c r="X42" s="11" t="n">
        <v>20.94</v>
      </c>
      <c r="Y42" s="11" t="n">
        <v>21.54</v>
      </c>
      <c r="Z42" s="11" t="n">
        <v>21.73</v>
      </c>
      <c r="AA42" s="11" t="n">
        <v>19.1</v>
      </c>
      <c r="AB42" s="11" t="n">
        <v>18.49</v>
      </c>
      <c r="AC42" s="11" t="n">
        <v>18.72</v>
      </c>
      <c r="AD42" s="11" t="n">
        <v>16.64</v>
      </c>
    </row>
    <row r="43">
      <c r="A43" s="10" t="inlineStr">
        <is>
          <t>무형자산 합계</t>
        </is>
      </c>
      <c r="C43" s="11" t="n">
        <v>306.06</v>
      </c>
      <c r="D43" s="11" t="n">
        <v>296.41</v>
      </c>
      <c r="E43" s="11" t="n">
        <v>295.39</v>
      </c>
      <c r="F43" s="11" t="n">
        <v>296.27</v>
      </c>
      <c r="G43" s="11" t="n">
        <v>292.54</v>
      </c>
      <c r="H43" s="11" t="n">
        <v>292.49</v>
      </c>
      <c r="I43" s="11" t="n">
        <v>293.76</v>
      </c>
      <c r="J43" s="11" t="n">
        <v>295.55</v>
      </c>
      <c r="K43" s="11" t="n">
        <v>299.76</v>
      </c>
      <c r="L43" s="11" t="n">
        <v>310.68</v>
      </c>
      <c r="M43" s="11" t="n">
        <v>325.34</v>
      </c>
      <c r="N43" s="11" t="n">
        <v>348.43</v>
      </c>
      <c r="O43" s="11" t="n">
        <v>365.38</v>
      </c>
      <c r="P43" s="11" t="n">
        <v>379.21</v>
      </c>
      <c r="Q43" s="11" t="n">
        <v>397.07</v>
      </c>
      <c r="R43" s="11" t="n">
        <v>422.01</v>
      </c>
      <c r="S43" s="11" t="n">
        <v>426.01</v>
      </c>
      <c r="T43" s="11" t="n">
        <v>428.36</v>
      </c>
      <c r="U43" s="11" t="n">
        <v>393.47</v>
      </c>
      <c r="V43" s="11" t="n">
        <v>388.72</v>
      </c>
      <c r="W43" s="11" t="n">
        <v>164.79</v>
      </c>
      <c r="X43" s="11" t="n">
        <v>241.8</v>
      </c>
      <c r="Y43" s="11" t="n">
        <v>294.79</v>
      </c>
      <c r="Z43" s="11" t="n">
        <v>296.27</v>
      </c>
      <c r="AA43" s="11" t="n">
        <v>295.55</v>
      </c>
      <c r="AB43" s="11" t="n">
        <v>348.43</v>
      </c>
      <c r="AC43" s="11" t="n">
        <v>422.01</v>
      </c>
      <c r="AD43" s="11" t="n">
        <v>388.72</v>
      </c>
    </row>
    <row r="44">
      <c r="A44" s="10" t="inlineStr">
        <is>
          <t>투자유가증권</t>
        </is>
      </c>
      <c r="C44" s="11" t="n">
        <v>43.27</v>
      </c>
      <c r="D44" s="11" t="n">
        <v>42.66</v>
      </c>
      <c r="E44" s="11" t="n">
        <v>43.56</v>
      </c>
      <c r="F44" s="11" t="n">
        <v>45.73</v>
      </c>
      <c r="G44" s="11" t="n">
        <v>47.73</v>
      </c>
      <c r="H44" s="11" t="n">
        <v>42.38</v>
      </c>
      <c r="I44" s="11" t="n">
        <v>14.41</v>
      </c>
      <c r="J44" s="11" t="n">
        <v>17.13</v>
      </c>
      <c r="K44" s="11" t="n">
        <v>18.73</v>
      </c>
      <c r="L44" s="11" t="n">
        <v>21.9</v>
      </c>
      <c r="M44" s="11" t="n">
        <v>27.04</v>
      </c>
      <c r="N44" s="11" t="n">
        <v>24.25</v>
      </c>
      <c r="O44" s="11" t="n">
        <v>26.91</v>
      </c>
      <c r="P44" s="11" t="n">
        <v>26.48</v>
      </c>
      <c r="Q44" s="11" t="n">
        <v>29.66</v>
      </c>
      <c r="R44" s="11" t="n">
        <v>28.41</v>
      </c>
      <c r="S44" s="11" t="n">
        <v>0</v>
      </c>
      <c r="T44" s="11" t="n">
        <v>0</v>
      </c>
      <c r="U44" s="11" t="n">
        <v>0</v>
      </c>
      <c r="V44" s="11" t="n">
        <v>0</v>
      </c>
      <c r="W44" s="11" t="n">
        <v>44.22</v>
      </c>
      <c r="X44" s="11" t="n">
        <v>41.08</v>
      </c>
      <c r="Y44" s="11" t="n">
        <v>47.3</v>
      </c>
      <c r="Z44" s="11" t="n">
        <v>45.73</v>
      </c>
      <c r="AA44" s="11" t="n">
        <v>17.13</v>
      </c>
      <c r="AB44" s="11" t="n">
        <v>24.25</v>
      </c>
      <c r="AC44" s="11" t="n">
        <v>28.41</v>
      </c>
      <c r="AD44" s="11" t="n">
        <v>0</v>
      </c>
    </row>
    <row r="45">
      <c r="A45" s="10" t="inlineStr">
        <is>
          <t>이연법인세자산</t>
        </is>
      </c>
      <c r="W45" s="11" t="n">
        <v>14.54</v>
      </c>
      <c r="X45" s="11" t="n">
        <v>17.11</v>
      </c>
    </row>
    <row r="46">
      <c r="A46" s="10" t="inlineStr">
        <is>
          <t>이연법인세자산</t>
        </is>
      </c>
      <c r="C46" s="11" t="n">
        <v>26.89</v>
      </c>
      <c r="D46" s="11" t="n">
        <v>25.71</v>
      </c>
      <c r="E46" s="11" t="n">
        <v>30.07</v>
      </c>
      <c r="F46" s="11" t="n">
        <v>28.84</v>
      </c>
      <c r="G46" s="11" t="n">
        <v>28.39</v>
      </c>
      <c r="H46" s="11" t="n">
        <v>27.52</v>
      </c>
      <c r="I46" s="11" t="n">
        <v>27.94</v>
      </c>
      <c r="J46" s="11" t="n">
        <v>27.74</v>
      </c>
      <c r="K46" s="11" t="n">
        <v>28.87</v>
      </c>
      <c r="L46" s="11" t="n">
        <v>27.78</v>
      </c>
      <c r="M46" s="11" t="n">
        <v>22.9</v>
      </c>
      <c r="N46" s="11" t="n">
        <v>22.11</v>
      </c>
      <c r="O46" s="11" t="n">
        <v>20.64</v>
      </c>
      <c r="P46" s="11" t="n">
        <v>21.84</v>
      </c>
      <c r="Q46" s="11" t="n">
        <v>21.73</v>
      </c>
      <c r="R46" s="11" t="n">
        <v>21.86</v>
      </c>
      <c r="S46" s="11" t="n">
        <v>22.92</v>
      </c>
      <c r="T46" s="11" t="n">
        <v>24.31</v>
      </c>
      <c r="U46" s="11" t="n">
        <v>24.58</v>
      </c>
      <c r="V46" s="11" t="n">
        <v>66.66</v>
      </c>
      <c r="X46" s="11" t="n">
        <v>21.1</v>
      </c>
      <c r="Y46" s="11" t="n">
        <v>26.34</v>
      </c>
      <c r="Z46" s="11" t="n">
        <v>28.84</v>
      </c>
      <c r="AA46" s="11" t="n">
        <v>27.74</v>
      </c>
      <c r="AB46" s="11" t="n">
        <v>22.11</v>
      </c>
      <c r="AC46" s="11" t="n">
        <v>21.86</v>
      </c>
      <c r="AD46" s="11" t="n">
        <v>66.66</v>
      </c>
    </row>
    <row r="47">
      <c r="A47" s="10" t="inlineStr">
        <is>
          <t>임차보증금·보증금</t>
        </is>
      </c>
      <c r="C47" s="11" t="n">
        <v>199.28</v>
      </c>
      <c r="D47" s="11" t="n">
        <v>200.76</v>
      </c>
      <c r="E47" s="11" t="n">
        <v>208.59</v>
      </c>
      <c r="F47" s="11" t="n">
        <v>214.42</v>
      </c>
      <c r="G47" s="11" t="n">
        <v>223.43</v>
      </c>
      <c r="H47" s="11" t="n">
        <v>221.4</v>
      </c>
      <c r="I47" s="11" t="n">
        <v>228.33</v>
      </c>
      <c r="J47" s="11" t="n">
        <v>238.46</v>
      </c>
      <c r="K47" s="11" t="n">
        <v>243.51</v>
      </c>
      <c r="L47" s="11" t="n">
        <v>246.62</v>
      </c>
      <c r="M47" s="11" t="n">
        <v>258.05</v>
      </c>
      <c r="N47" s="11" t="n">
        <v>262.49</v>
      </c>
      <c r="O47" s="11" t="n">
        <v>266.89</v>
      </c>
      <c r="P47" s="11" t="n">
        <v>271.28</v>
      </c>
      <c r="Q47" s="11" t="n">
        <v>267.85</v>
      </c>
      <c r="R47" s="11" t="n">
        <v>276.68</v>
      </c>
      <c r="S47" s="11" t="n">
        <v>282.27</v>
      </c>
      <c r="T47" s="11" t="n">
        <v>285.74</v>
      </c>
      <c r="U47" s="11" t="n">
        <v>287.52</v>
      </c>
      <c r="V47" s="11" t="n">
        <v>291.72</v>
      </c>
      <c r="W47" s="11" t="n">
        <v>186.53</v>
      </c>
      <c r="X47" s="11" t="n">
        <v>186.24</v>
      </c>
      <c r="Y47" s="11" t="n">
        <v>195.95</v>
      </c>
      <c r="Z47" s="11" t="n">
        <v>214.42</v>
      </c>
      <c r="AA47" s="11" t="n">
        <v>238.46</v>
      </c>
      <c r="AB47" s="11" t="n">
        <v>262.49</v>
      </c>
      <c r="AC47" s="11" t="n">
        <v>276.68</v>
      </c>
      <c r="AD47" s="11" t="n">
        <v>291.72</v>
      </c>
    </row>
    <row r="48">
      <c r="A48" s="10" t="inlineStr">
        <is>
          <t>고정화 영업채권</t>
        </is>
      </c>
      <c r="J48" s="11" t="n">
        <v>0</v>
      </c>
      <c r="M48" s="11" t="n">
        <v>130.23</v>
      </c>
      <c r="N48" s="11" t="n">
        <v>124.58</v>
      </c>
      <c r="O48" s="11" t="n">
        <v>123.37</v>
      </c>
      <c r="P48" s="11" t="n">
        <v>122.51</v>
      </c>
      <c r="Q48" s="11" t="n">
        <v>0</v>
      </c>
      <c r="R48" s="11" t="n">
        <v>0</v>
      </c>
      <c r="AA48" s="11" t="n">
        <v>0</v>
      </c>
      <c r="AB48" s="11" t="n">
        <v>124.58</v>
      </c>
      <c r="AC48" s="11" t="n">
        <v>0</v>
      </c>
    </row>
    <row r="49">
      <c r="A49" s="10" t="inlineStr">
        <is>
          <t>기타</t>
        </is>
      </c>
      <c r="C49" s="11" t="n">
        <v>12.4</v>
      </c>
      <c r="D49" s="11" t="n">
        <v>15.44</v>
      </c>
      <c r="E49" s="11" t="n">
        <v>25.35</v>
      </c>
      <c r="F49" s="11" t="n">
        <v>56.04</v>
      </c>
      <c r="G49" s="11" t="n">
        <v>33.54</v>
      </c>
      <c r="H49" s="11" t="n">
        <v>35.55</v>
      </c>
      <c r="I49" s="11" t="n">
        <v>105.74</v>
      </c>
      <c r="J49" s="11" t="n">
        <v>188.73</v>
      </c>
      <c r="K49" s="11" t="n">
        <v>198.27</v>
      </c>
      <c r="L49" s="11" t="n">
        <v>232.74</v>
      </c>
      <c r="M49" s="11" t="n">
        <v>322.86</v>
      </c>
      <c r="N49" s="11" t="n">
        <v>120.48</v>
      </c>
      <c r="O49" s="11" t="n">
        <v>193.49</v>
      </c>
      <c r="P49" s="11" t="n">
        <v>170.07</v>
      </c>
      <c r="Q49" s="11" t="n">
        <v>37.88</v>
      </c>
      <c r="R49" s="11" t="n">
        <v>109.34</v>
      </c>
      <c r="S49" s="11" t="n">
        <v>260.83</v>
      </c>
      <c r="T49" s="11" t="n">
        <v>231.99</v>
      </c>
      <c r="U49" s="11" t="n">
        <v>224.05</v>
      </c>
      <c r="V49" s="11" t="n">
        <v>195.9</v>
      </c>
      <c r="W49" s="11" t="n">
        <v>37.35</v>
      </c>
      <c r="X49" s="11" t="n">
        <v>31.95</v>
      </c>
      <c r="Y49" s="11" t="n">
        <v>9.199999999999999</v>
      </c>
      <c r="Z49" s="11" t="n">
        <v>56.04</v>
      </c>
      <c r="AA49" s="11" t="n">
        <v>188.73</v>
      </c>
      <c r="AB49" s="11" t="n">
        <v>120.48</v>
      </c>
      <c r="AC49" s="11" t="n">
        <v>109.34</v>
      </c>
      <c r="AD49" s="11" t="n">
        <v>195.9</v>
      </c>
    </row>
    <row r="50">
      <c r="A50" s="10" t="inlineStr">
        <is>
          <t>대손충당금</t>
        </is>
      </c>
      <c r="C50" s="11" t="n">
        <v>-1.09</v>
      </c>
      <c r="D50" s="11" t="n">
        <v>-1.07</v>
      </c>
      <c r="E50" s="11" t="n">
        <v>-1.05</v>
      </c>
      <c r="F50" s="11" t="n">
        <v>-0.98</v>
      </c>
      <c r="G50" s="11" t="n">
        <v>-0.96</v>
      </c>
      <c r="H50" s="11" t="n">
        <v>-0.95</v>
      </c>
      <c r="I50" s="11" t="n">
        <v>-0.93</v>
      </c>
      <c r="J50" s="11" t="n">
        <v>-0.92</v>
      </c>
      <c r="K50" s="11" t="n">
        <v>-0.9</v>
      </c>
      <c r="L50" s="11" t="n">
        <v>-4.47</v>
      </c>
      <c r="M50" s="11" t="n">
        <v>-100.95</v>
      </c>
      <c r="N50" s="11" t="n">
        <v>-96.48999999999999</v>
      </c>
      <c r="O50" s="11" t="n">
        <v>-95.43000000000001</v>
      </c>
      <c r="P50" s="11" t="n">
        <v>-94.70999999999999</v>
      </c>
      <c r="Q50" s="11" t="n">
        <v>-0.8100000000000001</v>
      </c>
      <c r="R50" s="11" t="n">
        <v>-0.8</v>
      </c>
      <c r="S50" s="11" t="n">
        <v>-0.78</v>
      </c>
      <c r="T50" s="11" t="n">
        <v>-0.77</v>
      </c>
      <c r="U50" s="11" t="n">
        <v>-0.75</v>
      </c>
      <c r="V50" s="11" t="n">
        <v>-0.82</v>
      </c>
      <c r="W50" s="11" t="n">
        <v>-1.25</v>
      </c>
      <c r="X50" s="11" t="n">
        <v>-1.16</v>
      </c>
      <c r="Y50" s="11" t="n">
        <v>-1.1</v>
      </c>
      <c r="Z50" s="11" t="n">
        <v>-0.98</v>
      </c>
      <c r="AA50" s="11" t="n">
        <v>-0.92</v>
      </c>
      <c r="AB50" s="11" t="n">
        <v>-96.48999999999999</v>
      </c>
      <c r="AC50" s="11" t="n">
        <v>-0.8</v>
      </c>
      <c r="AD50" s="11" t="n">
        <v>-0.82</v>
      </c>
    </row>
    <row r="51">
      <c r="A51" s="10" t="inlineStr">
        <is>
          <t>투자 및 기타자산 합계</t>
        </is>
      </c>
      <c r="C51" s="11" t="n">
        <v>280.76</v>
      </c>
      <c r="D51" s="11" t="n">
        <v>283.52</v>
      </c>
      <c r="E51" s="11" t="n">
        <v>306.53</v>
      </c>
      <c r="F51" s="11" t="n">
        <v>344.07</v>
      </c>
      <c r="G51" s="11" t="n">
        <v>332.14</v>
      </c>
      <c r="H51" s="11" t="n">
        <v>325.92</v>
      </c>
      <c r="I51" s="11" t="n">
        <v>375.49</v>
      </c>
      <c r="J51" s="11" t="n">
        <v>471.16</v>
      </c>
      <c r="K51" s="11" t="n">
        <v>488.49</v>
      </c>
      <c r="L51" s="11" t="n">
        <v>524.5700000000001</v>
      </c>
      <c r="M51" s="11" t="n">
        <v>660.14</v>
      </c>
      <c r="N51" s="11" t="n">
        <v>457.44</v>
      </c>
      <c r="O51" s="11" t="n">
        <v>535.89</v>
      </c>
      <c r="P51" s="11" t="n">
        <v>517.48</v>
      </c>
      <c r="Q51" s="11" t="n">
        <v>356.31</v>
      </c>
      <c r="R51" s="11" t="n">
        <v>435.49</v>
      </c>
      <c r="S51" s="11" t="n">
        <v>565.24</v>
      </c>
      <c r="T51" s="11" t="n">
        <v>541.27</v>
      </c>
      <c r="U51" s="11" t="n">
        <v>535.4</v>
      </c>
      <c r="V51" s="11" t="n">
        <v>553.48</v>
      </c>
      <c r="W51" s="11" t="n">
        <v>281.4</v>
      </c>
      <c r="X51" s="11" t="n">
        <v>279.21</v>
      </c>
      <c r="Y51" s="11" t="n">
        <v>277.7</v>
      </c>
      <c r="Z51" s="11" t="n">
        <v>344.07</v>
      </c>
      <c r="AA51" s="11" t="n">
        <v>471.16</v>
      </c>
      <c r="AB51" s="11" t="n">
        <v>457.44</v>
      </c>
      <c r="AC51" s="11" t="n">
        <v>435.49</v>
      </c>
      <c r="AD51" s="11" t="n">
        <v>553.48</v>
      </c>
    </row>
    <row r="52">
      <c r="A52" s="10" t="inlineStr">
        <is>
          <t>비유동자산 합계</t>
        </is>
      </c>
      <c r="C52" s="11" t="n">
        <v>1268.08</v>
      </c>
      <c r="D52" s="11" t="n">
        <v>1254.23</v>
      </c>
      <c r="E52" s="11" t="n">
        <v>1307.18</v>
      </c>
      <c r="F52" s="11" t="n">
        <v>1371.18</v>
      </c>
      <c r="G52" s="11" t="n">
        <v>1387.44</v>
      </c>
      <c r="H52" s="11" t="n">
        <v>1389.21</v>
      </c>
      <c r="I52" s="11" t="n">
        <v>1485.53</v>
      </c>
      <c r="J52" s="11" t="n">
        <v>1603.02</v>
      </c>
      <c r="K52" s="11" t="n">
        <v>1686.25</v>
      </c>
      <c r="L52" s="11" t="n">
        <v>1763.66</v>
      </c>
      <c r="M52" s="11" t="n">
        <v>1944.53</v>
      </c>
      <c r="N52" s="11" t="n">
        <v>1741.03</v>
      </c>
      <c r="O52" s="11" t="n">
        <v>1896.31</v>
      </c>
      <c r="P52" s="11" t="n">
        <v>1919.31</v>
      </c>
      <c r="Q52" s="11" t="n">
        <v>1871</v>
      </c>
      <c r="R52" s="11" t="n">
        <v>1956.8</v>
      </c>
      <c r="S52" s="11" t="n">
        <v>2176.24</v>
      </c>
      <c r="T52" s="11" t="n">
        <v>2209.21</v>
      </c>
      <c r="U52" s="11" t="n">
        <v>2221.44</v>
      </c>
      <c r="V52" s="11" t="n">
        <v>2247.98</v>
      </c>
      <c r="W52" s="11" t="n">
        <v>907.87</v>
      </c>
      <c r="X52" s="11" t="n">
        <v>1199.12</v>
      </c>
      <c r="Y52" s="11" t="n">
        <v>1243.1</v>
      </c>
      <c r="Z52" s="11" t="n">
        <v>1371.18</v>
      </c>
      <c r="AA52" s="11" t="n">
        <v>1603.02</v>
      </c>
      <c r="AB52" s="11" t="n">
        <v>1741.03</v>
      </c>
      <c r="AC52" s="11" t="n">
        <v>1956.8</v>
      </c>
      <c r="AD52" s="11" t="n">
        <v>2247.98</v>
      </c>
    </row>
    <row r="53">
      <c r="A53" s="10" t="inlineStr">
        <is>
          <t>자산 합계</t>
        </is>
      </c>
      <c r="C53" s="11" t="n">
        <v>3915.37</v>
      </c>
      <c r="D53" s="11" t="n">
        <v>3956.34</v>
      </c>
      <c r="E53" s="11" t="n">
        <v>3710.03</v>
      </c>
      <c r="F53" s="11" t="n">
        <v>3993.24</v>
      </c>
      <c r="G53" s="11" t="n">
        <v>4049.46</v>
      </c>
      <c r="H53" s="11" t="n">
        <v>3967.6</v>
      </c>
      <c r="I53" s="11" t="n">
        <v>4148.01</v>
      </c>
      <c r="J53" s="11" t="n">
        <v>4537.15</v>
      </c>
      <c r="K53" s="11" t="n">
        <v>4707.4</v>
      </c>
      <c r="L53" s="11" t="n">
        <v>4810.15</v>
      </c>
      <c r="M53" s="11" t="n">
        <v>5220.32</v>
      </c>
      <c r="N53" s="11" t="n">
        <v>5095.51</v>
      </c>
      <c r="O53" s="11" t="n">
        <v>5582.14</v>
      </c>
      <c r="P53" s="11" t="n">
        <v>5405.31</v>
      </c>
      <c r="Q53" s="11" t="n">
        <v>5493.26</v>
      </c>
      <c r="R53" s="11" t="n">
        <v>5627.49</v>
      </c>
      <c r="S53" s="11" t="n">
        <v>6195.26</v>
      </c>
      <c r="T53" s="11" t="n">
        <v>6321.15</v>
      </c>
      <c r="U53" s="11" t="n">
        <v>6564.93</v>
      </c>
      <c r="V53" s="11" t="n">
        <v>6722.99</v>
      </c>
      <c r="W53" s="11" t="n">
        <v>2583.09</v>
      </c>
      <c r="X53" s="11" t="n">
        <v>3439.18</v>
      </c>
      <c r="Y53" s="11" t="n">
        <v>3933.57</v>
      </c>
      <c r="Z53" s="11" t="n">
        <v>3993.24</v>
      </c>
      <c r="AA53" s="11" t="n">
        <v>4537.15</v>
      </c>
      <c r="AB53" s="11" t="n">
        <v>5095.51</v>
      </c>
      <c r="AC53" s="11" t="n">
        <v>5627.49</v>
      </c>
      <c r="AD53" s="11" t="n">
        <v>6722.99</v>
      </c>
    </row>
    <row r="54">
      <c r="A54" s="10" t="inlineStr">
        <is>
          <t>매입채무</t>
        </is>
      </c>
      <c r="C54" s="11" t="n">
        <v>232.19</v>
      </c>
      <c r="D54" s="11" t="n">
        <v>243.28</v>
      </c>
      <c r="E54" s="11" t="n">
        <v>241.32</v>
      </c>
      <c r="F54" s="11" t="n">
        <v>364.62</v>
      </c>
      <c r="G54" s="11" t="n">
        <v>343.29</v>
      </c>
      <c r="H54" s="11" t="n">
        <v>272.23</v>
      </c>
      <c r="I54" s="11" t="n">
        <v>232.1</v>
      </c>
      <c r="J54" s="11" t="n">
        <v>351.57</v>
      </c>
      <c r="K54" s="11" t="n">
        <v>377.6</v>
      </c>
      <c r="L54" s="11" t="n">
        <v>399.35</v>
      </c>
      <c r="M54" s="11" t="n">
        <v>393.88</v>
      </c>
      <c r="N54" s="11" t="n">
        <v>591.6799999999999</v>
      </c>
      <c r="O54" s="11" t="n">
        <v>606.1799999999999</v>
      </c>
      <c r="P54" s="11" t="n">
        <v>427.71</v>
      </c>
      <c r="Q54" s="11" t="n">
        <v>491.72</v>
      </c>
      <c r="R54" s="11" t="n">
        <v>564.02</v>
      </c>
      <c r="S54" s="11" t="n">
        <v>593.91</v>
      </c>
      <c r="T54" s="11" t="n">
        <v>629.17</v>
      </c>
      <c r="U54" s="11" t="n">
        <v>639.89</v>
      </c>
      <c r="V54" s="11" t="n">
        <v>636.36</v>
      </c>
      <c r="W54" s="11" t="n">
        <v>207.24</v>
      </c>
      <c r="X54" s="11" t="n">
        <v>195.07</v>
      </c>
      <c r="Y54" s="11" t="n">
        <v>255.41</v>
      </c>
      <c r="Z54" s="11" t="n">
        <v>364.62</v>
      </c>
      <c r="AA54" s="11" t="n">
        <v>351.57</v>
      </c>
      <c r="AB54" s="11" t="n">
        <v>591.6799999999999</v>
      </c>
      <c r="AC54" s="11" t="n">
        <v>564.02</v>
      </c>
      <c r="AD54" s="11" t="n">
        <v>636.36</v>
      </c>
    </row>
    <row r="55">
      <c r="A55" s="10" t="inlineStr">
        <is>
          <t>단기차입금</t>
        </is>
      </c>
      <c r="C55" s="11" t="n">
        <v>41.29</v>
      </c>
      <c r="D55" s="11" t="n">
        <v>39.56</v>
      </c>
      <c r="E55" s="11" t="n">
        <v>45.17</v>
      </c>
      <c r="F55" s="11" t="n">
        <v>39.02</v>
      </c>
      <c r="G55" s="11" t="n">
        <v>142.39</v>
      </c>
      <c r="H55" s="11" t="n">
        <v>147.67</v>
      </c>
      <c r="I55" s="11" t="n">
        <v>152.75</v>
      </c>
      <c r="J55" s="11" t="n">
        <v>147.75</v>
      </c>
      <c r="K55" s="11" t="n">
        <v>159.46</v>
      </c>
      <c r="L55" s="11" t="n">
        <v>157.54</v>
      </c>
      <c r="M55" s="11" t="n">
        <v>62.48</v>
      </c>
      <c r="N55" s="11" t="n">
        <v>54.46</v>
      </c>
      <c r="O55" s="11" t="n">
        <v>210.05</v>
      </c>
      <c r="P55" s="11" t="n">
        <v>211.37</v>
      </c>
      <c r="Q55" s="11" t="n">
        <v>208.08</v>
      </c>
      <c r="R55" s="11" t="n">
        <v>49.14</v>
      </c>
      <c r="S55" s="11" t="n">
        <v>3.4</v>
      </c>
      <c r="T55" s="11" t="n">
        <v>2.51</v>
      </c>
      <c r="U55" s="11" t="n">
        <v>0.98</v>
      </c>
      <c r="V55" s="11" t="n">
        <v>5.11</v>
      </c>
      <c r="W55" s="11" t="n">
        <v>8.25</v>
      </c>
      <c r="X55" s="11" t="n">
        <v>44.82</v>
      </c>
      <c r="Y55" s="11" t="n">
        <v>46.3</v>
      </c>
      <c r="Z55" s="11" t="n">
        <v>39.02</v>
      </c>
      <c r="AA55" s="11" t="n">
        <v>147.75</v>
      </c>
      <c r="AB55" s="11" t="n">
        <v>54.46</v>
      </c>
      <c r="AC55" s="11" t="n">
        <v>49.14</v>
      </c>
      <c r="AD55" s="11" t="n">
        <v>5.11</v>
      </c>
    </row>
    <row r="56">
      <c r="A56" s="10" t="inlineStr">
        <is>
          <t>1년 내 상환 장기차입금</t>
        </is>
      </c>
      <c r="C56" s="11" t="n">
        <v>670.63</v>
      </c>
      <c r="D56" s="11" t="n">
        <v>670.88</v>
      </c>
      <c r="E56" s="11" t="n">
        <v>21.91</v>
      </c>
      <c r="F56" s="11" t="n">
        <v>22.32</v>
      </c>
      <c r="G56" s="11" t="n">
        <v>22.95</v>
      </c>
      <c r="H56" s="11" t="n">
        <v>22.95</v>
      </c>
      <c r="I56" s="11" t="n">
        <v>23.82</v>
      </c>
      <c r="J56" s="11" t="n">
        <v>225.45</v>
      </c>
      <c r="K56" s="11" t="n">
        <v>217.5</v>
      </c>
      <c r="L56" s="11" t="n">
        <v>217.66</v>
      </c>
      <c r="M56" s="11" t="n">
        <v>7.88</v>
      </c>
      <c r="N56" s="11" t="n">
        <v>0</v>
      </c>
      <c r="Q56" s="11" t="n">
        <v>100</v>
      </c>
      <c r="R56" s="11" t="n">
        <v>100</v>
      </c>
      <c r="S56" s="11" t="n">
        <v>102.67</v>
      </c>
      <c r="T56" s="11" t="n">
        <v>100</v>
      </c>
      <c r="U56" s="11" t="n">
        <v>0</v>
      </c>
      <c r="V56" s="11" t="n">
        <v>0</v>
      </c>
      <c r="W56" s="11" t="n">
        <v>3.97</v>
      </c>
      <c r="X56" s="11" t="n">
        <v>3.6</v>
      </c>
      <c r="Y56" s="11" t="n">
        <v>670.8099999999999</v>
      </c>
      <c r="Z56" s="11" t="n">
        <v>22.32</v>
      </c>
      <c r="AA56" s="11" t="n">
        <v>225.45</v>
      </c>
      <c r="AB56" s="11" t="n">
        <v>0</v>
      </c>
      <c r="AC56" s="11" t="n">
        <v>100</v>
      </c>
      <c r="AD56" s="11" t="n">
        <v>0</v>
      </c>
    </row>
    <row r="57">
      <c r="A57" s="10" t="inlineStr">
        <is>
          <t>리스부채</t>
        </is>
      </c>
      <c r="C57" s="11" t="n">
        <v>86</v>
      </c>
      <c r="D57" s="11" t="n">
        <v>87.69</v>
      </c>
      <c r="E57" s="11" t="n">
        <v>93.44</v>
      </c>
      <c r="F57" s="11" t="n">
        <v>100.03</v>
      </c>
      <c r="G57" s="11" t="n">
        <v>103.77</v>
      </c>
      <c r="H57" s="11" t="n">
        <v>99.36</v>
      </c>
      <c r="I57" s="11" t="n">
        <v>107.97</v>
      </c>
      <c r="J57" s="11" t="n">
        <v>123.43</v>
      </c>
      <c r="K57" s="11" t="n">
        <v>127.84</v>
      </c>
      <c r="L57" s="11" t="n">
        <v>127.94</v>
      </c>
      <c r="M57" s="11" t="n">
        <v>128.12</v>
      </c>
      <c r="N57" s="11" t="n">
        <v>121.56</v>
      </c>
      <c r="O57" s="11" t="n">
        <v>129.31</v>
      </c>
      <c r="P57" s="11" t="n">
        <v>137.71</v>
      </c>
      <c r="Q57" s="11" t="n">
        <v>139.74</v>
      </c>
      <c r="R57" s="11" t="n">
        <v>139.71</v>
      </c>
      <c r="S57" s="11" t="n">
        <v>147.88</v>
      </c>
      <c r="T57" s="11" t="n">
        <v>164.19</v>
      </c>
      <c r="U57" s="11" t="n">
        <v>165.97</v>
      </c>
      <c r="V57" s="11" t="n">
        <v>172.49</v>
      </c>
      <c r="W57" s="11" t="n">
        <v>0.07000000000000001</v>
      </c>
      <c r="X57" s="11" t="n">
        <v>72.53</v>
      </c>
      <c r="Y57" s="11" t="n">
        <v>83.56999999999999</v>
      </c>
      <c r="Z57" s="11" t="n">
        <v>100.03</v>
      </c>
      <c r="AA57" s="11" t="n">
        <v>123.43</v>
      </c>
      <c r="AB57" s="11" t="n">
        <v>121.56</v>
      </c>
      <c r="AC57" s="11" t="n">
        <v>139.71</v>
      </c>
      <c r="AD57" s="11" t="n">
        <v>172.49</v>
      </c>
    </row>
    <row r="58">
      <c r="A58" s="10" t="inlineStr">
        <is>
          <t>미지급금</t>
        </is>
      </c>
      <c r="C58" s="11" t="n">
        <v>98.88</v>
      </c>
      <c r="D58" s="11" t="n">
        <v>89.7</v>
      </c>
      <c r="E58" s="11" t="n">
        <v>96.67</v>
      </c>
      <c r="F58" s="11" t="n">
        <v>114.75</v>
      </c>
      <c r="G58" s="11" t="n">
        <v>127.34</v>
      </c>
      <c r="H58" s="11" t="n">
        <v>108.16</v>
      </c>
      <c r="I58" s="11" t="n">
        <v>106.46</v>
      </c>
      <c r="J58" s="11" t="n">
        <v>117.11</v>
      </c>
      <c r="K58" s="11" t="n">
        <v>142.35</v>
      </c>
      <c r="L58" s="11" t="n">
        <v>124.19</v>
      </c>
      <c r="M58" s="11" t="n">
        <v>126.87</v>
      </c>
      <c r="N58" s="11" t="n">
        <v>156.93</v>
      </c>
      <c r="O58" s="11" t="n">
        <v>173.68</v>
      </c>
      <c r="P58" s="11" t="n">
        <v>140.52</v>
      </c>
      <c r="Q58" s="11" t="n">
        <v>147.17</v>
      </c>
      <c r="R58" s="11" t="n">
        <v>184.76</v>
      </c>
      <c r="S58" s="11" t="n">
        <v>179.06</v>
      </c>
      <c r="T58" s="11" t="n">
        <v>171.07</v>
      </c>
      <c r="U58" s="11" t="n">
        <v>160.24</v>
      </c>
      <c r="V58" s="11" t="n">
        <v>208.51</v>
      </c>
      <c r="W58" s="11" t="n">
        <v>87.7</v>
      </c>
      <c r="X58" s="11" t="n">
        <v>93.23</v>
      </c>
      <c r="Y58" s="11" t="n">
        <v>99.66</v>
      </c>
      <c r="Z58" s="11" t="n">
        <v>114.75</v>
      </c>
      <c r="AA58" s="11" t="n">
        <v>117.11</v>
      </c>
      <c r="AB58" s="11" t="n">
        <v>156.93</v>
      </c>
      <c r="AC58" s="11" t="n">
        <v>184.76</v>
      </c>
      <c r="AD58" s="11" t="n">
        <v>208.51</v>
      </c>
    </row>
    <row r="59">
      <c r="A59" s="10" t="inlineStr">
        <is>
          <t>미지급비용</t>
        </is>
      </c>
      <c r="C59" s="11" t="n">
        <v>76.77</v>
      </c>
      <c r="D59" s="11" t="n">
        <v>61.54</v>
      </c>
      <c r="E59" s="11" t="n">
        <v>79.72</v>
      </c>
      <c r="F59" s="11" t="n">
        <v>67.25</v>
      </c>
      <c r="G59" s="11" t="n">
        <v>91.52</v>
      </c>
      <c r="H59" s="11" t="n">
        <v>77.22</v>
      </c>
      <c r="I59" s="11" t="n">
        <v>96.75</v>
      </c>
      <c r="J59" s="11" t="n">
        <v>92.79000000000001</v>
      </c>
      <c r="K59" s="11" t="n">
        <v>115.14</v>
      </c>
      <c r="L59" s="11" t="n">
        <v>93.98999999999999</v>
      </c>
      <c r="M59" s="11" t="n">
        <v>115.4</v>
      </c>
      <c r="N59" s="11" t="n">
        <v>98.31</v>
      </c>
      <c r="O59" s="11" t="n">
        <v>123.84</v>
      </c>
      <c r="P59" s="11" t="n">
        <v>103.15</v>
      </c>
      <c r="Q59" s="11" t="n">
        <v>133.18</v>
      </c>
      <c r="R59" s="11" t="n">
        <v>123.68</v>
      </c>
      <c r="S59" s="11" t="n">
        <v>154.73</v>
      </c>
      <c r="T59" s="11" t="n">
        <v>130.91</v>
      </c>
      <c r="U59" s="11" t="n">
        <v>152.73</v>
      </c>
      <c r="V59" s="11" t="n">
        <v>140.43</v>
      </c>
      <c r="W59" s="11" t="n">
        <v>51.85</v>
      </c>
      <c r="X59" s="11" t="n">
        <v>53.89</v>
      </c>
      <c r="Y59" s="11" t="n">
        <v>61.96</v>
      </c>
      <c r="Z59" s="11" t="n">
        <v>67.25</v>
      </c>
      <c r="AA59" s="11" t="n">
        <v>92.79000000000001</v>
      </c>
      <c r="AB59" s="11" t="n">
        <v>98.31</v>
      </c>
      <c r="AC59" s="11" t="n">
        <v>123.68</v>
      </c>
      <c r="AD59" s="11" t="n">
        <v>140.43</v>
      </c>
    </row>
    <row r="60">
      <c r="A60" s="10" t="inlineStr">
        <is>
          <t>미지급법인세</t>
        </is>
      </c>
      <c r="C60" s="11" t="n">
        <v>33.23</v>
      </c>
      <c r="D60" s="11" t="n">
        <v>12.01</v>
      </c>
      <c r="E60" s="11" t="n">
        <v>9.77</v>
      </c>
      <c r="F60" s="11" t="n">
        <v>14.47</v>
      </c>
      <c r="G60" s="11" t="n">
        <v>14.79</v>
      </c>
      <c r="H60" s="11" t="n">
        <v>33.33</v>
      </c>
      <c r="I60" s="11" t="n">
        <v>56.8</v>
      </c>
      <c r="J60" s="11" t="n">
        <v>84.12</v>
      </c>
      <c r="K60" s="11" t="n">
        <v>48.45</v>
      </c>
      <c r="L60" s="11" t="n">
        <v>62.47</v>
      </c>
      <c r="M60" s="11" t="n">
        <v>92.8</v>
      </c>
      <c r="N60" s="11" t="n">
        <v>91.68000000000001</v>
      </c>
      <c r="O60" s="11" t="n">
        <v>62.25</v>
      </c>
      <c r="P60" s="11" t="n">
        <v>56.34</v>
      </c>
      <c r="Q60" s="11" t="n">
        <v>32.09</v>
      </c>
      <c r="R60" s="11" t="n">
        <v>34.27</v>
      </c>
      <c r="S60" s="11" t="n">
        <v>90.88</v>
      </c>
      <c r="T60" s="11" t="n">
        <v>114.73</v>
      </c>
      <c r="U60" s="11" t="n">
        <v>153.37</v>
      </c>
      <c r="V60" s="11" t="n">
        <v>179.02</v>
      </c>
      <c r="W60" s="11" t="n">
        <v>111.66</v>
      </c>
      <c r="X60" s="11" t="n">
        <v>15.36</v>
      </c>
      <c r="Y60" s="11" t="n">
        <v>127.02</v>
      </c>
      <c r="Z60" s="11" t="n">
        <v>14.47</v>
      </c>
      <c r="AA60" s="11" t="n">
        <v>84.12</v>
      </c>
      <c r="AB60" s="11" t="n">
        <v>91.68000000000001</v>
      </c>
      <c r="AC60" s="11" t="n">
        <v>34.27</v>
      </c>
      <c r="AD60" s="11" t="n">
        <v>179.02</v>
      </c>
    </row>
    <row r="61">
      <c r="A61" s="10" t="inlineStr">
        <is>
          <t>상여충당금</t>
        </is>
      </c>
      <c r="C61" s="11" t="n">
        <v>14.46</v>
      </c>
      <c r="D61" s="11" t="n">
        <v>10.92</v>
      </c>
      <c r="E61" s="11" t="n">
        <v>14.32</v>
      </c>
      <c r="F61" s="11" t="n">
        <v>13.36</v>
      </c>
      <c r="G61" s="11" t="n">
        <v>14.45</v>
      </c>
      <c r="H61" s="11" t="n">
        <v>12.43</v>
      </c>
      <c r="I61" s="11" t="n">
        <v>17.22</v>
      </c>
      <c r="J61" s="11" t="n">
        <v>20.28</v>
      </c>
      <c r="K61" s="11" t="n">
        <v>20.85</v>
      </c>
      <c r="L61" s="11" t="n">
        <v>15.89</v>
      </c>
      <c r="M61" s="11" t="n">
        <v>20.3</v>
      </c>
      <c r="N61" s="11" t="n">
        <v>21.23</v>
      </c>
      <c r="O61" s="11" t="n">
        <v>23.11</v>
      </c>
      <c r="P61" s="11" t="n">
        <v>20.22</v>
      </c>
      <c r="Q61" s="11" t="n">
        <v>24.27</v>
      </c>
      <c r="R61" s="11" t="n">
        <v>28.81</v>
      </c>
      <c r="S61" s="11" t="n">
        <v>29.04</v>
      </c>
      <c r="T61" s="11" t="n">
        <v>23.86</v>
      </c>
      <c r="U61" s="11" t="n">
        <v>31.96</v>
      </c>
      <c r="V61" s="11" t="n">
        <v>43.91</v>
      </c>
      <c r="W61" s="11" t="n">
        <v>14.39</v>
      </c>
      <c r="X61" s="11" t="n">
        <v>9.640000000000001</v>
      </c>
      <c r="Y61" s="11" t="n">
        <v>11.93</v>
      </c>
      <c r="Z61" s="11" t="n">
        <v>13.36</v>
      </c>
      <c r="AA61" s="11" t="n">
        <v>20.28</v>
      </c>
      <c r="AB61" s="11" t="n">
        <v>21.23</v>
      </c>
      <c r="AC61" s="11" t="n">
        <v>28.81</v>
      </c>
      <c r="AD61" s="11" t="n">
        <v>43.91</v>
      </c>
    </row>
    <row r="62">
      <c r="A62" s="10" t="inlineStr">
        <is>
          <t>임원 상여충당금</t>
        </is>
      </c>
      <c r="C62" s="11" t="n">
        <v>0.38</v>
      </c>
      <c r="D62" s="11" t="n">
        <v>0.6</v>
      </c>
      <c r="E62" s="11" t="n">
        <v>0.6899999999999999</v>
      </c>
      <c r="F62" s="11" t="n">
        <v>0.78</v>
      </c>
      <c r="G62" s="11" t="n">
        <v>0.3</v>
      </c>
      <c r="H62" s="11" t="n">
        <v>0.37</v>
      </c>
      <c r="I62" s="11" t="n">
        <v>0.61</v>
      </c>
      <c r="J62" s="11" t="n">
        <v>2.05</v>
      </c>
      <c r="K62" s="11" t="n">
        <v>0.53</v>
      </c>
      <c r="L62" s="11" t="n">
        <v>1.18</v>
      </c>
      <c r="M62" s="11" t="n">
        <v>1.88</v>
      </c>
      <c r="N62" s="11" t="n">
        <v>2.35</v>
      </c>
      <c r="O62" s="11" t="n">
        <v>0.33</v>
      </c>
      <c r="P62" s="11" t="n">
        <v>0.89</v>
      </c>
      <c r="Q62" s="11" t="n">
        <v>1.9</v>
      </c>
      <c r="R62" s="11" t="n">
        <v>5.04</v>
      </c>
      <c r="S62" s="11" t="n">
        <v>1.19</v>
      </c>
      <c r="T62" s="11" t="n">
        <v>1.27</v>
      </c>
      <c r="U62" s="11" t="n">
        <v>2.2</v>
      </c>
      <c r="V62" s="11" t="n">
        <v>4.12</v>
      </c>
      <c r="W62" s="11" t="n">
        <v>0.74</v>
      </c>
      <c r="X62" s="11" t="n">
        <v>0</v>
      </c>
      <c r="Y62" s="11" t="n">
        <v>0.66</v>
      </c>
      <c r="Z62" s="11" t="n">
        <v>0.78</v>
      </c>
      <c r="AA62" s="11" t="n">
        <v>2.05</v>
      </c>
      <c r="AB62" s="11" t="n">
        <v>2.35</v>
      </c>
      <c r="AC62" s="11" t="n">
        <v>5.04</v>
      </c>
      <c r="AD62" s="11" t="n">
        <v>4.12</v>
      </c>
    </row>
    <row r="63">
      <c r="A63" s="10" t="inlineStr">
        <is>
          <t>반품조정 충당금</t>
        </is>
      </c>
      <c r="W63" s="11" t="n">
        <v>0.46</v>
      </c>
      <c r="X63" s="11" t="n">
        <v>0</v>
      </c>
    </row>
    <row r="64">
      <c r="A64" s="10" t="inlineStr">
        <is>
          <t>포인트 충당금</t>
        </is>
      </c>
      <c r="C64" s="11" t="n">
        <v>0</v>
      </c>
      <c r="D64" s="11" t="n">
        <v>0</v>
      </c>
      <c r="E64" s="11" t="n">
        <v>0</v>
      </c>
      <c r="F64" s="11" t="n">
        <v>0</v>
      </c>
      <c r="W64" s="11" t="n">
        <v>0.67</v>
      </c>
      <c r="X64" s="11" t="n">
        <v>1.98</v>
      </c>
      <c r="Y64" s="11" t="n">
        <v>1.05</v>
      </c>
      <c r="Z64" s="11" t="n">
        <v>0</v>
      </c>
    </row>
    <row r="65">
      <c r="A65" s="10" t="inlineStr">
        <is>
          <t>리스해약 채무</t>
        </is>
      </c>
      <c r="X65" s="11" t="n">
        <v>32.2</v>
      </c>
    </row>
    <row r="66">
      <c r="A66" s="10" t="inlineStr">
        <is>
          <t>리스해약 채무</t>
        </is>
      </c>
      <c r="X66" s="11" t="n">
        <v>32.2</v>
      </c>
      <c r="Y66" s="11" t="n">
        <v>0</v>
      </c>
    </row>
    <row r="67">
      <c r="A67" s="10" t="inlineStr">
        <is>
          <t>기타</t>
        </is>
      </c>
      <c r="C67" s="11" t="n">
        <v>61.26</v>
      </c>
      <c r="D67" s="11" t="n">
        <v>52.05</v>
      </c>
      <c r="E67" s="11" t="n">
        <v>54.02</v>
      </c>
      <c r="F67" s="11" t="n">
        <v>52.59</v>
      </c>
      <c r="G67" s="11" t="n">
        <v>58.8</v>
      </c>
      <c r="H67" s="11" t="n">
        <v>56.09</v>
      </c>
      <c r="I67" s="11" t="n">
        <v>60.65</v>
      </c>
      <c r="J67" s="11" t="n">
        <v>70.09999999999999</v>
      </c>
      <c r="K67" s="11" t="n">
        <v>84.06999999999999</v>
      </c>
      <c r="L67" s="11" t="n">
        <v>69.33</v>
      </c>
      <c r="M67" s="11" t="n">
        <v>75.51000000000001</v>
      </c>
      <c r="N67" s="11" t="n">
        <v>71.98999999999999</v>
      </c>
      <c r="O67" s="11" t="n">
        <v>90.77</v>
      </c>
      <c r="P67" s="11" t="n">
        <v>66.79000000000001</v>
      </c>
      <c r="Q67" s="11" t="n">
        <v>101.69</v>
      </c>
      <c r="R67" s="11" t="n">
        <v>117.42</v>
      </c>
      <c r="S67" s="11" t="n">
        <v>125.94</v>
      </c>
      <c r="T67" s="11" t="n">
        <v>94.84999999999999</v>
      </c>
      <c r="U67" s="11" t="n">
        <v>139.49</v>
      </c>
      <c r="V67" s="11" t="n">
        <v>110.71</v>
      </c>
      <c r="W67" s="11" t="n">
        <v>48.67</v>
      </c>
      <c r="X67" s="11" t="n">
        <v>36.86</v>
      </c>
      <c r="Y67" s="11" t="n">
        <v>58.74</v>
      </c>
      <c r="Z67" s="11" t="n">
        <v>52.59</v>
      </c>
      <c r="AA67" s="11" t="n">
        <v>70.09999999999999</v>
      </c>
      <c r="AB67" s="11" t="n">
        <v>71.98999999999999</v>
      </c>
      <c r="AC67" s="11" t="n">
        <v>117.42</v>
      </c>
      <c r="AD67" s="11" t="n">
        <v>110.71</v>
      </c>
    </row>
    <row r="68">
      <c r="A68" s="10" t="inlineStr">
        <is>
          <t>유동부채 합계</t>
        </is>
      </c>
      <c r="C68" s="11" t="n">
        <v>1315.14</v>
      </c>
      <c r="D68" s="11" t="n">
        <v>1268.28</v>
      </c>
      <c r="E68" s="11" t="n">
        <v>657.08</v>
      </c>
      <c r="F68" s="11" t="n">
        <v>789.23</v>
      </c>
      <c r="G68" s="11" t="n">
        <v>919.64</v>
      </c>
      <c r="H68" s="11" t="n">
        <v>829.86</v>
      </c>
      <c r="I68" s="11" t="n">
        <v>855.17</v>
      </c>
      <c r="J68" s="11" t="n">
        <v>1234.7</v>
      </c>
      <c r="K68" s="11" t="n">
        <v>1293.84</v>
      </c>
      <c r="L68" s="11" t="n">
        <v>1269.59</v>
      </c>
      <c r="M68" s="11" t="n">
        <v>1025.17</v>
      </c>
      <c r="N68" s="11" t="n">
        <v>1210.24</v>
      </c>
      <c r="O68" s="11" t="n">
        <v>1419.55</v>
      </c>
      <c r="P68" s="11" t="n">
        <v>1164.73</v>
      </c>
      <c r="Q68" s="11" t="n">
        <v>1379.88</v>
      </c>
      <c r="R68" s="11" t="n">
        <v>1346.89</v>
      </c>
      <c r="S68" s="11" t="n">
        <v>1428.74</v>
      </c>
      <c r="T68" s="11" t="n">
        <v>1432.6</v>
      </c>
      <c r="U68" s="11" t="n">
        <v>1446.88</v>
      </c>
      <c r="V68" s="11" t="n">
        <v>1500.7</v>
      </c>
      <c r="W68" s="11" t="n">
        <v>535.74</v>
      </c>
      <c r="X68" s="11" t="n">
        <v>559.23</v>
      </c>
      <c r="Y68" s="11" t="n">
        <v>1417.16</v>
      </c>
      <c r="Z68" s="11" t="n">
        <v>789.23</v>
      </c>
      <c r="AA68" s="11" t="n">
        <v>1234.7</v>
      </c>
      <c r="AB68" s="11" t="n">
        <v>1210.24</v>
      </c>
      <c r="AC68" s="11" t="n">
        <v>1346.89</v>
      </c>
      <c r="AD68" s="11" t="n">
        <v>1500.7</v>
      </c>
    </row>
    <row r="69">
      <c r="A69" s="10" t="inlineStr">
        <is>
          <t>사채</t>
        </is>
      </c>
      <c r="J69" s="11" t="n">
        <v>0</v>
      </c>
      <c r="M69" s="11" t="n">
        <v>300</v>
      </c>
      <c r="N69" s="11" t="n">
        <v>300</v>
      </c>
      <c r="O69" s="11" t="n">
        <v>300</v>
      </c>
      <c r="P69" s="11" t="n">
        <v>300</v>
      </c>
      <c r="Q69" s="11" t="n">
        <v>300</v>
      </c>
      <c r="R69" s="11" t="n">
        <v>300</v>
      </c>
      <c r="S69" s="11" t="n">
        <v>300</v>
      </c>
      <c r="T69" s="11" t="n">
        <v>300</v>
      </c>
      <c r="U69" s="11" t="n">
        <v>300</v>
      </c>
      <c r="V69" s="11" t="n">
        <v>300</v>
      </c>
      <c r="AA69" s="11" t="n">
        <v>0</v>
      </c>
      <c r="AB69" s="11" t="n">
        <v>300</v>
      </c>
      <c r="AC69" s="11" t="n">
        <v>300</v>
      </c>
      <c r="AD69" s="11" t="n">
        <v>300</v>
      </c>
    </row>
    <row r="70">
      <c r="A70" s="10" t="inlineStr">
        <is>
          <t>장기차입금</t>
        </is>
      </c>
      <c r="C70" s="11" t="n">
        <v>75.51000000000001</v>
      </c>
      <c r="D70" s="11" t="n">
        <v>73.01000000000001</v>
      </c>
      <c r="E70" s="11" t="n">
        <v>323.01</v>
      </c>
      <c r="F70" s="11" t="n">
        <v>319.06</v>
      </c>
      <c r="G70" s="11" t="n">
        <v>319.06</v>
      </c>
      <c r="H70" s="11" t="n">
        <v>315.39</v>
      </c>
      <c r="I70" s="11" t="n">
        <v>315.39</v>
      </c>
      <c r="J70" s="11" t="n">
        <v>111.71</v>
      </c>
      <c r="K70" s="11" t="n">
        <v>111.71</v>
      </c>
      <c r="L70" s="11" t="n">
        <v>107.88</v>
      </c>
      <c r="M70" s="11" t="n">
        <v>100</v>
      </c>
      <c r="N70" s="11" t="n">
        <v>100</v>
      </c>
      <c r="O70" s="11" t="n">
        <v>127.54</v>
      </c>
      <c r="P70" s="11" t="n">
        <v>124.03</v>
      </c>
      <c r="Q70" s="11" t="n">
        <v>24.03</v>
      </c>
      <c r="R70" s="11" t="n">
        <v>18.24</v>
      </c>
      <c r="S70" s="11" t="n">
        <v>18.24</v>
      </c>
      <c r="T70" s="11" t="n">
        <v>11.06</v>
      </c>
      <c r="U70" s="11" t="n">
        <v>14.94</v>
      </c>
      <c r="V70" s="11" t="n">
        <v>3.05</v>
      </c>
      <c r="W70" s="11" t="n">
        <v>5.57</v>
      </c>
      <c r="X70" s="11" t="n">
        <v>719.63</v>
      </c>
      <c r="Y70" s="11" t="n">
        <v>50</v>
      </c>
      <c r="Z70" s="11" t="n">
        <v>319.06</v>
      </c>
      <c r="AA70" s="11" t="n">
        <v>111.71</v>
      </c>
      <c r="AB70" s="11" t="n">
        <v>100</v>
      </c>
      <c r="AC70" s="11" t="n">
        <v>18.24</v>
      </c>
      <c r="AD70" s="11" t="n">
        <v>3.05</v>
      </c>
    </row>
    <row r="71">
      <c r="A71" s="10" t="inlineStr">
        <is>
          <t>이연법인세부채</t>
        </is>
      </c>
      <c r="W71" s="11" t="n">
        <v>34.96</v>
      </c>
      <c r="X71" s="11" t="n">
        <v>33.34</v>
      </c>
    </row>
    <row r="72">
      <c r="A72" s="10" t="inlineStr">
        <is>
          <t>리스부채</t>
        </is>
      </c>
      <c r="C72" s="11" t="n">
        <v>249.52</v>
      </c>
      <c r="D72" s="11" t="n">
        <v>246.56</v>
      </c>
      <c r="E72" s="11" t="n">
        <v>260.66</v>
      </c>
      <c r="F72" s="11" t="n">
        <v>284.06</v>
      </c>
      <c r="G72" s="11" t="n">
        <v>279.74</v>
      </c>
      <c r="H72" s="11" t="n">
        <v>281.83</v>
      </c>
      <c r="I72" s="11" t="n">
        <v>297.7</v>
      </c>
      <c r="J72" s="11" t="n">
        <v>348.22</v>
      </c>
      <c r="K72" s="11" t="n">
        <v>348.08</v>
      </c>
      <c r="L72" s="11" t="n">
        <v>349.55</v>
      </c>
      <c r="M72" s="11" t="n">
        <v>358.52</v>
      </c>
      <c r="N72" s="11" t="n">
        <v>344.67</v>
      </c>
      <c r="O72" s="11" t="n">
        <v>352.18</v>
      </c>
      <c r="P72" s="11" t="n">
        <v>361.5</v>
      </c>
      <c r="Q72" s="11" t="n">
        <v>411.26</v>
      </c>
      <c r="R72" s="11" t="n">
        <v>414.17</v>
      </c>
      <c r="S72" s="11" t="n">
        <v>432.31</v>
      </c>
      <c r="T72" s="11" t="n">
        <v>459.54</v>
      </c>
      <c r="U72" s="11" t="n">
        <v>478.81</v>
      </c>
      <c r="V72" s="11" t="n">
        <v>477.4</v>
      </c>
      <c r="W72" s="11" t="n">
        <v>0.6</v>
      </c>
      <c r="X72" s="11" t="n">
        <v>255.51</v>
      </c>
      <c r="Y72" s="11" t="n">
        <v>247.72</v>
      </c>
      <c r="Z72" s="11" t="n">
        <v>284.06</v>
      </c>
      <c r="AA72" s="11" t="n">
        <v>348.22</v>
      </c>
      <c r="AB72" s="11" t="n">
        <v>344.67</v>
      </c>
      <c r="AC72" s="11" t="n">
        <v>414.17</v>
      </c>
      <c r="AD72" s="11" t="n">
        <v>477.4</v>
      </c>
    </row>
    <row r="73">
      <c r="A73" s="10" t="inlineStr">
        <is>
          <t>이연법인세부채</t>
        </is>
      </c>
      <c r="C73" s="11" t="n">
        <v>18.33</v>
      </c>
      <c r="D73" s="11" t="n">
        <v>24.02</v>
      </c>
      <c r="E73" s="11" t="n">
        <v>46.33</v>
      </c>
      <c r="F73" s="11" t="n">
        <v>63.79</v>
      </c>
      <c r="G73" s="11" t="n">
        <v>45.44</v>
      </c>
      <c r="H73" s="11" t="n">
        <v>31.69</v>
      </c>
      <c r="I73" s="11" t="n">
        <v>53.34</v>
      </c>
      <c r="J73" s="11" t="n">
        <v>84.62</v>
      </c>
      <c r="K73" s="11" t="n">
        <v>103.02</v>
      </c>
      <c r="L73" s="11" t="n">
        <v>120.52</v>
      </c>
      <c r="M73" s="11" t="n">
        <v>181.22</v>
      </c>
      <c r="N73" s="11" t="n">
        <v>65.43000000000001</v>
      </c>
      <c r="O73" s="11" t="n">
        <v>113.18</v>
      </c>
      <c r="P73" s="11" t="n">
        <v>107.28</v>
      </c>
      <c r="Q73" s="11" t="n">
        <v>46.16</v>
      </c>
      <c r="R73" s="11" t="n">
        <v>62.76</v>
      </c>
      <c r="S73" s="11" t="n">
        <v>143.46</v>
      </c>
      <c r="T73" s="11" t="n">
        <v>129.07</v>
      </c>
      <c r="U73" s="11" t="n">
        <v>119.67</v>
      </c>
      <c r="V73" s="11" t="n">
        <v>80.17</v>
      </c>
      <c r="X73" s="11" t="n">
        <v>19.7</v>
      </c>
      <c r="Y73" s="11" t="n">
        <v>8.199999999999999</v>
      </c>
      <c r="Z73" s="11" t="n">
        <v>63.79</v>
      </c>
      <c r="AA73" s="11" t="n">
        <v>84.62</v>
      </c>
      <c r="AB73" s="11" t="n">
        <v>65.43000000000001</v>
      </c>
      <c r="AC73" s="11" t="n">
        <v>62.76</v>
      </c>
      <c r="AD73" s="11" t="n">
        <v>80.17</v>
      </c>
    </row>
    <row r="74">
      <c r="A74" s="10" t="inlineStr">
        <is>
          <t>임원 퇴직위로 충당금</t>
        </is>
      </c>
      <c r="C74" s="11" t="n">
        <v>0.65</v>
      </c>
      <c r="D74" s="11" t="n">
        <v>0.62</v>
      </c>
      <c r="E74" s="11" t="n">
        <v>0.55</v>
      </c>
      <c r="F74" s="11" t="n">
        <v>0.29</v>
      </c>
      <c r="G74" s="11" t="n">
        <v>0.29</v>
      </c>
      <c r="H74" s="11" t="n">
        <v>0.29</v>
      </c>
      <c r="I74" s="11" t="n">
        <v>0.29</v>
      </c>
      <c r="J74" s="11" t="n">
        <v>0.31</v>
      </c>
      <c r="K74" s="11" t="n">
        <v>0.32</v>
      </c>
      <c r="L74" s="11" t="n">
        <v>0.32</v>
      </c>
      <c r="M74" s="11" t="n">
        <v>0.33</v>
      </c>
      <c r="N74" s="11" t="n">
        <v>0.34</v>
      </c>
      <c r="O74" s="11" t="n">
        <v>0.1</v>
      </c>
      <c r="P74" s="11" t="n">
        <v>0.13</v>
      </c>
      <c r="Q74" s="11" t="n">
        <v>0.19</v>
      </c>
      <c r="R74" s="11" t="n">
        <v>0.22</v>
      </c>
      <c r="S74" s="11" t="n">
        <v>0.21</v>
      </c>
      <c r="T74" s="11" t="n">
        <v>0.25</v>
      </c>
      <c r="U74" s="11" t="n">
        <v>0.27</v>
      </c>
      <c r="V74" s="11" t="n">
        <v>0.3</v>
      </c>
      <c r="W74" s="11" t="n">
        <v>0.39</v>
      </c>
      <c r="X74" s="11" t="n">
        <v>0.47</v>
      </c>
      <c r="Y74" s="11" t="n">
        <v>0.74</v>
      </c>
      <c r="Z74" s="11" t="n">
        <v>0.29</v>
      </c>
      <c r="AA74" s="11" t="n">
        <v>0.31</v>
      </c>
      <c r="AB74" s="11" t="n">
        <v>0.34</v>
      </c>
      <c r="AC74" s="11" t="n">
        <v>0.22</v>
      </c>
      <c r="AD74" s="11" t="n">
        <v>0.3</v>
      </c>
    </row>
    <row r="75">
      <c r="A75" s="10" t="inlineStr">
        <is>
          <t>주식급여 충당금</t>
        </is>
      </c>
      <c r="C75" s="11" t="n">
        <v>0.48</v>
      </c>
      <c r="D75" s="11" t="n">
        <v>2.62</v>
      </c>
      <c r="E75" s="11" t="n">
        <v>3.27</v>
      </c>
      <c r="F75" s="11" t="n">
        <v>5.45</v>
      </c>
      <c r="G75" s="11" t="n">
        <v>6.01</v>
      </c>
      <c r="H75" s="11" t="n">
        <v>8.51</v>
      </c>
      <c r="I75" s="11" t="n">
        <v>9.050000000000001</v>
      </c>
      <c r="J75" s="11" t="n">
        <v>11.31</v>
      </c>
      <c r="K75" s="11" t="n">
        <v>11.87</v>
      </c>
      <c r="L75" s="11" t="n">
        <v>13.15</v>
      </c>
      <c r="M75" s="11" t="n">
        <v>13.72</v>
      </c>
      <c r="N75" s="11" t="n">
        <v>18.62</v>
      </c>
      <c r="O75" s="11" t="n">
        <v>20.59</v>
      </c>
      <c r="P75" s="11" t="n">
        <v>22.78</v>
      </c>
      <c r="Q75" s="11" t="n">
        <v>24.88</v>
      </c>
      <c r="R75" s="11" t="n">
        <v>26.91</v>
      </c>
      <c r="S75" s="11" t="n">
        <v>29.07</v>
      </c>
      <c r="T75" s="11" t="n">
        <v>31.42</v>
      </c>
      <c r="U75" s="11" t="n">
        <v>33.68</v>
      </c>
      <c r="V75" s="11" t="n">
        <v>35.49</v>
      </c>
      <c r="Y75" s="11" t="n">
        <v>0</v>
      </c>
      <c r="Z75" s="11" t="n">
        <v>5.45</v>
      </c>
      <c r="AA75" s="11" t="n">
        <v>11.31</v>
      </c>
      <c r="AB75" s="11" t="n">
        <v>18.62</v>
      </c>
      <c r="AC75" s="11" t="n">
        <v>26.91</v>
      </c>
      <c r="AD75" s="11" t="n">
        <v>35.49</v>
      </c>
    </row>
    <row r="76">
      <c r="A76" s="10" t="inlineStr">
        <is>
          <t>기타</t>
        </is>
      </c>
      <c r="C76" s="11" t="n">
        <v>70.19</v>
      </c>
      <c r="D76" s="11" t="n">
        <v>71.23</v>
      </c>
      <c r="E76" s="11" t="n">
        <v>77.11</v>
      </c>
      <c r="F76" s="11" t="n">
        <v>82.81</v>
      </c>
      <c r="G76" s="11" t="n">
        <v>83.58</v>
      </c>
      <c r="H76" s="11" t="n">
        <v>83.34999999999999</v>
      </c>
      <c r="I76" s="11" t="n">
        <v>85.09</v>
      </c>
      <c r="J76" s="11" t="n">
        <v>71.78</v>
      </c>
      <c r="K76" s="11" t="n">
        <v>77.27</v>
      </c>
      <c r="L76" s="11" t="n">
        <v>82.02</v>
      </c>
      <c r="M76" s="11" t="n">
        <v>86.36</v>
      </c>
      <c r="N76" s="11" t="n">
        <v>86.14</v>
      </c>
      <c r="O76" s="11" t="n">
        <v>91.27</v>
      </c>
      <c r="P76" s="11" t="n">
        <v>90.54000000000001</v>
      </c>
      <c r="Q76" s="11" t="n">
        <v>91.90000000000001</v>
      </c>
      <c r="R76" s="11" t="n">
        <v>99.06999999999999</v>
      </c>
      <c r="S76" s="11" t="n">
        <v>109.61</v>
      </c>
      <c r="T76" s="11" t="n">
        <v>114.14</v>
      </c>
      <c r="U76" s="11" t="n">
        <v>124.26</v>
      </c>
      <c r="V76" s="11" t="n">
        <v>133.2</v>
      </c>
      <c r="W76" s="11" t="n">
        <v>53.91</v>
      </c>
      <c r="X76" s="11" t="n">
        <v>54.7</v>
      </c>
      <c r="Y76" s="11" t="n">
        <v>61.03</v>
      </c>
      <c r="Z76" s="11" t="n">
        <v>82.81</v>
      </c>
      <c r="AA76" s="11" t="n">
        <v>71.78</v>
      </c>
      <c r="AB76" s="11" t="n">
        <v>86.14</v>
      </c>
      <c r="AC76" s="11" t="n">
        <v>99.06999999999999</v>
      </c>
      <c r="AD76" s="11" t="n">
        <v>133.2</v>
      </c>
    </row>
    <row r="77">
      <c r="A77" s="10" t="inlineStr">
        <is>
          <t>비유동부채 합계</t>
        </is>
      </c>
      <c r="C77" s="11" t="n">
        <v>414.71</v>
      </c>
      <c r="D77" s="11" t="n">
        <v>418.09</v>
      </c>
      <c r="E77" s="11" t="n">
        <v>710.95</v>
      </c>
      <c r="F77" s="11" t="n">
        <v>755.48</v>
      </c>
      <c r="G77" s="11" t="n">
        <v>734.15</v>
      </c>
      <c r="H77" s="11" t="n">
        <v>721.0700000000001</v>
      </c>
      <c r="I77" s="11" t="n">
        <v>760.88</v>
      </c>
      <c r="J77" s="11" t="n">
        <v>627.98</v>
      </c>
      <c r="K77" s="11" t="n">
        <v>652.29</v>
      </c>
      <c r="L77" s="11" t="n">
        <v>673.47</v>
      </c>
      <c r="M77" s="11" t="n">
        <v>1040.17</v>
      </c>
      <c r="N77" s="11" t="n">
        <v>915.21</v>
      </c>
      <c r="O77" s="11" t="n">
        <v>1004.89</v>
      </c>
      <c r="P77" s="11" t="n">
        <v>1006.29</v>
      </c>
      <c r="Q77" s="11" t="n">
        <v>898.45</v>
      </c>
      <c r="R77" s="11" t="n">
        <v>921.38</v>
      </c>
      <c r="S77" s="11" t="n">
        <v>1032.92</v>
      </c>
      <c r="T77" s="11" t="n">
        <v>1045.5</v>
      </c>
      <c r="U77" s="11" t="n">
        <v>1071.65</v>
      </c>
      <c r="V77" s="11" t="n">
        <v>1029.64</v>
      </c>
      <c r="W77" s="11" t="n">
        <v>95.45999999999999</v>
      </c>
      <c r="X77" s="11" t="n">
        <v>1050.01</v>
      </c>
      <c r="Y77" s="11" t="n">
        <v>367.7</v>
      </c>
      <c r="Z77" s="11" t="n">
        <v>755.48</v>
      </c>
      <c r="AA77" s="11" t="n">
        <v>627.98</v>
      </c>
      <c r="AB77" s="11" t="n">
        <v>915.21</v>
      </c>
      <c r="AC77" s="11" t="n">
        <v>921.38</v>
      </c>
      <c r="AD77" s="11" t="n">
        <v>1029.64</v>
      </c>
    </row>
    <row r="78">
      <c r="A78" s="10" t="inlineStr">
        <is>
          <t>부채 합계</t>
        </is>
      </c>
      <c r="C78" s="11" t="n">
        <v>1729.85</v>
      </c>
      <c r="D78" s="11" t="n">
        <v>1686.37</v>
      </c>
      <c r="E78" s="11" t="n">
        <v>1368.03</v>
      </c>
      <c r="F78" s="11" t="n">
        <v>1544.72</v>
      </c>
      <c r="G78" s="11" t="n">
        <v>1653.79</v>
      </c>
      <c r="H78" s="11" t="n">
        <v>1550.94</v>
      </c>
      <c r="I78" s="11" t="n">
        <v>1616.06</v>
      </c>
      <c r="J78" s="11" t="n">
        <v>1862.68</v>
      </c>
      <c r="K78" s="11" t="n">
        <v>1946.13</v>
      </c>
      <c r="L78" s="11" t="n">
        <v>1943.07</v>
      </c>
      <c r="M78" s="11" t="n">
        <v>2065.35</v>
      </c>
      <c r="N78" s="11" t="n">
        <v>2125.46</v>
      </c>
      <c r="O78" s="11" t="n">
        <v>2424.45</v>
      </c>
      <c r="P78" s="11" t="n">
        <v>2171.03</v>
      </c>
      <c r="Q78" s="11" t="n">
        <v>2278.34</v>
      </c>
      <c r="R78" s="11" t="n">
        <v>2268.28</v>
      </c>
      <c r="S78" s="11" t="n">
        <v>2461.67</v>
      </c>
      <c r="T78" s="11" t="n">
        <v>2478.11</v>
      </c>
      <c r="U78" s="11" t="n">
        <v>2518.53</v>
      </c>
      <c r="V78" s="11" t="n">
        <v>2530.34</v>
      </c>
      <c r="W78" s="11" t="n">
        <v>631.2</v>
      </c>
      <c r="X78" s="11" t="n">
        <v>1609.25</v>
      </c>
      <c r="Y78" s="11" t="n">
        <v>1784.86</v>
      </c>
      <c r="Z78" s="11" t="n">
        <v>1544.72</v>
      </c>
      <c r="AA78" s="11" t="n">
        <v>1862.68</v>
      </c>
      <c r="AB78" s="11" t="n">
        <v>2125.46</v>
      </c>
      <c r="AC78" s="11" t="n">
        <v>2268.28</v>
      </c>
      <c r="AD78" s="11" t="n">
        <v>2530.34</v>
      </c>
    </row>
    <row r="79">
      <c r="A79" s="10" t="inlineStr">
        <is>
          <t>자본금</t>
        </is>
      </c>
      <c r="C79" s="11" t="n">
        <v>67.66</v>
      </c>
      <c r="D79" s="11" t="n">
        <v>67.66</v>
      </c>
      <c r="E79" s="11" t="n">
        <v>67.66</v>
      </c>
      <c r="F79" s="11" t="n">
        <v>67.66</v>
      </c>
      <c r="G79" s="11" t="n">
        <v>67.66</v>
      </c>
      <c r="H79" s="11" t="n">
        <v>67.66</v>
      </c>
      <c r="I79" s="11" t="n">
        <v>67.66</v>
      </c>
      <c r="J79" s="11" t="n">
        <v>67.66</v>
      </c>
      <c r="K79" s="11" t="n">
        <v>67.66</v>
      </c>
      <c r="L79" s="11" t="n">
        <v>67.66</v>
      </c>
      <c r="M79" s="11" t="n">
        <v>67.66</v>
      </c>
      <c r="N79" s="11" t="n">
        <v>67.66</v>
      </c>
      <c r="O79" s="11" t="n">
        <v>67.66</v>
      </c>
      <c r="P79" s="11" t="n">
        <v>67.66</v>
      </c>
      <c r="Q79" s="11" t="n">
        <v>67.66</v>
      </c>
      <c r="R79" s="11" t="n">
        <v>67.66</v>
      </c>
      <c r="S79" s="11" t="n">
        <v>67.66</v>
      </c>
      <c r="T79" s="11" t="n">
        <v>67.66</v>
      </c>
      <c r="U79" s="11" t="n">
        <v>67.66</v>
      </c>
      <c r="V79" s="11" t="n">
        <v>67.66</v>
      </c>
      <c r="W79" s="11" t="n">
        <v>67.66</v>
      </c>
      <c r="X79" s="11" t="n">
        <v>67.66</v>
      </c>
      <c r="Y79" s="11" t="n">
        <v>67.66</v>
      </c>
      <c r="Z79" s="11" t="n">
        <v>67.66</v>
      </c>
      <c r="AA79" s="11" t="n">
        <v>67.66</v>
      </c>
      <c r="AB79" s="11" t="n">
        <v>67.66</v>
      </c>
      <c r="AC79" s="11" t="n">
        <v>67.66</v>
      </c>
      <c r="AD79" s="11" t="n">
        <v>67.66</v>
      </c>
    </row>
    <row r="80">
      <c r="A80" s="10" t="inlineStr">
        <is>
          <t>자본잉여금</t>
        </is>
      </c>
      <c r="C80" s="11" t="n">
        <v>295.84</v>
      </c>
      <c r="D80" s="11" t="n">
        <v>295.86</v>
      </c>
      <c r="E80" s="11" t="n">
        <v>295.86</v>
      </c>
      <c r="F80" s="11" t="n">
        <v>295.86</v>
      </c>
      <c r="G80" s="11" t="n">
        <v>296.03</v>
      </c>
      <c r="H80" s="11" t="n">
        <v>296.2</v>
      </c>
      <c r="I80" s="11" t="n">
        <v>296.2</v>
      </c>
      <c r="J80" s="11" t="n">
        <v>296.2</v>
      </c>
      <c r="K80" s="11" t="n">
        <v>297.3</v>
      </c>
      <c r="L80" s="11" t="n">
        <v>297.3</v>
      </c>
      <c r="M80" s="11" t="n">
        <v>297.19</v>
      </c>
      <c r="N80" s="11" t="n">
        <v>297.19</v>
      </c>
      <c r="O80" s="11" t="n">
        <v>317.75</v>
      </c>
      <c r="P80" s="11" t="n">
        <v>317.71</v>
      </c>
      <c r="Q80" s="11" t="n">
        <v>317.65</v>
      </c>
      <c r="R80" s="11" t="n">
        <v>317.65</v>
      </c>
      <c r="S80" s="11" t="n">
        <v>318.93</v>
      </c>
      <c r="T80" s="11" t="n">
        <v>318.94</v>
      </c>
      <c r="U80" s="11" t="n">
        <v>318.94</v>
      </c>
      <c r="V80" s="11" t="n">
        <v>318.99</v>
      </c>
      <c r="W80" s="11" t="n">
        <v>108.26</v>
      </c>
      <c r="X80" s="11" t="n">
        <v>109</v>
      </c>
      <c r="Y80" s="11" t="n">
        <v>279.22</v>
      </c>
      <c r="Z80" s="11" t="n">
        <v>295.86</v>
      </c>
      <c r="AA80" s="11" t="n">
        <v>296.2</v>
      </c>
      <c r="AB80" s="11" t="n">
        <v>297.19</v>
      </c>
      <c r="AC80" s="11" t="n">
        <v>317.65</v>
      </c>
      <c r="AD80" s="11" t="n">
        <v>318.99</v>
      </c>
    </row>
    <row r="81">
      <c r="A81" s="10" t="inlineStr">
        <is>
          <t>이익잉여금</t>
        </is>
      </c>
      <c r="C81" s="11" t="n">
        <v>2083.41</v>
      </c>
      <c r="D81" s="11" t="n">
        <v>2152.75</v>
      </c>
      <c r="E81" s="11" t="n">
        <v>2149.74</v>
      </c>
      <c r="F81" s="11" t="n">
        <v>2195.34</v>
      </c>
      <c r="G81" s="11" t="n">
        <v>2179.09</v>
      </c>
      <c r="H81" s="11" t="n">
        <v>2213.71</v>
      </c>
      <c r="I81" s="11" t="n">
        <v>2271.71</v>
      </c>
      <c r="J81" s="11" t="n">
        <v>2305.41</v>
      </c>
      <c r="K81" s="11" t="n">
        <v>2348.19</v>
      </c>
      <c r="L81" s="11" t="n">
        <v>2406.83</v>
      </c>
      <c r="M81" s="11" t="n">
        <v>2527.3</v>
      </c>
      <c r="N81" s="11" t="n">
        <v>2607.89</v>
      </c>
      <c r="O81" s="11" t="n">
        <v>2702.19</v>
      </c>
      <c r="P81" s="11" t="n">
        <v>2807.46</v>
      </c>
      <c r="Q81" s="11" t="n">
        <v>2927.48</v>
      </c>
      <c r="R81" s="11" t="n">
        <v>3007.71</v>
      </c>
      <c r="S81" s="11" t="n">
        <v>3150.45</v>
      </c>
      <c r="T81" s="11" t="n">
        <v>3272.6</v>
      </c>
      <c r="U81" s="11" t="n">
        <v>3426.66</v>
      </c>
      <c r="V81" s="11" t="n">
        <v>3605.34</v>
      </c>
      <c r="W81" s="11" t="n">
        <v>1863.64</v>
      </c>
      <c r="X81" s="11" t="n">
        <v>1778.74</v>
      </c>
      <c r="Y81" s="11" t="n">
        <v>2059.95</v>
      </c>
      <c r="Z81" s="11" t="n">
        <v>2195.34</v>
      </c>
      <c r="AA81" s="11" t="n">
        <v>2305.41</v>
      </c>
      <c r="AB81" s="11" t="n">
        <v>2607.89</v>
      </c>
      <c r="AC81" s="11" t="n">
        <v>3007.71</v>
      </c>
      <c r="AD81" s="11" t="n">
        <v>3605.34</v>
      </c>
    </row>
    <row r="82">
      <c r="A82" s="10" t="inlineStr">
        <is>
          <t>자기주식</t>
        </is>
      </c>
      <c r="C82" s="11" t="n">
        <v>-326.5</v>
      </c>
      <c r="D82" s="11" t="n">
        <v>-317.04</v>
      </c>
      <c r="E82" s="11" t="n">
        <v>-314.1</v>
      </c>
      <c r="F82" s="11" t="n">
        <v>-310.82</v>
      </c>
      <c r="G82" s="11" t="n">
        <v>-308.62</v>
      </c>
      <c r="H82" s="11" t="n">
        <v>-304.37</v>
      </c>
      <c r="I82" s="11" t="n">
        <v>-301.88</v>
      </c>
      <c r="J82" s="11" t="n">
        <v>-299.2</v>
      </c>
      <c r="K82" s="11" t="n">
        <v>-297.15</v>
      </c>
      <c r="L82" s="11" t="n">
        <v>-294.84</v>
      </c>
      <c r="M82" s="11" t="n">
        <v>-293.11</v>
      </c>
      <c r="N82" s="11" t="n">
        <v>-292.72</v>
      </c>
      <c r="O82" s="11" t="n">
        <v>-310.04</v>
      </c>
      <c r="P82" s="11" t="n">
        <v>-307.59</v>
      </c>
      <c r="Q82" s="11" t="n">
        <v>-305.97</v>
      </c>
      <c r="R82" s="11" t="n">
        <v>-304.61</v>
      </c>
      <c r="S82" s="11" t="n">
        <v>-303.08</v>
      </c>
      <c r="T82" s="11" t="n">
        <v>-300.91</v>
      </c>
      <c r="U82" s="11" t="n">
        <v>-299.68</v>
      </c>
      <c r="V82" s="11" t="n">
        <v>-297.71</v>
      </c>
      <c r="W82" s="11" t="n">
        <v>-147.8</v>
      </c>
      <c r="X82" s="11" t="n">
        <v>-139.65</v>
      </c>
      <c r="Y82" s="11" t="n">
        <v>-309.73</v>
      </c>
      <c r="Z82" s="11" t="n">
        <v>-310.82</v>
      </c>
      <c r="AA82" s="11" t="n">
        <v>-299.2</v>
      </c>
      <c r="AB82" s="11" t="n">
        <v>-292.72</v>
      </c>
      <c r="AC82" s="11" t="n">
        <v>-304.61</v>
      </c>
      <c r="AD82" s="11" t="n">
        <v>-297.71</v>
      </c>
    </row>
    <row r="83">
      <c r="A83" s="10" t="inlineStr">
        <is>
          <t>주주자본 합계</t>
        </is>
      </c>
      <c r="C83" s="11" t="n">
        <v>2120.42</v>
      </c>
      <c r="D83" s="11" t="n">
        <v>2199.24</v>
      </c>
      <c r="E83" s="11" t="n">
        <v>2199.17</v>
      </c>
      <c r="F83" s="11" t="n">
        <v>2248.05</v>
      </c>
      <c r="G83" s="11" t="n">
        <v>2234.16</v>
      </c>
      <c r="H83" s="11" t="n">
        <v>2273.21</v>
      </c>
      <c r="I83" s="11" t="n">
        <v>2333.7</v>
      </c>
      <c r="J83" s="11" t="n">
        <v>2370.08</v>
      </c>
      <c r="K83" s="11" t="n">
        <v>2416.01</v>
      </c>
      <c r="L83" s="11" t="n">
        <v>2476.96</v>
      </c>
      <c r="M83" s="11" t="n">
        <v>2599.03</v>
      </c>
      <c r="N83" s="11" t="n">
        <v>2680.02</v>
      </c>
      <c r="O83" s="11" t="n">
        <v>2777.56</v>
      </c>
      <c r="P83" s="11" t="n">
        <v>2885.24</v>
      </c>
      <c r="Q83" s="11" t="n">
        <v>3006.82</v>
      </c>
      <c r="R83" s="11" t="n">
        <v>3088.41</v>
      </c>
      <c r="S83" s="11" t="n">
        <v>3233.95</v>
      </c>
      <c r="T83" s="11" t="n">
        <v>3358.28</v>
      </c>
      <c r="U83" s="11" t="n">
        <v>3513.58</v>
      </c>
      <c r="V83" s="11" t="n">
        <v>3694.28</v>
      </c>
      <c r="W83" s="11" t="n">
        <v>1891.77</v>
      </c>
      <c r="X83" s="11" t="n">
        <v>1815.74</v>
      </c>
      <c r="Y83" s="11" t="n">
        <v>2097.09</v>
      </c>
      <c r="Z83" s="11" t="n">
        <v>2248.05</v>
      </c>
      <c r="AA83" s="11" t="n">
        <v>2370.08</v>
      </c>
      <c r="AB83" s="11" t="n">
        <v>2680.02</v>
      </c>
      <c r="AC83" s="11" t="n">
        <v>3088.41</v>
      </c>
      <c r="AD83" s="11" t="n">
        <v>3694.28</v>
      </c>
    </row>
    <row r="84">
      <c r="A84" s="10" t="inlineStr">
        <is>
          <t>기타유가증권 평가차액</t>
        </is>
      </c>
      <c r="C84" s="11" t="n">
        <v>20.46</v>
      </c>
      <c r="D84" s="11" t="n">
        <v>20.04</v>
      </c>
      <c r="E84" s="11" t="n">
        <v>20.7</v>
      </c>
      <c r="F84" s="11" t="n">
        <v>23.09</v>
      </c>
      <c r="G84" s="11" t="n">
        <v>24.52</v>
      </c>
      <c r="H84" s="11" t="n">
        <v>22.54</v>
      </c>
      <c r="I84" s="11" t="n">
        <v>6.6</v>
      </c>
      <c r="J84" s="11" t="n">
        <v>8.49</v>
      </c>
      <c r="K84" s="11" t="n">
        <v>9.59</v>
      </c>
      <c r="L84" s="11" t="n">
        <v>11.79</v>
      </c>
      <c r="M84" s="11" t="n">
        <v>14.37</v>
      </c>
      <c r="N84" s="11" t="n">
        <v>13.43</v>
      </c>
      <c r="O84" s="11" t="n">
        <v>15.27</v>
      </c>
      <c r="P84" s="11" t="n">
        <v>14.97</v>
      </c>
      <c r="Q84" s="11" t="n">
        <v>17.18</v>
      </c>
      <c r="R84" s="11" t="n">
        <v>16.31</v>
      </c>
      <c r="S84" s="11" t="n">
        <v>0</v>
      </c>
      <c r="T84" s="11" t="n">
        <v>0</v>
      </c>
      <c r="U84" s="11" t="n">
        <v>0</v>
      </c>
      <c r="V84" s="11" t="n">
        <v>0</v>
      </c>
      <c r="W84" s="11" t="n">
        <v>18.85</v>
      </c>
      <c r="X84" s="11" t="n">
        <v>16.05</v>
      </c>
      <c r="Y84" s="11" t="n">
        <v>23.25</v>
      </c>
      <c r="Z84" s="11" t="n">
        <v>23.09</v>
      </c>
      <c r="AA84" s="11" t="n">
        <v>8.49</v>
      </c>
      <c r="AB84" s="11" t="n">
        <v>13.43</v>
      </c>
      <c r="AC84" s="11" t="n">
        <v>16.31</v>
      </c>
      <c r="AD84" s="11" t="n">
        <v>0</v>
      </c>
    </row>
    <row r="85">
      <c r="A85" s="10" t="inlineStr">
        <is>
          <t>이연헤지손익</t>
        </is>
      </c>
      <c r="C85" s="11" t="n">
        <v>6.3</v>
      </c>
      <c r="D85" s="11" t="n">
        <v>1.78</v>
      </c>
      <c r="E85" s="11" t="n">
        <v>47.76</v>
      </c>
      <c r="F85" s="11" t="n">
        <v>75.77</v>
      </c>
      <c r="G85" s="11" t="n">
        <v>50.07</v>
      </c>
      <c r="H85" s="11" t="n">
        <v>31.11</v>
      </c>
      <c r="I85" s="11" t="n">
        <v>96.84</v>
      </c>
      <c r="J85" s="11" t="n">
        <v>192.7</v>
      </c>
      <c r="K85" s="11" t="n">
        <v>216.69</v>
      </c>
      <c r="L85" s="11" t="n">
        <v>252.01</v>
      </c>
      <c r="M85" s="11" t="n">
        <v>370.18</v>
      </c>
      <c r="N85" s="11" t="n">
        <v>146.69</v>
      </c>
      <c r="O85" s="11" t="n">
        <v>231.19</v>
      </c>
      <c r="P85" s="11" t="n">
        <v>199.52</v>
      </c>
      <c r="Q85" s="11" t="n">
        <v>80.27</v>
      </c>
      <c r="R85" s="11" t="n">
        <v>133.49</v>
      </c>
      <c r="S85" s="11" t="n">
        <v>300.06</v>
      </c>
      <c r="T85" s="11" t="n">
        <v>254.67</v>
      </c>
      <c r="U85" s="11" t="n">
        <v>273.99</v>
      </c>
      <c r="V85" s="11" t="n">
        <v>224.57</v>
      </c>
      <c r="W85" s="11" t="n">
        <v>5.68</v>
      </c>
      <c r="X85" s="11" t="n">
        <v>6.74</v>
      </c>
      <c r="Y85" s="11" t="n">
        <v>4.85</v>
      </c>
      <c r="Z85" s="11" t="n">
        <v>75.77</v>
      </c>
      <c r="AA85" s="11" t="n">
        <v>192.7</v>
      </c>
      <c r="AB85" s="11" t="n">
        <v>146.69</v>
      </c>
      <c r="AC85" s="11" t="n">
        <v>133.49</v>
      </c>
      <c r="AD85" s="11" t="n">
        <v>224.57</v>
      </c>
    </row>
    <row r="86">
      <c r="A86" s="10" t="inlineStr">
        <is>
          <t>해외사업환산조정</t>
        </is>
      </c>
      <c r="C86" s="11" t="n">
        <v>10.32</v>
      </c>
      <c r="D86" s="11" t="n">
        <v>19.52</v>
      </c>
      <c r="E86" s="11" t="n">
        <v>43.1</v>
      </c>
      <c r="F86" s="11" t="n">
        <v>68.63</v>
      </c>
      <c r="G86" s="11" t="n">
        <v>52.3</v>
      </c>
      <c r="H86" s="11" t="n">
        <v>54.94</v>
      </c>
      <c r="I86" s="11" t="n">
        <v>58.1</v>
      </c>
      <c r="J86" s="11" t="n">
        <v>64.7</v>
      </c>
      <c r="K86" s="11" t="n">
        <v>79.94</v>
      </c>
      <c r="L86" s="11" t="n">
        <v>85.41</v>
      </c>
      <c r="M86" s="11" t="n">
        <v>129.43</v>
      </c>
      <c r="N86" s="11" t="n">
        <v>87.98</v>
      </c>
      <c r="O86" s="11" t="n">
        <v>92.45</v>
      </c>
      <c r="P86" s="11" t="n">
        <v>91.2</v>
      </c>
      <c r="Q86" s="11" t="n">
        <v>67.98999999999999</v>
      </c>
      <c r="R86" s="11" t="n">
        <v>79.25</v>
      </c>
      <c r="S86" s="11" t="n">
        <v>133.29</v>
      </c>
      <c r="T86" s="11" t="n">
        <v>156.55</v>
      </c>
      <c r="U86" s="11" t="n">
        <v>180.39</v>
      </c>
      <c r="V86" s="11" t="n">
        <v>188.2</v>
      </c>
      <c r="W86" s="11" t="n">
        <v>-9.609999999999999</v>
      </c>
      <c r="X86" s="11" t="n">
        <v>-36.99</v>
      </c>
      <c r="Y86" s="11" t="n">
        <v>-3.24</v>
      </c>
      <c r="Z86" s="11" t="n">
        <v>68.63</v>
      </c>
      <c r="AA86" s="11" t="n">
        <v>64.7</v>
      </c>
      <c r="AB86" s="11" t="n">
        <v>87.98</v>
      </c>
      <c r="AC86" s="11" t="n">
        <v>79.25</v>
      </c>
      <c r="AD86" s="11" t="n">
        <v>188.2</v>
      </c>
    </row>
    <row r="87">
      <c r="A87" s="10" t="inlineStr">
        <is>
          <t>기타포괄손익누계액 합계</t>
        </is>
      </c>
      <c r="C87" s="11" t="n">
        <v>37.09</v>
      </c>
      <c r="D87" s="11" t="n">
        <v>41.35</v>
      </c>
      <c r="E87" s="11" t="n">
        <v>111.58</v>
      </c>
      <c r="F87" s="11" t="n">
        <v>167.5</v>
      </c>
      <c r="G87" s="11" t="n">
        <v>126.9</v>
      </c>
      <c r="H87" s="11" t="n">
        <v>108.6</v>
      </c>
      <c r="I87" s="11" t="n">
        <v>161.55</v>
      </c>
      <c r="J87" s="11" t="n">
        <v>265.9</v>
      </c>
      <c r="K87" s="11" t="n">
        <v>306.23</v>
      </c>
      <c r="L87" s="11" t="n">
        <v>349.22</v>
      </c>
      <c r="M87" s="11" t="n">
        <v>513.98</v>
      </c>
      <c r="N87" s="11" t="n">
        <v>248.1</v>
      </c>
      <c r="O87" s="11" t="n">
        <v>338.93</v>
      </c>
      <c r="P87" s="11" t="n">
        <v>305.71</v>
      </c>
      <c r="Q87" s="11" t="n">
        <v>165.45</v>
      </c>
      <c r="R87" s="11" t="n">
        <v>229.06</v>
      </c>
      <c r="S87" s="11" t="n">
        <v>433.36</v>
      </c>
      <c r="T87" s="11" t="n">
        <v>411.22</v>
      </c>
      <c r="U87" s="11" t="n">
        <v>454.39</v>
      </c>
      <c r="V87" s="11" t="n">
        <v>412.78</v>
      </c>
      <c r="W87" s="11" t="n">
        <v>14.92</v>
      </c>
      <c r="X87" s="11" t="n">
        <v>-14.19</v>
      </c>
      <c r="Y87" s="11" t="n">
        <v>24.87</v>
      </c>
      <c r="Z87" s="11" t="n">
        <v>167.5</v>
      </c>
      <c r="AA87" s="11" t="n">
        <v>265.9</v>
      </c>
      <c r="AB87" s="11" t="n">
        <v>248.1</v>
      </c>
      <c r="AC87" s="11" t="n">
        <v>229.06</v>
      </c>
      <c r="AD87" s="11" t="n">
        <v>412.78</v>
      </c>
    </row>
    <row r="88">
      <c r="A88" s="10" t="inlineStr">
        <is>
          <t>신주예약권</t>
        </is>
      </c>
      <c r="C88" s="11" t="n">
        <v>6.25</v>
      </c>
      <c r="D88" s="11" t="n">
        <v>6.35</v>
      </c>
      <c r="E88" s="11" t="n">
        <v>6.5</v>
      </c>
      <c r="F88" s="11" t="n">
        <v>6.64</v>
      </c>
      <c r="G88" s="11" t="n">
        <v>6.75</v>
      </c>
      <c r="H88" s="11" t="n">
        <v>5.97</v>
      </c>
      <c r="I88" s="11" t="n">
        <v>6.14</v>
      </c>
      <c r="J88" s="11" t="n">
        <v>6.31</v>
      </c>
      <c r="K88" s="11" t="n">
        <v>6.1</v>
      </c>
      <c r="L88" s="11" t="n">
        <v>6.27</v>
      </c>
      <c r="M88" s="11" t="n">
        <v>6.45</v>
      </c>
      <c r="N88" s="11" t="n">
        <v>4.87</v>
      </c>
      <c r="O88" s="11" t="n">
        <v>3.51</v>
      </c>
      <c r="P88" s="11" t="n">
        <v>3.48</v>
      </c>
      <c r="Q88" s="11" t="n">
        <v>3.44</v>
      </c>
      <c r="R88" s="11" t="n">
        <v>3.44</v>
      </c>
      <c r="S88" s="11" t="n">
        <v>3.18</v>
      </c>
      <c r="T88" s="11" t="n">
        <v>3.13</v>
      </c>
      <c r="U88" s="11" t="n">
        <v>3.13</v>
      </c>
      <c r="V88" s="11" t="n">
        <v>3.03</v>
      </c>
      <c r="W88" s="11" t="n">
        <v>3.9</v>
      </c>
      <c r="X88" s="11" t="n">
        <v>9.31</v>
      </c>
      <c r="Y88" s="11" t="n">
        <v>6.05</v>
      </c>
      <c r="Z88" s="11" t="n">
        <v>6.64</v>
      </c>
      <c r="AA88" s="11" t="n">
        <v>6.31</v>
      </c>
      <c r="AB88" s="11" t="n">
        <v>4.87</v>
      </c>
      <c r="AC88" s="11" t="n">
        <v>3.44</v>
      </c>
      <c r="AD88" s="11" t="n">
        <v>3.03</v>
      </c>
    </row>
    <row r="89">
      <c r="A89" s="10" t="inlineStr">
        <is>
          <t>비지배지분</t>
        </is>
      </c>
      <c r="C89" s="11" t="n">
        <v>21.75</v>
      </c>
      <c r="D89" s="11" t="n">
        <v>23.01</v>
      </c>
      <c r="E89" s="11" t="n">
        <v>24.74</v>
      </c>
      <c r="F89" s="11" t="n">
        <v>26.32</v>
      </c>
      <c r="G89" s="11" t="n">
        <v>27.83</v>
      </c>
      <c r="H89" s="11" t="n">
        <v>28.86</v>
      </c>
      <c r="I89" s="11" t="n">
        <v>30.55</v>
      </c>
      <c r="J89" s="11" t="n">
        <v>32.16</v>
      </c>
      <c r="K89" s="11" t="n">
        <v>32.91</v>
      </c>
      <c r="L89" s="11" t="n">
        <v>34.61</v>
      </c>
      <c r="M89" s="11" t="n">
        <v>35.49</v>
      </c>
      <c r="N89" s="11" t="n">
        <v>37.04</v>
      </c>
      <c r="O89" s="11" t="n">
        <v>37.68</v>
      </c>
      <c r="P89" s="11" t="n">
        <v>39.83</v>
      </c>
      <c r="Q89" s="11" t="n">
        <v>39.2</v>
      </c>
      <c r="R89" s="11" t="n">
        <v>38.28</v>
      </c>
      <c r="S89" s="11" t="n">
        <v>63.08</v>
      </c>
      <c r="T89" s="11" t="n">
        <v>70.39</v>
      </c>
      <c r="U89" s="11" t="n">
        <v>75.28</v>
      </c>
      <c r="V89" s="11" t="n">
        <v>82.54000000000001</v>
      </c>
      <c r="W89" s="11" t="n">
        <v>41.28</v>
      </c>
      <c r="X89" s="11" t="n">
        <v>19.05</v>
      </c>
      <c r="Y89" s="11" t="n">
        <v>20.68</v>
      </c>
      <c r="Z89" s="11" t="n">
        <v>26.32</v>
      </c>
      <c r="AA89" s="11" t="n">
        <v>32.16</v>
      </c>
      <c r="AB89" s="11" t="n">
        <v>37.04</v>
      </c>
      <c r="AC89" s="11" t="n">
        <v>38.28</v>
      </c>
      <c r="AD89" s="11" t="n">
        <v>82.54000000000001</v>
      </c>
    </row>
    <row r="90">
      <c r="A90" s="10" t="inlineStr">
        <is>
          <t>순자산 합계</t>
        </is>
      </c>
      <c r="C90" s="11" t="n">
        <v>2185.52</v>
      </c>
      <c r="D90" s="11" t="n">
        <v>2269.97</v>
      </c>
      <c r="E90" s="11" t="n">
        <v>2341.99</v>
      </c>
      <c r="F90" s="11" t="n">
        <v>2448.52</v>
      </c>
      <c r="G90" s="11" t="n">
        <v>2395.66</v>
      </c>
      <c r="H90" s="11" t="n">
        <v>2416.65</v>
      </c>
      <c r="I90" s="11" t="n">
        <v>2531.95</v>
      </c>
      <c r="J90" s="11" t="n">
        <v>2674.46</v>
      </c>
      <c r="K90" s="11" t="n">
        <v>2761.26</v>
      </c>
      <c r="L90" s="11" t="n">
        <v>2867.08</v>
      </c>
      <c r="M90" s="11" t="n">
        <v>3154.97</v>
      </c>
      <c r="N90" s="11" t="n">
        <v>2970.04</v>
      </c>
      <c r="O90" s="11" t="n">
        <v>3157.69</v>
      </c>
      <c r="P90" s="11" t="n">
        <v>3234.28</v>
      </c>
      <c r="Q90" s="11" t="n">
        <v>3214.92</v>
      </c>
      <c r="R90" s="11" t="n">
        <v>3359.2</v>
      </c>
      <c r="S90" s="11" t="n">
        <v>3733.59</v>
      </c>
      <c r="T90" s="11" t="n">
        <v>3843.04</v>
      </c>
      <c r="U90" s="11" t="n">
        <v>4046.39</v>
      </c>
      <c r="V90" s="11" t="n">
        <v>4192.65</v>
      </c>
      <c r="W90" s="11" t="n">
        <v>1951.89</v>
      </c>
      <c r="X90" s="11" t="n">
        <v>1829.92</v>
      </c>
      <c r="Y90" s="11" t="n">
        <v>2148.71</v>
      </c>
      <c r="Z90" s="11" t="n">
        <v>2448.52</v>
      </c>
      <c r="AA90" s="11" t="n">
        <v>2674.46</v>
      </c>
      <c r="AB90" s="11" t="n">
        <v>2970.04</v>
      </c>
      <c r="AC90" s="11" t="n">
        <v>3359.2</v>
      </c>
      <c r="AD90" s="11" t="n">
        <v>4192.65</v>
      </c>
    </row>
    <row r="91">
      <c r="A91" s="10" t="inlineStr">
        <is>
          <t>부채·순자산 합계</t>
        </is>
      </c>
      <c r="C91" s="11" t="n">
        <v>3915.37</v>
      </c>
      <c r="D91" s="11" t="n">
        <v>3956.34</v>
      </c>
      <c r="E91" s="11" t="n">
        <v>3710.03</v>
      </c>
      <c r="F91" s="11" t="n">
        <v>3993.24</v>
      </c>
      <c r="G91" s="11" t="n">
        <v>4049.46</v>
      </c>
      <c r="H91" s="11" t="n">
        <v>3967.6</v>
      </c>
      <c r="I91" s="11" t="n">
        <v>4148.01</v>
      </c>
      <c r="J91" s="11" t="n">
        <v>4537.15</v>
      </c>
      <c r="K91" s="11" t="n">
        <v>4707.4</v>
      </c>
      <c r="L91" s="11" t="n">
        <v>4810.15</v>
      </c>
      <c r="M91" s="11" t="n">
        <v>5220.32</v>
      </c>
      <c r="N91" s="11" t="n">
        <v>5095.51</v>
      </c>
      <c r="O91" s="11" t="n">
        <v>5582.14</v>
      </c>
      <c r="P91" s="11" t="n">
        <v>5405.31</v>
      </c>
      <c r="Q91" s="11" t="n">
        <v>5493.26</v>
      </c>
      <c r="R91" s="11" t="n">
        <v>5627.49</v>
      </c>
      <c r="S91" s="11" t="n">
        <v>6195.26</v>
      </c>
      <c r="T91" s="11" t="n">
        <v>6321.15</v>
      </c>
      <c r="U91" s="11" t="n">
        <v>6564.93</v>
      </c>
      <c r="V91" s="11" t="n">
        <v>6722.99</v>
      </c>
      <c r="W91" s="11" t="n">
        <v>2583.09</v>
      </c>
      <c r="X91" s="11" t="n">
        <v>3439.18</v>
      </c>
      <c r="Y91" s="11" t="n">
        <v>3933.57</v>
      </c>
      <c r="Z91" s="11" t="n">
        <v>3993.24</v>
      </c>
      <c r="AA91" s="11" t="n">
        <v>4537.15</v>
      </c>
      <c r="AB91" s="11" t="n">
        <v>5095.51</v>
      </c>
      <c r="AC91" s="11" t="n">
        <v>5627.49</v>
      </c>
      <c r="AD91" s="11" t="n">
        <v>6722.99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양품계획 현금흐름표</t>
        </is>
      </c>
    </row>
    <row r="2">
      <c r="A2" s="2" t="inlineStr">
        <is>
          <t>결산기 기준(27.2Q = 2027년 결산기 2분기) · 8월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법인세차감전 순이익</t>
        </is>
      </c>
      <c r="D4" s="11" t="n">
        <v>188.01</v>
      </c>
      <c r="F4" s="11" t="n">
        <v>332.04</v>
      </c>
      <c r="H4" s="11" t="n">
        <v>109.63</v>
      </c>
      <c r="J4" s="11" t="n">
        <v>337.67</v>
      </c>
      <c r="L4" s="11" t="n">
        <v>241.86</v>
      </c>
      <c r="N4" s="11" t="n">
        <v>599.14</v>
      </c>
      <c r="P4" s="11" t="n">
        <v>340.73</v>
      </c>
      <c r="R4" s="11" t="n">
        <v>659.58</v>
      </c>
      <c r="T4" s="11" t="n">
        <v>492.69</v>
      </c>
      <c r="V4" s="11" t="n">
        <v>1026.83</v>
      </c>
      <c r="W4" s="11" t="n">
        <v>538.83</v>
      </c>
      <c r="X4" s="11" t="n">
        <v>346.03</v>
      </c>
      <c r="Y4" s="11" t="n">
        <v>485.89</v>
      </c>
      <c r="Z4" s="11" t="n">
        <v>332.04</v>
      </c>
      <c r="AA4" s="11" t="n">
        <v>337.67</v>
      </c>
      <c r="AB4" s="11" t="n">
        <v>599.14</v>
      </c>
      <c r="AC4" s="11" t="n">
        <v>659.58</v>
      </c>
      <c r="AD4" s="11" t="n">
        <v>1026.83</v>
      </c>
      <c r="AE4" s="7" t="inlineStr">
        <is>
          <t>결산단신 XBRL(거래소 공시, TDnet·JPX 보관소). 쓴 문서: 2026-10-14, 2026-07-10, 2026-04-10, 2026-01-14 외 26건 — '출처' 시트에 전부</t>
        </is>
      </c>
    </row>
    <row r="5">
      <c r="A5" s="10" t="inlineStr">
        <is>
          <t>감가상각비</t>
        </is>
      </c>
      <c r="D5" s="11" t="n">
        <v>83.36</v>
      </c>
      <c r="F5" s="11" t="n">
        <v>175.96</v>
      </c>
      <c r="H5" s="11" t="n">
        <v>93.88</v>
      </c>
      <c r="J5" s="11" t="n">
        <v>195.35</v>
      </c>
      <c r="L5" s="11" t="n">
        <v>107.29</v>
      </c>
      <c r="N5" s="11" t="n">
        <v>223.06</v>
      </c>
      <c r="P5" s="11" t="n">
        <v>120.65</v>
      </c>
      <c r="R5" s="11" t="n">
        <v>248.3</v>
      </c>
      <c r="T5" s="11" t="n">
        <v>139.39</v>
      </c>
      <c r="V5" s="11" t="n">
        <v>293.65</v>
      </c>
      <c r="W5" s="11" t="n">
        <v>78.89</v>
      </c>
      <c r="X5" s="11" t="n">
        <v>153.28</v>
      </c>
      <c r="Y5" s="11" t="n">
        <v>155.61</v>
      </c>
      <c r="Z5" s="11" t="n">
        <v>175.96</v>
      </c>
      <c r="AA5" s="11" t="n">
        <v>195.35</v>
      </c>
      <c r="AB5" s="11" t="n">
        <v>223.06</v>
      </c>
      <c r="AC5" s="11" t="n">
        <v>248.3</v>
      </c>
      <c r="AD5" s="11" t="n">
        <v>293.65</v>
      </c>
    </row>
    <row r="6">
      <c r="A6" s="10" t="inlineStr">
        <is>
          <t>소프트웨어 상각비</t>
        </is>
      </c>
      <c r="D6" s="11" t="n">
        <v>21.89</v>
      </c>
      <c r="H6" s="11" t="n">
        <v>27.05</v>
      </c>
      <c r="L6" s="11" t="n">
        <v>29.15</v>
      </c>
      <c r="P6" s="11" t="n">
        <v>35</v>
      </c>
      <c r="T6" s="11" t="n">
        <v>42.28</v>
      </c>
    </row>
    <row r="7">
      <c r="A7" s="10" t="inlineStr">
        <is>
          <t>소프트웨어 투자 상각</t>
        </is>
      </c>
      <c r="F7" s="11" t="n">
        <v>47.38</v>
      </c>
      <c r="J7" s="11" t="n">
        <v>55.32</v>
      </c>
      <c r="N7" s="11" t="n">
        <v>61.19</v>
      </c>
      <c r="R7" s="11" t="n">
        <v>74.25</v>
      </c>
      <c r="V7" s="11" t="n">
        <v>90.67</v>
      </c>
      <c r="W7" s="11" t="n">
        <v>23.84</v>
      </c>
      <c r="X7" s="11" t="n">
        <v>27.16</v>
      </c>
      <c r="Y7" s="11" t="n">
        <v>37.14</v>
      </c>
      <c r="Z7" s="11" t="n">
        <v>47.38</v>
      </c>
      <c r="AA7" s="11" t="n">
        <v>55.32</v>
      </c>
      <c r="AB7" s="11" t="n">
        <v>61.19</v>
      </c>
      <c r="AC7" s="11" t="n">
        <v>74.25</v>
      </c>
      <c r="AD7" s="11" t="n">
        <v>90.67</v>
      </c>
    </row>
    <row r="8">
      <c r="A8" s="10" t="inlineStr">
        <is>
          <t>영업권 상각</t>
        </is>
      </c>
      <c r="D8" s="11" t="n">
        <v>4.58</v>
      </c>
      <c r="F8" s="11" t="n">
        <v>9.52</v>
      </c>
      <c r="H8" s="11" t="n">
        <v>5</v>
      </c>
      <c r="J8" s="11" t="n">
        <v>10.03</v>
      </c>
      <c r="L8" s="11" t="n">
        <v>5.24</v>
      </c>
      <c r="N8" s="11" t="n">
        <v>5.49</v>
      </c>
      <c r="P8" s="11" t="n">
        <v>0.24</v>
      </c>
      <c r="R8" s="11" t="n">
        <v>0.49</v>
      </c>
      <c r="T8" s="11" t="n">
        <v>0.25</v>
      </c>
      <c r="V8" s="11" t="n">
        <v>0.41</v>
      </c>
      <c r="W8" s="11" t="n">
        <v>8.48</v>
      </c>
      <c r="X8" s="11" t="n">
        <v>8.07</v>
      </c>
      <c r="Y8" s="11" t="n">
        <v>8.470000000000001</v>
      </c>
      <c r="Z8" s="11" t="n">
        <v>9.52</v>
      </c>
      <c r="AA8" s="11" t="n">
        <v>10.03</v>
      </c>
      <c r="AB8" s="11" t="n">
        <v>5.49</v>
      </c>
      <c r="AC8" s="11" t="n">
        <v>0.49</v>
      </c>
      <c r="AD8" s="11" t="n">
        <v>0.41</v>
      </c>
    </row>
    <row r="9">
      <c r="A9" s="10" t="inlineStr">
        <is>
          <t>대손충당금 증감</t>
        </is>
      </c>
      <c r="D9" s="11" t="n">
        <v>-0.02</v>
      </c>
      <c r="F9" s="11" t="n">
        <v>-0.02</v>
      </c>
      <c r="H9" s="11" t="n">
        <v>-0.02</v>
      </c>
      <c r="J9" s="11" t="n">
        <v>-0.05</v>
      </c>
      <c r="L9" s="11" t="n">
        <v>-0.03</v>
      </c>
      <c r="N9" s="11" t="n">
        <v>-2.01</v>
      </c>
      <c r="P9" s="11" t="n">
        <v>-1.78</v>
      </c>
      <c r="R9" s="11" t="n">
        <v>-95.68000000000001</v>
      </c>
      <c r="T9" s="11" t="n">
        <v>-0.03</v>
      </c>
      <c r="V9" s="11" t="n">
        <v>0.14</v>
      </c>
      <c r="W9" s="11" t="n">
        <v>-0.37</v>
      </c>
      <c r="X9" s="11" t="n">
        <v>-0.09</v>
      </c>
      <c r="Y9" s="11" t="n">
        <v>-0.35</v>
      </c>
      <c r="Z9" s="11" t="n">
        <v>-0.02</v>
      </c>
      <c r="AA9" s="11" t="n">
        <v>-0.05</v>
      </c>
      <c r="AB9" s="11" t="n">
        <v>-2.01</v>
      </c>
      <c r="AC9" s="11" t="n">
        <v>-95.68000000000001</v>
      </c>
      <c r="AD9" s="11" t="n">
        <v>0.14</v>
      </c>
    </row>
    <row r="10">
      <c r="A10" s="10" t="inlineStr">
        <is>
          <t>임원 상여충당금 증감</t>
        </is>
      </c>
      <c r="D10" s="11" t="n">
        <v>-0.05</v>
      </c>
      <c r="F10" s="11" t="n">
        <v>0.11</v>
      </c>
      <c r="H10" s="11" t="n">
        <v>-0.4</v>
      </c>
      <c r="J10" s="11" t="n">
        <v>1.27</v>
      </c>
      <c r="L10" s="11" t="n">
        <v>-0.86</v>
      </c>
      <c r="N10" s="11" t="n">
        <v>0.3</v>
      </c>
      <c r="P10" s="11" t="n">
        <v>-1.46</v>
      </c>
      <c r="R10" s="11" t="n">
        <v>2.69</v>
      </c>
      <c r="T10" s="11" t="n">
        <v>-3.77</v>
      </c>
      <c r="V10" s="11" t="n">
        <v>-0.92</v>
      </c>
      <c r="W10" s="11" t="n">
        <v>-0.06</v>
      </c>
      <c r="X10" s="11" t="n">
        <v>-0.36</v>
      </c>
      <c r="Y10" s="11" t="n">
        <v>0.62</v>
      </c>
      <c r="Z10" s="11" t="n">
        <v>0.11</v>
      </c>
      <c r="AA10" s="11" t="n">
        <v>1.27</v>
      </c>
      <c r="AB10" s="11" t="n">
        <v>0.3</v>
      </c>
      <c r="AC10" s="11" t="n">
        <v>2.69</v>
      </c>
      <c r="AD10" s="11" t="n">
        <v>-0.92</v>
      </c>
    </row>
    <row r="11">
      <c r="A11" s="10" t="inlineStr">
        <is>
          <t>임원 퇴직위로 충당금 증감</t>
        </is>
      </c>
      <c r="D11" s="11" t="n">
        <v>-0.11</v>
      </c>
      <c r="F11" s="11" t="n">
        <v>-0.44</v>
      </c>
      <c r="H11" s="11" t="n">
        <v>0</v>
      </c>
      <c r="J11" s="11" t="n">
        <v>0.02</v>
      </c>
      <c r="L11" s="11" t="n">
        <v>0.01</v>
      </c>
      <c r="N11" s="11" t="n">
        <v>0.03</v>
      </c>
      <c r="P11" s="11" t="n">
        <v>-0.2</v>
      </c>
      <c r="R11" s="11" t="n">
        <v>-0.11</v>
      </c>
      <c r="T11" s="11" t="n">
        <v>0.02</v>
      </c>
      <c r="V11" s="11" t="n">
        <v>0.07000000000000001</v>
      </c>
      <c r="W11" s="11" t="n">
        <v>0.02</v>
      </c>
      <c r="X11" s="11" t="n">
        <v>0</v>
      </c>
      <c r="Y11" s="11" t="n">
        <v>0.27</v>
      </c>
      <c r="Z11" s="11" t="n">
        <v>-0.44</v>
      </c>
      <c r="AA11" s="11" t="n">
        <v>0.02</v>
      </c>
      <c r="AB11" s="11" t="n">
        <v>0.03</v>
      </c>
      <c r="AC11" s="11" t="n">
        <v>-0.11</v>
      </c>
      <c r="AD11" s="11" t="n">
        <v>0.07000000000000001</v>
      </c>
    </row>
    <row r="12">
      <c r="A12" s="10" t="inlineStr">
        <is>
          <t>반품조정 충당금 증감</t>
        </is>
      </c>
      <c r="D12" s="11" t="n">
        <v>0</v>
      </c>
      <c r="W12" s="11" t="n">
        <v>0.28</v>
      </c>
      <c r="X12" s="11" t="n">
        <v>-0.43</v>
      </c>
      <c r="Y12" s="11" t="n">
        <v>0</v>
      </c>
    </row>
    <row r="13">
      <c r="A13" s="10" t="inlineStr">
        <is>
          <t>이자·배당금 수익</t>
        </is>
      </c>
      <c r="D13" s="11" t="n">
        <v>-1.24</v>
      </c>
      <c r="F13" s="11" t="n">
        <v>-3.21</v>
      </c>
      <c r="H13" s="11" t="n">
        <v>-1.99</v>
      </c>
      <c r="J13" s="11" t="n">
        <v>-5.08</v>
      </c>
      <c r="L13" s="11" t="n">
        <v>-3.57</v>
      </c>
      <c r="N13" s="11" t="n">
        <v>-7.7</v>
      </c>
      <c r="P13" s="11" t="n">
        <v>-3.15</v>
      </c>
      <c r="R13" s="11" t="n">
        <v>-7.18</v>
      </c>
      <c r="T13" s="11" t="n">
        <v>-2.61</v>
      </c>
      <c r="V13" s="11" t="n">
        <v>-6.15</v>
      </c>
      <c r="W13" s="11" t="n">
        <v>-7.84</v>
      </c>
      <c r="X13" s="11" t="n">
        <v>-6.8</v>
      </c>
      <c r="Y13" s="11" t="n">
        <v>-3.61</v>
      </c>
      <c r="Z13" s="11" t="n">
        <v>-3.21</v>
      </c>
      <c r="AA13" s="11" t="n">
        <v>-5.08</v>
      </c>
      <c r="AB13" s="11" t="n">
        <v>-7.7</v>
      </c>
      <c r="AC13" s="11" t="n">
        <v>-7.18</v>
      </c>
      <c r="AD13" s="11" t="n">
        <v>-6.15</v>
      </c>
    </row>
    <row r="14">
      <c r="A14" s="10" t="inlineStr">
        <is>
          <t>이자비용</t>
        </is>
      </c>
      <c r="D14" s="11" t="n">
        <v>6.96</v>
      </c>
      <c r="F14" s="11" t="n">
        <v>13.52</v>
      </c>
      <c r="H14" s="11" t="n">
        <v>7.2</v>
      </c>
      <c r="J14" s="11" t="n">
        <v>16.63</v>
      </c>
      <c r="L14" s="11" t="n">
        <v>10.12</v>
      </c>
      <c r="N14" s="11" t="n">
        <v>22.26</v>
      </c>
      <c r="P14" s="11" t="n">
        <v>12.94</v>
      </c>
      <c r="R14" s="11" t="n">
        <v>27.66</v>
      </c>
      <c r="T14" s="11" t="n">
        <v>15.24</v>
      </c>
      <c r="V14" s="11" t="n">
        <v>30.74</v>
      </c>
      <c r="W14" s="11" t="n">
        <v>0.27</v>
      </c>
      <c r="X14" s="11" t="n">
        <v>8.92</v>
      </c>
      <c r="Y14" s="11" t="n">
        <v>13.95</v>
      </c>
      <c r="Z14" s="11" t="n">
        <v>13.52</v>
      </c>
      <c r="AA14" s="11" t="n">
        <v>16.63</v>
      </c>
      <c r="AB14" s="11" t="n">
        <v>22.26</v>
      </c>
      <c r="AC14" s="11" t="n">
        <v>27.66</v>
      </c>
      <c r="AD14" s="11" t="n">
        <v>30.74</v>
      </c>
    </row>
    <row r="15">
      <c r="A15" s="10" t="inlineStr">
        <is>
          <t>외환차손익</t>
        </is>
      </c>
      <c r="D15" s="11" t="n">
        <v>-9.300000000000001</v>
      </c>
      <c r="F15" s="11" t="n">
        <v>-33.18</v>
      </c>
      <c r="H15" s="11" t="n">
        <v>-1.94</v>
      </c>
      <c r="J15" s="11" t="n">
        <v>-13.42</v>
      </c>
      <c r="L15" s="11" t="n">
        <v>-5.09</v>
      </c>
      <c r="N15" s="11" t="n">
        <v>-16.19</v>
      </c>
      <c r="P15" s="11" t="n">
        <v>0.43</v>
      </c>
      <c r="R15" s="11" t="n">
        <v>-1.44</v>
      </c>
      <c r="T15" s="11" t="n">
        <v>-19.58</v>
      </c>
      <c r="V15" s="11" t="n">
        <v>-13.44</v>
      </c>
      <c r="W15" s="11" t="n">
        <v>-1.59</v>
      </c>
      <c r="X15" s="11" t="n">
        <v>1.99</v>
      </c>
      <c r="Y15" s="11" t="n">
        <v>-9.119999999999999</v>
      </c>
      <c r="Z15" s="11" t="n">
        <v>-33.18</v>
      </c>
      <c r="AA15" s="11" t="n">
        <v>-13.42</v>
      </c>
      <c r="AB15" s="11" t="n">
        <v>-16.19</v>
      </c>
      <c r="AC15" s="11" t="n">
        <v>-1.44</v>
      </c>
      <c r="AD15" s="11" t="n">
        <v>-13.44</v>
      </c>
    </row>
    <row r="16">
      <c r="A16" s="10" t="inlineStr">
        <is>
          <t>투자유가증권 평가손익</t>
        </is>
      </c>
      <c r="J16" s="11" t="n">
        <v>0</v>
      </c>
      <c r="N16" s="11" t="n">
        <v>0.63</v>
      </c>
      <c r="R16" s="11" t="n">
        <v>0</v>
      </c>
      <c r="AA16" s="11" t="n">
        <v>0</v>
      </c>
      <c r="AB16" s="11" t="n">
        <v>0.63</v>
      </c>
      <c r="AC16" s="11" t="n">
        <v>0</v>
      </c>
    </row>
    <row r="17">
      <c r="A17" s="10" t="inlineStr">
        <is>
          <t>투자유가증권 매각손익</t>
        </is>
      </c>
      <c r="D17" s="11" t="n">
        <v>0</v>
      </c>
      <c r="F17" s="11" t="n">
        <v>-0.25</v>
      </c>
      <c r="H17" s="11" t="n">
        <v>-4.17</v>
      </c>
      <c r="J17" s="11" t="n">
        <v>-29.6</v>
      </c>
      <c r="L17" s="11" t="n">
        <v>0</v>
      </c>
      <c r="N17" s="11" t="n">
        <v>0</v>
      </c>
      <c r="P17" s="11" t="n">
        <v>0</v>
      </c>
      <c r="R17" s="11" t="n">
        <v>0</v>
      </c>
      <c r="T17" s="11" t="n">
        <v>-23.67</v>
      </c>
      <c r="V17" s="11" t="n">
        <v>-23.67</v>
      </c>
      <c r="W17" s="11" t="n">
        <v>-86.34</v>
      </c>
      <c r="X17" s="11" t="n">
        <v>-0.18</v>
      </c>
      <c r="Y17" s="11" t="n">
        <v>-1.18</v>
      </c>
      <c r="Z17" s="11" t="n">
        <v>-0.25</v>
      </c>
      <c r="AA17" s="11" t="n">
        <v>-29.6</v>
      </c>
      <c r="AB17" s="11" t="n">
        <v>0</v>
      </c>
      <c r="AC17" s="11" t="n">
        <v>0</v>
      </c>
      <c r="AD17" s="11" t="n">
        <v>-23.67</v>
      </c>
    </row>
    <row r="18">
      <c r="A18" s="10" t="inlineStr">
        <is>
          <t>지분법손익</t>
        </is>
      </c>
      <c r="D18" s="11" t="n">
        <v>0</v>
      </c>
      <c r="F18" s="11" t="n">
        <v>0</v>
      </c>
      <c r="W18" s="11" t="n">
        <v>-0.32</v>
      </c>
      <c r="X18" s="11" t="n">
        <v>-0.76</v>
      </c>
      <c r="Y18" s="11" t="n">
        <v>-0.07000000000000001</v>
      </c>
      <c r="Z18" s="11" t="n">
        <v>0</v>
      </c>
    </row>
    <row r="19">
      <c r="A19" s="10" t="inlineStr">
        <is>
          <t>고정자산 매각이익</t>
        </is>
      </c>
      <c r="J19" s="11" t="n">
        <v>-0.72</v>
      </c>
      <c r="N19" s="11" t="n">
        <v>-79.48999999999999</v>
      </c>
      <c r="R19" s="11" t="n">
        <v>-0.01</v>
      </c>
      <c r="V19" s="11" t="n">
        <v>-0.05</v>
      </c>
      <c r="AA19" s="11" t="n">
        <v>-0.72</v>
      </c>
      <c r="AB19" s="11" t="n">
        <v>-79.48999999999999</v>
      </c>
      <c r="AC19" s="11" t="n">
        <v>-0.01</v>
      </c>
      <c r="AD19" s="11" t="n">
        <v>-0.05</v>
      </c>
    </row>
    <row r="20">
      <c r="A20" s="10" t="inlineStr">
        <is>
          <t>고정자산 제각손실</t>
        </is>
      </c>
      <c r="D20" s="11" t="n">
        <v>17.58</v>
      </c>
      <c r="F20" s="11" t="n">
        <v>19.9</v>
      </c>
      <c r="H20" s="11" t="n">
        <v>0.58</v>
      </c>
      <c r="J20" s="11" t="n">
        <v>3.32</v>
      </c>
      <c r="L20" s="11" t="n">
        <v>0.33</v>
      </c>
      <c r="N20" s="11" t="n">
        <v>1.36</v>
      </c>
      <c r="P20" s="11" t="n">
        <v>3.1</v>
      </c>
      <c r="R20" s="11" t="n">
        <v>9.800000000000001</v>
      </c>
      <c r="T20" s="11" t="n">
        <v>1.1</v>
      </c>
      <c r="V20" s="11" t="n">
        <v>33.96</v>
      </c>
      <c r="W20" s="11" t="n">
        <v>3.2</v>
      </c>
      <c r="X20" s="11" t="n">
        <v>5.67</v>
      </c>
      <c r="Y20" s="11" t="n">
        <v>2.78</v>
      </c>
      <c r="Z20" s="11" t="n">
        <v>19.9</v>
      </c>
      <c r="AA20" s="11" t="n">
        <v>3.32</v>
      </c>
      <c r="AB20" s="11" t="n">
        <v>1.36</v>
      </c>
      <c r="AC20" s="11" t="n">
        <v>9.800000000000001</v>
      </c>
      <c r="AD20" s="11" t="n">
        <v>33.96</v>
      </c>
    </row>
    <row r="21">
      <c r="A21" s="10" t="inlineStr">
        <is>
          <t>손상차손</t>
        </is>
      </c>
      <c r="D21" s="11" t="n">
        <v>0</v>
      </c>
      <c r="F21" s="11" t="n">
        <v>22.4</v>
      </c>
      <c r="H21" s="11" t="n">
        <v>0</v>
      </c>
      <c r="J21" s="11" t="n">
        <v>49.04</v>
      </c>
      <c r="L21" s="11" t="n">
        <v>3.51</v>
      </c>
      <c r="N21" s="11" t="n">
        <v>43.51</v>
      </c>
      <c r="P21" s="11" t="n">
        <v>2.23</v>
      </c>
      <c r="R21" s="11" t="n">
        <v>50.04</v>
      </c>
      <c r="T21" s="11" t="n">
        <v>0.99</v>
      </c>
      <c r="V21" s="11" t="n">
        <v>29.34</v>
      </c>
      <c r="W21" s="11" t="n">
        <v>2.91</v>
      </c>
      <c r="X21" s="11" t="n">
        <v>11.81</v>
      </c>
      <c r="Y21" s="11" t="n">
        <v>11.68</v>
      </c>
      <c r="Z21" s="11" t="n">
        <v>22.4</v>
      </c>
      <c r="AA21" s="11" t="n">
        <v>49.04</v>
      </c>
      <c r="AB21" s="11" t="n">
        <v>43.51</v>
      </c>
      <c r="AC21" s="11" t="n">
        <v>50.04</v>
      </c>
      <c r="AD21" s="11" t="n">
        <v>29.34</v>
      </c>
    </row>
    <row r="22">
      <c r="A22" s="10" t="inlineStr">
        <is>
          <t>단계적 취득 차손익</t>
        </is>
      </c>
      <c r="D22" s="11" t="n">
        <v>0</v>
      </c>
      <c r="F22" s="11" t="n">
        <v>0</v>
      </c>
      <c r="Y22" s="11" t="n">
        <v>-2.6</v>
      </c>
      <c r="Z22" s="11" t="n">
        <v>0</v>
      </c>
    </row>
    <row r="23">
      <c r="A23" s="10" t="inlineStr">
        <is>
          <t>매출채권 증감</t>
        </is>
      </c>
      <c r="D23" s="11" t="n">
        <v>5.6</v>
      </c>
      <c r="F23" s="11" t="n">
        <v>-8.369999999999999</v>
      </c>
      <c r="H23" s="11" t="n">
        <v>-11.51</v>
      </c>
      <c r="J23" s="11" t="n">
        <v>-19.41</v>
      </c>
      <c r="L23" s="11" t="n">
        <v>-1.51</v>
      </c>
      <c r="N23" s="11" t="n">
        <v>-183.5</v>
      </c>
      <c r="P23" s="11" t="n">
        <v>48.37</v>
      </c>
      <c r="R23" s="11" t="n">
        <v>83.98999999999999</v>
      </c>
      <c r="T23" s="11" t="n">
        <v>5.82</v>
      </c>
      <c r="V23" s="11" t="n">
        <v>-31.2</v>
      </c>
      <c r="W23" s="11" t="n">
        <v>-5.9</v>
      </c>
      <c r="X23" s="11" t="n">
        <v>-31.56</v>
      </c>
      <c r="Y23" s="11" t="n">
        <v>13.45</v>
      </c>
      <c r="Z23" s="11" t="n">
        <v>-8.369999999999999</v>
      </c>
      <c r="AA23" s="11" t="n">
        <v>-19.41</v>
      </c>
      <c r="AB23" s="11" t="n">
        <v>-183.5</v>
      </c>
      <c r="AC23" s="11" t="n">
        <v>83.98999999999999</v>
      </c>
      <c r="AD23" s="11" t="n">
        <v>-31.2</v>
      </c>
    </row>
    <row r="24">
      <c r="A24" s="10" t="inlineStr">
        <is>
          <t>재고자산 증감</t>
        </is>
      </c>
      <c r="D24" s="11" t="n">
        <v>-44.51</v>
      </c>
      <c r="F24" s="11" t="n">
        <v>-142.53</v>
      </c>
      <c r="H24" s="11" t="n">
        <v>-82.92</v>
      </c>
      <c r="J24" s="11" t="n">
        <v>-20.47</v>
      </c>
      <c r="L24" s="11" t="n">
        <v>-16.37</v>
      </c>
      <c r="N24" s="11" t="n">
        <v>-230.22</v>
      </c>
      <c r="P24" s="11" t="n">
        <v>-177.52</v>
      </c>
      <c r="R24" s="11" t="n">
        <v>-154.55</v>
      </c>
      <c r="T24" s="11" t="n">
        <v>-109.53</v>
      </c>
      <c r="V24" s="11" t="n">
        <v>-267.94</v>
      </c>
      <c r="W24" s="11" t="n">
        <v>-165.09</v>
      </c>
      <c r="X24" s="11" t="n">
        <v>-180.23</v>
      </c>
      <c r="Y24" s="11" t="n">
        <v>-43.57</v>
      </c>
      <c r="Z24" s="11" t="n">
        <v>-142.53</v>
      </c>
      <c r="AA24" s="11" t="n">
        <v>-20.47</v>
      </c>
      <c r="AB24" s="11" t="n">
        <v>-230.22</v>
      </c>
      <c r="AC24" s="11" t="n">
        <v>-154.55</v>
      </c>
      <c r="AD24" s="11" t="n">
        <v>-267.94</v>
      </c>
    </row>
    <row r="25">
      <c r="A25" s="10" t="inlineStr">
        <is>
          <t>매입채무 증감</t>
        </is>
      </c>
      <c r="D25" s="11" t="n">
        <v>-23.16</v>
      </c>
      <c r="F25" s="11" t="n">
        <v>67.08</v>
      </c>
      <c r="H25" s="11" t="n">
        <v>-90.52</v>
      </c>
      <c r="J25" s="11" t="n">
        <v>-34.95</v>
      </c>
      <c r="L25" s="11" t="n">
        <v>39.84</v>
      </c>
      <c r="N25" s="11" t="n">
        <v>343.26</v>
      </c>
      <c r="P25" s="11" t="n">
        <v>-164.01</v>
      </c>
      <c r="R25" s="11" t="n">
        <v>-33.07</v>
      </c>
      <c r="T25" s="11" t="n">
        <v>34.03</v>
      </c>
      <c r="V25" s="11" t="n">
        <v>25.82</v>
      </c>
      <c r="W25" s="11" t="n">
        <v>18.16</v>
      </c>
      <c r="X25" s="11" t="n">
        <v>77.92</v>
      </c>
      <c r="Y25" s="11" t="n">
        <v>45.41</v>
      </c>
      <c r="Z25" s="11" t="n">
        <v>67.08</v>
      </c>
      <c r="AA25" s="11" t="n">
        <v>-34.95</v>
      </c>
      <c r="AB25" s="11" t="n">
        <v>343.26</v>
      </c>
      <c r="AC25" s="11" t="n">
        <v>-33.07</v>
      </c>
      <c r="AD25" s="11" t="n">
        <v>25.82</v>
      </c>
    </row>
    <row r="26">
      <c r="A26" s="10" t="inlineStr">
        <is>
          <t>기타 자산 증감</t>
        </is>
      </c>
      <c r="D26" s="11" t="n">
        <v>-6.92</v>
      </c>
      <c r="F26" s="11" t="n">
        <v>-34.69</v>
      </c>
      <c r="H26" s="11" t="n">
        <v>-19.83</v>
      </c>
      <c r="J26" s="11" t="n">
        <v>6.76</v>
      </c>
      <c r="L26" s="11" t="n">
        <v>-25.81</v>
      </c>
      <c r="N26" s="11" t="n">
        <v>-32.5</v>
      </c>
      <c r="P26" s="11" t="n">
        <v>-35.29</v>
      </c>
      <c r="R26" s="11" t="n">
        <v>-13.61</v>
      </c>
      <c r="T26" s="11" t="n">
        <v>-28.68</v>
      </c>
      <c r="V26" s="11" t="n">
        <v>-15.94</v>
      </c>
      <c r="W26" s="11" t="n">
        <v>-28.46</v>
      </c>
      <c r="X26" s="11" t="n">
        <v>10.41</v>
      </c>
      <c r="Y26" s="11" t="n">
        <v>-10.34</v>
      </c>
      <c r="Z26" s="11" t="n">
        <v>-34.69</v>
      </c>
      <c r="AA26" s="11" t="n">
        <v>6.76</v>
      </c>
      <c r="AB26" s="11" t="n">
        <v>-32.5</v>
      </c>
      <c r="AC26" s="11" t="n">
        <v>-13.61</v>
      </c>
      <c r="AD26" s="11" t="n">
        <v>-15.94</v>
      </c>
    </row>
    <row r="27">
      <c r="A27" s="10" t="inlineStr">
        <is>
          <t>기타 부채 증감</t>
        </is>
      </c>
      <c r="D27" s="11" t="n">
        <v>-13.22</v>
      </c>
      <c r="F27" s="11" t="n">
        <v>-10.67</v>
      </c>
      <c r="H27" s="11" t="n">
        <v>10.28</v>
      </c>
      <c r="J27" s="11" t="n">
        <v>53.69</v>
      </c>
      <c r="L27" s="11" t="n">
        <v>-7.48</v>
      </c>
      <c r="N27" s="11" t="n">
        <v>26.23</v>
      </c>
      <c r="P27" s="11" t="n">
        <v>4.09</v>
      </c>
      <c r="R27" s="11" t="n">
        <v>102.32</v>
      </c>
      <c r="T27" s="11" t="n">
        <v>-43.18</v>
      </c>
      <c r="V27" s="11" t="n">
        <v>2.04</v>
      </c>
      <c r="W27" s="11" t="n">
        <v>30.8</v>
      </c>
      <c r="X27" s="11" t="n">
        <v>25.7</v>
      </c>
      <c r="Y27" s="11" t="n">
        <v>-18.75</v>
      </c>
      <c r="Z27" s="11" t="n">
        <v>-10.67</v>
      </c>
      <c r="AA27" s="11" t="n">
        <v>53.69</v>
      </c>
      <c r="AB27" s="11" t="n">
        <v>26.23</v>
      </c>
      <c r="AC27" s="11" t="n">
        <v>102.32</v>
      </c>
      <c r="AD27" s="11" t="n">
        <v>2.04</v>
      </c>
    </row>
    <row r="28">
      <c r="A28" s="10" t="inlineStr">
        <is>
          <t>신주예약권</t>
        </is>
      </c>
      <c r="D28" s="11" t="n">
        <v>0.32</v>
      </c>
      <c r="H28" s="11" t="n">
        <v>0.33</v>
      </c>
      <c r="L28" s="11" t="n">
        <v>0.34</v>
      </c>
    </row>
    <row r="29">
      <c r="A29" s="10" t="inlineStr">
        <is>
          <t>신주예약권</t>
        </is>
      </c>
      <c r="L29" s="11" t="n">
        <v>0.34</v>
      </c>
      <c r="P29" s="11" t="n">
        <v>0</v>
      </c>
    </row>
    <row r="30">
      <c r="A30" s="10" t="inlineStr">
        <is>
          <t>신주예약권</t>
        </is>
      </c>
      <c r="F30" s="11" t="n">
        <v>0.61</v>
      </c>
      <c r="J30" s="11" t="n">
        <v>0.67</v>
      </c>
      <c r="N30" s="11" t="n">
        <v>-1.06</v>
      </c>
      <c r="R30" s="11" t="n">
        <v>0</v>
      </c>
      <c r="W30" s="11" t="n">
        <v>0.82</v>
      </c>
      <c r="X30" s="11" t="n">
        <v>3.2</v>
      </c>
      <c r="Y30" s="11" t="n">
        <v>3.53</v>
      </c>
      <c r="Z30" s="11" t="n">
        <v>0.61</v>
      </c>
      <c r="AA30" s="11" t="n">
        <v>0.67</v>
      </c>
      <c r="AB30" s="11" t="n">
        <v>-1.06</v>
      </c>
      <c r="AC30" s="11" t="n">
        <v>0</v>
      </c>
    </row>
    <row r="31">
      <c r="A31" s="10" t="inlineStr">
        <is>
          <t>신주예약권 환입이익</t>
        </is>
      </c>
      <c r="F31" s="11" t="n">
        <v>0</v>
      </c>
      <c r="Y31" s="11" t="n">
        <v>-6.77</v>
      </c>
      <c r="Z31" s="11" t="n">
        <v>0</v>
      </c>
    </row>
    <row r="32">
      <c r="A32" s="10" t="inlineStr">
        <is>
          <t>기타</t>
        </is>
      </c>
      <c r="D32" s="11" t="n">
        <v>-4.03</v>
      </c>
      <c r="F32" s="11" t="n">
        <v>-9.029999999999999</v>
      </c>
      <c r="H32" s="11" t="n">
        <v>3.24</v>
      </c>
      <c r="J32" s="11" t="n">
        <v>5.87</v>
      </c>
      <c r="L32" s="11" t="n">
        <v>1.45</v>
      </c>
      <c r="N32" s="11" t="n">
        <v>-4.32</v>
      </c>
      <c r="P32" s="11" t="n">
        <v>5.21</v>
      </c>
      <c r="R32" s="11" t="n">
        <v>11.17</v>
      </c>
      <c r="T32" s="11" t="n">
        <v>7.07</v>
      </c>
      <c r="V32" s="11" t="n">
        <v>13.02</v>
      </c>
      <c r="W32" s="11" t="n">
        <v>-0.62</v>
      </c>
      <c r="X32" s="11" t="n">
        <v>-2.63</v>
      </c>
      <c r="Y32" s="11" t="n">
        <v>-3.23</v>
      </c>
      <c r="Z32" s="11" t="n">
        <v>-9.029999999999999</v>
      </c>
      <c r="AA32" s="11" t="n">
        <v>5.87</v>
      </c>
      <c r="AB32" s="11" t="n">
        <v>-4.32</v>
      </c>
      <c r="AC32" s="11" t="n">
        <v>11.17</v>
      </c>
      <c r="AD32" s="11" t="n">
        <v>13.02</v>
      </c>
    </row>
    <row r="33">
      <c r="A33" s="10" t="inlineStr">
        <is>
          <t>소계</t>
        </is>
      </c>
      <c r="D33" s="11" t="n">
        <v>225.72</v>
      </c>
      <c r="F33" s="11" t="n">
        <v>446.13</v>
      </c>
      <c r="H33" s="11" t="n">
        <v>43.87</v>
      </c>
      <c r="J33" s="11" t="n">
        <v>611.9400000000001</v>
      </c>
      <c r="L33" s="11" t="n">
        <v>378.44</v>
      </c>
      <c r="N33" s="11" t="n">
        <v>769.45</v>
      </c>
      <c r="P33" s="11" t="n">
        <v>189.61</v>
      </c>
      <c r="R33" s="11" t="n">
        <v>964.65</v>
      </c>
      <c r="T33" s="11" t="n">
        <v>507.86</v>
      </c>
      <c r="V33" s="11" t="n">
        <v>1187.4</v>
      </c>
      <c r="W33" s="11" t="n">
        <v>409.92</v>
      </c>
      <c r="X33" s="11" t="n">
        <v>457.15</v>
      </c>
      <c r="Y33" s="11" t="n">
        <v>679.2</v>
      </c>
      <c r="Z33" s="11" t="n">
        <v>446.13</v>
      </c>
      <c r="AA33" s="11" t="n">
        <v>611.9400000000001</v>
      </c>
      <c r="AB33" s="11" t="n">
        <v>769.45</v>
      </c>
      <c r="AC33" s="11" t="n">
        <v>964.65</v>
      </c>
      <c r="AD33" s="11" t="n">
        <v>1187.4</v>
      </c>
    </row>
    <row r="34">
      <c r="A34" s="10" t="inlineStr">
        <is>
          <t>이자·배당금 수취</t>
        </is>
      </c>
      <c r="D34" s="11" t="n">
        <v>1.24</v>
      </c>
      <c r="F34" s="11" t="n">
        <v>3.21</v>
      </c>
      <c r="H34" s="11" t="n">
        <v>1.97</v>
      </c>
      <c r="J34" s="11" t="n">
        <v>5.08</v>
      </c>
      <c r="L34" s="11" t="n">
        <v>3.57</v>
      </c>
      <c r="N34" s="11" t="n">
        <v>7.7</v>
      </c>
      <c r="P34" s="11" t="n">
        <v>3.11</v>
      </c>
      <c r="R34" s="11" t="n">
        <v>7.14</v>
      </c>
      <c r="T34" s="11" t="n">
        <v>2.62</v>
      </c>
      <c r="V34" s="11" t="n">
        <v>6.13</v>
      </c>
      <c r="W34" s="11" t="n">
        <v>7.56</v>
      </c>
      <c r="X34" s="11" t="n">
        <v>6.24</v>
      </c>
      <c r="Y34" s="11" t="n">
        <v>3.49</v>
      </c>
      <c r="Z34" s="11" t="n">
        <v>3.21</v>
      </c>
      <c r="AA34" s="11" t="n">
        <v>5.08</v>
      </c>
      <c r="AB34" s="11" t="n">
        <v>7.7</v>
      </c>
      <c r="AC34" s="11" t="n">
        <v>7.14</v>
      </c>
      <c r="AD34" s="11" t="n">
        <v>6.13</v>
      </c>
    </row>
    <row r="35">
      <c r="A35" s="10" t="inlineStr">
        <is>
          <t>이자 지급</t>
        </is>
      </c>
      <c r="D35" s="11" t="n">
        <v>-6.85</v>
      </c>
      <c r="F35" s="11" t="n">
        <v>-13.5</v>
      </c>
      <c r="H35" s="11" t="n">
        <v>-6.94</v>
      </c>
      <c r="J35" s="11" t="n">
        <v>-16.42</v>
      </c>
      <c r="L35" s="11" t="n">
        <v>-9.949999999999999</v>
      </c>
      <c r="N35" s="11" t="n">
        <v>-21.55</v>
      </c>
      <c r="P35" s="11" t="n">
        <v>-12.79</v>
      </c>
      <c r="R35" s="11" t="n">
        <v>-26.57</v>
      </c>
      <c r="T35" s="11" t="n">
        <v>-15.1</v>
      </c>
      <c r="V35" s="11" t="n">
        <v>-30.1</v>
      </c>
      <c r="W35" s="11" t="n">
        <v>-0.18</v>
      </c>
      <c r="X35" s="11" t="n">
        <v>-8.94</v>
      </c>
      <c r="Y35" s="11" t="n">
        <v>-14.08</v>
      </c>
      <c r="Z35" s="11" t="n">
        <v>-13.5</v>
      </c>
      <c r="AA35" s="11" t="n">
        <v>-16.42</v>
      </c>
      <c r="AB35" s="11" t="n">
        <v>-21.55</v>
      </c>
      <c r="AC35" s="11" t="n">
        <v>-26.57</v>
      </c>
      <c r="AD35" s="11" t="n">
        <v>-30.1</v>
      </c>
    </row>
    <row r="36">
      <c r="A36" s="10" t="inlineStr">
        <is>
          <t>법인세 납부·환급</t>
        </is>
      </c>
      <c r="D36" s="11" t="n">
        <v>-130.87</v>
      </c>
      <c r="H36" s="11" t="n">
        <v>8.970000000000001</v>
      </c>
      <c r="L36" s="11" t="n">
        <v>-93.89</v>
      </c>
      <c r="P36" s="11" t="n">
        <v>-101.87</v>
      </c>
      <c r="T36" s="11" t="n">
        <v>-55.53</v>
      </c>
    </row>
    <row r="37">
      <c r="A37" s="10" t="inlineStr">
        <is>
          <t>법인세 납부</t>
        </is>
      </c>
      <c r="D37" s="11" t="n">
        <v>-130.87</v>
      </c>
      <c r="F37" s="11" t="n">
        <v>-202.33</v>
      </c>
      <c r="J37" s="11" t="n">
        <v>-35.33</v>
      </c>
      <c r="N37" s="11" t="n">
        <v>-170.56</v>
      </c>
      <c r="R37" s="11" t="n">
        <v>-211.66</v>
      </c>
      <c r="V37" s="11" t="n">
        <v>-169.48</v>
      </c>
      <c r="W37" s="11" t="n">
        <v>-180.49</v>
      </c>
      <c r="X37" s="11" t="n">
        <v>-209.92</v>
      </c>
      <c r="Y37" s="11" t="n">
        <v>-54.14</v>
      </c>
      <c r="Z37" s="11" t="n">
        <v>-202.33</v>
      </c>
      <c r="AA37" s="11" t="n">
        <v>-35.33</v>
      </c>
      <c r="AB37" s="11" t="n">
        <v>-170.56</v>
      </c>
      <c r="AC37" s="11" t="n">
        <v>-211.66</v>
      </c>
      <c r="AD37" s="11" t="n">
        <v>-169.48</v>
      </c>
    </row>
    <row r="38">
      <c r="A38" s="10" t="inlineStr">
        <is>
          <t>영업활동 현금흐름</t>
        </is>
      </c>
      <c r="D38" s="11" t="n">
        <v>89.25</v>
      </c>
      <c r="F38" s="11" t="n">
        <v>233.5</v>
      </c>
      <c r="H38" s="11" t="n">
        <v>47.88</v>
      </c>
      <c r="J38" s="11" t="n">
        <v>565.27</v>
      </c>
      <c r="L38" s="11" t="n">
        <v>278.17</v>
      </c>
      <c r="N38" s="11" t="n">
        <v>585.04</v>
      </c>
      <c r="P38" s="11" t="n">
        <v>78.06</v>
      </c>
      <c r="R38" s="11" t="n">
        <v>733.55</v>
      </c>
      <c r="T38" s="11" t="n">
        <v>439.84</v>
      </c>
      <c r="V38" s="11" t="n">
        <v>993.96</v>
      </c>
      <c r="W38" s="11" t="n">
        <v>236.8</v>
      </c>
      <c r="X38" s="11" t="n">
        <v>244.52</v>
      </c>
      <c r="Y38" s="11" t="n">
        <v>614.47</v>
      </c>
      <c r="Z38" s="11" t="n">
        <v>233.5</v>
      </c>
      <c r="AA38" s="11" t="n">
        <v>565.27</v>
      </c>
      <c r="AB38" s="11" t="n">
        <v>585.04</v>
      </c>
      <c r="AC38" s="11" t="n">
        <v>733.55</v>
      </c>
      <c r="AD38" s="11" t="n">
        <v>993.96</v>
      </c>
    </row>
    <row r="39">
      <c r="A39" s="10" t="inlineStr">
        <is>
          <t>정기예금 예입</t>
        </is>
      </c>
      <c r="D39" s="11" t="n">
        <v>-0</v>
      </c>
      <c r="F39" s="11" t="n">
        <v>0</v>
      </c>
      <c r="H39" s="11" t="n">
        <v>-0.07000000000000001</v>
      </c>
      <c r="J39" s="11" t="n">
        <v>-0.07000000000000001</v>
      </c>
      <c r="L39" s="11" t="n">
        <v>-0.18</v>
      </c>
      <c r="N39" s="11" t="n">
        <v>0</v>
      </c>
      <c r="P39" s="11" t="n">
        <v>-15.02</v>
      </c>
      <c r="R39" s="11" t="n">
        <v>-15.02</v>
      </c>
      <c r="T39" s="11" t="n">
        <v>-0.27</v>
      </c>
      <c r="V39" s="11" t="n">
        <v>-0.28</v>
      </c>
      <c r="W39" s="11" t="n">
        <v>-7.74</v>
      </c>
      <c r="X39" s="11" t="n">
        <v>-32.96</v>
      </c>
      <c r="Y39" s="11" t="n">
        <v>-0.03</v>
      </c>
      <c r="Z39" s="11" t="n">
        <v>0</v>
      </c>
      <c r="AA39" s="11" t="n">
        <v>-0.07000000000000001</v>
      </c>
      <c r="AB39" s="11" t="n">
        <v>0</v>
      </c>
      <c r="AC39" s="11" t="n">
        <v>-15.02</v>
      </c>
      <c r="AD39" s="11" t="n">
        <v>-0.28</v>
      </c>
    </row>
    <row r="40">
      <c r="A40" s="10" t="inlineStr">
        <is>
          <t>정기예금 인출</t>
        </is>
      </c>
      <c r="D40" s="11" t="n">
        <v>7.8</v>
      </c>
      <c r="F40" s="11" t="n">
        <v>7.95</v>
      </c>
      <c r="H40" s="11" t="n">
        <v>0</v>
      </c>
      <c r="J40" s="11" t="n">
        <v>0</v>
      </c>
      <c r="N40" s="11" t="n">
        <v>0.25</v>
      </c>
      <c r="R40" s="11" t="n">
        <v>14.6</v>
      </c>
      <c r="V40" s="11" t="n">
        <v>0</v>
      </c>
      <c r="W40" s="11" t="n">
        <v>25.53</v>
      </c>
      <c r="X40" s="11" t="n">
        <v>0.57</v>
      </c>
      <c r="Y40" s="11" t="n">
        <v>0.2</v>
      </c>
      <c r="Z40" s="11" t="n">
        <v>7.95</v>
      </c>
      <c r="AA40" s="11" t="n">
        <v>0</v>
      </c>
      <c r="AB40" s="11" t="n">
        <v>0.25</v>
      </c>
      <c r="AC40" s="11" t="n">
        <v>14.6</v>
      </c>
      <c r="AD40" s="11" t="n">
        <v>0</v>
      </c>
    </row>
    <row r="41">
      <c r="A41" s="10" t="inlineStr">
        <is>
          <t>유형자산 취득(설비투자)</t>
        </is>
      </c>
      <c r="D41" s="11" t="n">
        <v>-34.01</v>
      </c>
      <c r="F41" s="11" t="n">
        <v>-80.3</v>
      </c>
      <c r="H41" s="11" t="n">
        <v>-86.05</v>
      </c>
      <c r="J41" s="11" t="n">
        <v>-165.7</v>
      </c>
      <c r="L41" s="11" t="n">
        <v>-121.13</v>
      </c>
      <c r="N41" s="11" t="n">
        <v>-226.09</v>
      </c>
      <c r="P41" s="11" t="n">
        <v>-112.98</v>
      </c>
      <c r="R41" s="11" t="n">
        <v>-233.19</v>
      </c>
      <c r="T41" s="11" t="n">
        <v>-120.26</v>
      </c>
      <c r="V41" s="11" t="n">
        <v>-217.3</v>
      </c>
      <c r="W41" s="11" t="n">
        <v>-130.55</v>
      </c>
      <c r="X41" s="11" t="n">
        <v>-168.34</v>
      </c>
      <c r="Y41" s="11" t="n">
        <v>-84.87</v>
      </c>
      <c r="Z41" s="11" t="n">
        <v>-80.3</v>
      </c>
      <c r="AA41" s="11" t="n">
        <v>-165.7</v>
      </c>
      <c r="AB41" s="11" t="n">
        <v>-226.09</v>
      </c>
      <c r="AC41" s="11" t="n">
        <v>-233.19</v>
      </c>
      <c r="AD41" s="11" t="n">
        <v>-217.3</v>
      </c>
    </row>
    <row r="42">
      <c r="A42" s="10" t="inlineStr">
        <is>
          <t>점포 차지권·보증금 지출</t>
        </is>
      </c>
      <c r="D42" s="11" t="n">
        <v>-6.23</v>
      </c>
      <c r="H42" s="11" t="n">
        <v>-14.47</v>
      </c>
      <c r="L42" s="11" t="n">
        <v>-14.48</v>
      </c>
    </row>
    <row r="43">
      <c r="A43" s="10" t="inlineStr">
        <is>
          <t>점포 보증금 회수</t>
        </is>
      </c>
      <c r="D43" s="11" t="n">
        <v>2.71</v>
      </c>
      <c r="H43" s="11" t="n">
        <v>6.97</v>
      </c>
      <c r="L43" s="11" t="n">
        <v>3.81</v>
      </c>
    </row>
    <row r="44">
      <c r="A44" s="10" t="inlineStr">
        <is>
          <t>유형자산 매각</t>
        </is>
      </c>
      <c r="J44" s="11" t="n">
        <v>0.72</v>
      </c>
      <c r="N44" s="11" t="n">
        <v>101.08</v>
      </c>
      <c r="R44" s="11" t="n">
        <v>0.31</v>
      </c>
      <c r="V44" s="11" t="n">
        <v>0.51</v>
      </c>
      <c r="AA44" s="11" t="n">
        <v>0.72</v>
      </c>
      <c r="AB44" s="11" t="n">
        <v>101.08</v>
      </c>
      <c r="AC44" s="11" t="n">
        <v>0.31</v>
      </c>
      <c r="AD44" s="11" t="n">
        <v>0.51</v>
      </c>
    </row>
    <row r="45">
      <c r="A45" s="10" t="inlineStr">
        <is>
          <t>유가증권 취득</t>
        </is>
      </c>
      <c r="J45" s="11" t="n">
        <v>0</v>
      </c>
      <c r="N45" s="11" t="n">
        <v>-0.15</v>
      </c>
      <c r="R45" s="11" t="n">
        <v>0</v>
      </c>
      <c r="AA45" s="11" t="n">
        <v>0</v>
      </c>
      <c r="AB45" s="11" t="n">
        <v>-0.15</v>
      </c>
      <c r="AC45" s="11" t="n">
        <v>0</v>
      </c>
    </row>
    <row r="46">
      <c r="A46" s="10" t="inlineStr">
        <is>
          <t>점포 차지권·보증금 지출</t>
        </is>
      </c>
      <c r="F46" s="11" t="n">
        <v>-17.96</v>
      </c>
      <c r="J46" s="11" t="n">
        <v>-30.76</v>
      </c>
      <c r="N46" s="11" t="n">
        <v>-43.47</v>
      </c>
      <c r="R46" s="11" t="n">
        <v>-26.68</v>
      </c>
      <c r="V46" s="11" t="n">
        <v>-19.82</v>
      </c>
      <c r="W46" s="11" t="n">
        <v>-14.18</v>
      </c>
      <c r="X46" s="11" t="n">
        <v>-16.91</v>
      </c>
      <c r="Y46" s="11" t="n">
        <v>-15.84</v>
      </c>
      <c r="Z46" s="11" t="n">
        <v>-17.96</v>
      </c>
      <c r="AA46" s="11" t="n">
        <v>-30.76</v>
      </c>
      <c r="AB46" s="11" t="n">
        <v>-43.47</v>
      </c>
      <c r="AC46" s="11" t="n">
        <v>-26.68</v>
      </c>
      <c r="AD46" s="11" t="n">
        <v>-19.82</v>
      </c>
    </row>
    <row r="47">
      <c r="A47" s="10" t="inlineStr">
        <is>
          <t>점포 보증금 회수</t>
        </is>
      </c>
      <c r="F47" s="11" t="n">
        <v>4.98</v>
      </c>
      <c r="J47" s="11" t="n">
        <v>13.02</v>
      </c>
      <c r="N47" s="11" t="n">
        <v>16.12</v>
      </c>
      <c r="R47" s="11" t="n">
        <v>11.95</v>
      </c>
      <c r="V47" s="11" t="n">
        <v>12.86</v>
      </c>
      <c r="W47" s="11" t="n">
        <v>4.28</v>
      </c>
      <c r="X47" s="11" t="n">
        <v>15.75</v>
      </c>
      <c r="Y47" s="11" t="n">
        <v>8.31</v>
      </c>
      <c r="Z47" s="11" t="n">
        <v>4.98</v>
      </c>
      <c r="AA47" s="11" t="n">
        <v>13.02</v>
      </c>
      <c r="AB47" s="11" t="n">
        <v>16.12</v>
      </c>
      <c r="AC47" s="11" t="n">
        <v>11.95</v>
      </c>
      <c r="AD47" s="11" t="n">
        <v>12.86</v>
      </c>
    </row>
    <row r="48">
      <c r="A48" s="10" t="inlineStr">
        <is>
          <t>무형자산 취득</t>
        </is>
      </c>
      <c r="D48" s="11" t="n">
        <v>-50.02</v>
      </c>
      <c r="F48" s="11" t="n">
        <v>-78.53</v>
      </c>
      <c r="H48" s="11" t="n">
        <v>-24.53</v>
      </c>
      <c r="J48" s="11" t="n">
        <v>-67.28</v>
      </c>
      <c r="L48" s="11" t="n">
        <v>-47.53</v>
      </c>
      <c r="N48" s="11" t="n">
        <v>-119.77</v>
      </c>
      <c r="P48" s="11" t="n">
        <v>-83.47</v>
      </c>
      <c r="R48" s="11" t="n">
        <v>-150.07</v>
      </c>
      <c r="T48" s="11" t="n">
        <v>-60.64</v>
      </c>
      <c r="V48" s="11" t="n">
        <v>-96.13</v>
      </c>
      <c r="W48" s="11" t="n">
        <v>-54.38</v>
      </c>
      <c r="X48" s="11" t="n">
        <v>-114.88</v>
      </c>
      <c r="Y48" s="11" t="n">
        <v>-88.52</v>
      </c>
      <c r="Z48" s="11" t="n">
        <v>-78.53</v>
      </c>
      <c r="AA48" s="11" t="n">
        <v>-67.28</v>
      </c>
      <c r="AB48" s="11" t="n">
        <v>-119.77</v>
      </c>
      <c r="AC48" s="11" t="n">
        <v>-150.07</v>
      </c>
      <c r="AD48" s="11" t="n">
        <v>-96.13</v>
      </c>
    </row>
    <row r="49">
      <c r="A49" s="10" t="inlineStr">
        <is>
          <t>점포 차지권·보증금 지출</t>
        </is>
      </c>
      <c r="L49" s="11" t="n">
        <v>-14.48</v>
      </c>
      <c r="P49" s="11" t="n">
        <v>-13.08</v>
      </c>
      <c r="T49" s="11" t="n">
        <v>-9.25</v>
      </c>
    </row>
    <row r="50">
      <c r="A50" s="10" t="inlineStr">
        <is>
          <t>점포 보증금 회수</t>
        </is>
      </c>
      <c r="L50" s="11" t="n">
        <v>3.81</v>
      </c>
      <c r="P50" s="11" t="n">
        <v>4.29</v>
      </c>
      <c r="T50" s="11" t="n">
        <v>4.93</v>
      </c>
    </row>
    <row r="51">
      <c r="A51" s="10" t="inlineStr">
        <is>
          <t>투자유가증권 매각</t>
        </is>
      </c>
      <c r="D51" s="11" t="n">
        <v>0</v>
      </c>
      <c r="F51" s="11" t="n">
        <v>1.58</v>
      </c>
      <c r="H51" s="11" t="n">
        <v>6.73</v>
      </c>
      <c r="J51" s="11" t="n">
        <v>37.16</v>
      </c>
      <c r="L51" s="11" t="n">
        <v>0</v>
      </c>
      <c r="N51" s="11" t="n">
        <v>0</v>
      </c>
      <c r="P51" s="11" t="n">
        <v>0</v>
      </c>
      <c r="R51" s="11" t="n">
        <v>0</v>
      </c>
      <c r="T51" s="11" t="n">
        <v>28.57</v>
      </c>
      <c r="V51" s="11" t="n">
        <v>28.57</v>
      </c>
      <c r="W51" s="11" t="n">
        <v>123.57</v>
      </c>
      <c r="X51" s="11" t="n">
        <v>0.22</v>
      </c>
      <c r="Y51" s="11" t="n">
        <v>2.18</v>
      </c>
      <c r="Z51" s="11" t="n">
        <v>1.58</v>
      </c>
      <c r="AA51" s="11" t="n">
        <v>37.16</v>
      </c>
      <c r="AB51" s="11" t="n">
        <v>0</v>
      </c>
      <c r="AC51" s="11" t="n">
        <v>0</v>
      </c>
      <c r="AD51" s="11" t="n">
        <v>28.57</v>
      </c>
    </row>
    <row r="52">
      <c r="A52" s="10" t="inlineStr">
        <is>
          <t>연결범위 변경 자회사 주식 취득(수입)</t>
        </is>
      </c>
      <c r="D52" s="11" t="n">
        <v>0</v>
      </c>
      <c r="F52" s="11" t="n">
        <v>0</v>
      </c>
      <c r="Y52" s="11" t="n">
        <v>4.14</v>
      </c>
      <c r="Z52" s="11" t="n">
        <v>0</v>
      </c>
    </row>
    <row r="53">
      <c r="A53" s="10" t="inlineStr">
        <is>
          <t>장기대여</t>
        </is>
      </c>
      <c r="Y53" s="11" t="n">
        <v>-6.69</v>
      </c>
    </row>
    <row r="54">
      <c r="A54" s="10" t="inlineStr">
        <is>
          <t>투자부동산 매각</t>
        </is>
      </c>
      <c r="F54" s="11" t="n">
        <v>0</v>
      </c>
      <c r="Y54" s="11" t="n">
        <v>31.04</v>
      </c>
      <c r="Z54" s="11" t="n">
        <v>0</v>
      </c>
    </row>
    <row r="55">
      <c r="A55" s="10" t="inlineStr">
        <is>
          <t>기타</t>
        </is>
      </c>
      <c r="D55" s="11" t="n">
        <v>-3.28</v>
      </c>
      <c r="F55" s="11" t="n">
        <v>-4.55</v>
      </c>
      <c r="H55" s="11" t="n">
        <v>-5.46</v>
      </c>
      <c r="J55" s="11" t="n">
        <v>-8.140000000000001</v>
      </c>
      <c r="L55" s="11" t="n">
        <v>-3.8</v>
      </c>
      <c r="N55" s="11" t="n">
        <v>-4.51</v>
      </c>
      <c r="P55" s="11" t="n">
        <v>-4.54</v>
      </c>
      <c r="R55" s="11" t="n">
        <v>-11.21</v>
      </c>
      <c r="T55" s="11" t="n">
        <v>-0.86</v>
      </c>
      <c r="V55" s="11" t="n">
        <v>-9.65</v>
      </c>
      <c r="W55" s="11" t="n">
        <v>-1.45</v>
      </c>
      <c r="X55" s="11" t="n">
        <v>2.18</v>
      </c>
      <c r="Y55" s="11" t="n">
        <v>7.99</v>
      </c>
      <c r="Z55" s="11" t="n">
        <v>-4.55</v>
      </c>
      <c r="AA55" s="11" t="n">
        <v>-8.140000000000001</v>
      </c>
      <c r="AB55" s="11" t="n">
        <v>-4.51</v>
      </c>
      <c r="AC55" s="11" t="n">
        <v>-11.21</v>
      </c>
      <c r="AD55" s="11" t="n">
        <v>-9.65</v>
      </c>
    </row>
    <row r="56">
      <c r="A56" s="10" t="inlineStr">
        <is>
          <t>투자활동 현금흐름</t>
        </is>
      </c>
      <c r="D56" s="11" t="n">
        <v>-83.03</v>
      </c>
      <c r="F56" s="11" t="n">
        <v>-166.83</v>
      </c>
      <c r="H56" s="11" t="n">
        <v>-116.9</v>
      </c>
      <c r="J56" s="11" t="n">
        <v>-221.06</v>
      </c>
      <c r="L56" s="11" t="n">
        <v>-183.34</v>
      </c>
      <c r="N56" s="11" t="n">
        <v>-276.54</v>
      </c>
      <c r="P56" s="11" t="n">
        <v>-224.81</v>
      </c>
      <c r="R56" s="11" t="n">
        <v>-409.31</v>
      </c>
      <c r="T56" s="11" t="n">
        <v>-157.79</v>
      </c>
      <c r="V56" s="11" t="n">
        <v>-301.24</v>
      </c>
      <c r="W56" s="11" t="n">
        <v>-54.92</v>
      </c>
      <c r="X56" s="11" t="n">
        <v>-314.35</v>
      </c>
      <c r="Y56" s="11" t="n">
        <v>-135.38</v>
      </c>
      <c r="Z56" s="11" t="n">
        <v>-166.83</v>
      </c>
      <c r="AA56" s="11" t="n">
        <v>-221.06</v>
      </c>
      <c r="AB56" s="11" t="n">
        <v>-276.54</v>
      </c>
      <c r="AC56" s="11" t="n">
        <v>-409.31</v>
      </c>
      <c r="AD56" s="11" t="n">
        <v>-301.24</v>
      </c>
    </row>
    <row r="57">
      <c r="A57" s="10" t="inlineStr">
        <is>
          <t>단기차입금 순증감</t>
        </is>
      </c>
      <c r="D57" s="11" t="n">
        <v>-7.31</v>
      </c>
      <c r="F57" s="11" t="n">
        <v>-11.03</v>
      </c>
      <c r="H57" s="11" t="n">
        <v>109.98</v>
      </c>
      <c r="J57" s="11" t="n">
        <v>106.53</v>
      </c>
      <c r="L57" s="11" t="n">
        <v>8.85</v>
      </c>
      <c r="N57" s="11" t="n">
        <v>-92.88</v>
      </c>
      <c r="P57" s="11" t="n">
        <v>160.06</v>
      </c>
      <c r="R57" s="11" t="n">
        <v>-3.67</v>
      </c>
      <c r="T57" s="11" t="n">
        <v>-47.08</v>
      </c>
      <c r="V57" s="11" t="n">
        <v>-44.29</v>
      </c>
      <c r="W57" s="11" t="n">
        <v>3.82</v>
      </c>
      <c r="X57" s="11" t="n">
        <v>33.86</v>
      </c>
      <c r="Y57" s="11" t="n">
        <v>0.45</v>
      </c>
      <c r="Z57" s="11" t="n">
        <v>-11.03</v>
      </c>
      <c r="AA57" s="11" t="n">
        <v>106.53</v>
      </c>
      <c r="AB57" s="11" t="n">
        <v>-92.88</v>
      </c>
      <c r="AC57" s="11" t="n">
        <v>-3.67</v>
      </c>
      <c r="AD57" s="11" t="n">
        <v>-44.29</v>
      </c>
    </row>
    <row r="58">
      <c r="A58" s="10" t="inlineStr">
        <is>
          <t>장기차입</t>
        </is>
      </c>
      <c r="D58" s="11" t="n">
        <v>25.51</v>
      </c>
      <c r="F58" s="11" t="n">
        <v>275.51</v>
      </c>
      <c r="H58" s="11" t="n">
        <v>0</v>
      </c>
      <c r="J58" s="11" t="n">
        <v>0</v>
      </c>
      <c r="L58" s="11" t="n">
        <v>0</v>
      </c>
      <c r="N58" s="11" t="n">
        <v>0</v>
      </c>
      <c r="P58" s="11" t="n">
        <v>27.54</v>
      </c>
      <c r="R58" s="11" t="n">
        <v>27.54</v>
      </c>
      <c r="T58" s="11" t="n">
        <v>0</v>
      </c>
      <c r="V58" s="11" t="n">
        <v>0</v>
      </c>
      <c r="W58" s="11" t="n">
        <v>0</v>
      </c>
      <c r="X58" s="11" t="n">
        <v>4.83</v>
      </c>
      <c r="Y58" s="11" t="n">
        <v>0</v>
      </c>
      <c r="Z58" s="11" t="n">
        <v>275.51</v>
      </c>
      <c r="AA58" s="11" t="n">
        <v>0</v>
      </c>
      <c r="AB58" s="11" t="n">
        <v>0</v>
      </c>
      <c r="AC58" s="11" t="n">
        <v>27.54</v>
      </c>
      <c r="AD58" s="11" t="n">
        <v>0</v>
      </c>
    </row>
    <row r="59">
      <c r="A59" s="10" t="inlineStr">
        <is>
          <t>장기차입금 상환</t>
        </is>
      </c>
      <c r="D59" s="11" t="n">
        <v>-2.49</v>
      </c>
      <c r="F59" s="11" t="n">
        <v>-656.4400000000001</v>
      </c>
      <c r="H59" s="11" t="n">
        <v>-3.67</v>
      </c>
      <c r="J59" s="11" t="n">
        <v>-7.35</v>
      </c>
      <c r="L59" s="11" t="n">
        <v>-11.91</v>
      </c>
      <c r="N59" s="11" t="n">
        <v>-219.8</v>
      </c>
      <c r="P59" s="11" t="n">
        <v>-3.5</v>
      </c>
      <c r="R59" s="11" t="n">
        <v>-9.289999999999999</v>
      </c>
      <c r="T59" s="11" t="n">
        <v>-7.17</v>
      </c>
      <c r="V59" s="11" t="n">
        <v>-115.18</v>
      </c>
      <c r="W59" s="11" t="n">
        <v>-6.31</v>
      </c>
      <c r="X59" s="11" t="n">
        <v>-5.57</v>
      </c>
      <c r="Y59" s="11" t="n">
        <v>-3.88</v>
      </c>
      <c r="Z59" s="11" t="n">
        <v>-656.4400000000001</v>
      </c>
      <c r="AA59" s="11" t="n">
        <v>-7.35</v>
      </c>
      <c r="AB59" s="11" t="n">
        <v>-219.8</v>
      </c>
      <c r="AC59" s="11" t="n">
        <v>-9.289999999999999</v>
      </c>
      <c r="AD59" s="11" t="n">
        <v>-115.18</v>
      </c>
    </row>
    <row r="60">
      <c r="A60" s="10" t="inlineStr">
        <is>
          <t>사채 발행</t>
        </is>
      </c>
      <c r="J60" s="11" t="n">
        <v>0</v>
      </c>
      <c r="N60" s="11" t="n">
        <v>300</v>
      </c>
      <c r="R60" s="11" t="n">
        <v>0</v>
      </c>
      <c r="AA60" s="11" t="n">
        <v>0</v>
      </c>
      <c r="AB60" s="11" t="n">
        <v>300</v>
      </c>
      <c r="AC60" s="11" t="n">
        <v>0</v>
      </c>
    </row>
    <row r="61">
      <c r="A61" s="10" t="inlineStr">
        <is>
          <t>리스부채 상환</t>
        </is>
      </c>
      <c r="D61" s="11" t="n">
        <v>-46.36</v>
      </c>
      <c r="F61" s="11" t="n">
        <v>-95.93000000000001</v>
      </c>
      <c r="H61" s="11" t="n">
        <v>-52.4</v>
      </c>
      <c r="J61" s="11" t="n">
        <v>-109.33</v>
      </c>
      <c r="L61" s="11" t="n">
        <v>-60.99</v>
      </c>
      <c r="N61" s="11" t="n">
        <v>-118.58</v>
      </c>
      <c r="P61" s="11" t="n">
        <v>-64.81999999999999</v>
      </c>
      <c r="R61" s="11" t="n">
        <v>-128.68</v>
      </c>
      <c r="T61" s="11" t="n">
        <v>-71.8</v>
      </c>
      <c r="V61" s="11" t="n">
        <v>-153.6</v>
      </c>
      <c r="W61" s="11" t="n">
        <v>0</v>
      </c>
      <c r="X61" s="11" t="n">
        <v>-57.07</v>
      </c>
      <c r="Y61" s="11" t="n">
        <v>-82.89</v>
      </c>
      <c r="Z61" s="11" t="n">
        <v>-95.93000000000001</v>
      </c>
      <c r="AA61" s="11" t="n">
        <v>-109.33</v>
      </c>
      <c r="AB61" s="11" t="n">
        <v>-118.58</v>
      </c>
      <c r="AC61" s="11" t="n">
        <v>-128.68</v>
      </c>
      <c r="AD61" s="11" t="n">
        <v>-153.6</v>
      </c>
    </row>
    <row r="62">
      <c r="A62" s="10" t="inlineStr">
        <is>
          <t>비지배주주 납입</t>
        </is>
      </c>
      <c r="D62" s="11" t="n">
        <v>0.99</v>
      </c>
      <c r="F62" s="11" t="n">
        <v>0.99</v>
      </c>
      <c r="H62" s="11" t="n">
        <v>2.03</v>
      </c>
      <c r="J62" s="11" t="n">
        <v>2.63</v>
      </c>
      <c r="L62" s="11" t="n">
        <v>3.29</v>
      </c>
      <c r="N62" s="11" t="n">
        <v>4.83</v>
      </c>
      <c r="P62" s="11" t="n">
        <v>0</v>
      </c>
      <c r="R62" s="11" t="n">
        <v>0.45</v>
      </c>
      <c r="T62" s="11" t="n">
        <v>23.52</v>
      </c>
      <c r="V62" s="11" t="n">
        <v>27.04</v>
      </c>
      <c r="W62" s="11" t="n">
        <v>1.57</v>
      </c>
      <c r="X62" s="11" t="n">
        <v>3.44</v>
      </c>
      <c r="Y62" s="11" t="n">
        <v>1.99</v>
      </c>
      <c r="Z62" s="11" t="n">
        <v>0.99</v>
      </c>
      <c r="AA62" s="11" t="n">
        <v>2.63</v>
      </c>
      <c r="AB62" s="11" t="n">
        <v>4.83</v>
      </c>
      <c r="AC62" s="11" t="n">
        <v>0.45</v>
      </c>
      <c r="AD62" s="11" t="n">
        <v>27.04</v>
      </c>
    </row>
    <row r="63">
      <c r="A63" s="10" t="inlineStr">
        <is>
          <t>자기주식 취득</t>
        </is>
      </c>
      <c r="D63" s="11" t="n">
        <v>0</v>
      </c>
      <c r="H63" s="11" t="n">
        <v>-0</v>
      </c>
      <c r="W63" s="11" t="n">
        <v>-0</v>
      </c>
      <c r="X63" s="11" t="n">
        <v>-0</v>
      </c>
    </row>
    <row r="64">
      <c r="A64" s="10" t="inlineStr">
        <is>
          <t>자기주식 매각</t>
        </is>
      </c>
      <c r="D64" s="11" t="n">
        <v>6.95</v>
      </c>
      <c r="F64" s="11" t="n">
        <v>10.72</v>
      </c>
      <c r="H64" s="11" t="n">
        <v>3.54</v>
      </c>
      <c r="J64" s="11" t="n">
        <v>7.14</v>
      </c>
      <c r="L64" s="11" t="n">
        <v>3.78</v>
      </c>
      <c r="N64" s="11" t="n">
        <v>6.08</v>
      </c>
      <c r="P64" s="11" t="n">
        <v>3.56</v>
      </c>
      <c r="R64" s="11" t="n">
        <v>9.25</v>
      </c>
      <c r="T64" s="11" t="n">
        <v>7.02</v>
      </c>
      <c r="V64" s="11" t="n">
        <v>14.87</v>
      </c>
      <c r="W64" s="11" t="n">
        <v>6.15</v>
      </c>
      <c r="X64" s="11" t="n">
        <v>6.75</v>
      </c>
      <c r="Y64" s="11" t="n">
        <v>0</v>
      </c>
      <c r="Z64" s="11" t="n">
        <v>10.72</v>
      </c>
      <c r="AA64" s="11" t="n">
        <v>7.14</v>
      </c>
      <c r="AB64" s="11" t="n">
        <v>6.08</v>
      </c>
      <c r="AC64" s="11" t="n">
        <v>9.25</v>
      </c>
      <c r="AD64" s="11" t="n">
        <v>14.87</v>
      </c>
    </row>
    <row r="65">
      <c r="A65" s="10" t="inlineStr">
        <is>
          <t>배당금 지급</t>
        </is>
      </c>
      <c r="D65" s="11" t="n">
        <v>-54.97</v>
      </c>
      <c r="F65" s="11" t="n">
        <v>-110.29</v>
      </c>
      <c r="H65" s="11" t="n">
        <v>-55.18</v>
      </c>
      <c r="J65" s="11" t="n">
        <v>-110.4</v>
      </c>
      <c r="L65" s="11" t="n">
        <v>-55.21</v>
      </c>
      <c r="N65" s="11" t="n">
        <v>-110.45</v>
      </c>
      <c r="P65" s="11" t="n">
        <v>-55.28</v>
      </c>
      <c r="R65" s="11" t="n">
        <v>-116.34</v>
      </c>
      <c r="T65" s="11" t="n">
        <v>-77.73999999999999</v>
      </c>
      <c r="V65" s="11" t="n">
        <v>-166.54</v>
      </c>
      <c r="W65" s="11" t="n">
        <v>-98.54000000000001</v>
      </c>
      <c r="X65" s="11" t="n">
        <v>-99.59999999999999</v>
      </c>
      <c r="Y65" s="11" t="n">
        <v>-65.89</v>
      </c>
      <c r="Z65" s="11" t="n">
        <v>-110.29</v>
      </c>
      <c r="AA65" s="11" t="n">
        <v>-110.4</v>
      </c>
      <c r="AB65" s="11" t="n">
        <v>-110.45</v>
      </c>
      <c r="AC65" s="11" t="n">
        <v>-116.34</v>
      </c>
      <c r="AD65" s="11" t="n">
        <v>-166.54</v>
      </c>
    </row>
    <row r="66">
      <c r="A66" s="10" t="inlineStr">
        <is>
          <t>비지배주주 배당금 지급</t>
        </is>
      </c>
      <c r="F66" s="11" t="n">
        <v>0</v>
      </c>
      <c r="W66" s="11" t="n">
        <v>-1.73</v>
      </c>
      <c r="X66" s="11" t="n">
        <v>-1.32</v>
      </c>
      <c r="Y66" s="11" t="n">
        <v>-1.4</v>
      </c>
      <c r="Z66" s="11" t="n">
        <v>0</v>
      </c>
    </row>
    <row r="67">
      <c r="A67" s="10" t="inlineStr">
        <is>
          <t>기타</t>
        </is>
      </c>
      <c r="D67" s="11" t="n">
        <v>0</v>
      </c>
      <c r="F67" s="11" t="n">
        <v>0</v>
      </c>
      <c r="H67" s="11" t="n">
        <v>-1.55</v>
      </c>
      <c r="J67" s="11" t="n">
        <v>-1.55</v>
      </c>
      <c r="L67" s="11" t="n">
        <v>-3.32</v>
      </c>
      <c r="N67" s="11" t="n">
        <v>-3.32</v>
      </c>
      <c r="P67" s="11" t="n">
        <v>0</v>
      </c>
      <c r="R67" s="11" t="n">
        <v>-0.45</v>
      </c>
      <c r="T67" s="11" t="n">
        <v>-0.01</v>
      </c>
      <c r="V67" s="11" t="n">
        <v>-0.01</v>
      </c>
      <c r="Z67" s="11" t="n">
        <v>0</v>
      </c>
      <c r="AA67" s="11" t="n">
        <v>-1.55</v>
      </c>
      <c r="AB67" s="11" t="n">
        <v>-3.32</v>
      </c>
      <c r="AC67" s="11" t="n">
        <v>-0.45</v>
      </c>
      <c r="AD67" s="11" t="n">
        <v>-0.01</v>
      </c>
    </row>
    <row r="68">
      <c r="A68" s="10" t="inlineStr">
        <is>
          <t>재무활동 현금흐름</t>
        </is>
      </c>
      <c r="D68" s="11" t="n">
        <v>-77.69</v>
      </c>
      <c r="F68" s="11" t="n">
        <v>-586.47</v>
      </c>
      <c r="H68" s="11" t="n">
        <v>2.74</v>
      </c>
      <c r="J68" s="11" t="n">
        <v>-112.32</v>
      </c>
      <c r="L68" s="11" t="n">
        <v>-115.5</v>
      </c>
      <c r="N68" s="11" t="n">
        <v>-234.12</v>
      </c>
      <c r="P68" s="11" t="n">
        <v>67.56</v>
      </c>
      <c r="R68" s="11" t="n">
        <v>-221.2</v>
      </c>
      <c r="T68" s="11" t="n">
        <v>-173.27</v>
      </c>
      <c r="V68" s="11" t="n">
        <v>-437.71</v>
      </c>
      <c r="W68" s="11" t="n">
        <v>-95.05</v>
      </c>
      <c r="X68" s="11" t="n">
        <v>-114.67</v>
      </c>
      <c r="Y68" s="11" t="n">
        <v>-151.62</v>
      </c>
      <c r="Z68" s="11" t="n">
        <v>-586.47</v>
      </c>
      <c r="AA68" s="11" t="n">
        <v>-112.32</v>
      </c>
      <c r="AB68" s="11" t="n">
        <v>-234.12</v>
      </c>
      <c r="AC68" s="11" t="n">
        <v>-221.2</v>
      </c>
      <c r="AD68" s="11" t="n">
        <v>-437.71</v>
      </c>
    </row>
    <row r="69">
      <c r="A69" s="10" t="inlineStr">
        <is>
          <t>현금성자산 환산차이</t>
        </is>
      </c>
      <c r="D69" s="11" t="n">
        <v>16.73</v>
      </c>
      <c r="F69" s="11" t="n">
        <v>71.92</v>
      </c>
      <c r="H69" s="11" t="n">
        <v>-5.69</v>
      </c>
      <c r="J69" s="11" t="n">
        <v>17.64</v>
      </c>
      <c r="L69" s="11" t="n">
        <v>18.47</v>
      </c>
      <c r="N69" s="11" t="n">
        <v>30.98</v>
      </c>
      <c r="P69" s="11" t="n">
        <v>0.55</v>
      </c>
      <c r="R69" s="11" t="n">
        <v>-2.96</v>
      </c>
      <c r="T69" s="11" t="n">
        <v>67.3</v>
      </c>
      <c r="V69" s="11" t="n">
        <v>83.28</v>
      </c>
      <c r="W69" s="11" t="n">
        <v>-22.55</v>
      </c>
      <c r="X69" s="11" t="n">
        <v>-12.8</v>
      </c>
      <c r="Y69" s="11" t="n">
        <v>22.46</v>
      </c>
      <c r="Z69" s="11" t="n">
        <v>71.92</v>
      </c>
      <c r="AA69" s="11" t="n">
        <v>17.64</v>
      </c>
      <c r="AB69" s="11" t="n">
        <v>30.98</v>
      </c>
      <c r="AC69" s="11" t="n">
        <v>-2.96</v>
      </c>
      <c r="AD69" s="11" t="n">
        <v>83.28</v>
      </c>
    </row>
    <row r="70">
      <c r="A70" s="10" t="inlineStr">
        <is>
          <t>현금성자산 증감</t>
        </is>
      </c>
      <c r="D70" s="11" t="n">
        <v>-54.74</v>
      </c>
      <c r="F70" s="11" t="n">
        <v>-447.87</v>
      </c>
      <c r="H70" s="11" t="n">
        <v>-71.95999999999999</v>
      </c>
      <c r="J70" s="11" t="n">
        <v>249.52</v>
      </c>
      <c r="L70" s="11" t="n">
        <v>-2.19</v>
      </c>
      <c r="N70" s="11" t="n">
        <v>105.36</v>
      </c>
      <c r="P70" s="11" t="n">
        <v>-78.63</v>
      </c>
      <c r="R70" s="11" t="n">
        <v>100.07</v>
      </c>
      <c r="T70" s="11" t="n">
        <v>176.08</v>
      </c>
      <c r="V70" s="11" t="n">
        <v>338.28</v>
      </c>
      <c r="W70" s="11" t="n">
        <v>64.27</v>
      </c>
      <c r="X70" s="11" t="n">
        <v>-197.31</v>
      </c>
      <c r="Y70" s="11" t="n">
        <v>349.93</v>
      </c>
      <c r="Z70" s="11" t="n">
        <v>-447.87</v>
      </c>
      <c r="AA70" s="11" t="n">
        <v>249.52</v>
      </c>
      <c r="AB70" s="11" t="n">
        <v>105.36</v>
      </c>
      <c r="AC70" s="11" t="n">
        <v>100.07</v>
      </c>
      <c r="AD70" s="11" t="n">
        <v>338.28</v>
      </c>
    </row>
    <row r="71">
      <c r="A71" s="10" t="inlineStr">
        <is>
          <t>결산기 변경 현금성자산 증감</t>
        </is>
      </c>
      <c r="D71" s="11" t="n">
        <v>0</v>
      </c>
    </row>
    <row r="72">
      <c r="A72" s="10" t="inlineStr">
        <is>
          <t>결산기 변경 현금성자산 증감</t>
        </is>
      </c>
      <c r="F72" s="11" t="n">
        <v>0</v>
      </c>
      <c r="Y72" s="11" t="n">
        <v>84.26000000000001</v>
      </c>
      <c r="Z72" s="11" t="n">
        <v>0</v>
      </c>
    </row>
    <row r="73">
      <c r="A73" s="10" t="inlineStr">
        <is>
          <t>연결 제외 현금성자산 감소</t>
        </is>
      </c>
      <c r="H73" s="11" t="n">
        <v>0</v>
      </c>
      <c r="J73" s="11" t="n">
        <v>0</v>
      </c>
      <c r="L73" s="11" t="n">
        <v>-0.65</v>
      </c>
      <c r="N73" s="11" t="n">
        <v>-1.92</v>
      </c>
      <c r="P73" s="11" t="n">
        <v>0</v>
      </c>
      <c r="R73" s="11" t="n">
        <v>-1.75</v>
      </c>
      <c r="V73" s="11" t="n">
        <v>0</v>
      </c>
      <c r="AA73" s="11" t="n">
        <v>0</v>
      </c>
      <c r="AB73" s="11" t="n">
        <v>-1.92</v>
      </c>
      <c r="AC73" s="11" t="n">
        <v>-1.75</v>
      </c>
      <c r="AD73" s="1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6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40" customWidth="1" min="31" max="31"/>
  </cols>
  <sheetData>
    <row r="1">
      <c r="A1" s="1" t="inlineStr">
        <is>
          <t>양품계획 부문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FY19</t>
        </is>
      </c>
      <c r="X3" s="4" t="inlineStr">
        <is>
          <t>FY20</t>
        </is>
      </c>
      <c r="Y3" s="4" t="inlineStr">
        <is>
          <t>FY21</t>
        </is>
      </c>
      <c r="Z3" s="4" t="inlineStr">
        <is>
          <t>FY22</t>
        </is>
      </c>
      <c r="AA3" s="4" t="inlineStr">
        <is>
          <t>FY23</t>
        </is>
      </c>
      <c r="AB3" s="4" t="inlineStr">
        <is>
          <t>FY24</t>
        </is>
      </c>
      <c r="AC3" s="4" t="inlineStr">
        <is>
          <t>FY25</t>
        </is>
      </c>
      <c r="AD3" s="4" t="inlineStr">
        <is>
          <t>FY26</t>
        </is>
      </c>
      <c r="AE3" s="4" t="inlineStr">
        <is>
          <t>출처</t>
        </is>
      </c>
    </row>
    <row r="4">
      <c r="A4" s="10" t="inlineStr">
        <is>
          <t>DomesticBusinessReportableSegmentsMember · (1) 외부 고객 영업수익</t>
        </is>
      </c>
      <c r="AA4" s="11" t="n">
        <v>3428.29</v>
      </c>
      <c r="AB4" s="11" t="n">
        <v>3889.35</v>
      </c>
      <c r="AC4" s="11" t="n">
        <v>4701.43</v>
      </c>
      <c r="AD4" s="11" t="n">
        <v>5109.93</v>
      </c>
      <c r="AE4" s="7" t="inlineStr">
        <is>
          <t>결산단신 XBRL(거래소 공시, TDnet·JPX 보관소). 쓴 문서: 2026-10-14, 2026-07-10, 2026-04-10, 2026-01-14 외 26건 — '출처' 시트에 전부</t>
        </is>
      </c>
    </row>
    <row r="5">
      <c r="A5" s="10" t="inlineStr">
        <is>
          <t>EastAsiaBusinessReportableSegmentsMember · (1) 외부 고객 영업수익</t>
        </is>
      </c>
      <c r="AA5" s="11" t="n">
        <v>1716.3</v>
      </c>
      <c r="AB5" s="11" t="n">
        <v>1945.59</v>
      </c>
      <c r="AC5" s="11" t="n">
        <v>2222.47</v>
      </c>
      <c r="AD5" s="11" t="n">
        <v>2937.83</v>
      </c>
    </row>
    <row r="6">
      <c r="A6" s="10" t="inlineStr">
        <is>
          <t>EastSouthAsiaAndOceaniaBusinessReportableSegmentsMember · (1) 외부 고객 영업수익</t>
        </is>
      </c>
      <c r="AA6" s="11" t="n">
        <v>314.7</v>
      </c>
      <c r="AB6" s="11" t="n">
        <v>391.38</v>
      </c>
      <c r="AC6" s="11" t="n">
        <v>501.05</v>
      </c>
      <c r="AD6" s="11" t="n">
        <v>665.1900000000001</v>
      </c>
    </row>
    <row r="7">
      <c r="A7" s="10" t="inlineStr">
        <is>
          <t>EuropeAndUSBusinessReportableSegmentsMember · (1) 외부 고객 영업수익</t>
        </is>
      </c>
      <c r="AA7" s="11" t="n">
        <v>354.82</v>
      </c>
      <c r="AB7" s="11" t="n">
        <v>390.43</v>
      </c>
      <c r="AC7" s="11" t="n">
        <v>421.33</v>
      </c>
      <c r="AD7" s="11" t="n">
        <v>522.95</v>
      </c>
    </row>
    <row r="8">
      <c r="A8" s="10" t="inlineStr">
        <is>
          <t>ReportableSegmentsMember · (1) 외부 고객 영업수익</t>
        </is>
      </c>
      <c r="K8" s="11" t="n">
        <v>1629.13</v>
      </c>
      <c r="L8" s="11" t="n">
        <v>1569.26</v>
      </c>
      <c r="M8" s="11" t="n">
        <v>1758.6</v>
      </c>
      <c r="N8" s="11" t="n">
        <v>1659.78</v>
      </c>
      <c r="O8" s="11" t="n">
        <v>1976.9</v>
      </c>
      <c r="P8" s="11" t="n">
        <v>1843.33</v>
      </c>
      <c r="Q8" s="11" t="n">
        <v>2090.7</v>
      </c>
      <c r="R8" s="11" t="n">
        <v>1935.36</v>
      </c>
      <c r="S8" s="11" t="n">
        <v>2282.27</v>
      </c>
      <c r="T8" s="11" t="n">
        <v>2103.22</v>
      </c>
      <c r="U8" s="11" t="n">
        <v>2522.39</v>
      </c>
      <c r="V8" s="11" t="n">
        <v>2328.04</v>
      </c>
      <c r="AA8" s="11" t="n">
        <v>5814.12</v>
      </c>
      <c r="AB8" s="11" t="n">
        <v>6616.77</v>
      </c>
      <c r="AC8" s="11" t="n">
        <v>7846.29</v>
      </c>
      <c r="AD8" s="11" t="n">
        <v>9235.92</v>
      </c>
    </row>
    <row r="9">
      <c r="A9" s="10" t="inlineStr">
        <is>
          <t>OperatingSegmentsNotIncludedInReportableSegmentsAndOtherRevenueGeneratingBusinessActivitiesMember · (1) 외부 고객 영업수익</t>
        </is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</row>
    <row r="10">
      <c r="A10" s="10" t="inlineStr">
        <is>
          <t>ReconcilingItemsMember · (1) 외부 고객 영업수익</t>
        </is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v>0</v>
      </c>
      <c r="U10" s="11" t="n">
        <v>0</v>
      </c>
      <c r="V10" s="11" t="n">
        <v>0</v>
      </c>
      <c r="AA10" s="11" t="n">
        <v>0</v>
      </c>
      <c r="AB10" s="11" t="n">
        <v>0</v>
      </c>
      <c r="AC10" s="11" t="n">
        <v>0</v>
      </c>
      <c r="AD10" s="11" t="n">
        <v>0</v>
      </c>
    </row>
    <row r="11">
      <c r="A11" s="5" t="inlineStr">
        <is>
          <t>(1) 외부 고객 영업수익</t>
        </is>
      </c>
      <c r="K11" s="6" t="n">
        <v>1629.13</v>
      </c>
      <c r="L11" s="6" t="n">
        <v>1569.26</v>
      </c>
      <c r="M11" s="6" t="n">
        <v>1758.6</v>
      </c>
      <c r="N11" s="6" t="n">
        <v>1659.78</v>
      </c>
      <c r="O11" s="6" t="n">
        <v>1976.9</v>
      </c>
      <c r="P11" s="6" t="n">
        <v>1843.33</v>
      </c>
      <c r="Q11" s="6" t="n">
        <v>2090.7</v>
      </c>
      <c r="R11" s="6" t="n">
        <v>1935.36</v>
      </c>
      <c r="S11" s="6" t="n">
        <v>2282.27</v>
      </c>
      <c r="T11" s="6" t="n">
        <v>2103.22</v>
      </c>
      <c r="U11" s="6" t="n">
        <v>2522.39</v>
      </c>
      <c r="V11" s="6" t="n">
        <v>2328.04</v>
      </c>
      <c r="AA11" s="6" t="n">
        <v>5814.12</v>
      </c>
      <c r="AB11" s="6" t="n">
        <v>6616.77</v>
      </c>
      <c r="AC11" s="6" t="n">
        <v>7846.29</v>
      </c>
      <c r="AD11" s="6" t="n">
        <v>9235.92</v>
      </c>
    </row>
    <row r="12">
      <c r="A12" s="10" t="inlineStr">
        <is>
          <t>DomesticBusinessReportableSegmentsMember · (2) 부문 간 내부 영업수익·대체</t>
        </is>
      </c>
      <c r="K12" s="11" t="n">
        <v>0</v>
      </c>
      <c r="O12" s="11" t="n">
        <v>0</v>
      </c>
      <c r="S12" s="11" t="n">
        <v>0</v>
      </c>
    </row>
    <row r="13">
      <c r="A13" s="10" t="inlineStr">
        <is>
          <t>EastAsiaBusinessReportableSegmentsMember · (2) 부문 간 내부 영업수익·대체</t>
        </is>
      </c>
      <c r="K13" s="11" t="n">
        <v>0</v>
      </c>
      <c r="O13" s="11" t="n">
        <v>0</v>
      </c>
      <c r="S13" s="11" t="n">
        <v>0</v>
      </c>
    </row>
    <row r="14">
      <c r="A14" s="10" t="inlineStr">
        <is>
          <t>EastSouthAsiaAndOceaniaBusinessReportableSegmentsMember · (2) 부문 간 내부 영업수익·대체</t>
        </is>
      </c>
      <c r="K14" s="11" t="n">
        <v>0</v>
      </c>
      <c r="O14" s="11" t="n">
        <v>0</v>
      </c>
      <c r="S14" s="11" t="n">
        <v>0</v>
      </c>
    </row>
    <row r="15">
      <c r="A15" s="10" t="inlineStr">
        <is>
          <t>EuropeAndUSBusinessReportableSegmentsMember · (2) 부문 간 내부 영업수익·대체</t>
        </is>
      </c>
      <c r="K15" s="11" t="n">
        <v>0</v>
      </c>
      <c r="O15" s="11" t="n">
        <v>0</v>
      </c>
      <c r="S15" s="11" t="n">
        <v>0</v>
      </c>
    </row>
    <row r="16">
      <c r="A16" s="10" t="inlineStr">
        <is>
          <t>DomesticBusinessReportableSegmentsMember · (2) 부문 간 내부 영업수익·대체</t>
        </is>
      </c>
      <c r="AA16" s="11" t="n">
        <v>0</v>
      </c>
      <c r="AB16" s="11" t="n">
        <v>0</v>
      </c>
      <c r="AC16" s="11" t="n">
        <v>0</v>
      </c>
      <c r="AD16" s="11" t="n">
        <v>0</v>
      </c>
    </row>
    <row r="17">
      <c r="A17" s="10" t="inlineStr">
        <is>
          <t>EastAsiaBusinessReportableSegmentsMember · (2) 부문 간 내부 영업수익·대체</t>
        </is>
      </c>
      <c r="AA17" s="11" t="n">
        <v>0.04</v>
      </c>
      <c r="AB17" s="11" t="n">
        <v>0</v>
      </c>
      <c r="AC17" s="11" t="n">
        <v>0</v>
      </c>
      <c r="AD17" s="11" t="n">
        <v>0.16</v>
      </c>
    </row>
    <row r="18">
      <c r="A18" s="10" t="inlineStr">
        <is>
          <t>EastSouthAsiaAndOceaniaBusinessReportableSegmentsMember · (2) 부문 간 내부 영업수익·대체</t>
        </is>
      </c>
      <c r="AA18" s="11" t="n">
        <v>0</v>
      </c>
      <c r="AB18" s="11" t="n">
        <v>0</v>
      </c>
      <c r="AC18" s="11" t="n">
        <v>0</v>
      </c>
      <c r="AD18" s="11" t="n">
        <v>0</v>
      </c>
    </row>
    <row r="19">
      <c r="A19" s="10" t="inlineStr">
        <is>
          <t>EuropeAndUSBusinessReportableSegmentsMember · (2) 부문 간 내부 영업수익·대체</t>
        </is>
      </c>
      <c r="AA19" s="11" t="n">
        <v>0</v>
      </c>
      <c r="AB19" s="11" t="n">
        <v>0</v>
      </c>
      <c r="AC19" s="11" t="n">
        <v>0</v>
      </c>
      <c r="AD19" s="11" t="n">
        <v>0</v>
      </c>
    </row>
    <row r="20">
      <c r="A20" s="10" t="inlineStr">
        <is>
          <t>ReportableSegmentsMember · (2) 부문 간 내부 영업수익·대체</t>
        </is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  <c r="T20" s="11" t="n">
        <v>0</v>
      </c>
      <c r="U20" s="11" t="n">
        <v>0.06</v>
      </c>
      <c r="V20" s="11" t="n">
        <v>0.1</v>
      </c>
      <c r="AA20" s="11" t="n">
        <v>0.04</v>
      </c>
      <c r="AB20" s="11" t="n">
        <v>0</v>
      </c>
      <c r="AC20" s="11" t="n">
        <v>0</v>
      </c>
      <c r="AD20" s="11" t="n">
        <v>0.16</v>
      </c>
    </row>
    <row r="21">
      <c r="A21" s="10" t="inlineStr">
        <is>
          <t>OperatingSegmentsNotIncludedInReportableSegmentsAndOtherRevenueGeneratingBusinessActivitiesMember · (2) 부문 간 내부 영업수익·대체</t>
        </is>
      </c>
      <c r="K21" s="11" t="n">
        <v>1.47</v>
      </c>
      <c r="L21" s="11" t="n">
        <v>1.52</v>
      </c>
      <c r="M21" s="11" t="n">
        <v>1.6</v>
      </c>
      <c r="N21" s="11" t="n">
        <v>1.91</v>
      </c>
      <c r="O21" s="11" t="n">
        <v>2.43</v>
      </c>
      <c r="P21" s="11" t="n">
        <v>3.36</v>
      </c>
      <c r="Q21" s="11" t="n">
        <v>3.99</v>
      </c>
      <c r="R21" s="11" t="n">
        <v>4.23</v>
      </c>
      <c r="S21" s="11" t="n">
        <v>5.18</v>
      </c>
      <c r="T21" s="11" t="n">
        <v>5.57</v>
      </c>
      <c r="U21" s="11" t="n">
        <v>6.34</v>
      </c>
      <c r="V21" s="11" t="n">
        <v>7.18</v>
      </c>
      <c r="AA21" s="11" t="n">
        <v>5.07</v>
      </c>
      <c r="AB21" s="11" t="n">
        <v>6.5</v>
      </c>
      <c r="AC21" s="11" t="n">
        <v>14.01</v>
      </c>
      <c r="AD21" s="11" t="n">
        <v>24.27</v>
      </c>
    </row>
    <row r="22">
      <c r="A22" s="10" t="inlineStr">
        <is>
          <t>ReconcilingItemsMember · (2) 부문 간 내부 영업수익·대체</t>
        </is>
      </c>
      <c r="K22" s="11" t="n">
        <v>-1.47</v>
      </c>
      <c r="L22" s="11" t="n">
        <v>-1.52</v>
      </c>
      <c r="M22" s="11" t="n">
        <v>-1.6</v>
      </c>
      <c r="N22" s="11" t="n">
        <v>-1.92</v>
      </c>
      <c r="O22" s="11" t="n">
        <v>-2.43</v>
      </c>
      <c r="P22" s="11" t="n">
        <v>-3.36</v>
      </c>
      <c r="Q22" s="11" t="n">
        <v>-3.99</v>
      </c>
      <c r="R22" s="11" t="n">
        <v>-4.23</v>
      </c>
      <c r="S22" s="11" t="n">
        <v>-5.18</v>
      </c>
      <c r="T22" s="11" t="n">
        <v>-5.57</v>
      </c>
      <c r="U22" s="11" t="n">
        <v>-6.41</v>
      </c>
      <c r="V22" s="11" t="n">
        <v>-7.27</v>
      </c>
      <c r="AA22" s="11" t="n">
        <v>-5.11</v>
      </c>
      <c r="AB22" s="11" t="n">
        <v>-6.51</v>
      </c>
      <c r="AC22" s="11" t="n">
        <v>-14.01</v>
      </c>
      <c r="AD22" s="11" t="n">
        <v>-24.43</v>
      </c>
    </row>
    <row r="23">
      <c r="A23" s="10" t="inlineStr">
        <is>
          <t>(2) 부문 간 내부 영업수익·대체</t>
        </is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  <c r="V23" s="11" t="n">
        <v>0</v>
      </c>
      <c r="AA23" s="11" t="n">
        <v>0</v>
      </c>
      <c r="AB23" s="11" t="n">
        <v>0</v>
      </c>
      <c r="AC23" s="11" t="n">
        <v>0</v>
      </c>
      <c r="AD23" s="11" t="n">
        <v>0</v>
      </c>
    </row>
    <row r="24">
      <c r="A24" s="10" t="inlineStr">
        <is>
          <t>DomesticBusinessReportableSegmentsMember · 계</t>
        </is>
      </c>
      <c r="K24" s="11" t="n">
        <v>976.72</v>
      </c>
      <c r="O24" s="11" t="n">
        <v>1221.02</v>
      </c>
      <c r="S24" s="11" t="n">
        <v>1332.67</v>
      </c>
    </row>
    <row r="25">
      <c r="A25" s="10" t="inlineStr">
        <is>
          <t>EastAsiaBusinessReportableSegmentsMember · 계</t>
        </is>
      </c>
      <c r="K25" s="11" t="n">
        <v>464.78</v>
      </c>
      <c r="O25" s="11" t="n">
        <v>540.73</v>
      </c>
      <c r="S25" s="11" t="n">
        <v>679.95</v>
      </c>
    </row>
    <row r="26">
      <c r="A26" s="10" t="inlineStr">
        <is>
          <t>EastSouthAsiaAndOceaniaBusinessReportableSegmentsMember · 계</t>
        </is>
      </c>
      <c r="K26" s="11" t="n">
        <v>85.75</v>
      </c>
      <c r="O26" s="11" t="n">
        <v>108.56</v>
      </c>
      <c r="S26" s="11" t="n">
        <v>144.82</v>
      </c>
    </row>
    <row r="27">
      <c r="A27" s="10" t="inlineStr">
        <is>
          <t>EuropeAndUSBusinessReportableSegmentsMember · 계</t>
        </is>
      </c>
      <c r="K27" s="11" t="n">
        <v>101.87</v>
      </c>
      <c r="O27" s="11" t="n">
        <v>106.57</v>
      </c>
      <c r="S27" s="11" t="n">
        <v>124.82</v>
      </c>
    </row>
    <row r="28">
      <c r="A28" s="10" t="inlineStr">
        <is>
          <t>DomesticBusinessReportableSegmentsMember · 계</t>
        </is>
      </c>
      <c r="AA28" s="11" t="n">
        <v>3428.29</v>
      </c>
      <c r="AB28" s="11" t="n">
        <v>3889.36</v>
      </c>
      <c r="AC28" s="11" t="n">
        <v>4701.43</v>
      </c>
      <c r="AD28" s="11" t="n">
        <v>5109.94</v>
      </c>
    </row>
    <row r="29">
      <c r="A29" s="10" t="inlineStr">
        <is>
          <t>EastAsiaBusinessReportableSegmentsMember · 계</t>
        </is>
      </c>
      <c r="AA29" s="11" t="n">
        <v>1716.35</v>
      </c>
      <c r="AB29" s="11" t="n">
        <v>1945.59</v>
      </c>
      <c r="AC29" s="11" t="n">
        <v>2222.47</v>
      </c>
      <c r="AD29" s="11" t="n">
        <v>2938</v>
      </c>
    </row>
    <row r="30">
      <c r="A30" s="10" t="inlineStr">
        <is>
          <t>EastSouthAsiaAndOceaniaBusinessReportableSegmentsMember · 계</t>
        </is>
      </c>
      <c r="AA30" s="11" t="n">
        <v>314.7</v>
      </c>
      <c r="AB30" s="11" t="n">
        <v>391.38</v>
      </c>
      <c r="AC30" s="11" t="n">
        <v>501.05</v>
      </c>
      <c r="AD30" s="11" t="n">
        <v>665.1900000000001</v>
      </c>
    </row>
    <row r="31">
      <c r="A31" s="10" t="inlineStr">
        <is>
          <t>EuropeAndUSBusinessReportableSegmentsMember · 계</t>
        </is>
      </c>
      <c r="AA31" s="11" t="n">
        <v>354.82</v>
      </c>
      <c r="AB31" s="11" t="n">
        <v>390.43</v>
      </c>
      <c r="AC31" s="11" t="n">
        <v>421.33</v>
      </c>
      <c r="AD31" s="11" t="n">
        <v>522.95</v>
      </c>
    </row>
    <row r="32">
      <c r="A32" s="10" t="inlineStr">
        <is>
          <t>ReportableSegmentsMember · 계</t>
        </is>
      </c>
      <c r="K32" s="11" t="n">
        <v>1629.13</v>
      </c>
      <c r="L32" s="11" t="n">
        <v>1569.27</v>
      </c>
      <c r="M32" s="11" t="n">
        <v>1758.59</v>
      </c>
      <c r="N32" s="11" t="n">
        <v>1659.78</v>
      </c>
      <c r="O32" s="11" t="n">
        <v>1976.9</v>
      </c>
      <c r="P32" s="11" t="n">
        <v>1843.33</v>
      </c>
      <c r="Q32" s="11" t="n">
        <v>2090.7</v>
      </c>
      <c r="R32" s="11" t="n">
        <v>1935.36</v>
      </c>
      <c r="S32" s="11" t="n">
        <v>2282.27</v>
      </c>
      <c r="T32" s="11" t="n">
        <v>2103.22</v>
      </c>
      <c r="U32" s="11" t="n">
        <v>2522.46</v>
      </c>
      <c r="V32" s="11" t="n">
        <v>2328.14</v>
      </c>
      <c r="AA32" s="11" t="n">
        <v>5814.16</v>
      </c>
      <c r="AB32" s="11" t="n">
        <v>6616.77</v>
      </c>
      <c r="AC32" s="11" t="n">
        <v>7846.29</v>
      </c>
      <c r="AD32" s="11" t="n">
        <v>9236.09</v>
      </c>
    </row>
    <row r="33">
      <c r="A33" s="10" t="inlineStr">
        <is>
          <t>OperatingSegmentsNotIncludedInReportableSegmentsAndOtherRevenueGeneratingBusinessActivitiesMember · 계</t>
        </is>
      </c>
      <c r="K33" s="11" t="n">
        <v>1.47</v>
      </c>
      <c r="L33" s="11" t="n">
        <v>1.52</v>
      </c>
      <c r="M33" s="11" t="n">
        <v>1.6</v>
      </c>
      <c r="N33" s="11" t="n">
        <v>1.91</v>
      </c>
      <c r="O33" s="11" t="n">
        <v>2.43</v>
      </c>
      <c r="P33" s="11" t="n">
        <v>3.36</v>
      </c>
      <c r="Q33" s="11" t="n">
        <v>3.99</v>
      </c>
      <c r="R33" s="11" t="n">
        <v>4.23</v>
      </c>
      <c r="S33" s="11" t="n">
        <v>5.18</v>
      </c>
      <c r="T33" s="11" t="n">
        <v>5.57</v>
      </c>
      <c r="U33" s="11" t="n">
        <v>6.34</v>
      </c>
      <c r="V33" s="11" t="n">
        <v>7.18</v>
      </c>
      <c r="AA33" s="11" t="n">
        <v>5.07</v>
      </c>
      <c r="AB33" s="11" t="n">
        <v>6.5</v>
      </c>
      <c r="AC33" s="11" t="n">
        <v>14.01</v>
      </c>
      <c r="AD33" s="11" t="n">
        <v>24.27</v>
      </c>
    </row>
    <row r="34">
      <c r="A34" s="10" t="inlineStr">
        <is>
          <t>ReconcilingItemsMember · 계</t>
        </is>
      </c>
      <c r="K34" s="11" t="n">
        <v>-1.47</v>
      </c>
      <c r="L34" s="11" t="n">
        <v>-1.52</v>
      </c>
      <c r="M34" s="11" t="n">
        <v>-1.6</v>
      </c>
      <c r="N34" s="11" t="n">
        <v>-1.92</v>
      </c>
      <c r="O34" s="11" t="n">
        <v>-2.43</v>
      </c>
      <c r="P34" s="11" t="n">
        <v>-3.36</v>
      </c>
      <c r="Q34" s="11" t="n">
        <v>-3.99</v>
      </c>
      <c r="R34" s="11" t="n">
        <v>-4.23</v>
      </c>
      <c r="S34" s="11" t="n">
        <v>-5.18</v>
      </c>
      <c r="T34" s="11" t="n">
        <v>-5.57</v>
      </c>
      <c r="U34" s="11" t="n">
        <v>-6.41</v>
      </c>
      <c r="V34" s="11" t="n">
        <v>-7.27</v>
      </c>
      <c r="AA34" s="11" t="n">
        <v>-5.11</v>
      </c>
      <c r="AB34" s="11" t="n">
        <v>-6.51</v>
      </c>
      <c r="AC34" s="11" t="n">
        <v>-14.01</v>
      </c>
      <c r="AD34" s="11" t="n">
        <v>-24.43</v>
      </c>
    </row>
    <row r="35">
      <c r="A35" s="5" t="inlineStr">
        <is>
          <t>계</t>
        </is>
      </c>
      <c r="K35" s="6" t="n">
        <v>1629.13</v>
      </c>
      <c r="L35" s="6" t="n">
        <v>1569.26</v>
      </c>
      <c r="M35" s="6" t="n">
        <v>1758.6</v>
      </c>
      <c r="N35" s="6" t="n">
        <v>1659.78</v>
      </c>
      <c r="O35" s="6" t="n">
        <v>1976.9</v>
      </c>
      <c r="P35" s="6" t="n">
        <v>1843.33</v>
      </c>
      <c r="Q35" s="6" t="n">
        <v>2090.7</v>
      </c>
      <c r="R35" s="6" t="n">
        <v>1935.36</v>
      </c>
      <c r="S35" s="6" t="n">
        <v>2282.27</v>
      </c>
      <c r="T35" s="6" t="n">
        <v>2103.22</v>
      </c>
      <c r="U35" s="6" t="n">
        <v>2522.39</v>
      </c>
      <c r="V35" s="6" t="n">
        <v>2328.04</v>
      </c>
      <c r="AA35" s="6" t="n">
        <v>5814.12</v>
      </c>
      <c r="AB35" s="6" t="n">
        <v>6616.77</v>
      </c>
      <c r="AC35" s="6" t="n">
        <v>7846.29</v>
      </c>
      <c r="AD35" s="6" t="n">
        <v>9235.92</v>
      </c>
    </row>
    <row r="36">
      <c r="A36" s="10" t="inlineStr">
        <is>
          <t>DomesticBusinessReportableSegmentsMember · 부문 이익</t>
        </is>
      </c>
      <c r="K36" s="11" t="n">
        <v>99.77</v>
      </c>
      <c r="O36" s="11" t="n">
        <v>150.36</v>
      </c>
      <c r="S36" s="11" t="n">
        <v>183.61</v>
      </c>
    </row>
    <row r="37">
      <c r="A37" s="10" t="inlineStr">
        <is>
          <t>EastAsiaBusinessReportableSegmentsMember · 부문 이익</t>
        </is>
      </c>
      <c r="K37" s="11" t="n">
        <v>84.98999999999999</v>
      </c>
      <c r="O37" s="11" t="n">
        <v>111.1</v>
      </c>
      <c r="S37" s="11" t="n">
        <v>142.13</v>
      </c>
    </row>
    <row r="38">
      <c r="A38" s="10" t="inlineStr">
        <is>
          <t>EastSouthAsiaAndOceaniaBusinessReportableSegmentsMember · 부문 이익</t>
        </is>
      </c>
      <c r="K38" s="11" t="n">
        <v>8.09</v>
      </c>
      <c r="O38" s="11" t="n">
        <v>11.33</v>
      </c>
      <c r="S38" s="11" t="n">
        <v>18.05</v>
      </c>
    </row>
    <row r="39">
      <c r="A39" s="10" t="inlineStr">
        <is>
          <t>EuropeAndUSBusinessReportableSegmentsMember · 부문 이익</t>
        </is>
      </c>
      <c r="K39" s="11" t="n">
        <v>11.52</v>
      </c>
      <c r="O39" s="11" t="n">
        <v>22.53</v>
      </c>
      <c r="S39" s="11" t="n">
        <v>28.24</v>
      </c>
    </row>
    <row r="40">
      <c r="A40" s="10" t="inlineStr">
        <is>
          <t>DomesticBusinessReportableSegmentsMember · 부문 이익</t>
        </is>
      </c>
      <c r="AA40" s="11" t="n">
        <v>245.46</v>
      </c>
      <c r="AB40" s="11" t="n">
        <v>397.15</v>
      </c>
      <c r="AC40" s="11" t="n">
        <v>521.11</v>
      </c>
      <c r="AD40" s="11" t="n">
        <v>633.9</v>
      </c>
    </row>
    <row r="41">
      <c r="A41" s="10" t="inlineStr">
        <is>
          <t>EastAsiaBusinessReportableSegmentsMember · 부문 이익</t>
        </is>
      </c>
      <c r="AA41" s="11" t="n">
        <v>304.4</v>
      </c>
      <c r="AB41" s="11" t="n">
        <v>355.29</v>
      </c>
      <c r="AC41" s="11" t="n">
        <v>427.94</v>
      </c>
      <c r="AD41" s="11" t="n">
        <v>616.9</v>
      </c>
    </row>
    <row r="42">
      <c r="A42" s="10" t="inlineStr">
        <is>
          <t>EastSouthAsiaAndOceaniaBusinessReportableSegmentsMember · 부문 이익</t>
        </is>
      </c>
      <c r="AA42" s="11" t="n">
        <v>28.78</v>
      </c>
      <c r="AB42" s="11" t="n">
        <v>45.99</v>
      </c>
      <c r="AC42" s="11" t="n">
        <v>55.84</v>
      </c>
      <c r="AD42" s="11" t="n">
        <v>91.63</v>
      </c>
    </row>
    <row r="43">
      <c r="A43" s="10" t="inlineStr">
        <is>
          <t>EuropeAndUSBusinessReportableSegmentsMember · 부문 이익</t>
        </is>
      </c>
      <c r="AA43" s="11" t="n">
        <v>9.26</v>
      </c>
      <c r="AB43" s="11" t="n">
        <v>55.06</v>
      </c>
      <c r="AC43" s="11" t="n">
        <v>69.22</v>
      </c>
      <c r="AD43" s="11" t="n">
        <v>80.97</v>
      </c>
    </row>
    <row r="44">
      <c r="A44" s="10" t="inlineStr">
        <is>
          <t>ReportableSegmentsMember · 부문 이익</t>
        </is>
      </c>
      <c r="K44" s="11" t="n">
        <v>204.38</v>
      </c>
      <c r="L44" s="11" t="n">
        <v>175.31</v>
      </c>
      <c r="M44" s="11" t="n">
        <v>257.72</v>
      </c>
      <c r="N44" s="11" t="n">
        <v>216.09</v>
      </c>
      <c r="O44" s="11" t="n">
        <v>295.34</v>
      </c>
      <c r="P44" s="11" t="n">
        <v>228.48</v>
      </c>
      <c r="Q44" s="11" t="n">
        <v>312.53</v>
      </c>
      <c r="R44" s="11" t="n">
        <v>237.77</v>
      </c>
      <c r="S44" s="11" t="n">
        <v>372.04</v>
      </c>
      <c r="T44" s="11" t="n">
        <v>266.98</v>
      </c>
      <c r="U44" s="11" t="n">
        <v>451.74</v>
      </c>
      <c r="V44" s="11" t="n">
        <v>332.66</v>
      </c>
      <c r="AA44" s="11" t="n">
        <v>587.9299999999999</v>
      </c>
      <c r="AB44" s="11" t="n">
        <v>853.5</v>
      </c>
      <c r="AC44" s="11" t="n">
        <v>1074.12</v>
      </c>
      <c r="AD44" s="11" t="n">
        <v>1423.42</v>
      </c>
    </row>
    <row r="45">
      <c r="A45" s="10" t="inlineStr">
        <is>
          <t>OperatingSegmentsNotIncludedInReportableSegmentsAndOtherRevenueGeneratingBusinessActivitiesMember · 부문 이익</t>
        </is>
      </c>
      <c r="K45" s="11" t="n">
        <v>0.14</v>
      </c>
      <c r="L45" s="11" t="n">
        <v>0.17</v>
      </c>
      <c r="M45" s="11" t="n">
        <v>0.05</v>
      </c>
      <c r="N45" s="11" t="n">
        <v>0.07000000000000001</v>
      </c>
      <c r="O45" s="11" t="n">
        <v>0.12</v>
      </c>
      <c r="P45" s="11" t="n">
        <v>0.17</v>
      </c>
      <c r="Q45" s="11" t="n">
        <v>0.19</v>
      </c>
      <c r="R45" s="11" t="n">
        <v>0.25</v>
      </c>
      <c r="S45" s="11" t="n">
        <v>0.31</v>
      </c>
      <c r="T45" s="11" t="n">
        <v>0.28</v>
      </c>
      <c r="U45" s="11" t="n">
        <v>0.37</v>
      </c>
      <c r="V45" s="11" t="n">
        <v>0.44</v>
      </c>
      <c r="AA45" s="11" t="n">
        <v>0.21</v>
      </c>
      <c r="AB45" s="11" t="n">
        <v>0.43</v>
      </c>
      <c r="AC45" s="11" t="n">
        <v>0.73</v>
      </c>
      <c r="AD45" s="11" t="n">
        <v>1.4</v>
      </c>
    </row>
    <row r="46">
      <c r="A46" s="10" t="inlineStr">
        <is>
          <t>ReconcilingItemsMember · 부문 이익</t>
        </is>
      </c>
      <c r="K46" s="11" t="n">
        <v>-65.7</v>
      </c>
      <c r="L46" s="11" t="n">
        <v>-73.31</v>
      </c>
      <c r="M46" s="11" t="n">
        <v>-74.06999999999999</v>
      </c>
      <c r="N46" s="11" t="n">
        <v>-79.51000000000001</v>
      </c>
      <c r="O46" s="11" t="n">
        <v>-75.89</v>
      </c>
      <c r="P46" s="11" t="n">
        <v>-87.17</v>
      </c>
      <c r="Q46" s="11" t="n">
        <v>-79.7</v>
      </c>
      <c r="R46" s="11" t="n">
        <v>-93.69</v>
      </c>
      <c r="S46" s="11" t="n">
        <v>-88.52</v>
      </c>
      <c r="T46" s="11" t="n">
        <v>-100.64</v>
      </c>
      <c r="U46" s="11" t="n">
        <v>-94.34999999999999</v>
      </c>
      <c r="V46" s="11" t="n">
        <v>-106.95</v>
      </c>
      <c r="AA46" s="11" t="n">
        <v>-256.76</v>
      </c>
      <c r="AB46" s="11" t="n">
        <v>-292.59</v>
      </c>
      <c r="AC46" s="11" t="n">
        <v>-336.45</v>
      </c>
      <c r="AD46" s="11" t="n">
        <v>-390.46</v>
      </c>
    </row>
    <row r="47">
      <c r="A47" s="5" t="inlineStr">
        <is>
          <t>부문 이익</t>
        </is>
      </c>
      <c r="K47" s="6" t="n">
        <v>138.82</v>
      </c>
      <c r="L47" s="6" t="n">
        <v>102.17</v>
      </c>
      <c r="M47" s="6" t="n">
        <v>183.7</v>
      </c>
      <c r="N47" s="6" t="n">
        <v>136.66</v>
      </c>
      <c r="O47" s="6" t="n">
        <v>219.57</v>
      </c>
      <c r="P47" s="6" t="n">
        <v>141.48</v>
      </c>
      <c r="Q47" s="6" t="n">
        <v>233.01</v>
      </c>
      <c r="R47" s="6" t="n">
        <v>144.34</v>
      </c>
      <c r="S47" s="6" t="n">
        <v>283.83</v>
      </c>
      <c r="T47" s="6" t="n">
        <v>166.62</v>
      </c>
      <c r="U47" s="6" t="n">
        <v>357.77</v>
      </c>
      <c r="V47" s="6" t="n">
        <v>226.14</v>
      </c>
      <c r="AA47" s="6" t="n">
        <v>331.37</v>
      </c>
      <c r="AB47" s="6" t="n">
        <v>561.35</v>
      </c>
      <c r="AC47" s="6" t="n">
        <v>738.4</v>
      </c>
      <c r="AD47" s="6" t="n">
        <v>1034.36</v>
      </c>
    </row>
    <row r="48">
      <c r="A48" s="10" t="inlineStr">
        <is>
          <t>DomesticBusinessReportableSegmentsMember · 감가상각비</t>
        </is>
      </c>
      <c r="AA48" s="11" t="n">
        <v>47.23</v>
      </c>
      <c r="AB48" s="11" t="n">
        <v>51.43</v>
      </c>
      <c r="AC48" s="11" t="n">
        <v>55.77</v>
      </c>
      <c r="AD48" s="11" t="n">
        <v>59.55</v>
      </c>
    </row>
    <row r="49">
      <c r="A49" s="10" t="inlineStr">
        <is>
          <t>EastAsiaBusinessReportableSegmentsMember · 감가상각비</t>
        </is>
      </c>
      <c r="AA49" s="11" t="n">
        <v>90.14</v>
      </c>
      <c r="AB49" s="11" t="n">
        <v>105.8</v>
      </c>
      <c r="AC49" s="11" t="n">
        <v>113.5</v>
      </c>
      <c r="AD49" s="11" t="n">
        <v>138.87</v>
      </c>
    </row>
    <row r="50">
      <c r="A50" s="10" t="inlineStr">
        <is>
          <t>EastSouthAsiaAndOceaniaBusinessReportableSegmentsMember · 감가상각비</t>
        </is>
      </c>
      <c r="AA50" s="11" t="n">
        <v>33.48</v>
      </c>
      <c r="AB50" s="11" t="n">
        <v>44.99</v>
      </c>
      <c r="AC50" s="11" t="n">
        <v>64.64</v>
      </c>
      <c r="AD50" s="11" t="n">
        <v>75.34999999999999</v>
      </c>
    </row>
    <row r="51">
      <c r="A51" s="10" t="inlineStr">
        <is>
          <t>EuropeAndUSBusinessReportableSegmentsMember · 감가상각비</t>
        </is>
      </c>
      <c r="AA51" s="11" t="n">
        <v>26.04</v>
      </c>
      <c r="AB51" s="11" t="n">
        <v>22.54</v>
      </c>
      <c r="AC51" s="11" t="n">
        <v>21.02</v>
      </c>
      <c r="AD51" s="11" t="n">
        <v>27.32</v>
      </c>
    </row>
    <row r="52">
      <c r="A52" s="10" t="inlineStr">
        <is>
          <t>ReportableSegmentsMember · 감가상각비</t>
        </is>
      </c>
      <c r="AA52" s="11" t="n">
        <v>196.9</v>
      </c>
      <c r="AB52" s="11" t="n">
        <v>224.78</v>
      </c>
      <c r="AC52" s="11" t="n">
        <v>254.93</v>
      </c>
      <c r="AD52" s="11" t="n">
        <v>301.1</v>
      </c>
    </row>
    <row r="53">
      <c r="A53" s="10" t="inlineStr">
        <is>
          <t>OperatingSegmentsNotIncludedInReportableSegmentsAndOtherRevenueGeneratingBusinessActivitiesMember · 감가상각비</t>
        </is>
      </c>
      <c r="AA53" s="11" t="n">
        <v>0.23</v>
      </c>
      <c r="AB53" s="11" t="n">
        <v>0.44</v>
      </c>
      <c r="AC53" s="11" t="n">
        <v>0.91</v>
      </c>
      <c r="AD53" s="11" t="n">
        <v>1.32</v>
      </c>
    </row>
    <row r="54">
      <c r="A54" s="10" t="inlineStr">
        <is>
          <t>ReconcilingItemsMember · 감가상각비</t>
        </is>
      </c>
      <c r="AA54" s="11" t="n">
        <v>53.54</v>
      </c>
      <c r="AB54" s="11" t="n">
        <v>59.02</v>
      </c>
      <c r="AC54" s="11" t="n">
        <v>66.70999999999999</v>
      </c>
      <c r="AD54" s="11" t="n">
        <v>81.89</v>
      </c>
    </row>
    <row r="55">
      <c r="A55" s="10" t="inlineStr">
        <is>
          <t>감가상각비</t>
        </is>
      </c>
      <c r="AA55" s="11" t="n">
        <v>250.68</v>
      </c>
      <c r="AB55" s="11" t="n">
        <v>284.25</v>
      </c>
      <c r="AC55" s="11" t="n">
        <v>322.56</v>
      </c>
      <c r="AD55" s="11" t="n">
        <v>384.32</v>
      </c>
    </row>
    <row r="56">
      <c r="A56" s="10" t="inlineStr">
        <is>
          <t>DomesticBusinessReportableSegmentsMember · 유형·무형자산 증가액</t>
        </is>
      </c>
      <c r="AA56" s="11" t="n">
        <v>109.99</v>
      </c>
      <c r="AB56" s="11" t="n">
        <v>128.56</v>
      </c>
      <c r="AC56" s="11" t="n">
        <v>129.22</v>
      </c>
      <c r="AD56" s="11" t="n">
        <v>108.72</v>
      </c>
    </row>
    <row r="57">
      <c r="A57" s="10" t="inlineStr">
        <is>
          <t>EastAsiaBusinessReportableSegmentsMember · 유형·무형자산 증가액</t>
        </is>
      </c>
      <c r="AA57" s="11" t="n">
        <v>136.71</v>
      </c>
      <c r="AB57" s="11" t="n">
        <v>153.38</v>
      </c>
      <c r="AC57" s="11" t="n">
        <v>212.14</v>
      </c>
      <c r="AD57" s="11" t="n">
        <v>158.92</v>
      </c>
    </row>
    <row r="58">
      <c r="A58" s="10" t="inlineStr">
        <is>
          <t>EastSouthAsiaAndOceaniaBusinessReportableSegmentsMember · 유형·무형자산 증가액</t>
        </is>
      </c>
      <c r="AA58" s="11" t="n">
        <v>54.05</v>
      </c>
      <c r="AB58" s="11" t="n">
        <v>147.56</v>
      </c>
      <c r="AC58" s="11" t="n">
        <v>128.85</v>
      </c>
      <c r="AD58" s="11" t="n">
        <v>76.59</v>
      </c>
    </row>
    <row r="59">
      <c r="A59" s="10" t="inlineStr">
        <is>
          <t>EuropeAndUSBusinessReportableSegmentsMember · 유형·무형자산 증가액</t>
        </is>
      </c>
      <c r="AA59" s="11" t="n">
        <v>68.69</v>
      </c>
      <c r="AB59" s="11" t="n">
        <v>17.18</v>
      </c>
      <c r="AC59" s="11" t="n">
        <v>20.42</v>
      </c>
      <c r="AD59" s="11" t="n">
        <v>109.06</v>
      </c>
    </row>
    <row r="60">
      <c r="A60" s="10" t="inlineStr">
        <is>
          <t>ReportableSegmentsMember · 유형·무형자산 증가액</t>
        </is>
      </c>
      <c r="AA60" s="11" t="n">
        <v>369.45</v>
      </c>
      <c r="AB60" s="11" t="n">
        <v>446.7</v>
      </c>
      <c r="AC60" s="11" t="n">
        <v>490.64</v>
      </c>
      <c r="AD60" s="11" t="n">
        <v>453.3</v>
      </c>
    </row>
    <row r="61">
      <c r="A61" s="10" t="inlineStr">
        <is>
          <t>OperatingSegmentsNotIncludedInReportableSegmentsAndOtherRevenueGeneratingBusinessActivitiesMember · 유형·무형자산 증가액</t>
        </is>
      </c>
      <c r="AA61" s="11" t="n">
        <v>1.04</v>
      </c>
      <c r="AB61" s="11" t="n">
        <v>0.5600000000000001</v>
      </c>
      <c r="AC61" s="11" t="n">
        <v>1.94</v>
      </c>
      <c r="AD61" s="11" t="n">
        <v>3.33</v>
      </c>
    </row>
    <row r="62">
      <c r="A62" s="10" t="inlineStr">
        <is>
          <t>ReconcilingItemsMember · 유형·무형자산 증가액</t>
        </is>
      </c>
      <c r="AA62" s="11" t="n">
        <v>70.92</v>
      </c>
      <c r="AB62" s="11" t="n">
        <v>116.45</v>
      </c>
      <c r="AC62" s="11" t="n">
        <v>136.74</v>
      </c>
      <c r="AD62" s="11" t="n">
        <v>83.06999999999999</v>
      </c>
    </row>
    <row r="63">
      <c r="A63" s="10" t="inlineStr">
        <is>
          <t>유형·무형자산 증가액</t>
        </is>
      </c>
      <c r="AA63" s="11" t="n">
        <v>441.42</v>
      </c>
      <c r="AB63" s="11" t="n">
        <v>563.72</v>
      </c>
      <c r="AC63" s="11" t="n">
        <v>629.34</v>
      </c>
      <c r="AD63" s="11" t="n">
        <v>539.72</v>
      </c>
    </row>
    <row r="64">
      <c r="A64" s="10" t="inlineStr">
        <is>
          <t>DomesticBusinessReportableSegmentsMember · (1) 외부 고객 영업수익</t>
        </is>
      </c>
      <c r="K64" s="11" t="n">
        <v>976.71</v>
      </c>
      <c r="O64" s="11" t="n">
        <v>1221.02</v>
      </c>
      <c r="S64" s="11" t="n">
        <v>1332.67</v>
      </c>
    </row>
    <row r="65">
      <c r="A65" s="10" t="inlineStr">
        <is>
          <t>EastAsiaBusinessReportableSegmentsMember · (1) 외부 고객 영업수익</t>
        </is>
      </c>
      <c r="K65" s="11" t="n">
        <v>464.78</v>
      </c>
      <c r="O65" s="11" t="n">
        <v>540.73</v>
      </c>
      <c r="S65" s="11" t="n">
        <v>679.95</v>
      </c>
    </row>
    <row r="66">
      <c r="A66" s="10" t="inlineStr">
        <is>
          <t>EastSouthAsiaAndOceaniaBusinessReportableSegmentsMember · (1) 외부 고객 영업수익</t>
        </is>
      </c>
      <c r="K66" s="11" t="n">
        <v>85.75</v>
      </c>
      <c r="O66" s="11" t="n">
        <v>108.56</v>
      </c>
      <c r="S66" s="11" t="n">
        <v>144.82</v>
      </c>
    </row>
    <row r="67">
      <c r="A67" s="10" t="inlineStr">
        <is>
          <t>EuropeAndUSBusinessReportableSegmentsMember · (1) 외부 고객 영업수익</t>
        </is>
      </c>
      <c r="K67" s="11" t="n">
        <v>101.87</v>
      </c>
      <c r="O67" s="11" t="n">
        <v>106.57</v>
      </c>
      <c r="S67" s="11" t="n">
        <v>124.82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1" t="inlineStr">
        <is>
          <t>양품계획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annual_100m · FY8/26</t>
        </is>
      </c>
      <c r="B4" s="12" t="n"/>
      <c r="C4" s="12" t="n"/>
    </row>
    <row r="5">
      <c r="A5" s="13" t="inlineStr">
        <is>
          <t>항목</t>
        </is>
      </c>
      <c r="B5" s="13" t="inlineStr">
        <is>
          <t>값</t>
        </is>
      </c>
      <c r="C5" s="13" t="inlineStr">
        <is>
          <t>출처</t>
        </is>
      </c>
    </row>
    <row r="6">
      <c r="A6" s="14" t="inlineStr">
        <is>
          <t>매출</t>
        </is>
      </c>
      <c r="B6" s="11" t="n">
        <v>9235.9</v>
      </c>
      <c r="C6" s="3" t="inlineStr">
        <is>
          <t>2단계 보고서 자료(회사 설명회 자료·공시)</t>
        </is>
      </c>
    </row>
    <row r="7">
      <c r="A7" s="14" t="inlineStr">
        <is>
          <t>gp</t>
        </is>
      </c>
      <c r="B7" s="11" t="n">
        <v>4876.9</v>
      </c>
    </row>
    <row r="8">
      <c r="A8" s="14" t="inlineStr">
        <is>
          <t>영업이익</t>
        </is>
      </c>
      <c r="B8" s="11" t="n">
        <v>1034.4</v>
      </c>
    </row>
    <row r="9">
      <c r="A9" s="14" t="inlineStr">
        <is>
          <t>순이익</t>
        </is>
      </c>
      <c r="B9" s="11" t="n">
        <v>764.2</v>
      </c>
    </row>
    <row r="10">
      <c r="A10" s="14" t="inlineStr">
        <is>
          <t>EPS</t>
        </is>
      </c>
      <c r="B10" s="11" t="n">
        <v>143.98</v>
      </c>
    </row>
    <row r="12">
      <c r="A12" s="12" t="inlineStr">
        <is>
          <t>annual_100m · FY8/25</t>
        </is>
      </c>
      <c r="B12" s="12" t="n"/>
      <c r="C12" s="12" t="n"/>
    </row>
    <row r="13">
      <c r="A13" s="13" t="inlineStr">
        <is>
          <t>항목</t>
        </is>
      </c>
      <c r="B13" s="13" t="inlineStr">
        <is>
          <t>값</t>
        </is>
      </c>
      <c r="C13" s="13" t="inlineStr">
        <is>
          <t>출처</t>
        </is>
      </c>
    </row>
    <row r="14">
      <c r="A14" s="14" t="inlineStr">
        <is>
          <t>매출</t>
        </is>
      </c>
      <c r="B14" s="11" t="n">
        <v>7846.3</v>
      </c>
      <c r="C14" s="3" t="inlineStr">
        <is>
          <t>2단계 보고서 자료(회사 설명회 자료·공시)</t>
        </is>
      </c>
    </row>
    <row r="15">
      <c r="A15" s="14" t="inlineStr">
        <is>
          <t>gp</t>
        </is>
      </c>
      <c r="B15" s="11" t="n">
        <v>4029.8</v>
      </c>
    </row>
    <row r="16">
      <c r="A16" s="14" t="inlineStr">
        <is>
          <t>영업이익</t>
        </is>
      </c>
      <c r="B16" s="11" t="n">
        <v>738.4</v>
      </c>
    </row>
    <row r="17">
      <c r="A17" s="14" t="inlineStr">
        <is>
          <t>순이익</t>
        </is>
      </c>
      <c r="B17" s="11" t="n">
        <v>508.5</v>
      </c>
    </row>
    <row r="18">
      <c r="A18" s="14" t="inlineStr">
        <is>
          <t>EPS</t>
        </is>
      </c>
      <c r="B18" s="11" t="n">
        <v>95.92</v>
      </c>
    </row>
    <row r="20">
      <c r="A20" s="12" t="inlineStr">
        <is>
          <t>annual_100m · FY8/24</t>
        </is>
      </c>
      <c r="B20" s="12" t="n"/>
      <c r="C20" s="12" t="n"/>
    </row>
    <row r="21">
      <c r="A21" s="13" t="inlineStr">
        <is>
          <t>항목</t>
        </is>
      </c>
      <c r="B21" s="13" t="inlineStr">
        <is>
          <t>값</t>
        </is>
      </c>
      <c r="C21" s="13" t="inlineStr">
        <is>
          <t>출처</t>
        </is>
      </c>
    </row>
    <row r="22">
      <c r="A22" s="14" t="inlineStr">
        <is>
          <t>매출</t>
        </is>
      </c>
      <c r="B22" s="11" t="n">
        <v>6616.8</v>
      </c>
      <c r="C22" s="3" t="inlineStr">
        <is>
          <t>2단계 보고서 자료(회사 설명회 자료·공시)</t>
        </is>
      </c>
    </row>
    <row r="23">
      <c r="A23" s="14" t="inlineStr">
        <is>
          <t>gp</t>
        </is>
      </c>
      <c r="B23" s="11" t="n">
        <v>3364.1</v>
      </c>
    </row>
    <row r="24">
      <c r="A24" s="14" t="inlineStr">
        <is>
          <t>영업이익</t>
        </is>
      </c>
      <c r="B24" s="11" t="n">
        <v>561.4</v>
      </c>
    </row>
    <row r="25">
      <c r="A25" s="14" t="inlineStr">
        <is>
          <t>순이익</t>
        </is>
      </c>
      <c r="B25" s="11" t="n">
        <v>415.7</v>
      </c>
    </row>
    <row r="27">
      <c r="A27" s="12" t="inlineStr">
        <is>
          <t>가이던스 FY8 27</t>
        </is>
      </c>
      <c r="B27" s="12" t="n"/>
      <c r="C27" s="12" t="n"/>
    </row>
    <row r="28">
      <c r="A28" s="13" t="inlineStr">
        <is>
          <t>항목</t>
        </is>
      </c>
      <c r="B28" s="13" t="inlineStr">
        <is>
          <t>값</t>
        </is>
      </c>
      <c r="C28" s="13" t="inlineStr">
        <is>
          <t>출처</t>
        </is>
      </c>
    </row>
    <row r="29">
      <c r="A29" s="14" t="inlineStr">
        <is>
          <t>매출</t>
        </is>
      </c>
      <c r="B29" s="15" t="n">
        <v>10140</v>
      </c>
      <c r="C29" s="3" t="inlineStr">
        <is>
          <t>2단계 보고서 자료(회사 설명회 자료·공시)</t>
        </is>
      </c>
    </row>
    <row r="30">
      <c r="A30" s="14" t="inlineStr">
        <is>
          <t>영업이익</t>
        </is>
      </c>
      <c r="B30" s="15" t="n">
        <v>1140</v>
      </c>
    </row>
    <row r="31">
      <c r="A31" s="14" t="inlineStr">
        <is>
          <t>순이익</t>
        </is>
      </c>
      <c r="B31" s="15" t="n">
        <v>730</v>
      </c>
    </row>
    <row r="32">
      <c r="A32" s="14" t="inlineStr">
        <is>
          <t>EPS</t>
        </is>
      </c>
      <c r="B32" s="11" t="n">
        <v>137.45</v>
      </c>
    </row>
    <row r="33">
      <c r="A33" s="14" t="inlineStr">
        <is>
          <t>dps</t>
        </is>
      </c>
      <c r="B33" s="15" t="n">
        <v>38</v>
      </c>
    </row>
    <row r="35">
      <c r="A35" s="12" t="inlineStr">
        <is>
          <t>guidance_path_op · FY8/26</t>
        </is>
      </c>
      <c r="B35" s="12" t="n"/>
      <c r="C35" s="12" t="n"/>
    </row>
    <row r="36">
      <c r="A36" s="13" t="inlineStr">
        <is>
          <t>항목</t>
        </is>
      </c>
      <c r="B36" s="13" t="inlineStr">
        <is>
          <t>값</t>
        </is>
      </c>
      <c r="C36" s="13" t="inlineStr">
        <is>
          <t>출처</t>
        </is>
      </c>
    </row>
    <row r="37">
      <c r="A37" s="14" t="inlineStr">
        <is>
          <t>최초</t>
        </is>
      </c>
      <c r="B37" s="15" t="n">
        <v>790</v>
      </c>
      <c r="C37" s="3" t="inlineStr">
        <is>
          <t>2단계 보고서 자료(회사 설명회 자료·공시)</t>
        </is>
      </c>
    </row>
    <row r="38">
      <c r="A38" s="14" t="inlineStr">
        <is>
          <t>2Q</t>
        </is>
      </c>
      <c r="B38" s="15" t="n">
        <v>890</v>
      </c>
    </row>
    <row r="39">
      <c r="A39" s="14" t="inlineStr">
        <is>
          <t>3Q</t>
        </is>
      </c>
      <c r="B39" s="15" t="n">
        <v>980</v>
      </c>
    </row>
    <row r="40">
      <c r="A40" s="14" t="inlineStr">
        <is>
          <t>실제</t>
        </is>
      </c>
      <c r="B40" s="15" t="n">
        <v>1034</v>
      </c>
    </row>
    <row r="42">
      <c r="A42" s="12" t="inlineStr">
        <is>
          <t>guidance_path_op · FY8/25</t>
        </is>
      </c>
      <c r="B42" s="12" t="n"/>
      <c r="C42" s="12" t="n"/>
    </row>
    <row r="43">
      <c r="A43" s="13" t="inlineStr">
        <is>
          <t>항목</t>
        </is>
      </c>
      <c r="B43" s="13" t="inlineStr">
        <is>
          <t>값</t>
        </is>
      </c>
      <c r="C43" s="13" t="inlineStr">
        <is>
          <t>출처</t>
        </is>
      </c>
    </row>
    <row r="44">
      <c r="A44" s="14" t="inlineStr">
        <is>
          <t>최초</t>
        </is>
      </c>
      <c r="B44" s="15" t="n">
        <v>550</v>
      </c>
      <c r="C44" s="3" t="inlineStr">
        <is>
          <t>2단계 보고서 자료(회사 설명회 자료·공시)</t>
        </is>
      </c>
    </row>
    <row r="45">
      <c r="A45" s="14" t="inlineStr">
        <is>
          <t>1Q</t>
        </is>
      </c>
      <c r="B45" s="15" t="n">
        <v>640</v>
      </c>
    </row>
    <row r="46">
      <c r="A46" s="14" t="inlineStr">
        <is>
          <t>2Q</t>
        </is>
      </c>
      <c r="B46" s="15" t="n">
        <v>670</v>
      </c>
    </row>
    <row r="47">
      <c r="A47" s="14" t="inlineStr">
        <is>
          <t>3Q</t>
        </is>
      </c>
      <c r="B47" s="15" t="n">
        <v>700</v>
      </c>
    </row>
    <row r="48">
      <c r="A48" s="14" t="inlineStr">
        <is>
          <t>실제</t>
        </is>
      </c>
      <c r="B48" s="15" t="n">
        <v>738</v>
      </c>
    </row>
    <row r="50">
      <c r="A50" s="12" t="inlineStr">
        <is>
          <t>segment_FY26 · 국내</t>
        </is>
      </c>
      <c r="B50" s="12" t="n"/>
      <c r="C50" s="12" t="n"/>
    </row>
    <row r="51">
      <c r="A51" s="13" t="inlineStr">
        <is>
          <t>항목</t>
        </is>
      </c>
      <c r="B51" s="13" t="inlineStr">
        <is>
          <t>값</t>
        </is>
      </c>
      <c r="C51" s="13" t="inlineStr">
        <is>
          <t>출처</t>
        </is>
      </c>
    </row>
    <row r="52">
      <c r="A52" s="14" t="inlineStr">
        <is>
          <t>매출</t>
        </is>
      </c>
      <c r="B52" s="11" t="n">
        <v>5109.9</v>
      </c>
      <c r="C52" s="3" t="inlineStr">
        <is>
          <t>2단계 보고서 자료(회사 설명회 자료·공시)</t>
        </is>
      </c>
    </row>
    <row r="53">
      <c r="A53" s="14" t="inlineStr">
        <is>
          <t>YoY</t>
        </is>
      </c>
      <c r="B53" s="11" t="n">
        <v>8.699999999999999</v>
      </c>
    </row>
    <row r="54">
      <c r="A54" s="14" t="inlineStr">
        <is>
          <t>영업이익</t>
        </is>
      </c>
      <c r="B54" s="11" t="n">
        <v>633.9</v>
      </c>
    </row>
    <row r="55">
      <c r="A55" s="14" t="inlineStr">
        <is>
          <t>영업이익 YoY</t>
        </is>
      </c>
      <c r="B55" s="11" t="n">
        <v>21.6</v>
      </c>
    </row>
    <row r="57">
      <c r="A57" s="12" t="inlineStr">
        <is>
          <t>segment_FY26 · 동아시아</t>
        </is>
      </c>
      <c r="B57" s="12" t="n"/>
      <c r="C57" s="12" t="n"/>
    </row>
    <row r="58">
      <c r="A58" s="13" t="inlineStr">
        <is>
          <t>항목</t>
        </is>
      </c>
      <c r="B58" s="13" t="inlineStr">
        <is>
          <t>값</t>
        </is>
      </c>
      <c r="C58" s="13" t="inlineStr">
        <is>
          <t>출처</t>
        </is>
      </c>
    </row>
    <row r="59">
      <c r="A59" s="14" t="inlineStr">
        <is>
          <t>매출</t>
        </is>
      </c>
      <c r="B59" s="11" t="n">
        <v>2937.8</v>
      </c>
      <c r="C59" s="3" t="inlineStr">
        <is>
          <t>2단계 보고서 자료(회사 설명회 자료·공시)</t>
        </is>
      </c>
    </row>
    <row r="60">
      <c r="A60" s="14" t="inlineStr">
        <is>
          <t>YoY</t>
        </is>
      </c>
      <c r="B60" s="11" t="n">
        <v>32.2</v>
      </c>
    </row>
    <row r="61">
      <c r="A61" s="14" t="inlineStr">
        <is>
          <t>영업이익</t>
        </is>
      </c>
      <c r="B61" s="11" t="n">
        <v>616.9</v>
      </c>
    </row>
    <row r="62">
      <c r="A62" s="14" t="inlineStr">
        <is>
          <t>영업이익 YoY</t>
        </is>
      </c>
      <c r="B62" s="11" t="n">
        <v>44.2</v>
      </c>
    </row>
    <row r="64">
      <c r="A64" s="12" t="inlineStr">
        <is>
          <t>segment_FY26 · 동남아·오세아니아</t>
        </is>
      </c>
      <c r="B64" s="12" t="n"/>
      <c r="C64" s="12" t="n"/>
    </row>
    <row r="65">
      <c r="A65" s="13" t="inlineStr">
        <is>
          <t>항목</t>
        </is>
      </c>
      <c r="B65" s="13" t="inlineStr">
        <is>
          <t>값</t>
        </is>
      </c>
      <c r="C65" s="13" t="inlineStr">
        <is>
          <t>출처</t>
        </is>
      </c>
    </row>
    <row r="66">
      <c r="A66" s="14" t="inlineStr">
        <is>
          <t>매출</t>
        </is>
      </c>
      <c r="B66" s="11" t="n">
        <v>665.2</v>
      </c>
      <c r="C66" s="3" t="inlineStr">
        <is>
          <t>2단계 보고서 자료(회사 설명회 자료·공시)</t>
        </is>
      </c>
    </row>
    <row r="67">
      <c r="A67" s="14" t="inlineStr">
        <is>
          <t>YoY</t>
        </is>
      </c>
      <c r="B67" s="11" t="n">
        <v>32.8</v>
      </c>
    </row>
    <row r="68">
      <c r="A68" s="14" t="inlineStr">
        <is>
          <t>영업이익</t>
        </is>
      </c>
      <c r="B68" s="11" t="n">
        <v>91.59999999999999</v>
      </c>
    </row>
    <row r="69">
      <c r="A69" s="14" t="inlineStr">
        <is>
          <t>영업이익 YoY</t>
        </is>
      </c>
      <c r="B69" s="11" t="n">
        <v>64.09999999999999</v>
      </c>
    </row>
    <row r="71">
      <c r="A71" s="12" t="inlineStr">
        <is>
          <t>segment_FY26 · 유럽·미주</t>
        </is>
      </c>
      <c r="B71" s="12" t="n"/>
      <c r="C71" s="12" t="n"/>
    </row>
    <row r="72">
      <c r="A72" s="13" t="inlineStr">
        <is>
          <t>항목</t>
        </is>
      </c>
      <c r="B72" s="13" t="inlineStr">
        <is>
          <t>값</t>
        </is>
      </c>
      <c r="C72" s="13" t="inlineStr">
        <is>
          <t>출처</t>
        </is>
      </c>
    </row>
    <row r="73">
      <c r="A73" s="14" t="inlineStr">
        <is>
          <t>매출</t>
        </is>
      </c>
      <c r="B73" s="11" t="n">
        <v>523</v>
      </c>
      <c r="C73" s="3" t="inlineStr">
        <is>
          <t>2단계 보고서 자료(회사 설명회 자료·공시)</t>
        </is>
      </c>
    </row>
    <row r="74">
      <c r="A74" s="14" t="inlineStr">
        <is>
          <t>YoY</t>
        </is>
      </c>
      <c r="B74" s="11" t="n">
        <v>24.1</v>
      </c>
    </row>
    <row r="75">
      <c r="A75" s="14" t="inlineStr">
        <is>
          <t>영업이익</t>
        </is>
      </c>
      <c r="B75" s="11" t="n">
        <v>81</v>
      </c>
    </row>
    <row r="76">
      <c r="A76" s="14" t="inlineStr">
        <is>
          <t>영업이익 YoY</t>
        </is>
      </c>
      <c r="B76" s="11" t="n">
        <v>17</v>
      </c>
    </row>
    <row r="78">
      <c r="A78" s="12" t="inlineStr">
        <is>
          <t>컨센서스 yahoo</t>
        </is>
      </c>
      <c r="B78" s="12" t="n"/>
      <c r="C78" s="12" t="n"/>
    </row>
    <row r="79">
      <c r="A79" s="13" t="inlineStr">
        <is>
          <t>항목</t>
        </is>
      </c>
      <c r="B79" s="13" t="inlineStr">
        <is>
          <t>값</t>
        </is>
      </c>
      <c r="C79" s="13" t="inlineStr">
        <is>
          <t>출처</t>
        </is>
      </c>
    </row>
    <row r="80">
      <c r="A80" s="14" t="inlineStr">
        <is>
          <t>목표주가 중앙값</t>
        </is>
      </c>
      <c r="B80" s="15" t="n">
        <v>5250</v>
      </c>
      <c r="C80" s="3" t="inlineStr">
        <is>
          <t>2단계 보고서 자료(회사 설명회 자료·공시)</t>
        </is>
      </c>
    </row>
    <row r="81">
      <c r="A81" s="14" t="inlineStr">
        <is>
          <t>목표주가 평균</t>
        </is>
      </c>
      <c r="B81" s="15" t="n">
        <v>5063</v>
      </c>
    </row>
    <row r="82">
      <c r="A82" s="14" t="inlineStr">
        <is>
          <t>EPS surprise 4Q26 %</t>
        </is>
      </c>
      <c r="B82" s="11" t="n">
        <v>68.3</v>
      </c>
    </row>
    <row r="84">
      <c r="A84" s="12" t="inlineStr">
        <is>
          <t>consensus_yahoo · FY8/27</t>
        </is>
      </c>
      <c r="B84" s="12" t="n"/>
      <c r="C84" s="12" t="n"/>
    </row>
    <row r="85">
      <c r="A85" s="13" t="inlineStr">
        <is>
          <t>항목</t>
        </is>
      </c>
      <c r="B85" s="13" t="inlineStr">
        <is>
          <t>값</t>
        </is>
      </c>
      <c r="C85" s="13" t="inlineStr">
        <is>
          <t>출처</t>
        </is>
      </c>
    </row>
    <row r="86">
      <c r="A86" s="14" t="inlineStr">
        <is>
          <t>EPS</t>
        </is>
      </c>
      <c r="B86" s="11" t="n">
        <v>144.75</v>
      </c>
      <c r="C86" s="3" t="inlineStr">
        <is>
          <t>2단계 보고서 자료(회사 설명회 자료·공시)</t>
        </is>
      </c>
    </row>
    <row r="87">
      <c r="A87" s="14" t="inlineStr">
        <is>
          <t>매출</t>
        </is>
      </c>
      <c r="B87" s="15" t="n">
        <v>10162</v>
      </c>
    </row>
    <row r="89">
      <c r="A89" s="12" t="inlineStr">
        <is>
          <t>consensus_yahoo · FY8/28</t>
        </is>
      </c>
      <c r="B89" s="12" t="n"/>
      <c r="C89" s="12" t="n"/>
    </row>
    <row r="90">
      <c r="A90" s="13" t="inlineStr">
        <is>
          <t>항목</t>
        </is>
      </c>
      <c r="B90" s="13" t="inlineStr">
        <is>
          <t>값</t>
        </is>
      </c>
      <c r="C90" s="13" t="inlineStr">
        <is>
          <t>출처</t>
        </is>
      </c>
    </row>
    <row r="91">
      <c r="A91" s="14" t="inlineStr">
        <is>
          <t>EPS</t>
        </is>
      </c>
      <c r="B91" s="11" t="n">
        <v>167.04</v>
      </c>
      <c r="C91" s="3" t="inlineStr">
        <is>
          <t>2단계 보고서 자료(회사 설명회 자료·공시)</t>
        </is>
      </c>
    </row>
    <row r="92">
      <c r="A92" s="14" t="inlineStr">
        <is>
          <t>매출</t>
        </is>
      </c>
      <c r="B92" s="15" t="n">
        <v>11055</v>
      </c>
    </row>
    <row r="94">
      <c r="A94" s="12" t="inlineStr">
        <is>
          <t>컨센서스 yahoo · 1Q27</t>
        </is>
      </c>
      <c r="B94" s="12" t="n"/>
      <c r="C94" s="12" t="n"/>
    </row>
    <row r="95">
      <c r="A95" s="13" t="inlineStr">
        <is>
          <t>항목</t>
        </is>
      </c>
      <c r="B95" s="13" t="inlineStr">
        <is>
          <t>값</t>
        </is>
      </c>
      <c r="C95" s="13" t="inlineStr">
        <is>
          <t>출처</t>
        </is>
      </c>
    </row>
    <row r="96">
      <c r="A96" s="14" t="inlineStr">
        <is>
          <t>EPS</t>
        </is>
      </c>
      <c r="B96" s="11" t="n">
        <v>43.23</v>
      </c>
      <c r="C96" s="3" t="inlineStr">
        <is>
          <t>2단계 보고서 자료(회사 설명회 자료·공시)</t>
        </is>
      </c>
    </row>
    <row r="97">
      <c r="A97" s="14" t="inlineStr">
        <is>
          <t>매출</t>
        </is>
      </c>
      <c r="B97" s="11" t="n">
        <v>2574.7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6" t="inlineStr">
        <is>
          <t>공시일</t>
        </is>
      </c>
      <c r="B3" s="16" t="inlineStr">
        <is>
          <t>문서</t>
        </is>
      </c>
      <c r="C3" s="16" t="inlineStr">
        <is>
          <t>PDF</t>
        </is>
      </c>
    </row>
    <row r="4">
      <c r="A4" t="inlineStr">
        <is>
          <t>2026-10-14</t>
        </is>
      </c>
      <c r="B4" t="inlineStr">
        <is>
          <t>2026년 8월 결산기 연간 결산단신</t>
        </is>
      </c>
      <c r="C4" t="inlineStr">
        <is>
          <t>https://www2.jpx.co.jp/disc/74530/140120261013549891.pdf</t>
        </is>
      </c>
    </row>
    <row r="5">
      <c r="A5" t="inlineStr">
        <is>
          <t>2026-07-10</t>
        </is>
      </c>
      <c r="B5" t="inlineStr">
        <is>
          <t>2026년 8월 결산기 ３분기 결산단신</t>
        </is>
      </c>
      <c r="C5" t="inlineStr">
        <is>
          <t>https://www2.jpx.co.jp/disc/74530/140120260709590770.pdf</t>
        </is>
      </c>
    </row>
    <row r="6">
      <c r="A6" t="inlineStr">
        <is>
          <t>2026-04-10</t>
        </is>
      </c>
      <c r="B6" t="inlineStr">
        <is>
          <t>2026년 8월 결산기 ２분기 결산단신</t>
        </is>
      </c>
      <c r="C6" t="inlineStr">
        <is>
          <t>https://www2.jpx.co.jp/disc/74530/140120260410501440.pdf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https://www2.jpx.co.jp/disc/74530/140120260113532828.pdf</t>
        </is>
      </c>
    </row>
    <row r="8">
      <c r="A8" t="inlineStr">
        <is>
          <t>2025-10-10</t>
        </is>
      </c>
      <c r="B8" t="inlineStr">
        <is>
          <t>2025년 8월 결산기 연간 결산단신</t>
        </is>
      </c>
      <c r="C8" t="inlineStr">
        <is>
          <t>https://www2.jpx.co.jp/disc/74530/140120251009571106.pdf</t>
        </is>
      </c>
    </row>
    <row r="9">
      <c r="A9" t="inlineStr">
        <is>
          <t>2025-07-11</t>
        </is>
      </c>
      <c r="B9" t="inlineStr">
        <is>
          <t>2025년 8월 결산기 ３분기 결산단신</t>
        </is>
      </c>
      <c r="C9" t="inlineStr">
        <is>
          <t>https://www2.jpx.co.jp/disc/74530/140120250710511638.pdf</t>
        </is>
      </c>
    </row>
    <row r="10">
      <c r="A10" t="inlineStr">
        <is>
          <t>2025-04-11</t>
        </is>
      </c>
      <c r="B10" t="inlineStr">
        <is>
          <t>2025년 8월 결산기 ２분기 결산단신</t>
        </is>
      </c>
      <c r="C10" t="inlineStr">
        <is>
          <t>https://www2.jpx.co.jp/disc/74530/140120250402507799.pdf</t>
        </is>
      </c>
    </row>
    <row r="11">
      <c r="A11" t="inlineStr">
        <is>
          <t>2025-01-10</t>
        </is>
      </c>
      <c r="B11" t="inlineStr">
        <is>
          <t>2025년 8월 결산기 １분기 결산단신</t>
        </is>
      </c>
      <c r="C11" t="inlineStr">
        <is>
          <t>https://www2.jpx.co.jp/disc/74530/140120250109548333.pdf</t>
        </is>
      </c>
    </row>
    <row r="12">
      <c r="A12" t="inlineStr">
        <is>
          <t>2024-10-11</t>
        </is>
      </c>
      <c r="B12" t="inlineStr">
        <is>
          <t>2024년 8월 결산기 연간 결산단신</t>
        </is>
      </c>
      <c r="C12" t="inlineStr">
        <is>
          <t>https://www2.jpx.co.jp/disc/74530/140120241009595370.pdf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https://www2.jpx.co.jp/disc/74530/140120240710546730.pdf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https://www2.jpx.co.jp/disc/74530/140120240408567264.pdf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https://www2.jpx.co.jp/disc/74530/140120240111513306.pdf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https://www2.jpx.co.jp/disc/74530/140120231011564841.pdf</t>
        </is>
      </c>
    </row>
    <row r="17">
      <c r="A17" t="inlineStr">
        <is>
          <t>2023-07-07</t>
        </is>
      </c>
      <c r="B17" t="inlineStr">
        <is>
          <t>2023년 8월 결산기 ３분기 결산단신</t>
        </is>
      </c>
      <c r="C17" t="inlineStr">
        <is>
          <t>https://www2.jpx.co.jp/disc/74530/140120230705518329.pdf</t>
        </is>
      </c>
    </row>
    <row r="18">
      <c r="A18" t="inlineStr">
        <is>
          <t>2023-04-13</t>
        </is>
      </c>
      <c r="B18" t="inlineStr">
        <is>
          <t>2023년 8월 결산기 ２분기 결산단신</t>
        </is>
      </c>
      <c r="C18" t="inlineStr">
        <is>
          <t>https://www2.jpx.co.jp/disc/74530/140120230412545982.pdf</t>
        </is>
      </c>
    </row>
    <row r="19">
      <c r="A19" t="inlineStr">
        <is>
          <t>2023-01-06</t>
        </is>
      </c>
      <c r="B19" t="inlineStr">
        <is>
          <t>2023년 8월 결산기 １분기 결산단신</t>
        </is>
      </c>
      <c r="C19" t="inlineStr">
        <is>
          <t>https://www2.jpx.co.jp/disc/74530/140120230105585793.pdf</t>
        </is>
      </c>
    </row>
    <row r="20">
      <c r="A20" t="inlineStr">
        <is>
          <t>2022-10-13</t>
        </is>
      </c>
      <c r="B20" t="inlineStr">
        <is>
          <t>2022년 8월 결산기 연간 결산단신</t>
        </is>
      </c>
      <c r="C20" t="inlineStr">
        <is>
          <t>https://www2.jpx.co.jp/disc/74530/140120221012543497.pdf</t>
        </is>
      </c>
    </row>
    <row r="21">
      <c r="A21" t="inlineStr">
        <is>
          <t>2022-07-08</t>
        </is>
      </c>
      <c r="B21" t="inlineStr">
        <is>
          <t>2022년 8월 결산기 ３분기 결산단신</t>
        </is>
      </c>
      <c r="C21" t="inlineStr">
        <is>
          <t>https://www2.jpx.co.jp/disc/74530/140120220706596238.pdf</t>
        </is>
      </c>
    </row>
    <row r="22">
      <c r="A22" t="inlineStr">
        <is>
          <t>2022-04-14</t>
        </is>
      </c>
      <c r="B22" t="inlineStr">
        <is>
          <t>2022년 8월 결산기 ２분기 결산단신</t>
        </is>
      </c>
      <c r="C22" t="inlineStr">
        <is>
          <t>https://www2.jpx.co.jp/disc/74530/140120220411520158.pdf</t>
        </is>
      </c>
    </row>
    <row r="23">
      <c r="A23" t="inlineStr">
        <is>
          <t>2022-01-07</t>
        </is>
      </c>
      <c r="B23" t="inlineStr">
        <is>
          <t>2022년 8월 결산기 １분기 결산단신</t>
        </is>
      </c>
      <c r="C23" t="inlineStr">
        <is>
          <t>https://www2.jpx.co.jp/disc/74530/140120220105564287.pdf</t>
        </is>
      </c>
    </row>
    <row r="24">
      <c r="A24" t="inlineStr">
        <is>
          <t>2021-10-14</t>
        </is>
      </c>
      <c r="B24" t="inlineStr">
        <is>
          <t>2021년 8월 결산기 연간 결산단신</t>
        </is>
      </c>
      <c r="C24" t="inlineStr">
        <is>
          <t>https://www2.jpx.co.jp/disc/74530/140120211013410197.pdf</t>
        </is>
      </c>
    </row>
    <row r="25">
      <c r="A25" t="inlineStr">
        <is>
          <t>2021-07-02</t>
        </is>
      </c>
      <c r="B25" t="inlineStr">
        <is>
          <t>2021년 8월 결산기 ３분기 결산단신</t>
        </is>
      </c>
      <c r="C25" t="inlineStr">
        <is>
          <t>https://www2.jpx.co.jp/disc/74530/140120210625456996.pdf</t>
        </is>
      </c>
    </row>
    <row r="26">
      <c r="A26" t="inlineStr">
        <is>
          <t>2021-04-14</t>
        </is>
      </c>
      <c r="B26" t="inlineStr">
        <is>
          <t>2021년 8월 결산기 ２분기 결산단신</t>
        </is>
      </c>
      <c r="C26" t="inlineStr">
        <is>
          <t>https://www2.jpx.co.jp/disc/74530/140120210413493757.pdf</t>
        </is>
      </c>
    </row>
    <row r="27">
      <c r="A27" t="inlineStr">
        <is>
          <t>2021-01-08</t>
        </is>
      </c>
      <c r="B27" t="inlineStr">
        <is>
          <t>2021년 8월 결산기 １분기 결산단신</t>
        </is>
      </c>
      <c r="C27" t="inlineStr">
        <is>
          <t>https://www2.jpx.co.jp/disc/74530/140120210108442059.pdf</t>
        </is>
      </c>
    </row>
    <row r="28">
      <c r="A28" t="inlineStr">
        <is>
          <t>2020-10-08</t>
        </is>
      </c>
      <c r="B28" t="inlineStr">
        <is>
          <t>2020년 8월 결산기 연간 결산단신</t>
        </is>
      </c>
      <c r="C28" t="inlineStr">
        <is>
          <t>https://www2.jpx.co.jp/disc/74530/140120201007401012.pdf</t>
        </is>
      </c>
    </row>
    <row r="29">
      <c r="A29" t="inlineStr">
        <is>
          <t>2020-07-10</t>
        </is>
      </c>
      <c r="B29" t="inlineStr">
        <is>
          <t>2020년 8월 결산기 １분기 결산단신</t>
        </is>
      </c>
      <c r="C29" t="inlineStr">
        <is>
          <t>https://www2.jpx.co.jp/disc/74530/140120200709459909.pdf</t>
        </is>
      </c>
    </row>
    <row r="30">
      <c r="A30" t="inlineStr">
        <is>
          <t>2020-04-09</t>
        </is>
      </c>
      <c r="B30" t="inlineStr">
        <is>
          <t>2020년 2월 결산기 연간 결산단신</t>
        </is>
      </c>
      <c r="C30" t="inlineStr">
        <is>
          <t>https://www2.jpx.co.jp/disc/74530/140120200408491241.pdf</t>
        </is>
      </c>
    </row>
    <row r="31">
      <c r="A31" t="inlineStr">
        <is>
          <t>2020-01-10</t>
        </is>
      </c>
      <c r="B31" t="inlineStr">
        <is>
          <t>2020년 2월 결산기 ３분기 결산단신</t>
        </is>
      </c>
      <c r="C31" t="inlineStr">
        <is>
          <t>https://www2.jpx.co.jp/disc/74530/140120200107443882.pdf</t>
        </is>
      </c>
    </row>
    <row r="32">
      <c r="A32" t="inlineStr">
        <is>
          <t>2019-10-10</t>
        </is>
      </c>
      <c r="B32" t="inlineStr">
        <is>
          <t>2020년 2월 결산기 ２분기 결산단신</t>
        </is>
      </c>
      <c r="C32" t="inlineStr">
        <is>
          <t>https://www2.jpx.co.jp/disc/74530/140120191009406034.pdf</t>
        </is>
      </c>
    </row>
    <row r="33">
      <c r="A33" t="inlineStr">
        <is>
          <t>2019-07-10</t>
        </is>
      </c>
      <c r="B33" t="inlineStr">
        <is>
          <t>2020년 2월 결산기 １분기 결산단신</t>
        </is>
      </c>
      <c r="C33" t="inlineStr">
        <is>
          <t>https://www2.jpx.co.jp/disc/74530/140120190708468893.pdf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2026-10-25T06:59:27Z</dcterms:created>
  <dcterms:modified xmlns:dcterms="http://purl.org/dc/terms/" xmlns:xsi="http://www.w3.org/2001/XMLSchema-instance" xsi:type="dcterms:W3CDTF">2026-10-25T06:59:27Z</dcterms:modified>
</cp:coreProperties>
</file>