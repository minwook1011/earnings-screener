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1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1" fillId="0" borderId="3" applyAlignment="1" pivotButton="0" quotePrefix="0" xfId="0">
      <alignment horizontal="center" vertical="center"/>
    </xf>
    <xf numFmtId="164" fontId="11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4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3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5" fillId="0" borderId="0" pivotButton="0" quotePrefix="0" xfId="0"/>
    <xf numFmtId="0" fontId="16" fillId="0" borderId="0" pivotButton="0" quotePrefix="0" xfId="0"/>
    <xf numFmtId="0" fontId="17" fillId="6" borderId="0" applyAlignment="1" pivotButton="0" quotePrefix="0" xfId="0">
      <alignment horizontal="center" vertical="center"/>
    </xf>
    <xf numFmtId="0" fontId="18" fillId="7" borderId="0" applyAlignment="1" pivotButton="0" quotePrefix="0" xfId="0">
      <alignment horizontal="center" vertical="center"/>
    </xf>
    <xf numFmtId="0" fontId="19" fillId="0" borderId="0" pivotButton="0" quotePrefix="0" xfId="0"/>
    <xf numFmtId="3" fontId="19" fillId="0" borderId="0" applyAlignment="1" pivotButton="0" quotePrefix="0" xfId="0">
      <alignment horizontal="center" vertical="center"/>
    </xf>
    <xf numFmtId="0" fontId="20" fillId="0" borderId="0" pivotButton="0" quotePrefix="0" xfId="0"/>
    <xf numFmtId="169" fontId="19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18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297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다카라홀딩스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3월 결산 · 일본 기준 · 2027.1Q = 2027년 3월 결산기 1분기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2024.2Q</t>
        </is>
      </c>
      <c r="D3" s="5" t="inlineStr">
        <is>
          <t>2024.3Q</t>
        </is>
      </c>
      <c r="E3" s="5" t="inlineStr">
        <is>
          <t>2024.4Q</t>
        </is>
      </c>
      <c r="F3" s="5" t="inlineStr">
        <is>
          <t>2025.1Q</t>
        </is>
      </c>
      <c r="G3" s="5" t="inlineStr">
        <is>
          <t>2025.2Q</t>
        </is>
      </c>
      <c r="H3" s="5" t="inlineStr">
        <is>
          <t>2025.3Q</t>
        </is>
      </c>
      <c r="I3" s="5" t="inlineStr">
        <is>
          <t>2025.4Q</t>
        </is>
      </c>
      <c r="J3" s="5" t="inlineStr">
        <is>
          <t>2026.1Q</t>
        </is>
      </c>
      <c r="K3" s="5" t="inlineStr">
        <is>
          <t>2026.2Q</t>
        </is>
      </c>
      <c r="L3" s="5" t="inlineStr">
        <is>
          <t>2026.3Q</t>
        </is>
      </c>
      <c r="M3" s="5" t="inlineStr">
        <is>
          <t>2026.4Q</t>
        </is>
      </c>
      <c r="N3" s="5" t="inlineStr">
        <is>
          <t>2027.1Q</t>
        </is>
      </c>
      <c r="O3" s="6" t="inlineStr">
        <is>
          <t>2017</t>
        </is>
      </c>
      <c r="P3" s="5" t="inlineStr">
        <is>
          <t>2018</t>
        </is>
      </c>
      <c r="Q3" s="5" t="inlineStr">
        <is>
          <t>2019</t>
        </is>
      </c>
      <c r="R3" s="5" t="inlineStr">
        <is>
          <t>2020</t>
        </is>
      </c>
      <c r="S3" s="5" t="inlineStr">
        <is>
          <t>2021</t>
        </is>
      </c>
      <c r="T3" s="5" t="inlineStr">
        <is>
          <t>2022</t>
        </is>
      </c>
      <c r="U3" s="5" t="inlineStr">
        <is>
          <t>2023</t>
        </is>
      </c>
      <c r="V3" s="5" t="inlineStr">
        <is>
          <t>2024</t>
        </is>
      </c>
      <c r="W3" s="5" t="inlineStr">
        <is>
          <t>2025</t>
        </is>
      </c>
      <c r="X3" s="5" t="inlineStr">
        <is>
          <t>2026</t>
        </is>
      </c>
      <c r="Y3" s="7" t="inlineStr">
        <is>
          <t>2027(MW)</t>
        </is>
      </c>
      <c r="Z3" s="8" t="inlineStr">
        <is>
          <t>2028(MW)</t>
        </is>
      </c>
      <c r="AA3" s="8" t="inlineStr">
        <is>
          <t>2029(MW)</t>
        </is>
      </c>
      <c r="AB3" s="8" t="inlineStr">
        <is>
          <t>2030(MW)</t>
        </is>
      </c>
      <c r="AC3" s="8" t="inlineStr">
        <is>
          <t>2031(MW)</t>
        </is>
      </c>
    </row>
    <row r="4">
      <c r="A4" s="9" t="inlineStr">
        <is>
          <t>매출액</t>
        </is>
      </c>
      <c r="B4" s="10" t="inlineStr">
        <is>
          <t>MW = 제품 합계</t>
        </is>
      </c>
      <c r="C4" s="11" t="n">
        <v>81662</v>
      </c>
      <c r="D4" s="12" t="n">
        <v>90446</v>
      </c>
      <c r="E4" s="12" t="n">
        <v>85754</v>
      </c>
      <c r="F4" s="12" t="n">
        <v>84956</v>
      </c>
      <c r="G4" s="12" t="n">
        <v>91583</v>
      </c>
      <c r="H4" s="12" t="n">
        <v>90396</v>
      </c>
      <c r="I4" s="12" t="n">
        <v>95758</v>
      </c>
      <c r="J4" s="12" t="n">
        <v>93348</v>
      </c>
      <c r="K4" s="12" t="n">
        <v>93208</v>
      </c>
      <c r="L4" s="12" t="n">
        <v>104973</v>
      </c>
      <c r="M4" s="12" t="n">
        <v>102787</v>
      </c>
      <c r="N4" s="12" t="n">
        <v>103207</v>
      </c>
      <c r="O4" s="11" t="n">
        <v>234193</v>
      </c>
      <c r="P4" s="12" t="n">
        <v>268142</v>
      </c>
      <c r="Q4" s="12" t="n">
        <v>277443</v>
      </c>
      <c r="R4" s="12" t="n">
        <v>281191</v>
      </c>
      <c r="S4" s="12" t="n">
        <v>278443</v>
      </c>
      <c r="T4" s="12" t="n">
        <v>300918</v>
      </c>
      <c r="U4" s="12" t="n">
        <v>350665</v>
      </c>
      <c r="V4" s="12" t="n">
        <v>339372</v>
      </c>
      <c r="W4" s="12" t="n">
        <v>362693</v>
      </c>
      <c r="X4" s="12" t="n">
        <v>394316</v>
      </c>
      <c r="Y4" s="11">
        <f>IF(COUNT(Y7,Y10,Y13,Y16,Y19,Y22)=0,"",SUM(Y7,Y10,Y13,Y16,Y19,Y22))</f>
        <v/>
      </c>
      <c r="Z4" s="12">
        <f>IF(COUNT(Z7,Z10,Z13,Z16,Z19,Z22)=0,"",SUM(Z7,Z10,Z13,Z16,Z19,Z22))</f>
        <v/>
      </c>
      <c r="AA4" s="12">
        <f>IF(COUNT(AA7,AA10,AA13,AA16,AA19,AA22)=0,"",SUM(AA7,AA10,AA13,AA16,AA19,AA22))</f>
        <v/>
      </c>
      <c r="AB4" s="12">
        <f>IF(COUNT(AB7,AB10,AB13,AB16,AB19,AB22)=0,"",SUM(AB7,AB10,AB13,AB16,AB19,AB22))</f>
        <v/>
      </c>
      <c r="AC4" s="12">
        <f>IF(COUNT(AC7,AC10,AC13,AC16,AC19,AC22)=0,"",SUM(AC7,AC10,AC13,AC16,AC19,AC22))</f>
        <v/>
      </c>
    </row>
    <row r="5">
      <c r="A5" s="13" t="inlineStr">
        <is>
          <t>YoY</t>
        </is>
      </c>
      <c r="B5" s="10" t="n"/>
      <c r="C5" s="14" t="n"/>
      <c r="D5" s="15" t="n"/>
      <c r="E5" s="15" t="n"/>
      <c r="F5" s="15" t="n"/>
      <c r="G5" s="15">
        <f>IF(OR(G4="",C4=""),"",IFERROR(G4/C4-1,""))</f>
        <v/>
      </c>
      <c r="H5" s="15">
        <f>IF(OR(H4="",D4=""),"",IFERROR(H4/D4-1,""))</f>
        <v/>
      </c>
      <c r="I5" s="15">
        <f>IF(OR(I4="",E4=""),"",IFERROR(I4/E4-1,""))</f>
        <v/>
      </c>
      <c r="J5" s="15">
        <f>IF(OR(J4="",F4=""),"",IFERROR(J4/F4-1,""))</f>
        <v/>
      </c>
      <c r="K5" s="15">
        <f>IF(OR(K4="",G4=""),"",IFERROR(K4/G4-1,""))</f>
        <v/>
      </c>
      <c r="L5" s="15">
        <f>IF(OR(L4="",H4=""),"",IFERROR(L4/H4-1,""))</f>
        <v/>
      </c>
      <c r="M5" s="15">
        <f>IF(OR(M4="",I4=""),"",IFERROR(M4/I4-1,""))</f>
        <v/>
      </c>
      <c r="N5" s="15">
        <f>IF(OR(N4="",J4=""),"",IFERROR(N4/J4-1,""))</f>
        <v/>
      </c>
      <c r="O5" s="14" t="n"/>
      <c r="P5" s="15">
        <f>IF(OR(P4="",O4=""),"",IFERROR(P4/O4-1,""))</f>
        <v/>
      </c>
      <c r="Q5" s="15">
        <f>IF(OR(Q4="",P4=""),"",IFERROR(Q4/P4-1,""))</f>
        <v/>
      </c>
      <c r="R5" s="15">
        <f>IF(OR(R4="",Q4=""),"",IFERROR(R4/Q4-1,""))</f>
        <v/>
      </c>
      <c r="S5" s="15">
        <f>IF(OR(S4="",R4=""),"",IFERROR(S4/R4-1,""))</f>
        <v/>
      </c>
      <c r="T5" s="15">
        <f>IF(OR(T4="",S4=""),"",IFERROR(T4/S4-1,""))</f>
        <v/>
      </c>
      <c r="U5" s="15">
        <f>IF(OR(U4="",T4=""),"",IFERROR(U4/T4-1,""))</f>
        <v/>
      </c>
      <c r="V5" s="15">
        <f>IF(OR(V4="",U4=""),"",IFERROR(V4/U4-1,""))</f>
        <v/>
      </c>
      <c r="W5" s="15">
        <f>IF(OR(W4="",V4=""),"",IFERROR(W4/V4-1,""))</f>
        <v/>
      </c>
      <c r="X5" s="15">
        <f>IF(OR(X4="",W4=""),"",IFERROR(X4/W4-1,""))</f>
        <v/>
      </c>
      <c r="Y5" s="14">
        <f>IF(OR(Y4="",X4=""),"",IFERROR(Y4/X4-1,""))</f>
        <v/>
      </c>
      <c r="Z5" s="15">
        <f>IF(OR(Z4="",Y4=""),"",IFERROR(Z4/Y4-1,""))</f>
        <v/>
      </c>
      <c r="AA5" s="15">
        <f>IF(OR(AA4="",Z4=""),"",IFERROR(AA4/Z4-1,""))</f>
        <v/>
      </c>
      <c r="AB5" s="15">
        <f>IF(OR(AB4="",AA4=""),"",IFERROR(AB4/AA4-1,""))</f>
        <v/>
      </c>
      <c r="AC5" s="15">
        <f>IF(OR(AC4="",AB4=""),"",IFERROR(AC4/AB4-1,""))</f>
        <v/>
      </c>
    </row>
    <row r="6">
      <c r="A6" s="16" t="inlineStr">
        <is>
          <t>제품별 매출 분류</t>
        </is>
      </c>
      <c r="B6" s="16" t="inlineStr">
        <is>
          <t>사업보고서 매출실적</t>
        </is>
      </c>
      <c r="C6" s="17" t="n"/>
      <c r="D6" s="16" t="n"/>
      <c r="E6" s="16" t="n"/>
      <c r="F6" s="16" t="n"/>
      <c r="G6" s="16" t="n"/>
      <c r="H6" s="16" t="n"/>
      <c r="I6" s="16" t="n"/>
      <c r="J6" s="16" t="n"/>
      <c r="K6" s="16" t="n"/>
      <c r="L6" s="16" t="n"/>
      <c r="M6" s="16" t="n"/>
      <c r="N6" s="16" t="n"/>
      <c r="O6" s="17" t="n"/>
      <c r="P6" s="16" t="n"/>
      <c r="Q6" s="16" t="n"/>
      <c r="R6" s="16" t="n"/>
      <c r="S6" s="16" t="n"/>
      <c r="T6" s="16" t="n"/>
      <c r="U6" s="16" t="n"/>
      <c r="V6" s="16" t="n"/>
      <c r="W6" s="16" t="n"/>
      <c r="X6" s="16" t="n"/>
      <c r="Y6" s="17" t="n"/>
      <c r="Z6" s="16" t="n"/>
      <c r="AA6" s="16" t="n"/>
      <c r="AB6" s="16" t="n"/>
      <c r="AC6" s="16" t="n"/>
    </row>
    <row r="7">
      <c r="A7" s="18" t="inlineStr">
        <is>
          <t>다카라주조</t>
        </is>
      </c>
      <c r="B7" s="10" t="n"/>
      <c r="C7" s="19" t="n"/>
      <c r="D7" s="20" t="n"/>
      <c r="E7" s="20" t="n">
        <v>26001</v>
      </c>
      <c r="F7" s="20" t="n">
        <v>29906</v>
      </c>
      <c r="G7" s="20" t="n"/>
      <c r="H7" s="20" t="n"/>
      <c r="I7" s="20" t="n">
        <v>24352</v>
      </c>
      <c r="J7" s="20" t="n">
        <v>29149</v>
      </c>
      <c r="K7" s="20" t="n"/>
      <c r="L7" s="20" t="n"/>
      <c r="M7" s="20" t="n">
        <v>25622</v>
      </c>
      <c r="N7" s="20" t="n">
        <v>29892</v>
      </c>
      <c r="O7" s="19" t="n"/>
      <c r="P7" s="20" t="n"/>
      <c r="Q7" s="20" t="n"/>
      <c r="R7" s="20" t="n"/>
      <c r="S7" s="20" t="n"/>
      <c r="T7" s="20" t="n"/>
      <c r="U7" s="20" t="n"/>
      <c r="V7" s="20" t="n">
        <v>122964</v>
      </c>
      <c r="W7" s="20" t="n">
        <v>118774</v>
      </c>
      <c r="X7" s="20" t="n">
        <v>118032</v>
      </c>
      <c r="Y7" s="21" t="n"/>
      <c r="Z7" s="22" t="n"/>
      <c r="AA7" s="22" t="n"/>
      <c r="AB7" s="22" t="n"/>
      <c r="AC7" s="22" t="n"/>
    </row>
    <row r="8">
      <c r="A8" s="13" t="inlineStr">
        <is>
          <t>비중</t>
        </is>
      </c>
      <c r="B8" s="10" t="n"/>
      <c r="C8" s="14">
        <f>IF(OR(C7="",C4=""),"",IFERROR(C7/C4,""))</f>
        <v/>
      </c>
      <c r="D8" s="15">
        <f>IF(OR(D7="",D4=""),"",IFERROR(D7/D4,""))</f>
        <v/>
      </c>
      <c r="E8" s="15">
        <f>IF(OR(E7="",E4=""),"",IFERROR(E7/E4,""))</f>
        <v/>
      </c>
      <c r="F8" s="15">
        <f>IF(OR(F7="",F4=""),"",IFERROR(F7/F4,""))</f>
        <v/>
      </c>
      <c r="G8" s="15">
        <f>IF(OR(G7="",G4=""),"",IFERROR(G7/G4,""))</f>
        <v/>
      </c>
      <c r="H8" s="15">
        <f>IF(OR(H7="",H4=""),"",IFERROR(H7/H4,""))</f>
        <v/>
      </c>
      <c r="I8" s="15">
        <f>IF(OR(I7="",I4=""),"",IFERROR(I7/I4,""))</f>
        <v/>
      </c>
      <c r="J8" s="15">
        <f>IF(OR(J7="",J4=""),"",IFERROR(J7/J4,""))</f>
        <v/>
      </c>
      <c r="K8" s="15">
        <f>IF(OR(K7="",K4=""),"",IFERROR(K7/K4,""))</f>
        <v/>
      </c>
      <c r="L8" s="15">
        <f>IF(OR(L7="",L4=""),"",IFERROR(L7/L4,""))</f>
        <v/>
      </c>
      <c r="M8" s="15">
        <f>IF(OR(M7="",M4=""),"",IFERROR(M7/M4,""))</f>
        <v/>
      </c>
      <c r="N8" s="15">
        <f>IF(OR(N7="",N4=""),"",IFERROR(N7/N4,""))</f>
        <v/>
      </c>
      <c r="O8" s="14">
        <f>IF(OR(O7="",O4=""),"",IFERROR(O7/O4,""))</f>
        <v/>
      </c>
      <c r="P8" s="15">
        <f>IF(OR(P7="",P4=""),"",IFERROR(P7/P4,""))</f>
        <v/>
      </c>
      <c r="Q8" s="15">
        <f>IF(OR(Q7="",Q4=""),"",IFERROR(Q7/Q4,""))</f>
        <v/>
      </c>
      <c r="R8" s="15">
        <f>IF(OR(R7="",R4=""),"",IFERROR(R7/R4,""))</f>
        <v/>
      </c>
      <c r="S8" s="15">
        <f>IF(OR(S7="",S4=""),"",IFERROR(S7/S4,""))</f>
        <v/>
      </c>
      <c r="T8" s="15">
        <f>IF(OR(T7="",T4=""),"",IFERROR(T7/T4,""))</f>
        <v/>
      </c>
      <c r="U8" s="15">
        <f>IF(OR(U7="",U4=""),"",IFERROR(U7/U4,""))</f>
        <v/>
      </c>
      <c r="V8" s="15">
        <f>IF(OR(V7="",V4=""),"",IFERROR(V7/V4,""))</f>
        <v/>
      </c>
      <c r="W8" s="15">
        <f>IF(OR(W7="",W4=""),"",IFERROR(W7/W4,""))</f>
        <v/>
      </c>
      <c r="X8" s="15">
        <f>IF(OR(X7="",X4=""),"",IFERROR(X7/X4,""))</f>
        <v/>
      </c>
      <c r="Y8" s="14">
        <f>IF(OR(Y7="",Y4=""),"",IFERROR(Y7/Y4,""))</f>
        <v/>
      </c>
      <c r="Z8" s="15">
        <f>IF(OR(Z7="",Z4=""),"",IFERROR(Z7/Z4,""))</f>
        <v/>
      </c>
      <c r="AA8" s="15">
        <f>IF(OR(AA7="",AA4=""),"",IFERROR(AA7/AA4,""))</f>
        <v/>
      </c>
      <c r="AB8" s="15">
        <f>IF(OR(AB7="",AB4=""),"",IFERROR(AB7/AB4,""))</f>
        <v/>
      </c>
      <c r="AC8" s="15">
        <f>IF(OR(AC7="",AC4=""),"",IFERROR(AC7/AC4,""))</f>
        <v/>
      </c>
    </row>
    <row r="9">
      <c r="A9" s="13" t="inlineStr">
        <is>
          <t>YoY</t>
        </is>
      </c>
      <c r="B9" s="10" t="n"/>
      <c r="C9" s="14" t="n"/>
      <c r="D9" s="15" t="n"/>
      <c r="E9" s="15" t="n"/>
      <c r="F9" s="15" t="n"/>
      <c r="G9" s="15">
        <f>IF(OR(G7="",C7=""),"",IFERROR(G7/C7-1,""))</f>
        <v/>
      </c>
      <c r="H9" s="15">
        <f>IF(OR(H7="",D7=""),"",IFERROR(H7/D7-1,""))</f>
        <v/>
      </c>
      <c r="I9" s="15">
        <f>IF(OR(I7="",E7=""),"",IFERROR(I7/E7-1,""))</f>
        <v/>
      </c>
      <c r="J9" s="15">
        <f>IF(OR(J7="",F7=""),"",IFERROR(J7/F7-1,""))</f>
        <v/>
      </c>
      <c r="K9" s="15">
        <f>IF(OR(K7="",G7=""),"",IFERROR(K7/G7-1,""))</f>
        <v/>
      </c>
      <c r="L9" s="15">
        <f>IF(OR(L7="",H7=""),"",IFERROR(L7/H7-1,""))</f>
        <v/>
      </c>
      <c r="M9" s="15">
        <f>IF(OR(M7="",I7=""),"",IFERROR(M7/I7-1,""))</f>
        <v/>
      </c>
      <c r="N9" s="15">
        <f>IF(OR(N7="",J7=""),"",IFERROR(N7/J7-1,""))</f>
        <v/>
      </c>
      <c r="O9" s="14" t="n"/>
      <c r="P9" s="15">
        <f>IF(OR(P7="",O7=""),"",IFERROR(P7/O7-1,""))</f>
        <v/>
      </c>
      <c r="Q9" s="15">
        <f>IF(OR(Q7="",P7=""),"",IFERROR(Q7/P7-1,""))</f>
        <v/>
      </c>
      <c r="R9" s="15">
        <f>IF(OR(R7="",Q7=""),"",IFERROR(R7/Q7-1,""))</f>
        <v/>
      </c>
      <c r="S9" s="15">
        <f>IF(OR(S7="",R7=""),"",IFERROR(S7/R7-1,""))</f>
        <v/>
      </c>
      <c r="T9" s="15">
        <f>IF(OR(T7="",S7=""),"",IFERROR(T7/S7-1,""))</f>
        <v/>
      </c>
      <c r="U9" s="15">
        <f>IF(OR(U7="",T7=""),"",IFERROR(U7/T7-1,""))</f>
        <v/>
      </c>
      <c r="V9" s="15">
        <f>IF(OR(V7="",U7=""),"",IFERROR(V7/U7-1,""))</f>
        <v/>
      </c>
      <c r="W9" s="15">
        <f>IF(OR(W7="",V7=""),"",IFERROR(W7/V7-1,""))</f>
        <v/>
      </c>
      <c r="X9" s="15">
        <f>IF(OR(X7="",W7=""),"",IFERROR(X7/W7-1,""))</f>
        <v/>
      </c>
      <c r="Y9" s="14">
        <f>IF(OR(Y7="",X7=""),"",IFERROR(Y7/X7-1,""))</f>
        <v/>
      </c>
      <c r="Z9" s="15">
        <f>IF(OR(Z7="",Y7=""),"",IFERROR(Z7/Y7-1,""))</f>
        <v/>
      </c>
      <c r="AA9" s="15">
        <f>IF(OR(AA7="",Z7=""),"",IFERROR(AA7/Z7-1,""))</f>
        <v/>
      </c>
      <c r="AB9" s="15">
        <f>IF(OR(AB7="",AA7=""),"",IFERROR(AB7/AA7-1,""))</f>
        <v/>
      </c>
      <c r="AC9" s="15">
        <f>IF(OR(AC7="",AB7=""),"",IFERROR(AC7/AB7-1,""))</f>
        <v/>
      </c>
    </row>
    <row r="10">
      <c r="A10" s="18" t="inlineStr">
        <is>
          <t>다카라주조 인터내셔널 그룹</t>
        </is>
      </c>
      <c r="B10" s="10" t="n"/>
      <c r="C10" s="19" t="n"/>
      <c r="D10" s="20" t="n"/>
      <c r="E10" s="20" t="n">
        <v>43021</v>
      </c>
      <c r="F10" s="20" t="n">
        <v>43117</v>
      </c>
      <c r="G10" s="20" t="n"/>
      <c r="H10" s="20" t="n"/>
      <c r="I10" s="20" t="n">
        <v>52400</v>
      </c>
      <c r="J10" s="20" t="n">
        <v>51326</v>
      </c>
      <c r="K10" s="20" t="n"/>
      <c r="L10" s="20" t="n"/>
      <c r="M10" s="20" t="n">
        <v>61766</v>
      </c>
      <c r="N10" s="20" t="n">
        <v>60172</v>
      </c>
      <c r="O10" s="19" t="n"/>
      <c r="P10" s="20" t="n"/>
      <c r="Q10" s="20" t="n"/>
      <c r="R10" s="20" t="n"/>
      <c r="S10" s="20" t="n"/>
      <c r="T10" s="20" t="n"/>
      <c r="U10" s="20" t="n"/>
      <c r="V10" s="20" t="n">
        <v>160082</v>
      </c>
      <c r="W10" s="20" t="n">
        <v>185434</v>
      </c>
      <c r="X10" s="20" t="n">
        <v>221549</v>
      </c>
      <c r="Y10" s="21" t="n"/>
      <c r="Z10" s="22" t="n"/>
      <c r="AA10" s="22" t="n"/>
      <c r="AB10" s="22" t="n"/>
      <c r="AC10" s="22" t="n"/>
    </row>
    <row r="11">
      <c r="A11" s="13" t="inlineStr">
        <is>
          <t>비중</t>
        </is>
      </c>
      <c r="B11" s="10" t="n"/>
      <c r="C11" s="14">
        <f>IF(OR(C10="",C4=""),"",IFERROR(C10/C4,""))</f>
        <v/>
      </c>
      <c r="D11" s="15">
        <f>IF(OR(D10="",D4=""),"",IFERROR(D10/D4,""))</f>
        <v/>
      </c>
      <c r="E11" s="15">
        <f>IF(OR(E10="",E4=""),"",IFERROR(E10/E4,""))</f>
        <v/>
      </c>
      <c r="F11" s="15">
        <f>IF(OR(F10="",F4=""),"",IFERROR(F10/F4,""))</f>
        <v/>
      </c>
      <c r="G11" s="15">
        <f>IF(OR(G10="",G4=""),"",IFERROR(G10/G4,""))</f>
        <v/>
      </c>
      <c r="H11" s="15">
        <f>IF(OR(H10="",H4=""),"",IFERROR(H10/H4,""))</f>
        <v/>
      </c>
      <c r="I11" s="15">
        <f>IF(OR(I10="",I4=""),"",IFERROR(I10/I4,""))</f>
        <v/>
      </c>
      <c r="J11" s="15">
        <f>IF(OR(J10="",J4=""),"",IFERROR(J10/J4,""))</f>
        <v/>
      </c>
      <c r="K11" s="15">
        <f>IF(OR(K10="",K4=""),"",IFERROR(K10/K4,""))</f>
        <v/>
      </c>
      <c r="L11" s="15">
        <f>IF(OR(L10="",L4=""),"",IFERROR(L10/L4,""))</f>
        <v/>
      </c>
      <c r="M11" s="15">
        <f>IF(OR(M10="",M4=""),"",IFERROR(M10/M4,""))</f>
        <v/>
      </c>
      <c r="N11" s="15">
        <f>IF(OR(N10="",N4=""),"",IFERROR(N10/N4,""))</f>
        <v/>
      </c>
      <c r="O11" s="14">
        <f>IF(OR(O10="",O4=""),"",IFERROR(O10/O4,""))</f>
        <v/>
      </c>
      <c r="P11" s="15">
        <f>IF(OR(P10="",P4=""),"",IFERROR(P10/P4,""))</f>
        <v/>
      </c>
      <c r="Q11" s="15">
        <f>IF(OR(Q10="",Q4=""),"",IFERROR(Q10/Q4,""))</f>
        <v/>
      </c>
      <c r="R11" s="15">
        <f>IF(OR(R10="",R4=""),"",IFERROR(R10/R4,""))</f>
        <v/>
      </c>
      <c r="S11" s="15">
        <f>IF(OR(S10="",S4=""),"",IFERROR(S10/S4,""))</f>
        <v/>
      </c>
      <c r="T11" s="15">
        <f>IF(OR(T10="",T4=""),"",IFERROR(T10/T4,""))</f>
        <v/>
      </c>
      <c r="U11" s="15">
        <f>IF(OR(U10="",U4=""),"",IFERROR(U10/U4,""))</f>
        <v/>
      </c>
      <c r="V11" s="15">
        <f>IF(OR(V10="",V4=""),"",IFERROR(V10/V4,""))</f>
        <v/>
      </c>
      <c r="W11" s="15">
        <f>IF(OR(W10="",W4=""),"",IFERROR(W10/W4,""))</f>
        <v/>
      </c>
      <c r="X11" s="15">
        <f>IF(OR(X10="",X4=""),"",IFERROR(X10/X4,""))</f>
        <v/>
      </c>
      <c r="Y11" s="14">
        <f>IF(OR(Y10="",Y4=""),"",IFERROR(Y10/Y4,""))</f>
        <v/>
      </c>
      <c r="Z11" s="15">
        <f>IF(OR(Z10="",Z4=""),"",IFERROR(Z10/Z4,""))</f>
        <v/>
      </c>
      <c r="AA11" s="15">
        <f>IF(OR(AA10="",AA4=""),"",IFERROR(AA10/AA4,""))</f>
        <v/>
      </c>
      <c r="AB11" s="15">
        <f>IF(OR(AB10="",AB4=""),"",IFERROR(AB10/AB4,""))</f>
        <v/>
      </c>
      <c r="AC11" s="15">
        <f>IF(OR(AC10="",AC4=""),"",IFERROR(AC10/AC4,""))</f>
        <v/>
      </c>
    </row>
    <row r="12">
      <c r="A12" s="13" t="inlineStr">
        <is>
          <t>YoY</t>
        </is>
      </c>
      <c r="B12" s="10" t="n"/>
      <c r="C12" s="14" t="n"/>
      <c r="D12" s="15" t="n"/>
      <c r="E12" s="15" t="n"/>
      <c r="F12" s="15" t="n"/>
      <c r="G12" s="15">
        <f>IF(OR(G10="",C10=""),"",IFERROR(G10/C10-1,""))</f>
        <v/>
      </c>
      <c r="H12" s="15">
        <f>IF(OR(H10="",D10=""),"",IFERROR(H10/D10-1,""))</f>
        <v/>
      </c>
      <c r="I12" s="15">
        <f>IF(OR(I10="",E10=""),"",IFERROR(I10/E10-1,""))</f>
        <v/>
      </c>
      <c r="J12" s="15">
        <f>IF(OR(J10="",F10=""),"",IFERROR(J10/F10-1,""))</f>
        <v/>
      </c>
      <c r="K12" s="15">
        <f>IF(OR(K10="",G10=""),"",IFERROR(K10/G10-1,""))</f>
        <v/>
      </c>
      <c r="L12" s="15">
        <f>IF(OR(L10="",H10=""),"",IFERROR(L10/H10-1,""))</f>
        <v/>
      </c>
      <c r="M12" s="15">
        <f>IF(OR(M10="",I10=""),"",IFERROR(M10/I10-1,""))</f>
        <v/>
      </c>
      <c r="N12" s="15">
        <f>IF(OR(N10="",J10=""),"",IFERROR(N10/J10-1,""))</f>
        <v/>
      </c>
      <c r="O12" s="14" t="n"/>
      <c r="P12" s="15">
        <f>IF(OR(P10="",O10=""),"",IFERROR(P10/O10-1,""))</f>
        <v/>
      </c>
      <c r="Q12" s="15">
        <f>IF(OR(Q10="",P10=""),"",IFERROR(Q10/P10-1,""))</f>
        <v/>
      </c>
      <c r="R12" s="15">
        <f>IF(OR(R10="",Q10=""),"",IFERROR(R10/Q10-1,""))</f>
        <v/>
      </c>
      <c r="S12" s="15">
        <f>IF(OR(S10="",R10=""),"",IFERROR(S10/R10-1,""))</f>
        <v/>
      </c>
      <c r="T12" s="15">
        <f>IF(OR(T10="",S10=""),"",IFERROR(T10/S10-1,""))</f>
        <v/>
      </c>
      <c r="U12" s="15">
        <f>IF(OR(U10="",T10=""),"",IFERROR(U10/T10-1,""))</f>
        <v/>
      </c>
      <c r="V12" s="15">
        <f>IF(OR(V10="",U10=""),"",IFERROR(V10/U10-1,""))</f>
        <v/>
      </c>
      <c r="W12" s="15">
        <f>IF(OR(W10="",V10=""),"",IFERROR(W10/V10-1,""))</f>
        <v/>
      </c>
      <c r="X12" s="15">
        <f>IF(OR(X10="",W10=""),"",IFERROR(X10/W10-1,""))</f>
        <v/>
      </c>
      <c r="Y12" s="14">
        <f>IF(OR(Y10="",X10=""),"",IFERROR(Y10/X10-1,""))</f>
        <v/>
      </c>
      <c r="Z12" s="15">
        <f>IF(OR(Z10="",Y10=""),"",IFERROR(Z10/Y10-1,""))</f>
        <v/>
      </c>
      <c r="AA12" s="15">
        <f>IF(OR(AA10="",Z10=""),"",IFERROR(AA10/Z10-1,""))</f>
        <v/>
      </c>
      <c r="AB12" s="15">
        <f>IF(OR(AB10="",AA10=""),"",IFERROR(AB10/AA10-1,""))</f>
        <v/>
      </c>
      <c r="AC12" s="15">
        <f>IF(OR(AC10="",AB10=""),"",IFERROR(AC10/AB10-1,""))</f>
        <v/>
      </c>
    </row>
    <row r="13">
      <c r="A13" s="18" t="inlineStr">
        <is>
          <t>다카라바이오 그룹</t>
        </is>
      </c>
      <c r="B13" s="10" t="n"/>
      <c r="C13" s="19" t="n">
        <v>67705</v>
      </c>
      <c r="D13" s="20" t="n">
        <v>-47148</v>
      </c>
      <c r="E13" s="20" t="n">
        <v>13771</v>
      </c>
      <c r="F13" s="20" t="n">
        <v>8493</v>
      </c>
      <c r="G13" s="20" t="n">
        <v>80259</v>
      </c>
      <c r="H13" s="20" t="n">
        <v>-59471</v>
      </c>
      <c r="I13" s="20" t="n">
        <v>15757</v>
      </c>
      <c r="J13" s="20" t="n">
        <v>9266</v>
      </c>
      <c r="K13" s="20" t="n">
        <v>94445</v>
      </c>
      <c r="L13" s="20" t="n">
        <v>-75319</v>
      </c>
      <c r="M13" s="20" t="n">
        <v>11925</v>
      </c>
      <c r="N13" s="20" t="n">
        <v>9204</v>
      </c>
      <c r="O13" s="19" t="n"/>
      <c r="P13" s="20" t="n"/>
      <c r="Q13" s="20" t="n"/>
      <c r="R13" s="20" t="n"/>
      <c r="S13" s="20" t="n"/>
      <c r="T13" s="20" t="n"/>
      <c r="U13" s="20" t="n"/>
      <c r="V13" s="20" t="n">
        <v>43504</v>
      </c>
      <c r="W13" s="20" t="n">
        <v>45038</v>
      </c>
      <c r="X13" s="20" t="n">
        <v>40317</v>
      </c>
      <c r="Y13" s="21" t="n"/>
      <c r="Z13" s="22" t="n"/>
      <c r="AA13" s="22" t="n"/>
      <c r="AB13" s="22" t="n"/>
      <c r="AC13" s="22" t="n"/>
    </row>
    <row r="14">
      <c r="A14" s="13" t="inlineStr">
        <is>
          <t>비중</t>
        </is>
      </c>
      <c r="B14" s="10" t="n"/>
      <c r="C14" s="14">
        <f>IF(OR(C13="",C4=""),"",IFERROR(C13/C4,""))</f>
        <v/>
      </c>
      <c r="D14" s="15">
        <f>IF(OR(D13="",D4=""),"",IFERROR(D13/D4,""))</f>
        <v/>
      </c>
      <c r="E14" s="15">
        <f>IF(OR(E13="",E4=""),"",IFERROR(E13/E4,""))</f>
        <v/>
      </c>
      <c r="F14" s="15">
        <f>IF(OR(F13="",F4=""),"",IFERROR(F13/F4,""))</f>
        <v/>
      </c>
      <c r="G14" s="15">
        <f>IF(OR(G13="",G4=""),"",IFERROR(G13/G4,""))</f>
        <v/>
      </c>
      <c r="H14" s="15">
        <f>IF(OR(H13="",H4=""),"",IFERROR(H13/H4,""))</f>
        <v/>
      </c>
      <c r="I14" s="15">
        <f>IF(OR(I13="",I4=""),"",IFERROR(I13/I4,""))</f>
        <v/>
      </c>
      <c r="J14" s="15">
        <f>IF(OR(J13="",J4=""),"",IFERROR(J13/J4,""))</f>
        <v/>
      </c>
      <c r="K14" s="15">
        <f>IF(OR(K13="",K4=""),"",IFERROR(K13/K4,""))</f>
        <v/>
      </c>
      <c r="L14" s="15">
        <f>IF(OR(L13="",L4=""),"",IFERROR(L13/L4,""))</f>
        <v/>
      </c>
      <c r="M14" s="15">
        <f>IF(OR(M13="",M4=""),"",IFERROR(M13/M4,""))</f>
        <v/>
      </c>
      <c r="N14" s="15">
        <f>IF(OR(N13="",N4=""),"",IFERROR(N13/N4,""))</f>
        <v/>
      </c>
      <c r="O14" s="14">
        <f>IF(OR(O13="",O4=""),"",IFERROR(O13/O4,""))</f>
        <v/>
      </c>
      <c r="P14" s="15">
        <f>IF(OR(P13="",P4=""),"",IFERROR(P13/P4,""))</f>
        <v/>
      </c>
      <c r="Q14" s="15">
        <f>IF(OR(Q13="",Q4=""),"",IFERROR(Q13/Q4,""))</f>
        <v/>
      </c>
      <c r="R14" s="15">
        <f>IF(OR(R13="",R4=""),"",IFERROR(R13/R4,""))</f>
        <v/>
      </c>
      <c r="S14" s="15">
        <f>IF(OR(S13="",S4=""),"",IFERROR(S13/S4,""))</f>
        <v/>
      </c>
      <c r="T14" s="15">
        <f>IF(OR(T13="",T4=""),"",IFERROR(T13/T4,""))</f>
        <v/>
      </c>
      <c r="U14" s="15">
        <f>IF(OR(U13="",U4=""),"",IFERROR(U13/U4,""))</f>
        <v/>
      </c>
      <c r="V14" s="15">
        <f>IF(OR(V13="",V4=""),"",IFERROR(V13/V4,""))</f>
        <v/>
      </c>
      <c r="W14" s="15">
        <f>IF(OR(W13="",W4=""),"",IFERROR(W13/W4,""))</f>
        <v/>
      </c>
      <c r="X14" s="15">
        <f>IF(OR(X13="",X4=""),"",IFERROR(X13/X4,""))</f>
        <v/>
      </c>
      <c r="Y14" s="14">
        <f>IF(OR(Y13="",Y4=""),"",IFERROR(Y13/Y4,""))</f>
        <v/>
      </c>
      <c r="Z14" s="15">
        <f>IF(OR(Z13="",Z4=""),"",IFERROR(Z13/Z4,""))</f>
        <v/>
      </c>
      <c r="AA14" s="15">
        <f>IF(OR(AA13="",AA4=""),"",IFERROR(AA13/AA4,""))</f>
        <v/>
      </c>
      <c r="AB14" s="15">
        <f>IF(OR(AB13="",AB4=""),"",IFERROR(AB13/AB4,""))</f>
        <v/>
      </c>
      <c r="AC14" s="15">
        <f>IF(OR(AC13="",AC4=""),"",IFERROR(AC13/AC4,""))</f>
        <v/>
      </c>
    </row>
    <row r="15">
      <c r="A15" s="13" t="inlineStr">
        <is>
          <t>YoY</t>
        </is>
      </c>
      <c r="B15" s="10" t="n"/>
      <c r="C15" s="14" t="n"/>
      <c r="D15" s="15" t="n"/>
      <c r="E15" s="15" t="n"/>
      <c r="F15" s="15" t="n"/>
      <c r="G15" s="15">
        <f>IF(OR(G13="",C13=""),"",IFERROR(G13/C13-1,""))</f>
        <v/>
      </c>
      <c r="H15" s="15">
        <f>IF(OR(H13="",D13=""),"",IFERROR(H13/D13-1,""))</f>
        <v/>
      </c>
      <c r="I15" s="15">
        <f>IF(OR(I13="",E13=""),"",IFERROR(I13/E13-1,""))</f>
        <v/>
      </c>
      <c r="J15" s="15">
        <f>IF(OR(J13="",F13=""),"",IFERROR(J13/F13-1,""))</f>
        <v/>
      </c>
      <c r="K15" s="15">
        <f>IF(OR(K13="",G13=""),"",IFERROR(K13/G13-1,""))</f>
        <v/>
      </c>
      <c r="L15" s="15">
        <f>IF(OR(L13="",H13=""),"",IFERROR(L13/H13-1,""))</f>
        <v/>
      </c>
      <c r="M15" s="15">
        <f>IF(OR(M13="",I13=""),"",IFERROR(M13/I13-1,""))</f>
        <v/>
      </c>
      <c r="N15" s="15">
        <f>IF(OR(N13="",J13=""),"",IFERROR(N13/J13-1,""))</f>
        <v/>
      </c>
      <c r="O15" s="14" t="n"/>
      <c r="P15" s="15">
        <f>IF(OR(P13="",O13=""),"",IFERROR(P13/O13-1,""))</f>
        <v/>
      </c>
      <c r="Q15" s="15">
        <f>IF(OR(Q13="",P13=""),"",IFERROR(Q13/P13-1,""))</f>
        <v/>
      </c>
      <c r="R15" s="15">
        <f>IF(OR(R13="",Q13=""),"",IFERROR(R13/Q13-1,""))</f>
        <v/>
      </c>
      <c r="S15" s="15">
        <f>IF(OR(S13="",R13=""),"",IFERROR(S13/R13-1,""))</f>
        <v/>
      </c>
      <c r="T15" s="15">
        <f>IF(OR(T13="",S13=""),"",IFERROR(T13/S13-1,""))</f>
        <v/>
      </c>
      <c r="U15" s="15">
        <f>IF(OR(U13="",T13=""),"",IFERROR(U13/T13-1,""))</f>
        <v/>
      </c>
      <c r="V15" s="15">
        <f>IF(OR(V13="",U13=""),"",IFERROR(V13/U13-1,""))</f>
        <v/>
      </c>
      <c r="W15" s="15">
        <f>IF(OR(W13="",V13=""),"",IFERROR(W13/V13-1,""))</f>
        <v/>
      </c>
      <c r="X15" s="15">
        <f>IF(OR(X13="",W13=""),"",IFERROR(X13/W13-1,""))</f>
        <v/>
      </c>
      <c r="Y15" s="14">
        <f>IF(OR(Y13="",X13=""),"",IFERROR(Y13/X13-1,""))</f>
        <v/>
      </c>
      <c r="Z15" s="15">
        <f>IF(OR(Z13="",Y13=""),"",IFERROR(Z13/Y13-1,""))</f>
        <v/>
      </c>
      <c r="AA15" s="15">
        <f>IF(OR(AA13="",Z13=""),"",IFERROR(AA13/Z13-1,""))</f>
        <v/>
      </c>
      <c r="AB15" s="15">
        <f>IF(OR(AB13="",AA13=""),"",IFERROR(AB13/AA13-1,""))</f>
        <v/>
      </c>
      <c r="AC15" s="15">
        <f>IF(OR(AC13="",AB13=""),"",IFERROR(AC13/AB13-1,""))</f>
        <v/>
      </c>
    </row>
    <row r="16">
      <c r="A16" s="18" t="inlineStr">
        <is>
          <t>다카라 헬스케어</t>
        </is>
      </c>
      <c r="B16" s="10" t="n"/>
      <c r="C16" s="19" t="n"/>
      <c r="D16" s="20" t="n"/>
      <c r="E16" s="20" t="n"/>
      <c r="F16" s="20" t="n"/>
      <c r="G16" s="20" t="n"/>
      <c r="H16" s="20" t="n"/>
      <c r="I16" s="20" t="n"/>
      <c r="J16" s="20" t="n"/>
      <c r="K16" s="20" t="n"/>
      <c r="L16" s="20" t="n"/>
      <c r="M16" s="20" t="n"/>
      <c r="N16" s="20" t="n"/>
      <c r="O16" s="19" t="n"/>
      <c r="P16" s="20" t="n"/>
      <c r="Q16" s="20" t="n"/>
      <c r="R16" s="20" t="n"/>
      <c r="S16" s="20" t="n"/>
      <c r="T16" s="20" t="n"/>
      <c r="U16" s="20" t="n"/>
      <c r="V16" s="20" t="n"/>
      <c r="W16" s="20" t="n"/>
      <c r="X16" s="20" t="n"/>
      <c r="Y16" s="21" t="n"/>
      <c r="Z16" s="22" t="n"/>
      <c r="AA16" s="22" t="n"/>
      <c r="AB16" s="22" t="n"/>
      <c r="AC16" s="22" t="n"/>
    </row>
    <row r="17">
      <c r="A17" s="13" t="inlineStr">
        <is>
          <t>비중</t>
        </is>
      </c>
      <c r="B17" s="10" t="n"/>
      <c r="C17" s="14">
        <f>IF(OR(C16="",C4=""),"",IFERROR(C16/C4,""))</f>
        <v/>
      </c>
      <c r="D17" s="15">
        <f>IF(OR(D16="",D4=""),"",IFERROR(D16/D4,""))</f>
        <v/>
      </c>
      <c r="E17" s="15">
        <f>IF(OR(E16="",E4=""),"",IFERROR(E16/E4,""))</f>
        <v/>
      </c>
      <c r="F17" s="15">
        <f>IF(OR(F16="",F4=""),"",IFERROR(F16/F4,""))</f>
        <v/>
      </c>
      <c r="G17" s="15">
        <f>IF(OR(G16="",G4=""),"",IFERROR(G16/G4,""))</f>
        <v/>
      </c>
      <c r="H17" s="15">
        <f>IF(OR(H16="",H4=""),"",IFERROR(H16/H4,""))</f>
        <v/>
      </c>
      <c r="I17" s="15">
        <f>IF(OR(I16="",I4=""),"",IFERROR(I16/I4,""))</f>
        <v/>
      </c>
      <c r="J17" s="15">
        <f>IF(OR(J16="",J4=""),"",IFERROR(J16/J4,""))</f>
        <v/>
      </c>
      <c r="K17" s="15">
        <f>IF(OR(K16="",K4=""),"",IFERROR(K16/K4,""))</f>
        <v/>
      </c>
      <c r="L17" s="15">
        <f>IF(OR(L16="",L4=""),"",IFERROR(L16/L4,""))</f>
        <v/>
      </c>
      <c r="M17" s="15">
        <f>IF(OR(M16="",M4=""),"",IFERROR(M16/M4,""))</f>
        <v/>
      </c>
      <c r="N17" s="15">
        <f>IF(OR(N16="",N4=""),"",IFERROR(N16/N4,""))</f>
        <v/>
      </c>
      <c r="O17" s="14">
        <f>IF(OR(O16="",O4=""),"",IFERROR(O16/O4,""))</f>
        <v/>
      </c>
      <c r="P17" s="15">
        <f>IF(OR(P16="",P4=""),"",IFERROR(P16/P4,""))</f>
        <v/>
      </c>
      <c r="Q17" s="15">
        <f>IF(OR(Q16="",Q4=""),"",IFERROR(Q16/Q4,""))</f>
        <v/>
      </c>
      <c r="R17" s="15">
        <f>IF(OR(R16="",R4=""),"",IFERROR(R16/R4,""))</f>
        <v/>
      </c>
      <c r="S17" s="15">
        <f>IF(OR(S16="",S4=""),"",IFERROR(S16/S4,""))</f>
        <v/>
      </c>
      <c r="T17" s="15">
        <f>IF(OR(T16="",T4=""),"",IFERROR(T16/T4,""))</f>
        <v/>
      </c>
      <c r="U17" s="15">
        <f>IF(OR(U16="",U4=""),"",IFERROR(U16/U4,""))</f>
        <v/>
      </c>
      <c r="V17" s="15">
        <f>IF(OR(V16="",V4=""),"",IFERROR(V16/V4,""))</f>
        <v/>
      </c>
      <c r="W17" s="15">
        <f>IF(OR(W16="",W4=""),"",IFERROR(W16/W4,""))</f>
        <v/>
      </c>
      <c r="X17" s="15">
        <f>IF(OR(X16="",X4=""),"",IFERROR(X16/X4,""))</f>
        <v/>
      </c>
      <c r="Y17" s="14">
        <f>IF(OR(Y16="",Y4=""),"",IFERROR(Y16/Y4,""))</f>
        <v/>
      </c>
      <c r="Z17" s="15">
        <f>IF(OR(Z16="",Z4=""),"",IFERROR(Z16/Z4,""))</f>
        <v/>
      </c>
      <c r="AA17" s="15">
        <f>IF(OR(AA16="",AA4=""),"",IFERROR(AA16/AA4,""))</f>
        <v/>
      </c>
      <c r="AB17" s="15">
        <f>IF(OR(AB16="",AB4=""),"",IFERROR(AB16/AB4,""))</f>
        <v/>
      </c>
      <c r="AC17" s="15">
        <f>IF(OR(AC16="",AC4=""),"",IFERROR(AC16/AC4,""))</f>
        <v/>
      </c>
    </row>
    <row r="18">
      <c r="A18" s="13" t="inlineStr">
        <is>
          <t>YoY</t>
        </is>
      </c>
      <c r="B18" s="10" t="n"/>
      <c r="C18" s="14" t="n"/>
      <c r="D18" s="15" t="n"/>
      <c r="E18" s="15" t="n"/>
      <c r="F18" s="15" t="n"/>
      <c r="G18" s="15">
        <f>IF(OR(G16="",C16=""),"",IFERROR(G16/C16-1,""))</f>
        <v/>
      </c>
      <c r="H18" s="15">
        <f>IF(OR(H16="",D16=""),"",IFERROR(H16/D16-1,""))</f>
        <v/>
      </c>
      <c r="I18" s="15">
        <f>IF(OR(I16="",E16=""),"",IFERROR(I16/E16-1,""))</f>
        <v/>
      </c>
      <c r="J18" s="15">
        <f>IF(OR(J16="",F16=""),"",IFERROR(J16/F16-1,""))</f>
        <v/>
      </c>
      <c r="K18" s="15">
        <f>IF(OR(K16="",G16=""),"",IFERROR(K16/G16-1,""))</f>
        <v/>
      </c>
      <c r="L18" s="15">
        <f>IF(OR(L16="",H16=""),"",IFERROR(L16/H16-1,""))</f>
        <v/>
      </c>
      <c r="M18" s="15">
        <f>IF(OR(M16="",I16=""),"",IFERROR(M16/I16-1,""))</f>
        <v/>
      </c>
      <c r="N18" s="15">
        <f>IF(OR(N16="",J16=""),"",IFERROR(N16/J16-1,""))</f>
        <v/>
      </c>
      <c r="O18" s="14" t="n"/>
      <c r="P18" s="15">
        <f>IF(OR(P16="",O16=""),"",IFERROR(P16/O16-1,""))</f>
        <v/>
      </c>
      <c r="Q18" s="15">
        <f>IF(OR(Q16="",P16=""),"",IFERROR(Q16/P16-1,""))</f>
        <v/>
      </c>
      <c r="R18" s="15">
        <f>IF(OR(R16="",Q16=""),"",IFERROR(R16/Q16-1,""))</f>
        <v/>
      </c>
      <c r="S18" s="15">
        <f>IF(OR(S16="",R16=""),"",IFERROR(S16/R16-1,""))</f>
        <v/>
      </c>
      <c r="T18" s="15">
        <f>IF(OR(T16="",S16=""),"",IFERROR(T16/S16-1,""))</f>
        <v/>
      </c>
      <c r="U18" s="15">
        <f>IF(OR(U16="",T16=""),"",IFERROR(U16/T16-1,""))</f>
        <v/>
      </c>
      <c r="V18" s="15">
        <f>IF(OR(V16="",U16=""),"",IFERROR(V16/U16-1,""))</f>
        <v/>
      </c>
      <c r="W18" s="15">
        <f>IF(OR(W16="",V16=""),"",IFERROR(W16/V16-1,""))</f>
        <v/>
      </c>
      <c r="X18" s="15">
        <f>IF(OR(X16="",W16=""),"",IFERROR(X16/W16-1,""))</f>
        <v/>
      </c>
      <c r="Y18" s="14">
        <f>IF(OR(Y16="",X16=""),"",IFERROR(Y16/X16-1,""))</f>
        <v/>
      </c>
      <c r="Z18" s="15">
        <f>IF(OR(Z16="",Y16=""),"",IFERROR(Z16/Y16-1,""))</f>
        <v/>
      </c>
      <c r="AA18" s="15">
        <f>IF(OR(AA16="",Z16=""),"",IFERROR(AA16/Z16-1,""))</f>
        <v/>
      </c>
      <c r="AB18" s="15">
        <f>IF(OR(AB16="",AA16=""),"",IFERROR(AB16/AA16-1,""))</f>
        <v/>
      </c>
      <c r="AC18" s="15">
        <f>IF(OR(AC16="",AB16=""),"",IFERROR(AC16/AB16-1,""))</f>
        <v/>
      </c>
    </row>
    <row r="19">
      <c r="A19" s="18" t="inlineStr">
        <is>
          <t>기타</t>
        </is>
      </c>
      <c r="B19" s="10" t="n"/>
      <c r="C19" s="19" t="n">
        <v>3009</v>
      </c>
      <c r="D19" s="20" t="n">
        <v>3390</v>
      </c>
      <c r="E19" s="20" t="n">
        <v>2961</v>
      </c>
      <c r="F19" s="20" t="n">
        <v>3438</v>
      </c>
      <c r="G19" s="20" t="n">
        <v>3116</v>
      </c>
      <c r="H19" s="20" t="n">
        <v>3643</v>
      </c>
      <c r="I19" s="20" t="n">
        <v>3249</v>
      </c>
      <c r="J19" s="20" t="n">
        <v>3606</v>
      </c>
      <c r="K19" s="20" t="n">
        <v>3362</v>
      </c>
      <c r="L19" s="20" t="n">
        <v>3974</v>
      </c>
      <c r="M19" s="20" t="n">
        <v>3474</v>
      </c>
      <c r="N19" s="20" t="n">
        <v>3939</v>
      </c>
      <c r="O19" s="19" t="n"/>
      <c r="P19" s="20" t="n"/>
      <c r="Q19" s="20" t="n"/>
      <c r="R19" s="20" t="n"/>
      <c r="S19" s="20" t="n"/>
      <c r="T19" s="20" t="n"/>
      <c r="U19" s="20" t="n"/>
      <c r="V19" s="20" t="n">
        <v>12821</v>
      </c>
      <c r="W19" s="20" t="n">
        <v>13446</v>
      </c>
      <c r="X19" s="20" t="n">
        <v>14416</v>
      </c>
      <c r="Y19" s="21" t="n"/>
      <c r="Z19" s="22" t="n"/>
      <c r="AA19" s="22" t="n"/>
      <c r="AB19" s="22" t="n"/>
      <c r="AC19" s="22" t="n"/>
    </row>
    <row r="20">
      <c r="A20" s="13" t="inlineStr">
        <is>
          <t>비중</t>
        </is>
      </c>
      <c r="B20" s="10" t="n"/>
      <c r="C20" s="14">
        <f>IF(OR(C19="",C4=""),"",IFERROR(C19/C4,""))</f>
        <v/>
      </c>
      <c r="D20" s="15">
        <f>IF(OR(D19="",D4=""),"",IFERROR(D19/D4,""))</f>
        <v/>
      </c>
      <c r="E20" s="15">
        <f>IF(OR(E19="",E4=""),"",IFERROR(E19/E4,""))</f>
        <v/>
      </c>
      <c r="F20" s="15">
        <f>IF(OR(F19="",F4=""),"",IFERROR(F19/F4,""))</f>
        <v/>
      </c>
      <c r="G20" s="15">
        <f>IF(OR(G19="",G4=""),"",IFERROR(G19/G4,""))</f>
        <v/>
      </c>
      <c r="H20" s="15">
        <f>IF(OR(H19="",H4=""),"",IFERROR(H19/H4,""))</f>
        <v/>
      </c>
      <c r="I20" s="15">
        <f>IF(OR(I19="",I4=""),"",IFERROR(I19/I4,""))</f>
        <v/>
      </c>
      <c r="J20" s="15">
        <f>IF(OR(J19="",J4=""),"",IFERROR(J19/J4,""))</f>
        <v/>
      </c>
      <c r="K20" s="15">
        <f>IF(OR(K19="",K4=""),"",IFERROR(K19/K4,""))</f>
        <v/>
      </c>
      <c r="L20" s="15">
        <f>IF(OR(L19="",L4=""),"",IFERROR(L19/L4,""))</f>
        <v/>
      </c>
      <c r="M20" s="15">
        <f>IF(OR(M19="",M4=""),"",IFERROR(M19/M4,""))</f>
        <v/>
      </c>
      <c r="N20" s="15">
        <f>IF(OR(N19="",N4=""),"",IFERROR(N19/N4,""))</f>
        <v/>
      </c>
      <c r="O20" s="14">
        <f>IF(OR(O19="",O4=""),"",IFERROR(O19/O4,""))</f>
        <v/>
      </c>
      <c r="P20" s="15">
        <f>IF(OR(P19="",P4=""),"",IFERROR(P19/P4,""))</f>
        <v/>
      </c>
      <c r="Q20" s="15">
        <f>IF(OR(Q19="",Q4=""),"",IFERROR(Q19/Q4,""))</f>
        <v/>
      </c>
      <c r="R20" s="15">
        <f>IF(OR(R19="",R4=""),"",IFERROR(R19/R4,""))</f>
        <v/>
      </c>
      <c r="S20" s="15">
        <f>IF(OR(S19="",S4=""),"",IFERROR(S19/S4,""))</f>
        <v/>
      </c>
      <c r="T20" s="15">
        <f>IF(OR(T19="",T4=""),"",IFERROR(T19/T4,""))</f>
        <v/>
      </c>
      <c r="U20" s="15">
        <f>IF(OR(U19="",U4=""),"",IFERROR(U19/U4,""))</f>
        <v/>
      </c>
      <c r="V20" s="15">
        <f>IF(OR(V19="",V4=""),"",IFERROR(V19/V4,""))</f>
        <v/>
      </c>
      <c r="W20" s="15">
        <f>IF(OR(W19="",W4=""),"",IFERROR(W19/W4,""))</f>
        <v/>
      </c>
      <c r="X20" s="15">
        <f>IF(OR(X19="",X4=""),"",IFERROR(X19/X4,""))</f>
        <v/>
      </c>
      <c r="Y20" s="14">
        <f>IF(OR(Y19="",Y4=""),"",IFERROR(Y19/Y4,""))</f>
        <v/>
      </c>
      <c r="Z20" s="15">
        <f>IF(OR(Z19="",Z4=""),"",IFERROR(Z19/Z4,""))</f>
        <v/>
      </c>
      <c r="AA20" s="15">
        <f>IF(OR(AA19="",AA4=""),"",IFERROR(AA19/AA4,""))</f>
        <v/>
      </c>
      <c r="AB20" s="15">
        <f>IF(OR(AB19="",AB4=""),"",IFERROR(AB19/AB4,""))</f>
        <v/>
      </c>
      <c r="AC20" s="15">
        <f>IF(OR(AC19="",AC4=""),"",IFERROR(AC19/AC4,""))</f>
        <v/>
      </c>
    </row>
    <row r="21">
      <c r="A21" s="13" t="inlineStr">
        <is>
          <t>YoY</t>
        </is>
      </c>
      <c r="B21" s="10" t="n"/>
      <c r="C21" s="14" t="n"/>
      <c r="D21" s="15" t="n"/>
      <c r="E21" s="15" t="n"/>
      <c r="F21" s="15" t="n"/>
      <c r="G21" s="15">
        <f>IF(OR(G19="",C19=""),"",IFERROR(G19/C19-1,""))</f>
        <v/>
      </c>
      <c r="H21" s="15">
        <f>IF(OR(H19="",D19=""),"",IFERROR(H19/D19-1,""))</f>
        <v/>
      </c>
      <c r="I21" s="15">
        <f>IF(OR(I19="",E19=""),"",IFERROR(I19/E19-1,""))</f>
        <v/>
      </c>
      <c r="J21" s="15">
        <f>IF(OR(J19="",F19=""),"",IFERROR(J19/F19-1,""))</f>
        <v/>
      </c>
      <c r="K21" s="15">
        <f>IF(OR(K19="",G19=""),"",IFERROR(K19/G19-1,""))</f>
        <v/>
      </c>
      <c r="L21" s="15">
        <f>IF(OR(L19="",H19=""),"",IFERROR(L19/H19-1,""))</f>
        <v/>
      </c>
      <c r="M21" s="15">
        <f>IF(OR(M19="",I19=""),"",IFERROR(M19/I19-1,""))</f>
        <v/>
      </c>
      <c r="N21" s="15">
        <f>IF(OR(N19="",J19=""),"",IFERROR(N19/J19-1,""))</f>
        <v/>
      </c>
      <c r="O21" s="14" t="n"/>
      <c r="P21" s="15">
        <f>IF(OR(P19="",O19=""),"",IFERROR(P19/O19-1,""))</f>
        <v/>
      </c>
      <c r="Q21" s="15">
        <f>IF(OR(Q19="",P19=""),"",IFERROR(Q19/P19-1,""))</f>
        <v/>
      </c>
      <c r="R21" s="15">
        <f>IF(OR(R19="",Q19=""),"",IFERROR(R19/Q19-1,""))</f>
        <v/>
      </c>
      <c r="S21" s="15">
        <f>IF(OR(S19="",R19=""),"",IFERROR(S19/R19-1,""))</f>
        <v/>
      </c>
      <c r="T21" s="15">
        <f>IF(OR(T19="",S19=""),"",IFERROR(T19/S19-1,""))</f>
        <v/>
      </c>
      <c r="U21" s="15">
        <f>IF(OR(U19="",T19=""),"",IFERROR(U19/T19-1,""))</f>
        <v/>
      </c>
      <c r="V21" s="15">
        <f>IF(OR(V19="",U19=""),"",IFERROR(V19/U19-1,""))</f>
        <v/>
      </c>
      <c r="W21" s="15">
        <f>IF(OR(W19="",V19=""),"",IFERROR(W19/V19-1,""))</f>
        <v/>
      </c>
      <c r="X21" s="15">
        <f>IF(OR(X19="",W19=""),"",IFERROR(X19/W19-1,""))</f>
        <v/>
      </c>
      <c r="Y21" s="14">
        <f>IF(OR(Y19="",X19=""),"",IFERROR(Y19/X19-1,""))</f>
        <v/>
      </c>
      <c r="Z21" s="15">
        <f>IF(OR(Z19="",Y19=""),"",IFERROR(Z19/Y19-1,""))</f>
        <v/>
      </c>
      <c r="AA21" s="15">
        <f>IF(OR(AA19="",Z19=""),"",IFERROR(AA19/Z19-1,""))</f>
        <v/>
      </c>
      <c r="AB21" s="15">
        <f>IF(OR(AB19="",AA19=""),"",IFERROR(AB19/AA19-1,""))</f>
        <v/>
      </c>
      <c r="AC21" s="15">
        <f>IF(OR(AC19="",AB19=""),"",IFERROR(AC19/AB19-1,""))</f>
        <v/>
      </c>
    </row>
    <row r="22">
      <c r="A22" s="18" t="inlineStr">
        <is>
          <t>다카라주조 그룹</t>
        </is>
      </c>
      <c r="B22" s="10" t="n"/>
      <c r="C22" s="19" t="n"/>
      <c r="D22" s="20" t="n"/>
      <c r="E22" s="20" t="n"/>
      <c r="F22" s="20" t="n"/>
      <c r="G22" s="20" t="n"/>
      <c r="H22" s="20" t="n"/>
      <c r="I22" s="20" t="n"/>
      <c r="J22" s="20" t="n"/>
      <c r="K22" s="20" t="n"/>
      <c r="L22" s="20" t="n"/>
      <c r="M22" s="20" t="n"/>
      <c r="N22" s="20" t="n"/>
      <c r="O22" s="19" t="n"/>
      <c r="P22" s="20" t="n"/>
      <c r="Q22" s="20" t="n"/>
      <c r="R22" s="20" t="n"/>
      <c r="S22" s="20" t="n"/>
      <c r="T22" s="20" t="n"/>
      <c r="U22" s="20" t="n"/>
      <c r="V22" s="20" t="n"/>
      <c r="W22" s="20" t="n"/>
      <c r="X22" s="20" t="n"/>
      <c r="Y22" s="21" t="n"/>
      <c r="Z22" s="22" t="n"/>
      <c r="AA22" s="22" t="n"/>
      <c r="AB22" s="22" t="n"/>
      <c r="AC22" s="22" t="n"/>
    </row>
    <row r="23">
      <c r="A23" s="13" t="inlineStr">
        <is>
          <t>비중</t>
        </is>
      </c>
      <c r="B23" s="10" t="n"/>
      <c r="C23" s="14">
        <f>IF(OR(C22="",C4=""),"",IFERROR(C22/C4,""))</f>
        <v/>
      </c>
      <c r="D23" s="15">
        <f>IF(OR(D22="",D4=""),"",IFERROR(D22/D4,""))</f>
        <v/>
      </c>
      <c r="E23" s="15">
        <f>IF(OR(E22="",E4=""),"",IFERROR(E22/E4,""))</f>
        <v/>
      </c>
      <c r="F23" s="15">
        <f>IF(OR(F22="",F4=""),"",IFERROR(F22/F4,""))</f>
        <v/>
      </c>
      <c r="G23" s="15">
        <f>IF(OR(G22="",G4=""),"",IFERROR(G22/G4,""))</f>
        <v/>
      </c>
      <c r="H23" s="15">
        <f>IF(OR(H22="",H4=""),"",IFERROR(H22/H4,""))</f>
        <v/>
      </c>
      <c r="I23" s="15">
        <f>IF(OR(I22="",I4=""),"",IFERROR(I22/I4,""))</f>
        <v/>
      </c>
      <c r="J23" s="15">
        <f>IF(OR(J22="",J4=""),"",IFERROR(J22/J4,""))</f>
        <v/>
      </c>
      <c r="K23" s="15">
        <f>IF(OR(K22="",K4=""),"",IFERROR(K22/K4,""))</f>
        <v/>
      </c>
      <c r="L23" s="15">
        <f>IF(OR(L22="",L4=""),"",IFERROR(L22/L4,""))</f>
        <v/>
      </c>
      <c r="M23" s="15">
        <f>IF(OR(M22="",M4=""),"",IFERROR(M22/M4,""))</f>
        <v/>
      </c>
      <c r="N23" s="15">
        <f>IF(OR(N22="",N4=""),"",IFERROR(N22/N4,""))</f>
        <v/>
      </c>
      <c r="O23" s="14">
        <f>IF(OR(O22="",O4=""),"",IFERROR(O22/O4,""))</f>
        <v/>
      </c>
      <c r="P23" s="15">
        <f>IF(OR(P22="",P4=""),"",IFERROR(P22/P4,""))</f>
        <v/>
      </c>
      <c r="Q23" s="15">
        <f>IF(OR(Q22="",Q4=""),"",IFERROR(Q22/Q4,""))</f>
        <v/>
      </c>
      <c r="R23" s="15">
        <f>IF(OR(R22="",R4=""),"",IFERROR(R22/R4,""))</f>
        <v/>
      </c>
      <c r="S23" s="15">
        <f>IF(OR(S22="",S4=""),"",IFERROR(S22/S4,""))</f>
        <v/>
      </c>
      <c r="T23" s="15">
        <f>IF(OR(T22="",T4=""),"",IFERROR(T22/T4,""))</f>
        <v/>
      </c>
      <c r="U23" s="15">
        <f>IF(OR(U22="",U4=""),"",IFERROR(U22/U4,""))</f>
        <v/>
      </c>
      <c r="V23" s="15">
        <f>IF(OR(V22="",V4=""),"",IFERROR(V22/V4,""))</f>
        <v/>
      </c>
      <c r="W23" s="15">
        <f>IF(OR(W22="",W4=""),"",IFERROR(W22/W4,""))</f>
        <v/>
      </c>
      <c r="X23" s="15">
        <f>IF(OR(X22="",X4=""),"",IFERROR(X22/X4,""))</f>
        <v/>
      </c>
      <c r="Y23" s="14">
        <f>IF(OR(Y22="",Y4=""),"",IFERROR(Y22/Y4,""))</f>
        <v/>
      </c>
      <c r="Z23" s="15">
        <f>IF(OR(Z22="",Z4=""),"",IFERROR(Z22/Z4,""))</f>
        <v/>
      </c>
      <c r="AA23" s="15">
        <f>IF(OR(AA22="",AA4=""),"",IFERROR(AA22/AA4,""))</f>
        <v/>
      </c>
      <c r="AB23" s="15">
        <f>IF(OR(AB22="",AB4=""),"",IFERROR(AB22/AB4,""))</f>
        <v/>
      </c>
      <c r="AC23" s="15">
        <f>IF(OR(AC22="",AC4=""),"",IFERROR(AC22/AC4,""))</f>
        <v/>
      </c>
    </row>
    <row r="24">
      <c r="A24" s="13" t="inlineStr">
        <is>
          <t>YoY</t>
        </is>
      </c>
      <c r="B24" s="10" t="n"/>
      <c r="C24" s="14" t="n"/>
      <c r="D24" s="15" t="n"/>
      <c r="E24" s="15" t="n"/>
      <c r="F24" s="15" t="n"/>
      <c r="G24" s="15">
        <f>IF(OR(G22="",C22=""),"",IFERROR(G22/C22-1,""))</f>
        <v/>
      </c>
      <c r="H24" s="15">
        <f>IF(OR(H22="",D22=""),"",IFERROR(H22/D22-1,""))</f>
        <v/>
      </c>
      <c r="I24" s="15">
        <f>IF(OR(I22="",E22=""),"",IFERROR(I22/E22-1,""))</f>
        <v/>
      </c>
      <c r="J24" s="15">
        <f>IF(OR(J22="",F22=""),"",IFERROR(J22/F22-1,""))</f>
        <v/>
      </c>
      <c r="K24" s="15">
        <f>IF(OR(K22="",G22=""),"",IFERROR(K22/G22-1,""))</f>
        <v/>
      </c>
      <c r="L24" s="15">
        <f>IF(OR(L22="",H22=""),"",IFERROR(L22/H22-1,""))</f>
        <v/>
      </c>
      <c r="M24" s="15">
        <f>IF(OR(M22="",I22=""),"",IFERROR(M22/I22-1,""))</f>
        <v/>
      </c>
      <c r="N24" s="15">
        <f>IF(OR(N22="",J22=""),"",IFERROR(N22/J22-1,""))</f>
        <v/>
      </c>
      <c r="O24" s="14" t="n"/>
      <c r="P24" s="15">
        <f>IF(OR(P22="",O22=""),"",IFERROR(P22/O22-1,""))</f>
        <v/>
      </c>
      <c r="Q24" s="15">
        <f>IF(OR(Q22="",P22=""),"",IFERROR(Q22/P22-1,""))</f>
        <v/>
      </c>
      <c r="R24" s="15">
        <f>IF(OR(R22="",Q22=""),"",IFERROR(R22/Q22-1,""))</f>
        <v/>
      </c>
      <c r="S24" s="15">
        <f>IF(OR(S22="",R22=""),"",IFERROR(S22/R22-1,""))</f>
        <v/>
      </c>
      <c r="T24" s="15">
        <f>IF(OR(T22="",S22=""),"",IFERROR(T22/S22-1,""))</f>
        <v/>
      </c>
      <c r="U24" s="15">
        <f>IF(OR(U22="",T22=""),"",IFERROR(U22/T22-1,""))</f>
        <v/>
      </c>
      <c r="V24" s="15">
        <f>IF(OR(V22="",U22=""),"",IFERROR(V22/U22-1,""))</f>
        <v/>
      </c>
      <c r="W24" s="15">
        <f>IF(OR(W22="",V22=""),"",IFERROR(W22/V22-1,""))</f>
        <v/>
      </c>
      <c r="X24" s="15">
        <f>IF(OR(X22="",W22=""),"",IFERROR(X22/W22-1,""))</f>
        <v/>
      </c>
      <c r="Y24" s="14">
        <f>IF(OR(Y22="",X22=""),"",IFERROR(Y22/X22-1,""))</f>
        <v/>
      </c>
      <c r="Z24" s="15">
        <f>IF(OR(Z22="",Y22=""),"",IFERROR(Z22/Y22-1,""))</f>
        <v/>
      </c>
      <c r="AA24" s="15">
        <f>IF(OR(AA22="",Z22=""),"",IFERROR(AA22/Z22-1,""))</f>
        <v/>
      </c>
      <c r="AB24" s="15">
        <f>IF(OR(AB22="",AA22=""),"",IFERROR(AB22/AA22-1,""))</f>
        <v/>
      </c>
      <c r="AC24" s="15">
        <f>IF(OR(AC22="",AB22=""),"",IFERROR(AC22/AB22-1,""))</f>
        <v/>
      </c>
    </row>
    <row r="25">
      <c r="A25" s="16" t="inlineStr">
        <is>
          <t>매출원가</t>
        </is>
      </c>
      <c r="B25" s="16" t="n"/>
      <c r="C25" s="17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7" t="n"/>
      <c r="P25" s="16" t="n"/>
      <c r="Q25" s="16" t="n"/>
      <c r="R25" s="16" t="n"/>
      <c r="S25" s="16" t="n"/>
      <c r="T25" s="16" t="n"/>
      <c r="U25" s="16" t="n"/>
      <c r="V25" s="16" t="n"/>
      <c r="W25" s="16" t="n"/>
      <c r="X25" s="16" t="n"/>
      <c r="Y25" s="17" t="n"/>
      <c r="Z25" s="16" t="n"/>
      <c r="AA25" s="16" t="n"/>
      <c r="AB25" s="16" t="n"/>
      <c r="AC25" s="16" t="n"/>
    </row>
    <row r="26">
      <c r="A26" s="18" t="inlineStr">
        <is>
          <t>전체 매출원가</t>
        </is>
      </c>
      <c r="B26" s="10" t="n"/>
      <c r="C26" s="19" t="n">
        <v>54242</v>
      </c>
      <c r="D26" s="20" t="n">
        <v>61511</v>
      </c>
      <c r="E26" s="20" t="n">
        <v>56214</v>
      </c>
      <c r="F26" s="20" t="n">
        <v>57595</v>
      </c>
      <c r="G26" s="20" t="n">
        <v>60199</v>
      </c>
      <c r="H26" s="20" t="n">
        <v>61617</v>
      </c>
      <c r="I26" s="20" t="n">
        <v>63634</v>
      </c>
      <c r="J26" s="20" t="n">
        <v>62450</v>
      </c>
      <c r="K26" s="20" t="n">
        <v>62463</v>
      </c>
      <c r="L26" s="20" t="n">
        <v>72375</v>
      </c>
      <c r="M26" s="20" t="n">
        <v>69332</v>
      </c>
      <c r="N26" s="20" t="n">
        <v>69943</v>
      </c>
      <c r="O26" s="19" t="n">
        <v>140182</v>
      </c>
      <c r="P26" s="20" t="n">
        <v>163529</v>
      </c>
      <c r="Q26" s="20" t="n">
        <v>168694</v>
      </c>
      <c r="R26" s="20" t="n">
        <v>172574</v>
      </c>
      <c r="S26" s="20" t="n">
        <v>162849</v>
      </c>
      <c r="T26" s="20" t="n">
        <v>187376</v>
      </c>
      <c r="U26" s="20" t="n">
        <v>230723</v>
      </c>
      <c r="V26" s="20" t="n">
        <v>225438</v>
      </c>
      <c r="W26" s="20" t="n">
        <v>243045</v>
      </c>
      <c r="X26" s="20" t="n">
        <v>266620</v>
      </c>
      <c r="Y26" s="19" t="n"/>
      <c r="Z26" s="20" t="n"/>
      <c r="AA26" s="20" t="n"/>
      <c r="AB26" s="20" t="n"/>
      <c r="AC26" s="20" t="n"/>
    </row>
    <row r="27">
      <c r="A27" s="13" t="inlineStr">
        <is>
          <t>YoY</t>
        </is>
      </c>
      <c r="B27" s="10" t="n"/>
      <c r="C27" s="14" t="n"/>
      <c r="D27" s="15" t="n"/>
      <c r="E27" s="15" t="n"/>
      <c r="F27" s="15" t="n"/>
      <c r="G27" s="15">
        <f>IF(OR(G26="",C26=""),"",IF(C26&lt;=0,"",IFERROR(G26/C26-1,"")))</f>
        <v/>
      </c>
      <c r="H27" s="15">
        <f>IF(OR(H26="",D26=""),"",IF(D26&lt;=0,"",IFERROR(H26/D26-1,"")))</f>
        <v/>
      </c>
      <c r="I27" s="15">
        <f>IF(OR(I26="",E26=""),"",IF(E26&lt;=0,"",IFERROR(I26/E26-1,"")))</f>
        <v/>
      </c>
      <c r="J27" s="15">
        <f>IF(OR(J26="",F26=""),"",IF(F26&lt;=0,"",IFERROR(J26/F26-1,"")))</f>
        <v/>
      </c>
      <c r="K27" s="15">
        <f>IF(OR(K26="",G26=""),"",IF(G26&lt;=0,"",IFERROR(K26/G26-1,"")))</f>
        <v/>
      </c>
      <c r="L27" s="15">
        <f>IF(OR(L26="",H26=""),"",IF(H26&lt;=0,"",IFERROR(L26/H26-1,"")))</f>
        <v/>
      </c>
      <c r="M27" s="15">
        <f>IF(OR(M26="",I26=""),"",IF(I26&lt;=0,"",IFERROR(M26/I26-1,"")))</f>
        <v/>
      </c>
      <c r="N27" s="15">
        <f>IF(OR(N26="",J26=""),"",IF(J26&lt;=0,"",IFERROR(N26/J26-1,"")))</f>
        <v/>
      </c>
      <c r="O27" s="14" t="n"/>
      <c r="P27" s="15">
        <f>IF(OR(P26="",O26=""),"",IF(O26&lt;=0,"",IFERROR(P26/O26-1,"")))</f>
        <v/>
      </c>
      <c r="Q27" s="15">
        <f>IF(OR(Q26="",P26=""),"",IF(P26&lt;=0,"",IFERROR(Q26/P26-1,"")))</f>
        <v/>
      </c>
      <c r="R27" s="15">
        <f>IF(OR(R26="",Q26=""),"",IF(Q26&lt;=0,"",IFERROR(R26/Q26-1,"")))</f>
        <v/>
      </c>
      <c r="S27" s="15">
        <f>IF(OR(S26="",R26=""),"",IF(R26&lt;=0,"",IFERROR(S26/R26-1,"")))</f>
        <v/>
      </c>
      <c r="T27" s="15">
        <f>IF(OR(T26="",S26=""),"",IF(S26&lt;=0,"",IFERROR(T26/S26-1,"")))</f>
        <v/>
      </c>
      <c r="U27" s="15">
        <f>IF(OR(U26="",T26=""),"",IF(T26&lt;=0,"",IFERROR(U26/T26-1,"")))</f>
        <v/>
      </c>
      <c r="V27" s="15">
        <f>IF(OR(V26="",U26=""),"",IF(U26&lt;=0,"",IFERROR(V26/U26-1,"")))</f>
        <v/>
      </c>
      <c r="W27" s="15">
        <f>IF(OR(W26="",V26=""),"",IF(V26&lt;=0,"",IFERROR(W26/V26-1,"")))</f>
        <v/>
      </c>
      <c r="X27" s="15">
        <f>IF(OR(X26="",W26=""),"",IF(W26&lt;=0,"",IFERROR(X26/W26-1,"")))</f>
        <v/>
      </c>
      <c r="Y27" s="14">
        <f>IF(OR(Y26="",X26=""),"",IF(X26&lt;=0,"",IFERROR(Y26/X26-1,"")))</f>
        <v/>
      </c>
      <c r="Z27" s="15">
        <f>IF(OR(Z26="",Y26=""),"",IF(Y26&lt;=0,"",IFERROR(Z26/Y26-1,"")))</f>
        <v/>
      </c>
      <c r="AA27" s="15">
        <f>IF(OR(AA26="",Z26=""),"",IF(Z26&lt;=0,"",IFERROR(AA26/Z26-1,"")))</f>
        <v/>
      </c>
      <c r="AB27" s="15">
        <f>IF(OR(AB26="",AA26=""),"",IF(AA26&lt;=0,"",IFERROR(AB26/AA26-1,"")))</f>
        <v/>
      </c>
      <c r="AC27" s="15">
        <f>IF(OR(AC26="",AB26=""),"",IF(AB26&lt;=0,"",IFERROR(AC26/AB26-1,"")))</f>
        <v/>
      </c>
    </row>
    <row r="28">
      <c r="A28" s="18" t="inlineStr">
        <is>
          <t>매출총이익</t>
        </is>
      </c>
      <c r="B28" s="10" t="n"/>
      <c r="C28" s="19">
        <f>IF(OR(C4="",C26=""),"",IFERROR(C4-C26,""))</f>
        <v/>
      </c>
      <c r="D28" s="20">
        <f>IF(OR(D4="",D26=""),"",IFERROR(D4-D26,""))</f>
        <v/>
      </c>
      <c r="E28" s="20">
        <f>IF(OR(E4="",E26=""),"",IFERROR(E4-E26,""))</f>
        <v/>
      </c>
      <c r="F28" s="20">
        <f>IF(OR(F4="",F26=""),"",IFERROR(F4-F26,""))</f>
        <v/>
      </c>
      <c r="G28" s="20">
        <f>IF(OR(G4="",G26=""),"",IFERROR(G4-G26,""))</f>
        <v/>
      </c>
      <c r="H28" s="20">
        <f>IF(OR(H4="",H26=""),"",IFERROR(H4-H26,""))</f>
        <v/>
      </c>
      <c r="I28" s="20">
        <f>IF(OR(I4="",I26=""),"",IFERROR(I4-I26,""))</f>
        <v/>
      </c>
      <c r="J28" s="20">
        <f>IF(OR(J4="",J26=""),"",IFERROR(J4-J26,""))</f>
        <v/>
      </c>
      <c r="K28" s="20">
        <f>IF(OR(K4="",K26=""),"",IFERROR(K4-K26,""))</f>
        <v/>
      </c>
      <c r="L28" s="20">
        <f>IF(OR(L4="",L26=""),"",IFERROR(L4-L26,""))</f>
        <v/>
      </c>
      <c r="M28" s="20">
        <f>IF(OR(M4="",M26=""),"",IFERROR(M4-M26,""))</f>
        <v/>
      </c>
      <c r="N28" s="20">
        <f>IF(OR(N4="",N26=""),"",IFERROR(N4-N26,""))</f>
        <v/>
      </c>
      <c r="O28" s="19">
        <f>IF(OR(O4="",O26=""),"",IFERROR(O4-O26,""))</f>
        <v/>
      </c>
      <c r="P28" s="20">
        <f>IF(OR(P4="",P26=""),"",IFERROR(P4-P26,""))</f>
        <v/>
      </c>
      <c r="Q28" s="20">
        <f>IF(OR(Q4="",Q26=""),"",IFERROR(Q4-Q26,""))</f>
        <v/>
      </c>
      <c r="R28" s="20">
        <f>IF(OR(R4="",R26=""),"",IFERROR(R4-R26,""))</f>
        <v/>
      </c>
      <c r="S28" s="20">
        <f>IF(OR(S4="",S26=""),"",IFERROR(S4-S26,""))</f>
        <v/>
      </c>
      <c r="T28" s="20">
        <f>IF(OR(T4="",T26=""),"",IFERROR(T4-T26,""))</f>
        <v/>
      </c>
      <c r="U28" s="20">
        <f>IF(OR(U4="",U26=""),"",IFERROR(U4-U26,""))</f>
        <v/>
      </c>
      <c r="V28" s="20">
        <f>IF(OR(V4="",V26=""),"",IFERROR(V4-V26,""))</f>
        <v/>
      </c>
      <c r="W28" s="20">
        <f>IF(OR(W4="",W26=""),"",IFERROR(W4-W26,""))</f>
        <v/>
      </c>
      <c r="X28" s="20">
        <f>IF(OR(X4="",X26=""),"",IFERROR(X4-X26,""))</f>
        <v/>
      </c>
      <c r="Y28" s="19" t="n"/>
      <c r="Z28" s="20" t="n"/>
      <c r="AA28" s="20" t="n"/>
      <c r="AB28" s="20" t="n"/>
      <c r="AC28" s="20" t="n"/>
    </row>
    <row r="29">
      <c r="A29" s="13" t="inlineStr">
        <is>
          <t>GPM</t>
        </is>
      </c>
      <c r="B29" s="10" t="n"/>
      <c r="C29" s="14">
        <f>IF(OR(C28="",C4=""),"",IFERROR(C28/C4,""))</f>
        <v/>
      </c>
      <c r="D29" s="15">
        <f>IF(OR(D28="",D4=""),"",IFERROR(D28/D4,""))</f>
        <v/>
      </c>
      <c r="E29" s="15">
        <f>IF(OR(E28="",E4=""),"",IFERROR(E28/E4,""))</f>
        <v/>
      </c>
      <c r="F29" s="15">
        <f>IF(OR(F28="",F4=""),"",IFERROR(F28/F4,""))</f>
        <v/>
      </c>
      <c r="G29" s="15">
        <f>IF(OR(G28="",G4=""),"",IFERROR(G28/G4,""))</f>
        <v/>
      </c>
      <c r="H29" s="15">
        <f>IF(OR(H28="",H4=""),"",IFERROR(H28/H4,""))</f>
        <v/>
      </c>
      <c r="I29" s="15">
        <f>IF(OR(I28="",I4=""),"",IFERROR(I28/I4,""))</f>
        <v/>
      </c>
      <c r="J29" s="15">
        <f>IF(OR(J28="",J4=""),"",IFERROR(J28/J4,""))</f>
        <v/>
      </c>
      <c r="K29" s="15">
        <f>IF(OR(K28="",K4=""),"",IFERROR(K28/K4,""))</f>
        <v/>
      </c>
      <c r="L29" s="15">
        <f>IF(OR(L28="",L4=""),"",IFERROR(L28/L4,""))</f>
        <v/>
      </c>
      <c r="M29" s="15">
        <f>IF(OR(M28="",M4=""),"",IFERROR(M28/M4,""))</f>
        <v/>
      </c>
      <c r="N29" s="15">
        <f>IF(OR(N28="",N4=""),"",IFERROR(N28/N4,""))</f>
        <v/>
      </c>
      <c r="O29" s="14">
        <f>IF(OR(O28="",O4=""),"",IFERROR(O28/O4,""))</f>
        <v/>
      </c>
      <c r="P29" s="15">
        <f>IF(OR(P28="",P4=""),"",IFERROR(P28/P4,""))</f>
        <v/>
      </c>
      <c r="Q29" s="15">
        <f>IF(OR(Q28="",Q4=""),"",IFERROR(Q28/Q4,""))</f>
        <v/>
      </c>
      <c r="R29" s="15">
        <f>IF(OR(R28="",R4=""),"",IFERROR(R28/R4,""))</f>
        <v/>
      </c>
      <c r="S29" s="15">
        <f>IF(OR(S28="",S4=""),"",IFERROR(S28/S4,""))</f>
        <v/>
      </c>
      <c r="T29" s="15">
        <f>IF(OR(T28="",T4=""),"",IFERROR(T28/T4,""))</f>
        <v/>
      </c>
      <c r="U29" s="15">
        <f>IF(OR(U28="",U4=""),"",IFERROR(U28/U4,""))</f>
        <v/>
      </c>
      <c r="V29" s="15">
        <f>IF(OR(V28="",V4=""),"",IFERROR(V28/V4,""))</f>
        <v/>
      </c>
      <c r="W29" s="15">
        <f>IF(OR(W28="",W4=""),"",IFERROR(W28/W4,""))</f>
        <v/>
      </c>
      <c r="X29" s="15">
        <f>IF(OR(X28="",X4=""),"",IFERROR(X28/X4,""))</f>
        <v/>
      </c>
      <c r="Y29" s="14">
        <f>IF(OR(Y28="",Y4=""),"",IFERROR(Y28/Y4,""))</f>
        <v/>
      </c>
      <c r="Z29" s="15">
        <f>IF(OR(Z28="",Z4=""),"",IFERROR(Z28/Z4,""))</f>
        <v/>
      </c>
      <c r="AA29" s="15">
        <f>IF(OR(AA28="",AA4=""),"",IFERROR(AA28/AA4,""))</f>
        <v/>
      </c>
      <c r="AB29" s="15">
        <f>IF(OR(AB28="",AB4=""),"",IFERROR(AB28/AB4,""))</f>
        <v/>
      </c>
      <c r="AC29" s="15">
        <f>IF(OR(AC28="",AC4=""),"",IFERROR(AC28/AC4,""))</f>
        <v/>
      </c>
    </row>
    <row r="30">
      <c r="A30" s="13" t="inlineStr">
        <is>
          <t>YoY</t>
        </is>
      </c>
      <c r="B30" s="10" t="n"/>
      <c r="C30" s="14" t="n"/>
      <c r="D30" s="15" t="n"/>
      <c r="E30" s="15" t="n"/>
      <c r="F30" s="15" t="n"/>
      <c r="G30" s="15">
        <f>IF(OR(G28="",C28=""),"",IF(C28&lt;=0,"",IFERROR(G28/C28-1,"")))</f>
        <v/>
      </c>
      <c r="H30" s="15">
        <f>IF(OR(H28="",D28=""),"",IF(D28&lt;=0,"",IFERROR(H28/D28-1,"")))</f>
        <v/>
      </c>
      <c r="I30" s="15">
        <f>IF(OR(I28="",E28=""),"",IF(E28&lt;=0,"",IFERROR(I28/E28-1,"")))</f>
        <v/>
      </c>
      <c r="J30" s="15">
        <f>IF(OR(J28="",F28=""),"",IF(F28&lt;=0,"",IFERROR(J28/F28-1,"")))</f>
        <v/>
      </c>
      <c r="K30" s="15">
        <f>IF(OR(K28="",G28=""),"",IF(G28&lt;=0,"",IFERROR(K28/G28-1,"")))</f>
        <v/>
      </c>
      <c r="L30" s="15">
        <f>IF(OR(L28="",H28=""),"",IF(H28&lt;=0,"",IFERROR(L28/H28-1,"")))</f>
        <v/>
      </c>
      <c r="M30" s="15">
        <f>IF(OR(M28="",I28=""),"",IF(I28&lt;=0,"",IFERROR(M28/I28-1,"")))</f>
        <v/>
      </c>
      <c r="N30" s="15">
        <f>IF(OR(N28="",J28=""),"",IF(J28&lt;=0,"",IFERROR(N28/J28-1,"")))</f>
        <v/>
      </c>
      <c r="O30" s="14" t="n"/>
      <c r="P30" s="15">
        <f>IF(OR(P28="",O28=""),"",IF(O28&lt;=0,"",IFERROR(P28/O28-1,"")))</f>
        <v/>
      </c>
      <c r="Q30" s="15">
        <f>IF(OR(Q28="",P28=""),"",IF(P28&lt;=0,"",IFERROR(Q28/P28-1,"")))</f>
        <v/>
      </c>
      <c r="R30" s="15">
        <f>IF(OR(R28="",Q28=""),"",IF(Q28&lt;=0,"",IFERROR(R28/Q28-1,"")))</f>
        <v/>
      </c>
      <c r="S30" s="15">
        <f>IF(OR(S28="",R28=""),"",IF(R28&lt;=0,"",IFERROR(S28/R28-1,"")))</f>
        <v/>
      </c>
      <c r="T30" s="15">
        <f>IF(OR(T28="",S28=""),"",IF(S28&lt;=0,"",IFERROR(T28/S28-1,"")))</f>
        <v/>
      </c>
      <c r="U30" s="15">
        <f>IF(OR(U28="",T28=""),"",IF(T28&lt;=0,"",IFERROR(U28/T28-1,"")))</f>
        <v/>
      </c>
      <c r="V30" s="15">
        <f>IF(OR(V28="",U28=""),"",IF(U28&lt;=0,"",IFERROR(V28/U28-1,"")))</f>
        <v/>
      </c>
      <c r="W30" s="15">
        <f>IF(OR(W28="",V28=""),"",IF(V28&lt;=0,"",IFERROR(W28/V28-1,"")))</f>
        <v/>
      </c>
      <c r="X30" s="15">
        <f>IF(OR(X28="",W28=""),"",IF(W28&lt;=0,"",IFERROR(X28/W28-1,"")))</f>
        <v/>
      </c>
      <c r="Y30" s="14">
        <f>IF(OR(Y28="",X28=""),"",IF(X28&lt;=0,"",IFERROR(Y28/X28-1,"")))</f>
        <v/>
      </c>
      <c r="Z30" s="15">
        <f>IF(OR(Z28="",Y28=""),"",IF(Y28&lt;=0,"",IFERROR(Z28/Y28-1,"")))</f>
        <v/>
      </c>
      <c r="AA30" s="15">
        <f>IF(OR(AA28="",Z28=""),"",IF(Z28&lt;=0,"",IFERROR(AA28/Z28-1,"")))</f>
        <v/>
      </c>
      <c r="AB30" s="15">
        <f>IF(OR(AB28="",AA28=""),"",IF(AA28&lt;=0,"",IFERROR(AB28/AA28-1,"")))</f>
        <v/>
      </c>
      <c r="AC30" s="15">
        <f>IF(OR(AC28="",AB28=""),"",IF(AB28&lt;=0,"",IFERROR(AC28/AB28-1,"")))</f>
        <v/>
      </c>
    </row>
    <row r="31">
      <c r="A31" s="23" t="inlineStr">
        <is>
          <t>판매관리비</t>
        </is>
      </c>
      <c r="B31" s="23" t="n"/>
      <c r="C31" s="24" t="n"/>
      <c r="D31" s="23" t="n"/>
      <c r="E31" s="23" t="n"/>
      <c r="F31" s="23" t="n"/>
      <c r="G31" s="23" t="n"/>
      <c r="H31" s="23" t="n"/>
      <c r="I31" s="23" t="n"/>
      <c r="J31" s="23" t="n"/>
      <c r="K31" s="23" t="n"/>
      <c r="L31" s="23" t="n"/>
      <c r="M31" s="23" t="n"/>
      <c r="N31" s="23" t="n"/>
      <c r="O31" s="24" t="n"/>
      <c r="P31" s="23" t="n"/>
      <c r="Q31" s="23" t="n"/>
      <c r="R31" s="23" t="n"/>
      <c r="S31" s="23" t="n"/>
      <c r="T31" s="23" t="n"/>
      <c r="U31" s="23" t="n"/>
      <c r="V31" s="23" t="n"/>
      <c r="W31" s="23" t="n"/>
      <c r="X31" s="23" t="n"/>
      <c r="Y31" s="24" t="n"/>
      <c r="Z31" s="23" t="n"/>
      <c r="AA31" s="23" t="n"/>
      <c r="AB31" s="23" t="n"/>
      <c r="AC31" s="23" t="n"/>
    </row>
    <row r="32">
      <c r="A32" s="18" t="inlineStr">
        <is>
          <t>전체 판관비</t>
        </is>
      </c>
      <c r="B32" s="10" t="n"/>
      <c r="C32" s="19" t="n">
        <v>22058</v>
      </c>
      <c r="D32" s="20" t="n">
        <v>23619</v>
      </c>
      <c r="E32" s="20" t="n">
        <v>25077</v>
      </c>
      <c r="F32" s="20" t="n">
        <v>23295</v>
      </c>
      <c r="G32" s="20" t="n">
        <v>24917</v>
      </c>
      <c r="H32" s="20" t="n">
        <v>24402</v>
      </c>
      <c r="I32" s="20" t="n">
        <v>26436</v>
      </c>
      <c r="J32" s="20" t="n">
        <v>27441</v>
      </c>
      <c r="K32" s="20" t="n">
        <v>26415</v>
      </c>
      <c r="L32" s="20" t="n">
        <v>27753</v>
      </c>
      <c r="M32" s="20" t="n">
        <v>29010</v>
      </c>
      <c r="N32" s="20" t="n">
        <v>30314</v>
      </c>
      <c r="O32" s="19" t="n">
        <v>80458</v>
      </c>
      <c r="P32" s="20" t="n">
        <v>88999</v>
      </c>
      <c r="Q32" s="20" t="n">
        <v>90945</v>
      </c>
      <c r="R32" s="20" t="n">
        <v>92781</v>
      </c>
      <c r="S32" s="20" t="n">
        <v>93999</v>
      </c>
      <c r="T32" s="20" t="n">
        <v>70187</v>
      </c>
      <c r="U32" s="20" t="n">
        <v>81996</v>
      </c>
      <c r="V32" s="20" t="n">
        <v>91691</v>
      </c>
      <c r="W32" s="20" t="n">
        <v>99050</v>
      </c>
      <c r="X32" s="20" t="n">
        <v>110619</v>
      </c>
      <c r="Y32" s="19" t="n"/>
      <c r="Z32" s="20" t="n"/>
      <c r="AA32" s="20" t="n"/>
      <c r="AB32" s="20" t="n"/>
      <c r="AC32" s="20" t="n"/>
    </row>
    <row r="33">
      <c r="A33" s="13" t="inlineStr">
        <is>
          <t>YoY</t>
        </is>
      </c>
      <c r="B33" s="10" t="n"/>
      <c r="C33" s="14" t="n"/>
      <c r="D33" s="15" t="n"/>
      <c r="E33" s="15" t="n"/>
      <c r="F33" s="15" t="n"/>
      <c r="G33" s="15">
        <f>IF(OR(G32="",C32=""),"",IF(C32&lt;=0,"",IFERROR(G32/C32-1,"")))</f>
        <v/>
      </c>
      <c r="H33" s="15">
        <f>IF(OR(H32="",D32=""),"",IF(D32&lt;=0,"",IFERROR(H32/D32-1,"")))</f>
        <v/>
      </c>
      <c r="I33" s="15">
        <f>IF(OR(I32="",E32=""),"",IF(E32&lt;=0,"",IFERROR(I32/E32-1,"")))</f>
        <v/>
      </c>
      <c r="J33" s="15">
        <f>IF(OR(J32="",F32=""),"",IF(F32&lt;=0,"",IFERROR(J32/F32-1,"")))</f>
        <v/>
      </c>
      <c r="K33" s="15">
        <f>IF(OR(K32="",G32=""),"",IF(G32&lt;=0,"",IFERROR(K32/G32-1,"")))</f>
        <v/>
      </c>
      <c r="L33" s="15">
        <f>IF(OR(L32="",H32=""),"",IF(H32&lt;=0,"",IFERROR(L32/H32-1,"")))</f>
        <v/>
      </c>
      <c r="M33" s="15">
        <f>IF(OR(M32="",I32=""),"",IF(I32&lt;=0,"",IFERROR(M32/I32-1,"")))</f>
        <v/>
      </c>
      <c r="N33" s="15">
        <f>IF(OR(N32="",J32=""),"",IF(J32&lt;=0,"",IFERROR(N32/J32-1,"")))</f>
        <v/>
      </c>
      <c r="O33" s="14" t="n"/>
      <c r="P33" s="15">
        <f>IF(OR(P32="",O32=""),"",IF(O32&lt;=0,"",IFERROR(P32/O32-1,"")))</f>
        <v/>
      </c>
      <c r="Q33" s="15">
        <f>IF(OR(Q32="",P32=""),"",IF(P32&lt;=0,"",IFERROR(Q32/P32-1,"")))</f>
        <v/>
      </c>
      <c r="R33" s="15">
        <f>IF(OR(R32="",Q32=""),"",IF(Q32&lt;=0,"",IFERROR(R32/Q32-1,"")))</f>
        <v/>
      </c>
      <c r="S33" s="15">
        <f>IF(OR(S32="",R32=""),"",IF(R32&lt;=0,"",IFERROR(S32/R32-1,"")))</f>
        <v/>
      </c>
      <c r="T33" s="15">
        <f>IF(OR(T32="",S32=""),"",IF(S32&lt;=0,"",IFERROR(T32/S32-1,"")))</f>
        <v/>
      </c>
      <c r="U33" s="15">
        <f>IF(OR(U32="",T32=""),"",IF(T32&lt;=0,"",IFERROR(U32/T32-1,"")))</f>
        <v/>
      </c>
      <c r="V33" s="15">
        <f>IF(OR(V32="",U32=""),"",IF(U32&lt;=0,"",IFERROR(V32/U32-1,"")))</f>
        <v/>
      </c>
      <c r="W33" s="15">
        <f>IF(OR(W32="",V32=""),"",IF(V32&lt;=0,"",IFERROR(W32/V32-1,"")))</f>
        <v/>
      </c>
      <c r="X33" s="15">
        <f>IF(OR(X32="",W32=""),"",IF(W32&lt;=0,"",IFERROR(X32/W32-1,"")))</f>
        <v/>
      </c>
      <c r="Y33" s="14">
        <f>IF(OR(Y32="",X32=""),"",IF(X32&lt;=0,"",IFERROR(Y32/X32-1,"")))</f>
        <v/>
      </c>
      <c r="Z33" s="15">
        <f>IF(OR(Z32="",Y32=""),"",IF(Y32&lt;=0,"",IFERROR(Z32/Y32-1,"")))</f>
        <v/>
      </c>
      <c r="AA33" s="15">
        <f>IF(OR(AA32="",Z32=""),"",IF(Z32&lt;=0,"",IFERROR(AA32/Z32-1,"")))</f>
        <v/>
      </c>
      <c r="AB33" s="15">
        <f>IF(OR(AB32="",AA32=""),"",IF(AA32&lt;=0,"",IFERROR(AB32/AA32-1,"")))</f>
        <v/>
      </c>
      <c r="AC33" s="15">
        <f>IF(OR(AC32="",AB32=""),"",IF(AB32&lt;=0,"",IFERROR(AC32/AB32-1,"")))</f>
        <v/>
      </c>
    </row>
    <row r="34">
      <c r="A34" s="9" t="inlineStr">
        <is>
          <t>영업이익</t>
        </is>
      </c>
      <c r="B34" s="10" t="inlineStr">
        <is>
          <t>MW = 매출 × OPM</t>
        </is>
      </c>
      <c r="C34" s="11" t="n">
        <v>5363</v>
      </c>
      <c r="D34" s="12" t="n">
        <v>5315</v>
      </c>
      <c r="E34" s="12" t="n">
        <v>4463</v>
      </c>
      <c r="F34" s="12" t="n">
        <v>4064</v>
      </c>
      <c r="G34" s="12" t="n">
        <v>6468</v>
      </c>
      <c r="H34" s="12" t="n">
        <v>4377</v>
      </c>
      <c r="I34" s="12" t="n">
        <v>5688</v>
      </c>
      <c r="J34" s="12" t="n">
        <v>3456</v>
      </c>
      <c r="K34" s="12" t="n">
        <v>4330</v>
      </c>
      <c r="L34" s="12" t="n">
        <v>4846</v>
      </c>
      <c r="M34" s="12" t="n">
        <v>4444</v>
      </c>
      <c r="N34" s="12" t="n">
        <v>2949</v>
      </c>
      <c r="O34" s="11" t="n">
        <v>13551</v>
      </c>
      <c r="P34" s="12" t="n">
        <v>15612</v>
      </c>
      <c r="Q34" s="12" t="n">
        <v>17804</v>
      </c>
      <c r="R34" s="12" t="n">
        <v>15836</v>
      </c>
      <c r="S34" s="12" t="n">
        <v>21595</v>
      </c>
      <c r="T34" s="12" t="n">
        <v>43354</v>
      </c>
      <c r="U34" s="12" t="n">
        <v>37945</v>
      </c>
      <c r="V34" s="12" t="n">
        <v>22242</v>
      </c>
      <c r="W34" s="12" t="n">
        <v>20597</v>
      </c>
      <c r="X34" s="12" t="n">
        <v>17076</v>
      </c>
      <c r="Y34" s="11">
        <f>IF(OR(Y4="",Y35=""),"",IFERROR(Y4*Y35,""))</f>
        <v/>
      </c>
      <c r="Z34" s="12">
        <f>IF(OR(Z4="",Z35=""),"",IFERROR(Z4*Z35,""))</f>
        <v/>
      </c>
      <c r="AA34" s="12">
        <f>IF(OR(AA4="",AA35=""),"",IFERROR(AA4*AA35,""))</f>
        <v/>
      </c>
      <c r="AB34" s="12">
        <f>IF(OR(AB4="",AB35=""),"",IFERROR(AB4*AB35,""))</f>
        <v/>
      </c>
      <c r="AC34" s="12">
        <f>IF(OR(AC4="",AC35=""),"",IFERROR(AC4*AC35,""))</f>
        <v/>
      </c>
    </row>
    <row r="35">
      <c r="A35" s="13" t="inlineStr">
        <is>
          <t>OPM</t>
        </is>
      </c>
      <c r="B35" s="10" t="inlineStr">
        <is>
          <t>MW 입력</t>
        </is>
      </c>
      <c r="C35" s="14">
        <f>IF(OR(C34="",C4=""),"",IFERROR(C34/C4,""))</f>
        <v/>
      </c>
      <c r="D35" s="15">
        <f>IF(OR(D34="",D4=""),"",IFERROR(D34/D4,""))</f>
        <v/>
      </c>
      <c r="E35" s="15">
        <f>IF(OR(E34="",E4=""),"",IFERROR(E34/E4,""))</f>
        <v/>
      </c>
      <c r="F35" s="15">
        <f>IF(OR(F34="",F4=""),"",IFERROR(F34/F4,""))</f>
        <v/>
      </c>
      <c r="G35" s="15">
        <f>IF(OR(G34="",G4=""),"",IFERROR(G34/G4,""))</f>
        <v/>
      </c>
      <c r="H35" s="15">
        <f>IF(OR(H34="",H4=""),"",IFERROR(H34/H4,""))</f>
        <v/>
      </c>
      <c r="I35" s="15">
        <f>IF(OR(I34="",I4=""),"",IFERROR(I34/I4,""))</f>
        <v/>
      </c>
      <c r="J35" s="15">
        <f>IF(OR(J34="",J4=""),"",IFERROR(J34/J4,""))</f>
        <v/>
      </c>
      <c r="K35" s="15">
        <f>IF(OR(K34="",K4=""),"",IFERROR(K34/K4,""))</f>
        <v/>
      </c>
      <c r="L35" s="15">
        <f>IF(OR(L34="",L4=""),"",IFERROR(L34/L4,""))</f>
        <v/>
      </c>
      <c r="M35" s="15">
        <f>IF(OR(M34="",M4=""),"",IFERROR(M34/M4,""))</f>
        <v/>
      </c>
      <c r="N35" s="15">
        <f>IF(OR(N34="",N4=""),"",IFERROR(N34/N4,""))</f>
        <v/>
      </c>
      <c r="O35" s="14">
        <f>IF(OR(O34="",O4=""),"",IFERROR(O34/O4,""))</f>
        <v/>
      </c>
      <c r="P35" s="15">
        <f>IF(OR(P34="",P4=""),"",IFERROR(P34/P4,""))</f>
        <v/>
      </c>
      <c r="Q35" s="15">
        <f>IF(OR(Q34="",Q4=""),"",IFERROR(Q34/Q4,""))</f>
        <v/>
      </c>
      <c r="R35" s="15">
        <f>IF(OR(R34="",R4=""),"",IFERROR(R34/R4,""))</f>
        <v/>
      </c>
      <c r="S35" s="15">
        <f>IF(OR(S34="",S4=""),"",IFERROR(S34/S4,""))</f>
        <v/>
      </c>
      <c r="T35" s="15">
        <f>IF(OR(T34="",T4=""),"",IFERROR(T34/T4,""))</f>
        <v/>
      </c>
      <c r="U35" s="15">
        <f>IF(OR(U34="",U4=""),"",IFERROR(U34/U4,""))</f>
        <v/>
      </c>
      <c r="V35" s="15">
        <f>IF(OR(V34="",V4=""),"",IFERROR(V34/V4,""))</f>
        <v/>
      </c>
      <c r="W35" s="15">
        <f>IF(OR(W34="",W4=""),"",IFERROR(W34/W4,""))</f>
        <v/>
      </c>
      <c r="X35" s="15">
        <f>IF(OR(X34="",X4=""),"",IFERROR(X34/X4,""))</f>
        <v/>
      </c>
      <c r="Y35" s="25" t="n"/>
      <c r="Z35" s="26" t="n"/>
      <c r="AA35" s="26" t="n"/>
      <c r="AB35" s="26" t="n"/>
      <c r="AC35" s="26" t="n"/>
    </row>
    <row r="36">
      <c r="A36" s="13" t="inlineStr">
        <is>
          <t>증가율</t>
        </is>
      </c>
      <c r="B36" s="10" t="n"/>
      <c r="C36" s="14" t="n"/>
      <c r="D36" s="15" t="n"/>
      <c r="E36" s="15" t="n"/>
      <c r="F36" s="15" t="n"/>
      <c r="G36" s="15">
        <f>IF(OR(G34="",C34=""),"",IFERROR(G34/C34-1,""))</f>
        <v/>
      </c>
      <c r="H36" s="15">
        <f>IF(OR(H34="",D34=""),"",IFERROR(H34/D34-1,""))</f>
        <v/>
      </c>
      <c r="I36" s="15">
        <f>IF(OR(I34="",E34=""),"",IFERROR(I34/E34-1,""))</f>
        <v/>
      </c>
      <c r="J36" s="15">
        <f>IF(OR(J34="",F34=""),"",IFERROR(J34/F34-1,""))</f>
        <v/>
      </c>
      <c r="K36" s="15">
        <f>IF(OR(K34="",G34=""),"",IFERROR(K34/G34-1,""))</f>
        <v/>
      </c>
      <c r="L36" s="15">
        <f>IF(OR(L34="",H34=""),"",IFERROR(L34/H34-1,""))</f>
        <v/>
      </c>
      <c r="M36" s="15">
        <f>IF(OR(M34="",I34=""),"",IFERROR(M34/I34-1,""))</f>
        <v/>
      </c>
      <c r="N36" s="15">
        <f>IF(OR(N34="",J34=""),"",IFERROR(N34/J34-1,""))</f>
        <v/>
      </c>
      <c r="O36" s="14" t="n"/>
      <c r="P36" s="15">
        <f>IF(OR(P34="",O34=""),"",IFERROR(P34/O34-1,""))</f>
        <v/>
      </c>
      <c r="Q36" s="15">
        <f>IF(OR(Q34="",P34=""),"",IFERROR(Q34/P34-1,""))</f>
        <v/>
      </c>
      <c r="R36" s="15">
        <f>IF(OR(R34="",Q34=""),"",IFERROR(R34/Q34-1,""))</f>
        <v/>
      </c>
      <c r="S36" s="15">
        <f>IF(OR(S34="",R34=""),"",IFERROR(S34/R34-1,""))</f>
        <v/>
      </c>
      <c r="T36" s="15">
        <f>IF(OR(T34="",S34=""),"",IFERROR(T34/S34-1,""))</f>
        <v/>
      </c>
      <c r="U36" s="15">
        <f>IF(OR(U34="",T34=""),"",IFERROR(U34/T34-1,""))</f>
        <v/>
      </c>
      <c r="V36" s="15">
        <f>IF(OR(V34="",U34=""),"",IFERROR(V34/U34-1,""))</f>
        <v/>
      </c>
      <c r="W36" s="15">
        <f>IF(OR(W34="",V34=""),"",IFERROR(W34/V34-1,""))</f>
        <v/>
      </c>
      <c r="X36" s="15">
        <f>IF(OR(X34="",W34=""),"",IFERROR(X34/W34-1,""))</f>
        <v/>
      </c>
      <c r="Y36" s="14">
        <f>IF(OR(Y34="",X34=""),"",IFERROR(Y34/X34-1,""))</f>
        <v/>
      </c>
      <c r="Z36" s="15">
        <f>IF(OR(Z34="",Y34=""),"",IFERROR(Z34/Y34-1,""))</f>
        <v/>
      </c>
      <c r="AA36" s="15">
        <f>IF(OR(AA34="",Z34=""),"",IFERROR(AA34/Z34-1,""))</f>
        <v/>
      </c>
      <c r="AB36" s="15">
        <f>IF(OR(AB34="",AA34=""),"",IFERROR(AB34/AA34-1,""))</f>
        <v/>
      </c>
      <c r="AC36" s="15">
        <f>IF(OR(AC34="",AB34=""),"",IFERROR(AC34/AB34-1,""))</f>
        <v/>
      </c>
    </row>
    <row r="37">
      <c r="A37" s="16" t="inlineStr">
        <is>
          <t>비용의 성격별 분류</t>
        </is>
      </c>
      <c r="B37" s="16" t="inlineStr">
        <is>
          <t>참고 데이터</t>
        </is>
      </c>
      <c r="C37" s="17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7" t="n"/>
      <c r="P37" s="16" t="n"/>
      <c r="Q37" s="16" t="n"/>
      <c r="R37" s="16" t="n"/>
      <c r="S37" s="16" t="n"/>
      <c r="T37" s="16" t="n"/>
      <c r="U37" s="16" t="n"/>
      <c r="V37" s="16" t="n"/>
      <c r="W37" s="16" t="n"/>
      <c r="X37" s="16" t="n"/>
      <c r="Y37" s="17" t="n"/>
      <c r="Z37" s="16" t="n"/>
      <c r="AA37" s="16" t="n"/>
      <c r="AB37" s="16" t="n"/>
      <c r="AC37" s="16" t="n"/>
    </row>
    <row r="38">
      <c r="A38" s="9" t="inlineStr">
        <is>
          <t>총 판관비</t>
        </is>
      </c>
      <c r="B38" s="10" t="n"/>
      <c r="C38" s="11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1">
        <f>IF(O32="","",O32)</f>
        <v/>
      </c>
      <c r="P38" s="12">
        <f>IF(P32="","",P32)</f>
        <v/>
      </c>
      <c r="Q38" s="12">
        <f>IF(Q32="","",Q32)</f>
        <v/>
      </c>
      <c r="R38" s="12">
        <f>IF(R32="","",R32)</f>
        <v/>
      </c>
      <c r="S38" s="12">
        <f>IF(S32="","",S32)</f>
        <v/>
      </c>
      <c r="T38" s="12">
        <f>IF(T32="","",T32)</f>
        <v/>
      </c>
      <c r="U38" s="12">
        <f>IF(U32="","",U32)</f>
        <v/>
      </c>
      <c r="V38" s="12">
        <f>IF(V32="","",V32)</f>
        <v/>
      </c>
      <c r="W38" s="12">
        <f>IF(W32="","",W32)</f>
        <v/>
      </c>
      <c r="X38" s="12">
        <f>IF(X32="","",X32)</f>
        <v/>
      </c>
      <c r="Y38" s="11" t="n"/>
      <c r="Z38" s="12" t="n"/>
      <c r="AA38" s="12" t="n"/>
      <c r="AB38" s="12" t="n"/>
      <c r="AC38" s="12" t="n"/>
    </row>
    <row r="39">
      <c r="A39" s="18" t="inlineStr">
        <is>
          <t>급여</t>
        </is>
      </c>
      <c r="B39" s="10" t="inlineStr">
        <is>
          <t>고정비</t>
        </is>
      </c>
      <c r="C39" s="19" t="n"/>
      <c r="D39" s="20" t="n"/>
      <c r="E39" s="20" t="n"/>
      <c r="F39" s="20" t="n"/>
      <c r="G39" s="20" t="n"/>
      <c r="H39" s="20" t="n"/>
      <c r="I39" s="20" t="n"/>
      <c r="J39" s="20" t="n"/>
      <c r="K39" s="20" t="n"/>
      <c r="L39" s="20" t="n"/>
      <c r="M39" s="20" t="n"/>
      <c r="N39" s="20" t="n"/>
      <c r="O39" s="19" t="n"/>
      <c r="P39" s="20" t="n"/>
      <c r="Q39" s="20" t="n"/>
      <c r="R39" s="20" t="n"/>
      <c r="S39" s="20" t="n"/>
      <c r="T39" s="20" t="n"/>
      <c r="U39" s="20" t="n"/>
      <c r="V39" s="20" t="n"/>
      <c r="W39" s="20" t="n"/>
      <c r="X39" s="20" t="n"/>
      <c r="Y39" s="19" t="n"/>
      <c r="Z39" s="20" t="n"/>
      <c r="AA39" s="20" t="n"/>
      <c r="AB39" s="20" t="n"/>
      <c r="AC39" s="20" t="n"/>
    </row>
    <row r="40">
      <c r="A40" s="13" t="inlineStr">
        <is>
          <t>% of Sales</t>
        </is>
      </c>
      <c r="B40" s="10" t="n"/>
      <c r="C40" s="14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5" t="n"/>
      <c r="O40" s="14">
        <f>IF(OR(O39="",O4=""),"",IFERROR(O39/O4,""))</f>
        <v/>
      </c>
      <c r="P40" s="15">
        <f>IF(OR(P39="",P4=""),"",IFERROR(P39/P4,""))</f>
        <v/>
      </c>
      <c r="Q40" s="15">
        <f>IF(OR(Q39="",Q4=""),"",IFERROR(Q39/Q4,""))</f>
        <v/>
      </c>
      <c r="R40" s="15">
        <f>IF(OR(R39="",R4=""),"",IFERROR(R39/R4,""))</f>
        <v/>
      </c>
      <c r="S40" s="15">
        <f>IF(OR(S39="",S4=""),"",IFERROR(S39/S4,""))</f>
        <v/>
      </c>
      <c r="T40" s="15">
        <f>IF(OR(T39="",T4=""),"",IFERROR(T39/T4,""))</f>
        <v/>
      </c>
      <c r="U40" s="15">
        <f>IF(OR(U39="",U4=""),"",IFERROR(U39/U4,""))</f>
        <v/>
      </c>
      <c r="V40" s="15">
        <f>IF(OR(V39="",V4=""),"",IFERROR(V39/V4,""))</f>
        <v/>
      </c>
      <c r="W40" s="15">
        <f>IF(OR(W39="",W4=""),"",IFERROR(W39/W4,""))</f>
        <v/>
      </c>
      <c r="X40" s="15">
        <f>IF(OR(X39="",X4=""),"",IFERROR(X39/X4,""))</f>
        <v/>
      </c>
      <c r="Y40" s="14" t="n"/>
      <c r="Z40" s="15" t="n"/>
      <c r="AA40" s="15" t="n"/>
      <c r="AB40" s="15" t="n"/>
      <c r="AC40" s="15" t="n"/>
    </row>
    <row r="41">
      <c r="A41" s="18" t="inlineStr">
        <is>
          <t>감가상각비</t>
        </is>
      </c>
      <c r="B41" s="10" t="inlineStr">
        <is>
          <t>고정비</t>
        </is>
      </c>
      <c r="C41" s="19" t="n"/>
      <c r="D41" s="20" t="n"/>
      <c r="E41" s="20" t="n"/>
      <c r="F41" s="20" t="n"/>
      <c r="G41" s="20" t="n"/>
      <c r="H41" s="20" t="n"/>
      <c r="I41" s="20" t="n"/>
      <c r="J41" s="20" t="n"/>
      <c r="K41" s="20" t="n"/>
      <c r="L41" s="20" t="n"/>
      <c r="M41" s="20" t="n"/>
      <c r="N41" s="20" t="n"/>
      <c r="O41" s="19" t="n"/>
      <c r="P41" s="20" t="n"/>
      <c r="Q41" s="20" t="n"/>
      <c r="R41" s="20" t="n"/>
      <c r="S41" s="20" t="n"/>
      <c r="T41" s="20" t="n"/>
      <c r="U41" s="20" t="n"/>
      <c r="V41" s="20" t="n"/>
      <c r="W41" s="20" t="n"/>
      <c r="X41" s="20" t="n"/>
      <c r="Y41" s="19" t="n"/>
      <c r="Z41" s="20" t="n"/>
      <c r="AA41" s="20" t="n"/>
      <c r="AB41" s="20" t="n"/>
      <c r="AC41" s="20" t="n"/>
    </row>
    <row r="42">
      <c r="A42" s="13" t="inlineStr">
        <is>
          <t>% of Sales</t>
        </is>
      </c>
      <c r="B42" s="10" t="n"/>
      <c r="C42" s="14" t="n"/>
      <c r="D42" s="15" t="n"/>
      <c r="E42" s="15" t="n"/>
      <c r="F42" s="15" t="n"/>
      <c r="G42" s="15" t="n"/>
      <c r="H42" s="15" t="n"/>
      <c r="I42" s="15" t="n"/>
      <c r="J42" s="15" t="n"/>
      <c r="K42" s="15" t="n"/>
      <c r="L42" s="15" t="n"/>
      <c r="M42" s="15" t="n"/>
      <c r="N42" s="15" t="n"/>
      <c r="O42" s="14">
        <f>IF(OR(O41="",O4=""),"",IFERROR(O41/O4,""))</f>
        <v/>
      </c>
      <c r="P42" s="15">
        <f>IF(OR(P41="",P4=""),"",IFERROR(P41/P4,""))</f>
        <v/>
      </c>
      <c r="Q42" s="15">
        <f>IF(OR(Q41="",Q4=""),"",IFERROR(Q41/Q4,""))</f>
        <v/>
      </c>
      <c r="R42" s="15">
        <f>IF(OR(R41="",R4=""),"",IFERROR(R41/R4,""))</f>
        <v/>
      </c>
      <c r="S42" s="15">
        <f>IF(OR(S41="",S4=""),"",IFERROR(S41/S4,""))</f>
        <v/>
      </c>
      <c r="T42" s="15">
        <f>IF(OR(T41="",T4=""),"",IFERROR(T41/T4,""))</f>
        <v/>
      </c>
      <c r="U42" s="15">
        <f>IF(OR(U41="",U4=""),"",IFERROR(U41/U4,""))</f>
        <v/>
      </c>
      <c r="V42" s="15">
        <f>IF(OR(V41="",V4=""),"",IFERROR(V41/V4,""))</f>
        <v/>
      </c>
      <c r="W42" s="15">
        <f>IF(OR(W41="",W4=""),"",IFERROR(W41/W4,""))</f>
        <v/>
      </c>
      <c r="X42" s="15">
        <f>IF(OR(X41="",X4=""),"",IFERROR(X41/X4,""))</f>
        <v/>
      </c>
      <c r="Y42" s="14" t="n"/>
      <c r="Z42" s="15" t="n"/>
      <c r="AA42" s="15" t="n"/>
      <c r="AB42" s="15" t="n"/>
      <c r="AC42" s="15" t="n"/>
    </row>
    <row r="43">
      <c r="A43" s="18" t="inlineStr">
        <is>
          <t>지급수수료</t>
        </is>
      </c>
      <c r="B43" s="10" t="inlineStr">
        <is>
          <t>고정비</t>
        </is>
      </c>
      <c r="C43" s="19" t="n"/>
      <c r="D43" s="20" t="n"/>
      <c r="E43" s="20" t="n"/>
      <c r="F43" s="20" t="n"/>
      <c r="G43" s="20" t="n"/>
      <c r="H43" s="20" t="n"/>
      <c r="I43" s="20" t="n"/>
      <c r="J43" s="20" t="n"/>
      <c r="K43" s="20" t="n"/>
      <c r="L43" s="20" t="n"/>
      <c r="M43" s="20" t="n"/>
      <c r="N43" s="20" t="n"/>
      <c r="O43" s="19" t="n"/>
      <c r="P43" s="20" t="n"/>
      <c r="Q43" s="20" t="n"/>
      <c r="R43" s="20" t="n"/>
      <c r="S43" s="20" t="n"/>
      <c r="T43" s="20" t="n"/>
      <c r="U43" s="20" t="n"/>
      <c r="V43" s="20" t="n"/>
      <c r="W43" s="20" t="n"/>
      <c r="X43" s="20" t="n"/>
      <c r="Y43" s="19" t="n"/>
      <c r="Z43" s="20" t="n"/>
      <c r="AA43" s="20" t="n"/>
      <c r="AB43" s="20" t="n"/>
      <c r="AC43" s="20" t="n"/>
    </row>
    <row r="44">
      <c r="A44" s="13" t="inlineStr">
        <is>
          <t>% of Sales</t>
        </is>
      </c>
      <c r="B44" s="10" t="n"/>
      <c r="C44" s="14" t="n"/>
      <c r="D44" s="15" t="n"/>
      <c r="E44" s="15" t="n"/>
      <c r="F44" s="15" t="n"/>
      <c r="G44" s="15" t="n"/>
      <c r="H44" s="15" t="n"/>
      <c r="I44" s="15" t="n"/>
      <c r="J44" s="15" t="n"/>
      <c r="K44" s="15" t="n"/>
      <c r="L44" s="15" t="n"/>
      <c r="M44" s="15" t="n"/>
      <c r="N44" s="15" t="n"/>
      <c r="O44" s="14">
        <f>IF(OR(O43="",O4=""),"",IFERROR(O43/O4,""))</f>
        <v/>
      </c>
      <c r="P44" s="15">
        <f>IF(OR(P43="",P4=""),"",IFERROR(P43/P4,""))</f>
        <v/>
      </c>
      <c r="Q44" s="15">
        <f>IF(OR(Q43="",Q4=""),"",IFERROR(Q43/Q4,""))</f>
        <v/>
      </c>
      <c r="R44" s="15">
        <f>IF(OR(R43="",R4=""),"",IFERROR(R43/R4,""))</f>
        <v/>
      </c>
      <c r="S44" s="15">
        <f>IF(OR(S43="",S4=""),"",IFERROR(S43/S4,""))</f>
        <v/>
      </c>
      <c r="T44" s="15">
        <f>IF(OR(T43="",T4=""),"",IFERROR(T43/T4,""))</f>
        <v/>
      </c>
      <c r="U44" s="15">
        <f>IF(OR(U43="",U4=""),"",IFERROR(U43/U4,""))</f>
        <v/>
      </c>
      <c r="V44" s="15">
        <f>IF(OR(V43="",V4=""),"",IFERROR(V43/V4,""))</f>
        <v/>
      </c>
      <c r="W44" s="15">
        <f>IF(OR(W43="",W4=""),"",IFERROR(W43/W4,""))</f>
        <v/>
      </c>
      <c r="X44" s="15">
        <f>IF(OR(X43="",X4=""),"",IFERROR(X43/X4,""))</f>
        <v/>
      </c>
      <c r="Y44" s="14" t="n"/>
      <c r="Z44" s="15" t="n"/>
      <c r="AA44" s="15" t="n"/>
      <c r="AB44" s="15" t="n"/>
      <c r="AC44" s="15" t="n"/>
    </row>
    <row r="45">
      <c r="A45" s="18" t="inlineStr">
        <is>
          <t>연구개발비</t>
        </is>
      </c>
      <c r="B45" s="10" t="inlineStr">
        <is>
          <t>변동비</t>
        </is>
      </c>
      <c r="C45" s="19" t="n"/>
      <c r="D45" s="20" t="n"/>
      <c r="E45" s="20" t="n"/>
      <c r="F45" s="20" t="n"/>
      <c r="G45" s="20" t="n"/>
      <c r="H45" s="20" t="n"/>
      <c r="I45" s="20" t="n"/>
      <c r="J45" s="20" t="n"/>
      <c r="K45" s="20" t="n"/>
      <c r="L45" s="20" t="n"/>
      <c r="M45" s="20" t="n"/>
      <c r="N45" s="20" t="n"/>
      <c r="O45" s="19" t="n"/>
      <c r="P45" s="20" t="n"/>
      <c r="Q45" s="20" t="n"/>
      <c r="R45" s="20" t="n"/>
      <c r="S45" s="20" t="n"/>
      <c r="T45" s="20" t="n"/>
      <c r="U45" s="20" t="n"/>
      <c r="V45" s="20" t="n"/>
      <c r="W45" s="20" t="n"/>
      <c r="X45" s="20" t="n"/>
      <c r="Y45" s="19" t="n"/>
      <c r="Z45" s="20" t="n"/>
      <c r="AA45" s="20" t="n"/>
      <c r="AB45" s="20" t="n"/>
      <c r="AC45" s="20" t="n"/>
    </row>
    <row r="46">
      <c r="A46" s="13" t="inlineStr">
        <is>
          <t>% of Sales</t>
        </is>
      </c>
      <c r="B46" s="10" t="n"/>
      <c r="C46" s="14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5" t="n"/>
      <c r="O46" s="14">
        <f>IF(OR(O45="",O4=""),"",IFERROR(O45/O4,""))</f>
        <v/>
      </c>
      <c r="P46" s="15">
        <f>IF(OR(P45="",P4=""),"",IFERROR(P45/P4,""))</f>
        <v/>
      </c>
      <c r="Q46" s="15">
        <f>IF(OR(Q45="",Q4=""),"",IFERROR(Q45/Q4,""))</f>
        <v/>
      </c>
      <c r="R46" s="15">
        <f>IF(OR(R45="",R4=""),"",IFERROR(R45/R4,""))</f>
        <v/>
      </c>
      <c r="S46" s="15">
        <f>IF(OR(S45="",S4=""),"",IFERROR(S45/S4,""))</f>
        <v/>
      </c>
      <c r="T46" s="15">
        <f>IF(OR(T45="",T4=""),"",IFERROR(T45/T4,""))</f>
        <v/>
      </c>
      <c r="U46" s="15">
        <f>IF(OR(U45="",U4=""),"",IFERROR(U45/U4,""))</f>
        <v/>
      </c>
      <c r="V46" s="15">
        <f>IF(OR(V45="",V4=""),"",IFERROR(V45/V4,""))</f>
        <v/>
      </c>
      <c r="W46" s="15">
        <f>IF(OR(W45="",W4=""),"",IFERROR(W45/W4,""))</f>
        <v/>
      </c>
      <c r="X46" s="15">
        <f>IF(OR(X45="",X4=""),"",IFERROR(X45/X4,""))</f>
        <v/>
      </c>
      <c r="Y46" s="14" t="n"/>
      <c r="Z46" s="15" t="n"/>
      <c r="AA46" s="15" t="n"/>
      <c r="AB46" s="15" t="n"/>
      <c r="AC46" s="15" t="n"/>
    </row>
    <row r="47">
      <c r="A47" s="18" t="inlineStr">
        <is>
          <t>기타비용</t>
        </is>
      </c>
      <c r="B47" s="10" t="inlineStr">
        <is>
          <t>변동비</t>
        </is>
      </c>
      <c r="C47" s="19" t="n"/>
      <c r="D47" s="20" t="n"/>
      <c r="E47" s="20" t="n"/>
      <c r="F47" s="20" t="n"/>
      <c r="G47" s="20" t="n"/>
      <c r="H47" s="20" t="n"/>
      <c r="I47" s="20" t="n"/>
      <c r="J47" s="20" t="n"/>
      <c r="K47" s="20" t="n"/>
      <c r="L47" s="20" t="n"/>
      <c r="M47" s="20" t="n"/>
      <c r="N47" s="20" t="n"/>
      <c r="O47" s="19">
        <f>IF(OR(O38="",O39="",O41="",O43="",O45=""),"",IFERROR(O38-O39-O41-O43-O45,""))</f>
        <v/>
      </c>
      <c r="P47" s="20">
        <f>IF(OR(P38="",P39="",P41="",P43="",P45=""),"",IFERROR(P38-P39-P41-P43-P45,""))</f>
        <v/>
      </c>
      <c r="Q47" s="20">
        <f>IF(OR(Q38="",Q39="",Q41="",Q43="",Q45=""),"",IFERROR(Q38-Q39-Q41-Q43-Q45,""))</f>
        <v/>
      </c>
      <c r="R47" s="20">
        <f>IF(OR(R38="",R39="",R41="",R43="",R45=""),"",IFERROR(R38-R39-R41-R43-R45,""))</f>
        <v/>
      </c>
      <c r="S47" s="20">
        <f>IF(OR(S38="",S39="",S41="",S43="",S45=""),"",IFERROR(S38-S39-S41-S43-S45,""))</f>
        <v/>
      </c>
      <c r="T47" s="20">
        <f>IF(OR(T38="",T39="",T41="",T43="",T45=""),"",IFERROR(T38-T39-T41-T43-T45,""))</f>
        <v/>
      </c>
      <c r="U47" s="20">
        <f>IF(OR(U38="",U39="",U41="",U43="",U45=""),"",IFERROR(U38-U39-U41-U43-U45,""))</f>
        <v/>
      </c>
      <c r="V47" s="20">
        <f>IF(OR(V38="",V39="",V41="",V43="",V45=""),"",IFERROR(V38-V39-V41-V43-V45,""))</f>
        <v/>
      </c>
      <c r="W47" s="20">
        <f>IF(OR(W38="",W39="",W41="",W43="",W45=""),"",IFERROR(W38-W39-W41-W43-W45,""))</f>
        <v/>
      </c>
      <c r="X47" s="20">
        <f>IF(OR(X38="",X39="",X41="",X43="",X45=""),"",IFERROR(X38-X39-X41-X43-X45,""))</f>
        <v/>
      </c>
      <c r="Y47" s="19" t="n"/>
      <c r="Z47" s="20" t="n"/>
      <c r="AA47" s="20" t="n"/>
      <c r="AB47" s="20" t="n"/>
      <c r="AC47" s="20" t="n"/>
    </row>
    <row r="48">
      <c r="A48" s="13" t="inlineStr">
        <is>
          <t>% of Sales</t>
        </is>
      </c>
      <c r="B48" s="10" t="n"/>
      <c r="C48" s="14" t="n"/>
      <c r="D48" s="15" t="n"/>
      <c r="E48" s="15" t="n"/>
      <c r="F48" s="15" t="n"/>
      <c r="G48" s="15" t="n"/>
      <c r="H48" s="15" t="n"/>
      <c r="I48" s="15" t="n"/>
      <c r="J48" s="15" t="n"/>
      <c r="K48" s="15" t="n"/>
      <c r="L48" s="15" t="n"/>
      <c r="M48" s="15" t="n"/>
      <c r="N48" s="15" t="n"/>
      <c r="O48" s="14">
        <f>IF(OR(O47="",O4=""),"",IFERROR(O47/O4,""))</f>
        <v/>
      </c>
      <c r="P48" s="15">
        <f>IF(OR(P47="",P4=""),"",IFERROR(P47/P4,""))</f>
        <v/>
      </c>
      <c r="Q48" s="15">
        <f>IF(OR(Q47="",Q4=""),"",IFERROR(Q47/Q4,""))</f>
        <v/>
      </c>
      <c r="R48" s="15">
        <f>IF(OR(R47="",R4=""),"",IFERROR(R47/R4,""))</f>
        <v/>
      </c>
      <c r="S48" s="15">
        <f>IF(OR(S47="",S4=""),"",IFERROR(S47/S4,""))</f>
        <v/>
      </c>
      <c r="T48" s="15">
        <f>IF(OR(T47="",T4=""),"",IFERROR(T47/T4,""))</f>
        <v/>
      </c>
      <c r="U48" s="15">
        <f>IF(OR(U47="",U4=""),"",IFERROR(U47/U4,""))</f>
        <v/>
      </c>
      <c r="V48" s="15">
        <f>IF(OR(V47="",V4=""),"",IFERROR(V47/V4,""))</f>
        <v/>
      </c>
      <c r="W48" s="15">
        <f>IF(OR(W47="",W4=""),"",IFERROR(W47/W4,""))</f>
        <v/>
      </c>
      <c r="X48" s="15">
        <f>IF(OR(X47="",X4=""),"",IFERROR(X47/X4,""))</f>
        <v/>
      </c>
      <c r="Y48" s="14" t="n"/>
      <c r="Z48" s="15" t="n"/>
      <c r="AA48" s="15" t="n"/>
      <c r="AB48" s="15" t="n"/>
      <c r="AC48" s="15" t="n"/>
    </row>
    <row r="49">
      <c r="A49" s="16" t="inlineStr">
        <is>
          <t>당기순이익 추정</t>
        </is>
      </c>
      <c r="B49" s="16" t="n"/>
      <c r="C49" s="17" t="n"/>
      <c r="D49" s="16" t="n"/>
      <c r="E49" s="16" t="n"/>
      <c r="F49" s="16" t="n"/>
      <c r="G49" s="16" t="n"/>
      <c r="H49" s="16" t="n"/>
      <c r="I49" s="16" t="n"/>
      <c r="J49" s="16" t="n"/>
      <c r="K49" s="16" t="n"/>
      <c r="L49" s="16" t="n"/>
      <c r="M49" s="16" t="n"/>
      <c r="N49" s="16" t="n"/>
      <c r="O49" s="17" t="n"/>
      <c r="P49" s="16" t="n"/>
      <c r="Q49" s="16" t="n"/>
      <c r="R49" s="16" t="n"/>
      <c r="S49" s="16" t="n"/>
      <c r="T49" s="16" t="n"/>
      <c r="U49" s="16" t="n"/>
      <c r="V49" s="16" t="n"/>
      <c r="W49" s="16" t="n"/>
      <c r="X49" s="16" t="n"/>
      <c r="Y49" s="17" t="n"/>
      <c r="Z49" s="16" t="n"/>
      <c r="AA49" s="16" t="n"/>
      <c r="AB49" s="16" t="n"/>
      <c r="AC49" s="16" t="n"/>
    </row>
    <row r="50">
      <c r="A50" s="18" t="inlineStr">
        <is>
          <t>특별이익</t>
        </is>
      </c>
      <c r="B50" s="10" t="n"/>
      <c r="C50" s="19" t="n">
        <v>17</v>
      </c>
      <c r="D50" s="20" t="n">
        <v>2688</v>
      </c>
      <c r="E50" s="20" t="n">
        <v>1310</v>
      </c>
      <c r="F50" s="20" t="n">
        <v>2495</v>
      </c>
      <c r="G50" s="20" t="n">
        <v>313</v>
      </c>
      <c r="H50" s="20" t="n">
        <v>999</v>
      </c>
      <c r="I50" s="20" t="n">
        <v>927</v>
      </c>
      <c r="J50" s="20" t="n">
        <v>2351</v>
      </c>
      <c r="K50" s="20" t="n">
        <v>2811</v>
      </c>
      <c r="L50" s="20" t="n">
        <v>1997</v>
      </c>
      <c r="M50" s="20" t="n">
        <v>233</v>
      </c>
      <c r="N50" s="20" t="n">
        <v>2633</v>
      </c>
      <c r="O50" s="19" t="n">
        <v>1126</v>
      </c>
      <c r="P50" s="20" t="n">
        <v>3499</v>
      </c>
      <c r="Q50" s="20" t="n">
        <v>696</v>
      </c>
      <c r="R50" s="20" t="n">
        <v>1473</v>
      </c>
      <c r="S50" s="20" t="n">
        <v>529</v>
      </c>
      <c r="T50" s="20" t="n">
        <v>4658</v>
      </c>
      <c r="U50" s="20" t="n">
        <v>1681</v>
      </c>
      <c r="V50" s="20" t="n">
        <v>4034</v>
      </c>
      <c r="W50" s="20" t="n">
        <v>4734</v>
      </c>
      <c r="X50" s="20" t="n">
        <v>7392</v>
      </c>
      <c r="Y50" s="19">
        <f>IF(OR(Y4="",Y51=""),"",IFERROR(Y4*Y51,""))</f>
        <v/>
      </c>
      <c r="Z50" s="20">
        <f>IF(OR(Z4="",Z51=""),"",IFERROR(Z4*Z51,""))</f>
        <v/>
      </c>
      <c r="AA50" s="20">
        <f>IF(OR(AA4="",AA51=""),"",IFERROR(AA4*AA51,""))</f>
        <v/>
      </c>
      <c r="AB50" s="20">
        <f>IF(OR(AB4="",AB51=""),"",IFERROR(AB4*AB51,""))</f>
        <v/>
      </c>
      <c r="AC50" s="20">
        <f>IF(OR(AC4="",AC51=""),"",IFERROR(AC4*AC51,""))</f>
        <v/>
      </c>
    </row>
    <row r="51">
      <c r="A51" s="13" t="inlineStr">
        <is>
          <t>% of Sales</t>
        </is>
      </c>
      <c r="B51" s="10" t="inlineStr">
        <is>
          <t>MW = 최근 3년 평균</t>
        </is>
      </c>
      <c r="C51" s="14">
        <f>IF(OR(C50="",C4=""),"",IFERROR(C50/C4,""))</f>
        <v/>
      </c>
      <c r="D51" s="15">
        <f>IF(OR(D50="",D4=""),"",IFERROR(D50/D4,""))</f>
        <v/>
      </c>
      <c r="E51" s="15">
        <f>IF(OR(E50="",E4=""),"",IFERROR(E50/E4,""))</f>
        <v/>
      </c>
      <c r="F51" s="15">
        <f>IF(OR(F50="",F4=""),"",IFERROR(F50/F4,""))</f>
        <v/>
      </c>
      <c r="G51" s="15">
        <f>IF(OR(G50="",G4=""),"",IFERROR(G50/G4,""))</f>
        <v/>
      </c>
      <c r="H51" s="15">
        <f>IF(OR(H50="",H4=""),"",IFERROR(H50/H4,""))</f>
        <v/>
      </c>
      <c r="I51" s="15">
        <f>IF(OR(I50="",I4=""),"",IFERROR(I50/I4,""))</f>
        <v/>
      </c>
      <c r="J51" s="15">
        <f>IF(OR(J50="",J4=""),"",IFERROR(J50/J4,""))</f>
        <v/>
      </c>
      <c r="K51" s="15">
        <f>IF(OR(K50="",K4=""),"",IFERROR(K50/K4,""))</f>
        <v/>
      </c>
      <c r="L51" s="15">
        <f>IF(OR(L50="",L4=""),"",IFERROR(L50/L4,""))</f>
        <v/>
      </c>
      <c r="M51" s="15">
        <f>IF(OR(M50="",M4=""),"",IFERROR(M50/M4,""))</f>
        <v/>
      </c>
      <c r="N51" s="15">
        <f>IF(OR(N50="",N4=""),"",IFERROR(N50/N4,""))</f>
        <v/>
      </c>
      <c r="O51" s="14">
        <f>IF(OR(O50="",O4=""),"",IFERROR(O50/O4,""))</f>
        <v/>
      </c>
      <c r="P51" s="15">
        <f>IF(OR(P50="",P4=""),"",IFERROR(P50/P4,""))</f>
        <v/>
      </c>
      <c r="Q51" s="15">
        <f>IF(OR(Q50="",Q4=""),"",IFERROR(Q50/Q4,""))</f>
        <v/>
      </c>
      <c r="R51" s="15">
        <f>IF(OR(R50="",R4=""),"",IFERROR(R50/R4,""))</f>
        <v/>
      </c>
      <c r="S51" s="15">
        <f>IF(OR(S50="",S4=""),"",IFERROR(S50/S4,""))</f>
        <v/>
      </c>
      <c r="T51" s="15">
        <f>IF(OR(T50="",T4=""),"",IFERROR(T50/T4,""))</f>
        <v/>
      </c>
      <c r="U51" s="15">
        <f>IF(OR(U50="",U4=""),"",IFERROR(U50/U4,""))</f>
        <v/>
      </c>
      <c r="V51" s="15">
        <f>IF(OR(V50="",V4=""),"",IFERROR(V50/V4,""))</f>
        <v/>
      </c>
      <c r="W51" s="15">
        <f>IF(OR(W50="",W4=""),"",IFERROR(W50/W4,""))</f>
        <v/>
      </c>
      <c r="X51" s="15">
        <f>IF(OR(X50="",X4=""),"",IFERROR(X50/X4,""))</f>
        <v/>
      </c>
      <c r="Y51" s="25">
        <f>IFERROR(AVERAGE(V51,W51,X51),"")</f>
        <v/>
      </c>
      <c r="Z51" s="26">
        <f>Y51</f>
        <v/>
      </c>
      <c r="AA51" s="26">
        <f>Z51</f>
        <v/>
      </c>
      <c r="AB51" s="26">
        <f>AA51</f>
        <v/>
      </c>
      <c r="AC51" s="26">
        <f>AB51</f>
        <v/>
      </c>
    </row>
    <row r="52">
      <c r="A52" s="18" t="inlineStr">
        <is>
          <t>특별손실</t>
        </is>
      </c>
      <c r="B52" s="10" t="n"/>
      <c r="C52" s="19" t="n">
        <v>57</v>
      </c>
      <c r="D52" s="20" t="n">
        <v>195</v>
      </c>
      <c r="E52" s="20" t="n">
        <v>853</v>
      </c>
      <c r="F52" s="20" t="n">
        <v>59</v>
      </c>
      <c r="G52" s="20" t="n">
        <v>197</v>
      </c>
      <c r="H52" s="20" t="n">
        <v>141</v>
      </c>
      <c r="I52" s="20" t="n">
        <v>702</v>
      </c>
      <c r="J52" s="20" t="n">
        <v>46</v>
      </c>
      <c r="K52" s="20" t="n">
        <v>3924</v>
      </c>
      <c r="L52" s="20" t="n">
        <v>182</v>
      </c>
      <c r="M52" s="20" t="n">
        <v>1831</v>
      </c>
      <c r="N52" s="20" t="n">
        <v>2590</v>
      </c>
      <c r="O52" s="19" t="n">
        <v>950</v>
      </c>
      <c r="P52" s="20" t="n">
        <v>679</v>
      </c>
      <c r="Q52" s="20" t="n">
        <v>1397</v>
      </c>
      <c r="R52" s="20" t="n">
        <v>2099</v>
      </c>
      <c r="S52" s="20" t="n">
        <v>1875</v>
      </c>
      <c r="T52" s="20" t="n">
        <v>6928</v>
      </c>
      <c r="U52" s="20" t="n">
        <v>694</v>
      </c>
      <c r="V52" s="20" t="n">
        <v>1132</v>
      </c>
      <c r="W52" s="20" t="n">
        <v>1099</v>
      </c>
      <c r="X52" s="20" t="n">
        <v>5983</v>
      </c>
      <c r="Y52" s="19">
        <f>IF(OR(Y4="",Y53=""),"",IFERROR(Y4*Y53,""))</f>
        <v/>
      </c>
      <c r="Z52" s="20">
        <f>IF(OR(Z4="",Z53=""),"",IFERROR(Z4*Z53,""))</f>
        <v/>
      </c>
      <c r="AA52" s="20">
        <f>IF(OR(AA4="",AA53=""),"",IFERROR(AA4*AA53,""))</f>
        <v/>
      </c>
      <c r="AB52" s="20">
        <f>IF(OR(AB4="",AB53=""),"",IFERROR(AB4*AB53,""))</f>
        <v/>
      </c>
      <c r="AC52" s="20">
        <f>IF(OR(AC4="",AC53=""),"",IFERROR(AC4*AC53,""))</f>
        <v/>
      </c>
    </row>
    <row r="53">
      <c r="A53" s="13" t="inlineStr">
        <is>
          <t>% of Sales</t>
        </is>
      </c>
      <c r="B53" s="10" t="n"/>
      <c r="C53" s="14">
        <f>IF(OR(C52="",C4=""),"",IFERROR(C52/C4,""))</f>
        <v/>
      </c>
      <c r="D53" s="15">
        <f>IF(OR(D52="",D4=""),"",IFERROR(D52/D4,""))</f>
        <v/>
      </c>
      <c r="E53" s="15">
        <f>IF(OR(E52="",E4=""),"",IFERROR(E52/E4,""))</f>
        <v/>
      </c>
      <c r="F53" s="15">
        <f>IF(OR(F52="",F4=""),"",IFERROR(F52/F4,""))</f>
        <v/>
      </c>
      <c r="G53" s="15">
        <f>IF(OR(G52="",G4=""),"",IFERROR(G52/G4,""))</f>
        <v/>
      </c>
      <c r="H53" s="15">
        <f>IF(OR(H52="",H4=""),"",IFERROR(H52/H4,""))</f>
        <v/>
      </c>
      <c r="I53" s="15">
        <f>IF(OR(I52="",I4=""),"",IFERROR(I52/I4,""))</f>
        <v/>
      </c>
      <c r="J53" s="15">
        <f>IF(OR(J52="",J4=""),"",IFERROR(J52/J4,""))</f>
        <v/>
      </c>
      <c r="K53" s="15">
        <f>IF(OR(K52="",K4=""),"",IFERROR(K52/K4,""))</f>
        <v/>
      </c>
      <c r="L53" s="15">
        <f>IF(OR(L52="",L4=""),"",IFERROR(L52/L4,""))</f>
        <v/>
      </c>
      <c r="M53" s="15">
        <f>IF(OR(M52="",M4=""),"",IFERROR(M52/M4,""))</f>
        <v/>
      </c>
      <c r="N53" s="15">
        <f>IF(OR(N52="",N4=""),"",IFERROR(N52/N4,""))</f>
        <v/>
      </c>
      <c r="O53" s="14">
        <f>IF(OR(O52="",O4=""),"",IFERROR(O52/O4,""))</f>
        <v/>
      </c>
      <c r="P53" s="15">
        <f>IF(OR(P52="",P4=""),"",IFERROR(P52/P4,""))</f>
        <v/>
      </c>
      <c r="Q53" s="15">
        <f>IF(OR(Q52="",Q4=""),"",IFERROR(Q52/Q4,""))</f>
        <v/>
      </c>
      <c r="R53" s="15">
        <f>IF(OR(R52="",R4=""),"",IFERROR(R52/R4,""))</f>
        <v/>
      </c>
      <c r="S53" s="15">
        <f>IF(OR(S52="",S4=""),"",IFERROR(S52/S4,""))</f>
        <v/>
      </c>
      <c r="T53" s="15">
        <f>IF(OR(T52="",T4=""),"",IFERROR(T52/T4,""))</f>
        <v/>
      </c>
      <c r="U53" s="15">
        <f>IF(OR(U52="",U4=""),"",IFERROR(U52/U4,""))</f>
        <v/>
      </c>
      <c r="V53" s="15">
        <f>IF(OR(V52="",V4=""),"",IFERROR(V52/V4,""))</f>
        <v/>
      </c>
      <c r="W53" s="15">
        <f>IF(OR(W52="",W4=""),"",IFERROR(W52/W4,""))</f>
        <v/>
      </c>
      <c r="X53" s="15">
        <f>IF(OR(X52="",X4=""),"",IFERROR(X52/X4,""))</f>
        <v/>
      </c>
      <c r="Y53" s="25">
        <f>IFERROR(AVERAGE(V53,W53,X53),"")</f>
        <v/>
      </c>
      <c r="Z53" s="26">
        <f>Y53</f>
        <v/>
      </c>
      <c r="AA53" s="26">
        <f>Z53</f>
        <v/>
      </c>
      <c r="AB53" s="26">
        <f>AA53</f>
        <v/>
      </c>
      <c r="AC53" s="26">
        <f>AB53</f>
        <v/>
      </c>
    </row>
    <row r="54">
      <c r="A54" s="18" t="inlineStr">
        <is>
          <t>영업외수익</t>
        </is>
      </c>
      <c r="B54" s="10" t="n"/>
      <c r="C54" s="19" t="n">
        <v>302</v>
      </c>
      <c r="D54" s="20" t="n">
        <v>706</v>
      </c>
      <c r="E54" s="20" t="n">
        <v>407</v>
      </c>
      <c r="F54" s="20" t="n">
        <v>1013</v>
      </c>
      <c r="G54" s="20" t="n">
        <v>293</v>
      </c>
      <c r="H54" s="20" t="n">
        <v>888</v>
      </c>
      <c r="I54" s="20" t="n">
        <v>783</v>
      </c>
      <c r="J54" s="20" t="n">
        <v>872</v>
      </c>
      <c r="K54" s="20" t="n">
        <v>329</v>
      </c>
      <c r="L54" s="20" t="n">
        <v>731</v>
      </c>
      <c r="M54" s="20" t="n">
        <v>468</v>
      </c>
      <c r="N54" s="20" t="n">
        <v>1134</v>
      </c>
      <c r="O54" s="19" t="n">
        <v>1537</v>
      </c>
      <c r="P54" s="20" t="n">
        <v>1408</v>
      </c>
      <c r="Q54" s="20" t="n">
        <v>1461</v>
      </c>
      <c r="R54" s="20" t="n">
        <v>1458</v>
      </c>
      <c r="S54" s="20" t="n">
        <v>1311</v>
      </c>
      <c r="T54" s="20" t="n">
        <v>1492</v>
      </c>
      <c r="U54" s="20" t="n">
        <v>1678</v>
      </c>
      <c r="V54" s="20" t="n">
        <v>2161</v>
      </c>
      <c r="W54" s="20" t="n">
        <v>2977</v>
      </c>
      <c r="X54" s="20" t="n">
        <v>2400</v>
      </c>
      <c r="Y54" s="19">
        <f>IF(OR(Y4="",Y55=""),"",IFERROR(Y4*Y55,""))</f>
        <v/>
      </c>
      <c r="Z54" s="20">
        <f>IF(OR(Z4="",Z55=""),"",IFERROR(Z4*Z55,""))</f>
        <v/>
      </c>
      <c r="AA54" s="20">
        <f>IF(OR(AA4="",AA55=""),"",IFERROR(AA4*AA55,""))</f>
        <v/>
      </c>
      <c r="AB54" s="20">
        <f>IF(OR(AB4="",AB55=""),"",IFERROR(AB4*AB55,""))</f>
        <v/>
      </c>
      <c r="AC54" s="20">
        <f>IF(OR(AC4="",AC55=""),"",IFERROR(AC4*AC55,""))</f>
        <v/>
      </c>
    </row>
    <row r="55">
      <c r="A55" s="13" t="inlineStr">
        <is>
          <t>% of Sales</t>
        </is>
      </c>
      <c r="B55" s="10" t="n"/>
      <c r="C55" s="14">
        <f>IF(OR(C54="",C4=""),"",IFERROR(C54/C4,""))</f>
        <v/>
      </c>
      <c r="D55" s="15">
        <f>IF(OR(D54="",D4=""),"",IFERROR(D54/D4,""))</f>
        <v/>
      </c>
      <c r="E55" s="15">
        <f>IF(OR(E54="",E4=""),"",IFERROR(E54/E4,""))</f>
        <v/>
      </c>
      <c r="F55" s="15">
        <f>IF(OR(F54="",F4=""),"",IFERROR(F54/F4,""))</f>
        <v/>
      </c>
      <c r="G55" s="15">
        <f>IF(OR(G54="",G4=""),"",IFERROR(G54/G4,""))</f>
        <v/>
      </c>
      <c r="H55" s="15">
        <f>IF(OR(H54="",H4=""),"",IFERROR(H54/H4,""))</f>
        <v/>
      </c>
      <c r="I55" s="15">
        <f>IF(OR(I54="",I4=""),"",IFERROR(I54/I4,""))</f>
        <v/>
      </c>
      <c r="J55" s="15">
        <f>IF(OR(J54="",J4=""),"",IFERROR(J54/J4,""))</f>
        <v/>
      </c>
      <c r="K55" s="15">
        <f>IF(OR(K54="",K4=""),"",IFERROR(K54/K4,""))</f>
        <v/>
      </c>
      <c r="L55" s="15">
        <f>IF(OR(L54="",L4=""),"",IFERROR(L54/L4,""))</f>
        <v/>
      </c>
      <c r="M55" s="15">
        <f>IF(OR(M54="",M4=""),"",IFERROR(M54/M4,""))</f>
        <v/>
      </c>
      <c r="N55" s="15">
        <f>IF(OR(N54="",N4=""),"",IFERROR(N54/N4,""))</f>
        <v/>
      </c>
      <c r="O55" s="14">
        <f>IF(OR(O54="",O4=""),"",IFERROR(O54/O4,""))</f>
        <v/>
      </c>
      <c r="P55" s="15">
        <f>IF(OR(P54="",P4=""),"",IFERROR(P54/P4,""))</f>
        <v/>
      </c>
      <c r="Q55" s="15">
        <f>IF(OR(Q54="",Q4=""),"",IFERROR(Q54/Q4,""))</f>
        <v/>
      </c>
      <c r="R55" s="15">
        <f>IF(OR(R54="",R4=""),"",IFERROR(R54/R4,""))</f>
        <v/>
      </c>
      <c r="S55" s="15">
        <f>IF(OR(S54="",S4=""),"",IFERROR(S54/S4,""))</f>
        <v/>
      </c>
      <c r="T55" s="15">
        <f>IF(OR(T54="",T4=""),"",IFERROR(T54/T4,""))</f>
        <v/>
      </c>
      <c r="U55" s="15">
        <f>IF(OR(U54="",U4=""),"",IFERROR(U54/U4,""))</f>
        <v/>
      </c>
      <c r="V55" s="15">
        <f>IF(OR(V54="",V4=""),"",IFERROR(V54/V4,""))</f>
        <v/>
      </c>
      <c r="W55" s="15">
        <f>IF(OR(W54="",W4=""),"",IFERROR(W54/W4,""))</f>
        <v/>
      </c>
      <c r="X55" s="15">
        <f>IF(OR(X54="",X4=""),"",IFERROR(X54/X4,""))</f>
        <v/>
      </c>
      <c r="Y55" s="25">
        <f>IFERROR(AVERAGE(V55,W55,X55),"")</f>
        <v/>
      </c>
      <c r="Z55" s="26">
        <f>Y55</f>
        <v/>
      </c>
      <c r="AA55" s="26">
        <f>Z55</f>
        <v/>
      </c>
      <c r="AB55" s="26">
        <f>AA55</f>
        <v/>
      </c>
      <c r="AC55" s="26">
        <f>AB55</f>
        <v/>
      </c>
    </row>
    <row r="56">
      <c r="A56" s="18" t="inlineStr">
        <is>
          <t>영업외비용</t>
        </is>
      </c>
      <c r="B56" s="10" t="n"/>
      <c r="C56" s="19" t="n">
        <v>332</v>
      </c>
      <c r="D56" s="20" t="n">
        <v>233</v>
      </c>
      <c r="E56" s="20" t="n">
        <v>353</v>
      </c>
      <c r="F56" s="20" t="n">
        <v>287</v>
      </c>
      <c r="G56" s="20" t="n">
        <v>385</v>
      </c>
      <c r="H56" s="20" t="n">
        <v>365</v>
      </c>
      <c r="I56" s="20" t="n">
        <v>357</v>
      </c>
      <c r="J56" s="20" t="n">
        <v>857</v>
      </c>
      <c r="K56" s="20" t="n">
        <v>744</v>
      </c>
      <c r="L56" s="20" t="n">
        <v>407</v>
      </c>
      <c r="M56" s="20" t="n">
        <v>607</v>
      </c>
      <c r="N56" s="20" t="n">
        <v>927</v>
      </c>
      <c r="O56" s="19" t="n">
        <v>744</v>
      </c>
      <c r="P56" s="20" t="n">
        <v>936</v>
      </c>
      <c r="Q56" s="20" t="n">
        <v>905</v>
      </c>
      <c r="R56" s="20" t="n">
        <v>1025</v>
      </c>
      <c r="S56" s="20" t="n">
        <v>976</v>
      </c>
      <c r="T56" s="20" t="n">
        <v>1615</v>
      </c>
      <c r="U56" s="20" t="n">
        <v>917</v>
      </c>
      <c r="V56" s="20" t="n">
        <v>1066</v>
      </c>
      <c r="W56" s="20" t="n">
        <v>1394</v>
      </c>
      <c r="X56" s="20" t="n">
        <v>2615</v>
      </c>
      <c r="Y56" s="19">
        <f>IF(OR(Y4="",Y57=""),"",IFERROR(Y4*Y57,""))</f>
        <v/>
      </c>
      <c r="Z56" s="20">
        <f>IF(OR(Z4="",Z57=""),"",IFERROR(Z4*Z57,""))</f>
        <v/>
      </c>
      <c r="AA56" s="20">
        <f>IF(OR(AA4="",AA57=""),"",IFERROR(AA4*AA57,""))</f>
        <v/>
      </c>
      <c r="AB56" s="20">
        <f>IF(OR(AB4="",AB57=""),"",IFERROR(AB4*AB57,""))</f>
        <v/>
      </c>
      <c r="AC56" s="20">
        <f>IF(OR(AC4="",AC57=""),"",IFERROR(AC4*AC57,""))</f>
        <v/>
      </c>
    </row>
    <row r="57">
      <c r="A57" s="13" t="inlineStr">
        <is>
          <t>% of Sales</t>
        </is>
      </c>
      <c r="B57" s="10" t="n"/>
      <c r="C57" s="14">
        <f>IF(OR(C56="",C4=""),"",IFERROR(C56/C4,""))</f>
        <v/>
      </c>
      <c r="D57" s="15">
        <f>IF(OR(D56="",D4=""),"",IFERROR(D56/D4,""))</f>
        <v/>
      </c>
      <c r="E57" s="15">
        <f>IF(OR(E56="",E4=""),"",IFERROR(E56/E4,""))</f>
        <v/>
      </c>
      <c r="F57" s="15">
        <f>IF(OR(F56="",F4=""),"",IFERROR(F56/F4,""))</f>
        <v/>
      </c>
      <c r="G57" s="15">
        <f>IF(OR(G56="",G4=""),"",IFERROR(G56/G4,""))</f>
        <v/>
      </c>
      <c r="H57" s="15">
        <f>IF(OR(H56="",H4=""),"",IFERROR(H56/H4,""))</f>
        <v/>
      </c>
      <c r="I57" s="15">
        <f>IF(OR(I56="",I4=""),"",IFERROR(I56/I4,""))</f>
        <v/>
      </c>
      <c r="J57" s="15">
        <f>IF(OR(J56="",J4=""),"",IFERROR(J56/J4,""))</f>
        <v/>
      </c>
      <c r="K57" s="15">
        <f>IF(OR(K56="",K4=""),"",IFERROR(K56/K4,""))</f>
        <v/>
      </c>
      <c r="L57" s="15">
        <f>IF(OR(L56="",L4=""),"",IFERROR(L56/L4,""))</f>
        <v/>
      </c>
      <c r="M57" s="15">
        <f>IF(OR(M56="",M4=""),"",IFERROR(M56/M4,""))</f>
        <v/>
      </c>
      <c r="N57" s="15">
        <f>IF(OR(N56="",N4=""),"",IFERROR(N56/N4,""))</f>
        <v/>
      </c>
      <c r="O57" s="14">
        <f>IF(OR(O56="",O4=""),"",IFERROR(O56/O4,""))</f>
        <v/>
      </c>
      <c r="P57" s="15">
        <f>IF(OR(P56="",P4=""),"",IFERROR(P56/P4,""))</f>
        <v/>
      </c>
      <c r="Q57" s="15">
        <f>IF(OR(Q56="",Q4=""),"",IFERROR(Q56/Q4,""))</f>
        <v/>
      </c>
      <c r="R57" s="15">
        <f>IF(OR(R56="",R4=""),"",IFERROR(R56/R4,""))</f>
        <v/>
      </c>
      <c r="S57" s="15">
        <f>IF(OR(S56="",S4=""),"",IFERROR(S56/S4,""))</f>
        <v/>
      </c>
      <c r="T57" s="15">
        <f>IF(OR(T56="",T4=""),"",IFERROR(T56/T4,""))</f>
        <v/>
      </c>
      <c r="U57" s="15">
        <f>IF(OR(U56="",U4=""),"",IFERROR(U56/U4,""))</f>
        <v/>
      </c>
      <c r="V57" s="15">
        <f>IF(OR(V56="",V4=""),"",IFERROR(V56/V4,""))</f>
        <v/>
      </c>
      <c r="W57" s="15">
        <f>IF(OR(W56="",W4=""),"",IFERROR(W56/W4,""))</f>
        <v/>
      </c>
      <c r="X57" s="15">
        <f>IF(OR(X56="",X4=""),"",IFERROR(X56/X4,""))</f>
        <v/>
      </c>
      <c r="Y57" s="25">
        <f>IFERROR(AVERAGE(V57,W57,X57),"")</f>
        <v/>
      </c>
      <c r="Z57" s="26">
        <f>Y57</f>
        <v/>
      </c>
      <c r="AA57" s="26">
        <f>Z57</f>
        <v/>
      </c>
      <c r="AB57" s="26">
        <f>AA57</f>
        <v/>
      </c>
      <c r="AC57" s="26">
        <f>AB57</f>
        <v/>
      </c>
    </row>
    <row r="58">
      <c r="A58" s="9" t="inlineStr">
        <is>
          <t>법인세비용차감전순이익(손실)</t>
        </is>
      </c>
      <c r="B58" s="10" t="n"/>
      <c r="C58" s="11" t="n">
        <v>5292</v>
      </c>
      <c r="D58" s="12" t="n">
        <v>8281</v>
      </c>
      <c r="E58" s="12" t="n">
        <v>4973</v>
      </c>
      <c r="F58" s="12" t="n">
        <v>7227</v>
      </c>
      <c r="G58" s="12" t="n">
        <v>6491</v>
      </c>
      <c r="H58" s="12" t="n">
        <v>5758</v>
      </c>
      <c r="I58" s="12" t="n">
        <v>6339</v>
      </c>
      <c r="J58" s="12" t="n">
        <v>5776</v>
      </c>
      <c r="K58" s="12" t="n">
        <v>2802</v>
      </c>
      <c r="L58" s="12" t="n">
        <v>6984</v>
      </c>
      <c r="M58" s="12" t="n">
        <v>2708</v>
      </c>
      <c r="N58" s="12" t="n">
        <v>3199</v>
      </c>
      <c r="O58" s="11" t="n">
        <v>14520</v>
      </c>
      <c r="P58" s="12" t="n">
        <v>18903</v>
      </c>
      <c r="Q58" s="12" t="n">
        <v>17658</v>
      </c>
      <c r="R58" s="12" t="n">
        <v>15643</v>
      </c>
      <c r="S58" s="12" t="n">
        <v>20583</v>
      </c>
      <c r="T58" s="12" t="n">
        <v>40961</v>
      </c>
      <c r="U58" s="12" t="n">
        <v>39692</v>
      </c>
      <c r="V58" s="12" t="n">
        <v>26238</v>
      </c>
      <c r="W58" s="12" t="n">
        <v>25815</v>
      </c>
      <c r="X58" s="12" t="n">
        <v>18270</v>
      </c>
      <c r="Y58" s="11">
        <f>IF(OR(Y34=""),"",IFERROR(Y34+N(Y50)-N(Y52)+N(Y54)-N(Y56),""))</f>
        <v/>
      </c>
      <c r="Z58" s="12">
        <f>IF(OR(Z34=""),"",IFERROR(Z34+N(Z50)-N(Z52)+N(Z54)-N(Z56),""))</f>
        <v/>
      </c>
      <c r="AA58" s="12">
        <f>IF(OR(AA34=""),"",IFERROR(AA34+N(AA50)-N(AA52)+N(AA54)-N(AA56),""))</f>
        <v/>
      </c>
      <c r="AB58" s="12">
        <f>IF(OR(AB34=""),"",IFERROR(AB34+N(AB50)-N(AB52)+N(AB54)-N(AB56),""))</f>
        <v/>
      </c>
      <c r="AC58" s="12">
        <f>IF(OR(AC34=""),"",IFERROR(AC34+N(AC50)-N(AC52)+N(AC54)-N(AC56),""))</f>
        <v/>
      </c>
    </row>
    <row r="59">
      <c r="A59" s="13" t="inlineStr">
        <is>
          <t>YoY</t>
        </is>
      </c>
      <c r="B59" s="10" t="n"/>
      <c r="C59" s="14" t="n"/>
      <c r="D59" s="15" t="n"/>
      <c r="E59" s="15" t="n"/>
      <c r="F59" s="15" t="n"/>
      <c r="G59" s="15">
        <f>IF(OR(G58="",C58=""),"",IF(C58&lt;=0,"",IFERROR(G58/C58-1,"")))</f>
        <v/>
      </c>
      <c r="H59" s="15">
        <f>IF(OR(H58="",D58=""),"",IF(D58&lt;=0,"",IFERROR(H58/D58-1,"")))</f>
        <v/>
      </c>
      <c r="I59" s="15">
        <f>IF(OR(I58="",E58=""),"",IF(E58&lt;=0,"",IFERROR(I58/E58-1,"")))</f>
        <v/>
      </c>
      <c r="J59" s="15">
        <f>IF(OR(J58="",F58=""),"",IF(F58&lt;=0,"",IFERROR(J58/F58-1,"")))</f>
        <v/>
      </c>
      <c r="K59" s="15">
        <f>IF(OR(K58="",G58=""),"",IF(G58&lt;=0,"",IFERROR(K58/G58-1,"")))</f>
        <v/>
      </c>
      <c r="L59" s="15">
        <f>IF(OR(L58="",H58=""),"",IF(H58&lt;=0,"",IFERROR(L58/H58-1,"")))</f>
        <v/>
      </c>
      <c r="M59" s="15">
        <f>IF(OR(M58="",I58=""),"",IF(I58&lt;=0,"",IFERROR(M58/I58-1,"")))</f>
        <v/>
      </c>
      <c r="N59" s="15">
        <f>IF(OR(N58="",J58=""),"",IF(J58&lt;=0,"",IFERROR(N58/J58-1,"")))</f>
        <v/>
      </c>
      <c r="O59" s="14" t="n"/>
      <c r="P59" s="15">
        <f>IF(OR(P58="",O58=""),"",IF(O58&lt;=0,"",IFERROR(P58/O58-1,"")))</f>
        <v/>
      </c>
      <c r="Q59" s="15">
        <f>IF(OR(Q58="",P58=""),"",IF(P58&lt;=0,"",IFERROR(Q58/P58-1,"")))</f>
        <v/>
      </c>
      <c r="R59" s="15">
        <f>IF(OR(R58="",Q58=""),"",IF(Q58&lt;=0,"",IFERROR(R58/Q58-1,"")))</f>
        <v/>
      </c>
      <c r="S59" s="15">
        <f>IF(OR(S58="",R58=""),"",IF(R58&lt;=0,"",IFERROR(S58/R58-1,"")))</f>
        <v/>
      </c>
      <c r="T59" s="15">
        <f>IF(OR(T58="",S58=""),"",IF(S58&lt;=0,"",IFERROR(T58/S58-1,"")))</f>
        <v/>
      </c>
      <c r="U59" s="15">
        <f>IF(OR(U58="",T58=""),"",IF(T58&lt;=0,"",IFERROR(U58/T58-1,"")))</f>
        <v/>
      </c>
      <c r="V59" s="15">
        <f>IF(OR(V58="",U58=""),"",IF(U58&lt;=0,"",IFERROR(V58/U58-1,"")))</f>
        <v/>
      </c>
      <c r="W59" s="15">
        <f>IF(OR(W58="",V58=""),"",IF(V58&lt;=0,"",IFERROR(W58/V58-1,"")))</f>
        <v/>
      </c>
      <c r="X59" s="15">
        <f>IF(OR(X58="",W58=""),"",IF(W58&lt;=0,"",IFERROR(X58/W58-1,"")))</f>
        <v/>
      </c>
      <c r="Y59" s="14">
        <f>IF(OR(Y58="",X58=""),"",IF(X58&lt;=0,"",IFERROR(Y58/X58-1,"")))</f>
        <v/>
      </c>
      <c r="Z59" s="15">
        <f>IF(OR(Z58="",Y58=""),"",IF(Y58&lt;=0,"",IFERROR(Z58/Y58-1,"")))</f>
        <v/>
      </c>
      <c r="AA59" s="15">
        <f>IF(OR(AA58="",Z58=""),"",IF(Z58&lt;=0,"",IFERROR(AA58/Z58-1,"")))</f>
        <v/>
      </c>
      <c r="AB59" s="15">
        <f>IF(OR(AB58="",AA58=""),"",IF(AA58&lt;=0,"",IFERROR(AB58/AA58-1,"")))</f>
        <v/>
      </c>
      <c r="AC59" s="15">
        <f>IF(OR(AC58="",AB58=""),"",IF(AB58&lt;=0,"",IFERROR(AC58/AB58-1,"")))</f>
        <v/>
      </c>
    </row>
    <row r="60">
      <c r="A60" s="18" t="inlineStr">
        <is>
          <t>법인세비용(수익)</t>
        </is>
      </c>
      <c r="B60" s="10" t="n"/>
      <c r="C60" s="19" t="n">
        <v>1713</v>
      </c>
      <c r="D60" s="20" t="n">
        <v>2548</v>
      </c>
      <c r="E60" s="20" t="n">
        <v>1971</v>
      </c>
      <c r="F60" s="20" t="n">
        <v>2205</v>
      </c>
      <c r="G60" s="20" t="n">
        <v>1811</v>
      </c>
      <c r="H60" s="20" t="n">
        <v>2411</v>
      </c>
      <c r="I60" s="20" t="n">
        <v>2065</v>
      </c>
      <c r="J60" s="20" t="n">
        <v>2084</v>
      </c>
      <c r="K60" s="20" t="n">
        <v>3207</v>
      </c>
      <c r="L60" s="20" t="n">
        <v>3071</v>
      </c>
      <c r="M60" s="20" t="n">
        <v>1429</v>
      </c>
      <c r="N60" s="20" t="n">
        <v>680</v>
      </c>
      <c r="O60" s="19" t="n">
        <v>5283</v>
      </c>
      <c r="P60" s="20" t="n">
        <v>6374</v>
      </c>
      <c r="Q60" s="20" t="n">
        <v>5310</v>
      </c>
      <c r="R60" s="20" t="n">
        <v>4952</v>
      </c>
      <c r="S60" s="20" t="n">
        <v>6326</v>
      </c>
      <c r="T60" s="20" t="n">
        <v>11590</v>
      </c>
      <c r="U60" s="20" t="n">
        <v>11001</v>
      </c>
      <c r="V60" s="20" t="n">
        <v>8472</v>
      </c>
      <c r="W60" s="20" t="n">
        <v>8492</v>
      </c>
      <c r="X60" s="20" t="n">
        <v>9791</v>
      </c>
      <c r="Y60" s="19">
        <f>IF(OR(Y58="",Y61=""),"",IFERROR(MAX(Y58,0)*Y61,""))</f>
        <v/>
      </c>
      <c r="Z60" s="20">
        <f>IF(OR(Z58="",Z61=""),"",IFERROR(MAX(Z58,0)*Z61,""))</f>
        <v/>
      </c>
      <c r="AA60" s="20">
        <f>IF(OR(AA58="",AA61=""),"",IFERROR(MAX(AA58,0)*AA61,""))</f>
        <v/>
      </c>
      <c r="AB60" s="20">
        <f>IF(OR(AB58="",AB61=""),"",IFERROR(MAX(AB58,0)*AB61,""))</f>
        <v/>
      </c>
      <c r="AC60" s="20">
        <f>IF(OR(AC58="",AC61=""),"",IFERROR(MAX(AC58,0)*AC61,""))</f>
        <v/>
      </c>
    </row>
    <row r="61">
      <c r="A61" s="13" t="inlineStr">
        <is>
          <t>법인세율</t>
        </is>
      </c>
      <c r="B61" s="10" t="inlineStr">
        <is>
          <t>MW 기본 30%</t>
        </is>
      </c>
      <c r="C61" s="14">
        <f>IF(OR(C60="",C58=""),"",IFERROR(C60/C58,""))</f>
        <v/>
      </c>
      <c r="D61" s="15">
        <f>IF(OR(D60="",D58=""),"",IFERROR(D60/D58,""))</f>
        <v/>
      </c>
      <c r="E61" s="15">
        <f>IF(OR(E60="",E58=""),"",IFERROR(E60/E58,""))</f>
        <v/>
      </c>
      <c r="F61" s="15">
        <f>IF(OR(F60="",F58=""),"",IFERROR(F60/F58,""))</f>
        <v/>
      </c>
      <c r="G61" s="15">
        <f>IF(OR(G60="",G58=""),"",IFERROR(G60/G58,""))</f>
        <v/>
      </c>
      <c r="H61" s="15">
        <f>IF(OR(H60="",H58=""),"",IFERROR(H60/H58,""))</f>
        <v/>
      </c>
      <c r="I61" s="15">
        <f>IF(OR(I60="",I58=""),"",IFERROR(I60/I58,""))</f>
        <v/>
      </c>
      <c r="J61" s="15">
        <f>IF(OR(J60="",J58=""),"",IFERROR(J60/J58,""))</f>
        <v/>
      </c>
      <c r="K61" s="15">
        <f>IF(OR(K60="",K58=""),"",IFERROR(K60/K58,""))</f>
        <v/>
      </c>
      <c r="L61" s="15">
        <f>IF(OR(L60="",L58=""),"",IFERROR(L60/L58,""))</f>
        <v/>
      </c>
      <c r="M61" s="15">
        <f>IF(OR(M60="",M58=""),"",IFERROR(M60/M58,""))</f>
        <v/>
      </c>
      <c r="N61" s="15">
        <f>IF(OR(N60="",N58=""),"",IFERROR(N60/N58,""))</f>
        <v/>
      </c>
      <c r="O61" s="14">
        <f>IF(OR(O60="",O58=""),"",IFERROR(O60/O58,""))</f>
        <v/>
      </c>
      <c r="P61" s="15">
        <f>IF(OR(P60="",P58=""),"",IFERROR(P60/P58,""))</f>
        <v/>
      </c>
      <c r="Q61" s="15">
        <f>IF(OR(Q60="",Q58=""),"",IFERROR(Q60/Q58,""))</f>
        <v/>
      </c>
      <c r="R61" s="15">
        <f>IF(OR(R60="",R58=""),"",IFERROR(R60/R58,""))</f>
        <v/>
      </c>
      <c r="S61" s="15">
        <f>IF(OR(S60="",S58=""),"",IFERROR(S60/S58,""))</f>
        <v/>
      </c>
      <c r="T61" s="15">
        <f>IF(OR(T60="",T58=""),"",IFERROR(T60/T58,""))</f>
        <v/>
      </c>
      <c r="U61" s="15">
        <f>IF(OR(U60="",U58=""),"",IFERROR(U60/U58,""))</f>
        <v/>
      </c>
      <c r="V61" s="15">
        <f>IF(OR(V60="",V58=""),"",IFERROR(V60/V58,""))</f>
        <v/>
      </c>
      <c r="W61" s="15">
        <f>IF(OR(W60="",W58=""),"",IFERROR(W60/W58,""))</f>
        <v/>
      </c>
      <c r="X61" s="15">
        <f>IF(OR(X60="",X58=""),"",IFERROR(X60/X58,""))</f>
        <v/>
      </c>
      <c r="Y61" s="25" t="n">
        <v>0.3</v>
      </c>
      <c r="Z61" s="26" t="n">
        <v>0.3</v>
      </c>
      <c r="AA61" s="26" t="n">
        <v>0.3</v>
      </c>
      <c r="AB61" s="26" t="n">
        <v>0.3</v>
      </c>
      <c r="AC61" s="26" t="n">
        <v>0.3</v>
      </c>
    </row>
    <row r="62">
      <c r="A62" s="9" t="inlineStr">
        <is>
          <t>당기순이익(손실)</t>
        </is>
      </c>
      <c r="B62" s="10" t="n"/>
      <c r="C62" s="11" t="n">
        <v>3580</v>
      </c>
      <c r="D62" s="12" t="n">
        <v>5733</v>
      </c>
      <c r="E62" s="12" t="n">
        <v>3002</v>
      </c>
      <c r="F62" s="12" t="n">
        <v>5021</v>
      </c>
      <c r="G62" s="12" t="n">
        <v>4681</v>
      </c>
      <c r="H62" s="12" t="n">
        <v>3347</v>
      </c>
      <c r="I62" s="12" t="n">
        <v>4273</v>
      </c>
      <c r="J62" s="12" t="n">
        <v>3691</v>
      </c>
      <c r="K62" s="12" t="n">
        <v>-404</v>
      </c>
      <c r="L62" s="12" t="n">
        <v>3912</v>
      </c>
      <c r="M62" s="12" t="n">
        <v>1279</v>
      </c>
      <c r="N62" s="12" t="n">
        <v>2519</v>
      </c>
      <c r="O62" s="11" t="n">
        <v>9236</v>
      </c>
      <c r="P62" s="12" t="n">
        <v>12528</v>
      </c>
      <c r="Q62" s="12" t="n">
        <v>12347</v>
      </c>
      <c r="R62" s="12" t="n">
        <v>10691</v>
      </c>
      <c r="S62" s="12" t="n">
        <v>14256</v>
      </c>
      <c r="T62" s="12" t="n">
        <v>29370</v>
      </c>
      <c r="U62" s="12" t="n">
        <v>28690</v>
      </c>
      <c r="V62" s="12" t="n">
        <v>17766</v>
      </c>
      <c r="W62" s="12" t="n">
        <v>17322</v>
      </c>
      <c r="X62" s="12" t="n">
        <v>8478</v>
      </c>
      <c r="Y62" s="11">
        <f>IF(OR(Y58=""),"",IFERROR(Y58-Y60,""))</f>
        <v/>
      </c>
      <c r="Z62" s="12">
        <f>IF(OR(Z58=""),"",IFERROR(Z58-Z60,""))</f>
        <v/>
      </c>
      <c r="AA62" s="12">
        <f>IF(OR(AA58=""),"",IFERROR(AA58-AA60,""))</f>
        <v/>
      </c>
      <c r="AB62" s="12">
        <f>IF(OR(AB58=""),"",IFERROR(AB58-AB60,""))</f>
        <v/>
      </c>
      <c r="AC62" s="12">
        <f>IF(OR(AC58=""),"",IFERROR(AC58-AC60,""))</f>
        <v/>
      </c>
    </row>
    <row r="63">
      <c r="A63" s="13" t="inlineStr">
        <is>
          <t>YoY</t>
        </is>
      </c>
      <c r="B63" s="10" t="n"/>
      <c r="C63" s="14" t="n"/>
      <c r="D63" s="15" t="n"/>
      <c r="E63" s="15" t="n"/>
      <c r="F63" s="15" t="n"/>
      <c r="G63" s="15">
        <f>IF(OR(G62="",C62=""),"",IF(C62&lt;=0,"",IFERROR(G62/C62-1,"")))</f>
        <v/>
      </c>
      <c r="H63" s="15">
        <f>IF(OR(H62="",D62=""),"",IF(D62&lt;=0,"",IFERROR(H62/D62-1,"")))</f>
        <v/>
      </c>
      <c r="I63" s="15">
        <f>IF(OR(I62="",E62=""),"",IF(E62&lt;=0,"",IFERROR(I62/E62-1,"")))</f>
        <v/>
      </c>
      <c r="J63" s="15">
        <f>IF(OR(J62="",F62=""),"",IF(F62&lt;=0,"",IFERROR(J62/F62-1,"")))</f>
        <v/>
      </c>
      <c r="K63" s="15">
        <f>IF(OR(K62="",G62=""),"",IF(G62&lt;=0,"",IFERROR(K62/G62-1,"")))</f>
        <v/>
      </c>
      <c r="L63" s="15">
        <f>IF(OR(L62="",H62=""),"",IF(H62&lt;=0,"",IFERROR(L62/H62-1,"")))</f>
        <v/>
      </c>
      <c r="M63" s="15">
        <f>IF(OR(M62="",I62=""),"",IF(I62&lt;=0,"",IFERROR(M62/I62-1,"")))</f>
        <v/>
      </c>
      <c r="N63" s="15">
        <f>IF(OR(N62="",J62=""),"",IF(J62&lt;=0,"",IFERROR(N62/J62-1,"")))</f>
        <v/>
      </c>
      <c r="O63" s="14" t="n"/>
      <c r="P63" s="15">
        <f>IF(OR(P62="",O62=""),"",IF(O62&lt;=0,"",IFERROR(P62/O62-1,"")))</f>
        <v/>
      </c>
      <c r="Q63" s="15">
        <f>IF(OR(Q62="",P62=""),"",IF(P62&lt;=0,"",IFERROR(Q62/P62-1,"")))</f>
        <v/>
      </c>
      <c r="R63" s="15">
        <f>IF(OR(R62="",Q62=""),"",IF(Q62&lt;=0,"",IFERROR(R62/Q62-1,"")))</f>
        <v/>
      </c>
      <c r="S63" s="15">
        <f>IF(OR(S62="",R62=""),"",IF(R62&lt;=0,"",IFERROR(S62/R62-1,"")))</f>
        <v/>
      </c>
      <c r="T63" s="15">
        <f>IF(OR(T62="",S62=""),"",IF(S62&lt;=0,"",IFERROR(T62/S62-1,"")))</f>
        <v/>
      </c>
      <c r="U63" s="15">
        <f>IF(OR(U62="",T62=""),"",IF(T62&lt;=0,"",IFERROR(U62/T62-1,"")))</f>
        <v/>
      </c>
      <c r="V63" s="15">
        <f>IF(OR(V62="",U62=""),"",IF(U62&lt;=0,"",IFERROR(V62/U62-1,"")))</f>
        <v/>
      </c>
      <c r="W63" s="15">
        <f>IF(OR(W62="",V62=""),"",IF(V62&lt;=0,"",IFERROR(W62/V62-1,"")))</f>
        <v/>
      </c>
      <c r="X63" s="15">
        <f>IF(OR(X62="",W62=""),"",IF(W62&lt;=0,"",IFERROR(X62/W62-1,"")))</f>
        <v/>
      </c>
      <c r="Y63" s="14">
        <f>IF(OR(Y62="",X62=""),"",IF(X62&lt;=0,"",IFERROR(Y62/X62-1,"")))</f>
        <v/>
      </c>
      <c r="Z63" s="15">
        <f>IF(OR(Z62="",Y62=""),"",IF(Y62&lt;=0,"",IFERROR(Z62/Y62-1,"")))</f>
        <v/>
      </c>
      <c r="AA63" s="15">
        <f>IF(OR(AA62="",Z62=""),"",IF(Z62&lt;=0,"",IFERROR(AA62/Z62-1,"")))</f>
        <v/>
      </c>
      <c r="AB63" s="15">
        <f>IF(OR(AB62="",AA62=""),"",IF(AA62&lt;=0,"",IFERROR(AB62/AA62-1,"")))</f>
        <v/>
      </c>
      <c r="AC63" s="15">
        <f>IF(OR(AC62="",AB62=""),"",IF(AB62&lt;=0,"",IFERROR(AC62/AB62-1,"")))</f>
        <v/>
      </c>
    </row>
    <row r="64">
      <c r="A64" s="9" t="inlineStr">
        <is>
          <t>지배주주 순이익</t>
        </is>
      </c>
      <c r="B64" s="10" t="n"/>
      <c r="C64" s="11" t="n">
        <v>3078</v>
      </c>
      <c r="D64" s="12" t="n">
        <v>5894</v>
      </c>
      <c r="E64" s="12" t="n">
        <v>2239</v>
      </c>
      <c r="F64" s="12" t="n">
        <v>5170</v>
      </c>
      <c r="G64" s="12" t="n">
        <v>3918</v>
      </c>
      <c r="H64" s="12" t="n">
        <v>3914</v>
      </c>
      <c r="I64" s="12" t="n">
        <v>3200</v>
      </c>
      <c r="J64" s="12" t="n">
        <v>4145</v>
      </c>
      <c r="K64" s="12" t="n">
        <v>1550</v>
      </c>
      <c r="L64" s="12" t="n">
        <v>4862</v>
      </c>
      <c r="M64" s="12" t="n">
        <v>1139</v>
      </c>
      <c r="N64" s="12" t="n">
        <v>3630</v>
      </c>
      <c r="O64" s="11" t="n">
        <v>8480</v>
      </c>
      <c r="P64" s="12" t="n">
        <v>11029</v>
      </c>
      <c r="Q64" s="12" t="n">
        <v>10411</v>
      </c>
      <c r="R64" s="12" t="n">
        <v>8980</v>
      </c>
      <c r="S64" s="12" t="n">
        <v>10574</v>
      </c>
      <c r="T64" s="12" t="n">
        <v>20769</v>
      </c>
      <c r="U64" s="12" t="n">
        <v>21206</v>
      </c>
      <c r="V64" s="12" t="n">
        <v>16176</v>
      </c>
      <c r="W64" s="12" t="n">
        <v>16202</v>
      </c>
      <c r="X64" s="12" t="n">
        <v>11696</v>
      </c>
      <c r="Y64" s="11">
        <f>IF(OR(Y62="",Y65=""),"",IFERROR(Y62*Y65,""))</f>
        <v/>
      </c>
      <c r="Z64" s="12">
        <f>IF(OR(Z62="",Z65=""),"",IFERROR(Z62*Z65,""))</f>
        <v/>
      </c>
      <c r="AA64" s="12">
        <f>IF(OR(AA62="",AA65=""),"",IFERROR(AA62*AA65,""))</f>
        <v/>
      </c>
      <c r="AB64" s="12">
        <f>IF(OR(AB62="",AB65=""),"",IFERROR(AB62*AB65,""))</f>
        <v/>
      </c>
      <c r="AC64" s="12">
        <f>IF(OR(AC62="",AC65=""),"",IFERROR(AC62*AC65,""))</f>
        <v/>
      </c>
    </row>
    <row r="65">
      <c r="A65" s="13" t="inlineStr">
        <is>
          <t>지배주주 순이익률</t>
        </is>
      </c>
      <c r="B65" s="10" t="inlineStr">
        <is>
          <t>MW 기본 100%</t>
        </is>
      </c>
      <c r="C65" s="14">
        <f>IF(OR(C64="",C62=""),"",IFERROR(C64/C62,""))</f>
        <v/>
      </c>
      <c r="D65" s="15">
        <f>IF(OR(D64="",D62=""),"",IFERROR(D64/D62,""))</f>
        <v/>
      </c>
      <c r="E65" s="15">
        <f>IF(OR(E64="",E62=""),"",IFERROR(E64/E62,""))</f>
        <v/>
      </c>
      <c r="F65" s="15">
        <f>IF(OR(F64="",F62=""),"",IFERROR(F64/F62,""))</f>
        <v/>
      </c>
      <c r="G65" s="15">
        <f>IF(OR(G64="",G62=""),"",IFERROR(G64/G62,""))</f>
        <v/>
      </c>
      <c r="H65" s="15">
        <f>IF(OR(H64="",H62=""),"",IFERROR(H64/H62,""))</f>
        <v/>
      </c>
      <c r="I65" s="15">
        <f>IF(OR(I64="",I62=""),"",IFERROR(I64/I62,""))</f>
        <v/>
      </c>
      <c r="J65" s="15">
        <f>IF(OR(J64="",J62=""),"",IFERROR(J64/J62,""))</f>
        <v/>
      </c>
      <c r="K65" s="15">
        <f>IF(OR(K64="",K62=""),"",IFERROR(K64/K62,""))</f>
        <v/>
      </c>
      <c r="L65" s="15">
        <f>IF(OR(L64="",L62=""),"",IFERROR(L64/L62,""))</f>
        <v/>
      </c>
      <c r="M65" s="15">
        <f>IF(OR(M64="",M62=""),"",IFERROR(M64/M62,""))</f>
        <v/>
      </c>
      <c r="N65" s="15">
        <f>IF(OR(N64="",N62=""),"",IFERROR(N64/N62,""))</f>
        <v/>
      </c>
      <c r="O65" s="14">
        <f>IF(OR(O64="",O62=""),"",IFERROR(O64/O62,""))</f>
        <v/>
      </c>
      <c r="P65" s="15">
        <f>IF(OR(P64="",P62=""),"",IFERROR(P64/P62,""))</f>
        <v/>
      </c>
      <c r="Q65" s="15">
        <f>IF(OR(Q64="",Q62=""),"",IFERROR(Q64/Q62,""))</f>
        <v/>
      </c>
      <c r="R65" s="15">
        <f>IF(OR(R64="",R62=""),"",IFERROR(R64/R62,""))</f>
        <v/>
      </c>
      <c r="S65" s="15">
        <f>IF(OR(S64="",S62=""),"",IFERROR(S64/S62,""))</f>
        <v/>
      </c>
      <c r="T65" s="15">
        <f>IF(OR(T64="",T62=""),"",IFERROR(T64/T62,""))</f>
        <v/>
      </c>
      <c r="U65" s="15">
        <f>IF(OR(U64="",U62=""),"",IFERROR(U64/U62,""))</f>
        <v/>
      </c>
      <c r="V65" s="15">
        <f>IF(OR(V64="",V62=""),"",IFERROR(V64/V62,""))</f>
        <v/>
      </c>
      <c r="W65" s="15">
        <f>IF(OR(W64="",W62=""),"",IFERROR(W64/W62,""))</f>
        <v/>
      </c>
      <c r="X65" s="15">
        <f>IF(OR(X64="",X62=""),"",IFERROR(X64/X62,""))</f>
        <v/>
      </c>
      <c r="Y65" s="25" t="n">
        <v>1</v>
      </c>
      <c r="Z65" s="26" t="n">
        <v>1</v>
      </c>
      <c r="AA65" s="26" t="n">
        <v>1</v>
      </c>
      <c r="AB65" s="26" t="n">
        <v>1</v>
      </c>
      <c r="AC65" s="26" t="n">
        <v>1</v>
      </c>
    </row>
    <row r="66">
      <c r="A66" s="13" t="inlineStr">
        <is>
          <t>지배주주 순이익 YoY</t>
        </is>
      </c>
      <c r="B66" s="10" t="n"/>
      <c r="C66" s="14" t="n"/>
      <c r="D66" s="15" t="n"/>
      <c r="E66" s="15" t="n"/>
      <c r="F66" s="15" t="n"/>
      <c r="G66" s="15">
        <f>IF(OR(G64="",C64=""),"",IF(C64&lt;=0,"",IFERROR(G64/C64-1,"")))</f>
        <v/>
      </c>
      <c r="H66" s="15">
        <f>IF(OR(H64="",D64=""),"",IF(D64&lt;=0,"",IFERROR(H64/D64-1,"")))</f>
        <v/>
      </c>
      <c r="I66" s="15">
        <f>IF(OR(I64="",E64=""),"",IF(E64&lt;=0,"",IFERROR(I64/E64-1,"")))</f>
        <v/>
      </c>
      <c r="J66" s="15">
        <f>IF(OR(J64="",F64=""),"",IF(F64&lt;=0,"",IFERROR(J64/F64-1,"")))</f>
        <v/>
      </c>
      <c r="K66" s="15">
        <f>IF(OR(K64="",G64=""),"",IF(G64&lt;=0,"",IFERROR(K64/G64-1,"")))</f>
        <v/>
      </c>
      <c r="L66" s="15">
        <f>IF(OR(L64="",H64=""),"",IF(H64&lt;=0,"",IFERROR(L64/H64-1,"")))</f>
        <v/>
      </c>
      <c r="M66" s="15">
        <f>IF(OR(M64="",I64=""),"",IF(I64&lt;=0,"",IFERROR(M64/I64-1,"")))</f>
        <v/>
      </c>
      <c r="N66" s="15">
        <f>IF(OR(N64="",J64=""),"",IF(J64&lt;=0,"",IFERROR(N64/J64-1,"")))</f>
        <v/>
      </c>
      <c r="O66" s="14" t="n"/>
      <c r="P66" s="15">
        <f>IF(OR(P64="",O64=""),"",IF(O64&lt;=0,"",IFERROR(P64/O64-1,"")))</f>
        <v/>
      </c>
      <c r="Q66" s="15">
        <f>IF(OR(Q64="",P64=""),"",IF(P64&lt;=0,"",IFERROR(Q64/P64-1,"")))</f>
        <v/>
      </c>
      <c r="R66" s="15">
        <f>IF(OR(R64="",Q64=""),"",IF(Q64&lt;=0,"",IFERROR(R64/Q64-1,"")))</f>
        <v/>
      </c>
      <c r="S66" s="15">
        <f>IF(OR(S64="",R64=""),"",IF(R64&lt;=0,"",IFERROR(S64/R64-1,"")))</f>
        <v/>
      </c>
      <c r="T66" s="15">
        <f>IF(OR(T64="",S64=""),"",IF(S64&lt;=0,"",IFERROR(T64/S64-1,"")))</f>
        <v/>
      </c>
      <c r="U66" s="15">
        <f>IF(OR(U64="",T64=""),"",IF(T64&lt;=0,"",IFERROR(U64/T64-1,"")))</f>
        <v/>
      </c>
      <c r="V66" s="15">
        <f>IF(OR(V64="",U64=""),"",IF(U64&lt;=0,"",IFERROR(V64/U64-1,"")))</f>
        <v/>
      </c>
      <c r="W66" s="15">
        <f>IF(OR(W64="",V64=""),"",IF(V64&lt;=0,"",IFERROR(W64/V64-1,"")))</f>
        <v/>
      </c>
      <c r="X66" s="15">
        <f>IF(OR(X64="",W64=""),"",IF(W64&lt;=0,"",IFERROR(X64/W64-1,"")))</f>
        <v/>
      </c>
      <c r="Y66" s="14">
        <f>IF(OR(Y64="",X64=""),"",IF(X64&lt;=0,"",IFERROR(Y64/X64-1,"")))</f>
        <v/>
      </c>
      <c r="Z66" s="15">
        <f>IF(OR(Z64="",Y64=""),"",IF(Y64&lt;=0,"",IFERROR(Z64/Y64-1,"")))</f>
        <v/>
      </c>
      <c r="AA66" s="15">
        <f>IF(OR(AA64="",Z64=""),"",IF(Z64&lt;=0,"",IFERROR(AA64/Z64-1,"")))</f>
        <v/>
      </c>
      <c r="AB66" s="15">
        <f>IF(OR(AB64="",AA64=""),"",IF(AA64&lt;=0,"",IFERROR(AB64/AA64-1,"")))</f>
        <v/>
      </c>
      <c r="AC66" s="15">
        <f>IF(OR(AC64="",AB64=""),"",IF(AB64&lt;=0,"",IFERROR(AC64/AB64-1,"")))</f>
        <v/>
      </c>
    </row>
    <row r="67">
      <c r="A67" s="16" t="inlineStr">
        <is>
          <t>목표주가 산출</t>
        </is>
      </c>
      <c r="B67" s="16" t="n"/>
      <c r="C67" s="17" t="n"/>
      <c r="D67" s="16" t="n"/>
      <c r="E67" s="16" t="n"/>
      <c r="F67" s="16" t="n"/>
      <c r="G67" s="16" t="n"/>
      <c r="H67" s="16" t="n"/>
      <c r="I67" s="16" t="n"/>
      <c r="J67" s="16" t="n"/>
      <c r="K67" s="16" t="n"/>
      <c r="L67" s="16" t="n"/>
      <c r="M67" s="16" t="n"/>
      <c r="N67" s="16" t="n"/>
      <c r="O67" s="17" t="n"/>
      <c r="P67" s="16" t="n"/>
      <c r="Q67" s="16" t="n"/>
      <c r="R67" s="16" t="n"/>
      <c r="S67" s="16" t="n"/>
      <c r="T67" s="16" t="n"/>
      <c r="U67" s="16" t="n"/>
      <c r="V67" s="16" t="n"/>
      <c r="W67" s="16" t="n"/>
      <c r="X67" s="16" t="n"/>
      <c r="Y67" s="17" t="n"/>
      <c r="Z67" s="16" t="n"/>
      <c r="AA67" s="16" t="n"/>
      <c r="AB67" s="16" t="n"/>
      <c r="AC67" s="16" t="n"/>
    </row>
    <row r="68">
      <c r="A68" s="18" t="inlineStr">
        <is>
          <t>현재 주가 ()</t>
        </is>
      </c>
      <c r="B68" s="27" t="n"/>
      <c r="C68" s="28" t="n"/>
      <c r="D68" s="29" t="n"/>
      <c r="E68" s="29" t="n"/>
      <c r="F68" s="29" t="n"/>
      <c r="G68" s="29" t="n"/>
      <c r="H68" s="29" t="n"/>
      <c r="I68" s="29" t="n"/>
      <c r="J68" s="29" t="n"/>
      <c r="K68" s="29" t="n"/>
      <c r="L68" s="29" t="n"/>
      <c r="M68" s="29" t="n"/>
      <c r="N68" s="29" t="n"/>
      <c r="O68" s="28" t="n"/>
      <c r="P68" s="29" t="n"/>
      <c r="Q68" s="29" t="n"/>
      <c r="R68" s="29" t="n"/>
      <c r="S68" s="29" t="n"/>
      <c r="T68" s="29" t="n"/>
      <c r="U68" s="29" t="n"/>
      <c r="V68" s="29" t="n"/>
      <c r="W68" s="29" t="n"/>
      <c r="X68" s="29" t="n"/>
      <c r="Y68" s="28" t="n"/>
      <c r="Z68" s="29" t="n"/>
      <c r="AA68" s="29" t="n"/>
      <c r="AB68" s="29" t="n"/>
      <c r="AC68" s="29" t="n"/>
    </row>
    <row r="69">
      <c r="A69" s="18" t="inlineStr">
        <is>
          <t>발행주식수 (보통주)</t>
        </is>
      </c>
      <c r="B69" s="27" t="n"/>
      <c r="C69" s="28" t="n"/>
      <c r="D69" s="29" t="n"/>
      <c r="E69" s="29" t="n"/>
      <c r="F69" s="29" t="n"/>
      <c r="G69" s="29" t="n"/>
      <c r="H69" s="29" t="n"/>
      <c r="I69" s="29" t="n"/>
      <c r="J69" s="29" t="n"/>
      <c r="K69" s="29" t="n"/>
      <c r="L69" s="29" t="n"/>
      <c r="M69" s="29" t="n"/>
      <c r="N69" s="29" t="n"/>
      <c r="O69" s="28" t="n"/>
      <c r="P69" s="29" t="n"/>
      <c r="Q69" s="29" t="n"/>
      <c r="R69" s="29" t="n"/>
      <c r="S69" s="29" t="n"/>
      <c r="T69" s="29" t="n"/>
      <c r="U69" s="29" t="n"/>
      <c r="V69" s="29" t="n"/>
      <c r="W69" s="29" t="n"/>
      <c r="X69" s="29" t="n"/>
      <c r="Y69" s="28" t="n"/>
      <c r="Z69" s="29" t="n"/>
      <c r="AA69" s="29" t="n"/>
      <c r="AB69" s="29" t="n"/>
      <c r="AC69" s="29" t="n"/>
    </row>
    <row r="70">
      <c r="A70" s="18" t="inlineStr">
        <is>
          <t>시가총액 (백만엔)</t>
        </is>
      </c>
      <c r="B70" s="12">
        <f>IF(OR(B68="",B69=""),"",B68*B69/1000000.0)</f>
        <v/>
      </c>
      <c r="C70" s="19" t="n"/>
      <c r="D70" s="20" t="n"/>
      <c r="E70" s="20" t="n"/>
      <c r="F70" s="20" t="n"/>
      <c r="G70" s="20" t="n"/>
      <c r="H70" s="20" t="n"/>
      <c r="I70" s="20" t="n"/>
      <c r="J70" s="20" t="n"/>
      <c r="K70" s="20" t="n"/>
      <c r="L70" s="20" t="n"/>
      <c r="M70" s="20" t="n"/>
      <c r="N70" s="20" t="n"/>
      <c r="O70" s="19" t="n"/>
      <c r="P70" s="20" t="n"/>
      <c r="Q70" s="20" t="n"/>
      <c r="R70" s="20" t="n"/>
      <c r="S70" s="20" t="n"/>
      <c r="T70" s="20" t="n"/>
      <c r="U70" s="20" t="n"/>
      <c r="V70" s="20" t="n"/>
      <c r="W70" s="20" t="n"/>
      <c r="X70" s="20" t="n"/>
      <c r="Y70" s="19" t="n"/>
      <c r="Z70" s="20" t="n"/>
      <c r="AA70" s="20" t="n"/>
      <c r="AB70" s="20" t="n"/>
      <c r="AC70" s="20" t="n"/>
    </row>
    <row r="71">
      <c r="A71" s="13" t="inlineStr">
        <is>
          <t>OPM</t>
        </is>
      </c>
      <c r="B71" s="10" t="n"/>
      <c r="C71" s="14" t="n"/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4">
        <f>IF(O35="","",O35)</f>
        <v/>
      </c>
      <c r="P71" s="15">
        <f>IF(P35="","",P35)</f>
        <v/>
      </c>
      <c r="Q71" s="15">
        <f>IF(Q35="","",Q35)</f>
        <v/>
      </c>
      <c r="R71" s="15">
        <f>IF(R35="","",R35)</f>
        <v/>
      </c>
      <c r="S71" s="15">
        <f>IF(S35="","",S35)</f>
        <v/>
      </c>
      <c r="T71" s="15">
        <f>IF(T35="","",T35)</f>
        <v/>
      </c>
      <c r="U71" s="15">
        <f>IF(U35="","",U35)</f>
        <v/>
      </c>
      <c r="V71" s="15">
        <f>IF(V35="","",V35)</f>
        <v/>
      </c>
      <c r="W71" s="15">
        <f>IF(W35="","",W35)</f>
        <v/>
      </c>
      <c r="X71" s="15">
        <f>IF(X35="","",X35)</f>
        <v/>
      </c>
      <c r="Y71" s="14">
        <f>IF(Y35="","",Y35)</f>
        <v/>
      </c>
      <c r="Z71" s="15">
        <f>IF(Z35="","",Z35)</f>
        <v/>
      </c>
      <c r="AA71" s="15">
        <f>IF(AA35="","",AA35)</f>
        <v/>
      </c>
      <c r="AB71" s="15">
        <f>IF(AB35="","",AB35)</f>
        <v/>
      </c>
      <c r="AC71" s="15">
        <f>IF(AC35="","",AC35)</f>
        <v/>
      </c>
    </row>
    <row r="72">
      <c r="A72" s="13" t="inlineStr">
        <is>
          <t>지배주주 순이익 증가율</t>
        </is>
      </c>
      <c r="B72" s="10" t="n"/>
      <c r="C72" s="14" t="n"/>
      <c r="D72" s="15" t="n"/>
      <c r="E72" s="15" t="n"/>
      <c r="F72" s="15" t="n"/>
      <c r="G72" s="15" t="n"/>
      <c r="H72" s="15" t="n"/>
      <c r="I72" s="15" t="n"/>
      <c r="J72" s="15" t="n"/>
      <c r="K72" s="15" t="n"/>
      <c r="L72" s="15" t="n"/>
      <c r="M72" s="15" t="n"/>
      <c r="N72" s="15" t="n"/>
      <c r="O72" s="14" t="n"/>
      <c r="P72" s="15">
        <f>IF(OR(P64="",O64=""),"",IFERROR(P64/O64-1,""))</f>
        <v/>
      </c>
      <c r="Q72" s="15">
        <f>IF(OR(Q64="",P64=""),"",IFERROR(Q64/P64-1,""))</f>
        <v/>
      </c>
      <c r="R72" s="15">
        <f>IF(OR(R64="",Q64=""),"",IFERROR(R64/Q64-1,""))</f>
        <v/>
      </c>
      <c r="S72" s="15">
        <f>IF(OR(S64="",R64=""),"",IFERROR(S64/R64-1,""))</f>
        <v/>
      </c>
      <c r="T72" s="15">
        <f>IF(OR(T64="",S64=""),"",IFERROR(T64/S64-1,""))</f>
        <v/>
      </c>
      <c r="U72" s="15">
        <f>IF(OR(U64="",T64=""),"",IFERROR(U64/T64-1,""))</f>
        <v/>
      </c>
      <c r="V72" s="15">
        <f>IF(OR(V64="",U64=""),"",IFERROR(V64/U64-1,""))</f>
        <v/>
      </c>
      <c r="W72" s="15">
        <f>IF(OR(W64="",V64=""),"",IFERROR(W64/V64-1,""))</f>
        <v/>
      </c>
      <c r="X72" s="15">
        <f>IF(OR(X64="",W64=""),"",IFERROR(X64/W64-1,""))</f>
        <v/>
      </c>
      <c r="Y72" s="14">
        <f>IF(OR(Y64="",X64=""),"",IFERROR(Y64/X64-1,""))</f>
        <v/>
      </c>
      <c r="Z72" s="15">
        <f>IF(OR(Z64="",Y64=""),"",IFERROR(Z64/Y64-1,""))</f>
        <v/>
      </c>
      <c r="AA72" s="15">
        <f>IF(OR(AA64="",Z64=""),"",IFERROR(AA64/Z64-1,""))</f>
        <v/>
      </c>
      <c r="AB72" s="15">
        <f>IF(OR(AB64="",AA64=""),"",IFERROR(AB64/AA64-1,""))</f>
        <v/>
      </c>
      <c r="AC72" s="15">
        <f>IF(OR(AC64="",AB64=""),"",IFERROR(AC64/AB64-1,""))</f>
        <v/>
      </c>
    </row>
    <row r="73">
      <c r="A73" s="18" t="inlineStr">
        <is>
          <t>P/E (현재 주가)</t>
        </is>
      </c>
      <c r="B73" s="10" t="inlineStr">
        <is>
          <t>시총 ÷ 지배순이익</t>
        </is>
      </c>
      <c r="C73" s="30" t="n"/>
      <c r="D73" s="31" t="n"/>
      <c r="E73" s="31" t="n"/>
      <c r="F73" s="31" t="n"/>
      <c r="G73" s="31" t="n"/>
      <c r="H73" s="31" t="n"/>
      <c r="I73" s="31" t="n"/>
      <c r="J73" s="31" t="n"/>
      <c r="K73" s="31" t="n"/>
      <c r="L73" s="31" t="n"/>
      <c r="M73" s="31" t="n"/>
      <c r="N73" s="31" t="n"/>
      <c r="O73" s="30" t="n"/>
      <c r="P73" s="31" t="n"/>
      <c r="Q73" s="31" t="n"/>
      <c r="R73" s="31" t="n"/>
      <c r="S73" s="31" t="n"/>
      <c r="T73" s="31" t="n"/>
      <c r="U73" s="31" t="n"/>
      <c r="V73" s="31" t="n"/>
      <c r="W73" s="31" t="n"/>
      <c r="X73" s="31">
        <f>IF(OR($B$70="",X64=""),"",IFERROR($B$70/X64,""))</f>
        <v/>
      </c>
      <c r="Y73" s="30">
        <f>IF(OR($B$70="",Y64=""),"",IFERROR($B$70/Y64,""))</f>
        <v/>
      </c>
      <c r="Z73" s="31">
        <f>IF(OR($B$70="",Z64=""),"",IFERROR($B$70/Z64,""))</f>
        <v/>
      </c>
      <c r="AA73" s="31">
        <f>IF(OR($B$70="",AA64=""),"",IFERROR($B$70/AA64,""))</f>
        <v/>
      </c>
      <c r="AB73" s="31">
        <f>IF(OR($B$70="",AB64=""),"",IFERROR($B$70/AB64,""))</f>
        <v/>
      </c>
      <c r="AC73" s="31">
        <f>IF(OR($B$70="",AC64=""),"",IFERROR($B$70/AC64,""))</f>
        <v/>
      </c>
    </row>
    <row r="74">
      <c r="A74" s="18" t="inlineStr">
        <is>
          <t>Target P/E</t>
        </is>
      </c>
      <c r="B74" s="10" t="inlineStr">
        <is>
          <t>직접 입력</t>
        </is>
      </c>
      <c r="C74" s="30" t="n"/>
      <c r="D74" s="31" t="n"/>
      <c r="E74" s="31" t="n"/>
      <c r="F74" s="31" t="n"/>
      <c r="G74" s="31" t="n"/>
      <c r="H74" s="31" t="n"/>
      <c r="I74" s="31" t="n"/>
      <c r="J74" s="31" t="n"/>
      <c r="K74" s="31" t="n"/>
      <c r="L74" s="31" t="n"/>
      <c r="M74" s="31" t="n"/>
      <c r="N74" s="31" t="n"/>
      <c r="O74" s="30" t="n"/>
      <c r="P74" s="31" t="n"/>
      <c r="Q74" s="31" t="n"/>
      <c r="R74" s="31" t="n"/>
      <c r="S74" s="31" t="n"/>
      <c r="T74" s="31" t="n"/>
      <c r="U74" s="31" t="n"/>
      <c r="V74" s="31" t="n"/>
      <c r="W74" s="31" t="n"/>
      <c r="X74" s="31" t="n"/>
      <c r="Y74" s="32" t="n"/>
      <c r="Z74" s="33" t="n"/>
      <c r="AA74" s="33" t="n"/>
      <c r="AB74" s="33" t="n"/>
      <c r="AC74" s="33" t="n"/>
    </row>
    <row r="75">
      <c r="A75" s="18" t="inlineStr">
        <is>
          <t>EPS</t>
        </is>
      </c>
      <c r="B75" s="10" t="inlineStr">
        <is>
          <t>지배순이익 ÷ 주식수</t>
        </is>
      </c>
      <c r="C75" s="28" t="n"/>
      <c r="D75" s="29" t="n"/>
      <c r="E75" s="29" t="n"/>
      <c r="F75" s="29" t="n"/>
      <c r="G75" s="29" t="n"/>
      <c r="H75" s="29" t="n"/>
      <c r="I75" s="29" t="n"/>
      <c r="J75" s="29" t="n"/>
      <c r="K75" s="29" t="n"/>
      <c r="L75" s="29" t="n"/>
      <c r="M75" s="29" t="n"/>
      <c r="N75" s="29" t="n"/>
      <c r="O75" s="28">
        <f>IF(OR(O64="",$B$69=""),"",IFERROR(O64*1000000.0/$B$69,""))</f>
        <v/>
      </c>
      <c r="P75" s="29">
        <f>IF(OR(P64="",$B$69=""),"",IFERROR(P64*1000000.0/$B$69,""))</f>
        <v/>
      </c>
      <c r="Q75" s="29">
        <f>IF(OR(Q64="",$B$69=""),"",IFERROR(Q64*1000000.0/$B$69,""))</f>
        <v/>
      </c>
      <c r="R75" s="29">
        <f>IF(OR(R64="",$B$69=""),"",IFERROR(R64*1000000.0/$B$69,""))</f>
        <v/>
      </c>
      <c r="S75" s="29">
        <f>IF(OR(S64="",$B$69=""),"",IFERROR(S64*1000000.0/$B$69,""))</f>
        <v/>
      </c>
      <c r="T75" s="29">
        <f>IF(OR(T64="",$B$69=""),"",IFERROR(T64*1000000.0/$B$69,""))</f>
        <v/>
      </c>
      <c r="U75" s="29">
        <f>IF(OR(U64="",$B$69=""),"",IFERROR(U64*1000000.0/$B$69,""))</f>
        <v/>
      </c>
      <c r="V75" s="29">
        <f>IF(OR(V64="",$B$69=""),"",IFERROR(V64*1000000.0/$B$69,""))</f>
        <v/>
      </c>
      <c r="W75" s="29">
        <f>IF(OR(W64="",$B$69=""),"",IFERROR(W64*1000000.0/$B$69,""))</f>
        <v/>
      </c>
      <c r="X75" s="29">
        <f>IF(OR(X64="",$B$69=""),"",IFERROR(X64*1000000.0/$B$69,""))</f>
        <v/>
      </c>
      <c r="Y75" s="28">
        <f>IF(OR(Y64="",$B$69=""),"",IFERROR(Y64*1000000.0/$B$69,""))</f>
        <v/>
      </c>
      <c r="Z75" s="29">
        <f>IF(OR(Z64="",$B$69=""),"",IFERROR(Z64*1000000.0/$B$69,""))</f>
        <v/>
      </c>
      <c r="AA75" s="29">
        <f>IF(OR(AA64="",$B$69=""),"",IFERROR(AA64*1000000.0/$B$69,""))</f>
        <v/>
      </c>
      <c r="AB75" s="29">
        <f>IF(OR(AB64="",$B$69=""),"",IFERROR(AB64*1000000.0/$B$69,""))</f>
        <v/>
      </c>
      <c r="AC75" s="29">
        <f>IF(OR(AC64="",$B$69=""),"",IFERROR(AC64*1000000.0/$B$69,""))</f>
        <v/>
      </c>
    </row>
    <row r="76">
      <c r="A76" s="9" t="inlineStr">
        <is>
          <t>목표주가</t>
        </is>
      </c>
      <c r="B76" s="10" t="n"/>
      <c r="C76" s="34" t="n"/>
      <c r="D76" s="27" t="n"/>
      <c r="E76" s="27" t="n"/>
      <c r="F76" s="27" t="n"/>
      <c r="G76" s="27" t="n"/>
      <c r="H76" s="27" t="n"/>
      <c r="I76" s="27" t="n"/>
      <c r="J76" s="27" t="n"/>
      <c r="K76" s="27" t="n"/>
      <c r="L76" s="27" t="n"/>
      <c r="M76" s="27" t="n"/>
      <c r="N76" s="27" t="n"/>
      <c r="O76" s="34" t="n"/>
      <c r="P76" s="27" t="n"/>
      <c r="Q76" s="27" t="n"/>
      <c r="R76" s="27" t="n"/>
      <c r="S76" s="27" t="n"/>
      <c r="T76" s="27" t="n"/>
      <c r="U76" s="27" t="n"/>
      <c r="V76" s="27" t="n"/>
      <c r="W76" s="27" t="n"/>
      <c r="X76" s="27" t="n"/>
      <c r="Y76" s="34">
        <f>IF(OR(Y75="",Y74=""),"",IFERROR(Y75*Y74,""))</f>
        <v/>
      </c>
      <c r="Z76" s="27">
        <f>IF(OR(Z75="",Z74=""),"",IFERROR(Z75*Z74,""))</f>
        <v/>
      </c>
      <c r="AA76" s="27">
        <f>IF(OR(AA75="",AA74=""),"",IFERROR(AA75*AA74,""))</f>
        <v/>
      </c>
      <c r="AB76" s="27">
        <f>IF(OR(AB75="",AB74=""),"",IFERROR(AB75*AB74,""))</f>
        <v/>
      </c>
      <c r="AC76" s="27">
        <f>IF(OR(AC75="",AC74=""),"",IFERROR(AC75*AC74,""))</f>
        <v/>
      </c>
    </row>
    <row r="77">
      <c r="A77" s="18" t="inlineStr">
        <is>
          <t>상승여력</t>
        </is>
      </c>
      <c r="B77" s="10" t="n"/>
      <c r="C77" s="35" t="n"/>
      <c r="D77" s="36" t="n"/>
      <c r="E77" s="36" t="n"/>
      <c r="F77" s="36" t="n"/>
      <c r="G77" s="36" t="n"/>
      <c r="H77" s="36" t="n"/>
      <c r="I77" s="36" t="n"/>
      <c r="J77" s="36" t="n"/>
      <c r="K77" s="36" t="n"/>
      <c r="L77" s="36" t="n"/>
      <c r="M77" s="36" t="n"/>
      <c r="N77" s="36" t="n"/>
      <c r="O77" s="35" t="n"/>
      <c r="P77" s="36" t="n"/>
      <c r="Q77" s="36" t="n"/>
      <c r="R77" s="36" t="n"/>
      <c r="S77" s="36" t="n"/>
      <c r="T77" s="36" t="n"/>
      <c r="U77" s="36" t="n"/>
      <c r="V77" s="36" t="n"/>
      <c r="W77" s="36" t="n"/>
      <c r="X77" s="36" t="n"/>
      <c r="Y77" s="37">
        <f>IF(OR(Y76="",$B$68=""),"",IFERROR(Y76/$B$68-1,""))</f>
        <v/>
      </c>
      <c r="Z77" s="38">
        <f>IF(OR(Z76="",$B$68=""),"",IFERROR(Z76/$B$68-1,""))</f>
        <v/>
      </c>
      <c r="AA77" s="38">
        <f>IF(OR(AA76="",$B$68=""),"",IFERROR(AA76/$B$68-1,""))</f>
        <v/>
      </c>
      <c r="AB77" s="38">
        <f>IF(OR(AB76="",$B$68=""),"",IFERROR(AB76/$B$68-1,""))</f>
        <v/>
      </c>
      <c r="AC77" s="38">
        <f>IF(OR(AC76="",$B$68=""),"",IFERROR(AC76/$B$68-1,""))</f>
        <v/>
      </c>
    </row>
    <row r="78">
      <c r="A78" s="16" t="inlineStr">
        <is>
          <t>자산가치 산출</t>
        </is>
      </c>
      <c r="B78" s="16" t="inlineStr">
        <is>
          <t>최신 분기 BS</t>
        </is>
      </c>
      <c r="C78" s="17" t="n"/>
      <c r="D78" s="16" t="n"/>
      <c r="E78" s="16" t="n"/>
      <c r="F78" s="16" t="n"/>
      <c r="G78" s="16" t="n"/>
      <c r="H78" s="16" t="n"/>
      <c r="I78" s="16" t="n"/>
      <c r="J78" s="16" t="n"/>
      <c r="K78" s="16" t="n"/>
      <c r="L78" s="16" t="n"/>
      <c r="M78" s="16" t="n"/>
      <c r="N78" s="16" t="n"/>
      <c r="O78" s="17" t="n"/>
      <c r="P78" s="16" t="n"/>
      <c r="Q78" s="16" t="n"/>
      <c r="R78" s="16" t="n"/>
      <c r="S78" s="16" t="n"/>
      <c r="T78" s="16" t="n"/>
      <c r="U78" s="16" t="n"/>
      <c r="V78" s="16" t="n"/>
      <c r="W78" s="16" t="n"/>
      <c r="X78" s="16" t="n"/>
      <c r="Y78" s="17" t="n"/>
      <c r="Z78" s="16" t="n"/>
      <c r="AA78" s="16" t="n"/>
      <c r="AB78" s="16" t="n"/>
      <c r="AC78" s="16" t="n"/>
    </row>
    <row r="79">
      <c r="A79" s="18" t="inlineStr">
        <is>
          <t>현금및현금성자산</t>
        </is>
      </c>
      <c r="B79" s="10" t="n"/>
      <c r="C79" s="19" t="n"/>
      <c r="D79" s="20" t="n"/>
      <c r="E79" s="20" t="n"/>
      <c r="F79" s="20" t="n"/>
      <c r="G79" s="20" t="n"/>
      <c r="H79" s="20" t="n"/>
      <c r="I79" s="20" t="n"/>
      <c r="J79" s="20" t="n"/>
      <c r="K79" s="20" t="n"/>
      <c r="L79" s="20" t="n"/>
      <c r="M79" s="20" t="n"/>
      <c r="N79" s="20" t="n"/>
      <c r="O79" s="19" t="n"/>
      <c r="P79" s="20" t="n"/>
      <c r="Q79" s="20" t="n"/>
      <c r="R79" s="20" t="n"/>
      <c r="S79" s="20" t="n"/>
      <c r="T79" s="20" t="n"/>
      <c r="U79" s="20" t="n"/>
      <c r="V79" s="20" t="n"/>
      <c r="W79" s="20" t="n"/>
      <c r="X79" s="20">
        <f>'재무상태표'!G6</f>
        <v/>
      </c>
      <c r="Y79" s="19">
        <f>'재무상태표'!G6</f>
        <v/>
      </c>
      <c r="Z79" s="20">
        <f>'재무상태표'!G6</f>
        <v/>
      </c>
      <c r="AA79" s="20">
        <f>'재무상태표'!G6</f>
        <v/>
      </c>
      <c r="AB79" s="20">
        <f>'재무상태표'!G6</f>
        <v/>
      </c>
      <c r="AC79" s="20">
        <f>'재무상태표'!G6</f>
        <v/>
      </c>
    </row>
    <row r="80">
      <c r="A80" s="18" t="inlineStr">
        <is>
          <t>단기금융상품</t>
        </is>
      </c>
      <c r="B80" s="10" t="n"/>
      <c r="C80" s="19" t="n"/>
      <c r="D80" s="20" t="n"/>
      <c r="E80" s="20" t="n"/>
      <c r="F80" s="20" t="n"/>
      <c r="G80" s="20" t="n"/>
      <c r="H80" s="20" t="n"/>
      <c r="I80" s="20" t="n"/>
      <c r="J80" s="20" t="n"/>
      <c r="K80" s="20" t="n"/>
      <c r="L80" s="20" t="n"/>
      <c r="M80" s="20" t="n"/>
      <c r="N80" s="20" t="n"/>
      <c r="O80" s="19" t="n"/>
      <c r="P80" s="20" t="n"/>
      <c r="Q80" s="20" t="n"/>
      <c r="R80" s="20" t="n"/>
      <c r="S80" s="20" t="n"/>
      <c r="T80" s="20" t="n"/>
      <c r="U80" s="20" t="n"/>
      <c r="V80" s="20" t="n"/>
      <c r="W80" s="20" t="n"/>
      <c r="X80" s="20">
        <f>'재무상태표'!G7</f>
        <v/>
      </c>
      <c r="Y80" s="19">
        <f>'재무상태표'!G7</f>
        <v/>
      </c>
      <c r="Z80" s="20">
        <f>'재무상태표'!G7</f>
        <v/>
      </c>
      <c r="AA80" s="20">
        <f>'재무상태표'!G7</f>
        <v/>
      </c>
      <c r="AB80" s="20">
        <f>'재무상태표'!G7</f>
        <v/>
      </c>
      <c r="AC80" s="20">
        <f>'재무상태표'!G7</f>
        <v/>
      </c>
    </row>
    <row r="81">
      <c r="A81" s="18" t="inlineStr">
        <is>
          <t>투자부동산</t>
        </is>
      </c>
      <c r="B81" s="10" t="n"/>
      <c r="C81" s="19" t="n"/>
      <c r="D81" s="20" t="n"/>
      <c r="E81" s="20" t="n"/>
      <c r="F81" s="20" t="n"/>
      <c r="G81" s="20" t="n"/>
      <c r="H81" s="20" t="n"/>
      <c r="I81" s="20" t="n"/>
      <c r="J81" s="20" t="n"/>
      <c r="K81" s="20" t="n"/>
      <c r="L81" s="20" t="n"/>
      <c r="M81" s="20" t="n"/>
      <c r="N81" s="20" t="n"/>
      <c r="O81" s="19" t="n"/>
      <c r="P81" s="20" t="n"/>
      <c r="Q81" s="20" t="n"/>
      <c r="R81" s="20" t="n"/>
      <c r="S81" s="20" t="n"/>
      <c r="T81" s="20" t="n"/>
      <c r="U81" s="20" t="n"/>
      <c r="V81" s="20" t="n"/>
      <c r="W81" s="20" t="n"/>
      <c r="X81" s="20">
        <f>'재무상태표'!G14</f>
        <v/>
      </c>
      <c r="Y81" s="19">
        <f>'재무상태표'!G14</f>
        <v/>
      </c>
      <c r="Z81" s="20">
        <f>'재무상태표'!G14</f>
        <v/>
      </c>
      <c r="AA81" s="20">
        <f>'재무상태표'!G14</f>
        <v/>
      </c>
      <c r="AB81" s="20">
        <f>'재무상태표'!G14</f>
        <v/>
      </c>
      <c r="AC81" s="20">
        <f>'재무상태표'!G14</f>
        <v/>
      </c>
    </row>
    <row r="82">
      <c r="A82" s="18" t="inlineStr">
        <is>
          <t>지배자본</t>
        </is>
      </c>
      <c r="B82" s="10" t="n"/>
      <c r="C82" s="19" t="n"/>
      <c r="D82" s="20" t="n"/>
      <c r="E82" s="20" t="n"/>
      <c r="F82" s="20" t="n"/>
      <c r="G82" s="20" t="n"/>
      <c r="H82" s="20" t="n"/>
      <c r="I82" s="20" t="n"/>
      <c r="J82" s="20" t="n"/>
      <c r="K82" s="20" t="n"/>
      <c r="L82" s="20" t="n"/>
      <c r="M82" s="20" t="n"/>
      <c r="N82" s="20" t="n"/>
      <c r="O82" s="19" t="n"/>
      <c r="P82" s="20" t="n"/>
      <c r="Q82" s="20" t="n"/>
      <c r="R82" s="20" t="n"/>
      <c r="S82" s="20" t="n"/>
      <c r="T82" s="20" t="n"/>
      <c r="U82" s="20" t="n"/>
      <c r="V82" s="20" t="n"/>
      <c r="W82" s="20" t="n"/>
      <c r="X82" s="20">
        <f>'재무상태표'!G31</f>
        <v/>
      </c>
      <c r="Y82" s="19">
        <f>'재무상태표'!G31</f>
        <v/>
      </c>
      <c r="Z82" s="20">
        <f>'재무상태표'!G31</f>
        <v/>
      </c>
      <c r="AA82" s="20">
        <f>'재무상태표'!G31</f>
        <v/>
      </c>
      <c r="AB82" s="20">
        <f>'재무상태표'!G31</f>
        <v/>
      </c>
      <c r="AC82" s="20">
        <f>'재무상태표'!G31</f>
        <v/>
      </c>
    </row>
    <row r="83">
      <c r="A83" s="18" t="inlineStr">
        <is>
          <t>부채</t>
        </is>
      </c>
      <c r="B83" s="10" t="n"/>
      <c r="C83" s="19" t="n"/>
      <c r="D83" s="20" t="n"/>
      <c r="E83" s="20" t="n"/>
      <c r="F83" s="20" t="n"/>
      <c r="G83" s="20" t="n"/>
      <c r="H83" s="20" t="n"/>
      <c r="I83" s="20" t="n"/>
      <c r="J83" s="20" t="n"/>
      <c r="K83" s="20" t="n"/>
      <c r="L83" s="20" t="n"/>
      <c r="M83" s="20" t="n"/>
      <c r="N83" s="20" t="n"/>
      <c r="O83" s="19" t="n"/>
      <c r="P83" s="20" t="n"/>
      <c r="Q83" s="20" t="n"/>
      <c r="R83" s="20" t="n"/>
      <c r="S83" s="20" t="n"/>
      <c r="T83" s="20" t="n"/>
      <c r="U83" s="20" t="n"/>
      <c r="V83" s="20" t="n"/>
      <c r="W83" s="20" t="n"/>
      <c r="X83" s="20">
        <f>'재무상태표'!G27</f>
        <v/>
      </c>
      <c r="Y83" s="19">
        <f>'재무상태표'!G27</f>
        <v/>
      </c>
      <c r="Z83" s="20">
        <f>'재무상태표'!G27</f>
        <v/>
      </c>
      <c r="AA83" s="20">
        <f>'재무상태표'!G27</f>
        <v/>
      </c>
      <c r="AB83" s="20">
        <f>'재무상태표'!G27</f>
        <v/>
      </c>
      <c r="AC83" s="20">
        <f>'재무상태표'!G27</f>
        <v/>
      </c>
    </row>
    <row r="84">
      <c r="A84" s="13" t="inlineStr">
        <is>
          <t>부채비율</t>
        </is>
      </c>
      <c r="B84" s="10" t="n"/>
      <c r="C84" s="14" t="n"/>
      <c r="D84" s="15" t="n"/>
      <c r="E84" s="15" t="n"/>
      <c r="F84" s="15" t="n"/>
      <c r="G84" s="15" t="n"/>
      <c r="H84" s="15" t="n"/>
      <c r="I84" s="15" t="n"/>
      <c r="J84" s="15" t="n"/>
      <c r="K84" s="15" t="n"/>
      <c r="L84" s="15" t="n"/>
      <c r="M84" s="15" t="n"/>
      <c r="N84" s="15" t="n"/>
      <c r="O84" s="14" t="n"/>
      <c r="P84" s="15" t="n"/>
      <c r="Q84" s="15" t="n"/>
      <c r="R84" s="15" t="n"/>
      <c r="S84" s="15" t="n"/>
      <c r="T84" s="15" t="n"/>
      <c r="U84" s="15" t="n"/>
      <c r="V84" s="15" t="n"/>
      <c r="W84" s="15" t="n"/>
      <c r="X84" s="15">
        <f>IF(OR(X83="",X82=""),"",IFERROR(X83/X82,""))</f>
        <v/>
      </c>
      <c r="Y84" s="14">
        <f>IF(OR(Y83="",Y82=""),"",IFERROR(Y83/Y82,""))</f>
        <v/>
      </c>
      <c r="Z84" s="15">
        <f>IF(OR(Z83="",Z82=""),"",IFERROR(Z83/Z82,""))</f>
        <v/>
      </c>
      <c r="AA84" s="15">
        <f>IF(OR(AA83="",AA82=""),"",IFERROR(AA83/AA82,""))</f>
        <v/>
      </c>
      <c r="AB84" s="15">
        <f>IF(OR(AB83="",AB82=""),"",IFERROR(AB83/AB82,""))</f>
        <v/>
      </c>
      <c r="AC84" s="15">
        <f>IF(OR(AC83="",AC82=""),"",IFERROR(AC83/AC82,""))</f>
        <v/>
      </c>
    </row>
    <row r="85">
      <c r="A85" s="9" t="inlineStr">
        <is>
          <t>자산가치</t>
        </is>
      </c>
      <c r="B85" s="10" t="inlineStr">
        <is>
          <t>현금+단기금융+투자부동산</t>
        </is>
      </c>
      <c r="C85" s="11" t="n"/>
      <c r="D85" s="12" t="n"/>
      <c r="E85" s="12" t="n"/>
      <c r="F85" s="12" t="n"/>
      <c r="G85" s="12" t="n"/>
      <c r="H85" s="12" t="n"/>
      <c r="I85" s="12" t="n"/>
      <c r="J85" s="12" t="n"/>
      <c r="K85" s="12" t="n"/>
      <c r="L85" s="12" t="n"/>
      <c r="M85" s="12" t="n"/>
      <c r="N85" s="12" t="n"/>
      <c r="O85" s="11" t="n"/>
      <c r="P85" s="12" t="n"/>
      <c r="Q85" s="12" t="n"/>
      <c r="R85" s="12" t="n"/>
      <c r="S85" s="12" t="n"/>
      <c r="T85" s="12" t="n"/>
      <c r="U85" s="12" t="n"/>
      <c r="V85" s="12" t="n"/>
      <c r="W85" s="12" t="n"/>
      <c r="X85" s="12">
        <f>SUM(X79,X80,X81)</f>
        <v/>
      </c>
      <c r="Y85" s="11">
        <f>SUM(Y79,Y80,Y81)</f>
        <v/>
      </c>
      <c r="Z85" s="12">
        <f>SUM(Z79,Z80,Z81)</f>
        <v/>
      </c>
      <c r="AA85" s="12">
        <f>SUM(AA79,AA80,AA81)</f>
        <v/>
      </c>
      <c r="AB85" s="12">
        <f>SUM(AB79,AB80,AB81)</f>
        <v/>
      </c>
      <c r="AC85" s="12">
        <f>SUM(AC79,AC80,AC81)</f>
        <v/>
      </c>
    </row>
    <row r="86">
      <c r="A86" s="16" t="inlineStr">
        <is>
          <t>기업가치 산출</t>
        </is>
      </c>
      <c r="B86" s="16" t="n"/>
      <c r="C86" s="17" t="n"/>
      <c r="D86" s="16" t="n"/>
      <c r="E86" s="16" t="n"/>
      <c r="F86" s="16" t="n"/>
      <c r="G86" s="16" t="n"/>
      <c r="H86" s="16" t="n"/>
      <c r="I86" s="16" t="n"/>
      <c r="J86" s="16" t="n"/>
      <c r="K86" s="16" t="n"/>
      <c r="L86" s="16" t="n"/>
      <c r="M86" s="16" t="n"/>
      <c r="N86" s="16" t="n"/>
      <c r="O86" s="17" t="n"/>
      <c r="P86" s="16" t="n"/>
      <c r="Q86" s="16" t="n"/>
      <c r="R86" s="16" t="n"/>
      <c r="S86" s="16" t="n"/>
      <c r="T86" s="16" t="n"/>
      <c r="U86" s="16" t="n"/>
      <c r="V86" s="16" t="n"/>
      <c r="W86" s="16" t="n"/>
      <c r="X86" s="16" t="n"/>
      <c r="Y86" s="17" t="n"/>
      <c r="Z86" s="16" t="n"/>
      <c r="AA86" s="16" t="n"/>
      <c r="AB86" s="16" t="n"/>
      <c r="AC86" s="16" t="n"/>
    </row>
    <row r="87">
      <c r="A87" s="18" t="inlineStr">
        <is>
          <t>목표 시가총액 (P/E)</t>
        </is>
      </c>
      <c r="B87" s="10" t="inlineStr">
        <is>
          <t>지배순이익 × Target P/E</t>
        </is>
      </c>
      <c r="C87" s="19" t="n"/>
      <c r="D87" s="20" t="n"/>
      <c r="E87" s="20" t="n"/>
      <c r="F87" s="20" t="n"/>
      <c r="G87" s="20" t="n"/>
      <c r="H87" s="20" t="n"/>
      <c r="I87" s="20" t="n"/>
      <c r="J87" s="20" t="n"/>
      <c r="K87" s="20" t="n"/>
      <c r="L87" s="20" t="n"/>
      <c r="M87" s="20" t="n"/>
      <c r="N87" s="20" t="n"/>
      <c r="O87" s="19" t="n"/>
      <c r="P87" s="20" t="n"/>
      <c r="Q87" s="20" t="n"/>
      <c r="R87" s="20" t="n"/>
      <c r="S87" s="20" t="n"/>
      <c r="T87" s="20" t="n"/>
      <c r="U87" s="20" t="n"/>
      <c r="V87" s="20" t="n"/>
      <c r="W87" s="20" t="n"/>
      <c r="X87" s="20" t="n"/>
      <c r="Y87" s="19">
        <f>IF(OR(Y64="",Y74=""),"",IFERROR(Y64*Y74,""))</f>
        <v/>
      </c>
      <c r="Z87" s="20">
        <f>IF(OR(Z64="",Z74=""),"",IFERROR(Z64*Z74,""))</f>
        <v/>
      </c>
      <c r="AA87" s="20">
        <f>IF(OR(AA64="",AA74=""),"",IFERROR(AA64*AA74,""))</f>
        <v/>
      </c>
      <c r="AB87" s="20">
        <f>IF(OR(AB64="",AB74=""),"",IFERROR(AB64*AB74,""))</f>
        <v/>
      </c>
      <c r="AC87" s="20">
        <f>IF(OR(AC64="",AC74=""),"",IFERROR(AC64*AC74,""))</f>
        <v/>
      </c>
    </row>
    <row r="88">
      <c r="A88" s="9" t="inlineStr">
        <is>
          <t>기업가치</t>
        </is>
      </c>
      <c r="B88" s="10" t="inlineStr">
        <is>
          <t>목표시총 + 자산가치</t>
        </is>
      </c>
      <c r="C88" s="11" t="n"/>
      <c r="D88" s="12" t="n"/>
      <c r="E88" s="12" t="n"/>
      <c r="F88" s="12" t="n"/>
      <c r="G88" s="12" t="n"/>
      <c r="H88" s="12" t="n"/>
      <c r="I88" s="12" t="n"/>
      <c r="J88" s="12" t="n"/>
      <c r="K88" s="12" t="n"/>
      <c r="L88" s="12" t="n"/>
      <c r="M88" s="12" t="n"/>
      <c r="N88" s="12" t="n"/>
      <c r="O88" s="11" t="n"/>
      <c r="P88" s="12" t="n"/>
      <c r="Q88" s="12" t="n"/>
      <c r="R88" s="12" t="n"/>
      <c r="S88" s="12" t="n"/>
      <c r="T88" s="12" t="n"/>
      <c r="U88" s="12" t="n"/>
      <c r="V88" s="12" t="n"/>
      <c r="W88" s="12" t="n"/>
      <c r="X88" s="12" t="n"/>
      <c r="Y88" s="11">
        <f>IF(OR(Y87=""),"",IFERROR(Y87+Y85,""))</f>
        <v/>
      </c>
      <c r="Z88" s="12">
        <f>IF(OR(Z87=""),"",IFERROR(Z87+Z85,""))</f>
        <v/>
      </c>
      <c r="AA88" s="12">
        <f>IF(OR(AA87=""),"",IFERROR(AA87+AA85,""))</f>
        <v/>
      </c>
      <c r="AB88" s="12">
        <f>IF(OR(AB87=""),"",IFERROR(AB87+AB85,""))</f>
        <v/>
      </c>
      <c r="AC88" s="12">
        <f>IF(OR(AC87=""),"",IFERROR(AC87+AC85,""))</f>
        <v/>
      </c>
    </row>
    <row r="89">
      <c r="A89" s="18" t="inlineStr">
        <is>
          <t>현재 시가총액</t>
        </is>
      </c>
      <c r="B89" s="10" t="n"/>
      <c r="C89" s="19" t="n"/>
      <c r="D89" s="20" t="n"/>
      <c r="E89" s="20" t="n"/>
      <c r="F89" s="20" t="n"/>
      <c r="G89" s="20" t="n"/>
      <c r="H89" s="20" t="n"/>
      <c r="I89" s="20" t="n"/>
      <c r="J89" s="20" t="n"/>
      <c r="K89" s="20" t="n"/>
      <c r="L89" s="20" t="n"/>
      <c r="M89" s="20" t="n"/>
      <c r="N89" s="20" t="n"/>
      <c r="O89" s="19" t="n"/>
      <c r="P89" s="20" t="n"/>
      <c r="Q89" s="20" t="n"/>
      <c r="R89" s="20" t="n"/>
      <c r="S89" s="20" t="n"/>
      <c r="T89" s="20" t="n"/>
      <c r="U89" s="20" t="n"/>
      <c r="V89" s="20" t="n"/>
      <c r="W89" s="20" t="n"/>
      <c r="X89" s="20" t="n"/>
      <c r="Y89" s="19">
        <f>$B$70</f>
        <v/>
      </c>
      <c r="Z89" s="20">
        <f>$B$70</f>
        <v/>
      </c>
      <c r="AA89" s="20">
        <f>$B$70</f>
        <v/>
      </c>
      <c r="AB89" s="20">
        <f>$B$70</f>
        <v/>
      </c>
      <c r="AC89" s="20">
        <f>$B$70</f>
        <v/>
      </c>
    </row>
    <row r="90">
      <c r="A90" s="18" t="inlineStr">
        <is>
          <t>상승여력</t>
        </is>
      </c>
      <c r="B90" s="10" t="n"/>
      <c r="C90" s="35" t="n"/>
      <c r="D90" s="36" t="n"/>
      <c r="E90" s="36" t="n"/>
      <c r="F90" s="36" t="n"/>
      <c r="G90" s="36" t="n"/>
      <c r="H90" s="36" t="n"/>
      <c r="I90" s="36" t="n"/>
      <c r="J90" s="36" t="n"/>
      <c r="K90" s="36" t="n"/>
      <c r="L90" s="36" t="n"/>
      <c r="M90" s="36" t="n"/>
      <c r="N90" s="36" t="n"/>
      <c r="O90" s="35" t="n"/>
      <c r="P90" s="36" t="n"/>
      <c r="Q90" s="36" t="n"/>
      <c r="R90" s="36" t="n"/>
      <c r="S90" s="36" t="n"/>
      <c r="T90" s="36" t="n"/>
      <c r="U90" s="36" t="n"/>
      <c r="V90" s="36" t="n"/>
      <c r="W90" s="36" t="n"/>
      <c r="X90" s="36" t="n"/>
      <c r="Y90" s="37">
        <f>IF(OR(Y88="",Y89=""),"",IFERROR(Y88/Y89-1,""))</f>
        <v/>
      </c>
      <c r="Z90" s="38">
        <f>IF(OR(Z88="",Z89=""),"",IFERROR(Z88/Z89-1,""))</f>
        <v/>
      </c>
      <c r="AA90" s="38">
        <f>IF(OR(AA88="",AA89=""),"",IFERROR(AA88/AA89-1,""))</f>
        <v/>
      </c>
      <c r="AB90" s="38">
        <f>IF(OR(AB88="",AB89=""),"",IFERROR(AB88/AB89-1,""))</f>
        <v/>
      </c>
      <c r="AC90" s="38">
        <f>IF(OR(AC88="",AC89=""),"",IFERROR(AC88/AC89-1,""))</f>
        <v/>
      </c>
    </row>
    <row r="91">
      <c r="C91" s="39" t="n"/>
      <c r="O91" s="39" t="n"/>
      <c r="Y91" s="39" t="n"/>
    </row>
    <row r="92">
      <c r="A92" s="40" t="inlineStr">
        <is>
          <t>출처</t>
        </is>
      </c>
      <c r="C92" s="39" t="n"/>
      <c r="O92" s="39" t="n"/>
      <c r="Y92" s="39" t="n"/>
    </row>
    <row r="93">
      <c r="A93" s="41" t="inlineStr">
        <is>
          <t>결산단신 XBRL(TDnet·JPX 보관소) — 쓴 문서는 '출처' 시트</t>
        </is>
      </c>
      <c r="C93" s="39" t="n"/>
      <c r="O93" s="39" t="n"/>
      <c r="Y93" s="39" t="n"/>
    </row>
    <row r="94">
      <c r="A94" s="41" t="inlineStr">
        <is>
          <t>분기 = 누계에서 앞 분기를 뺀 3개월 값</t>
        </is>
      </c>
      <c r="C94" s="39" t="n"/>
      <c r="O94" s="39" t="n"/>
      <c r="Y94" s="39" t="n"/>
    </row>
    <row r="95">
      <c r="A95" s="41" t="inlineStr">
        <is>
          <t>주가: 야후 파이낸스 일봉</t>
        </is>
      </c>
      <c r="C95" s="39" t="n"/>
      <c r="O95" s="39" t="n"/>
      <c r="Y95" s="39" t="n"/>
    </row>
    <row r="97">
      <c r="A97" s="16" t="inlineStr">
        <is>
          <t>손익계산서 · 전 항목</t>
        </is>
      </c>
      <c r="B97" s="42" t="inlineStr">
        <is>
          <t>분기 = 3개월 단독</t>
        </is>
      </c>
      <c r="C97" s="16" t="n"/>
      <c r="D97" s="16" t="n"/>
      <c r="E97" s="16" t="n"/>
      <c r="F97" s="16" t="n"/>
      <c r="G97" s="16" t="n"/>
      <c r="H97" s="16" t="n"/>
      <c r="I97" s="16" t="n"/>
      <c r="J97" s="16" t="n"/>
      <c r="K97" s="16" t="n"/>
      <c r="L97" s="16" t="n"/>
      <c r="M97" s="16" t="n"/>
      <c r="N97" s="16" t="n"/>
      <c r="O97" s="16" t="n"/>
      <c r="P97" s="16" t="n"/>
      <c r="Q97" s="16" t="n"/>
      <c r="R97" s="16" t="n"/>
      <c r="S97" s="16" t="n"/>
      <c r="T97" s="16" t="n"/>
      <c r="U97" s="16" t="n"/>
      <c r="V97" s="16" t="n"/>
      <c r="W97" s="16" t="n"/>
      <c r="X97" s="16" t="n"/>
      <c r="Y97" s="16" t="n"/>
      <c r="Z97" s="16" t="n"/>
      <c r="AA97" s="16" t="n"/>
      <c r="AB97" s="16" t="n"/>
      <c r="AC97" s="16" t="n"/>
    </row>
    <row r="98">
      <c r="A98" s="5" t="inlineStr">
        <is>
          <t>항목</t>
        </is>
      </c>
      <c r="B98" s="5" t="inlineStr">
        <is>
          <t>참고</t>
        </is>
      </c>
      <c r="C98" s="5" t="inlineStr">
        <is>
          <t>2024.2Q</t>
        </is>
      </c>
      <c r="D98" s="5" t="inlineStr">
        <is>
          <t>2024.3Q</t>
        </is>
      </c>
      <c r="E98" s="5" t="inlineStr">
        <is>
          <t>2024.4Q</t>
        </is>
      </c>
      <c r="F98" s="5" t="inlineStr">
        <is>
          <t>2025.1Q</t>
        </is>
      </c>
      <c r="G98" s="5" t="inlineStr">
        <is>
          <t>2025.2Q</t>
        </is>
      </c>
      <c r="H98" s="5" t="inlineStr">
        <is>
          <t>2025.3Q</t>
        </is>
      </c>
      <c r="I98" s="5" t="inlineStr">
        <is>
          <t>2025.4Q</t>
        </is>
      </c>
      <c r="J98" s="5" t="inlineStr">
        <is>
          <t>2026.1Q</t>
        </is>
      </c>
      <c r="K98" s="5" t="inlineStr">
        <is>
          <t>2026.2Q</t>
        </is>
      </c>
      <c r="L98" s="5" t="inlineStr">
        <is>
          <t>2026.3Q</t>
        </is>
      </c>
      <c r="M98" s="5" t="inlineStr">
        <is>
          <t>2026.4Q</t>
        </is>
      </c>
      <c r="N98" s="5" t="inlineStr">
        <is>
          <t>2027.1Q</t>
        </is>
      </c>
      <c r="O98" s="5" t="inlineStr">
        <is>
          <t>2017</t>
        </is>
      </c>
      <c r="P98" s="5" t="inlineStr">
        <is>
          <t>2018</t>
        </is>
      </c>
      <c r="Q98" s="5" t="inlineStr">
        <is>
          <t>2019</t>
        </is>
      </c>
      <c r="R98" s="5" t="inlineStr">
        <is>
          <t>2020</t>
        </is>
      </c>
      <c r="S98" s="5" t="inlineStr">
        <is>
          <t>2021</t>
        </is>
      </c>
      <c r="T98" s="5" t="inlineStr">
        <is>
          <t>2022</t>
        </is>
      </c>
      <c r="U98" s="5" t="inlineStr">
        <is>
          <t>2023</t>
        </is>
      </c>
      <c r="V98" s="5" t="inlineStr">
        <is>
          <t>2024</t>
        </is>
      </c>
      <c r="W98" s="5" t="inlineStr">
        <is>
          <t>2025</t>
        </is>
      </c>
      <c r="X98" s="5" t="inlineStr">
        <is>
          <t>2026</t>
        </is>
      </c>
      <c r="Y98" s="5" t="inlineStr">
        <is>
          <t>2027(MW)</t>
        </is>
      </c>
      <c r="Z98" s="5" t="inlineStr">
        <is>
          <t>2028(MW)</t>
        </is>
      </c>
      <c r="AA98" s="5" t="inlineStr">
        <is>
          <t>2029(MW)</t>
        </is>
      </c>
      <c r="AB98" s="5" t="inlineStr">
        <is>
          <t>2030(MW)</t>
        </is>
      </c>
      <c r="AC98" s="5" t="inlineStr">
        <is>
          <t>2031(MW)</t>
        </is>
      </c>
    </row>
    <row r="99">
      <c r="A99" s="9" t="inlineStr">
        <is>
          <t>매출액</t>
        </is>
      </c>
      <c r="C99" s="12" t="n">
        <v>81662</v>
      </c>
      <c r="D99" s="12" t="n">
        <v>90446</v>
      </c>
      <c r="E99" s="12" t="n">
        <v>85754</v>
      </c>
      <c r="F99" s="12" t="n">
        <v>84956</v>
      </c>
      <c r="G99" s="12" t="n">
        <v>91583</v>
      </c>
      <c r="H99" s="12" t="n">
        <v>90396</v>
      </c>
      <c r="I99" s="12" t="n">
        <v>95758</v>
      </c>
      <c r="J99" s="12" t="n">
        <v>93348</v>
      </c>
      <c r="K99" s="12" t="n">
        <v>93208</v>
      </c>
      <c r="L99" s="12" t="n">
        <v>104973</v>
      </c>
      <c r="M99" s="12" t="n">
        <v>102787</v>
      </c>
      <c r="N99" s="12" t="n">
        <v>103207</v>
      </c>
      <c r="T99" s="12" t="n">
        <v>79140</v>
      </c>
      <c r="U99" s="12" t="n">
        <v>85038</v>
      </c>
      <c r="V99" s="12" t="n">
        <v>85754</v>
      </c>
      <c r="W99" s="12" t="n">
        <v>95758</v>
      </c>
      <c r="X99" s="12" t="n">
        <v>102787</v>
      </c>
    </row>
    <row r="100">
      <c r="A100" s="43" t="inlineStr">
        <is>
          <t>YoY</t>
        </is>
      </c>
      <c r="B100" s="3" t="inlineStr">
        <is>
          <t>전년 같은 분기·전년 대비</t>
        </is>
      </c>
      <c r="G100" s="15">
        <f>IF(OR(G99="",C99=""),"",IF(C99&lt;=0,"",IFERROR(G99/C99-1,"")))</f>
        <v/>
      </c>
      <c r="H100" s="15">
        <f>IF(OR(H99="",D99=""),"",IF(D99&lt;=0,"",IFERROR(H99/D99-1,"")))</f>
        <v/>
      </c>
      <c r="I100" s="15">
        <f>IF(OR(I99="",E99=""),"",IF(E99&lt;=0,"",IFERROR(I99/E99-1,"")))</f>
        <v/>
      </c>
      <c r="J100" s="15">
        <f>IF(OR(J99="",F99=""),"",IF(F99&lt;=0,"",IFERROR(J99/F99-1,"")))</f>
        <v/>
      </c>
      <c r="K100" s="15">
        <f>IF(OR(K99="",G99=""),"",IF(G99&lt;=0,"",IFERROR(K99/G99-1,"")))</f>
        <v/>
      </c>
      <c r="L100" s="15">
        <f>IF(OR(L99="",H99=""),"",IF(H99&lt;=0,"",IFERROR(L99/H99-1,"")))</f>
        <v/>
      </c>
      <c r="M100" s="15">
        <f>IF(OR(M99="",I99=""),"",IF(I99&lt;=0,"",IFERROR(M99/I99-1,"")))</f>
        <v/>
      </c>
      <c r="N100" s="15">
        <f>IF(OR(N99="",J99=""),"",IF(J99&lt;=0,"",IFERROR(N99/J99-1,"")))</f>
        <v/>
      </c>
      <c r="T100" s="15">
        <f>IF(OR(T99="",S99=""),"",IF(S99&lt;=0,"",IFERROR(T99/S99-1,"")))</f>
        <v/>
      </c>
      <c r="U100" s="15">
        <f>IF(OR(U99="",T99=""),"",IF(T99&lt;=0,"",IFERROR(U99/T99-1,"")))</f>
        <v/>
      </c>
      <c r="V100" s="15">
        <f>IF(OR(V99="",U99=""),"",IF(U99&lt;=0,"",IFERROR(V99/U99-1,"")))</f>
        <v/>
      </c>
      <c r="W100" s="15">
        <f>IF(OR(W99="",V99=""),"",IF(V99&lt;=0,"",IFERROR(W99/V99-1,"")))</f>
        <v/>
      </c>
      <c r="X100" s="15">
        <f>IF(OR(X99="",W99=""),"",IF(W99&lt;=0,"",IFERROR(X99/W99-1,"")))</f>
        <v/>
      </c>
    </row>
    <row r="101">
      <c r="A101" s="18" t="inlineStr">
        <is>
          <t>매출원가</t>
        </is>
      </c>
      <c r="C101" s="20" t="n">
        <v>54242</v>
      </c>
      <c r="D101" s="20" t="n">
        <v>61511</v>
      </c>
      <c r="E101" s="20" t="n">
        <v>56214</v>
      </c>
      <c r="F101" s="20" t="n">
        <v>57595</v>
      </c>
      <c r="G101" s="20" t="n">
        <v>60199</v>
      </c>
      <c r="H101" s="20" t="n">
        <v>61617</v>
      </c>
      <c r="I101" s="20" t="n">
        <v>63634</v>
      </c>
      <c r="J101" s="20" t="n">
        <v>62450</v>
      </c>
      <c r="K101" s="20" t="n">
        <v>62463</v>
      </c>
      <c r="L101" s="20" t="n">
        <v>72375</v>
      </c>
      <c r="M101" s="20" t="n">
        <v>69332</v>
      </c>
      <c r="N101" s="20" t="n">
        <v>69943</v>
      </c>
      <c r="T101" s="20" t="n">
        <v>49611</v>
      </c>
      <c r="U101" s="20" t="n">
        <v>58598</v>
      </c>
      <c r="V101" s="20" t="n">
        <v>56214</v>
      </c>
      <c r="W101" s="20" t="n">
        <v>63634</v>
      </c>
      <c r="X101" s="20" t="n">
        <v>69332</v>
      </c>
    </row>
    <row r="102">
      <c r="A102" s="43" t="inlineStr">
        <is>
          <t>YoY</t>
        </is>
      </c>
      <c r="B102" s="3" t="inlineStr">
        <is>
          <t>전년 같은 분기·전년 대비</t>
        </is>
      </c>
      <c r="G102" s="15">
        <f>IF(OR(G101="",C101=""),"",IF(G101*C101&lt;=0,"",IFERROR(G101/C101-1,"")))</f>
        <v/>
      </c>
      <c r="H102" s="15">
        <f>IF(OR(H101="",D101=""),"",IF(H101*D101&lt;=0,"",IFERROR(H101/D101-1,"")))</f>
        <v/>
      </c>
      <c r="I102" s="15">
        <f>IF(OR(I101="",E101=""),"",IF(I101*E101&lt;=0,"",IFERROR(I101/E101-1,"")))</f>
        <v/>
      </c>
      <c r="J102" s="15">
        <f>IF(OR(J101="",F101=""),"",IF(J101*F101&lt;=0,"",IFERROR(J101/F101-1,"")))</f>
        <v/>
      </c>
      <c r="K102" s="15">
        <f>IF(OR(K101="",G101=""),"",IF(K101*G101&lt;=0,"",IFERROR(K101/G101-1,"")))</f>
        <v/>
      </c>
      <c r="L102" s="15">
        <f>IF(OR(L101="",H101=""),"",IF(L101*H101&lt;=0,"",IFERROR(L101/H101-1,"")))</f>
        <v/>
      </c>
      <c r="M102" s="15">
        <f>IF(OR(M101="",I101=""),"",IF(M101*I101&lt;=0,"",IFERROR(M101/I101-1,"")))</f>
        <v/>
      </c>
      <c r="N102" s="15">
        <f>IF(OR(N101="",J101=""),"",IF(N101*J101&lt;=0,"",IFERROR(N101/J101-1,"")))</f>
        <v/>
      </c>
      <c r="T102" s="15">
        <f>IF(OR(T101="",S101=""),"",IF(T101*S101&lt;=0,"",IFERROR(T101/S101-1,"")))</f>
        <v/>
      </c>
      <c r="U102" s="15">
        <f>IF(OR(U101="",T101=""),"",IF(U101*T101&lt;=0,"",IFERROR(U101/T101-1,"")))</f>
        <v/>
      </c>
      <c r="V102" s="15">
        <f>IF(OR(V101="",U101=""),"",IF(V101*U101&lt;=0,"",IFERROR(V101/U101-1,"")))</f>
        <v/>
      </c>
      <c r="W102" s="15">
        <f>IF(OR(W101="",V101=""),"",IF(W101*V101&lt;=0,"",IFERROR(W101/V101-1,"")))</f>
        <v/>
      </c>
      <c r="X102" s="15">
        <f>IF(OR(X101="",W101=""),"",IF(X101*W101&lt;=0,"",IFERROR(X101/W101-1,"")))</f>
        <v/>
      </c>
    </row>
    <row r="103">
      <c r="A103" s="9" t="inlineStr">
        <is>
          <t>매출총이익</t>
        </is>
      </c>
      <c r="C103" s="12" t="n">
        <v>27420</v>
      </c>
      <c r="D103" s="12" t="n">
        <v>28935</v>
      </c>
      <c r="E103" s="12" t="n">
        <v>29539</v>
      </c>
      <c r="F103" s="12" t="n">
        <v>27360</v>
      </c>
      <c r="G103" s="12" t="n">
        <v>31385</v>
      </c>
      <c r="H103" s="12" t="n">
        <v>28778</v>
      </c>
      <c r="I103" s="12" t="n">
        <v>32124</v>
      </c>
      <c r="J103" s="12" t="n">
        <v>30898</v>
      </c>
      <c r="K103" s="12" t="n">
        <v>30744</v>
      </c>
      <c r="L103" s="12" t="n">
        <v>32599</v>
      </c>
      <c r="M103" s="12" t="n">
        <v>33455</v>
      </c>
      <c r="N103" s="12" t="n">
        <v>33264</v>
      </c>
      <c r="T103" s="12" t="n">
        <v>29528</v>
      </c>
      <c r="U103" s="12" t="n">
        <v>26440</v>
      </c>
      <c r="V103" s="12" t="n">
        <v>29539</v>
      </c>
      <c r="W103" s="12" t="n">
        <v>32124</v>
      </c>
      <c r="X103" s="12" t="n">
        <v>33455</v>
      </c>
    </row>
    <row r="104">
      <c r="A104" s="43" t="inlineStr">
        <is>
          <t>YoY</t>
        </is>
      </c>
      <c r="B104" s="3" t="inlineStr">
        <is>
          <t>전년 같은 분기·전년 대비</t>
        </is>
      </c>
      <c r="G104" s="15">
        <f>IF(OR(G103="",C103=""),"",IF(C103&lt;=0,"",IFERROR(G103/C103-1,"")))</f>
        <v/>
      </c>
      <c r="H104" s="15">
        <f>IF(OR(H103="",D103=""),"",IF(D103&lt;=0,"",IFERROR(H103/D103-1,"")))</f>
        <v/>
      </c>
      <c r="I104" s="15">
        <f>IF(OR(I103="",E103=""),"",IF(E103&lt;=0,"",IFERROR(I103/E103-1,"")))</f>
        <v/>
      </c>
      <c r="J104" s="15">
        <f>IF(OR(J103="",F103=""),"",IF(F103&lt;=0,"",IFERROR(J103/F103-1,"")))</f>
        <v/>
      </c>
      <c r="K104" s="15">
        <f>IF(OR(K103="",G103=""),"",IF(G103&lt;=0,"",IFERROR(K103/G103-1,"")))</f>
        <v/>
      </c>
      <c r="L104" s="15">
        <f>IF(OR(L103="",H103=""),"",IF(H103&lt;=0,"",IFERROR(L103/H103-1,"")))</f>
        <v/>
      </c>
      <c r="M104" s="15">
        <f>IF(OR(M103="",I103=""),"",IF(I103&lt;=0,"",IFERROR(M103/I103-1,"")))</f>
        <v/>
      </c>
      <c r="N104" s="15">
        <f>IF(OR(N103="",J103=""),"",IF(J103&lt;=0,"",IFERROR(N103/J103-1,"")))</f>
        <v/>
      </c>
      <c r="T104" s="15">
        <f>IF(OR(T103="",S103=""),"",IF(S103&lt;=0,"",IFERROR(T103/S103-1,"")))</f>
        <v/>
      </c>
      <c r="U104" s="15">
        <f>IF(OR(U103="",T103=""),"",IF(T103&lt;=0,"",IFERROR(U103/T103-1,"")))</f>
        <v/>
      </c>
      <c r="V104" s="15">
        <f>IF(OR(V103="",U103=""),"",IF(U103&lt;=0,"",IFERROR(V103/U103-1,"")))</f>
        <v/>
      </c>
      <c r="W104" s="15">
        <f>IF(OR(W103="",V103=""),"",IF(V103&lt;=0,"",IFERROR(W103/V103-1,"")))</f>
        <v/>
      </c>
      <c r="X104" s="15">
        <f>IF(OR(X103="",W103=""),"",IF(W103&lt;=0,"",IFERROR(X103/W103-1,"")))</f>
        <v/>
      </c>
    </row>
    <row r="105">
      <c r="A105" s="18" t="inlineStr">
        <is>
          <t>판매비와 관리비</t>
        </is>
      </c>
      <c r="C105" s="20" t="n">
        <v>22058</v>
      </c>
      <c r="D105" s="20" t="n">
        <v>23619</v>
      </c>
      <c r="E105" s="20" t="n">
        <v>25077</v>
      </c>
      <c r="F105" s="20" t="n">
        <v>23295</v>
      </c>
      <c r="G105" s="20" t="n">
        <v>24917</v>
      </c>
      <c r="H105" s="20" t="n">
        <v>24402</v>
      </c>
      <c r="I105" s="20" t="n">
        <v>26436</v>
      </c>
      <c r="J105" s="20" t="n">
        <v>27441</v>
      </c>
      <c r="K105" s="20" t="n">
        <v>26415</v>
      </c>
      <c r="L105" s="20" t="n">
        <v>27753</v>
      </c>
      <c r="M105" s="20" t="n">
        <v>29010</v>
      </c>
      <c r="N105" s="20" t="n">
        <v>30314</v>
      </c>
      <c r="T105" s="20" t="n">
        <v>19764</v>
      </c>
      <c r="U105" s="20" t="n">
        <v>23381</v>
      </c>
      <c r="V105" s="20" t="n">
        <v>25077</v>
      </c>
      <c r="W105" s="20" t="n">
        <v>26436</v>
      </c>
      <c r="X105" s="20" t="n">
        <v>29010</v>
      </c>
    </row>
    <row r="106">
      <c r="A106" s="43" t="inlineStr">
        <is>
          <t>YoY</t>
        </is>
      </c>
      <c r="B106" s="3" t="inlineStr">
        <is>
          <t>전년 같은 분기·전년 대비</t>
        </is>
      </c>
      <c r="G106" s="15">
        <f>IF(OR(G105="",C105=""),"",IF(G105*C105&lt;=0,"",IFERROR(G105/C105-1,"")))</f>
        <v/>
      </c>
      <c r="H106" s="15">
        <f>IF(OR(H105="",D105=""),"",IF(H105*D105&lt;=0,"",IFERROR(H105/D105-1,"")))</f>
        <v/>
      </c>
      <c r="I106" s="15">
        <f>IF(OR(I105="",E105=""),"",IF(I105*E105&lt;=0,"",IFERROR(I105/E105-1,"")))</f>
        <v/>
      </c>
      <c r="J106" s="15">
        <f>IF(OR(J105="",F105=""),"",IF(J105*F105&lt;=0,"",IFERROR(J105/F105-1,"")))</f>
        <v/>
      </c>
      <c r="K106" s="15">
        <f>IF(OR(K105="",G105=""),"",IF(K105*G105&lt;=0,"",IFERROR(K105/G105-1,"")))</f>
        <v/>
      </c>
      <c r="L106" s="15">
        <f>IF(OR(L105="",H105=""),"",IF(L105*H105&lt;=0,"",IFERROR(L105/H105-1,"")))</f>
        <v/>
      </c>
      <c r="M106" s="15">
        <f>IF(OR(M105="",I105=""),"",IF(M105*I105&lt;=0,"",IFERROR(M105/I105-1,"")))</f>
        <v/>
      </c>
      <c r="N106" s="15">
        <f>IF(OR(N105="",J105=""),"",IF(N105*J105&lt;=0,"",IFERROR(N105/J105-1,"")))</f>
        <v/>
      </c>
      <c r="T106" s="15">
        <f>IF(OR(T105="",S105=""),"",IF(T105*S105&lt;=0,"",IFERROR(T105/S105-1,"")))</f>
        <v/>
      </c>
      <c r="U106" s="15">
        <f>IF(OR(U105="",T105=""),"",IF(U105*T105&lt;=0,"",IFERROR(U105/T105-1,"")))</f>
        <v/>
      </c>
      <c r="V106" s="15">
        <f>IF(OR(V105="",U105=""),"",IF(V105*U105&lt;=0,"",IFERROR(V105/U105-1,"")))</f>
        <v/>
      </c>
      <c r="W106" s="15">
        <f>IF(OR(W105="",V105=""),"",IF(W105*V105&lt;=0,"",IFERROR(W105/V105-1,"")))</f>
        <v/>
      </c>
      <c r="X106" s="15">
        <f>IF(OR(X105="",W105=""),"",IF(X105*W105&lt;=0,"",IFERROR(X105/W105-1,"")))</f>
        <v/>
      </c>
    </row>
    <row r="107">
      <c r="A107" s="9" t="inlineStr">
        <is>
          <t>영업이익</t>
        </is>
      </c>
      <c r="C107" s="12" t="n">
        <v>5363</v>
      </c>
      <c r="D107" s="12" t="n">
        <v>5315</v>
      </c>
      <c r="E107" s="12" t="n">
        <v>4463</v>
      </c>
      <c r="F107" s="12" t="n">
        <v>4064</v>
      </c>
      <c r="G107" s="12" t="n">
        <v>6468</v>
      </c>
      <c r="H107" s="12" t="n">
        <v>4377</v>
      </c>
      <c r="I107" s="12" t="n">
        <v>5688</v>
      </c>
      <c r="J107" s="12" t="n">
        <v>3456</v>
      </c>
      <c r="K107" s="12" t="n">
        <v>4330</v>
      </c>
      <c r="L107" s="12" t="n">
        <v>4846</v>
      </c>
      <c r="M107" s="12" t="n">
        <v>4444</v>
      </c>
      <c r="N107" s="12" t="n">
        <v>2949</v>
      </c>
      <c r="T107" s="12" t="n">
        <v>9765</v>
      </c>
      <c r="U107" s="12" t="n">
        <v>3060</v>
      </c>
      <c r="V107" s="12" t="n">
        <v>4463</v>
      </c>
      <c r="W107" s="12" t="n">
        <v>5688</v>
      </c>
      <c r="X107" s="12" t="n">
        <v>4444</v>
      </c>
    </row>
    <row r="108">
      <c r="A108" s="43" t="inlineStr">
        <is>
          <t>OPM</t>
        </is>
      </c>
      <c r="B108" s="3" t="inlineStr">
        <is>
          <t>영업이익 ÷ 매출</t>
        </is>
      </c>
      <c r="C108" s="15">
        <f>IF(OR(C107="",C99=""),"",IF(C99&lt;=0,"",IFERROR(C107/C99,"")))</f>
        <v/>
      </c>
      <c r="D108" s="15">
        <f>IF(OR(D107="",D99=""),"",IF(D99&lt;=0,"",IFERROR(D107/D99,"")))</f>
        <v/>
      </c>
      <c r="E108" s="15">
        <f>IF(OR(E107="",E99=""),"",IF(E99&lt;=0,"",IFERROR(E107/E99,"")))</f>
        <v/>
      </c>
      <c r="F108" s="15">
        <f>IF(OR(F107="",F99=""),"",IF(F99&lt;=0,"",IFERROR(F107/F99,"")))</f>
        <v/>
      </c>
      <c r="G108" s="15">
        <f>IF(OR(G107="",G99=""),"",IF(G99&lt;=0,"",IFERROR(G107/G99,"")))</f>
        <v/>
      </c>
      <c r="H108" s="15">
        <f>IF(OR(H107="",H99=""),"",IF(H99&lt;=0,"",IFERROR(H107/H99,"")))</f>
        <v/>
      </c>
      <c r="I108" s="15">
        <f>IF(OR(I107="",I99=""),"",IF(I99&lt;=0,"",IFERROR(I107/I99,"")))</f>
        <v/>
      </c>
      <c r="J108" s="15">
        <f>IF(OR(J107="",J99=""),"",IF(J99&lt;=0,"",IFERROR(J107/J99,"")))</f>
        <v/>
      </c>
      <c r="K108" s="15">
        <f>IF(OR(K107="",K99=""),"",IF(K99&lt;=0,"",IFERROR(K107/K99,"")))</f>
        <v/>
      </c>
      <c r="L108" s="15">
        <f>IF(OR(L107="",L99=""),"",IF(L99&lt;=0,"",IFERROR(L107/L99,"")))</f>
        <v/>
      </c>
      <c r="M108" s="15">
        <f>IF(OR(M107="",M99=""),"",IF(M99&lt;=0,"",IFERROR(M107/M99,"")))</f>
        <v/>
      </c>
      <c r="N108" s="15">
        <f>IF(OR(N107="",N99=""),"",IF(N99&lt;=0,"",IFERROR(N107/N99,"")))</f>
        <v/>
      </c>
      <c r="T108" s="15">
        <f>IF(OR(T107="",T99=""),"",IF(T99&lt;=0,"",IFERROR(T107/T99,"")))</f>
        <v/>
      </c>
      <c r="U108" s="15">
        <f>IF(OR(U107="",U99=""),"",IF(U99&lt;=0,"",IFERROR(U107/U99,"")))</f>
        <v/>
      </c>
      <c r="V108" s="15">
        <f>IF(OR(V107="",V99=""),"",IF(V99&lt;=0,"",IFERROR(V107/V99,"")))</f>
        <v/>
      </c>
      <c r="W108" s="15">
        <f>IF(OR(W107="",W99=""),"",IF(W99&lt;=0,"",IFERROR(W107/W99,"")))</f>
        <v/>
      </c>
      <c r="X108" s="15">
        <f>IF(OR(X107="",X99=""),"",IF(X99&lt;=0,"",IFERROR(X107/X99,"")))</f>
        <v/>
      </c>
    </row>
    <row r="109">
      <c r="A109" s="43" t="inlineStr">
        <is>
          <t>YoY</t>
        </is>
      </c>
      <c r="B109" s="3" t="inlineStr">
        <is>
          <t>전년 같은 분기·전년 대비</t>
        </is>
      </c>
      <c r="G109" s="15">
        <f>IF(OR(G107="",C107=""),"",IF(C107&lt;=0,"",IFERROR(G107/C107-1,"")))</f>
        <v/>
      </c>
      <c r="H109" s="15">
        <f>IF(OR(H107="",D107=""),"",IF(D107&lt;=0,"",IFERROR(H107/D107-1,"")))</f>
        <v/>
      </c>
      <c r="I109" s="15">
        <f>IF(OR(I107="",E107=""),"",IF(E107&lt;=0,"",IFERROR(I107/E107-1,"")))</f>
        <v/>
      </c>
      <c r="J109" s="15">
        <f>IF(OR(J107="",F107=""),"",IF(F107&lt;=0,"",IFERROR(J107/F107-1,"")))</f>
        <v/>
      </c>
      <c r="K109" s="15">
        <f>IF(OR(K107="",G107=""),"",IF(G107&lt;=0,"",IFERROR(K107/G107-1,"")))</f>
        <v/>
      </c>
      <c r="L109" s="15">
        <f>IF(OR(L107="",H107=""),"",IF(H107&lt;=0,"",IFERROR(L107/H107-1,"")))</f>
        <v/>
      </c>
      <c r="M109" s="15">
        <f>IF(OR(M107="",I107=""),"",IF(I107&lt;=0,"",IFERROR(M107/I107-1,"")))</f>
        <v/>
      </c>
      <c r="N109" s="15">
        <f>IF(OR(N107="",J107=""),"",IF(J107&lt;=0,"",IFERROR(N107/J107-1,"")))</f>
        <v/>
      </c>
      <c r="T109" s="15">
        <f>IF(OR(T107="",S107=""),"",IF(S107&lt;=0,"",IFERROR(T107/S107-1,"")))</f>
        <v/>
      </c>
      <c r="U109" s="15">
        <f>IF(OR(U107="",T107=""),"",IF(T107&lt;=0,"",IFERROR(U107/T107-1,"")))</f>
        <v/>
      </c>
      <c r="V109" s="15">
        <f>IF(OR(V107="",U107=""),"",IF(U107&lt;=0,"",IFERROR(V107/U107-1,"")))</f>
        <v/>
      </c>
      <c r="W109" s="15">
        <f>IF(OR(W107="",V107=""),"",IF(V107&lt;=0,"",IFERROR(W107/V107-1,"")))</f>
        <v/>
      </c>
      <c r="X109" s="15">
        <f>IF(OR(X107="",W107=""),"",IF(W107&lt;=0,"",IFERROR(X107/W107-1,"")))</f>
        <v/>
      </c>
    </row>
    <row r="110">
      <c r="A110" s="18" t="inlineStr">
        <is>
          <t>이자수익</t>
        </is>
      </c>
      <c r="D110" s="20" t="n">
        <v>141</v>
      </c>
      <c r="E110" s="20" t="n">
        <v>163</v>
      </c>
      <c r="F110" s="20" t="n">
        <v>197</v>
      </c>
      <c r="G110" s="20" t="n">
        <v>211</v>
      </c>
      <c r="H110" s="20" t="n">
        <v>278</v>
      </c>
      <c r="I110" s="20" t="n">
        <v>297</v>
      </c>
      <c r="J110" s="20" t="n">
        <v>199</v>
      </c>
      <c r="K110" s="20" t="n">
        <v>144</v>
      </c>
      <c r="L110" s="20" t="n">
        <v>166</v>
      </c>
      <c r="M110" s="20" t="n">
        <v>152</v>
      </c>
      <c r="V110" s="20" t="n">
        <v>163</v>
      </c>
      <c r="W110" s="20" t="n">
        <v>297</v>
      </c>
      <c r="X110" s="20" t="n">
        <v>152</v>
      </c>
    </row>
    <row r="111">
      <c r="A111" s="18" t="inlineStr">
        <is>
          <t>배당금수익</t>
        </is>
      </c>
      <c r="C111" s="20" t="n">
        <v>25</v>
      </c>
      <c r="D111" s="20" t="n">
        <v>431</v>
      </c>
      <c r="E111" s="20" t="n">
        <v>21</v>
      </c>
      <c r="F111" s="20" t="n">
        <v>462</v>
      </c>
      <c r="G111" s="20" t="n">
        <v>30</v>
      </c>
      <c r="H111" s="20" t="n">
        <v>420</v>
      </c>
      <c r="I111" s="20" t="n">
        <v>32</v>
      </c>
      <c r="J111" s="20" t="n">
        <v>481</v>
      </c>
      <c r="K111" s="20" t="n">
        <v>51</v>
      </c>
      <c r="L111" s="20" t="n">
        <v>369</v>
      </c>
      <c r="M111" s="20" t="n">
        <v>31</v>
      </c>
      <c r="N111" s="20" t="n">
        <v>578</v>
      </c>
      <c r="T111" s="20" t="n">
        <v>17</v>
      </c>
      <c r="U111" s="20" t="n">
        <v>20</v>
      </c>
      <c r="V111" s="20" t="n">
        <v>21</v>
      </c>
      <c r="W111" s="20" t="n">
        <v>32</v>
      </c>
      <c r="X111" s="20" t="n">
        <v>31</v>
      </c>
    </row>
    <row r="112">
      <c r="A112" s="18" t="inlineStr">
        <is>
          <t>기타</t>
        </is>
      </c>
      <c r="C112" s="20" t="n">
        <v>122</v>
      </c>
      <c r="D112" s="20" t="n">
        <v>134</v>
      </c>
      <c r="E112" s="20" t="n">
        <v>224</v>
      </c>
      <c r="F112" s="20" t="n">
        <v>353</v>
      </c>
      <c r="G112" s="20" t="n">
        <v>53</v>
      </c>
      <c r="H112" s="20" t="n">
        <v>188</v>
      </c>
      <c r="I112" s="20" t="n">
        <v>455</v>
      </c>
      <c r="J112" s="20" t="n">
        <v>391</v>
      </c>
      <c r="K112" s="20" t="n">
        <v>-66</v>
      </c>
      <c r="L112" s="20" t="n">
        <v>196</v>
      </c>
      <c r="M112" s="20" t="n">
        <v>286</v>
      </c>
      <c r="N112" s="20" t="n">
        <v>556</v>
      </c>
      <c r="T112" s="20" t="n">
        <v>-19</v>
      </c>
      <c r="U112" s="20" t="n">
        <v>3</v>
      </c>
      <c r="V112" s="20" t="n">
        <v>224</v>
      </c>
      <c r="W112" s="20" t="n">
        <v>455</v>
      </c>
      <c r="X112" s="20" t="n">
        <v>286</v>
      </c>
    </row>
    <row r="113">
      <c r="A113" s="18" t="inlineStr">
        <is>
          <t>영업외수익 합계</t>
        </is>
      </c>
      <c r="C113" s="20" t="n">
        <v>302</v>
      </c>
      <c r="D113" s="20" t="n">
        <v>706</v>
      </c>
      <c r="E113" s="20" t="n">
        <v>407</v>
      </c>
      <c r="F113" s="20" t="n">
        <v>1013</v>
      </c>
      <c r="G113" s="20" t="n">
        <v>293</v>
      </c>
      <c r="H113" s="20" t="n">
        <v>888</v>
      </c>
      <c r="I113" s="20" t="n">
        <v>783</v>
      </c>
      <c r="J113" s="20" t="n">
        <v>872</v>
      </c>
      <c r="K113" s="20" t="n">
        <v>329</v>
      </c>
      <c r="L113" s="20" t="n">
        <v>731</v>
      </c>
      <c r="M113" s="20" t="n">
        <v>468</v>
      </c>
      <c r="N113" s="20" t="n">
        <v>1134</v>
      </c>
      <c r="T113" s="20" t="n">
        <v>331</v>
      </c>
      <c r="U113" s="20" t="n">
        <v>289</v>
      </c>
      <c r="V113" s="20" t="n">
        <v>407</v>
      </c>
      <c r="W113" s="20" t="n">
        <v>783</v>
      </c>
      <c r="X113" s="20" t="n">
        <v>468</v>
      </c>
    </row>
    <row r="114">
      <c r="A114" s="43" t="inlineStr">
        <is>
          <t>YoY</t>
        </is>
      </c>
      <c r="B114" s="3" t="inlineStr">
        <is>
          <t>전년 같은 분기·전년 대비</t>
        </is>
      </c>
      <c r="G114" s="15">
        <f>IF(OR(G113="",C113=""),"",IF(G113*C113&lt;=0,"",IFERROR(G113/C113-1,"")))</f>
        <v/>
      </c>
      <c r="H114" s="15">
        <f>IF(OR(H113="",D113=""),"",IF(H113*D113&lt;=0,"",IFERROR(H113/D113-1,"")))</f>
        <v/>
      </c>
      <c r="I114" s="15">
        <f>IF(OR(I113="",E113=""),"",IF(I113*E113&lt;=0,"",IFERROR(I113/E113-1,"")))</f>
        <v/>
      </c>
      <c r="J114" s="15">
        <f>IF(OR(J113="",F113=""),"",IF(J113*F113&lt;=0,"",IFERROR(J113/F113-1,"")))</f>
        <v/>
      </c>
      <c r="K114" s="15">
        <f>IF(OR(K113="",G113=""),"",IF(K113*G113&lt;=0,"",IFERROR(K113/G113-1,"")))</f>
        <v/>
      </c>
      <c r="L114" s="15">
        <f>IF(OR(L113="",H113=""),"",IF(L113*H113&lt;=0,"",IFERROR(L113/H113-1,"")))</f>
        <v/>
      </c>
      <c r="M114" s="15">
        <f>IF(OR(M113="",I113=""),"",IF(M113*I113&lt;=0,"",IFERROR(M113/I113-1,"")))</f>
        <v/>
      </c>
      <c r="N114" s="15">
        <f>IF(OR(N113="",J113=""),"",IF(N113*J113&lt;=0,"",IFERROR(N113/J113-1,"")))</f>
        <v/>
      </c>
      <c r="T114" s="15">
        <f>IF(OR(T113="",S113=""),"",IF(T113*S113&lt;=0,"",IFERROR(T113/S113-1,"")))</f>
        <v/>
      </c>
      <c r="U114" s="15">
        <f>IF(OR(U113="",T113=""),"",IF(U113*T113&lt;=0,"",IFERROR(U113/T113-1,"")))</f>
        <v/>
      </c>
      <c r="V114" s="15">
        <f>IF(OR(V113="",U113=""),"",IF(V113*U113&lt;=0,"",IFERROR(V113/U113-1,"")))</f>
        <v/>
      </c>
      <c r="W114" s="15">
        <f>IF(OR(W113="",V113=""),"",IF(W113*V113&lt;=0,"",IFERROR(W113/V113-1,"")))</f>
        <v/>
      </c>
      <c r="X114" s="15">
        <f>IF(OR(X113="",W113=""),"",IF(X113*W113&lt;=0,"",IFERROR(X113/W113-1,"")))</f>
        <v/>
      </c>
    </row>
    <row r="115">
      <c r="A115" s="18" t="inlineStr">
        <is>
          <t>이자비용</t>
        </is>
      </c>
      <c r="C115" s="20" t="n">
        <v>93</v>
      </c>
      <c r="D115" s="20" t="n">
        <v>116</v>
      </c>
      <c r="E115" s="20" t="n">
        <v>150</v>
      </c>
      <c r="F115" s="20" t="n">
        <v>155</v>
      </c>
      <c r="G115" s="20" t="n">
        <v>156</v>
      </c>
      <c r="H115" s="20" t="n">
        <v>164</v>
      </c>
      <c r="I115" s="20" t="n">
        <v>225</v>
      </c>
      <c r="J115" s="20" t="n">
        <v>351</v>
      </c>
      <c r="K115" s="20" t="n">
        <v>356</v>
      </c>
      <c r="L115" s="20" t="n">
        <v>410</v>
      </c>
      <c r="M115" s="20" t="n">
        <v>400</v>
      </c>
      <c r="N115" s="20" t="n">
        <v>525</v>
      </c>
      <c r="T115" s="20" t="n">
        <v>87</v>
      </c>
      <c r="U115" s="20" t="n">
        <v>89</v>
      </c>
      <c r="V115" s="20" t="n">
        <v>150</v>
      </c>
      <c r="W115" s="20" t="n">
        <v>225</v>
      </c>
      <c r="X115" s="20" t="n">
        <v>400</v>
      </c>
    </row>
    <row r="116">
      <c r="A116" s="18" t="inlineStr">
        <is>
          <t>외환차손</t>
        </is>
      </c>
      <c r="C116" s="20" t="n">
        <v>0</v>
      </c>
      <c r="D116" s="20" t="n">
        <v>0</v>
      </c>
      <c r="E116" s="20" t="n">
        <v>0</v>
      </c>
      <c r="F116" s="20" t="n">
        <v>0</v>
      </c>
      <c r="G116" s="20" t="n">
        <v>95</v>
      </c>
      <c r="J116" s="20" t="n">
        <v>360</v>
      </c>
      <c r="K116" s="20" t="n">
        <v>151</v>
      </c>
      <c r="N116" s="20" t="n">
        <v>0</v>
      </c>
      <c r="T116" s="20" t="n">
        <v>807</v>
      </c>
      <c r="U116" s="20" t="n">
        <v>34</v>
      </c>
      <c r="V116" s="20" t="n">
        <v>0</v>
      </c>
    </row>
    <row r="117">
      <c r="A117" s="18" t="inlineStr">
        <is>
          <t>지급수수료</t>
        </is>
      </c>
      <c r="J117" s="20" t="n">
        <v>0</v>
      </c>
      <c r="N117" s="20" t="n">
        <v>250</v>
      </c>
    </row>
    <row r="118">
      <c r="A118" s="18" t="inlineStr">
        <is>
          <t>기타</t>
        </is>
      </c>
      <c r="C118" s="20" t="n">
        <v>129</v>
      </c>
      <c r="D118" s="20" t="n">
        <v>227</v>
      </c>
      <c r="E118" s="20" t="n">
        <v>123</v>
      </c>
      <c r="F118" s="20" t="n">
        <v>131</v>
      </c>
      <c r="G118" s="20" t="n">
        <v>135</v>
      </c>
      <c r="H118" s="20" t="n">
        <v>296</v>
      </c>
      <c r="I118" s="20" t="n">
        <v>132</v>
      </c>
      <c r="J118" s="20" t="n">
        <v>145</v>
      </c>
      <c r="K118" s="20" t="n">
        <v>237</v>
      </c>
      <c r="L118" s="20" t="n">
        <v>508</v>
      </c>
      <c r="M118" s="20" t="n">
        <v>-61</v>
      </c>
      <c r="N118" s="20" t="n">
        <v>152</v>
      </c>
      <c r="T118" s="20" t="n">
        <v>162</v>
      </c>
      <c r="U118" s="20" t="n">
        <v>36</v>
      </c>
      <c r="V118" s="20" t="n">
        <v>123</v>
      </c>
      <c r="W118" s="20" t="n">
        <v>132</v>
      </c>
      <c r="X118" s="20" t="n">
        <v>-61</v>
      </c>
    </row>
    <row r="119">
      <c r="A119" s="18" t="inlineStr">
        <is>
          <t>영업외비용 합계</t>
        </is>
      </c>
      <c r="C119" s="20" t="n">
        <v>332</v>
      </c>
      <c r="D119" s="20" t="n">
        <v>233</v>
      </c>
      <c r="E119" s="20" t="n">
        <v>353</v>
      </c>
      <c r="F119" s="20" t="n">
        <v>287</v>
      </c>
      <c r="G119" s="20" t="n">
        <v>385</v>
      </c>
      <c r="H119" s="20" t="n">
        <v>365</v>
      </c>
      <c r="I119" s="20" t="n">
        <v>357</v>
      </c>
      <c r="J119" s="20" t="n">
        <v>857</v>
      </c>
      <c r="K119" s="20" t="n">
        <v>744</v>
      </c>
      <c r="L119" s="20" t="n">
        <v>407</v>
      </c>
      <c r="M119" s="20" t="n">
        <v>607</v>
      </c>
      <c r="N119" s="20" t="n">
        <v>927</v>
      </c>
      <c r="T119" s="20" t="n">
        <v>1057</v>
      </c>
      <c r="U119" s="20" t="n">
        <v>160</v>
      </c>
      <c r="V119" s="20" t="n">
        <v>353</v>
      </c>
      <c r="W119" s="20" t="n">
        <v>357</v>
      </c>
      <c r="X119" s="20" t="n">
        <v>607</v>
      </c>
    </row>
    <row r="120">
      <c r="A120" s="43" t="inlineStr">
        <is>
          <t>YoY</t>
        </is>
      </c>
      <c r="B120" s="3" t="inlineStr">
        <is>
          <t>전년 같은 분기·전년 대비</t>
        </is>
      </c>
      <c r="G120" s="15">
        <f>IF(OR(G119="",C119=""),"",IF(G119*C119&lt;=0,"",IFERROR(G119/C119-1,"")))</f>
        <v/>
      </c>
      <c r="H120" s="15">
        <f>IF(OR(H119="",D119=""),"",IF(H119*D119&lt;=0,"",IFERROR(H119/D119-1,"")))</f>
        <v/>
      </c>
      <c r="I120" s="15">
        <f>IF(OR(I119="",E119=""),"",IF(I119*E119&lt;=0,"",IFERROR(I119/E119-1,"")))</f>
        <v/>
      </c>
      <c r="J120" s="15">
        <f>IF(OR(J119="",F119=""),"",IF(J119*F119&lt;=0,"",IFERROR(J119/F119-1,"")))</f>
        <v/>
      </c>
      <c r="K120" s="15">
        <f>IF(OR(K119="",G119=""),"",IF(K119*G119&lt;=0,"",IFERROR(K119/G119-1,"")))</f>
        <v/>
      </c>
      <c r="L120" s="15">
        <f>IF(OR(L119="",H119=""),"",IF(L119*H119&lt;=0,"",IFERROR(L119/H119-1,"")))</f>
        <v/>
      </c>
      <c r="M120" s="15">
        <f>IF(OR(M119="",I119=""),"",IF(M119*I119&lt;=0,"",IFERROR(M119/I119-1,"")))</f>
        <v/>
      </c>
      <c r="N120" s="15">
        <f>IF(OR(N119="",J119=""),"",IF(N119*J119&lt;=0,"",IFERROR(N119/J119-1,"")))</f>
        <v/>
      </c>
      <c r="T120" s="15">
        <f>IF(OR(T119="",S119=""),"",IF(T119*S119&lt;=0,"",IFERROR(T119/S119-1,"")))</f>
        <v/>
      </c>
      <c r="U120" s="15">
        <f>IF(OR(U119="",T119=""),"",IF(U119*T119&lt;=0,"",IFERROR(U119/T119-1,"")))</f>
        <v/>
      </c>
      <c r="V120" s="15">
        <f>IF(OR(V119="",U119=""),"",IF(V119*U119&lt;=0,"",IFERROR(V119/U119-1,"")))</f>
        <v/>
      </c>
      <c r="W120" s="15">
        <f>IF(OR(W119="",V119=""),"",IF(W119*V119&lt;=0,"",IFERROR(W119/V119-1,"")))</f>
        <v/>
      </c>
      <c r="X120" s="15">
        <f>IF(OR(X119="",W119=""),"",IF(X119*W119&lt;=0,"",IFERROR(X119/W119-1,"")))</f>
        <v/>
      </c>
    </row>
    <row r="121">
      <c r="A121" s="9" t="inlineStr">
        <is>
          <t>경상이익</t>
        </is>
      </c>
      <c r="C121" s="12" t="n">
        <v>5332</v>
      </c>
      <c r="D121" s="12" t="n">
        <v>5788</v>
      </c>
      <c r="E121" s="12" t="n">
        <v>4516</v>
      </c>
      <c r="F121" s="12" t="n">
        <v>4791</v>
      </c>
      <c r="G121" s="12" t="n">
        <v>6375</v>
      </c>
      <c r="H121" s="12" t="n">
        <v>4900</v>
      </c>
      <c r="I121" s="12" t="n">
        <v>6114</v>
      </c>
      <c r="J121" s="12" t="n">
        <v>3471</v>
      </c>
      <c r="K121" s="12" t="n">
        <v>3915</v>
      </c>
      <c r="L121" s="12" t="n">
        <v>5169</v>
      </c>
      <c r="M121" s="12" t="n">
        <v>4306</v>
      </c>
      <c r="N121" s="12" t="n">
        <v>3157</v>
      </c>
      <c r="T121" s="12" t="n">
        <v>9038</v>
      </c>
      <c r="U121" s="12" t="n">
        <v>3189</v>
      </c>
      <c r="V121" s="12" t="n">
        <v>4516</v>
      </c>
      <c r="W121" s="12" t="n">
        <v>6114</v>
      </c>
      <c r="X121" s="12" t="n">
        <v>4306</v>
      </c>
    </row>
    <row r="122">
      <c r="A122" s="43" t="inlineStr">
        <is>
          <t>YoY</t>
        </is>
      </c>
      <c r="B122" s="3" t="inlineStr">
        <is>
          <t>전년 같은 분기·전년 대비</t>
        </is>
      </c>
      <c r="G122" s="15">
        <f>IF(OR(G121="",C121=""),"",IF(C121&lt;=0,"",IFERROR(G121/C121-1,"")))</f>
        <v/>
      </c>
      <c r="H122" s="15">
        <f>IF(OR(H121="",D121=""),"",IF(D121&lt;=0,"",IFERROR(H121/D121-1,"")))</f>
        <v/>
      </c>
      <c r="I122" s="15">
        <f>IF(OR(I121="",E121=""),"",IF(E121&lt;=0,"",IFERROR(I121/E121-1,"")))</f>
        <v/>
      </c>
      <c r="J122" s="15">
        <f>IF(OR(J121="",F121=""),"",IF(F121&lt;=0,"",IFERROR(J121/F121-1,"")))</f>
        <v/>
      </c>
      <c r="K122" s="15">
        <f>IF(OR(K121="",G121=""),"",IF(G121&lt;=0,"",IFERROR(K121/G121-1,"")))</f>
        <v/>
      </c>
      <c r="L122" s="15">
        <f>IF(OR(L121="",H121=""),"",IF(H121&lt;=0,"",IFERROR(L121/H121-1,"")))</f>
        <v/>
      </c>
      <c r="M122" s="15">
        <f>IF(OR(M121="",I121=""),"",IF(I121&lt;=0,"",IFERROR(M121/I121-1,"")))</f>
        <v/>
      </c>
      <c r="N122" s="15">
        <f>IF(OR(N121="",J121=""),"",IF(J121&lt;=0,"",IFERROR(N121/J121-1,"")))</f>
        <v/>
      </c>
      <c r="T122" s="15">
        <f>IF(OR(T121="",S121=""),"",IF(S121&lt;=0,"",IFERROR(T121/S121-1,"")))</f>
        <v/>
      </c>
      <c r="U122" s="15">
        <f>IF(OR(U121="",T121=""),"",IF(T121&lt;=0,"",IFERROR(U121/T121-1,"")))</f>
        <v/>
      </c>
      <c r="V122" s="15">
        <f>IF(OR(V121="",U121=""),"",IF(U121&lt;=0,"",IFERROR(V121/U121-1,"")))</f>
        <v/>
      </c>
      <c r="W122" s="15">
        <f>IF(OR(W121="",V121=""),"",IF(V121&lt;=0,"",IFERROR(W121/V121-1,"")))</f>
        <v/>
      </c>
      <c r="X122" s="15">
        <f>IF(OR(X121="",W121=""),"",IF(W121&lt;=0,"",IFERROR(X121/W121-1,"")))</f>
        <v/>
      </c>
    </row>
    <row r="123">
      <c r="A123" s="18" t="inlineStr">
        <is>
          <t>고정자산 매각이익</t>
        </is>
      </c>
      <c r="C123" s="20" t="n">
        <v>17</v>
      </c>
      <c r="D123" s="20" t="n">
        <v>11</v>
      </c>
      <c r="E123" s="20" t="n">
        <v>9</v>
      </c>
      <c r="F123" s="20" t="n">
        <v>803</v>
      </c>
      <c r="G123" s="20" t="n">
        <v>11</v>
      </c>
      <c r="H123" s="20" t="n">
        <v>5</v>
      </c>
      <c r="I123" s="20" t="n">
        <v>6</v>
      </c>
      <c r="J123" s="20" t="n">
        <v>46</v>
      </c>
      <c r="N123" s="20" t="n">
        <v>886</v>
      </c>
      <c r="T123" s="20" t="n">
        <v>6</v>
      </c>
      <c r="U123" s="20" t="n">
        <v>8</v>
      </c>
      <c r="V123" s="20" t="n">
        <v>9</v>
      </c>
      <c r="W123" s="20" t="n">
        <v>6</v>
      </c>
    </row>
    <row r="124">
      <c r="A124" s="18" t="inlineStr">
        <is>
          <t>투자유가증권 매각이익</t>
        </is>
      </c>
      <c r="C124" s="20" t="n">
        <v>0</v>
      </c>
      <c r="D124" s="20" t="n">
        <v>2662</v>
      </c>
      <c r="E124" s="20" t="n">
        <v>1301</v>
      </c>
      <c r="F124" s="20" t="n">
        <v>1679</v>
      </c>
      <c r="G124" s="20" t="n">
        <v>294</v>
      </c>
      <c r="H124" s="20" t="n">
        <v>939</v>
      </c>
      <c r="I124" s="20" t="n">
        <v>784</v>
      </c>
      <c r="J124" s="20" t="n">
        <v>2251</v>
      </c>
      <c r="K124" s="20" t="n">
        <v>2170</v>
      </c>
      <c r="L124" s="20" t="n">
        <v>1990</v>
      </c>
      <c r="M124" s="20" t="n">
        <v>183</v>
      </c>
      <c r="N124" s="20" t="n">
        <v>1746</v>
      </c>
      <c r="U124" s="20" t="n">
        <v>538</v>
      </c>
      <c r="V124" s="20" t="n">
        <v>1301</v>
      </c>
      <c r="W124" s="20" t="n">
        <v>784</v>
      </c>
      <c r="X124" s="20" t="n">
        <v>183</v>
      </c>
    </row>
    <row r="125">
      <c r="A125" s="18" t="inlineStr">
        <is>
          <t>보험금 수익</t>
        </is>
      </c>
      <c r="C125" s="20" t="n">
        <v>0</v>
      </c>
      <c r="D125" s="20" t="n">
        <v>0</v>
      </c>
      <c r="E125" s="20" t="n">
        <v>0</v>
      </c>
      <c r="T125" s="20" t="n">
        <v>0</v>
      </c>
      <c r="U125" s="20" t="n">
        <v>26</v>
      </c>
      <c r="V125" s="20" t="n">
        <v>0</v>
      </c>
    </row>
    <row r="126">
      <c r="A126" s="18" t="inlineStr">
        <is>
          <t>국고보조금</t>
        </is>
      </c>
      <c r="D126" s="20" t="n">
        <v>0</v>
      </c>
      <c r="T126" s="20" t="n">
        <v>1265</v>
      </c>
    </row>
    <row r="127">
      <c r="A127" s="18" t="inlineStr">
        <is>
          <t>기타</t>
        </is>
      </c>
      <c r="C127" s="20" t="n">
        <v>0</v>
      </c>
      <c r="D127" s="20" t="n">
        <v>14</v>
      </c>
      <c r="E127" s="20" t="n">
        <v>0</v>
      </c>
      <c r="F127" s="20" t="n">
        <v>816</v>
      </c>
      <c r="G127" s="20" t="n">
        <v>18</v>
      </c>
      <c r="H127" s="20" t="n">
        <v>60</v>
      </c>
      <c r="I127" s="20" t="n">
        <v>144</v>
      </c>
      <c r="J127" s="20" t="n">
        <v>53</v>
      </c>
      <c r="K127" s="20" t="n">
        <v>688</v>
      </c>
      <c r="L127" s="20" t="n">
        <v>6</v>
      </c>
      <c r="M127" s="20" t="n">
        <v>51</v>
      </c>
      <c r="N127" s="20" t="n">
        <v>0</v>
      </c>
      <c r="T127" s="20" t="n">
        <v>4470</v>
      </c>
      <c r="U127" s="20" t="n">
        <v>71</v>
      </c>
      <c r="V127" s="20" t="n">
        <v>0</v>
      </c>
      <c r="W127" s="20" t="n">
        <v>144</v>
      </c>
      <c r="X127" s="20" t="n">
        <v>51</v>
      </c>
    </row>
    <row r="128">
      <c r="A128" s="18" t="inlineStr">
        <is>
          <t>특별이익 합계</t>
        </is>
      </c>
      <c r="C128" s="20" t="n">
        <v>17</v>
      </c>
      <c r="D128" s="20" t="n">
        <v>2688</v>
      </c>
      <c r="E128" s="20" t="n">
        <v>1310</v>
      </c>
      <c r="F128" s="20" t="n">
        <v>2495</v>
      </c>
      <c r="G128" s="20" t="n">
        <v>313</v>
      </c>
      <c r="H128" s="20" t="n">
        <v>999</v>
      </c>
      <c r="I128" s="20" t="n">
        <v>927</v>
      </c>
      <c r="J128" s="20" t="n">
        <v>2351</v>
      </c>
      <c r="K128" s="20" t="n">
        <v>2811</v>
      </c>
      <c r="L128" s="20" t="n">
        <v>1997</v>
      </c>
      <c r="M128" s="20" t="n">
        <v>233</v>
      </c>
      <c r="N128" s="20" t="n">
        <v>2633</v>
      </c>
      <c r="T128" s="20" t="n">
        <v>1270</v>
      </c>
      <c r="U128" s="20" t="n">
        <v>573</v>
      </c>
      <c r="V128" s="20" t="n">
        <v>1310</v>
      </c>
      <c r="W128" s="20" t="n">
        <v>927</v>
      </c>
      <c r="X128" s="20" t="n">
        <v>233</v>
      </c>
    </row>
    <row r="129">
      <c r="A129" s="43" t="inlineStr">
        <is>
          <t>YoY</t>
        </is>
      </c>
      <c r="B129" s="3" t="inlineStr">
        <is>
          <t>전년 같은 분기·전년 대비</t>
        </is>
      </c>
      <c r="G129" s="15">
        <f>IF(OR(G128="",C128=""),"",IF(G128*C128&lt;=0,"",IFERROR(G128/C128-1,"")))</f>
        <v/>
      </c>
      <c r="H129" s="15">
        <f>IF(OR(H128="",D128=""),"",IF(H128*D128&lt;=0,"",IFERROR(H128/D128-1,"")))</f>
        <v/>
      </c>
      <c r="I129" s="15">
        <f>IF(OR(I128="",E128=""),"",IF(I128*E128&lt;=0,"",IFERROR(I128/E128-1,"")))</f>
        <v/>
      </c>
      <c r="J129" s="15">
        <f>IF(OR(J128="",F128=""),"",IF(J128*F128&lt;=0,"",IFERROR(J128/F128-1,"")))</f>
        <v/>
      </c>
      <c r="K129" s="15">
        <f>IF(OR(K128="",G128=""),"",IF(K128*G128&lt;=0,"",IFERROR(K128/G128-1,"")))</f>
        <v/>
      </c>
      <c r="L129" s="15">
        <f>IF(OR(L128="",H128=""),"",IF(L128*H128&lt;=0,"",IFERROR(L128/H128-1,"")))</f>
        <v/>
      </c>
      <c r="M129" s="15">
        <f>IF(OR(M128="",I128=""),"",IF(M128*I128&lt;=0,"",IFERROR(M128/I128-1,"")))</f>
        <v/>
      </c>
      <c r="N129" s="15">
        <f>IF(OR(N128="",J128=""),"",IF(N128*J128&lt;=0,"",IFERROR(N128/J128-1,"")))</f>
        <v/>
      </c>
      <c r="T129" s="15">
        <f>IF(OR(T128="",S128=""),"",IF(T128*S128&lt;=0,"",IFERROR(T128/S128-1,"")))</f>
        <v/>
      </c>
      <c r="U129" s="15">
        <f>IF(OR(U128="",T128=""),"",IF(U128*T128&lt;=0,"",IFERROR(U128/T128-1,"")))</f>
        <v/>
      </c>
      <c r="V129" s="15">
        <f>IF(OR(V128="",U128=""),"",IF(V128*U128&lt;=0,"",IFERROR(V128/U128-1,"")))</f>
        <v/>
      </c>
      <c r="W129" s="15">
        <f>IF(OR(W128="",V128=""),"",IF(W128*V128&lt;=0,"",IFERROR(W128/V128-1,"")))</f>
        <v/>
      </c>
      <c r="X129" s="15">
        <f>IF(OR(X128="",W128=""),"",IF(X128*W128&lt;=0,"",IFERROR(X128/W128-1,"")))</f>
        <v/>
      </c>
    </row>
    <row r="130">
      <c r="A130" s="18" t="inlineStr">
        <is>
          <t>고정자산 제각·매각손실</t>
        </is>
      </c>
      <c r="C130" s="20" t="n">
        <v>57</v>
      </c>
      <c r="D130" s="20" t="n">
        <v>119</v>
      </c>
      <c r="E130" s="20" t="n">
        <v>639</v>
      </c>
      <c r="F130" s="20" t="n">
        <v>51</v>
      </c>
      <c r="G130" s="20" t="n">
        <v>70</v>
      </c>
      <c r="H130" s="20" t="n">
        <v>139</v>
      </c>
      <c r="I130" s="20" t="n">
        <v>278</v>
      </c>
      <c r="J130" s="20" t="n">
        <v>22</v>
      </c>
      <c r="T130" s="20" t="n">
        <v>284</v>
      </c>
      <c r="U130" s="20" t="n">
        <v>413</v>
      </c>
      <c r="V130" s="20" t="n">
        <v>639</v>
      </c>
      <c r="W130" s="20" t="n">
        <v>278</v>
      </c>
    </row>
    <row r="131">
      <c r="A131" s="18" t="inlineStr">
        <is>
          <t>제품 자진회수 관련 손실</t>
        </is>
      </c>
      <c r="T131" s="20" t="n">
        <v>-373</v>
      </c>
      <c r="U131" s="20" t="n">
        <v>0</v>
      </c>
    </row>
    <row r="132">
      <c r="A132" s="18" t="inlineStr">
        <is>
          <t>고정자산 압축손실</t>
        </is>
      </c>
      <c r="D132" s="20" t="n">
        <v>0</v>
      </c>
      <c r="T132" s="20" t="n">
        <v>1265</v>
      </c>
    </row>
    <row r="133">
      <c r="A133" s="18" t="inlineStr">
        <is>
          <t>손상차손</t>
        </is>
      </c>
      <c r="D133" s="20" t="n">
        <v>75</v>
      </c>
      <c r="E133" s="20" t="n">
        <v>132</v>
      </c>
      <c r="H133" s="20" t="n">
        <v>0</v>
      </c>
      <c r="I133" s="20" t="n">
        <v>269</v>
      </c>
      <c r="L133" s="20" t="n">
        <v>0</v>
      </c>
      <c r="M133" s="20" t="n">
        <v>138</v>
      </c>
      <c r="U133" s="20" t="n">
        <v>0</v>
      </c>
      <c r="V133" s="20" t="n">
        <v>132</v>
      </c>
      <c r="W133" s="20" t="n">
        <v>269</v>
      </c>
      <c r="X133" s="20" t="n">
        <v>138</v>
      </c>
    </row>
    <row r="134">
      <c r="A134" s="18" t="inlineStr">
        <is>
          <t>사업구조개혁 비용</t>
        </is>
      </c>
      <c r="J134" s="20" t="n">
        <v>0</v>
      </c>
      <c r="N134" s="20" t="n">
        <v>1655</v>
      </c>
    </row>
    <row r="135">
      <c r="A135" s="18" t="inlineStr">
        <is>
          <t>공개매수 관련 비용</t>
        </is>
      </c>
      <c r="J135" s="20" t="n">
        <v>0</v>
      </c>
      <c r="N135" s="20" t="n">
        <v>804</v>
      </c>
    </row>
    <row r="136">
      <c r="A136" s="18" t="inlineStr">
        <is>
          <t>포합주식 소멸차손</t>
        </is>
      </c>
      <c r="F136" s="20" t="n">
        <v>0</v>
      </c>
      <c r="J136" s="20" t="n">
        <v>24</v>
      </c>
      <c r="N136" s="20" t="n">
        <v>0</v>
      </c>
    </row>
    <row r="137">
      <c r="A137" s="18" t="inlineStr">
        <is>
          <t>기타</t>
        </is>
      </c>
      <c r="C137" s="20" t="n">
        <v>0</v>
      </c>
      <c r="D137" s="20" t="n">
        <v>0</v>
      </c>
      <c r="E137" s="20" t="n">
        <v>82</v>
      </c>
      <c r="F137" s="20" t="n">
        <v>8</v>
      </c>
      <c r="G137" s="20" t="n">
        <v>139</v>
      </c>
      <c r="H137" s="20" t="n">
        <v>141</v>
      </c>
      <c r="I137" s="20" t="n">
        <v>-106</v>
      </c>
      <c r="J137" s="20" t="n">
        <v>22</v>
      </c>
      <c r="K137" s="20" t="n">
        <v>77</v>
      </c>
      <c r="L137" s="20" t="n">
        <v>182</v>
      </c>
      <c r="M137" s="20" t="n">
        <v>879</v>
      </c>
      <c r="N137" s="20" t="n">
        <v>130</v>
      </c>
      <c r="T137" s="20" t="n">
        <v>5301</v>
      </c>
      <c r="U137" s="20" t="n">
        <v>131</v>
      </c>
      <c r="V137" s="20" t="n">
        <v>82</v>
      </c>
      <c r="W137" s="20" t="n">
        <v>-106</v>
      </c>
      <c r="X137" s="20" t="n">
        <v>879</v>
      </c>
    </row>
    <row r="138">
      <c r="A138" s="18" t="inlineStr">
        <is>
          <t>특별손실 합계</t>
        </is>
      </c>
      <c r="C138" s="20" t="n">
        <v>57</v>
      </c>
      <c r="D138" s="20" t="n">
        <v>195</v>
      </c>
      <c r="E138" s="20" t="n">
        <v>853</v>
      </c>
      <c r="F138" s="20" t="n">
        <v>59</v>
      </c>
      <c r="G138" s="20" t="n">
        <v>197</v>
      </c>
      <c r="H138" s="20" t="n">
        <v>141</v>
      </c>
      <c r="I138" s="20" t="n">
        <v>702</v>
      </c>
      <c r="J138" s="20" t="n">
        <v>46</v>
      </c>
      <c r="K138" s="20" t="n">
        <v>3924</v>
      </c>
      <c r="L138" s="20" t="n">
        <v>182</v>
      </c>
      <c r="M138" s="20" t="n">
        <v>1831</v>
      </c>
      <c r="N138" s="20" t="n">
        <v>2590</v>
      </c>
      <c r="T138" s="20" t="n">
        <v>2007</v>
      </c>
      <c r="U138" s="20" t="n">
        <v>480</v>
      </c>
      <c r="V138" s="20" t="n">
        <v>853</v>
      </c>
      <c r="W138" s="20" t="n">
        <v>702</v>
      </c>
      <c r="X138" s="20" t="n">
        <v>1831</v>
      </c>
    </row>
    <row r="139">
      <c r="A139" s="43" t="inlineStr">
        <is>
          <t>YoY</t>
        </is>
      </c>
      <c r="B139" s="3" t="inlineStr">
        <is>
          <t>전년 같은 분기·전년 대비</t>
        </is>
      </c>
      <c r="G139" s="15">
        <f>IF(OR(G138="",C138=""),"",IF(G138*C138&lt;=0,"",IFERROR(G138/C138-1,"")))</f>
        <v/>
      </c>
      <c r="H139" s="15">
        <f>IF(OR(H138="",D138=""),"",IF(H138*D138&lt;=0,"",IFERROR(H138/D138-1,"")))</f>
        <v/>
      </c>
      <c r="I139" s="15">
        <f>IF(OR(I138="",E138=""),"",IF(I138*E138&lt;=0,"",IFERROR(I138/E138-1,"")))</f>
        <v/>
      </c>
      <c r="J139" s="15">
        <f>IF(OR(J138="",F138=""),"",IF(J138*F138&lt;=0,"",IFERROR(J138/F138-1,"")))</f>
        <v/>
      </c>
      <c r="K139" s="15">
        <f>IF(OR(K138="",G138=""),"",IF(K138*G138&lt;=0,"",IFERROR(K138/G138-1,"")))</f>
        <v/>
      </c>
      <c r="L139" s="15">
        <f>IF(OR(L138="",H138=""),"",IF(L138*H138&lt;=0,"",IFERROR(L138/H138-1,"")))</f>
        <v/>
      </c>
      <c r="M139" s="15">
        <f>IF(OR(M138="",I138=""),"",IF(M138*I138&lt;=0,"",IFERROR(M138/I138-1,"")))</f>
        <v/>
      </c>
      <c r="N139" s="15">
        <f>IF(OR(N138="",J138=""),"",IF(N138*J138&lt;=0,"",IFERROR(N138/J138-1,"")))</f>
        <v/>
      </c>
      <c r="T139" s="15">
        <f>IF(OR(T138="",S138=""),"",IF(T138*S138&lt;=0,"",IFERROR(T138/S138-1,"")))</f>
        <v/>
      </c>
      <c r="U139" s="15">
        <f>IF(OR(U138="",T138=""),"",IF(U138*T138&lt;=0,"",IFERROR(U138/T138-1,"")))</f>
        <v/>
      </c>
      <c r="V139" s="15">
        <f>IF(OR(V138="",U138=""),"",IF(V138*U138&lt;=0,"",IFERROR(V138/U138-1,"")))</f>
        <v/>
      </c>
      <c r="W139" s="15">
        <f>IF(OR(W138="",V138=""),"",IF(W138*V138&lt;=0,"",IFERROR(W138/V138-1,"")))</f>
        <v/>
      </c>
      <c r="X139" s="15">
        <f>IF(OR(X138="",W138=""),"",IF(X138*W138&lt;=0,"",IFERROR(X138/W138-1,"")))</f>
        <v/>
      </c>
    </row>
    <row r="140">
      <c r="A140" s="9" t="inlineStr">
        <is>
          <t>법인세차감전 순이익</t>
        </is>
      </c>
      <c r="C140" s="12" t="n">
        <v>5292</v>
      </c>
      <c r="D140" s="12" t="n">
        <v>8281</v>
      </c>
      <c r="E140" s="12" t="n">
        <v>4973</v>
      </c>
      <c r="F140" s="12" t="n">
        <v>7227</v>
      </c>
      <c r="G140" s="12" t="n">
        <v>6491</v>
      </c>
      <c r="H140" s="12" t="n">
        <v>5758</v>
      </c>
      <c r="I140" s="12" t="n">
        <v>6339</v>
      </c>
      <c r="J140" s="12" t="n">
        <v>5776</v>
      </c>
      <c r="K140" s="12" t="n">
        <v>2802</v>
      </c>
      <c r="L140" s="12" t="n">
        <v>6984</v>
      </c>
      <c r="M140" s="12" t="n">
        <v>2708</v>
      </c>
      <c r="N140" s="12" t="n">
        <v>3199</v>
      </c>
      <c r="T140" s="12" t="n">
        <v>8303</v>
      </c>
      <c r="U140" s="12" t="n">
        <v>3282</v>
      </c>
      <c r="V140" s="12" t="n">
        <v>4973</v>
      </c>
      <c r="W140" s="12" t="n">
        <v>6339</v>
      </c>
      <c r="X140" s="12" t="n">
        <v>2708</v>
      </c>
    </row>
    <row r="141">
      <c r="A141" s="43" t="inlineStr">
        <is>
          <t>YoY</t>
        </is>
      </c>
      <c r="B141" s="3" t="inlineStr">
        <is>
          <t>전년 같은 분기·전년 대비</t>
        </is>
      </c>
      <c r="G141" s="15">
        <f>IF(OR(G140="",C140=""),"",IF(C140&lt;=0,"",IFERROR(G140/C140-1,"")))</f>
        <v/>
      </c>
      <c r="H141" s="15">
        <f>IF(OR(H140="",D140=""),"",IF(D140&lt;=0,"",IFERROR(H140/D140-1,"")))</f>
        <v/>
      </c>
      <c r="I141" s="15">
        <f>IF(OR(I140="",E140=""),"",IF(E140&lt;=0,"",IFERROR(I140/E140-1,"")))</f>
        <v/>
      </c>
      <c r="J141" s="15">
        <f>IF(OR(J140="",F140=""),"",IF(F140&lt;=0,"",IFERROR(J140/F140-1,"")))</f>
        <v/>
      </c>
      <c r="K141" s="15">
        <f>IF(OR(K140="",G140=""),"",IF(G140&lt;=0,"",IFERROR(K140/G140-1,"")))</f>
        <v/>
      </c>
      <c r="L141" s="15">
        <f>IF(OR(L140="",H140=""),"",IF(H140&lt;=0,"",IFERROR(L140/H140-1,"")))</f>
        <v/>
      </c>
      <c r="M141" s="15">
        <f>IF(OR(M140="",I140=""),"",IF(I140&lt;=0,"",IFERROR(M140/I140-1,"")))</f>
        <v/>
      </c>
      <c r="N141" s="15">
        <f>IF(OR(N140="",J140=""),"",IF(J140&lt;=0,"",IFERROR(N140/J140-1,"")))</f>
        <v/>
      </c>
      <c r="T141" s="15">
        <f>IF(OR(T140="",S140=""),"",IF(S140&lt;=0,"",IFERROR(T140/S140-1,"")))</f>
        <v/>
      </c>
      <c r="U141" s="15">
        <f>IF(OR(U140="",T140=""),"",IF(T140&lt;=0,"",IFERROR(U140/T140-1,"")))</f>
        <v/>
      </c>
      <c r="V141" s="15">
        <f>IF(OR(V140="",U140=""),"",IF(U140&lt;=0,"",IFERROR(V140/U140-1,"")))</f>
        <v/>
      </c>
      <c r="W141" s="15">
        <f>IF(OR(W140="",V140=""),"",IF(V140&lt;=0,"",IFERROR(W140/V140-1,"")))</f>
        <v/>
      </c>
      <c r="X141" s="15">
        <f>IF(OR(X140="",W140=""),"",IF(W140&lt;=0,"",IFERROR(X140/W140-1,"")))</f>
        <v/>
      </c>
    </row>
    <row r="142">
      <c r="A142" s="18" t="inlineStr">
        <is>
          <t>법인세·주민세·사업세</t>
        </is>
      </c>
      <c r="C142" s="20" t="n">
        <v>1536</v>
      </c>
      <c r="D142" s="20" t="n">
        <v>2852</v>
      </c>
      <c r="E142" s="20" t="n">
        <v>1757</v>
      </c>
      <c r="F142" s="20" t="n">
        <v>3082</v>
      </c>
      <c r="G142" s="20" t="n">
        <v>1606</v>
      </c>
      <c r="H142" s="20" t="n">
        <v>2093</v>
      </c>
      <c r="I142" s="20" t="n">
        <v>1636</v>
      </c>
      <c r="J142" s="20" t="n">
        <v>2966</v>
      </c>
      <c r="K142" s="20" t="n">
        <v>2219</v>
      </c>
      <c r="L142" s="20" t="n">
        <v>2998</v>
      </c>
      <c r="M142" s="20" t="n">
        <v>1965</v>
      </c>
      <c r="N142" s="20" t="n">
        <v>3307</v>
      </c>
      <c r="T142" s="20" t="n">
        <v>2591</v>
      </c>
      <c r="U142" s="20" t="n">
        <v>525</v>
      </c>
      <c r="V142" s="20" t="n">
        <v>1757</v>
      </c>
      <c r="W142" s="20" t="n">
        <v>1636</v>
      </c>
      <c r="X142" s="20" t="n">
        <v>1965</v>
      </c>
    </row>
    <row r="143">
      <c r="A143" s="18" t="inlineStr">
        <is>
          <t>법인세 조정액</t>
        </is>
      </c>
      <c r="C143" s="20" t="n">
        <v>177</v>
      </c>
      <c r="D143" s="20" t="n">
        <v>-304</v>
      </c>
      <c r="E143" s="20" t="n">
        <v>215</v>
      </c>
      <c r="F143" s="20" t="n">
        <v>-876</v>
      </c>
      <c r="G143" s="20" t="n">
        <v>205</v>
      </c>
      <c r="H143" s="20" t="n">
        <v>317</v>
      </c>
      <c r="I143" s="20" t="n">
        <v>429</v>
      </c>
      <c r="J143" s="20" t="n">
        <v>-882</v>
      </c>
      <c r="K143" s="20" t="n">
        <v>987</v>
      </c>
      <c r="L143" s="20" t="n">
        <v>73</v>
      </c>
      <c r="M143" s="20" t="n">
        <v>-534</v>
      </c>
      <c r="N143" s="20" t="n">
        <v>-2626</v>
      </c>
      <c r="T143" s="20" t="n">
        <v>-259</v>
      </c>
      <c r="U143" s="20" t="n">
        <v>-169</v>
      </c>
      <c r="V143" s="20" t="n">
        <v>215</v>
      </c>
      <c r="W143" s="20" t="n">
        <v>429</v>
      </c>
      <c r="X143" s="20" t="n">
        <v>-534</v>
      </c>
    </row>
    <row r="144">
      <c r="A144" s="18" t="inlineStr">
        <is>
          <t>법인세 등 합계</t>
        </is>
      </c>
      <c r="C144" s="20" t="n">
        <v>1713</v>
      </c>
      <c r="D144" s="20" t="n">
        <v>2548</v>
      </c>
      <c r="E144" s="20" t="n">
        <v>1971</v>
      </c>
      <c r="F144" s="20" t="n">
        <v>2205</v>
      </c>
      <c r="G144" s="20" t="n">
        <v>1811</v>
      </c>
      <c r="H144" s="20" t="n">
        <v>2411</v>
      </c>
      <c r="I144" s="20" t="n">
        <v>2065</v>
      </c>
      <c r="J144" s="20" t="n">
        <v>2084</v>
      </c>
      <c r="K144" s="20" t="n">
        <v>3207</v>
      </c>
      <c r="L144" s="20" t="n">
        <v>3071</v>
      </c>
      <c r="M144" s="20" t="n">
        <v>1429</v>
      </c>
      <c r="N144" s="20" t="n">
        <v>680</v>
      </c>
      <c r="T144" s="20" t="n">
        <v>2332</v>
      </c>
      <c r="U144" s="20" t="n">
        <v>355</v>
      </c>
      <c r="V144" s="20" t="n">
        <v>1971</v>
      </c>
      <c r="W144" s="20" t="n">
        <v>2065</v>
      </c>
      <c r="X144" s="20" t="n">
        <v>1429</v>
      </c>
    </row>
    <row r="145">
      <c r="A145" s="43" t="inlineStr">
        <is>
          <t>YoY</t>
        </is>
      </c>
      <c r="B145" s="3" t="inlineStr">
        <is>
          <t>전년 같은 분기·전년 대비</t>
        </is>
      </c>
      <c r="G145" s="15">
        <f>IF(OR(G144="",C144=""),"",IF(G144*C144&lt;=0,"",IFERROR(G144/C144-1,"")))</f>
        <v/>
      </c>
      <c r="H145" s="15">
        <f>IF(OR(H144="",D144=""),"",IF(H144*D144&lt;=0,"",IFERROR(H144/D144-1,"")))</f>
        <v/>
      </c>
      <c r="I145" s="15">
        <f>IF(OR(I144="",E144=""),"",IF(I144*E144&lt;=0,"",IFERROR(I144/E144-1,"")))</f>
        <v/>
      </c>
      <c r="J145" s="15">
        <f>IF(OR(J144="",F144=""),"",IF(J144*F144&lt;=0,"",IFERROR(J144/F144-1,"")))</f>
        <v/>
      </c>
      <c r="K145" s="15">
        <f>IF(OR(K144="",G144=""),"",IF(K144*G144&lt;=0,"",IFERROR(K144/G144-1,"")))</f>
        <v/>
      </c>
      <c r="L145" s="15">
        <f>IF(OR(L144="",H144=""),"",IF(L144*H144&lt;=0,"",IFERROR(L144/H144-1,"")))</f>
        <v/>
      </c>
      <c r="M145" s="15">
        <f>IF(OR(M144="",I144=""),"",IF(M144*I144&lt;=0,"",IFERROR(M144/I144-1,"")))</f>
        <v/>
      </c>
      <c r="N145" s="15">
        <f>IF(OR(N144="",J144=""),"",IF(N144*J144&lt;=0,"",IFERROR(N144/J144-1,"")))</f>
        <v/>
      </c>
      <c r="T145" s="15">
        <f>IF(OR(T144="",S144=""),"",IF(T144*S144&lt;=0,"",IFERROR(T144/S144-1,"")))</f>
        <v/>
      </c>
      <c r="U145" s="15">
        <f>IF(OR(U144="",T144=""),"",IF(U144*T144&lt;=0,"",IFERROR(U144/T144-1,"")))</f>
        <v/>
      </c>
      <c r="V145" s="15">
        <f>IF(OR(V144="",U144=""),"",IF(V144*U144&lt;=0,"",IFERROR(V144/U144-1,"")))</f>
        <v/>
      </c>
      <c r="W145" s="15">
        <f>IF(OR(W144="",V144=""),"",IF(W144*V144&lt;=0,"",IFERROR(W144/V144-1,"")))</f>
        <v/>
      </c>
      <c r="X145" s="15">
        <f>IF(OR(X144="",W144=""),"",IF(X144*W144&lt;=0,"",IFERROR(X144/W144-1,"")))</f>
        <v/>
      </c>
    </row>
    <row r="146">
      <c r="A146" s="9" t="inlineStr">
        <is>
          <t>순이익</t>
        </is>
      </c>
      <c r="C146" s="12" t="n">
        <v>3580</v>
      </c>
      <c r="D146" s="12" t="n">
        <v>5733</v>
      </c>
      <c r="E146" s="12" t="n">
        <v>3002</v>
      </c>
      <c r="F146" s="12" t="n">
        <v>5021</v>
      </c>
      <c r="G146" s="12" t="n">
        <v>4681</v>
      </c>
      <c r="H146" s="12" t="n">
        <v>3347</v>
      </c>
      <c r="I146" s="12" t="n">
        <v>4273</v>
      </c>
      <c r="J146" s="12" t="n">
        <v>3691</v>
      </c>
      <c r="K146" s="12" t="n">
        <v>-404</v>
      </c>
      <c r="L146" s="12" t="n">
        <v>3912</v>
      </c>
      <c r="M146" s="12" t="n">
        <v>1279</v>
      </c>
      <c r="N146" s="12" t="n">
        <v>2519</v>
      </c>
      <c r="T146" s="12" t="n">
        <v>5970</v>
      </c>
      <c r="U146" s="12" t="n">
        <v>2926</v>
      </c>
      <c r="V146" s="12" t="n">
        <v>3002</v>
      </c>
      <c r="W146" s="12" t="n">
        <v>4273</v>
      </c>
      <c r="X146" s="12" t="n">
        <v>1279</v>
      </c>
    </row>
    <row r="147">
      <c r="A147" s="43" t="inlineStr">
        <is>
          <t>YoY</t>
        </is>
      </c>
      <c r="B147" s="3" t="inlineStr">
        <is>
          <t>전년 같은 분기·전년 대비</t>
        </is>
      </c>
      <c r="G147" s="15">
        <f>IF(OR(G146="",C146=""),"",IF(C146&lt;=0,"",IFERROR(G146/C146-1,"")))</f>
        <v/>
      </c>
      <c r="H147" s="15">
        <f>IF(OR(H146="",D146=""),"",IF(D146&lt;=0,"",IFERROR(H146/D146-1,"")))</f>
        <v/>
      </c>
      <c r="I147" s="15">
        <f>IF(OR(I146="",E146=""),"",IF(E146&lt;=0,"",IFERROR(I146/E146-1,"")))</f>
        <v/>
      </c>
      <c r="J147" s="15">
        <f>IF(OR(J146="",F146=""),"",IF(F146&lt;=0,"",IFERROR(J146/F146-1,"")))</f>
        <v/>
      </c>
      <c r="K147" s="15">
        <f>IF(OR(K146="",G146=""),"",IF(G146&lt;=0,"",IFERROR(K146/G146-1,"")))</f>
        <v/>
      </c>
      <c r="L147" s="15">
        <f>IF(OR(L146="",H146=""),"",IF(H146&lt;=0,"",IFERROR(L146/H146-1,"")))</f>
        <v/>
      </c>
      <c r="M147" s="15">
        <f>IF(OR(M146="",I146=""),"",IF(I146&lt;=0,"",IFERROR(M146/I146-1,"")))</f>
        <v/>
      </c>
      <c r="N147" s="15">
        <f>IF(OR(N146="",J146=""),"",IF(J146&lt;=0,"",IFERROR(N146/J146-1,"")))</f>
        <v/>
      </c>
      <c r="T147" s="15">
        <f>IF(OR(T146="",S146=""),"",IF(S146&lt;=0,"",IFERROR(T146/S146-1,"")))</f>
        <v/>
      </c>
      <c r="U147" s="15">
        <f>IF(OR(U146="",T146=""),"",IF(T146&lt;=0,"",IFERROR(U146/T146-1,"")))</f>
        <v/>
      </c>
      <c r="V147" s="15">
        <f>IF(OR(V146="",U146=""),"",IF(U146&lt;=0,"",IFERROR(V146/U146-1,"")))</f>
        <v/>
      </c>
      <c r="W147" s="15">
        <f>IF(OR(W146="",V146=""),"",IF(V146&lt;=0,"",IFERROR(W146/V146-1,"")))</f>
        <v/>
      </c>
      <c r="X147" s="15">
        <f>IF(OR(X146="",W146=""),"",IF(W146&lt;=0,"",IFERROR(X146/W146-1,"")))</f>
        <v/>
      </c>
    </row>
    <row r="148">
      <c r="A148" s="9" t="inlineStr">
        <is>
          <t>비지배주주 당기순손실</t>
        </is>
      </c>
      <c r="C148" s="12" t="n">
        <v>502</v>
      </c>
      <c r="D148" s="12" t="n">
        <v>-161</v>
      </c>
      <c r="E148" s="12" t="n">
        <v>762</v>
      </c>
      <c r="F148" s="12" t="n">
        <v>-149</v>
      </c>
      <c r="G148" s="12" t="n">
        <v>762</v>
      </c>
      <c r="H148" s="12" t="n">
        <v>-567</v>
      </c>
      <c r="I148" s="12" t="n">
        <v>1074</v>
      </c>
      <c r="J148" s="12" t="n">
        <v>-453</v>
      </c>
      <c r="K148" s="12" t="n">
        <v>-1954</v>
      </c>
      <c r="L148" s="12" t="n">
        <v>-951</v>
      </c>
      <c r="M148" s="12" t="n">
        <v>141</v>
      </c>
      <c r="N148" s="12" t="n">
        <v>-1111</v>
      </c>
      <c r="T148" s="12" t="n">
        <v>2344</v>
      </c>
      <c r="U148" s="12" t="n">
        <v>813</v>
      </c>
      <c r="V148" s="12" t="n">
        <v>762</v>
      </c>
      <c r="W148" s="12" t="n">
        <v>1074</v>
      </c>
      <c r="X148" s="12" t="n">
        <v>141</v>
      </c>
    </row>
    <row r="149">
      <c r="A149" s="9" t="inlineStr">
        <is>
          <t>지배주주 순이익</t>
        </is>
      </c>
      <c r="C149" s="12" t="n">
        <v>3078</v>
      </c>
      <c r="D149" s="12" t="n">
        <v>5894</v>
      </c>
      <c r="E149" s="12" t="n">
        <v>2239</v>
      </c>
      <c r="F149" s="12" t="n">
        <v>5170</v>
      </c>
      <c r="G149" s="12" t="n">
        <v>3918</v>
      </c>
      <c r="H149" s="12" t="n">
        <v>3914</v>
      </c>
      <c r="I149" s="12" t="n">
        <v>3200</v>
      </c>
      <c r="J149" s="12" t="n">
        <v>4145</v>
      </c>
      <c r="K149" s="12" t="n">
        <v>1550</v>
      </c>
      <c r="L149" s="12" t="n">
        <v>4862</v>
      </c>
      <c r="M149" s="12" t="n">
        <v>1139</v>
      </c>
      <c r="N149" s="12" t="n">
        <v>3630</v>
      </c>
      <c r="T149" s="12" t="n">
        <v>3626</v>
      </c>
      <c r="U149" s="12" t="n">
        <v>2113</v>
      </c>
      <c r="V149" s="12" t="n">
        <v>2239</v>
      </c>
      <c r="W149" s="12" t="n">
        <v>3200</v>
      </c>
      <c r="X149" s="12" t="n">
        <v>1139</v>
      </c>
    </row>
    <row r="150">
      <c r="A150" s="43" t="inlineStr">
        <is>
          <t>YoY</t>
        </is>
      </c>
      <c r="B150" s="3" t="inlineStr">
        <is>
          <t>전년 같은 분기·전년 대비</t>
        </is>
      </c>
      <c r="G150" s="15">
        <f>IF(OR(G149="",C149=""),"",IF(C149&lt;=0,"",IFERROR(G149/C149-1,"")))</f>
        <v/>
      </c>
      <c r="H150" s="15">
        <f>IF(OR(H149="",D149=""),"",IF(D149&lt;=0,"",IFERROR(H149/D149-1,"")))</f>
        <v/>
      </c>
      <c r="I150" s="15">
        <f>IF(OR(I149="",E149=""),"",IF(E149&lt;=0,"",IFERROR(I149/E149-1,"")))</f>
        <v/>
      </c>
      <c r="J150" s="15">
        <f>IF(OR(J149="",F149=""),"",IF(F149&lt;=0,"",IFERROR(J149/F149-1,"")))</f>
        <v/>
      </c>
      <c r="K150" s="15">
        <f>IF(OR(K149="",G149=""),"",IF(G149&lt;=0,"",IFERROR(K149/G149-1,"")))</f>
        <v/>
      </c>
      <c r="L150" s="15">
        <f>IF(OR(L149="",H149=""),"",IF(H149&lt;=0,"",IFERROR(L149/H149-1,"")))</f>
        <v/>
      </c>
      <c r="M150" s="15">
        <f>IF(OR(M149="",I149=""),"",IF(I149&lt;=0,"",IFERROR(M149/I149-1,"")))</f>
        <v/>
      </c>
      <c r="N150" s="15">
        <f>IF(OR(N149="",J149=""),"",IF(J149&lt;=0,"",IFERROR(N149/J149-1,"")))</f>
        <v/>
      </c>
      <c r="T150" s="15">
        <f>IF(OR(T149="",S149=""),"",IF(S149&lt;=0,"",IFERROR(T149/S149-1,"")))</f>
        <v/>
      </c>
      <c r="U150" s="15">
        <f>IF(OR(U149="",T149=""),"",IF(T149&lt;=0,"",IFERROR(U149/T149-1,"")))</f>
        <v/>
      </c>
      <c r="V150" s="15">
        <f>IF(OR(V149="",U149=""),"",IF(U149&lt;=0,"",IFERROR(V149/U149-1,"")))</f>
        <v/>
      </c>
      <c r="W150" s="15">
        <f>IF(OR(W149="",V149=""),"",IF(V149&lt;=0,"",IFERROR(W149/V149-1,"")))</f>
        <v/>
      </c>
      <c r="X150" s="15">
        <f>IF(OR(X149="",W149=""),"",IF(W149&lt;=0,"",IFERROR(X149/W149-1,"")))</f>
        <v/>
      </c>
    </row>
    <row r="152">
      <c r="A152" s="16" t="inlineStr">
        <is>
          <t>포괄손익 · 전 항목</t>
        </is>
      </c>
      <c r="B152" s="42" t="inlineStr">
        <is>
          <t>분기 = 3개월 단독</t>
        </is>
      </c>
      <c r="C152" s="16" t="n"/>
      <c r="D152" s="16" t="n"/>
      <c r="E152" s="16" t="n"/>
      <c r="F152" s="16" t="n"/>
      <c r="G152" s="16" t="n"/>
      <c r="H152" s="16" t="n"/>
      <c r="I152" s="16" t="n"/>
      <c r="J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  <c r="S152" s="16" t="n"/>
      <c r="T152" s="16" t="n"/>
      <c r="U152" s="16" t="n"/>
      <c r="V152" s="16" t="n"/>
      <c r="W152" s="16" t="n"/>
      <c r="X152" s="16" t="n"/>
      <c r="Y152" s="16" t="n"/>
      <c r="Z152" s="16" t="n"/>
      <c r="AA152" s="16" t="n"/>
      <c r="AB152" s="16" t="n"/>
      <c r="AC152" s="16" t="n"/>
    </row>
    <row r="153">
      <c r="A153" s="5" t="inlineStr">
        <is>
          <t>항목</t>
        </is>
      </c>
      <c r="B153" s="5" t="inlineStr">
        <is>
          <t>참고</t>
        </is>
      </c>
      <c r="C153" s="5" t="inlineStr">
        <is>
          <t>2024.2Q</t>
        </is>
      </c>
      <c r="D153" s="5" t="inlineStr">
        <is>
          <t>2024.3Q</t>
        </is>
      </c>
      <c r="E153" s="5" t="inlineStr">
        <is>
          <t>2024.4Q</t>
        </is>
      </c>
      <c r="F153" s="5" t="inlineStr">
        <is>
          <t>2025.1Q</t>
        </is>
      </c>
      <c r="G153" s="5" t="inlineStr">
        <is>
          <t>2025.2Q</t>
        </is>
      </c>
      <c r="H153" s="5" t="inlineStr">
        <is>
          <t>2025.3Q</t>
        </is>
      </c>
      <c r="I153" s="5" t="inlineStr">
        <is>
          <t>2025.4Q</t>
        </is>
      </c>
      <c r="J153" s="5" t="inlineStr">
        <is>
          <t>2026.1Q</t>
        </is>
      </c>
      <c r="K153" s="5" t="inlineStr">
        <is>
          <t>2026.2Q</t>
        </is>
      </c>
      <c r="L153" s="5" t="inlineStr">
        <is>
          <t>2026.3Q</t>
        </is>
      </c>
      <c r="M153" s="5" t="inlineStr">
        <is>
          <t>2026.4Q</t>
        </is>
      </c>
      <c r="N153" s="5" t="inlineStr">
        <is>
          <t>2027.1Q</t>
        </is>
      </c>
      <c r="O153" s="5" t="inlineStr">
        <is>
          <t>2017</t>
        </is>
      </c>
      <c r="P153" s="5" t="inlineStr">
        <is>
          <t>2018</t>
        </is>
      </c>
      <c r="Q153" s="5" t="inlineStr">
        <is>
          <t>2019</t>
        </is>
      </c>
      <c r="R153" s="5" t="inlineStr">
        <is>
          <t>2020</t>
        </is>
      </c>
      <c r="S153" s="5" t="inlineStr">
        <is>
          <t>2021</t>
        </is>
      </c>
      <c r="T153" s="5" t="inlineStr">
        <is>
          <t>2022</t>
        </is>
      </c>
      <c r="U153" s="5" t="inlineStr">
        <is>
          <t>2023</t>
        </is>
      </c>
      <c r="V153" s="5" t="inlineStr">
        <is>
          <t>2024</t>
        </is>
      </c>
      <c r="W153" s="5" t="inlineStr">
        <is>
          <t>2025</t>
        </is>
      </c>
      <c r="X153" s="5" t="inlineStr">
        <is>
          <t>2026</t>
        </is>
      </c>
      <c r="Y153" s="5" t="inlineStr">
        <is>
          <t>2027(MW)</t>
        </is>
      </c>
      <c r="Z153" s="5" t="inlineStr">
        <is>
          <t>2028(MW)</t>
        </is>
      </c>
      <c r="AA153" s="5" t="inlineStr">
        <is>
          <t>2029(MW)</t>
        </is>
      </c>
      <c r="AB153" s="5" t="inlineStr">
        <is>
          <t>2030(MW)</t>
        </is>
      </c>
      <c r="AC153" s="5" t="inlineStr">
        <is>
          <t>2031(MW)</t>
        </is>
      </c>
    </row>
    <row r="154">
      <c r="A154" s="9" t="inlineStr">
        <is>
          <t>순이익</t>
        </is>
      </c>
      <c r="C154" s="12" t="n">
        <v>3580</v>
      </c>
      <c r="D154" s="12" t="n">
        <v>5733</v>
      </c>
      <c r="E154" s="12" t="n">
        <v>3002</v>
      </c>
      <c r="F154" s="12" t="n">
        <v>5021</v>
      </c>
      <c r="G154" s="12" t="n">
        <v>4681</v>
      </c>
      <c r="H154" s="12" t="n">
        <v>3347</v>
      </c>
      <c r="I154" s="12" t="n">
        <v>4273</v>
      </c>
      <c r="J154" s="12" t="n">
        <v>3691</v>
      </c>
      <c r="K154" s="12" t="n">
        <v>-404</v>
      </c>
      <c r="L154" s="12" t="n">
        <v>3912</v>
      </c>
      <c r="M154" s="12" t="n">
        <v>1279</v>
      </c>
      <c r="N154" s="12" t="n">
        <v>2519</v>
      </c>
      <c r="T154" s="12" t="n">
        <v>5970</v>
      </c>
      <c r="U154" s="12" t="n">
        <v>2926</v>
      </c>
      <c r="V154" s="12" t="n">
        <v>3002</v>
      </c>
      <c r="W154" s="12" t="n">
        <v>4273</v>
      </c>
      <c r="X154" s="12" t="n">
        <v>1279</v>
      </c>
    </row>
    <row r="155">
      <c r="A155" s="18" t="inlineStr">
        <is>
          <t>기타유가증권 평가차액</t>
        </is>
      </c>
      <c r="C155" s="20" t="n">
        <v>936</v>
      </c>
      <c r="D155" s="20" t="n">
        <v>-685</v>
      </c>
      <c r="E155" s="20" t="n">
        <v>5534</v>
      </c>
      <c r="F155" s="20" t="n">
        <v>-1808</v>
      </c>
      <c r="G155" s="20" t="n">
        <v>-3678</v>
      </c>
      <c r="H155" s="20" t="n">
        <v>438</v>
      </c>
      <c r="I155" s="20" t="n">
        <v>-949</v>
      </c>
      <c r="J155" s="20" t="n">
        <v>-23</v>
      </c>
      <c r="K155" s="20" t="n">
        <v>1343</v>
      </c>
      <c r="L155" s="20" t="n">
        <v>976</v>
      </c>
      <c r="M155" s="20" t="n">
        <v>2563</v>
      </c>
      <c r="N155" s="20" t="n">
        <v>4841</v>
      </c>
      <c r="T155" s="20" t="n">
        <v>217</v>
      </c>
      <c r="U155" s="20" t="n">
        <v>789</v>
      </c>
      <c r="V155" s="20" t="n">
        <v>5534</v>
      </c>
      <c r="W155" s="20" t="n">
        <v>-949</v>
      </c>
      <c r="X155" s="20" t="n">
        <v>2563</v>
      </c>
    </row>
    <row r="156">
      <c r="A156" s="18" t="inlineStr">
        <is>
          <t>이연헤지손익</t>
        </is>
      </c>
      <c r="C156" s="20" t="n">
        <v>-90</v>
      </c>
      <c r="D156" s="20" t="n">
        <v>-193</v>
      </c>
      <c r="E156" s="20" t="n">
        <v>-93</v>
      </c>
      <c r="F156" s="20" t="n">
        <v>8</v>
      </c>
      <c r="G156" s="20" t="n">
        <v>-14</v>
      </c>
      <c r="H156" s="20" t="n">
        <v>5</v>
      </c>
      <c r="I156" s="20" t="n">
        <v>-6</v>
      </c>
      <c r="J156" s="20" t="n">
        <v>5</v>
      </c>
      <c r="K156" s="20" t="n">
        <v>-1</v>
      </c>
      <c r="L156" s="20" t="n">
        <v>0</v>
      </c>
      <c r="M156" s="20" t="n">
        <v>-3</v>
      </c>
      <c r="N156" s="20" t="n">
        <v>2</v>
      </c>
      <c r="T156" s="20" t="n">
        <v>139</v>
      </c>
      <c r="U156" s="20" t="n">
        <v>-85</v>
      </c>
      <c r="V156" s="20" t="n">
        <v>-93</v>
      </c>
      <c r="W156" s="20" t="n">
        <v>-6</v>
      </c>
      <c r="X156" s="20" t="n">
        <v>-3</v>
      </c>
    </row>
    <row r="157">
      <c r="A157" s="18" t="inlineStr">
        <is>
          <t>해외사업환산조정</t>
        </is>
      </c>
      <c r="C157" s="20" t="n">
        <v>10619</v>
      </c>
      <c r="D157" s="20" t="n">
        <v>2998</v>
      </c>
      <c r="E157" s="20" t="n">
        <v>-5153</v>
      </c>
      <c r="F157" s="20" t="n">
        <v>8301</v>
      </c>
      <c r="G157" s="20" t="n">
        <v>9881</v>
      </c>
      <c r="H157" s="20" t="n">
        <v>-16378</v>
      </c>
      <c r="I157" s="20" t="n">
        <v>12643</v>
      </c>
      <c r="J157" s="20" t="n">
        <v>-7920</v>
      </c>
      <c r="K157" s="20" t="n">
        <v>-151</v>
      </c>
      <c r="L157" s="20" t="n">
        <v>4490</v>
      </c>
      <c r="M157" s="20" t="n">
        <v>10205</v>
      </c>
      <c r="N157" s="20" t="n">
        <v>2358</v>
      </c>
      <c r="T157" s="20" t="n">
        <v>2681</v>
      </c>
      <c r="U157" s="20" t="n">
        <v>-8041</v>
      </c>
      <c r="V157" s="20" t="n">
        <v>-5153</v>
      </c>
      <c r="W157" s="20" t="n">
        <v>12643</v>
      </c>
      <c r="X157" s="20" t="n">
        <v>10205</v>
      </c>
    </row>
    <row r="158">
      <c r="A158" s="18" t="inlineStr">
        <is>
          <t>퇴직급여 조정액</t>
        </is>
      </c>
      <c r="C158" s="20" t="n">
        <v>61</v>
      </c>
      <c r="D158" s="20" t="n">
        <v>46</v>
      </c>
      <c r="E158" s="20" t="n">
        <v>208</v>
      </c>
      <c r="F158" s="20" t="n">
        <v>45</v>
      </c>
      <c r="G158" s="20" t="n">
        <v>46</v>
      </c>
      <c r="H158" s="20" t="n">
        <v>37</v>
      </c>
      <c r="I158" s="20" t="n">
        <v>82</v>
      </c>
      <c r="J158" s="20" t="n">
        <v>6</v>
      </c>
      <c r="K158" s="20" t="n">
        <v>-50</v>
      </c>
      <c r="L158" s="20" t="n">
        <v>13</v>
      </c>
      <c r="M158" s="20" t="n">
        <v>42</v>
      </c>
      <c r="N158" s="20" t="n">
        <v>82</v>
      </c>
      <c r="T158" s="20" t="n">
        <v>231</v>
      </c>
      <c r="U158" s="20" t="n">
        <v>-24</v>
      </c>
      <c r="V158" s="20" t="n">
        <v>208</v>
      </c>
      <c r="W158" s="20" t="n">
        <v>82</v>
      </c>
      <c r="X158" s="20" t="n">
        <v>42</v>
      </c>
    </row>
    <row r="159">
      <c r="A159" s="18" t="inlineStr">
        <is>
          <t>기타포괄손익 합계</t>
        </is>
      </c>
      <c r="C159" s="20" t="n">
        <v>11525</v>
      </c>
      <c r="D159" s="20" t="n">
        <v>2164</v>
      </c>
      <c r="E159" s="20" t="n">
        <v>496</v>
      </c>
      <c r="F159" s="20" t="n">
        <v>6546</v>
      </c>
      <c r="G159" s="20" t="n">
        <v>6235</v>
      </c>
      <c r="H159" s="20" t="n">
        <v>-15897</v>
      </c>
      <c r="I159" s="20" t="n">
        <v>11769</v>
      </c>
      <c r="J159" s="20" t="n">
        <v>-7931</v>
      </c>
      <c r="K159" s="20" t="n">
        <v>1140</v>
      </c>
      <c r="L159" s="20" t="n">
        <v>5481</v>
      </c>
      <c r="M159" s="20" t="n">
        <v>12808</v>
      </c>
      <c r="N159" s="20" t="n">
        <v>7285</v>
      </c>
      <c r="T159" s="20" t="n">
        <v>3269</v>
      </c>
      <c r="U159" s="20" t="n">
        <v>-7359</v>
      </c>
      <c r="V159" s="20" t="n">
        <v>496</v>
      </c>
      <c r="W159" s="20" t="n">
        <v>11769</v>
      </c>
      <c r="X159" s="20" t="n">
        <v>12808</v>
      </c>
    </row>
    <row r="160">
      <c r="A160" s="9" t="inlineStr">
        <is>
          <t>포괄이익</t>
        </is>
      </c>
      <c r="C160" s="12" t="n">
        <v>15106</v>
      </c>
      <c r="D160" s="12" t="n">
        <v>7897</v>
      </c>
      <c r="E160" s="12" t="n">
        <v>3497</v>
      </c>
      <c r="F160" s="12" t="n">
        <v>11567</v>
      </c>
      <c r="G160" s="12" t="n">
        <v>10916</v>
      </c>
      <c r="H160" s="12" t="n">
        <v>-12551</v>
      </c>
      <c r="I160" s="12" t="n">
        <v>16044</v>
      </c>
      <c r="J160" s="12" t="n">
        <v>-4239</v>
      </c>
      <c r="K160" s="12" t="n">
        <v>735</v>
      </c>
      <c r="L160" s="12" t="n">
        <v>9392</v>
      </c>
      <c r="M160" s="12" t="n">
        <v>14088</v>
      </c>
      <c r="N160" s="12" t="n">
        <v>9804</v>
      </c>
      <c r="T160" s="12" t="n">
        <v>9238</v>
      </c>
      <c r="U160" s="12" t="n">
        <v>-4434</v>
      </c>
      <c r="V160" s="12" t="n">
        <v>3497</v>
      </c>
      <c r="W160" s="12" t="n">
        <v>16044</v>
      </c>
      <c r="X160" s="12" t="n">
        <v>14088</v>
      </c>
    </row>
    <row r="161">
      <c r="A161" s="9" t="inlineStr">
        <is>
          <t>지배주주 포괄이익</t>
        </is>
      </c>
      <c r="C161" s="12" t="n">
        <v>12819</v>
      </c>
      <c r="D161" s="12" t="n">
        <v>7346</v>
      </c>
      <c r="E161" s="12" t="n">
        <v>3907</v>
      </c>
      <c r="F161" s="12" t="n">
        <v>10173</v>
      </c>
      <c r="G161" s="12" t="n">
        <v>8485</v>
      </c>
      <c r="H161" s="12" t="n">
        <v>-9100</v>
      </c>
      <c r="I161" s="12" t="n">
        <v>12580</v>
      </c>
      <c r="J161" s="12" t="n">
        <v>-2275</v>
      </c>
      <c r="K161" s="12" t="n">
        <v>3323</v>
      </c>
      <c r="L161" s="12" t="n">
        <v>9612</v>
      </c>
      <c r="M161" s="12" t="n">
        <v>12504</v>
      </c>
      <c r="N161" s="12" t="n">
        <v>10336</v>
      </c>
      <c r="T161" s="12" t="n">
        <v>6284</v>
      </c>
      <c r="U161" s="12" t="n">
        <v>-3303</v>
      </c>
      <c r="V161" s="12" t="n">
        <v>3907</v>
      </c>
      <c r="W161" s="12" t="n">
        <v>12580</v>
      </c>
      <c r="X161" s="12" t="n">
        <v>12504</v>
      </c>
    </row>
    <row r="162">
      <c r="A162" s="9" t="inlineStr">
        <is>
          <t>비지배주주 포괄이익</t>
        </is>
      </c>
      <c r="C162" s="12" t="n">
        <v>2288</v>
      </c>
      <c r="D162" s="12" t="n">
        <v>550</v>
      </c>
      <c r="E162" s="12" t="n">
        <v>-410</v>
      </c>
      <c r="F162" s="12" t="n">
        <v>1394</v>
      </c>
      <c r="G162" s="12" t="n">
        <v>2431</v>
      </c>
      <c r="H162" s="12" t="n">
        <v>-3451</v>
      </c>
      <c r="I162" s="12" t="n">
        <v>3464</v>
      </c>
      <c r="J162" s="12" t="n">
        <v>-1964</v>
      </c>
      <c r="K162" s="12" t="n">
        <v>-2588</v>
      </c>
      <c r="L162" s="12" t="n">
        <v>-219</v>
      </c>
      <c r="M162" s="12" t="n">
        <v>1584</v>
      </c>
      <c r="N162" s="12" t="n">
        <v>-532</v>
      </c>
      <c r="T162" s="12" t="n">
        <v>2954</v>
      </c>
      <c r="U162" s="12" t="n">
        <v>-1130</v>
      </c>
      <c r="V162" s="12" t="n">
        <v>-410</v>
      </c>
      <c r="W162" s="12" t="n">
        <v>3464</v>
      </c>
      <c r="X162" s="12" t="n">
        <v>1584</v>
      </c>
    </row>
    <row r="164">
      <c r="A164" s="16" t="inlineStr">
        <is>
          <t>부문 · 전 항목</t>
        </is>
      </c>
      <c r="B164" s="42" t="inlineStr">
        <is>
          <t>부문 · 항목</t>
        </is>
      </c>
      <c r="C164" s="16" t="n"/>
      <c r="D164" s="16" t="n"/>
      <c r="E164" s="16" t="n"/>
      <c r="F164" s="16" t="n"/>
      <c r="G164" s="16" t="n"/>
      <c r="H164" s="16" t="n"/>
      <c r="I164" s="16" t="n"/>
      <c r="J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  <c r="S164" s="16" t="n"/>
      <c r="T164" s="16" t="n"/>
      <c r="U164" s="16" t="n"/>
      <c r="V164" s="16" t="n"/>
      <c r="W164" s="16" t="n"/>
      <c r="X164" s="16" t="n"/>
      <c r="Y164" s="16" t="n"/>
      <c r="Z164" s="16" t="n"/>
      <c r="AA164" s="16" t="n"/>
      <c r="AB164" s="16" t="n"/>
      <c r="AC164" s="16" t="n"/>
    </row>
    <row r="165">
      <c r="A165" s="5" t="inlineStr">
        <is>
          <t>항목</t>
        </is>
      </c>
      <c r="B165" s="5" t="inlineStr">
        <is>
          <t>참고</t>
        </is>
      </c>
      <c r="C165" s="5" t="inlineStr">
        <is>
          <t>2024.2Q</t>
        </is>
      </c>
      <c r="D165" s="5" t="inlineStr">
        <is>
          <t>2024.3Q</t>
        </is>
      </c>
      <c r="E165" s="5" t="inlineStr">
        <is>
          <t>2024.4Q</t>
        </is>
      </c>
      <c r="F165" s="5" t="inlineStr">
        <is>
          <t>2025.1Q</t>
        </is>
      </c>
      <c r="G165" s="5" t="inlineStr">
        <is>
          <t>2025.2Q</t>
        </is>
      </c>
      <c r="H165" s="5" t="inlineStr">
        <is>
          <t>2025.3Q</t>
        </is>
      </c>
      <c r="I165" s="5" t="inlineStr">
        <is>
          <t>2025.4Q</t>
        </is>
      </c>
      <c r="J165" s="5" t="inlineStr">
        <is>
          <t>2026.1Q</t>
        </is>
      </c>
      <c r="K165" s="5" t="inlineStr">
        <is>
          <t>2026.2Q</t>
        </is>
      </c>
      <c r="L165" s="5" t="inlineStr">
        <is>
          <t>2026.3Q</t>
        </is>
      </c>
      <c r="M165" s="5" t="inlineStr">
        <is>
          <t>2026.4Q</t>
        </is>
      </c>
      <c r="N165" s="5" t="inlineStr">
        <is>
          <t>2027.1Q</t>
        </is>
      </c>
      <c r="O165" s="5" t="inlineStr">
        <is>
          <t>2017</t>
        </is>
      </c>
      <c r="P165" s="5" t="inlineStr">
        <is>
          <t>2018</t>
        </is>
      </c>
      <c r="Q165" s="5" t="inlineStr">
        <is>
          <t>2019</t>
        </is>
      </c>
      <c r="R165" s="5" t="inlineStr">
        <is>
          <t>2020</t>
        </is>
      </c>
      <c r="S165" s="5" t="inlineStr">
        <is>
          <t>2021</t>
        </is>
      </c>
      <c r="T165" s="5" t="inlineStr">
        <is>
          <t>2022</t>
        </is>
      </c>
      <c r="U165" s="5" t="inlineStr">
        <is>
          <t>2023</t>
        </is>
      </c>
      <c r="V165" s="5" t="inlineStr">
        <is>
          <t>2024</t>
        </is>
      </c>
      <c r="W165" s="5" t="inlineStr">
        <is>
          <t>2025</t>
        </is>
      </c>
      <c r="X165" s="5" t="inlineStr">
        <is>
          <t>2026</t>
        </is>
      </c>
      <c r="Y165" s="5" t="inlineStr">
        <is>
          <t>2027(MW)</t>
        </is>
      </c>
      <c r="Z165" s="5" t="inlineStr">
        <is>
          <t>2028(MW)</t>
        </is>
      </c>
      <c r="AA165" s="5" t="inlineStr">
        <is>
          <t>2029(MW)</t>
        </is>
      </c>
      <c r="AB165" s="5" t="inlineStr">
        <is>
          <t>2030(MW)</t>
        </is>
      </c>
      <c r="AC165" s="5" t="inlineStr">
        <is>
          <t>2031(MW)</t>
        </is>
      </c>
    </row>
    <row r="166">
      <c r="A166" s="18" t="inlineStr">
        <is>
          <t>다카라주조 · 외부 고객 매출</t>
        </is>
      </c>
      <c r="E166" s="20" t="n">
        <v>26001</v>
      </c>
      <c r="F166" s="20" t="n">
        <v>29906</v>
      </c>
      <c r="I166" s="20" t="n">
        <v>24352</v>
      </c>
      <c r="J166" s="20" t="n">
        <v>29149</v>
      </c>
      <c r="M166" s="20" t="n">
        <v>25622</v>
      </c>
      <c r="N166" s="20" t="n">
        <v>29892</v>
      </c>
      <c r="V166" s="20" t="n">
        <v>26001</v>
      </c>
      <c r="W166" s="20" t="n">
        <v>24352</v>
      </c>
      <c r="X166" s="20" t="n">
        <v>25622</v>
      </c>
    </row>
    <row r="167">
      <c r="A167" s="43" t="inlineStr">
        <is>
          <t>YoY</t>
        </is>
      </c>
      <c r="B167" s="3" t="inlineStr">
        <is>
          <t>전년 같은 분기·전년 대비</t>
        </is>
      </c>
      <c r="I167" s="15">
        <f>IF(OR(I166="",E166=""),"",IF(E166&lt;=0,"",IFERROR(I166/E166-1,"")))</f>
        <v/>
      </c>
      <c r="J167" s="15">
        <f>IF(OR(J166="",F166=""),"",IF(F166&lt;=0,"",IFERROR(J166/F166-1,"")))</f>
        <v/>
      </c>
      <c r="M167" s="15">
        <f>IF(OR(M166="",I166=""),"",IF(I166&lt;=0,"",IFERROR(M166/I166-1,"")))</f>
        <v/>
      </c>
      <c r="N167" s="15">
        <f>IF(OR(N166="",J166=""),"",IF(J166&lt;=0,"",IFERROR(N166/J166-1,"")))</f>
        <v/>
      </c>
      <c r="V167" s="15">
        <f>IF(OR(V166="",U166=""),"",IF(U166&lt;=0,"",IFERROR(V166/U166-1,"")))</f>
        <v/>
      </c>
      <c r="W167" s="15">
        <f>IF(OR(W166="",V166=""),"",IF(V166&lt;=0,"",IFERROR(W166/V166-1,"")))</f>
        <v/>
      </c>
      <c r="X167" s="15">
        <f>IF(OR(X166="",W166=""),"",IF(W166&lt;=0,"",IFERROR(X166/W166-1,"")))</f>
        <v/>
      </c>
    </row>
    <row r="168">
      <c r="A168" s="18" t="inlineStr">
        <is>
          <t>다카라주조 인터내셔널 그룹 · 외부 고객 매출</t>
        </is>
      </c>
      <c r="E168" s="20" t="n">
        <v>43021</v>
      </c>
      <c r="F168" s="20" t="n">
        <v>43117</v>
      </c>
      <c r="I168" s="20" t="n">
        <v>52400</v>
      </c>
      <c r="J168" s="20" t="n">
        <v>51326</v>
      </c>
      <c r="M168" s="20" t="n">
        <v>61766</v>
      </c>
      <c r="N168" s="20" t="n">
        <v>60172</v>
      </c>
      <c r="V168" s="20" t="n">
        <v>43021</v>
      </c>
      <c r="W168" s="20" t="n">
        <v>52400</v>
      </c>
      <c r="X168" s="20" t="n">
        <v>61766</v>
      </c>
    </row>
    <row r="169">
      <c r="A169" s="43" t="inlineStr">
        <is>
          <t>YoY</t>
        </is>
      </c>
      <c r="B169" s="3" t="inlineStr">
        <is>
          <t>전년 같은 분기·전년 대비</t>
        </is>
      </c>
      <c r="I169" s="15">
        <f>IF(OR(I168="",E168=""),"",IF(E168&lt;=0,"",IFERROR(I168/E168-1,"")))</f>
        <v/>
      </c>
      <c r="J169" s="15">
        <f>IF(OR(J168="",F168=""),"",IF(F168&lt;=0,"",IFERROR(J168/F168-1,"")))</f>
        <v/>
      </c>
      <c r="M169" s="15">
        <f>IF(OR(M168="",I168=""),"",IF(I168&lt;=0,"",IFERROR(M168/I168-1,"")))</f>
        <v/>
      </c>
      <c r="N169" s="15">
        <f>IF(OR(N168="",J168=""),"",IF(J168&lt;=0,"",IFERROR(N168/J168-1,"")))</f>
        <v/>
      </c>
      <c r="V169" s="15">
        <f>IF(OR(V168="",U168=""),"",IF(U168&lt;=0,"",IFERROR(V168/U168-1,"")))</f>
        <v/>
      </c>
      <c r="W169" s="15">
        <f>IF(OR(W168="",V168=""),"",IF(V168&lt;=0,"",IFERROR(W168/V168-1,"")))</f>
        <v/>
      </c>
      <c r="X169" s="15">
        <f>IF(OR(X168="",W168=""),"",IF(W168&lt;=0,"",IFERROR(X168/W168-1,"")))</f>
        <v/>
      </c>
    </row>
    <row r="170">
      <c r="A170" s="18" t="inlineStr">
        <is>
          <t>다카라바이오 그룹 · 외부 고객 매출</t>
        </is>
      </c>
      <c r="C170" s="20" t="n">
        <v>67705</v>
      </c>
      <c r="D170" s="20" t="n">
        <v>-47148</v>
      </c>
      <c r="E170" s="20" t="n">
        <v>13771</v>
      </c>
      <c r="F170" s="20" t="n">
        <v>8493</v>
      </c>
      <c r="G170" s="20" t="n">
        <v>80259</v>
      </c>
      <c r="H170" s="20" t="n">
        <v>-59471</v>
      </c>
      <c r="I170" s="20" t="n">
        <v>15757</v>
      </c>
      <c r="J170" s="20" t="n">
        <v>9266</v>
      </c>
      <c r="K170" s="20" t="n">
        <v>94445</v>
      </c>
      <c r="L170" s="20" t="n">
        <v>-75319</v>
      </c>
      <c r="M170" s="20" t="n">
        <v>11925</v>
      </c>
      <c r="N170" s="20" t="n">
        <v>9204</v>
      </c>
      <c r="V170" s="20" t="n">
        <v>13771</v>
      </c>
      <c r="W170" s="20" t="n">
        <v>15757</v>
      </c>
      <c r="X170" s="20" t="n">
        <v>11925</v>
      </c>
    </row>
    <row r="171">
      <c r="A171" s="43" t="inlineStr">
        <is>
          <t>YoY</t>
        </is>
      </c>
      <c r="B171" s="3" t="inlineStr">
        <is>
          <t>전년 같은 분기·전년 대비</t>
        </is>
      </c>
      <c r="G171" s="15">
        <f>IF(OR(G170="",C170=""),"",IF(C170&lt;=0,"",IFERROR(G170/C170-1,"")))</f>
        <v/>
      </c>
      <c r="H171" s="15">
        <f>IF(OR(H170="",D170=""),"",IF(D170&lt;=0,"",IFERROR(H170/D170-1,"")))</f>
        <v/>
      </c>
      <c r="I171" s="15">
        <f>IF(OR(I170="",E170=""),"",IF(E170&lt;=0,"",IFERROR(I170/E170-1,"")))</f>
        <v/>
      </c>
      <c r="J171" s="15">
        <f>IF(OR(J170="",F170=""),"",IF(F170&lt;=0,"",IFERROR(J170/F170-1,"")))</f>
        <v/>
      </c>
      <c r="K171" s="15">
        <f>IF(OR(K170="",G170=""),"",IF(G170&lt;=0,"",IFERROR(K170/G170-1,"")))</f>
        <v/>
      </c>
      <c r="L171" s="15">
        <f>IF(OR(L170="",H170=""),"",IF(H170&lt;=0,"",IFERROR(L170/H170-1,"")))</f>
        <v/>
      </c>
      <c r="M171" s="15">
        <f>IF(OR(M170="",I170=""),"",IF(I170&lt;=0,"",IFERROR(M170/I170-1,"")))</f>
        <v/>
      </c>
      <c r="N171" s="15">
        <f>IF(OR(N170="",J170=""),"",IF(J170&lt;=0,"",IFERROR(N170/J170-1,"")))</f>
        <v/>
      </c>
      <c r="V171" s="15">
        <f>IF(OR(V170="",U170=""),"",IF(U170&lt;=0,"",IFERROR(V170/U170-1,"")))</f>
        <v/>
      </c>
      <c r="W171" s="15">
        <f>IF(OR(W170="",V170=""),"",IF(V170&lt;=0,"",IFERROR(W170/V170-1,"")))</f>
        <v/>
      </c>
      <c r="X171" s="15">
        <f>IF(OR(X170="",W170=""),"",IF(W170&lt;=0,"",IFERROR(X170/W170-1,"")))</f>
        <v/>
      </c>
    </row>
    <row r="172">
      <c r="A172" s="18" t="inlineStr">
        <is>
          <t>보고부문 합계 · 외부 고객 매출</t>
        </is>
      </c>
      <c r="C172" s="20" t="n">
        <v>78653</v>
      </c>
      <c r="D172" s="20" t="n">
        <v>87055</v>
      </c>
      <c r="E172" s="20" t="n">
        <v>82794</v>
      </c>
      <c r="F172" s="20" t="n">
        <v>81517</v>
      </c>
      <c r="G172" s="20" t="n">
        <v>88468</v>
      </c>
      <c r="H172" s="20" t="n">
        <v>86753</v>
      </c>
      <c r="I172" s="20" t="n">
        <v>92509</v>
      </c>
      <c r="J172" s="20" t="n">
        <v>89742</v>
      </c>
      <c r="K172" s="20" t="n">
        <v>89845</v>
      </c>
      <c r="L172" s="20" t="n">
        <v>100999</v>
      </c>
      <c r="M172" s="20" t="n">
        <v>99313</v>
      </c>
      <c r="N172" s="20" t="n">
        <v>99268</v>
      </c>
      <c r="V172" s="20" t="n">
        <v>82794</v>
      </c>
      <c r="W172" s="20" t="n">
        <v>92509</v>
      </c>
      <c r="X172" s="20" t="n">
        <v>99313</v>
      </c>
    </row>
    <row r="173">
      <c r="A173" s="43" t="inlineStr">
        <is>
          <t>YoY</t>
        </is>
      </c>
      <c r="B173" s="3" t="inlineStr">
        <is>
          <t>전년 같은 분기·전년 대비</t>
        </is>
      </c>
      <c r="G173" s="15">
        <f>IF(OR(G172="",C172=""),"",IF(C172&lt;=0,"",IFERROR(G172/C172-1,"")))</f>
        <v/>
      </c>
      <c r="H173" s="15">
        <f>IF(OR(H172="",D172=""),"",IF(D172&lt;=0,"",IFERROR(H172/D172-1,"")))</f>
        <v/>
      </c>
      <c r="I173" s="15">
        <f>IF(OR(I172="",E172=""),"",IF(E172&lt;=0,"",IFERROR(I172/E172-1,"")))</f>
        <v/>
      </c>
      <c r="J173" s="15">
        <f>IF(OR(J172="",F172=""),"",IF(F172&lt;=0,"",IFERROR(J172/F172-1,"")))</f>
        <v/>
      </c>
      <c r="K173" s="15">
        <f>IF(OR(K172="",G172=""),"",IF(G172&lt;=0,"",IFERROR(K172/G172-1,"")))</f>
        <v/>
      </c>
      <c r="L173" s="15">
        <f>IF(OR(L172="",H172=""),"",IF(H172&lt;=0,"",IFERROR(L172/H172-1,"")))</f>
        <v/>
      </c>
      <c r="M173" s="15">
        <f>IF(OR(M172="",I172=""),"",IF(I172&lt;=0,"",IFERROR(M172/I172-1,"")))</f>
        <v/>
      </c>
      <c r="N173" s="15">
        <f>IF(OR(N172="",J172=""),"",IF(J172&lt;=0,"",IFERROR(N172/J172-1,"")))</f>
        <v/>
      </c>
      <c r="V173" s="15">
        <f>IF(OR(V172="",U172=""),"",IF(U172&lt;=0,"",IFERROR(V172/U172-1,"")))</f>
        <v/>
      </c>
      <c r="W173" s="15">
        <f>IF(OR(W172="",V172=""),"",IF(V172&lt;=0,"",IFERROR(W172/V172-1,"")))</f>
        <v/>
      </c>
      <c r="X173" s="15">
        <f>IF(OR(X172="",W172=""),"",IF(W172&lt;=0,"",IFERROR(X172/W172-1,"")))</f>
        <v/>
      </c>
    </row>
    <row r="174">
      <c r="A174" s="18" t="inlineStr">
        <is>
          <t>기타 · 외부 고객 매출</t>
        </is>
      </c>
      <c r="C174" s="20" t="n">
        <v>3009</v>
      </c>
      <c r="D174" s="20" t="n">
        <v>3390</v>
      </c>
      <c r="E174" s="20" t="n">
        <v>2961</v>
      </c>
      <c r="F174" s="20" t="n">
        <v>3438</v>
      </c>
      <c r="G174" s="20" t="n">
        <v>3116</v>
      </c>
      <c r="H174" s="20" t="n">
        <v>3643</v>
      </c>
      <c r="I174" s="20" t="n">
        <v>3249</v>
      </c>
      <c r="J174" s="20" t="n">
        <v>3606</v>
      </c>
      <c r="K174" s="20" t="n">
        <v>3362</v>
      </c>
      <c r="L174" s="20" t="n">
        <v>3974</v>
      </c>
      <c r="M174" s="20" t="n">
        <v>3474</v>
      </c>
      <c r="N174" s="20" t="n">
        <v>3939</v>
      </c>
      <c r="V174" s="20" t="n">
        <v>2961</v>
      </c>
      <c r="W174" s="20" t="n">
        <v>3249</v>
      </c>
      <c r="X174" s="20" t="n">
        <v>3474</v>
      </c>
    </row>
    <row r="175">
      <c r="A175" s="43" t="inlineStr">
        <is>
          <t>YoY</t>
        </is>
      </c>
      <c r="B175" s="3" t="inlineStr">
        <is>
          <t>전년 같은 분기·전년 대비</t>
        </is>
      </c>
      <c r="G175" s="15">
        <f>IF(OR(G174="",C174=""),"",IF(C174&lt;=0,"",IFERROR(G174/C174-1,"")))</f>
        <v/>
      </c>
      <c r="H175" s="15">
        <f>IF(OR(H174="",D174=""),"",IF(D174&lt;=0,"",IFERROR(H174/D174-1,"")))</f>
        <v/>
      </c>
      <c r="I175" s="15">
        <f>IF(OR(I174="",E174=""),"",IF(E174&lt;=0,"",IFERROR(I174/E174-1,"")))</f>
        <v/>
      </c>
      <c r="J175" s="15">
        <f>IF(OR(J174="",F174=""),"",IF(F174&lt;=0,"",IFERROR(J174/F174-1,"")))</f>
        <v/>
      </c>
      <c r="K175" s="15">
        <f>IF(OR(K174="",G174=""),"",IF(G174&lt;=0,"",IFERROR(K174/G174-1,"")))</f>
        <v/>
      </c>
      <c r="L175" s="15">
        <f>IF(OR(L174="",H174=""),"",IF(H174&lt;=0,"",IFERROR(L174/H174-1,"")))</f>
        <v/>
      </c>
      <c r="M175" s="15">
        <f>IF(OR(M174="",I174=""),"",IF(I174&lt;=0,"",IFERROR(M174/I174-1,"")))</f>
        <v/>
      </c>
      <c r="N175" s="15">
        <f>IF(OR(N174="",J174=""),"",IF(J174&lt;=0,"",IFERROR(N174/J174-1,"")))</f>
        <v/>
      </c>
      <c r="V175" s="15">
        <f>IF(OR(V174="",U174=""),"",IF(U174&lt;=0,"",IFERROR(V174/U174-1,"")))</f>
        <v/>
      </c>
      <c r="W175" s="15">
        <f>IF(OR(W174="",V174=""),"",IF(V174&lt;=0,"",IFERROR(W174/V174-1,"")))</f>
        <v/>
      </c>
      <c r="X175" s="15">
        <f>IF(OR(X174="",W174=""),"",IF(W174&lt;=0,"",IFERROR(X174/W174-1,"")))</f>
        <v/>
      </c>
    </row>
    <row r="176">
      <c r="A176" s="18" t="inlineStr">
        <is>
          <t>합계 · 외부 고객 매출</t>
        </is>
      </c>
      <c r="C176" s="20" t="n">
        <v>81662</v>
      </c>
      <c r="D176" s="20" t="n">
        <v>90446</v>
      </c>
      <c r="E176" s="20" t="n">
        <v>85754</v>
      </c>
      <c r="F176" s="20" t="n">
        <v>84956</v>
      </c>
      <c r="G176" s="20" t="n">
        <v>91583</v>
      </c>
      <c r="H176" s="20" t="n">
        <v>90396</v>
      </c>
      <c r="I176" s="20" t="n">
        <v>95758</v>
      </c>
      <c r="J176" s="20" t="n">
        <v>93348</v>
      </c>
      <c r="K176" s="20" t="n">
        <v>93208</v>
      </c>
      <c r="L176" s="20" t="n">
        <v>104973</v>
      </c>
      <c r="M176" s="20" t="n">
        <v>102787</v>
      </c>
      <c r="N176" s="20" t="n">
        <v>103207</v>
      </c>
      <c r="V176" s="20" t="n">
        <v>85754</v>
      </c>
      <c r="W176" s="20" t="n">
        <v>95758</v>
      </c>
      <c r="X176" s="20" t="n">
        <v>102787</v>
      </c>
    </row>
    <row r="177">
      <c r="A177" s="43" t="inlineStr">
        <is>
          <t>YoY</t>
        </is>
      </c>
      <c r="B177" s="3" t="inlineStr">
        <is>
          <t>전년 같은 분기·전년 대비</t>
        </is>
      </c>
      <c r="G177" s="15">
        <f>IF(OR(G176="",C176=""),"",IF(C176&lt;=0,"",IFERROR(G176/C176-1,"")))</f>
        <v/>
      </c>
      <c r="H177" s="15">
        <f>IF(OR(H176="",D176=""),"",IF(D176&lt;=0,"",IFERROR(H176/D176-1,"")))</f>
        <v/>
      </c>
      <c r="I177" s="15">
        <f>IF(OR(I176="",E176=""),"",IF(E176&lt;=0,"",IFERROR(I176/E176-1,"")))</f>
        <v/>
      </c>
      <c r="J177" s="15">
        <f>IF(OR(J176="",F176=""),"",IF(F176&lt;=0,"",IFERROR(J176/F176-1,"")))</f>
        <v/>
      </c>
      <c r="K177" s="15">
        <f>IF(OR(K176="",G176=""),"",IF(G176&lt;=0,"",IFERROR(K176/G176-1,"")))</f>
        <v/>
      </c>
      <c r="L177" s="15">
        <f>IF(OR(L176="",H176=""),"",IF(H176&lt;=0,"",IFERROR(L176/H176-1,"")))</f>
        <v/>
      </c>
      <c r="M177" s="15">
        <f>IF(OR(M176="",I176=""),"",IF(I176&lt;=0,"",IFERROR(M176/I176-1,"")))</f>
        <v/>
      </c>
      <c r="N177" s="15">
        <f>IF(OR(N176="",J176=""),"",IF(J176&lt;=0,"",IFERROR(N176/J176-1,"")))</f>
        <v/>
      </c>
      <c r="V177" s="15">
        <f>IF(OR(V176="",U176=""),"",IF(U176&lt;=0,"",IFERROR(V176/U176-1,"")))</f>
        <v/>
      </c>
      <c r="W177" s="15">
        <f>IF(OR(W176="",V176=""),"",IF(V176&lt;=0,"",IFERROR(W176/V176-1,"")))</f>
        <v/>
      </c>
      <c r="X177" s="15">
        <f>IF(OR(X176="",W176=""),"",IF(W176&lt;=0,"",IFERROR(X176/W176-1,"")))</f>
        <v/>
      </c>
    </row>
    <row r="178">
      <c r="A178" s="18" t="inlineStr">
        <is>
          <t>조정액 · 외부 고객 매출</t>
        </is>
      </c>
      <c r="C178" s="20" t="n">
        <v>0</v>
      </c>
      <c r="D178" s="20" t="n">
        <v>0</v>
      </c>
      <c r="E178" s="20" t="n">
        <v>0</v>
      </c>
      <c r="F178" s="20" t="n">
        <v>0</v>
      </c>
      <c r="G178" s="20" t="n">
        <v>0</v>
      </c>
      <c r="H178" s="20" t="n">
        <v>0</v>
      </c>
      <c r="I178" s="20" t="n">
        <v>0</v>
      </c>
      <c r="J178" s="20" t="n">
        <v>0</v>
      </c>
      <c r="K178" s="20" t="n">
        <v>0</v>
      </c>
      <c r="L178" s="20" t="n">
        <v>0</v>
      </c>
      <c r="M178" s="20" t="n">
        <v>0</v>
      </c>
      <c r="N178" s="20" t="n">
        <v>0</v>
      </c>
      <c r="V178" s="20" t="n">
        <v>0</v>
      </c>
      <c r="W178" s="20" t="n">
        <v>0</v>
      </c>
      <c r="X178" s="20" t="n">
        <v>0</v>
      </c>
    </row>
    <row r="179">
      <c r="A179" s="9" t="inlineStr">
        <is>
          <t>외부 고객 매출</t>
        </is>
      </c>
      <c r="C179" s="12" t="n">
        <v>81662</v>
      </c>
      <c r="D179" s="12" t="n">
        <v>90446</v>
      </c>
      <c r="E179" s="12" t="n">
        <v>85754</v>
      </c>
      <c r="F179" s="12" t="n">
        <v>84956</v>
      </c>
      <c r="G179" s="12" t="n">
        <v>91583</v>
      </c>
      <c r="H179" s="12" t="n">
        <v>90396</v>
      </c>
      <c r="I179" s="12" t="n">
        <v>95758</v>
      </c>
      <c r="J179" s="12" t="n">
        <v>93348</v>
      </c>
      <c r="K179" s="12" t="n">
        <v>93208</v>
      </c>
      <c r="L179" s="12" t="n">
        <v>104973</v>
      </c>
      <c r="M179" s="12" t="n">
        <v>102787</v>
      </c>
      <c r="N179" s="12" t="n">
        <v>103207</v>
      </c>
      <c r="V179" s="12" t="n">
        <v>85754</v>
      </c>
      <c r="W179" s="12" t="n">
        <v>95758</v>
      </c>
      <c r="X179" s="12" t="n">
        <v>102787</v>
      </c>
    </row>
    <row r="180">
      <c r="A180" s="43" t="inlineStr">
        <is>
          <t>YoY</t>
        </is>
      </c>
      <c r="B180" s="3" t="inlineStr">
        <is>
          <t>전년 같은 분기·전년 대비</t>
        </is>
      </c>
      <c r="G180" s="15">
        <f>IF(OR(G179="",C179=""),"",IF(C179&lt;=0,"",IFERROR(G179/C179-1,"")))</f>
        <v/>
      </c>
      <c r="H180" s="15">
        <f>IF(OR(H179="",D179=""),"",IF(D179&lt;=0,"",IFERROR(H179/D179-1,"")))</f>
        <v/>
      </c>
      <c r="I180" s="15">
        <f>IF(OR(I179="",E179=""),"",IF(E179&lt;=0,"",IFERROR(I179/E179-1,"")))</f>
        <v/>
      </c>
      <c r="J180" s="15">
        <f>IF(OR(J179="",F179=""),"",IF(F179&lt;=0,"",IFERROR(J179/F179-1,"")))</f>
        <v/>
      </c>
      <c r="K180" s="15">
        <f>IF(OR(K179="",G179=""),"",IF(G179&lt;=0,"",IFERROR(K179/G179-1,"")))</f>
        <v/>
      </c>
      <c r="L180" s="15">
        <f>IF(OR(L179="",H179=""),"",IF(H179&lt;=0,"",IFERROR(L179/H179-1,"")))</f>
        <v/>
      </c>
      <c r="M180" s="15">
        <f>IF(OR(M179="",I179=""),"",IF(I179&lt;=0,"",IFERROR(M179/I179-1,"")))</f>
        <v/>
      </c>
      <c r="N180" s="15">
        <f>IF(OR(N179="",J179=""),"",IF(J179&lt;=0,"",IFERROR(N179/J179-1,"")))</f>
        <v/>
      </c>
      <c r="V180" s="15">
        <f>IF(OR(V179="",U179=""),"",IF(U179&lt;=0,"",IFERROR(V179/U179-1,"")))</f>
        <v/>
      </c>
      <c r="W180" s="15">
        <f>IF(OR(W179="",V179=""),"",IF(V179&lt;=0,"",IFERROR(W179/V179-1,"")))</f>
        <v/>
      </c>
      <c r="X180" s="15">
        <f>IF(OR(X179="",W179=""),"",IF(W179&lt;=0,"",IFERROR(X179/W179-1,"")))</f>
        <v/>
      </c>
    </row>
    <row r="181">
      <c r="A181" s="18" t="inlineStr">
        <is>
          <t>다카라주조 · 부문 간 내부매출·대체</t>
        </is>
      </c>
      <c r="E181" s="20" t="n">
        <v>166</v>
      </c>
      <c r="F181" s="20" t="n">
        <v>264</v>
      </c>
      <c r="I181" s="20" t="n">
        <v>181</v>
      </c>
      <c r="J181" s="20" t="n">
        <v>371</v>
      </c>
      <c r="M181" s="20" t="n">
        <v>198</v>
      </c>
      <c r="N181" s="20" t="n">
        <v>353</v>
      </c>
      <c r="V181" s="20" t="n">
        <v>166</v>
      </c>
      <c r="W181" s="20" t="n">
        <v>181</v>
      </c>
      <c r="X181" s="20" t="n">
        <v>198</v>
      </c>
    </row>
    <row r="182">
      <c r="A182" s="18" t="inlineStr">
        <is>
          <t>다카라주조 인터내셔널 그룹 · 부문 간 내부매출·대체</t>
        </is>
      </c>
      <c r="E182" s="20" t="n">
        <v>28</v>
      </c>
      <c r="F182" s="20" t="n">
        <v>103</v>
      </c>
      <c r="I182" s="20" t="n">
        <v>86</v>
      </c>
      <c r="J182" s="20" t="n">
        <v>126</v>
      </c>
      <c r="M182" s="20" t="n">
        <v>106</v>
      </c>
      <c r="N182" s="20" t="n">
        <v>162</v>
      </c>
      <c r="V182" s="20" t="n">
        <v>28</v>
      </c>
      <c r="W182" s="20" t="n">
        <v>86</v>
      </c>
      <c r="X182" s="20" t="n">
        <v>106</v>
      </c>
    </row>
    <row r="183">
      <c r="A183" s="18" t="inlineStr">
        <is>
          <t>다카라바이오 그룹 · 부문 간 내부매출·대체</t>
        </is>
      </c>
      <c r="C183" s="20" t="n">
        <v>282</v>
      </c>
      <c r="D183" s="20" t="n">
        <v>-282</v>
      </c>
      <c r="E183" s="20" t="n">
        <v>1</v>
      </c>
      <c r="F183" s="20" t="n">
        <v>0</v>
      </c>
      <c r="G183" s="20" t="n">
        <v>227</v>
      </c>
      <c r="H183" s="20" t="n">
        <v>-227</v>
      </c>
      <c r="I183" s="20" t="n">
        <v>1</v>
      </c>
      <c r="J183" s="20" t="n">
        <v>0</v>
      </c>
      <c r="K183" s="20" t="n">
        <v>177</v>
      </c>
      <c r="L183" s="20" t="n">
        <v>-177</v>
      </c>
      <c r="M183" s="20" t="n">
        <v>1</v>
      </c>
      <c r="N183" s="20" t="n">
        <v>0</v>
      </c>
      <c r="V183" s="20" t="n">
        <v>1</v>
      </c>
      <c r="W183" s="20" t="n">
        <v>1</v>
      </c>
      <c r="X183" s="20" t="n">
        <v>1</v>
      </c>
    </row>
    <row r="184">
      <c r="A184" s="18" t="inlineStr">
        <is>
          <t>보고부문 합계 · 부문 간 내부매출·대체</t>
        </is>
      </c>
      <c r="C184" s="20" t="n">
        <v>435</v>
      </c>
      <c r="D184" s="20" t="n">
        <v>206</v>
      </c>
      <c r="E184" s="20" t="n">
        <v>194</v>
      </c>
      <c r="F184" s="20" t="n">
        <v>367</v>
      </c>
      <c r="G184" s="20" t="n">
        <v>365</v>
      </c>
      <c r="H184" s="20" t="n">
        <v>259</v>
      </c>
      <c r="I184" s="20" t="n">
        <v>268</v>
      </c>
      <c r="J184" s="20" t="n">
        <v>498</v>
      </c>
      <c r="K184" s="20" t="n">
        <v>359</v>
      </c>
      <c r="L184" s="20" t="n">
        <v>269</v>
      </c>
      <c r="M184" s="20" t="n">
        <v>305</v>
      </c>
      <c r="N184" s="20" t="n">
        <v>516</v>
      </c>
      <c r="V184" s="20" t="n">
        <v>194</v>
      </c>
      <c r="W184" s="20" t="n">
        <v>268</v>
      </c>
      <c r="X184" s="20" t="n">
        <v>305</v>
      </c>
    </row>
    <row r="185">
      <c r="A185" s="18" t="inlineStr">
        <is>
          <t>기타 · 부문 간 내부매출·대체</t>
        </is>
      </c>
      <c r="C185" s="20" t="n">
        <v>4234</v>
      </c>
      <c r="D185" s="20" t="n">
        <v>5062</v>
      </c>
      <c r="E185" s="20" t="n">
        <v>3992</v>
      </c>
      <c r="F185" s="20" t="n">
        <v>4306</v>
      </c>
      <c r="G185" s="20" t="n">
        <v>4521</v>
      </c>
      <c r="H185" s="20" t="n">
        <v>4939</v>
      </c>
      <c r="I185" s="20" t="n">
        <v>3655</v>
      </c>
      <c r="J185" s="20" t="n">
        <v>4240</v>
      </c>
      <c r="K185" s="20" t="n">
        <v>4389</v>
      </c>
      <c r="L185" s="20" t="n">
        <v>5266</v>
      </c>
      <c r="M185" s="20" t="n">
        <v>3888</v>
      </c>
      <c r="N185" s="20" t="n">
        <v>4392</v>
      </c>
      <c r="V185" s="20" t="n">
        <v>3992</v>
      </c>
      <c r="W185" s="20" t="n">
        <v>3655</v>
      </c>
      <c r="X185" s="20" t="n">
        <v>3888</v>
      </c>
    </row>
    <row r="186">
      <c r="A186" s="18" t="inlineStr">
        <is>
          <t>합계 · 부문 간 내부매출·대체</t>
        </is>
      </c>
      <c r="C186" s="20" t="n">
        <v>4670</v>
      </c>
      <c r="D186" s="20" t="n">
        <v>5268</v>
      </c>
      <c r="E186" s="20" t="n">
        <v>4186</v>
      </c>
      <c r="F186" s="20" t="n">
        <v>4673</v>
      </c>
      <c r="G186" s="20" t="n">
        <v>4887</v>
      </c>
      <c r="H186" s="20" t="n">
        <v>5197</v>
      </c>
      <c r="I186" s="20" t="n">
        <v>3923</v>
      </c>
      <c r="J186" s="20" t="n">
        <v>4738</v>
      </c>
      <c r="K186" s="20" t="n">
        <v>4748</v>
      </c>
      <c r="L186" s="20" t="n">
        <v>5535</v>
      </c>
      <c r="M186" s="20" t="n">
        <v>4193</v>
      </c>
      <c r="N186" s="20" t="n">
        <v>4908</v>
      </c>
      <c r="V186" s="20" t="n">
        <v>4186</v>
      </c>
      <c r="W186" s="20" t="n">
        <v>3923</v>
      </c>
      <c r="X186" s="20" t="n">
        <v>4193</v>
      </c>
    </row>
    <row r="187">
      <c r="A187" s="18" t="inlineStr">
        <is>
          <t>조정액 · 부문 간 내부매출·대체</t>
        </is>
      </c>
      <c r="C187" s="20" t="n">
        <v>-4670</v>
      </c>
      <c r="D187" s="20" t="n">
        <v>-5268</v>
      </c>
      <c r="E187" s="20" t="n">
        <v>-4186</v>
      </c>
      <c r="F187" s="20" t="n">
        <v>-4673</v>
      </c>
      <c r="G187" s="20" t="n">
        <v>-4887</v>
      </c>
      <c r="H187" s="20" t="n">
        <v>-5197</v>
      </c>
      <c r="I187" s="20" t="n">
        <v>-3923</v>
      </c>
      <c r="J187" s="20" t="n">
        <v>-4738</v>
      </c>
      <c r="K187" s="20" t="n">
        <v>-4748</v>
      </c>
      <c r="L187" s="20" t="n">
        <v>-5535</v>
      </c>
      <c r="M187" s="20" t="n">
        <v>-4193</v>
      </c>
      <c r="N187" s="20" t="n">
        <v>-4908</v>
      </c>
      <c r="V187" s="20" t="n">
        <v>-4186</v>
      </c>
      <c r="W187" s="20" t="n">
        <v>-3923</v>
      </c>
      <c r="X187" s="20" t="n">
        <v>-4193</v>
      </c>
    </row>
    <row r="188">
      <c r="A188" s="18" t="inlineStr">
        <is>
          <t>부문 간 내부매출·대체</t>
        </is>
      </c>
      <c r="C188" s="20" t="n">
        <v>0</v>
      </c>
      <c r="D188" s="20" t="n">
        <v>0</v>
      </c>
      <c r="E188" s="20" t="n">
        <v>0</v>
      </c>
      <c r="F188" s="20" t="n">
        <v>0</v>
      </c>
      <c r="G188" s="20" t="n">
        <v>0</v>
      </c>
      <c r="H188" s="20" t="n">
        <v>0</v>
      </c>
      <c r="I188" s="20" t="n">
        <v>0</v>
      </c>
      <c r="J188" s="20" t="n">
        <v>0</v>
      </c>
      <c r="K188" s="20" t="n">
        <v>0</v>
      </c>
      <c r="L188" s="20" t="n">
        <v>0</v>
      </c>
      <c r="M188" s="20" t="n">
        <v>0</v>
      </c>
      <c r="N188" s="20" t="n">
        <v>0</v>
      </c>
      <c r="V188" s="20" t="n">
        <v>0</v>
      </c>
      <c r="W188" s="20" t="n">
        <v>0</v>
      </c>
      <c r="X188" s="20" t="n">
        <v>0</v>
      </c>
    </row>
    <row r="189">
      <c r="A189" s="18" t="inlineStr">
        <is>
          <t>다카라주조 · 계</t>
        </is>
      </c>
      <c r="E189" s="20" t="n">
        <v>26167</v>
      </c>
      <c r="F189" s="20" t="n">
        <v>30170</v>
      </c>
      <c r="I189" s="20" t="n">
        <v>24532</v>
      </c>
      <c r="J189" s="20" t="n">
        <v>29521</v>
      </c>
      <c r="M189" s="20" t="n">
        <v>25819</v>
      </c>
      <c r="N189" s="20" t="n">
        <v>30245</v>
      </c>
      <c r="V189" s="20" t="n">
        <v>26167</v>
      </c>
      <c r="W189" s="20" t="n">
        <v>24532</v>
      </c>
      <c r="X189" s="20" t="n">
        <v>25819</v>
      </c>
    </row>
    <row r="190">
      <c r="A190" s="43" t="inlineStr">
        <is>
          <t>YoY</t>
        </is>
      </c>
      <c r="B190" s="3" t="inlineStr">
        <is>
          <t>전년 같은 분기·전년 대비</t>
        </is>
      </c>
      <c r="I190" s="15">
        <f>IF(OR(I189="",E189=""),"",IF(E189&lt;=0,"",IFERROR(I189/E189-1,"")))</f>
        <v/>
      </c>
      <c r="J190" s="15">
        <f>IF(OR(J189="",F189=""),"",IF(F189&lt;=0,"",IFERROR(J189/F189-1,"")))</f>
        <v/>
      </c>
      <c r="M190" s="15">
        <f>IF(OR(M189="",I189=""),"",IF(I189&lt;=0,"",IFERROR(M189/I189-1,"")))</f>
        <v/>
      </c>
      <c r="N190" s="15">
        <f>IF(OR(N189="",J189=""),"",IF(J189&lt;=0,"",IFERROR(N189/J189-1,"")))</f>
        <v/>
      </c>
      <c r="V190" s="15">
        <f>IF(OR(V189="",U189=""),"",IF(U189&lt;=0,"",IFERROR(V189/U189-1,"")))</f>
        <v/>
      </c>
      <c r="W190" s="15">
        <f>IF(OR(W189="",V189=""),"",IF(V189&lt;=0,"",IFERROR(W189/V189-1,"")))</f>
        <v/>
      </c>
      <c r="X190" s="15">
        <f>IF(OR(X189="",W189=""),"",IF(W189&lt;=0,"",IFERROR(X189/W189-1,"")))</f>
        <v/>
      </c>
    </row>
    <row r="191">
      <c r="A191" s="18" t="inlineStr">
        <is>
          <t>다카라주조 인터내셔널 그룹 · 계</t>
        </is>
      </c>
      <c r="E191" s="20" t="n">
        <v>43049</v>
      </c>
      <c r="F191" s="20" t="n">
        <v>43220</v>
      </c>
      <c r="I191" s="20" t="n">
        <v>52487</v>
      </c>
      <c r="J191" s="20" t="n">
        <v>51453</v>
      </c>
      <c r="M191" s="20" t="n">
        <v>61871</v>
      </c>
      <c r="N191" s="20" t="n">
        <v>60334</v>
      </c>
      <c r="V191" s="20" t="n">
        <v>43049</v>
      </c>
      <c r="W191" s="20" t="n">
        <v>52487</v>
      </c>
      <c r="X191" s="20" t="n">
        <v>61871</v>
      </c>
    </row>
    <row r="192">
      <c r="A192" s="43" t="inlineStr">
        <is>
          <t>YoY</t>
        </is>
      </c>
      <c r="B192" s="3" t="inlineStr">
        <is>
          <t>전년 같은 분기·전년 대비</t>
        </is>
      </c>
      <c r="I192" s="15">
        <f>IF(OR(I191="",E191=""),"",IF(E191&lt;=0,"",IFERROR(I191/E191-1,"")))</f>
        <v/>
      </c>
      <c r="J192" s="15">
        <f>IF(OR(J191="",F191=""),"",IF(F191&lt;=0,"",IFERROR(J191/F191-1,"")))</f>
        <v/>
      </c>
      <c r="M192" s="15">
        <f>IF(OR(M191="",I191=""),"",IF(I191&lt;=0,"",IFERROR(M191/I191-1,"")))</f>
        <v/>
      </c>
      <c r="N192" s="15">
        <f>IF(OR(N191="",J191=""),"",IF(J191&lt;=0,"",IFERROR(N191/J191-1,"")))</f>
        <v/>
      </c>
      <c r="V192" s="15">
        <f>IF(OR(V191="",U191=""),"",IF(U191&lt;=0,"",IFERROR(V191/U191-1,"")))</f>
        <v/>
      </c>
      <c r="W192" s="15">
        <f>IF(OR(W191="",V191=""),"",IF(V191&lt;=0,"",IFERROR(W191/V191-1,"")))</f>
        <v/>
      </c>
      <c r="X192" s="15">
        <f>IF(OR(X191="",W191=""),"",IF(W191&lt;=0,"",IFERROR(X191/W191-1,"")))</f>
        <v/>
      </c>
    </row>
    <row r="193">
      <c r="A193" s="18" t="inlineStr">
        <is>
          <t>다카라바이오 그룹 · 계</t>
        </is>
      </c>
      <c r="C193" s="20" t="n">
        <v>67988</v>
      </c>
      <c r="D193" s="20" t="n">
        <v>-47430</v>
      </c>
      <c r="E193" s="20" t="n">
        <v>13771</v>
      </c>
      <c r="F193" s="20" t="n">
        <v>8493</v>
      </c>
      <c r="G193" s="20" t="n">
        <v>80486</v>
      </c>
      <c r="H193" s="20" t="n">
        <v>-59697</v>
      </c>
      <c r="I193" s="20" t="n">
        <v>15757</v>
      </c>
      <c r="J193" s="20" t="n">
        <v>9266</v>
      </c>
      <c r="K193" s="20" t="n">
        <v>94623</v>
      </c>
      <c r="L193" s="20" t="n">
        <v>-75497</v>
      </c>
      <c r="M193" s="20" t="n">
        <v>11926</v>
      </c>
      <c r="N193" s="20" t="n">
        <v>9204</v>
      </c>
      <c r="V193" s="20" t="n">
        <v>13771</v>
      </c>
      <c r="W193" s="20" t="n">
        <v>15757</v>
      </c>
      <c r="X193" s="20" t="n">
        <v>11926</v>
      </c>
    </row>
    <row r="194">
      <c r="A194" s="43" t="inlineStr">
        <is>
          <t>YoY</t>
        </is>
      </c>
      <c r="B194" s="3" t="inlineStr">
        <is>
          <t>전년 같은 분기·전년 대비</t>
        </is>
      </c>
      <c r="G194" s="15">
        <f>IF(OR(G193="",C193=""),"",IF(C193&lt;=0,"",IFERROR(G193/C193-1,"")))</f>
        <v/>
      </c>
      <c r="H194" s="15">
        <f>IF(OR(H193="",D193=""),"",IF(D193&lt;=0,"",IFERROR(H193/D193-1,"")))</f>
        <v/>
      </c>
      <c r="I194" s="15">
        <f>IF(OR(I193="",E193=""),"",IF(E193&lt;=0,"",IFERROR(I193/E193-1,"")))</f>
        <v/>
      </c>
      <c r="J194" s="15">
        <f>IF(OR(J193="",F193=""),"",IF(F193&lt;=0,"",IFERROR(J193/F193-1,"")))</f>
        <v/>
      </c>
      <c r="K194" s="15">
        <f>IF(OR(K193="",G193=""),"",IF(G193&lt;=0,"",IFERROR(K193/G193-1,"")))</f>
        <v/>
      </c>
      <c r="L194" s="15">
        <f>IF(OR(L193="",H193=""),"",IF(H193&lt;=0,"",IFERROR(L193/H193-1,"")))</f>
        <v/>
      </c>
      <c r="M194" s="15">
        <f>IF(OR(M193="",I193=""),"",IF(I193&lt;=0,"",IFERROR(M193/I193-1,"")))</f>
        <v/>
      </c>
      <c r="N194" s="15">
        <f>IF(OR(N193="",J193=""),"",IF(J193&lt;=0,"",IFERROR(N193/J193-1,"")))</f>
        <v/>
      </c>
      <c r="V194" s="15">
        <f>IF(OR(V193="",U193=""),"",IF(U193&lt;=0,"",IFERROR(V193/U193-1,"")))</f>
        <v/>
      </c>
      <c r="W194" s="15">
        <f>IF(OR(W193="",V193=""),"",IF(V193&lt;=0,"",IFERROR(W193/V193-1,"")))</f>
        <v/>
      </c>
      <c r="X194" s="15">
        <f>IF(OR(X193="",W193=""),"",IF(W193&lt;=0,"",IFERROR(X193/W193-1,"")))</f>
        <v/>
      </c>
    </row>
    <row r="195">
      <c r="A195" s="18" t="inlineStr">
        <is>
          <t>보고부문 합계 · 계</t>
        </is>
      </c>
      <c r="C195" s="20" t="n">
        <v>79089</v>
      </c>
      <c r="D195" s="20" t="n">
        <v>87261</v>
      </c>
      <c r="E195" s="20" t="n">
        <v>82988</v>
      </c>
      <c r="F195" s="20" t="n">
        <v>81884</v>
      </c>
      <c r="G195" s="20" t="n">
        <v>88834</v>
      </c>
      <c r="H195" s="20" t="n">
        <v>87012</v>
      </c>
      <c r="I195" s="20" t="n">
        <v>92776</v>
      </c>
      <c r="J195" s="20" t="n">
        <v>90240</v>
      </c>
      <c r="K195" s="20" t="n">
        <v>90204</v>
      </c>
      <c r="L195" s="20" t="n">
        <v>101269</v>
      </c>
      <c r="M195" s="20" t="n">
        <v>99617</v>
      </c>
      <c r="N195" s="20" t="n">
        <v>99784</v>
      </c>
      <c r="V195" s="20" t="n">
        <v>82988</v>
      </c>
      <c r="W195" s="20" t="n">
        <v>92776</v>
      </c>
      <c r="X195" s="20" t="n">
        <v>99617</v>
      </c>
    </row>
    <row r="196">
      <c r="A196" s="43" t="inlineStr">
        <is>
          <t>YoY</t>
        </is>
      </c>
      <c r="B196" s="3" t="inlineStr">
        <is>
          <t>전년 같은 분기·전년 대비</t>
        </is>
      </c>
      <c r="G196" s="15">
        <f>IF(OR(G195="",C195=""),"",IF(C195&lt;=0,"",IFERROR(G195/C195-1,"")))</f>
        <v/>
      </c>
      <c r="H196" s="15">
        <f>IF(OR(H195="",D195=""),"",IF(D195&lt;=0,"",IFERROR(H195/D195-1,"")))</f>
        <v/>
      </c>
      <c r="I196" s="15">
        <f>IF(OR(I195="",E195=""),"",IF(E195&lt;=0,"",IFERROR(I195/E195-1,"")))</f>
        <v/>
      </c>
      <c r="J196" s="15">
        <f>IF(OR(J195="",F195=""),"",IF(F195&lt;=0,"",IFERROR(J195/F195-1,"")))</f>
        <v/>
      </c>
      <c r="K196" s="15">
        <f>IF(OR(K195="",G195=""),"",IF(G195&lt;=0,"",IFERROR(K195/G195-1,"")))</f>
        <v/>
      </c>
      <c r="L196" s="15">
        <f>IF(OR(L195="",H195=""),"",IF(H195&lt;=0,"",IFERROR(L195/H195-1,"")))</f>
        <v/>
      </c>
      <c r="M196" s="15">
        <f>IF(OR(M195="",I195=""),"",IF(I195&lt;=0,"",IFERROR(M195/I195-1,"")))</f>
        <v/>
      </c>
      <c r="N196" s="15">
        <f>IF(OR(N195="",J195=""),"",IF(J195&lt;=0,"",IFERROR(N195/J195-1,"")))</f>
        <v/>
      </c>
      <c r="V196" s="15">
        <f>IF(OR(V195="",U195=""),"",IF(U195&lt;=0,"",IFERROR(V195/U195-1,"")))</f>
        <v/>
      </c>
      <c r="W196" s="15">
        <f>IF(OR(W195="",V195=""),"",IF(V195&lt;=0,"",IFERROR(W195/V195-1,"")))</f>
        <v/>
      </c>
      <c r="X196" s="15">
        <f>IF(OR(X195="",W195=""),"",IF(W195&lt;=0,"",IFERROR(X195/W195-1,"")))</f>
        <v/>
      </c>
    </row>
    <row r="197">
      <c r="A197" s="18" t="inlineStr">
        <is>
          <t>기타 · 계</t>
        </is>
      </c>
      <c r="C197" s="20" t="n">
        <v>7243</v>
      </c>
      <c r="D197" s="20" t="n">
        <v>8453</v>
      </c>
      <c r="E197" s="20" t="n">
        <v>6952</v>
      </c>
      <c r="F197" s="20" t="n">
        <v>7745</v>
      </c>
      <c r="G197" s="20" t="n">
        <v>7637</v>
      </c>
      <c r="H197" s="20" t="n">
        <v>8581</v>
      </c>
      <c r="I197" s="20" t="n">
        <v>6904</v>
      </c>
      <c r="J197" s="20" t="n">
        <v>7846</v>
      </c>
      <c r="K197" s="20" t="n">
        <v>7751</v>
      </c>
      <c r="L197" s="20" t="n">
        <v>9240</v>
      </c>
      <c r="M197" s="20" t="n">
        <v>7363</v>
      </c>
      <c r="N197" s="20" t="n">
        <v>8331</v>
      </c>
      <c r="V197" s="20" t="n">
        <v>6952</v>
      </c>
      <c r="W197" s="20" t="n">
        <v>6904</v>
      </c>
      <c r="X197" s="20" t="n">
        <v>7363</v>
      </c>
    </row>
    <row r="198">
      <c r="A198" s="43" t="inlineStr">
        <is>
          <t>YoY</t>
        </is>
      </c>
      <c r="B198" s="3" t="inlineStr">
        <is>
          <t>전년 같은 분기·전년 대비</t>
        </is>
      </c>
      <c r="G198" s="15">
        <f>IF(OR(G197="",C197=""),"",IF(C197&lt;=0,"",IFERROR(G197/C197-1,"")))</f>
        <v/>
      </c>
      <c r="H198" s="15">
        <f>IF(OR(H197="",D197=""),"",IF(D197&lt;=0,"",IFERROR(H197/D197-1,"")))</f>
        <v/>
      </c>
      <c r="I198" s="15">
        <f>IF(OR(I197="",E197=""),"",IF(E197&lt;=0,"",IFERROR(I197/E197-1,"")))</f>
        <v/>
      </c>
      <c r="J198" s="15">
        <f>IF(OR(J197="",F197=""),"",IF(F197&lt;=0,"",IFERROR(J197/F197-1,"")))</f>
        <v/>
      </c>
      <c r="K198" s="15">
        <f>IF(OR(K197="",G197=""),"",IF(G197&lt;=0,"",IFERROR(K197/G197-1,"")))</f>
        <v/>
      </c>
      <c r="L198" s="15">
        <f>IF(OR(L197="",H197=""),"",IF(H197&lt;=0,"",IFERROR(L197/H197-1,"")))</f>
        <v/>
      </c>
      <c r="M198" s="15">
        <f>IF(OR(M197="",I197=""),"",IF(I197&lt;=0,"",IFERROR(M197/I197-1,"")))</f>
        <v/>
      </c>
      <c r="N198" s="15">
        <f>IF(OR(N197="",J197=""),"",IF(J197&lt;=0,"",IFERROR(N197/J197-1,"")))</f>
        <v/>
      </c>
      <c r="V198" s="15">
        <f>IF(OR(V197="",U197=""),"",IF(U197&lt;=0,"",IFERROR(V197/U197-1,"")))</f>
        <v/>
      </c>
      <c r="W198" s="15">
        <f>IF(OR(W197="",V197=""),"",IF(V197&lt;=0,"",IFERROR(W197/V197-1,"")))</f>
        <v/>
      </c>
      <c r="X198" s="15">
        <f>IF(OR(X197="",W197=""),"",IF(W197&lt;=0,"",IFERROR(X197/W197-1,"")))</f>
        <v/>
      </c>
    </row>
    <row r="199">
      <c r="A199" s="18" t="inlineStr">
        <is>
          <t>합계 · 계</t>
        </is>
      </c>
      <c r="C199" s="20" t="n">
        <v>86333</v>
      </c>
      <c r="D199" s="20" t="n">
        <v>95713</v>
      </c>
      <c r="E199" s="20" t="n">
        <v>89940</v>
      </c>
      <c r="F199" s="20" t="n">
        <v>89630</v>
      </c>
      <c r="G199" s="20" t="n">
        <v>96470</v>
      </c>
      <c r="H199" s="20" t="n">
        <v>95593</v>
      </c>
      <c r="I199" s="20" t="n">
        <v>99681</v>
      </c>
      <c r="J199" s="20" t="n">
        <v>98087</v>
      </c>
      <c r="K199" s="20" t="n">
        <v>97955</v>
      </c>
      <c r="L199" s="20" t="n">
        <v>110509</v>
      </c>
      <c r="M199" s="20" t="n">
        <v>106979</v>
      </c>
      <c r="N199" s="20" t="n">
        <v>108116</v>
      </c>
      <c r="V199" s="20" t="n">
        <v>89940</v>
      </c>
      <c r="W199" s="20" t="n">
        <v>99681</v>
      </c>
      <c r="X199" s="20" t="n">
        <v>106979</v>
      </c>
    </row>
    <row r="200">
      <c r="A200" s="43" t="inlineStr">
        <is>
          <t>YoY</t>
        </is>
      </c>
      <c r="B200" s="3" t="inlineStr">
        <is>
          <t>전년 같은 분기·전년 대비</t>
        </is>
      </c>
      <c r="G200" s="15">
        <f>IF(OR(G199="",C199=""),"",IF(C199&lt;=0,"",IFERROR(G199/C199-1,"")))</f>
        <v/>
      </c>
      <c r="H200" s="15">
        <f>IF(OR(H199="",D199=""),"",IF(D199&lt;=0,"",IFERROR(H199/D199-1,"")))</f>
        <v/>
      </c>
      <c r="I200" s="15">
        <f>IF(OR(I199="",E199=""),"",IF(E199&lt;=0,"",IFERROR(I199/E199-1,"")))</f>
        <v/>
      </c>
      <c r="J200" s="15">
        <f>IF(OR(J199="",F199=""),"",IF(F199&lt;=0,"",IFERROR(J199/F199-1,"")))</f>
        <v/>
      </c>
      <c r="K200" s="15">
        <f>IF(OR(K199="",G199=""),"",IF(G199&lt;=0,"",IFERROR(K199/G199-1,"")))</f>
        <v/>
      </c>
      <c r="L200" s="15">
        <f>IF(OR(L199="",H199=""),"",IF(H199&lt;=0,"",IFERROR(L199/H199-1,"")))</f>
        <v/>
      </c>
      <c r="M200" s="15">
        <f>IF(OR(M199="",I199=""),"",IF(I199&lt;=0,"",IFERROR(M199/I199-1,"")))</f>
        <v/>
      </c>
      <c r="N200" s="15">
        <f>IF(OR(N199="",J199=""),"",IF(J199&lt;=0,"",IFERROR(N199/J199-1,"")))</f>
        <v/>
      </c>
      <c r="V200" s="15">
        <f>IF(OR(V199="",U199=""),"",IF(U199&lt;=0,"",IFERROR(V199/U199-1,"")))</f>
        <v/>
      </c>
      <c r="W200" s="15">
        <f>IF(OR(W199="",V199=""),"",IF(V199&lt;=0,"",IFERROR(W199/V199-1,"")))</f>
        <v/>
      </c>
      <c r="X200" s="15">
        <f>IF(OR(X199="",W199=""),"",IF(W199&lt;=0,"",IFERROR(X199/W199-1,"")))</f>
        <v/>
      </c>
    </row>
    <row r="201">
      <c r="A201" s="18" t="inlineStr">
        <is>
          <t>조정액 · 계</t>
        </is>
      </c>
      <c r="C201" s="20" t="n">
        <v>-4670</v>
      </c>
      <c r="D201" s="20" t="n">
        <v>-5268</v>
      </c>
      <c r="E201" s="20" t="n">
        <v>-4186</v>
      </c>
      <c r="F201" s="20" t="n">
        <v>-4673</v>
      </c>
      <c r="G201" s="20" t="n">
        <v>-4887</v>
      </c>
      <c r="H201" s="20" t="n">
        <v>-5197</v>
      </c>
      <c r="I201" s="20" t="n">
        <v>-3923</v>
      </c>
      <c r="J201" s="20" t="n">
        <v>-4738</v>
      </c>
      <c r="K201" s="20" t="n">
        <v>-4748</v>
      </c>
      <c r="L201" s="20" t="n">
        <v>-5535</v>
      </c>
      <c r="M201" s="20" t="n">
        <v>-4193</v>
      </c>
      <c r="N201" s="20" t="n">
        <v>-4908</v>
      </c>
      <c r="V201" s="20" t="n">
        <v>-4186</v>
      </c>
      <c r="W201" s="20" t="n">
        <v>-3923</v>
      </c>
      <c r="X201" s="20" t="n">
        <v>-4193</v>
      </c>
    </row>
    <row r="202">
      <c r="A202" s="9" t="inlineStr">
        <is>
          <t>계</t>
        </is>
      </c>
      <c r="C202" s="12" t="n">
        <v>81662</v>
      </c>
      <c r="D202" s="12" t="n">
        <v>90446</v>
      </c>
      <c r="E202" s="12" t="n">
        <v>85754</v>
      </c>
      <c r="F202" s="12" t="n">
        <v>84956</v>
      </c>
      <c r="G202" s="12" t="n">
        <v>91583</v>
      </c>
      <c r="H202" s="12" t="n">
        <v>90396</v>
      </c>
      <c r="I202" s="12" t="n">
        <v>95758</v>
      </c>
      <c r="J202" s="12" t="n">
        <v>93348</v>
      </c>
      <c r="K202" s="12" t="n">
        <v>93208</v>
      </c>
      <c r="L202" s="12" t="n">
        <v>104973</v>
      </c>
      <c r="M202" s="12" t="n">
        <v>102787</v>
      </c>
      <c r="N202" s="12" t="n">
        <v>103207</v>
      </c>
      <c r="V202" s="12" t="n">
        <v>85754</v>
      </c>
      <c r="W202" s="12" t="n">
        <v>95758</v>
      </c>
      <c r="X202" s="12" t="n">
        <v>102787</v>
      </c>
    </row>
    <row r="203">
      <c r="A203" s="43" t="inlineStr">
        <is>
          <t>YoY</t>
        </is>
      </c>
      <c r="B203" s="3" t="inlineStr">
        <is>
          <t>전년 같은 분기·전년 대비</t>
        </is>
      </c>
      <c r="G203" s="15">
        <f>IF(OR(G202="",C202=""),"",IF(C202&lt;=0,"",IFERROR(G202/C202-1,"")))</f>
        <v/>
      </c>
      <c r="H203" s="15">
        <f>IF(OR(H202="",D202=""),"",IF(D202&lt;=0,"",IFERROR(H202/D202-1,"")))</f>
        <v/>
      </c>
      <c r="I203" s="15">
        <f>IF(OR(I202="",E202=""),"",IF(E202&lt;=0,"",IFERROR(I202/E202-1,"")))</f>
        <v/>
      </c>
      <c r="J203" s="15">
        <f>IF(OR(J202="",F202=""),"",IF(F202&lt;=0,"",IFERROR(J202/F202-1,"")))</f>
        <v/>
      </c>
      <c r="K203" s="15">
        <f>IF(OR(K202="",G202=""),"",IF(G202&lt;=0,"",IFERROR(K202/G202-1,"")))</f>
        <v/>
      </c>
      <c r="L203" s="15">
        <f>IF(OR(L202="",H202=""),"",IF(H202&lt;=0,"",IFERROR(L202/H202-1,"")))</f>
        <v/>
      </c>
      <c r="M203" s="15">
        <f>IF(OR(M202="",I202=""),"",IF(I202&lt;=0,"",IFERROR(M202/I202-1,"")))</f>
        <v/>
      </c>
      <c r="N203" s="15">
        <f>IF(OR(N202="",J202=""),"",IF(J202&lt;=0,"",IFERROR(N202/J202-1,"")))</f>
        <v/>
      </c>
      <c r="V203" s="15">
        <f>IF(OR(V202="",U202=""),"",IF(U202&lt;=0,"",IFERROR(V202/U202-1,"")))</f>
        <v/>
      </c>
      <c r="W203" s="15">
        <f>IF(OR(W202="",V202=""),"",IF(V202&lt;=0,"",IFERROR(W202/V202-1,"")))</f>
        <v/>
      </c>
      <c r="X203" s="15">
        <f>IF(OR(X202="",W202=""),"",IF(W202&lt;=0,"",IFERROR(X202/W202-1,"")))</f>
        <v/>
      </c>
    </row>
    <row r="204">
      <c r="A204" s="18" t="inlineStr">
        <is>
          <t>다카라주조 · 부문 이익(손실)</t>
        </is>
      </c>
      <c r="E204" s="20" t="n">
        <v>-1475</v>
      </c>
      <c r="F204" s="20" t="n">
        <v>1519</v>
      </c>
      <c r="I204" s="20" t="n">
        <v>-313</v>
      </c>
      <c r="J204" s="20" t="n">
        <v>995</v>
      </c>
      <c r="M204" s="20" t="n">
        <v>-69</v>
      </c>
      <c r="N204" s="20" t="n">
        <v>1468</v>
      </c>
      <c r="V204" s="20" t="n">
        <v>-1475</v>
      </c>
      <c r="W204" s="20" t="n">
        <v>-313</v>
      </c>
      <c r="X204" s="20" t="n">
        <v>-69</v>
      </c>
    </row>
    <row r="205">
      <c r="A205" s="43" t="inlineStr">
        <is>
          <t>OPM</t>
        </is>
      </c>
      <c r="B205" s="3" t="inlineStr">
        <is>
          <t>영업이익 ÷ 매출</t>
        </is>
      </c>
      <c r="E205" s="15">
        <f>IF(OR(E204="",E189=""),"",IF(E189&lt;=0,"",IFERROR(E204/E189,"")))</f>
        <v/>
      </c>
      <c r="F205" s="15">
        <f>IF(OR(F204="",F189=""),"",IF(F189&lt;=0,"",IFERROR(F204/F189,"")))</f>
        <v/>
      </c>
      <c r="I205" s="15">
        <f>IF(OR(I204="",I189=""),"",IF(I189&lt;=0,"",IFERROR(I204/I189,"")))</f>
        <v/>
      </c>
      <c r="J205" s="15">
        <f>IF(OR(J204="",J189=""),"",IF(J189&lt;=0,"",IFERROR(J204/J189,"")))</f>
        <v/>
      </c>
      <c r="M205" s="15">
        <f>IF(OR(M204="",M189=""),"",IF(M189&lt;=0,"",IFERROR(M204/M189,"")))</f>
        <v/>
      </c>
      <c r="N205" s="15">
        <f>IF(OR(N204="",N189=""),"",IF(N189&lt;=0,"",IFERROR(N204/N189,"")))</f>
        <v/>
      </c>
      <c r="V205" s="15">
        <f>IF(OR(V204="",V189=""),"",IF(V189&lt;=0,"",IFERROR(V204/V189,"")))</f>
        <v/>
      </c>
      <c r="W205" s="15">
        <f>IF(OR(W204="",W189=""),"",IF(W189&lt;=0,"",IFERROR(W204/W189,"")))</f>
        <v/>
      </c>
      <c r="X205" s="15">
        <f>IF(OR(X204="",X189=""),"",IF(X189&lt;=0,"",IFERROR(X204/X189,"")))</f>
        <v/>
      </c>
    </row>
    <row r="206">
      <c r="A206" s="43" t="inlineStr">
        <is>
          <t>YoY</t>
        </is>
      </c>
      <c r="B206" s="3" t="inlineStr">
        <is>
          <t>전년 같은 분기·전년 대비</t>
        </is>
      </c>
      <c r="I206" s="15">
        <f>IF(OR(I204="",E204=""),"",IF(E204&lt;=0,"",IFERROR(I204/E204-1,"")))</f>
        <v/>
      </c>
      <c r="J206" s="15">
        <f>IF(OR(J204="",F204=""),"",IF(F204&lt;=0,"",IFERROR(J204/F204-1,"")))</f>
        <v/>
      </c>
      <c r="M206" s="15">
        <f>IF(OR(M204="",I204=""),"",IF(I204&lt;=0,"",IFERROR(M204/I204-1,"")))</f>
        <v/>
      </c>
      <c r="N206" s="15">
        <f>IF(OR(N204="",J204=""),"",IF(J204&lt;=0,"",IFERROR(N204/J204-1,"")))</f>
        <v/>
      </c>
      <c r="V206" s="15">
        <f>IF(OR(V204="",U204=""),"",IF(U204&lt;=0,"",IFERROR(V204/U204-1,"")))</f>
        <v/>
      </c>
      <c r="W206" s="15">
        <f>IF(OR(W204="",V204=""),"",IF(V204&lt;=0,"",IFERROR(W204/V204-1,"")))</f>
        <v/>
      </c>
      <c r="X206" s="15">
        <f>IF(OR(X204="",W204=""),"",IF(W204&lt;=0,"",IFERROR(X204/W204-1,"")))</f>
        <v/>
      </c>
    </row>
    <row r="207">
      <c r="A207" s="18" t="inlineStr">
        <is>
          <t>다카라주조 인터내셔널 그룹 · 부문 이익(손실)</t>
        </is>
      </c>
      <c r="E207" s="20" t="n">
        <v>3358</v>
      </c>
      <c r="F207" s="20" t="n">
        <v>3683</v>
      </c>
      <c r="I207" s="20" t="n">
        <v>2283</v>
      </c>
      <c r="J207" s="20" t="n">
        <v>3651</v>
      </c>
      <c r="M207" s="20" t="n">
        <v>4439</v>
      </c>
      <c r="N207" s="20" t="n">
        <v>3937</v>
      </c>
      <c r="V207" s="20" t="n">
        <v>3358</v>
      </c>
      <c r="W207" s="20" t="n">
        <v>2283</v>
      </c>
      <c r="X207" s="20" t="n">
        <v>4439</v>
      </c>
    </row>
    <row r="208">
      <c r="A208" s="43" t="inlineStr">
        <is>
          <t>OPM</t>
        </is>
      </c>
      <c r="B208" s="3" t="inlineStr">
        <is>
          <t>영업이익 ÷ 매출</t>
        </is>
      </c>
      <c r="E208" s="15">
        <f>IF(OR(E207="",E191=""),"",IF(E191&lt;=0,"",IFERROR(E207/E191,"")))</f>
        <v/>
      </c>
      <c r="F208" s="15">
        <f>IF(OR(F207="",F191=""),"",IF(F191&lt;=0,"",IFERROR(F207/F191,"")))</f>
        <v/>
      </c>
      <c r="I208" s="15">
        <f>IF(OR(I207="",I191=""),"",IF(I191&lt;=0,"",IFERROR(I207/I191,"")))</f>
        <v/>
      </c>
      <c r="J208" s="15">
        <f>IF(OR(J207="",J191=""),"",IF(J191&lt;=0,"",IFERROR(J207/J191,"")))</f>
        <v/>
      </c>
      <c r="M208" s="15">
        <f>IF(OR(M207="",M191=""),"",IF(M191&lt;=0,"",IFERROR(M207/M191,"")))</f>
        <v/>
      </c>
      <c r="N208" s="15">
        <f>IF(OR(N207="",N191=""),"",IF(N191&lt;=0,"",IFERROR(N207/N191,"")))</f>
        <v/>
      </c>
      <c r="V208" s="15">
        <f>IF(OR(V207="",V191=""),"",IF(V191&lt;=0,"",IFERROR(V207/V191,"")))</f>
        <v/>
      </c>
      <c r="W208" s="15">
        <f>IF(OR(W207="",W191=""),"",IF(W191&lt;=0,"",IFERROR(W207/W191,"")))</f>
        <v/>
      </c>
      <c r="X208" s="15">
        <f>IF(OR(X207="",X191=""),"",IF(X191&lt;=0,"",IFERROR(X207/X191,"")))</f>
        <v/>
      </c>
    </row>
    <row r="209">
      <c r="A209" s="43" t="inlineStr">
        <is>
          <t>YoY</t>
        </is>
      </c>
      <c r="B209" s="3" t="inlineStr">
        <is>
          <t>전년 같은 분기·전년 대비</t>
        </is>
      </c>
      <c r="I209" s="15">
        <f>IF(OR(I207="",E207=""),"",IF(E207&lt;=0,"",IFERROR(I207/E207-1,"")))</f>
        <v/>
      </c>
      <c r="J209" s="15">
        <f>IF(OR(J207="",F207=""),"",IF(F207&lt;=0,"",IFERROR(J207/F207-1,"")))</f>
        <v/>
      </c>
      <c r="M209" s="15">
        <f>IF(OR(M207="",I207=""),"",IF(I207&lt;=0,"",IFERROR(M207/I207-1,"")))</f>
        <v/>
      </c>
      <c r="N209" s="15">
        <f>IF(OR(N207="",J207=""),"",IF(J207&lt;=0,"",IFERROR(N207/J207-1,"")))</f>
        <v/>
      </c>
      <c r="V209" s="15">
        <f>IF(OR(V207="",U207=""),"",IF(U207&lt;=0,"",IFERROR(V207/U207-1,"")))</f>
        <v/>
      </c>
      <c r="W209" s="15">
        <f>IF(OR(W207="",V207=""),"",IF(V207&lt;=0,"",IFERROR(W207/V207-1,"")))</f>
        <v/>
      </c>
      <c r="X209" s="15">
        <f>IF(OR(X207="",W207=""),"",IF(W207&lt;=0,"",IFERROR(X207/W207-1,"")))</f>
        <v/>
      </c>
    </row>
    <row r="210">
      <c r="A210" s="18" t="inlineStr">
        <is>
          <t>다카라바이오 그룹 · 부문 이익(손실)</t>
        </is>
      </c>
      <c r="C210" s="20" t="n">
        <v>5833</v>
      </c>
      <c r="D210" s="20" t="n">
        <v>-5920</v>
      </c>
      <c r="E210" s="20" t="n">
        <v>2667</v>
      </c>
      <c r="F210" s="20" t="n">
        <v>-1634</v>
      </c>
      <c r="G210" s="20" t="n">
        <v>8122</v>
      </c>
      <c r="H210" s="20" t="n">
        <v>-7961</v>
      </c>
      <c r="I210" s="20" t="n">
        <v>3736</v>
      </c>
      <c r="J210" s="20" t="n">
        <v>-1796</v>
      </c>
      <c r="K210" s="20" t="n">
        <v>8454</v>
      </c>
      <c r="L210" s="20" t="n">
        <v>-11513</v>
      </c>
      <c r="M210" s="20" t="n">
        <v>167</v>
      </c>
      <c r="N210" s="20" t="n">
        <v>-3384</v>
      </c>
      <c r="V210" s="20" t="n">
        <v>2667</v>
      </c>
      <c r="W210" s="20" t="n">
        <v>3736</v>
      </c>
      <c r="X210" s="20" t="n">
        <v>167</v>
      </c>
    </row>
    <row r="211">
      <c r="A211" s="43" t="inlineStr">
        <is>
          <t>OPM</t>
        </is>
      </c>
      <c r="B211" s="3" t="inlineStr">
        <is>
          <t>영업이익 ÷ 매출</t>
        </is>
      </c>
      <c r="C211" s="15">
        <f>IF(OR(C210="",C193=""),"",IF(C193&lt;=0,"",IFERROR(C210/C193,"")))</f>
        <v/>
      </c>
      <c r="D211" s="15">
        <f>IF(OR(D210="",D193=""),"",IF(D193&lt;=0,"",IFERROR(D210/D193,"")))</f>
        <v/>
      </c>
      <c r="E211" s="15">
        <f>IF(OR(E210="",E193=""),"",IF(E193&lt;=0,"",IFERROR(E210/E193,"")))</f>
        <v/>
      </c>
      <c r="F211" s="15">
        <f>IF(OR(F210="",F193=""),"",IF(F193&lt;=0,"",IFERROR(F210/F193,"")))</f>
        <v/>
      </c>
      <c r="G211" s="15">
        <f>IF(OR(G210="",G193=""),"",IF(G193&lt;=0,"",IFERROR(G210/G193,"")))</f>
        <v/>
      </c>
      <c r="H211" s="15">
        <f>IF(OR(H210="",H193=""),"",IF(H193&lt;=0,"",IFERROR(H210/H193,"")))</f>
        <v/>
      </c>
      <c r="I211" s="15">
        <f>IF(OR(I210="",I193=""),"",IF(I193&lt;=0,"",IFERROR(I210/I193,"")))</f>
        <v/>
      </c>
      <c r="J211" s="15">
        <f>IF(OR(J210="",J193=""),"",IF(J193&lt;=0,"",IFERROR(J210/J193,"")))</f>
        <v/>
      </c>
      <c r="K211" s="15">
        <f>IF(OR(K210="",K193=""),"",IF(K193&lt;=0,"",IFERROR(K210/K193,"")))</f>
        <v/>
      </c>
      <c r="L211" s="15">
        <f>IF(OR(L210="",L193=""),"",IF(L193&lt;=0,"",IFERROR(L210/L193,"")))</f>
        <v/>
      </c>
      <c r="M211" s="15">
        <f>IF(OR(M210="",M193=""),"",IF(M193&lt;=0,"",IFERROR(M210/M193,"")))</f>
        <v/>
      </c>
      <c r="N211" s="15">
        <f>IF(OR(N210="",N193=""),"",IF(N193&lt;=0,"",IFERROR(N210/N193,"")))</f>
        <v/>
      </c>
      <c r="V211" s="15">
        <f>IF(OR(V210="",V193=""),"",IF(V193&lt;=0,"",IFERROR(V210/V193,"")))</f>
        <v/>
      </c>
      <c r="W211" s="15">
        <f>IF(OR(W210="",W193=""),"",IF(W193&lt;=0,"",IFERROR(W210/W193,"")))</f>
        <v/>
      </c>
      <c r="X211" s="15">
        <f>IF(OR(X210="",X193=""),"",IF(X193&lt;=0,"",IFERROR(X210/X193,"")))</f>
        <v/>
      </c>
    </row>
    <row r="212">
      <c r="A212" s="43" t="inlineStr">
        <is>
          <t>YoY</t>
        </is>
      </c>
      <c r="B212" s="3" t="inlineStr">
        <is>
          <t>전년 같은 분기·전년 대비</t>
        </is>
      </c>
      <c r="G212" s="15">
        <f>IF(OR(G210="",C210=""),"",IF(C210&lt;=0,"",IFERROR(G210/C210-1,"")))</f>
        <v/>
      </c>
      <c r="H212" s="15">
        <f>IF(OR(H210="",D210=""),"",IF(D210&lt;=0,"",IFERROR(H210/D210-1,"")))</f>
        <v/>
      </c>
      <c r="I212" s="15">
        <f>IF(OR(I210="",E210=""),"",IF(E210&lt;=0,"",IFERROR(I210/E210-1,"")))</f>
        <v/>
      </c>
      <c r="J212" s="15">
        <f>IF(OR(J210="",F210=""),"",IF(F210&lt;=0,"",IFERROR(J210/F210-1,"")))</f>
        <v/>
      </c>
      <c r="K212" s="15">
        <f>IF(OR(K210="",G210=""),"",IF(G210&lt;=0,"",IFERROR(K210/G210-1,"")))</f>
        <v/>
      </c>
      <c r="L212" s="15">
        <f>IF(OR(L210="",H210=""),"",IF(H210&lt;=0,"",IFERROR(L210/H210-1,"")))</f>
        <v/>
      </c>
      <c r="M212" s="15">
        <f>IF(OR(M210="",I210=""),"",IF(I210&lt;=0,"",IFERROR(M210/I210-1,"")))</f>
        <v/>
      </c>
      <c r="N212" s="15">
        <f>IF(OR(N210="",J210=""),"",IF(J210&lt;=0,"",IFERROR(N210/J210-1,"")))</f>
        <v/>
      </c>
      <c r="V212" s="15">
        <f>IF(OR(V210="",U210=""),"",IF(U210&lt;=0,"",IFERROR(V210/U210-1,"")))</f>
        <v/>
      </c>
      <c r="W212" s="15">
        <f>IF(OR(W210="",V210=""),"",IF(V210&lt;=0,"",IFERROR(W210/V210-1,"")))</f>
        <v/>
      </c>
      <c r="X212" s="15">
        <f>IF(OR(X210="",W210=""),"",IF(W210&lt;=0,"",IFERROR(X210/W210-1,"")))</f>
        <v/>
      </c>
    </row>
    <row r="213">
      <c r="A213" s="18" t="inlineStr">
        <is>
          <t>보고부문 합계 · 부문 이익(손실)</t>
        </is>
      </c>
      <c r="C213" s="20" t="n">
        <v>5013</v>
      </c>
      <c r="D213" s="20" t="n">
        <v>4629</v>
      </c>
      <c r="E213" s="20" t="n">
        <v>4550</v>
      </c>
      <c r="F213" s="20" t="n">
        <v>3568</v>
      </c>
      <c r="G213" s="20" t="n">
        <v>5960</v>
      </c>
      <c r="H213" s="20" t="n">
        <v>3721</v>
      </c>
      <c r="I213" s="20" t="n">
        <v>5707</v>
      </c>
      <c r="J213" s="20" t="n">
        <v>2850</v>
      </c>
      <c r="K213" s="20" t="n">
        <v>3931</v>
      </c>
      <c r="L213" s="20" t="n">
        <v>3925</v>
      </c>
      <c r="M213" s="20" t="n">
        <v>4537</v>
      </c>
      <c r="N213" s="20" t="n">
        <v>2022</v>
      </c>
      <c r="V213" s="20" t="n">
        <v>4550</v>
      </c>
      <c r="W213" s="20" t="n">
        <v>5707</v>
      </c>
      <c r="X213" s="20" t="n">
        <v>4537</v>
      </c>
    </row>
    <row r="214">
      <c r="A214" s="43" t="inlineStr">
        <is>
          <t>OPM</t>
        </is>
      </c>
      <c r="B214" s="3" t="inlineStr">
        <is>
          <t>영업이익 ÷ 매출</t>
        </is>
      </c>
      <c r="C214" s="15">
        <f>IF(OR(C213="",C195=""),"",IF(C195&lt;=0,"",IFERROR(C213/C195,"")))</f>
        <v/>
      </c>
      <c r="D214" s="15">
        <f>IF(OR(D213="",D195=""),"",IF(D195&lt;=0,"",IFERROR(D213/D195,"")))</f>
        <v/>
      </c>
      <c r="E214" s="15">
        <f>IF(OR(E213="",E195=""),"",IF(E195&lt;=0,"",IFERROR(E213/E195,"")))</f>
        <v/>
      </c>
      <c r="F214" s="15">
        <f>IF(OR(F213="",F195=""),"",IF(F195&lt;=0,"",IFERROR(F213/F195,"")))</f>
        <v/>
      </c>
      <c r="G214" s="15">
        <f>IF(OR(G213="",G195=""),"",IF(G195&lt;=0,"",IFERROR(G213/G195,"")))</f>
        <v/>
      </c>
      <c r="H214" s="15">
        <f>IF(OR(H213="",H195=""),"",IF(H195&lt;=0,"",IFERROR(H213/H195,"")))</f>
        <v/>
      </c>
      <c r="I214" s="15">
        <f>IF(OR(I213="",I195=""),"",IF(I195&lt;=0,"",IFERROR(I213/I195,"")))</f>
        <v/>
      </c>
      <c r="J214" s="15">
        <f>IF(OR(J213="",J195=""),"",IF(J195&lt;=0,"",IFERROR(J213/J195,"")))</f>
        <v/>
      </c>
      <c r="K214" s="15">
        <f>IF(OR(K213="",K195=""),"",IF(K195&lt;=0,"",IFERROR(K213/K195,"")))</f>
        <v/>
      </c>
      <c r="L214" s="15">
        <f>IF(OR(L213="",L195=""),"",IF(L195&lt;=0,"",IFERROR(L213/L195,"")))</f>
        <v/>
      </c>
      <c r="M214" s="15">
        <f>IF(OR(M213="",M195=""),"",IF(M195&lt;=0,"",IFERROR(M213/M195,"")))</f>
        <v/>
      </c>
      <c r="N214" s="15">
        <f>IF(OR(N213="",N195=""),"",IF(N195&lt;=0,"",IFERROR(N213/N195,"")))</f>
        <v/>
      </c>
      <c r="V214" s="15">
        <f>IF(OR(V213="",V195=""),"",IF(V195&lt;=0,"",IFERROR(V213/V195,"")))</f>
        <v/>
      </c>
      <c r="W214" s="15">
        <f>IF(OR(W213="",W195=""),"",IF(W195&lt;=0,"",IFERROR(W213/W195,"")))</f>
        <v/>
      </c>
      <c r="X214" s="15">
        <f>IF(OR(X213="",X195=""),"",IF(X195&lt;=0,"",IFERROR(X213/X195,"")))</f>
        <v/>
      </c>
    </row>
    <row r="215">
      <c r="A215" s="43" t="inlineStr">
        <is>
          <t>YoY</t>
        </is>
      </c>
      <c r="B215" s="3" t="inlineStr">
        <is>
          <t>전년 같은 분기·전년 대비</t>
        </is>
      </c>
      <c r="G215" s="15">
        <f>IF(OR(G213="",C213=""),"",IF(C213&lt;=0,"",IFERROR(G213/C213-1,"")))</f>
        <v/>
      </c>
      <c r="H215" s="15">
        <f>IF(OR(H213="",D213=""),"",IF(D213&lt;=0,"",IFERROR(H213/D213-1,"")))</f>
        <v/>
      </c>
      <c r="I215" s="15">
        <f>IF(OR(I213="",E213=""),"",IF(E213&lt;=0,"",IFERROR(I213/E213-1,"")))</f>
        <v/>
      </c>
      <c r="J215" s="15">
        <f>IF(OR(J213="",F213=""),"",IF(F213&lt;=0,"",IFERROR(J213/F213-1,"")))</f>
        <v/>
      </c>
      <c r="K215" s="15">
        <f>IF(OR(K213="",G213=""),"",IF(G213&lt;=0,"",IFERROR(K213/G213-1,"")))</f>
        <v/>
      </c>
      <c r="L215" s="15">
        <f>IF(OR(L213="",H213=""),"",IF(H213&lt;=0,"",IFERROR(L213/H213-1,"")))</f>
        <v/>
      </c>
      <c r="M215" s="15">
        <f>IF(OR(M213="",I213=""),"",IF(I213&lt;=0,"",IFERROR(M213/I213-1,"")))</f>
        <v/>
      </c>
      <c r="N215" s="15">
        <f>IF(OR(N213="",J213=""),"",IF(J213&lt;=0,"",IFERROR(N213/J213-1,"")))</f>
        <v/>
      </c>
      <c r="V215" s="15">
        <f>IF(OR(V213="",U213=""),"",IF(U213&lt;=0,"",IFERROR(V213/U213-1,"")))</f>
        <v/>
      </c>
      <c r="W215" s="15">
        <f>IF(OR(W213="",V213=""),"",IF(V213&lt;=0,"",IFERROR(W213/V213-1,"")))</f>
        <v/>
      </c>
      <c r="X215" s="15">
        <f>IF(OR(X213="",W213=""),"",IF(W213&lt;=0,"",IFERROR(X213/W213-1,"")))</f>
        <v/>
      </c>
    </row>
    <row r="216">
      <c r="A216" s="18" t="inlineStr">
        <is>
          <t>기타 · 부문 이익(손실)</t>
        </is>
      </c>
      <c r="C216" s="20" t="n">
        <v>507</v>
      </c>
      <c r="D216" s="20" t="n">
        <v>730</v>
      </c>
      <c r="E216" s="20" t="n">
        <v>440</v>
      </c>
      <c r="F216" s="20" t="n">
        <v>748</v>
      </c>
      <c r="G216" s="20" t="n">
        <v>651</v>
      </c>
      <c r="H216" s="20" t="n">
        <v>799</v>
      </c>
      <c r="I216" s="20" t="n">
        <v>510</v>
      </c>
      <c r="J216" s="20" t="n">
        <v>925</v>
      </c>
      <c r="K216" s="20" t="n">
        <v>783</v>
      </c>
      <c r="L216" s="20" t="n">
        <v>1113</v>
      </c>
      <c r="M216" s="20" t="n">
        <v>537</v>
      </c>
      <c r="N216" s="20" t="n">
        <v>1032</v>
      </c>
      <c r="V216" s="20" t="n">
        <v>440</v>
      </c>
      <c r="W216" s="20" t="n">
        <v>510</v>
      </c>
      <c r="X216" s="20" t="n">
        <v>537</v>
      </c>
    </row>
    <row r="217">
      <c r="A217" s="43" t="inlineStr">
        <is>
          <t>OPM</t>
        </is>
      </c>
      <c r="B217" s="3" t="inlineStr">
        <is>
          <t>영업이익 ÷ 매출</t>
        </is>
      </c>
      <c r="C217" s="15">
        <f>IF(OR(C216="",C197=""),"",IF(C197&lt;=0,"",IFERROR(C216/C197,"")))</f>
        <v/>
      </c>
      <c r="D217" s="15">
        <f>IF(OR(D216="",D197=""),"",IF(D197&lt;=0,"",IFERROR(D216/D197,"")))</f>
        <v/>
      </c>
      <c r="E217" s="15">
        <f>IF(OR(E216="",E197=""),"",IF(E197&lt;=0,"",IFERROR(E216/E197,"")))</f>
        <v/>
      </c>
      <c r="F217" s="15">
        <f>IF(OR(F216="",F197=""),"",IF(F197&lt;=0,"",IFERROR(F216/F197,"")))</f>
        <v/>
      </c>
      <c r="G217" s="15">
        <f>IF(OR(G216="",G197=""),"",IF(G197&lt;=0,"",IFERROR(G216/G197,"")))</f>
        <v/>
      </c>
      <c r="H217" s="15">
        <f>IF(OR(H216="",H197=""),"",IF(H197&lt;=0,"",IFERROR(H216/H197,"")))</f>
        <v/>
      </c>
      <c r="I217" s="15">
        <f>IF(OR(I216="",I197=""),"",IF(I197&lt;=0,"",IFERROR(I216/I197,"")))</f>
        <v/>
      </c>
      <c r="J217" s="15">
        <f>IF(OR(J216="",J197=""),"",IF(J197&lt;=0,"",IFERROR(J216/J197,"")))</f>
        <v/>
      </c>
      <c r="K217" s="15">
        <f>IF(OR(K216="",K197=""),"",IF(K197&lt;=0,"",IFERROR(K216/K197,"")))</f>
        <v/>
      </c>
      <c r="L217" s="15">
        <f>IF(OR(L216="",L197=""),"",IF(L197&lt;=0,"",IFERROR(L216/L197,"")))</f>
        <v/>
      </c>
      <c r="M217" s="15">
        <f>IF(OR(M216="",M197=""),"",IF(M197&lt;=0,"",IFERROR(M216/M197,"")))</f>
        <v/>
      </c>
      <c r="N217" s="15">
        <f>IF(OR(N216="",N197=""),"",IF(N197&lt;=0,"",IFERROR(N216/N197,"")))</f>
        <v/>
      </c>
      <c r="V217" s="15">
        <f>IF(OR(V216="",V197=""),"",IF(V197&lt;=0,"",IFERROR(V216/V197,"")))</f>
        <v/>
      </c>
      <c r="W217" s="15">
        <f>IF(OR(W216="",W197=""),"",IF(W197&lt;=0,"",IFERROR(W216/W197,"")))</f>
        <v/>
      </c>
      <c r="X217" s="15">
        <f>IF(OR(X216="",X197=""),"",IF(X197&lt;=0,"",IFERROR(X216/X197,"")))</f>
        <v/>
      </c>
    </row>
    <row r="218">
      <c r="A218" s="43" t="inlineStr">
        <is>
          <t>YoY</t>
        </is>
      </c>
      <c r="B218" s="3" t="inlineStr">
        <is>
          <t>전년 같은 분기·전년 대비</t>
        </is>
      </c>
      <c r="G218" s="15">
        <f>IF(OR(G216="",C216=""),"",IF(C216&lt;=0,"",IFERROR(G216/C216-1,"")))</f>
        <v/>
      </c>
      <c r="H218" s="15">
        <f>IF(OR(H216="",D216=""),"",IF(D216&lt;=0,"",IFERROR(H216/D216-1,"")))</f>
        <v/>
      </c>
      <c r="I218" s="15">
        <f>IF(OR(I216="",E216=""),"",IF(E216&lt;=0,"",IFERROR(I216/E216-1,"")))</f>
        <v/>
      </c>
      <c r="J218" s="15">
        <f>IF(OR(J216="",F216=""),"",IF(F216&lt;=0,"",IFERROR(J216/F216-1,"")))</f>
        <v/>
      </c>
      <c r="K218" s="15">
        <f>IF(OR(K216="",G216=""),"",IF(G216&lt;=0,"",IFERROR(K216/G216-1,"")))</f>
        <v/>
      </c>
      <c r="L218" s="15">
        <f>IF(OR(L216="",H216=""),"",IF(H216&lt;=0,"",IFERROR(L216/H216-1,"")))</f>
        <v/>
      </c>
      <c r="M218" s="15">
        <f>IF(OR(M216="",I216=""),"",IF(I216&lt;=0,"",IFERROR(M216/I216-1,"")))</f>
        <v/>
      </c>
      <c r="N218" s="15">
        <f>IF(OR(N216="",J216=""),"",IF(J216&lt;=0,"",IFERROR(N216/J216-1,"")))</f>
        <v/>
      </c>
      <c r="V218" s="15">
        <f>IF(OR(V216="",U216=""),"",IF(U216&lt;=0,"",IFERROR(V216/U216-1,"")))</f>
        <v/>
      </c>
      <c r="W218" s="15">
        <f>IF(OR(W216="",V216=""),"",IF(V216&lt;=0,"",IFERROR(W216/V216-1,"")))</f>
        <v/>
      </c>
      <c r="X218" s="15">
        <f>IF(OR(X216="",W216=""),"",IF(W216&lt;=0,"",IFERROR(X216/W216-1,"")))</f>
        <v/>
      </c>
    </row>
    <row r="219">
      <c r="A219" s="18" t="inlineStr">
        <is>
          <t>합계 · 부문 이익(손실)</t>
        </is>
      </c>
      <c r="C219" s="20" t="n">
        <v>5519</v>
      </c>
      <c r="D219" s="20" t="n">
        <v>5359</v>
      </c>
      <c r="E219" s="20" t="n">
        <v>4990</v>
      </c>
      <c r="F219" s="20" t="n">
        <v>4316</v>
      </c>
      <c r="G219" s="20" t="n">
        <v>6612</v>
      </c>
      <c r="H219" s="20" t="n">
        <v>4519</v>
      </c>
      <c r="I219" s="20" t="n">
        <v>6217</v>
      </c>
      <c r="J219" s="20" t="n">
        <v>3776</v>
      </c>
      <c r="K219" s="20" t="n">
        <v>4713</v>
      </c>
      <c r="L219" s="20" t="n">
        <v>5038</v>
      </c>
      <c r="M219" s="20" t="n">
        <v>5074</v>
      </c>
      <c r="N219" s="20" t="n">
        <v>3054</v>
      </c>
      <c r="V219" s="20" t="n">
        <v>4990</v>
      </c>
      <c r="W219" s="20" t="n">
        <v>6217</v>
      </c>
      <c r="X219" s="20" t="n">
        <v>5074</v>
      </c>
    </row>
    <row r="220">
      <c r="A220" s="43" t="inlineStr">
        <is>
          <t>OPM</t>
        </is>
      </c>
      <c r="B220" s="3" t="inlineStr">
        <is>
          <t>영업이익 ÷ 매출</t>
        </is>
      </c>
      <c r="C220" s="15">
        <f>IF(OR(C219="",C199=""),"",IF(C199&lt;=0,"",IFERROR(C219/C199,"")))</f>
        <v/>
      </c>
      <c r="D220" s="15">
        <f>IF(OR(D219="",D199=""),"",IF(D199&lt;=0,"",IFERROR(D219/D199,"")))</f>
        <v/>
      </c>
      <c r="E220" s="15">
        <f>IF(OR(E219="",E199=""),"",IF(E199&lt;=0,"",IFERROR(E219/E199,"")))</f>
        <v/>
      </c>
      <c r="F220" s="15">
        <f>IF(OR(F219="",F199=""),"",IF(F199&lt;=0,"",IFERROR(F219/F199,"")))</f>
        <v/>
      </c>
      <c r="G220" s="15">
        <f>IF(OR(G219="",G199=""),"",IF(G199&lt;=0,"",IFERROR(G219/G199,"")))</f>
        <v/>
      </c>
      <c r="H220" s="15">
        <f>IF(OR(H219="",H199=""),"",IF(H199&lt;=0,"",IFERROR(H219/H199,"")))</f>
        <v/>
      </c>
      <c r="I220" s="15">
        <f>IF(OR(I219="",I199=""),"",IF(I199&lt;=0,"",IFERROR(I219/I199,"")))</f>
        <v/>
      </c>
      <c r="J220" s="15">
        <f>IF(OR(J219="",J199=""),"",IF(J199&lt;=0,"",IFERROR(J219/J199,"")))</f>
        <v/>
      </c>
      <c r="K220" s="15">
        <f>IF(OR(K219="",K199=""),"",IF(K199&lt;=0,"",IFERROR(K219/K199,"")))</f>
        <v/>
      </c>
      <c r="L220" s="15">
        <f>IF(OR(L219="",L199=""),"",IF(L199&lt;=0,"",IFERROR(L219/L199,"")))</f>
        <v/>
      </c>
      <c r="M220" s="15">
        <f>IF(OR(M219="",M199=""),"",IF(M199&lt;=0,"",IFERROR(M219/M199,"")))</f>
        <v/>
      </c>
      <c r="N220" s="15">
        <f>IF(OR(N219="",N199=""),"",IF(N199&lt;=0,"",IFERROR(N219/N199,"")))</f>
        <v/>
      </c>
      <c r="V220" s="15">
        <f>IF(OR(V219="",V199=""),"",IF(V199&lt;=0,"",IFERROR(V219/V199,"")))</f>
        <v/>
      </c>
      <c r="W220" s="15">
        <f>IF(OR(W219="",W199=""),"",IF(W199&lt;=0,"",IFERROR(W219/W199,"")))</f>
        <v/>
      </c>
      <c r="X220" s="15">
        <f>IF(OR(X219="",X199=""),"",IF(X199&lt;=0,"",IFERROR(X219/X199,"")))</f>
        <v/>
      </c>
    </row>
    <row r="221">
      <c r="A221" s="43" t="inlineStr">
        <is>
          <t>YoY</t>
        </is>
      </c>
      <c r="B221" s="3" t="inlineStr">
        <is>
          <t>전년 같은 분기·전년 대비</t>
        </is>
      </c>
      <c r="G221" s="15">
        <f>IF(OR(G219="",C219=""),"",IF(C219&lt;=0,"",IFERROR(G219/C219-1,"")))</f>
        <v/>
      </c>
      <c r="H221" s="15">
        <f>IF(OR(H219="",D219=""),"",IF(D219&lt;=0,"",IFERROR(H219/D219-1,"")))</f>
        <v/>
      </c>
      <c r="I221" s="15">
        <f>IF(OR(I219="",E219=""),"",IF(E219&lt;=0,"",IFERROR(I219/E219-1,"")))</f>
        <v/>
      </c>
      <c r="J221" s="15">
        <f>IF(OR(J219="",F219=""),"",IF(F219&lt;=0,"",IFERROR(J219/F219-1,"")))</f>
        <v/>
      </c>
      <c r="K221" s="15">
        <f>IF(OR(K219="",G219=""),"",IF(G219&lt;=0,"",IFERROR(K219/G219-1,"")))</f>
        <v/>
      </c>
      <c r="L221" s="15">
        <f>IF(OR(L219="",H219=""),"",IF(H219&lt;=0,"",IFERROR(L219/H219-1,"")))</f>
        <v/>
      </c>
      <c r="M221" s="15">
        <f>IF(OR(M219="",I219=""),"",IF(I219&lt;=0,"",IFERROR(M219/I219-1,"")))</f>
        <v/>
      </c>
      <c r="N221" s="15">
        <f>IF(OR(N219="",J219=""),"",IF(J219&lt;=0,"",IFERROR(N219/J219-1,"")))</f>
        <v/>
      </c>
      <c r="V221" s="15">
        <f>IF(OR(V219="",U219=""),"",IF(U219&lt;=0,"",IFERROR(V219/U219-1,"")))</f>
        <v/>
      </c>
      <c r="W221" s="15">
        <f>IF(OR(W219="",V219=""),"",IF(V219&lt;=0,"",IFERROR(W219/V219-1,"")))</f>
        <v/>
      </c>
      <c r="X221" s="15">
        <f>IF(OR(X219="",W219=""),"",IF(W219&lt;=0,"",IFERROR(X219/W219-1,"")))</f>
        <v/>
      </c>
    </row>
    <row r="222">
      <c r="A222" s="18" t="inlineStr">
        <is>
          <t>조정액 · 부문 이익(손실)</t>
        </is>
      </c>
      <c r="C222" s="20" t="n">
        <v>-157</v>
      </c>
      <c r="D222" s="20" t="n">
        <v>-44</v>
      </c>
      <c r="E222" s="20" t="n">
        <v>-527</v>
      </c>
      <c r="F222" s="20" t="n">
        <v>-251</v>
      </c>
      <c r="G222" s="20" t="n">
        <v>-144</v>
      </c>
      <c r="H222" s="20" t="n">
        <v>-142</v>
      </c>
      <c r="I222" s="20" t="n">
        <v>-530</v>
      </c>
      <c r="J222" s="20" t="n">
        <v>-319</v>
      </c>
      <c r="K222" s="20" t="n">
        <v>-383</v>
      </c>
      <c r="L222" s="20" t="n">
        <v>-193</v>
      </c>
      <c r="M222" s="20" t="n">
        <v>-629</v>
      </c>
      <c r="N222" s="20" t="n">
        <v>-104</v>
      </c>
      <c r="V222" s="20" t="n">
        <v>-527</v>
      </c>
      <c r="W222" s="20" t="n">
        <v>-530</v>
      </c>
      <c r="X222" s="20" t="n">
        <v>-629</v>
      </c>
    </row>
    <row r="223">
      <c r="A223" s="9" t="inlineStr">
        <is>
          <t>부문 이익(손실)</t>
        </is>
      </c>
      <c r="C223" s="12" t="n">
        <v>5363</v>
      </c>
      <c r="D223" s="12" t="n">
        <v>5315</v>
      </c>
      <c r="E223" s="12" t="n">
        <v>4463</v>
      </c>
      <c r="F223" s="12" t="n">
        <v>4064</v>
      </c>
      <c r="G223" s="12" t="n">
        <v>6468</v>
      </c>
      <c r="H223" s="12" t="n">
        <v>4377</v>
      </c>
      <c r="I223" s="12" t="n">
        <v>5688</v>
      </c>
      <c r="J223" s="12" t="n">
        <v>3456</v>
      </c>
      <c r="K223" s="12" t="n">
        <v>4330</v>
      </c>
      <c r="L223" s="12" t="n">
        <v>4846</v>
      </c>
      <c r="M223" s="12" t="n">
        <v>4444</v>
      </c>
      <c r="N223" s="12" t="n">
        <v>2949</v>
      </c>
      <c r="V223" s="12" t="n">
        <v>4463</v>
      </c>
      <c r="W223" s="12" t="n">
        <v>5688</v>
      </c>
      <c r="X223" s="12" t="n">
        <v>4444</v>
      </c>
    </row>
    <row r="224">
      <c r="A224" s="43" t="inlineStr">
        <is>
          <t>OPM</t>
        </is>
      </c>
      <c r="B224" s="3" t="inlineStr">
        <is>
          <t>영업이익 ÷ 매출</t>
        </is>
      </c>
      <c r="C224" s="15">
        <f>IF(OR(C223="",C179=""),"",IF(C179&lt;=0,"",IFERROR(C223/C179,"")))</f>
        <v/>
      </c>
      <c r="D224" s="15">
        <f>IF(OR(D223="",D179=""),"",IF(D179&lt;=0,"",IFERROR(D223/D179,"")))</f>
        <v/>
      </c>
      <c r="E224" s="15">
        <f>IF(OR(E223="",E179=""),"",IF(E179&lt;=0,"",IFERROR(E223/E179,"")))</f>
        <v/>
      </c>
      <c r="F224" s="15">
        <f>IF(OR(F223="",F179=""),"",IF(F179&lt;=0,"",IFERROR(F223/F179,"")))</f>
        <v/>
      </c>
      <c r="G224" s="15">
        <f>IF(OR(G223="",G179=""),"",IF(G179&lt;=0,"",IFERROR(G223/G179,"")))</f>
        <v/>
      </c>
      <c r="H224" s="15">
        <f>IF(OR(H223="",H179=""),"",IF(H179&lt;=0,"",IFERROR(H223/H179,"")))</f>
        <v/>
      </c>
      <c r="I224" s="15">
        <f>IF(OR(I223="",I179=""),"",IF(I179&lt;=0,"",IFERROR(I223/I179,"")))</f>
        <v/>
      </c>
      <c r="J224" s="15">
        <f>IF(OR(J223="",J179=""),"",IF(J179&lt;=0,"",IFERROR(J223/J179,"")))</f>
        <v/>
      </c>
      <c r="K224" s="15">
        <f>IF(OR(K223="",K179=""),"",IF(K179&lt;=0,"",IFERROR(K223/K179,"")))</f>
        <v/>
      </c>
      <c r="L224" s="15">
        <f>IF(OR(L223="",L179=""),"",IF(L179&lt;=0,"",IFERROR(L223/L179,"")))</f>
        <v/>
      </c>
      <c r="M224" s="15">
        <f>IF(OR(M223="",M179=""),"",IF(M179&lt;=0,"",IFERROR(M223/M179,"")))</f>
        <v/>
      </c>
      <c r="N224" s="15">
        <f>IF(OR(N223="",N179=""),"",IF(N179&lt;=0,"",IFERROR(N223/N179,"")))</f>
        <v/>
      </c>
      <c r="V224" s="15">
        <f>IF(OR(V223="",V179=""),"",IF(V179&lt;=0,"",IFERROR(V223/V179,"")))</f>
        <v/>
      </c>
      <c r="W224" s="15">
        <f>IF(OR(W223="",W179=""),"",IF(W179&lt;=0,"",IFERROR(W223/W179,"")))</f>
        <v/>
      </c>
      <c r="X224" s="15">
        <f>IF(OR(X223="",X179=""),"",IF(X179&lt;=0,"",IFERROR(X223/X179,"")))</f>
        <v/>
      </c>
    </row>
    <row r="225">
      <c r="A225" s="43" t="inlineStr">
        <is>
          <t>YoY</t>
        </is>
      </c>
      <c r="B225" s="3" t="inlineStr">
        <is>
          <t>전년 같은 분기·전년 대비</t>
        </is>
      </c>
      <c r="G225" s="15">
        <f>IF(OR(G223="",C223=""),"",IF(C223&lt;=0,"",IFERROR(G223/C223-1,"")))</f>
        <v/>
      </c>
      <c r="H225" s="15">
        <f>IF(OR(H223="",D223=""),"",IF(D223&lt;=0,"",IFERROR(H223/D223-1,"")))</f>
        <v/>
      </c>
      <c r="I225" s="15">
        <f>IF(OR(I223="",E223=""),"",IF(E223&lt;=0,"",IFERROR(I223/E223-1,"")))</f>
        <v/>
      </c>
      <c r="J225" s="15">
        <f>IF(OR(J223="",F223=""),"",IF(F223&lt;=0,"",IFERROR(J223/F223-1,"")))</f>
        <v/>
      </c>
      <c r="K225" s="15">
        <f>IF(OR(K223="",G223=""),"",IF(G223&lt;=0,"",IFERROR(K223/G223-1,"")))</f>
        <v/>
      </c>
      <c r="L225" s="15">
        <f>IF(OR(L223="",H223=""),"",IF(H223&lt;=0,"",IFERROR(L223/H223-1,"")))</f>
        <v/>
      </c>
      <c r="M225" s="15">
        <f>IF(OR(M223="",I223=""),"",IF(I223&lt;=0,"",IFERROR(M223/I223-1,"")))</f>
        <v/>
      </c>
      <c r="N225" s="15">
        <f>IF(OR(N223="",J223=""),"",IF(J223&lt;=0,"",IFERROR(N223/J223-1,"")))</f>
        <v/>
      </c>
      <c r="V225" s="15">
        <f>IF(OR(V223="",U223=""),"",IF(U223&lt;=0,"",IFERROR(V223/U223-1,"")))</f>
        <v/>
      </c>
      <c r="W225" s="15">
        <f>IF(OR(W223="",V223=""),"",IF(V223&lt;=0,"",IFERROR(W223/V223-1,"")))</f>
        <v/>
      </c>
      <c r="X225" s="15">
        <f>IF(OR(X223="",W223=""),"",IF(W223&lt;=0,"",IFERROR(X223/W223-1,"")))</f>
        <v/>
      </c>
    </row>
    <row r="227">
      <c r="A227" s="16" t="inlineStr">
        <is>
          <t>현금흐름표 · 전 항목</t>
        </is>
      </c>
      <c r="B227" s="42" t="inlineStr">
        <is>
          <t>분기 = 결산기 첫날부터 누계(공시 그대로)</t>
        </is>
      </c>
      <c r="C227" s="16" t="n"/>
      <c r="D227" s="16" t="n"/>
      <c r="E227" s="16" t="n"/>
      <c r="F227" s="16" t="n"/>
      <c r="G227" s="16" t="n"/>
      <c r="H227" s="16" t="n"/>
      <c r="I227" s="16" t="n"/>
      <c r="J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  <c r="S227" s="16" t="n"/>
      <c r="T227" s="16" t="n"/>
      <c r="U227" s="16" t="n"/>
      <c r="V227" s="16" t="n"/>
      <c r="W227" s="16" t="n"/>
      <c r="X227" s="16" t="n"/>
      <c r="Y227" s="16" t="n"/>
      <c r="Z227" s="16" t="n"/>
      <c r="AA227" s="16" t="n"/>
      <c r="AB227" s="16" t="n"/>
      <c r="AC227" s="16" t="n"/>
    </row>
    <row r="228">
      <c r="A228" s="5" t="inlineStr">
        <is>
          <t>항목</t>
        </is>
      </c>
      <c r="B228" s="5" t="inlineStr">
        <is>
          <t>참고</t>
        </is>
      </c>
      <c r="C228" s="5" t="inlineStr">
        <is>
          <t>2024.2Q</t>
        </is>
      </c>
      <c r="D228" s="5" t="inlineStr">
        <is>
          <t>2024.3Q</t>
        </is>
      </c>
      <c r="E228" s="5" t="inlineStr">
        <is>
          <t>2024.4Q</t>
        </is>
      </c>
      <c r="F228" s="5" t="inlineStr">
        <is>
          <t>2025.1Q</t>
        </is>
      </c>
      <c r="G228" s="5" t="inlineStr">
        <is>
          <t>2025.2Q</t>
        </is>
      </c>
      <c r="H228" s="5" t="inlineStr">
        <is>
          <t>2025.3Q</t>
        </is>
      </c>
      <c r="I228" s="5" t="inlineStr">
        <is>
          <t>2025.4Q</t>
        </is>
      </c>
      <c r="J228" s="5" t="inlineStr">
        <is>
          <t>2026.1Q</t>
        </is>
      </c>
      <c r="K228" s="5" t="inlineStr">
        <is>
          <t>2026.2Q</t>
        </is>
      </c>
      <c r="L228" s="5" t="inlineStr">
        <is>
          <t>2026.3Q</t>
        </is>
      </c>
      <c r="M228" s="5" t="inlineStr">
        <is>
          <t>2026.4Q</t>
        </is>
      </c>
      <c r="N228" s="5" t="inlineStr">
        <is>
          <t>2027.1Q</t>
        </is>
      </c>
      <c r="O228" s="5" t="inlineStr">
        <is>
          <t>2017</t>
        </is>
      </c>
      <c r="P228" s="5" t="inlineStr">
        <is>
          <t>2018</t>
        </is>
      </c>
      <c r="Q228" s="5" t="inlineStr">
        <is>
          <t>2019</t>
        </is>
      </c>
      <c r="R228" s="5" t="inlineStr">
        <is>
          <t>2020</t>
        </is>
      </c>
      <c r="S228" s="5" t="inlineStr">
        <is>
          <t>2021</t>
        </is>
      </c>
      <c r="T228" s="5" t="inlineStr">
        <is>
          <t>2022</t>
        </is>
      </c>
      <c r="U228" s="5" t="inlineStr">
        <is>
          <t>2023</t>
        </is>
      </c>
      <c r="V228" s="5" t="inlineStr">
        <is>
          <t>2024</t>
        </is>
      </c>
      <c r="W228" s="5" t="inlineStr">
        <is>
          <t>2025</t>
        </is>
      </c>
      <c r="X228" s="5" t="inlineStr">
        <is>
          <t>2026</t>
        </is>
      </c>
      <c r="Y228" s="5" t="inlineStr">
        <is>
          <t>2027(MW)</t>
        </is>
      </c>
      <c r="Z228" s="5" t="inlineStr">
        <is>
          <t>2028(MW)</t>
        </is>
      </c>
      <c r="AA228" s="5" t="inlineStr">
        <is>
          <t>2029(MW)</t>
        </is>
      </c>
      <c r="AB228" s="5" t="inlineStr">
        <is>
          <t>2030(MW)</t>
        </is>
      </c>
      <c r="AC228" s="5" t="inlineStr">
        <is>
          <t>2031(MW)</t>
        </is>
      </c>
    </row>
    <row r="229">
      <c r="A229" s="9" t="inlineStr">
        <is>
          <t>법인세차감전 순이익</t>
        </is>
      </c>
      <c r="C229" s="12" t="n">
        <v>12984</v>
      </c>
      <c r="E229" s="12" t="n">
        <v>26238</v>
      </c>
      <c r="G229" s="12" t="n">
        <v>13718</v>
      </c>
      <c r="I229" s="12" t="n">
        <v>25815</v>
      </c>
      <c r="K229" s="12" t="n">
        <v>8578</v>
      </c>
      <c r="M229" s="12" t="n">
        <v>18270</v>
      </c>
      <c r="O229" s="12" t="n">
        <v>14520</v>
      </c>
      <c r="P229" s="12" t="n">
        <v>18903</v>
      </c>
      <c r="Q229" s="12" t="n">
        <v>17658</v>
      </c>
      <c r="R229" s="12" t="n">
        <v>15643</v>
      </c>
      <c r="S229" s="12" t="n">
        <v>20583</v>
      </c>
      <c r="T229" s="12" t="n">
        <v>40961</v>
      </c>
      <c r="U229" s="12" t="n">
        <v>39692</v>
      </c>
      <c r="V229" s="12" t="n">
        <v>26238</v>
      </c>
      <c r="W229" s="12" t="n">
        <v>25815</v>
      </c>
      <c r="X229" s="12" t="n">
        <v>18270</v>
      </c>
    </row>
    <row r="230">
      <c r="A230" s="18" t="inlineStr">
        <is>
          <t>감가상각비</t>
        </is>
      </c>
      <c r="C230" s="20" t="n">
        <v>4796</v>
      </c>
      <c r="E230" s="20" t="n">
        <v>9999</v>
      </c>
      <c r="G230" s="20" t="n">
        <v>4997</v>
      </c>
      <c r="I230" s="20" t="n">
        <v>10347</v>
      </c>
      <c r="K230" s="20" t="n">
        <v>5950</v>
      </c>
      <c r="M230" s="20" t="n">
        <v>12225</v>
      </c>
      <c r="O230" s="20" t="n">
        <v>5171</v>
      </c>
      <c r="P230" s="20" t="n">
        <v>6430</v>
      </c>
      <c r="Q230" s="20" t="n">
        <v>6490</v>
      </c>
      <c r="R230" s="20" t="n">
        <v>7626</v>
      </c>
      <c r="S230" s="20" t="n">
        <v>8068</v>
      </c>
      <c r="T230" s="20" t="n">
        <v>8425</v>
      </c>
      <c r="U230" s="20" t="n">
        <v>9118</v>
      </c>
      <c r="V230" s="20" t="n">
        <v>9999</v>
      </c>
      <c r="W230" s="20" t="n">
        <v>10347</v>
      </c>
      <c r="X230" s="20" t="n">
        <v>12225</v>
      </c>
    </row>
    <row r="231">
      <c r="A231" s="18" t="inlineStr">
        <is>
          <t>손상차손</t>
        </is>
      </c>
      <c r="C231" s="20" t="n">
        <v>0</v>
      </c>
      <c r="E231" s="20" t="n">
        <v>207</v>
      </c>
      <c r="G231" s="20" t="n">
        <v>108</v>
      </c>
      <c r="I231" s="20" t="n">
        <v>377</v>
      </c>
      <c r="K231" s="20" t="n">
        <v>3870</v>
      </c>
      <c r="M231" s="20" t="n">
        <v>4008</v>
      </c>
      <c r="O231" s="20" t="n">
        <v>667</v>
      </c>
      <c r="P231" s="20" t="n">
        <v>446</v>
      </c>
      <c r="Q231" s="20" t="n">
        <v>696</v>
      </c>
      <c r="R231" s="20" t="n">
        <v>880</v>
      </c>
      <c r="S231" s="20" t="n">
        <v>432</v>
      </c>
      <c r="T231" s="20" t="n">
        <v>185</v>
      </c>
      <c r="U231" s="20" t="n">
        <v>0</v>
      </c>
      <c r="V231" s="20" t="n">
        <v>207</v>
      </c>
      <c r="W231" s="20" t="n">
        <v>377</v>
      </c>
      <c r="X231" s="20" t="n">
        <v>4008</v>
      </c>
    </row>
    <row r="232">
      <c r="A232" s="18" t="inlineStr">
        <is>
          <t>사업정리 손실</t>
        </is>
      </c>
      <c r="R232" s="20" t="n">
        <v>0</v>
      </c>
      <c r="S232" s="20" t="n">
        <v>458</v>
      </c>
      <c r="T232" s="20" t="n">
        <v>0</v>
      </c>
    </row>
    <row r="233">
      <c r="A233" s="18" t="inlineStr">
        <is>
          <t>영업권 상각</t>
        </is>
      </c>
      <c r="C233" s="20" t="n">
        <v>544</v>
      </c>
      <c r="E233" s="20" t="n">
        <v>1179</v>
      </c>
      <c r="G233" s="20" t="n">
        <v>696</v>
      </c>
      <c r="I233" s="20" t="n">
        <v>1727</v>
      </c>
      <c r="K233" s="20" t="n">
        <v>1559</v>
      </c>
      <c r="M233" s="20" t="n">
        <v>3129</v>
      </c>
      <c r="O233" s="20" t="n">
        <v>586</v>
      </c>
      <c r="P233" s="20" t="n">
        <v>843</v>
      </c>
      <c r="Q233" s="20" t="n">
        <v>865</v>
      </c>
      <c r="R233" s="20" t="n">
        <v>847</v>
      </c>
      <c r="S233" s="20" t="n">
        <v>865</v>
      </c>
      <c r="T233" s="20" t="n">
        <v>875</v>
      </c>
      <c r="U233" s="20" t="n">
        <v>998</v>
      </c>
      <c r="V233" s="20" t="n">
        <v>1179</v>
      </c>
      <c r="W233" s="20" t="n">
        <v>1727</v>
      </c>
      <c r="X233" s="20" t="n">
        <v>3129</v>
      </c>
    </row>
    <row r="234">
      <c r="A234" s="18" t="inlineStr">
        <is>
          <t>환경대책 충당금 증감</t>
        </is>
      </c>
      <c r="Q234" s="20" t="n">
        <v>-2</v>
      </c>
      <c r="R234" s="20" t="n">
        <v>408</v>
      </c>
      <c r="S234" s="20" t="n">
        <v>-412</v>
      </c>
    </row>
    <row r="235">
      <c r="A235" s="18" t="inlineStr">
        <is>
          <t>판매촉진 충당금 증감</t>
        </is>
      </c>
      <c r="S235" s="20" t="n">
        <v>-44</v>
      </c>
      <c r="T235" s="20" t="n">
        <v>-2049</v>
      </c>
      <c r="U235" s="20" t="n">
        <v>0</v>
      </c>
    </row>
    <row r="236">
      <c r="A236" s="18" t="inlineStr">
        <is>
          <t>충당금 증감</t>
        </is>
      </c>
      <c r="C236" s="20" t="n">
        <v>-231</v>
      </c>
      <c r="G236" s="20" t="n">
        <v>-522</v>
      </c>
      <c r="K236" s="20" t="n">
        <v>-457</v>
      </c>
    </row>
    <row r="237">
      <c r="A237" s="18" t="inlineStr">
        <is>
          <t>이자·배당금 수익</t>
        </is>
      </c>
      <c r="C237" s="20" t="n">
        <v>-650</v>
      </c>
      <c r="E237" s="20" t="n">
        <v>-1405</v>
      </c>
      <c r="G237" s="20" t="n">
        <v>-900</v>
      </c>
      <c r="I237" s="20" t="n">
        <v>-1928</v>
      </c>
      <c r="K237" s="20" t="n">
        <v>-875</v>
      </c>
      <c r="M237" s="20" t="n">
        <v>-1593</v>
      </c>
      <c r="O237" s="20" t="n">
        <v>-659</v>
      </c>
      <c r="P237" s="20" t="n">
        <v>-700</v>
      </c>
      <c r="Q237" s="20" t="n">
        <v>-800</v>
      </c>
      <c r="R237" s="20" t="n">
        <v>-911</v>
      </c>
      <c r="S237" s="20" t="n">
        <v>-707</v>
      </c>
      <c r="T237" s="20" t="n">
        <v>-767</v>
      </c>
      <c r="U237" s="20" t="n">
        <v>-1066</v>
      </c>
      <c r="V237" s="20" t="n">
        <v>-1405</v>
      </c>
      <c r="W237" s="20" t="n">
        <v>-1928</v>
      </c>
      <c r="X237" s="20" t="n">
        <v>-1593</v>
      </c>
    </row>
    <row r="238">
      <c r="A238" s="18" t="inlineStr">
        <is>
          <t>이자비용</t>
        </is>
      </c>
      <c r="C238" s="20" t="n">
        <v>184</v>
      </c>
      <c r="E238" s="20" t="n">
        <v>450</v>
      </c>
      <c r="G238" s="20" t="n">
        <v>311</v>
      </c>
      <c r="I238" s="20" t="n">
        <v>700</v>
      </c>
      <c r="K238" s="20" t="n">
        <v>707</v>
      </c>
      <c r="M238" s="20" t="n">
        <v>1517</v>
      </c>
      <c r="O238" s="20" t="n">
        <v>481</v>
      </c>
      <c r="P238" s="20" t="n">
        <v>568</v>
      </c>
      <c r="Q238" s="20" t="n">
        <v>387</v>
      </c>
      <c r="R238" s="20" t="n">
        <v>403</v>
      </c>
      <c r="S238" s="20" t="n">
        <v>344</v>
      </c>
      <c r="T238" s="20" t="n">
        <v>330</v>
      </c>
      <c r="U238" s="20" t="n">
        <v>324</v>
      </c>
      <c r="V238" s="20" t="n">
        <v>450</v>
      </c>
      <c r="W238" s="20" t="n">
        <v>700</v>
      </c>
      <c r="X238" s="20" t="n">
        <v>1517</v>
      </c>
    </row>
    <row r="239">
      <c r="A239" s="18" t="inlineStr">
        <is>
          <t>관계회사 주식 매각손익</t>
        </is>
      </c>
      <c r="O239" s="20" t="n">
        <v>0</v>
      </c>
      <c r="P239" s="20" t="n">
        <v>-3312</v>
      </c>
      <c r="Q239" s="20" t="n">
        <v>0</v>
      </c>
    </row>
    <row r="240">
      <c r="A240" s="18" t="inlineStr">
        <is>
          <t>단계적 취득 차손익</t>
        </is>
      </c>
      <c r="O240" s="20" t="n">
        <v>-878</v>
      </c>
      <c r="P240" s="20" t="n">
        <v>0</v>
      </c>
    </row>
    <row r="241">
      <c r="A241" s="18" t="inlineStr">
        <is>
          <t>보험금 수익</t>
        </is>
      </c>
      <c r="C241" s="20" t="n">
        <v>0</v>
      </c>
      <c r="E241" s="20" t="n">
        <v>0</v>
      </c>
      <c r="T241" s="20" t="n">
        <v>-100</v>
      </c>
      <c r="U241" s="20" t="n">
        <v>-678</v>
      </c>
      <c r="V241" s="20" t="n">
        <v>0</v>
      </c>
    </row>
    <row r="242">
      <c r="A242" s="18" t="inlineStr">
        <is>
          <t>고정자산 제각·매각손익</t>
        </is>
      </c>
      <c r="C242" s="20" t="n">
        <v>56</v>
      </c>
      <c r="E242" s="20" t="n">
        <v>794</v>
      </c>
      <c r="G242" s="20" t="n">
        <v>-693</v>
      </c>
      <c r="I242" s="20" t="n">
        <v>-286</v>
      </c>
      <c r="K242" s="20" t="n">
        <v>-618</v>
      </c>
      <c r="M242" s="20" t="n">
        <v>91</v>
      </c>
      <c r="Q242" s="20" t="n">
        <v>27</v>
      </c>
      <c r="R242" s="20" t="n">
        <v>268</v>
      </c>
      <c r="S242" s="20" t="n">
        <v>291</v>
      </c>
      <c r="T242" s="20" t="n">
        <v>319</v>
      </c>
      <c r="U242" s="20" t="n">
        <v>235</v>
      </c>
      <c r="V242" s="20" t="n">
        <v>794</v>
      </c>
      <c r="W242" s="20" t="n">
        <v>-286</v>
      </c>
      <c r="X242" s="20" t="n">
        <v>91</v>
      </c>
    </row>
    <row r="243">
      <c r="A243" s="18" t="inlineStr">
        <is>
          <t>투자유가증권 매각손익</t>
        </is>
      </c>
      <c r="C243" s="20" t="n">
        <v>-8</v>
      </c>
      <c r="E243" s="20" t="n">
        <v>-3971</v>
      </c>
      <c r="G243" s="20" t="n">
        <v>-1973</v>
      </c>
      <c r="I243" s="20" t="n">
        <v>-3696</v>
      </c>
      <c r="K243" s="20" t="n">
        <v>-4419</v>
      </c>
      <c r="M243" s="20" t="n">
        <v>-6538</v>
      </c>
      <c r="Q243" s="20" t="n">
        <v>-21</v>
      </c>
      <c r="R243" s="20" t="n">
        <v>-1128</v>
      </c>
      <c r="T243" s="20" t="n">
        <v>0</v>
      </c>
      <c r="U243" s="20" t="n">
        <v>-674</v>
      </c>
      <c r="V243" s="20" t="n">
        <v>-3971</v>
      </c>
      <c r="W243" s="20" t="n">
        <v>-3696</v>
      </c>
      <c r="X243" s="20" t="n">
        <v>-6538</v>
      </c>
    </row>
    <row r="244">
      <c r="A244" s="18" t="inlineStr">
        <is>
          <t>사업양도 손익</t>
        </is>
      </c>
      <c r="P244" s="20" t="n">
        <v>0</v>
      </c>
      <c r="Q244" s="20" t="n">
        <v>-291</v>
      </c>
      <c r="R244" s="20" t="n">
        <v>0</v>
      </c>
    </row>
    <row r="245">
      <c r="A245" s="18" t="inlineStr">
        <is>
          <t>투자유가증권 평가손익</t>
        </is>
      </c>
      <c r="Q245" s="20" t="n">
        <v>32</v>
      </c>
      <c r="R245" s="20" t="n">
        <v>260</v>
      </c>
    </row>
    <row r="246">
      <c r="A246" s="18" t="inlineStr">
        <is>
          <t>매출채권 증감</t>
        </is>
      </c>
      <c r="C246" s="20" t="n">
        <v>941</v>
      </c>
      <c r="E246" s="20" t="n">
        <v>1994</v>
      </c>
      <c r="G246" s="20" t="n">
        <v>477</v>
      </c>
      <c r="I246" s="20" t="n">
        <v>714</v>
      </c>
      <c r="K246" s="20" t="n">
        <v>184</v>
      </c>
      <c r="M246" s="20" t="n">
        <v>-2971</v>
      </c>
      <c r="O246" s="20" t="n">
        <v>-1334</v>
      </c>
      <c r="P246" s="20" t="n">
        <v>-240</v>
      </c>
      <c r="Q246" s="20" t="n">
        <v>-2900</v>
      </c>
      <c r="R246" s="20" t="n">
        <v>-1291</v>
      </c>
      <c r="S246" s="20" t="n">
        <v>-1162</v>
      </c>
      <c r="T246" s="20" t="n">
        <v>-7109</v>
      </c>
      <c r="U246" s="20" t="n">
        <v>2634</v>
      </c>
      <c r="V246" s="20" t="n">
        <v>1994</v>
      </c>
      <c r="W246" s="20" t="n">
        <v>714</v>
      </c>
      <c r="X246" s="20" t="n">
        <v>-2971</v>
      </c>
    </row>
    <row r="247">
      <c r="A247" s="18" t="inlineStr">
        <is>
          <t>재고자산 증감</t>
        </is>
      </c>
      <c r="C247" s="20" t="n">
        <v>1663</v>
      </c>
      <c r="E247" s="20" t="n">
        <v>982</v>
      </c>
      <c r="G247" s="20" t="n">
        <v>-1339</v>
      </c>
      <c r="I247" s="20" t="n">
        <v>-5025</v>
      </c>
      <c r="K247" s="20" t="n">
        <v>-2226</v>
      </c>
      <c r="M247" s="20" t="n">
        <v>-6297</v>
      </c>
      <c r="O247" s="20" t="n">
        <v>-1377</v>
      </c>
      <c r="P247" s="20" t="n">
        <v>-2520</v>
      </c>
      <c r="Q247" s="20" t="n">
        <v>-5060</v>
      </c>
      <c r="R247" s="20" t="n">
        <v>-3159</v>
      </c>
      <c r="S247" s="20" t="n">
        <v>-691</v>
      </c>
      <c r="T247" s="20" t="n">
        <v>-21235</v>
      </c>
      <c r="U247" s="20" t="n">
        <v>8969</v>
      </c>
      <c r="V247" s="20" t="n">
        <v>982</v>
      </c>
      <c r="W247" s="20" t="n">
        <v>-5025</v>
      </c>
      <c r="X247" s="20" t="n">
        <v>-6297</v>
      </c>
    </row>
    <row r="248">
      <c r="A248" s="18" t="inlineStr">
        <is>
          <t>기타 유동자산 증감</t>
        </is>
      </c>
      <c r="C248" s="20" t="n">
        <v>-796</v>
      </c>
      <c r="G248" s="20" t="n">
        <v>-1913</v>
      </c>
      <c r="K248" s="20" t="n">
        <v>-2565</v>
      </c>
    </row>
    <row r="249">
      <c r="A249" s="18" t="inlineStr">
        <is>
          <t>매입채무 증감</t>
        </is>
      </c>
      <c r="C249" s="20" t="n">
        <v>-1181</v>
      </c>
      <c r="E249" s="20" t="n">
        <v>-914</v>
      </c>
      <c r="G249" s="20" t="n">
        <v>-1494</v>
      </c>
      <c r="I249" s="20" t="n">
        <v>-83</v>
      </c>
      <c r="K249" s="20" t="n">
        <v>238</v>
      </c>
      <c r="M249" s="20" t="n">
        <v>1932</v>
      </c>
      <c r="O249" s="20" t="n">
        <v>208</v>
      </c>
      <c r="P249" s="20" t="n">
        <v>-10</v>
      </c>
      <c r="Q249" s="20" t="n">
        <v>324</v>
      </c>
      <c r="R249" s="20" t="n">
        <v>-340</v>
      </c>
      <c r="S249" s="20" t="n">
        <v>40</v>
      </c>
      <c r="T249" s="20" t="n">
        <v>3920</v>
      </c>
      <c r="U249" s="20" t="n">
        <v>-252</v>
      </c>
      <c r="V249" s="20" t="n">
        <v>-914</v>
      </c>
      <c r="W249" s="20" t="n">
        <v>-83</v>
      </c>
      <c r="X249" s="20" t="n">
        <v>1932</v>
      </c>
    </row>
    <row r="250">
      <c r="A250" s="18" t="inlineStr">
        <is>
          <t>미지급 주세 증감액(△는 감소)</t>
        </is>
      </c>
      <c r="C250" s="20" t="n">
        <v>3458</v>
      </c>
      <c r="E250" s="20" t="n">
        <v>2358</v>
      </c>
      <c r="G250" s="20" t="n">
        <v>-1603</v>
      </c>
      <c r="I250" s="20" t="n">
        <v>-3590</v>
      </c>
      <c r="K250" s="20" t="n">
        <v>601</v>
      </c>
      <c r="M250" s="20" t="n">
        <v>1168</v>
      </c>
      <c r="O250" s="20" t="n">
        <v>-261</v>
      </c>
      <c r="P250" s="20" t="n">
        <v>1685</v>
      </c>
      <c r="Q250" s="20" t="n">
        <v>946</v>
      </c>
      <c r="R250" s="20" t="n">
        <v>-2534</v>
      </c>
      <c r="S250" s="20" t="n">
        <v>-799</v>
      </c>
      <c r="T250" s="20" t="n">
        <v>281</v>
      </c>
      <c r="U250" s="20" t="n">
        <v>-1358</v>
      </c>
      <c r="V250" s="20" t="n">
        <v>2358</v>
      </c>
      <c r="W250" s="20" t="n">
        <v>-3590</v>
      </c>
      <c r="X250" s="20" t="n">
        <v>1168</v>
      </c>
    </row>
    <row r="251">
      <c r="A251" s="18" t="inlineStr">
        <is>
          <t>미지급 소비세 증감</t>
        </is>
      </c>
      <c r="C251" s="20" t="n">
        <v>-1639</v>
      </c>
      <c r="E251" s="20" t="n">
        <v>-3031</v>
      </c>
      <c r="G251" s="20" t="n">
        <v>1594</v>
      </c>
      <c r="I251" s="20" t="n">
        <v>1150</v>
      </c>
      <c r="K251" s="20" t="n">
        <v>170</v>
      </c>
      <c r="M251" s="20" t="n">
        <v>371</v>
      </c>
      <c r="O251" s="20" t="n">
        <v>478</v>
      </c>
      <c r="P251" s="20" t="n">
        <v>176</v>
      </c>
      <c r="Q251" s="20" t="n">
        <v>244</v>
      </c>
      <c r="R251" s="20" t="n">
        <v>-994</v>
      </c>
      <c r="S251" s="20" t="n">
        <v>1722</v>
      </c>
      <c r="T251" s="20" t="n">
        <v>-1890</v>
      </c>
      <c r="U251" s="20" t="n">
        <v>2104</v>
      </c>
      <c r="V251" s="20" t="n">
        <v>-3031</v>
      </c>
      <c r="W251" s="20" t="n">
        <v>1150</v>
      </c>
      <c r="X251" s="20" t="n">
        <v>371</v>
      </c>
    </row>
    <row r="252">
      <c r="A252" s="18" t="inlineStr">
        <is>
          <t>기타 유동부채 증감</t>
        </is>
      </c>
      <c r="C252" s="20" t="n">
        <v>-2453</v>
      </c>
      <c r="E252" s="20" t="n">
        <v>2264</v>
      </c>
      <c r="G252" s="20" t="n">
        <v>-3499</v>
      </c>
      <c r="I252" s="20" t="n">
        <v>-3526</v>
      </c>
      <c r="K252" s="20" t="n">
        <v>-1354</v>
      </c>
      <c r="M252" s="20" t="n">
        <v>354</v>
      </c>
      <c r="P252" s="20" t="n">
        <v>-699</v>
      </c>
      <c r="Q252" s="20" t="n">
        <v>868</v>
      </c>
      <c r="R252" s="20" t="n">
        <v>-595</v>
      </c>
      <c r="S252" s="20" t="n">
        <v>2442</v>
      </c>
      <c r="T252" s="20" t="n">
        <v>3372</v>
      </c>
      <c r="U252" s="20" t="n">
        <v>-1261</v>
      </c>
      <c r="V252" s="20" t="n">
        <v>2264</v>
      </c>
      <c r="W252" s="20" t="n">
        <v>-3526</v>
      </c>
      <c r="X252" s="20" t="n">
        <v>354</v>
      </c>
    </row>
    <row r="253">
      <c r="A253" s="18" t="inlineStr">
        <is>
          <t>기타</t>
        </is>
      </c>
      <c r="C253" s="20" t="n">
        <v>103</v>
      </c>
      <c r="E253" s="20" t="n">
        <v>0</v>
      </c>
      <c r="G253" s="20" t="n">
        <v>-20</v>
      </c>
      <c r="I253" s="20" t="n">
        <v>-966</v>
      </c>
      <c r="K253" s="20" t="n">
        <v>260</v>
      </c>
      <c r="M253" s="20" t="n">
        <v>-107</v>
      </c>
      <c r="O253" s="20" t="n">
        <v>220</v>
      </c>
      <c r="P253" s="20" t="n">
        <v>730</v>
      </c>
      <c r="Q253" s="20" t="n">
        <v>241</v>
      </c>
      <c r="R253" s="20" t="n">
        <v>-65</v>
      </c>
      <c r="S253" s="20" t="n">
        <v>-496</v>
      </c>
      <c r="T253" s="20" t="n">
        <v>-112</v>
      </c>
      <c r="U253" s="20" t="n">
        <v>835</v>
      </c>
      <c r="V253" s="20" t="n">
        <v>0</v>
      </c>
      <c r="W253" s="20" t="n">
        <v>-966</v>
      </c>
      <c r="X253" s="20" t="n">
        <v>-107</v>
      </c>
    </row>
    <row r="254">
      <c r="A254" s="18" t="inlineStr">
        <is>
          <t>소계</t>
        </is>
      </c>
      <c r="C254" s="20" t="n">
        <v>17771</v>
      </c>
      <c r="E254" s="20" t="n">
        <v>37147</v>
      </c>
      <c r="G254" s="20" t="n">
        <v>7944</v>
      </c>
      <c r="I254" s="20" t="n">
        <v>21730</v>
      </c>
      <c r="K254" s="20" t="n">
        <v>9605</v>
      </c>
      <c r="M254" s="20" t="n">
        <v>25561</v>
      </c>
      <c r="O254" s="20" t="n">
        <v>17823</v>
      </c>
      <c r="P254" s="20" t="n">
        <v>22123</v>
      </c>
      <c r="Q254" s="20" t="n">
        <v>19708</v>
      </c>
      <c r="R254" s="20" t="n">
        <v>16188</v>
      </c>
      <c r="S254" s="20" t="n">
        <v>31347</v>
      </c>
      <c r="T254" s="20" t="n">
        <v>25406</v>
      </c>
      <c r="U254" s="20" t="n">
        <v>59621</v>
      </c>
      <c r="V254" s="20" t="n">
        <v>37147</v>
      </c>
      <c r="W254" s="20" t="n">
        <v>21730</v>
      </c>
      <c r="X254" s="20" t="n">
        <v>25561</v>
      </c>
    </row>
    <row r="255">
      <c r="A255" s="18" t="inlineStr">
        <is>
          <t>이자·배당금 수취</t>
        </is>
      </c>
      <c r="C255" s="20" t="n">
        <v>683</v>
      </c>
      <c r="E255" s="20" t="n">
        <v>1380</v>
      </c>
      <c r="G255" s="20" t="n">
        <v>950</v>
      </c>
      <c r="I255" s="20" t="n">
        <v>1933</v>
      </c>
      <c r="K255" s="20" t="n">
        <v>904</v>
      </c>
      <c r="M255" s="20" t="n">
        <v>1613</v>
      </c>
      <c r="O255" s="20" t="n">
        <v>697</v>
      </c>
      <c r="P255" s="20" t="n">
        <v>719</v>
      </c>
      <c r="Q255" s="20" t="n">
        <v>782</v>
      </c>
      <c r="R255" s="20" t="n">
        <v>917</v>
      </c>
      <c r="S255" s="20" t="n">
        <v>703</v>
      </c>
      <c r="T255" s="20" t="n">
        <v>787</v>
      </c>
      <c r="U255" s="20" t="n">
        <v>1053</v>
      </c>
      <c r="V255" s="20" t="n">
        <v>1380</v>
      </c>
      <c r="W255" s="20" t="n">
        <v>1933</v>
      </c>
      <c r="X255" s="20" t="n">
        <v>1613</v>
      </c>
    </row>
    <row r="256">
      <c r="A256" s="18" t="inlineStr">
        <is>
          <t>이자 지급</t>
        </is>
      </c>
      <c r="C256" s="20" t="n">
        <v>-213</v>
      </c>
      <c r="E256" s="20" t="n">
        <v>-457</v>
      </c>
      <c r="G256" s="20" t="n">
        <v>-364</v>
      </c>
      <c r="I256" s="20" t="n">
        <v>-736</v>
      </c>
      <c r="K256" s="20" t="n">
        <v>-470</v>
      </c>
      <c r="M256" s="20" t="n">
        <v>-995</v>
      </c>
      <c r="O256" s="20" t="n">
        <v>-475</v>
      </c>
      <c r="P256" s="20" t="n">
        <v>-560</v>
      </c>
      <c r="Q256" s="20" t="n">
        <v>-396</v>
      </c>
      <c r="R256" s="20" t="n">
        <v>-405</v>
      </c>
      <c r="S256" s="20" t="n">
        <v>-364</v>
      </c>
      <c r="T256" s="20" t="n">
        <v>-334</v>
      </c>
      <c r="U256" s="20" t="n">
        <v>-340</v>
      </c>
      <c r="V256" s="20" t="n">
        <v>-457</v>
      </c>
      <c r="W256" s="20" t="n">
        <v>-736</v>
      </c>
      <c r="X256" s="20" t="n">
        <v>-995</v>
      </c>
    </row>
    <row r="257">
      <c r="A257" s="18" t="inlineStr">
        <is>
          <t>법인세 납부</t>
        </is>
      </c>
      <c r="C257" s="20" t="n">
        <v>-3319</v>
      </c>
      <c r="E257" s="20" t="n">
        <v>-8459</v>
      </c>
      <c r="G257" s="20" t="n">
        <v>-2322</v>
      </c>
      <c r="I257" s="20" t="n">
        <v>-6771</v>
      </c>
      <c r="K257" s="20" t="n">
        <v>-4070</v>
      </c>
      <c r="M257" s="20" t="n">
        <v>-8861</v>
      </c>
      <c r="O257" s="20" t="n">
        <v>-5218</v>
      </c>
      <c r="P257" s="20" t="n">
        <v>-6017</v>
      </c>
      <c r="Q257" s="20" t="n">
        <v>-6586</v>
      </c>
      <c r="R257" s="20" t="n">
        <v>-4955</v>
      </c>
      <c r="S257" s="20" t="n">
        <v>-4767</v>
      </c>
      <c r="T257" s="20" t="n">
        <v>-10253</v>
      </c>
      <c r="U257" s="20" t="n">
        <v>-15535</v>
      </c>
      <c r="V257" s="20" t="n">
        <v>-8459</v>
      </c>
      <c r="W257" s="20" t="n">
        <v>-6771</v>
      </c>
      <c r="X257" s="20" t="n">
        <v>-8861</v>
      </c>
    </row>
    <row r="258">
      <c r="A258" s="18" t="inlineStr">
        <is>
          <t>보험금 수취</t>
        </is>
      </c>
      <c r="C258" s="20" t="n">
        <v>0</v>
      </c>
      <c r="E258" s="20" t="n">
        <v>0</v>
      </c>
      <c r="T258" s="20" t="n">
        <v>100</v>
      </c>
      <c r="U258" s="20" t="n">
        <v>678</v>
      </c>
      <c r="V258" s="20" t="n">
        <v>0</v>
      </c>
    </row>
    <row r="259">
      <c r="A259" s="18" t="inlineStr">
        <is>
          <t>보조금 수취</t>
        </is>
      </c>
      <c r="R259" s="20" t="n">
        <v>0</v>
      </c>
      <c r="S259" s="20" t="n">
        <v>181</v>
      </c>
      <c r="T259" s="20" t="n">
        <v>671</v>
      </c>
      <c r="U259" s="20" t="n">
        <v>0</v>
      </c>
    </row>
    <row r="260">
      <c r="A260" s="18" t="inlineStr">
        <is>
          <t>보조금 반환액</t>
        </is>
      </c>
      <c r="E260" s="20" t="n">
        <v>-433</v>
      </c>
      <c r="I260" s="20" t="n">
        <v>0</v>
      </c>
      <c r="U260" s="20" t="n">
        <v>0</v>
      </c>
      <c r="V260" s="20" t="n">
        <v>-433</v>
      </c>
      <c r="W260" s="20" t="n">
        <v>0</v>
      </c>
    </row>
    <row r="261">
      <c r="A261" s="9" t="inlineStr">
        <is>
          <t>영업활동 현금흐름</t>
        </is>
      </c>
      <c r="C261" s="12" t="n">
        <v>14922</v>
      </c>
      <c r="E261" s="12" t="n">
        <v>29178</v>
      </c>
      <c r="G261" s="12" t="n">
        <v>6207</v>
      </c>
      <c r="I261" s="12" t="n">
        <v>16155</v>
      </c>
      <c r="K261" s="12" t="n">
        <v>5968</v>
      </c>
      <c r="M261" s="12" t="n">
        <v>17318</v>
      </c>
      <c r="O261" s="12" t="n">
        <v>12826</v>
      </c>
      <c r="P261" s="12" t="n">
        <v>16265</v>
      </c>
      <c r="Q261" s="12" t="n">
        <v>13508</v>
      </c>
      <c r="R261" s="12" t="n">
        <v>11744</v>
      </c>
      <c r="S261" s="12" t="n">
        <v>27100</v>
      </c>
      <c r="T261" s="12" t="n">
        <v>16376</v>
      </c>
      <c r="U261" s="12" t="n">
        <v>45478</v>
      </c>
      <c r="V261" s="12" t="n">
        <v>29178</v>
      </c>
      <c r="W261" s="12" t="n">
        <v>16155</v>
      </c>
      <c r="X261" s="12" t="n">
        <v>17318</v>
      </c>
    </row>
    <row r="262">
      <c r="A262" s="18" t="inlineStr">
        <is>
          <t>정기예금 예입</t>
        </is>
      </c>
      <c r="C262" s="20" t="n">
        <v>-1696</v>
      </c>
      <c r="E262" s="20" t="n">
        <v>-4592</v>
      </c>
      <c r="G262" s="20" t="n">
        <v>-3433</v>
      </c>
      <c r="I262" s="20" t="n">
        <v>-6967</v>
      </c>
      <c r="K262" s="20" t="n">
        <v>-5962</v>
      </c>
      <c r="M262" s="20" t="n">
        <v>-8370</v>
      </c>
      <c r="O262" s="20" t="n">
        <v>-7510</v>
      </c>
      <c r="P262" s="20" t="n">
        <v>-13993</v>
      </c>
      <c r="Q262" s="20" t="n">
        <v>-15310</v>
      </c>
      <c r="R262" s="20" t="n">
        <v>-6785</v>
      </c>
      <c r="S262" s="20" t="n">
        <v>-4316</v>
      </c>
      <c r="T262" s="20" t="n">
        <v>-15513</v>
      </c>
      <c r="U262" s="20" t="n">
        <v>-23167</v>
      </c>
      <c r="V262" s="20" t="n">
        <v>-4592</v>
      </c>
      <c r="W262" s="20" t="n">
        <v>-6967</v>
      </c>
      <c r="X262" s="20" t="n">
        <v>-8370</v>
      </c>
    </row>
    <row r="263">
      <c r="A263" s="18" t="inlineStr">
        <is>
          <t>정기예금 인출</t>
        </is>
      </c>
      <c r="C263" s="20" t="n">
        <v>2596</v>
      </c>
      <c r="E263" s="20" t="n">
        <v>5530</v>
      </c>
      <c r="G263" s="20" t="n">
        <v>3736</v>
      </c>
      <c r="I263" s="20" t="n">
        <v>4345</v>
      </c>
      <c r="K263" s="20" t="n">
        <v>6959</v>
      </c>
      <c r="M263" s="20" t="n">
        <v>12403</v>
      </c>
      <c r="O263" s="20" t="n">
        <v>15959</v>
      </c>
      <c r="P263" s="20" t="n">
        <v>12160</v>
      </c>
      <c r="Q263" s="20" t="n">
        <v>14846</v>
      </c>
      <c r="R263" s="20" t="n">
        <v>10564</v>
      </c>
      <c r="S263" s="20" t="n">
        <v>5407</v>
      </c>
      <c r="T263" s="20" t="n">
        <v>14758</v>
      </c>
      <c r="U263" s="20" t="n">
        <v>24008</v>
      </c>
      <c r="V263" s="20" t="n">
        <v>5530</v>
      </c>
      <c r="W263" s="20" t="n">
        <v>4345</v>
      </c>
      <c r="X263" s="20" t="n">
        <v>12403</v>
      </c>
    </row>
    <row r="264">
      <c r="A264" s="18" t="inlineStr">
        <is>
          <t>유가증권 취득</t>
        </is>
      </c>
      <c r="O264" s="20" t="n">
        <v>-10059</v>
      </c>
      <c r="P264" s="20" t="n">
        <v>-12502</v>
      </c>
      <c r="Q264" s="20" t="n">
        <v>-11467</v>
      </c>
      <c r="R264" s="20" t="n">
        <v>-8478</v>
      </c>
      <c r="S264" s="20" t="n">
        <v>0</v>
      </c>
    </row>
    <row r="265">
      <c r="A265" s="18" t="inlineStr">
        <is>
          <t>유가증권 매각·상환 수입</t>
        </is>
      </c>
      <c r="O265" s="20" t="n">
        <v>22028</v>
      </c>
      <c r="P265" s="20" t="n">
        <v>8736</v>
      </c>
      <c r="Q265" s="20" t="n">
        <v>12528</v>
      </c>
      <c r="R265" s="20" t="n">
        <v>11507</v>
      </c>
      <c r="S265" s="20" t="n">
        <v>4455</v>
      </c>
      <c r="T265" s="20" t="n">
        <v>0</v>
      </c>
    </row>
    <row r="266">
      <c r="A266" s="18" t="inlineStr">
        <is>
          <t>유·무형자산 취득 지출</t>
        </is>
      </c>
      <c r="C266" s="20" t="n">
        <v>-14540</v>
      </c>
      <c r="E266" s="20" t="n">
        <v>-19210</v>
      </c>
      <c r="G266" s="20" t="n">
        <v>-5838</v>
      </c>
      <c r="I266" s="20" t="n">
        <v>-20143</v>
      </c>
      <c r="K266" s="20" t="n">
        <v>-18791</v>
      </c>
      <c r="M266" s="20" t="n">
        <v>-22167</v>
      </c>
      <c r="O266" s="20" t="n">
        <v>-5376</v>
      </c>
      <c r="P266" s="20" t="n">
        <v>-6601</v>
      </c>
      <c r="Q266" s="20" t="n">
        <v>-10671</v>
      </c>
      <c r="R266" s="20" t="n">
        <v>-12121</v>
      </c>
      <c r="S266" s="20" t="n">
        <v>-13911</v>
      </c>
      <c r="T266" s="20" t="n">
        <v>-14762</v>
      </c>
      <c r="U266" s="20" t="n">
        <v>-10618</v>
      </c>
      <c r="V266" s="20" t="n">
        <v>-19210</v>
      </c>
      <c r="W266" s="20" t="n">
        <v>-20143</v>
      </c>
      <c r="X266" s="20" t="n">
        <v>-22167</v>
      </c>
    </row>
    <row r="267">
      <c r="A267" s="18" t="inlineStr">
        <is>
          <t>연결범위 변경 자회사 주식 취득(수입)</t>
        </is>
      </c>
      <c r="O267" s="20" t="n">
        <v>2070</v>
      </c>
      <c r="P267" s="20" t="n">
        <v>0</v>
      </c>
      <c r="Q267" s="20" t="n">
        <v>0</v>
      </c>
      <c r="R267" s="20" t="n">
        <v>350</v>
      </c>
      <c r="S267" s="20" t="n">
        <v>0</v>
      </c>
    </row>
    <row r="268">
      <c r="A268" s="18" t="inlineStr">
        <is>
          <t>유·무형자산 매각 수입</t>
        </is>
      </c>
      <c r="C268" s="20" t="n">
        <v>34</v>
      </c>
      <c r="E268" s="20" t="n">
        <v>68</v>
      </c>
      <c r="G268" s="20" t="n">
        <v>747</v>
      </c>
      <c r="I268" s="20" t="n">
        <v>765</v>
      </c>
      <c r="K268" s="20" t="n">
        <v>1358</v>
      </c>
      <c r="M268" s="20" t="n">
        <v>1530</v>
      </c>
      <c r="S268" s="20" t="n">
        <v>28</v>
      </c>
      <c r="T268" s="20" t="n">
        <v>1326</v>
      </c>
      <c r="U268" s="20" t="n">
        <v>430</v>
      </c>
      <c r="V268" s="20" t="n">
        <v>68</v>
      </c>
      <c r="W268" s="20" t="n">
        <v>765</v>
      </c>
      <c r="X268" s="20" t="n">
        <v>1530</v>
      </c>
    </row>
    <row r="269">
      <c r="A269" s="18" t="inlineStr">
        <is>
          <t>투자유가증권 취득</t>
        </is>
      </c>
      <c r="O269" s="20" t="n">
        <v>-11</v>
      </c>
      <c r="P269" s="20" t="n">
        <v>-280</v>
      </c>
      <c r="T269" s="20" t="n">
        <v>-43</v>
      </c>
      <c r="U269" s="20" t="n">
        <v>-517</v>
      </c>
    </row>
    <row r="270">
      <c r="A270" s="18" t="inlineStr">
        <is>
          <t>투자유가증권 매각</t>
        </is>
      </c>
      <c r="C270" s="20" t="n">
        <v>31</v>
      </c>
      <c r="E270" s="20" t="n">
        <v>4874</v>
      </c>
      <c r="G270" s="20" t="n">
        <v>2790</v>
      </c>
      <c r="I270" s="20" t="n">
        <v>4756</v>
      </c>
      <c r="K270" s="20" t="n">
        <v>5032</v>
      </c>
      <c r="M270" s="20" t="n">
        <v>7974</v>
      </c>
      <c r="Q270" s="20" t="n">
        <v>33</v>
      </c>
      <c r="R270" s="20" t="n">
        <v>1636</v>
      </c>
      <c r="T270" s="20" t="n">
        <v>0</v>
      </c>
      <c r="U270" s="20" t="n">
        <v>793</v>
      </c>
      <c r="V270" s="20" t="n">
        <v>4874</v>
      </c>
      <c r="W270" s="20" t="n">
        <v>4756</v>
      </c>
      <c r="X270" s="20" t="n">
        <v>7974</v>
      </c>
    </row>
    <row r="271">
      <c r="A271" s="18" t="inlineStr">
        <is>
          <t>연결범위 변경 자회사 주식 취득</t>
        </is>
      </c>
      <c r="C271" s="20" t="n">
        <v>-2160</v>
      </c>
      <c r="E271" s="20" t="n">
        <v>-5441</v>
      </c>
      <c r="G271" s="20" t="n">
        <v>0</v>
      </c>
      <c r="K271" s="20" t="n">
        <v>-6416</v>
      </c>
      <c r="O271" s="20" t="n">
        <v>-1327</v>
      </c>
      <c r="P271" s="20" t="n">
        <v>-12396</v>
      </c>
      <c r="Q271" s="20" t="n">
        <v>-53</v>
      </c>
      <c r="R271" s="20" t="n">
        <v>0</v>
      </c>
      <c r="T271" s="20" t="n">
        <v>0</v>
      </c>
      <c r="U271" s="20" t="n">
        <v>-1068</v>
      </c>
      <c r="V271" s="20" t="n">
        <v>-5441</v>
      </c>
    </row>
    <row r="272">
      <c r="A272" s="18" t="inlineStr">
        <is>
          <t>연결범위 변경 자회사 주식 매각</t>
        </is>
      </c>
      <c r="O272" s="20" t="n">
        <v>0</v>
      </c>
      <c r="P272" s="20" t="n">
        <v>4150</v>
      </c>
      <c r="Q272" s="20" t="n">
        <v>0</v>
      </c>
    </row>
    <row r="273">
      <c r="A273" s="18" t="inlineStr">
        <is>
          <t>사업양도 수입</t>
        </is>
      </c>
      <c r="P273" s="20" t="n">
        <v>0</v>
      </c>
      <c r="Q273" s="20" t="n">
        <v>1067</v>
      </c>
      <c r="R273" s="20" t="n">
        <v>0</v>
      </c>
    </row>
    <row r="274">
      <c r="A274" s="18" t="inlineStr">
        <is>
          <t>비연결 자회사 주식 취득</t>
        </is>
      </c>
      <c r="E274" s="20" t="n">
        <v>0</v>
      </c>
      <c r="I274" s="20" t="n">
        <v>-546</v>
      </c>
      <c r="M274" s="20" t="n">
        <v>0</v>
      </c>
      <c r="V274" s="20" t="n">
        <v>0</v>
      </c>
      <c r="W274" s="20" t="n">
        <v>-546</v>
      </c>
      <c r="X274" s="20" t="n">
        <v>0</v>
      </c>
    </row>
    <row r="275">
      <c r="A275" s="18" t="inlineStr">
        <is>
          <t>연결범위 변경 수반 자회사 주식·출자금 취득 지출</t>
        </is>
      </c>
      <c r="E275" s="20" t="n">
        <v>-5441</v>
      </c>
      <c r="I275" s="20" t="n">
        <v>-23299</v>
      </c>
      <c r="M275" s="20" t="n">
        <v>-6416</v>
      </c>
      <c r="V275" s="20" t="n">
        <v>-5441</v>
      </c>
      <c r="W275" s="20" t="n">
        <v>-23299</v>
      </c>
      <c r="X275" s="20" t="n">
        <v>-6416</v>
      </c>
    </row>
    <row r="276">
      <c r="A276" s="18" t="inlineStr">
        <is>
          <t>보조금 수취</t>
        </is>
      </c>
      <c r="C276" s="20" t="n">
        <v>0</v>
      </c>
      <c r="E276" s="20" t="n">
        <v>463</v>
      </c>
      <c r="I276" s="20" t="n">
        <v>90</v>
      </c>
      <c r="M276" s="20" t="n">
        <v>349</v>
      </c>
      <c r="R276" s="20" t="n">
        <v>0</v>
      </c>
      <c r="S276" s="20" t="n">
        <v>1900</v>
      </c>
      <c r="T276" s="20" t="n">
        <v>3960</v>
      </c>
      <c r="U276" s="20" t="n">
        <v>32</v>
      </c>
      <c r="V276" s="20" t="n">
        <v>463</v>
      </c>
      <c r="W276" s="20" t="n">
        <v>90</v>
      </c>
      <c r="X276" s="20" t="n">
        <v>349</v>
      </c>
    </row>
    <row r="277">
      <c r="A277" s="18" t="inlineStr">
        <is>
          <t>보조금 반환액</t>
        </is>
      </c>
      <c r="E277" s="20" t="n">
        <v>-1335</v>
      </c>
      <c r="I277" s="20" t="n">
        <v>0</v>
      </c>
      <c r="U277" s="20" t="n">
        <v>0</v>
      </c>
      <c r="V277" s="20" t="n">
        <v>-1335</v>
      </c>
      <c r="W277" s="20" t="n">
        <v>0</v>
      </c>
    </row>
    <row r="278">
      <c r="A278" s="18" t="inlineStr">
        <is>
          <t>기타</t>
        </is>
      </c>
      <c r="C278" s="20" t="n">
        <v>-63</v>
      </c>
      <c r="E278" s="20" t="n">
        <v>-351</v>
      </c>
      <c r="G278" s="20" t="n">
        <v>-316</v>
      </c>
      <c r="I278" s="20" t="n">
        <v>-565</v>
      </c>
      <c r="K278" s="20" t="n">
        <v>-533</v>
      </c>
      <c r="M278" s="20" t="n">
        <v>-645</v>
      </c>
      <c r="O278" s="20" t="n">
        <v>426</v>
      </c>
      <c r="P278" s="20" t="n">
        <v>530</v>
      </c>
      <c r="Q278" s="20" t="n">
        <v>-187</v>
      </c>
      <c r="R278" s="20" t="n">
        <v>1270</v>
      </c>
      <c r="S278" s="20" t="n">
        <v>-302</v>
      </c>
      <c r="T278" s="20" t="n">
        <v>3834</v>
      </c>
      <c r="U278" s="20" t="n">
        <v>-454</v>
      </c>
      <c r="V278" s="20" t="n">
        <v>-351</v>
      </c>
      <c r="W278" s="20" t="n">
        <v>-565</v>
      </c>
      <c r="X278" s="20" t="n">
        <v>-645</v>
      </c>
    </row>
    <row r="279">
      <c r="A279" s="9" t="inlineStr">
        <is>
          <t>투자활동 현금흐름</t>
        </is>
      </c>
      <c r="C279" s="12" t="n">
        <v>-15796</v>
      </c>
      <c r="E279" s="12" t="n">
        <v>-19993</v>
      </c>
      <c r="G279" s="12" t="n">
        <v>-2313</v>
      </c>
      <c r="I279" s="12" t="n">
        <v>-41562</v>
      </c>
      <c r="K279" s="12" t="n">
        <v>-18352</v>
      </c>
      <c r="M279" s="12" t="n">
        <v>-15341</v>
      </c>
      <c r="O279" s="12" t="n">
        <v>16200</v>
      </c>
      <c r="P279" s="12" t="n">
        <v>-19916</v>
      </c>
      <c r="Q279" s="12" t="n">
        <v>-9213</v>
      </c>
      <c r="R279" s="12" t="n">
        <v>-3690</v>
      </c>
      <c r="S279" s="12" t="n">
        <v>-6738</v>
      </c>
      <c r="T279" s="12" t="n">
        <v>-10399</v>
      </c>
      <c r="U279" s="12" t="n">
        <v>-10474</v>
      </c>
      <c r="V279" s="12" t="n">
        <v>-19993</v>
      </c>
      <c r="W279" s="12" t="n">
        <v>-41562</v>
      </c>
      <c r="X279" s="12" t="n">
        <v>-15341</v>
      </c>
    </row>
    <row r="280">
      <c r="A280" s="18" t="inlineStr">
        <is>
          <t>단기차입금 순증감</t>
        </is>
      </c>
      <c r="E280" s="20" t="n">
        <v>-262</v>
      </c>
      <c r="G280" s="20" t="n">
        <v>-12</v>
      </c>
      <c r="I280" s="20" t="n">
        <v>-46</v>
      </c>
      <c r="K280" s="20" t="n">
        <v>-768</v>
      </c>
      <c r="M280" s="20" t="n">
        <v>-844</v>
      </c>
      <c r="O280" s="20" t="n">
        <v>72</v>
      </c>
      <c r="P280" s="20" t="n">
        <v>-3356</v>
      </c>
      <c r="T280" s="20" t="n">
        <v>66</v>
      </c>
      <c r="U280" s="20" t="n">
        <v>-435</v>
      </c>
      <c r="V280" s="20" t="n">
        <v>-262</v>
      </c>
      <c r="W280" s="20" t="n">
        <v>-46</v>
      </c>
      <c r="X280" s="20" t="n">
        <v>-844</v>
      </c>
    </row>
    <row r="281">
      <c r="A281" s="18" t="inlineStr">
        <is>
          <t>장기차입</t>
        </is>
      </c>
      <c r="C281" s="20" t="n">
        <v>456</v>
      </c>
      <c r="E281" s="20" t="n">
        <v>466</v>
      </c>
      <c r="G281" s="20" t="n">
        <v>100</v>
      </c>
      <c r="I281" s="20" t="n">
        <v>25100</v>
      </c>
      <c r="K281" s="20" t="n">
        <v>9951</v>
      </c>
      <c r="M281" s="20" t="n">
        <v>9951</v>
      </c>
      <c r="R281" s="20" t="n">
        <v>100</v>
      </c>
      <c r="S281" s="20" t="n">
        <v>10068</v>
      </c>
      <c r="T281" s="20" t="n">
        <v>5</v>
      </c>
      <c r="U281" s="20" t="n">
        <v>6</v>
      </c>
      <c r="V281" s="20" t="n">
        <v>466</v>
      </c>
      <c r="W281" s="20" t="n">
        <v>25100</v>
      </c>
      <c r="X281" s="20" t="n">
        <v>9951</v>
      </c>
    </row>
    <row r="282">
      <c r="A282" s="18" t="inlineStr">
        <is>
          <t>장기차입금 상환</t>
        </is>
      </c>
      <c r="C282" s="20" t="n">
        <v>-40</v>
      </c>
      <c r="E282" s="20" t="n">
        <v>-105</v>
      </c>
      <c r="G282" s="20" t="n">
        <v>-5163</v>
      </c>
      <c r="I282" s="20" t="n">
        <v>-5801</v>
      </c>
      <c r="K282" s="20" t="n">
        <v>-5394</v>
      </c>
      <c r="M282" s="20" t="n">
        <v>-5608</v>
      </c>
      <c r="O282" s="20" t="n">
        <v>-108</v>
      </c>
      <c r="P282" s="20" t="n">
        <v>-858</v>
      </c>
      <c r="Q282" s="20" t="n">
        <v>-304</v>
      </c>
      <c r="R282" s="20" t="n">
        <v>-5160</v>
      </c>
      <c r="S282" s="20" t="n">
        <v>-60</v>
      </c>
      <c r="T282" s="20" t="n">
        <v>-55</v>
      </c>
      <c r="U282" s="20" t="n">
        <v>-363</v>
      </c>
      <c r="V282" s="20" t="n">
        <v>-105</v>
      </c>
      <c r="W282" s="20" t="n">
        <v>-5801</v>
      </c>
      <c r="X282" s="20" t="n">
        <v>-5608</v>
      </c>
    </row>
    <row r="283">
      <c r="A283" s="18" t="inlineStr">
        <is>
          <t>사채 발행</t>
        </is>
      </c>
      <c r="O283" s="20" t="n">
        <v>0</v>
      </c>
      <c r="P283" s="20" t="n">
        <v>14887</v>
      </c>
      <c r="Q283" s="20" t="n">
        <v>0</v>
      </c>
      <c r="S283" s="20" t="n">
        <v>0</v>
      </c>
      <c r="T283" s="20" t="n">
        <v>9927</v>
      </c>
      <c r="U283" s="20" t="n">
        <v>0</v>
      </c>
    </row>
    <row r="284">
      <c r="A284" s="18" t="inlineStr">
        <is>
          <t>사채 상환</t>
        </is>
      </c>
      <c r="C284" s="20" t="n">
        <v>0</v>
      </c>
      <c r="E284" s="20" t="n">
        <v>0</v>
      </c>
      <c r="G284" s="20" t="n">
        <v>-5000</v>
      </c>
      <c r="I284" s="20" t="n">
        <v>-5000</v>
      </c>
      <c r="K284" s="20" t="n">
        <v>0</v>
      </c>
      <c r="M284" s="20" t="n">
        <v>0</v>
      </c>
      <c r="O284" s="20" t="n">
        <v>0</v>
      </c>
      <c r="P284" s="20" t="n">
        <v>-10547</v>
      </c>
      <c r="Q284" s="20" t="n">
        <v>0</v>
      </c>
      <c r="R284" s="20" t="n">
        <v>0</v>
      </c>
      <c r="S284" s="20" t="n">
        <v>-5000</v>
      </c>
      <c r="T284" s="20" t="n">
        <v>0</v>
      </c>
      <c r="U284" s="20" t="n">
        <v>-10000</v>
      </c>
      <c r="V284" s="20" t="n">
        <v>0</v>
      </c>
      <c r="W284" s="20" t="n">
        <v>-5000</v>
      </c>
      <c r="X284" s="20" t="n">
        <v>0</v>
      </c>
    </row>
    <row r="285">
      <c r="A285" s="18" t="inlineStr">
        <is>
          <t>기업어음 발행 수입</t>
        </is>
      </c>
      <c r="C285" s="20" t="n">
        <v>0</v>
      </c>
      <c r="G285" s="20" t="n">
        <v>8000</v>
      </c>
      <c r="K285" s="20" t="n">
        <v>0</v>
      </c>
      <c r="R285" s="20" t="n">
        <v>0</v>
      </c>
      <c r="S285" s="20" t="n">
        <v>5000</v>
      </c>
      <c r="T285" s="20" t="n">
        <v>0</v>
      </c>
    </row>
    <row r="286">
      <c r="A286" s="18" t="inlineStr">
        <is>
          <t>기업어음 상환 지출</t>
        </is>
      </c>
      <c r="R286" s="20" t="n">
        <v>0</v>
      </c>
      <c r="S286" s="20" t="n">
        <v>-5000</v>
      </c>
      <c r="T286" s="20" t="n">
        <v>0</v>
      </c>
    </row>
    <row r="287">
      <c r="A287" s="18" t="inlineStr">
        <is>
          <t>자기주식 취득</t>
        </is>
      </c>
      <c r="E287" s="20" t="n">
        <v>-2999</v>
      </c>
      <c r="G287" s="20" t="n">
        <v>-0</v>
      </c>
      <c r="I287" s="20" t="n">
        <v>-0</v>
      </c>
      <c r="K287" s="20" t="n">
        <v>-2999</v>
      </c>
      <c r="M287" s="20" t="n">
        <v>-3000</v>
      </c>
      <c r="O287" s="20" t="n">
        <v>-0</v>
      </c>
      <c r="P287" s="20" t="n">
        <v>-2001</v>
      </c>
      <c r="Q287" s="20" t="n">
        <v>-0</v>
      </c>
      <c r="R287" s="20" t="n">
        <v>-2000</v>
      </c>
      <c r="U287" s="20" t="n">
        <v>-0</v>
      </c>
      <c r="V287" s="20" t="n">
        <v>-2999</v>
      </c>
      <c r="W287" s="20" t="n">
        <v>-0</v>
      </c>
      <c r="X287" s="20" t="n">
        <v>-3000</v>
      </c>
    </row>
    <row r="288">
      <c r="A288" s="18" t="inlineStr">
        <is>
          <t>배당금 지급</t>
        </is>
      </c>
      <c r="C288" s="20" t="n">
        <v>-7497</v>
      </c>
      <c r="E288" s="20" t="n">
        <v>-7503</v>
      </c>
      <c r="G288" s="20" t="n">
        <v>-5654</v>
      </c>
      <c r="I288" s="20" t="n">
        <v>-5659</v>
      </c>
      <c r="K288" s="20" t="n">
        <v>-6050</v>
      </c>
      <c r="M288" s="20" t="n">
        <v>-6054</v>
      </c>
      <c r="O288" s="20" t="n">
        <v>-2413</v>
      </c>
      <c r="P288" s="20" t="n">
        <v>-2614</v>
      </c>
      <c r="Q288" s="20" t="n">
        <v>-3191</v>
      </c>
      <c r="R288" s="20" t="n">
        <v>-3589</v>
      </c>
      <c r="S288" s="20" t="n">
        <v>-3951</v>
      </c>
      <c r="T288" s="20" t="n">
        <v>-4147</v>
      </c>
      <c r="U288" s="20" t="n">
        <v>-7305</v>
      </c>
      <c r="V288" s="20" t="n">
        <v>-7503</v>
      </c>
      <c r="W288" s="20" t="n">
        <v>-5659</v>
      </c>
      <c r="X288" s="20" t="n">
        <v>-6054</v>
      </c>
    </row>
    <row r="289">
      <c r="A289" s="18" t="inlineStr">
        <is>
          <t>비지배주주 배당금 지급</t>
        </is>
      </c>
      <c r="C289" s="20" t="n">
        <v>-1999</v>
      </c>
      <c r="E289" s="20" t="n">
        <v>-2004</v>
      </c>
      <c r="G289" s="20" t="n">
        <v>-813</v>
      </c>
      <c r="I289" s="20" t="n">
        <v>-836</v>
      </c>
      <c r="K289" s="20" t="n">
        <v>-891</v>
      </c>
      <c r="M289" s="20" t="n">
        <v>-893</v>
      </c>
      <c r="S289" s="20" t="n">
        <v>-397</v>
      </c>
      <c r="T289" s="20" t="n">
        <v>-763</v>
      </c>
      <c r="U289" s="20" t="n">
        <v>-1579</v>
      </c>
      <c r="V289" s="20" t="n">
        <v>-2004</v>
      </c>
      <c r="W289" s="20" t="n">
        <v>-836</v>
      </c>
      <c r="X289" s="20" t="n">
        <v>-893</v>
      </c>
    </row>
    <row r="290">
      <c r="A290" s="18" t="inlineStr">
        <is>
          <t>리스부채 상환</t>
        </is>
      </c>
      <c r="C290" s="20" t="n">
        <v>-492</v>
      </c>
      <c r="E290" s="20" t="n">
        <v>-1036</v>
      </c>
      <c r="G290" s="20" t="n">
        <v>-591</v>
      </c>
      <c r="I290" s="20" t="n">
        <v>-1204</v>
      </c>
      <c r="K290" s="20" t="n">
        <v>-633</v>
      </c>
      <c r="M290" s="20" t="n">
        <v>-1347</v>
      </c>
      <c r="Q290" s="20" t="n">
        <v>-219</v>
      </c>
      <c r="R290" s="20" t="n">
        <v>-641</v>
      </c>
      <c r="S290" s="20" t="n">
        <v>-689</v>
      </c>
      <c r="T290" s="20" t="n">
        <v>-710</v>
      </c>
      <c r="U290" s="20" t="n">
        <v>-919</v>
      </c>
      <c r="V290" s="20" t="n">
        <v>-1036</v>
      </c>
      <c r="W290" s="20" t="n">
        <v>-1204</v>
      </c>
      <c r="X290" s="20" t="n">
        <v>-1347</v>
      </c>
    </row>
    <row r="291">
      <c r="A291" s="18" t="inlineStr">
        <is>
          <t>연결범위 변경 없는 자회사 주식 취득</t>
        </is>
      </c>
      <c r="C291" s="20" t="n">
        <v>0</v>
      </c>
      <c r="E291" s="20" t="n">
        <v>0</v>
      </c>
      <c r="O291" s="20" t="n">
        <v>0</v>
      </c>
      <c r="P291" s="20" t="n">
        <v>-585</v>
      </c>
      <c r="Q291" s="20" t="n">
        <v>-203</v>
      </c>
      <c r="R291" s="20" t="n">
        <v>0</v>
      </c>
      <c r="S291" s="20" t="n">
        <v>-1761</v>
      </c>
      <c r="T291" s="20" t="n">
        <v>-175</v>
      </c>
      <c r="U291" s="20" t="n">
        <v>-1551</v>
      </c>
      <c r="V291" s="20" t="n">
        <v>0</v>
      </c>
    </row>
    <row r="292">
      <c r="A292" s="18" t="inlineStr">
        <is>
          <t>조건부 대가 결제 지출</t>
        </is>
      </c>
      <c r="I292" s="20" t="n">
        <v>0</v>
      </c>
      <c r="M292" s="20" t="n">
        <v>-1496</v>
      </c>
      <c r="W292" s="20" t="n">
        <v>0</v>
      </c>
      <c r="X292" s="20" t="n">
        <v>-1496</v>
      </c>
    </row>
    <row r="293">
      <c r="A293" s="18" t="inlineStr">
        <is>
          <t>기타</t>
        </is>
      </c>
      <c r="C293" s="20" t="n">
        <v>318</v>
      </c>
      <c r="E293" s="20" t="n">
        <v>-3</v>
      </c>
      <c r="G293" s="20" t="n">
        <v>-1</v>
      </c>
      <c r="I293" s="20" t="n">
        <v>-2</v>
      </c>
      <c r="K293" s="20" t="n">
        <v>-6</v>
      </c>
      <c r="M293" s="20" t="n">
        <v>-13</v>
      </c>
      <c r="O293" s="20" t="n">
        <v>-379</v>
      </c>
      <c r="P293" s="20" t="n">
        <v>-5851</v>
      </c>
      <c r="Q293" s="20" t="n">
        <v>-323</v>
      </c>
      <c r="R293" s="20" t="n">
        <v>-2362</v>
      </c>
      <c r="S293" s="20" t="n">
        <v>224</v>
      </c>
      <c r="T293" s="20" t="n">
        <v>-8</v>
      </c>
      <c r="U293" s="20" t="n">
        <v>-67</v>
      </c>
      <c r="V293" s="20" t="n">
        <v>-3</v>
      </c>
      <c r="W293" s="20" t="n">
        <v>-2</v>
      </c>
      <c r="X293" s="20" t="n">
        <v>-13</v>
      </c>
    </row>
    <row r="294">
      <c r="A294" s="9" t="inlineStr">
        <is>
          <t>재무활동 현금흐름</t>
        </is>
      </c>
      <c r="C294" s="12" t="n">
        <v>-9711</v>
      </c>
      <c r="E294" s="12" t="n">
        <v>-13448</v>
      </c>
      <c r="G294" s="12" t="n">
        <v>-9136</v>
      </c>
      <c r="I294" s="12" t="n">
        <v>6548</v>
      </c>
      <c r="K294" s="12" t="n">
        <v>-6794</v>
      </c>
      <c r="M294" s="12" t="n">
        <v>-9307</v>
      </c>
      <c r="O294" s="12" t="n">
        <v>-2828</v>
      </c>
      <c r="P294" s="12" t="n">
        <v>-5570</v>
      </c>
      <c r="Q294" s="12" t="n">
        <v>-4243</v>
      </c>
      <c r="R294" s="12" t="n">
        <v>-11653</v>
      </c>
      <c r="S294" s="12" t="n">
        <v>-1506</v>
      </c>
      <c r="T294" s="12" t="n">
        <v>4133</v>
      </c>
      <c r="U294" s="12" t="n">
        <v>-22215</v>
      </c>
      <c r="V294" s="12" t="n">
        <v>-13448</v>
      </c>
      <c r="W294" s="12" t="n">
        <v>6548</v>
      </c>
      <c r="X294" s="12" t="n">
        <v>-9307</v>
      </c>
    </row>
    <row r="295">
      <c r="A295" s="18" t="inlineStr">
        <is>
          <t>현금성자산 환산차이</t>
        </is>
      </c>
      <c r="C295" s="20" t="n">
        <v>3246</v>
      </c>
      <c r="E295" s="20" t="n">
        <v>2661</v>
      </c>
      <c r="G295" s="20" t="n">
        <v>4986</v>
      </c>
      <c r="I295" s="20" t="n">
        <v>3954</v>
      </c>
      <c r="K295" s="20" t="n">
        <v>-2112</v>
      </c>
      <c r="M295" s="20" t="n">
        <v>1125</v>
      </c>
      <c r="O295" s="20" t="n">
        <v>31</v>
      </c>
      <c r="P295" s="20" t="n">
        <v>-202</v>
      </c>
      <c r="Q295" s="20" t="n">
        <v>-812</v>
      </c>
      <c r="R295" s="20" t="n">
        <v>-439</v>
      </c>
      <c r="S295" s="20" t="n">
        <v>-536</v>
      </c>
      <c r="T295" s="20" t="n">
        <v>2758</v>
      </c>
      <c r="U295" s="20" t="n">
        <v>3267</v>
      </c>
      <c r="V295" s="20" t="n">
        <v>2661</v>
      </c>
      <c r="W295" s="20" t="n">
        <v>3954</v>
      </c>
      <c r="X295" s="20" t="n">
        <v>1125</v>
      </c>
    </row>
    <row r="296">
      <c r="A296" s="18" t="inlineStr">
        <is>
          <t>현금성자산 증감</t>
        </is>
      </c>
      <c r="C296" s="20" t="n">
        <v>-7339</v>
      </c>
      <c r="E296" s="20" t="n">
        <v>-1601</v>
      </c>
      <c r="G296" s="20" t="n">
        <v>-255</v>
      </c>
      <c r="I296" s="20" t="n">
        <v>-14904</v>
      </c>
      <c r="K296" s="20" t="n">
        <v>-21290</v>
      </c>
      <c r="M296" s="20" t="n">
        <v>-6204</v>
      </c>
      <c r="O296" s="20" t="n">
        <v>26228</v>
      </c>
      <c r="P296" s="20" t="n">
        <v>-9423</v>
      </c>
      <c r="Q296" s="20" t="n">
        <v>-760</v>
      </c>
      <c r="R296" s="20" t="n">
        <v>-4039</v>
      </c>
      <c r="S296" s="20" t="n">
        <v>18319</v>
      </c>
      <c r="T296" s="20" t="n">
        <v>12869</v>
      </c>
      <c r="U296" s="20" t="n">
        <v>16056</v>
      </c>
      <c r="V296" s="20" t="n">
        <v>-1601</v>
      </c>
      <c r="W296" s="20" t="n">
        <v>-14904</v>
      </c>
      <c r="X296" s="20" t="n">
        <v>-6204</v>
      </c>
    </row>
    <row r="297">
      <c r="A297" s="18" t="inlineStr">
        <is>
          <t>비연결 자회사 합병에 따른 현금성자산 증가</t>
        </is>
      </c>
      <c r="G297" s="20" t="n">
        <v>0</v>
      </c>
      <c r="I297" s="20" t="n">
        <v>0</v>
      </c>
      <c r="K297" s="20" t="n">
        <v>49</v>
      </c>
      <c r="M297" s="20" t="n">
        <v>49</v>
      </c>
      <c r="W297" s="20" t="n">
        <v>0</v>
      </c>
      <c r="X297" s="20" t="n">
        <v>49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42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다카라홀딩스 재무상태표</t>
        </is>
      </c>
    </row>
    <row r="2">
      <c r="A2" s="44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2026.1Q</t>
        </is>
      </c>
      <c r="D3" s="5" t="inlineStr">
        <is>
          <t>2026.2Q</t>
        </is>
      </c>
      <c r="E3" s="5" t="inlineStr">
        <is>
          <t>2026.3Q</t>
        </is>
      </c>
      <c r="F3" s="5" t="inlineStr">
        <is>
          <t>2026.4Q</t>
        </is>
      </c>
      <c r="G3" s="5" t="inlineStr">
        <is>
          <t>2027.1Q</t>
        </is>
      </c>
      <c r="H3" s="6" t="inlineStr">
        <is>
          <t>2022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6" t="inlineStr">
        <is>
          <t>자산</t>
        </is>
      </c>
      <c r="B4" s="16" t="n"/>
      <c r="C4" s="17" t="n"/>
      <c r="D4" s="16" t="n"/>
      <c r="E4" s="16" t="n"/>
      <c r="F4" s="16" t="n"/>
      <c r="G4" s="16" t="n"/>
      <c r="H4" s="17" t="n"/>
      <c r="I4" s="16" t="n"/>
      <c r="J4" s="16" t="n"/>
      <c r="K4" s="16" t="n"/>
      <c r="L4" s="16" t="n"/>
    </row>
    <row r="5">
      <c r="A5" s="9" t="inlineStr">
        <is>
          <t>유동자산</t>
        </is>
      </c>
      <c r="B5" s="10" t="n"/>
      <c r="C5" s="11" t="n">
        <v>225057</v>
      </c>
      <c r="D5" s="12" t="n">
        <v>224183</v>
      </c>
      <c r="E5" s="12" t="n">
        <v>243149</v>
      </c>
      <c r="F5" s="12" t="n">
        <v>249314</v>
      </c>
      <c r="G5" s="12" t="n">
        <v>263037</v>
      </c>
      <c r="H5" s="11" t="n">
        <v>232323</v>
      </c>
      <c r="I5" s="12" t="n">
        <v>241513</v>
      </c>
      <c r="J5" s="12" t="n">
        <v>245213</v>
      </c>
      <c r="K5" s="12" t="n">
        <v>245433</v>
      </c>
      <c r="L5" s="12" t="n">
        <v>249314</v>
      </c>
    </row>
    <row r="6">
      <c r="A6" s="18" t="inlineStr">
        <is>
          <t>현금및현금성자산</t>
        </is>
      </c>
      <c r="B6" s="10" t="n"/>
      <c r="C6" s="19" t="n">
        <v>62091</v>
      </c>
      <c r="D6" s="20" t="n">
        <v>60558</v>
      </c>
      <c r="E6" s="20" t="n">
        <v>60947</v>
      </c>
      <c r="F6" s="20" t="n">
        <v>73191</v>
      </c>
      <c r="G6" s="20" t="n">
        <v>81773</v>
      </c>
      <c r="H6" s="19" t="n">
        <v>80445</v>
      </c>
      <c r="I6" s="20" t="n">
        <v>96820</v>
      </c>
      <c r="J6" s="20" t="n">
        <v>95085</v>
      </c>
      <c r="K6" s="20" t="n">
        <v>83302</v>
      </c>
      <c r="L6" s="20" t="n">
        <v>73191</v>
      </c>
    </row>
    <row r="7">
      <c r="A7" s="18" t="inlineStr">
        <is>
          <t>단기금융상품</t>
        </is>
      </c>
      <c r="B7" s="10" t="n"/>
      <c r="C7" s="19" t="n"/>
      <c r="D7" s="20" t="n"/>
      <c r="E7" s="20" t="n"/>
      <c r="F7" s="20" t="n"/>
      <c r="G7" s="20" t="n"/>
      <c r="H7" s="19" t="n">
        <v>1179</v>
      </c>
      <c r="I7" s="20" t="n"/>
      <c r="J7" s="20" t="n"/>
      <c r="K7" s="20" t="n"/>
      <c r="L7" s="20" t="n"/>
    </row>
    <row r="8">
      <c r="A8" s="18" t="inlineStr">
        <is>
          <t>매출채권</t>
        </is>
      </c>
      <c r="B8" s="10" t="n"/>
      <c r="C8" s="19" t="n">
        <v>73379</v>
      </c>
      <c r="D8" s="20" t="n">
        <v>71939</v>
      </c>
      <c r="E8" s="20" t="n">
        <v>86029</v>
      </c>
      <c r="F8" s="20" t="n">
        <v>77571</v>
      </c>
      <c r="G8" s="20" t="n">
        <v>78601</v>
      </c>
      <c r="H8" s="19" t="n">
        <v>62856</v>
      </c>
      <c r="I8" s="20" t="n">
        <v>61624</v>
      </c>
      <c r="J8" s="20" t="n">
        <v>60854</v>
      </c>
      <c r="K8" s="20" t="n">
        <v>65689</v>
      </c>
      <c r="L8" s="20" t="n">
        <v>77571</v>
      </c>
    </row>
    <row r="9">
      <c r="A9" s="18" t="inlineStr">
        <is>
          <t>재고자산</t>
        </is>
      </c>
      <c r="B9" s="10" t="n"/>
      <c r="C9" s="19" t="n">
        <v>81294</v>
      </c>
      <c r="D9" s="20" t="n">
        <v>82942</v>
      </c>
      <c r="E9" s="20" t="n">
        <v>87135</v>
      </c>
      <c r="F9" s="20" t="n">
        <v>91529</v>
      </c>
      <c r="G9" s="20" t="n">
        <v>93002</v>
      </c>
      <c r="H9" s="19" t="n">
        <v>72642</v>
      </c>
      <c r="I9" s="20" t="n">
        <v>66902</v>
      </c>
      <c r="J9" s="20" t="n">
        <v>71051</v>
      </c>
      <c r="K9" s="20" t="n">
        <v>82333</v>
      </c>
      <c r="L9" s="20" t="n">
        <v>91529</v>
      </c>
    </row>
    <row r="10">
      <c r="A10" s="18" t="inlineStr">
        <is>
          <t>기타유동자산</t>
        </is>
      </c>
      <c r="B10" s="10" t="inlineStr">
        <is>
          <t>총계 − 위 항목</t>
        </is>
      </c>
      <c r="C10" s="19">
        <f>IF(OR(C5=""),"",IFERROR(C5-SUM(C6,C7,C8,C9),""))</f>
        <v/>
      </c>
      <c r="D10" s="20">
        <f>IF(OR(D5=""),"",IFERROR(D5-SUM(D6,D7,D8,D9),""))</f>
        <v/>
      </c>
      <c r="E10" s="20">
        <f>IF(OR(E5=""),"",IFERROR(E5-SUM(E6,E7,E8,E9),""))</f>
        <v/>
      </c>
      <c r="F10" s="20">
        <f>IF(OR(F5=""),"",IFERROR(F5-SUM(F6,F7,F8,F9),""))</f>
        <v/>
      </c>
      <c r="G10" s="20">
        <f>IF(OR(G5=""),"",IFERROR(G5-SUM(G6,G7,G8,G9),""))</f>
        <v/>
      </c>
      <c r="H10" s="19">
        <f>IF(OR(H5=""),"",IFERROR(H5-SUM(H6,H7,H8,H9),""))</f>
        <v/>
      </c>
      <c r="I10" s="20">
        <f>IF(OR(I5=""),"",IFERROR(I5-SUM(I6,I7,I8,I9),""))</f>
        <v/>
      </c>
      <c r="J10" s="20">
        <f>IF(OR(J5=""),"",IFERROR(J5-SUM(J6,J7,J8,J9),""))</f>
        <v/>
      </c>
      <c r="K10" s="20">
        <f>IF(OR(K5=""),"",IFERROR(K5-SUM(K6,K7,K8,K9),""))</f>
        <v/>
      </c>
      <c r="L10" s="20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245063</v>
      </c>
      <c r="D11" s="12" t="n">
        <v>252428</v>
      </c>
      <c r="E11" s="12" t="n">
        <v>253942</v>
      </c>
      <c r="F11" s="12" t="n">
        <v>264486</v>
      </c>
      <c r="G11" s="12" t="n">
        <v>272653</v>
      </c>
      <c r="H11" s="11" t="n">
        <v>130114</v>
      </c>
      <c r="I11" s="12" t="n">
        <v>157661</v>
      </c>
      <c r="J11" s="12" t="n">
        <v>192254</v>
      </c>
      <c r="K11" s="12" t="n">
        <v>232154</v>
      </c>
      <c r="L11" s="12" t="n">
        <v>264486</v>
      </c>
    </row>
    <row r="12">
      <c r="A12" s="18" t="inlineStr">
        <is>
          <t>유형자산</t>
        </is>
      </c>
      <c r="B12" s="10" t="n"/>
      <c r="C12" s="19" t="n">
        <v>121900</v>
      </c>
      <c r="D12" s="20" t="n">
        <v>128929</v>
      </c>
      <c r="E12" s="20" t="n">
        <v>128961</v>
      </c>
      <c r="F12" s="20" t="n">
        <v>133068</v>
      </c>
      <c r="G12" s="20" t="n">
        <v>132836</v>
      </c>
      <c r="H12" s="19" t="n">
        <v>79747</v>
      </c>
      <c r="I12" s="20" t="n">
        <v>88890</v>
      </c>
      <c r="J12" s="20" t="n">
        <v>104882</v>
      </c>
      <c r="K12" s="20" t="n">
        <v>123610</v>
      </c>
      <c r="L12" s="20" t="n">
        <v>133068</v>
      </c>
    </row>
    <row r="13">
      <c r="A13" s="18" t="inlineStr">
        <is>
          <t>무형자산</t>
        </is>
      </c>
      <c r="B13" s="10" t="n"/>
      <c r="C13" s="19" t="n">
        <v>57255</v>
      </c>
      <c r="D13" s="20" t="n">
        <v>57775</v>
      </c>
      <c r="E13" s="20" t="n">
        <v>57842</v>
      </c>
      <c r="F13" s="20" t="n">
        <v>60369</v>
      </c>
      <c r="G13" s="20" t="n">
        <v>59706</v>
      </c>
      <c r="H13" s="19" t="n">
        <v>15360</v>
      </c>
      <c r="I13" s="20" t="n">
        <v>15931</v>
      </c>
      <c r="J13" s="20" t="n">
        <v>18336</v>
      </c>
      <c r="K13" s="20" t="n">
        <v>41662</v>
      </c>
      <c r="L13" s="20" t="n">
        <v>60369</v>
      </c>
    </row>
    <row r="14">
      <c r="A14" s="18" t="inlineStr">
        <is>
          <t>투자부동산</t>
        </is>
      </c>
      <c r="B14" s="10" t="n"/>
      <c r="C14" s="19" t="n"/>
      <c r="D14" s="20" t="n"/>
      <c r="E14" s="20" t="n"/>
      <c r="F14" s="20" t="n"/>
      <c r="G14" s="20" t="n"/>
      <c r="H14" s="19" t="n"/>
      <c r="I14" s="20" t="n"/>
      <c r="J14" s="20" t="n"/>
      <c r="K14" s="20" t="n"/>
      <c r="L14" s="20" t="n"/>
    </row>
    <row r="15">
      <c r="A15" s="18" t="inlineStr">
        <is>
          <t>기타비유동자산</t>
        </is>
      </c>
      <c r="B15" s="10" t="inlineStr">
        <is>
          <t>총계 − 위 항목</t>
        </is>
      </c>
      <c r="C15" s="19">
        <f>IF(OR(C11=""),"",IFERROR(C11-SUM(C12,C13,C14),""))</f>
        <v/>
      </c>
      <c r="D15" s="20">
        <f>IF(OR(D11=""),"",IFERROR(D11-SUM(D12,D13,D14),""))</f>
        <v/>
      </c>
      <c r="E15" s="20">
        <f>IF(OR(E11=""),"",IFERROR(E11-SUM(E12,E13,E14),""))</f>
        <v/>
      </c>
      <c r="F15" s="20">
        <f>IF(OR(F11=""),"",IFERROR(F11-SUM(F12,F13,F14),""))</f>
        <v/>
      </c>
      <c r="G15" s="20">
        <f>IF(OR(G11=""),"",IFERROR(G11-SUM(G12,G13,G14),""))</f>
        <v/>
      </c>
      <c r="H15" s="19">
        <f>IF(OR(H11=""),"",IFERROR(H11-SUM(H12,H13,H14),""))</f>
        <v/>
      </c>
      <c r="I15" s="20">
        <f>IF(OR(I11=""),"",IFERROR(I11-SUM(I12,I13,I14),""))</f>
        <v/>
      </c>
      <c r="J15" s="20">
        <f>IF(OR(J11=""),"",IFERROR(J11-SUM(J12,J13,J14),""))</f>
        <v/>
      </c>
      <c r="K15" s="20">
        <f>IF(OR(K11=""),"",IFERROR(K11-SUM(K12,K13,K14),""))</f>
        <v/>
      </c>
      <c r="L15" s="20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470121</v>
      </c>
      <c r="D16" s="12" t="n">
        <v>476611</v>
      </c>
      <c r="E16" s="12" t="n">
        <v>497091</v>
      </c>
      <c r="F16" s="12" t="n">
        <v>513801</v>
      </c>
      <c r="G16" s="12" t="n">
        <v>535691</v>
      </c>
      <c r="H16" s="11" t="n">
        <v>362438</v>
      </c>
      <c r="I16" s="12" t="n">
        <v>399174</v>
      </c>
      <c r="J16" s="12" t="n">
        <v>437468</v>
      </c>
      <c r="K16" s="12" t="n">
        <v>477587</v>
      </c>
      <c r="L16" s="12" t="n">
        <v>513801</v>
      </c>
    </row>
    <row r="17">
      <c r="A17" s="16" t="inlineStr">
        <is>
          <t>부채</t>
        </is>
      </c>
      <c r="B17" s="16" t="n"/>
      <c r="C17" s="17" t="n"/>
      <c r="D17" s="16" t="n"/>
      <c r="E17" s="16" t="n"/>
      <c r="F17" s="16" t="n"/>
      <c r="G17" s="16" t="n"/>
      <c r="H17" s="17" t="n"/>
      <c r="I17" s="16" t="n"/>
      <c r="J17" s="16" t="n"/>
      <c r="K17" s="16" t="n"/>
      <c r="L17" s="16" t="n"/>
    </row>
    <row r="18">
      <c r="A18" s="9" t="inlineStr">
        <is>
          <t>유동부채</t>
        </is>
      </c>
      <c r="B18" s="10" t="n"/>
      <c r="C18" s="11" t="n">
        <v>72384</v>
      </c>
      <c r="D18" s="12" t="n">
        <v>67616</v>
      </c>
      <c r="E18" s="12" t="n">
        <v>82915</v>
      </c>
      <c r="F18" s="12" t="n">
        <v>82037</v>
      </c>
      <c r="G18" s="12" t="n">
        <v>162681</v>
      </c>
      <c r="H18" s="11" t="n">
        <v>79151</v>
      </c>
      <c r="I18" s="12" t="n">
        <v>67454</v>
      </c>
      <c r="J18" s="12" t="n">
        <v>80657</v>
      </c>
      <c r="K18" s="12" t="n">
        <v>73419</v>
      </c>
      <c r="L18" s="12" t="n">
        <v>82037</v>
      </c>
    </row>
    <row r="19">
      <c r="A19" s="18" t="inlineStr">
        <is>
          <t>매입채무</t>
        </is>
      </c>
      <c r="B19" s="10" t="n"/>
      <c r="C19" s="19" t="n">
        <v>23410</v>
      </c>
      <c r="D19" s="20" t="n">
        <v>23841</v>
      </c>
      <c r="E19" s="20" t="n">
        <v>27453</v>
      </c>
      <c r="F19" s="20" t="n">
        <v>26779</v>
      </c>
      <c r="G19" s="20" t="n">
        <v>27266</v>
      </c>
      <c r="H19" s="19" t="n">
        <v>20973</v>
      </c>
      <c r="I19" s="20" t="n">
        <v>21775</v>
      </c>
      <c r="J19" s="20" t="n">
        <v>22315</v>
      </c>
      <c r="K19" s="20" t="n">
        <v>24067</v>
      </c>
      <c r="L19" s="20" t="n">
        <v>26779</v>
      </c>
    </row>
    <row r="20">
      <c r="A20" s="18" t="inlineStr">
        <is>
          <t>단기차입금</t>
        </is>
      </c>
      <c r="B20" s="10" t="n"/>
      <c r="C20" s="19" t="n">
        <v>6952</v>
      </c>
      <c r="D20" s="20" t="n">
        <v>6347</v>
      </c>
      <c r="E20" s="20" t="n">
        <v>6358</v>
      </c>
      <c r="F20" s="20" t="n">
        <v>6414</v>
      </c>
      <c r="G20" s="20" t="n">
        <v>56175</v>
      </c>
      <c r="H20" s="19" t="n">
        <v>5497</v>
      </c>
      <c r="I20" s="20" t="n">
        <v>4919</v>
      </c>
      <c r="J20" s="20" t="n">
        <v>10008</v>
      </c>
      <c r="K20" s="20" t="n">
        <v>12315</v>
      </c>
      <c r="L20" s="20" t="n">
        <v>6414</v>
      </c>
    </row>
    <row r="21">
      <c r="A21" s="18" t="inlineStr">
        <is>
          <t>유동성장기부채</t>
        </is>
      </c>
      <c r="B21" s="10" t="n"/>
      <c r="C21" s="19" t="n"/>
      <c r="D21" s="20" t="n"/>
      <c r="E21" s="20" t="n">
        <v>5000</v>
      </c>
      <c r="F21" s="20" t="n">
        <v>5000</v>
      </c>
      <c r="G21" s="20" t="n">
        <v>10000</v>
      </c>
      <c r="H21" s="19" t="n">
        <v>10000</v>
      </c>
      <c r="I21" s="20" t="n">
        <v>0</v>
      </c>
      <c r="J21" s="20" t="n">
        <v>5000</v>
      </c>
      <c r="K21" s="20" t="n">
        <v>0</v>
      </c>
      <c r="L21" s="20" t="n">
        <v>5000</v>
      </c>
    </row>
    <row r="22">
      <c r="A22" s="18" t="inlineStr">
        <is>
          <t>기타유동부채</t>
        </is>
      </c>
      <c r="B22" s="10" t="inlineStr">
        <is>
          <t>총계 − 위 항목</t>
        </is>
      </c>
      <c r="C22" s="19">
        <f>IF(OR(C18=""),"",IFERROR(C18-SUM(C19,C20,C21),""))</f>
        <v/>
      </c>
      <c r="D22" s="20">
        <f>IF(OR(D18=""),"",IFERROR(D18-SUM(D19,D20,D21),""))</f>
        <v/>
      </c>
      <c r="E22" s="20">
        <f>IF(OR(E18=""),"",IFERROR(E18-SUM(E19,E20,E21),""))</f>
        <v/>
      </c>
      <c r="F22" s="20">
        <f>IF(OR(F18=""),"",IFERROR(F18-SUM(F19,F20,F21),""))</f>
        <v/>
      </c>
      <c r="G22" s="20">
        <f>IF(OR(G18=""),"",IFERROR(G18-SUM(G19,G20,G21),""))</f>
        <v/>
      </c>
      <c r="H22" s="19">
        <f>IF(OR(H18=""),"",IFERROR(H18-SUM(H19,H20,H21),""))</f>
        <v/>
      </c>
      <c r="I22" s="20">
        <f>IF(OR(I18=""),"",IFERROR(I18-SUM(I19,I20,I21),""))</f>
        <v/>
      </c>
      <c r="J22" s="20">
        <f>IF(OR(J18=""),"",IFERROR(J18-SUM(J19,J20,J21),""))</f>
        <v/>
      </c>
      <c r="K22" s="20">
        <f>IF(OR(K18=""),"",IFERROR(K18-SUM(K19,K20,K21),""))</f>
        <v/>
      </c>
      <c r="L22" s="20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110938</v>
      </c>
      <c r="D23" s="12" t="n">
        <v>121537</v>
      </c>
      <c r="E23" s="12" t="n">
        <v>117326</v>
      </c>
      <c r="F23" s="12" t="n">
        <v>120826</v>
      </c>
      <c r="G23" s="12" t="n">
        <v>115383</v>
      </c>
      <c r="H23" s="11" t="n">
        <v>58730</v>
      </c>
      <c r="I23" s="12" t="n">
        <v>76401</v>
      </c>
      <c r="J23" s="12" t="n">
        <v>76345</v>
      </c>
      <c r="K23" s="12" t="n">
        <v>103264</v>
      </c>
      <c r="L23" s="12" t="n">
        <v>120826</v>
      </c>
    </row>
    <row r="24">
      <c r="A24" s="18" t="inlineStr">
        <is>
          <t>장기차입금</t>
        </is>
      </c>
      <c r="B24" s="10" t="n"/>
      <c r="C24" s="19" t="n">
        <v>30586</v>
      </c>
      <c r="D24" s="20" t="n">
        <v>40524</v>
      </c>
      <c r="E24" s="20" t="n">
        <v>40467</v>
      </c>
      <c r="F24" s="20" t="n">
        <v>40431</v>
      </c>
      <c r="G24" s="20" t="n">
        <v>40419</v>
      </c>
      <c r="H24" s="19" t="n">
        <v>15248</v>
      </c>
      <c r="I24" s="20" t="n">
        <v>15186</v>
      </c>
      <c r="J24" s="20" t="n">
        <v>10422</v>
      </c>
      <c r="K24" s="20" t="n">
        <v>30689</v>
      </c>
      <c r="L24" s="20" t="n">
        <v>40431</v>
      </c>
    </row>
    <row r="25">
      <c r="A25" s="18" t="inlineStr">
        <is>
          <t>사채</t>
        </is>
      </c>
      <c r="B25" s="10" t="n"/>
      <c r="C25" s="19" t="n">
        <v>15000</v>
      </c>
      <c r="D25" s="20" t="n">
        <v>15000</v>
      </c>
      <c r="E25" s="20" t="n">
        <v>10000</v>
      </c>
      <c r="F25" s="20" t="n">
        <v>10000</v>
      </c>
      <c r="G25" s="20" t="n">
        <v>5000</v>
      </c>
      <c r="H25" s="19" t="n">
        <v>20000</v>
      </c>
      <c r="I25" s="20" t="n">
        <v>20000</v>
      </c>
      <c r="J25" s="20" t="n">
        <v>15000</v>
      </c>
      <c r="K25" s="20" t="n">
        <v>15000</v>
      </c>
      <c r="L25" s="20" t="n">
        <v>10000</v>
      </c>
    </row>
    <row r="26">
      <c r="A26" s="18" t="inlineStr">
        <is>
          <t>기타비유동부채</t>
        </is>
      </c>
      <c r="B26" s="10" t="inlineStr">
        <is>
          <t>총계 − 위 항목</t>
        </is>
      </c>
      <c r="C26" s="19">
        <f>IF(OR(C23=""),"",IFERROR(C23-SUM(C24,C25),""))</f>
        <v/>
      </c>
      <c r="D26" s="20">
        <f>IF(OR(D23=""),"",IFERROR(D23-SUM(D24,D25),""))</f>
        <v/>
      </c>
      <c r="E26" s="20">
        <f>IF(OR(E23=""),"",IFERROR(E23-SUM(E24,E25),""))</f>
        <v/>
      </c>
      <c r="F26" s="20">
        <f>IF(OR(F23=""),"",IFERROR(F23-SUM(F24,F25),""))</f>
        <v/>
      </c>
      <c r="G26" s="20">
        <f>IF(OR(G23=""),"",IFERROR(G23-SUM(G24,G25),""))</f>
        <v/>
      </c>
      <c r="H26" s="19">
        <f>IF(OR(H23=""),"",IFERROR(H23-SUM(H24,H25),""))</f>
        <v/>
      </c>
      <c r="I26" s="20">
        <f>IF(OR(I23=""),"",IFERROR(I23-SUM(I24,I25),""))</f>
        <v/>
      </c>
      <c r="J26" s="20">
        <f>IF(OR(J23=""),"",IFERROR(J23-SUM(J24,J25),""))</f>
        <v/>
      </c>
      <c r="K26" s="20">
        <f>IF(OR(K23=""),"",IFERROR(K23-SUM(K24,K25),""))</f>
        <v/>
      </c>
      <c r="L26" s="20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183322</v>
      </c>
      <c r="D27" s="12" t="n">
        <v>189154</v>
      </c>
      <c r="E27" s="12" t="n">
        <v>200241</v>
      </c>
      <c r="F27" s="12" t="n">
        <v>202863</v>
      </c>
      <c r="G27" s="12" t="n">
        <v>278065</v>
      </c>
      <c r="H27" s="11" t="n">
        <v>137882</v>
      </c>
      <c r="I27" s="12" t="n">
        <v>143856</v>
      </c>
      <c r="J27" s="12" t="n">
        <v>157003</v>
      </c>
      <c r="K27" s="12" t="n">
        <v>176683</v>
      </c>
      <c r="L27" s="12" t="n">
        <v>202863</v>
      </c>
    </row>
    <row r="28">
      <c r="A28" s="18" t="inlineStr">
        <is>
          <t>총차입금</t>
        </is>
      </c>
      <c r="B28" s="10" t="inlineStr">
        <is>
          <t>단기+유동성장기+장기+사채</t>
        </is>
      </c>
      <c r="C28" s="19">
        <f>SUM(C20,C21,C24,C25)</f>
        <v/>
      </c>
      <c r="D28" s="20">
        <f>SUM(D20,D21,D24,D25)</f>
        <v/>
      </c>
      <c r="E28" s="20">
        <f>SUM(E20,E21,E24,E25)</f>
        <v/>
      </c>
      <c r="F28" s="20">
        <f>SUM(F20,F21,F24,F25)</f>
        <v/>
      </c>
      <c r="G28" s="20">
        <f>SUM(G20,G21,G24,G25)</f>
        <v/>
      </c>
      <c r="H28" s="19">
        <f>SUM(H20,H21,H24,H25)</f>
        <v/>
      </c>
      <c r="I28" s="20">
        <f>SUM(I20,I21,I24,I25)</f>
        <v/>
      </c>
      <c r="J28" s="20">
        <f>SUM(J20,J21,J24,J25)</f>
        <v/>
      </c>
      <c r="K28" s="20">
        <f>SUM(K20,K21,K24,K25)</f>
        <v/>
      </c>
      <c r="L28" s="20">
        <f>SUM(L20,L21,L24,L25)</f>
        <v/>
      </c>
    </row>
    <row r="29">
      <c r="A29" s="18" t="inlineStr">
        <is>
          <t>순차입금</t>
        </is>
      </c>
      <c r="B29" s="10" t="inlineStr">
        <is>
          <t>음수 = 순현금</t>
        </is>
      </c>
      <c r="C29" s="19">
        <f>C28-C6-N(C7)</f>
        <v/>
      </c>
      <c r="D29" s="20">
        <f>D28-D6-N(D7)</f>
        <v/>
      </c>
      <c r="E29" s="20">
        <f>E28-E6-N(E7)</f>
        <v/>
      </c>
      <c r="F29" s="20">
        <f>F28-F6-N(F7)</f>
        <v/>
      </c>
      <c r="G29" s="20">
        <f>G28-G6-N(G7)</f>
        <v/>
      </c>
      <c r="H29" s="19">
        <f>H28-H6-N(H7)</f>
        <v/>
      </c>
      <c r="I29" s="20">
        <f>I28-I6-N(I7)</f>
        <v/>
      </c>
      <c r="J29" s="20">
        <f>J28-J6-N(J7)</f>
        <v/>
      </c>
      <c r="K29" s="20">
        <f>K28-K6-N(K7)</f>
        <v/>
      </c>
      <c r="L29" s="20">
        <f>L28-L6-N(L7)</f>
        <v/>
      </c>
    </row>
    <row r="30">
      <c r="A30" s="16" t="inlineStr">
        <is>
          <t>자본</t>
        </is>
      </c>
      <c r="B30" s="16" t="n"/>
      <c r="C30" s="17" t="n"/>
      <c r="D30" s="16" t="n"/>
      <c r="E30" s="16" t="n"/>
      <c r="F30" s="16" t="n"/>
      <c r="G30" s="16" t="n"/>
      <c r="H30" s="17" t="n"/>
      <c r="I30" s="16" t="n"/>
      <c r="J30" s="16" t="n"/>
      <c r="K30" s="16" t="n"/>
      <c r="L30" s="16" t="n"/>
    </row>
    <row r="31">
      <c r="A31" s="9" t="inlineStr">
        <is>
          <t>지배주주지분</t>
        </is>
      </c>
      <c r="B31" s="10" t="n"/>
      <c r="C31" s="11" t="n">
        <v>233901</v>
      </c>
      <c r="D31" s="12" t="n">
        <v>237224</v>
      </c>
      <c r="E31" s="12" t="n">
        <v>246836</v>
      </c>
      <c r="F31" s="12" t="n">
        <v>259340</v>
      </c>
      <c r="G31" s="12" t="n">
        <v>246241</v>
      </c>
      <c r="H31" s="11" t="n">
        <v>180420</v>
      </c>
      <c r="I31" s="12" t="n">
        <v>203952</v>
      </c>
      <c r="J31" s="12" t="n">
        <v>228666</v>
      </c>
      <c r="K31" s="12" t="n">
        <v>245228</v>
      </c>
      <c r="L31" s="12" t="n">
        <v>259340</v>
      </c>
    </row>
    <row r="32">
      <c r="A32" s="18" t="inlineStr">
        <is>
          <t>자본금</t>
        </is>
      </c>
      <c r="B32" s="10" t="n"/>
      <c r="C32" s="19" t="n">
        <v>13226</v>
      </c>
      <c r="D32" s="20" t="n">
        <v>13226</v>
      </c>
      <c r="E32" s="20" t="n">
        <v>13226</v>
      </c>
      <c r="F32" s="20" t="n">
        <v>13226</v>
      </c>
      <c r="G32" s="20" t="n">
        <v>13226</v>
      </c>
      <c r="H32" s="19" t="n">
        <v>13226</v>
      </c>
      <c r="I32" s="20" t="n">
        <v>13226</v>
      </c>
      <c r="J32" s="20" t="n">
        <v>13226</v>
      </c>
      <c r="K32" s="20" t="n">
        <v>13226</v>
      </c>
      <c r="L32" s="20" t="n">
        <v>13226</v>
      </c>
    </row>
    <row r="33">
      <c r="A33" s="18" t="inlineStr">
        <is>
          <t>이익잉여금</t>
        </is>
      </c>
      <c r="B33" s="10" t="n"/>
      <c r="C33" s="19" t="n">
        <v>178542</v>
      </c>
      <c r="D33" s="20" t="n">
        <v>180092</v>
      </c>
      <c r="E33" s="20" t="n">
        <v>184954</v>
      </c>
      <c r="F33" s="20" t="n">
        <v>186093</v>
      </c>
      <c r="G33" s="20" t="n">
        <v>172091</v>
      </c>
      <c r="H33" s="19" t="n">
        <v>149933</v>
      </c>
      <c r="I33" s="20" t="n">
        <v>163825</v>
      </c>
      <c r="J33" s="20" t="n">
        <v>169909</v>
      </c>
      <c r="K33" s="20" t="n">
        <v>180449</v>
      </c>
      <c r="L33" s="20" t="n">
        <v>186093</v>
      </c>
    </row>
    <row r="34">
      <c r="A34" s="18" t="inlineStr">
        <is>
          <t>비지배지분</t>
        </is>
      </c>
      <c r="B34" s="10" t="n"/>
      <c r="C34" s="19" t="n">
        <v>52897</v>
      </c>
      <c r="D34" s="20" t="n">
        <v>50232</v>
      </c>
      <c r="E34" s="20" t="n">
        <v>50013</v>
      </c>
      <c r="F34" s="20" t="n">
        <v>51597</v>
      </c>
      <c r="G34" s="20" t="n">
        <v>11385</v>
      </c>
      <c r="H34" s="19" t="n">
        <v>44135</v>
      </c>
      <c r="I34" s="20" t="n">
        <v>51366</v>
      </c>
      <c r="J34" s="20" t="n">
        <v>51799</v>
      </c>
      <c r="K34" s="20" t="n">
        <v>55675</v>
      </c>
      <c r="L34" s="20" t="n">
        <v>51597</v>
      </c>
    </row>
    <row r="35">
      <c r="A35" s="9" t="inlineStr">
        <is>
          <t>자본총계</t>
        </is>
      </c>
      <c r="B35" s="10" t="n"/>
      <c r="C35" s="11" t="n">
        <v>286798</v>
      </c>
      <c r="D35" s="12" t="n">
        <v>287456</v>
      </c>
      <c r="E35" s="12" t="n">
        <v>296849</v>
      </c>
      <c r="F35" s="12" t="n">
        <v>310937</v>
      </c>
      <c r="G35" s="12" t="n">
        <v>257626</v>
      </c>
      <c r="H35" s="11" t="n">
        <v>224555</v>
      </c>
      <c r="I35" s="12" t="n">
        <v>255318</v>
      </c>
      <c r="J35" s="12" t="n">
        <v>280465</v>
      </c>
      <c r="K35" s="12" t="n">
        <v>300903</v>
      </c>
      <c r="L35" s="12" t="n">
        <v>310937</v>
      </c>
    </row>
    <row r="36">
      <c r="A36" s="16" t="inlineStr">
        <is>
          <t>현금흐름 요약</t>
        </is>
      </c>
      <c r="B36" s="16" t="inlineStr">
        <is>
          <t>분기 = TTM (있을 때만)</t>
        </is>
      </c>
      <c r="C36" s="17" t="n"/>
      <c r="D36" s="16" t="n"/>
      <c r="E36" s="16" t="n"/>
      <c r="F36" s="16" t="n"/>
      <c r="G36" s="16" t="n"/>
      <c r="H36" s="17" t="n"/>
      <c r="I36" s="16" t="n"/>
      <c r="J36" s="16" t="n"/>
      <c r="K36" s="16" t="n"/>
      <c r="L36" s="16" t="n"/>
    </row>
    <row r="37">
      <c r="A37" s="9" t="inlineStr">
        <is>
          <t>영업활동현금흐름</t>
        </is>
      </c>
      <c r="B37" s="10" t="n"/>
      <c r="C37" s="11" t="n"/>
      <c r="D37" s="12" t="n">
        <v>15916</v>
      </c>
      <c r="E37" s="12" t="n"/>
      <c r="F37" s="12" t="n">
        <v>17318</v>
      </c>
      <c r="G37" s="12" t="n"/>
      <c r="H37" s="11" t="n">
        <v>16376</v>
      </c>
      <c r="I37" s="12" t="n">
        <v>45478</v>
      </c>
      <c r="J37" s="12" t="n">
        <v>29178</v>
      </c>
      <c r="K37" s="12" t="n">
        <v>16155</v>
      </c>
      <c r="L37" s="12" t="n">
        <v>17318</v>
      </c>
    </row>
    <row r="38">
      <c r="A38" s="18" t="inlineStr">
        <is>
          <t>CAPEX (유·무형 취득)</t>
        </is>
      </c>
      <c r="B38" s="10" t="inlineStr">
        <is>
          <t>양수로 입력</t>
        </is>
      </c>
      <c r="C38" s="19" t="n"/>
      <c r="D38" s="20" t="n"/>
      <c r="E38" s="20" t="n"/>
      <c r="F38" s="20" t="n"/>
      <c r="G38" s="20" t="n"/>
      <c r="H38" s="19" t="n"/>
      <c r="I38" s="20" t="n"/>
      <c r="J38" s="20" t="n"/>
      <c r="K38" s="20" t="n"/>
      <c r="L38" s="20" t="n"/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18" t="inlineStr">
        <is>
          <t>배당금 지급</t>
        </is>
      </c>
      <c r="B40" s="10" t="inlineStr">
        <is>
          <t>양수로 입력</t>
        </is>
      </c>
      <c r="C40" s="19" t="n"/>
      <c r="D40" s="20" t="n">
        <v>6055</v>
      </c>
      <c r="E40" s="20" t="n"/>
      <c r="F40" s="20" t="n">
        <v>6054</v>
      </c>
      <c r="G40" s="20" t="n"/>
      <c r="H40" s="19" t="n">
        <v>4147</v>
      </c>
      <c r="I40" s="20" t="n">
        <v>7305</v>
      </c>
      <c r="J40" s="20" t="n">
        <v>7503</v>
      </c>
      <c r="K40" s="20" t="n">
        <v>5659</v>
      </c>
      <c r="L40" s="20" t="n">
        <v>6054</v>
      </c>
    </row>
    <row r="41">
      <c r="A41" s="16" t="inlineStr">
        <is>
          <t>주요 재무 비율</t>
        </is>
      </c>
      <c r="B41" s="16" t="inlineStr">
        <is>
          <t>기준 (빨간 글씨 = 미달)</t>
        </is>
      </c>
      <c r="C41" s="17" t="n"/>
      <c r="D41" s="16" t="n"/>
      <c r="E41" s="16" t="n"/>
      <c r="F41" s="16" t="n"/>
      <c r="G41" s="16" t="n"/>
      <c r="H41" s="17" t="n"/>
      <c r="I41" s="16" t="n"/>
      <c r="J41" s="16" t="n"/>
      <c r="K41" s="16" t="n"/>
      <c r="L41" s="16" t="n"/>
    </row>
    <row r="42">
      <c r="A42" s="23" t="inlineStr">
        <is>
          <t>안정성</t>
        </is>
      </c>
      <c r="B42" s="23" t="n"/>
      <c r="C42" s="24" t="n"/>
      <c r="D42" s="23" t="n"/>
      <c r="E42" s="23" t="n"/>
      <c r="F42" s="23" t="n"/>
      <c r="G42" s="23" t="n"/>
      <c r="H42" s="24" t="n"/>
      <c r="I42" s="23" t="n"/>
      <c r="J42" s="23" t="n"/>
      <c r="K42" s="23" t="n"/>
      <c r="L42" s="23" t="n"/>
    </row>
    <row r="43">
      <c r="A43" s="45" t="inlineStr">
        <is>
          <t>부채비율</t>
        </is>
      </c>
      <c r="B43" s="10" t="inlineStr">
        <is>
          <t>100%↓</t>
        </is>
      </c>
      <c r="C43" s="35">
        <f>IF(OR(C27="",C35=""),"",IFERROR(C27/C35,""))</f>
        <v/>
      </c>
      <c r="D43" s="36">
        <f>IF(OR(D27="",D35=""),"",IFERROR(D27/D35,""))</f>
        <v/>
      </c>
      <c r="E43" s="36">
        <f>IF(OR(E27="",E35=""),"",IFERROR(E27/E35,""))</f>
        <v/>
      </c>
      <c r="F43" s="36">
        <f>IF(OR(F27="",F35=""),"",IFERROR(F27/F35,""))</f>
        <v/>
      </c>
      <c r="G43" s="36">
        <f>IF(OR(G27="",G35=""),"",IFERROR(G27/G35,""))</f>
        <v/>
      </c>
      <c r="H43" s="35">
        <f>IF(OR(H27="",H35=""),"",IFERROR(H27/H35,""))</f>
        <v/>
      </c>
      <c r="I43" s="36">
        <f>IF(OR(I27="",I35=""),"",IFERROR(I27/I35,""))</f>
        <v/>
      </c>
      <c r="J43" s="36">
        <f>IF(OR(J27="",J35=""),"",IFERROR(J27/J35,""))</f>
        <v/>
      </c>
      <c r="K43" s="36">
        <f>IF(OR(K27="",K35=""),"",IFERROR(K27/K35,""))</f>
        <v/>
      </c>
      <c r="L43" s="36">
        <f>IF(OR(L27="",L35=""),"",IFERROR(L27/L35,""))</f>
        <v/>
      </c>
    </row>
    <row r="44">
      <c r="A44" s="45" t="inlineStr">
        <is>
          <t>순차입금비율</t>
        </is>
      </c>
      <c r="B44" s="10" t="inlineStr">
        <is>
          <t>0%↓ 순현금</t>
        </is>
      </c>
      <c r="C44" s="35">
        <f>IF(OR(C29="",C35=""),"",IFERROR(C29/C35,""))</f>
        <v/>
      </c>
      <c r="D44" s="36">
        <f>IF(OR(D29="",D35=""),"",IFERROR(D29/D35,""))</f>
        <v/>
      </c>
      <c r="E44" s="36">
        <f>IF(OR(E29="",E35=""),"",IFERROR(E29/E35,""))</f>
        <v/>
      </c>
      <c r="F44" s="36">
        <f>IF(OR(F29="",F35=""),"",IFERROR(F29/F35,""))</f>
        <v/>
      </c>
      <c r="G44" s="36">
        <f>IF(OR(G29="",G35=""),"",IFERROR(G29/G35,""))</f>
        <v/>
      </c>
      <c r="H44" s="35">
        <f>IF(OR(H29="",H35=""),"",IFERROR(H29/H35,""))</f>
        <v/>
      </c>
      <c r="I44" s="36">
        <f>IF(OR(I29="",I35=""),"",IFERROR(I29/I35,""))</f>
        <v/>
      </c>
      <c r="J44" s="36">
        <f>IF(OR(J29="",J35=""),"",IFERROR(J29/J35,""))</f>
        <v/>
      </c>
      <c r="K44" s="36">
        <f>IF(OR(K29="",K35=""),"",IFERROR(K29/K35,""))</f>
        <v/>
      </c>
      <c r="L44" s="36">
        <f>IF(OR(L29="",L35=""),"",IFERROR(L29/L35,""))</f>
        <v/>
      </c>
    </row>
    <row r="45">
      <c r="A45" s="45" t="inlineStr">
        <is>
          <t>자기자본비율</t>
        </is>
      </c>
      <c r="B45" s="10" t="inlineStr">
        <is>
          <t>50%↑</t>
        </is>
      </c>
      <c r="C45" s="35">
        <f>IF(OR(C35="",C16=""),"",IFERROR(C35/C16,""))</f>
        <v/>
      </c>
      <c r="D45" s="36">
        <f>IF(OR(D35="",D16=""),"",IFERROR(D35/D16,""))</f>
        <v/>
      </c>
      <c r="E45" s="36">
        <f>IF(OR(E35="",E16=""),"",IFERROR(E35/E16,""))</f>
        <v/>
      </c>
      <c r="F45" s="36">
        <f>IF(OR(F35="",F16=""),"",IFERROR(F35/F16,""))</f>
        <v/>
      </c>
      <c r="G45" s="36">
        <f>IF(OR(G35="",G16=""),"",IFERROR(G35/G16,""))</f>
        <v/>
      </c>
      <c r="H45" s="35">
        <f>IF(OR(H35="",H16=""),"",IFERROR(H35/H16,""))</f>
        <v/>
      </c>
      <c r="I45" s="36">
        <f>IF(OR(I35="",I16=""),"",IFERROR(I35/I16,""))</f>
        <v/>
      </c>
      <c r="J45" s="36">
        <f>IF(OR(J35="",J16=""),"",IFERROR(J35/J16,""))</f>
        <v/>
      </c>
      <c r="K45" s="36">
        <f>IF(OR(K35="",K16=""),"",IFERROR(K35/K16,""))</f>
        <v/>
      </c>
      <c r="L45" s="36">
        <f>IF(OR(L35="",L16=""),"",IFERROR(L35/L16,""))</f>
        <v/>
      </c>
    </row>
    <row r="46">
      <c r="A46" s="45" t="inlineStr">
        <is>
          <t>유동비율</t>
        </is>
      </c>
      <c r="B46" s="10" t="inlineStr">
        <is>
          <t>150%↑</t>
        </is>
      </c>
      <c r="C46" s="35">
        <f>IF(OR(C5="",C18=""),"",IFERROR(C5/C18,""))</f>
        <v/>
      </c>
      <c r="D46" s="36">
        <f>IF(OR(D5="",D18=""),"",IFERROR(D5/D18,""))</f>
        <v/>
      </c>
      <c r="E46" s="36">
        <f>IF(OR(E5="",E18=""),"",IFERROR(E5/E18,""))</f>
        <v/>
      </c>
      <c r="F46" s="36">
        <f>IF(OR(F5="",F18=""),"",IFERROR(F5/F18,""))</f>
        <v/>
      </c>
      <c r="G46" s="36">
        <f>IF(OR(G5="",G18=""),"",IFERROR(G5/G18,""))</f>
        <v/>
      </c>
      <c r="H46" s="35">
        <f>IF(OR(H5="",H18=""),"",IFERROR(H5/H18,""))</f>
        <v/>
      </c>
      <c r="I46" s="36">
        <f>IF(OR(I5="",I18=""),"",IFERROR(I5/I18,""))</f>
        <v/>
      </c>
      <c r="J46" s="36">
        <f>IF(OR(J5="",J18=""),"",IFERROR(J5/J18,""))</f>
        <v/>
      </c>
      <c r="K46" s="36">
        <f>IF(OR(K5="",K18=""),"",IFERROR(K5/K18,""))</f>
        <v/>
      </c>
      <c r="L46" s="36">
        <f>IF(OR(L5="",L18=""),"",IFERROR(L5/L18,""))</f>
        <v/>
      </c>
    </row>
    <row r="47">
      <c r="A47" s="45" t="inlineStr">
        <is>
          <t>당좌비율</t>
        </is>
      </c>
      <c r="B47" s="10" t="inlineStr">
        <is>
          <t>100%↑</t>
        </is>
      </c>
      <c r="C47" s="35">
        <f>IF(OR(C5="",C18=""),"",IFERROR((C5-N(C9))/C18,""))</f>
        <v/>
      </c>
      <c r="D47" s="36">
        <f>IF(OR(D5="",D18=""),"",IFERROR((D5-N(D9))/D18,""))</f>
        <v/>
      </c>
      <c r="E47" s="36">
        <f>IF(OR(E5="",E18=""),"",IFERROR((E5-N(E9))/E18,""))</f>
        <v/>
      </c>
      <c r="F47" s="36">
        <f>IF(OR(F5="",F18=""),"",IFERROR((F5-N(F9))/F18,""))</f>
        <v/>
      </c>
      <c r="G47" s="36">
        <f>IF(OR(G5="",G18=""),"",IFERROR((G5-N(G9))/G18,""))</f>
        <v/>
      </c>
      <c r="H47" s="35">
        <f>IF(OR(H5="",H18=""),"",IFERROR((H5-N(H9))/H18,""))</f>
        <v/>
      </c>
      <c r="I47" s="36">
        <f>IF(OR(I5="",I18=""),"",IFERROR((I5-N(I9))/I18,""))</f>
        <v/>
      </c>
      <c r="J47" s="36">
        <f>IF(OR(J5="",J18=""),"",IFERROR((J5-N(J9))/J18,""))</f>
        <v/>
      </c>
      <c r="K47" s="36">
        <f>IF(OR(K5="",K18=""),"",IFERROR((K5-N(K9))/K18,""))</f>
        <v/>
      </c>
      <c r="L47" s="36">
        <f>IF(OR(L5="",L18=""),"",IFERROR((L5-N(L9))/L18,""))</f>
        <v/>
      </c>
    </row>
    <row r="48">
      <c r="A48" s="45" t="inlineStr">
        <is>
          <t>이자보상배율</t>
        </is>
      </c>
      <c r="B48" s="10" t="inlineStr">
        <is>
          <t>5x↑ (금융원가 기준)</t>
        </is>
      </c>
      <c r="C48" s="30">
        <f>IFERROR((IF(COUNT('연간'!G34:J34)&lt;4,"",SUM('연간'!G34:J34)))/(IF(COUNT('연간'!G56:J56)&lt;4,"",SUM('연간'!G56:J56))),"")</f>
        <v/>
      </c>
      <c r="D48" s="31">
        <f>IFERROR((IF(COUNT('연간'!H34:K34)&lt;4,"",SUM('연간'!H34:K34)))/(IF(COUNT('연간'!H56:K56)&lt;4,"",SUM('연간'!H56:K56))),"")</f>
        <v/>
      </c>
      <c r="E48" s="31">
        <f>IFERROR((IF(COUNT('연간'!I34:L34)&lt;4,"",SUM('연간'!I34:L34)))/(IF(COUNT('연간'!I56:L56)&lt;4,"",SUM('연간'!I56:L56))),"")</f>
        <v/>
      </c>
      <c r="F48" s="31">
        <f>IFERROR((IF(COUNT('연간'!J34:M34)&lt;4,"",SUM('연간'!J34:M34)))/(IF(COUNT('연간'!J56:M56)&lt;4,"",SUM('연간'!J56:M56))),"")</f>
        <v/>
      </c>
      <c r="G48" s="31">
        <f>IFERROR((IF(COUNT('연간'!K34:N34)&lt;4,"",SUM('연간'!K34:N34)))/(IF(COUNT('연간'!K56:N56)&lt;4,"",SUM('연간'!K56:N56))),"")</f>
        <v/>
      </c>
      <c r="H48" s="30">
        <f>IFERROR(('연간'!T34)/('연간'!T56),"")</f>
        <v/>
      </c>
      <c r="I48" s="31">
        <f>IFERROR(('연간'!U34)/('연간'!U56),"")</f>
        <v/>
      </c>
      <c r="J48" s="31">
        <f>IFERROR(('연간'!V34)/('연간'!V56),"")</f>
        <v/>
      </c>
      <c r="K48" s="31">
        <f>IFERROR(('연간'!W34)/('연간'!W56),"")</f>
        <v/>
      </c>
      <c r="L48" s="31">
        <f>IFERROR(('연간'!X34)/('연간'!X56),"")</f>
        <v/>
      </c>
    </row>
    <row r="49">
      <c r="A49" s="45" t="inlineStr">
        <is>
          <t>차입금 상환연수</t>
        </is>
      </c>
      <c r="B49" s="10" t="inlineStr">
        <is>
          <t>4년↓ (버핏)</t>
        </is>
      </c>
      <c r="C49" s="46">
        <f>IFERROR(IF((IF(COUNT('연간'!G64:J64)&lt;4,"",SUM('연간'!G64:J64)))&lt;=0,"적자",C28/(IF(COUNT('연간'!G64:J64)&lt;4,"",SUM('연간'!G64:J64)))),"")</f>
        <v/>
      </c>
      <c r="D49" s="47">
        <f>IFERROR(IF((IF(COUNT('연간'!H64:K64)&lt;4,"",SUM('연간'!H64:K64)))&lt;=0,"적자",D28/(IF(COUNT('연간'!H64:K64)&lt;4,"",SUM('연간'!H64:K64)))),"")</f>
        <v/>
      </c>
      <c r="E49" s="47">
        <f>IFERROR(IF((IF(COUNT('연간'!I64:L64)&lt;4,"",SUM('연간'!I64:L64)))&lt;=0,"적자",E28/(IF(COUNT('연간'!I64:L64)&lt;4,"",SUM('연간'!I64:L64)))),"")</f>
        <v/>
      </c>
      <c r="F49" s="47">
        <f>IFERROR(IF((IF(COUNT('연간'!J64:M64)&lt;4,"",SUM('연간'!J64:M64)))&lt;=0,"적자",F28/(IF(COUNT('연간'!J64:M64)&lt;4,"",SUM('연간'!J64:M64)))),"")</f>
        <v/>
      </c>
      <c r="G49" s="47">
        <f>IFERROR(IF((IF(COUNT('연간'!K64:N64)&lt;4,"",SUM('연간'!K64:N64)))&lt;=0,"적자",G28/(IF(COUNT('연간'!K64:N64)&lt;4,"",SUM('연간'!K64:N64)))),"")</f>
        <v/>
      </c>
      <c r="H49" s="46">
        <f>IFERROR(IF(('연간'!T64)&lt;=0,"적자",H28/('연간'!T64)),"")</f>
        <v/>
      </c>
      <c r="I49" s="47">
        <f>IFERROR(IF(('연간'!U64)&lt;=0,"적자",I28/('연간'!U64)),"")</f>
        <v/>
      </c>
      <c r="J49" s="47">
        <f>IFERROR(IF(('연간'!V64)&lt;=0,"적자",J28/('연간'!V64)),"")</f>
        <v/>
      </c>
      <c r="K49" s="47">
        <f>IFERROR(IF(('연간'!W64)&lt;=0,"적자",K28/('연간'!W64)),"")</f>
        <v/>
      </c>
      <c r="L49" s="47">
        <f>IFERROR(IF(('연간'!X64)&lt;=0,"적자",L28/('연간'!X64)),"")</f>
        <v/>
      </c>
    </row>
    <row r="50">
      <c r="A50" s="23" t="inlineStr">
        <is>
          <t>수익성</t>
        </is>
      </c>
      <c r="B50" s="23" t="n"/>
      <c r="C50" s="24" t="n"/>
      <c r="D50" s="23" t="n"/>
      <c r="E50" s="23" t="n"/>
      <c r="F50" s="23" t="n"/>
      <c r="G50" s="23" t="n"/>
      <c r="H50" s="24" t="n"/>
      <c r="I50" s="23" t="n"/>
      <c r="J50" s="23" t="n"/>
      <c r="K50" s="23" t="n"/>
      <c r="L50" s="23" t="n"/>
    </row>
    <row r="51">
      <c r="A51" s="45" t="inlineStr">
        <is>
          <t>ROE</t>
        </is>
      </c>
      <c r="B51" s="10" t="inlineStr">
        <is>
          <t>15%↑ (버핏)</t>
        </is>
      </c>
      <c r="C51" s="35">
        <f>IFERROR((IF(COUNT('연간'!G64:J64)&lt;4,"",SUM('연간'!G64:J64)))/C31,"")</f>
        <v/>
      </c>
      <c r="D51" s="36">
        <f>IFERROR((IF(COUNT('연간'!H64:K64)&lt;4,"",SUM('연간'!H64:K64)))/D31,"")</f>
        <v/>
      </c>
      <c r="E51" s="36">
        <f>IFERROR((IF(COUNT('연간'!I64:L64)&lt;4,"",SUM('연간'!I64:L64)))/E31,"")</f>
        <v/>
      </c>
      <c r="F51" s="36">
        <f>IFERROR((IF(COUNT('연간'!J64:M64)&lt;4,"",SUM('연간'!J64:M64)))/F31,"")</f>
        <v/>
      </c>
      <c r="G51" s="36">
        <f>IFERROR((IF(COUNT('연간'!K64:N64)&lt;4,"",SUM('연간'!K64:N64)))/G31,"")</f>
        <v/>
      </c>
      <c r="H51" s="35">
        <f>IFERROR(('연간'!T64)/H31,"")</f>
        <v/>
      </c>
      <c r="I51" s="36">
        <f>IFERROR(('연간'!U64)/I31,"")</f>
        <v/>
      </c>
      <c r="J51" s="36">
        <f>IFERROR(('연간'!V64)/J31,"")</f>
        <v/>
      </c>
      <c r="K51" s="36">
        <f>IFERROR(('연간'!W64)/K31,"")</f>
        <v/>
      </c>
      <c r="L51" s="36">
        <f>IFERROR(('연간'!X64)/L31,"")</f>
        <v/>
      </c>
    </row>
    <row r="52">
      <c r="A52" s="45" t="inlineStr">
        <is>
          <t>ROA</t>
        </is>
      </c>
      <c r="B52" s="10" t="inlineStr">
        <is>
          <t>5%↑</t>
        </is>
      </c>
      <c r="C52" s="35">
        <f>IFERROR((IF(COUNT('연간'!G62:J62)&lt;4,"",SUM('연간'!G62:J62)))/C16,"")</f>
        <v/>
      </c>
      <c r="D52" s="36">
        <f>IFERROR((IF(COUNT('연간'!H62:K62)&lt;4,"",SUM('연간'!H62:K62)))/D16,"")</f>
        <v/>
      </c>
      <c r="E52" s="36">
        <f>IFERROR((IF(COUNT('연간'!I62:L62)&lt;4,"",SUM('연간'!I62:L62)))/E16,"")</f>
        <v/>
      </c>
      <c r="F52" s="36">
        <f>IFERROR((IF(COUNT('연간'!J62:M62)&lt;4,"",SUM('연간'!J62:M62)))/F16,"")</f>
        <v/>
      </c>
      <c r="G52" s="36">
        <f>IFERROR((IF(COUNT('연간'!K62:N62)&lt;4,"",SUM('연간'!K62:N62)))/G16,"")</f>
        <v/>
      </c>
      <c r="H52" s="35">
        <f>IFERROR(('연간'!T62)/H16,"")</f>
        <v/>
      </c>
      <c r="I52" s="36">
        <f>IFERROR(('연간'!U62)/I16,"")</f>
        <v/>
      </c>
      <c r="J52" s="36">
        <f>IFERROR(('연간'!V62)/J16,"")</f>
        <v/>
      </c>
      <c r="K52" s="36">
        <f>IFERROR(('연간'!W62)/K16,"")</f>
        <v/>
      </c>
      <c r="L52" s="36">
        <f>IFERROR(('연간'!X62)/L16,"")</f>
        <v/>
      </c>
    </row>
    <row r="53">
      <c r="A53" s="45" t="inlineStr">
        <is>
          <t>ROIC</t>
        </is>
      </c>
      <c r="B53" s="10" t="inlineStr">
        <is>
          <t>10%↑ (세후영업이익 기준)</t>
        </is>
      </c>
      <c r="C53" s="35">
        <f>IFERROR((IF(COUNT('연간'!G34:J34)&lt;4,"",SUM('연간'!G34:J34)))*(1-0.3)/(C35+C29),"")</f>
        <v/>
      </c>
      <c r="D53" s="36">
        <f>IFERROR((IF(COUNT('연간'!H34:K34)&lt;4,"",SUM('연간'!H34:K34)))*(1-0.3)/(D35+D29),"")</f>
        <v/>
      </c>
      <c r="E53" s="36">
        <f>IFERROR((IF(COUNT('연간'!I34:L34)&lt;4,"",SUM('연간'!I34:L34)))*(1-0.3)/(E35+E29),"")</f>
        <v/>
      </c>
      <c r="F53" s="36">
        <f>IFERROR((IF(COUNT('연간'!J34:M34)&lt;4,"",SUM('연간'!J34:M34)))*(1-0.3)/(F35+F29),"")</f>
        <v/>
      </c>
      <c r="G53" s="36">
        <f>IFERROR((IF(COUNT('연간'!K34:N34)&lt;4,"",SUM('연간'!K34:N34)))*(1-0.3)/(G35+G29),"")</f>
        <v/>
      </c>
      <c r="H53" s="35">
        <f>IFERROR(('연간'!T34)*(1-0.3)/(H35+H29),"")</f>
        <v/>
      </c>
      <c r="I53" s="36">
        <f>IFERROR(('연간'!U34)*(1-0.3)/(I35+I29),"")</f>
        <v/>
      </c>
      <c r="J53" s="36">
        <f>IFERROR(('연간'!V34)*(1-0.3)/(J35+J29),"")</f>
        <v/>
      </c>
      <c r="K53" s="36">
        <f>IFERROR(('연간'!W34)*(1-0.3)/(K35+K29),"")</f>
        <v/>
      </c>
      <c r="L53" s="36">
        <f>IFERROR(('연간'!X34)*(1-0.3)/(L35+L29),"")</f>
        <v/>
      </c>
    </row>
    <row r="54">
      <c r="A54" s="45" t="inlineStr">
        <is>
          <t>매출총이익률 (GPM)</t>
        </is>
      </c>
      <c r="B54" s="10" t="inlineStr">
        <is>
          <t>40%↑ (해자 신호)</t>
        </is>
      </c>
      <c r="C54" s="35">
        <f>IFERROR((IF(COUNT('연간'!G28:J28)&lt;4,"",SUM('연간'!G28:J28)))/(IF(COUNT('연간'!G4:J4)&lt;4,"",SUM('연간'!G4:J4))),"")</f>
        <v/>
      </c>
      <c r="D54" s="36">
        <f>IFERROR((IF(COUNT('연간'!H28:K28)&lt;4,"",SUM('연간'!H28:K28)))/(IF(COUNT('연간'!H4:K4)&lt;4,"",SUM('연간'!H4:K4))),"")</f>
        <v/>
      </c>
      <c r="E54" s="36">
        <f>IFERROR((IF(COUNT('연간'!I28:L28)&lt;4,"",SUM('연간'!I28:L28)))/(IF(COUNT('연간'!I4:L4)&lt;4,"",SUM('연간'!I4:L4))),"")</f>
        <v/>
      </c>
      <c r="F54" s="36">
        <f>IFERROR((IF(COUNT('연간'!J28:M28)&lt;4,"",SUM('연간'!J28:M28)))/(IF(COUNT('연간'!J4:M4)&lt;4,"",SUM('연간'!J4:M4))),"")</f>
        <v/>
      </c>
      <c r="G54" s="36">
        <f>IFERROR((IF(COUNT('연간'!K28:N28)&lt;4,"",SUM('연간'!K28:N28)))/(IF(COUNT('연간'!K4:N4)&lt;4,"",SUM('연간'!K4:N4))),"")</f>
        <v/>
      </c>
      <c r="H54" s="35">
        <f>IFERROR(('연간'!T28)/('연간'!T4),"")</f>
        <v/>
      </c>
      <c r="I54" s="36">
        <f>IFERROR(('연간'!U28)/('연간'!U4),"")</f>
        <v/>
      </c>
      <c r="J54" s="36">
        <f>IFERROR(('연간'!V28)/('연간'!V4),"")</f>
        <v/>
      </c>
      <c r="K54" s="36">
        <f>IFERROR(('연간'!W28)/('연간'!W4),"")</f>
        <v/>
      </c>
      <c r="L54" s="36">
        <f>IFERROR(('연간'!X28)/('연간'!X4),"")</f>
        <v/>
      </c>
    </row>
    <row r="55">
      <c r="A55" s="45" t="inlineStr">
        <is>
          <t>영업이익률 (OPM)</t>
        </is>
      </c>
      <c r="B55" s="10" t="inlineStr">
        <is>
          <t>15%↑</t>
        </is>
      </c>
      <c r="C55" s="35">
        <f>IFERROR((IF(COUNT('연간'!G34:J34)&lt;4,"",SUM('연간'!G34:J34)))/(IF(COUNT('연간'!G4:J4)&lt;4,"",SUM('연간'!G4:J4))),"")</f>
        <v/>
      </c>
      <c r="D55" s="36">
        <f>IFERROR((IF(COUNT('연간'!H34:K34)&lt;4,"",SUM('연간'!H34:K34)))/(IF(COUNT('연간'!H4:K4)&lt;4,"",SUM('연간'!H4:K4))),"")</f>
        <v/>
      </c>
      <c r="E55" s="36">
        <f>IFERROR((IF(COUNT('연간'!I34:L34)&lt;4,"",SUM('연간'!I34:L34)))/(IF(COUNT('연간'!I4:L4)&lt;4,"",SUM('연간'!I4:L4))),"")</f>
        <v/>
      </c>
      <c r="F55" s="36">
        <f>IFERROR((IF(COUNT('연간'!J34:M34)&lt;4,"",SUM('연간'!J34:M34)))/(IF(COUNT('연간'!J4:M4)&lt;4,"",SUM('연간'!J4:M4))),"")</f>
        <v/>
      </c>
      <c r="G55" s="36">
        <f>IFERROR((IF(COUNT('연간'!K34:N34)&lt;4,"",SUM('연간'!K34:N34)))/(IF(COUNT('연간'!K4:N4)&lt;4,"",SUM('연간'!K4:N4))),"")</f>
        <v/>
      </c>
      <c r="H55" s="35">
        <f>IFERROR(('연간'!T34)/('연간'!T4),"")</f>
        <v/>
      </c>
      <c r="I55" s="36">
        <f>IFERROR(('연간'!U34)/('연간'!U4),"")</f>
        <v/>
      </c>
      <c r="J55" s="36">
        <f>IFERROR(('연간'!V34)/('연간'!V4),"")</f>
        <v/>
      </c>
      <c r="K55" s="36">
        <f>IFERROR(('연간'!W34)/('연간'!W4),"")</f>
        <v/>
      </c>
      <c r="L55" s="36">
        <f>IFERROR(('연간'!X34)/('연간'!X4),"")</f>
        <v/>
      </c>
    </row>
    <row r="56">
      <c r="A56" s="45" t="inlineStr">
        <is>
          <t>순이익률</t>
        </is>
      </c>
      <c r="B56" s="10" t="inlineStr">
        <is>
          <t>10%↑</t>
        </is>
      </c>
      <c r="C56" s="35">
        <f>IFERROR((IF(COUNT('연간'!G62:J62)&lt;4,"",SUM('연간'!G62:J62)))/(IF(COUNT('연간'!G4:J4)&lt;4,"",SUM('연간'!G4:J4))),"")</f>
        <v/>
      </c>
      <c r="D56" s="36">
        <f>IFERROR((IF(COUNT('연간'!H62:K62)&lt;4,"",SUM('연간'!H62:K62)))/(IF(COUNT('연간'!H4:K4)&lt;4,"",SUM('연간'!H4:K4))),"")</f>
        <v/>
      </c>
      <c r="E56" s="36">
        <f>IFERROR((IF(COUNT('연간'!I62:L62)&lt;4,"",SUM('연간'!I62:L62)))/(IF(COUNT('연간'!I4:L4)&lt;4,"",SUM('연간'!I4:L4))),"")</f>
        <v/>
      </c>
      <c r="F56" s="36">
        <f>IFERROR((IF(COUNT('연간'!J62:M62)&lt;4,"",SUM('연간'!J62:M62)))/(IF(COUNT('연간'!J4:M4)&lt;4,"",SUM('연간'!J4:M4))),"")</f>
        <v/>
      </c>
      <c r="G56" s="36">
        <f>IFERROR((IF(COUNT('연간'!K62:N62)&lt;4,"",SUM('연간'!K62:N62)))/(IF(COUNT('연간'!K4:N4)&lt;4,"",SUM('연간'!K4:N4))),"")</f>
        <v/>
      </c>
      <c r="H56" s="35">
        <f>IFERROR(('연간'!T62)/('연간'!T4),"")</f>
        <v/>
      </c>
      <c r="I56" s="36">
        <f>IFERROR(('연간'!U62)/('연간'!U4),"")</f>
        <v/>
      </c>
      <c r="J56" s="36">
        <f>IFERROR(('연간'!V62)/('연간'!V4),"")</f>
        <v/>
      </c>
      <c r="K56" s="36">
        <f>IFERROR(('연간'!W62)/('연간'!W4),"")</f>
        <v/>
      </c>
      <c r="L56" s="36">
        <f>IFERROR(('연간'!X62)/('연간'!X4),"")</f>
        <v/>
      </c>
    </row>
    <row r="57">
      <c r="A57" s="23" t="inlineStr">
        <is>
          <t>효율성 (회전율)</t>
        </is>
      </c>
      <c r="B57" s="23" t="n"/>
      <c r="C57" s="24" t="n"/>
      <c r="D57" s="23" t="n"/>
      <c r="E57" s="23" t="n"/>
      <c r="F57" s="23" t="n"/>
      <c r="G57" s="23" t="n"/>
      <c r="H57" s="24" t="n"/>
      <c r="I57" s="23" t="n"/>
      <c r="J57" s="23" t="n"/>
      <c r="K57" s="23" t="n"/>
      <c r="L57" s="23" t="n"/>
    </row>
    <row r="58">
      <c r="A58" s="45" t="inlineStr">
        <is>
          <t>총자산회전율</t>
        </is>
      </c>
      <c r="B58" s="10" t="inlineStr">
        <is>
          <t>높을수록↑</t>
        </is>
      </c>
      <c r="C58" s="30">
        <f>IFERROR((IF(COUNT('연간'!G4:J4)&lt;4,"",SUM('연간'!G4:J4)))/C16,"")</f>
        <v/>
      </c>
      <c r="D58" s="31">
        <f>IFERROR((IF(COUNT('연간'!H4:K4)&lt;4,"",SUM('연간'!H4:K4)))/D16,"")</f>
        <v/>
      </c>
      <c r="E58" s="31">
        <f>IFERROR((IF(COUNT('연간'!I4:L4)&lt;4,"",SUM('연간'!I4:L4)))/E16,"")</f>
        <v/>
      </c>
      <c r="F58" s="31">
        <f>IFERROR((IF(COUNT('연간'!J4:M4)&lt;4,"",SUM('연간'!J4:M4)))/F16,"")</f>
        <v/>
      </c>
      <c r="G58" s="31">
        <f>IFERROR((IF(COUNT('연간'!K4:N4)&lt;4,"",SUM('연간'!K4:N4)))/G16,"")</f>
        <v/>
      </c>
      <c r="H58" s="30">
        <f>IFERROR(('연간'!T4)/H16,"")</f>
        <v/>
      </c>
      <c r="I58" s="31">
        <f>IFERROR(('연간'!U4)/I16,"")</f>
        <v/>
      </c>
      <c r="J58" s="31">
        <f>IFERROR(('연간'!V4)/J16,"")</f>
        <v/>
      </c>
      <c r="K58" s="31">
        <f>IFERROR(('연간'!W4)/K16,"")</f>
        <v/>
      </c>
      <c r="L58" s="31">
        <f>IFERROR(('연간'!X4)/L16,"")</f>
        <v/>
      </c>
    </row>
    <row r="59">
      <c r="A59" s="45" t="inlineStr">
        <is>
          <t>매출채권회전일수</t>
        </is>
      </c>
      <c r="B59" s="10" t="inlineStr">
        <is>
          <t>짧을수록↑</t>
        </is>
      </c>
      <c r="C59" s="48">
        <f>IFERROR(C8/(IF(COUNT('연간'!G4:J4)&lt;4,"",SUM('연간'!G4:J4)))*365,"")</f>
        <v/>
      </c>
      <c r="D59" s="49">
        <f>IFERROR(D8/(IF(COUNT('연간'!H4:K4)&lt;4,"",SUM('연간'!H4:K4)))*365,"")</f>
        <v/>
      </c>
      <c r="E59" s="49">
        <f>IFERROR(E8/(IF(COUNT('연간'!I4:L4)&lt;4,"",SUM('연간'!I4:L4)))*365,"")</f>
        <v/>
      </c>
      <c r="F59" s="49">
        <f>IFERROR(F8/(IF(COUNT('연간'!J4:M4)&lt;4,"",SUM('연간'!J4:M4)))*365,"")</f>
        <v/>
      </c>
      <c r="G59" s="49">
        <f>IFERROR(G8/(IF(COUNT('연간'!K4:N4)&lt;4,"",SUM('연간'!K4:N4)))*365,"")</f>
        <v/>
      </c>
      <c r="H59" s="48">
        <f>IFERROR(H8/('연간'!T4)*365,"")</f>
        <v/>
      </c>
      <c r="I59" s="49">
        <f>IFERROR(I8/('연간'!U4)*365,"")</f>
        <v/>
      </c>
      <c r="J59" s="49">
        <f>IFERROR(J8/('연간'!V4)*365,"")</f>
        <v/>
      </c>
      <c r="K59" s="49">
        <f>IFERROR(K8/('연간'!W4)*365,"")</f>
        <v/>
      </c>
      <c r="L59" s="49">
        <f>IFERROR(L8/('연간'!X4)*365,"")</f>
        <v/>
      </c>
    </row>
    <row r="60">
      <c r="A60" s="45" t="inlineStr">
        <is>
          <t>재고자산회전일수</t>
        </is>
      </c>
      <c r="B60" s="10" t="inlineStr">
        <is>
          <t>짧을수록↑</t>
        </is>
      </c>
      <c r="C60" s="48">
        <f>IFERROR(C9/(IF(COUNT('연간'!G26:J26)&lt;4,"",SUM('연간'!G26:J26)))*365,"")</f>
        <v/>
      </c>
      <c r="D60" s="49">
        <f>IFERROR(D9/(IF(COUNT('연간'!H26:K26)&lt;4,"",SUM('연간'!H26:K26)))*365,"")</f>
        <v/>
      </c>
      <c r="E60" s="49">
        <f>IFERROR(E9/(IF(COUNT('연간'!I26:L26)&lt;4,"",SUM('연간'!I26:L26)))*365,"")</f>
        <v/>
      </c>
      <c r="F60" s="49">
        <f>IFERROR(F9/(IF(COUNT('연간'!J26:M26)&lt;4,"",SUM('연간'!J26:M26)))*365,"")</f>
        <v/>
      </c>
      <c r="G60" s="49">
        <f>IFERROR(G9/(IF(COUNT('연간'!K26:N26)&lt;4,"",SUM('연간'!K26:N26)))*365,"")</f>
        <v/>
      </c>
      <c r="H60" s="48">
        <f>IFERROR(H9/('연간'!T26)*365,"")</f>
        <v/>
      </c>
      <c r="I60" s="49">
        <f>IFERROR(I9/('연간'!U26)*365,"")</f>
        <v/>
      </c>
      <c r="J60" s="49">
        <f>IFERROR(J9/('연간'!V26)*365,"")</f>
        <v/>
      </c>
      <c r="K60" s="49">
        <f>IFERROR(K9/('연간'!W26)*365,"")</f>
        <v/>
      </c>
      <c r="L60" s="49">
        <f>IFERROR(L9/('연간'!X26)*365,"")</f>
        <v/>
      </c>
    </row>
    <row r="61">
      <c r="A61" s="45" t="inlineStr">
        <is>
          <t>매입채무회전일수</t>
        </is>
      </c>
      <c r="B61" s="10" t="inlineStr">
        <is>
          <t>길수록 유리</t>
        </is>
      </c>
      <c r="C61" s="48">
        <f>IFERROR(C19/(IF(COUNT('연간'!G26:J26)&lt;4,"",SUM('연간'!G26:J26)))*365,"")</f>
        <v/>
      </c>
      <c r="D61" s="49">
        <f>IFERROR(D19/(IF(COUNT('연간'!H26:K26)&lt;4,"",SUM('연간'!H26:K26)))*365,"")</f>
        <v/>
      </c>
      <c r="E61" s="49">
        <f>IFERROR(E19/(IF(COUNT('연간'!I26:L26)&lt;4,"",SUM('연간'!I26:L26)))*365,"")</f>
        <v/>
      </c>
      <c r="F61" s="49">
        <f>IFERROR(F19/(IF(COUNT('연간'!J26:M26)&lt;4,"",SUM('연간'!J26:M26)))*365,"")</f>
        <v/>
      </c>
      <c r="G61" s="49">
        <f>IFERROR(G19/(IF(COUNT('연간'!K26:N26)&lt;4,"",SUM('연간'!K26:N26)))*365,"")</f>
        <v/>
      </c>
      <c r="H61" s="48">
        <f>IFERROR(H19/('연간'!T26)*365,"")</f>
        <v/>
      </c>
      <c r="I61" s="49">
        <f>IFERROR(I19/('연간'!U26)*365,"")</f>
        <v/>
      </c>
      <c r="J61" s="49">
        <f>IFERROR(J19/('연간'!V26)*365,"")</f>
        <v/>
      </c>
      <c r="K61" s="49">
        <f>IFERROR(K19/('연간'!W26)*365,"")</f>
        <v/>
      </c>
      <c r="L61" s="49">
        <f>IFERROR(L19/('연간'!X26)*365,"")</f>
        <v/>
      </c>
    </row>
    <row r="62">
      <c r="A62" s="45" t="inlineStr">
        <is>
          <t>현금전환주기 (CCC)</t>
        </is>
      </c>
      <c r="B62" s="10" t="inlineStr">
        <is>
          <t>짧을수록↑</t>
        </is>
      </c>
      <c r="C62" s="48">
        <f>IF(OR(C59="",C60="",C61=""),"",IFERROR(C59+C60-C61,""))</f>
        <v/>
      </c>
      <c r="D62" s="49">
        <f>IF(OR(D59="",D60="",D61=""),"",IFERROR(D59+D60-D61,""))</f>
        <v/>
      </c>
      <c r="E62" s="49">
        <f>IF(OR(E59="",E60="",E61=""),"",IFERROR(E59+E60-E61,""))</f>
        <v/>
      </c>
      <c r="F62" s="49">
        <f>IF(OR(F59="",F60="",F61=""),"",IFERROR(F59+F60-F61,""))</f>
        <v/>
      </c>
      <c r="G62" s="49">
        <f>IF(OR(G59="",G60="",G61=""),"",IFERROR(G59+G60-G61,""))</f>
        <v/>
      </c>
      <c r="H62" s="48">
        <f>IF(OR(H59="",H60="",H61=""),"",IFERROR(H59+H60-H61,""))</f>
        <v/>
      </c>
      <c r="I62" s="49">
        <f>IF(OR(I59="",I60="",I61=""),"",IFERROR(I59+I60-I61,""))</f>
        <v/>
      </c>
      <c r="J62" s="49">
        <f>IF(OR(J59="",J60="",J61=""),"",IFERROR(J59+J60-J61,""))</f>
        <v/>
      </c>
      <c r="K62" s="49">
        <f>IF(OR(K59="",K60="",K61=""),"",IFERROR(K59+K60-K61,""))</f>
        <v/>
      </c>
      <c r="L62" s="49">
        <f>IF(OR(L59="",L60="",L61=""),"",IFERROR(L59+L60-L61,""))</f>
        <v/>
      </c>
    </row>
    <row r="63">
      <c r="A63" s="23" t="inlineStr">
        <is>
          <t>현금흐름</t>
        </is>
      </c>
      <c r="B63" s="23" t="n"/>
      <c r="C63" s="24" t="n"/>
      <c r="D63" s="23" t="n"/>
      <c r="E63" s="23" t="n"/>
      <c r="F63" s="23" t="n"/>
      <c r="G63" s="23" t="n"/>
      <c r="H63" s="24" t="n"/>
      <c r="I63" s="23" t="n"/>
      <c r="J63" s="23" t="n"/>
      <c r="K63" s="23" t="n"/>
      <c r="L63" s="23" t="n"/>
    </row>
    <row r="64">
      <c r="A64" s="45" t="inlineStr">
        <is>
          <t>영업현금흐름 / 순이익</t>
        </is>
      </c>
      <c r="B64" s="10" t="inlineStr">
        <is>
          <t>1x↑ (이익의 질)</t>
        </is>
      </c>
      <c r="C64" s="30">
        <f>IF(C37="","",IFERROR(C37/(IF(COUNT('연간'!G62:J62)&lt;4,"",SUM('연간'!G62:J62))),""))</f>
        <v/>
      </c>
      <c r="D64" s="31">
        <f>IF(D37="","",IFERROR(D37/(IF(COUNT('연간'!H62:K62)&lt;4,"",SUM('연간'!H62:K62))),""))</f>
        <v/>
      </c>
      <c r="E64" s="31">
        <f>IF(E37="","",IFERROR(E37/(IF(COUNT('연간'!I62:L62)&lt;4,"",SUM('연간'!I62:L62))),""))</f>
        <v/>
      </c>
      <c r="F64" s="31">
        <f>IF(F37="","",IFERROR(F37/(IF(COUNT('연간'!J62:M62)&lt;4,"",SUM('연간'!J62:M62))),""))</f>
        <v/>
      </c>
      <c r="G64" s="31">
        <f>IF(G37="","",IFERROR(G37/(IF(COUNT('연간'!K62:N62)&lt;4,"",SUM('연간'!K62:N62))),""))</f>
        <v/>
      </c>
      <c r="H64" s="30">
        <f>IF(H37="","",IFERROR(H37/('연간'!T62),""))</f>
        <v/>
      </c>
      <c r="I64" s="31">
        <f>IF(I37="","",IFERROR(I37/('연간'!U62),""))</f>
        <v/>
      </c>
      <c r="J64" s="31">
        <f>IF(J37="","",IFERROR(J37/('연간'!V62),""))</f>
        <v/>
      </c>
      <c r="K64" s="31">
        <f>IF(K37="","",IFERROR(K37/('연간'!W62),""))</f>
        <v/>
      </c>
      <c r="L64" s="31">
        <f>IF(L37="","",IFERROR(L37/('연간'!X62),""))</f>
        <v/>
      </c>
    </row>
    <row r="65">
      <c r="A65" s="45" t="inlineStr">
        <is>
          <t>FCF 마진</t>
        </is>
      </c>
      <c r="B65" s="10" t="inlineStr">
        <is>
          <t>5%↑</t>
        </is>
      </c>
      <c r="C65" s="35">
        <f>IF(C39="","",IFERROR(C39/(IF(COUNT('연간'!G4:J4)&lt;4,"",SUM('연간'!G4:J4))),""))</f>
        <v/>
      </c>
      <c r="D65" s="36">
        <f>IF(D39="","",IFERROR(D39/(IF(COUNT('연간'!H4:K4)&lt;4,"",SUM('연간'!H4:K4))),""))</f>
        <v/>
      </c>
      <c r="E65" s="36">
        <f>IF(E39="","",IFERROR(E39/(IF(COUNT('연간'!I4:L4)&lt;4,"",SUM('연간'!I4:L4))),""))</f>
        <v/>
      </c>
      <c r="F65" s="36">
        <f>IF(F39="","",IFERROR(F39/(IF(COUNT('연간'!J4:M4)&lt;4,"",SUM('연간'!J4:M4))),""))</f>
        <v/>
      </c>
      <c r="G65" s="36">
        <f>IF(G39="","",IFERROR(G39/(IF(COUNT('연간'!K4:N4)&lt;4,"",SUM('연간'!K4:N4))),""))</f>
        <v/>
      </c>
      <c r="H65" s="35">
        <f>IF(H39="","",IFERROR(H39/('연간'!T4),""))</f>
        <v/>
      </c>
      <c r="I65" s="36">
        <f>IF(I39="","",IFERROR(I39/('연간'!U4),""))</f>
        <v/>
      </c>
      <c r="J65" s="36">
        <f>IF(J39="","",IFERROR(J39/('연간'!V4),""))</f>
        <v/>
      </c>
      <c r="K65" s="36">
        <f>IF(K39="","",IFERROR(K39/('연간'!W4),""))</f>
        <v/>
      </c>
      <c r="L65" s="36">
        <f>IF(L39="","",IFERROR(L39/('연간'!X4),""))</f>
        <v/>
      </c>
    </row>
    <row r="66">
      <c r="A66" s="45" t="inlineStr">
        <is>
          <t>CAPEX / 매출</t>
        </is>
      </c>
      <c r="B66" s="10" t="inlineStr">
        <is>
          <t>낮을수록↑ (자본 가벼움)</t>
        </is>
      </c>
      <c r="C66" s="35">
        <f>IF(C38="","",IFERROR(C38/(IF(COUNT('연간'!G4:J4)&lt;4,"",SUM('연간'!G4:J4))),""))</f>
        <v/>
      </c>
      <c r="D66" s="36">
        <f>IF(D38="","",IFERROR(D38/(IF(COUNT('연간'!H4:K4)&lt;4,"",SUM('연간'!H4:K4))),""))</f>
        <v/>
      </c>
      <c r="E66" s="36">
        <f>IF(E38="","",IFERROR(E38/(IF(COUNT('연간'!I4:L4)&lt;4,"",SUM('연간'!I4:L4))),""))</f>
        <v/>
      </c>
      <c r="F66" s="36">
        <f>IF(F38="","",IFERROR(F38/(IF(COUNT('연간'!J4:M4)&lt;4,"",SUM('연간'!J4:M4))),""))</f>
        <v/>
      </c>
      <c r="G66" s="36">
        <f>IF(G38="","",IFERROR(G38/(IF(COUNT('연간'!K4:N4)&lt;4,"",SUM('연간'!K4:N4))),""))</f>
        <v/>
      </c>
      <c r="H66" s="35">
        <f>IF(H38="","",IFERROR(H38/('연간'!T4),""))</f>
        <v/>
      </c>
      <c r="I66" s="36">
        <f>IF(I38="","",IFERROR(I38/('연간'!U4),""))</f>
        <v/>
      </c>
      <c r="J66" s="36">
        <f>IF(J38="","",IFERROR(J38/('연간'!V4),""))</f>
        <v/>
      </c>
      <c r="K66" s="36">
        <f>IF(K38="","",IFERROR(K38/('연간'!W4),""))</f>
        <v/>
      </c>
      <c r="L66" s="36">
        <f>IF(L38="","",IFERROR(L38/('연간'!X4),""))</f>
        <v/>
      </c>
    </row>
    <row r="67">
      <c r="A67" s="45" t="inlineStr">
        <is>
          <t>배당성향</t>
        </is>
      </c>
      <c r="B67" s="10" t="inlineStr">
        <is>
          <t>참고</t>
        </is>
      </c>
      <c r="C67" s="35">
        <f>IF(C40="","",IFERROR(C40/(IF(COUNT('연간'!G64:J64)&lt;4,"",SUM('연간'!G64:J64))),""))</f>
        <v/>
      </c>
      <c r="D67" s="36">
        <f>IF(D40="","",IFERROR(D40/(IF(COUNT('연간'!H64:K64)&lt;4,"",SUM('연간'!H64:K64))),""))</f>
        <v/>
      </c>
      <c r="E67" s="36">
        <f>IF(E40="","",IFERROR(E40/(IF(COUNT('연간'!I64:L64)&lt;4,"",SUM('연간'!I64:L64))),""))</f>
        <v/>
      </c>
      <c r="F67" s="36">
        <f>IF(F40="","",IFERROR(F40/(IF(COUNT('연간'!J64:M64)&lt;4,"",SUM('연간'!J64:M64))),""))</f>
        <v/>
      </c>
      <c r="G67" s="36">
        <f>IF(G40="","",IFERROR(G40/(IF(COUNT('연간'!K64:N64)&lt;4,"",SUM('연간'!K64:N64))),""))</f>
        <v/>
      </c>
      <c r="H67" s="35">
        <f>IF(H40="","",IFERROR(H40/('연간'!T64),""))</f>
        <v/>
      </c>
      <c r="I67" s="36">
        <f>IF(I40="","",IFERROR(I40/('연간'!U64),""))</f>
        <v/>
      </c>
      <c r="J67" s="36">
        <f>IF(J40="","",IFERROR(J40/('연간'!V64),""))</f>
        <v/>
      </c>
      <c r="K67" s="36">
        <f>IF(K40="","",IFERROR(K40/('연간'!W64),""))</f>
        <v/>
      </c>
      <c r="L67" s="36">
        <f>IF(L40="","",IFERROR(L40/('연간'!X64),""))</f>
        <v/>
      </c>
    </row>
    <row r="69">
      <c r="A69" s="16" t="inlineStr">
        <is>
          <t>재무상태표 · 전 항목</t>
        </is>
      </c>
      <c r="B69" s="42" t="inlineStr">
        <is>
          <t>분기 말 잔액</t>
        </is>
      </c>
      <c r="C69" s="16" t="n"/>
      <c r="D69" s="16" t="n"/>
      <c r="E69" s="16" t="n"/>
      <c r="F69" s="16" t="n"/>
      <c r="G69" s="16" t="n"/>
      <c r="H69" s="16" t="n"/>
      <c r="I69" s="16" t="n"/>
      <c r="J69" s="16" t="n"/>
      <c r="K69" s="16" t="n"/>
      <c r="L69" s="16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2026.1Q</t>
        </is>
      </c>
      <c r="D70" s="5" t="inlineStr">
        <is>
          <t>2026.2Q</t>
        </is>
      </c>
      <c r="E70" s="5" t="inlineStr">
        <is>
          <t>2026.3Q</t>
        </is>
      </c>
      <c r="F70" s="5" t="inlineStr">
        <is>
          <t>2026.4Q</t>
        </is>
      </c>
      <c r="G70" s="5" t="inlineStr">
        <is>
          <t>2027.1Q</t>
        </is>
      </c>
      <c r="H70" s="5" t="inlineStr">
        <is>
          <t>2022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18" t="inlineStr">
        <is>
          <t>현금 및 예금</t>
        </is>
      </c>
      <c r="C71" s="20" t="n">
        <v>62091</v>
      </c>
      <c r="D71" s="20" t="n">
        <v>60558</v>
      </c>
      <c r="E71" s="20" t="n">
        <v>60947</v>
      </c>
      <c r="F71" s="20" t="n">
        <v>73191</v>
      </c>
      <c r="G71" s="20" t="n">
        <v>81773</v>
      </c>
      <c r="H71" s="20" t="n">
        <v>80445</v>
      </c>
      <c r="I71" s="20" t="n">
        <v>96820</v>
      </c>
      <c r="J71" s="20" t="n">
        <v>95085</v>
      </c>
      <c r="K71" s="20" t="n">
        <v>83302</v>
      </c>
      <c r="L71" s="20" t="n">
        <v>73191</v>
      </c>
    </row>
    <row r="72">
      <c r="A72" s="18" t="inlineStr">
        <is>
          <t>받을어음·매출채권</t>
        </is>
      </c>
      <c r="C72" s="20" t="n">
        <v>73379</v>
      </c>
      <c r="D72" s="20" t="n">
        <v>71939</v>
      </c>
      <c r="E72" s="20" t="n">
        <v>86029</v>
      </c>
      <c r="F72" s="20" t="n">
        <v>77571</v>
      </c>
      <c r="G72" s="20" t="n">
        <v>78601</v>
      </c>
      <c r="H72" s="20" t="n">
        <v>62856</v>
      </c>
      <c r="I72" s="20" t="n">
        <v>61624</v>
      </c>
      <c r="J72" s="20" t="n">
        <v>60854</v>
      </c>
      <c r="K72" s="20" t="n">
        <v>65689</v>
      </c>
      <c r="L72" s="20" t="n">
        <v>77571</v>
      </c>
    </row>
    <row r="73">
      <c r="A73" s="18" t="inlineStr">
        <is>
          <t>전자기록채권</t>
        </is>
      </c>
      <c r="F73" s="20" t="n">
        <v>10949</v>
      </c>
      <c r="H73" s="20" t="n">
        <v>7403</v>
      </c>
      <c r="I73" s="20" t="n">
        <v>8093</v>
      </c>
      <c r="J73" s="20" t="n">
        <v>9268</v>
      </c>
      <c r="K73" s="20" t="n">
        <v>7629</v>
      </c>
      <c r="L73" s="20" t="n">
        <v>10949</v>
      </c>
    </row>
    <row r="74">
      <c r="A74" s="18" t="inlineStr">
        <is>
          <t>유가증권</t>
        </is>
      </c>
      <c r="H74" s="20" t="n">
        <v>1179</v>
      </c>
    </row>
    <row r="75">
      <c r="A75" s="18" t="inlineStr">
        <is>
          <t>상품·제품</t>
        </is>
      </c>
      <c r="C75" s="20" t="n">
        <v>71771</v>
      </c>
      <c r="D75" s="20" t="n">
        <v>73895</v>
      </c>
      <c r="E75" s="20" t="n">
        <v>78022</v>
      </c>
      <c r="F75" s="20" t="n">
        <v>82664</v>
      </c>
      <c r="G75" s="20" t="n">
        <v>83887</v>
      </c>
      <c r="H75" s="20" t="n">
        <v>63172</v>
      </c>
      <c r="I75" s="20" t="n">
        <v>57812</v>
      </c>
      <c r="J75" s="20" t="n">
        <v>61834</v>
      </c>
      <c r="K75" s="20" t="n">
        <v>72795</v>
      </c>
      <c r="L75" s="20" t="n">
        <v>82664</v>
      </c>
    </row>
    <row r="76">
      <c r="A76" s="18" t="inlineStr">
        <is>
          <t>재공품</t>
        </is>
      </c>
      <c r="C76" s="20" t="n">
        <v>2088</v>
      </c>
      <c r="D76" s="20" t="n">
        <v>2141</v>
      </c>
      <c r="E76" s="20" t="n">
        <v>1883</v>
      </c>
      <c r="F76" s="20" t="n">
        <v>2077</v>
      </c>
      <c r="G76" s="20" t="n">
        <v>2138</v>
      </c>
      <c r="H76" s="20" t="n">
        <v>2012</v>
      </c>
      <c r="I76" s="20" t="n">
        <v>1718</v>
      </c>
      <c r="J76" s="20" t="n">
        <v>1659</v>
      </c>
      <c r="K76" s="20" t="n">
        <v>1727</v>
      </c>
      <c r="L76" s="20" t="n">
        <v>2077</v>
      </c>
    </row>
    <row r="77">
      <c r="A77" s="18" t="inlineStr">
        <is>
          <t>원재료·저장품</t>
        </is>
      </c>
      <c r="C77" s="20" t="n">
        <v>7435</v>
      </c>
      <c r="D77" s="20" t="n">
        <v>6906</v>
      </c>
      <c r="E77" s="20" t="n">
        <v>7230</v>
      </c>
      <c r="F77" s="20" t="n">
        <v>6788</v>
      </c>
      <c r="G77" s="20" t="n">
        <v>6977</v>
      </c>
      <c r="H77" s="20" t="n">
        <v>7458</v>
      </c>
      <c r="I77" s="20" t="n">
        <v>7372</v>
      </c>
      <c r="J77" s="20" t="n">
        <v>7558</v>
      </c>
      <c r="K77" s="20" t="n">
        <v>7811</v>
      </c>
      <c r="L77" s="20" t="n">
        <v>6788</v>
      </c>
    </row>
    <row r="78">
      <c r="A78" s="18" t="inlineStr">
        <is>
          <t>기타</t>
        </is>
      </c>
      <c r="C78" s="20" t="n">
        <v>9044</v>
      </c>
      <c r="D78" s="20" t="n">
        <v>9535</v>
      </c>
      <c r="E78" s="20" t="n">
        <v>9838</v>
      </c>
      <c r="F78" s="20" t="n">
        <v>7916</v>
      </c>
      <c r="G78" s="20" t="n">
        <v>10519</v>
      </c>
      <c r="H78" s="20" t="n">
        <v>9422</v>
      </c>
      <c r="I78" s="20" t="n">
        <v>8765</v>
      </c>
      <c r="J78" s="20" t="n">
        <v>9768</v>
      </c>
      <c r="K78" s="20" t="n">
        <v>7217</v>
      </c>
      <c r="L78" s="20" t="n">
        <v>7916</v>
      </c>
    </row>
    <row r="79">
      <c r="A79" s="18" t="inlineStr">
        <is>
          <t>대손충당금</t>
        </is>
      </c>
      <c r="C79" s="20" t="n">
        <v>-753</v>
      </c>
      <c r="D79" s="20" t="n">
        <v>-794</v>
      </c>
      <c r="E79" s="20" t="n">
        <v>-802</v>
      </c>
      <c r="F79" s="20" t="n">
        <v>-895</v>
      </c>
      <c r="G79" s="20" t="n">
        <v>-859</v>
      </c>
      <c r="H79" s="20" t="n">
        <v>-449</v>
      </c>
      <c r="I79" s="20" t="n">
        <v>-694</v>
      </c>
      <c r="J79" s="20" t="n">
        <v>-817</v>
      </c>
      <c r="K79" s="20" t="n">
        <v>-739</v>
      </c>
      <c r="L79" s="20" t="n">
        <v>-895</v>
      </c>
    </row>
    <row r="80">
      <c r="A80" s="9" t="inlineStr">
        <is>
          <t>유동자산 합계</t>
        </is>
      </c>
      <c r="C80" s="12" t="n">
        <v>225057</v>
      </c>
      <c r="D80" s="12" t="n">
        <v>224183</v>
      </c>
      <c r="E80" s="12" t="n">
        <v>243149</v>
      </c>
      <c r="F80" s="12" t="n">
        <v>249314</v>
      </c>
      <c r="G80" s="12" t="n">
        <v>263037</v>
      </c>
      <c r="H80" s="12" t="n">
        <v>232323</v>
      </c>
      <c r="I80" s="12" t="n">
        <v>241513</v>
      </c>
      <c r="J80" s="12" t="n">
        <v>245213</v>
      </c>
      <c r="K80" s="12" t="n">
        <v>245433</v>
      </c>
      <c r="L80" s="12" t="n">
        <v>249314</v>
      </c>
    </row>
    <row r="81">
      <c r="A81" s="18" t="inlineStr">
        <is>
          <t>건물·구축물</t>
        </is>
      </c>
      <c r="F81" s="20" t="n">
        <v>90431</v>
      </c>
      <c r="H81" s="20" t="n">
        <v>69584</v>
      </c>
      <c r="I81" s="20" t="n">
        <v>76265</v>
      </c>
      <c r="J81" s="20" t="n">
        <v>80477</v>
      </c>
      <c r="K81" s="20" t="n">
        <v>87203</v>
      </c>
      <c r="L81" s="20" t="n">
        <v>90431</v>
      </c>
    </row>
    <row r="82">
      <c r="A82" s="18" t="inlineStr">
        <is>
          <t>감가상각누계액</t>
        </is>
      </c>
      <c r="F82" s="20" t="n">
        <v>-48622</v>
      </c>
      <c r="H82" s="20" t="n">
        <v>-36902</v>
      </c>
      <c r="I82" s="20" t="n">
        <v>-39487</v>
      </c>
      <c r="J82" s="20" t="n">
        <v>-42178</v>
      </c>
      <c r="K82" s="20" t="n">
        <v>-45797</v>
      </c>
      <c r="L82" s="20" t="n">
        <v>-48622</v>
      </c>
    </row>
    <row r="83">
      <c r="A83" s="18" t="inlineStr">
        <is>
          <t>건물·구축물(순액)</t>
        </is>
      </c>
      <c r="F83" s="20" t="n">
        <v>41809</v>
      </c>
      <c r="H83" s="20" t="n">
        <v>32682</v>
      </c>
      <c r="I83" s="20" t="n">
        <v>36778</v>
      </c>
      <c r="J83" s="20" t="n">
        <v>38298</v>
      </c>
      <c r="K83" s="20" t="n">
        <v>41406</v>
      </c>
      <c r="L83" s="20" t="n">
        <v>41809</v>
      </c>
    </row>
    <row r="84">
      <c r="A84" s="18" t="inlineStr">
        <is>
          <t>기계장치·운반구</t>
        </is>
      </c>
      <c r="F84" s="20" t="n">
        <v>92273</v>
      </c>
      <c r="H84" s="20" t="n">
        <v>88453</v>
      </c>
      <c r="I84" s="20" t="n">
        <v>90919</v>
      </c>
      <c r="J84" s="20" t="n">
        <v>92456</v>
      </c>
      <c r="K84" s="20" t="n">
        <v>95031</v>
      </c>
      <c r="L84" s="20" t="n">
        <v>92273</v>
      </c>
    </row>
    <row r="85">
      <c r="A85" s="18" t="inlineStr">
        <is>
          <t>감가상각누계액</t>
        </is>
      </c>
      <c r="F85" s="20" t="n">
        <v>-75488</v>
      </c>
      <c r="H85" s="20" t="n">
        <v>-73447</v>
      </c>
      <c r="I85" s="20" t="n">
        <v>-75654</v>
      </c>
      <c r="J85" s="20" t="n">
        <v>-76436</v>
      </c>
      <c r="K85" s="20" t="n">
        <v>-78042</v>
      </c>
      <c r="L85" s="20" t="n">
        <v>-75488</v>
      </c>
    </row>
    <row r="86">
      <c r="A86" s="18" t="inlineStr">
        <is>
          <t>기계장치·운반구(순액)</t>
        </is>
      </c>
      <c r="F86" s="20" t="n">
        <v>16785</v>
      </c>
      <c r="H86" s="20" t="n">
        <v>15006</v>
      </c>
      <c r="I86" s="20" t="n">
        <v>15265</v>
      </c>
      <c r="J86" s="20" t="n">
        <v>16019</v>
      </c>
      <c r="K86" s="20" t="n">
        <v>16988</v>
      </c>
      <c r="L86" s="20" t="n">
        <v>16785</v>
      </c>
    </row>
    <row r="87">
      <c r="A87" s="18" t="inlineStr">
        <is>
          <t>토지</t>
        </is>
      </c>
      <c r="F87" s="20" t="n">
        <v>23345</v>
      </c>
      <c r="H87" s="20" t="n">
        <v>20170</v>
      </c>
      <c r="I87" s="20" t="n">
        <v>20861</v>
      </c>
      <c r="J87" s="20" t="n">
        <v>21665</v>
      </c>
      <c r="K87" s="20" t="n">
        <v>23804</v>
      </c>
      <c r="L87" s="20" t="n">
        <v>23345</v>
      </c>
    </row>
    <row r="88">
      <c r="A88" s="18" t="inlineStr">
        <is>
          <t>리스자산</t>
        </is>
      </c>
      <c r="F88" s="20" t="n">
        <v>1314</v>
      </c>
      <c r="H88" s="20" t="n">
        <v>1512</v>
      </c>
      <c r="I88" s="20" t="n">
        <v>1520</v>
      </c>
      <c r="J88" s="20" t="n">
        <v>1438</v>
      </c>
      <c r="K88" s="20" t="n">
        <v>1286</v>
      </c>
      <c r="L88" s="20" t="n">
        <v>1314</v>
      </c>
    </row>
    <row r="89">
      <c r="A89" s="18" t="inlineStr">
        <is>
          <t>감가상각누계액</t>
        </is>
      </c>
      <c r="F89" s="20" t="n">
        <v>-754</v>
      </c>
      <c r="H89" s="20" t="n">
        <v>-605</v>
      </c>
      <c r="I89" s="20" t="n">
        <v>-731</v>
      </c>
      <c r="J89" s="20" t="n">
        <v>-757</v>
      </c>
      <c r="K89" s="20" t="n">
        <v>-692</v>
      </c>
      <c r="L89" s="20" t="n">
        <v>-754</v>
      </c>
    </row>
    <row r="90">
      <c r="A90" s="18" t="inlineStr">
        <is>
          <t>리스자산(순액)</t>
        </is>
      </c>
      <c r="F90" s="20" t="n">
        <v>560</v>
      </c>
      <c r="H90" s="20" t="n">
        <v>907</v>
      </c>
      <c r="I90" s="20" t="n">
        <v>789</v>
      </c>
      <c r="J90" s="20" t="n">
        <v>681</v>
      </c>
      <c r="K90" s="20" t="n">
        <v>594</v>
      </c>
      <c r="L90" s="20" t="n">
        <v>560</v>
      </c>
    </row>
    <row r="91">
      <c r="A91" s="18" t="inlineStr">
        <is>
          <t>건설중인자산</t>
        </is>
      </c>
      <c r="F91" s="20" t="n">
        <v>28514</v>
      </c>
      <c r="H91" s="20" t="n">
        <v>1782</v>
      </c>
      <c r="I91" s="20" t="n">
        <v>3662</v>
      </c>
      <c r="J91" s="20" t="n">
        <v>12796</v>
      </c>
      <c r="K91" s="20" t="n">
        <v>22139</v>
      </c>
      <c r="L91" s="20" t="n">
        <v>28514</v>
      </c>
    </row>
    <row r="92">
      <c r="A92" s="18" t="inlineStr">
        <is>
          <t>기타</t>
        </is>
      </c>
      <c r="F92" s="20" t="n">
        <v>48854</v>
      </c>
      <c r="H92" s="20" t="n">
        <v>24046</v>
      </c>
      <c r="I92" s="20" t="n">
        <v>28496</v>
      </c>
      <c r="J92" s="20" t="n">
        <v>35749</v>
      </c>
      <c r="K92" s="20" t="n">
        <v>42289</v>
      </c>
      <c r="L92" s="20" t="n">
        <v>48854</v>
      </c>
    </row>
    <row r="93">
      <c r="A93" s="18" t="inlineStr">
        <is>
          <t>감가상각누계액</t>
        </is>
      </c>
      <c r="F93" s="20" t="n">
        <v>-26800</v>
      </c>
      <c r="H93" s="20" t="n">
        <v>-14848</v>
      </c>
      <c r="I93" s="20" t="n">
        <v>-16962</v>
      </c>
      <c r="J93" s="20" t="n">
        <v>-20328</v>
      </c>
      <c r="K93" s="20" t="n">
        <v>-23611</v>
      </c>
      <c r="L93" s="20" t="n">
        <v>-26800</v>
      </c>
    </row>
    <row r="94">
      <c r="A94" s="18" t="inlineStr">
        <is>
          <t>기타(순액)</t>
        </is>
      </c>
      <c r="F94" s="20" t="n">
        <v>22054</v>
      </c>
      <c r="H94" s="20" t="n">
        <v>9198</v>
      </c>
      <c r="I94" s="20" t="n">
        <v>11533</v>
      </c>
      <c r="J94" s="20" t="n">
        <v>15420</v>
      </c>
      <c r="K94" s="20" t="n">
        <v>18677</v>
      </c>
      <c r="L94" s="20" t="n">
        <v>22054</v>
      </c>
    </row>
    <row r="95">
      <c r="A95" s="18" t="inlineStr">
        <is>
          <t>유형자산</t>
        </is>
      </c>
      <c r="C95" s="20" t="n">
        <v>121900</v>
      </c>
      <c r="D95" s="20" t="n">
        <v>128929</v>
      </c>
      <c r="E95" s="20" t="n">
        <v>128961</v>
      </c>
      <c r="F95" s="20" t="n">
        <v>133068</v>
      </c>
      <c r="G95" s="20" t="n">
        <v>132836</v>
      </c>
      <c r="H95" s="20" t="n">
        <v>79747</v>
      </c>
      <c r="I95" s="20" t="n">
        <v>88890</v>
      </c>
      <c r="J95" s="20" t="n">
        <v>104882</v>
      </c>
      <c r="K95" s="20" t="n">
        <v>123610</v>
      </c>
      <c r="L95" s="20" t="n">
        <v>133068</v>
      </c>
    </row>
    <row r="96">
      <c r="A96" s="18" t="inlineStr">
        <is>
          <t>영업권</t>
        </is>
      </c>
      <c r="C96" s="20" t="n">
        <v>30570</v>
      </c>
      <c r="D96" s="20" t="n">
        <v>30096</v>
      </c>
      <c r="E96" s="20" t="n">
        <v>29912</v>
      </c>
      <c r="F96" s="20" t="n">
        <v>30457</v>
      </c>
      <c r="G96" s="20" t="n">
        <v>29900</v>
      </c>
      <c r="H96" s="20" t="n">
        <v>10070</v>
      </c>
      <c r="I96" s="20" t="n">
        <v>10668</v>
      </c>
      <c r="J96" s="20" t="n">
        <v>12154</v>
      </c>
      <c r="K96" s="20" t="n">
        <v>25283</v>
      </c>
      <c r="L96" s="20" t="n">
        <v>30457</v>
      </c>
    </row>
    <row r="97">
      <c r="A97" s="18" t="inlineStr">
        <is>
          <t>기타</t>
        </is>
      </c>
      <c r="C97" s="20" t="n">
        <v>26685</v>
      </c>
      <c r="D97" s="20" t="n">
        <v>27679</v>
      </c>
      <c r="E97" s="20" t="n">
        <v>27929</v>
      </c>
      <c r="F97" s="20" t="n">
        <v>29911</v>
      </c>
      <c r="G97" s="20" t="n">
        <v>29806</v>
      </c>
      <c r="H97" s="20" t="n">
        <v>5290</v>
      </c>
      <c r="I97" s="20" t="n">
        <v>5262</v>
      </c>
      <c r="J97" s="20" t="n">
        <v>6181</v>
      </c>
      <c r="K97" s="20" t="n">
        <v>16378</v>
      </c>
      <c r="L97" s="20" t="n">
        <v>29911</v>
      </c>
    </row>
    <row r="98">
      <c r="A98" s="18" t="inlineStr">
        <is>
          <t>무형자산 합계</t>
        </is>
      </c>
      <c r="C98" s="20" t="n">
        <v>57255</v>
      </c>
      <c r="D98" s="20" t="n">
        <v>57775</v>
      </c>
      <c r="E98" s="20" t="n">
        <v>57842</v>
      </c>
      <c r="F98" s="20" t="n">
        <v>60369</v>
      </c>
      <c r="G98" s="20" t="n">
        <v>59706</v>
      </c>
      <c r="H98" s="20" t="n">
        <v>15360</v>
      </c>
      <c r="I98" s="20" t="n">
        <v>15931</v>
      </c>
      <c r="J98" s="20" t="n">
        <v>18336</v>
      </c>
      <c r="K98" s="20" t="n">
        <v>41662</v>
      </c>
      <c r="L98" s="20" t="n">
        <v>60369</v>
      </c>
    </row>
    <row r="99">
      <c r="A99" s="18" t="inlineStr">
        <is>
          <t>투자유가증권</t>
        </is>
      </c>
      <c r="C99" s="20" t="n">
        <v>34159</v>
      </c>
      <c r="D99" s="20" t="n">
        <v>35648</v>
      </c>
      <c r="E99" s="20" t="n">
        <v>36721</v>
      </c>
      <c r="F99" s="20" t="n">
        <v>39591</v>
      </c>
      <c r="G99" s="20" t="n">
        <v>46476</v>
      </c>
      <c r="H99" s="20" t="n">
        <v>29228</v>
      </c>
      <c r="I99" s="20" t="n">
        <v>30573</v>
      </c>
      <c r="J99" s="20" t="n">
        <v>43597</v>
      </c>
      <c r="K99" s="20" t="n">
        <v>34467</v>
      </c>
      <c r="L99" s="20" t="n">
        <v>39591</v>
      </c>
    </row>
    <row r="100">
      <c r="A100" s="18" t="inlineStr">
        <is>
          <t>퇴직급여자산</t>
        </is>
      </c>
      <c r="F100" s="20" t="n">
        <v>1789</v>
      </c>
      <c r="H100" s="20" t="n">
        <v>907</v>
      </c>
      <c r="I100" s="20" t="n">
        <v>1054</v>
      </c>
      <c r="J100" s="20" t="n">
        <v>1510</v>
      </c>
      <c r="K100" s="20" t="n">
        <v>1558</v>
      </c>
      <c r="L100" s="20" t="n">
        <v>1789</v>
      </c>
    </row>
    <row r="101">
      <c r="A101" s="18" t="inlineStr">
        <is>
          <t>이연법인세자산</t>
        </is>
      </c>
      <c r="F101" s="20" t="n">
        <v>1483</v>
      </c>
      <c r="H101" s="20" t="n">
        <v>2682</v>
      </c>
      <c r="I101" s="20" t="n">
        <v>2170</v>
      </c>
      <c r="J101" s="20" t="n">
        <v>1913</v>
      </c>
      <c r="K101" s="20" t="n">
        <v>2132</v>
      </c>
      <c r="L101" s="20" t="n">
        <v>1483</v>
      </c>
    </row>
    <row r="102">
      <c r="A102" s="18" t="inlineStr">
        <is>
          <t>운용리스 사용권자산</t>
        </is>
      </c>
      <c r="F102" s="20" t="n">
        <v>25225</v>
      </c>
      <c r="J102" s="20" t="n">
        <v>19328</v>
      </c>
      <c r="K102" s="20" t="n">
        <v>25487</v>
      </c>
      <c r="L102" s="20" t="n">
        <v>25225</v>
      </c>
    </row>
    <row r="103">
      <c r="A103" s="18" t="inlineStr">
        <is>
          <t>기타</t>
        </is>
      </c>
      <c r="C103" s="20" t="n">
        <v>31809</v>
      </c>
      <c r="D103" s="20" t="n">
        <v>30135</v>
      </c>
      <c r="E103" s="20" t="n">
        <v>30477</v>
      </c>
      <c r="F103" s="20" t="n">
        <v>31518</v>
      </c>
      <c r="G103" s="20" t="n">
        <v>33694</v>
      </c>
      <c r="H103" s="20" t="n">
        <v>2253</v>
      </c>
      <c r="I103" s="20" t="n">
        <v>19103</v>
      </c>
      <c r="J103" s="20" t="n">
        <v>2749</v>
      </c>
      <c r="K103" s="20" t="n">
        <v>3297</v>
      </c>
      <c r="L103" s="20" t="n">
        <v>31518</v>
      </c>
    </row>
    <row r="104">
      <c r="A104" s="18" t="inlineStr">
        <is>
          <t>대손충당금</t>
        </is>
      </c>
      <c r="C104" s="20" t="n">
        <v>-60</v>
      </c>
      <c r="D104" s="20" t="n">
        <v>-61</v>
      </c>
      <c r="E104" s="20" t="n">
        <v>-61</v>
      </c>
      <c r="F104" s="20" t="n">
        <v>-61</v>
      </c>
      <c r="G104" s="20" t="n">
        <v>-61</v>
      </c>
      <c r="H104" s="20" t="n">
        <v>-64</v>
      </c>
      <c r="I104" s="20" t="n">
        <v>-64</v>
      </c>
      <c r="J104" s="20" t="n">
        <v>-62</v>
      </c>
      <c r="K104" s="20" t="n">
        <v>-60</v>
      </c>
      <c r="L104" s="20" t="n">
        <v>-61</v>
      </c>
    </row>
    <row r="105">
      <c r="A105" s="18" t="inlineStr">
        <is>
          <t>투자 및 기타자산 합계</t>
        </is>
      </c>
      <c r="C105" s="20" t="n">
        <v>65907</v>
      </c>
      <c r="D105" s="20" t="n">
        <v>65722</v>
      </c>
      <c r="E105" s="20" t="n">
        <v>67138</v>
      </c>
      <c r="F105" s="20" t="n">
        <v>71049</v>
      </c>
      <c r="G105" s="20" t="n">
        <v>80110</v>
      </c>
      <c r="H105" s="20" t="n">
        <v>35006</v>
      </c>
      <c r="I105" s="20" t="n">
        <v>52838</v>
      </c>
      <c r="J105" s="20" t="n">
        <v>69036</v>
      </c>
      <c r="K105" s="20" t="n">
        <v>66880</v>
      </c>
      <c r="L105" s="20" t="n">
        <v>71049</v>
      </c>
    </row>
    <row r="106">
      <c r="A106" s="9" t="inlineStr">
        <is>
          <t>비유동자산 합계</t>
        </is>
      </c>
      <c r="C106" s="12" t="n">
        <v>245063</v>
      </c>
      <c r="D106" s="12" t="n">
        <v>252428</v>
      </c>
      <c r="E106" s="12" t="n">
        <v>253942</v>
      </c>
      <c r="F106" s="12" t="n">
        <v>264486</v>
      </c>
      <c r="G106" s="12" t="n">
        <v>272653</v>
      </c>
      <c r="H106" s="12" t="n">
        <v>130114</v>
      </c>
      <c r="I106" s="12" t="n">
        <v>157661</v>
      </c>
      <c r="J106" s="12" t="n">
        <v>192254</v>
      </c>
      <c r="K106" s="12" t="n">
        <v>232154</v>
      </c>
      <c r="L106" s="12" t="n">
        <v>264486</v>
      </c>
    </row>
    <row r="107">
      <c r="A107" s="9" t="inlineStr">
        <is>
          <t>자산 합계</t>
        </is>
      </c>
      <c r="C107" s="12" t="n">
        <v>470121</v>
      </c>
      <c r="D107" s="12" t="n">
        <v>476611</v>
      </c>
      <c r="E107" s="12" t="n">
        <v>497091</v>
      </c>
      <c r="F107" s="12" t="n">
        <v>513801</v>
      </c>
      <c r="G107" s="12" t="n">
        <v>535691</v>
      </c>
      <c r="H107" s="12" t="n">
        <v>362438</v>
      </c>
      <c r="I107" s="12" t="n">
        <v>399174</v>
      </c>
      <c r="J107" s="12" t="n">
        <v>437468</v>
      </c>
      <c r="K107" s="12" t="n">
        <v>477587</v>
      </c>
      <c r="L107" s="12" t="n">
        <v>513801</v>
      </c>
    </row>
    <row r="108">
      <c r="A108" s="18" t="inlineStr">
        <is>
          <t>지급어음·매입채무</t>
        </is>
      </c>
      <c r="C108" s="20" t="n">
        <v>23410</v>
      </c>
      <c r="D108" s="20" t="n">
        <v>23841</v>
      </c>
      <c r="E108" s="20" t="n">
        <v>27453</v>
      </c>
      <c r="F108" s="20" t="n">
        <v>26779</v>
      </c>
      <c r="G108" s="20" t="n">
        <v>27266</v>
      </c>
      <c r="H108" s="20" t="n">
        <v>20973</v>
      </c>
      <c r="I108" s="20" t="n">
        <v>21775</v>
      </c>
      <c r="J108" s="20" t="n">
        <v>22315</v>
      </c>
      <c r="K108" s="20" t="n">
        <v>24067</v>
      </c>
      <c r="L108" s="20" t="n">
        <v>26779</v>
      </c>
    </row>
    <row r="109">
      <c r="A109" s="18" t="inlineStr">
        <is>
          <t>단기차입금</t>
        </is>
      </c>
      <c r="C109" s="20" t="n">
        <v>6952</v>
      </c>
      <c r="D109" s="20" t="n">
        <v>6347</v>
      </c>
      <c r="E109" s="20" t="n">
        <v>6358</v>
      </c>
      <c r="F109" s="20" t="n">
        <v>6414</v>
      </c>
      <c r="G109" s="20" t="n">
        <v>56175</v>
      </c>
      <c r="H109" s="20" t="n">
        <v>5497</v>
      </c>
      <c r="I109" s="20" t="n">
        <v>4919</v>
      </c>
      <c r="J109" s="20" t="n">
        <v>10008</v>
      </c>
      <c r="K109" s="20" t="n">
        <v>12315</v>
      </c>
      <c r="L109" s="20" t="n">
        <v>6414</v>
      </c>
    </row>
    <row r="110">
      <c r="A110" s="18" t="inlineStr">
        <is>
          <t>1년 내 상환 사채</t>
        </is>
      </c>
      <c r="E110" s="20" t="n">
        <v>5000</v>
      </c>
      <c r="F110" s="20" t="n">
        <v>5000</v>
      </c>
      <c r="G110" s="20" t="n">
        <v>10000</v>
      </c>
      <c r="H110" s="20" t="n">
        <v>10000</v>
      </c>
      <c r="I110" s="20" t="n">
        <v>0</v>
      </c>
      <c r="J110" s="20" t="n">
        <v>5000</v>
      </c>
      <c r="K110" s="20" t="n">
        <v>0</v>
      </c>
      <c r="L110" s="20" t="n">
        <v>5000</v>
      </c>
    </row>
    <row r="111">
      <c r="A111" s="18" t="inlineStr">
        <is>
          <t>기업어음(CP)</t>
        </is>
      </c>
      <c r="F111" s="20" t="n">
        <v>0</v>
      </c>
      <c r="G111" s="20" t="n">
        <v>4000</v>
      </c>
      <c r="J111" s="20" t="n">
        <v>0</v>
      </c>
      <c r="L111" s="20" t="n">
        <v>0</v>
      </c>
    </row>
    <row r="112">
      <c r="A112" s="18" t="inlineStr">
        <is>
          <t>미지급 주세</t>
        </is>
      </c>
      <c r="H112" s="20" t="n">
        <v>7172</v>
      </c>
      <c r="I112" s="20" t="n">
        <v>5815</v>
      </c>
      <c r="J112" s="20" t="n">
        <v>8174</v>
      </c>
    </row>
    <row r="113">
      <c r="A113" s="18" t="inlineStr">
        <is>
          <t>미지급비용</t>
        </is>
      </c>
      <c r="H113" s="20" t="n">
        <v>5579</v>
      </c>
      <c r="I113" s="20" t="n">
        <v>6368</v>
      </c>
      <c r="J113" s="20" t="n">
        <v>8826</v>
      </c>
    </row>
    <row r="114">
      <c r="A114" s="18" t="inlineStr">
        <is>
          <t>미지급법인세</t>
        </is>
      </c>
      <c r="C114" s="20" t="n">
        <v>2875</v>
      </c>
      <c r="D114" s="20" t="n">
        <v>3706</v>
      </c>
      <c r="E114" s="20" t="n">
        <v>3888</v>
      </c>
      <c r="F114" s="20" t="n">
        <v>4004</v>
      </c>
      <c r="G114" s="20" t="n">
        <v>3236</v>
      </c>
      <c r="H114" s="20" t="n">
        <v>6602</v>
      </c>
      <c r="I114" s="20" t="n">
        <v>2220</v>
      </c>
      <c r="J114" s="20" t="n">
        <v>2600</v>
      </c>
      <c r="K114" s="20" t="n">
        <v>2742</v>
      </c>
      <c r="L114" s="20" t="n">
        <v>4004</v>
      </c>
    </row>
    <row r="115">
      <c r="A115" s="18" t="inlineStr">
        <is>
          <t>상여충당금</t>
        </is>
      </c>
      <c r="F115" s="20" t="n">
        <v>3245</v>
      </c>
      <c r="H115" s="20" t="n">
        <v>3161</v>
      </c>
      <c r="I115" s="20" t="n">
        <v>3380</v>
      </c>
      <c r="J115" s="20" t="n">
        <v>3470</v>
      </c>
      <c r="K115" s="20" t="n">
        <v>3438</v>
      </c>
      <c r="L115" s="20" t="n">
        <v>3245</v>
      </c>
    </row>
    <row r="116">
      <c r="A116" s="18" t="inlineStr">
        <is>
          <t>판매촉진 충당금</t>
        </is>
      </c>
      <c r="H116" s="20" t="n">
        <v>0</v>
      </c>
    </row>
    <row r="117">
      <c r="A117" s="18" t="inlineStr">
        <is>
          <t>기타 충당금</t>
        </is>
      </c>
      <c r="I117" s="20" t="n">
        <v>242</v>
      </c>
      <c r="J117" s="20" t="n">
        <v>479</v>
      </c>
    </row>
    <row r="118">
      <c r="A118" s="18" t="inlineStr">
        <is>
          <t>충당금</t>
        </is>
      </c>
      <c r="C118" s="20" t="n">
        <v>4484</v>
      </c>
      <c r="D118" s="20" t="n">
        <v>3293</v>
      </c>
      <c r="E118" s="20" t="n">
        <v>2251</v>
      </c>
      <c r="F118" s="20" t="n">
        <v>3633</v>
      </c>
      <c r="G118" s="20" t="n">
        <v>6850</v>
      </c>
      <c r="H118" s="20" t="n">
        <v>3516</v>
      </c>
      <c r="I118" s="20" t="n">
        <v>3622</v>
      </c>
      <c r="J118" s="20" t="n">
        <v>3950</v>
      </c>
      <c r="K118" s="20" t="n">
        <v>3826</v>
      </c>
      <c r="L118" s="20" t="n">
        <v>3633</v>
      </c>
    </row>
    <row r="119">
      <c r="A119" s="18" t="inlineStr">
        <is>
          <t>기타</t>
        </is>
      </c>
      <c r="C119" s="20" t="n">
        <v>34661</v>
      </c>
      <c r="D119" s="20" t="n">
        <v>30426</v>
      </c>
      <c r="E119" s="20" t="n">
        <v>37963</v>
      </c>
      <c r="F119" s="20" t="n">
        <v>36205</v>
      </c>
      <c r="G119" s="20" t="n">
        <v>55153</v>
      </c>
      <c r="H119" s="20" t="n">
        <v>20164</v>
      </c>
      <c r="I119" s="20" t="n">
        <v>22975</v>
      </c>
      <c r="J119" s="20" t="n">
        <v>37262</v>
      </c>
      <c r="K119" s="20" t="n">
        <v>30856</v>
      </c>
      <c r="L119" s="20" t="n">
        <v>36205</v>
      </c>
    </row>
    <row r="120">
      <c r="A120" s="9" t="inlineStr">
        <is>
          <t>유동부채 합계</t>
        </is>
      </c>
      <c r="C120" s="12" t="n">
        <v>72384</v>
      </c>
      <c r="D120" s="12" t="n">
        <v>67616</v>
      </c>
      <c r="E120" s="12" t="n">
        <v>82915</v>
      </c>
      <c r="F120" s="12" t="n">
        <v>82037</v>
      </c>
      <c r="G120" s="12" t="n">
        <v>162681</v>
      </c>
      <c r="H120" s="12" t="n">
        <v>79151</v>
      </c>
      <c r="I120" s="12" t="n">
        <v>67454</v>
      </c>
      <c r="J120" s="12" t="n">
        <v>80657</v>
      </c>
      <c r="K120" s="12" t="n">
        <v>73419</v>
      </c>
      <c r="L120" s="12" t="n">
        <v>82037</v>
      </c>
    </row>
    <row r="121">
      <c r="A121" s="18" t="inlineStr">
        <is>
          <t>사채</t>
        </is>
      </c>
      <c r="C121" s="20" t="n">
        <v>15000</v>
      </c>
      <c r="D121" s="20" t="n">
        <v>15000</v>
      </c>
      <c r="E121" s="20" t="n">
        <v>10000</v>
      </c>
      <c r="F121" s="20" t="n">
        <v>10000</v>
      </c>
      <c r="G121" s="20" t="n">
        <v>5000</v>
      </c>
      <c r="H121" s="20" t="n">
        <v>20000</v>
      </c>
      <c r="I121" s="20" t="n">
        <v>20000</v>
      </c>
      <c r="J121" s="20" t="n">
        <v>15000</v>
      </c>
      <c r="K121" s="20" t="n">
        <v>15000</v>
      </c>
      <c r="L121" s="20" t="n">
        <v>10000</v>
      </c>
    </row>
    <row r="122">
      <c r="A122" s="18" t="inlineStr">
        <is>
          <t>장기차입금</t>
        </is>
      </c>
      <c r="C122" s="20" t="n">
        <v>30586</v>
      </c>
      <c r="D122" s="20" t="n">
        <v>40524</v>
      </c>
      <c r="E122" s="20" t="n">
        <v>40467</v>
      </c>
      <c r="F122" s="20" t="n">
        <v>40431</v>
      </c>
      <c r="G122" s="20" t="n">
        <v>40419</v>
      </c>
      <c r="H122" s="20" t="n">
        <v>15248</v>
      </c>
      <c r="I122" s="20" t="n">
        <v>15186</v>
      </c>
      <c r="J122" s="20" t="n">
        <v>10422</v>
      </c>
      <c r="K122" s="20" t="n">
        <v>30689</v>
      </c>
      <c r="L122" s="20" t="n">
        <v>40431</v>
      </c>
    </row>
    <row r="123">
      <c r="A123" s="18" t="inlineStr">
        <is>
          <t>리스부채</t>
        </is>
      </c>
      <c r="F123" s="20" t="n">
        <v>9296</v>
      </c>
      <c r="H123" s="20" t="n">
        <v>3005</v>
      </c>
      <c r="I123" s="20" t="n">
        <v>4452</v>
      </c>
      <c r="J123" s="20" t="n">
        <v>7369</v>
      </c>
      <c r="K123" s="20" t="n">
        <v>7596</v>
      </c>
      <c r="L123" s="20" t="n">
        <v>9296</v>
      </c>
    </row>
    <row r="124">
      <c r="A124" s="18" t="inlineStr">
        <is>
          <t>이연법인세부채</t>
        </is>
      </c>
      <c r="F124" s="20" t="n">
        <v>12862</v>
      </c>
      <c r="H124" s="20" t="n">
        <v>3969</v>
      </c>
      <c r="I124" s="20" t="n">
        <v>4855</v>
      </c>
      <c r="J124" s="20" t="n">
        <v>8806</v>
      </c>
      <c r="K124" s="20" t="n">
        <v>9276</v>
      </c>
      <c r="L124" s="20" t="n">
        <v>12862</v>
      </c>
    </row>
    <row r="125">
      <c r="A125" s="18" t="inlineStr">
        <is>
          <t>퇴직급여부채</t>
        </is>
      </c>
      <c r="C125" s="20" t="n">
        <v>8234</v>
      </c>
      <c r="D125" s="20" t="n">
        <v>8160</v>
      </c>
      <c r="E125" s="20" t="n">
        <v>8058</v>
      </c>
      <c r="F125" s="20" t="n">
        <v>8020</v>
      </c>
      <c r="G125" s="20" t="n">
        <v>7986</v>
      </c>
      <c r="H125" s="20" t="n">
        <v>8944</v>
      </c>
      <c r="I125" s="20" t="n">
        <v>8925</v>
      </c>
      <c r="J125" s="20" t="n">
        <v>8735</v>
      </c>
      <c r="K125" s="20" t="n">
        <v>8345</v>
      </c>
      <c r="L125" s="20" t="n">
        <v>8020</v>
      </c>
    </row>
    <row r="126">
      <c r="A126" s="18" t="inlineStr">
        <is>
          <t>장기 운용리스 부채</t>
        </is>
      </c>
      <c r="F126" s="20" t="n">
        <v>25576</v>
      </c>
      <c r="J126" s="20" t="n">
        <v>19673</v>
      </c>
      <c r="K126" s="20" t="n">
        <v>25991</v>
      </c>
      <c r="L126" s="20" t="n">
        <v>25576</v>
      </c>
    </row>
    <row r="127">
      <c r="A127" s="18" t="inlineStr">
        <is>
          <t>기타</t>
        </is>
      </c>
      <c r="C127" s="20" t="n">
        <v>57117</v>
      </c>
      <c r="D127" s="20" t="n">
        <v>57852</v>
      </c>
      <c r="E127" s="20" t="n">
        <v>58800</v>
      </c>
      <c r="F127" s="20" t="n">
        <v>62374</v>
      </c>
      <c r="G127" s="20" t="n">
        <v>61977</v>
      </c>
      <c r="H127" s="20" t="n">
        <v>7562</v>
      </c>
      <c r="I127" s="20" t="n">
        <v>22980</v>
      </c>
      <c r="J127" s="20" t="n">
        <v>6337</v>
      </c>
      <c r="K127" s="20" t="n">
        <v>6364</v>
      </c>
      <c r="L127" s="20" t="n">
        <v>62374</v>
      </c>
    </row>
    <row r="128">
      <c r="A128" s="9" t="inlineStr">
        <is>
          <t>비유동부채 합계</t>
        </is>
      </c>
      <c r="C128" s="12" t="n">
        <v>110938</v>
      </c>
      <c r="D128" s="12" t="n">
        <v>121537</v>
      </c>
      <c r="E128" s="12" t="n">
        <v>117326</v>
      </c>
      <c r="F128" s="12" t="n">
        <v>120826</v>
      </c>
      <c r="G128" s="12" t="n">
        <v>115383</v>
      </c>
      <c r="H128" s="12" t="n">
        <v>58730</v>
      </c>
      <c r="I128" s="12" t="n">
        <v>76401</v>
      </c>
      <c r="J128" s="12" t="n">
        <v>76345</v>
      </c>
      <c r="K128" s="12" t="n">
        <v>103264</v>
      </c>
      <c r="L128" s="12" t="n">
        <v>120826</v>
      </c>
    </row>
    <row r="129">
      <c r="A129" s="9" t="inlineStr">
        <is>
          <t>부채 합계</t>
        </is>
      </c>
      <c r="C129" s="12" t="n">
        <v>183322</v>
      </c>
      <c r="D129" s="12" t="n">
        <v>189154</v>
      </c>
      <c r="E129" s="12" t="n">
        <v>200241</v>
      </c>
      <c r="F129" s="12" t="n">
        <v>202863</v>
      </c>
      <c r="G129" s="12" t="n">
        <v>278065</v>
      </c>
      <c r="H129" s="12" t="n">
        <v>137882</v>
      </c>
      <c r="I129" s="12" t="n">
        <v>143856</v>
      </c>
      <c r="J129" s="12" t="n">
        <v>157003</v>
      </c>
      <c r="K129" s="12" t="n">
        <v>176683</v>
      </c>
      <c r="L129" s="12" t="n">
        <v>202863</v>
      </c>
    </row>
    <row r="130">
      <c r="A130" s="18" t="inlineStr">
        <is>
          <t>자본금</t>
        </is>
      </c>
      <c r="C130" s="20" t="n">
        <v>13226</v>
      </c>
      <c r="D130" s="20" t="n">
        <v>13226</v>
      </c>
      <c r="E130" s="20" t="n">
        <v>13226</v>
      </c>
      <c r="F130" s="20" t="n">
        <v>13226</v>
      </c>
      <c r="G130" s="20" t="n">
        <v>13226</v>
      </c>
      <c r="H130" s="20" t="n">
        <v>13226</v>
      </c>
      <c r="I130" s="20" t="n">
        <v>13226</v>
      </c>
      <c r="J130" s="20" t="n">
        <v>13226</v>
      </c>
      <c r="K130" s="20" t="n">
        <v>13226</v>
      </c>
      <c r="L130" s="20" t="n">
        <v>13226</v>
      </c>
    </row>
    <row r="131">
      <c r="A131" s="18" t="inlineStr">
        <is>
          <t>자본잉여금</t>
        </is>
      </c>
      <c r="C131" s="20" t="n">
        <v>2804</v>
      </c>
      <c r="D131" s="20" t="n">
        <v>2804</v>
      </c>
      <c r="E131" s="20" t="n">
        <v>2804</v>
      </c>
      <c r="F131" s="20" t="n">
        <v>2804</v>
      </c>
      <c r="G131" s="20" t="n">
        <v>0</v>
      </c>
      <c r="H131" s="20" t="n">
        <v>2499</v>
      </c>
      <c r="I131" s="20" t="n">
        <v>1994</v>
      </c>
      <c r="J131" s="20" t="n">
        <v>2716</v>
      </c>
      <c r="K131" s="20" t="n">
        <v>2804</v>
      </c>
      <c r="L131" s="20" t="n">
        <v>2804</v>
      </c>
    </row>
    <row r="132">
      <c r="A132" s="18" t="inlineStr">
        <is>
          <t>이익잉여금</t>
        </is>
      </c>
      <c r="C132" s="20" t="n">
        <v>178542</v>
      </c>
      <c r="D132" s="20" t="n">
        <v>180092</v>
      </c>
      <c r="E132" s="20" t="n">
        <v>184954</v>
      </c>
      <c r="F132" s="20" t="n">
        <v>186093</v>
      </c>
      <c r="G132" s="20" t="n">
        <v>172091</v>
      </c>
      <c r="H132" s="20" t="n">
        <v>149933</v>
      </c>
      <c r="I132" s="20" t="n">
        <v>163825</v>
      </c>
      <c r="J132" s="20" t="n">
        <v>169909</v>
      </c>
      <c r="K132" s="20" t="n">
        <v>180449</v>
      </c>
      <c r="L132" s="20" t="n">
        <v>186093</v>
      </c>
    </row>
    <row r="133">
      <c r="A133" s="18" t="inlineStr">
        <is>
          <t>자기주식</t>
        </is>
      </c>
      <c r="C133" s="20" t="n">
        <v>-5103</v>
      </c>
      <c r="D133" s="20" t="n">
        <v>-5103</v>
      </c>
      <c r="E133" s="20" t="n">
        <v>-5103</v>
      </c>
      <c r="F133" s="20" t="n">
        <v>-5103</v>
      </c>
      <c r="G133" s="20" t="n">
        <v>-8103</v>
      </c>
      <c r="H133" s="20" t="n">
        <v>-1682</v>
      </c>
      <c r="I133" s="20" t="n">
        <v>-1682</v>
      </c>
      <c r="J133" s="20" t="n">
        <v>-2103</v>
      </c>
      <c r="K133" s="20" t="n">
        <v>-2103</v>
      </c>
      <c r="L133" s="20" t="n">
        <v>-5103</v>
      </c>
    </row>
    <row r="134">
      <c r="A134" s="9" t="inlineStr">
        <is>
          <t>주주자본 합계</t>
        </is>
      </c>
      <c r="C134" s="12" t="n">
        <v>189469</v>
      </c>
      <c r="D134" s="12" t="n">
        <v>191019</v>
      </c>
      <c r="E134" s="12" t="n">
        <v>195881</v>
      </c>
      <c r="F134" s="12" t="n">
        <v>197019</v>
      </c>
      <c r="G134" s="12" t="n">
        <v>177214</v>
      </c>
      <c r="H134" s="12" t="n">
        <v>163976</v>
      </c>
      <c r="I134" s="12" t="n">
        <v>177363</v>
      </c>
      <c r="J134" s="12" t="n">
        <v>183749</v>
      </c>
      <c r="K134" s="12" t="n">
        <v>194376</v>
      </c>
      <c r="L134" s="12" t="n">
        <v>197019</v>
      </c>
    </row>
    <row r="135">
      <c r="A135" s="18" t="inlineStr">
        <is>
          <t>기타유가증권 평가차액</t>
        </is>
      </c>
      <c r="C135" s="20" t="n">
        <v>16490</v>
      </c>
      <c r="D135" s="20" t="n">
        <v>17834</v>
      </c>
      <c r="E135" s="20" t="n">
        <v>18810</v>
      </c>
      <c r="F135" s="20" t="n">
        <v>21373</v>
      </c>
      <c r="G135" s="20" t="n">
        <v>26215</v>
      </c>
      <c r="H135" s="20" t="n">
        <v>12216</v>
      </c>
      <c r="I135" s="20" t="n">
        <v>12974</v>
      </c>
      <c r="J135" s="20" t="n">
        <v>22511</v>
      </c>
      <c r="K135" s="20" t="n">
        <v>16513</v>
      </c>
      <c r="L135" s="20" t="n">
        <v>21373</v>
      </c>
    </row>
    <row r="136">
      <c r="A136" s="18" t="inlineStr">
        <is>
          <t>이연헤지손익</t>
        </is>
      </c>
      <c r="C136" s="20" t="n">
        <v>1</v>
      </c>
      <c r="D136" s="20" t="n">
        <v>0</v>
      </c>
      <c r="E136" s="20" t="n">
        <v>0</v>
      </c>
      <c r="F136" s="20" t="n">
        <v>-2</v>
      </c>
      <c r="G136" s="20" t="n">
        <v>-0</v>
      </c>
      <c r="H136" s="20" t="n">
        <v>412</v>
      </c>
      <c r="I136" s="20" t="n">
        <v>286</v>
      </c>
      <c r="J136" s="20" t="n">
        <v>3</v>
      </c>
      <c r="K136" s="20" t="n">
        <v>-4</v>
      </c>
      <c r="L136" s="20" t="n">
        <v>-2</v>
      </c>
    </row>
    <row r="137">
      <c r="A137" s="18" t="inlineStr">
        <is>
          <t>해외사업환산조정</t>
        </is>
      </c>
      <c r="C137" s="20" t="n">
        <v>27797</v>
      </c>
      <c r="D137" s="20" t="n">
        <v>28260</v>
      </c>
      <c r="E137" s="20" t="n">
        <v>32025</v>
      </c>
      <c r="F137" s="20" t="n">
        <v>40741</v>
      </c>
      <c r="G137" s="20" t="n">
        <v>42555</v>
      </c>
      <c r="H137" s="20" t="n">
        <v>4330</v>
      </c>
      <c r="I137" s="20" t="n">
        <v>13686</v>
      </c>
      <c r="J137" s="20" t="n">
        <v>22389</v>
      </c>
      <c r="K137" s="20" t="n">
        <v>34204</v>
      </c>
      <c r="L137" s="20" t="n">
        <v>40741</v>
      </c>
    </row>
    <row r="138">
      <c r="A138" s="18" t="inlineStr">
        <is>
          <t>퇴직급여 조정누계액</t>
        </is>
      </c>
      <c r="C138" s="20" t="n">
        <v>141</v>
      </c>
      <c r="D138" s="20" t="n">
        <v>110</v>
      </c>
      <c r="E138" s="20" t="n">
        <v>117</v>
      </c>
      <c r="F138" s="20" t="n">
        <v>206</v>
      </c>
      <c r="G138" s="20" t="n">
        <v>255</v>
      </c>
      <c r="H138" s="20" t="n">
        <v>-515</v>
      </c>
      <c r="I138" s="20" t="n">
        <v>-359</v>
      </c>
      <c r="J138" s="20" t="n">
        <v>12</v>
      </c>
      <c r="K138" s="20" t="n">
        <v>138</v>
      </c>
      <c r="L138" s="20" t="n">
        <v>206</v>
      </c>
    </row>
    <row r="139">
      <c r="A139" s="18" t="inlineStr">
        <is>
          <t>기타포괄손익누계액 합계</t>
        </is>
      </c>
      <c r="C139" s="20" t="n">
        <v>44431</v>
      </c>
      <c r="D139" s="20" t="n">
        <v>46205</v>
      </c>
      <c r="E139" s="20" t="n">
        <v>50954</v>
      </c>
      <c r="F139" s="20" t="n">
        <v>62319</v>
      </c>
      <c r="G139" s="20" t="n">
        <v>69025</v>
      </c>
      <c r="H139" s="20" t="n">
        <v>16443</v>
      </c>
      <c r="I139" s="20" t="n">
        <v>26588</v>
      </c>
      <c r="J139" s="20" t="n">
        <v>44915</v>
      </c>
      <c r="K139" s="20" t="n">
        <v>50851</v>
      </c>
      <c r="L139" s="20" t="n">
        <v>62319</v>
      </c>
    </row>
    <row r="140">
      <c r="A140" s="18" t="inlineStr">
        <is>
          <t>비지배지분</t>
        </is>
      </c>
      <c r="C140" s="20" t="n">
        <v>52897</v>
      </c>
      <c r="D140" s="20" t="n">
        <v>50232</v>
      </c>
      <c r="E140" s="20" t="n">
        <v>50013</v>
      </c>
      <c r="F140" s="20" t="n">
        <v>51597</v>
      </c>
      <c r="G140" s="20" t="n">
        <v>11385</v>
      </c>
      <c r="H140" s="20" t="n">
        <v>44135</v>
      </c>
      <c r="I140" s="20" t="n">
        <v>51366</v>
      </c>
      <c r="J140" s="20" t="n">
        <v>51799</v>
      </c>
      <c r="K140" s="20" t="n">
        <v>55675</v>
      </c>
      <c r="L140" s="20" t="n">
        <v>51597</v>
      </c>
    </row>
    <row r="141">
      <c r="A141" s="9" t="inlineStr">
        <is>
          <t>순자산 합계</t>
        </is>
      </c>
      <c r="C141" s="12" t="n">
        <v>286798</v>
      </c>
      <c r="D141" s="12" t="n">
        <v>287456</v>
      </c>
      <c r="E141" s="12" t="n">
        <v>296849</v>
      </c>
      <c r="F141" s="12" t="n">
        <v>310937</v>
      </c>
      <c r="G141" s="12" t="n">
        <v>257626</v>
      </c>
      <c r="H141" s="12" t="n">
        <v>224555</v>
      </c>
      <c r="I141" s="12" t="n">
        <v>255318</v>
      </c>
      <c r="J141" s="12" t="n">
        <v>280465</v>
      </c>
      <c r="K141" s="12" t="n">
        <v>300903</v>
      </c>
      <c r="L141" s="12" t="n">
        <v>310937</v>
      </c>
    </row>
    <row r="142">
      <c r="A142" s="9" t="inlineStr">
        <is>
          <t>부채·순자산 합계</t>
        </is>
      </c>
      <c r="C142" s="12" t="n">
        <v>470121</v>
      </c>
      <c r="D142" s="12" t="n">
        <v>476611</v>
      </c>
      <c r="E142" s="12" t="n">
        <v>497091</v>
      </c>
      <c r="F142" s="12" t="n">
        <v>513801</v>
      </c>
      <c r="G142" s="12" t="n">
        <v>535691</v>
      </c>
      <c r="H142" s="12" t="n">
        <v>362438</v>
      </c>
      <c r="I142" s="12" t="n">
        <v>399174</v>
      </c>
      <c r="J142" s="12" t="n">
        <v>437468</v>
      </c>
      <c r="K142" s="12" t="n">
        <v>477587</v>
      </c>
      <c r="L142" s="12" t="n">
        <v>513801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44" customWidth="1" min="7" max="7"/>
  </cols>
  <sheetData>
    <row r="1">
      <c r="A1" s="50" t="inlineStr">
        <is>
          <t>다카라홀딩스 섹터·사업 데이터</t>
        </is>
      </c>
    </row>
    <row r="2">
      <c r="A2" s="51" t="inlineStr">
        <is>
          <t>2단계 보고서를 만들 때 모은 자료 · 월차 · 출처는 맨 오른쪽</t>
        </is>
      </c>
    </row>
    <row r="4">
      <c r="A4" s="52" t="inlineStr">
        <is>
          <t>bs annual</t>
        </is>
      </c>
      <c r="B4" s="52" t="n"/>
      <c r="C4" s="52" t="n"/>
      <c r="D4" s="52" t="n"/>
      <c r="E4" s="52" t="n"/>
      <c r="F4" s="52" t="n"/>
      <c r="G4" s="52" t="n"/>
    </row>
    <row r="5">
      <c r="A5" s="53" t="inlineStr">
        <is>
          <t>항목</t>
        </is>
      </c>
      <c r="B5" s="53" t="inlineStr">
        <is>
          <t>2022</t>
        </is>
      </c>
      <c r="C5" s="53" t="inlineStr">
        <is>
          <t>2023</t>
        </is>
      </c>
      <c r="D5" s="53" t="inlineStr">
        <is>
          <t>2024</t>
        </is>
      </c>
      <c r="E5" s="53" t="inlineStr">
        <is>
          <t>2025</t>
        </is>
      </c>
      <c r="F5" s="53" t="inlineStr">
        <is>
          <t>2026</t>
        </is>
      </c>
      <c r="G5" s="53" t="inlineStr">
        <is>
          <t>출처</t>
        </is>
      </c>
    </row>
    <row r="6">
      <c r="A6" s="54" t="inlineStr">
        <is>
          <t>labels</t>
        </is>
      </c>
      <c r="B6" s="55" t="n">
        <v>2022</v>
      </c>
      <c r="C6" s="55" t="n">
        <v>2023</v>
      </c>
      <c r="D6" s="55" t="n">
        <v>2024</v>
      </c>
      <c r="E6" s="55" t="n">
        <v>2025</v>
      </c>
      <c r="F6" s="55" t="n">
        <v>2026</v>
      </c>
      <c r="G6" s="56" t="inlineStr">
        <is>
          <t>2단계 보고서 자료(회사 설명회 자료·공시)</t>
        </is>
      </c>
    </row>
    <row r="7">
      <c r="A7" s="54" t="inlineStr">
        <is>
          <t>current assets</t>
        </is>
      </c>
      <c r="B7" s="57" t="n">
        <v>2323.2</v>
      </c>
      <c r="C7" s="57" t="n">
        <v>2415.1</v>
      </c>
      <c r="D7" s="57" t="n">
        <v>2452.1</v>
      </c>
      <c r="E7" s="57" t="n">
        <v>2454.3</v>
      </c>
      <c r="F7" s="57" t="n">
        <v>2493.1</v>
      </c>
    </row>
    <row r="8">
      <c r="A8" s="54" t="inlineStr">
        <is>
          <t>cash</t>
        </is>
      </c>
      <c r="B8" s="57" t="n">
        <v>804.5</v>
      </c>
      <c r="C8" s="57" t="n">
        <v>968.2</v>
      </c>
      <c r="D8" s="57" t="n">
        <v>950.9</v>
      </c>
      <c r="E8" s="57" t="n">
        <v>833</v>
      </c>
      <c r="F8" s="57" t="n">
        <v>731.9</v>
      </c>
    </row>
    <row r="9">
      <c r="A9" s="54" t="inlineStr">
        <is>
          <t>st fin</t>
        </is>
      </c>
      <c r="B9" s="57" t="n">
        <v>11.8</v>
      </c>
      <c r="C9" s="58" t="n"/>
      <c r="D9" s="58" t="n"/>
      <c r="E9" s="58" t="n"/>
      <c r="F9" s="58" t="n"/>
    </row>
    <row r="10">
      <c r="A10" s="54" t="inlineStr">
        <is>
          <t>receivables</t>
        </is>
      </c>
      <c r="B10" s="57" t="n">
        <v>628.6</v>
      </c>
      <c r="C10" s="57" t="n">
        <v>616.2</v>
      </c>
      <c r="D10" s="57" t="n">
        <v>608.5</v>
      </c>
      <c r="E10" s="57" t="n">
        <v>656.9</v>
      </c>
      <c r="F10" s="57" t="n">
        <v>775.7</v>
      </c>
    </row>
    <row r="11">
      <c r="A11" s="54" t="inlineStr">
        <is>
          <t>inventory</t>
        </is>
      </c>
      <c r="B11" s="57" t="n">
        <v>726.4</v>
      </c>
      <c r="C11" s="57" t="n">
        <v>669</v>
      </c>
      <c r="D11" s="57" t="n">
        <v>710.5</v>
      </c>
      <c r="E11" s="57" t="n">
        <v>823.3</v>
      </c>
      <c r="F11" s="57" t="n">
        <v>915.3</v>
      </c>
    </row>
    <row r="12">
      <c r="A12" s="54" t="inlineStr">
        <is>
          <t>noncurrent assets</t>
        </is>
      </c>
      <c r="B12" s="57" t="n">
        <v>1301.1</v>
      </c>
      <c r="C12" s="57" t="n">
        <v>1576.6</v>
      </c>
      <c r="D12" s="57" t="n">
        <v>1922.5</v>
      </c>
      <c r="E12" s="57" t="n">
        <v>2321.5</v>
      </c>
      <c r="F12" s="57" t="n">
        <v>2644.9</v>
      </c>
    </row>
    <row r="13">
      <c r="A13" s="54" t="inlineStr">
        <is>
          <t>ppe</t>
        </is>
      </c>
      <c r="B13" s="57" t="n">
        <v>797.5</v>
      </c>
      <c r="C13" s="57" t="n">
        <v>888.9</v>
      </c>
      <c r="D13" s="57" t="n">
        <v>1048.8</v>
      </c>
      <c r="E13" s="57" t="n">
        <v>1236.1</v>
      </c>
      <c r="F13" s="57" t="n">
        <v>1330.7</v>
      </c>
    </row>
    <row r="14">
      <c r="A14" s="54" t="inlineStr">
        <is>
          <t>intangibles</t>
        </is>
      </c>
      <c r="B14" s="57" t="n">
        <v>153.6</v>
      </c>
      <c r="C14" s="57" t="n">
        <v>159.3</v>
      </c>
      <c r="D14" s="57" t="n">
        <v>183.4</v>
      </c>
      <c r="E14" s="57" t="n">
        <v>416.6</v>
      </c>
      <c r="F14" s="57" t="n">
        <v>603.7</v>
      </c>
    </row>
    <row r="15">
      <c r="A15" s="54" t="inlineStr">
        <is>
          <t>inv property</t>
        </is>
      </c>
      <c r="B15" s="58" t="n"/>
      <c r="C15" s="58" t="n"/>
      <c r="D15" s="58" t="n"/>
      <c r="E15" s="58" t="n"/>
      <c r="F15" s="58" t="n"/>
    </row>
    <row r="16">
      <c r="A16" s="54" t="inlineStr">
        <is>
          <t>합계 assets</t>
        </is>
      </c>
      <c r="B16" s="57" t="n">
        <v>3624.4</v>
      </c>
      <c r="C16" s="57" t="n">
        <v>3991.7</v>
      </c>
      <c r="D16" s="57" t="n">
        <v>4374.7</v>
      </c>
      <c r="E16" s="57" t="n">
        <v>4775.9</v>
      </c>
      <c r="F16" s="57" t="n">
        <v>5138</v>
      </c>
    </row>
    <row r="17">
      <c r="A17" s="54" t="inlineStr">
        <is>
          <t>current liab</t>
        </is>
      </c>
      <c r="B17" s="57" t="n">
        <v>791.5</v>
      </c>
      <c r="C17" s="57" t="n">
        <v>674.5</v>
      </c>
      <c r="D17" s="57" t="n">
        <v>806.6</v>
      </c>
      <c r="E17" s="57" t="n">
        <v>734.2</v>
      </c>
      <c r="F17" s="57" t="n">
        <v>820.4</v>
      </c>
    </row>
    <row r="18">
      <c r="A18" s="54" t="inlineStr">
        <is>
          <t>payables</t>
        </is>
      </c>
      <c r="B18" s="57" t="n">
        <v>209.7</v>
      </c>
      <c r="C18" s="57" t="n">
        <v>217.8</v>
      </c>
      <c r="D18" s="57" t="n">
        <v>223.2</v>
      </c>
      <c r="E18" s="57" t="n">
        <v>240.7</v>
      </c>
      <c r="F18" s="57" t="n">
        <v>267.8</v>
      </c>
    </row>
    <row r="19">
      <c r="A19" s="54" t="inlineStr">
        <is>
          <t>st debt</t>
        </is>
      </c>
      <c r="B19" s="57" t="n">
        <v>55</v>
      </c>
      <c r="C19" s="57" t="n">
        <v>49.2</v>
      </c>
      <c r="D19" s="57" t="n">
        <v>100.1</v>
      </c>
      <c r="E19" s="57" t="n">
        <v>123.2</v>
      </c>
      <c r="F19" s="57" t="n">
        <v>64.09999999999999</v>
      </c>
    </row>
    <row r="20">
      <c r="A20" s="54" t="inlineStr">
        <is>
          <t>noncurrent liab</t>
        </is>
      </c>
      <c r="B20" s="57" t="n">
        <v>587.3</v>
      </c>
      <c r="C20" s="57" t="n">
        <v>764</v>
      </c>
      <c r="D20" s="57" t="n">
        <v>763.5</v>
      </c>
      <c r="E20" s="57" t="n">
        <v>1032.6</v>
      </c>
      <c r="F20" s="57" t="n">
        <v>1208.3</v>
      </c>
    </row>
    <row r="21">
      <c r="A21" s="54" t="inlineStr">
        <is>
          <t>lt debt</t>
        </is>
      </c>
      <c r="B21" s="57" t="n">
        <v>152.5</v>
      </c>
      <c r="C21" s="57" t="n">
        <v>151.9</v>
      </c>
      <c r="D21" s="57" t="n">
        <v>104.2</v>
      </c>
      <c r="E21" s="57" t="n">
        <v>306.9</v>
      </c>
      <c r="F21" s="57" t="n">
        <v>404.3</v>
      </c>
    </row>
    <row r="22">
      <c r="A22" s="54" t="inlineStr">
        <is>
          <t>bonds</t>
        </is>
      </c>
      <c r="B22" s="57" t="n">
        <v>200</v>
      </c>
      <c r="C22" s="57" t="n">
        <v>200</v>
      </c>
      <c r="D22" s="57" t="n">
        <v>150</v>
      </c>
      <c r="E22" s="57" t="n">
        <v>150</v>
      </c>
      <c r="F22" s="57" t="n">
        <v>100</v>
      </c>
    </row>
    <row r="23">
      <c r="A23" s="54" t="inlineStr">
        <is>
          <t>합계 liab</t>
        </is>
      </c>
      <c r="B23" s="57" t="n">
        <v>1378.8</v>
      </c>
      <c r="C23" s="57" t="n">
        <v>1438.6</v>
      </c>
      <c r="D23" s="57" t="n">
        <v>1570</v>
      </c>
      <c r="E23" s="57" t="n">
        <v>1766.8</v>
      </c>
      <c r="F23" s="57" t="n">
        <v>2028.6</v>
      </c>
    </row>
    <row r="24">
      <c r="A24" s="54" t="inlineStr">
        <is>
          <t>capital stock</t>
        </is>
      </c>
      <c r="B24" s="57" t="n">
        <v>132.3</v>
      </c>
      <c r="C24" s="57" t="n">
        <v>132.3</v>
      </c>
      <c r="D24" s="57" t="n">
        <v>132.3</v>
      </c>
      <c r="E24" s="57" t="n">
        <v>132.3</v>
      </c>
      <c r="F24" s="57" t="n">
        <v>132.3</v>
      </c>
    </row>
    <row r="25">
      <c r="A25" s="54" t="inlineStr">
        <is>
          <t>retained</t>
        </is>
      </c>
      <c r="B25" s="57" t="n">
        <v>1499.3</v>
      </c>
      <c r="C25" s="57" t="n">
        <v>1638.2</v>
      </c>
      <c r="D25" s="57" t="n">
        <v>1699.1</v>
      </c>
      <c r="E25" s="57" t="n">
        <v>1804.5</v>
      </c>
      <c r="F25" s="57" t="n">
        <v>1860.9</v>
      </c>
    </row>
    <row r="26">
      <c r="A26" s="54" t="inlineStr">
        <is>
          <t>nci</t>
        </is>
      </c>
      <c r="B26" s="57" t="n">
        <v>441.4</v>
      </c>
      <c r="C26" s="57" t="n">
        <v>513.7</v>
      </c>
      <c r="D26" s="57" t="n">
        <v>518</v>
      </c>
      <c r="E26" s="57" t="n">
        <v>556.8</v>
      </c>
      <c r="F26" s="57" t="n">
        <v>516</v>
      </c>
    </row>
    <row r="27">
      <c r="A27" s="54" t="inlineStr">
        <is>
          <t>합계 equity</t>
        </is>
      </c>
      <c r="B27" s="57" t="n">
        <v>2245.6</v>
      </c>
      <c r="C27" s="57" t="n">
        <v>2553.2</v>
      </c>
      <c r="D27" s="57" t="n">
        <v>2804.7</v>
      </c>
      <c r="E27" s="57" t="n">
        <v>3009</v>
      </c>
      <c r="F27" s="57" t="n">
        <v>3109.4</v>
      </c>
    </row>
    <row r="28">
      <c r="A28" s="54" t="inlineStr">
        <is>
          <t>current ltd</t>
        </is>
      </c>
      <c r="B28" s="57" t="n">
        <v>100</v>
      </c>
      <c r="C28" s="57" t="n">
        <v>0</v>
      </c>
      <c r="D28" s="57" t="n">
        <v>50</v>
      </c>
      <c r="E28" s="57" t="n">
        <v>0</v>
      </c>
      <c r="F28" s="57" t="n">
        <v>50</v>
      </c>
    </row>
    <row r="29">
      <c r="A29" s="54" t="inlineStr">
        <is>
          <t>equity owner</t>
        </is>
      </c>
      <c r="B29" s="57" t="n">
        <v>1804.2</v>
      </c>
      <c r="C29" s="57" t="n">
        <v>2039.5</v>
      </c>
      <c r="D29" s="57" t="n">
        <v>2286.7</v>
      </c>
      <c r="E29" s="57" t="n">
        <v>2452.3</v>
      </c>
      <c r="F29" s="57" t="n">
        <v>2593.4</v>
      </c>
    </row>
    <row r="31">
      <c r="A31" s="52" t="inlineStr">
        <is>
          <t>ordinary q</t>
        </is>
      </c>
      <c r="B31" s="52" t="n"/>
      <c r="C31" s="52" t="n"/>
      <c r="D31" s="52" t="n"/>
      <c r="E31" s="52" t="n"/>
      <c r="F31" s="52" t="n"/>
      <c r="G31" s="52" t="n"/>
    </row>
    <row r="32">
      <c r="A32" s="53" t="inlineStr">
        <is>
          <t>항목</t>
        </is>
      </c>
      <c r="B32" s="53" t="inlineStr">
        <is>
          <t>값</t>
        </is>
      </c>
      <c r="G32" s="53" t="inlineStr">
        <is>
          <t>출처</t>
        </is>
      </c>
    </row>
    <row r="33">
      <c r="A33" s="54" t="inlineStr">
        <is>
          <t>2024-Q2</t>
        </is>
      </c>
      <c r="B33" s="57" t="n">
        <v>53.32</v>
      </c>
      <c r="G33" s="56" t="inlineStr">
        <is>
          <t>2단계 보고서 자료(회사 설명회 자료·공시)</t>
        </is>
      </c>
    </row>
    <row r="34">
      <c r="A34" s="54" t="inlineStr">
        <is>
          <t>2024-Q3</t>
        </is>
      </c>
      <c r="B34" s="57" t="n">
        <v>57.88</v>
      </c>
    </row>
    <row r="35">
      <c r="A35" s="54" t="inlineStr">
        <is>
          <t>2024-Q4</t>
        </is>
      </c>
      <c r="B35" s="57" t="n">
        <v>45.16</v>
      </c>
    </row>
    <row r="36">
      <c r="A36" s="54" t="inlineStr">
        <is>
          <t>2025-Q1</t>
        </is>
      </c>
      <c r="B36" s="57" t="n">
        <v>47.91</v>
      </c>
    </row>
    <row r="37">
      <c r="A37" s="54" t="inlineStr">
        <is>
          <t>2025-Q2</t>
        </is>
      </c>
      <c r="B37" s="57" t="n">
        <v>63.75</v>
      </c>
    </row>
    <row r="38">
      <c r="A38" s="54" t="inlineStr">
        <is>
          <t>2025-Q3</t>
        </is>
      </c>
      <c r="B38" s="57" t="n">
        <v>49</v>
      </c>
    </row>
    <row r="39">
      <c r="A39" s="54" t="inlineStr">
        <is>
          <t>2025-Q4</t>
        </is>
      </c>
      <c r="B39" s="57" t="n">
        <v>61.14</v>
      </c>
    </row>
    <row r="40">
      <c r="A40" s="54" t="inlineStr">
        <is>
          <t>2026-Q1</t>
        </is>
      </c>
      <c r="B40" s="57" t="n">
        <v>34.71</v>
      </c>
    </row>
    <row r="41">
      <c r="A41" s="54" t="inlineStr">
        <is>
          <t>2026-Q2</t>
        </is>
      </c>
      <c r="B41" s="57" t="n">
        <v>39.15</v>
      </c>
    </row>
    <row r="42">
      <c r="A42" s="54" t="inlineStr">
        <is>
          <t>2026-Q3</t>
        </is>
      </c>
      <c r="B42" s="57" t="n">
        <v>51.69</v>
      </c>
    </row>
    <row r="43">
      <c r="A43" s="54" t="inlineStr">
        <is>
          <t>2026-Q4</t>
        </is>
      </c>
      <c r="B43" s="57" t="n">
        <v>43.06</v>
      </c>
    </row>
    <row r="44">
      <c r="A44" s="54" t="inlineStr">
        <is>
          <t>2027-Q1</t>
        </is>
      </c>
      <c r="B44" s="57" t="n">
        <v>31.57</v>
      </c>
    </row>
    <row r="46">
      <c r="A46" s="52" t="inlineStr">
        <is>
          <t>ordinary a</t>
        </is>
      </c>
      <c r="B46" s="52" t="n"/>
      <c r="C46" s="52" t="n"/>
      <c r="D46" s="52" t="n"/>
      <c r="E46" s="52" t="n"/>
      <c r="F46" s="52" t="n"/>
      <c r="G46" s="52" t="n"/>
    </row>
    <row r="47">
      <c r="A47" s="53" t="inlineStr">
        <is>
          <t>항목</t>
        </is>
      </c>
      <c r="B47" s="53" t="inlineStr">
        <is>
          <t>값</t>
        </is>
      </c>
      <c r="G47" s="53" t="inlineStr">
        <is>
          <t>출처</t>
        </is>
      </c>
    </row>
    <row r="48">
      <c r="A48" s="54" t="inlineStr">
        <is>
          <t>FY2019</t>
        </is>
      </c>
      <c r="B48" s="57" t="n">
        <v>183.59</v>
      </c>
      <c r="G48" s="56" t="inlineStr">
        <is>
          <t>2단계 보고서 자료(회사 설명회 자료·공시)</t>
        </is>
      </c>
    </row>
    <row r="49">
      <c r="A49" s="54" t="inlineStr">
        <is>
          <t>FY2020</t>
        </is>
      </c>
      <c r="B49" s="57" t="n">
        <v>162.69</v>
      </c>
    </row>
    <row r="50">
      <c r="A50" s="54" t="inlineStr">
        <is>
          <t>FY2021</t>
        </is>
      </c>
      <c r="B50" s="57" t="n">
        <v>219.29</v>
      </c>
    </row>
    <row r="51">
      <c r="A51" s="54" t="inlineStr">
        <is>
          <t>FY2022</t>
        </is>
      </c>
      <c r="B51" s="57" t="n">
        <v>432.3</v>
      </c>
    </row>
    <row r="52">
      <c r="A52" s="54" t="inlineStr">
        <is>
          <t>FY2023</t>
        </is>
      </c>
      <c r="B52" s="57" t="n">
        <v>387.06</v>
      </c>
    </row>
    <row r="53">
      <c r="A53" s="54" t="inlineStr">
        <is>
          <t>FY2024</t>
        </is>
      </c>
      <c r="B53" s="57" t="n">
        <v>233.36</v>
      </c>
    </row>
    <row r="54">
      <c r="A54" s="54" t="inlineStr">
        <is>
          <t>FY2025</t>
        </is>
      </c>
      <c r="B54" s="57" t="n">
        <v>221.8</v>
      </c>
    </row>
    <row r="55">
      <c r="A55" s="54" t="inlineStr">
        <is>
          <t>FY2026</t>
        </is>
      </c>
      <c r="B55" s="57" t="n">
        <v>168.61</v>
      </c>
    </row>
    <row r="57">
      <c r="A57" s="52" t="inlineStr">
        <is>
          <t>sga 1q · 2026-Q1</t>
        </is>
      </c>
      <c r="B57" s="52" t="n"/>
      <c r="C57" s="52" t="n"/>
      <c r="D57" s="52" t="n"/>
      <c r="E57" s="52" t="n"/>
      <c r="F57" s="52" t="n"/>
      <c r="G57" s="52" t="n"/>
    </row>
    <row r="58">
      <c r="A58" s="53" t="inlineStr">
        <is>
          <t>항목</t>
        </is>
      </c>
      <c r="B58" s="53" t="inlineStr">
        <is>
          <t>값</t>
        </is>
      </c>
      <c r="G58" s="53" t="inlineStr">
        <is>
          <t>출처</t>
        </is>
      </c>
    </row>
    <row r="59">
      <c r="A59" s="54" t="inlineStr">
        <is>
          <t>운송·보관비</t>
        </is>
      </c>
      <c r="B59" s="57" t="n">
        <v>38.87</v>
      </c>
      <c r="G59" s="56" t="inlineStr">
        <is>
          <t>2단계 보고서 자료(회사 설명회 자료·공시)</t>
        </is>
      </c>
    </row>
    <row r="60">
      <c r="A60" s="54" t="inlineStr">
        <is>
          <t>광고선전비</t>
        </is>
      </c>
      <c r="B60" s="57" t="n">
        <v>13.37</v>
      </c>
    </row>
    <row r="61">
      <c r="A61" s="54" t="inlineStr">
        <is>
          <t>판매촉진비</t>
        </is>
      </c>
      <c r="B61" s="57" t="n">
        <v>9.58</v>
      </c>
    </row>
    <row r="62">
      <c r="A62" s="54" t="inlineStr">
        <is>
          <t>연구개발비</t>
        </is>
      </c>
      <c r="B62" s="57" t="n">
        <v>18.91</v>
      </c>
    </row>
    <row r="63">
      <c r="A63" s="54" t="inlineStr">
        <is>
          <t>관리비·기타</t>
        </is>
      </c>
      <c r="B63" s="57" t="n">
        <v>193.65</v>
      </c>
    </row>
    <row r="65">
      <c r="A65" s="52" t="inlineStr">
        <is>
          <t>sga 1q · 2027-Q1</t>
        </is>
      </c>
      <c r="B65" s="52" t="n"/>
      <c r="C65" s="52" t="n"/>
      <c r="D65" s="52" t="n"/>
      <c r="E65" s="52" t="n"/>
      <c r="F65" s="52" t="n"/>
      <c r="G65" s="52" t="n"/>
    </row>
    <row r="66">
      <c r="A66" s="53" t="inlineStr">
        <is>
          <t>항목</t>
        </is>
      </c>
      <c r="B66" s="53" t="inlineStr">
        <is>
          <t>값</t>
        </is>
      </c>
      <c r="G66" s="53" t="inlineStr">
        <is>
          <t>출처</t>
        </is>
      </c>
    </row>
    <row r="67">
      <c r="A67" s="54" t="inlineStr">
        <is>
          <t>운송·보관비</t>
        </is>
      </c>
      <c r="B67" s="57" t="n">
        <v>44.85</v>
      </c>
      <c r="G67" s="56" t="inlineStr">
        <is>
          <t>2단계 보고서 자료(회사 설명회 자료·공시)</t>
        </is>
      </c>
    </row>
    <row r="68">
      <c r="A68" s="54" t="inlineStr">
        <is>
          <t>광고선전비</t>
        </is>
      </c>
      <c r="B68" s="57" t="n">
        <v>7.33</v>
      </c>
    </row>
    <row r="69">
      <c r="A69" s="54" t="inlineStr">
        <is>
          <t>판매촉진비</t>
        </is>
      </c>
      <c r="B69" s="57" t="n">
        <v>9.91</v>
      </c>
    </row>
    <row r="70">
      <c r="A70" s="54" t="inlineStr">
        <is>
          <t>연구개발비</t>
        </is>
      </c>
      <c r="B70" s="57" t="n">
        <v>18.68</v>
      </c>
    </row>
    <row r="71">
      <c r="A71" s="54" t="inlineStr">
        <is>
          <t>관리비·기타</t>
        </is>
      </c>
      <c r="B71" s="57" t="n">
        <v>222.35</v>
      </c>
    </row>
    <row r="73">
      <c r="A73" s="52" t="inlineStr">
        <is>
          <t>수출 2103</t>
        </is>
      </c>
      <c r="B73" s="52" t="n"/>
      <c r="C73" s="52" t="n"/>
      <c r="D73" s="52" t="n"/>
      <c r="E73" s="52" t="n"/>
      <c r="F73" s="52" t="n"/>
      <c r="G73" s="52" t="n"/>
    </row>
    <row r="74">
      <c r="A74" s="53" t="inlineStr">
        <is>
          <t>항목</t>
        </is>
      </c>
      <c r="B74" s="53" t="inlineStr">
        <is>
          <t>값</t>
        </is>
      </c>
      <c r="G74" s="53" t="inlineStr">
        <is>
          <t>출처</t>
        </is>
      </c>
    </row>
    <row r="75">
      <c r="A75" s="54" t="inlineStr">
        <is>
          <t>2023-09</t>
        </is>
      </c>
      <c r="B75" s="55" t="n">
        <v>6141689</v>
      </c>
      <c r="G75" s="56" t="inlineStr">
        <is>
          <t>2단계 보고서 자료(회사 설명회 자료·공시)</t>
        </is>
      </c>
    </row>
    <row r="76">
      <c r="A76" s="54" t="inlineStr">
        <is>
          <t>2023-10</t>
        </is>
      </c>
      <c r="B76" s="55" t="n">
        <v>6950177</v>
      </c>
    </row>
    <row r="77">
      <c r="A77" s="54" t="inlineStr">
        <is>
          <t>2023-11</t>
        </is>
      </c>
      <c r="B77" s="55" t="n">
        <v>6031606</v>
      </c>
    </row>
    <row r="78">
      <c r="A78" s="54" t="inlineStr">
        <is>
          <t>2023-12</t>
        </is>
      </c>
      <c r="B78" s="55" t="n">
        <v>6645494</v>
      </c>
    </row>
    <row r="79">
      <c r="A79" s="54" t="inlineStr">
        <is>
          <t>2024-01</t>
        </is>
      </c>
      <c r="B79" s="55" t="n">
        <v>4667810</v>
      </c>
    </row>
    <row r="80">
      <c r="A80" s="54" t="inlineStr">
        <is>
          <t>2024-02</t>
        </is>
      </c>
      <c r="B80" s="55" t="n">
        <v>6211770</v>
      </c>
    </row>
    <row r="81">
      <c r="A81" s="54" t="inlineStr">
        <is>
          <t>2024-03</t>
        </is>
      </c>
      <c r="B81" s="55" t="n">
        <v>7013613</v>
      </c>
    </row>
    <row r="82">
      <c r="A82" s="54" t="inlineStr">
        <is>
          <t>2024-04</t>
        </is>
      </c>
      <c r="B82" s="55" t="n">
        <v>6861080</v>
      </c>
    </row>
    <row r="83">
      <c r="A83" s="54" t="inlineStr">
        <is>
          <t>2024-05</t>
        </is>
      </c>
      <c r="B83" s="55" t="n">
        <v>6553371</v>
      </c>
    </row>
    <row r="84">
      <c r="A84" s="54" t="inlineStr">
        <is>
          <t>2024-06</t>
        </is>
      </c>
      <c r="B84" s="55" t="n">
        <v>7431991</v>
      </c>
    </row>
    <row r="85">
      <c r="A85" s="54" t="inlineStr">
        <is>
          <t>2024-07</t>
        </is>
      </c>
      <c r="B85" s="55" t="n">
        <v>7211635</v>
      </c>
    </row>
    <row r="86">
      <c r="A86" s="54" t="inlineStr">
        <is>
          <t>2024-08</t>
        </is>
      </c>
      <c r="B86" s="55" t="n">
        <v>6094935</v>
      </c>
    </row>
    <row r="87">
      <c r="A87" s="54" t="inlineStr">
        <is>
          <t>2024-09</t>
        </is>
      </c>
      <c r="B87" s="55" t="n">
        <v>7246408</v>
      </c>
    </row>
    <row r="88">
      <c r="A88" s="54" t="inlineStr">
        <is>
          <t>2024-10</t>
        </is>
      </c>
      <c r="B88" s="55" t="n">
        <v>7325262</v>
      </c>
    </row>
    <row r="89">
      <c r="A89" s="54" t="inlineStr">
        <is>
          <t>2024-11</t>
        </is>
      </c>
      <c r="B89" s="55" t="n">
        <v>7160716</v>
      </c>
    </row>
    <row r="90">
      <c r="A90" s="54" t="inlineStr">
        <is>
          <t>2024-12</t>
        </is>
      </c>
      <c r="B90" s="55" t="n">
        <v>7965905</v>
      </c>
    </row>
    <row r="91">
      <c r="A91" s="54" t="inlineStr">
        <is>
          <t>2025-01</t>
        </is>
      </c>
      <c r="B91" s="55" t="n">
        <v>5365842</v>
      </c>
    </row>
    <row r="92">
      <c r="A92" s="54" t="inlineStr">
        <is>
          <t>2025-02</t>
        </is>
      </c>
      <c r="B92" s="55" t="n">
        <v>7261718</v>
      </c>
    </row>
    <row r="93">
      <c r="A93" s="54" t="inlineStr">
        <is>
          <t>2025-03</t>
        </is>
      </c>
      <c r="B93" s="55" t="n">
        <v>7413209</v>
      </c>
    </row>
    <row r="94">
      <c r="A94" s="54" t="inlineStr">
        <is>
          <t>2025-04</t>
        </is>
      </c>
      <c r="B94" s="55" t="n">
        <v>7384528</v>
      </c>
    </row>
    <row r="95">
      <c r="A95" s="54" t="inlineStr">
        <is>
          <t>2025-05</t>
        </is>
      </c>
      <c r="B95" s="55" t="n">
        <v>7142022</v>
      </c>
    </row>
    <row r="96">
      <c r="A96" s="54" t="inlineStr">
        <is>
          <t>2025-06</t>
        </is>
      </c>
      <c r="B96" s="55" t="n">
        <v>7769680</v>
      </c>
    </row>
    <row r="97">
      <c r="A97" s="54" t="inlineStr">
        <is>
          <t>2025-07</t>
        </is>
      </c>
      <c r="B97" s="55" t="n">
        <v>7628147</v>
      </c>
    </row>
    <row r="98">
      <c r="A98" s="54" t="inlineStr">
        <is>
          <t>2025-08</t>
        </is>
      </c>
      <c r="B98" s="55" t="n">
        <v>6840461</v>
      </c>
    </row>
    <row r="99">
      <c r="A99" s="54" t="inlineStr">
        <is>
          <t>2025-09</t>
        </is>
      </c>
      <c r="B99" s="55" t="n">
        <v>8091597</v>
      </c>
    </row>
    <row r="100">
      <c r="A100" s="54" t="inlineStr">
        <is>
          <t>2025-10</t>
        </is>
      </c>
      <c r="B100" s="55" t="n">
        <v>7794719</v>
      </c>
    </row>
    <row r="101">
      <c r="A101" s="54" t="inlineStr">
        <is>
          <t>2025-11</t>
        </is>
      </c>
      <c r="B101" s="55" t="n">
        <v>7822389</v>
      </c>
    </row>
    <row r="102">
      <c r="A102" s="54" t="inlineStr">
        <is>
          <t>2025-12</t>
        </is>
      </c>
      <c r="B102" s="55" t="n">
        <v>8260294</v>
      </c>
    </row>
    <row r="103">
      <c r="A103" s="54" t="inlineStr">
        <is>
          <t>2026-01</t>
        </is>
      </c>
      <c r="B103" s="55" t="n">
        <v>6245113</v>
      </c>
    </row>
    <row r="104">
      <c r="A104" s="54" t="inlineStr">
        <is>
          <t>2026-02</t>
        </is>
      </c>
      <c r="B104" s="55" t="n">
        <v>7011726</v>
      </c>
    </row>
    <row r="105">
      <c r="A105" s="54" t="inlineStr">
        <is>
          <t>2026-03</t>
        </is>
      </c>
      <c r="B105" s="55" t="n">
        <v>8474169</v>
      </c>
    </row>
    <row r="106">
      <c r="A106" s="54" t="inlineStr">
        <is>
          <t>2026-04</t>
        </is>
      </c>
      <c r="B106" s="55" t="n">
        <v>8964164</v>
      </c>
    </row>
    <row r="107">
      <c r="A107" s="54" t="inlineStr">
        <is>
          <t>2026-05</t>
        </is>
      </c>
      <c r="B107" s="55" t="n">
        <v>8305062</v>
      </c>
    </row>
    <row r="108">
      <c r="A108" s="54" t="inlineStr">
        <is>
          <t>2026-06</t>
        </is>
      </c>
      <c r="B108" s="55" t="n">
        <v>9068196</v>
      </c>
    </row>
    <row r="109">
      <c r="A109" s="54" t="inlineStr">
        <is>
          <t>2026-07</t>
        </is>
      </c>
      <c r="B109" s="55" t="n">
        <v>8552183</v>
      </c>
    </row>
    <row r="110">
      <c r="A110" s="54" t="inlineStr">
        <is>
          <t>2026-08</t>
        </is>
      </c>
      <c r="B110" s="55" t="n">
        <v>8381623</v>
      </c>
    </row>
    <row r="112">
      <c r="A112" s="52" t="inlineStr">
        <is>
          <t>수출 2206</t>
        </is>
      </c>
      <c r="B112" s="52" t="n"/>
      <c r="C112" s="52" t="n"/>
      <c r="D112" s="52" t="n"/>
      <c r="E112" s="52" t="n"/>
      <c r="F112" s="52" t="n"/>
      <c r="G112" s="52" t="n"/>
    </row>
    <row r="113">
      <c r="A113" s="53" t="inlineStr">
        <is>
          <t>항목</t>
        </is>
      </c>
      <c r="B113" s="53" t="inlineStr">
        <is>
          <t>값</t>
        </is>
      </c>
      <c r="G113" s="53" t="inlineStr">
        <is>
          <t>출처</t>
        </is>
      </c>
    </row>
    <row r="114">
      <c r="A114" s="54" t="inlineStr">
        <is>
          <t>2023-09</t>
        </is>
      </c>
      <c r="B114" s="55" t="n">
        <v>3627906</v>
      </c>
      <c r="G114" s="56" t="inlineStr">
        <is>
          <t>2단계 보고서 자료(회사 설명회 자료·공시)</t>
        </is>
      </c>
    </row>
    <row r="115">
      <c r="A115" s="54" t="inlineStr">
        <is>
          <t>2023-10</t>
        </is>
      </c>
      <c r="B115" s="55" t="n">
        <v>3977363</v>
      </c>
    </row>
    <row r="116">
      <c r="A116" s="54" t="inlineStr">
        <is>
          <t>2023-11</t>
        </is>
      </c>
      <c r="B116" s="55" t="n">
        <v>3339182</v>
      </c>
    </row>
    <row r="117">
      <c r="A117" s="54" t="inlineStr">
        <is>
          <t>2023-12</t>
        </is>
      </c>
      <c r="B117" s="55" t="n">
        <v>4014475</v>
      </c>
    </row>
    <row r="118">
      <c r="A118" s="54" t="inlineStr">
        <is>
          <t>2024-01</t>
        </is>
      </c>
      <c r="B118" s="55" t="n">
        <v>2478915</v>
      </c>
    </row>
    <row r="119">
      <c r="A119" s="54" t="inlineStr">
        <is>
          <t>2024-02</t>
        </is>
      </c>
      <c r="B119" s="55" t="n">
        <v>3389931</v>
      </c>
    </row>
    <row r="120">
      <c r="A120" s="54" t="inlineStr">
        <is>
          <t>2024-03</t>
        </is>
      </c>
      <c r="B120" s="55" t="n">
        <v>4258768</v>
      </c>
    </row>
    <row r="121">
      <c r="A121" s="54" t="inlineStr">
        <is>
          <t>2024-04</t>
        </is>
      </c>
      <c r="B121" s="55" t="n">
        <v>3928211</v>
      </c>
    </row>
    <row r="122">
      <c r="A122" s="54" t="inlineStr">
        <is>
          <t>2024-05</t>
        </is>
      </c>
      <c r="B122" s="55" t="n">
        <v>3788815</v>
      </c>
    </row>
    <row r="123">
      <c r="A123" s="54" t="inlineStr">
        <is>
          <t>2024-06</t>
        </is>
      </c>
      <c r="B123" s="55" t="n">
        <v>3758739</v>
      </c>
    </row>
    <row r="124">
      <c r="A124" s="54" t="inlineStr">
        <is>
          <t>2024-07</t>
        </is>
      </c>
      <c r="B124" s="55" t="n">
        <v>3563468</v>
      </c>
    </row>
    <row r="125">
      <c r="A125" s="54" t="inlineStr">
        <is>
          <t>2024-08</t>
        </is>
      </c>
      <c r="B125" s="55" t="n">
        <v>3273878</v>
      </c>
    </row>
    <row r="126">
      <c r="A126" s="54" t="inlineStr">
        <is>
          <t>2024-09</t>
        </is>
      </c>
      <c r="B126" s="55" t="n">
        <v>4089231</v>
      </c>
    </row>
    <row r="127">
      <c r="A127" s="54" t="inlineStr">
        <is>
          <t>2024-10</t>
        </is>
      </c>
      <c r="B127" s="55" t="n">
        <v>4038278</v>
      </c>
    </row>
    <row r="128">
      <c r="A128" s="54" t="inlineStr">
        <is>
          <t>2024-11</t>
        </is>
      </c>
      <c r="B128" s="55" t="n">
        <v>4115668</v>
      </c>
    </row>
    <row r="129">
      <c r="A129" s="54" t="inlineStr">
        <is>
          <t>2024-12</t>
        </is>
      </c>
      <c r="B129" s="55" t="n">
        <v>5312485</v>
      </c>
    </row>
    <row r="130">
      <c r="A130" s="54" t="inlineStr">
        <is>
          <t>2025-01</t>
        </is>
      </c>
      <c r="B130" s="55" t="n">
        <v>2691457</v>
      </c>
    </row>
    <row r="131">
      <c r="A131" s="54" t="inlineStr">
        <is>
          <t>2025-02</t>
        </is>
      </c>
      <c r="B131" s="55" t="n">
        <v>4380064</v>
      </c>
    </row>
    <row r="132">
      <c r="A132" s="54" t="inlineStr">
        <is>
          <t>2025-03</t>
        </is>
      </c>
      <c r="B132" s="55" t="n">
        <v>4538588</v>
      </c>
    </row>
    <row r="133">
      <c r="A133" s="54" t="inlineStr">
        <is>
          <t>2025-04</t>
        </is>
      </c>
      <c r="B133" s="55" t="n">
        <v>4709760</v>
      </c>
    </row>
    <row r="134">
      <c r="A134" s="54" t="inlineStr">
        <is>
          <t>2025-05</t>
        </is>
      </c>
      <c r="B134" s="55" t="n">
        <v>4160698</v>
      </c>
    </row>
    <row r="135">
      <c r="A135" s="54" t="inlineStr">
        <is>
          <t>2025-06</t>
        </is>
      </c>
      <c r="B135" s="55" t="n">
        <v>3934542</v>
      </c>
    </row>
    <row r="136">
      <c r="A136" s="54" t="inlineStr">
        <is>
          <t>2025-07</t>
        </is>
      </c>
      <c r="B136" s="55" t="n">
        <v>3816053</v>
      </c>
    </row>
    <row r="137">
      <c r="A137" s="54" t="inlineStr">
        <is>
          <t>2025-08</t>
        </is>
      </c>
      <c r="B137" s="55" t="n">
        <v>3819465</v>
      </c>
    </row>
    <row r="138">
      <c r="A138" s="54" t="inlineStr">
        <is>
          <t>2025-09</t>
        </is>
      </c>
      <c r="B138" s="55" t="n">
        <v>4096145</v>
      </c>
    </row>
    <row r="139">
      <c r="A139" s="54" t="inlineStr">
        <is>
          <t>2025-10</t>
        </is>
      </c>
      <c r="B139" s="55" t="n">
        <v>4096423</v>
      </c>
    </row>
    <row r="140">
      <c r="A140" s="54" t="inlineStr">
        <is>
          <t>2025-11</t>
        </is>
      </c>
      <c r="B140" s="55" t="n">
        <v>4164733</v>
      </c>
    </row>
    <row r="141">
      <c r="A141" s="54" t="inlineStr">
        <is>
          <t>2025-12</t>
        </is>
      </c>
      <c r="B141" s="55" t="n">
        <v>4922365</v>
      </c>
    </row>
    <row r="142">
      <c r="A142" s="54" t="inlineStr">
        <is>
          <t>2026-01</t>
        </is>
      </c>
      <c r="B142" s="55" t="n">
        <v>3868175</v>
      </c>
    </row>
    <row r="143">
      <c r="A143" s="54" t="inlineStr">
        <is>
          <t>2026-02</t>
        </is>
      </c>
      <c r="B143" s="55" t="n">
        <v>3857071</v>
      </c>
    </row>
    <row r="144">
      <c r="A144" s="54" t="inlineStr">
        <is>
          <t>2026-03</t>
        </is>
      </c>
      <c r="B144" s="55" t="n">
        <v>5050725</v>
      </c>
    </row>
    <row r="145">
      <c r="A145" s="54" t="inlineStr">
        <is>
          <t>2026-04</t>
        </is>
      </c>
      <c r="B145" s="55" t="n">
        <v>4853377</v>
      </c>
    </row>
    <row r="146">
      <c r="A146" s="54" t="inlineStr">
        <is>
          <t>2026-05</t>
        </is>
      </c>
      <c r="B146" s="55" t="n">
        <v>4415392</v>
      </c>
    </row>
    <row r="147">
      <c r="A147" s="54" t="inlineStr">
        <is>
          <t>2026-06</t>
        </is>
      </c>
      <c r="B147" s="55" t="n">
        <v>4480518</v>
      </c>
    </row>
    <row r="148">
      <c r="A148" s="54" t="inlineStr">
        <is>
          <t>2026-07</t>
        </is>
      </c>
      <c r="B148" s="55" t="n">
        <v>4153095</v>
      </c>
    </row>
    <row r="149">
      <c r="A149" s="54" t="inlineStr">
        <is>
          <t>2026-08</t>
        </is>
      </c>
      <c r="B149" s="55" t="n">
        <v>4086169</v>
      </c>
    </row>
    <row r="151">
      <c r="A151" s="52" t="inlineStr">
        <is>
          <t>가이던스 · FY2027 0513</t>
        </is>
      </c>
      <c r="B151" s="52" t="n"/>
      <c r="C151" s="52" t="n"/>
      <c r="D151" s="52" t="n"/>
      <c r="E151" s="52" t="n"/>
      <c r="F151" s="52" t="n"/>
      <c r="G151" s="52" t="n"/>
    </row>
    <row r="152">
      <c r="A152" s="53" t="inlineStr">
        <is>
          <t>항목</t>
        </is>
      </c>
      <c r="B152" s="53" t="inlineStr">
        <is>
          <t>값</t>
        </is>
      </c>
      <c r="G152" s="53" t="inlineStr">
        <is>
          <t>출처</t>
        </is>
      </c>
    </row>
    <row r="153">
      <c r="A153" s="54" t="inlineStr">
        <is>
          <t>매출</t>
        </is>
      </c>
      <c r="B153" s="55" t="n">
        <v>4200</v>
      </c>
      <c r="G153" s="56" t="inlineStr">
        <is>
          <t>2단계 보고서 자료(회사 설명회 자료·공시)</t>
        </is>
      </c>
    </row>
    <row r="154">
      <c r="A154" s="54" t="inlineStr">
        <is>
          <t>영업이익</t>
        </is>
      </c>
      <c r="B154" s="55" t="n">
        <v>188</v>
      </c>
    </row>
    <row r="155">
      <c r="A155" s="54" t="inlineStr">
        <is>
          <t>ord</t>
        </is>
      </c>
      <c r="B155" s="55" t="n">
        <v>170</v>
      </c>
    </row>
    <row r="156">
      <c r="A156" s="54" t="inlineStr">
        <is>
          <t>순이익</t>
        </is>
      </c>
      <c r="B156" s="55" t="n">
        <v>119</v>
      </c>
    </row>
    <row r="157">
      <c r="A157" s="54" t="inlineStr">
        <is>
          <t>EPS</t>
        </is>
      </c>
      <c r="B157" s="57" t="n">
        <v>61.7</v>
      </c>
    </row>
    <row r="158">
      <c r="A158" s="54" t="inlineStr">
        <is>
          <t>dps</t>
        </is>
      </c>
      <c r="B158" s="55" t="n">
        <v>31</v>
      </c>
    </row>
    <row r="160">
      <c r="A160" s="52" t="inlineStr">
        <is>
          <t>가이던스 · 상반기 0513</t>
        </is>
      </c>
      <c r="B160" s="52" t="n"/>
      <c r="C160" s="52" t="n"/>
      <c r="D160" s="52" t="n"/>
      <c r="E160" s="52" t="n"/>
      <c r="F160" s="52" t="n"/>
      <c r="G160" s="52" t="n"/>
    </row>
    <row r="161">
      <c r="A161" s="53" t="inlineStr">
        <is>
          <t>항목</t>
        </is>
      </c>
      <c r="B161" s="53" t="inlineStr">
        <is>
          <t>값</t>
        </is>
      </c>
      <c r="G161" s="53" t="inlineStr">
        <is>
          <t>출처</t>
        </is>
      </c>
    </row>
    <row r="162">
      <c r="A162" s="54" t="inlineStr">
        <is>
          <t>매출</t>
        </is>
      </c>
      <c r="B162" s="55" t="n">
        <v>2050</v>
      </c>
      <c r="G162" s="56" t="inlineStr">
        <is>
          <t>2단계 보고서 자료(회사 설명회 자료·공시)</t>
        </is>
      </c>
    </row>
    <row r="163">
      <c r="A163" s="54" t="inlineStr">
        <is>
          <t>영업이익</t>
        </is>
      </c>
      <c r="B163" s="55" t="n">
        <v>88</v>
      </c>
    </row>
    <row r="164">
      <c r="A164" s="54" t="inlineStr">
        <is>
          <t>ord</t>
        </is>
      </c>
      <c r="B164" s="55" t="n">
        <v>78</v>
      </c>
    </row>
    <row r="165">
      <c r="A165" s="54" t="inlineStr">
        <is>
          <t>순이익</t>
        </is>
      </c>
      <c r="B165" s="55" t="n">
        <v>59</v>
      </c>
    </row>
    <row r="166">
      <c r="A166" s="54" t="inlineStr">
        <is>
          <t>EPS</t>
        </is>
      </c>
      <c r="B166" s="57" t="n">
        <v>30.59</v>
      </c>
    </row>
    <row r="168">
      <c r="A168" s="52" t="inlineStr">
        <is>
          <t>가이던스 · 상반기 1023</t>
        </is>
      </c>
      <c r="B168" s="52" t="n"/>
      <c r="C168" s="52" t="n"/>
      <c r="D168" s="52" t="n"/>
      <c r="E168" s="52" t="n"/>
      <c r="F168" s="52" t="n"/>
      <c r="G168" s="52" t="n"/>
    </row>
    <row r="169">
      <c r="A169" s="53" t="inlineStr">
        <is>
          <t>항목</t>
        </is>
      </c>
      <c r="B169" s="53" t="inlineStr">
        <is>
          <t>값</t>
        </is>
      </c>
      <c r="G169" s="53" t="inlineStr">
        <is>
          <t>출처</t>
        </is>
      </c>
    </row>
    <row r="170">
      <c r="A170" s="54" t="inlineStr">
        <is>
          <t>매출</t>
        </is>
      </c>
      <c r="B170" s="57" t="n">
        <v>2108.7</v>
      </c>
      <c r="G170" s="56" t="inlineStr">
        <is>
          <t>2단계 보고서 자료(회사 설명회 자료·공시)</t>
        </is>
      </c>
    </row>
    <row r="171">
      <c r="A171" s="54" t="inlineStr">
        <is>
          <t>영업이익</t>
        </is>
      </c>
      <c r="B171" s="57" t="n">
        <v>131.12</v>
      </c>
    </row>
    <row r="172">
      <c r="A172" s="54" t="inlineStr">
        <is>
          <t>ord</t>
        </is>
      </c>
      <c r="B172" s="57" t="n">
        <v>127.64</v>
      </c>
    </row>
    <row r="173">
      <c r="A173" s="54" t="inlineStr">
        <is>
          <t>순이익</t>
        </is>
      </c>
      <c r="B173" s="57" t="n">
        <v>116.82</v>
      </c>
    </row>
    <row r="174">
      <c r="A174" s="54" t="inlineStr">
        <is>
          <t>EPS</t>
        </is>
      </c>
      <c r="B174" s="57" t="n">
        <v>60.87</v>
      </c>
    </row>
    <row r="176">
      <c r="A176" s="52" t="inlineStr">
        <is>
          <t>가이던스 · 상반기 FY26 실적</t>
        </is>
      </c>
      <c r="B176" s="52" t="n"/>
      <c r="C176" s="52" t="n"/>
      <c r="D176" s="52" t="n"/>
      <c r="E176" s="52" t="n"/>
      <c r="F176" s="52" t="n"/>
      <c r="G176" s="52" t="n"/>
    </row>
    <row r="177">
      <c r="A177" s="53" t="inlineStr">
        <is>
          <t>항목</t>
        </is>
      </c>
      <c r="B177" s="53" t="inlineStr">
        <is>
          <t>값</t>
        </is>
      </c>
      <c r="G177" s="53" t="inlineStr">
        <is>
          <t>출처</t>
        </is>
      </c>
    </row>
    <row r="178">
      <c r="A178" s="54" t="inlineStr">
        <is>
          <t>매출</t>
        </is>
      </c>
      <c r="B178" s="57" t="n">
        <v>1865.56</v>
      </c>
      <c r="G178" s="56" t="inlineStr">
        <is>
          <t>2단계 보고서 자료(회사 설명회 자료·공시)</t>
        </is>
      </c>
    </row>
    <row r="179">
      <c r="A179" s="54" t="inlineStr">
        <is>
          <t>영업이익</t>
        </is>
      </c>
      <c r="B179" s="57" t="n">
        <v>77.86</v>
      </c>
    </row>
    <row r="180">
      <c r="A180" s="54" t="inlineStr">
        <is>
          <t>ord</t>
        </is>
      </c>
      <c r="B180" s="57" t="n">
        <v>73.86</v>
      </c>
    </row>
    <row r="181">
      <c r="A181" s="54" t="inlineStr">
        <is>
          <t>순이익</t>
        </is>
      </c>
      <c r="B181" s="57" t="n">
        <v>56.95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0" t="inlineStr">
        <is>
          <t>출처 · 쓴 결산단신</t>
        </is>
      </c>
    </row>
    <row r="3">
      <c r="A3" s="59" t="inlineStr">
        <is>
          <t>공시일</t>
        </is>
      </c>
      <c r="B3" s="59" t="inlineStr">
        <is>
          <t>문서</t>
        </is>
      </c>
      <c r="C3" s="59" t="inlineStr">
        <is>
          <t>PDF</t>
        </is>
      </c>
    </row>
    <row r="4">
      <c r="A4" t="inlineStr">
        <is>
          <t>2026-10-23</t>
        </is>
      </c>
      <c r="B4" t="inlineStr">
        <is>
          <t>2027년 3월 결산기 １분기 결산단신</t>
        </is>
      </c>
      <c r="C4" t="inlineStr">
        <is>
          <t>https://www2.jpx.co.jp/disc/25310/140120261023554949.pdf</t>
        </is>
      </c>
    </row>
    <row r="5">
      <c r="A5" t="inlineStr">
        <is>
          <t>2026-05-13</t>
        </is>
      </c>
      <c r="B5" t="inlineStr">
        <is>
          <t>2026년 3월 결산기 연간 결산단신</t>
        </is>
      </c>
      <c r="C5" t="inlineStr">
        <is>
          <t>https://www2.jpx.co.jp/disc/25310/140120260513527782.pdf</t>
        </is>
      </c>
    </row>
    <row r="6">
      <c r="A6" t="inlineStr">
        <is>
          <t>2026-02-13</t>
        </is>
      </c>
      <c r="B6" t="inlineStr">
        <is>
          <t>2026년 3월 결산기 ３분기 결산단신</t>
        </is>
      </c>
      <c r="C6" t="inlineStr">
        <is>
          <t>https://www2.jpx.co.jp/disc/25310/140120260213559674.pdf</t>
        </is>
      </c>
    </row>
    <row r="7">
      <c r="A7" t="inlineStr">
        <is>
          <t>2025-11-11</t>
        </is>
      </c>
      <c r="B7" t="inlineStr">
        <is>
          <t>2026년 3월 결산기 ２분기 결산단신</t>
        </is>
      </c>
      <c r="C7" t="inlineStr">
        <is>
          <t>https://www2.jpx.co.jp/disc/25310/140120251110594911.pdf</t>
        </is>
      </c>
    </row>
    <row r="8">
      <c r="A8" t="inlineStr">
        <is>
          <t>2025-08-08</t>
        </is>
      </c>
      <c r="B8" t="inlineStr">
        <is>
          <t>2026년 3월 결산기 １분기 결산단신</t>
        </is>
      </c>
      <c r="C8" t="inlineStr">
        <is>
          <t>https://www2.jpx.co.jp/disc/25310/140120250808536774.pdf</t>
        </is>
      </c>
    </row>
    <row r="9">
      <c r="A9" t="inlineStr">
        <is>
          <t>2025-05-13</t>
        </is>
      </c>
      <c r="B9" t="inlineStr">
        <is>
          <t>2025년 3월 결산기 연간 결산단신</t>
        </is>
      </c>
      <c r="C9" t="inlineStr">
        <is>
          <t>https://www2.jpx.co.jp/disc/25310/140120250512543277.pdf</t>
        </is>
      </c>
    </row>
    <row r="10">
      <c r="A10" t="inlineStr">
        <is>
          <t>2025-02-13</t>
        </is>
      </c>
      <c r="B10" t="inlineStr">
        <is>
          <t>2025년 3월 결산기 3분기 결산단신</t>
        </is>
      </c>
      <c r="C10" t="inlineStr">
        <is>
          <t>https://www2.jpx.co.jp/disc/25310/140120241217539873.pdf</t>
        </is>
      </c>
    </row>
    <row r="11">
      <c r="A11" t="inlineStr">
        <is>
          <t>2024-11-08</t>
        </is>
      </c>
      <c r="B11" t="inlineStr">
        <is>
          <t>2025년 3월 결산기 2분기 결산단신</t>
        </is>
      </c>
      <c r="C11" t="inlineStr">
        <is>
          <t>https://www2.jpx.co.jp/disc/25310/140120241024502010.pdf</t>
        </is>
      </c>
    </row>
    <row r="12">
      <c r="A12" t="inlineStr">
        <is>
          <t>2024-08-08</t>
        </is>
      </c>
      <c r="B12" t="inlineStr">
        <is>
          <t>2025년 3월 결산기 1분기 결산단신</t>
        </is>
      </c>
      <c r="C12" t="inlineStr">
        <is>
          <t>https://www2.jpx.co.jp/disc/25310/140120240722552229.pdf</t>
        </is>
      </c>
    </row>
    <row r="13">
      <c r="A13" t="inlineStr">
        <is>
          <t>2024-05-10</t>
        </is>
      </c>
      <c r="B13" t="inlineStr">
        <is>
          <t>2024년 3월 결산기 연간 결산단신</t>
        </is>
      </c>
      <c r="C13" t="inlineStr">
        <is>
          <t>https://www2.jpx.co.jp/disc/25310/140120240425577322.pdf</t>
        </is>
      </c>
    </row>
    <row r="14">
      <c r="A14" t="inlineStr">
        <is>
          <t>2024-02-14</t>
        </is>
      </c>
      <c r="B14" t="inlineStr">
        <is>
          <t>2024년 3월 결산기 3분기 결산단신</t>
        </is>
      </c>
      <c r="C14" t="inlineStr">
        <is>
          <t>https://www2.jpx.co.jp/disc/25310/140120240111513272.pdf</t>
        </is>
      </c>
    </row>
    <row r="15">
      <c r="A15" t="inlineStr">
        <is>
          <t>2023-11-09</t>
        </is>
      </c>
      <c r="B15" t="inlineStr">
        <is>
          <t>2024년 3월 결산기 2분기 결산단신</t>
        </is>
      </c>
      <c r="C15" t="inlineStr">
        <is>
          <t>https://www2.jpx.co.jp/disc/25310/140120231004562750.pdf</t>
        </is>
      </c>
    </row>
    <row r="16">
      <c r="A16" t="inlineStr">
        <is>
          <t>2023-08-08</t>
        </is>
      </c>
      <c r="B16" t="inlineStr">
        <is>
          <t>2024년 3월 결산기 1분기 결산단신</t>
        </is>
      </c>
      <c r="C16" t="inlineStr">
        <is>
          <t>https://www2.jpx.co.jp/disc/25310/140120230726527106.pdf</t>
        </is>
      </c>
    </row>
    <row r="17">
      <c r="A17" t="inlineStr">
        <is>
          <t>2023-05-11</t>
        </is>
      </c>
      <c r="B17" t="inlineStr">
        <is>
          <t>2023년 3월 결산기 연간 결산단신</t>
        </is>
      </c>
      <c r="C17" t="inlineStr">
        <is>
          <t>https://www2.jpx.co.jp/disc/25310/140120230427554317.pdf</t>
        </is>
      </c>
    </row>
    <row r="18">
      <c r="A18" t="inlineStr">
        <is>
          <t>2023-02-09</t>
        </is>
      </c>
      <c r="B18" t="inlineStr">
        <is>
          <t>2023년 3월 결산기 3분기 결산단신</t>
        </is>
      </c>
      <c r="C18" t="inlineStr">
        <is>
          <t>https://www2.jpx.co.jp/disc/25310/140120230126594012.pdf</t>
        </is>
      </c>
    </row>
    <row r="19">
      <c r="A19" t="inlineStr">
        <is>
          <t>2022-11-10</t>
        </is>
      </c>
      <c r="B19" t="inlineStr">
        <is>
          <t>2023년 3월 결산기 2분기 결산단신</t>
        </is>
      </c>
      <c r="C19" t="inlineStr">
        <is>
          <t>https://www2.jpx.co.jp/disc/25310/140120220929538053.pdf</t>
        </is>
      </c>
    </row>
    <row r="20">
      <c r="A20" t="inlineStr">
        <is>
          <t>2022-05-12</t>
        </is>
      </c>
      <c r="B20" t="inlineStr">
        <is>
          <t>2022년 3월 결산기 연간 결산단신</t>
        </is>
      </c>
      <c r="C20" t="inlineStr">
        <is>
          <t>https://www2.jpx.co.jp/disc/25310/140120220503533173.pdf</t>
        </is>
      </c>
    </row>
    <row r="21">
      <c r="A21" t="inlineStr">
        <is>
          <t>2021-05-13</t>
        </is>
      </c>
      <c r="B21" t="inlineStr">
        <is>
          <t>2021년 3월 결산기 연간 결산단신</t>
        </is>
      </c>
      <c r="C21" t="inlineStr">
        <is>
          <t>https://www2.jpx.co.jp/disc/25310/140120210426400643.pdf</t>
        </is>
      </c>
    </row>
    <row r="22">
      <c r="A22" t="inlineStr">
        <is>
          <t>2020-05-14</t>
        </is>
      </c>
      <c r="B22" t="inlineStr">
        <is>
          <t>2020년 3월 결산기 연간 결산단신</t>
        </is>
      </c>
      <c r="C22" t="inlineStr">
        <is>
          <t>https://www2.jpx.co.jp/disc/25310/140120200325484340.pdf</t>
        </is>
      </c>
    </row>
    <row r="23">
      <c r="A23" t="inlineStr">
        <is>
          <t>2019-05-14</t>
        </is>
      </c>
      <c r="B23" t="inlineStr">
        <is>
          <t>2019년 3월 결산기 연간 결산단신</t>
        </is>
      </c>
      <c r="C23" t="inlineStr">
        <is>
          <t>https://www2.jpx.co.jp/disc/25310/140120190506414570.pdf</t>
        </is>
      </c>
    </row>
    <row r="24">
      <c r="A24" t="inlineStr">
        <is>
          <t>2018-05-11</t>
        </is>
      </c>
      <c r="B24" t="inlineStr">
        <is>
          <t>연간 결산단신</t>
        </is>
      </c>
      <c r="C24" t="inlineStr">
        <is>
          <t>https://www2.jpx.co.jp/disc/25310/140120180503427373.pdf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2026-10-28T07:41:04Z</dcterms:created>
  <dcterms:modified xmlns:dcterms="http://purl.org/dc/terms/" xmlns:xsi="http://www.w3.org/2001/XMLSchema-instance" xsi:type="dcterms:W3CDTF">2026-10-28T07:41:04Z</dcterms:modified>
</cp:coreProperties>
</file>