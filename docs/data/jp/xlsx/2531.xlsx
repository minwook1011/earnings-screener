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9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다카라홀딩스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81662</v>
      </c>
      <c r="D4" s="12" t="n">
        <v>90446</v>
      </c>
      <c r="E4" s="12" t="n">
        <v>85754</v>
      </c>
      <c r="F4" s="12" t="n">
        <v>84956</v>
      </c>
      <c r="G4" s="12" t="n">
        <v>91583</v>
      </c>
      <c r="H4" s="12" t="n">
        <v>90396</v>
      </c>
      <c r="I4" s="12" t="n">
        <v>95758</v>
      </c>
      <c r="J4" s="12" t="n">
        <v>93348</v>
      </c>
      <c r="K4" s="12" t="n">
        <v>93208</v>
      </c>
      <c r="L4" s="12" t="n">
        <v>104973</v>
      </c>
      <c r="M4" s="12" t="n">
        <v>102787</v>
      </c>
      <c r="N4" s="12" t="n">
        <v>103207</v>
      </c>
      <c r="O4" s="11" t="n">
        <v>234193</v>
      </c>
      <c r="P4" s="12" t="n">
        <v>268142</v>
      </c>
      <c r="Q4" s="12" t="n">
        <v>277443</v>
      </c>
      <c r="R4" s="12" t="n">
        <v>281191</v>
      </c>
      <c r="S4" s="12" t="n">
        <v>278443</v>
      </c>
      <c r="T4" s="12" t="n">
        <v>300918</v>
      </c>
      <c r="U4" s="12" t="n">
        <v>350665</v>
      </c>
      <c r="V4" s="12" t="n">
        <v>339372</v>
      </c>
      <c r="W4" s="12" t="n">
        <v>362693</v>
      </c>
      <c r="X4" s="12" t="n">
        <v>394316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다카라주조</t>
        </is>
      </c>
      <c r="B7" s="10" t="n"/>
      <c r="C7" s="19" t="n"/>
      <c r="D7" s="20" t="n"/>
      <c r="E7" s="20" t="n">
        <v>26001</v>
      </c>
      <c r="F7" s="20" t="n">
        <v>29906</v>
      </c>
      <c r="G7" s="20" t="n"/>
      <c r="H7" s="20" t="n"/>
      <c r="I7" s="20" t="n">
        <v>24352</v>
      </c>
      <c r="J7" s="20" t="n">
        <v>29149</v>
      </c>
      <c r="K7" s="20" t="n"/>
      <c r="L7" s="20" t="n"/>
      <c r="M7" s="20" t="n">
        <v>25622</v>
      </c>
      <c r="N7" s="20" t="n">
        <v>29892</v>
      </c>
      <c r="O7" s="19" t="n"/>
      <c r="P7" s="20" t="n"/>
      <c r="Q7" s="20" t="n"/>
      <c r="R7" s="20" t="n"/>
      <c r="S7" s="20" t="n"/>
      <c r="T7" s="20" t="n"/>
      <c r="U7" s="20" t="n"/>
      <c r="V7" s="20" t="n">
        <v>122964</v>
      </c>
      <c r="W7" s="20" t="n">
        <v>118774</v>
      </c>
      <c r="X7" s="20" t="n">
        <v>118032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다카라주조 인터내셔널 그룹</t>
        </is>
      </c>
      <c r="B10" s="10" t="n"/>
      <c r="C10" s="19" t="n"/>
      <c r="D10" s="20" t="n"/>
      <c r="E10" s="20" t="n">
        <v>43021</v>
      </c>
      <c r="F10" s="20" t="n">
        <v>43117</v>
      </c>
      <c r="G10" s="20" t="n"/>
      <c r="H10" s="20" t="n"/>
      <c r="I10" s="20" t="n">
        <v>52400</v>
      </c>
      <c r="J10" s="20" t="n">
        <v>51326</v>
      </c>
      <c r="K10" s="20" t="n"/>
      <c r="L10" s="20" t="n"/>
      <c r="M10" s="20" t="n">
        <v>61766</v>
      </c>
      <c r="N10" s="20" t="n">
        <v>60172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160082</v>
      </c>
      <c r="W10" s="20" t="n">
        <v>185434</v>
      </c>
      <c r="X10" s="20" t="n">
        <v>221549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다카라바이오 그룹</t>
        </is>
      </c>
      <c r="B13" s="10" t="n"/>
      <c r="C13" s="19" t="n">
        <v>67705</v>
      </c>
      <c r="D13" s="20" t="n">
        <v>-47148</v>
      </c>
      <c r="E13" s="20" t="n">
        <v>13771</v>
      </c>
      <c r="F13" s="20" t="n">
        <v>8493</v>
      </c>
      <c r="G13" s="20" t="n">
        <v>80259</v>
      </c>
      <c r="H13" s="20" t="n">
        <v>-59471</v>
      </c>
      <c r="I13" s="20" t="n">
        <v>15757</v>
      </c>
      <c r="J13" s="20" t="n">
        <v>9266</v>
      </c>
      <c r="K13" s="20" t="n">
        <v>94445</v>
      </c>
      <c r="L13" s="20" t="n">
        <v>-75319</v>
      </c>
      <c r="M13" s="20" t="n">
        <v>11925</v>
      </c>
      <c r="N13" s="20" t="n">
        <v>9204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43504</v>
      </c>
      <c r="W13" s="20" t="n">
        <v>45038</v>
      </c>
      <c r="X13" s="20" t="n">
        <v>40317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다카라 헬스케어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기타</t>
        </is>
      </c>
      <c r="B19" s="10" t="n"/>
      <c r="C19" s="19" t="n">
        <v>3009</v>
      </c>
      <c r="D19" s="20" t="n">
        <v>3390</v>
      </c>
      <c r="E19" s="20" t="n">
        <v>2961</v>
      </c>
      <c r="F19" s="20" t="n">
        <v>3438</v>
      </c>
      <c r="G19" s="20" t="n">
        <v>3116</v>
      </c>
      <c r="H19" s="20" t="n">
        <v>3643</v>
      </c>
      <c r="I19" s="20" t="n">
        <v>3249</v>
      </c>
      <c r="J19" s="20" t="n">
        <v>3606</v>
      </c>
      <c r="K19" s="20" t="n">
        <v>3362</v>
      </c>
      <c r="L19" s="20" t="n">
        <v>3974</v>
      </c>
      <c r="M19" s="20" t="n">
        <v>3474</v>
      </c>
      <c r="N19" s="20" t="n">
        <v>3939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12821</v>
      </c>
      <c r="W19" s="20" t="n">
        <v>13446</v>
      </c>
      <c r="X19" s="20" t="n">
        <v>14416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다카라주조 그룹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54242</v>
      </c>
      <c r="D26" s="20" t="n">
        <v>61511</v>
      </c>
      <c r="E26" s="20" t="n">
        <v>56214</v>
      </c>
      <c r="F26" s="20" t="n">
        <v>57595</v>
      </c>
      <c r="G26" s="20" t="n">
        <v>60199</v>
      </c>
      <c r="H26" s="20" t="n">
        <v>61617</v>
      </c>
      <c r="I26" s="20" t="n">
        <v>63634</v>
      </c>
      <c r="J26" s="20" t="n">
        <v>62450</v>
      </c>
      <c r="K26" s="20" t="n">
        <v>62463</v>
      </c>
      <c r="L26" s="20" t="n">
        <v>72375</v>
      </c>
      <c r="M26" s="20" t="n">
        <v>69332</v>
      </c>
      <c r="N26" s="20" t="n">
        <v>69943</v>
      </c>
      <c r="O26" s="19" t="n">
        <v>140182</v>
      </c>
      <c r="P26" s="20" t="n">
        <v>163529</v>
      </c>
      <c r="Q26" s="20" t="n">
        <v>168694</v>
      </c>
      <c r="R26" s="20" t="n">
        <v>172574</v>
      </c>
      <c r="S26" s="20" t="n">
        <v>162849</v>
      </c>
      <c r="T26" s="20" t="n">
        <v>187376</v>
      </c>
      <c r="U26" s="20" t="n">
        <v>230723</v>
      </c>
      <c r="V26" s="20" t="n">
        <v>225438</v>
      </c>
      <c r="W26" s="20" t="n">
        <v>243045</v>
      </c>
      <c r="X26" s="20" t="n">
        <v>266620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22058</v>
      </c>
      <c r="D32" s="20" t="n">
        <v>23619</v>
      </c>
      <c r="E32" s="20" t="n">
        <v>25077</v>
      </c>
      <c r="F32" s="20" t="n">
        <v>23295</v>
      </c>
      <c r="G32" s="20" t="n">
        <v>24917</v>
      </c>
      <c r="H32" s="20" t="n">
        <v>24402</v>
      </c>
      <c r="I32" s="20" t="n">
        <v>26436</v>
      </c>
      <c r="J32" s="20" t="n">
        <v>27441</v>
      </c>
      <c r="K32" s="20" t="n">
        <v>26415</v>
      </c>
      <c r="L32" s="20" t="n">
        <v>27753</v>
      </c>
      <c r="M32" s="20" t="n">
        <v>29010</v>
      </c>
      <c r="N32" s="20" t="n">
        <v>30314</v>
      </c>
      <c r="O32" s="19" t="n">
        <v>80458</v>
      </c>
      <c r="P32" s="20" t="n">
        <v>88999</v>
      </c>
      <c r="Q32" s="20" t="n">
        <v>90945</v>
      </c>
      <c r="R32" s="20" t="n">
        <v>92781</v>
      </c>
      <c r="S32" s="20" t="n">
        <v>93999</v>
      </c>
      <c r="T32" s="20" t="n">
        <v>70187</v>
      </c>
      <c r="U32" s="20" t="n">
        <v>81996</v>
      </c>
      <c r="V32" s="20" t="n">
        <v>91691</v>
      </c>
      <c r="W32" s="20" t="n">
        <v>99050</v>
      </c>
      <c r="X32" s="20" t="n">
        <v>110619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5363</v>
      </c>
      <c r="D34" s="12" t="n">
        <v>5315</v>
      </c>
      <c r="E34" s="12" t="n">
        <v>4463</v>
      </c>
      <c r="F34" s="12" t="n">
        <v>4064</v>
      </c>
      <c r="G34" s="12" t="n">
        <v>6468</v>
      </c>
      <c r="H34" s="12" t="n">
        <v>4377</v>
      </c>
      <c r="I34" s="12" t="n">
        <v>5688</v>
      </c>
      <c r="J34" s="12" t="n">
        <v>3456</v>
      </c>
      <c r="K34" s="12" t="n">
        <v>4330</v>
      </c>
      <c r="L34" s="12" t="n">
        <v>4846</v>
      </c>
      <c r="M34" s="12" t="n">
        <v>4444</v>
      </c>
      <c r="N34" s="12" t="n">
        <v>2949</v>
      </c>
      <c r="O34" s="11" t="n">
        <v>13551</v>
      </c>
      <c r="P34" s="12" t="n">
        <v>15612</v>
      </c>
      <c r="Q34" s="12" t="n">
        <v>17804</v>
      </c>
      <c r="R34" s="12" t="n">
        <v>15836</v>
      </c>
      <c r="S34" s="12" t="n">
        <v>21595</v>
      </c>
      <c r="T34" s="12" t="n">
        <v>43354</v>
      </c>
      <c r="U34" s="12" t="n">
        <v>37945</v>
      </c>
      <c r="V34" s="12" t="n">
        <v>22242</v>
      </c>
      <c r="W34" s="12" t="n">
        <v>20597</v>
      </c>
      <c r="X34" s="12" t="n">
        <v>17076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17</v>
      </c>
      <c r="D50" s="20" t="n">
        <v>2688</v>
      </c>
      <c r="E50" s="20" t="n">
        <v>1310</v>
      </c>
      <c r="F50" s="20" t="n">
        <v>2495</v>
      </c>
      <c r="G50" s="20" t="n">
        <v>313</v>
      </c>
      <c r="H50" s="20" t="n">
        <v>999</v>
      </c>
      <c r="I50" s="20" t="n">
        <v>927</v>
      </c>
      <c r="J50" s="20" t="n">
        <v>2351</v>
      </c>
      <c r="K50" s="20" t="n">
        <v>2811</v>
      </c>
      <c r="L50" s="20" t="n">
        <v>1997</v>
      </c>
      <c r="M50" s="20" t="n">
        <v>233</v>
      </c>
      <c r="N50" s="20" t="n">
        <v>2633</v>
      </c>
      <c r="O50" s="19" t="n">
        <v>1126</v>
      </c>
      <c r="P50" s="20" t="n">
        <v>3499</v>
      </c>
      <c r="Q50" s="20" t="n">
        <v>696</v>
      </c>
      <c r="R50" s="20" t="n">
        <v>1473</v>
      </c>
      <c r="S50" s="20" t="n">
        <v>529</v>
      </c>
      <c r="T50" s="20" t="n">
        <v>4658</v>
      </c>
      <c r="U50" s="20" t="n">
        <v>1681</v>
      </c>
      <c r="V50" s="20" t="n">
        <v>4034</v>
      </c>
      <c r="W50" s="20" t="n">
        <v>4734</v>
      </c>
      <c r="X50" s="20" t="n">
        <v>7392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57</v>
      </c>
      <c r="D52" s="20" t="n">
        <v>195</v>
      </c>
      <c r="E52" s="20" t="n">
        <v>853</v>
      </c>
      <c r="F52" s="20" t="n">
        <v>59</v>
      </c>
      <c r="G52" s="20" t="n">
        <v>197</v>
      </c>
      <c r="H52" s="20" t="n">
        <v>141</v>
      </c>
      <c r="I52" s="20" t="n">
        <v>702</v>
      </c>
      <c r="J52" s="20" t="n">
        <v>46</v>
      </c>
      <c r="K52" s="20" t="n">
        <v>3924</v>
      </c>
      <c r="L52" s="20" t="n">
        <v>182</v>
      </c>
      <c r="M52" s="20" t="n">
        <v>1831</v>
      </c>
      <c r="N52" s="20" t="n">
        <v>2590</v>
      </c>
      <c r="O52" s="19" t="n">
        <v>950</v>
      </c>
      <c r="P52" s="20" t="n">
        <v>679</v>
      </c>
      <c r="Q52" s="20" t="n">
        <v>1397</v>
      </c>
      <c r="R52" s="20" t="n">
        <v>2099</v>
      </c>
      <c r="S52" s="20" t="n">
        <v>1875</v>
      </c>
      <c r="T52" s="20" t="n">
        <v>6928</v>
      </c>
      <c r="U52" s="20" t="n">
        <v>694</v>
      </c>
      <c r="V52" s="20" t="n">
        <v>1132</v>
      </c>
      <c r="W52" s="20" t="n">
        <v>1099</v>
      </c>
      <c r="X52" s="20" t="n">
        <v>5983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302</v>
      </c>
      <c r="D54" s="20" t="n">
        <v>706</v>
      </c>
      <c r="E54" s="20" t="n">
        <v>407</v>
      </c>
      <c r="F54" s="20" t="n">
        <v>1013</v>
      </c>
      <c r="G54" s="20" t="n">
        <v>293</v>
      </c>
      <c r="H54" s="20" t="n">
        <v>888</v>
      </c>
      <c r="I54" s="20" t="n">
        <v>783</v>
      </c>
      <c r="J54" s="20" t="n">
        <v>872</v>
      </c>
      <c r="K54" s="20" t="n">
        <v>329</v>
      </c>
      <c r="L54" s="20" t="n">
        <v>731</v>
      </c>
      <c r="M54" s="20" t="n">
        <v>468</v>
      </c>
      <c r="N54" s="20" t="n">
        <v>1134</v>
      </c>
      <c r="O54" s="19" t="n">
        <v>1537</v>
      </c>
      <c r="P54" s="20" t="n">
        <v>1408</v>
      </c>
      <c r="Q54" s="20" t="n">
        <v>1461</v>
      </c>
      <c r="R54" s="20" t="n">
        <v>1458</v>
      </c>
      <c r="S54" s="20" t="n">
        <v>1311</v>
      </c>
      <c r="T54" s="20" t="n">
        <v>1492</v>
      </c>
      <c r="U54" s="20" t="n">
        <v>1678</v>
      </c>
      <c r="V54" s="20" t="n">
        <v>2161</v>
      </c>
      <c r="W54" s="20" t="n">
        <v>2977</v>
      </c>
      <c r="X54" s="20" t="n">
        <v>2400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332</v>
      </c>
      <c r="D56" s="20" t="n">
        <v>233</v>
      </c>
      <c r="E56" s="20" t="n">
        <v>353</v>
      </c>
      <c r="F56" s="20" t="n">
        <v>287</v>
      </c>
      <c r="G56" s="20" t="n">
        <v>385</v>
      </c>
      <c r="H56" s="20" t="n">
        <v>365</v>
      </c>
      <c r="I56" s="20" t="n">
        <v>357</v>
      </c>
      <c r="J56" s="20" t="n">
        <v>857</v>
      </c>
      <c r="K56" s="20" t="n">
        <v>744</v>
      </c>
      <c r="L56" s="20" t="n">
        <v>407</v>
      </c>
      <c r="M56" s="20" t="n">
        <v>607</v>
      </c>
      <c r="N56" s="20" t="n">
        <v>927</v>
      </c>
      <c r="O56" s="19" t="n">
        <v>744</v>
      </c>
      <c r="P56" s="20" t="n">
        <v>936</v>
      </c>
      <c r="Q56" s="20" t="n">
        <v>905</v>
      </c>
      <c r="R56" s="20" t="n">
        <v>1025</v>
      </c>
      <c r="S56" s="20" t="n">
        <v>976</v>
      </c>
      <c r="T56" s="20" t="n">
        <v>1615</v>
      </c>
      <c r="U56" s="20" t="n">
        <v>917</v>
      </c>
      <c r="V56" s="20" t="n">
        <v>1066</v>
      </c>
      <c r="W56" s="20" t="n">
        <v>1394</v>
      </c>
      <c r="X56" s="20" t="n">
        <v>2615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5292</v>
      </c>
      <c r="D58" s="12" t="n">
        <v>8281</v>
      </c>
      <c r="E58" s="12" t="n">
        <v>4973</v>
      </c>
      <c r="F58" s="12" t="n">
        <v>7227</v>
      </c>
      <c r="G58" s="12" t="n">
        <v>6491</v>
      </c>
      <c r="H58" s="12" t="n">
        <v>5758</v>
      </c>
      <c r="I58" s="12" t="n">
        <v>6339</v>
      </c>
      <c r="J58" s="12" t="n">
        <v>5776</v>
      </c>
      <c r="K58" s="12" t="n">
        <v>2802</v>
      </c>
      <c r="L58" s="12" t="n">
        <v>6984</v>
      </c>
      <c r="M58" s="12" t="n">
        <v>2708</v>
      </c>
      <c r="N58" s="12" t="n">
        <v>3199</v>
      </c>
      <c r="O58" s="11" t="n">
        <v>14520</v>
      </c>
      <c r="P58" s="12" t="n">
        <v>18903</v>
      </c>
      <c r="Q58" s="12" t="n">
        <v>17658</v>
      </c>
      <c r="R58" s="12" t="n">
        <v>15643</v>
      </c>
      <c r="S58" s="12" t="n">
        <v>20583</v>
      </c>
      <c r="T58" s="12" t="n">
        <v>40961</v>
      </c>
      <c r="U58" s="12" t="n">
        <v>39692</v>
      </c>
      <c r="V58" s="12" t="n">
        <v>26238</v>
      </c>
      <c r="W58" s="12" t="n">
        <v>25815</v>
      </c>
      <c r="X58" s="12" t="n">
        <v>18270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1713</v>
      </c>
      <c r="D60" s="20" t="n">
        <v>2548</v>
      </c>
      <c r="E60" s="20" t="n">
        <v>1971</v>
      </c>
      <c r="F60" s="20" t="n">
        <v>2205</v>
      </c>
      <c r="G60" s="20" t="n">
        <v>1811</v>
      </c>
      <c r="H60" s="20" t="n">
        <v>2411</v>
      </c>
      <c r="I60" s="20" t="n">
        <v>2065</v>
      </c>
      <c r="J60" s="20" t="n">
        <v>2084</v>
      </c>
      <c r="K60" s="20" t="n">
        <v>3207</v>
      </c>
      <c r="L60" s="20" t="n">
        <v>3071</v>
      </c>
      <c r="M60" s="20" t="n">
        <v>1429</v>
      </c>
      <c r="N60" s="20" t="n">
        <v>680</v>
      </c>
      <c r="O60" s="19" t="n">
        <v>5283</v>
      </c>
      <c r="P60" s="20" t="n">
        <v>6374</v>
      </c>
      <c r="Q60" s="20" t="n">
        <v>5310</v>
      </c>
      <c r="R60" s="20" t="n">
        <v>4952</v>
      </c>
      <c r="S60" s="20" t="n">
        <v>6326</v>
      </c>
      <c r="T60" s="20" t="n">
        <v>11590</v>
      </c>
      <c r="U60" s="20" t="n">
        <v>11001</v>
      </c>
      <c r="V60" s="20" t="n">
        <v>8472</v>
      </c>
      <c r="W60" s="20" t="n">
        <v>8492</v>
      </c>
      <c r="X60" s="20" t="n">
        <v>9791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3580</v>
      </c>
      <c r="D62" s="12" t="n">
        <v>5733</v>
      </c>
      <c r="E62" s="12" t="n">
        <v>3002</v>
      </c>
      <c r="F62" s="12" t="n">
        <v>5021</v>
      </c>
      <c r="G62" s="12" t="n">
        <v>4681</v>
      </c>
      <c r="H62" s="12" t="n">
        <v>3347</v>
      </c>
      <c r="I62" s="12" t="n">
        <v>4273</v>
      </c>
      <c r="J62" s="12" t="n">
        <v>3691</v>
      </c>
      <c r="K62" s="12" t="n">
        <v>-404</v>
      </c>
      <c r="L62" s="12" t="n">
        <v>3912</v>
      </c>
      <c r="M62" s="12" t="n">
        <v>1279</v>
      </c>
      <c r="N62" s="12" t="n">
        <v>2519</v>
      </c>
      <c r="O62" s="11" t="n">
        <v>9236</v>
      </c>
      <c r="P62" s="12" t="n">
        <v>12528</v>
      </c>
      <c r="Q62" s="12" t="n">
        <v>12347</v>
      </c>
      <c r="R62" s="12" t="n">
        <v>10691</v>
      </c>
      <c r="S62" s="12" t="n">
        <v>14256</v>
      </c>
      <c r="T62" s="12" t="n">
        <v>29370</v>
      </c>
      <c r="U62" s="12" t="n">
        <v>28690</v>
      </c>
      <c r="V62" s="12" t="n">
        <v>17766</v>
      </c>
      <c r="W62" s="12" t="n">
        <v>17322</v>
      </c>
      <c r="X62" s="12" t="n">
        <v>8478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3078</v>
      </c>
      <c r="D64" s="12" t="n">
        <v>5894</v>
      </c>
      <c r="E64" s="12" t="n">
        <v>2239</v>
      </c>
      <c r="F64" s="12" t="n">
        <v>5170</v>
      </c>
      <c r="G64" s="12" t="n">
        <v>3918</v>
      </c>
      <c r="H64" s="12" t="n">
        <v>3914</v>
      </c>
      <c r="I64" s="12" t="n">
        <v>3200</v>
      </c>
      <c r="J64" s="12" t="n">
        <v>4145</v>
      </c>
      <c r="K64" s="12" t="n">
        <v>1550</v>
      </c>
      <c r="L64" s="12" t="n">
        <v>4862</v>
      </c>
      <c r="M64" s="12" t="n">
        <v>1139</v>
      </c>
      <c r="N64" s="12" t="n">
        <v>3630</v>
      </c>
      <c r="O64" s="11" t="n">
        <v>8480</v>
      </c>
      <c r="P64" s="12" t="n">
        <v>11029</v>
      </c>
      <c r="Q64" s="12" t="n">
        <v>10411</v>
      </c>
      <c r="R64" s="12" t="n">
        <v>8980</v>
      </c>
      <c r="S64" s="12" t="n">
        <v>10574</v>
      </c>
      <c r="T64" s="12" t="n">
        <v>20769</v>
      </c>
      <c r="U64" s="12" t="n">
        <v>21206</v>
      </c>
      <c r="V64" s="12" t="n">
        <v>16176</v>
      </c>
      <c r="W64" s="12" t="n">
        <v>16202</v>
      </c>
      <c r="X64" s="12" t="n">
        <v>11696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81662</v>
      </c>
      <c r="D99" s="12" t="n">
        <v>90446</v>
      </c>
      <c r="E99" s="12" t="n">
        <v>85754</v>
      </c>
      <c r="F99" s="12" t="n">
        <v>84956</v>
      </c>
      <c r="G99" s="12" t="n">
        <v>91583</v>
      </c>
      <c r="H99" s="12" t="n">
        <v>90396</v>
      </c>
      <c r="I99" s="12" t="n">
        <v>95758</v>
      </c>
      <c r="J99" s="12" t="n">
        <v>93348</v>
      </c>
      <c r="K99" s="12" t="n">
        <v>93208</v>
      </c>
      <c r="L99" s="12" t="n">
        <v>104973</v>
      </c>
      <c r="M99" s="12" t="n">
        <v>102787</v>
      </c>
      <c r="N99" s="12" t="n">
        <v>103207</v>
      </c>
      <c r="T99" s="12" t="n">
        <v>79140</v>
      </c>
      <c r="U99" s="12" t="n">
        <v>85038</v>
      </c>
      <c r="V99" s="12" t="n">
        <v>85754</v>
      </c>
      <c r="W99" s="12" t="n">
        <v>95758</v>
      </c>
      <c r="X99" s="12" t="n">
        <v>102787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54242</v>
      </c>
      <c r="D101" s="20" t="n">
        <v>61511</v>
      </c>
      <c r="E101" s="20" t="n">
        <v>56214</v>
      </c>
      <c r="F101" s="20" t="n">
        <v>57595</v>
      </c>
      <c r="G101" s="20" t="n">
        <v>60199</v>
      </c>
      <c r="H101" s="20" t="n">
        <v>61617</v>
      </c>
      <c r="I101" s="20" t="n">
        <v>63634</v>
      </c>
      <c r="J101" s="20" t="n">
        <v>62450</v>
      </c>
      <c r="K101" s="20" t="n">
        <v>62463</v>
      </c>
      <c r="L101" s="20" t="n">
        <v>72375</v>
      </c>
      <c r="M101" s="20" t="n">
        <v>69332</v>
      </c>
      <c r="N101" s="20" t="n">
        <v>69943</v>
      </c>
      <c r="T101" s="20" t="n">
        <v>49611</v>
      </c>
      <c r="U101" s="20" t="n">
        <v>58598</v>
      </c>
      <c r="V101" s="20" t="n">
        <v>56214</v>
      </c>
      <c r="W101" s="20" t="n">
        <v>63634</v>
      </c>
      <c r="X101" s="20" t="n">
        <v>69332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27420</v>
      </c>
      <c r="D103" s="12" t="n">
        <v>28935</v>
      </c>
      <c r="E103" s="12" t="n">
        <v>29539</v>
      </c>
      <c r="F103" s="12" t="n">
        <v>27360</v>
      </c>
      <c r="G103" s="12" t="n">
        <v>31385</v>
      </c>
      <c r="H103" s="12" t="n">
        <v>28778</v>
      </c>
      <c r="I103" s="12" t="n">
        <v>32124</v>
      </c>
      <c r="J103" s="12" t="n">
        <v>30898</v>
      </c>
      <c r="K103" s="12" t="n">
        <v>30744</v>
      </c>
      <c r="L103" s="12" t="n">
        <v>32599</v>
      </c>
      <c r="M103" s="12" t="n">
        <v>33455</v>
      </c>
      <c r="N103" s="12" t="n">
        <v>33264</v>
      </c>
      <c r="T103" s="12" t="n">
        <v>29528</v>
      </c>
      <c r="U103" s="12" t="n">
        <v>26440</v>
      </c>
      <c r="V103" s="12" t="n">
        <v>29539</v>
      </c>
      <c r="W103" s="12" t="n">
        <v>32124</v>
      </c>
      <c r="X103" s="12" t="n">
        <v>33455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22058</v>
      </c>
      <c r="D105" s="20" t="n">
        <v>23619</v>
      </c>
      <c r="E105" s="20" t="n">
        <v>25077</v>
      </c>
      <c r="F105" s="20" t="n">
        <v>23295</v>
      </c>
      <c r="G105" s="20" t="n">
        <v>24917</v>
      </c>
      <c r="H105" s="20" t="n">
        <v>24402</v>
      </c>
      <c r="I105" s="20" t="n">
        <v>26436</v>
      </c>
      <c r="J105" s="20" t="n">
        <v>27441</v>
      </c>
      <c r="K105" s="20" t="n">
        <v>26415</v>
      </c>
      <c r="L105" s="20" t="n">
        <v>27753</v>
      </c>
      <c r="M105" s="20" t="n">
        <v>29010</v>
      </c>
      <c r="N105" s="20" t="n">
        <v>30314</v>
      </c>
      <c r="T105" s="20" t="n">
        <v>19764</v>
      </c>
      <c r="U105" s="20" t="n">
        <v>23381</v>
      </c>
      <c r="V105" s="20" t="n">
        <v>25077</v>
      </c>
      <c r="W105" s="20" t="n">
        <v>26436</v>
      </c>
      <c r="X105" s="20" t="n">
        <v>29010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5363</v>
      </c>
      <c r="D107" s="12" t="n">
        <v>5315</v>
      </c>
      <c r="E107" s="12" t="n">
        <v>4463</v>
      </c>
      <c r="F107" s="12" t="n">
        <v>4064</v>
      </c>
      <c r="G107" s="12" t="n">
        <v>6468</v>
      </c>
      <c r="H107" s="12" t="n">
        <v>4377</v>
      </c>
      <c r="I107" s="12" t="n">
        <v>5688</v>
      </c>
      <c r="J107" s="12" t="n">
        <v>3456</v>
      </c>
      <c r="K107" s="12" t="n">
        <v>4330</v>
      </c>
      <c r="L107" s="12" t="n">
        <v>4846</v>
      </c>
      <c r="M107" s="12" t="n">
        <v>4444</v>
      </c>
      <c r="N107" s="12" t="n">
        <v>2949</v>
      </c>
      <c r="T107" s="12" t="n">
        <v>9765</v>
      </c>
      <c r="U107" s="12" t="n">
        <v>3060</v>
      </c>
      <c r="V107" s="12" t="n">
        <v>4463</v>
      </c>
      <c r="W107" s="12" t="n">
        <v>5688</v>
      </c>
      <c r="X107" s="12" t="n">
        <v>4444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D110" s="20" t="n">
        <v>141</v>
      </c>
      <c r="E110" s="20" t="n">
        <v>163</v>
      </c>
      <c r="F110" s="20" t="n">
        <v>197</v>
      </c>
      <c r="G110" s="20" t="n">
        <v>211</v>
      </c>
      <c r="H110" s="20" t="n">
        <v>278</v>
      </c>
      <c r="I110" s="20" t="n">
        <v>297</v>
      </c>
      <c r="J110" s="20" t="n">
        <v>199</v>
      </c>
      <c r="K110" s="20" t="n">
        <v>144</v>
      </c>
      <c r="L110" s="20" t="n">
        <v>166</v>
      </c>
      <c r="M110" s="20" t="n">
        <v>152</v>
      </c>
      <c r="V110" s="20" t="n">
        <v>163</v>
      </c>
      <c r="W110" s="20" t="n">
        <v>297</v>
      </c>
      <c r="X110" s="20" t="n">
        <v>152</v>
      </c>
    </row>
    <row r="111">
      <c r="A111" s="18" t="inlineStr">
        <is>
          <t>배당금수익</t>
        </is>
      </c>
      <c r="C111" s="20" t="n">
        <v>25</v>
      </c>
      <c r="D111" s="20" t="n">
        <v>431</v>
      </c>
      <c r="E111" s="20" t="n">
        <v>21</v>
      </c>
      <c r="F111" s="20" t="n">
        <v>462</v>
      </c>
      <c r="G111" s="20" t="n">
        <v>30</v>
      </c>
      <c r="H111" s="20" t="n">
        <v>420</v>
      </c>
      <c r="I111" s="20" t="n">
        <v>32</v>
      </c>
      <c r="J111" s="20" t="n">
        <v>481</v>
      </c>
      <c r="K111" s="20" t="n">
        <v>51</v>
      </c>
      <c r="L111" s="20" t="n">
        <v>369</v>
      </c>
      <c r="M111" s="20" t="n">
        <v>31</v>
      </c>
      <c r="N111" s="20" t="n">
        <v>578</v>
      </c>
      <c r="T111" s="20" t="n">
        <v>17</v>
      </c>
      <c r="U111" s="20" t="n">
        <v>20</v>
      </c>
      <c r="V111" s="20" t="n">
        <v>21</v>
      </c>
      <c r="W111" s="20" t="n">
        <v>32</v>
      </c>
      <c r="X111" s="20" t="n">
        <v>31</v>
      </c>
    </row>
    <row r="112">
      <c r="A112" s="18" t="inlineStr">
        <is>
          <t>기타</t>
        </is>
      </c>
      <c r="C112" s="20" t="n">
        <v>122</v>
      </c>
      <c r="D112" s="20" t="n">
        <v>134</v>
      </c>
      <c r="E112" s="20" t="n">
        <v>224</v>
      </c>
      <c r="F112" s="20" t="n">
        <v>353</v>
      </c>
      <c r="G112" s="20" t="n">
        <v>53</v>
      </c>
      <c r="H112" s="20" t="n">
        <v>188</v>
      </c>
      <c r="I112" s="20" t="n">
        <v>455</v>
      </c>
      <c r="J112" s="20" t="n">
        <v>391</v>
      </c>
      <c r="K112" s="20" t="n">
        <v>-66</v>
      </c>
      <c r="L112" s="20" t="n">
        <v>196</v>
      </c>
      <c r="M112" s="20" t="n">
        <v>286</v>
      </c>
      <c r="N112" s="20" t="n">
        <v>556</v>
      </c>
      <c r="T112" s="20" t="n">
        <v>-19</v>
      </c>
      <c r="U112" s="20" t="n">
        <v>3</v>
      </c>
      <c r="V112" s="20" t="n">
        <v>224</v>
      </c>
      <c r="W112" s="20" t="n">
        <v>455</v>
      </c>
      <c r="X112" s="20" t="n">
        <v>286</v>
      </c>
    </row>
    <row r="113">
      <c r="A113" s="18" t="inlineStr">
        <is>
          <t>영업외수익 합계</t>
        </is>
      </c>
      <c r="C113" s="20" t="n">
        <v>302</v>
      </c>
      <c r="D113" s="20" t="n">
        <v>706</v>
      </c>
      <c r="E113" s="20" t="n">
        <v>407</v>
      </c>
      <c r="F113" s="20" t="n">
        <v>1013</v>
      </c>
      <c r="G113" s="20" t="n">
        <v>293</v>
      </c>
      <c r="H113" s="20" t="n">
        <v>888</v>
      </c>
      <c r="I113" s="20" t="n">
        <v>783</v>
      </c>
      <c r="J113" s="20" t="n">
        <v>872</v>
      </c>
      <c r="K113" s="20" t="n">
        <v>329</v>
      </c>
      <c r="L113" s="20" t="n">
        <v>731</v>
      </c>
      <c r="M113" s="20" t="n">
        <v>468</v>
      </c>
      <c r="N113" s="20" t="n">
        <v>1134</v>
      </c>
      <c r="T113" s="20" t="n">
        <v>331</v>
      </c>
      <c r="U113" s="20" t="n">
        <v>289</v>
      </c>
      <c r="V113" s="20" t="n">
        <v>407</v>
      </c>
      <c r="W113" s="20" t="n">
        <v>783</v>
      </c>
      <c r="X113" s="20" t="n">
        <v>468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18" t="inlineStr">
        <is>
          <t>이자비용</t>
        </is>
      </c>
      <c r="C115" s="20" t="n">
        <v>93</v>
      </c>
      <c r="D115" s="20" t="n">
        <v>116</v>
      </c>
      <c r="E115" s="20" t="n">
        <v>150</v>
      </c>
      <c r="F115" s="20" t="n">
        <v>155</v>
      </c>
      <c r="G115" s="20" t="n">
        <v>156</v>
      </c>
      <c r="H115" s="20" t="n">
        <v>164</v>
      </c>
      <c r="I115" s="20" t="n">
        <v>225</v>
      </c>
      <c r="J115" s="20" t="n">
        <v>351</v>
      </c>
      <c r="K115" s="20" t="n">
        <v>356</v>
      </c>
      <c r="L115" s="20" t="n">
        <v>410</v>
      </c>
      <c r="M115" s="20" t="n">
        <v>400</v>
      </c>
      <c r="N115" s="20" t="n">
        <v>525</v>
      </c>
      <c r="T115" s="20" t="n">
        <v>87</v>
      </c>
      <c r="U115" s="20" t="n">
        <v>89</v>
      </c>
      <c r="V115" s="20" t="n">
        <v>150</v>
      </c>
      <c r="W115" s="20" t="n">
        <v>225</v>
      </c>
      <c r="X115" s="20" t="n">
        <v>400</v>
      </c>
    </row>
    <row r="116">
      <c r="A116" s="18" t="inlineStr">
        <is>
          <t>외환차손</t>
        </is>
      </c>
      <c r="C116" s="20" t="n">
        <v>0</v>
      </c>
      <c r="D116" s="20" t="n">
        <v>0</v>
      </c>
      <c r="E116" s="20" t="n">
        <v>0</v>
      </c>
      <c r="F116" s="20" t="n">
        <v>0</v>
      </c>
      <c r="G116" s="20" t="n">
        <v>95</v>
      </c>
      <c r="J116" s="20" t="n">
        <v>360</v>
      </c>
      <c r="K116" s="20" t="n">
        <v>151</v>
      </c>
      <c r="N116" s="20" t="n">
        <v>0</v>
      </c>
      <c r="T116" s="20" t="n">
        <v>807</v>
      </c>
      <c r="U116" s="20" t="n">
        <v>34</v>
      </c>
      <c r="V116" s="20" t="n">
        <v>0</v>
      </c>
    </row>
    <row r="117">
      <c r="A117" s="18" t="inlineStr">
        <is>
          <t>지급수수료</t>
        </is>
      </c>
      <c r="J117" s="20" t="n">
        <v>0</v>
      </c>
      <c r="N117" s="20" t="n">
        <v>250</v>
      </c>
    </row>
    <row r="118">
      <c r="A118" s="18" t="inlineStr">
        <is>
          <t>기타</t>
        </is>
      </c>
      <c r="C118" s="20" t="n">
        <v>129</v>
      </c>
      <c r="D118" s="20" t="n">
        <v>227</v>
      </c>
      <c r="E118" s="20" t="n">
        <v>123</v>
      </c>
      <c r="F118" s="20" t="n">
        <v>131</v>
      </c>
      <c r="G118" s="20" t="n">
        <v>135</v>
      </c>
      <c r="H118" s="20" t="n">
        <v>296</v>
      </c>
      <c r="I118" s="20" t="n">
        <v>132</v>
      </c>
      <c r="J118" s="20" t="n">
        <v>145</v>
      </c>
      <c r="K118" s="20" t="n">
        <v>237</v>
      </c>
      <c r="L118" s="20" t="n">
        <v>508</v>
      </c>
      <c r="M118" s="20" t="n">
        <v>-61</v>
      </c>
      <c r="N118" s="20" t="n">
        <v>152</v>
      </c>
      <c r="T118" s="20" t="n">
        <v>162</v>
      </c>
      <c r="U118" s="20" t="n">
        <v>36</v>
      </c>
      <c r="V118" s="20" t="n">
        <v>123</v>
      </c>
      <c r="W118" s="20" t="n">
        <v>132</v>
      </c>
      <c r="X118" s="20" t="n">
        <v>-61</v>
      </c>
    </row>
    <row r="119">
      <c r="A119" s="18" t="inlineStr">
        <is>
          <t>영업외비용 합계</t>
        </is>
      </c>
      <c r="C119" s="20" t="n">
        <v>332</v>
      </c>
      <c r="D119" s="20" t="n">
        <v>233</v>
      </c>
      <c r="E119" s="20" t="n">
        <v>353</v>
      </c>
      <c r="F119" s="20" t="n">
        <v>287</v>
      </c>
      <c r="G119" s="20" t="n">
        <v>385</v>
      </c>
      <c r="H119" s="20" t="n">
        <v>365</v>
      </c>
      <c r="I119" s="20" t="n">
        <v>357</v>
      </c>
      <c r="J119" s="20" t="n">
        <v>857</v>
      </c>
      <c r="K119" s="20" t="n">
        <v>744</v>
      </c>
      <c r="L119" s="20" t="n">
        <v>407</v>
      </c>
      <c r="M119" s="20" t="n">
        <v>607</v>
      </c>
      <c r="N119" s="20" t="n">
        <v>927</v>
      </c>
      <c r="T119" s="20" t="n">
        <v>1057</v>
      </c>
      <c r="U119" s="20" t="n">
        <v>160</v>
      </c>
      <c r="V119" s="20" t="n">
        <v>353</v>
      </c>
      <c r="W119" s="20" t="n">
        <v>357</v>
      </c>
      <c r="X119" s="20" t="n">
        <v>607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9" t="inlineStr">
        <is>
          <t>경상이익</t>
        </is>
      </c>
      <c r="C121" s="12" t="n">
        <v>5332</v>
      </c>
      <c r="D121" s="12" t="n">
        <v>5788</v>
      </c>
      <c r="E121" s="12" t="n">
        <v>4516</v>
      </c>
      <c r="F121" s="12" t="n">
        <v>4791</v>
      </c>
      <c r="G121" s="12" t="n">
        <v>6375</v>
      </c>
      <c r="H121" s="12" t="n">
        <v>4900</v>
      </c>
      <c r="I121" s="12" t="n">
        <v>6114</v>
      </c>
      <c r="J121" s="12" t="n">
        <v>3471</v>
      </c>
      <c r="K121" s="12" t="n">
        <v>3915</v>
      </c>
      <c r="L121" s="12" t="n">
        <v>5169</v>
      </c>
      <c r="M121" s="12" t="n">
        <v>4306</v>
      </c>
      <c r="N121" s="12" t="n">
        <v>3157</v>
      </c>
      <c r="T121" s="12" t="n">
        <v>9038</v>
      </c>
      <c r="U121" s="12" t="n">
        <v>3189</v>
      </c>
      <c r="V121" s="12" t="n">
        <v>4516</v>
      </c>
      <c r="W121" s="12" t="n">
        <v>6114</v>
      </c>
      <c r="X121" s="12" t="n">
        <v>4306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IF(OR(G121="",C121=""),"",IF(C121&lt;=0,"",IFERROR(G121/C121-1,"")))</f>
        <v/>
      </c>
      <c r="H122" s="15">
        <f>IF(OR(H121="",D121=""),"",IF(D121&lt;=0,"",IFERROR(H121/D121-1,"")))</f>
        <v/>
      </c>
      <c r="I122" s="15">
        <f>IF(OR(I121="",E121=""),"",IF(E121&lt;=0,"",IFERROR(I121/E121-1,"")))</f>
        <v/>
      </c>
      <c r="J122" s="15">
        <f>IF(OR(J121="",F121=""),"",IF(F121&lt;=0,"",IFERROR(J121/F121-1,"")))</f>
        <v/>
      </c>
      <c r="K122" s="15">
        <f>IF(OR(K121="",G121=""),"",IF(G121&lt;=0,"",IFERROR(K121/G121-1,"")))</f>
        <v/>
      </c>
      <c r="L122" s="15">
        <f>IF(OR(L121="",H121=""),"",IF(H121&lt;=0,"",IFERROR(L121/H121-1,"")))</f>
        <v/>
      </c>
      <c r="M122" s="15">
        <f>IF(OR(M121="",I121=""),"",IF(I121&lt;=0,"",IFERROR(M121/I121-1,"")))</f>
        <v/>
      </c>
      <c r="N122" s="15">
        <f>IF(OR(N121="",J121=""),"",IF(J121&lt;=0,"",IFERROR(N121/J121-1,"")))</f>
        <v/>
      </c>
      <c r="T122" s="15">
        <f>IF(OR(T121="",S121=""),"",IF(S121&lt;=0,"",IFERROR(T121/S121-1,"")))</f>
        <v/>
      </c>
      <c r="U122" s="15">
        <f>IF(OR(U121="",T121=""),"",IF(T121&lt;=0,"",IFERROR(U121/T121-1,"")))</f>
        <v/>
      </c>
      <c r="V122" s="15">
        <f>IF(OR(V121="",U121=""),"",IF(U121&lt;=0,"",IFERROR(V121/U121-1,"")))</f>
        <v/>
      </c>
      <c r="W122" s="15">
        <f>IF(OR(W121="",V121=""),"",IF(V121&lt;=0,"",IFERROR(W121/V121-1,"")))</f>
        <v/>
      </c>
      <c r="X122" s="15">
        <f>IF(OR(X121="",W121=""),"",IF(W121&lt;=0,"",IFERROR(X121/W121-1,"")))</f>
        <v/>
      </c>
    </row>
    <row r="123">
      <c r="A123" s="18" t="inlineStr">
        <is>
          <t>고정자산 매각이익</t>
        </is>
      </c>
      <c r="C123" s="20" t="n">
        <v>17</v>
      </c>
      <c r="D123" s="20" t="n">
        <v>11</v>
      </c>
      <c r="E123" s="20" t="n">
        <v>9</v>
      </c>
      <c r="F123" s="20" t="n">
        <v>803</v>
      </c>
      <c r="G123" s="20" t="n">
        <v>11</v>
      </c>
      <c r="H123" s="20" t="n">
        <v>5</v>
      </c>
      <c r="I123" s="20" t="n">
        <v>6</v>
      </c>
      <c r="J123" s="20" t="n">
        <v>46</v>
      </c>
      <c r="N123" s="20" t="n">
        <v>886</v>
      </c>
      <c r="T123" s="20" t="n">
        <v>6</v>
      </c>
      <c r="U123" s="20" t="n">
        <v>8</v>
      </c>
      <c r="V123" s="20" t="n">
        <v>9</v>
      </c>
      <c r="W123" s="20" t="n">
        <v>6</v>
      </c>
    </row>
    <row r="124">
      <c r="A124" s="18" t="inlineStr">
        <is>
          <t>투자유가증권 매각이익</t>
        </is>
      </c>
      <c r="C124" s="20" t="n">
        <v>0</v>
      </c>
      <c r="D124" s="20" t="n">
        <v>2662</v>
      </c>
      <c r="E124" s="20" t="n">
        <v>1301</v>
      </c>
      <c r="F124" s="20" t="n">
        <v>1679</v>
      </c>
      <c r="G124" s="20" t="n">
        <v>294</v>
      </c>
      <c r="H124" s="20" t="n">
        <v>939</v>
      </c>
      <c r="I124" s="20" t="n">
        <v>784</v>
      </c>
      <c r="J124" s="20" t="n">
        <v>2251</v>
      </c>
      <c r="K124" s="20" t="n">
        <v>2170</v>
      </c>
      <c r="L124" s="20" t="n">
        <v>1990</v>
      </c>
      <c r="M124" s="20" t="n">
        <v>183</v>
      </c>
      <c r="N124" s="20" t="n">
        <v>1746</v>
      </c>
      <c r="U124" s="20" t="n">
        <v>538</v>
      </c>
      <c r="V124" s="20" t="n">
        <v>1301</v>
      </c>
      <c r="W124" s="20" t="n">
        <v>784</v>
      </c>
      <c r="X124" s="20" t="n">
        <v>183</v>
      </c>
    </row>
    <row r="125">
      <c r="A125" s="18" t="inlineStr">
        <is>
          <t>보험금 수익</t>
        </is>
      </c>
      <c r="C125" s="20" t="n">
        <v>0</v>
      </c>
      <c r="D125" s="20" t="n">
        <v>0</v>
      </c>
      <c r="E125" s="20" t="n">
        <v>0</v>
      </c>
      <c r="T125" s="20" t="n">
        <v>0</v>
      </c>
      <c r="U125" s="20" t="n">
        <v>26</v>
      </c>
      <c r="V125" s="20" t="n">
        <v>0</v>
      </c>
    </row>
    <row r="126">
      <c r="A126" s="18" t="inlineStr">
        <is>
          <t>국고보조금</t>
        </is>
      </c>
      <c r="D126" s="20" t="n">
        <v>0</v>
      </c>
      <c r="T126" s="20" t="n">
        <v>1265</v>
      </c>
    </row>
    <row r="127">
      <c r="A127" s="18" t="inlineStr">
        <is>
          <t>기타</t>
        </is>
      </c>
      <c r="C127" s="20" t="n">
        <v>0</v>
      </c>
      <c r="D127" s="20" t="n">
        <v>14</v>
      </c>
      <c r="E127" s="20" t="n">
        <v>0</v>
      </c>
      <c r="F127" s="20" t="n">
        <v>816</v>
      </c>
      <c r="G127" s="20" t="n">
        <v>18</v>
      </c>
      <c r="H127" s="20" t="n">
        <v>60</v>
      </c>
      <c r="I127" s="20" t="n">
        <v>144</v>
      </c>
      <c r="J127" s="20" t="n">
        <v>53</v>
      </c>
      <c r="K127" s="20" t="n">
        <v>688</v>
      </c>
      <c r="L127" s="20" t="n">
        <v>6</v>
      </c>
      <c r="M127" s="20" t="n">
        <v>51</v>
      </c>
      <c r="N127" s="20" t="n">
        <v>0</v>
      </c>
      <c r="T127" s="20" t="n">
        <v>4470</v>
      </c>
      <c r="U127" s="20" t="n">
        <v>71</v>
      </c>
      <c r="V127" s="20" t="n">
        <v>0</v>
      </c>
      <c r="W127" s="20" t="n">
        <v>144</v>
      </c>
      <c r="X127" s="20" t="n">
        <v>51</v>
      </c>
    </row>
    <row r="128">
      <c r="A128" s="18" t="inlineStr">
        <is>
          <t>특별이익 합계</t>
        </is>
      </c>
      <c r="C128" s="20" t="n">
        <v>17</v>
      </c>
      <c r="D128" s="20" t="n">
        <v>2688</v>
      </c>
      <c r="E128" s="20" t="n">
        <v>1310</v>
      </c>
      <c r="F128" s="20" t="n">
        <v>2495</v>
      </c>
      <c r="G128" s="20" t="n">
        <v>313</v>
      </c>
      <c r="H128" s="20" t="n">
        <v>999</v>
      </c>
      <c r="I128" s="20" t="n">
        <v>927</v>
      </c>
      <c r="J128" s="20" t="n">
        <v>2351</v>
      </c>
      <c r="K128" s="20" t="n">
        <v>2811</v>
      </c>
      <c r="L128" s="20" t="n">
        <v>1997</v>
      </c>
      <c r="M128" s="20" t="n">
        <v>233</v>
      </c>
      <c r="N128" s="20" t="n">
        <v>2633</v>
      </c>
      <c r="T128" s="20" t="n">
        <v>1270</v>
      </c>
      <c r="U128" s="20" t="n">
        <v>573</v>
      </c>
      <c r="V128" s="20" t="n">
        <v>1310</v>
      </c>
      <c r="W128" s="20" t="n">
        <v>927</v>
      </c>
      <c r="X128" s="20" t="n">
        <v>233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18" t="inlineStr">
        <is>
          <t>고정자산 제각·매각손실</t>
        </is>
      </c>
      <c r="C130" s="20" t="n">
        <v>57</v>
      </c>
      <c r="D130" s="20" t="n">
        <v>119</v>
      </c>
      <c r="E130" s="20" t="n">
        <v>639</v>
      </c>
      <c r="F130" s="20" t="n">
        <v>51</v>
      </c>
      <c r="G130" s="20" t="n">
        <v>70</v>
      </c>
      <c r="H130" s="20" t="n">
        <v>139</v>
      </c>
      <c r="I130" s="20" t="n">
        <v>278</v>
      </c>
      <c r="J130" s="20" t="n">
        <v>22</v>
      </c>
      <c r="T130" s="20" t="n">
        <v>284</v>
      </c>
      <c r="U130" s="20" t="n">
        <v>413</v>
      </c>
      <c r="V130" s="20" t="n">
        <v>639</v>
      </c>
      <c r="W130" s="20" t="n">
        <v>278</v>
      </c>
    </row>
    <row r="131">
      <c r="A131" s="18" t="inlineStr">
        <is>
          <t>제품 자진회수 관련 손실</t>
        </is>
      </c>
      <c r="T131" s="20" t="n">
        <v>-373</v>
      </c>
      <c r="U131" s="20" t="n">
        <v>0</v>
      </c>
    </row>
    <row r="132">
      <c r="A132" s="18" t="inlineStr">
        <is>
          <t>고정자산 압축손실</t>
        </is>
      </c>
      <c r="D132" s="20" t="n">
        <v>0</v>
      </c>
      <c r="T132" s="20" t="n">
        <v>1265</v>
      </c>
    </row>
    <row r="133">
      <c r="A133" s="18" t="inlineStr">
        <is>
          <t>손상차손</t>
        </is>
      </c>
      <c r="D133" s="20" t="n">
        <v>75</v>
      </c>
      <c r="E133" s="20" t="n">
        <v>132</v>
      </c>
      <c r="H133" s="20" t="n">
        <v>0</v>
      </c>
      <c r="I133" s="20" t="n">
        <v>269</v>
      </c>
      <c r="L133" s="20" t="n">
        <v>0</v>
      </c>
      <c r="M133" s="20" t="n">
        <v>138</v>
      </c>
      <c r="U133" s="20" t="n">
        <v>0</v>
      </c>
      <c r="V133" s="20" t="n">
        <v>132</v>
      </c>
      <c r="W133" s="20" t="n">
        <v>269</v>
      </c>
      <c r="X133" s="20" t="n">
        <v>138</v>
      </c>
    </row>
    <row r="134">
      <c r="A134" s="18" t="inlineStr">
        <is>
          <t>사업구조개혁 비용</t>
        </is>
      </c>
      <c r="J134" s="20" t="n">
        <v>0</v>
      </c>
      <c r="N134" s="20" t="n">
        <v>1655</v>
      </c>
    </row>
    <row r="135">
      <c r="A135" s="18" t="inlineStr">
        <is>
          <t>공개매수 관련 비용</t>
        </is>
      </c>
      <c r="J135" s="20" t="n">
        <v>0</v>
      </c>
      <c r="N135" s="20" t="n">
        <v>804</v>
      </c>
    </row>
    <row r="136">
      <c r="A136" s="18" t="inlineStr">
        <is>
          <t>포합주식 소멸차손</t>
        </is>
      </c>
      <c r="F136" s="20" t="n">
        <v>0</v>
      </c>
      <c r="J136" s="20" t="n">
        <v>24</v>
      </c>
      <c r="N136" s="20" t="n">
        <v>0</v>
      </c>
    </row>
    <row r="137">
      <c r="A137" s="18" t="inlineStr">
        <is>
          <t>기타</t>
        </is>
      </c>
      <c r="C137" s="20" t="n">
        <v>0</v>
      </c>
      <c r="D137" s="20" t="n">
        <v>0</v>
      </c>
      <c r="E137" s="20" t="n">
        <v>82</v>
      </c>
      <c r="F137" s="20" t="n">
        <v>8</v>
      </c>
      <c r="G137" s="20" t="n">
        <v>139</v>
      </c>
      <c r="H137" s="20" t="n">
        <v>141</v>
      </c>
      <c r="I137" s="20" t="n">
        <v>-106</v>
      </c>
      <c r="J137" s="20" t="n">
        <v>22</v>
      </c>
      <c r="K137" s="20" t="n">
        <v>77</v>
      </c>
      <c r="L137" s="20" t="n">
        <v>182</v>
      </c>
      <c r="M137" s="20" t="n">
        <v>879</v>
      </c>
      <c r="N137" s="20" t="n">
        <v>130</v>
      </c>
      <c r="T137" s="20" t="n">
        <v>5301</v>
      </c>
      <c r="U137" s="20" t="n">
        <v>131</v>
      </c>
      <c r="V137" s="20" t="n">
        <v>82</v>
      </c>
      <c r="W137" s="20" t="n">
        <v>-106</v>
      </c>
      <c r="X137" s="20" t="n">
        <v>879</v>
      </c>
    </row>
    <row r="138">
      <c r="A138" s="18" t="inlineStr">
        <is>
          <t>특별손실 합계</t>
        </is>
      </c>
      <c r="C138" s="20" t="n">
        <v>57</v>
      </c>
      <c r="D138" s="20" t="n">
        <v>195</v>
      </c>
      <c r="E138" s="20" t="n">
        <v>853</v>
      </c>
      <c r="F138" s="20" t="n">
        <v>59</v>
      </c>
      <c r="G138" s="20" t="n">
        <v>197</v>
      </c>
      <c r="H138" s="20" t="n">
        <v>141</v>
      </c>
      <c r="I138" s="20" t="n">
        <v>702</v>
      </c>
      <c r="J138" s="20" t="n">
        <v>46</v>
      </c>
      <c r="K138" s="20" t="n">
        <v>3924</v>
      </c>
      <c r="L138" s="20" t="n">
        <v>182</v>
      </c>
      <c r="M138" s="20" t="n">
        <v>1831</v>
      </c>
      <c r="N138" s="20" t="n">
        <v>2590</v>
      </c>
      <c r="T138" s="20" t="n">
        <v>2007</v>
      </c>
      <c r="U138" s="20" t="n">
        <v>480</v>
      </c>
      <c r="V138" s="20" t="n">
        <v>853</v>
      </c>
      <c r="W138" s="20" t="n">
        <v>702</v>
      </c>
      <c r="X138" s="20" t="n">
        <v>1831</v>
      </c>
    </row>
    <row r="139">
      <c r="A139" s="43" t="inlineStr">
        <is>
          <t>YoY</t>
        </is>
      </c>
      <c r="B139" s="3" t="inlineStr">
        <is>
          <t>전년 같은 분기·전년 대비</t>
        </is>
      </c>
      <c r="G139" s="15">
        <f>IF(OR(G138="",C138=""),"",IF(G138*C138&lt;=0,"",IFERROR(G138/C138-1,"")))</f>
        <v/>
      </c>
      <c r="H139" s="15">
        <f>IF(OR(H138="",D138=""),"",IF(H138*D138&lt;=0,"",IFERROR(H138/D138-1,"")))</f>
        <v/>
      </c>
      <c r="I139" s="15">
        <f>IF(OR(I138="",E138=""),"",IF(I138*E138&lt;=0,"",IFERROR(I138/E138-1,"")))</f>
        <v/>
      </c>
      <c r="J139" s="15">
        <f>IF(OR(J138="",F138=""),"",IF(J138*F138&lt;=0,"",IFERROR(J138/F138-1,"")))</f>
        <v/>
      </c>
      <c r="K139" s="15">
        <f>IF(OR(K138="",G138=""),"",IF(K138*G138&lt;=0,"",IFERROR(K138/G138-1,"")))</f>
        <v/>
      </c>
      <c r="L139" s="15">
        <f>IF(OR(L138="",H138=""),"",IF(L138*H138&lt;=0,"",IFERROR(L138/H138-1,"")))</f>
        <v/>
      </c>
      <c r="M139" s="15">
        <f>IF(OR(M138="",I138=""),"",IF(M138*I138&lt;=0,"",IFERROR(M138/I138-1,"")))</f>
        <v/>
      </c>
      <c r="N139" s="15">
        <f>IF(OR(N138="",J138=""),"",IF(N138*J138&lt;=0,"",IFERROR(N138/J138-1,"")))</f>
        <v/>
      </c>
      <c r="T139" s="15">
        <f>IF(OR(T138="",S138=""),"",IF(T138*S138&lt;=0,"",IFERROR(T138/S138-1,"")))</f>
        <v/>
      </c>
      <c r="U139" s="15">
        <f>IF(OR(U138="",T138=""),"",IF(U138*T138&lt;=0,"",IFERROR(U138/T138-1,"")))</f>
        <v/>
      </c>
      <c r="V139" s="15">
        <f>IF(OR(V138="",U138=""),"",IF(V138*U138&lt;=0,"",IFERROR(V138/U138-1,"")))</f>
        <v/>
      </c>
      <c r="W139" s="15">
        <f>IF(OR(W138="",V138=""),"",IF(W138*V138&lt;=0,"",IFERROR(W138/V138-1,"")))</f>
        <v/>
      </c>
      <c r="X139" s="15">
        <f>IF(OR(X138="",W138=""),"",IF(X138*W138&lt;=0,"",IFERROR(X138/W138-1,"")))</f>
        <v/>
      </c>
    </row>
    <row r="140">
      <c r="A140" s="9" t="inlineStr">
        <is>
          <t>법인세차감전 순이익</t>
        </is>
      </c>
      <c r="C140" s="12" t="n">
        <v>5292</v>
      </c>
      <c r="D140" s="12" t="n">
        <v>8281</v>
      </c>
      <c r="E140" s="12" t="n">
        <v>4973</v>
      </c>
      <c r="F140" s="12" t="n">
        <v>7227</v>
      </c>
      <c r="G140" s="12" t="n">
        <v>6491</v>
      </c>
      <c r="H140" s="12" t="n">
        <v>5758</v>
      </c>
      <c r="I140" s="12" t="n">
        <v>6339</v>
      </c>
      <c r="J140" s="12" t="n">
        <v>5776</v>
      </c>
      <c r="K140" s="12" t="n">
        <v>2802</v>
      </c>
      <c r="L140" s="12" t="n">
        <v>6984</v>
      </c>
      <c r="M140" s="12" t="n">
        <v>2708</v>
      </c>
      <c r="N140" s="12" t="n">
        <v>3199</v>
      </c>
      <c r="T140" s="12" t="n">
        <v>8303</v>
      </c>
      <c r="U140" s="12" t="n">
        <v>3282</v>
      </c>
      <c r="V140" s="12" t="n">
        <v>4973</v>
      </c>
      <c r="W140" s="12" t="n">
        <v>6339</v>
      </c>
      <c r="X140" s="12" t="n">
        <v>2708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IF(OR(G140="",C140=""),"",IF(C140&lt;=0,"",IFERROR(G140/C140-1,"")))</f>
        <v/>
      </c>
      <c r="H141" s="15">
        <f>IF(OR(H140="",D140=""),"",IF(D140&lt;=0,"",IFERROR(H140/D140-1,"")))</f>
        <v/>
      </c>
      <c r="I141" s="15">
        <f>IF(OR(I140="",E140=""),"",IF(E140&lt;=0,"",IFERROR(I140/E140-1,"")))</f>
        <v/>
      </c>
      <c r="J141" s="15">
        <f>IF(OR(J140="",F140=""),"",IF(F140&lt;=0,"",IFERROR(J140/F140-1,"")))</f>
        <v/>
      </c>
      <c r="K141" s="15">
        <f>IF(OR(K140="",G140=""),"",IF(G140&lt;=0,"",IFERROR(K140/G140-1,"")))</f>
        <v/>
      </c>
      <c r="L141" s="15">
        <f>IF(OR(L140="",H140=""),"",IF(H140&lt;=0,"",IFERROR(L140/H140-1,"")))</f>
        <v/>
      </c>
      <c r="M141" s="15">
        <f>IF(OR(M140="",I140=""),"",IF(I140&lt;=0,"",IFERROR(M140/I140-1,"")))</f>
        <v/>
      </c>
      <c r="N141" s="15">
        <f>IF(OR(N140="",J140=""),"",IF(J140&lt;=0,"",IFERROR(N140/J140-1,"")))</f>
        <v/>
      </c>
      <c r="T141" s="15">
        <f>IF(OR(T140="",S140=""),"",IF(S140&lt;=0,"",IFERROR(T140/S140-1,"")))</f>
        <v/>
      </c>
      <c r="U141" s="15">
        <f>IF(OR(U140="",T140=""),"",IF(T140&lt;=0,"",IFERROR(U140/T140-1,"")))</f>
        <v/>
      </c>
      <c r="V141" s="15">
        <f>IF(OR(V140="",U140=""),"",IF(U140&lt;=0,"",IFERROR(V140/U140-1,"")))</f>
        <v/>
      </c>
      <c r="W141" s="15">
        <f>IF(OR(W140="",V140=""),"",IF(V140&lt;=0,"",IFERROR(W140/V140-1,"")))</f>
        <v/>
      </c>
      <c r="X141" s="15">
        <f>IF(OR(X140="",W140=""),"",IF(W140&lt;=0,"",IFERROR(X140/W140-1,"")))</f>
        <v/>
      </c>
    </row>
    <row r="142">
      <c r="A142" s="18" t="inlineStr">
        <is>
          <t>법인세·주민세·사업세</t>
        </is>
      </c>
      <c r="C142" s="20" t="n">
        <v>1536</v>
      </c>
      <c r="D142" s="20" t="n">
        <v>2852</v>
      </c>
      <c r="E142" s="20" t="n">
        <v>1757</v>
      </c>
      <c r="F142" s="20" t="n">
        <v>3082</v>
      </c>
      <c r="G142" s="20" t="n">
        <v>1606</v>
      </c>
      <c r="H142" s="20" t="n">
        <v>2093</v>
      </c>
      <c r="I142" s="20" t="n">
        <v>1636</v>
      </c>
      <c r="J142" s="20" t="n">
        <v>2966</v>
      </c>
      <c r="K142" s="20" t="n">
        <v>2219</v>
      </c>
      <c r="L142" s="20" t="n">
        <v>2998</v>
      </c>
      <c r="M142" s="20" t="n">
        <v>1965</v>
      </c>
      <c r="N142" s="20" t="n">
        <v>3307</v>
      </c>
      <c r="T142" s="20" t="n">
        <v>2591</v>
      </c>
      <c r="U142" s="20" t="n">
        <v>525</v>
      </c>
      <c r="V142" s="20" t="n">
        <v>1757</v>
      </c>
      <c r="W142" s="20" t="n">
        <v>1636</v>
      </c>
      <c r="X142" s="20" t="n">
        <v>1965</v>
      </c>
    </row>
    <row r="143">
      <c r="A143" s="18" t="inlineStr">
        <is>
          <t>법인세 조정액</t>
        </is>
      </c>
      <c r="C143" s="20" t="n">
        <v>177</v>
      </c>
      <c r="D143" s="20" t="n">
        <v>-304</v>
      </c>
      <c r="E143" s="20" t="n">
        <v>215</v>
      </c>
      <c r="F143" s="20" t="n">
        <v>-876</v>
      </c>
      <c r="G143" s="20" t="n">
        <v>205</v>
      </c>
      <c r="H143" s="20" t="n">
        <v>317</v>
      </c>
      <c r="I143" s="20" t="n">
        <v>429</v>
      </c>
      <c r="J143" s="20" t="n">
        <v>-882</v>
      </c>
      <c r="K143" s="20" t="n">
        <v>987</v>
      </c>
      <c r="L143" s="20" t="n">
        <v>73</v>
      </c>
      <c r="M143" s="20" t="n">
        <v>-534</v>
      </c>
      <c r="N143" s="20" t="n">
        <v>-2626</v>
      </c>
      <c r="T143" s="20" t="n">
        <v>-259</v>
      </c>
      <c r="U143" s="20" t="n">
        <v>-169</v>
      </c>
      <c r="V143" s="20" t="n">
        <v>215</v>
      </c>
      <c r="W143" s="20" t="n">
        <v>429</v>
      </c>
      <c r="X143" s="20" t="n">
        <v>-534</v>
      </c>
    </row>
    <row r="144">
      <c r="A144" s="18" t="inlineStr">
        <is>
          <t>법인세 등 합계</t>
        </is>
      </c>
      <c r="C144" s="20" t="n">
        <v>1713</v>
      </c>
      <c r="D144" s="20" t="n">
        <v>2548</v>
      </c>
      <c r="E144" s="20" t="n">
        <v>1971</v>
      </c>
      <c r="F144" s="20" t="n">
        <v>2205</v>
      </c>
      <c r="G144" s="20" t="n">
        <v>1811</v>
      </c>
      <c r="H144" s="20" t="n">
        <v>2411</v>
      </c>
      <c r="I144" s="20" t="n">
        <v>2065</v>
      </c>
      <c r="J144" s="20" t="n">
        <v>2084</v>
      </c>
      <c r="K144" s="20" t="n">
        <v>3207</v>
      </c>
      <c r="L144" s="20" t="n">
        <v>3071</v>
      </c>
      <c r="M144" s="20" t="n">
        <v>1429</v>
      </c>
      <c r="N144" s="20" t="n">
        <v>680</v>
      </c>
      <c r="T144" s="20" t="n">
        <v>2332</v>
      </c>
      <c r="U144" s="20" t="n">
        <v>355</v>
      </c>
      <c r="V144" s="20" t="n">
        <v>1971</v>
      </c>
      <c r="W144" s="20" t="n">
        <v>2065</v>
      </c>
      <c r="X144" s="20" t="n">
        <v>1429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IF(OR(G144="",C144=""),"",IF(G144*C144&lt;=0,"",IFERROR(G144/C144-1,"")))</f>
        <v/>
      </c>
      <c r="H145" s="15">
        <f>IF(OR(H144="",D144=""),"",IF(H144*D144&lt;=0,"",IFERROR(H144/D144-1,"")))</f>
        <v/>
      </c>
      <c r="I145" s="15">
        <f>IF(OR(I144="",E144=""),"",IF(I144*E144&lt;=0,"",IFERROR(I144/E144-1,"")))</f>
        <v/>
      </c>
      <c r="J145" s="15">
        <f>IF(OR(J144="",F144=""),"",IF(J144*F144&lt;=0,"",IFERROR(J144/F144-1,"")))</f>
        <v/>
      </c>
      <c r="K145" s="15">
        <f>IF(OR(K144="",G144=""),"",IF(K144*G144&lt;=0,"",IFERROR(K144/G144-1,"")))</f>
        <v/>
      </c>
      <c r="L145" s="15">
        <f>IF(OR(L144="",H144=""),"",IF(L144*H144&lt;=0,"",IFERROR(L144/H144-1,"")))</f>
        <v/>
      </c>
      <c r="M145" s="15">
        <f>IF(OR(M144="",I144=""),"",IF(M144*I144&lt;=0,"",IFERROR(M144/I144-1,"")))</f>
        <v/>
      </c>
      <c r="N145" s="15">
        <f>IF(OR(N144="",J144=""),"",IF(N144*J144&lt;=0,"",IFERROR(N144/J144-1,"")))</f>
        <v/>
      </c>
      <c r="T145" s="15">
        <f>IF(OR(T144="",S144=""),"",IF(T144*S144&lt;=0,"",IFERROR(T144/S144-1,"")))</f>
        <v/>
      </c>
      <c r="U145" s="15">
        <f>IF(OR(U144="",T144=""),"",IF(U144*T144&lt;=0,"",IFERROR(U144/T144-1,"")))</f>
        <v/>
      </c>
      <c r="V145" s="15">
        <f>IF(OR(V144="",U144=""),"",IF(V144*U144&lt;=0,"",IFERROR(V144/U144-1,"")))</f>
        <v/>
      </c>
      <c r="W145" s="15">
        <f>IF(OR(W144="",V144=""),"",IF(W144*V144&lt;=0,"",IFERROR(W144/V144-1,"")))</f>
        <v/>
      </c>
      <c r="X145" s="15">
        <f>IF(OR(X144="",W144=""),"",IF(X144*W144&lt;=0,"",IFERROR(X144/W144-1,"")))</f>
        <v/>
      </c>
    </row>
    <row r="146">
      <c r="A146" s="9" t="inlineStr">
        <is>
          <t>순이익</t>
        </is>
      </c>
      <c r="C146" s="12" t="n">
        <v>3580</v>
      </c>
      <c r="D146" s="12" t="n">
        <v>5733</v>
      </c>
      <c r="E146" s="12" t="n">
        <v>3002</v>
      </c>
      <c r="F146" s="12" t="n">
        <v>5021</v>
      </c>
      <c r="G146" s="12" t="n">
        <v>4681</v>
      </c>
      <c r="H146" s="12" t="n">
        <v>3347</v>
      </c>
      <c r="I146" s="12" t="n">
        <v>4273</v>
      </c>
      <c r="J146" s="12" t="n">
        <v>3691</v>
      </c>
      <c r="K146" s="12" t="n">
        <v>-404</v>
      </c>
      <c r="L146" s="12" t="n">
        <v>3912</v>
      </c>
      <c r="M146" s="12" t="n">
        <v>1279</v>
      </c>
      <c r="N146" s="12" t="n">
        <v>2519</v>
      </c>
      <c r="T146" s="12" t="n">
        <v>5970</v>
      </c>
      <c r="U146" s="12" t="n">
        <v>2926</v>
      </c>
      <c r="V146" s="12" t="n">
        <v>3002</v>
      </c>
      <c r="W146" s="12" t="n">
        <v>4273</v>
      </c>
      <c r="X146" s="12" t="n">
        <v>1279</v>
      </c>
    </row>
    <row r="147">
      <c r="A147" s="43" t="inlineStr">
        <is>
          <t>YoY</t>
        </is>
      </c>
      <c r="B147" s="3" t="inlineStr">
        <is>
          <t>전년 같은 분기·전년 대비</t>
        </is>
      </c>
      <c r="G147" s="15">
        <f>IF(OR(G146="",C146=""),"",IF(C146&lt;=0,"",IFERROR(G146/C146-1,"")))</f>
        <v/>
      </c>
      <c r="H147" s="15">
        <f>IF(OR(H146="",D146=""),"",IF(D146&lt;=0,"",IFERROR(H146/D146-1,"")))</f>
        <v/>
      </c>
      <c r="I147" s="15">
        <f>IF(OR(I146="",E146=""),"",IF(E146&lt;=0,"",IFERROR(I146/E146-1,"")))</f>
        <v/>
      </c>
      <c r="J147" s="15">
        <f>IF(OR(J146="",F146=""),"",IF(F146&lt;=0,"",IFERROR(J146/F146-1,"")))</f>
        <v/>
      </c>
      <c r="K147" s="15">
        <f>IF(OR(K146="",G146=""),"",IF(G146&lt;=0,"",IFERROR(K146/G146-1,"")))</f>
        <v/>
      </c>
      <c r="L147" s="15">
        <f>IF(OR(L146="",H146=""),"",IF(H146&lt;=0,"",IFERROR(L146/H146-1,"")))</f>
        <v/>
      </c>
      <c r="M147" s="15">
        <f>IF(OR(M146="",I146=""),"",IF(I146&lt;=0,"",IFERROR(M146/I146-1,"")))</f>
        <v/>
      </c>
      <c r="N147" s="15">
        <f>IF(OR(N146="",J146=""),"",IF(J146&lt;=0,"",IFERROR(N146/J146-1,"")))</f>
        <v/>
      </c>
      <c r="T147" s="15">
        <f>IF(OR(T146="",S146=""),"",IF(S146&lt;=0,"",IFERROR(T146/S146-1,"")))</f>
        <v/>
      </c>
      <c r="U147" s="15">
        <f>IF(OR(U146="",T146=""),"",IF(T146&lt;=0,"",IFERROR(U146/T146-1,"")))</f>
        <v/>
      </c>
      <c r="V147" s="15">
        <f>IF(OR(V146="",U146=""),"",IF(U146&lt;=0,"",IFERROR(V146/U146-1,"")))</f>
        <v/>
      </c>
      <c r="W147" s="15">
        <f>IF(OR(W146="",V146=""),"",IF(V146&lt;=0,"",IFERROR(W146/V146-1,"")))</f>
        <v/>
      </c>
      <c r="X147" s="15">
        <f>IF(OR(X146="",W146=""),"",IF(W146&lt;=0,"",IFERROR(X146/W146-1,"")))</f>
        <v/>
      </c>
    </row>
    <row r="148">
      <c r="A148" s="9" t="inlineStr">
        <is>
          <t>비지배주주 당기순손실</t>
        </is>
      </c>
      <c r="C148" s="12" t="n">
        <v>502</v>
      </c>
      <c r="D148" s="12" t="n">
        <v>-161</v>
      </c>
      <c r="E148" s="12" t="n">
        <v>762</v>
      </c>
      <c r="F148" s="12" t="n">
        <v>-149</v>
      </c>
      <c r="G148" s="12" t="n">
        <v>762</v>
      </c>
      <c r="H148" s="12" t="n">
        <v>-567</v>
      </c>
      <c r="I148" s="12" t="n">
        <v>1074</v>
      </c>
      <c r="J148" s="12" t="n">
        <v>-453</v>
      </c>
      <c r="K148" s="12" t="n">
        <v>-1954</v>
      </c>
      <c r="L148" s="12" t="n">
        <v>-951</v>
      </c>
      <c r="M148" s="12" t="n">
        <v>141</v>
      </c>
      <c r="N148" s="12" t="n">
        <v>-1111</v>
      </c>
      <c r="T148" s="12" t="n">
        <v>2344</v>
      </c>
      <c r="U148" s="12" t="n">
        <v>813</v>
      </c>
      <c r="V148" s="12" t="n">
        <v>762</v>
      </c>
      <c r="W148" s="12" t="n">
        <v>1074</v>
      </c>
      <c r="X148" s="12" t="n">
        <v>141</v>
      </c>
    </row>
    <row r="149">
      <c r="A149" s="9" t="inlineStr">
        <is>
          <t>지배주주 순이익</t>
        </is>
      </c>
      <c r="C149" s="12" t="n">
        <v>3078</v>
      </c>
      <c r="D149" s="12" t="n">
        <v>5894</v>
      </c>
      <c r="E149" s="12" t="n">
        <v>2239</v>
      </c>
      <c r="F149" s="12" t="n">
        <v>5170</v>
      </c>
      <c r="G149" s="12" t="n">
        <v>3918</v>
      </c>
      <c r="H149" s="12" t="n">
        <v>3914</v>
      </c>
      <c r="I149" s="12" t="n">
        <v>3200</v>
      </c>
      <c r="J149" s="12" t="n">
        <v>4145</v>
      </c>
      <c r="K149" s="12" t="n">
        <v>1550</v>
      </c>
      <c r="L149" s="12" t="n">
        <v>4862</v>
      </c>
      <c r="M149" s="12" t="n">
        <v>1139</v>
      </c>
      <c r="N149" s="12" t="n">
        <v>3630</v>
      </c>
      <c r="T149" s="12" t="n">
        <v>3626</v>
      </c>
      <c r="U149" s="12" t="n">
        <v>2113</v>
      </c>
      <c r="V149" s="12" t="n">
        <v>2239</v>
      </c>
      <c r="W149" s="12" t="n">
        <v>3200</v>
      </c>
      <c r="X149" s="12" t="n">
        <v>1139</v>
      </c>
    </row>
    <row r="150">
      <c r="A150" s="43" t="inlineStr">
        <is>
          <t>YoY</t>
        </is>
      </c>
      <c r="B150" s="3" t="inlineStr">
        <is>
          <t>전년 같은 분기·전년 대비</t>
        </is>
      </c>
      <c r="G150" s="15">
        <f>IF(OR(G149="",C149=""),"",IF(C149&lt;=0,"",IFERROR(G149/C149-1,"")))</f>
        <v/>
      </c>
      <c r="H150" s="15">
        <f>IF(OR(H149="",D149=""),"",IF(D149&lt;=0,"",IFERROR(H149/D149-1,"")))</f>
        <v/>
      </c>
      <c r="I150" s="15">
        <f>IF(OR(I149="",E149=""),"",IF(E149&lt;=0,"",IFERROR(I149/E149-1,"")))</f>
        <v/>
      </c>
      <c r="J150" s="15">
        <f>IF(OR(J149="",F149=""),"",IF(F149&lt;=0,"",IFERROR(J149/F149-1,"")))</f>
        <v/>
      </c>
      <c r="K150" s="15">
        <f>IF(OR(K149="",G149=""),"",IF(G149&lt;=0,"",IFERROR(K149/G149-1,"")))</f>
        <v/>
      </c>
      <c r="L150" s="15">
        <f>IF(OR(L149="",H149=""),"",IF(H149&lt;=0,"",IFERROR(L149/H149-1,"")))</f>
        <v/>
      </c>
      <c r="M150" s="15">
        <f>IF(OR(M149="",I149=""),"",IF(I149&lt;=0,"",IFERROR(M149/I149-1,"")))</f>
        <v/>
      </c>
      <c r="N150" s="15">
        <f>IF(OR(N149="",J149=""),"",IF(J149&lt;=0,"",IFERROR(N149/J149-1,"")))</f>
        <v/>
      </c>
      <c r="T150" s="15">
        <f>IF(OR(T149="",S149=""),"",IF(S149&lt;=0,"",IFERROR(T149/S149-1,"")))</f>
        <v/>
      </c>
      <c r="U150" s="15">
        <f>IF(OR(U149="",T149=""),"",IF(T149&lt;=0,"",IFERROR(U149/T149-1,"")))</f>
        <v/>
      </c>
      <c r="V150" s="15">
        <f>IF(OR(V149="",U149=""),"",IF(U149&lt;=0,"",IFERROR(V149/U149-1,"")))</f>
        <v/>
      </c>
      <c r="W150" s="15">
        <f>IF(OR(W149="",V149=""),"",IF(V149&lt;=0,"",IFERROR(W149/V149-1,"")))</f>
        <v/>
      </c>
      <c r="X150" s="15">
        <f>IF(OR(X149="",W149=""),"",IF(W149&lt;=0,"",IFERROR(X149/W149-1,"")))</f>
        <v/>
      </c>
    </row>
    <row r="152">
      <c r="A152" s="16" t="inlineStr">
        <is>
          <t>포괄손익 · 전 항목</t>
        </is>
      </c>
      <c r="B152" s="42" t="inlineStr">
        <is>
          <t>분기 = 3개월 단독</t>
        </is>
      </c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  <c r="AA152" s="16" t="n"/>
      <c r="AB152" s="16" t="n"/>
      <c r="AC152" s="16" t="n"/>
    </row>
    <row r="153">
      <c r="A153" s="5" t="inlineStr">
        <is>
          <t>항목</t>
        </is>
      </c>
      <c r="B153" s="5" t="inlineStr">
        <is>
          <t>참고</t>
        </is>
      </c>
      <c r="C153" s="5" t="inlineStr">
        <is>
          <t>2024.2Q</t>
        </is>
      </c>
      <c r="D153" s="5" t="inlineStr">
        <is>
          <t>2024.3Q</t>
        </is>
      </c>
      <c r="E153" s="5" t="inlineStr">
        <is>
          <t>2024.4Q</t>
        </is>
      </c>
      <c r="F153" s="5" t="inlineStr">
        <is>
          <t>2025.1Q</t>
        </is>
      </c>
      <c r="G153" s="5" t="inlineStr">
        <is>
          <t>2025.2Q</t>
        </is>
      </c>
      <c r="H153" s="5" t="inlineStr">
        <is>
          <t>2025.3Q</t>
        </is>
      </c>
      <c r="I153" s="5" t="inlineStr">
        <is>
          <t>2025.4Q</t>
        </is>
      </c>
      <c r="J153" s="5" t="inlineStr">
        <is>
          <t>2026.1Q</t>
        </is>
      </c>
      <c r="K153" s="5" t="inlineStr">
        <is>
          <t>2026.2Q</t>
        </is>
      </c>
      <c r="L153" s="5" t="inlineStr">
        <is>
          <t>2026.3Q</t>
        </is>
      </c>
      <c r="M153" s="5" t="inlineStr">
        <is>
          <t>2026.4Q</t>
        </is>
      </c>
      <c r="N153" s="5" t="inlineStr">
        <is>
          <t>2027.1Q</t>
        </is>
      </c>
      <c r="O153" s="5" t="inlineStr">
        <is>
          <t>2017</t>
        </is>
      </c>
      <c r="P153" s="5" t="inlineStr">
        <is>
          <t>2018</t>
        </is>
      </c>
      <c r="Q153" s="5" t="inlineStr">
        <is>
          <t>2019</t>
        </is>
      </c>
      <c r="R153" s="5" t="inlineStr">
        <is>
          <t>2020</t>
        </is>
      </c>
      <c r="S153" s="5" t="inlineStr">
        <is>
          <t>2021</t>
        </is>
      </c>
      <c r="T153" s="5" t="inlineStr">
        <is>
          <t>2022</t>
        </is>
      </c>
      <c r="U153" s="5" t="inlineStr">
        <is>
          <t>2023</t>
        </is>
      </c>
      <c r="V153" s="5" t="inlineStr">
        <is>
          <t>2024</t>
        </is>
      </c>
      <c r="W153" s="5" t="inlineStr">
        <is>
          <t>2025</t>
        </is>
      </c>
      <c r="X153" s="5" t="inlineStr">
        <is>
          <t>2026</t>
        </is>
      </c>
      <c r="Y153" s="5" t="inlineStr">
        <is>
          <t>2027(MW)</t>
        </is>
      </c>
      <c r="Z153" s="5" t="inlineStr">
        <is>
          <t>2028(MW)</t>
        </is>
      </c>
      <c r="AA153" s="5" t="inlineStr">
        <is>
          <t>2029(MW)</t>
        </is>
      </c>
      <c r="AB153" s="5" t="inlineStr">
        <is>
          <t>2030(MW)</t>
        </is>
      </c>
      <c r="AC153" s="5" t="inlineStr">
        <is>
          <t>2031(MW)</t>
        </is>
      </c>
    </row>
    <row r="154">
      <c r="A154" s="9" t="inlineStr">
        <is>
          <t>순이익</t>
        </is>
      </c>
      <c r="C154" s="12" t="n">
        <v>3580</v>
      </c>
      <c r="D154" s="12" t="n">
        <v>5733</v>
      </c>
      <c r="E154" s="12" t="n">
        <v>3002</v>
      </c>
      <c r="F154" s="12" t="n">
        <v>5021</v>
      </c>
      <c r="G154" s="12" t="n">
        <v>4681</v>
      </c>
      <c r="H154" s="12" t="n">
        <v>3347</v>
      </c>
      <c r="I154" s="12" t="n">
        <v>4273</v>
      </c>
      <c r="J154" s="12" t="n">
        <v>3691</v>
      </c>
      <c r="K154" s="12" t="n">
        <v>-404</v>
      </c>
      <c r="L154" s="12" t="n">
        <v>3912</v>
      </c>
      <c r="M154" s="12" t="n">
        <v>1279</v>
      </c>
      <c r="N154" s="12" t="n">
        <v>2519</v>
      </c>
      <c r="T154" s="12" t="n">
        <v>5970</v>
      </c>
      <c r="U154" s="12" t="n">
        <v>2926</v>
      </c>
      <c r="V154" s="12" t="n">
        <v>3002</v>
      </c>
      <c r="W154" s="12" t="n">
        <v>4273</v>
      </c>
      <c r="X154" s="12" t="n">
        <v>1279</v>
      </c>
    </row>
    <row r="155">
      <c r="A155" s="18" t="inlineStr">
        <is>
          <t>기타유가증권 평가차액</t>
        </is>
      </c>
      <c r="C155" s="20" t="n">
        <v>936</v>
      </c>
      <c r="D155" s="20" t="n">
        <v>-685</v>
      </c>
      <c r="E155" s="20" t="n">
        <v>5534</v>
      </c>
      <c r="F155" s="20" t="n">
        <v>-1808</v>
      </c>
      <c r="G155" s="20" t="n">
        <v>-3678</v>
      </c>
      <c r="H155" s="20" t="n">
        <v>438</v>
      </c>
      <c r="I155" s="20" t="n">
        <v>-949</v>
      </c>
      <c r="J155" s="20" t="n">
        <v>-23</v>
      </c>
      <c r="K155" s="20" t="n">
        <v>1343</v>
      </c>
      <c r="L155" s="20" t="n">
        <v>976</v>
      </c>
      <c r="M155" s="20" t="n">
        <v>2563</v>
      </c>
      <c r="N155" s="20" t="n">
        <v>4841</v>
      </c>
      <c r="T155" s="20" t="n">
        <v>217</v>
      </c>
      <c r="U155" s="20" t="n">
        <v>789</v>
      </c>
      <c r="V155" s="20" t="n">
        <v>5534</v>
      </c>
      <c r="W155" s="20" t="n">
        <v>-949</v>
      </c>
      <c r="X155" s="20" t="n">
        <v>2563</v>
      </c>
    </row>
    <row r="156">
      <c r="A156" s="18" t="inlineStr">
        <is>
          <t>이연헤지손익</t>
        </is>
      </c>
      <c r="C156" s="20" t="n">
        <v>-90</v>
      </c>
      <c r="D156" s="20" t="n">
        <v>-193</v>
      </c>
      <c r="E156" s="20" t="n">
        <v>-93</v>
      </c>
      <c r="F156" s="20" t="n">
        <v>8</v>
      </c>
      <c r="G156" s="20" t="n">
        <v>-14</v>
      </c>
      <c r="H156" s="20" t="n">
        <v>5</v>
      </c>
      <c r="I156" s="20" t="n">
        <v>-6</v>
      </c>
      <c r="J156" s="20" t="n">
        <v>5</v>
      </c>
      <c r="K156" s="20" t="n">
        <v>-1</v>
      </c>
      <c r="L156" s="20" t="n">
        <v>0</v>
      </c>
      <c r="M156" s="20" t="n">
        <v>-3</v>
      </c>
      <c r="N156" s="20" t="n">
        <v>2</v>
      </c>
      <c r="T156" s="20" t="n">
        <v>139</v>
      </c>
      <c r="U156" s="20" t="n">
        <v>-85</v>
      </c>
      <c r="V156" s="20" t="n">
        <v>-93</v>
      </c>
      <c r="W156" s="20" t="n">
        <v>-6</v>
      </c>
      <c r="X156" s="20" t="n">
        <v>-3</v>
      </c>
    </row>
    <row r="157">
      <c r="A157" s="18" t="inlineStr">
        <is>
          <t>해외사업환산조정</t>
        </is>
      </c>
      <c r="C157" s="20" t="n">
        <v>10619</v>
      </c>
      <c r="D157" s="20" t="n">
        <v>2998</v>
      </c>
      <c r="E157" s="20" t="n">
        <v>-5153</v>
      </c>
      <c r="F157" s="20" t="n">
        <v>8301</v>
      </c>
      <c r="G157" s="20" t="n">
        <v>9881</v>
      </c>
      <c r="H157" s="20" t="n">
        <v>-16378</v>
      </c>
      <c r="I157" s="20" t="n">
        <v>12643</v>
      </c>
      <c r="J157" s="20" t="n">
        <v>-7920</v>
      </c>
      <c r="K157" s="20" t="n">
        <v>-151</v>
      </c>
      <c r="L157" s="20" t="n">
        <v>4490</v>
      </c>
      <c r="M157" s="20" t="n">
        <v>10205</v>
      </c>
      <c r="N157" s="20" t="n">
        <v>2358</v>
      </c>
      <c r="T157" s="20" t="n">
        <v>2681</v>
      </c>
      <c r="U157" s="20" t="n">
        <v>-8041</v>
      </c>
      <c r="V157" s="20" t="n">
        <v>-5153</v>
      </c>
      <c r="W157" s="20" t="n">
        <v>12643</v>
      </c>
      <c r="X157" s="20" t="n">
        <v>10205</v>
      </c>
    </row>
    <row r="158">
      <c r="A158" s="18" t="inlineStr">
        <is>
          <t>퇴직급여 조정액</t>
        </is>
      </c>
      <c r="C158" s="20" t="n">
        <v>61</v>
      </c>
      <c r="D158" s="20" t="n">
        <v>46</v>
      </c>
      <c r="E158" s="20" t="n">
        <v>208</v>
      </c>
      <c r="F158" s="20" t="n">
        <v>45</v>
      </c>
      <c r="G158" s="20" t="n">
        <v>46</v>
      </c>
      <c r="H158" s="20" t="n">
        <v>37</v>
      </c>
      <c r="I158" s="20" t="n">
        <v>82</v>
      </c>
      <c r="J158" s="20" t="n">
        <v>6</v>
      </c>
      <c r="K158" s="20" t="n">
        <v>-50</v>
      </c>
      <c r="L158" s="20" t="n">
        <v>13</v>
      </c>
      <c r="M158" s="20" t="n">
        <v>42</v>
      </c>
      <c r="N158" s="20" t="n">
        <v>82</v>
      </c>
      <c r="T158" s="20" t="n">
        <v>231</v>
      </c>
      <c r="U158" s="20" t="n">
        <v>-24</v>
      </c>
      <c r="V158" s="20" t="n">
        <v>208</v>
      </c>
      <c r="W158" s="20" t="n">
        <v>82</v>
      </c>
      <c r="X158" s="20" t="n">
        <v>42</v>
      </c>
    </row>
    <row r="159">
      <c r="A159" s="18" t="inlineStr">
        <is>
          <t>기타포괄손익 합계</t>
        </is>
      </c>
      <c r="C159" s="20" t="n">
        <v>11525</v>
      </c>
      <c r="D159" s="20" t="n">
        <v>2164</v>
      </c>
      <c r="E159" s="20" t="n">
        <v>496</v>
      </c>
      <c r="F159" s="20" t="n">
        <v>6546</v>
      </c>
      <c r="G159" s="20" t="n">
        <v>6235</v>
      </c>
      <c r="H159" s="20" t="n">
        <v>-15897</v>
      </c>
      <c r="I159" s="20" t="n">
        <v>11769</v>
      </c>
      <c r="J159" s="20" t="n">
        <v>-7931</v>
      </c>
      <c r="K159" s="20" t="n">
        <v>1140</v>
      </c>
      <c r="L159" s="20" t="n">
        <v>5481</v>
      </c>
      <c r="M159" s="20" t="n">
        <v>12808</v>
      </c>
      <c r="N159" s="20" t="n">
        <v>7285</v>
      </c>
      <c r="T159" s="20" t="n">
        <v>3269</v>
      </c>
      <c r="U159" s="20" t="n">
        <v>-7359</v>
      </c>
      <c r="V159" s="20" t="n">
        <v>496</v>
      </c>
      <c r="W159" s="20" t="n">
        <v>11769</v>
      </c>
      <c r="X159" s="20" t="n">
        <v>12808</v>
      </c>
    </row>
    <row r="160">
      <c r="A160" s="9" t="inlineStr">
        <is>
          <t>포괄이익</t>
        </is>
      </c>
      <c r="C160" s="12" t="n">
        <v>15106</v>
      </c>
      <c r="D160" s="12" t="n">
        <v>7897</v>
      </c>
      <c r="E160" s="12" t="n">
        <v>3497</v>
      </c>
      <c r="F160" s="12" t="n">
        <v>11567</v>
      </c>
      <c r="G160" s="12" t="n">
        <v>10916</v>
      </c>
      <c r="H160" s="12" t="n">
        <v>-12551</v>
      </c>
      <c r="I160" s="12" t="n">
        <v>16044</v>
      </c>
      <c r="J160" s="12" t="n">
        <v>-4239</v>
      </c>
      <c r="K160" s="12" t="n">
        <v>735</v>
      </c>
      <c r="L160" s="12" t="n">
        <v>9392</v>
      </c>
      <c r="M160" s="12" t="n">
        <v>14088</v>
      </c>
      <c r="N160" s="12" t="n">
        <v>9804</v>
      </c>
      <c r="T160" s="12" t="n">
        <v>9238</v>
      </c>
      <c r="U160" s="12" t="n">
        <v>-4434</v>
      </c>
      <c r="V160" s="12" t="n">
        <v>3497</v>
      </c>
      <c r="W160" s="12" t="n">
        <v>16044</v>
      </c>
      <c r="X160" s="12" t="n">
        <v>14088</v>
      </c>
    </row>
    <row r="161">
      <c r="A161" s="9" t="inlineStr">
        <is>
          <t>지배주주 포괄이익</t>
        </is>
      </c>
      <c r="C161" s="12" t="n">
        <v>12819</v>
      </c>
      <c r="D161" s="12" t="n">
        <v>7346</v>
      </c>
      <c r="E161" s="12" t="n">
        <v>3907</v>
      </c>
      <c r="F161" s="12" t="n">
        <v>10173</v>
      </c>
      <c r="G161" s="12" t="n">
        <v>8485</v>
      </c>
      <c r="H161" s="12" t="n">
        <v>-9100</v>
      </c>
      <c r="I161" s="12" t="n">
        <v>12580</v>
      </c>
      <c r="J161" s="12" t="n">
        <v>-2275</v>
      </c>
      <c r="K161" s="12" t="n">
        <v>3323</v>
      </c>
      <c r="L161" s="12" t="n">
        <v>9612</v>
      </c>
      <c r="M161" s="12" t="n">
        <v>12504</v>
      </c>
      <c r="N161" s="12" t="n">
        <v>10336</v>
      </c>
      <c r="T161" s="12" t="n">
        <v>6284</v>
      </c>
      <c r="U161" s="12" t="n">
        <v>-3303</v>
      </c>
      <c r="V161" s="12" t="n">
        <v>3907</v>
      </c>
      <c r="W161" s="12" t="n">
        <v>12580</v>
      </c>
      <c r="X161" s="12" t="n">
        <v>12504</v>
      </c>
    </row>
    <row r="162">
      <c r="A162" s="9" t="inlineStr">
        <is>
          <t>비지배주주 포괄이익</t>
        </is>
      </c>
      <c r="C162" s="12" t="n">
        <v>2288</v>
      </c>
      <c r="D162" s="12" t="n">
        <v>550</v>
      </c>
      <c r="E162" s="12" t="n">
        <v>-410</v>
      </c>
      <c r="F162" s="12" t="n">
        <v>1394</v>
      </c>
      <c r="G162" s="12" t="n">
        <v>2431</v>
      </c>
      <c r="H162" s="12" t="n">
        <v>-3451</v>
      </c>
      <c r="I162" s="12" t="n">
        <v>3464</v>
      </c>
      <c r="J162" s="12" t="n">
        <v>-1964</v>
      </c>
      <c r="K162" s="12" t="n">
        <v>-2588</v>
      </c>
      <c r="L162" s="12" t="n">
        <v>-219</v>
      </c>
      <c r="M162" s="12" t="n">
        <v>1584</v>
      </c>
      <c r="N162" s="12" t="n">
        <v>-532</v>
      </c>
      <c r="T162" s="12" t="n">
        <v>2954</v>
      </c>
      <c r="U162" s="12" t="n">
        <v>-1130</v>
      </c>
      <c r="V162" s="12" t="n">
        <v>-410</v>
      </c>
      <c r="W162" s="12" t="n">
        <v>3464</v>
      </c>
      <c r="X162" s="12" t="n">
        <v>1584</v>
      </c>
    </row>
    <row r="164">
      <c r="A164" s="16" t="inlineStr">
        <is>
          <t>부문 · 전 항목</t>
        </is>
      </c>
      <c r="B164" s="42" t="inlineStr">
        <is>
          <t>부문 · 항목</t>
        </is>
      </c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  <c r="AA164" s="16" t="n"/>
      <c r="AB164" s="16" t="n"/>
      <c r="AC164" s="16" t="n"/>
    </row>
    <row r="165">
      <c r="A165" s="5" t="inlineStr">
        <is>
          <t>항목</t>
        </is>
      </c>
      <c r="B165" s="5" t="inlineStr">
        <is>
          <t>참고</t>
        </is>
      </c>
      <c r="C165" s="5" t="inlineStr">
        <is>
          <t>2024.2Q</t>
        </is>
      </c>
      <c r="D165" s="5" t="inlineStr">
        <is>
          <t>2024.3Q</t>
        </is>
      </c>
      <c r="E165" s="5" t="inlineStr">
        <is>
          <t>2024.4Q</t>
        </is>
      </c>
      <c r="F165" s="5" t="inlineStr">
        <is>
          <t>2025.1Q</t>
        </is>
      </c>
      <c r="G165" s="5" t="inlineStr">
        <is>
          <t>2025.2Q</t>
        </is>
      </c>
      <c r="H165" s="5" t="inlineStr">
        <is>
          <t>2025.3Q</t>
        </is>
      </c>
      <c r="I165" s="5" t="inlineStr">
        <is>
          <t>2025.4Q</t>
        </is>
      </c>
      <c r="J165" s="5" t="inlineStr">
        <is>
          <t>2026.1Q</t>
        </is>
      </c>
      <c r="K165" s="5" t="inlineStr">
        <is>
          <t>2026.2Q</t>
        </is>
      </c>
      <c r="L165" s="5" t="inlineStr">
        <is>
          <t>2026.3Q</t>
        </is>
      </c>
      <c r="M165" s="5" t="inlineStr">
        <is>
          <t>2026.4Q</t>
        </is>
      </c>
      <c r="N165" s="5" t="inlineStr">
        <is>
          <t>2027.1Q</t>
        </is>
      </c>
      <c r="O165" s="5" t="inlineStr">
        <is>
          <t>2017</t>
        </is>
      </c>
      <c r="P165" s="5" t="inlineStr">
        <is>
          <t>2018</t>
        </is>
      </c>
      <c r="Q165" s="5" t="inlineStr">
        <is>
          <t>2019</t>
        </is>
      </c>
      <c r="R165" s="5" t="inlineStr">
        <is>
          <t>2020</t>
        </is>
      </c>
      <c r="S165" s="5" t="inlineStr">
        <is>
          <t>2021</t>
        </is>
      </c>
      <c r="T165" s="5" t="inlineStr">
        <is>
          <t>2022</t>
        </is>
      </c>
      <c r="U165" s="5" t="inlineStr">
        <is>
          <t>2023</t>
        </is>
      </c>
      <c r="V165" s="5" t="inlineStr">
        <is>
          <t>2024</t>
        </is>
      </c>
      <c r="W165" s="5" t="inlineStr">
        <is>
          <t>2025</t>
        </is>
      </c>
      <c r="X165" s="5" t="inlineStr">
        <is>
          <t>2026</t>
        </is>
      </c>
      <c r="Y165" s="5" t="inlineStr">
        <is>
          <t>2027(MW)</t>
        </is>
      </c>
      <c r="Z165" s="5" t="inlineStr">
        <is>
          <t>2028(MW)</t>
        </is>
      </c>
      <c r="AA165" s="5" t="inlineStr">
        <is>
          <t>2029(MW)</t>
        </is>
      </c>
      <c r="AB165" s="5" t="inlineStr">
        <is>
          <t>2030(MW)</t>
        </is>
      </c>
      <c r="AC165" s="5" t="inlineStr">
        <is>
          <t>2031(MW)</t>
        </is>
      </c>
    </row>
    <row r="166">
      <c r="A166" s="18" t="inlineStr">
        <is>
          <t>다카라주조 · 외부 고객 매출</t>
        </is>
      </c>
      <c r="E166" s="20" t="n">
        <v>26001</v>
      </c>
      <c r="F166" s="20" t="n">
        <v>29906</v>
      </c>
      <c r="I166" s="20" t="n">
        <v>24352</v>
      </c>
      <c r="J166" s="20" t="n">
        <v>29149</v>
      </c>
      <c r="M166" s="20" t="n">
        <v>25622</v>
      </c>
      <c r="N166" s="20" t="n">
        <v>29892</v>
      </c>
      <c r="V166" s="20" t="n">
        <v>26001</v>
      </c>
      <c r="W166" s="20" t="n">
        <v>24352</v>
      </c>
      <c r="X166" s="20" t="n">
        <v>25622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다카라주조 인터내셔널 그룹 · 외부 고객 매출</t>
        </is>
      </c>
      <c r="E168" s="20" t="n">
        <v>43021</v>
      </c>
      <c r="F168" s="20" t="n">
        <v>43117</v>
      </c>
      <c r="I168" s="20" t="n">
        <v>52400</v>
      </c>
      <c r="J168" s="20" t="n">
        <v>51326</v>
      </c>
      <c r="M168" s="20" t="n">
        <v>61766</v>
      </c>
      <c r="N168" s="20" t="n">
        <v>60172</v>
      </c>
      <c r="V168" s="20" t="n">
        <v>43021</v>
      </c>
      <c r="W168" s="20" t="n">
        <v>52400</v>
      </c>
      <c r="X168" s="20" t="n">
        <v>61766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다카라바이오 그룹 · 외부 고객 매출</t>
        </is>
      </c>
      <c r="C170" s="20" t="n">
        <v>67705</v>
      </c>
      <c r="D170" s="20" t="n">
        <v>-47148</v>
      </c>
      <c r="E170" s="20" t="n">
        <v>13771</v>
      </c>
      <c r="F170" s="20" t="n">
        <v>8493</v>
      </c>
      <c r="G170" s="20" t="n">
        <v>80259</v>
      </c>
      <c r="H170" s="20" t="n">
        <v>-59471</v>
      </c>
      <c r="I170" s="20" t="n">
        <v>15757</v>
      </c>
      <c r="J170" s="20" t="n">
        <v>9266</v>
      </c>
      <c r="K170" s="20" t="n">
        <v>94445</v>
      </c>
      <c r="L170" s="20" t="n">
        <v>-75319</v>
      </c>
      <c r="M170" s="20" t="n">
        <v>11925</v>
      </c>
      <c r="N170" s="20" t="n">
        <v>9204</v>
      </c>
      <c r="V170" s="20" t="n">
        <v>13771</v>
      </c>
      <c r="W170" s="20" t="n">
        <v>15757</v>
      </c>
      <c r="X170" s="20" t="n">
        <v>11925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I171" s="15">
        <f>IF(OR(I170="",E170=""),"",IF(E170&lt;=0,"",IFERROR(I170/E170-1,"")))</f>
        <v/>
      </c>
      <c r="J171" s="15">
        <f>IF(OR(J170="",F170=""),"",IF(F170&lt;=0,"",IFERROR(J170/F170-1,"")))</f>
        <v/>
      </c>
      <c r="K171" s="15">
        <f>IF(OR(K170="",G170=""),"",IF(G170&lt;=0,"",IFERROR(K170/G170-1,"")))</f>
        <v/>
      </c>
      <c r="L171" s="15">
        <f>IF(OR(L170="",H170=""),"",IF(H170&lt;=0,"",IFERROR(L170/H170-1,"")))</f>
        <v/>
      </c>
      <c r="M171" s="15">
        <f>IF(OR(M170="",I170=""),"",IF(I170&lt;=0,"",IFERROR(M170/I170-1,"")))</f>
        <v/>
      </c>
      <c r="N171" s="15">
        <f>IF(OR(N170="",J170=""),"",IF(J170&lt;=0,"",IFERROR(N170/J170-1,"")))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  <c r="X171" s="15">
        <f>IF(OR(X170="",W170=""),"",IF(W170&lt;=0,"",IFERROR(X170/W170-1,"")))</f>
        <v/>
      </c>
    </row>
    <row r="172">
      <c r="A172" s="18" t="inlineStr">
        <is>
          <t>보고부문 합계 · 외부 고객 매출</t>
        </is>
      </c>
      <c r="C172" s="20" t="n">
        <v>78653</v>
      </c>
      <c r="D172" s="20" t="n">
        <v>87055</v>
      </c>
      <c r="E172" s="20" t="n">
        <v>82794</v>
      </c>
      <c r="F172" s="20" t="n">
        <v>81517</v>
      </c>
      <c r="G172" s="20" t="n">
        <v>88468</v>
      </c>
      <c r="H172" s="20" t="n">
        <v>86753</v>
      </c>
      <c r="I172" s="20" t="n">
        <v>92509</v>
      </c>
      <c r="J172" s="20" t="n">
        <v>89742</v>
      </c>
      <c r="K172" s="20" t="n">
        <v>89845</v>
      </c>
      <c r="L172" s="20" t="n">
        <v>100999</v>
      </c>
      <c r="M172" s="20" t="n">
        <v>99313</v>
      </c>
      <c r="N172" s="20" t="n">
        <v>99268</v>
      </c>
      <c r="V172" s="20" t="n">
        <v>82794</v>
      </c>
      <c r="W172" s="20" t="n">
        <v>92509</v>
      </c>
      <c r="X172" s="20" t="n">
        <v>99313</v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IF(OR(G172="",C172=""),"",IF(C172&lt;=0,"",IFERROR(G172/C172-1,"")))</f>
        <v/>
      </c>
      <c r="H173" s="15">
        <f>IF(OR(H172="",D172=""),"",IF(D172&lt;=0,"",IFERROR(H172/D172-1,"")))</f>
        <v/>
      </c>
      <c r="I173" s="15">
        <f>IF(OR(I172="",E172=""),"",IF(E172&lt;=0,"",IFERROR(I172/E172-1,"")))</f>
        <v/>
      </c>
      <c r="J173" s="15">
        <f>IF(OR(J172="",F172=""),"",IF(F172&lt;=0,"",IFERROR(J172/F172-1,"")))</f>
        <v/>
      </c>
      <c r="K173" s="15">
        <f>IF(OR(K172="",G172=""),"",IF(G172&lt;=0,"",IFERROR(K172/G172-1,"")))</f>
        <v/>
      </c>
      <c r="L173" s="15">
        <f>IF(OR(L172="",H172=""),"",IF(H172&lt;=0,"",IFERROR(L172/H172-1,"")))</f>
        <v/>
      </c>
      <c r="M173" s="15">
        <f>IF(OR(M172="",I172=""),"",IF(I172&lt;=0,"",IFERROR(M172/I172-1,"")))</f>
        <v/>
      </c>
      <c r="N173" s="15">
        <f>IF(OR(N172="",J172=""),"",IF(J172&lt;=0,"",IFERROR(N172/J172-1,"")))</f>
        <v/>
      </c>
      <c r="V173" s="15">
        <f>IF(OR(V172="",U172=""),"",IF(U172&lt;=0,"",IFERROR(V172/U172-1,"")))</f>
        <v/>
      </c>
      <c r="W173" s="15">
        <f>IF(OR(W172="",V172=""),"",IF(V172&lt;=0,"",IFERROR(W172/V172-1,"")))</f>
        <v/>
      </c>
      <c r="X173" s="15">
        <f>IF(OR(X172="",W172=""),"",IF(W172&lt;=0,"",IFERROR(X172/W172-1,"")))</f>
        <v/>
      </c>
    </row>
    <row r="174">
      <c r="A174" s="18" t="inlineStr">
        <is>
          <t>기타 · 외부 고객 매출</t>
        </is>
      </c>
      <c r="C174" s="20" t="n">
        <v>3009</v>
      </c>
      <c r="D174" s="20" t="n">
        <v>3390</v>
      </c>
      <c r="E174" s="20" t="n">
        <v>2961</v>
      </c>
      <c r="F174" s="20" t="n">
        <v>3438</v>
      </c>
      <c r="G174" s="20" t="n">
        <v>3116</v>
      </c>
      <c r="H174" s="20" t="n">
        <v>3643</v>
      </c>
      <c r="I174" s="20" t="n">
        <v>3249</v>
      </c>
      <c r="J174" s="20" t="n">
        <v>3606</v>
      </c>
      <c r="K174" s="20" t="n">
        <v>3362</v>
      </c>
      <c r="L174" s="20" t="n">
        <v>3974</v>
      </c>
      <c r="M174" s="20" t="n">
        <v>3474</v>
      </c>
      <c r="N174" s="20" t="n">
        <v>3939</v>
      </c>
      <c r="V174" s="20" t="n">
        <v>2961</v>
      </c>
      <c r="W174" s="20" t="n">
        <v>3249</v>
      </c>
      <c r="X174" s="20" t="n">
        <v>3474</v>
      </c>
    </row>
    <row r="175">
      <c r="A175" s="43" t="inlineStr">
        <is>
          <t>YoY</t>
        </is>
      </c>
      <c r="B175" s="3" t="inlineStr">
        <is>
          <t>전년 같은 분기·전년 대비</t>
        </is>
      </c>
      <c r="G175" s="15">
        <f>IF(OR(G174="",C174=""),"",IF(C174&lt;=0,"",IFERROR(G174/C174-1,"")))</f>
        <v/>
      </c>
      <c r="H175" s="15">
        <f>IF(OR(H174="",D174=""),"",IF(D174&lt;=0,"",IFERROR(H174/D174-1,"")))</f>
        <v/>
      </c>
      <c r="I175" s="15">
        <f>IF(OR(I174="",E174=""),"",IF(E174&lt;=0,"",IFERROR(I174/E174-1,"")))</f>
        <v/>
      </c>
      <c r="J175" s="15">
        <f>IF(OR(J174="",F174=""),"",IF(F174&lt;=0,"",IFERROR(J174/F174-1,"")))</f>
        <v/>
      </c>
      <c r="K175" s="15">
        <f>IF(OR(K174="",G174=""),"",IF(G174&lt;=0,"",IFERROR(K174/G174-1,"")))</f>
        <v/>
      </c>
      <c r="L175" s="15">
        <f>IF(OR(L174="",H174=""),"",IF(H174&lt;=0,"",IFERROR(L174/H174-1,"")))</f>
        <v/>
      </c>
      <c r="M175" s="15">
        <f>IF(OR(M174="",I174=""),"",IF(I174&lt;=0,"",IFERROR(M174/I174-1,"")))</f>
        <v/>
      </c>
      <c r="N175" s="15">
        <f>IF(OR(N174="",J174=""),"",IF(J174&lt;=0,"",IFERROR(N174/J174-1,"")))</f>
        <v/>
      </c>
      <c r="V175" s="15">
        <f>IF(OR(V174="",U174=""),"",IF(U174&lt;=0,"",IFERROR(V174/U174-1,"")))</f>
        <v/>
      </c>
      <c r="W175" s="15">
        <f>IF(OR(W174="",V174=""),"",IF(V174&lt;=0,"",IFERROR(W174/V174-1,"")))</f>
        <v/>
      </c>
      <c r="X175" s="15">
        <f>IF(OR(X174="",W174=""),"",IF(W174&lt;=0,"",IFERROR(X174/W174-1,"")))</f>
        <v/>
      </c>
    </row>
    <row r="176">
      <c r="A176" s="18" t="inlineStr">
        <is>
          <t>합계 · 외부 고객 매출</t>
        </is>
      </c>
      <c r="C176" s="20" t="n">
        <v>81662</v>
      </c>
      <c r="D176" s="20" t="n">
        <v>90446</v>
      </c>
      <c r="E176" s="20" t="n">
        <v>85754</v>
      </c>
      <c r="F176" s="20" t="n">
        <v>84956</v>
      </c>
      <c r="G176" s="20" t="n">
        <v>91583</v>
      </c>
      <c r="H176" s="20" t="n">
        <v>90396</v>
      </c>
      <c r="I176" s="20" t="n">
        <v>95758</v>
      </c>
      <c r="J176" s="20" t="n">
        <v>93348</v>
      </c>
      <c r="K176" s="20" t="n">
        <v>93208</v>
      </c>
      <c r="L176" s="20" t="n">
        <v>104973</v>
      </c>
      <c r="M176" s="20" t="n">
        <v>102787</v>
      </c>
      <c r="N176" s="20" t="n">
        <v>103207</v>
      </c>
      <c r="V176" s="20" t="n">
        <v>85754</v>
      </c>
      <c r="W176" s="20" t="n">
        <v>95758</v>
      </c>
      <c r="X176" s="20" t="n">
        <v>102787</v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IF(OR(G176="",C176=""),"",IF(C176&lt;=0,"",IFERROR(G176/C176-1,"")))</f>
        <v/>
      </c>
      <c r="H177" s="15">
        <f>IF(OR(H176="",D176=""),"",IF(D176&lt;=0,"",IFERROR(H176/D176-1,"")))</f>
        <v/>
      </c>
      <c r="I177" s="15">
        <f>IF(OR(I176="",E176=""),"",IF(E176&lt;=0,"",IFERROR(I176/E176-1,"")))</f>
        <v/>
      </c>
      <c r="J177" s="15">
        <f>IF(OR(J176="",F176=""),"",IF(F176&lt;=0,"",IFERROR(J176/F176-1,"")))</f>
        <v/>
      </c>
      <c r="K177" s="15">
        <f>IF(OR(K176="",G176=""),"",IF(G176&lt;=0,"",IFERROR(K176/G176-1,"")))</f>
        <v/>
      </c>
      <c r="L177" s="15">
        <f>IF(OR(L176="",H176=""),"",IF(H176&lt;=0,"",IFERROR(L176/H176-1,"")))</f>
        <v/>
      </c>
      <c r="M177" s="15">
        <f>IF(OR(M176="",I176=""),"",IF(I176&lt;=0,"",IFERROR(M176/I176-1,"")))</f>
        <v/>
      </c>
      <c r="N177" s="15">
        <f>IF(OR(N176="",J176=""),"",IF(J176&lt;=0,"",IFERROR(N176/J176-1,"")))</f>
        <v/>
      </c>
      <c r="V177" s="15">
        <f>IF(OR(V176="",U176=""),"",IF(U176&lt;=0,"",IFERROR(V176/U176-1,"")))</f>
        <v/>
      </c>
      <c r="W177" s="15">
        <f>IF(OR(W176="",V176=""),"",IF(V176&lt;=0,"",IFERROR(W176/V176-1,"")))</f>
        <v/>
      </c>
      <c r="X177" s="15">
        <f>IF(OR(X176="",W176=""),"",IF(W176&lt;=0,"",IFERROR(X176/W176-1,"")))</f>
        <v/>
      </c>
    </row>
    <row r="178">
      <c r="A178" s="18" t="inlineStr">
        <is>
          <t>조정액 · 외부 고객 매출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I178" s="20" t="n">
        <v>0</v>
      </c>
      <c r="J178" s="20" t="n">
        <v>0</v>
      </c>
      <c r="K178" s="20" t="n">
        <v>0</v>
      </c>
      <c r="L178" s="20" t="n">
        <v>0</v>
      </c>
      <c r="M178" s="20" t="n">
        <v>0</v>
      </c>
      <c r="N178" s="20" t="n">
        <v>0</v>
      </c>
      <c r="V178" s="20" t="n">
        <v>0</v>
      </c>
      <c r="W178" s="20" t="n">
        <v>0</v>
      </c>
      <c r="X178" s="20" t="n">
        <v>0</v>
      </c>
    </row>
    <row r="179">
      <c r="A179" s="9" t="inlineStr">
        <is>
          <t>외부 고객 매출</t>
        </is>
      </c>
      <c r="C179" s="12" t="n">
        <v>81662</v>
      </c>
      <c r="D179" s="12" t="n">
        <v>90446</v>
      </c>
      <c r="E179" s="12" t="n">
        <v>85754</v>
      </c>
      <c r="F179" s="12" t="n">
        <v>84956</v>
      </c>
      <c r="G179" s="12" t="n">
        <v>91583</v>
      </c>
      <c r="H179" s="12" t="n">
        <v>90396</v>
      </c>
      <c r="I179" s="12" t="n">
        <v>95758</v>
      </c>
      <c r="J179" s="12" t="n">
        <v>93348</v>
      </c>
      <c r="K179" s="12" t="n">
        <v>93208</v>
      </c>
      <c r="L179" s="12" t="n">
        <v>104973</v>
      </c>
      <c r="M179" s="12" t="n">
        <v>102787</v>
      </c>
      <c r="N179" s="12" t="n">
        <v>103207</v>
      </c>
      <c r="V179" s="12" t="n">
        <v>85754</v>
      </c>
      <c r="W179" s="12" t="n">
        <v>95758</v>
      </c>
      <c r="X179" s="12" t="n">
        <v>102787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다카라주조 · 부문 간 내부매출·대체</t>
        </is>
      </c>
      <c r="E181" s="20" t="n">
        <v>166</v>
      </c>
      <c r="F181" s="20" t="n">
        <v>264</v>
      </c>
      <c r="I181" s="20" t="n">
        <v>181</v>
      </c>
      <c r="J181" s="20" t="n">
        <v>371</v>
      </c>
      <c r="M181" s="20" t="n">
        <v>198</v>
      </c>
      <c r="N181" s="20" t="n">
        <v>353</v>
      </c>
      <c r="V181" s="20" t="n">
        <v>166</v>
      </c>
      <c r="W181" s="20" t="n">
        <v>181</v>
      </c>
      <c r="X181" s="20" t="n">
        <v>198</v>
      </c>
    </row>
    <row r="182">
      <c r="A182" s="18" t="inlineStr">
        <is>
          <t>다카라주조 인터내셔널 그룹 · 부문 간 내부매출·대체</t>
        </is>
      </c>
      <c r="E182" s="20" t="n">
        <v>28</v>
      </c>
      <c r="F182" s="20" t="n">
        <v>103</v>
      </c>
      <c r="I182" s="20" t="n">
        <v>86</v>
      </c>
      <c r="J182" s="20" t="n">
        <v>126</v>
      </c>
      <c r="M182" s="20" t="n">
        <v>106</v>
      </c>
      <c r="N182" s="20" t="n">
        <v>162</v>
      </c>
      <c r="V182" s="20" t="n">
        <v>28</v>
      </c>
      <c r="W182" s="20" t="n">
        <v>86</v>
      </c>
      <c r="X182" s="20" t="n">
        <v>106</v>
      </c>
    </row>
    <row r="183">
      <c r="A183" s="18" t="inlineStr">
        <is>
          <t>다카라바이오 그룹 · 부문 간 내부매출·대체</t>
        </is>
      </c>
      <c r="C183" s="20" t="n">
        <v>282</v>
      </c>
      <c r="D183" s="20" t="n">
        <v>-282</v>
      </c>
      <c r="E183" s="20" t="n">
        <v>1</v>
      </c>
      <c r="F183" s="20" t="n">
        <v>0</v>
      </c>
      <c r="G183" s="20" t="n">
        <v>227</v>
      </c>
      <c r="H183" s="20" t="n">
        <v>-227</v>
      </c>
      <c r="I183" s="20" t="n">
        <v>1</v>
      </c>
      <c r="J183" s="20" t="n">
        <v>0</v>
      </c>
      <c r="K183" s="20" t="n">
        <v>177</v>
      </c>
      <c r="L183" s="20" t="n">
        <v>-177</v>
      </c>
      <c r="M183" s="20" t="n">
        <v>1</v>
      </c>
      <c r="N183" s="20" t="n">
        <v>0</v>
      </c>
      <c r="V183" s="20" t="n">
        <v>1</v>
      </c>
      <c r="W183" s="20" t="n">
        <v>1</v>
      </c>
      <c r="X183" s="20" t="n">
        <v>1</v>
      </c>
    </row>
    <row r="184">
      <c r="A184" s="18" t="inlineStr">
        <is>
          <t>보고부문 합계 · 부문 간 내부매출·대체</t>
        </is>
      </c>
      <c r="C184" s="20" t="n">
        <v>435</v>
      </c>
      <c r="D184" s="20" t="n">
        <v>206</v>
      </c>
      <c r="E184" s="20" t="n">
        <v>194</v>
      </c>
      <c r="F184" s="20" t="n">
        <v>367</v>
      </c>
      <c r="G184" s="20" t="n">
        <v>365</v>
      </c>
      <c r="H184" s="20" t="n">
        <v>259</v>
      </c>
      <c r="I184" s="20" t="n">
        <v>268</v>
      </c>
      <c r="J184" s="20" t="n">
        <v>498</v>
      </c>
      <c r="K184" s="20" t="n">
        <v>359</v>
      </c>
      <c r="L184" s="20" t="n">
        <v>269</v>
      </c>
      <c r="M184" s="20" t="n">
        <v>305</v>
      </c>
      <c r="N184" s="20" t="n">
        <v>516</v>
      </c>
      <c r="V184" s="20" t="n">
        <v>194</v>
      </c>
      <c r="W184" s="20" t="n">
        <v>268</v>
      </c>
      <c r="X184" s="20" t="n">
        <v>305</v>
      </c>
    </row>
    <row r="185">
      <c r="A185" s="18" t="inlineStr">
        <is>
          <t>기타 · 부문 간 내부매출·대체</t>
        </is>
      </c>
      <c r="C185" s="20" t="n">
        <v>4234</v>
      </c>
      <c r="D185" s="20" t="n">
        <v>5062</v>
      </c>
      <c r="E185" s="20" t="n">
        <v>3992</v>
      </c>
      <c r="F185" s="20" t="n">
        <v>4306</v>
      </c>
      <c r="G185" s="20" t="n">
        <v>4521</v>
      </c>
      <c r="H185" s="20" t="n">
        <v>4939</v>
      </c>
      <c r="I185" s="20" t="n">
        <v>3655</v>
      </c>
      <c r="J185" s="20" t="n">
        <v>4240</v>
      </c>
      <c r="K185" s="20" t="n">
        <v>4389</v>
      </c>
      <c r="L185" s="20" t="n">
        <v>5266</v>
      </c>
      <c r="M185" s="20" t="n">
        <v>3888</v>
      </c>
      <c r="N185" s="20" t="n">
        <v>4392</v>
      </c>
      <c r="V185" s="20" t="n">
        <v>3992</v>
      </c>
      <c r="W185" s="20" t="n">
        <v>3655</v>
      </c>
      <c r="X185" s="20" t="n">
        <v>3888</v>
      </c>
    </row>
    <row r="186">
      <c r="A186" s="18" t="inlineStr">
        <is>
          <t>합계 · 부문 간 내부매출·대체</t>
        </is>
      </c>
      <c r="C186" s="20" t="n">
        <v>4670</v>
      </c>
      <c r="D186" s="20" t="n">
        <v>5268</v>
      </c>
      <c r="E186" s="20" t="n">
        <v>4186</v>
      </c>
      <c r="F186" s="20" t="n">
        <v>4673</v>
      </c>
      <c r="G186" s="20" t="n">
        <v>4887</v>
      </c>
      <c r="H186" s="20" t="n">
        <v>5197</v>
      </c>
      <c r="I186" s="20" t="n">
        <v>3923</v>
      </c>
      <c r="J186" s="20" t="n">
        <v>4738</v>
      </c>
      <c r="K186" s="20" t="n">
        <v>4748</v>
      </c>
      <c r="L186" s="20" t="n">
        <v>5535</v>
      </c>
      <c r="M186" s="20" t="n">
        <v>4193</v>
      </c>
      <c r="N186" s="20" t="n">
        <v>4908</v>
      </c>
      <c r="V186" s="20" t="n">
        <v>4186</v>
      </c>
      <c r="W186" s="20" t="n">
        <v>3923</v>
      </c>
      <c r="X186" s="20" t="n">
        <v>4193</v>
      </c>
    </row>
    <row r="187">
      <c r="A187" s="18" t="inlineStr">
        <is>
          <t>조정액 · 부문 간 내부매출·대체</t>
        </is>
      </c>
      <c r="C187" s="20" t="n">
        <v>-4670</v>
      </c>
      <c r="D187" s="20" t="n">
        <v>-5268</v>
      </c>
      <c r="E187" s="20" t="n">
        <v>-4186</v>
      </c>
      <c r="F187" s="20" t="n">
        <v>-4673</v>
      </c>
      <c r="G187" s="20" t="n">
        <v>-4887</v>
      </c>
      <c r="H187" s="20" t="n">
        <v>-5197</v>
      </c>
      <c r="I187" s="20" t="n">
        <v>-3923</v>
      </c>
      <c r="J187" s="20" t="n">
        <v>-4738</v>
      </c>
      <c r="K187" s="20" t="n">
        <v>-4748</v>
      </c>
      <c r="L187" s="20" t="n">
        <v>-5535</v>
      </c>
      <c r="M187" s="20" t="n">
        <v>-4193</v>
      </c>
      <c r="N187" s="20" t="n">
        <v>-4908</v>
      </c>
      <c r="V187" s="20" t="n">
        <v>-4186</v>
      </c>
      <c r="W187" s="20" t="n">
        <v>-3923</v>
      </c>
      <c r="X187" s="20" t="n">
        <v>-4193</v>
      </c>
    </row>
    <row r="188">
      <c r="A188" s="18" t="inlineStr">
        <is>
          <t>부문 간 내부매출·대체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0</v>
      </c>
      <c r="N188" s="20" t="n">
        <v>0</v>
      </c>
      <c r="V188" s="20" t="n">
        <v>0</v>
      </c>
      <c r="W188" s="20" t="n">
        <v>0</v>
      </c>
      <c r="X188" s="20" t="n">
        <v>0</v>
      </c>
    </row>
    <row r="189">
      <c r="A189" s="18" t="inlineStr">
        <is>
          <t>다카라주조 · 계</t>
        </is>
      </c>
      <c r="E189" s="20" t="n">
        <v>26167</v>
      </c>
      <c r="F189" s="20" t="n">
        <v>30170</v>
      </c>
      <c r="I189" s="20" t="n">
        <v>24532</v>
      </c>
      <c r="J189" s="20" t="n">
        <v>29521</v>
      </c>
      <c r="M189" s="20" t="n">
        <v>25819</v>
      </c>
      <c r="N189" s="20" t="n">
        <v>30245</v>
      </c>
      <c r="V189" s="20" t="n">
        <v>26167</v>
      </c>
      <c r="W189" s="20" t="n">
        <v>24532</v>
      </c>
      <c r="X189" s="20" t="n">
        <v>25819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다카라주조 인터내셔널 그룹 · 계</t>
        </is>
      </c>
      <c r="E191" s="20" t="n">
        <v>43049</v>
      </c>
      <c r="F191" s="20" t="n">
        <v>43220</v>
      </c>
      <c r="I191" s="20" t="n">
        <v>52487</v>
      </c>
      <c r="J191" s="20" t="n">
        <v>51453</v>
      </c>
      <c r="M191" s="20" t="n">
        <v>61871</v>
      </c>
      <c r="N191" s="20" t="n">
        <v>60334</v>
      </c>
      <c r="V191" s="20" t="n">
        <v>43049</v>
      </c>
      <c r="W191" s="20" t="n">
        <v>52487</v>
      </c>
      <c r="X191" s="20" t="n">
        <v>61871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다카라바이오 그룹 · 계</t>
        </is>
      </c>
      <c r="C193" s="20" t="n">
        <v>67988</v>
      </c>
      <c r="D193" s="20" t="n">
        <v>-47430</v>
      </c>
      <c r="E193" s="20" t="n">
        <v>13771</v>
      </c>
      <c r="F193" s="20" t="n">
        <v>8493</v>
      </c>
      <c r="G193" s="20" t="n">
        <v>80486</v>
      </c>
      <c r="H193" s="20" t="n">
        <v>-59697</v>
      </c>
      <c r="I193" s="20" t="n">
        <v>15757</v>
      </c>
      <c r="J193" s="20" t="n">
        <v>9266</v>
      </c>
      <c r="K193" s="20" t="n">
        <v>94623</v>
      </c>
      <c r="L193" s="20" t="n">
        <v>-75497</v>
      </c>
      <c r="M193" s="20" t="n">
        <v>11926</v>
      </c>
      <c r="N193" s="20" t="n">
        <v>9204</v>
      </c>
      <c r="V193" s="20" t="n">
        <v>13771</v>
      </c>
      <c r="W193" s="20" t="n">
        <v>15757</v>
      </c>
      <c r="X193" s="20" t="n">
        <v>11926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보고부문 합계 · 계</t>
        </is>
      </c>
      <c r="C195" s="20" t="n">
        <v>79089</v>
      </c>
      <c r="D195" s="20" t="n">
        <v>87261</v>
      </c>
      <c r="E195" s="20" t="n">
        <v>82988</v>
      </c>
      <c r="F195" s="20" t="n">
        <v>81884</v>
      </c>
      <c r="G195" s="20" t="n">
        <v>88834</v>
      </c>
      <c r="H195" s="20" t="n">
        <v>87012</v>
      </c>
      <c r="I195" s="20" t="n">
        <v>92776</v>
      </c>
      <c r="J195" s="20" t="n">
        <v>90240</v>
      </c>
      <c r="K195" s="20" t="n">
        <v>90204</v>
      </c>
      <c r="L195" s="20" t="n">
        <v>101269</v>
      </c>
      <c r="M195" s="20" t="n">
        <v>99617</v>
      </c>
      <c r="N195" s="20" t="n">
        <v>99784</v>
      </c>
      <c r="V195" s="20" t="n">
        <v>82988</v>
      </c>
      <c r="W195" s="20" t="n">
        <v>92776</v>
      </c>
      <c r="X195" s="20" t="n">
        <v>99617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기타 · 계</t>
        </is>
      </c>
      <c r="C197" s="20" t="n">
        <v>7243</v>
      </c>
      <c r="D197" s="20" t="n">
        <v>8453</v>
      </c>
      <c r="E197" s="20" t="n">
        <v>6952</v>
      </c>
      <c r="F197" s="20" t="n">
        <v>7745</v>
      </c>
      <c r="G197" s="20" t="n">
        <v>7637</v>
      </c>
      <c r="H197" s="20" t="n">
        <v>8581</v>
      </c>
      <c r="I197" s="20" t="n">
        <v>6904</v>
      </c>
      <c r="J197" s="20" t="n">
        <v>7846</v>
      </c>
      <c r="K197" s="20" t="n">
        <v>7751</v>
      </c>
      <c r="L197" s="20" t="n">
        <v>9240</v>
      </c>
      <c r="M197" s="20" t="n">
        <v>7363</v>
      </c>
      <c r="N197" s="20" t="n">
        <v>8331</v>
      </c>
      <c r="V197" s="20" t="n">
        <v>6952</v>
      </c>
      <c r="W197" s="20" t="n">
        <v>6904</v>
      </c>
      <c r="X197" s="20" t="n">
        <v>7363</v>
      </c>
    </row>
    <row r="198">
      <c r="A198" s="43" t="inlineStr">
        <is>
          <t>YoY</t>
        </is>
      </c>
      <c r="B198" s="3" t="inlineStr">
        <is>
          <t>전년 같은 분기·전년 대비</t>
        </is>
      </c>
      <c r="G198" s="15">
        <f>IF(OR(G197="",C197=""),"",IF(C197&lt;=0,"",IFERROR(G197/C197-1,"")))</f>
        <v/>
      </c>
      <c r="H198" s="15">
        <f>IF(OR(H197="",D197=""),"",IF(D197&lt;=0,"",IFERROR(H197/D197-1,"")))</f>
        <v/>
      </c>
      <c r="I198" s="15">
        <f>IF(OR(I197="",E197=""),"",IF(E197&lt;=0,"",IFERROR(I197/E197-1,"")))</f>
        <v/>
      </c>
      <c r="J198" s="15">
        <f>IF(OR(J197="",F197=""),"",IF(F197&lt;=0,"",IFERROR(J197/F197-1,"")))</f>
        <v/>
      </c>
      <c r="K198" s="15">
        <f>IF(OR(K197="",G197=""),"",IF(G197&lt;=0,"",IFERROR(K197/G197-1,"")))</f>
        <v/>
      </c>
      <c r="L198" s="15">
        <f>IF(OR(L197="",H197=""),"",IF(H197&lt;=0,"",IFERROR(L197/H197-1,"")))</f>
        <v/>
      </c>
      <c r="M198" s="15">
        <f>IF(OR(M197="",I197=""),"",IF(I197&lt;=0,"",IFERROR(M197/I197-1,"")))</f>
        <v/>
      </c>
      <c r="N198" s="15">
        <f>IF(OR(N197="",J197=""),"",IF(J197&lt;=0,"",IFERROR(N197/J197-1,"")))</f>
        <v/>
      </c>
      <c r="V198" s="15">
        <f>IF(OR(V197="",U197=""),"",IF(U197&lt;=0,"",IFERROR(V197/U197-1,"")))</f>
        <v/>
      </c>
      <c r="W198" s="15">
        <f>IF(OR(W197="",V197=""),"",IF(V197&lt;=0,"",IFERROR(W197/V197-1,"")))</f>
        <v/>
      </c>
      <c r="X198" s="15">
        <f>IF(OR(X197="",W197=""),"",IF(W197&lt;=0,"",IFERROR(X197/W197-1,"")))</f>
        <v/>
      </c>
    </row>
    <row r="199">
      <c r="A199" s="18" t="inlineStr">
        <is>
          <t>합계 · 계</t>
        </is>
      </c>
      <c r="C199" s="20" t="n">
        <v>86333</v>
      </c>
      <c r="D199" s="20" t="n">
        <v>95713</v>
      </c>
      <c r="E199" s="20" t="n">
        <v>89940</v>
      </c>
      <c r="F199" s="20" t="n">
        <v>89630</v>
      </c>
      <c r="G199" s="20" t="n">
        <v>96470</v>
      </c>
      <c r="H199" s="20" t="n">
        <v>95593</v>
      </c>
      <c r="I199" s="20" t="n">
        <v>99681</v>
      </c>
      <c r="J199" s="20" t="n">
        <v>98087</v>
      </c>
      <c r="K199" s="20" t="n">
        <v>97955</v>
      </c>
      <c r="L199" s="20" t="n">
        <v>110509</v>
      </c>
      <c r="M199" s="20" t="n">
        <v>106979</v>
      </c>
      <c r="N199" s="20" t="n">
        <v>108116</v>
      </c>
      <c r="V199" s="20" t="n">
        <v>89940</v>
      </c>
      <c r="W199" s="20" t="n">
        <v>99681</v>
      </c>
      <c r="X199" s="20" t="n">
        <v>106979</v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IF(OR(G199="",C199=""),"",IF(C199&lt;=0,"",IFERROR(G199/C199-1,"")))</f>
        <v/>
      </c>
      <c r="H200" s="15">
        <f>IF(OR(H199="",D199=""),"",IF(D199&lt;=0,"",IFERROR(H199/D199-1,"")))</f>
        <v/>
      </c>
      <c r="I200" s="15">
        <f>IF(OR(I199="",E199=""),"",IF(E199&lt;=0,"",IFERROR(I199/E199-1,"")))</f>
        <v/>
      </c>
      <c r="J200" s="15">
        <f>IF(OR(J199="",F199=""),"",IF(F199&lt;=0,"",IFERROR(J199/F199-1,"")))</f>
        <v/>
      </c>
      <c r="K200" s="15">
        <f>IF(OR(K199="",G199=""),"",IF(G199&lt;=0,"",IFERROR(K199/G199-1,"")))</f>
        <v/>
      </c>
      <c r="L200" s="15">
        <f>IF(OR(L199="",H199=""),"",IF(H199&lt;=0,"",IFERROR(L199/H199-1,"")))</f>
        <v/>
      </c>
      <c r="M200" s="15">
        <f>IF(OR(M199="",I199=""),"",IF(I199&lt;=0,"",IFERROR(M199/I199-1,"")))</f>
        <v/>
      </c>
      <c r="N200" s="15">
        <f>IF(OR(N199="",J199=""),"",IF(J199&lt;=0,"",IFERROR(N199/J199-1,"")))</f>
        <v/>
      </c>
      <c r="V200" s="15">
        <f>IF(OR(V199="",U199=""),"",IF(U199&lt;=0,"",IFERROR(V199/U199-1,"")))</f>
        <v/>
      </c>
      <c r="W200" s="15">
        <f>IF(OR(W199="",V199=""),"",IF(V199&lt;=0,"",IFERROR(W199/V199-1,"")))</f>
        <v/>
      </c>
      <c r="X200" s="15">
        <f>IF(OR(X199="",W199=""),"",IF(W199&lt;=0,"",IFERROR(X199/W199-1,"")))</f>
        <v/>
      </c>
    </row>
    <row r="201">
      <c r="A201" s="18" t="inlineStr">
        <is>
          <t>조정액 · 계</t>
        </is>
      </c>
      <c r="C201" s="20" t="n">
        <v>-4670</v>
      </c>
      <c r="D201" s="20" t="n">
        <v>-5268</v>
      </c>
      <c r="E201" s="20" t="n">
        <v>-4186</v>
      </c>
      <c r="F201" s="20" t="n">
        <v>-4673</v>
      </c>
      <c r="G201" s="20" t="n">
        <v>-4887</v>
      </c>
      <c r="H201" s="20" t="n">
        <v>-5197</v>
      </c>
      <c r="I201" s="20" t="n">
        <v>-3923</v>
      </c>
      <c r="J201" s="20" t="n">
        <v>-4738</v>
      </c>
      <c r="K201" s="20" t="n">
        <v>-4748</v>
      </c>
      <c r="L201" s="20" t="n">
        <v>-5535</v>
      </c>
      <c r="M201" s="20" t="n">
        <v>-4193</v>
      </c>
      <c r="N201" s="20" t="n">
        <v>-4908</v>
      </c>
      <c r="V201" s="20" t="n">
        <v>-4186</v>
      </c>
      <c r="W201" s="20" t="n">
        <v>-3923</v>
      </c>
      <c r="X201" s="20" t="n">
        <v>-4193</v>
      </c>
    </row>
    <row r="202">
      <c r="A202" s="9" t="inlineStr">
        <is>
          <t>계</t>
        </is>
      </c>
      <c r="C202" s="12" t="n">
        <v>81662</v>
      </c>
      <c r="D202" s="12" t="n">
        <v>90446</v>
      </c>
      <c r="E202" s="12" t="n">
        <v>85754</v>
      </c>
      <c r="F202" s="12" t="n">
        <v>84956</v>
      </c>
      <c r="G202" s="12" t="n">
        <v>91583</v>
      </c>
      <c r="H202" s="12" t="n">
        <v>90396</v>
      </c>
      <c r="I202" s="12" t="n">
        <v>95758</v>
      </c>
      <c r="J202" s="12" t="n">
        <v>93348</v>
      </c>
      <c r="K202" s="12" t="n">
        <v>93208</v>
      </c>
      <c r="L202" s="12" t="n">
        <v>104973</v>
      </c>
      <c r="M202" s="12" t="n">
        <v>102787</v>
      </c>
      <c r="N202" s="12" t="n">
        <v>103207</v>
      </c>
      <c r="V202" s="12" t="n">
        <v>85754</v>
      </c>
      <c r="W202" s="12" t="n">
        <v>95758</v>
      </c>
      <c r="X202" s="12" t="n">
        <v>102787</v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IF(OR(G202="",C202=""),"",IF(C202&lt;=0,"",IFERROR(G202/C202-1,"")))</f>
        <v/>
      </c>
      <c r="H203" s="15">
        <f>IF(OR(H202="",D202=""),"",IF(D202&lt;=0,"",IFERROR(H202/D202-1,"")))</f>
        <v/>
      </c>
      <c r="I203" s="15">
        <f>IF(OR(I202="",E202=""),"",IF(E202&lt;=0,"",IFERROR(I202/E202-1,"")))</f>
        <v/>
      </c>
      <c r="J203" s="15">
        <f>IF(OR(J202="",F202=""),"",IF(F202&lt;=0,"",IFERROR(J202/F202-1,"")))</f>
        <v/>
      </c>
      <c r="K203" s="15">
        <f>IF(OR(K202="",G202=""),"",IF(G202&lt;=0,"",IFERROR(K202/G202-1,"")))</f>
        <v/>
      </c>
      <c r="L203" s="15">
        <f>IF(OR(L202="",H202=""),"",IF(H202&lt;=0,"",IFERROR(L202/H202-1,"")))</f>
        <v/>
      </c>
      <c r="M203" s="15">
        <f>IF(OR(M202="",I202=""),"",IF(I202&lt;=0,"",IFERROR(M202/I202-1,"")))</f>
        <v/>
      </c>
      <c r="N203" s="15">
        <f>IF(OR(N202="",J202=""),"",IF(J202&lt;=0,"",IFERROR(N202/J202-1,"")))</f>
        <v/>
      </c>
      <c r="V203" s="15">
        <f>IF(OR(V202="",U202=""),"",IF(U202&lt;=0,"",IFERROR(V202/U202-1,"")))</f>
        <v/>
      </c>
      <c r="W203" s="15">
        <f>IF(OR(W202="",V202=""),"",IF(V202&lt;=0,"",IFERROR(W202/V202-1,"")))</f>
        <v/>
      </c>
      <c r="X203" s="15">
        <f>IF(OR(X202="",W202=""),"",IF(W202&lt;=0,"",IFERROR(X202/W202-1,"")))</f>
        <v/>
      </c>
    </row>
    <row r="204">
      <c r="A204" s="18" t="inlineStr">
        <is>
          <t>다카라주조 · 부문 이익(손실)</t>
        </is>
      </c>
      <c r="E204" s="20" t="n">
        <v>-1475</v>
      </c>
      <c r="F204" s="20" t="n">
        <v>1519</v>
      </c>
      <c r="I204" s="20" t="n">
        <v>-313</v>
      </c>
      <c r="J204" s="20" t="n">
        <v>995</v>
      </c>
      <c r="M204" s="20" t="n">
        <v>-69</v>
      </c>
      <c r="N204" s="20" t="n">
        <v>1468</v>
      </c>
      <c r="V204" s="20" t="n">
        <v>-1475</v>
      </c>
      <c r="W204" s="20" t="n">
        <v>-313</v>
      </c>
      <c r="X204" s="20" t="n">
        <v>-69</v>
      </c>
    </row>
    <row r="205">
      <c r="A205" s="43" t="inlineStr">
        <is>
          <t>OPM</t>
        </is>
      </c>
      <c r="B205" s="3" t="inlineStr">
        <is>
          <t>영업이익 ÷ 매출</t>
        </is>
      </c>
      <c r="E205" s="15">
        <f>IF(OR(E204="",E189=""),"",IF(E189&lt;=0,"",IFERROR(E204/E189,"")))</f>
        <v/>
      </c>
      <c r="F205" s="15">
        <f>IF(OR(F204="",F189=""),"",IF(F189&lt;=0,"",IFERROR(F204/F189,"")))</f>
        <v/>
      </c>
      <c r="I205" s="15">
        <f>IF(OR(I204="",I189=""),"",IF(I189&lt;=0,"",IFERROR(I204/I189,"")))</f>
        <v/>
      </c>
      <c r="J205" s="15">
        <f>IF(OR(J204="",J189=""),"",IF(J189&lt;=0,"",IFERROR(J204/J189,"")))</f>
        <v/>
      </c>
      <c r="M205" s="15">
        <f>IF(OR(M204="",M189=""),"",IF(M189&lt;=0,"",IFERROR(M204/M189,"")))</f>
        <v/>
      </c>
      <c r="N205" s="15">
        <f>IF(OR(N204="",N189=""),"",IF(N189&lt;=0,"",IFERROR(N204/N189,"")))</f>
        <v/>
      </c>
      <c r="V205" s="15">
        <f>IF(OR(V204="",V189=""),"",IF(V189&lt;=0,"",IFERROR(V204/V189,"")))</f>
        <v/>
      </c>
      <c r="W205" s="15">
        <f>IF(OR(W204="",W189=""),"",IF(W189&lt;=0,"",IFERROR(W204/W189,"")))</f>
        <v/>
      </c>
      <c r="X205" s="15">
        <f>IF(OR(X204="",X189=""),"",IF(X189&lt;=0,"",IFERROR(X204/X189,"")))</f>
        <v/>
      </c>
    </row>
    <row r="206">
      <c r="A206" s="43" t="inlineStr">
        <is>
          <t>YoY</t>
        </is>
      </c>
      <c r="B206" s="3" t="inlineStr">
        <is>
          <t>전년 같은 분기·전년 대비</t>
        </is>
      </c>
      <c r="I206" s="15">
        <f>IF(OR(I204="",E204=""),"",IF(E204&lt;=0,"",IFERROR(I204/E204-1,"")))</f>
        <v/>
      </c>
      <c r="J206" s="15">
        <f>IF(OR(J204="",F204=""),"",IF(F204&lt;=0,"",IFERROR(J204/F204-1,"")))</f>
        <v/>
      </c>
      <c r="M206" s="15">
        <f>IF(OR(M204="",I204=""),"",IF(I204&lt;=0,"",IFERROR(M204/I204-1,"")))</f>
        <v/>
      </c>
      <c r="N206" s="15">
        <f>IF(OR(N204="",J204=""),"",IF(J204&lt;=0,"",IFERROR(N204/J204-1,"")))</f>
        <v/>
      </c>
      <c r="V206" s="15">
        <f>IF(OR(V204="",U204=""),"",IF(U204&lt;=0,"",IFERROR(V204/U204-1,"")))</f>
        <v/>
      </c>
      <c r="W206" s="15">
        <f>IF(OR(W204="",V204=""),"",IF(V204&lt;=0,"",IFERROR(W204/V204-1,"")))</f>
        <v/>
      </c>
      <c r="X206" s="15">
        <f>IF(OR(X204="",W204=""),"",IF(W204&lt;=0,"",IFERROR(X204/W204-1,"")))</f>
        <v/>
      </c>
    </row>
    <row r="207">
      <c r="A207" s="18" t="inlineStr">
        <is>
          <t>다카라주조 인터내셔널 그룹 · 부문 이익(손실)</t>
        </is>
      </c>
      <c r="E207" s="20" t="n">
        <v>3358</v>
      </c>
      <c r="F207" s="20" t="n">
        <v>3683</v>
      </c>
      <c r="I207" s="20" t="n">
        <v>2283</v>
      </c>
      <c r="J207" s="20" t="n">
        <v>3651</v>
      </c>
      <c r="M207" s="20" t="n">
        <v>4439</v>
      </c>
      <c r="N207" s="20" t="n">
        <v>3937</v>
      </c>
      <c r="V207" s="20" t="n">
        <v>3358</v>
      </c>
      <c r="W207" s="20" t="n">
        <v>2283</v>
      </c>
      <c r="X207" s="20" t="n">
        <v>4439</v>
      </c>
    </row>
    <row r="208">
      <c r="A208" s="43" t="inlineStr">
        <is>
          <t>OPM</t>
        </is>
      </c>
      <c r="B208" s="3" t="inlineStr">
        <is>
          <t>영업이익 ÷ 매출</t>
        </is>
      </c>
      <c r="E208" s="15">
        <f>IF(OR(E207="",E191=""),"",IF(E191&lt;=0,"",IFERROR(E207/E191,"")))</f>
        <v/>
      </c>
      <c r="F208" s="15">
        <f>IF(OR(F207="",F191=""),"",IF(F191&lt;=0,"",IFERROR(F207/F191,"")))</f>
        <v/>
      </c>
      <c r="I208" s="15">
        <f>IF(OR(I207="",I191=""),"",IF(I191&lt;=0,"",IFERROR(I207/I191,"")))</f>
        <v/>
      </c>
      <c r="J208" s="15">
        <f>IF(OR(J207="",J191=""),"",IF(J191&lt;=0,"",IFERROR(J207/J191,"")))</f>
        <v/>
      </c>
      <c r="M208" s="15">
        <f>IF(OR(M207="",M191=""),"",IF(M191&lt;=0,"",IFERROR(M207/M191,"")))</f>
        <v/>
      </c>
      <c r="N208" s="15">
        <f>IF(OR(N207="",N191=""),"",IF(N191&lt;=0,"",IFERROR(N207/N191,"")))</f>
        <v/>
      </c>
      <c r="V208" s="15">
        <f>IF(OR(V207="",V191=""),"",IF(V191&lt;=0,"",IFERROR(V207/V191,"")))</f>
        <v/>
      </c>
      <c r="W208" s="15">
        <f>IF(OR(W207="",W191=""),"",IF(W191&lt;=0,"",IFERROR(W207/W191,"")))</f>
        <v/>
      </c>
      <c r="X208" s="15">
        <f>IF(OR(X207="",X191=""),"",IF(X191&lt;=0,"",IFERROR(X207/X191,"")))</f>
        <v/>
      </c>
    </row>
    <row r="209">
      <c r="A209" s="43" t="inlineStr">
        <is>
          <t>YoY</t>
        </is>
      </c>
      <c r="B209" s="3" t="inlineStr">
        <is>
          <t>전년 같은 분기·전년 대비</t>
        </is>
      </c>
      <c r="I209" s="15">
        <f>IF(OR(I207="",E207=""),"",IF(E207&lt;=0,"",IFERROR(I207/E207-1,"")))</f>
        <v/>
      </c>
      <c r="J209" s="15">
        <f>IF(OR(J207="",F207=""),"",IF(F207&lt;=0,"",IFERROR(J207/F207-1,"")))</f>
        <v/>
      </c>
      <c r="M209" s="15">
        <f>IF(OR(M207="",I207=""),"",IF(I207&lt;=0,"",IFERROR(M207/I207-1,"")))</f>
        <v/>
      </c>
      <c r="N209" s="15">
        <f>IF(OR(N207="",J207=""),"",IF(J207&lt;=0,"",IFERROR(N207/J207-1,"")))</f>
        <v/>
      </c>
      <c r="V209" s="15">
        <f>IF(OR(V207="",U207=""),"",IF(U207&lt;=0,"",IFERROR(V207/U207-1,"")))</f>
        <v/>
      </c>
      <c r="W209" s="15">
        <f>IF(OR(W207="",V207=""),"",IF(V207&lt;=0,"",IFERROR(W207/V207-1,"")))</f>
        <v/>
      </c>
      <c r="X209" s="15">
        <f>IF(OR(X207="",W207=""),"",IF(W207&lt;=0,"",IFERROR(X207/W207-1,"")))</f>
        <v/>
      </c>
    </row>
    <row r="210">
      <c r="A210" s="18" t="inlineStr">
        <is>
          <t>다카라바이오 그룹 · 부문 이익(손실)</t>
        </is>
      </c>
      <c r="C210" s="20" t="n">
        <v>5833</v>
      </c>
      <c r="D210" s="20" t="n">
        <v>-5920</v>
      </c>
      <c r="E210" s="20" t="n">
        <v>2667</v>
      </c>
      <c r="F210" s="20" t="n">
        <v>-1634</v>
      </c>
      <c r="G210" s="20" t="n">
        <v>8122</v>
      </c>
      <c r="H210" s="20" t="n">
        <v>-7961</v>
      </c>
      <c r="I210" s="20" t="n">
        <v>3736</v>
      </c>
      <c r="J210" s="20" t="n">
        <v>-1796</v>
      </c>
      <c r="K210" s="20" t="n">
        <v>8454</v>
      </c>
      <c r="L210" s="20" t="n">
        <v>-11513</v>
      </c>
      <c r="M210" s="20" t="n">
        <v>167</v>
      </c>
      <c r="N210" s="20" t="n">
        <v>-3384</v>
      </c>
      <c r="V210" s="20" t="n">
        <v>2667</v>
      </c>
      <c r="W210" s="20" t="n">
        <v>3736</v>
      </c>
      <c r="X210" s="20" t="n">
        <v>167</v>
      </c>
    </row>
    <row r="211">
      <c r="A211" s="43" t="inlineStr">
        <is>
          <t>OPM</t>
        </is>
      </c>
      <c r="B211" s="3" t="inlineStr">
        <is>
          <t>영업이익 ÷ 매출</t>
        </is>
      </c>
      <c r="C211" s="15">
        <f>IF(OR(C210="",C193=""),"",IF(C193&lt;=0,"",IFERROR(C210/C193,"")))</f>
        <v/>
      </c>
      <c r="D211" s="15">
        <f>IF(OR(D210="",D193=""),"",IF(D193&lt;=0,"",IFERROR(D210/D193,"")))</f>
        <v/>
      </c>
      <c r="E211" s="15">
        <f>IF(OR(E210="",E193=""),"",IF(E193&lt;=0,"",IFERROR(E210/E193,"")))</f>
        <v/>
      </c>
      <c r="F211" s="15">
        <f>IF(OR(F210="",F193=""),"",IF(F193&lt;=0,"",IFERROR(F210/F193,"")))</f>
        <v/>
      </c>
      <c r="G211" s="15">
        <f>IF(OR(G210="",G193=""),"",IF(G193&lt;=0,"",IFERROR(G210/G193,"")))</f>
        <v/>
      </c>
      <c r="H211" s="15">
        <f>IF(OR(H210="",H193=""),"",IF(H193&lt;=0,"",IFERROR(H210/H193,"")))</f>
        <v/>
      </c>
      <c r="I211" s="15">
        <f>IF(OR(I210="",I193=""),"",IF(I193&lt;=0,"",IFERROR(I210/I193,"")))</f>
        <v/>
      </c>
      <c r="J211" s="15">
        <f>IF(OR(J210="",J193=""),"",IF(J193&lt;=0,"",IFERROR(J210/J193,"")))</f>
        <v/>
      </c>
      <c r="K211" s="15">
        <f>IF(OR(K210="",K193=""),"",IF(K193&lt;=0,"",IFERROR(K210/K193,"")))</f>
        <v/>
      </c>
      <c r="L211" s="15">
        <f>IF(OR(L210="",L193=""),"",IF(L193&lt;=0,"",IFERROR(L210/L193,"")))</f>
        <v/>
      </c>
      <c r="M211" s="15">
        <f>IF(OR(M210="",M193=""),"",IF(M193&lt;=0,"",IFERROR(M210/M193,"")))</f>
        <v/>
      </c>
      <c r="N211" s="15">
        <f>IF(OR(N210="",N193=""),"",IF(N193&lt;=0,"",IFERROR(N210/N193,"")))</f>
        <v/>
      </c>
      <c r="V211" s="15">
        <f>IF(OR(V210="",V193=""),"",IF(V193&lt;=0,"",IFERROR(V210/V193,"")))</f>
        <v/>
      </c>
      <c r="W211" s="15">
        <f>IF(OR(W210="",W193=""),"",IF(W193&lt;=0,"",IFERROR(W210/W193,"")))</f>
        <v/>
      </c>
      <c r="X211" s="15">
        <f>IF(OR(X210="",X193=""),"",IF(X193&lt;=0,"",IFERROR(X210/X193,"")))</f>
        <v/>
      </c>
    </row>
    <row r="212">
      <c r="A212" s="43" t="inlineStr">
        <is>
          <t>YoY</t>
        </is>
      </c>
      <c r="B212" s="3" t="inlineStr">
        <is>
          <t>전년 같은 분기·전년 대비</t>
        </is>
      </c>
      <c r="G212" s="15">
        <f>IF(OR(G210="",C210=""),"",IF(C210&lt;=0,"",IFERROR(G210/C210-1,"")))</f>
        <v/>
      </c>
      <c r="H212" s="15">
        <f>IF(OR(H210="",D210=""),"",IF(D210&lt;=0,"",IFERROR(H210/D210-1,"")))</f>
        <v/>
      </c>
      <c r="I212" s="15">
        <f>IF(OR(I210="",E210=""),"",IF(E210&lt;=0,"",IFERROR(I210/E210-1,"")))</f>
        <v/>
      </c>
      <c r="J212" s="15">
        <f>IF(OR(J210="",F210=""),"",IF(F210&lt;=0,"",IFERROR(J210/F210-1,"")))</f>
        <v/>
      </c>
      <c r="K212" s="15">
        <f>IF(OR(K210="",G210=""),"",IF(G210&lt;=0,"",IFERROR(K210/G210-1,"")))</f>
        <v/>
      </c>
      <c r="L212" s="15">
        <f>IF(OR(L210="",H210=""),"",IF(H210&lt;=0,"",IFERROR(L210/H210-1,"")))</f>
        <v/>
      </c>
      <c r="M212" s="15">
        <f>IF(OR(M210="",I210=""),"",IF(I210&lt;=0,"",IFERROR(M210/I210-1,"")))</f>
        <v/>
      </c>
      <c r="N212" s="15">
        <f>IF(OR(N210="",J210=""),"",IF(J210&lt;=0,"",IFERROR(N210/J210-1,"")))</f>
        <v/>
      </c>
      <c r="V212" s="15">
        <f>IF(OR(V210="",U210=""),"",IF(U210&lt;=0,"",IFERROR(V210/U210-1,"")))</f>
        <v/>
      </c>
      <c r="W212" s="15">
        <f>IF(OR(W210="",V210=""),"",IF(V210&lt;=0,"",IFERROR(W210/V210-1,"")))</f>
        <v/>
      </c>
      <c r="X212" s="15">
        <f>IF(OR(X210="",W210=""),"",IF(W210&lt;=0,"",IFERROR(X210/W210-1,"")))</f>
        <v/>
      </c>
    </row>
    <row r="213">
      <c r="A213" s="18" t="inlineStr">
        <is>
          <t>보고부문 합계 · 부문 이익(손실)</t>
        </is>
      </c>
      <c r="C213" s="20" t="n">
        <v>5013</v>
      </c>
      <c r="D213" s="20" t="n">
        <v>4629</v>
      </c>
      <c r="E213" s="20" t="n">
        <v>4550</v>
      </c>
      <c r="F213" s="20" t="n">
        <v>3568</v>
      </c>
      <c r="G213" s="20" t="n">
        <v>5960</v>
      </c>
      <c r="H213" s="20" t="n">
        <v>3721</v>
      </c>
      <c r="I213" s="20" t="n">
        <v>5707</v>
      </c>
      <c r="J213" s="20" t="n">
        <v>2850</v>
      </c>
      <c r="K213" s="20" t="n">
        <v>3931</v>
      </c>
      <c r="L213" s="20" t="n">
        <v>3925</v>
      </c>
      <c r="M213" s="20" t="n">
        <v>4537</v>
      </c>
      <c r="N213" s="20" t="n">
        <v>2022</v>
      </c>
      <c r="V213" s="20" t="n">
        <v>4550</v>
      </c>
      <c r="W213" s="20" t="n">
        <v>5707</v>
      </c>
      <c r="X213" s="20" t="n">
        <v>4537</v>
      </c>
    </row>
    <row r="214">
      <c r="A214" s="43" t="inlineStr">
        <is>
          <t>OPM</t>
        </is>
      </c>
      <c r="B214" s="3" t="inlineStr">
        <is>
          <t>영업이익 ÷ 매출</t>
        </is>
      </c>
      <c r="C214" s="15">
        <f>IF(OR(C213="",C195=""),"",IF(C195&lt;=0,"",IFERROR(C213/C195,"")))</f>
        <v/>
      </c>
      <c r="D214" s="15">
        <f>IF(OR(D213="",D195=""),"",IF(D195&lt;=0,"",IFERROR(D213/D195,"")))</f>
        <v/>
      </c>
      <c r="E214" s="15">
        <f>IF(OR(E213="",E195=""),"",IF(E195&lt;=0,"",IFERROR(E213/E195,"")))</f>
        <v/>
      </c>
      <c r="F214" s="15">
        <f>IF(OR(F213="",F195=""),"",IF(F195&lt;=0,"",IFERROR(F213/F195,"")))</f>
        <v/>
      </c>
      <c r="G214" s="15">
        <f>IF(OR(G213="",G195=""),"",IF(G195&lt;=0,"",IFERROR(G213/G195,"")))</f>
        <v/>
      </c>
      <c r="H214" s="15">
        <f>IF(OR(H213="",H195=""),"",IF(H195&lt;=0,"",IFERROR(H213/H195,"")))</f>
        <v/>
      </c>
      <c r="I214" s="15">
        <f>IF(OR(I213="",I195=""),"",IF(I195&lt;=0,"",IFERROR(I213/I195,"")))</f>
        <v/>
      </c>
      <c r="J214" s="15">
        <f>IF(OR(J213="",J195=""),"",IF(J195&lt;=0,"",IFERROR(J213/J195,"")))</f>
        <v/>
      </c>
      <c r="K214" s="15">
        <f>IF(OR(K213="",K195=""),"",IF(K195&lt;=0,"",IFERROR(K213/K195,"")))</f>
        <v/>
      </c>
      <c r="L214" s="15">
        <f>IF(OR(L213="",L195=""),"",IF(L195&lt;=0,"",IFERROR(L213/L195,"")))</f>
        <v/>
      </c>
      <c r="M214" s="15">
        <f>IF(OR(M213="",M195=""),"",IF(M195&lt;=0,"",IFERROR(M213/M195,"")))</f>
        <v/>
      </c>
      <c r="N214" s="15">
        <f>IF(OR(N213="",N195=""),"",IF(N195&lt;=0,"",IFERROR(N213/N195,"")))</f>
        <v/>
      </c>
      <c r="V214" s="15">
        <f>IF(OR(V213="",V195=""),"",IF(V195&lt;=0,"",IFERROR(V213/V195,"")))</f>
        <v/>
      </c>
      <c r="W214" s="15">
        <f>IF(OR(W213="",W195=""),"",IF(W195&lt;=0,"",IFERROR(W213/W195,"")))</f>
        <v/>
      </c>
      <c r="X214" s="15">
        <f>IF(OR(X213="",X195=""),"",IF(X195&lt;=0,"",IFERROR(X213/X195,"")))</f>
        <v/>
      </c>
    </row>
    <row r="215">
      <c r="A215" s="43" t="inlineStr">
        <is>
          <t>YoY</t>
        </is>
      </c>
      <c r="B215" s="3" t="inlineStr">
        <is>
          <t>전년 같은 분기·전년 대비</t>
        </is>
      </c>
      <c r="G215" s="15">
        <f>IF(OR(G213="",C213=""),"",IF(C213&lt;=0,"",IFERROR(G213/C213-1,"")))</f>
        <v/>
      </c>
      <c r="H215" s="15">
        <f>IF(OR(H213="",D213=""),"",IF(D213&lt;=0,"",IFERROR(H213/D213-1,"")))</f>
        <v/>
      </c>
      <c r="I215" s="15">
        <f>IF(OR(I213="",E213=""),"",IF(E213&lt;=0,"",IFERROR(I213/E213-1,"")))</f>
        <v/>
      </c>
      <c r="J215" s="15">
        <f>IF(OR(J213="",F213=""),"",IF(F213&lt;=0,"",IFERROR(J213/F213-1,"")))</f>
        <v/>
      </c>
      <c r="K215" s="15">
        <f>IF(OR(K213="",G213=""),"",IF(G213&lt;=0,"",IFERROR(K213/G213-1,"")))</f>
        <v/>
      </c>
      <c r="L215" s="15">
        <f>IF(OR(L213="",H213=""),"",IF(H213&lt;=0,"",IFERROR(L213/H213-1,"")))</f>
        <v/>
      </c>
      <c r="M215" s="15">
        <f>IF(OR(M213="",I213=""),"",IF(I213&lt;=0,"",IFERROR(M213/I213-1,"")))</f>
        <v/>
      </c>
      <c r="N215" s="15">
        <f>IF(OR(N213="",J213=""),"",IF(J213&lt;=0,"",IFERROR(N213/J213-1,"")))</f>
        <v/>
      </c>
      <c r="V215" s="15">
        <f>IF(OR(V213="",U213=""),"",IF(U213&lt;=0,"",IFERROR(V213/U213-1,"")))</f>
        <v/>
      </c>
      <c r="W215" s="15">
        <f>IF(OR(W213="",V213=""),"",IF(V213&lt;=0,"",IFERROR(W213/V213-1,"")))</f>
        <v/>
      </c>
      <c r="X215" s="15">
        <f>IF(OR(X213="",W213=""),"",IF(W213&lt;=0,"",IFERROR(X213/W213-1,"")))</f>
        <v/>
      </c>
    </row>
    <row r="216">
      <c r="A216" s="18" t="inlineStr">
        <is>
          <t>기타 · 부문 이익(손실)</t>
        </is>
      </c>
      <c r="C216" s="20" t="n">
        <v>507</v>
      </c>
      <c r="D216" s="20" t="n">
        <v>730</v>
      </c>
      <c r="E216" s="20" t="n">
        <v>440</v>
      </c>
      <c r="F216" s="20" t="n">
        <v>748</v>
      </c>
      <c r="G216" s="20" t="n">
        <v>651</v>
      </c>
      <c r="H216" s="20" t="n">
        <v>799</v>
      </c>
      <c r="I216" s="20" t="n">
        <v>510</v>
      </c>
      <c r="J216" s="20" t="n">
        <v>925</v>
      </c>
      <c r="K216" s="20" t="n">
        <v>783</v>
      </c>
      <c r="L216" s="20" t="n">
        <v>1113</v>
      </c>
      <c r="M216" s="20" t="n">
        <v>537</v>
      </c>
      <c r="N216" s="20" t="n">
        <v>1032</v>
      </c>
      <c r="V216" s="20" t="n">
        <v>440</v>
      </c>
      <c r="W216" s="20" t="n">
        <v>510</v>
      </c>
      <c r="X216" s="20" t="n">
        <v>537</v>
      </c>
    </row>
    <row r="217">
      <c r="A217" s="43" t="inlineStr">
        <is>
          <t>OPM</t>
        </is>
      </c>
      <c r="B217" s="3" t="inlineStr">
        <is>
          <t>영업이익 ÷ 매출</t>
        </is>
      </c>
      <c r="C217" s="15">
        <f>IF(OR(C216="",C197=""),"",IF(C197&lt;=0,"",IFERROR(C216/C197,"")))</f>
        <v/>
      </c>
      <c r="D217" s="15">
        <f>IF(OR(D216="",D197=""),"",IF(D197&lt;=0,"",IFERROR(D216/D197,"")))</f>
        <v/>
      </c>
      <c r="E217" s="15">
        <f>IF(OR(E216="",E197=""),"",IF(E197&lt;=0,"",IFERROR(E216/E197,"")))</f>
        <v/>
      </c>
      <c r="F217" s="15">
        <f>IF(OR(F216="",F197=""),"",IF(F197&lt;=0,"",IFERROR(F216/F197,"")))</f>
        <v/>
      </c>
      <c r="G217" s="15">
        <f>IF(OR(G216="",G197=""),"",IF(G197&lt;=0,"",IFERROR(G216/G197,"")))</f>
        <v/>
      </c>
      <c r="H217" s="15">
        <f>IF(OR(H216="",H197=""),"",IF(H197&lt;=0,"",IFERROR(H216/H197,"")))</f>
        <v/>
      </c>
      <c r="I217" s="15">
        <f>IF(OR(I216="",I197=""),"",IF(I197&lt;=0,"",IFERROR(I216/I197,"")))</f>
        <v/>
      </c>
      <c r="J217" s="15">
        <f>IF(OR(J216="",J197=""),"",IF(J197&lt;=0,"",IFERROR(J216/J197,"")))</f>
        <v/>
      </c>
      <c r="K217" s="15">
        <f>IF(OR(K216="",K197=""),"",IF(K197&lt;=0,"",IFERROR(K216/K197,"")))</f>
        <v/>
      </c>
      <c r="L217" s="15">
        <f>IF(OR(L216="",L197=""),"",IF(L197&lt;=0,"",IFERROR(L216/L197,"")))</f>
        <v/>
      </c>
      <c r="M217" s="15">
        <f>IF(OR(M216="",M197=""),"",IF(M197&lt;=0,"",IFERROR(M216/M197,"")))</f>
        <v/>
      </c>
      <c r="N217" s="15">
        <f>IF(OR(N216="",N197=""),"",IF(N197&lt;=0,"",IFERROR(N216/N197,"")))</f>
        <v/>
      </c>
      <c r="V217" s="15">
        <f>IF(OR(V216="",V197=""),"",IF(V197&lt;=0,"",IFERROR(V216/V197,"")))</f>
        <v/>
      </c>
      <c r="W217" s="15">
        <f>IF(OR(W216="",W197=""),"",IF(W197&lt;=0,"",IFERROR(W216/W197,"")))</f>
        <v/>
      </c>
      <c r="X217" s="15">
        <f>IF(OR(X216="",X197=""),"",IF(X197&lt;=0,"",IFERROR(X216/X197,"")))</f>
        <v/>
      </c>
    </row>
    <row r="218">
      <c r="A218" s="43" t="inlineStr">
        <is>
          <t>YoY</t>
        </is>
      </c>
      <c r="B218" s="3" t="inlineStr">
        <is>
          <t>전년 같은 분기·전년 대비</t>
        </is>
      </c>
      <c r="G218" s="15">
        <f>IF(OR(G216="",C216=""),"",IF(C216&lt;=0,"",IFERROR(G216/C216-1,"")))</f>
        <v/>
      </c>
      <c r="H218" s="15">
        <f>IF(OR(H216="",D216=""),"",IF(D216&lt;=0,"",IFERROR(H216/D216-1,"")))</f>
        <v/>
      </c>
      <c r="I218" s="15">
        <f>IF(OR(I216="",E216=""),"",IF(E216&lt;=0,"",IFERROR(I216/E216-1,"")))</f>
        <v/>
      </c>
      <c r="J218" s="15">
        <f>IF(OR(J216="",F216=""),"",IF(F216&lt;=0,"",IFERROR(J216/F216-1,"")))</f>
        <v/>
      </c>
      <c r="K218" s="15">
        <f>IF(OR(K216="",G216=""),"",IF(G216&lt;=0,"",IFERROR(K216/G216-1,"")))</f>
        <v/>
      </c>
      <c r="L218" s="15">
        <f>IF(OR(L216="",H216=""),"",IF(H216&lt;=0,"",IFERROR(L216/H216-1,"")))</f>
        <v/>
      </c>
      <c r="M218" s="15">
        <f>IF(OR(M216="",I216=""),"",IF(I216&lt;=0,"",IFERROR(M216/I216-1,"")))</f>
        <v/>
      </c>
      <c r="N218" s="15">
        <f>IF(OR(N216="",J216=""),"",IF(J216&lt;=0,"",IFERROR(N216/J216-1,"")))</f>
        <v/>
      </c>
      <c r="V218" s="15">
        <f>IF(OR(V216="",U216=""),"",IF(U216&lt;=0,"",IFERROR(V216/U216-1,"")))</f>
        <v/>
      </c>
      <c r="W218" s="15">
        <f>IF(OR(W216="",V216=""),"",IF(V216&lt;=0,"",IFERROR(W216/V216-1,"")))</f>
        <v/>
      </c>
      <c r="X218" s="15">
        <f>IF(OR(X216="",W216=""),"",IF(W216&lt;=0,"",IFERROR(X216/W216-1,"")))</f>
        <v/>
      </c>
    </row>
    <row r="219">
      <c r="A219" s="18" t="inlineStr">
        <is>
          <t>합계 · 부문 이익(손실)</t>
        </is>
      </c>
      <c r="C219" s="20" t="n">
        <v>5519</v>
      </c>
      <c r="D219" s="20" t="n">
        <v>5359</v>
      </c>
      <c r="E219" s="20" t="n">
        <v>4990</v>
      </c>
      <c r="F219" s="20" t="n">
        <v>4316</v>
      </c>
      <c r="G219" s="20" t="n">
        <v>6612</v>
      </c>
      <c r="H219" s="20" t="n">
        <v>4519</v>
      </c>
      <c r="I219" s="20" t="n">
        <v>6217</v>
      </c>
      <c r="J219" s="20" t="n">
        <v>3776</v>
      </c>
      <c r="K219" s="20" t="n">
        <v>4713</v>
      </c>
      <c r="L219" s="20" t="n">
        <v>5038</v>
      </c>
      <c r="M219" s="20" t="n">
        <v>5074</v>
      </c>
      <c r="N219" s="20" t="n">
        <v>3054</v>
      </c>
      <c r="V219" s="20" t="n">
        <v>4990</v>
      </c>
      <c r="W219" s="20" t="n">
        <v>6217</v>
      </c>
      <c r="X219" s="20" t="n">
        <v>5074</v>
      </c>
    </row>
    <row r="220">
      <c r="A220" s="43" t="inlineStr">
        <is>
          <t>OPM</t>
        </is>
      </c>
      <c r="B220" s="3" t="inlineStr">
        <is>
          <t>영업이익 ÷ 매출</t>
        </is>
      </c>
      <c r="C220" s="15">
        <f>IF(OR(C219="",C199=""),"",IF(C199&lt;=0,"",IFERROR(C219/C199,"")))</f>
        <v/>
      </c>
      <c r="D220" s="15">
        <f>IF(OR(D219="",D199=""),"",IF(D199&lt;=0,"",IFERROR(D219/D199,"")))</f>
        <v/>
      </c>
      <c r="E220" s="15">
        <f>IF(OR(E219="",E199=""),"",IF(E199&lt;=0,"",IFERROR(E219/E199,"")))</f>
        <v/>
      </c>
      <c r="F220" s="15">
        <f>IF(OR(F219="",F199=""),"",IF(F199&lt;=0,"",IFERROR(F219/F199,"")))</f>
        <v/>
      </c>
      <c r="G220" s="15">
        <f>IF(OR(G219="",G199=""),"",IF(G199&lt;=0,"",IFERROR(G219/G199,"")))</f>
        <v/>
      </c>
      <c r="H220" s="15">
        <f>IF(OR(H219="",H199=""),"",IF(H199&lt;=0,"",IFERROR(H219/H199,"")))</f>
        <v/>
      </c>
      <c r="I220" s="15">
        <f>IF(OR(I219="",I199=""),"",IF(I199&lt;=0,"",IFERROR(I219/I199,"")))</f>
        <v/>
      </c>
      <c r="J220" s="15">
        <f>IF(OR(J219="",J199=""),"",IF(J199&lt;=0,"",IFERROR(J219/J199,"")))</f>
        <v/>
      </c>
      <c r="K220" s="15">
        <f>IF(OR(K219="",K199=""),"",IF(K199&lt;=0,"",IFERROR(K219/K199,"")))</f>
        <v/>
      </c>
      <c r="L220" s="15">
        <f>IF(OR(L219="",L199=""),"",IF(L199&lt;=0,"",IFERROR(L219/L199,"")))</f>
        <v/>
      </c>
      <c r="M220" s="15">
        <f>IF(OR(M219="",M199=""),"",IF(M199&lt;=0,"",IFERROR(M219/M199,"")))</f>
        <v/>
      </c>
      <c r="N220" s="15">
        <f>IF(OR(N219="",N199=""),"",IF(N199&lt;=0,"",IFERROR(N219/N199,"")))</f>
        <v/>
      </c>
      <c r="V220" s="15">
        <f>IF(OR(V219="",V199=""),"",IF(V199&lt;=0,"",IFERROR(V219/V199,"")))</f>
        <v/>
      </c>
      <c r="W220" s="15">
        <f>IF(OR(W219="",W199=""),"",IF(W199&lt;=0,"",IFERROR(W219/W199,"")))</f>
        <v/>
      </c>
      <c r="X220" s="15">
        <f>IF(OR(X219="",X199=""),"",IF(X199&lt;=0,"",IFERROR(X219/X199,"")))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IF(OR(G219="",C219=""),"",IF(C219&lt;=0,"",IFERROR(G219/C219-1,"")))</f>
        <v/>
      </c>
      <c r="H221" s="15">
        <f>IF(OR(H219="",D219=""),"",IF(D219&lt;=0,"",IFERROR(H219/D219-1,"")))</f>
        <v/>
      </c>
      <c r="I221" s="15">
        <f>IF(OR(I219="",E219=""),"",IF(E219&lt;=0,"",IFERROR(I219/E219-1,"")))</f>
        <v/>
      </c>
      <c r="J221" s="15">
        <f>IF(OR(J219="",F219=""),"",IF(F219&lt;=0,"",IFERROR(J219/F219-1,"")))</f>
        <v/>
      </c>
      <c r="K221" s="15">
        <f>IF(OR(K219="",G219=""),"",IF(G219&lt;=0,"",IFERROR(K219/G219-1,"")))</f>
        <v/>
      </c>
      <c r="L221" s="15">
        <f>IF(OR(L219="",H219=""),"",IF(H219&lt;=0,"",IFERROR(L219/H219-1,"")))</f>
        <v/>
      </c>
      <c r="M221" s="15">
        <f>IF(OR(M219="",I219=""),"",IF(I219&lt;=0,"",IFERROR(M219/I219-1,"")))</f>
        <v/>
      </c>
      <c r="N221" s="15">
        <f>IF(OR(N219="",J219=""),"",IF(J219&lt;=0,"",IFERROR(N219/J219-1,"")))</f>
        <v/>
      </c>
      <c r="V221" s="15">
        <f>IF(OR(V219="",U219=""),"",IF(U219&lt;=0,"",IFERROR(V219/U219-1,"")))</f>
        <v/>
      </c>
      <c r="W221" s="15">
        <f>IF(OR(W219="",V219=""),"",IF(V219&lt;=0,"",IFERROR(W219/V219-1,"")))</f>
        <v/>
      </c>
      <c r="X221" s="15">
        <f>IF(OR(X219="",W219=""),"",IF(W219&lt;=0,"",IFERROR(X219/W219-1,"")))</f>
        <v/>
      </c>
    </row>
    <row r="222">
      <c r="A222" s="18" t="inlineStr">
        <is>
          <t>조정액 · 부문 이익(손실)</t>
        </is>
      </c>
      <c r="C222" s="20" t="n">
        <v>-157</v>
      </c>
      <c r="D222" s="20" t="n">
        <v>-44</v>
      </c>
      <c r="E222" s="20" t="n">
        <v>-527</v>
      </c>
      <c r="F222" s="20" t="n">
        <v>-251</v>
      </c>
      <c r="G222" s="20" t="n">
        <v>-144</v>
      </c>
      <c r="H222" s="20" t="n">
        <v>-142</v>
      </c>
      <c r="I222" s="20" t="n">
        <v>-530</v>
      </c>
      <c r="J222" s="20" t="n">
        <v>-319</v>
      </c>
      <c r="K222" s="20" t="n">
        <v>-383</v>
      </c>
      <c r="L222" s="20" t="n">
        <v>-193</v>
      </c>
      <c r="M222" s="20" t="n">
        <v>-629</v>
      </c>
      <c r="N222" s="20" t="n">
        <v>-104</v>
      </c>
      <c r="V222" s="20" t="n">
        <v>-527</v>
      </c>
      <c r="W222" s="20" t="n">
        <v>-530</v>
      </c>
      <c r="X222" s="20" t="n">
        <v>-629</v>
      </c>
    </row>
    <row r="223">
      <c r="A223" s="9" t="inlineStr">
        <is>
          <t>부문 이익(손실)</t>
        </is>
      </c>
      <c r="C223" s="12" t="n">
        <v>5363</v>
      </c>
      <c r="D223" s="12" t="n">
        <v>5315</v>
      </c>
      <c r="E223" s="12" t="n">
        <v>4463</v>
      </c>
      <c r="F223" s="12" t="n">
        <v>4064</v>
      </c>
      <c r="G223" s="12" t="n">
        <v>6468</v>
      </c>
      <c r="H223" s="12" t="n">
        <v>4377</v>
      </c>
      <c r="I223" s="12" t="n">
        <v>5688</v>
      </c>
      <c r="J223" s="12" t="n">
        <v>3456</v>
      </c>
      <c r="K223" s="12" t="n">
        <v>4330</v>
      </c>
      <c r="L223" s="12" t="n">
        <v>4846</v>
      </c>
      <c r="M223" s="12" t="n">
        <v>4444</v>
      </c>
      <c r="N223" s="12" t="n">
        <v>2949</v>
      </c>
      <c r="V223" s="12" t="n">
        <v>4463</v>
      </c>
      <c r="W223" s="12" t="n">
        <v>5688</v>
      </c>
      <c r="X223" s="12" t="n">
        <v>4444</v>
      </c>
    </row>
    <row r="224">
      <c r="A224" s="43" t="inlineStr">
        <is>
          <t>OPM</t>
        </is>
      </c>
      <c r="B224" s="3" t="inlineStr">
        <is>
          <t>영업이익 ÷ 매출</t>
        </is>
      </c>
      <c r="C224" s="15">
        <f>IF(OR(C223="",C179=""),"",IF(C179&lt;=0,"",IFERROR(C223/C179,"")))</f>
        <v/>
      </c>
      <c r="D224" s="15">
        <f>IF(OR(D223="",D179=""),"",IF(D179&lt;=0,"",IFERROR(D223/D179,"")))</f>
        <v/>
      </c>
      <c r="E224" s="15">
        <f>IF(OR(E223="",E179=""),"",IF(E179&lt;=0,"",IFERROR(E223/E179,"")))</f>
        <v/>
      </c>
      <c r="F224" s="15">
        <f>IF(OR(F223="",F179=""),"",IF(F179&lt;=0,"",IFERROR(F223/F179,"")))</f>
        <v/>
      </c>
      <c r="G224" s="15">
        <f>IF(OR(G223="",G179=""),"",IF(G179&lt;=0,"",IFERROR(G223/G179,"")))</f>
        <v/>
      </c>
      <c r="H224" s="15">
        <f>IF(OR(H223="",H179=""),"",IF(H179&lt;=0,"",IFERROR(H223/H179,"")))</f>
        <v/>
      </c>
      <c r="I224" s="15">
        <f>IF(OR(I223="",I179=""),"",IF(I179&lt;=0,"",IFERROR(I223/I179,"")))</f>
        <v/>
      </c>
      <c r="J224" s="15">
        <f>IF(OR(J223="",J179=""),"",IF(J179&lt;=0,"",IFERROR(J223/J179,"")))</f>
        <v/>
      </c>
      <c r="K224" s="15">
        <f>IF(OR(K223="",K179=""),"",IF(K179&lt;=0,"",IFERROR(K223/K179,"")))</f>
        <v/>
      </c>
      <c r="L224" s="15">
        <f>IF(OR(L223="",L179=""),"",IF(L179&lt;=0,"",IFERROR(L223/L179,"")))</f>
        <v/>
      </c>
      <c r="M224" s="15">
        <f>IF(OR(M223="",M179=""),"",IF(M179&lt;=0,"",IFERROR(M223/M179,"")))</f>
        <v/>
      </c>
      <c r="N224" s="15">
        <f>IF(OR(N223="",N179=""),"",IF(N179&lt;=0,"",IFERROR(N223/N179,"")))</f>
        <v/>
      </c>
      <c r="V224" s="15">
        <f>IF(OR(V223="",V179=""),"",IF(V179&lt;=0,"",IFERROR(V223/V179,"")))</f>
        <v/>
      </c>
      <c r="W224" s="15">
        <f>IF(OR(W223="",W179=""),"",IF(W179&lt;=0,"",IFERROR(W223/W179,"")))</f>
        <v/>
      </c>
      <c r="X224" s="15">
        <f>IF(OR(X223="",X179=""),"",IF(X179&lt;=0,"",IFERROR(X223/X179,"")))</f>
        <v/>
      </c>
    </row>
    <row r="225">
      <c r="A225" s="43" t="inlineStr">
        <is>
          <t>YoY</t>
        </is>
      </c>
      <c r="B225" s="3" t="inlineStr">
        <is>
          <t>전년 같은 분기·전년 대비</t>
        </is>
      </c>
      <c r="G225" s="15">
        <f>IF(OR(G223="",C223=""),"",IF(C223&lt;=0,"",IFERROR(G223/C223-1,"")))</f>
        <v/>
      </c>
      <c r="H225" s="15">
        <f>IF(OR(H223="",D223=""),"",IF(D223&lt;=0,"",IFERROR(H223/D223-1,"")))</f>
        <v/>
      </c>
      <c r="I225" s="15">
        <f>IF(OR(I223="",E223=""),"",IF(E223&lt;=0,"",IFERROR(I223/E223-1,"")))</f>
        <v/>
      </c>
      <c r="J225" s="15">
        <f>IF(OR(J223="",F223=""),"",IF(F223&lt;=0,"",IFERROR(J223/F223-1,"")))</f>
        <v/>
      </c>
      <c r="K225" s="15">
        <f>IF(OR(K223="",G223=""),"",IF(G223&lt;=0,"",IFERROR(K223/G223-1,"")))</f>
        <v/>
      </c>
      <c r="L225" s="15">
        <f>IF(OR(L223="",H223=""),"",IF(H223&lt;=0,"",IFERROR(L223/H223-1,"")))</f>
        <v/>
      </c>
      <c r="M225" s="15">
        <f>IF(OR(M223="",I223=""),"",IF(I223&lt;=0,"",IFERROR(M223/I223-1,"")))</f>
        <v/>
      </c>
      <c r="N225" s="15">
        <f>IF(OR(N223="",J223=""),"",IF(J223&lt;=0,"",IFERROR(N223/J223-1,"")))</f>
        <v/>
      </c>
      <c r="V225" s="15">
        <f>IF(OR(V223="",U223=""),"",IF(U223&lt;=0,"",IFERROR(V223/U223-1,"")))</f>
        <v/>
      </c>
      <c r="W225" s="15">
        <f>IF(OR(W223="",V223=""),"",IF(V223&lt;=0,"",IFERROR(W223/V223-1,"")))</f>
        <v/>
      </c>
      <c r="X225" s="15">
        <f>IF(OR(X223="",W223=""),"",IF(W223&lt;=0,"",IFERROR(X223/W223-1,"")))</f>
        <v/>
      </c>
    </row>
    <row r="227">
      <c r="A227" s="16" t="inlineStr">
        <is>
          <t>현금흐름표 · 전 항목</t>
        </is>
      </c>
      <c r="B227" s="42" t="inlineStr">
        <is>
          <t>분기 = 결산기 첫날부터 누계(공시 그대로)</t>
        </is>
      </c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  <c r="AA227" s="16" t="n"/>
      <c r="AB227" s="16" t="n"/>
      <c r="AC227" s="16" t="n"/>
    </row>
    <row r="228">
      <c r="A228" s="5" t="inlineStr">
        <is>
          <t>항목</t>
        </is>
      </c>
      <c r="B228" s="5" t="inlineStr">
        <is>
          <t>참고</t>
        </is>
      </c>
      <c r="C228" s="5" t="inlineStr">
        <is>
          <t>2024.2Q</t>
        </is>
      </c>
      <c r="D228" s="5" t="inlineStr">
        <is>
          <t>2024.3Q</t>
        </is>
      </c>
      <c r="E228" s="5" t="inlineStr">
        <is>
          <t>2024.4Q</t>
        </is>
      </c>
      <c r="F228" s="5" t="inlineStr">
        <is>
          <t>2025.1Q</t>
        </is>
      </c>
      <c r="G228" s="5" t="inlineStr">
        <is>
          <t>2025.2Q</t>
        </is>
      </c>
      <c r="H228" s="5" t="inlineStr">
        <is>
          <t>2025.3Q</t>
        </is>
      </c>
      <c r="I228" s="5" t="inlineStr">
        <is>
          <t>2025.4Q</t>
        </is>
      </c>
      <c r="J228" s="5" t="inlineStr">
        <is>
          <t>2026.1Q</t>
        </is>
      </c>
      <c r="K228" s="5" t="inlineStr">
        <is>
          <t>2026.2Q</t>
        </is>
      </c>
      <c r="L228" s="5" t="inlineStr">
        <is>
          <t>2026.3Q</t>
        </is>
      </c>
      <c r="M228" s="5" t="inlineStr">
        <is>
          <t>2026.4Q</t>
        </is>
      </c>
      <c r="N228" s="5" t="inlineStr">
        <is>
          <t>2027.1Q</t>
        </is>
      </c>
      <c r="O228" s="5" t="inlineStr">
        <is>
          <t>2017</t>
        </is>
      </c>
      <c r="P228" s="5" t="inlineStr">
        <is>
          <t>2018</t>
        </is>
      </c>
      <c r="Q228" s="5" t="inlineStr">
        <is>
          <t>2019</t>
        </is>
      </c>
      <c r="R228" s="5" t="inlineStr">
        <is>
          <t>2020</t>
        </is>
      </c>
      <c r="S228" s="5" t="inlineStr">
        <is>
          <t>2021</t>
        </is>
      </c>
      <c r="T228" s="5" t="inlineStr">
        <is>
          <t>2022</t>
        </is>
      </c>
      <c r="U228" s="5" t="inlineStr">
        <is>
          <t>2023</t>
        </is>
      </c>
      <c r="V228" s="5" t="inlineStr">
        <is>
          <t>2024</t>
        </is>
      </c>
      <c r="W228" s="5" t="inlineStr">
        <is>
          <t>2025</t>
        </is>
      </c>
      <c r="X228" s="5" t="inlineStr">
        <is>
          <t>2026</t>
        </is>
      </c>
      <c r="Y228" s="5" t="inlineStr">
        <is>
          <t>2027(MW)</t>
        </is>
      </c>
      <c r="Z228" s="5" t="inlineStr">
        <is>
          <t>2028(MW)</t>
        </is>
      </c>
      <c r="AA228" s="5" t="inlineStr">
        <is>
          <t>2029(MW)</t>
        </is>
      </c>
      <c r="AB228" s="5" t="inlineStr">
        <is>
          <t>2030(MW)</t>
        </is>
      </c>
      <c r="AC228" s="5" t="inlineStr">
        <is>
          <t>2031(MW)</t>
        </is>
      </c>
    </row>
    <row r="229">
      <c r="A229" s="9" t="inlineStr">
        <is>
          <t>법인세차감전 순이익</t>
        </is>
      </c>
      <c r="C229" s="12" t="n">
        <v>12984</v>
      </c>
      <c r="E229" s="12" t="n">
        <v>26238</v>
      </c>
      <c r="G229" s="12" t="n">
        <v>13718</v>
      </c>
      <c r="I229" s="12" t="n">
        <v>25815</v>
      </c>
      <c r="K229" s="12" t="n">
        <v>8578</v>
      </c>
      <c r="M229" s="12" t="n">
        <v>18270</v>
      </c>
      <c r="O229" s="12" t="n">
        <v>14520</v>
      </c>
      <c r="P229" s="12" t="n">
        <v>18903</v>
      </c>
      <c r="Q229" s="12" t="n">
        <v>17658</v>
      </c>
      <c r="R229" s="12" t="n">
        <v>15643</v>
      </c>
      <c r="S229" s="12" t="n">
        <v>20583</v>
      </c>
      <c r="T229" s="12" t="n">
        <v>40961</v>
      </c>
      <c r="U229" s="12" t="n">
        <v>39692</v>
      </c>
      <c r="V229" s="12" t="n">
        <v>26238</v>
      </c>
      <c r="W229" s="12" t="n">
        <v>25815</v>
      </c>
      <c r="X229" s="12" t="n">
        <v>18270</v>
      </c>
    </row>
    <row r="230">
      <c r="A230" s="18" t="inlineStr">
        <is>
          <t>감가상각비</t>
        </is>
      </c>
      <c r="C230" s="20" t="n">
        <v>4796</v>
      </c>
      <c r="E230" s="20" t="n">
        <v>9999</v>
      </c>
      <c r="G230" s="20" t="n">
        <v>4997</v>
      </c>
      <c r="I230" s="20" t="n">
        <v>10347</v>
      </c>
      <c r="K230" s="20" t="n">
        <v>5950</v>
      </c>
      <c r="M230" s="20" t="n">
        <v>12225</v>
      </c>
      <c r="O230" s="20" t="n">
        <v>5171</v>
      </c>
      <c r="P230" s="20" t="n">
        <v>6430</v>
      </c>
      <c r="Q230" s="20" t="n">
        <v>6490</v>
      </c>
      <c r="R230" s="20" t="n">
        <v>7626</v>
      </c>
      <c r="S230" s="20" t="n">
        <v>8068</v>
      </c>
      <c r="T230" s="20" t="n">
        <v>8425</v>
      </c>
      <c r="U230" s="20" t="n">
        <v>9118</v>
      </c>
      <c r="V230" s="20" t="n">
        <v>9999</v>
      </c>
      <c r="W230" s="20" t="n">
        <v>10347</v>
      </c>
      <c r="X230" s="20" t="n">
        <v>12225</v>
      </c>
    </row>
    <row r="231">
      <c r="A231" s="18" t="inlineStr">
        <is>
          <t>손상차손</t>
        </is>
      </c>
      <c r="C231" s="20" t="n">
        <v>0</v>
      </c>
      <c r="E231" s="20" t="n">
        <v>207</v>
      </c>
      <c r="G231" s="20" t="n">
        <v>108</v>
      </c>
      <c r="I231" s="20" t="n">
        <v>377</v>
      </c>
      <c r="K231" s="20" t="n">
        <v>3870</v>
      </c>
      <c r="M231" s="20" t="n">
        <v>4008</v>
      </c>
      <c r="O231" s="20" t="n">
        <v>667</v>
      </c>
      <c r="P231" s="20" t="n">
        <v>446</v>
      </c>
      <c r="Q231" s="20" t="n">
        <v>696</v>
      </c>
      <c r="R231" s="20" t="n">
        <v>880</v>
      </c>
      <c r="S231" s="20" t="n">
        <v>432</v>
      </c>
      <c r="T231" s="20" t="n">
        <v>185</v>
      </c>
      <c r="U231" s="20" t="n">
        <v>0</v>
      </c>
      <c r="V231" s="20" t="n">
        <v>207</v>
      </c>
      <c r="W231" s="20" t="n">
        <v>377</v>
      </c>
      <c r="X231" s="20" t="n">
        <v>4008</v>
      </c>
    </row>
    <row r="232">
      <c r="A232" s="18" t="inlineStr">
        <is>
          <t>사업정리 손실</t>
        </is>
      </c>
      <c r="R232" s="20" t="n">
        <v>0</v>
      </c>
      <c r="S232" s="20" t="n">
        <v>458</v>
      </c>
      <c r="T232" s="20" t="n">
        <v>0</v>
      </c>
    </row>
    <row r="233">
      <c r="A233" s="18" t="inlineStr">
        <is>
          <t>영업권 상각</t>
        </is>
      </c>
      <c r="C233" s="20" t="n">
        <v>544</v>
      </c>
      <c r="E233" s="20" t="n">
        <v>1179</v>
      </c>
      <c r="G233" s="20" t="n">
        <v>696</v>
      </c>
      <c r="I233" s="20" t="n">
        <v>1727</v>
      </c>
      <c r="K233" s="20" t="n">
        <v>1559</v>
      </c>
      <c r="M233" s="20" t="n">
        <v>3129</v>
      </c>
      <c r="O233" s="20" t="n">
        <v>586</v>
      </c>
      <c r="P233" s="20" t="n">
        <v>843</v>
      </c>
      <c r="Q233" s="20" t="n">
        <v>865</v>
      </c>
      <c r="R233" s="20" t="n">
        <v>847</v>
      </c>
      <c r="S233" s="20" t="n">
        <v>865</v>
      </c>
      <c r="T233" s="20" t="n">
        <v>875</v>
      </c>
      <c r="U233" s="20" t="n">
        <v>998</v>
      </c>
      <c r="V233" s="20" t="n">
        <v>1179</v>
      </c>
      <c r="W233" s="20" t="n">
        <v>1727</v>
      </c>
      <c r="X233" s="20" t="n">
        <v>3129</v>
      </c>
    </row>
    <row r="234">
      <c r="A234" s="18" t="inlineStr">
        <is>
          <t>환경대책 충당금 증감</t>
        </is>
      </c>
      <c r="Q234" s="20" t="n">
        <v>-2</v>
      </c>
      <c r="R234" s="20" t="n">
        <v>408</v>
      </c>
      <c r="S234" s="20" t="n">
        <v>-412</v>
      </c>
    </row>
    <row r="235">
      <c r="A235" s="18" t="inlineStr">
        <is>
          <t>판매촉진 충당금 증감</t>
        </is>
      </c>
      <c r="S235" s="20" t="n">
        <v>-44</v>
      </c>
      <c r="T235" s="20" t="n">
        <v>-2049</v>
      </c>
      <c r="U235" s="20" t="n">
        <v>0</v>
      </c>
    </row>
    <row r="236">
      <c r="A236" s="18" t="inlineStr">
        <is>
          <t>충당금 증감</t>
        </is>
      </c>
      <c r="C236" s="20" t="n">
        <v>-231</v>
      </c>
      <c r="G236" s="20" t="n">
        <v>-522</v>
      </c>
      <c r="K236" s="20" t="n">
        <v>-457</v>
      </c>
    </row>
    <row r="237">
      <c r="A237" s="18" t="inlineStr">
        <is>
          <t>이자·배당금 수익</t>
        </is>
      </c>
      <c r="C237" s="20" t="n">
        <v>-650</v>
      </c>
      <c r="E237" s="20" t="n">
        <v>-1405</v>
      </c>
      <c r="G237" s="20" t="n">
        <v>-900</v>
      </c>
      <c r="I237" s="20" t="n">
        <v>-1928</v>
      </c>
      <c r="K237" s="20" t="n">
        <v>-875</v>
      </c>
      <c r="M237" s="20" t="n">
        <v>-1593</v>
      </c>
      <c r="O237" s="20" t="n">
        <v>-659</v>
      </c>
      <c r="P237" s="20" t="n">
        <v>-700</v>
      </c>
      <c r="Q237" s="20" t="n">
        <v>-800</v>
      </c>
      <c r="R237" s="20" t="n">
        <v>-911</v>
      </c>
      <c r="S237" s="20" t="n">
        <v>-707</v>
      </c>
      <c r="T237" s="20" t="n">
        <v>-767</v>
      </c>
      <c r="U237" s="20" t="n">
        <v>-1066</v>
      </c>
      <c r="V237" s="20" t="n">
        <v>-1405</v>
      </c>
      <c r="W237" s="20" t="n">
        <v>-1928</v>
      </c>
      <c r="X237" s="20" t="n">
        <v>-1593</v>
      </c>
    </row>
    <row r="238">
      <c r="A238" s="18" t="inlineStr">
        <is>
          <t>이자비용</t>
        </is>
      </c>
      <c r="C238" s="20" t="n">
        <v>184</v>
      </c>
      <c r="E238" s="20" t="n">
        <v>450</v>
      </c>
      <c r="G238" s="20" t="n">
        <v>311</v>
      </c>
      <c r="I238" s="20" t="n">
        <v>700</v>
      </c>
      <c r="K238" s="20" t="n">
        <v>707</v>
      </c>
      <c r="M238" s="20" t="n">
        <v>1517</v>
      </c>
      <c r="O238" s="20" t="n">
        <v>481</v>
      </c>
      <c r="P238" s="20" t="n">
        <v>568</v>
      </c>
      <c r="Q238" s="20" t="n">
        <v>387</v>
      </c>
      <c r="R238" s="20" t="n">
        <v>403</v>
      </c>
      <c r="S238" s="20" t="n">
        <v>344</v>
      </c>
      <c r="T238" s="20" t="n">
        <v>330</v>
      </c>
      <c r="U238" s="20" t="n">
        <v>324</v>
      </c>
      <c r="V238" s="20" t="n">
        <v>450</v>
      </c>
      <c r="W238" s="20" t="n">
        <v>700</v>
      </c>
      <c r="X238" s="20" t="n">
        <v>1517</v>
      </c>
    </row>
    <row r="239">
      <c r="A239" s="18" t="inlineStr">
        <is>
          <t>관계회사 주식 매각손익</t>
        </is>
      </c>
      <c r="O239" s="20" t="n">
        <v>0</v>
      </c>
      <c r="P239" s="20" t="n">
        <v>-3312</v>
      </c>
      <c r="Q239" s="20" t="n">
        <v>0</v>
      </c>
    </row>
    <row r="240">
      <c r="A240" s="18" t="inlineStr">
        <is>
          <t>단계적 취득 차손익</t>
        </is>
      </c>
      <c r="O240" s="20" t="n">
        <v>-878</v>
      </c>
      <c r="P240" s="20" t="n">
        <v>0</v>
      </c>
    </row>
    <row r="241">
      <c r="A241" s="18" t="inlineStr">
        <is>
          <t>보험금 수익</t>
        </is>
      </c>
      <c r="C241" s="20" t="n">
        <v>0</v>
      </c>
      <c r="E241" s="20" t="n">
        <v>0</v>
      </c>
      <c r="T241" s="20" t="n">
        <v>-100</v>
      </c>
      <c r="U241" s="20" t="n">
        <v>-678</v>
      </c>
      <c r="V241" s="20" t="n">
        <v>0</v>
      </c>
    </row>
    <row r="242">
      <c r="A242" s="18" t="inlineStr">
        <is>
          <t>고정자산 제각·매각손익</t>
        </is>
      </c>
      <c r="C242" s="20" t="n">
        <v>56</v>
      </c>
      <c r="E242" s="20" t="n">
        <v>794</v>
      </c>
      <c r="G242" s="20" t="n">
        <v>-693</v>
      </c>
      <c r="I242" s="20" t="n">
        <v>-286</v>
      </c>
      <c r="K242" s="20" t="n">
        <v>-618</v>
      </c>
      <c r="M242" s="20" t="n">
        <v>91</v>
      </c>
      <c r="Q242" s="20" t="n">
        <v>27</v>
      </c>
      <c r="R242" s="20" t="n">
        <v>268</v>
      </c>
      <c r="S242" s="20" t="n">
        <v>291</v>
      </c>
      <c r="T242" s="20" t="n">
        <v>319</v>
      </c>
      <c r="U242" s="20" t="n">
        <v>235</v>
      </c>
      <c r="V242" s="20" t="n">
        <v>794</v>
      </c>
      <c r="W242" s="20" t="n">
        <v>-286</v>
      </c>
      <c r="X242" s="20" t="n">
        <v>91</v>
      </c>
    </row>
    <row r="243">
      <c r="A243" s="18" t="inlineStr">
        <is>
          <t>투자유가증권 매각손익</t>
        </is>
      </c>
      <c r="C243" s="20" t="n">
        <v>-8</v>
      </c>
      <c r="E243" s="20" t="n">
        <v>-3971</v>
      </c>
      <c r="G243" s="20" t="n">
        <v>-1973</v>
      </c>
      <c r="I243" s="20" t="n">
        <v>-3696</v>
      </c>
      <c r="K243" s="20" t="n">
        <v>-4419</v>
      </c>
      <c r="M243" s="20" t="n">
        <v>-6538</v>
      </c>
      <c r="Q243" s="20" t="n">
        <v>-21</v>
      </c>
      <c r="R243" s="20" t="n">
        <v>-1128</v>
      </c>
      <c r="T243" s="20" t="n">
        <v>0</v>
      </c>
      <c r="U243" s="20" t="n">
        <v>-674</v>
      </c>
      <c r="V243" s="20" t="n">
        <v>-3971</v>
      </c>
      <c r="W243" s="20" t="n">
        <v>-3696</v>
      </c>
      <c r="X243" s="20" t="n">
        <v>-6538</v>
      </c>
    </row>
    <row r="244">
      <c r="A244" s="18" t="inlineStr">
        <is>
          <t>사업양도 손익</t>
        </is>
      </c>
      <c r="P244" s="20" t="n">
        <v>0</v>
      </c>
      <c r="Q244" s="20" t="n">
        <v>-291</v>
      </c>
      <c r="R244" s="20" t="n">
        <v>0</v>
      </c>
    </row>
    <row r="245">
      <c r="A245" s="18" t="inlineStr">
        <is>
          <t>투자유가증권 평가손익</t>
        </is>
      </c>
      <c r="Q245" s="20" t="n">
        <v>32</v>
      </c>
      <c r="R245" s="20" t="n">
        <v>260</v>
      </c>
    </row>
    <row r="246">
      <c r="A246" s="18" t="inlineStr">
        <is>
          <t>매출채권 증감</t>
        </is>
      </c>
      <c r="C246" s="20" t="n">
        <v>941</v>
      </c>
      <c r="E246" s="20" t="n">
        <v>1994</v>
      </c>
      <c r="G246" s="20" t="n">
        <v>477</v>
      </c>
      <c r="I246" s="20" t="n">
        <v>714</v>
      </c>
      <c r="K246" s="20" t="n">
        <v>184</v>
      </c>
      <c r="M246" s="20" t="n">
        <v>-2971</v>
      </c>
      <c r="O246" s="20" t="n">
        <v>-1334</v>
      </c>
      <c r="P246" s="20" t="n">
        <v>-240</v>
      </c>
      <c r="Q246" s="20" t="n">
        <v>-2900</v>
      </c>
      <c r="R246" s="20" t="n">
        <v>-1291</v>
      </c>
      <c r="S246" s="20" t="n">
        <v>-1162</v>
      </c>
      <c r="T246" s="20" t="n">
        <v>-7109</v>
      </c>
      <c r="U246" s="20" t="n">
        <v>2634</v>
      </c>
      <c r="V246" s="20" t="n">
        <v>1994</v>
      </c>
      <c r="W246" s="20" t="n">
        <v>714</v>
      </c>
      <c r="X246" s="20" t="n">
        <v>-2971</v>
      </c>
    </row>
    <row r="247">
      <c r="A247" s="18" t="inlineStr">
        <is>
          <t>재고자산 증감</t>
        </is>
      </c>
      <c r="C247" s="20" t="n">
        <v>1663</v>
      </c>
      <c r="E247" s="20" t="n">
        <v>982</v>
      </c>
      <c r="G247" s="20" t="n">
        <v>-1339</v>
      </c>
      <c r="I247" s="20" t="n">
        <v>-5025</v>
      </c>
      <c r="K247" s="20" t="n">
        <v>-2226</v>
      </c>
      <c r="M247" s="20" t="n">
        <v>-6297</v>
      </c>
      <c r="O247" s="20" t="n">
        <v>-1377</v>
      </c>
      <c r="P247" s="20" t="n">
        <v>-2520</v>
      </c>
      <c r="Q247" s="20" t="n">
        <v>-5060</v>
      </c>
      <c r="R247" s="20" t="n">
        <v>-3159</v>
      </c>
      <c r="S247" s="20" t="n">
        <v>-691</v>
      </c>
      <c r="T247" s="20" t="n">
        <v>-21235</v>
      </c>
      <c r="U247" s="20" t="n">
        <v>8969</v>
      </c>
      <c r="V247" s="20" t="n">
        <v>982</v>
      </c>
      <c r="W247" s="20" t="n">
        <v>-5025</v>
      </c>
      <c r="X247" s="20" t="n">
        <v>-6297</v>
      </c>
    </row>
    <row r="248">
      <c r="A248" s="18" t="inlineStr">
        <is>
          <t>기타 유동자산 증감</t>
        </is>
      </c>
      <c r="C248" s="20" t="n">
        <v>-796</v>
      </c>
      <c r="G248" s="20" t="n">
        <v>-1913</v>
      </c>
      <c r="K248" s="20" t="n">
        <v>-2565</v>
      </c>
    </row>
    <row r="249">
      <c r="A249" s="18" t="inlineStr">
        <is>
          <t>매입채무 증감</t>
        </is>
      </c>
      <c r="C249" s="20" t="n">
        <v>-1181</v>
      </c>
      <c r="E249" s="20" t="n">
        <v>-914</v>
      </c>
      <c r="G249" s="20" t="n">
        <v>-1494</v>
      </c>
      <c r="I249" s="20" t="n">
        <v>-83</v>
      </c>
      <c r="K249" s="20" t="n">
        <v>238</v>
      </c>
      <c r="M249" s="20" t="n">
        <v>1932</v>
      </c>
      <c r="O249" s="20" t="n">
        <v>208</v>
      </c>
      <c r="P249" s="20" t="n">
        <v>-10</v>
      </c>
      <c r="Q249" s="20" t="n">
        <v>324</v>
      </c>
      <c r="R249" s="20" t="n">
        <v>-340</v>
      </c>
      <c r="S249" s="20" t="n">
        <v>40</v>
      </c>
      <c r="T249" s="20" t="n">
        <v>3920</v>
      </c>
      <c r="U249" s="20" t="n">
        <v>-252</v>
      </c>
      <c r="V249" s="20" t="n">
        <v>-914</v>
      </c>
      <c r="W249" s="20" t="n">
        <v>-83</v>
      </c>
      <c r="X249" s="20" t="n">
        <v>1932</v>
      </c>
    </row>
    <row r="250">
      <c r="A250" s="18" t="inlineStr">
        <is>
          <t>미지급 주세 증감액(△는 감소)</t>
        </is>
      </c>
      <c r="C250" s="20" t="n">
        <v>3458</v>
      </c>
      <c r="E250" s="20" t="n">
        <v>2358</v>
      </c>
      <c r="G250" s="20" t="n">
        <v>-1603</v>
      </c>
      <c r="I250" s="20" t="n">
        <v>-3590</v>
      </c>
      <c r="K250" s="20" t="n">
        <v>601</v>
      </c>
      <c r="M250" s="20" t="n">
        <v>1168</v>
      </c>
      <c r="O250" s="20" t="n">
        <v>-261</v>
      </c>
      <c r="P250" s="20" t="n">
        <v>1685</v>
      </c>
      <c r="Q250" s="20" t="n">
        <v>946</v>
      </c>
      <c r="R250" s="20" t="n">
        <v>-2534</v>
      </c>
      <c r="S250" s="20" t="n">
        <v>-799</v>
      </c>
      <c r="T250" s="20" t="n">
        <v>281</v>
      </c>
      <c r="U250" s="20" t="n">
        <v>-1358</v>
      </c>
      <c r="V250" s="20" t="n">
        <v>2358</v>
      </c>
      <c r="W250" s="20" t="n">
        <v>-3590</v>
      </c>
      <c r="X250" s="20" t="n">
        <v>1168</v>
      </c>
    </row>
    <row r="251">
      <c r="A251" s="18" t="inlineStr">
        <is>
          <t>미지급 소비세 증감</t>
        </is>
      </c>
      <c r="C251" s="20" t="n">
        <v>-1639</v>
      </c>
      <c r="E251" s="20" t="n">
        <v>-3031</v>
      </c>
      <c r="G251" s="20" t="n">
        <v>1594</v>
      </c>
      <c r="I251" s="20" t="n">
        <v>1150</v>
      </c>
      <c r="K251" s="20" t="n">
        <v>170</v>
      </c>
      <c r="M251" s="20" t="n">
        <v>371</v>
      </c>
      <c r="O251" s="20" t="n">
        <v>478</v>
      </c>
      <c r="P251" s="20" t="n">
        <v>176</v>
      </c>
      <c r="Q251" s="20" t="n">
        <v>244</v>
      </c>
      <c r="R251" s="20" t="n">
        <v>-994</v>
      </c>
      <c r="S251" s="20" t="n">
        <v>1722</v>
      </c>
      <c r="T251" s="20" t="n">
        <v>-1890</v>
      </c>
      <c r="U251" s="20" t="n">
        <v>2104</v>
      </c>
      <c r="V251" s="20" t="n">
        <v>-3031</v>
      </c>
      <c r="W251" s="20" t="n">
        <v>1150</v>
      </c>
      <c r="X251" s="20" t="n">
        <v>371</v>
      </c>
    </row>
    <row r="252">
      <c r="A252" s="18" t="inlineStr">
        <is>
          <t>기타 유동부채 증감</t>
        </is>
      </c>
      <c r="C252" s="20" t="n">
        <v>-2453</v>
      </c>
      <c r="E252" s="20" t="n">
        <v>2264</v>
      </c>
      <c r="G252" s="20" t="n">
        <v>-3499</v>
      </c>
      <c r="I252" s="20" t="n">
        <v>-3526</v>
      </c>
      <c r="K252" s="20" t="n">
        <v>-1354</v>
      </c>
      <c r="M252" s="20" t="n">
        <v>354</v>
      </c>
      <c r="P252" s="20" t="n">
        <v>-699</v>
      </c>
      <c r="Q252" s="20" t="n">
        <v>868</v>
      </c>
      <c r="R252" s="20" t="n">
        <v>-595</v>
      </c>
      <c r="S252" s="20" t="n">
        <v>2442</v>
      </c>
      <c r="T252" s="20" t="n">
        <v>3372</v>
      </c>
      <c r="U252" s="20" t="n">
        <v>-1261</v>
      </c>
      <c r="V252" s="20" t="n">
        <v>2264</v>
      </c>
      <c r="W252" s="20" t="n">
        <v>-3526</v>
      </c>
      <c r="X252" s="20" t="n">
        <v>354</v>
      </c>
    </row>
    <row r="253">
      <c r="A253" s="18" t="inlineStr">
        <is>
          <t>기타</t>
        </is>
      </c>
      <c r="C253" s="20" t="n">
        <v>103</v>
      </c>
      <c r="E253" s="20" t="n">
        <v>0</v>
      </c>
      <c r="G253" s="20" t="n">
        <v>-20</v>
      </c>
      <c r="I253" s="20" t="n">
        <v>-966</v>
      </c>
      <c r="K253" s="20" t="n">
        <v>260</v>
      </c>
      <c r="M253" s="20" t="n">
        <v>-107</v>
      </c>
      <c r="O253" s="20" t="n">
        <v>220</v>
      </c>
      <c r="P253" s="20" t="n">
        <v>730</v>
      </c>
      <c r="Q253" s="20" t="n">
        <v>241</v>
      </c>
      <c r="R253" s="20" t="n">
        <v>-65</v>
      </c>
      <c r="S253" s="20" t="n">
        <v>-496</v>
      </c>
      <c r="T253" s="20" t="n">
        <v>-112</v>
      </c>
      <c r="U253" s="20" t="n">
        <v>835</v>
      </c>
      <c r="V253" s="20" t="n">
        <v>0</v>
      </c>
      <c r="W253" s="20" t="n">
        <v>-966</v>
      </c>
      <c r="X253" s="20" t="n">
        <v>-107</v>
      </c>
    </row>
    <row r="254">
      <c r="A254" s="18" t="inlineStr">
        <is>
          <t>소계</t>
        </is>
      </c>
      <c r="C254" s="20" t="n">
        <v>17771</v>
      </c>
      <c r="E254" s="20" t="n">
        <v>37147</v>
      </c>
      <c r="G254" s="20" t="n">
        <v>7944</v>
      </c>
      <c r="I254" s="20" t="n">
        <v>21730</v>
      </c>
      <c r="K254" s="20" t="n">
        <v>9605</v>
      </c>
      <c r="M254" s="20" t="n">
        <v>25561</v>
      </c>
      <c r="O254" s="20" t="n">
        <v>17823</v>
      </c>
      <c r="P254" s="20" t="n">
        <v>22123</v>
      </c>
      <c r="Q254" s="20" t="n">
        <v>19708</v>
      </c>
      <c r="R254" s="20" t="n">
        <v>16188</v>
      </c>
      <c r="S254" s="20" t="n">
        <v>31347</v>
      </c>
      <c r="T254" s="20" t="n">
        <v>25406</v>
      </c>
      <c r="U254" s="20" t="n">
        <v>59621</v>
      </c>
      <c r="V254" s="20" t="n">
        <v>37147</v>
      </c>
      <c r="W254" s="20" t="n">
        <v>21730</v>
      </c>
      <c r="X254" s="20" t="n">
        <v>25561</v>
      </c>
    </row>
    <row r="255">
      <c r="A255" s="18" t="inlineStr">
        <is>
          <t>이자·배당금 수취</t>
        </is>
      </c>
      <c r="C255" s="20" t="n">
        <v>683</v>
      </c>
      <c r="E255" s="20" t="n">
        <v>1380</v>
      </c>
      <c r="G255" s="20" t="n">
        <v>950</v>
      </c>
      <c r="I255" s="20" t="n">
        <v>1933</v>
      </c>
      <c r="K255" s="20" t="n">
        <v>904</v>
      </c>
      <c r="M255" s="20" t="n">
        <v>1613</v>
      </c>
      <c r="O255" s="20" t="n">
        <v>697</v>
      </c>
      <c r="P255" s="20" t="n">
        <v>719</v>
      </c>
      <c r="Q255" s="20" t="n">
        <v>782</v>
      </c>
      <c r="R255" s="20" t="n">
        <v>917</v>
      </c>
      <c r="S255" s="20" t="n">
        <v>703</v>
      </c>
      <c r="T255" s="20" t="n">
        <v>787</v>
      </c>
      <c r="U255" s="20" t="n">
        <v>1053</v>
      </c>
      <c r="V255" s="20" t="n">
        <v>1380</v>
      </c>
      <c r="W255" s="20" t="n">
        <v>1933</v>
      </c>
      <c r="X255" s="20" t="n">
        <v>1613</v>
      </c>
    </row>
    <row r="256">
      <c r="A256" s="18" t="inlineStr">
        <is>
          <t>이자 지급</t>
        </is>
      </c>
      <c r="C256" s="20" t="n">
        <v>-213</v>
      </c>
      <c r="E256" s="20" t="n">
        <v>-457</v>
      </c>
      <c r="G256" s="20" t="n">
        <v>-364</v>
      </c>
      <c r="I256" s="20" t="n">
        <v>-736</v>
      </c>
      <c r="K256" s="20" t="n">
        <v>-470</v>
      </c>
      <c r="M256" s="20" t="n">
        <v>-995</v>
      </c>
      <c r="O256" s="20" t="n">
        <v>-475</v>
      </c>
      <c r="P256" s="20" t="n">
        <v>-560</v>
      </c>
      <c r="Q256" s="20" t="n">
        <v>-396</v>
      </c>
      <c r="R256" s="20" t="n">
        <v>-405</v>
      </c>
      <c r="S256" s="20" t="n">
        <v>-364</v>
      </c>
      <c r="T256" s="20" t="n">
        <v>-334</v>
      </c>
      <c r="U256" s="20" t="n">
        <v>-340</v>
      </c>
      <c r="V256" s="20" t="n">
        <v>-457</v>
      </c>
      <c r="W256" s="20" t="n">
        <v>-736</v>
      </c>
      <c r="X256" s="20" t="n">
        <v>-995</v>
      </c>
    </row>
    <row r="257">
      <c r="A257" s="18" t="inlineStr">
        <is>
          <t>법인세 납부</t>
        </is>
      </c>
      <c r="C257" s="20" t="n">
        <v>-3319</v>
      </c>
      <c r="E257" s="20" t="n">
        <v>-8459</v>
      </c>
      <c r="G257" s="20" t="n">
        <v>-2322</v>
      </c>
      <c r="I257" s="20" t="n">
        <v>-6771</v>
      </c>
      <c r="K257" s="20" t="n">
        <v>-4070</v>
      </c>
      <c r="M257" s="20" t="n">
        <v>-8861</v>
      </c>
      <c r="O257" s="20" t="n">
        <v>-5218</v>
      </c>
      <c r="P257" s="20" t="n">
        <v>-6017</v>
      </c>
      <c r="Q257" s="20" t="n">
        <v>-6586</v>
      </c>
      <c r="R257" s="20" t="n">
        <v>-4955</v>
      </c>
      <c r="S257" s="20" t="n">
        <v>-4767</v>
      </c>
      <c r="T257" s="20" t="n">
        <v>-10253</v>
      </c>
      <c r="U257" s="20" t="n">
        <v>-15535</v>
      </c>
      <c r="V257" s="20" t="n">
        <v>-8459</v>
      </c>
      <c r="W257" s="20" t="n">
        <v>-6771</v>
      </c>
      <c r="X257" s="20" t="n">
        <v>-8861</v>
      </c>
    </row>
    <row r="258">
      <c r="A258" s="18" t="inlineStr">
        <is>
          <t>보험금 수취</t>
        </is>
      </c>
      <c r="C258" s="20" t="n">
        <v>0</v>
      </c>
      <c r="E258" s="20" t="n">
        <v>0</v>
      </c>
      <c r="T258" s="20" t="n">
        <v>100</v>
      </c>
      <c r="U258" s="20" t="n">
        <v>678</v>
      </c>
      <c r="V258" s="20" t="n">
        <v>0</v>
      </c>
    </row>
    <row r="259">
      <c r="A259" s="18" t="inlineStr">
        <is>
          <t>보조금 수취</t>
        </is>
      </c>
      <c r="R259" s="20" t="n">
        <v>0</v>
      </c>
      <c r="S259" s="20" t="n">
        <v>181</v>
      </c>
      <c r="T259" s="20" t="n">
        <v>671</v>
      </c>
      <c r="U259" s="20" t="n">
        <v>0</v>
      </c>
    </row>
    <row r="260">
      <c r="A260" s="18" t="inlineStr">
        <is>
          <t>보조금 반환액</t>
        </is>
      </c>
      <c r="E260" s="20" t="n">
        <v>-433</v>
      </c>
      <c r="I260" s="20" t="n">
        <v>0</v>
      </c>
      <c r="U260" s="20" t="n">
        <v>0</v>
      </c>
      <c r="V260" s="20" t="n">
        <v>-433</v>
      </c>
      <c r="W260" s="20" t="n">
        <v>0</v>
      </c>
    </row>
    <row r="261">
      <c r="A261" s="9" t="inlineStr">
        <is>
          <t>영업활동 현금흐름</t>
        </is>
      </c>
      <c r="C261" s="12" t="n">
        <v>14922</v>
      </c>
      <c r="E261" s="12" t="n">
        <v>29178</v>
      </c>
      <c r="G261" s="12" t="n">
        <v>6207</v>
      </c>
      <c r="I261" s="12" t="n">
        <v>16155</v>
      </c>
      <c r="K261" s="12" t="n">
        <v>5968</v>
      </c>
      <c r="M261" s="12" t="n">
        <v>17318</v>
      </c>
      <c r="O261" s="12" t="n">
        <v>12826</v>
      </c>
      <c r="P261" s="12" t="n">
        <v>16265</v>
      </c>
      <c r="Q261" s="12" t="n">
        <v>13508</v>
      </c>
      <c r="R261" s="12" t="n">
        <v>11744</v>
      </c>
      <c r="S261" s="12" t="n">
        <v>27100</v>
      </c>
      <c r="T261" s="12" t="n">
        <v>16376</v>
      </c>
      <c r="U261" s="12" t="n">
        <v>45478</v>
      </c>
      <c r="V261" s="12" t="n">
        <v>29178</v>
      </c>
      <c r="W261" s="12" t="n">
        <v>16155</v>
      </c>
      <c r="X261" s="12" t="n">
        <v>17318</v>
      </c>
    </row>
    <row r="262">
      <c r="A262" s="18" t="inlineStr">
        <is>
          <t>정기예금 예입</t>
        </is>
      </c>
      <c r="C262" s="20" t="n">
        <v>-1696</v>
      </c>
      <c r="E262" s="20" t="n">
        <v>-4592</v>
      </c>
      <c r="G262" s="20" t="n">
        <v>-3433</v>
      </c>
      <c r="I262" s="20" t="n">
        <v>-6967</v>
      </c>
      <c r="K262" s="20" t="n">
        <v>-5962</v>
      </c>
      <c r="M262" s="20" t="n">
        <v>-8370</v>
      </c>
      <c r="O262" s="20" t="n">
        <v>-7510</v>
      </c>
      <c r="P262" s="20" t="n">
        <v>-13993</v>
      </c>
      <c r="Q262" s="20" t="n">
        <v>-15310</v>
      </c>
      <c r="R262" s="20" t="n">
        <v>-6785</v>
      </c>
      <c r="S262" s="20" t="n">
        <v>-4316</v>
      </c>
      <c r="T262" s="20" t="n">
        <v>-15513</v>
      </c>
      <c r="U262" s="20" t="n">
        <v>-23167</v>
      </c>
      <c r="V262" s="20" t="n">
        <v>-4592</v>
      </c>
      <c r="W262" s="20" t="n">
        <v>-6967</v>
      </c>
      <c r="X262" s="20" t="n">
        <v>-8370</v>
      </c>
    </row>
    <row r="263">
      <c r="A263" s="18" t="inlineStr">
        <is>
          <t>정기예금 인출</t>
        </is>
      </c>
      <c r="C263" s="20" t="n">
        <v>2596</v>
      </c>
      <c r="E263" s="20" t="n">
        <v>5530</v>
      </c>
      <c r="G263" s="20" t="n">
        <v>3736</v>
      </c>
      <c r="I263" s="20" t="n">
        <v>4345</v>
      </c>
      <c r="K263" s="20" t="n">
        <v>6959</v>
      </c>
      <c r="M263" s="20" t="n">
        <v>12403</v>
      </c>
      <c r="O263" s="20" t="n">
        <v>15959</v>
      </c>
      <c r="P263" s="20" t="n">
        <v>12160</v>
      </c>
      <c r="Q263" s="20" t="n">
        <v>14846</v>
      </c>
      <c r="R263" s="20" t="n">
        <v>10564</v>
      </c>
      <c r="S263" s="20" t="n">
        <v>5407</v>
      </c>
      <c r="T263" s="20" t="n">
        <v>14758</v>
      </c>
      <c r="U263" s="20" t="n">
        <v>24008</v>
      </c>
      <c r="V263" s="20" t="n">
        <v>5530</v>
      </c>
      <c r="W263" s="20" t="n">
        <v>4345</v>
      </c>
      <c r="X263" s="20" t="n">
        <v>12403</v>
      </c>
    </row>
    <row r="264">
      <c r="A264" s="18" t="inlineStr">
        <is>
          <t>유가증권 취득</t>
        </is>
      </c>
      <c r="O264" s="20" t="n">
        <v>-10059</v>
      </c>
      <c r="P264" s="20" t="n">
        <v>-12502</v>
      </c>
      <c r="Q264" s="20" t="n">
        <v>-11467</v>
      </c>
      <c r="R264" s="20" t="n">
        <v>-8478</v>
      </c>
      <c r="S264" s="20" t="n">
        <v>0</v>
      </c>
    </row>
    <row r="265">
      <c r="A265" s="18" t="inlineStr">
        <is>
          <t>유가증권 매각·상환 수입</t>
        </is>
      </c>
      <c r="O265" s="20" t="n">
        <v>22028</v>
      </c>
      <c r="P265" s="20" t="n">
        <v>8736</v>
      </c>
      <c r="Q265" s="20" t="n">
        <v>12528</v>
      </c>
      <c r="R265" s="20" t="n">
        <v>11507</v>
      </c>
      <c r="S265" s="20" t="n">
        <v>4455</v>
      </c>
      <c r="T265" s="20" t="n">
        <v>0</v>
      </c>
    </row>
    <row r="266">
      <c r="A266" s="18" t="inlineStr">
        <is>
          <t>유·무형자산 취득 지출</t>
        </is>
      </c>
      <c r="C266" s="20" t="n">
        <v>-14540</v>
      </c>
      <c r="E266" s="20" t="n">
        <v>-19210</v>
      </c>
      <c r="G266" s="20" t="n">
        <v>-5838</v>
      </c>
      <c r="I266" s="20" t="n">
        <v>-20143</v>
      </c>
      <c r="K266" s="20" t="n">
        <v>-18791</v>
      </c>
      <c r="M266" s="20" t="n">
        <v>-22167</v>
      </c>
      <c r="O266" s="20" t="n">
        <v>-5376</v>
      </c>
      <c r="P266" s="20" t="n">
        <v>-6601</v>
      </c>
      <c r="Q266" s="20" t="n">
        <v>-10671</v>
      </c>
      <c r="R266" s="20" t="n">
        <v>-12121</v>
      </c>
      <c r="S266" s="20" t="n">
        <v>-13911</v>
      </c>
      <c r="T266" s="20" t="n">
        <v>-14762</v>
      </c>
      <c r="U266" s="20" t="n">
        <v>-10618</v>
      </c>
      <c r="V266" s="20" t="n">
        <v>-19210</v>
      </c>
      <c r="W266" s="20" t="n">
        <v>-20143</v>
      </c>
      <c r="X266" s="20" t="n">
        <v>-22167</v>
      </c>
    </row>
    <row r="267">
      <c r="A267" s="18" t="inlineStr">
        <is>
          <t>연결범위 변경 자회사 주식 취득(수입)</t>
        </is>
      </c>
      <c r="O267" s="20" t="n">
        <v>2070</v>
      </c>
      <c r="P267" s="20" t="n">
        <v>0</v>
      </c>
      <c r="Q267" s="20" t="n">
        <v>0</v>
      </c>
      <c r="R267" s="20" t="n">
        <v>350</v>
      </c>
      <c r="S267" s="20" t="n">
        <v>0</v>
      </c>
    </row>
    <row r="268">
      <c r="A268" s="18" t="inlineStr">
        <is>
          <t>유·무형자산 매각 수입</t>
        </is>
      </c>
      <c r="C268" s="20" t="n">
        <v>34</v>
      </c>
      <c r="E268" s="20" t="n">
        <v>68</v>
      </c>
      <c r="G268" s="20" t="n">
        <v>747</v>
      </c>
      <c r="I268" s="20" t="n">
        <v>765</v>
      </c>
      <c r="K268" s="20" t="n">
        <v>1358</v>
      </c>
      <c r="M268" s="20" t="n">
        <v>1530</v>
      </c>
      <c r="S268" s="20" t="n">
        <v>28</v>
      </c>
      <c r="T268" s="20" t="n">
        <v>1326</v>
      </c>
      <c r="U268" s="20" t="n">
        <v>430</v>
      </c>
      <c r="V268" s="20" t="n">
        <v>68</v>
      </c>
      <c r="W268" s="20" t="n">
        <v>765</v>
      </c>
      <c r="X268" s="20" t="n">
        <v>1530</v>
      </c>
    </row>
    <row r="269">
      <c r="A269" s="18" t="inlineStr">
        <is>
          <t>투자유가증권 취득</t>
        </is>
      </c>
      <c r="O269" s="20" t="n">
        <v>-11</v>
      </c>
      <c r="P269" s="20" t="n">
        <v>-280</v>
      </c>
      <c r="T269" s="20" t="n">
        <v>-43</v>
      </c>
      <c r="U269" s="20" t="n">
        <v>-517</v>
      </c>
    </row>
    <row r="270">
      <c r="A270" s="18" t="inlineStr">
        <is>
          <t>투자유가증권 매각</t>
        </is>
      </c>
      <c r="C270" s="20" t="n">
        <v>31</v>
      </c>
      <c r="E270" s="20" t="n">
        <v>4874</v>
      </c>
      <c r="G270" s="20" t="n">
        <v>2790</v>
      </c>
      <c r="I270" s="20" t="n">
        <v>4756</v>
      </c>
      <c r="K270" s="20" t="n">
        <v>5032</v>
      </c>
      <c r="M270" s="20" t="n">
        <v>7974</v>
      </c>
      <c r="Q270" s="20" t="n">
        <v>33</v>
      </c>
      <c r="R270" s="20" t="n">
        <v>1636</v>
      </c>
      <c r="T270" s="20" t="n">
        <v>0</v>
      </c>
      <c r="U270" s="20" t="n">
        <v>793</v>
      </c>
      <c r="V270" s="20" t="n">
        <v>4874</v>
      </c>
      <c r="W270" s="20" t="n">
        <v>4756</v>
      </c>
      <c r="X270" s="20" t="n">
        <v>7974</v>
      </c>
    </row>
    <row r="271">
      <c r="A271" s="18" t="inlineStr">
        <is>
          <t>연결범위 변경 자회사 주식 취득</t>
        </is>
      </c>
      <c r="C271" s="20" t="n">
        <v>-2160</v>
      </c>
      <c r="E271" s="20" t="n">
        <v>-5441</v>
      </c>
      <c r="G271" s="20" t="n">
        <v>0</v>
      </c>
      <c r="K271" s="20" t="n">
        <v>-6416</v>
      </c>
      <c r="O271" s="20" t="n">
        <v>-1327</v>
      </c>
      <c r="P271" s="20" t="n">
        <v>-12396</v>
      </c>
      <c r="Q271" s="20" t="n">
        <v>-53</v>
      </c>
      <c r="R271" s="20" t="n">
        <v>0</v>
      </c>
      <c r="T271" s="20" t="n">
        <v>0</v>
      </c>
      <c r="U271" s="20" t="n">
        <v>-1068</v>
      </c>
      <c r="V271" s="20" t="n">
        <v>-5441</v>
      </c>
    </row>
    <row r="272">
      <c r="A272" s="18" t="inlineStr">
        <is>
          <t>연결범위 변경 자회사 주식 매각</t>
        </is>
      </c>
      <c r="O272" s="20" t="n">
        <v>0</v>
      </c>
      <c r="P272" s="20" t="n">
        <v>4150</v>
      </c>
      <c r="Q272" s="20" t="n">
        <v>0</v>
      </c>
    </row>
    <row r="273">
      <c r="A273" s="18" t="inlineStr">
        <is>
          <t>사업양도 수입</t>
        </is>
      </c>
      <c r="P273" s="20" t="n">
        <v>0</v>
      </c>
      <c r="Q273" s="20" t="n">
        <v>1067</v>
      </c>
      <c r="R273" s="20" t="n">
        <v>0</v>
      </c>
    </row>
    <row r="274">
      <c r="A274" s="18" t="inlineStr">
        <is>
          <t>비연결 자회사 주식 취득</t>
        </is>
      </c>
      <c r="E274" s="20" t="n">
        <v>0</v>
      </c>
      <c r="I274" s="20" t="n">
        <v>-546</v>
      </c>
      <c r="M274" s="20" t="n">
        <v>0</v>
      </c>
      <c r="V274" s="20" t="n">
        <v>0</v>
      </c>
      <c r="W274" s="20" t="n">
        <v>-546</v>
      </c>
      <c r="X274" s="20" t="n">
        <v>0</v>
      </c>
    </row>
    <row r="275">
      <c r="A275" s="18" t="inlineStr">
        <is>
          <t>연결범위 변경 수반 자회사 주식·출자금 취득 지출</t>
        </is>
      </c>
      <c r="E275" s="20" t="n">
        <v>-5441</v>
      </c>
      <c r="I275" s="20" t="n">
        <v>-23299</v>
      </c>
      <c r="M275" s="20" t="n">
        <v>-6416</v>
      </c>
      <c r="V275" s="20" t="n">
        <v>-5441</v>
      </c>
      <c r="W275" s="20" t="n">
        <v>-23299</v>
      </c>
      <c r="X275" s="20" t="n">
        <v>-6416</v>
      </c>
    </row>
    <row r="276">
      <c r="A276" s="18" t="inlineStr">
        <is>
          <t>보조금 수취</t>
        </is>
      </c>
      <c r="C276" s="20" t="n">
        <v>0</v>
      </c>
      <c r="E276" s="20" t="n">
        <v>463</v>
      </c>
      <c r="I276" s="20" t="n">
        <v>90</v>
      </c>
      <c r="M276" s="20" t="n">
        <v>349</v>
      </c>
      <c r="R276" s="20" t="n">
        <v>0</v>
      </c>
      <c r="S276" s="20" t="n">
        <v>1900</v>
      </c>
      <c r="T276" s="20" t="n">
        <v>3960</v>
      </c>
      <c r="U276" s="20" t="n">
        <v>32</v>
      </c>
      <c r="V276" s="20" t="n">
        <v>463</v>
      </c>
      <c r="W276" s="20" t="n">
        <v>90</v>
      </c>
      <c r="X276" s="20" t="n">
        <v>349</v>
      </c>
    </row>
    <row r="277">
      <c r="A277" s="18" t="inlineStr">
        <is>
          <t>보조금 반환액</t>
        </is>
      </c>
      <c r="E277" s="20" t="n">
        <v>-1335</v>
      </c>
      <c r="I277" s="20" t="n">
        <v>0</v>
      </c>
      <c r="U277" s="20" t="n">
        <v>0</v>
      </c>
      <c r="V277" s="20" t="n">
        <v>-1335</v>
      </c>
      <c r="W277" s="20" t="n">
        <v>0</v>
      </c>
    </row>
    <row r="278">
      <c r="A278" s="18" t="inlineStr">
        <is>
          <t>기타</t>
        </is>
      </c>
      <c r="C278" s="20" t="n">
        <v>-63</v>
      </c>
      <c r="E278" s="20" t="n">
        <v>-351</v>
      </c>
      <c r="G278" s="20" t="n">
        <v>-316</v>
      </c>
      <c r="I278" s="20" t="n">
        <v>-565</v>
      </c>
      <c r="K278" s="20" t="n">
        <v>-533</v>
      </c>
      <c r="M278" s="20" t="n">
        <v>-645</v>
      </c>
      <c r="O278" s="20" t="n">
        <v>426</v>
      </c>
      <c r="P278" s="20" t="n">
        <v>530</v>
      </c>
      <c r="Q278" s="20" t="n">
        <v>-187</v>
      </c>
      <c r="R278" s="20" t="n">
        <v>1270</v>
      </c>
      <c r="S278" s="20" t="n">
        <v>-302</v>
      </c>
      <c r="T278" s="20" t="n">
        <v>3834</v>
      </c>
      <c r="U278" s="20" t="n">
        <v>-454</v>
      </c>
      <c r="V278" s="20" t="n">
        <v>-351</v>
      </c>
      <c r="W278" s="20" t="n">
        <v>-565</v>
      </c>
      <c r="X278" s="20" t="n">
        <v>-645</v>
      </c>
    </row>
    <row r="279">
      <c r="A279" s="9" t="inlineStr">
        <is>
          <t>투자활동 현금흐름</t>
        </is>
      </c>
      <c r="C279" s="12" t="n">
        <v>-15796</v>
      </c>
      <c r="E279" s="12" t="n">
        <v>-19993</v>
      </c>
      <c r="G279" s="12" t="n">
        <v>-2313</v>
      </c>
      <c r="I279" s="12" t="n">
        <v>-41562</v>
      </c>
      <c r="K279" s="12" t="n">
        <v>-18352</v>
      </c>
      <c r="M279" s="12" t="n">
        <v>-15341</v>
      </c>
      <c r="O279" s="12" t="n">
        <v>16200</v>
      </c>
      <c r="P279" s="12" t="n">
        <v>-19916</v>
      </c>
      <c r="Q279" s="12" t="n">
        <v>-9213</v>
      </c>
      <c r="R279" s="12" t="n">
        <v>-3690</v>
      </c>
      <c r="S279" s="12" t="n">
        <v>-6738</v>
      </c>
      <c r="T279" s="12" t="n">
        <v>-10399</v>
      </c>
      <c r="U279" s="12" t="n">
        <v>-10474</v>
      </c>
      <c r="V279" s="12" t="n">
        <v>-19993</v>
      </c>
      <c r="W279" s="12" t="n">
        <v>-41562</v>
      </c>
      <c r="X279" s="12" t="n">
        <v>-15341</v>
      </c>
    </row>
    <row r="280">
      <c r="A280" s="18" t="inlineStr">
        <is>
          <t>단기차입금 순증감</t>
        </is>
      </c>
      <c r="E280" s="20" t="n">
        <v>-262</v>
      </c>
      <c r="G280" s="20" t="n">
        <v>-12</v>
      </c>
      <c r="I280" s="20" t="n">
        <v>-46</v>
      </c>
      <c r="K280" s="20" t="n">
        <v>-768</v>
      </c>
      <c r="M280" s="20" t="n">
        <v>-844</v>
      </c>
      <c r="O280" s="20" t="n">
        <v>72</v>
      </c>
      <c r="P280" s="20" t="n">
        <v>-3356</v>
      </c>
      <c r="T280" s="20" t="n">
        <v>66</v>
      </c>
      <c r="U280" s="20" t="n">
        <v>-435</v>
      </c>
      <c r="V280" s="20" t="n">
        <v>-262</v>
      </c>
      <c r="W280" s="20" t="n">
        <v>-46</v>
      </c>
      <c r="X280" s="20" t="n">
        <v>-844</v>
      </c>
    </row>
    <row r="281">
      <c r="A281" s="18" t="inlineStr">
        <is>
          <t>장기차입</t>
        </is>
      </c>
      <c r="C281" s="20" t="n">
        <v>456</v>
      </c>
      <c r="E281" s="20" t="n">
        <v>466</v>
      </c>
      <c r="G281" s="20" t="n">
        <v>100</v>
      </c>
      <c r="I281" s="20" t="n">
        <v>25100</v>
      </c>
      <c r="K281" s="20" t="n">
        <v>9951</v>
      </c>
      <c r="M281" s="20" t="n">
        <v>9951</v>
      </c>
      <c r="R281" s="20" t="n">
        <v>100</v>
      </c>
      <c r="S281" s="20" t="n">
        <v>10068</v>
      </c>
      <c r="T281" s="20" t="n">
        <v>5</v>
      </c>
      <c r="U281" s="20" t="n">
        <v>6</v>
      </c>
      <c r="V281" s="20" t="n">
        <v>466</v>
      </c>
      <c r="W281" s="20" t="n">
        <v>25100</v>
      </c>
      <c r="X281" s="20" t="n">
        <v>9951</v>
      </c>
    </row>
    <row r="282">
      <c r="A282" s="18" t="inlineStr">
        <is>
          <t>장기차입금 상환</t>
        </is>
      </c>
      <c r="C282" s="20" t="n">
        <v>-40</v>
      </c>
      <c r="E282" s="20" t="n">
        <v>-105</v>
      </c>
      <c r="G282" s="20" t="n">
        <v>-5163</v>
      </c>
      <c r="I282" s="20" t="n">
        <v>-5801</v>
      </c>
      <c r="K282" s="20" t="n">
        <v>-5394</v>
      </c>
      <c r="M282" s="20" t="n">
        <v>-5608</v>
      </c>
      <c r="O282" s="20" t="n">
        <v>-108</v>
      </c>
      <c r="P282" s="20" t="n">
        <v>-858</v>
      </c>
      <c r="Q282" s="20" t="n">
        <v>-304</v>
      </c>
      <c r="R282" s="20" t="n">
        <v>-5160</v>
      </c>
      <c r="S282" s="20" t="n">
        <v>-60</v>
      </c>
      <c r="T282" s="20" t="n">
        <v>-55</v>
      </c>
      <c r="U282" s="20" t="n">
        <v>-363</v>
      </c>
      <c r="V282" s="20" t="n">
        <v>-105</v>
      </c>
      <c r="W282" s="20" t="n">
        <v>-5801</v>
      </c>
      <c r="X282" s="20" t="n">
        <v>-5608</v>
      </c>
    </row>
    <row r="283">
      <c r="A283" s="18" t="inlineStr">
        <is>
          <t>사채 발행</t>
        </is>
      </c>
      <c r="O283" s="20" t="n">
        <v>0</v>
      </c>
      <c r="P283" s="20" t="n">
        <v>14887</v>
      </c>
      <c r="Q283" s="20" t="n">
        <v>0</v>
      </c>
      <c r="S283" s="20" t="n">
        <v>0</v>
      </c>
      <c r="T283" s="20" t="n">
        <v>9927</v>
      </c>
      <c r="U283" s="20" t="n">
        <v>0</v>
      </c>
    </row>
    <row r="284">
      <c r="A284" s="18" t="inlineStr">
        <is>
          <t>사채 상환</t>
        </is>
      </c>
      <c r="C284" s="20" t="n">
        <v>0</v>
      </c>
      <c r="E284" s="20" t="n">
        <v>0</v>
      </c>
      <c r="G284" s="20" t="n">
        <v>-5000</v>
      </c>
      <c r="I284" s="20" t="n">
        <v>-5000</v>
      </c>
      <c r="K284" s="20" t="n">
        <v>0</v>
      </c>
      <c r="M284" s="20" t="n">
        <v>0</v>
      </c>
      <c r="O284" s="20" t="n">
        <v>0</v>
      </c>
      <c r="P284" s="20" t="n">
        <v>-10547</v>
      </c>
      <c r="Q284" s="20" t="n">
        <v>0</v>
      </c>
      <c r="R284" s="20" t="n">
        <v>0</v>
      </c>
      <c r="S284" s="20" t="n">
        <v>-5000</v>
      </c>
      <c r="T284" s="20" t="n">
        <v>0</v>
      </c>
      <c r="U284" s="20" t="n">
        <v>-10000</v>
      </c>
      <c r="V284" s="20" t="n">
        <v>0</v>
      </c>
      <c r="W284" s="20" t="n">
        <v>-5000</v>
      </c>
      <c r="X284" s="20" t="n">
        <v>0</v>
      </c>
    </row>
    <row r="285">
      <c r="A285" s="18" t="inlineStr">
        <is>
          <t>기업어음 발행 수입</t>
        </is>
      </c>
      <c r="C285" s="20" t="n">
        <v>0</v>
      </c>
      <c r="G285" s="20" t="n">
        <v>8000</v>
      </c>
      <c r="K285" s="20" t="n">
        <v>0</v>
      </c>
      <c r="R285" s="20" t="n">
        <v>0</v>
      </c>
      <c r="S285" s="20" t="n">
        <v>5000</v>
      </c>
      <c r="T285" s="20" t="n">
        <v>0</v>
      </c>
    </row>
    <row r="286">
      <c r="A286" s="18" t="inlineStr">
        <is>
          <t>기업어음 상환 지출</t>
        </is>
      </c>
      <c r="R286" s="20" t="n">
        <v>0</v>
      </c>
      <c r="S286" s="20" t="n">
        <v>-5000</v>
      </c>
      <c r="T286" s="20" t="n">
        <v>0</v>
      </c>
    </row>
    <row r="287">
      <c r="A287" s="18" t="inlineStr">
        <is>
          <t>자기주식 취득</t>
        </is>
      </c>
      <c r="E287" s="20" t="n">
        <v>-2999</v>
      </c>
      <c r="G287" s="20" t="n">
        <v>-0</v>
      </c>
      <c r="I287" s="20" t="n">
        <v>-0</v>
      </c>
      <c r="K287" s="20" t="n">
        <v>-2999</v>
      </c>
      <c r="M287" s="20" t="n">
        <v>-3000</v>
      </c>
      <c r="O287" s="20" t="n">
        <v>-0</v>
      </c>
      <c r="P287" s="20" t="n">
        <v>-2001</v>
      </c>
      <c r="Q287" s="20" t="n">
        <v>-0</v>
      </c>
      <c r="R287" s="20" t="n">
        <v>-2000</v>
      </c>
      <c r="U287" s="20" t="n">
        <v>-0</v>
      </c>
      <c r="V287" s="20" t="n">
        <v>-2999</v>
      </c>
      <c r="W287" s="20" t="n">
        <v>-0</v>
      </c>
      <c r="X287" s="20" t="n">
        <v>-3000</v>
      </c>
    </row>
    <row r="288">
      <c r="A288" s="18" t="inlineStr">
        <is>
          <t>배당금 지급</t>
        </is>
      </c>
      <c r="C288" s="20" t="n">
        <v>-7497</v>
      </c>
      <c r="E288" s="20" t="n">
        <v>-7503</v>
      </c>
      <c r="G288" s="20" t="n">
        <v>-5654</v>
      </c>
      <c r="I288" s="20" t="n">
        <v>-5659</v>
      </c>
      <c r="K288" s="20" t="n">
        <v>-6050</v>
      </c>
      <c r="M288" s="20" t="n">
        <v>-6054</v>
      </c>
      <c r="O288" s="20" t="n">
        <v>-2413</v>
      </c>
      <c r="P288" s="20" t="n">
        <v>-2614</v>
      </c>
      <c r="Q288" s="20" t="n">
        <v>-3191</v>
      </c>
      <c r="R288" s="20" t="n">
        <v>-3589</v>
      </c>
      <c r="S288" s="20" t="n">
        <v>-3951</v>
      </c>
      <c r="T288" s="20" t="n">
        <v>-4147</v>
      </c>
      <c r="U288" s="20" t="n">
        <v>-7305</v>
      </c>
      <c r="V288" s="20" t="n">
        <v>-7503</v>
      </c>
      <c r="W288" s="20" t="n">
        <v>-5659</v>
      </c>
      <c r="X288" s="20" t="n">
        <v>-6054</v>
      </c>
    </row>
    <row r="289">
      <c r="A289" s="18" t="inlineStr">
        <is>
          <t>비지배주주 배당금 지급</t>
        </is>
      </c>
      <c r="C289" s="20" t="n">
        <v>-1999</v>
      </c>
      <c r="E289" s="20" t="n">
        <v>-2004</v>
      </c>
      <c r="G289" s="20" t="n">
        <v>-813</v>
      </c>
      <c r="I289" s="20" t="n">
        <v>-836</v>
      </c>
      <c r="K289" s="20" t="n">
        <v>-891</v>
      </c>
      <c r="M289" s="20" t="n">
        <v>-893</v>
      </c>
      <c r="S289" s="20" t="n">
        <v>-397</v>
      </c>
      <c r="T289" s="20" t="n">
        <v>-763</v>
      </c>
      <c r="U289" s="20" t="n">
        <v>-1579</v>
      </c>
      <c r="V289" s="20" t="n">
        <v>-2004</v>
      </c>
      <c r="W289" s="20" t="n">
        <v>-836</v>
      </c>
      <c r="X289" s="20" t="n">
        <v>-893</v>
      </c>
    </row>
    <row r="290">
      <c r="A290" s="18" t="inlineStr">
        <is>
          <t>리스부채 상환</t>
        </is>
      </c>
      <c r="C290" s="20" t="n">
        <v>-492</v>
      </c>
      <c r="E290" s="20" t="n">
        <v>-1036</v>
      </c>
      <c r="G290" s="20" t="n">
        <v>-591</v>
      </c>
      <c r="I290" s="20" t="n">
        <v>-1204</v>
      </c>
      <c r="K290" s="20" t="n">
        <v>-633</v>
      </c>
      <c r="M290" s="20" t="n">
        <v>-1347</v>
      </c>
      <c r="Q290" s="20" t="n">
        <v>-219</v>
      </c>
      <c r="R290" s="20" t="n">
        <v>-641</v>
      </c>
      <c r="S290" s="20" t="n">
        <v>-689</v>
      </c>
      <c r="T290" s="20" t="n">
        <v>-710</v>
      </c>
      <c r="U290" s="20" t="n">
        <v>-919</v>
      </c>
      <c r="V290" s="20" t="n">
        <v>-1036</v>
      </c>
      <c r="W290" s="20" t="n">
        <v>-1204</v>
      </c>
      <c r="X290" s="20" t="n">
        <v>-1347</v>
      </c>
    </row>
    <row r="291">
      <c r="A291" s="18" t="inlineStr">
        <is>
          <t>연결범위 변경 없는 자회사 주식 취득</t>
        </is>
      </c>
      <c r="C291" s="20" t="n">
        <v>0</v>
      </c>
      <c r="E291" s="20" t="n">
        <v>0</v>
      </c>
      <c r="O291" s="20" t="n">
        <v>0</v>
      </c>
      <c r="P291" s="20" t="n">
        <v>-585</v>
      </c>
      <c r="Q291" s="20" t="n">
        <v>-203</v>
      </c>
      <c r="R291" s="20" t="n">
        <v>0</v>
      </c>
      <c r="S291" s="20" t="n">
        <v>-1761</v>
      </c>
      <c r="T291" s="20" t="n">
        <v>-175</v>
      </c>
      <c r="U291" s="20" t="n">
        <v>-1551</v>
      </c>
      <c r="V291" s="20" t="n">
        <v>0</v>
      </c>
    </row>
    <row r="292">
      <c r="A292" s="18" t="inlineStr">
        <is>
          <t>조건부 대가 결제 지출</t>
        </is>
      </c>
      <c r="I292" s="20" t="n">
        <v>0</v>
      </c>
      <c r="M292" s="20" t="n">
        <v>-1496</v>
      </c>
      <c r="W292" s="20" t="n">
        <v>0</v>
      </c>
      <c r="X292" s="20" t="n">
        <v>-1496</v>
      </c>
    </row>
    <row r="293">
      <c r="A293" s="18" t="inlineStr">
        <is>
          <t>기타</t>
        </is>
      </c>
      <c r="C293" s="20" t="n">
        <v>318</v>
      </c>
      <c r="E293" s="20" t="n">
        <v>-3</v>
      </c>
      <c r="G293" s="20" t="n">
        <v>-1</v>
      </c>
      <c r="I293" s="20" t="n">
        <v>-2</v>
      </c>
      <c r="K293" s="20" t="n">
        <v>-6</v>
      </c>
      <c r="M293" s="20" t="n">
        <v>-13</v>
      </c>
      <c r="O293" s="20" t="n">
        <v>-379</v>
      </c>
      <c r="P293" s="20" t="n">
        <v>-5851</v>
      </c>
      <c r="Q293" s="20" t="n">
        <v>-323</v>
      </c>
      <c r="R293" s="20" t="n">
        <v>-2362</v>
      </c>
      <c r="S293" s="20" t="n">
        <v>224</v>
      </c>
      <c r="T293" s="20" t="n">
        <v>-8</v>
      </c>
      <c r="U293" s="20" t="n">
        <v>-67</v>
      </c>
      <c r="V293" s="20" t="n">
        <v>-3</v>
      </c>
      <c r="W293" s="20" t="n">
        <v>-2</v>
      </c>
      <c r="X293" s="20" t="n">
        <v>-13</v>
      </c>
    </row>
    <row r="294">
      <c r="A294" s="9" t="inlineStr">
        <is>
          <t>재무활동 현금흐름</t>
        </is>
      </c>
      <c r="C294" s="12" t="n">
        <v>-9711</v>
      </c>
      <c r="E294" s="12" t="n">
        <v>-13448</v>
      </c>
      <c r="G294" s="12" t="n">
        <v>-9136</v>
      </c>
      <c r="I294" s="12" t="n">
        <v>6548</v>
      </c>
      <c r="K294" s="12" t="n">
        <v>-6794</v>
      </c>
      <c r="M294" s="12" t="n">
        <v>-9307</v>
      </c>
      <c r="O294" s="12" t="n">
        <v>-2828</v>
      </c>
      <c r="P294" s="12" t="n">
        <v>-5570</v>
      </c>
      <c r="Q294" s="12" t="n">
        <v>-4243</v>
      </c>
      <c r="R294" s="12" t="n">
        <v>-11653</v>
      </c>
      <c r="S294" s="12" t="n">
        <v>-1506</v>
      </c>
      <c r="T294" s="12" t="n">
        <v>4133</v>
      </c>
      <c r="U294" s="12" t="n">
        <v>-22215</v>
      </c>
      <c r="V294" s="12" t="n">
        <v>-13448</v>
      </c>
      <c r="W294" s="12" t="n">
        <v>6548</v>
      </c>
      <c r="X294" s="12" t="n">
        <v>-9307</v>
      </c>
    </row>
    <row r="295">
      <c r="A295" s="18" t="inlineStr">
        <is>
          <t>현금성자산 환산차이</t>
        </is>
      </c>
      <c r="C295" s="20" t="n">
        <v>3246</v>
      </c>
      <c r="E295" s="20" t="n">
        <v>2661</v>
      </c>
      <c r="G295" s="20" t="n">
        <v>4986</v>
      </c>
      <c r="I295" s="20" t="n">
        <v>3954</v>
      </c>
      <c r="K295" s="20" t="n">
        <v>-2112</v>
      </c>
      <c r="M295" s="20" t="n">
        <v>1125</v>
      </c>
      <c r="O295" s="20" t="n">
        <v>31</v>
      </c>
      <c r="P295" s="20" t="n">
        <v>-202</v>
      </c>
      <c r="Q295" s="20" t="n">
        <v>-812</v>
      </c>
      <c r="R295" s="20" t="n">
        <v>-439</v>
      </c>
      <c r="S295" s="20" t="n">
        <v>-536</v>
      </c>
      <c r="T295" s="20" t="n">
        <v>2758</v>
      </c>
      <c r="U295" s="20" t="n">
        <v>3267</v>
      </c>
      <c r="V295" s="20" t="n">
        <v>2661</v>
      </c>
      <c r="W295" s="20" t="n">
        <v>3954</v>
      </c>
      <c r="X295" s="20" t="n">
        <v>1125</v>
      </c>
    </row>
    <row r="296">
      <c r="A296" s="18" t="inlineStr">
        <is>
          <t>현금성자산 증감</t>
        </is>
      </c>
      <c r="C296" s="20" t="n">
        <v>-7339</v>
      </c>
      <c r="E296" s="20" t="n">
        <v>-1601</v>
      </c>
      <c r="G296" s="20" t="n">
        <v>-255</v>
      </c>
      <c r="I296" s="20" t="n">
        <v>-14904</v>
      </c>
      <c r="K296" s="20" t="n">
        <v>-21290</v>
      </c>
      <c r="M296" s="20" t="n">
        <v>-6204</v>
      </c>
      <c r="O296" s="20" t="n">
        <v>26228</v>
      </c>
      <c r="P296" s="20" t="n">
        <v>-9423</v>
      </c>
      <c r="Q296" s="20" t="n">
        <v>-760</v>
      </c>
      <c r="R296" s="20" t="n">
        <v>-4039</v>
      </c>
      <c r="S296" s="20" t="n">
        <v>18319</v>
      </c>
      <c r="T296" s="20" t="n">
        <v>12869</v>
      </c>
      <c r="U296" s="20" t="n">
        <v>16056</v>
      </c>
      <c r="V296" s="20" t="n">
        <v>-1601</v>
      </c>
      <c r="W296" s="20" t="n">
        <v>-14904</v>
      </c>
      <c r="X296" s="20" t="n">
        <v>-6204</v>
      </c>
    </row>
    <row r="297">
      <c r="A297" s="18" t="inlineStr">
        <is>
          <t>비연결 자회사 합병에 따른 현금성자산 증가</t>
        </is>
      </c>
      <c r="G297" s="20" t="n">
        <v>0</v>
      </c>
      <c r="I297" s="20" t="n">
        <v>0</v>
      </c>
      <c r="K297" s="20" t="n">
        <v>49</v>
      </c>
      <c r="M297" s="20" t="n">
        <v>49</v>
      </c>
      <c r="W297" s="20" t="n">
        <v>0</v>
      </c>
      <c r="X297" s="20" t="n">
        <v>49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다카라홀딩스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225057</v>
      </c>
      <c r="D5" s="12" t="n">
        <v>224183</v>
      </c>
      <c r="E5" s="12" t="n">
        <v>243149</v>
      </c>
      <c r="F5" s="12" t="n">
        <v>249314</v>
      </c>
      <c r="G5" s="12" t="n">
        <v>263037</v>
      </c>
      <c r="H5" s="11" t="n">
        <v>232323</v>
      </c>
      <c r="I5" s="12" t="n">
        <v>241513</v>
      </c>
      <c r="J5" s="12" t="n">
        <v>245213</v>
      </c>
      <c r="K5" s="12" t="n">
        <v>245433</v>
      </c>
      <c r="L5" s="12" t="n">
        <v>249314</v>
      </c>
    </row>
    <row r="6">
      <c r="A6" s="18" t="inlineStr">
        <is>
          <t>현금및현금성자산</t>
        </is>
      </c>
      <c r="B6" s="10" t="n"/>
      <c r="C6" s="19" t="n">
        <v>62091</v>
      </c>
      <c r="D6" s="20" t="n">
        <v>60558</v>
      </c>
      <c r="E6" s="20" t="n">
        <v>60947</v>
      </c>
      <c r="F6" s="20" t="n">
        <v>73191</v>
      </c>
      <c r="G6" s="20" t="n">
        <v>81773</v>
      </c>
      <c r="H6" s="19" t="n">
        <v>80445</v>
      </c>
      <c r="I6" s="20" t="n">
        <v>96820</v>
      </c>
      <c r="J6" s="20" t="n">
        <v>95085</v>
      </c>
      <c r="K6" s="20" t="n">
        <v>83302</v>
      </c>
      <c r="L6" s="20" t="n">
        <v>73191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>
        <v>1179</v>
      </c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73379</v>
      </c>
      <c r="D8" s="20" t="n">
        <v>71939</v>
      </c>
      <c r="E8" s="20" t="n">
        <v>86029</v>
      </c>
      <c r="F8" s="20" t="n">
        <v>77571</v>
      </c>
      <c r="G8" s="20" t="n">
        <v>78601</v>
      </c>
      <c r="H8" s="19" t="n">
        <v>62856</v>
      </c>
      <c r="I8" s="20" t="n">
        <v>61624</v>
      </c>
      <c r="J8" s="20" t="n">
        <v>60854</v>
      </c>
      <c r="K8" s="20" t="n">
        <v>65689</v>
      </c>
      <c r="L8" s="20" t="n">
        <v>77571</v>
      </c>
    </row>
    <row r="9">
      <c r="A9" s="18" t="inlineStr">
        <is>
          <t>재고자산</t>
        </is>
      </c>
      <c r="B9" s="10" t="n"/>
      <c r="C9" s="19" t="n">
        <v>81294</v>
      </c>
      <c r="D9" s="20" t="n">
        <v>82942</v>
      </c>
      <c r="E9" s="20" t="n">
        <v>87135</v>
      </c>
      <c r="F9" s="20" t="n">
        <v>91529</v>
      </c>
      <c r="G9" s="20" t="n">
        <v>93002</v>
      </c>
      <c r="H9" s="19" t="n">
        <v>72642</v>
      </c>
      <c r="I9" s="20" t="n">
        <v>66902</v>
      </c>
      <c r="J9" s="20" t="n">
        <v>71051</v>
      </c>
      <c r="K9" s="20" t="n">
        <v>82333</v>
      </c>
      <c r="L9" s="20" t="n">
        <v>91529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245063</v>
      </c>
      <c r="D11" s="12" t="n">
        <v>252428</v>
      </c>
      <c r="E11" s="12" t="n">
        <v>253942</v>
      </c>
      <c r="F11" s="12" t="n">
        <v>264486</v>
      </c>
      <c r="G11" s="12" t="n">
        <v>272653</v>
      </c>
      <c r="H11" s="11" t="n">
        <v>130114</v>
      </c>
      <c r="I11" s="12" t="n">
        <v>157661</v>
      </c>
      <c r="J11" s="12" t="n">
        <v>192254</v>
      </c>
      <c r="K11" s="12" t="n">
        <v>232154</v>
      </c>
      <c r="L11" s="12" t="n">
        <v>264486</v>
      </c>
    </row>
    <row r="12">
      <c r="A12" s="18" t="inlineStr">
        <is>
          <t>유형자산</t>
        </is>
      </c>
      <c r="B12" s="10" t="n"/>
      <c r="C12" s="19" t="n">
        <v>121900</v>
      </c>
      <c r="D12" s="20" t="n">
        <v>128929</v>
      </c>
      <c r="E12" s="20" t="n">
        <v>128961</v>
      </c>
      <c r="F12" s="20" t="n">
        <v>133068</v>
      </c>
      <c r="G12" s="20" t="n">
        <v>132836</v>
      </c>
      <c r="H12" s="19" t="n">
        <v>79747</v>
      </c>
      <c r="I12" s="20" t="n">
        <v>88890</v>
      </c>
      <c r="J12" s="20" t="n">
        <v>104882</v>
      </c>
      <c r="K12" s="20" t="n">
        <v>123610</v>
      </c>
      <c r="L12" s="20" t="n">
        <v>133068</v>
      </c>
    </row>
    <row r="13">
      <c r="A13" s="18" t="inlineStr">
        <is>
          <t>무형자산</t>
        </is>
      </c>
      <c r="B13" s="10" t="n"/>
      <c r="C13" s="19" t="n">
        <v>57255</v>
      </c>
      <c r="D13" s="20" t="n">
        <v>57775</v>
      </c>
      <c r="E13" s="20" t="n">
        <v>57842</v>
      </c>
      <c r="F13" s="20" t="n">
        <v>60369</v>
      </c>
      <c r="G13" s="20" t="n">
        <v>59706</v>
      </c>
      <c r="H13" s="19" t="n">
        <v>15360</v>
      </c>
      <c r="I13" s="20" t="n">
        <v>15931</v>
      </c>
      <c r="J13" s="20" t="n">
        <v>18336</v>
      </c>
      <c r="K13" s="20" t="n">
        <v>41662</v>
      </c>
      <c r="L13" s="20" t="n">
        <v>60369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470121</v>
      </c>
      <c r="D16" s="12" t="n">
        <v>476611</v>
      </c>
      <c r="E16" s="12" t="n">
        <v>497091</v>
      </c>
      <c r="F16" s="12" t="n">
        <v>513801</v>
      </c>
      <c r="G16" s="12" t="n">
        <v>535691</v>
      </c>
      <c r="H16" s="11" t="n">
        <v>362438</v>
      </c>
      <c r="I16" s="12" t="n">
        <v>399174</v>
      </c>
      <c r="J16" s="12" t="n">
        <v>437468</v>
      </c>
      <c r="K16" s="12" t="n">
        <v>477587</v>
      </c>
      <c r="L16" s="12" t="n">
        <v>513801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72384</v>
      </c>
      <c r="D18" s="12" t="n">
        <v>67616</v>
      </c>
      <c r="E18" s="12" t="n">
        <v>82915</v>
      </c>
      <c r="F18" s="12" t="n">
        <v>82037</v>
      </c>
      <c r="G18" s="12" t="n">
        <v>162681</v>
      </c>
      <c r="H18" s="11" t="n">
        <v>79151</v>
      </c>
      <c r="I18" s="12" t="n">
        <v>67454</v>
      </c>
      <c r="J18" s="12" t="n">
        <v>80657</v>
      </c>
      <c r="K18" s="12" t="n">
        <v>73419</v>
      </c>
      <c r="L18" s="12" t="n">
        <v>82037</v>
      </c>
    </row>
    <row r="19">
      <c r="A19" s="18" t="inlineStr">
        <is>
          <t>매입채무</t>
        </is>
      </c>
      <c r="B19" s="10" t="n"/>
      <c r="C19" s="19" t="n">
        <v>23410</v>
      </c>
      <c r="D19" s="20" t="n">
        <v>23841</v>
      </c>
      <c r="E19" s="20" t="n">
        <v>27453</v>
      </c>
      <c r="F19" s="20" t="n">
        <v>26779</v>
      </c>
      <c r="G19" s="20" t="n">
        <v>27266</v>
      </c>
      <c r="H19" s="19" t="n">
        <v>20973</v>
      </c>
      <c r="I19" s="20" t="n">
        <v>21775</v>
      </c>
      <c r="J19" s="20" t="n">
        <v>22315</v>
      </c>
      <c r="K19" s="20" t="n">
        <v>24067</v>
      </c>
      <c r="L19" s="20" t="n">
        <v>26779</v>
      </c>
    </row>
    <row r="20">
      <c r="A20" s="18" t="inlineStr">
        <is>
          <t>단기차입금</t>
        </is>
      </c>
      <c r="B20" s="10" t="n"/>
      <c r="C20" s="19" t="n">
        <v>6952</v>
      </c>
      <c r="D20" s="20" t="n">
        <v>6347</v>
      </c>
      <c r="E20" s="20" t="n">
        <v>6358</v>
      </c>
      <c r="F20" s="20" t="n">
        <v>6414</v>
      </c>
      <c r="G20" s="20" t="n">
        <v>56175</v>
      </c>
      <c r="H20" s="19" t="n">
        <v>5497</v>
      </c>
      <c r="I20" s="20" t="n">
        <v>4919</v>
      </c>
      <c r="J20" s="20" t="n">
        <v>10008</v>
      </c>
      <c r="K20" s="20" t="n">
        <v>12315</v>
      </c>
      <c r="L20" s="20" t="n">
        <v>6414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>
        <v>5000</v>
      </c>
      <c r="F21" s="20" t="n">
        <v>5000</v>
      </c>
      <c r="G21" s="20" t="n">
        <v>10000</v>
      </c>
      <c r="H21" s="19" t="n">
        <v>10000</v>
      </c>
      <c r="I21" s="20" t="n">
        <v>0</v>
      </c>
      <c r="J21" s="20" t="n">
        <v>5000</v>
      </c>
      <c r="K21" s="20" t="n">
        <v>0</v>
      </c>
      <c r="L21" s="20" t="n">
        <v>5000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110938</v>
      </c>
      <c r="D23" s="12" t="n">
        <v>121537</v>
      </c>
      <c r="E23" s="12" t="n">
        <v>117326</v>
      </c>
      <c r="F23" s="12" t="n">
        <v>120826</v>
      </c>
      <c r="G23" s="12" t="n">
        <v>115383</v>
      </c>
      <c r="H23" s="11" t="n">
        <v>58730</v>
      </c>
      <c r="I23" s="12" t="n">
        <v>76401</v>
      </c>
      <c r="J23" s="12" t="n">
        <v>76345</v>
      </c>
      <c r="K23" s="12" t="n">
        <v>103264</v>
      </c>
      <c r="L23" s="12" t="n">
        <v>120826</v>
      </c>
    </row>
    <row r="24">
      <c r="A24" s="18" t="inlineStr">
        <is>
          <t>장기차입금</t>
        </is>
      </c>
      <c r="B24" s="10" t="n"/>
      <c r="C24" s="19" t="n">
        <v>30586</v>
      </c>
      <c r="D24" s="20" t="n">
        <v>40524</v>
      </c>
      <c r="E24" s="20" t="n">
        <v>40467</v>
      </c>
      <c r="F24" s="20" t="n">
        <v>40431</v>
      </c>
      <c r="G24" s="20" t="n">
        <v>40419</v>
      </c>
      <c r="H24" s="19" t="n">
        <v>15248</v>
      </c>
      <c r="I24" s="20" t="n">
        <v>15186</v>
      </c>
      <c r="J24" s="20" t="n">
        <v>10422</v>
      </c>
      <c r="K24" s="20" t="n">
        <v>30689</v>
      </c>
      <c r="L24" s="20" t="n">
        <v>40431</v>
      </c>
    </row>
    <row r="25">
      <c r="A25" s="18" t="inlineStr">
        <is>
          <t>사채</t>
        </is>
      </c>
      <c r="B25" s="10" t="n"/>
      <c r="C25" s="19" t="n">
        <v>15000</v>
      </c>
      <c r="D25" s="20" t="n">
        <v>15000</v>
      </c>
      <c r="E25" s="20" t="n">
        <v>10000</v>
      </c>
      <c r="F25" s="20" t="n">
        <v>10000</v>
      </c>
      <c r="G25" s="20" t="n">
        <v>5000</v>
      </c>
      <c r="H25" s="19" t="n">
        <v>20000</v>
      </c>
      <c r="I25" s="20" t="n">
        <v>20000</v>
      </c>
      <c r="J25" s="20" t="n">
        <v>15000</v>
      </c>
      <c r="K25" s="20" t="n">
        <v>15000</v>
      </c>
      <c r="L25" s="20" t="n">
        <v>10000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183322</v>
      </c>
      <c r="D27" s="12" t="n">
        <v>189154</v>
      </c>
      <c r="E27" s="12" t="n">
        <v>200241</v>
      </c>
      <c r="F27" s="12" t="n">
        <v>202863</v>
      </c>
      <c r="G27" s="12" t="n">
        <v>278065</v>
      </c>
      <c r="H27" s="11" t="n">
        <v>137882</v>
      </c>
      <c r="I27" s="12" t="n">
        <v>143856</v>
      </c>
      <c r="J27" s="12" t="n">
        <v>157003</v>
      </c>
      <c r="K27" s="12" t="n">
        <v>176683</v>
      </c>
      <c r="L27" s="12" t="n">
        <v>202863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233901</v>
      </c>
      <c r="D31" s="12" t="n">
        <v>237224</v>
      </c>
      <c r="E31" s="12" t="n">
        <v>246836</v>
      </c>
      <c r="F31" s="12" t="n">
        <v>259340</v>
      </c>
      <c r="G31" s="12" t="n">
        <v>246241</v>
      </c>
      <c r="H31" s="11" t="n">
        <v>180420</v>
      </c>
      <c r="I31" s="12" t="n">
        <v>203952</v>
      </c>
      <c r="J31" s="12" t="n">
        <v>228666</v>
      </c>
      <c r="K31" s="12" t="n">
        <v>245228</v>
      </c>
      <c r="L31" s="12" t="n">
        <v>259340</v>
      </c>
    </row>
    <row r="32">
      <c r="A32" s="18" t="inlineStr">
        <is>
          <t>자본금</t>
        </is>
      </c>
      <c r="B32" s="10" t="n"/>
      <c r="C32" s="19" t="n">
        <v>13226</v>
      </c>
      <c r="D32" s="20" t="n">
        <v>13226</v>
      </c>
      <c r="E32" s="20" t="n">
        <v>13226</v>
      </c>
      <c r="F32" s="20" t="n">
        <v>13226</v>
      </c>
      <c r="G32" s="20" t="n">
        <v>13226</v>
      </c>
      <c r="H32" s="19" t="n">
        <v>13226</v>
      </c>
      <c r="I32" s="20" t="n">
        <v>13226</v>
      </c>
      <c r="J32" s="20" t="n">
        <v>13226</v>
      </c>
      <c r="K32" s="20" t="n">
        <v>13226</v>
      </c>
      <c r="L32" s="20" t="n">
        <v>13226</v>
      </c>
    </row>
    <row r="33">
      <c r="A33" s="18" t="inlineStr">
        <is>
          <t>이익잉여금</t>
        </is>
      </c>
      <c r="B33" s="10" t="n"/>
      <c r="C33" s="19" t="n">
        <v>178542</v>
      </c>
      <c r="D33" s="20" t="n">
        <v>180092</v>
      </c>
      <c r="E33" s="20" t="n">
        <v>184954</v>
      </c>
      <c r="F33" s="20" t="n">
        <v>186093</v>
      </c>
      <c r="G33" s="20" t="n">
        <v>172091</v>
      </c>
      <c r="H33" s="19" t="n">
        <v>149933</v>
      </c>
      <c r="I33" s="20" t="n">
        <v>163825</v>
      </c>
      <c r="J33" s="20" t="n">
        <v>169909</v>
      </c>
      <c r="K33" s="20" t="n">
        <v>180449</v>
      </c>
      <c r="L33" s="20" t="n">
        <v>186093</v>
      </c>
    </row>
    <row r="34">
      <c r="A34" s="18" t="inlineStr">
        <is>
          <t>비지배지분</t>
        </is>
      </c>
      <c r="B34" s="10" t="n"/>
      <c r="C34" s="19" t="n">
        <v>52897</v>
      </c>
      <c r="D34" s="20" t="n">
        <v>50232</v>
      </c>
      <c r="E34" s="20" t="n">
        <v>50013</v>
      </c>
      <c r="F34" s="20" t="n">
        <v>51597</v>
      </c>
      <c r="G34" s="20" t="n">
        <v>11385</v>
      </c>
      <c r="H34" s="19" t="n">
        <v>44135</v>
      </c>
      <c r="I34" s="20" t="n">
        <v>51366</v>
      </c>
      <c r="J34" s="20" t="n">
        <v>51799</v>
      </c>
      <c r="K34" s="20" t="n">
        <v>55675</v>
      </c>
      <c r="L34" s="20" t="n">
        <v>51597</v>
      </c>
    </row>
    <row r="35">
      <c r="A35" s="9" t="inlineStr">
        <is>
          <t>자본총계</t>
        </is>
      </c>
      <c r="B35" s="10" t="n"/>
      <c r="C35" s="11" t="n">
        <v>286798</v>
      </c>
      <c r="D35" s="12" t="n">
        <v>287456</v>
      </c>
      <c r="E35" s="12" t="n">
        <v>296849</v>
      </c>
      <c r="F35" s="12" t="n">
        <v>310937</v>
      </c>
      <c r="G35" s="12" t="n">
        <v>257626</v>
      </c>
      <c r="H35" s="11" t="n">
        <v>224555</v>
      </c>
      <c r="I35" s="12" t="n">
        <v>255318</v>
      </c>
      <c r="J35" s="12" t="n">
        <v>280465</v>
      </c>
      <c r="K35" s="12" t="n">
        <v>300903</v>
      </c>
      <c r="L35" s="12" t="n">
        <v>310937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15916</v>
      </c>
      <c r="E37" s="12" t="n"/>
      <c r="F37" s="12" t="n">
        <v>17318</v>
      </c>
      <c r="G37" s="12" t="n"/>
      <c r="H37" s="11" t="n">
        <v>16376</v>
      </c>
      <c r="I37" s="12" t="n">
        <v>45478</v>
      </c>
      <c r="J37" s="12" t="n">
        <v>29178</v>
      </c>
      <c r="K37" s="12" t="n">
        <v>16155</v>
      </c>
      <c r="L37" s="12" t="n">
        <v>17318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/>
      <c r="G38" s="20" t="n"/>
      <c r="H38" s="19" t="n"/>
      <c r="I38" s="20" t="n"/>
      <c r="J38" s="20" t="n"/>
      <c r="K38" s="20" t="n"/>
      <c r="L38" s="20" t="n"/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6055</v>
      </c>
      <c r="E40" s="20" t="n"/>
      <c r="F40" s="20" t="n">
        <v>6054</v>
      </c>
      <c r="G40" s="20" t="n"/>
      <c r="H40" s="19" t="n">
        <v>4147</v>
      </c>
      <c r="I40" s="20" t="n">
        <v>7305</v>
      </c>
      <c r="J40" s="20" t="n">
        <v>7503</v>
      </c>
      <c r="K40" s="20" t="n">
        <v>5659</v>
      </c>
      <c r="L40" s="20" t="n">
        <v>6054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62091</v>
      </c>
      <c r="D71" s="20" t="n">
        <v>60558</v>
      </c>
      <c r="E71" s="20" t="n">
        <v>60947</v>
      </c>
      <c r="F71" s="20" t="n">
        <v>73191</v>
      </c>
      <c r="G71" s="20" t="n">
        <v>81773</v>
      </c>
      <c r="H71" s="20" t="n">
        <v>80445</v>
      </c>
      <c r="I71" s="20" t="n">
        <v>96820</v>
      </c>
      <c r="J71" s="20" t="n">
        <v>95085</v>
      </c>
      <c r="K71" s="20" t="n">
        <v>83302</v>
      </c>
      <c r="L71" s="20" t="n">
        <v>73191</v>
      </c>
    </row>
    <row r="72">
      <c r="A72" s="18" t="inlineStr">
        <is>
          <t>받을어음·매출채권</t>
        </is>
      </c>
      <c r="C72" s="20" t="n">
        <v>73379</v>
      </c>
      <c r="D72" s="20" t="n">
        <v>71939</v>
      </c>
      <c r="E72" s="20" t="n">
        <v>86029</v>
      </c>
      <c r="F72" s="20" t="n">
        <v>77571</v>
      </c>
      <c r="G72" s="20" t="n">
        <v>78601</v>
      </c>
      <c r="H72" s="20" t="n">
        <v>62856</v>
      </c>
      <c r="I72" s="20" t="n">
        <v>61624</v>
      </c>
      <c r="J72" s="20" t="n">
        <v>60854</v>
      </c>
      <c r="K72" s="20" t="n">
        <v>65689</v>
      </c>
      <c r="L72" s="20" t="n">
        <v>77571</v>
      </c>
    </row>
    <row r="73">
      <c r="A73" s="18" t="inlineStr">
        <is>
          <t>전자기록채권</t>
        </is>
      </c>
      <c r="F73" s="20" t="n">
        <v>10949</v>
      </c>
      <c r="H73" s="20" t="n">
        <v>7403</v>
      </c>
      <c r="I73" s="20" t="n">
        <v>8093</v>
      </c>
      <c r="J73" s="20" t="n">
        <v>9268</v>
      </c>
      <c r="K73" s="20" t="n">
        <v>7629</v>
      </c>
      <c r="L73" s="20" t="n">
        <v>10949</v>
      </c>
    </row>
    <row r="74">
      <c r="A74" s="18" t="inlineStr">
        <is>
          <t>유가증권</t>
        </is>
      </c>
      <c r="H74" s="20" t="n">
        <v>1179</v>
      </c>
    </row>
    <row r="75">
      <c r="A75" s="18" t="inlineStr">
        <is>
          <t>상품·제품</t>
        </is>
      </c>
      <c r="C75" s="20" t="n">
        <v>71771</v>
      </c>
      <c r="D75" s="20" t="n">
        <v>73895</v>
      </c>
      <c r="E75" s="20" t="n">
        <v>78022</v>
      </c>
      <c r="F75" s="20" t="n">
        <v>82664</v>
      </c>
      <c r="G75" s="20" t="n">
        <v>83887</v>
      </c>
      <c r="H75" s="20" t="n">
        <v>63172</v>
      </c>
      <c r="I75" s="20" t="n">
        <v>57812</v>
      </c>
      <c r="J75" s="20" t="n">
        <v>61834</v>
      </c>
      <c r="K75" s="20" t="n">
        <v>72795</v>
      </c>
      <c r="L75" s="20" t="n">
        <v>82664</v>
      </c>
    </row>
    <row r="76">
      <c r="A76" s="18" t="inlineStr">
        <is>
          <t>재공품</t>
        </is>
      </c>
      <c r="C76" s="20" t="n">
        <v>2088</v>
      </c>
      <c r="D76" s="20" t="n">
        <v>2141</v>
      </c>
      <c r="E76" s="20" t="n">
        <v>1883</v>
      </c>
      <c r="F76" s="20" t="n">
        <v>2077</v>
      </c>
      <c r="G76" s="20" t="n">
        <v>2138</v>
      </c>
      <c r="H76" s="20" t="n">
        <v>2012</v>
      </c>
      <c r="I76" s="20" t="n">
        <v>1718</v>
      </c>
      <c r="J76" s="20" t="n">
        <v>1659</v>
      </c>
      <c r="K76" s="20" t="n">
        <v>1727</v>
      </c>
      <c r="L76" s="20" t="n">
        <v>2077</v>
      </c>
    </row>
    <row r="77">
      <c r="A77" s="18" t="inlineStr">
        <is>
          <t>원재료·저장품</t>
        </is>
      </c>
      <c r="C77" s="20" t="n">
        <v>7435</v>
      </c>
      <c r="D77" s="20" t="n">
        <v>6906</v>
      </c>
      <c r="E77" s="20" t="n">
        <v>7230</v>
      </c>
      <c r="F77" s="20" t="n">
        <v>6788</v>
      </c>
      <c r="G77" s="20" t="n">
        <v>6977</v>
      </c>
      <c r="H77" s="20" t="n">
        <v>7458</v>
      </c>
      <c r="I77" s="20" t="n">
        <v>7372</v>
      </c>
      <c r="J77" s="20" t="n">
        <v>7558</v>
      </c>
      <c r="K77" s="20" t="n">
        <v>7811</v>
      </c>
      <c r="L77" s="20" t="n">
        <v>6788</v>
      </c>
    </row>
    <row r="78">
      <c r="A78" s="18" t="inlineStr">
        <is>
          <t>기타</t>
        </is>
      </c>
      <c r="C78" s="20" t="n">
        <v>9044</v>
      </c>
      <c r="D78" s="20" t="n">
        <v>9535</v>
      </c>
      <c r="E78" s="20" t="n">
        <v>9838</v>
      </c>
      <c r="F78" s="20" t="n">
        <v>7916</v>
      </c>
      <c r="G78" s="20" t="n">
        <v>10519</v>
      </c>
      <c r="H78" s="20" t="n">
        <v>9422</v>
      </c>
      <c r="I78" s="20" t="n">
        <v>8765</v>
      </c>
      <c r="J78" s="20" t="n">
        <v>9768</v>
      </c>
      <c r="K78" s="20" t="n">
        <v>7217</v>
      </c>
      <c r="L78" s="20" t="n">
        <v>7916</v>
      </c>
    </row>
    <row r="79">
      <c r="A79" s="18" t="inlineStr">
        <is>
          <t>대손충당금</t>
        </is>
      </c>
      <c r="C79" s="20" t="n">
        <v>-753</v>
      </c>
      <c r="D79" s="20" t="n">
        <v>-794</v>
      </c>
      <c r="E79" s="20" t="n">
        <v>-802</v>
      </c>
      <c r="F79" s="20" t="n">
        <v>-895</v>
      </c>
      <c r="G79" s="20" t="n">
        <v>-859</v>
      </c>
      <c r="H79" s="20" t="n">
        <v>-449</v>
      </c>
      <c r="I79" s="20" t="n">
        <v>-694</v>
      </c>
      <c r="J79" s="20" t="n">
        <v>-817</v>
      </c>
      <c r="K79" s="20" t="n">
        <v>-739</v>
      </c>
      <c r="L79" s="20" t="n">
        <v>-895</v>
      </c>
    </row>
    <row r="80">
      <c r="A80" s="9" t="inlineStr">
        <is>
          <t>유동자산 합계</t>
        </is>
      </c>
      <c r="C80" s="12" t="n">
        <v>225057</v>
      </c>
      <c r="D80" s="12" t="n">
        <v>224183</v>
      </c>
      <c r="E80" s="12" t="n">
        <v>243149</v>
      </c>
      <c r="F80" s="12" t="n">
        <v>249314</v>
      </c>
      <c r="G80" s="12" t="n">
        <v>263037</v>
      </c>
      <c r="H80" s="12" t="n">
        <v>232323</v>
      </c>
      <c r="I80" s="12" t="n">
        <v>241513</v>
      </c>
      <c r="J80" s="12" t="n">
        <v>245213</v>
      </c>
      <c r="K80" s="12" t="n">
        <v>245433</v>
      </c>
      <c r="L80" s="12" t="n">
        <v>249314</v>
      </c>
    </row>
    <row r="81">
      <c r="A81" s="18" t="inlineStr">
        <is>
          <t>건물·구축물</t>
        </is>
      </c>
      <c r="F81" s="20" t="n">
        <v>90431</v>
      </c>
      <c r="H81" s="20" t="n">
        <v>69584</v>
      </c>
      <c r="I81" s="20" t="n">
        <v>76265</v>
      </c>
      <c r="J81" s="20" t="n">
        <v>80477</v>
      </c>
      <c r="K81" s="20" t="n">
        <v>87203</v>
      </c>
      <c r="L81" s="20" t="n">
        <v>90431</v>
      </c>
    </row>
    <row r="82">
      <c r="A82" s="18" t="inlineStr">
        <is>
          <t>감가상각누계액</t>
        </is>
      </c>
      <c r="F82" s="20" t="n">
        <v>-48622</v>
      </c>
      <c r="H82" s="20" t="n">
        <v>-36902</v>
      </c>
      <c r="I82" s="20" t="n">
        <v>-39487</v>
      </c>
      <c r="J82" s="20" t="n">
        <v>-42178</v>
      </c>
      <c r="K82" s="20" t="n">
        <v>-45797</v>
      </c>
      <c r="L82" s="20" t="n">
        <v>-48622</v>
      </c>
    </row>
    <row r="83">
      <c r="A83" s="18" t="inlineStr">
        <is>
          <t>건물·구축물(순액)</t>
        </is>
      </c>
      <c r="F83" s="20" t="n">
        <v>41809</v>
      </c>
      <c r="H83" s="20" t="n">
        <v>32682</v>
      </c>
      <c r="I83" s="20" t="n">
        <v>36778</v>
      </c>
      <c r="J83" s="20" t="n">
        <v>38298</v>
      </c>
      <c r="K83" s="20" t="n">
        <v>41406</v>
      </c>
      <c r="L83" s="20" t="n">
        <v>41809</v>
      </c>
    </row>
    <row r="84">
      <c r="A84" s="18" t="inlineStr">
        <is>
          <t>기계장치·운반구</t>
        </is>
      </c>
      <c r="F84" s="20" t="n">
        <v>92273</v>
      </c>
      <c r="H84" s="20" t="n">
        <v>88453</v>
      </c>
      <c r="I84" s="20" t="n">
        <v>90919</v>
      </c>
      <c r="J84" s="20" t="n">
        <v>92456</v>
      </c>
      <c r="K84" s="20" t="n">
        <v>95031</v>
      </c>
      <c r="L84" s="20" t="n">
        <v>92273</v>
      </c>
    </row>
    <row r="85">
      <c r="A85" s="18" t="inlineStr">
        <is>
          <t>감가상각누계액</t>
        </is>
      </c>
      <c r="F85" s="20" t="n">
        <v>-75488</v>
      </c>
      <c r="H85" s="20" t="n">
        <v>-73447</v>
      </c>
      <c r="I85" s="20" t="n">
        <v>-75654</v>
      </c>
      <c r="J85" s="20" t="n">
        <v>-76436</v>
      </c>
      <c r="K85" s="20" t="n">
        <v>-78042</v>
      </c>
      <c r="L85" s="20" t="n">
        <v>-75488</v>
      </c>
    </row>
    <row r="86">
      <c r="A86" s="18" t="inlineStr">
        <is>
          <t>기계장치·운반구(순액)</t>
        </is>
      </c>
      <c r="F86" s="20" t="n">
        <v>16785</v>
      </c>
      <c r="H86" s="20" t="n">
        <v>15006</v>
      </c>
      <c r="I86" s="20" t="n">
        <v>15265</v>
      </c>
      <c r="J86" s="20" t="n">
        <v>16019</v>
      </c>
      <c r="K86" s="20" t="n">
        <v>16988</v>
      </c>
      <c r="L86" s="20" t="n">
        <v>16785</v>
      </c>
    </row>
    <row r="87">
      <c r="A87" s="18" t="inlineStr">
        <is>
          <t>토지</t>
        </is>
      </c>
      <c r="F87" s="20" t="n">
        <v>23345</v>
      </c>
      <c r="H87" s="20" t="n">
        <v>20170</v>
      </c>
      <c r="I87" s="20" t="n">
        <v>20861</v>
      </c>
      <c r="J87" s="20" t="n">
        <v>21665</v>
      </c>
      <c r="K87" s="20" t="n">
        <v>23804</v>
      </c>
      <c r="L87" s="20" t="n">
        <v>23345</v>
      </c>
    </row>
    <row r="88">
      <c r="A88" s="18" t="inlineStr">
        <is>
          <t>리스자산</t>
        </is>
      </c>
      <c r="F88" s="20" t="n">
        <v>1314</v>
      </c>
      <c r="H88" s="20" t="n">
        <v>1512</v>
      </c>
      <c r="I88" s="20" t="n">
        <v>1520</v>
      </c>
      <c r="J88" s="20" t="n">
        <v>1438</v>
      </c>
      <c r="K88" s="20" t="n">
        <v>1286</v>
      </c>
      <c r="L88" s="20" t="n">
        <v>1314</v>
      </c>
    </row>
    <row r="89">
      <c r="A89" s="18" t="inlineStr">
        <is>
          <t>감가상각누계액</t>
        </is>
      </c>
      <c r="F89" s="20" t="n">
        <v>-754</v>
      </c>
      <c r="H89" s="20" t="n">
        <v>-605</v>
      </c>
      <c r="I89" s="20" t="n">
        <v>-731</v>
      </c>
      <c r="J89" s="20" t="n">
        <v>-757</v>
      </c>
      <c r="K89" s="20" t="n">
        <v>-692</v>
      </c>
      <c r="L89" s="20" t="n">
        <v>-754</v>
      </c>
    </row>
    <row r="90">
      <c r="A90" s="18" t="inlineStr">
        <is>
          <t>리스자산(순액)</t>
        </is>
      </c>
      <c r="F90" s="20" t="n">
        <v>560</v>
      </c>
      <c r="H90" s="20" t="n">
        <v>907</v>
      </c>
      <c r="I90" s="20" t="n">
        <v>789</v>
      </c>
      <c r="J90" s="20" t="n">
        <v>681</v>
      </c>
      <c r="K90" s="20" t="n">
        <v>594</v>
      </c>
      <c r="L90" s="20" t="n">
        <v>560</v>
      </c>
    </row>
    <row r="91">
      <c r="A91" s="18" t="inlineStr">
        <is>
          <t>건설중인자산</t>
        </is>
      </c>
      <c r="F91" s="20" t="n">
        <v>28514</v>
      </c>
      <c r="H91" s="20" t="n">
        <v>1782</v>
      </c>
      <c r="I91" s="20" t="n">
        <v>3662</v>
      </c>
      <c r="J91" s="20" t="n">
        <v>12796</v>
      </c>
      <c r="K91" s="20" t="n">
        <v>22139</v>
      </c>
      <c r="L91" s="20" t="n">
        <v>28514</v>
      </c>
    </row>
    <row r="92">
      <c r="A92" s="18" t="inlineStr">
        <is>
          <t>기타</t>
        </is>
      </c>
      <c r="F92" s="20" t="n">
        <v>48854</v>
      </c>
      <c r="H92" s="20" t="n">
        <v>24046</v>
      </c>
      <c r="I92" s="20" t="n">
        <v>28496</v>
      </c>
      <c r="J92" s="20" t="n">
        <v>35749</v>
      </c>
      <c r="K92" s="20" t="n">
        <v>42289</v>
      </c>
      <c r="L92" s="20" t="n">
        <v>48854</v>
      </c>
    </row>
    <row r="93">
      <c r="A93" s="18" t="inlineStr">
        <is>
          <t>감가상각누계액</t>
        </is>
      </c>
      <c r="F93" s="20" t="n">
        <v>-26800</v>
      </c>
      <c r="H93" s="20" t="n">
        <v>-14848</v>
      </c>
      <c r="I93" s="20" t="n">
        <v>-16962</v>
      </c>
      <c r="J93" s="20" t="n">
        <v>-20328</v>
      </c>
      <c r="K93" s="20" t="n">
        <v>-23611</v>
      </c>
      <c r="L93" s="20" t="n">
        <v>-26800</v>
      </c>
    </row>
    <row r="94">
      <c r="A94" s="18" t="inlineStr">
        <is>
          <t>기타(순액)</t>
        </is>
      </c>
      <c r="F94" s="20" t="n">
        <v>22054</v>
      </c>
      <c r="H94" s="20" t="n">
        <v>9198</v>
      </c>
      <c r="I94" s="20" t="n">
        <v>11533</v>
      </c>
      <c r="J94" s="20" t="n">
        <v>15420</v>
      </c>
      <c r="K94" s="20" t="n">
        <v>18677</v>
      </c>
      <c r="L94" s="20" t="n">
        <v>22054</v>
      </c>
    </row>
    <row r="95">
      <c r="A95" s="18" t="inlineStr">
        <is>
          <t>유형자산</t>
        </is>
      </c>
      <c r="C95" s="20" t="n">
        <v>121900</v>
      </c>
      <c r="D95" s="20" t="n">
        <v>128929</v>
      </c>
      <c r="E95" s="20" t="n">
        <v>128961</v>
      </c>
      <c r="F95" s="20" t="n">
        <v>133068</v>
      </c>
      <c r="G95" s="20" t="n">
        <v>132836</v>
      </c>
      <c r="H95" s="20" t="n">
        <v>79747</v>
      </c>
      <c r="I95" s="20" t="n">
        <v>88890</v>
      </c>
      <c r="J95" s="20" t="n">
        <v>104882</v>
      </c>
      <c r="K95" s="20" t="n">
        <v>123610</v>
      </c>
      <c r="L95" s="20" t="n">
        <v>133068</v>
      </c>
    </row>
    <row r="96">
      <c r="A96" s="18" t="inlineStr">
        <is>
          <t>영업권</t>
        </is>
      </c>
      <c r="C96" s="20" t="n">
        <v>30570</v>
      </c>
      <c r="D96" s="20" t="n">
        <v>30096</v>
      </c>
      <c r="E96" s="20" t="n">
        <v>29912</v>
      </c>
      <c r="F96" s="20" t="n">
        <v>30457</v>
      </c>
      <c r="G96" s="20" t="n">
        <v>29900</v>
      </c>
      <c r="H96" s="20" t="n">
        <v>10070</v>
      </c>
      <c r="I96" s="20" t="n">
        <v>10668</v>
      </c>
      <c r="J96" s="20" t="n">
        <v>12154</v>
      </c>
      <c r="K96" s="20" t="n">
        <v>25283</v>
      </c>
      <c r="L96" s="20" t="n">
        <v>30457</v>
      </c>
    </row>
    <row r="97">
      <c r="A97" s="18" t="inlineStr">
        <is>
          <t>기타</t>
        </is>
      </c>
      <c r="C97" s="20" t="n">
        <v>26685</v>
      </c>
      <c r="D97" s="20" t="n">
        <v>27679</v>
      </c>
      <c r="E97" s="20" t="n">
        <v>27929</v>
      </c>
      <c r="F97" s="20" t="n">
        <v>29911</v>
      </c>
      <c r="G97" s="20" t="n">
        <v>29806</v>
      </c>
      <c r="H97" s="20" t="n">
        <v>5290</v>
      </c>
      <c r="I97" s="20" t="n">
        <v>5262</v>
      </c>
      <c r="J97" s="20" t="n">
        <v>6181</v>
      </c>
      <c r="K97" s="20" t="n">
        <v>16378</v>
      </c>
      <c r="L97" s="20" t="n">
        <v>29911</v>
      </c>
    </row>
    <row r="98">
      <c r="A98" s="18" t="inlineStr">
        <is>
          <t>무형자산 합계</t>
        </is>
      </c>
      <c r="C98" s="20" t="n">
        <v>57255</v>
      </c>
      <c r="D98" s="20" t="n">
        <v>57775</v>
      </c>
      <c r="E98" s="20" t="n">
        <v>57842</v>
      </c>
      <c r="F98" s="20" t="n">
        <v>60369</v>
      </c>
      <c r="G98" s="20" t="n">
        <v>59706</v>
      </c>
      <c r="H98" s="20" t="n">
        <v>15360</v>
      </c>
      <c r="I98" s="20" t="n">
        <v>15931</v>
      </c>
      <c r="J98" s="20" t="n">
        <v>18336</v>
      </c>
      <c r="K98" s="20" t="n">
        <v>41662</v>
      </c>
      <c r="L98" s="20" t="n">
        <v>60369</v>
      </c>
    </row>
    <row r="99">
      <c r="A99" s="18" t="inlineStr">
        <is>
          <t>투자유가증권</t>
        </is>
      </c>
      <c r="C99" s="20" t="n">
        <v>34159</v>
      </c>
      <c r="D99" s="20" t="n">
        <v>35648</v>
      </c>
      <c r="E99" s="20" t="n">
        <v>36721</v>
      </c>
      <c r="F99" s="20" t="n">
        <v>39591</v>
      </c>
      <c r="G99" s="20" t="n">
        <v>46476</v>
      </c>
      <c r="H99" s="20" t="n">
        <v>29228</v>
      </c>
      <c r="I99" s="20" t="n">
        <v>30573</v>
      </c>
      <c r="J99" s="20" t="n">
        <v>43597</v>
      </c>
      <c r="K99" s="20" t="n">
        <v>34467</v>
      </c>
      <c r="L99" s="20" t="n">
        <v>39591</v>
      </c>
    </row>
    <row r="100">
      <c r="A100" s="18" t="inlineStr">
        <is>
          <t>퇴직급여자산</t>
        </is>
      </c>
      <c r="F100" s="20" t="n">
        <v>1789</v>
      </c>
      <c r="H100" s="20" t="n">
        <v>907</v>
      </c>
      <c r="I100" s="20" t="n">
        <v>1054</v>
      </c>
      <c r="J100" s="20" t="n">
        <v>1510</v>
      </c>
      <c r="K100" s="20" t="n">
        <v>1558</v>
      </c>
      <c r="L100" s="20" t="n">
        <v>1789</v>
      </c>
    </row>
    <row r="101">
      <c r="A101" s="18" t="inlineStr">
        <is>
          <t>이연법인세자산</t>
        </is>
      </c>
      <c r="F101" s="20" t="n">
        <v>1483</v>
      </c>
      <c r="H101" s="20" t="n">
        <v>2682</v>
      </c>
      <c r="I101" s="20" t="n">
        <v>2170</v>
      </c>
      <c r="J101" s="20" t="n">
        <v>1913</v>
      </c>
      <c r="K101" s="20" t="n">
        <v>2132</v>
      </c>
      <c r="L101" s="20" t="n">
        <v>1483</v>
      </c>
    </row>
    <row r="102">
      <c r="A102" s="18" t="inlineStr">
        <is>
          <t>운용리스 사용권자산</t>
        </is>
      </c>
      <c r="F102" s="20" t="n">
        <v>25225</v>
      </c>
      <c r="J102" s="20" t="n">
        <v>19328</v>
      </c>
      <c r="K102" s="20" t="n">
        <v>25487</v>
      </c>
      <c r="L102" s="20" t="n">
        <v>25225</v>
      </c>
    </row>
    <row r="103">
      <c r="A103" s="18" t="inlineStr">
        <is>
          <t>기타</t>
        </is>
      </c>
      <c r="C103" s="20" t="n">
        <v>31809</v>
      </c>
      <c r="D103" s="20" t="n">
        <v>30135</v>
      </c>
      <c r="E103" s="20" t="n">
        <v>30477</v>
      </c>
      <c r="F103" s="20" t="n">
        <v>31518</v>
      </c>
      <c r="G103" s="20" t="n">
        <v>33694</v>
      </c>
      <c r="H103" s="20" t="n">
        <v>2253</v>
      </c>
      <c r="I103" s="20" t="n">
        <v>19103</v>
      </c>
      <c r="J103" s="20" t="n">
        <v>2749</v>
      </c>
      <c r="K103" s="20" t="n">
        <v>3297</v>
      </c>
      <c r="L103" s="20" t="n">
        <v>31518</v>
      </c>
    </row>
    <row r="104">
      <c r="A104" s="18" t="inlineStr">
        <is>
          <t>대손충당금</t>
        </is>
      </c>
      <c r="C104" s="20" t="n">
        <v>-60</v>
      </c>
      <c r="D104" s="20" t="n">
        <v>-61</v>
      </c>
      <c r="E104" s="20" t="n">
        <v>-61</v>
      </c>
      <c r="F104" s="20" t="n">
        <v>-61</v>
      </c>
      <c r="G104" s="20" t="n">
        <v>-61</v>
      </c>
      <c r="H104" s="20" t="n">
        <v>-64</v>
      </c>
      <c r="I104" s="20" t="n">
        <v>-64</v>
      </c>
      <c r="J104" s="20" t="n">
        <v>-62</v>
      </c>
      <c r="K104" s="20" t="n">
        <v>-60</v>
      </c>
      <c r="L104" s="20" t="n">
        <v>-61</v>
      </c>
    </row>
    <row r="105">
      <c r="A105" s="18" t="inlineStr">
        <is>
          <t>투자 및 기타자산 합계</t>
        </is>
      </c>
      <c r="C105" s="20" t="n">
        <v>65907</v>
      </c>
      <c r="D105" s="20" t="n">
        <v>65722</v>
      </c>
      <c r="E105" s="20" t="n">
        <v>67138</v>
      </c>
      <c r="F105" s="20" t="n">
        <v>71049</v>
      </c>
      <c r="G105" s="20" t="n">
        <v>80110</v>
      </c>
      <c r="H105" s="20" t="n">
        <v>35006</v>
      </c>
      <c r="I105" s="20" t="n">
        <v>52838</v>
      </c>
      <c r="J105" s="20" t="n">
        <v>69036</v>
      </c>
      <c r="K105" s="20" t="n">
        <v>66880</v>
      </c>
      <c r="L105" s="20" t="n">
        <v>71049</v>
      </c>
    </row>
    <row r="106">
      <c r="A106" s="9" t="inlineStr">
        <is>
          <t>비유동자산 합계</t>
        </is>
      </c>
      <c r="C106" s="12" t="n">
        <v>245063</v>
      </c>
      <c r="D106" s="12" t="n">
        <v>252428</v>
      </c>
      <c r="E106" s="12" t="n">
        <v>253942</v>
      </c>
      <c r="F106" s="12" t="n">
        <v>264486</v>
      </c>
      <c r="G106" s="12" t="n">
        <v>272653</v>
      </c>
      <c r="H106" s="12" t="n">
        <v>130114</v>
      </c>
      <c r="I106" s="12" t="n">
        <v>157661</v>
      </c>
      <c r="J106" s="12" t="n">
        <v>192254</v>
      </c>
      <c r="K106" s="12" t="n">
        <v>232154</v>
      </c>
      <c r="L106" s="12" t="n">
        <v>264486</v>
      </c>
    </row>
    <row r="107">
      <c r="A107" s="9" t="inlineStr">
        <is>
          <t>자산 합계</t>
        </is>
      </c>
      <c r="C107" s="12" t="n">
        <v>470121</v>
      </c>
      <c r="D107" s="12" t="n">
        <v>476611</v>
      </c>
      <c r="E107" s="12" t="n">
        <v>497091</v>
      </c>
      <c r="F107" s="12" t="n">
        <v>513801</v>
      </c>
      <c r="G107" s="12" t="n">
        <v>535691</v>
      </c>
      <c r="H107" s="12" t="n">
        <v>362438</v>
      </c>
      <c r="I107" s="12" t="n">
        <v>399174</v>
      </c>
      <c r="J107" s="12" t="n">
        <v>437468</v>
      </c>
      <c r="K107" s="12" t="n">
        <v>477587</v>
      </c>
      <c r="L107" s="12" t="n">
        <v>513801</v>
      </c>
    </row>
    <row r="108">
      <c r="A108" s="18" t="inlineStr">
        <is>
          <t>지급어음·매입채무</t>
        </is>
      </c>
      <c r="C108" s="20" t="n">
        <v>23410</v>
      </c>
      <c r="D108" s="20" t="n">
        <v>23841</v>
      </c>
      <c r="E108" s="20" t="n">
        <v>27453</v>
      </c>
      <c r="F108" s="20" t="n">
        <v>26779</v>
      </c>
      <c r="G108" s="20" t="n">
        <v>27266</v>
      </c>
      <c r="H108" s="20" t="n">
        <v>20973</v>
      </c>
      <c r="I108" s="20" t="n">
        <v>21775</v>
      </c>
      <c r="J108" s="20" t="n">
        <v>22315</v>
      </c>
      <c r="K108" s="20" t="n">
        <v>24067</v>
      </c>
      <c r="L108" s="20" t="n">
        <v>26779</v>
      </c>
    </row>
    <row r="109">
      <c r="A109" s="18" t="inlineStr">
        <is>
          <t>단기차입금</t>
        </is>
      </c>
      <c r="C109" s="20" t="n">
        <v>6952</v>
      </c>
      <c r="D109" s="20" t="n">
        <v>6347</v>
      </c>
      <c r="E109" s="20" t="n">
        <v>6358</v>
      </c>
      <c r="F109" s="20" t="n">
        <v>6414</v>
      </c>
      <c r="G109" s="20" t="n">
        <v>56175</v>
      </c>
      <c r="H109" s="20" t="n">
        <v>5497</v>
      </c>
      <c r="I109" s="20" t="n">
        <v>4919</v>
      </c>
      <c r="J109" s="20" t="n">
        <v>10008</v>
      </c>
      <c r="K109" s="20" t="n">
        <v>12315</v>
      </c>
      <c r="L109" s="20" t="n">
        <v>6414</v>
      </c>
    </row>
    <row r="110">
      <c r="A110" s="18" t="inlineStr">
        <is>
          <t>1년 내 상환 사채</t>
        </is>
      </c>
      <c r="E110" s="20" t="n">
        <v>5000</v>
      </c>
      <c r="F110" s="20" t="n">
        <v>5000</v>
      </c>
      <c r="G110" s="20" t="n">
        <v>10000</v>
      </c>
      <c r="H110" s="20" t="n">
        <v>10000</v>
      </c>
      <c r="I110" s="20" t="n">
        <v>0</v>
      </c>
      <c r="J110" s="20" t="n">
        <v>5000</v>
      </c>
      <c r="K110" s="20" t="n">
        <v>0</v>
      </c>
      <c r="L110" s="20" t="n">
        <v>5000</v>
      </c>
    </row>
    <row r="111">
      <c r="A111" s="18" t="inlineStr">
        <is>
          <t>기업어음(CP)</t>
        </is>
      </c>
      <c r="F111" s="20" t="n">
        <v>0</v>
      </c>
      <c r="G111" s="20" t="n">
        <v>4000</v>
      </c>
      <c r="J111" s="20" t="n">
        <v>0</v>
      </c>
      <c r="L111" s="20" t="n">
        <v>0</v>
      </c>
    </row>
    <row r="112">
      <c r="A112" s="18" t="inlineStr">
        <is>
          <t>미지급 주세</t>
        </is>
      </c>
      <c r="H112" s="20" t="n">
        <v>7172</v>
      </c>
      <c r="I112" s="20" t="n">
        <v>5815</v>
      </c>
      <c r="J112" s="20" t="n">
        <v>8174</v>
      </c>
    </row>
    <row r="113">
      <c r="A113" s="18" t="inlineStr">
        <is>
          <t>미지급비용</t>
        </is>
      </c>
      <c r="H113" s="20" t="n">
        <v>5579</v>
      </c>
      <c r="I113" s="20" t="n">
        <v>6368</v>
      </c>
      <c r="J113" s="20" t="n">
        <v>8826</v>
      </c>
    </row>
    <row r="114">
      <c r="A114" s="18" t="inlineStr">
        <is>
          <t>미지급법인세</t>
        </is>
      </c>
      <c r="C114" s="20" t="n">
        <v>2875</v>
      </c>
      <c r="D114" s="20" t="n">
        <v>3706</v>
      </c>
      <c r="E114" s="20" t="n">
        <v>3888</v>
      </c>
      <c r="F114" s="20" t="n">
        <v>4004</v>
      </c>
      <c r="G114" s="20" t="n">
        <v>3236</v>
      </c>
      <c r="H114" s="20" t="n">
        <v>6602</v>
      </c>
      <c r="I114" s="20" t="n">
        <v>2220</v>
      </c>
      <c r="J114" s="20" t="n">
        <v>2600</v>
      </c>
      <c r="K114" s="20" t="n">
        <v>2742</v>
      </c>
      <c r="L114" s="20" t="n">
        <v>4004</v>
      </c>
    </row>
    <row r="115">
      <c r="A115" s="18" t="inlineStr">
        <is>
          <t>상여충당금</t>
        </is>
      </c>
      <c r="F115" s="20" t="n">
        <v>3245</v>
      </c>
      <c r="H115" s="20" t="n">
        <v>3161</v>
      </c>
      <c r="I115" s="20" t="n">
        <v>3380</v>
      </c>
      <c r="J115" s="20" t="n">
        <v>3470</v>
      </c>
      <c r="K115" s="20" t="n">
        <v>3438</v>
      </c>
      <c r="L115" s="20" t="n">
        <v>3245</v>
      </c>
    </row>
    <row r="116">
      <c r="A116" s="18" t="inlineStr">
        <is>
          <t>판매촉진 충당금</t>
        </is>
      </c>
      <c r="H116" s="20" t="n">
        <v>0</v>
      </c>
    </row>
    <row r="117">
      <c r="A117" s="18" t="inlineStr">
        <is>
          <t>기타 충당금</t>
        </is>
      </c>
      <c r="I117" s="20" t="n">
        <v>242</v>
      </c>
      <c r="J117" s="20" t="n">
        <v>479</v>
      </c>
    </row>
    <row r="118">
      <c r="A118" s="18" t="inlineStr">
        <is>
          <t>충당금</t>
        </is>
      </c>
      <c r="C118" s="20" t="n">
        <v>4484</v>
      </c>
      <c r="D118" s="20" t="n">
        <v>3293</v>
      </c>
      <c r="E118" s="20" t="n">
        <v>2251</v>
      </c>
      <c r="F118" s="20" t="n">
        <v>3633</v>
      </c>
      <c r="G118" s="20" t="n">
        <v>6850</v>
      </c>
      <c r="H118" s="20" t="n">
        <v>3516</v>
      </c>
      <c r="I118" s="20" t="n">
        <v>3622</v>
      </c>
      <c r="J118" s="20" t="n">
        <v>3950</v>
      </c>
      <c r="K118" s="20" t="n">
        <v>3826</v>
      </c>
      <c r="L118" s="20" t="n">
        <v>3633</v>
      </c>
    </row>
    <row r="119">
      <c r="A119" s="18" t="inlineStr">
        <is>
          <t>기타</t>
        </is>
      </c>
      <c r="C119" s="20" t="n">
        <v>34661</v>
      </c>
      <c r="D119" s="20" t="n">
        <v>30426</v>
      </c>
      <c r="E119" s="20" t="n">
        <v>37963</v>
      </c>
      <c r="F119" s="20" t="n">
        <v>36205</v>
      </c>
      <c r="G119" s="20" t="n">
        <v>55153</v>
      </c>
      <c r="H119" s="20" t="n">
        <v>20164</v>
      </c>
      <c r="I119" s="20" t="n">
        <v>22975</v>
      </c>
      <c r="J119" s="20" t="n">
        <v>37262</v>
      </c>
      <c r="K119" s="20" t="n">
        <v>30856</v>
      </c>
      <c r="L119" s="20" t="n">
        <v>36205</v>
      </c>
    </row>
    <row r="120">
      <c r="A120" s="9" t="inlineStr">
        <is>
          <t>유동부채 합계</t>
        </is>
      </c>
      <c r="C120" s="12" t="n">
        <v>72384</v>
      </c>
      <c r="D120" s="12" t="n">
        <v>67616</v>
      </c>
      <c r="E120" s="12" t="n">
        <v>82915</v>
      </c>
      <c r="F120" s="12" t="n">
        <v>82037</v>
      </c>
      <c r="G120" s="12" t="n">
        <v>162681</v>
      </c>
      <c r="H120" s="12" t="n">
        <v>79151</v>
      </c>
      <c r="I120" s="12" t="n">
        <v>67454</v>
      </c>
      <c r="J120" s="12" t="n">
        <v>80657</v>
      </c>
      <c r="K120" s="12" t="n">
        <v>73419</v>
      </c>
      <c r="L120" s="12" t="n">
        <v>82037</v>
      </c>
    </row>
    <row r="121">
      <c r="A121" s="18" t="inlineStr">
        <is>
          <t>사채</t>
        </is>
      </c>
      <c r="C121" s="20" t="n">
        <v>15000</v>
      </c>
      <c r="D121" s="20" t="n">
        <v>15000</v>
      </c>
      <c r="E121" s="20" t="n">
        <v>10000</v>
      </c>
      <c r="F121" s="20" t="n">
        <v>10000</v>
      </c>
      <c r="G121" s="20" t="n">
        <v>5000</v>
      </c>
      <c r="H121" s="20" t="n">
        <v>20000</v>
      </c>
      <c r="I121" s="20" t="n">
        <v>20000</v>
      </c>
      <c r="J121" s="20" t="n">
        <v>15000</v>
      </c>
      <c r="K121" s="20" t="n">
        <v>15000</v>
      </c>
      <c r="L121" s="20" t="n">
        <v>10000</v>
      </c>
    </row>
    <row r="122">
      <c r="A122" s="18" t="inlineStr">
        <is>
          <t>장기차입금</t>
        </is>
      </c>
      <c r="C122" s="20" t="n">
        <v>30586</v>
      </c>
      <c r="D122" s="20" t="n">
        <v>40524</v>
      </c>
      <c r="E122" s="20" t="n">
        <v>40467</v>
      </c>
      <c r="F122" s="20" t="n">
        <v>40431</v>
      </c>
      <c r="G122" s="20" t="n">
        <v>40419</v>
      </c>
      <c r="H122" s="20" t="n">
        <v>15248</v>
      </c>
      <c r="I122" s="20" t="n">
        <v>15186</v>
      </c>
      <c r="J122" s="20" t="n">
        <v>10422</v>
      </c>
      <c r="K122" s="20" t="n">
        <v>30689</v>
      </c>
      <c r="L122" s="20" t="n">
        <v>40431</v>
      </c>
    </row>
    <row r="123">
      <c r="A123" s="18" t="inlineStr">
        <is>
          <t>리스부채</t>
        </is>
      </c>
      <c r="F123" s="20" t="n">
        <v>9296</v>
      </c>
      <c r="H123" s="20" t="n">
        <v>3005</v>
      </c>
      <c r="I123" s="20" t="n">
        <v>4452</v>
      </c>
      <c r="J123" s="20" t="n">
        <v>7369</v>
      </c>
      <c r="K123" s="20" t="n">
        <v>7596</v>
      </c>
      <c r="L123" s="20" t="n">
        <v>9296</v>
      </c>
    </row>
    <row r="124">
      <c r="A124" s="18" t="inlineStr">
        <is>
          <t>이연법인세부채</t>
        </is>
      </c>
      <c r="F124" s="20" t="n">
        <v>12862</v>
      </c>
      <c r="H124" s="20" t="n">
        <v>3969</v>
      </c>
      <c r="I124" s="20" t="n">
        <v>4855</v>
      </c>
      <c r="J124" s="20" t="n">
        <v>8806</v>
      </c>
      <c r="K124" s="20" t="n">
        <v>9276</v>
      </c>
      <c r="L124" s="20" t="n">
        <v>12862</v>
      </c>
    </row>
    <row r="125">
      <c r="A125" s="18" t="inlineStr">
        <is>
          <t>퇴직급여부채</t>
        </is>
      </c>
      <c r="C125" s="20" t="n">
        <v>8234</v>
      </c>
      <c r="D125" s="20" t="n">
        <v>8160</v>
      </c>
      <c r="E125" s="20" t="n">
        <v>8058</v>
      </c>
      <c r="F125" s="20" t="n">
        <v>8020</v>
      </c>
      <c r="G125" s="20" t="n">
        <v>7986</v>
      </c>
      <c r="H125" s="20" t="n">
        <v>8944</v>
      </c>
      <c r="I125" s="20" t="n">
        <v>8925</v>
      </c>
      <c r="J125" s="20" t="n">
        <v>8735</v>
      </c>
      <c r="K125" s="20" t="n">
        <v>8345</v>
      </c>
      <c r="L125" s="20" t="n">
        <v>8020</v>
      </c>
    </row>
    <row r="126">
      <c r="A126" s="18" t="inlineStr">
        <is>
          <t>장기 운용리스 부채</t>
        </is>
      </c>
      <c r="F126" s="20" t="n">
        <v>25576</v>
      </c>
      <c r="J126" s="20" t="n">
        <v>19673</v>
      </c>
      <c r="K126" s="20" t="n">
        <v>25991</v>
      </c>
      <c r="L126" s="20" t="n">
        <v>25576</v>
      </c>
    </row>
    <row r="127">
      <c r="A127" s="18" t="inlineStr">
        <is>
          <t>기타</t>
        </is>
      </c>
      <c r="C127" s="20" t="n">
        <v>57117</v>
      </c>
      <c r="D127" s="20" t="n">
        <v>57852</v>
      </c>
      <c r="E127" s="20" t="n">
        <v>58800</v>
      </c>
      <c r="F127" s="20" t="n">
        <v>62374</v>
      </c>
      <c r="G127" s="20" t="n">
        <v>61977</v>
      </c>
      <c r="H127" s="20" t="n">
        <v>7562</v>
      </c>
      <c r="I127" s="20" t="n">
        <v>22980</v>
      </c>
      <c r="J127" s="20" t="n">
        <v>6337</v>
      </c>
      <c r="K127" s="20" t="n">
        <v>6364</v>
      </c>
      <c r="L127" s="20" t="n">
        <v>62374</v>
      </c>
    </row>
    <row r="128">
      <c r="A128" s="9" t="inlineStr">
        <is>
          <t>비유동부채 합계</t>
        </is>
      </c>
      <c r="C128" s="12" t="n">
        <v>110938</v>
      </c>
      <c r="D128" s="12" t="n">
        <v>121537</v>
      </c>
      <c r="E128" s="12" t="n">
        <v>117326</v>
      </c>
      <c r="F128" s="12" t="n">
        <v>120826</v>
      </c>
      <c r="G128" s="12" t="n">
        <v>115383</v>
      </c>
      <c r="H128" s="12" t="n">
        <v>58730</v>
      </c>
      <c r="I128" s="12" t="n">
        <v>76401</v>
      </c>
      <c r="J128" s="12" t="n">
        <v>76345</v>
      </c>
      <c r="K128" s="12" t="n">
        <v>103264</v>
      </c>
      <c r="L128" s="12" t="n">
        <v>120826</v>
      </c>
    </row>
    <row r="129">
      <c r="A129" s="9" t="inlineStr">
        <is>
          <t>부채 합계</t>
        </is>
      </c>
      <c r="C129" s="12" t="n">
        <v>183322</v>
      </c>
      <c r="D129" s="12" t="n">
        <v>189154</v>
      </c>
      <c r="E129" s="12" t="n">
        <v>200241</v>
      </c>
      <c r="F129" s="12" t="n">
        <v>202863</v>
      </c>
      <c r="G129" s="12" t="n">
        <v>278065</v>
      </c>
      <c r="H129" s="12" t="n">
        <v>137882</v>
      </c>
      <c r="I129" s="12" t="n">
        <v>143856</v>
      </c>
      <c r="J129" s="12" t="n">
        <v>157003</v>
      </c>
      <c r="K129" s="12" t="n">
        <v>176683</v>
      </c>
      <c r="L129" s="12" t="n">
        <v>202863</v>
      </c>
    </row>
    <row r="130">
      <c r="A130" s="18" t="inlineStr">
        <is>
          <t>자본금</t>
        </is>
      </c>
      <c r="C130" s="20" t="n">
        <v>13226</v>
      </c>
      <c r="D130" s="20" t="n">
        <v>13226</v>
      </c>
      <c r="E130" s="20" t="n">
        <v>13226</v>
      </c>
      <c r="F130" s="20" t="n">
        <v>13226</v>
      </c>
      <c r="G130" s="20" t="n">
        <v>13226</v>
      </c>
      <c r="H130" s="20" t="n">
        <v>13226</v>
      </c>
      <c r="I130" s="20" t="n">
        <v>13226</v>
      </c>
      <c r="J130" s="20" t="n">
        <v>13226</v>
      </c>
      <c r="K130" s="20" t="n">
        <v>13226</v>
      </c>
      <c r="L130" s="20" t="n">
        <v>13226</v>
      </c>
    </row>
    <row r="131">
      <c r="A131" s="18" t="inlineStr">
        <is>
          <t>자본잉여금</t>
        </is>
      </c>
      <c r="C131" s="20" t="n">
        <v>2804</v>
      </c>
      <c r="D131" s="20" t="n">
        <v>2804</v>
      </c>
      <c r="E131" s="20" t="n">
        <v>2804</v>
      </c>
      <c r="F131" s="20" t="n">
        <v>2804</v>
      </c>
      <c r="G131" s="20" t="n">
        <v>0</v>
      </c>
      <c r="H131" s="20" t="n">
        <v>2499</v>
      </c>
      <c r="I131" s="20" t="n">
        <v>1994</v>
      </c>
      <c r="J131" s="20" t="n">
        <v>2716</v>
      </c>
      <c r="K131" s="20" t="n">
        <v>2804</v>
      </c>
      <c r="L131" s="20" t="n">
        <v>2804</v>
      </c>
    </row>
    <row r="132">
      <c r="A132" s="18" t="inlineStr">
        <is>
          <t>이익잉여금</t>
        </is>
      </c>
      <c r="C132" s="20" t="n">
        <v>178542</v>
      </c>
      <c r="D132" s="20" t="n">
        <v>180092</v>
      </c>
      <c r="E132" s="20" t="n">
        <v>184954</v>
      </c>
      <c r="F132" s="20" t="n">
        <v>186093</v>
      </c>
      <c r="G132" s="20" t="n">
        <v>172091</v>
      </c>
      <c r="H132" s="20" t="n">
        <v>149933</v>
      </c>
      <c r="I132" s="20" t="n">
        <v>163825</v>
      </c>
      <c r="J132" s="20" t="n">
        <v>169909</v>
      </c>
      <c r="K132" s="20" t="n">
        <v>180449</v>
      </c>
      <c r="L132" s="20" t="n">
        <v>186093</v>
      </c>
    </row>
    <row r="133">
      <c r="A133" s="18" t="inlineStr">
        <is>
          <t>자기주식</t>
        </is>
      </c>
      <c r="C133" s="20" t="n">
        <v>-5103</v>
      </c>
      <c r="D133" s="20" t="n">
        <v>-5103</v>
      </c>
      <c r="E133" s="20" t="n">
        <v>-5103</v>
      </c>
      <c r="F133" s="20" t="n">
        <v>-5103</v>
      </c>
      <c r="G133" s="20" t="n">
        <v>-8103</v>
      </c>
      <c r="H133" s="20" t="n">
        <v>-1682</v>
      </c>
      <c r="I133" s="20" t="n">
        <v>-1682</v>
      </c>
      <c r="J133" s="20" t="n">
        <v>-2103</v>
      </c>
      <c r="K133" s="20" t="n">
        <v>-2103</v>
      </c>
      <c r="L133" s="20" t="n">
        <v>-5103</v>
      </c>
    </row>
    <row r="134">
      <c r="A134" s="9" t="inlineStr">
        <is>
          <t>주주자본 합계</t>
        </is>
      </c>
      <c r="C134" s="12" t="n">
        <v>189469</v>
      </c>
      <c r="D134" s="12" t="n">
        <v>191019</v>
      </c>
      <c r="E134" s="12" t="n">
        <v>195881</v>
      </c>
      <c r="F134" s="12" t="n">
        <v>197019</v>
      </c>
      <c r="G134" s="12" t="n">
        <v>177214</v>
      </c>
      <c r="H134" s="12" t="n">
        <v>163976</v>
      </c>
      <c r="I134" s="12" t="n">
        <v>177363</v>
      </c>
      <c r="J134" s="12" t="n">
        <v>183749</v>
      </c>
      <c r="K134" s="12" t="n">
        <v>194376</v>
      </c>
      <c r="L134" s="12" t="n">
        <v>197019</v>
      </c>
    </row>
    <row r="135">
      <c r="A135" s="18" t="inlineStr">
        <is>
          <t>기타유가증권 평가차액</t>
        </is>
      </c>
      <c r="C135" s="20" t="n">
        <v>16490</v>
      </c>
      <c r="D135" s="20" t="n">
        <v>17834</v>
      </c>
      <c r="E135" s="20" t="n">
        <v>18810</v>
      </c>
      <c r="F135" s="20" t="n">
        <v>21373</v>
      </c>
      <c r="G135" s="20" t="n">
        <v>26215</v>
      </c>
      <c r="H135" s="20" t="n">
        <v>12216</v>
      </c>
      <c r="I135" s="20" t="n">
        <v>12974</v>
      </c>
      <c r="J135" s="20" t="n">
        <v>22511</v>
      </c>
      <c r="K135" s="20" t="n">
        <v>16513</v>
      </c>
      <c r="L135" s="20" t="n">
        <v>21373</v>
      </c>
    </row>
    <row r="136">
      <c r="A136" s="18" t="inlineStr">
        <is>
          <t>이연헤지손익</t>
        </is>
      </c>
      <c r="C136" s="20" t="n">
        <v>1</v>
      </c>
      <c r="D136" s="20" t="n">
        <v>0</v>
      </c>
      <c r="E136" s="20" t="n">
        <v>0</v>
      </c>
      <c r="F136" s="20" t="n">
        <v>-2</v>
      </c>
      <c r="G136" s="20" t="n">
        <v>-0</v>
      </c>
      <c r="H136" s="20" t="n">
        <v>412</v>
      </c>
      <c r="I136" s="20" t="n">
        <v>286</v>
      </c>
      <c r="J136" s="20" t="n">
        <v>3</v>
      </c>
      <c r="K136" s="20" t="n">
        <v>-4</v>
      </c>
      <c r="L136" s="20" t="n">
        <v>-2</v>
      </c>
    </row>
    <row r="137">
      <c r="A137" s="18" t="inlineStr">
        <is>
          <t>해외사업환산조정</t>
        </is>
      </c>
      <c r="C137" s="20" t="n">
        <v>27797</v>
      </c>
      <c r="D137" s="20" t="n">
        <v>28260</v>
      </c>
      <c r="E137" s="20" t="n">
        <v>32025</v>
      </c>
      <c r="F137" s="20" t="n">
        <v>40741</v>
      </c>
      <c r="G137" s="20" t="n">
        <v>42555</v>
      </c>
      <c r="H137" s="20" t="n">
        <v>4330</v>
      </c>
      <c r="I137" s="20" t="n">
        <v>13686</v>
      </c>
      <c r="J137" s="20" t="n">
        <v>22389</v>
      </c>
      <c r="K137" s="20" t="n">
        <v>34204</v>
      </c>
      <c r="L137" s="20" t="n">
        <v>40741</v>
      </c>
    </row>
    <row r="138">
      <c r="A138" s="18" t="inlineStr">
        <is>
          <t>퇴직급여 조정누계액</t>
        </is>
      </c>
      <c r="C138" s="20" t="n">
        <v>141</v>
      </c>
      <c r="D138" s="20" t="n">
        <v>110</v>
      </c>
      <c r="E138" s="20" t="n">
        <v>117</v>
      </c>
      <c r="F138" s="20" t="n">
        <v>206</v>
      </c>
      <c r="G138" s="20" t="n">
        <v>255</v>
      </c>
      <c r="H138" s="20" t="n">
        <v>-515</v>
      </c>
      <c r="I138" s="20" t="n">
        <v>-359</v>
      </c>
      <c r="J138" s="20" t="n">
        <v>12</v>
      </c>
      <c r="K138" s="20" t="n">
        <v>138</v>
      </c>
      <c r="L138" s="20" t="n">
        <v>206</v>
      </c>
    </row>
    <row r="139">
      <c r="A139" s="18" t="inlineStr">
        <is>
          <t>기타포괄손익누계액 합계</t>
        </is>
      </c>
      <c r="C139" s="20" t="n">
        <v>44431</v>
      </c>
      <c r="D139" s="20" t="n">
        <v>46205</v>
      </c>
      <c r="E139" s="20" t="n">
        <v>50954</v>
      </c>
      <c r="F139" s="20" t="n">
        <v>62319</v>
      </c>
      <c r="G139" s="20" t="n">
        <v>69025</v>
      </c>
      <c r="H139" s="20" t="n">
        <v>16443</v>
      </c>
      <c r="I139" s="20" t="n">
        <v>26588</v>
      </c>
      <c r="J139" s="20" t="n">
        <v>44915</v>
      </c>
      <c r="K139" s="20" t="n">
        <v>50851</v>
      </c>
      <c r="L139" s="20" t="n">
        <v>62319</v>
      </c>
    </row>
    <row r="140">
      <c r="A140" s="18" t="inlineStr">
        <is>
          <t>비지배지분</t>
        </is>
      </c>
      <c r="C140" s="20" t="n">
        <v>52897</v>
      </c>
      <c r="D140" s="20" t="n">
        <v>50232</v>
      </c>
      <c r="E140" s="20" t="n">
        <v>50013</v>
      </c>
      <c r="F140" s="20" t="n">
        <v>51597</v>
      </c>
      <c r="G140" s="20" t="n">
        <v>11385</v>
      </c>
      <c r="H140" s="20" t="n">
        <v>44135</v>
      </c>
      <c r="I140" s="20" t="n">
        <v>51366</v>
      </c>
      <c r="J140" s="20" t="n">
        <v>51799</v>
      </c>
      <c r="K140" s="20" t="n">
        <v>55675</v>
      </c>
      <c r="L140" s="20" t="n">
        <v>51597</v>
      </c>
    </row>
    <row r="141">
      <c r="A141" s="9" t="inlineStr">
        <is>
          <t>순자산 합계</t>
        </is>
      </c>
      <c r="C141" s="12" t="n">
        <v>286798</v>
      </c>
      <c r="D141" s="12" t="n">
        <v>287456</v>
      </c>
      <c r="E141" s="12" t="n">
        <v>296849</v>
      </c>
      <c r="F141" s="12" t="n">
        <v>310937</v>
      </c>
      <c r="G141" s="12" t="n">
        <v>257626</v>
      </c>
      <c r="H141" s="12" t="n">
        <v>224555</v>
      </c>
      <c r="I141" s="12" t="n">
        <v>255318</v>
      </c>
      <c r="J141" s="12" t="n">
        <v>280465</v>
      </c>
      <c r="K141" s="12" t="n">
        <v>300903</v>
      </c>
      <c r="L141" s="12" t="n">
        <v>310937</v>
      </c>
    </row>
    <row r="142">
      <c r="A142" s="9" t="inlineStr">
        <is>
          <t>부채·순자산 합계</t>
        </is>
      </c>
      <c r="C142" s="12" t="n">
        <v>470121</v>
      </c>
      <c r="D142" s="12" t="n">
        <v>476611</v>
      </c>
      <c r="E142" s="12" t="n">
        <v>497091</v>
      </c>
      <c r="F142" s="12" t="n">
        <v>513801</v>
      </c>
      <c r="G142" s="12" t="n">
        <v>535691</v>
      </c>
      <c r="H142" s="12" t="n">
        <v>362438</v>
      </c>
      <c r="I142" s="12" t="n">
        <v>399174</v>
      </c>
      <c r="J142" s="12" t="n">
        <v>437468</v>
      </c>
      <c r="K142" s="12" t="n">
        <v>477587</v>
      </c>
      <c r="L142" s="12" t="n">
        <v>513801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4" customWidth="1" min="7" max="7"/>
  </cols>
  <sheetData>
    <row r="1">
      <c r="A1" s="50" t="inlineStr">
        <is>
          <t>다카라홀딩스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bs annual</t>
        </is>
      </c>
      <c r="B4" s="52" t="n"/>
      <c r="C4" s="52" t="n"/>
      <c r="D4" s="52" t="n"/>
      <c r="E4" s="52" t="n"/>
      <c r="F4" s="52" t="n"/>
      <c r="G4" s="52" t="n"/>
    </row>
    <row r="5">
      <c r="A5" s="53" t="inlineStr">
        <is>
          <t>항목</t>
        </is>
      </c>
      <c r="B5" s="53" t="inlineStr">
        <is>
          <t>2022</t>
        </is>
      </c>
      <c r="C5" s="53" t="inlineStr">
        <is>
          <t>2023</t>
        </is>
      </c>
      <c r="D5" s="53" t="inlineStr">
        <is>
          <t>2024</t>
        </is>
      </c>
      <c r="E5" s="53" t="inlineStr">
        <is>
          <t>2025</t>
        </is>
      </c>
      <c r="F5" s="53" t="inlineStr">
        <is>
          <t>2026</t>
        </is>
      </c>
      <c r="G5" s="53" t="inlineStr">
        <is>
          <t>출처</t>
        </is>
      </c>
    </row>
    <row r="6">
      <c r="A6" s="54" t="inlineStr">
        <is>
          <t>labels</t>
        </is>
      </c>
      <c r="B6" s="55" t="n">
        <v>2022</v>
      </c>
      <c r="C6" s="55" t="n">
        <v>2023</v>
      </c>
      <c r="D6" s="55" t="n">
        <v>2024</v>
      </c>
      <c r="E6" s="55" t="n">
        <v>2025</v>
      </c>
      <c r="F6" s="55" t="n">
        <v>2026</v>
      </c>
      <c r="G6" s="56" t="inlineStr">
        <is>
          <t>2단계 보고서 자료(회사 설명회 자료·공시)</t>
        </is>
      </c>
    </row>
    <row r="7">
      <c r="A7" s="54" t="inlineStr">
        <is>
          <t>current assets</t>
        </is>
      </c>
      <c r="B7" s="57" t="n">
        <v>2323.2</v>
      </c>
      <c r="C7" s="57" t="n">
        <v>2415.1</v>
      </c>
      <c r="D7" s="57" t="n">
        <v>2452.1</v>
      </c>
      <c r="E7" s="57" t="n">
        <v>2454.3</v>
      </c>
      <c r="F7" s="57" t="n">
        <v>2493.1</v>
      </c>
    </row>
    <row r="8">
      <c r="A8" s="54" t="inlineStr">
        <is>
          <t>cash</t>
        </is>
      </c>
      <c r="B8" s="57" t="n">
        <v>804.5</v>
      </c>
      <c r="C8" s="57" t="n">
        <v>968.2</v>
      </c>
      <c r="D8" s="57" t="n">
        <v>950.9</v>
      </c>
      <c r="E8" s="57" t="n">
        <v>833</v>
      </c>
      <c r="F8" s="57" t="n">
        <v>731.9</v>
      </c>
    </row>
    <row r="9">
      <c r="A9" s="54" t="inlineStr">
        <is>
          <t>st fin</t>
        </is>
      </c>
      <c r="B9" s="57" t="n">
        <v>11.8</v>
      </c>
      <c r="C9" s="58" t="n"/>
      <c r="D9" s="58" t="n"/>
      <c r="E9" s="58" t="n"/>
      <c r="F9" s="58" t="n"/>
    </row>
    <row r="10">
      <c r="A10" s="54" t="inlineStr">
        <is>
          <t>receivables</t>
        </is>
      </c>
      <c r="B10" s="57" t="n">
        <v>628.6</v>
      </c>
      <c r="C10" s="57" t="n">
        <v>616.2</v>
      </c>
      <c r="D10" s="57" t="n">
        <v>608.5</v>
      </c>
      <c r="E10" s="57" t="n">
        <v>656.9</v>
      </c>
      <c r="F10" s="57" t="n">
        <v>775.7</v>
      </c>
    </row>
    <row r="11">
      <c r="A11" s="54" t="inlineStr">
        <is>
          <t>inventory</t>
        </is>
      </c>
      <c r="B11" s="57" t="n">
        <v>726.4</v>
      </c>
      <c r="C11" s="57" t="n">
        <v>669</v>
      </c>
      <c r="D11" s="57" t="n">
        <v>710.5</v>
      </c>
      <c r="E11" s="57" t="n">
        <v>823.3</v>
      </c>
      <c r="F11" s="57" t="n">
        <v>915.3</v>
      </c>
    </row>
    <row r="12">
      <c r="A12" s="54" t="inlineStr">
        <is>
          <t>noncurrent assets</t>
        </is>
      </c>
      <c r="B12" s="57" t="n">
        <v>1301.1</v>
      </c>
      <c r="C12" s="57" t="n">
        <v>1576.6</v>
      </c>
      <c r="D12" s="57" t="n">
        <v>1922.5</v>
      </c>
      <c r="E12" s="57" t="n">
        <v>2321.5</v>
      </c>
      <c r="F12" s="57" t="n">
        <v>2644.9</v>
      </c>
    </row>
    <row r="13">
      <c r="A13" s="54" t="inlineStr">
        <is>
          <t>ppe</t>
        </is>
      </c>
      <c r="B13" s="57" t="n">
        <v>797.5</v>
      </c>
      <c r="C13" s="57" t="n">
        <v>888.9</v>
      </c>
      <c r="D13" s="57" t="n">
        <v>1048.8</v>
      </c>
      <c r="E13" s="57" t="n">
        <v>1236.1</v>
      </c>
      <c r="F13" s="57" t="n">
        <v>1330.7</v>
      </c>
    </row>
    <row r="14">
      <c r="A14" s="54" t="inlineStr">
        <is>
          <t>intangibles</t>
        </is>
      </c>
      <c r="B14" s="57" t="n">
        <v>153.6</v>
      </c>
      <c r="C14" s="57" t="n">
        <v>159.3</v>
      </c>
      <c r="D14" s="57" t="n">
        <v>183.4</v>
      </c>
      <c r="E14" s="57" t="n">
        <v>416.6</v>
      </c>
      <c r="F14" s="57" t="n">
        <v>603.7</v>
      </c>
    </row>
    <row r="15">
      <c r="A15" s="54" t="inlineStr">
        <is>
          <t>inv property</t>
        </is>
      </c>
      <c r="B15" s="58" t="n"/>
      <c r="C15" s="58" t="n"/>
      <c r="D15" s="58" t="n"/>
      <c r="E15" s="58" t="n"/>
      <c r="F15" s="58" t="n"/>
    </row>
    <row r="16">
      <c r="A16" s="54" t="inlineStr">
        <is>
          <t>합계 assets</t>
        </is>
      </c>
      <c r="B16" s="57" t="n">
        <v>3624.4</v>
      </c>
      <c r="C16" s="57" t="n">
        <v>3991.7</v>
      </c>
      <c r="D16" s="57" t="n">
        <v>4374.7</v>
      </c>
      <c r="E16" s="57" t="n">
        <v>4775.9</v>
      </c>
      <c r="F16" s="57" t="n">
        <v>5138</v>
      </c>
    </row>
    <row r="17">
      <c r="A17" s="54" t="inlineStr">
        <is>
          <t>current liab</t>
        </is>
      </c>
      <c r="B17" s="57" t="n">
        <v>791.5</v>
      </c>
      <c r="C17" s="57" t="n">
        <v>674.5</v>
      </c>
      <c r="D17" s="57" t="n">
        <v>806.6</v>
      </c>
      <c r="E17" s="57" t="n">
        <v>734.2</v>
      </c>
      <c r="F17" s="57" t="n">
        <v>820.4</v>
      </c>
    </row>
    <row r="18">
      <c r="A18" s="54" t="inlineStr">
        <is>
          <t>payables</t>
        </is>
      </c>
      <c r="B18" s="57" t="n">
        <v>209.7</v>
      </c>
      <c r="C18" s="57" t="n">
        <v>217.8</v>
      </c>
      <c r="D18" s="57" t="n">
        <v>223.2</v>
      </c>
      <c r="E18" s="57" t="n">
        <v>240.7</v>
      </c>
      <c r="F18" s="57" t="n">
        <v>267.8</v>
      </c>
    </row>
    <row r="19">
      <c r="A19" s="54" t="inlineStr">
        <is>
          <t>st debt</t>
        </is>
      </c>
      <c r="B19" s="57" t="n">
        <v>55</v>
      </c>
      <c r="C19" s="57" t="n">
        <v>49.2</v>
      </c>
      <c r="D19" s="57" t="n">
        <v>100.1</v>
      </c>
      <c r="E19" s="57" t="n">
        <v>123.2</v>
      </c>
      <c r="F19" s="57" t="n">
        <v>64.09999999999999</v>
      </c>
    </row>
    <row r="20">
      <c r="A20" s="54" t="inlineStr">
        <is>
          <t>noncurrent liab</t>
        </is>
      </c>
      <c r="B20" s="57" t="n">
        <v>587.3</v>
      </c>
      <c r="C20" s="57" t="n">
        <v>764</v>
      </c>
      <c r="D20" s="57" t="n">
        <v>763.5</v>
      </c>
      <c r="E20" s="57" t="n">
        <v>1032.6</v>
      </c>
      <c r="F20" s="57" t="n">
        <v>1208.3</v>
      </c>
    </row>
    <row r="21">
      <c r="A21" s="54" t="inlineStr">
        <is>
          <t>lt debt</t>
        </is>
      </c>
      <c r="B21" s="57" t="n">
        <v>152.5</v>
      </c>
      <c r="C21" s="57" t="n">
        <v>151.9</v>
      </c>
      <c r="D21" s="57" t="n">
        <v>104.2</v>
      </c>
      <c r="E21" s="57" t="n">
        <v>306.9</v>
      </c>
      <c r="F21" s="57" t="n">
        <v>404.3</v>
      </c>
    </row>
    <row r="22">
      <c r="A22" s="54" t="inlineStr">
        <is>
          <t>bonds</t>
        </is>
      </c>
      <c r="B22" s="57" t="n">
        <v>200</v>
      </c>
      <c r="C22" s="57" t="n">
        <v>200</v>
      </c>
      <c r="D22" s="57" t="n">
        <v>150</v>
      </c>
      <c r="E22" s="57" t="n">
        <v>150</v>
      </c>
      <c r="F22" s="57" t="n">
        <v>100</v>
      </c>
    </row>
    <row r="23">
      <c r="A23" s="54" t="inlineStr">
        <is>
          <t>합계 liab</t>
        </is>
      </c>
      <c r="B23" s="57" t="n">
        <v>1378.8</v>
      </c>
      <c r="C23" s="57" t="n">
        <v>1438.6</v>
      </c>
      <c r="D23" s="57" t="n">
        <v>1570</v>
      </c>
      <c r="E23" s="57" t="n">
        <v>1766.8</v>
      </c>
      <c r="F23" s="57" t="n">
        <v>2028.6</v>
      </c>
    </row>
    <row r="24">
      <c r="A24" s="54" t="inlineStr">
        <is>
          <t>capital stock</t>
        </is>
      </c>
      <c r="B24" s="57" t="n">
        <v>132.3</v>
      </c>
      <c r="C24" s="57" t="n">
        <v>132.3</v>
      </c>
      <c r="D24" s="57" t="n">
        <v>132.3</v>
      </c>
      <c r="E24" s="57" t="n">
        <v>132.3</v>
      </c>
      <c r="F24" s="57" t="n">
        <v>132.3</v>
      </c>
    </row>
    <row r="25">
      <c r="A25" s="54" t="inlineStr">
        <is>
          <t>retained</t>
        </is>
      </c>
      <c r="B25" s="57" t="n">
        <v>1499.3</v>
      </c>
      <c r="C25" s="57" t="n">
        <v>1638.2</v>
      </c>
      <c r="D25" s="57" t="n">
        <v>1699.1</v>
      </c>
      <c r="E25" s="57" t="n">
        <v>1804.5</v>
      </c>
      <c r="F25" s="57" t="n">
        <v>1860.9</v>
      </c>
    </row>
    <row r="26">
      <c r="A26" s="54" t="inlineStr">
        <is>
          <t>nci</t>
        </is>
      </c>
      <c r="B26" s="57" t="n">
        <v>441.4</v>
      </c>
      <c r="C26" s="57" t="n">
        <v>513.7</v>
      </c>
      <c r="D26" s="57" t="n">
        <v>518</v>
      </c>
      <c r="E26" s="57" t="n">
        <v>556.8</v>
      </c>
      <c r="F26" s="57" t="n">
        <v>516</v>
      </c>
    </row>
    <row r="27">
      <c r="A27" s="54" t="inlineStr">
        <is>
          <t>합계 equity</t>
        </is>
      </c>
      <c r="B27" s="57" t="n">
        <v>2245.6</v>
      </c>
      <c r="C27" s="57" t="n">
        <v>2553.2</v>
      </c>
      <c r="D27" s="57" t="n">
        <v>2804.7</v>
      </c>
      <c r="E27" s="57" t="n">
        <v>3009</v>
      </c>
      <c r="F27" s="57" t="n">
        <v>3109.4</v>
      </c>
    </row>
    <row r="28">
      <c r="A28" s="54" t="inlineStr">
        <is>
          <t>current ltd</t>
        </is>
      </c>
      <c r="B28" s="57" t="n">
        <v>100</v>
      </c>
      <c r="C28" s="57" t="n">
        <v>0</v>
      </c>
      <c r="D28" s="57" t="n">
        <v>50</v>
      </c>
      <c r="E28" s="57" t="n">
        <v>0</v>
      </c>
      <c r="F28" s="57" t="n">
        <v>50</v>
      </c>
    </row>
    <row r="29">
      <c r="A29" s="54" t="inlineStr">
        <is>
          <t>equity owner</t>
        </is>
      </c>
      <c r="B29" s="57" t="n">
        <v>1804.2</v>
      </c>
      <c r="C29" s="57" t="n">
        <v>2039.5</v>
      </c>
      <c r="D29" s="57" t="n">
        <v>2286.7</v>
      </c>
      <c r="E29" s="57" t="n">
        <v>2452.3</v>
      </c>
      <c r="F29" s="57" t="n">
        <v>2593.4</v>
      </c>
    </row>
    <row r="31">
      <c r="A31" s="52" t="inlineStr">
        <is>
          <t>ordinary q</t>
        </is>
      </c>
      <c r="B31" s="52" t="n"/>
      <c r="C31" s="52" t="n"/>
      <c r="D31" s="52" t="n"/>
      <c r="E31" s="52" t="n"/>
      <c r="F31" s="52" t="n"/>
      <c r="G31" s="52" t="n"/>
    </row>
    <row r="32">
      <c r="A32" s="53" t="inlineStr">
        <is>
          <t>항목</t>
        </is>
      </c>
      <c r="B32" s="53" t="inlineStr">
        <is>
          <t>값</t>
        </is>
      </c>
      <c r="G32" s="53" t="inlineStr">
        <is>
          <t>출처</t>
        </is>
      </c>
    </row>
    <row r="33">
      <c r="A33" s="54" t="inlineStr">
        <is>
          <t>2024-Q2</t>
        </is>
      </c>
      <c r="B33" s="57" t="n">
        <v>53.32</v>
      </c>
      <c r="G33" s="56" t="inlineStr">
        <is>
          <t>2단계 보고서 자료(회사 설명회 자료·공시)</t>
        </is>
      </c>
    </row>
    <row r="34">
      <c r="A34" s="54" t="inlineStr">
        <is>
          <t>2024-Q3</t>
        </is>
      </c>
      <c r="B34" s="57" t="n">
        <v>57.88</v>
      </c>
    </row>
    <row r="35">
      <c r="A35" s="54" t="inlineStr">
        <is>
          <t>2024-Q4</t>
        </is>
      </c>
      <c r="B35" s="57" t="n">
        <v>45.16</v>
      </c>
    </row>
    <row r="36">
      <c r="A36" s="54" t="inlineStr">
        <is>
          <t>2025-Q1</t>
        </is>
      </c>
      <c r="B36" s="57" t="n">
        <v>47.91</v>
      </c>
    </row>
    <row r="37">
      <c r="A37" s="54" t="inlineStr">
        <is>
          <t>2025-Q2</t>
        </is>
      </c>
      <c r="B37" s="57" t="n">
        <v>63.75</v>
      </c>
    </row>
    <row r="38">
      <c r="A38" s="54" t="inlineStr">
        <is>
          <t>2025-Q3</t>
        </is>
      </c>
      <c r="B38" s="57" t="n">
        <v>49</v>
      </c>
    </row>
    <row r="39">
      <c r="A39" s="54" t="inlineStr">
        <is>
          <t>2025-Q4</t>
        </is>
      </c>
      <c r="B39" s="57" t="n">
        <v>61.14</v>
      </c>
    </row>
    <row r="40">
      <c r="A40" s="54" t="inlineStr">
        <is>
          <t>2026-Q1</t>
        </is>
      </c>
      <c r="B40" s="57" t="n">
        <v>34.71</v>
      </c>
    </row>
    <row r="41">
      <c r="A41" s="54" t="inlineStr">
        <is>
          <t>2026-Q2</t>
        </is>
      </c>
      <c r="B41" s="57" t="n">
        <v>39.15</v>
      </c>
    </row>
    <row r="42">
      <c r="A42" s="54" t="inlineStr">
        <is>
          <t>2026-Q3</t>
        </is>
      </c>
      <c r="B42" s="57" t="n">
        <v>51.69</v>
      </c>
    </row>
    <row r="43">
      <c r="A43" s="54" t="inlineStr">
        <is>
          <t>2026-Q4</t>
        </is>
      </c>
      <c r="B43" s="57" t="n">
        <v>43.06</v>
      </c>
    </row>
    <row r="44">
      <c r="A44" s="54" t="inlineStr">
        <is>
          <t>2027-Q1</t>
        </is>
      </c>
      <c r="B44" s="57" t="n">
        <v>31.57</v>
      </c>
    </row>
    <row r="46">
      <c r="A46" s="52" t="inlineStr">
        <is>
          <t>ordinary a</t>
        </is>
      </c>
      <c r="B46" s="52" t="n"/>
      <c r="C46" s="52" t="n"/>
      <c r="D46" s="52" t="n"/>
      <c r="E46" s="52" t="n"/>
      <c r="F46" s="52" t="n"/>
      <c r="G46" s="52" t="n"/>
    </row>
    <row r="47">
      <c r="A47" s="53" t="inlineStr">
        <is>
          <t>항목</t>
        </is>
      </c>
      <c r="B47" s="53" t="inlineStr">
        <is>
          <t>값</t>
        </is>
      </c>
      <c r="G47" s="53" t="inlineStr">
        <is>
          <t>출처</t>
        </is>
      </c>
    </row>
    <row r="48">
      <c r="A48" s="54" t="inlineStr">
        <is>
          <t>FY2019</t>
        </is>
      </c>
      <c r="B48" s="57" t="n">
        <v>183.59</v>
      </c>
      <c r="G48" s="56" t="inlineStr">
        <is>
          <t>2단계 보고서 자료(회사 설명회 자료·공시)</t>
        </is>
      </c>
    </row>
    <row r="49">
      <c r="A49" s="54" t="inlineStr">
        <is>
          <t>FY2020</t>
        </is>
      </c>
      <c r="B49" s="57" t="n">
        <v>162.69</v>
      </c>
    </row>
    <row r="50">
      <c r="A50" s="54" t="inlineStr">
        <is>
          <t>FY2021</t>
        </is>
      </c>
      <c r="B50" s="57" t="n">
        <v>219.29</v>
      </c>
    </row>
    <row r="51">
      <c r="A51" s="54" t="inlineStr">
        <is>
          <t>FY2022</t>
        </is>
      </c>
      <c r="B51" s="57" t="n">
        <v>432.3</v>
      </c>
    </row>
    <row r="52">
      <c r="A52" s="54" t="inlineStr">
        <is>
          <t>FY2023</t>
        </is>
      </c>
      <c r="B52" s="57" t="n">
        <v>387.06</v>
      </c>
    </row>
    <row r="53">
      <c r="A53" s="54" t="inlineStr">
        <is>
          <t>FY2024</t>
        </is>
      </c>
      <c r="B53" s="57" t="n">
        <v>233.36</v>
      </c>
    </row>
    <row r="54">
      <c r="A54" s="54" t="inlineStr">
        <is>
          <t>FY2025</t>
        </is>
      </c>
      <c r="B54" s="57" t="n">
        <v>221.8</v>
      </c>
    </row>
    <row r="55">
      <c r="A55" s="54" t="inlineStr">
        <is>
          <t>FY2026</t>
        </is>
      </c>
      <c r="B55" s="57" t="n">
        <v>168.61</v>
      </c>
    </row>
    <row r="57">
      <c r="A57" s="52" t="inlineStr">
        <is>
          <t>sga 1q · 2026-Q1</t>
        </is>
      </c>
      <c r="B57" s="52" t="n"/>
      <c r="C57" s="52" t="n"/>
      <c r="D57" s="52" t="n"/>
      <c r="E57" s="52" t="n"/>
      <c r="F57" s="52" t="n"/>
      <c r="G57" s="52" t="n"/>
    </row>
    <row r="58">
      <c r="A58" s="53" t="inlineStr">
        <is>
          <t>항목</t>
        </is>
      </c>
      <c r="B58" s="53" t="inlineStr">
        <is>
          <t>값</t>
        </is>
      </c>
      <c r="G58" s="53" t="inlineStr">
        <is>
          <t>출처</t>
        </is>
      </c>
    </row>
    <row r="59">
      <c r="A59" s="54" t="inlineStr">
        <is>
          <t>운송·보관비</t>
        </is>
      </c>
      <c r="B59" s="57" t="n">
        <v>38.87</v>
      </c>
      <c r="G59" s="56" t="inlineStr">
        <is>
          <t>2단계 보고서 자료(회사 설명회 자료·공시)</t>
        </is>
      </c>
    </row>
    <row r="60">
      <c r="A60" s="54" t="inlineStr">
        <is>
          <t>광고선전비</t>
        </is>
      </c>
      <c r="B60" s="57" t="n">
        <v>13.37</v>
      </c>
    </row>
    <row r="61">
      <c r="A61" s="54" t="inlineStr">
        <is>
          <t>판매촉진비</t>
        </is>
      </c>
      <c r="B61" s="57" t="n">
        <v>9.58</v>
      </c>
    </row>
    <row r="62">
      <c r="A62" s="54" t="inlineStr">
        <is>
          <t>연구개발비</t>
        </is>
      </c>
      <c r="B62" s="57" t="n">
        <v>18.91</v>
      </c>
    </row>
    <row r="63">
      <c r="A63" s="54" t="inlineStr">
        <is>
          <t>관리비·기타</t>
        </is>
      </c>
      <c r="B63" s="57" t="n">
        <v>193.65</v>
      </c>
    </row>
    <row r="65">
      <c r="A65" s="52" t="inlineStr">
        <is>
          <t>sga 1q · 2027-Q1</t>
        </is>
      </c>
      <c r="B65" s="52" t="n"/>
      <c r="C65" s="52" t="n"/>
      <c r="D65" s="52" t="n"/>
      <c r="E65" s="52" t="n"/>
      <c r="F65" s="52" t="n"/>
      <c r="G65" s="52" t="n"/>
    </row>
    <row r="66">
      <c r="A66" s="53" t="inlineStr">
        <is>
          <t>항목</t>
        </is>
      </c>
      <c r="B66" s="53" t="inlineStr">
        <is>
          <t>값</t>
        </is>
      </c>
      <c r="G66" s="53" t="inlineStr">
        <is>
          <t>출처</t>
        </is>
      </c>
    </row>
    <row r="67">
      <c r="A67" s="54" t="inlineStr">
        <is>
          <t>운송·보관비</t>
        </is>
      </c>
      <c r="B67" s="57" t="n">
        <v>44.85</v>
      </c>
      <c r="G67" s="56" t="inlineStr">
        <is>
          <t>2단계 보고서 자료(회사 설명회 자료·공시)</t>
        </is>
      </c>
    </row>
    <row r="68">
      <c r="A68" s="54" t="inlineStr">
        <is>
          <t>광고선전비</t>
        </is>
      </c>
      <c r="B68" s="57" t="n">
        <v>7.33</v>
      </c>
    </row>
    <row r="69">
      <c r="A69" s="54" t="inlineStr">
        <is>
          <t>판매촉진비</t>
        </is>
      </c>
      <c r="B69" s="57" t="n">
        <v>9.91</v>
      </c>
    </row>
    <row r="70">
      <c r="A70" s="54" t="inlineStr">
        <is>
          <t>연구개발비</t>
        </is>
      </c>
      <c r="B70" s="57" t="n">
        <v>18.68</v>
      </c>
    </row>
    <row r="71">
      <c r="A71" s="54" t="inlineStr">
        <is>
          <t>관리비·기타</t>
        </is>
      </c>
      <c r="B71" s="57" t="n">
        <v>222.35</v>
      </c>
    </row>
    <row r="73">
      <c r="A73" s="52" t="inlineStr">
        <is>
          <t>수출 2103</t>
        </is>
      </c>
      <c r="B73" s="52" t="n"/>
      <c r="C73" s="52" t="n"/>
      <c r="D73" s="52" t="n"/>
      <c r="E73" s="52" t="n"/>
      <c r="F73" s="52" t="n"/>
      <c r="G73" s="52" t="n"/>
    </row>
    <row r="74">
      <c r="A74" s="53" t="inlineStr">
        <is>
          <t>항목</t>
        </is>
      </c>
      <c r="B74" s="53" t="inlineStr">
        <is>
          <t>값</t>
        </is>
      </c>
      <c r="G74" s="53" t="inlineStr">
        <is>
          <t>출처</t>
        </is>
      </c>
    </row>
    <row r="75">
      <c r="A75" s="54" t="inlineStr">
        <is>
          <t>2023-09</t>
        </is>
      </c>
      <c r="B75" s="55" t="n">
        <v>6141689</v>
      </c>
      <c r="G75" s="56" t="inlineStr">
        <is>
          <t>2단계 보고서 자료(회사 설명회 자료·공시)</t>
        </is>
      </c>
    </row>
    <row r="76">
      <c r="A76" s="54" t="inlineStr">
        <is>
          <t>2023-10</t>
        </is>
      </c>
      <c r="B76" s="55" t="n">
        <v>6950177</v>
      </c>
    </row>
    <row r="77">
      <c r="A77" s="54" t="inlineStr">
        <is>
          <t>2023-11</t>
        </is>
      </c>
      <c r="B77" s="55" t="n">
        <v>6031606</v>
      </c>
    </row>
    <row r="78">
      <c r="A78" s="54" t="inlineStr">
        <is>
          <t>2023-12</t>
        </is>
      </c>
      <c r="B78" s="55" t="n">
        <v>6645494</v>
      </c>
    </row>
    <row r="79">
      <c r="A79" s="54" t="inlineStr">
        <is>
          <t>2024-01</t>
        </is>
      </c>
      <c r="B79" s="55" t="n">
        <v>4667810</v>
      </c>
    </row>
    <row r="80">
      <c r="A80" s="54" t="inlineStr">
        <is>
          <t>2024-02</t>
        </is>
      </c>
      <c r="B80" s="55" t="n">
        <v>6211770</v>
      </c>
    </row>
    <row r="81">
      <c r="A81" s="54" t="inlineStr">
        <is>
          <t>2024-03</t>
        </is>
      </c>
      <c r="B81" s="55" t="n">
        <v>7013613</v>
      </c>
    </row>
    <row r="82">
      <c r="A82" s="54" t="inlineStr">
        <is>
          <t>2024-04</t>
        </is>
      </c>
      <c r="B82" s="55" t="n">
        <v>6861080</v>
      </c>
    </row>
    <row r="83">
      <c r="A83" s="54" t="inlineStr">
        <is>
          <t>2024-05</t>
        </is>
      </c>
      <c r="B83" s="55" t="n">
        <v>6553371</v>
      </c>
    </row>
    <row r="84">
      <c r="A84" s="54" t="inlineStr">
        <is>
          <t>2024-06</t>
        </is>
      </c>
      <c r="B84" s="55" t="n">
        <v>7431991</v>
      </c>
    </row>
    <row r="85">
      <c r="A85" s="54" t="inlineStr">
        <is>
          <t>2024-07</t>
        </is>
      </c>
      <c r="B85" s="55" t="n">
        <v>7211635</v>
      </c>
    </row>
    <row r="86">
      <c r="A86" s="54" t="inlineStr">
        <is>
          <t>2024-08</t>
        </is>
      </c>
      <c r="B86" s="55" t="n">
        <v>6094935</v>
      </c>
    </row>
    <row r="87">
      <c r="A87" s="54" t="inlineStr">
        <is>
          <t>2024-09</t>
        </is>
      </c>
      <c r="B87" s="55" t="n">
        <v>7246408</v>
      </c>
    </row>
    <row r="88">
      <c r="A88" s="54" t="inlineStr">
        <is>
          <t>2024-10</t>
        </is>
      </c>
      <c r="B88" s="55" t="n">
        <v>7325262</v>
      </c>
    </row>
    <row r="89">
      <c r="A89" s="54" t="inlineStr">
        <is>
          <t>2024-11</t>
        </is>
      </c>
      <c r="B89" s="55" t="n">
        <v>7160716</v>
      </c>
    </row>
    <row r="90">
      <c r="A90" s="54" t="inlineStr">
        <is>
          <t>2024-12</t>
        </is>
      </c>
      <c r="B90" s="55" t="n">
        <v>7965905</v>
      </c>
    </row>
    <row r="91">
      <c r="A91" s="54" t="inlineStr">
        <is>
          <t>2025-01</t>
        </is>
      </c>
      <c r="B91" s="55" t="n">
        <v>5365842</v>
      </c>
    </row>
    <row r="92">
      <c r="A92" s="54" t="inlineStr">
        <is>
          <t>2025-02</t>
        </is>
      </c>
      <c r="B92" s="55" t="n">
        <v>7261718</v>
      </c>
    </row>
    <row r="93">
      <c r="A93" s="54" t="inlineStr">
        <is>
          <t>2025-03</t>
        </is>
      </c>
      <c r="B93" s="55" t="n">
        <v>7413209</v>
      </c>
    </row>
    <row r="94">
      <c r="A94" s="54" t="inlineStr">
        <is>
          <t>2025-04</t>
        </is>
      </c>
      <c r="B94" s="55" t="n">
        <v>7384528</v>
      </c>
    </row>
    <row r="95">
      <c r="A95" s="54" t="inlineStr">
        <is>
          <t>2025-05</t>
        </is>
      </c>
      <c r="B95" s="55" t="n">
        <v>7142022</v>
      </c>
    </row>
    <row r="96">
      <c r="A96" s="54" t="inlineStr">
        <is>
          <t>2025-06</t>
        </is>
      </c>
      <c r="B96" s="55" t="n">
        <v>7769680</v>
      </c>
    </row>
    <row r="97">
      <c r="A97" s="54" t="inlineStr">
        <is>
          <t>2025-07</t>
        </is>
      </c>
      <c r="B97" s="55" t="n">
        <v>7628147</v>
      </c>
    </row>
    <row r="98">
      <c r="A98" s="54" t="inlineStr">
        <is>
          <t>2025-08</t>
        </is>
      </c>
      <c r="B98" s="55" t="n">
        <v>6840461</v>
      </c>
    </row>
    <row r="99">
      <c r="A99" s="54" t="inlineStr">
        <is>
          <t>2025-09</t>
        </is>
      </c>
      <c r="B99" s="55" t="n">
        <v>8091597</v>
      </c>
    </row>
    <row r="100">
      <c r="A100" s="54" t="inlineStr">
        <is>
          <t>2025-10</t>
        </is>
      </c>
      <c r="B100" s="55" t="n">
        <v>7794719</v>
      </c>
    </row>
    <row r="101">
      <c r="A101" s="54" t="inlineStr">
        <is>
          <t>2025-11</t>
        </is>
      </c>
      <c r="B101" s="55" t="n">
        <v>7822389</v>
      </c>
    </row>
    <row r="102">
      <c r="A102" s="54" t="inlineStr">
        <is>
          <t>2025-12</t>
        </is>
      </c>
      <c r="B102" s="55" t="n">
        <v>8260294</v>
      </c>
    </row>
    <row r="103">
      <c r="A103" s="54" t="inlineStr">
        <is>
          <t>2026-01</t>
        </is>
      </c>
      <c r="B103" s="55" t="n">
        <v>6245113</v>
      </c>
    </row>
    <row r="104">
      <c r="A104" s="54" t="inlineStr">
        <is>
          <t>2026-02</t>
        </is>
      </c>
      <c r="B104" s="55" t="n">
        <v>7011726</v>
      </c>
    </row>
    <row r="105">
      <c r="A105" s="54" t="inlineStr">
        <is>
          <t>2026-03</t>
        </is>
      </c>
      <c r="B105" s="55" t="n">
        <v>8474169</v>
      </c>
    </row>
    <row r="106">
      <c r="A106" s="54" t="inlineStr">
        <is>
          <t>2026-04</t>
        </is>
      </c>
      <c r="B106" s="55" t="n">
        <v>8964164</v>
      </c>
    </row>
    <row r="107">
      <c r="A107" s="54" t="inlineStr">
        <is>
          <t>2026-05</t>
        </is>
      </c>
      <c r="B107" s="55" t="n">
        <v>8305062</v>
      </c>
    </row>
    <row r="108">
      <c r="A108" s="54" t="inlineStr">
        <is>
          <t>2026-06</t>
        </is>
      </c>
      <c r="B108" s="55" t="n">
        <v>9068196</v>
      </c>
    </row>
    <row r="109">
      <c r="A109" s="54" t="inlineStr">
        <is>
          <t>2026-07</t>
        </is>
      </c>
      <c r="B109" s="55" t="n">
        <v>8552183</v>
      </c>
    </row>
    <row r="110">
      <c r="A110" s="54" t="inlineStr">
        <is>
          <t>2026-08</t>
        </is>
      </c>
      <c r="B110" s="55" t="n">
        <v>8381623</v>
      </c>
    </row>
    <row r="112">
      <c r="A112" s="52" t="inlineStr">
        <is>
          <t>수출 2206</t>
        </is>
      </c>
      <c r="B112" s="52" t="n"/>
      <c r="C112" s="52" t="n"/>
      <c r="D112" s="52" t="n"/>
      <c r="E112" s="52" t="n"/>
      <c r="F112" s="52" t="n"/>
      <c r="G112" s="52" t="n"/>
    </row>
    <row r="113">
      <c r="A113" s="53" t="inlineStr">
        <is>
          <t>항목</t>
        </is>
      </c>
      <c r="B113" s="53" t="inlineStr">
        <is>
          <t>값</t>
        </is>
      </c>
      <c r="G113" s="53" t="inlineStr">
        <is>
          <t>출처</t>
        </is>
      </c>
    </row>
    <row r="114">
      <c r="A114" s="54" t="inlineStr">
        <is>
          <t>2023-09</t>
        </is>
      </c>
      <c r="B114" s="55" t="n">
        <v>3627906</v>
      </c>
      <c r="G114" s="56" t="inlineStr">
        <is>
          <t>2단계 보고서 자료(회사 설명회 자료·공시)</t>
        </is>
      </c>
    </row>
    <row r="115">
      <c r="A115" s="54" t="inlineStr">
        <is>
          <t>2023-10</t>
        </is>
      </c>
      <c r="B115" s="55" t="n">
        <v>3977363</v>
      </c>
    </row>
    <row r="116">
      <c r="A116" s="54" t="inlineStr">
        <is>
          <t>2023-11</t>
        </is>
      </c>
      <c r="B116" s="55" t="n">
        <v>3339182</v>
      </c>
    </row>
    <row r="117">
      <c r="A117" s="54" t="inlineStr">
        <is>
          <t>2023-12</t>
        </is>
      </c>
      <c r="B117" s="55" t="n">
        <v>4014475</v>
      </c>
    </row>
    <row r="118">
      <c r="A118" s="54" t="inlineStr">
        <is>
          <t>2024-01</t>
        </is>
      </c>
      <c r="B118" s="55" t="n">
        <v>2478915</v>
      </c>
    </row>
    <row r="119">
      <c r="A119" s="54" t="inlineStr">
        <is>
          <t>2024-02</t>
        </is>
      </c>
      <c r="B119" s="55" t="n">
        <v>3389931</v>
      </c>
    </row>
    <row r="120">
      <c r="A120" s="54" t="inlineStr">
        <is>
          <t>2024-03</t>
        </is>
      </c>
      <c r="B120" s="55" t="n">
        <v>4258768</v>
      </c>
    </row>
    <row r="121">
      <c r="A121" s="54" t="inlineStr">
        <is>
          <t>2024-04</t>
        </is>
      </c>
      <c r="B121" s="55" t="n">
        <v>3928211</v>
      </c>
    </row>
    <row r="122">
      <c r="A122" s="54" t="inlineStr">
        <is>
          <t>2024-05</t>
        </is>
      </c>
      <c r="B122" s="55" t="n">
        <v>3788815</v>
      </c>
    </row>
    <row r="123">
      <c r="A123" s="54" t="inlineStr">
        <is>
          <t>2024-06</t>
        </is>
      </c>
      <c r="B123" s="55" t="n">
        <v>3758739</v>
      </c>
    </row>
    <row r="124">
      <c r="A124" s="54" t="inlineStr">
        <is>
          <t>2024-07</t>
        </is>
      </c>
      <c r="B124" s="55" t="n">
        <v>3563468</v>
      </c>
    </row>
    <row r="125">
      <c r="A125" s="54" t="inlineStr">
        <is>
          <t>2024-08</t>
        </is>
      </c>
      <c r="B125" s="55" t="n">
        <v>3273878</v>
      </c>
    </row>
    <row r="126">
      <c r="A126" s="54" t="inlineStr">
        <is>
          <t>2024-09</t>
        </is>
      </c>
      <c r="B126" s="55" t="n">
        <v>4089231</v>
      </c>
    </row>
    <row r="127">
      <c r="A127" s="54" t="inlineStr">
        <is>
          <t>2024-10</t>
        </is>
      </c>
      <c r="B127" s="55" t="n">
        <v>4038278</v>
      </c>
    </row>
    <row r="128">
      <c r="A128" s="54" t="inlineStr">
        <is>
          <t>2024-11</t>
        </is>
      </c>
      <c r="B128" s="55" t="n">
        <v>4115668</v>
      </c>
    </row>
    <row r="129">
      <c r="A129" s="54" t="inlineStr">
        <is>
          <t>2024-12</t>
        </is>
      </c>
      <c r="B129" s="55" t="n">
        <v>5312485</v>
      </c>
    </row>
    <row r="130">
      <c r="A130" s="54" t="inlineStr">
        <is>
          <t>2025-01</t>
        </is>
      </c>
      <c r="B130" s="55" t="n">
        <v>2691457</v>
      </c>
    </row>
    <row r="131">
      <c r="A131" s="54" t="inlineStr">
        <is>
          <t>2025-02</t>
        </is>
      </c>
      <c r="B131" s="55" t="n">
        <v>4380064</v>
      </c>
    </row>
    <row r="132">
      <c r="A132" s="54" t="inlineStr">
        <is>
          <t>2025-03</t>
        </is>
      </c>
      <c r="B132" s="55" t="n">
        <v>4538588</v>
      </c>
    </row>
    <row r="133">
      <c r="A133" s="54" t="inlineStr">
        <is>
          <t>2025-04</t>
        </is>
      </c>
      <c r="B133" s="55" t="n">
        <v>4709760</v>
      </c>
    </row>
    <row r="134">
      <c r="A134" s="54" t="inlineStr">
        <is>
          <t>2025-05</t>
        </is>
      </c>
      <c r="B134" s="55" t="n">
        <v>4160698</v>
      </c>
    </row>
    <row r="135">
      <c r="A135" s="54" t="inlineStr">
        <is>
          <t>2025-06</t>
        </is>
      </c>
      <c r="B135" s="55" t="n">
        <v>3934542</v>
      </c>
    </row>
    <row r="136">
      <c r="A136" s="54" t="inlineStr">
        <is>
          <t>2025-07</t>
        </is>
      </c>
      <c r="B136" s="55" t="n">
        <v>3816053</v>
      </c>
    </row>
    <row r="137">
      <c r="A137" s="54" t="inlineStr">
        <is>
          <t>2025-08</t>
        </is>
      </c>
      <c r="B137" s="55" t="n">
        <v>3819465</v>
      </c>
    </row>
    <row r="138">
      <c r="A138" s="54" t="inlineStr">
        <is>
          <t>2025-09</t>
        </is>
      </c>
      <c r="B138" s="55" t="n">
        <v>4096145</v>
      </c>
    </row>
    <row r="139">
      <c r="A139" s="54" t="inlineStr">
        <is>
          <t>2025-10</t>
        </is>
      </c>
      <c r="B139" s="55" t="n">
        <v>4096423</v>
      </c>
    </row>
    <row r="140">
      <c r="A140" s="54" t="inlineStr">
        <is>
          <t>2025-11</t>
        </is>
      </c>
      <c r="B140" s="55" t="n">
        <v>4164733</v>
      </c>
    </row>
    <row r="141">
      <c r="A141" s="54" t="inlineStr">
        <is>
          <t>2025-12</t>
        </is>
      </c>
      <c r="B141" s="55" t="n">
        <v>4922365</v>
      </c>
    </row>
    <row r="142">
      <c r="A142" s="54" t="inlineStr">
        <is>
          <t>2026-01</t>
        </is>
      </c>
      <c r="B142" s="55" t="n">
        <v>3868175</v>
      </c>
    </row>
    <row r="143">
      <c r="A143" s="54" t="inlineStr">
        <is>
          <t>2026-02</t>
        </is>
      </c>
      <c r="B143" s="55" t="n">
        <v>3857071</v>
      </c>
    </row>
    <row r="144">
      <c r="A144" s="54" t="inlineStr">
        <is>
          <t>2026-03</t>
        </is>
      </c>
      <c r="B144" s="55" t="n">
        <v>5050725</v>
      </c>
    </row>
    <row r="145">
      <c r="A145" s="54" t="inlineStr">
        <is>
          <t>2026-04</t>
        </is>
      </c>
      <c r="B145" s="55" t="n">
        <v>4853377</v>
      </c>
    </row>
    <row r="146">
      <c r="A146" s="54" t="inlineStr">
        <is>
          <t>2026-05</t>
        </is>
      </c>
      <c r="B146" s="55" t="n">
        <v>4415392</v>
      </c>
    </row>
    <row r="147">
      <c r="A147" s="54" t="inlineStr">
        <is>
          <t>2026-06</t>
        </is>
      </c>
      <c r="B147" s="55" t="n">
        <v>4480518</v>
      </c>
    </row>
    <row r="148">
      <c r="A148" s="54" t="inlineStr">
        <is>
          <t>2026-07</t>
        </is>
      </c>
      <c r="B148" s="55" t="n">
        <v>4153095</v>
      </c>
    </row>
    <row r="149">
      <c r="A149" s="54" t="inlineStr">
        <is>
          <t>2026-08</t>
        </is>
      </c>
      <c r="B149" s="55" t="n">
        <v>4086169</v>
      </c>
    </row>
    <row r="151">
      <c r="A151" s="52" t="inlineStr">
        <is>
          <t>가이던스 · FY2027 0513</t>
        </is>
      </c>
      <c r="B151" s="52" t="n"/>
      <c r="C151" s="52" t="n"/>
      <c r="D151" s="52" t="n"/>
      <c r="E151" s="52" t="n"/>
      <c r="F151" s="52" t="n"/>
      <c r="G151" s="52" t="n"/>
    </row>
    <row r="152">
      <c r="A152" s="53" t="inlineStr">
        <is>
          <t>항목</t>
        </is>
      </c>
      <c r="B152" s="53" t="inlineStr">
        <is>
          <t>값</t>
        </is>
      </c>
      <c r="G152" s="53" t="inlineStr">
        <is>
          <t>출처</t>
        </is>
      </c>
    </row>
    <row r="153">
      <c r="A153" s="54" t="inlineStr">
        <is>
          <t>매출</t>
        </is>
      </c>
      <c r="B153" s="55" t="n">
        <v>4200</v>
      </c>
      <c r="G153" s="56" t="inlineStr">
        <is>
          <t>2단계 보고서 자료(회사 설명회 자료·공시)</t>
        </is>
      </c>
    </row>
    <row r="154">
      <c r="A154" s="54" t="inlineStr">
        <is>
          <t>영업이익</t>
        </is>
      </c>
      <c r="B154" s="55" t="n">
        <v>188</v>
      </c>
    </row>
    <row r="155">
      <c r="A155" s="54" t="inlineStr">
        <is>
          <t>ord</t>
        </is>
      </c>
      <c r="B155" s="55" t="n">
        <v>170</v>
      </c>
    </row>
    <row r="156">
      <c r="A156" s="54" t="inlineStr">
        <is>
          <t>순이익</t>
        </is>
      </c>
      <c r="B156" s="55" t="n">
        <v>119</v>
      </c>
    </row>
    <row r="157">
      <c r="A157" s="54" t="inlineStr">
        <is>
          <t>EPS</t>
        </is>
      </c>
      <c r="B157" s="57" t="n">
        <v>61.7</v>
      </c>
    </row>
    <row r="158">
      <c r="A158" s="54" t="inlineStr">
        <is>
          <t>dps</t>
        </is>
      </c>
      <c r="B158" s="55" t="n">
        <v>31</v>
      </c>
    </row>
    <row r="160">
      <c r="A160" s="52" t="inlineStr">
        <is>
          <t>가이던스 · 상반기 0513</t>
        </is>
      </c>
      <c r="B160" s="52" t="n"/>
      <c r="C160" s="52" t="n"/>
      <c r="D160" s="52" t="n"/>
      <c r="E160" s="52" t="n"/>
      <c r="F160" s="52" t="n"/>
      <c r="G160" s="52" t="n"/>
    </row>
    <row r="161">
      <c r="A161" s="53" t="inlineStr">
        <is>
          <t>항목</t>
        </is>
      </c>
      <c r="B161" s="53" t="inlineStr">
        <is>
          <t>값</t>
        </is>
      </c>
      <c r="G161" s="53" t="inlineStr">
        <is>
          <t>출처</t>
        </is>
      </c>
    </row>
    <row r="162">
      <c r="A162" s="54" t="inlineStr">
        <is>
          <t>매출</t>
        </is>
      </c>
      <c r="B162" s="55" t="n">
        <v>2050</v>
      </c>
      <c r="G162" s="56" t="inlineStr">
        <is>
          <t>2단계 보고서 자료(회사 설명회 자료·공시)</t>
        </is>
      </c>
    </row>
    <row r="163">
      <c r="A163" s="54" t="inlineStr">
        <is>
          <t>영업이익</t>
        </is>
      </c>
      <c r="B163" s="55" t="n">
        <v>88</v>
      </c>
    </row>
    <row r="164">
      <c r="A164" s="54" t="inlineStr">
        <is>
          <t>ord</t>
        </is>
      </c>
      <c r="B164" s="55" t="n">
        <v>78</v>
      </c>
    </row>
    <row r="165">
      <c r="A165" s="54" t="inlineStr">
        <is>
          <t>순이익</t>
        </is>
      </c>
      <c r="B165" s="55" t="n">
        <v>59</v>
      </c>
    </row>
    <row r="166">
      <c r="A166" s="54" t="inlineStr">
        <is>
          <t>EPS</t>
        </is>
      </c>
      <c r="B166" s="57" t="n">
        <v>30.59</v>
      </c>
    </row>
    <row r="168">
      <c r="A168" s="52" t="inlineStr">
        <is>
          <t>가이던스 · 상반기 1023</t>
        </is>
      </c>
      <c r="B168" s="52" t="n"/>
      <c r="C168" s="52" t="n"/>
      <c r="D168" s="52" t="n"/>
      <c r="E168" s="52" t="n"/>
      <c r="F168" s="52" t="n"/>
      <c r="G168" s="52" t="n"/>
    </row>
    <row r="169">
      <c r="A169" s="53" t="inlineStr">
        <is>
          <t>항목</t>
        </is>
      </c>
      <c r="B169" s="53" t="inlineStr">
        <is>
          <t>값</t>
        </is>
      </c>
      <c r="G169" s="53" t="inlineStr">
        <is>
          <t>출처</t>
        </is>
      </c>
    </row>
    <row r="170">
      <c r="A170" s="54" t="inlineStr">
        <is>
          <t>매출</t>
        </is>
      </c>
      <c r="B170" s="57" t="n">
        <v>2108.7</v>
      </c>
      <c r="G170" s="56" t="inlineStr">
        <is>
          <t>2단계 보고서 자료(회사 설명회 자료·공시)</t>
        </is>
      </c>
    </row>
    <row r="171">
      <c r="A171" s="54" t="inlineStr">
        <is>
          <t>영업이익</t>
        </is>
      </c>
      <c r="B171" s="57" t="n">
        <v>131.12</v>
      </c>
    </row>
    <row r="172">
      <c r="A172" s="54" t="inlineStr">
        <is>
          <t>ord</t>
        </is>
      </c>
      <c r="B172" s="57" t="n">
        <v>127.64</v>
      </c>
    </row>
    <row r="173">
      <c r="A173" s="54" t="inlineStr">
        <is>
          <t>순이익</t>
        </is>
      </c>
      <c r="B173" s="57" t="n">
        <v>116.82</v>
      </c>
    </row>
    <row r="174">
      <c r="A174" s="54" t="inlineStr">
        <is>
          <t>EPS</t>
        </is>
      </c>
      <c r="B174" s="57" t="n">
        <v>60.87</v>
      </c>
    </row>
    <row r="176">
      <c r="A176" s="52" t="inlineStr">
        <is>
          <t>가이던스 · 상반기 FY26 실적</t>
        </is>
      </c>
      <c r="B176" s="52" t="n"/>
      <c r="C176" s="52" t="n"/>
      <c r="D176" s="52" t="n"/>
      <c r="E176" s="52" t="n"/>
      <c r="F176" s="52" t="n"/>
      <c r="G176" s="52" t="n"/>
    </row>
    <row r="177">
      <c r="A177" s="53" t="inlineStr">
        <is>
          <t>항목</t>
        </is>
      </c>
      <c r="B177" s="53" t="inlineStr">
        <is>
          <t>값</t>
        </is>
      </c>
      <c r="G177" s="53" t="inlineStr">
        <is>
          <t>출처</t>
        </is>
      </c>
    </row>
    <row r="178">
      <c r="A178" s="54" t="inlineStr">
        <is>
          <t>매출</t>
        </is>
      </c>
      <c r="B178" s="57" t="n">
        <v>1865.56</v>
      </c>
      <c r="G178" s="56" t="inlineStr">
        <is>
          <t>2단계 보고서 자료(회사 설명회 자료·공시)</t>
        </is>
      </c>
    </row>
    <row r="179">
      <c r="A179" s="54" t="inlineStr">
        <is>
          <t>영업이익</t>
        </is>
      </c>
      <c r="B179" s="57" t="n">
        <v>77.86</v>
      </c>
    </row>
    <row r="180">
      <c r="A180" s="54" t="inlineStr">
        <is>
          <t>ord</t>
        </is>
      </c>
      <c r="B180" s="57" t="n">
        <v>73.86</v>
      </c>
    </row>
    <row r="181">
      <c r="A181" s="54" t="inlineStr">
        <is>
          <t>순이익</t>
        </is>
      </c>
      <c r="B181" s="57" t="n">
        <v>56.95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１분기 결산단신</t>
        </is>
      </c>
      <c r="C4" t="inlineStr">
        <is>
          <t>https://www2.jpx.co.jp/disc/25310/140120261023554949.pdf</t>
        </is>
      </c>
    </row>
    <row r="5">
      <c r="A5" t="inlineStr">
        <is>
          <t>2026-05-13</t>
        </is>
      </c>
      <c r="B5" t="inlineStr">
        <is>
          <t>2026년 3월 결산기 연간 결산단신</t>
        </is>
      </c>
      <c r="C5" t="inlineStr">
        <is>
          <t>https://www2.jpx.co.jp/disc/25310/140120260513527782.pdf</t>
        </is>
      </c>
    </row>
    <row r="6">
      <c r="A6" t="inlineStr">
        <is>
          <t>2026-02-13</t>
        </is>
      </c>
      <c r="B6" t="inlineStr">
        <is>
          <t>2026년 3월 결산기 ３분기 결산단신</t>
        </is>
      </c>
      <c r="C6" t="inlineStr">
        <is>
          <t>https://www2.jpx.co.jp/disc/25310/140120260213559674.pdf</t>
        </is>
      </c>
    </row>
    <row r="7">
      <c r="A7" t="inlineStr">
        <is>
          <t>2025-11-11</t>
        </is>
      </c>
      <c r="B7" t="inlineStr">
        <is>
          <t>2026년 3월 결산기 ２분기 결산단신</t>
        </is>
      </c>
      <c r="C7" t="inlineStr">
        <is>
          <t>https://www2.jpx.co.jp/disc/25310/140120251110594911.pdf</t>
        </is>
      </c>
    </row>
    <row r="8">
      <c r="A8" t="inlineStr">
        <is>
          <t>2025-08-08</t>
        </is>
      </c>
      <c r="B8" t="inlineStr">
        <is>
          <t>2026년 3월 결산기 １분기 결산단신</t>
        </is>
      </c>
      <c r="C8" t="inlineStr">
        <is>
          <t>https://www2.jpx.co.jp/disc/25310/140120250808536774.pdf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https://www2.jpx.co.jp/disc/25310/140120250512543277.pdf</t>
        </is>
      </c>
    </row>
    <row r="10">
      <c r="A10" t="inlineStr">
        <is>
          <t>2025-02-13</t>
        </is>
      </c>
      <c r="B10" t="inlineStr">
        <is>
          <t>2025년 3월 결산기 3분기 결산단신</t>
        </is>
      </c>
      <c r="C10" t="inlineStr">
        <is>
          <t>https://www2.jpx.co.jp/disc/25310/140120241217539873.pdf</t>
        </is>
      </c>
    </row>
    <row r="11">
      <c r="A11" t="inlineStr">
        <is>
          <t>2024-11-08</t>
        </is>
      </c>
      <c r="B11" t="inlineStr">
        <is>
          <t>2025년 3월 결산기 2분기 결산단신</t>
        </is>
      </c>
      <c r="C11" t="inlineStr">
        <is>
          <t>https://www2.jpx.co.jp/disc/25310/140120241024502010.pdf</t>
        </is>
      </c>
    </row>
    <row r="12">
      <c r="A12" t="inlineStr">
        <is>
          <t>2024-08-08</t>
        </is>
      </c>
      <c r="B12" t="inlineStr">
        <is>
          <t>2025년 3월 결산기 1분기 결산단신</t>
        </is>
      </c>
      <c r="C12" t="inlineStr">
        <is>
          <t>https://www2.jpx.co.jp/disc/25310/140120240722552229.pdf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https://www2.jpx.co.jp/disc/25310/140120240425577322.pdf</t>
        </is>
      </c>
    </row>
    <row r="14">
      <c r="A14" t="inlineStr">
        <is>
          <t>2024-02-14</t>
        </is>
      </c>
      <c r="B14" t="inlineStr">
        <is>
          <t>2024년 3월 결산기 3분기 결산단신</t>
        </is>
      </c>
      <c r="C14" t="inlineStr">
        <is>
          <t>https://www2.jpx.co.jp/disc/25310/140120240111513272.pdf</t>
        </is>
      </c>
    </row>
    <row r="15">
      <c r="A15" t="inlineStr">
        <is>
          <t>2023-11-09</t>
        </is>
      </c>
      <c r="B15" t="inlineStr">
        <is>
          <t>2024년 3월 결산기 2분기 결산단신</t>
        </is>
      </c>
      <c r="C15" t="inlineStr">
        <is>
          <t>https://www2.jpx.co.jp/disc/25310/140120231004562750.pdf</t>
        </is>
      </c>
    </row>
    <row r="16">
      <c r="A16" t="inlineStr">
        <is>
          <t>2023-08-08</t>
        </is>
      </c>
      <c r="B16" t="inlineStr">
        <is>
          <t>2024년 3월 결산기 1분기 결산단신</t>
        </is>
      </c>
      <c r="C16" t="inlineStr">
        <is>
          <t>https://www2.jpx.co.jp/disc/25310/140120230726527106.pdf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https://www2.jpx.co.jp/disc/25310/140120230427554317.pdf</t>
        </is>
      </c>
    </row>
    <row r="18">
      <c r="A18" t="inlineStr">
        <is>
          <t>2023-02-09</t>
        </is>
      </c>
      <c r="B18" t="inlineStr">
        <is>
          <t>2023년 3월 결산기 3분기 결산단신</t>
        </is>
      </c>
      <c r="C18" t="inlineStr">
        <is>
          <t>https://www2.jpx.co.jp/disc/25310/140120230126594012.pdf</t>
        </is>
      </c>
    </row>
    <row r="19">
      <c r="A19" t="inlineStr">
        <is>
          <t>2022-11-10</t>
        </is>
      </c>
      <c r="B19" t="inlineStr">
        <is>
          <t>2023년 3월 결산기 2분기 결산단신</t>
        </is>
      </c>
      <c r="C19" t="inlineStr">
        <is>
          <t>https://www2.jpx.co.jp/disc/25310/140120220929538053.pdf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https://www2.jpx.co.jp/disc/25310/140120220503533173.pdf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https://www2.jpx.co.jp/disc/25310/140120210426400643.pdf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https://www2.jpx.co.jp/disc/25310/140120200325484340.pdf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https://www2.jpx.co.jp/disc/25310/140120190506414570.pdf</t>
        </is>
      </c>
    </row>
    <row r="24">
      <c r="A24" t="inlineStr">
        <is>
          <t>2018-05-11</t>
        </is>
      </c>
      <c r="B24" t="inlineStr">
        <is>
          <t>연간 결산단신</t>
        </is>
      </c>
      <c r="C24" t="inlineStr">
        <is>
          <t>https://www2.jpx.co.jp/disc/25310/140120180503427373.pdf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2026-10-28T07:43:20Z</dcterms:created>
  <dcterms:modified xmlns:dcterms="http://purl.org/dc/terms/" xmlns:xsi="http://www.w3.org/2001/XMLSchema-instance" xsi:type="dcterms:W3CDTF">2026-10-28T07:43:20Z</dcterms:modified>
</cp:coreProperties>
</file>