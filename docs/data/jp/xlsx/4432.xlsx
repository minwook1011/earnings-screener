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5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윙아크1st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IFRS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6186.219</v>
      </c>
      <c r="D4" s="12" t="n">
        <v>6067.977</v>
      </c>
      <c r="E4" s="12" t="n">
        <v>7120.388</v>
      </c>
      <c r="F4" s="12" t="n">
        <v>7754.951</v>
      </c>
      <c r="G4" s="12" t="n">
        <v>6735.561</v>
      </c>
      <c r="H4" s="12" t="n">
        <v>7097.171</v>
      </c>
      <c r="I4" s="12" t="n">
        <v>7314.189</v>
      </c>
      <c r="J4" s="12" t="n">
        <v>7398.096</v>
      </c>
      <c r="K4" s="12" t="n">
        <v>7790.352</v>
      </c>
      <c r="L4" s="12" t="n">
        <v>8442.937</v>
      </c>
      <c r="M4" s="12" t="n">
        <v>7806.371</v>
      </c>
      <c r="N4" s="12" t="n">
        <v>8691.994000000001</v>
      </c>
      <c r="O4" s="11" t="n"/>
      <c r="P4" s="12" t="n"/>
      <c r="Q4" s="12" t="n"/>
      <c r="R4" s="12" t="n">
        <v>18677.08</v>
      </c>
      <c r="S4" s="12" t="n">
        <v>18285.444</v>
      </c>
      <c r="T4" s="12" t="n">
        <v>19833.201</v>
      </c>
      <c r="U4" s="12" t="n">
        <v>22349.081</v>
      </c>
      <c r="V4" s="12" t="n">
        <v>25752.957</v>
      </c>
      <c r="W4" s="12" t="n">
        <v>28708.071</v>
      </c>
      <c r="X4" s="12" t="n">
        <v>30945.574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1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1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1534.526</v>
      </c>
      <c r="D16" s="12" t="n">
        <v>1054.115</v>
      </c>
      <c r="E16" s="12" t="n">
        <v>2413.704</v>
      </c>
      <c r="F16" s="12" t="n">
        <v>2550.377</v>
      </c>
      <c r="G16" s="12" t="n">
        <v>1572.369</v>
      </c>
      <c r="H16" s="12" t="n">
        <v>1680.366</v>
      </c>
      <c r="I16" s="12" t="n">
        <v>2097.162</v>
      </c>
      <c r="J16" s="12" t="n">
        <v>2011.697</v>
      </c>
      <c r="K16" s="12" t="n">
        <v>2102.452</v>
      </c>
      <c r="L16" s="12" t="n">
        <v>2778.635</v>
      </c>
      <c r="M16" s="12" t="n">
        <v>2167.136</v>
      </c>
      <c r="N16" s="12" t="n">
        <v>3001.604</v>
      </c>
      <c r="O16" s="11" t="n"/>
      <c r="P16" s="12" t="n"/>
      <c r="Q16" s="12" t="n"/>
      <c r="R16" s="12" t="n">
        <v>5684.781</v>
      </c>
      <c r="S16" s="12" t="n">
        <v>3207.018</v>
      </c>
      <c r="T16" s="12" t="n">
        <v>5986.058</v>
      </c>
      <c r="U16" s="12" t="n">
        <v>5945.803</v>
      </c>
      <c r="V16" s="12" t="n">
        <v>7309.182</v>
      </c>
      <c r="W16" s="12" t="n">
        <v>8216.816000000001</v>
      </c>
      <c r="X16" s="12" t="n">
        <v>8989.946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기타이익</t>
        </is>
      </c>
      <c r="B32" s="10" t="n"/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기타손실</t>
        </is>
      </c>
      <c r="B34" s="10" t="n"/>
      <c r="C34" s="21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1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금융수익</t>
        </is>
      </c>
      <c r="B36" s="10" t="n"/>
      <c r="C36" s="21" t="n">
        <v>23.137</v>
      </c>
      <c r="D36" s="22" t="n">
        <v>42.407</v>
      </c>
      <c r="E36" s="22" t="n">
        <v>12.186</v>
      </c>
      <c r="F36" s="22" t="n">
        <v>56.966</v>
      </c>
      <c r="G36" s="22" t="n">
        <v>10.641</v>
      </c>
      <c r="H36" s="22" t="n">
        <v>55.648</v>
      </c>
      <c r="I36" s="22" t="n">
        <v>5.199</v>
      </c>
      <c r="J36" s="22" t="n">
        <v>77.354</v>
      </c>
      <c r="K36" s="22" t="n">
        <v>11.367</v>
      </c>
      <c r="L36" s="22" t="n">
        <v>98.877</v>
      </c>
      <c r="M36" s="22" t="n">
        <v>6.088</v>
      </c>
      <c r="N36" s="22" t="n">
        <v>168.529</v>
      </c>
      <c r="O36" s="21" t="n"/>
      <c r="P36" s="22" t="n"/>
      <c r="Q36" s="22" t="n"/>
      <c r="R36" s="22" t="n">
        <v>25.909</v>
      </c>
      <c r="S36" s="22" t="n">
        <v>96.572</v>
      </c>
      <c r="T36" s="22" t="n">
        <v>53.511</v>
      </c>
      <c r="U36" s="22" t="n">
        <v>72.782</v>
      </c>
      <c r="V36" s="22" t="n">
        <v>123.892</v>
      </c>
      <c r="W36" s="22" t="n">
        <v>135.441</v>
      </c>
      <c r="X36" s="22" t="n">
        <v>192.797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금융원가</t>
        </is>
      </c>
      <c r="B38" s="10" t="n"/>
      <c r="C38" s="21" t="n">
        <v>20.717</v>
      </c>
      <c r="D38" s="22" t="n">
        <v>41.707</v>
      </c>
      <c r="E38" s="22" t="n">
        <v>20</v>
      </c>
      <c r="F38" s="22" t="n">
        <v>19.144</v>
      </c>
      <c r="G38" s="22" t="n">
        <v>25.29</v>
      </c>
      <c r="H38" s="22" t="n">
        <v>38.345</v>
      </c>
      <c r="I38" s="22" t="n">
        <v>39.749</v>
      </c>
      <c r="J38" s="22" t="n">
        <v>37.976</v>
      </c>
      <c r="K38" s="22" t="n">
        <v>28.168</v>
      </c>
      <c r="L38" s="22" t="n">
        <v>36.616</v>
      </c>
      <c r="M38" s="22" t="n">
        <v>32.296</v>
      </c>
      <c r="N38" s="22" t="n">
        <v>40.915</v>
      </c>
      <c r="O38" s="21" t="n"/>
      <c r="P38" s="22" t="n"/>
      <c r="Q38" s="22" t="n"/>
      <c r="R38" s="22" t="n">
        <v>186.924</v>
      </c>
      <c r="S38" s="22" t="n">
        <v>150.019</v>
      </c>
      <c r="T38" s="22" t="n">
        <v>129.533</v>
      </c>
      <c r="U38" s="22" t="n">
        <v>158.091</v>
      </c>
      <c r="V38" s="22" t="n">
        <v>128.238</v>
      </c>
      <c r="W38" s="22" t="n">
        <v>102.779</v>
      </c>
      <c r="X38" s="22" t="n">
        <v>142.509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1536.946</v>
      </c>
      <c r="D40" s="12" t="n">
        <v>1054.816</v>
      </c>
      <c r="E40" s="12" t="n">
        <v>2405.89</v>
      </c>
      <c r="F40" s="12" t="n">
        <v>2588.199</v>
      </c>
      <c r="G40" s="12" t="n">
        <v>1557.72</v>
      </c>
      <c r="H40" s="12" t="n">
        <v>1702.186</v>
      </c>
      <c r="I40" s="12" t="n">
        <v>2088.89</v>
      </c>
      <c r="J40" s="12" t="n">
        <v>2055.92</v>
      </c>
      <c r="K40" s="12" t="n">
        <v>2072.982</v>
      </c>
      <c r="L40" s="12" t="n">
        <v>2869.765</v>
      </c>
      <c r="M40" s="12" t="n">
        <v>2178.265</v>
      </c>
      <c r="N40" s="12" t="n">
        <v>3128.531</v>
      </c>
      <c r="O40" s="11" t="n"/>
      <c r="P40" s="12" t="n"/>
      <c r="Q40" s="12" t="n"/>
      <c r="R40" s="12" t="n">
        <v>5523.767</v>
      </c>
      <c r="S40" s="12" t="n">
        <v>3153.57</v>
      </c>
      <c r="T40" s="12" t="n">
        <v>5910.036</v>
      </c>
      <c r="U40" s="12" t="n">
        <v>5860.494</v>
      </c>
      <c r="V40" s="12" t="n">
        <v>7304.837</v>
      </c>
      <c r="W40" s="12" t="n">
        <v>8253.995000000001</v>
      </c>
      <c r="X40" s="12" t="n">
        <v>9087.557000000001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440.659</v>
      </c>
      <c r="D41" s="22" t="n">
        <v>150.696</v>
      </c>
      <c r="E41" s="22" t="n">
        <v>663.652</v>
      </c>
      <c r="F41" s="22" t="n">
        <v>745.1799999999999</v>
      </c>
      <c r="G41" s="22" t="n">
        <v>457.778</v>
      </c>
      <c r="H41" s="22" t="n">
        <v>480.941</v>
      </c>
      <c r="I41" s="22" t="n">
        <v>624.995</v>
      </c>
      <c r="J41" s="22" t="n">
        <v>590.427</v>
      </c>
      <c r="K41" s="22" t="n">
        <v>595.8200000000001</v>
      </c>
      <c r="L41" s="22" t="n">
        <v>797.501</v>
      </c>
      <c r="M41" s="22" t="n">
        <v>627.34</v>
      </c>
      <c r="N41" s="22" t="n">
        <v>897.302</v>
      </c>
      <c r="O41" s="21" t="n"/>
      <c r="P41" s="22" t="n"/>
      <c r="Q41" s="22" t="n"/>
      <c r="R41" s="22" t="n">
        <v>1447.256</v>
      </c>
      <c r="S41" s="22" t="n">
        <v>700.827</v>
      </c>
      <c r="T41" s="22" t="n">
        <v>1556.524</v>
      </c>
      <c r="U41" s="22" t="n">
        <v>1496.258</v>
      </c>
      <c r="V41" s="22" t="n">
        <v>1926.151</v>
      </c>
      <c r="W41" s="22" t="n">
        <v>2347.551</v>
      </c>
      <c r="X41" s="22" t="n">
        <v>2608.743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1096.287</v>
      </c>
      <c r="D43" s="12" t="n">
        <v>904.121</v>
      </c>
      <c r="E43" s="12" t="n">
        <v>1742.237</v>
      </c>
      <c r="F43" s="12" t="n">
        <v>1843.02</v>
      </c>
      <c r="G43" s="12" t="n">
        <v>1099.941</v>
      </c>
      <c r="H43" s="12" t="n">
        <v>1221.245</v>
      </c>
      <c r="I43" s="12" t="n">
        <v>1463.894</v>
      </c>
      <c r="J43" s="12" t="n">
        <v>1465.493</v>
      </c>
      <c r="K43" s="12" t="n">
        <v>1477.162</v>
      </c>
      <c r="L43" s="12" t="n">
        <v>2072.264</v>
      </c>
      <c r="M43" s="12" t="n">
        <v>1550.924</v>
      </c>
      <c r="N43" s="12" t="n">
        <v>2231.229</v>
      </c>
      <c r="O43" s="11" t="n"/>
      <c r="P43" s="12" t="n"/>
      <c r="Q43" s="12" t="n"/>
      <c r="R43" s="12" t="n">
        <v>4076.51</v>
      </c>
      <c r="S43" s="12" t="n">
        <v>2452.743</v>
      </c>
      <c r="T43" s="12" t="n">
        <v>4353.512</v>
      </c>
      <c r="U43" s="12" t="n">
        <v>4364.236</v>
      </c>
      <c r="V43" s="12" t="n">
        <v>5378.686</v>
      </c>
      <c r="W43" s="12" t="n">
        <v>5906.443</v>
      </c>
      <c r="X43" s="12" t="n">
        <v>6478.813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1104.344</v>
      </c>
      <c r="D44" s="12" t="n">
        <v>911.874</v>
      </c>
      <c r="E44" s="12" t="n">
        <v>1748.56</v>
      </c>
      <c r="F44" s="12" t="n">
        <v>1848.851</v>
      </c>
      <c r="G44" s="12" t="n">
        <v>1105.147</v>
      </c>
      <c r="H44" s="12" t="n">
        <v>1226.989</v>
      </c>
      <c r="I44" s="12" t="n">
        <v>1466.75</v>
      </c>
      <c r="J44" s="12" t="n">
        <v>1471.785</v>
      </c>
      <c r="K44" s="12" t="n">
        <v>1484.068</v>
      </c>
      <c r="L44" s="12" t="n">
        <v>2077.555</v>
      </c>
      <c r="M44" s="12" t="n">
        <v>1559.205</v>
      </c>
      <c r="N44" s="12" t="n">
        <v>2236.928</v>
      </c>
      <c r="O44" s="11" t="n"/>
      <c r="P44" s="12" t="n"/>
      <c r="Q44" s="12" t="n"/>
      <c r="R44" s="12" t="n">
        <v>4076.092</v>
      </c>
      <c r="S44" s="12" t="n">
        <v>2452.118</v>
      </c>
      <c r="T44" s="12" t="n">
        <v>4352.816</v>
      </c>
      <c r="U44" s="12" t="n">
        <v>4401.036</v>
      </c>
      <c r="V44" s="12" t="n">
        <v>5411.419</v>
      </c>
      <c r="W44" s="12" t="n">
        <v>5929.547</v>
      </c>
      <c r="X44" s="12" t="n">
        <v>6500.158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(2026.10.27)</t>
        </is>
      </c>
      <c r="B47" s="29" t="n">
        <v>3815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35056670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2026.10.27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2024.3Q</t>
        </is>
      </c>
      <c r="D77" s="5" t="inlineStr">
        <is>
          <t>2024.4Q</t>
        </is>
      </c>
      <c r="E77" s="5" t="inlineStr">
        <is>
          <t>2025.1Q</t>
        </is>
      </c>
      <c r="F77" s="5" t="inlineStr">
        <is>
          <t>2025.2Q</t>
        </is>
      </c>
      <c r="G77" s="5" t="inlineStr">
        <is>
          <t>2025.3Q</t>
        </is>
      </c>
      <c r="H77" s="5" t="inlineStr">
        <is>
          <t>2025.4Q</t>
        </is>
      </c>
      <c r="I77" s="5" t="inlineStr">
        <is>
          <t>2026.1Q</t>
        </is>
      </c>
      <c r="J77" s="5" t="inlineStr">
        <is>
          <t>2026.2Q</t>
        </is>
      </c>
      <c r="K77" s="5" t="inlineStr">
        <is>
          <t>2026.3Q</t>
        </is>
      </c>
      <c r="L77" s="5" t="inlineStr">
        <is>
          <t>2026.4Q</t>
        </is>
      </c>
      <c r="M77" s="5" t="inlineStr">
        <is>
          <t>2027.1Q</t>
        </is>
      </c>
      <c r="N77" s="5" t="inlineStr">
        <is>
          <t>2027.2Q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매출수익</t>
        </is>
      </c>
      <c r="C78" s="12" t="n">
        <v>6186.219</v>
      </c>
      <c r="D78" s="12" t="n">
        <v>6067.977</v>
      </c>
      <c r="E78" s="12" t="n">
        <v>7120.388</v>
      </c>
      <c r="F78" s="12" t="n">
        <v>7754.951</v>
      </c>
      <c r="G78" s="12" t="n">
        <v>6735.561</v>
      </c>
      <c r="H78" s="12" t="n">
        <v>7097.171</v>
      </c>
      <c r="I78" s="12" t="n">
        <v>7314.189</v>
      </c>
      <c r="J78" s="12" t="n">
        <v>7398.096</v>
      </c>
      <c r="K78" s="12" t="n">
        <v>7790.352</v>
      </c>
      <c r="L78" s="12" t="n">
        <v>8442.937</v>
      </c>
      <c r="M78" s="12" t="n">
        <v>7806.371</v>
      </c>
      <c r="N78" s="12" t="n">
        <v>8691.994000000001</v>
      </c>
      <c r="T78" s="12" t="n">
        <v>4997.08</v>
      </c>
      <c r="U78" s="12" t="n">
        <v>5329.166</v>
      </c>
      <c r="V78" s="12" t="n">
        <v>6067.977</v>
      </c>
      <c r="W78" s="12" t="n">
        <v>7097.171</v>
      </c>
      <c r="X78" s="12" t="n">
        <v>8442.937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인건비</t>
        </is>
      </c>
      <c r="C80" s="22" t="n">
        <v>1566.907</v>
      </c>
      <c r="D80" s="22" t="n">
        <v>1836.002</v>
      </c>
      <c r="E80" s="22" t="n">
        <v>1646.416</v>
      </c>
      <c r="F80" s="22" t="n">
        <v>1788.634</v>
      </c>
      <c r="G80" s="22" t="n">
        <v>1815.72</v>
      </c>
      <c r="H80" s="22" t="n">
        <v>2101.841</v>
      </c>
      <c r="I80" s="22" t="n">
        <v>1918.338</v>
      </c>
      <c r="J80" s="22" t="n">
        <v>1973.192</v>
      </c>
      <c r="K80" s="22" t="n">
        <v>2058.035</v>
      </c>
      <c r="L80" s="22" t="n">
        <v>2153.867</v>
      </c>
      <c r="M80" s="22" t="n">
        <v>2177.194</v>
      </c>
      <c r="N80" s="22" t="n">
        <v>2128.194</v>
      </c>
      <c r="T80" s="22" t="n">
        <v>1384.725</v>
      </c>
      <c r="U80" s="22" t="n">
        <v>1734.692</v>
      </c>
      <c r="V80" s="22" t="n">
        <v>1836.002</v>
      </c>
      <c r="W80" s="22" t="n">
        <v>2101.841</v>
      </c>
      <c r="X80" s="22" t="n">
        <v>2153.867</v>
      </c>
    </row>
    <row r="81">
      <c r="A81" s="20" t="inlineStr">
        <is>
          <t>연구개발비</t>
        </is>
      </c>
      <c r="C81" s="22" t="n">
        <v>795.567</v>
      </c>
      <c r="D81" s="22" t="n">
        <v>801.603</v>
      </c>
      <c r="E81" s="22" t="n">
        <v>823.25</v>
      </c>
      <c r="F81" s="22" t="n">
        <v>822.288</v>
      </c>
      <c r="G81" s="22" t="n">
        <v>811.013</v>
      </c>
      <c r="H81" s="22" t="n">
        <v>844.093</v>
      </c>
      <c r="I81" s="22" t="n">
        <v>897.297</v>
      </c>
      <c r="J81" s="22" t="n">
        <v>916.83</v>
      </c>
      <c r="K81" s="22" t="n">
        <v>896.5650000000001</v>
      </c>
      <c r="L81" s="22" t="n">
        <v>909.192</v>
      </c>
      <c r="M81" s="22" t="n">
        <v>904.671</v>
      </c>
      <c r="N81" s="22" t="n">
        <v>912.114</v>
      </c>
      <c r="T81" s="22" t="n">
        <v>619.698</v>
      </c>
      <c r="U81" s="22" t="n">
        <v>686.202</v>
      </c>
      <c r="V81" s="22" t="n">
        <v>801.603</v>
      </c>
      <c r="W81" s="22" t="n">
        <v>844.093</v>
      </c>
      <c r="X81" s="22" t="n">
        <v>909.192</v>
      </c>
    </row>
    <row r="82">
      <c r="A82" s="20" t="inlineStr">
        <is>
          <t>외주·업무위탁비</t>
        </is>
      </c>
      <c r="C82" s="22" t="n">
        <v>608.755</v>
      </c>
      <c r="D82" s="22" t="n">
        <v>689.0599999999999</v>
      </c>
      <c r="E82" s="22" t="n">
        <v>616.914</v>
      </c>
      <c r="F82" s="22" t="n">
        <v>744.96</v>
      </c>
      <c r="G82" s="22" t="n">
        <v>761.073</v>
      </c>
      <c r="H82" s="22" t="n">
        <v>788.664</v>
      </c>
      <c r="I82" s="22" t="n">
        <v>746.313</v>
      </c>
      <c r="J82" s="22" t="n">
        <v>812.9930000000001</v>
      </c>
      <c r="K82" s="22" t="n">
        <v>852.364</v>
      </c>
      <c r="L82" s="22" t="n">
        <v>1002.518</v>
      </c>
      <c r="M82" s="22" t="n">
        <v>850.583</v>
      </c>
      <c r="N82" s="22" t="n">
        <v>893.558</v>
      </c>
      <c r="T82" s="22" t="n">
        <v>556.0700000000001</v>
      </c>
      <c r="U82" s="22" t="n">
        <v>715.449</v>
      </c>
      <c r="V82" s="22" t="n">
        <v>689.0599999999999</v>
      </c>
      <c r="W82" s="22" t="n">
        <v>788.664</v>
      </c>
      <c r="X82" s="22" t="n">
        <v>1002.518</v>
      </c>
    </row>
    <row r="83">
      <c r="A83" s="20" t="inlineStr">
        <is>
          <t>지급수수료</t>
        </is>
      </c>
      <c r="C83" s="22" t="n">
        <v>292.777</v>
      </c>
      <c r="D83" s="22" t="n">
        <v>323.217</v>
      </c>
      <c r="E83" s="22" t="n">
        <v>336.497</v>
      </c>
      <c r="F83" s="22" t="n">
        <v>342.859</v>
      </c>
      <c r="G83" s="22" t="n">
        <v>307.849</v>
      </c>
      <c r="H83" s="22" t="n">
        <v>359.838</v>
      </c>
      <c r="I83" s="22" t="n">
        <v>283.203</v>
      </c>
      <c r="J83" s="22" t="n">
        <v>287.237</v>
      </c>
      <c r="K83" s="22" t="n">
        <v>288.644</v>
      </c>
      <c r="L83" s="22" t="n">
        <v>276.212</v>
      </c>
      <c r="M83" s="22" t="n">
        <v>283.637</v>
      </c>
      <c r="N83" s="22" t="n">
        <v>276.958</v>
      </c>
      <c r="T83" s="22" t="n">
        <v>225.982</v>
      </c>
      <c r="U83" s="22" t="n">
        <v>307.791</v>
      </c>
      <c r="V83" s="22" t="n">
        <v>323.217</v>
      </c>
      <c r="W83" s="22" t="n">
        <v>359.838</v>
      </c>
      <c r="X83" s="22" t="n">
        <v>276.212</v>
      </c>
    </row>
    <row r="84">
      <c r="A84" s="20" t="inlineStr">
        <is>
          <t>기타 영업수익</t>
        </is>
      </c>
      <c r="C84" s="22" t="n">
        <v>0.527</v>
      </c>
      <c r="D84" s="22" t="n">
        <v>1.184</v>
      </c>
      <c r="E84" s="22" t="n">
        <v>14.804</v>
      </c>
      <c r="F84" s="22" t="n">
        <v>3.666</v>
      </c>
      <c r="G84" s="22" t="n">
        <v>1.837</v>
      </c>
      <c r="H84" s="22" t="n">
        <v>10.962</v>
      </c>
      <c r="I84" s="22" t="n">
        <v>26.572</v>
      </c>
      <c r="J84" s="22" t="n">
        <v>2.215</v>
      </c>
      <c r="K84" s="22" t="n">
        <v>2.636</v>
      </c>
      <c r="L84" s="22" t="n">
        <v>41.335</v>
      </c>
      <c r="M84" s="22" t="n">
        <v>23.58</v>
      </c>
      <c r="N84" s="22" t="n">
        <v>0.791</v>
      </c>
      <c r="T84" s="22" t="n">
        <v>0.41</v>
      </c>
      <c r="U84" s="22" t="n">
        <v>0.773</v>
      </c>
      <c r="V84" s="22" t="n">
        <v>1.184</v>
      </c>
      <c r="W84" s="22" t="n">
        <v>10.962</v>
      </c>
      <c r="X84" s="22" t="n">
        <v>41.335</v>
      </c>
    </row>
    <row r="85">
      <c r="A85" s="20" t="inlineStr">
        <is>
          <t>기타 영업비용</t>
        </is>
      </c>
      <c r="C85" s="22" t="n">
        <v>1388.214</v>
      </c>
      <c r="D85" s="22" t="n">
        <v>1365.163</v>
      </c>
      <c r="E85" s="22" t="n">
        <v>1298.408</v>
      </c>
      <c r="F85" s="22" t="n">
        <v>1509.499</v>
      </c>
      <c r="G85" s="22" t="n">
        <v>1469.374</v>
      </c>
      <c r="H85" s="22" t="n">
        <v>1333.333</v>
      </c>
      <c r="I85" s="22" t="n">
        <v>1398.446</v>
      </c>
      <c r="J85" s="22" t="n">
        <v>1398.361</v>
      </c>
      <c r="K85" s="22" t="n">
        <v>1594.929</v>
      </c>
      <c r="L85" s="22" t="n">
        <v>1363.849</v>
      </c>
      <c r="M85" s="22" t="n">
        <v>1446.728</v>
      </c>
      <c r="N85" s="22" t="n">
        <v>1480.356</v>
      </c>
      <c r="T85" s="22" t="n">
        <v>883.407</v>
      </c>
      <c r="U85" s="22" t="n">
        <v>1173.735</v>
      </c>
      <c r="V85" s="22" t="n">
        <v>1365.163</v>
      </c>
      <c r="W85" s="22" t="n">
        <v>1333.333</v>
      </c>
      <c r="X85" s="22" t="n">
        <v>1363.849</v>
      </c>
    </row>
    <row r="86">
      <c r="A86" s="20" t="inlineStr">
        <is>
          <t>영업이익</t>
        </is>
      </c>
      <c r="C86" s="22" t="n">
        <v>1534.526</v>
      </c>
      <c r="D86" s="22" t="n">
        <v>1054.115</v>
      </c>
      <c r="E86" s="22" t="n">
        <v>2413.704</v>
      </c>
      <c r="F86" s="22" t="n">
        <v>2550.377</v>
      </c>
      <c r="G86" s="22" t="n">
        <v>1572.369</v>
      </c>
      <c r="H86" s="22" t="n">
        <v>1680.366</v>
      </c>
      <c r="I86" s="22" t="n">
        <v>2097.162</v>
      </c>
      <c r="J86" s="22" t="n">
        <v>2011.697</v>
      </c>
      <c r="K86" s="22" t="n">
        <v>2102.452</v>
      </c>
      <c r="L86" s="22" t="n">
        <v>2778.635</v>
      </c>
      <c r="M86" s="22" t="n">
        <v>2167.136</v>
      </c>
      <c r="N86" s="22" t="n">
        <v>3001.604</v>
      </c>
      <c r="T86" s="22" t="n">
        <v>1327.606</v>
      </c>
      <c r="U86" s="22" t="n">
        <v>712.071</v>
      </c>
      <c r="V86" s="22" t="n">
        <v>1054.115</v>
      </c>
      <c r="W86" s="22" t="n">
        <v>1680.366</v>
      </c>
      <c r="X86" s="22" t="n">
        <v>2778.635</v>
      </c>
    </row>
    <row r="87">
      <c r="A87" s="45" t="inlineStr">
        <is>
          <t>OPM</t>
        </is>
      </c>
      <c r="B87" s="3" t="inlineStr">
        <is>
          <t>영업이익 ÷ 매출</t>
        </is>
      </c>
      <c r="C87" s="17">
        <f>IF(OR(C86="",C78=""),"",IF(C78&lt;=0,"",IFERROR(C86/C78,"")))</f>
        <v/>
      </c>
      <c r="D87" s="17">
        <f>IF(OR(D86="",D78=""),"",IF(D78&lt;=0,"",IFERROR(D86/D78,"")))</f>
        <v/>
      </c>
      <c r="E87" s="17">
        <f>IF(OR(E86="",E78=""),"",IF(E78&lt;=0,"",IFERROR(E86/E78,"")))</f>
        <v/>
      </c>
      <c r="F87" s="17">
        <f>IF(OR(F86="",F78=""),"",IF(F78&lt;=0,"",IFERROR(F86/F78,"")))</f>
        <v/>
      </c>
      <c r="G87" s="17">
        <f>IF(OR(G86="",G78=""),"",IF(G78&lt;=0,"",IFERROR(G86/G78,"")))</f>
        <v/>
      </c>
      <c r="H87" s="17">
        <f>IF(OR(H86="",H78=""),"",IF(H78&lt;=0,"",IFERROR(H86/H78,"")))</f>
        <v/>
      </c>
      <c r="I87" s="17">
        <f>IF(OR(I86="",I78=""),"",IF(I78&lt;=0,"",IFERROR(I86/I78,"")))</f>
        <v/>
      </c>
      <c r="J87" s="17">
        <f>IF(OR(J86="",J78=""),"",IF(J78&lt;=0,"",IFERROR(J86/J78,"")))</f>
        <v/>
      </c>
      <c r="K87" s="17">
        <f>IF(OR(K86="",K78=""),"",IF(K78&lt;=0,"",IFERROR(K86/K78,"")))</f>
        <v/>
      </c>
      <c r="L87" s="17">
        <f>IF(OR(L86="",L78=""),"",IF(L78&lt;=0,"",IFERROR(L86/L78,"")))</f>
        <v/>
      </c>
      <c r="M87" s="17">
        <f>IF(OR(M86="",M78=""),"",IF(M78&lt;=0,"",IFERROR(M86/M78,"")))</f>
        <v/>
      </c>
      <c r="N87" s="17">
        <f>IF(OR(N86="",N78=""),"",IF(N78&lt;=0,"",IFERROR(N86/N78,"")))</f>
        <v/>
      </c>
      <c r="T87" s="17">
        <f>IF(OR(T86="",T78=""),"",IF(T78&lt;=0,"",IFERROR(T86/T78,"")))</f>
        <v/>
      </c>
      <c r="U87" s="17">
        <f>IF(OR(U86="",U78=""),"",IF(U78&lt;=0,"",IFERROR(U86/U78,"")))</f>
        <v/>
      </c>
      <c r="V87" s="17">
        <f>IF(OR(V86="",V78=""),"",IF(V78&lt;=0,"",IFERROR(V86/V78,"")))</f>
        <v/>
      </c>
      <c r="W87" s="17">
        <f>IF(OR(W86="",W78=""),"",IF(W78&lt;=0,"",IFERROR(W86/W78,"")))</f>
        <v/>
      </c>
      <c r="X87" s="17">
        <f>IF(OR(X86="",X78=""),"",IF(X78&lt;=0,"",IFERROR(X86/X78,"")))</f>
        <v/>
      </c>
    </row>
    <row r="88">
      <c r="A88" s="45" t="inlineStr">
        <is>
          <t>YoY</t>
        </is>
      </c>
      <c r="B88" s="3" t="inlineStr">
        <is>
          <t>전년 같은 분기·전년 대비</t>
        </is>
      </c>
      <c r="G88" s="17">
        <f>IF(OR(G86="",C86=""),"",IF(C86&lt;=0,"",IFERROR(G86/C86-1,"")))</f>
        <v/>
      </c>
      <c r="H88" s="17">
        <f>IF(OR(H86="",D86=""),"",IF(D86&lt;=0,"",IFERROR(H86/D86-1,"")))</f>
        <v/>
      </c>
      <c r="I88" s="17">
        <f>IF(OR(I86="",E86=""),"",IF(E86&lt;=0,"",IFERROR(I86/E86-1,"")))</f>
        <v/>
      </c>
      <c r="J88" s="17">
        <f>IF(OR(J86="",F86=""),"",IF(F86&lt;=0,"",IFERROR(J86/F86-1,"")))</f>
        <v/>
      </c>
      <c r="K88" s="17">
        <f>IF(OR(K86="",G86=""),"",IF(G86&lt;=0,"",IFERROR(K86/G86-1,"")))</f>
        <v/>
      </c>
      <c r="L88" s="17">
        <f>IF(OR(L86="",H86=""),"",IF(H86&lt;=0,"",IFERROR(L86/H86-1,"")))</f>
        <v/>
      </c>
      <c r="M88" s="17">
        <f>IF(OR(M86="",I86=""),"",IF(I86&lt;=0,"",IFERROR(M86/I86-1,"")))</f>
        <v/>
      </c>
      <c r="N88" s="17">
        <f>IF(OR(N86="",J86=""),"",IF(J86&lt;=0,"",IFERROR(N86/J86-1,"")))</f>
        <v/>
      </c>
      <c r="T88" s="17">
        <f>IF(OR(T86="",S86=""),"",IF(S86&lt;=0,"",IFERROR(T86/S86-1,"")))</f>
        <v/>
      </c>
      <c r="U88" s="17">
        <f>IF(OR(U86="",T86=""),"",IF(T86&lt;=0,"",IFERROR(U86/T86-1,"")))</f>
        <v/>
      </c>
      <c r="V88" s="17">
        <f>IF(OR(V86="",U86=""),"",IF(U86&lt;=0,"",IFERROR(V86/U86-1,"")))</f>
        <v/>
      </c>
      <c r="W88" s="17">
        <f>IF(OR(W86="",V86=""),"",IF(V86&lt;=0,"",IFERROR(W86/V86-1,"")))</f>
        <v/>
      </c>
      <c r="X88" s="17">
        <f>IF(OR(X86="",W86=""),"",IF(W86&lt;=0,"",IFERROR(X86/W86-1,"")))</f>
        <v/>
      </c>
    </row>
    <row r="89">
      <c r="A89" s="20" t="inlineStr">
        <is>
          <t>금융수익</t>
        </is>
      </c>
      <c r="C89" s="22" t="n">
        <v>23.137</v>
      </c>
      <c r="D89" s="22" t="n">
        <v>42.407</v>
      </c>
      <c r="E89" s="22" t="n">
        <v>12.186</v>
      </c>
      <c r="F89" s="22" t="n">
        <v>56.966</v>
      </c>
      <c r="G89" s="22" t="n">
        <v>10.641</v>
      </c>
      <c r="H89" s="22" t="n">
        <v>55.648</v>
      </c>
      <c r="I89" s="22" t="n">
        <v>5.199</v>
      </c>
      <c r="J89" s="22" t="n">
        <v>77.354</v>
      </c>
      <c r="K89" s="22" t="n">
        <v>11.367</v>
      </c>
      <c r="L89" s="22" t="n">
        <v>98.877</v>
      </c>
      <c r="M89" s="22" t="n">
        <v>6.088</v>
      </c>
      <c r="N89" s="22" t="n">
        <v>168.529</v>
      </c>
      <c r="T89" s="22" t="n">
        <v>25.236</v>
      </c>
      <c r="U89" s="22" t="n">
        <v>22.917</v>
      </c>
      <c r="V89" s="22" t="n">
        <v>42.407</v>
      </c>
      <c r="W89" s="22" t="n">
        <v>55.648</v>
      </c>
      <c r="X89" s="22" t="n">
        <v>98.877</v>
      </c>
    </row>
    <row r="90">
      <c r="A90" s="20" t="inlineStr">
        <is>
          <t>금융비용</t>
        </is>
      </c>
      <c r="C90" s="22" t="n">
        <v>20.717</v>
      </c>
      <c r="D90" s="22" t="n">
        <v>41.707</v>
      </c>
      <c r="E90" s="22" t="n">
        <v>20</v>
      </c>
      <c r="F90" s="22" t="n">
        <v>19.144</v>
      </c>
      <c r="G90" s="22" t="n">
        <v>25.29</v>
      </c>
      <c r="H90" s="22" t="n">
        <v>38.345</v>
      </c>
      <c r="I90" s="22" t="n">
        <v>39.749</v>
      </c>
      <c r="J90" s="22" t="n">
        <v>37.976</v>
      </c>
      <c r="K90" s="22" t="n">
        <v>28.168</v>
      </c>
      <c r="L90" s="22" t="n">
        <v>36.616</v>
      </c>
      <c r="M90" s="22" t="n">
        <v>32.296</v>
      </c>
      <c r="N90" s="22" t="n">
        <v>40.915</v>
      </c>
      <c r="T90" s="22" t="n">
        <v>28.194</v>
      </c>
      <c r="U90" s="22" t="n">
        <v>35.012</v>
      </c>
      <c r="V90" s="22" t="n">
        <v>41.707</v>
      </c>
      <c r="W90" s="22" t="n">
        <v>38.345</v>
      </c>
      <c r="X90" s="22" t="n">
        <v>36.616</v>
      </c>
    </row>
    <row r="91">
      <c r="A91" s="20" t="inlineStr">
        <is>
          <t>지분법 투자손익(△ 손실)</t>
        </is>
      </c>
      <c r="E91" s="22" t="n">
        <v>0</v>
      </c>
      <c r="F91" s="22" t="n">
        <v>0</v>
      </c>
      <c r="G91" s="22" t="n">
        <v>0</v>
      </c>
      <c r="H91" s="22" t="n">
        <v>4.516</v>
      </c>
      <c r="I91" s="22" t="n">
        <v>26.277</v>
      </c>
      <c r="J91" s="22" t="n">
        <v>4.845</v>
      </c>
      <c r="K91" s="22" t="n">
        <v>-12.669</v>
      </c>
      <c r="L91" s="22" t="n">
        <v>28.869</v>
      </c>
      <c r="M91" s="22" t="n">
        <v>37.336</v>
      </c>
      <c r="N91" s="22" t="n">
        <v>-0.6860000000000001</v>
      </c>
      <c r="W91" s="22" t="n">
        <v>4.516</v>
      </c>
      <c r="X91" s="22" t="n">
        <v>28.869</v>
      </c>
    </row>
    <row r="92">
      <c r="A92" s="9" t="inlineStr">
        <is>
          <t>법인세비용차감전 중간이익</t>
        </is>
      </c>
      <c r="C92" s="12" t="n">
        <v>1536.946</v>
      </c>
      <c r="D92" s="12" t="n">
        <v>1054.816</v>
      </c>
      <c r="E92" s="12" t="n">
        <v>2405.89</v>
      </c>
      <c r="F92" s="12" t="n">
        <v>2588.199</v>
      </c>
      <c r="G92" s="12" t="n">
        <v>1557.72</v>
      </c>
      <c r="H92" s="12" t="n">
        <v>1702.186</v>
      </c>
      <c r="I92" s="12" t="n">
        <v>2088.89</v>
      </c>
      <c r="J92" s="12" t="n">
        <v>2055.92</v>
      </c>
      <c r="K92" s="12" t="n">
        <v>2072.982</v>
      </c>
      <c r="L92" s="12" t="n">
        <v>2869.765</v>
      </c>
      <c r="M92" s="12" t="n">
        <v>2178.265</v>
      </c>
      <c r="N92" s="12" t="n">
        <v>3128.531</v>
      </c>
      <c r="T92" s="12" t="n">
        <v>1324.648</v>
      </c>
      <c r="U92" s="12" t="n">
        <v>699.976</v>
      </c>
      <c r="V92" s="12" t="n">
        <v>1054.816</v>
      </c>
      <c r="W92" s="12" t="n">
        <v>1702.186</v>
      </c>
      <c r="X92" s="12" t="n">
        <v>2869.765</v>
      </c>
    </row>
    <row r="93">
      <c r="A93" s="20" t="inlineStr">
        <is>
          <t>법인소득세 비용</t>
        </is>
      </c>
      <c r="C93" s="22" t="n">
        <v>440.659</v>
      </c>
      <c r="D93" s="22" t="n">
        <v>150.696</v>
      </c>
      <c r="E93" s="22" t="n">
        <v>663.652</v>
      </c>
      <c r="F93" s="22" t="n">
        <v>745.1799999999999</v>
      </c>
      <c r="G93" s="22" t="n">
        <v>457.778</v>
      </c>
      <c r="H93" s="22" t="n">
        <v>480.941</v>
      </c>
      <c r="I93" s="22" t="n">
        <v>624.995</v>
      </c>
      <c r="J93" s="22" t="n">
        <v>590.427</v>
      </c>
      <c r="K93" s="22" t="n">
        <v>595.8200000000001</v>
      </c>
      <c r="L93" s="22" t="n">
        <v>797.501</v>
      </c>
      <c r="M93" s="22" t="n">
        <v>627.34</v>
      </c>
      <c r="N93" s="22" t="n">
        <v>897.302</v>
      </c>
      <c r="T93" s="22" t="n">
        <v>353.001</v>
      </c>
      <c r="U93" s="22" t="n">
        <v>214.386</v>
      </c>
      <c r="V93" s="22" t="n">
        <v>150.696</v>
      </c>
      <c r="W93" s="22" t="n">
        <v>480.941</v>
      </c>
      <c r="X93" s="22" t="n">
        <v>797.501</v>
      </c>
    </row>
    <row r="94">
      <c r="A94" s="9" t="inlineStr">
        <is>
          <t>중간이익</t>
        </is>
      </c>
      <c r="C94" s="12" t="n">
        <v>1096.287</v>
      </c>
      <c r="D94" s="12" t="n">
        <v>904.121</v>
      </c>
      <c r="E94" s="12" t="n">
        <v>1742.237</v>
      </c>
      <c r="F94" s="12" t="n">
        <v>1843.02</v>
      </c>
      <c r="G94" s="12" t="n">
        <v>1099.941</v>
      </c>
      <c r="H94" s="12" t="n">
        <v>1221.245</v>
      </c>
      <c r="I94" s="12" t="n">
        <v>1463.894</v>
      </c>
      <c r="J94" s="12" t="n">
        <v>1465.493</v>
      </c>
      <c r="K94" s="12" t="n">
        <v>1477.162</v>
      </c>
      <c r="L94" s="12" t="n">
        <v>2072.264</v>
      </c>
      <c r="M94" s="12" t="n">
        <v>1550.924</v>
      </c>
      <c r="N94" s="12" t="n">
        <v>2231.229</v>
      </c>
      <c r="T94" s="12" t="n">
        <v>971.647</v>
      </c>
      <c r="U94" s="12" t="n">
        <v>485.591</v>
      </c>
      <c r="V94" s="12" t="n">
        <v>904.121</v>
      </c>
      <c r="W94" s="12" t="n">
        <v>1221.245</v>
      </c>
      <c r="X94" s="12" t="n">
        <v>2072.264</v>
      </c>
    </row>
    <row r="95">
      <c r="A95" s="20" t="inlineStr">
        <is>
          <t>기본 주당 중간이익(엔)</t>
        </is>
      </c>
      <c r="C95" s="22" t="n">
        <v>3.219999999999999e-05</v>
      </c>
      <c r="D95" s="22" t="n">
        <v>2.645000000000002e-05</v>
      </c>
      <c r="E95" s="22" t="n">
        <v>5.079999999999999e-05</v>
      </c>
      <c r="F95" s="22" t="n">
        <v>5.363000000000001e-05</v>
      </c>
      <c r="G95" s="22" t="n">
        <v>3.201999999999998e-05</v>
      </c>
      <c r="H95" s="22" t="n">
        <v>3.552000000000001e-05</v>
      </c>
      <c r="I95" s="22" t="n">
        <v>4.236e-05</v>
      </c>
      <c r="J95" s="22" t="n">
        <v>4.248000000000001e-05</v>
      </c>
      <c r="K95" s="22" t="n">
        <v>4.281000000000001e-05</v>
      </c>
      <c r="L95" s="22" t="n">
        <v>5.991999999999999e-05</v>
      </c>
      <c r="M95" s="22" t="n">
        <v>4.491e-05</v>
      </c>
      <c r="N95" s="22" t="n">
        <v>6.435000000000001e-05</v>
      </c>
      <c r="T95" s="22" t="n">
        <v>2.852000000000001e-05</v>
      </c>
      <c r="U95" s="22" t="n">
        <v>1.439999999999999e-05</v>
      </c>
      <c r="V95" s="22" t="n">
        <v>2.645000000000002e-05</v>
      </c>
      <c r="W95" s="22" t="n">
        <v>3.552000000000001e-05</v>
      </c>
      <c r="X95" s="22" t="n">
        <v>5.991999999999999e-05</v>
      </c>
    </row>
    <row r="96">
      <c r="A96" s="20" t="inlineStr">
        <is>
          <t>희석 주당 중간이익(엔)</t>
        </is>
      </c>
      <c r="C96" s="22" t="n">
        <v>3.18e-05</v>
      </c>
      <c r="D96" s="22" t="n">
        <v>2.624000000000001e-05</v>
      </c>
      <c r="E96" s="22" t="n">
        <v>5.034e-05</v>
      </c>
      <c r="F96" s="22" t="n">
        <v>5.319e-05</v>
      </c>
      <c r="G96" s="22" t="n">
        <v>3.174000000000001e-05</v>
      </c>
      <c r="H96" s="22" t="n">
        <v>3.529999999999998e-05</v>
      </c>
      <c r="I96" s="22" t="n">
        <v>4.208e-05</v>
      </c>
      <c r="J96" s="22" t="n">
        <v>4.223000000000001e-05</v>
      </c>
      <c r="K96" s="22" t="n">
        <v>4.258e-05</v>
      </c>
      <c r="L96" s="22" t="n">
        <v>5.961999999999999e-05</v>
      </c>
      <c r="M96" s="22" t="n">
        <v>4.471e-05</v>
      </c>
      <c r="N96" s="22" t="n">
        <v>6.409e-05</v>
      </c>
      <c r="T96" s="22" t="n">
        <v>2.811e-05</v>
      </c>
      <c r="U96" s="22" t="n">
        <v>1.43e-05</v>
      </c>
      <c r="V96" s="22" t="n">
        <v>2.624000000000001e-05</v>
      </c>
      <c r="W96" s="22" t="n">
        <v>3.529999999999998e-05</v>
      </c>
      <c r="X96" s="22" t="n">
        <v>5.961999999999999e-05</v>
      </c>
    </row>
    <row r="97">
      <c r="A97" s="9" t="inlineStr">
        <is>
          <t>지배기업 소유주</t>
        </is>
      </c>
      <c r="C97" s="12" t="n">
        <v>1104.344</v>
      </c>
      <c r="D97" s="12" t="n">
        <v>911.874</v>
      </c>
      <c r="E97" s="12" t="n">
        <v>1748.56</v>
      </c>
      <c r="F97" s="12" t="n">
        <v>1848.851</v>
      </c>
      <c r="G97" s="12" t="n">
        <v>1105.147</v>
      </c>
      <c r="H97" s="12" t="n">
        <v>1226.989</v>
      </c>
      <c r="I97" s="12" t="n">
        <v>1466.75</v>
      </c>
      <c r="J97" s="12" t="n">
        <v>1471.785</v>
      </c>
      <c r="K97" s="12" t="n">
        <v>1484.068</v>
      </c>
      <c r="L97" s="12" t="n">
        <v>2077.555</v>
      </c>
      <c r="M97" s="12" t="n">
        <v>1559.205</v>
      </c>
      <c r="N97" s="12" t="n">
        <v>2236.928</v>
      </c>
      <c r="T97" s="12" t="n">
        <v>971.4450000000001</v>
      </c>
      <c r="U97" s="12" t="n">
        <v>493.294</v>
      </c>
      <c r="V97" s="12" t="n">
        <v>911.874</v>
      </c>
      <c r="W97" s="12" t="n">
        <v>1226.989</v>
      </c>
      <c r="X97" s="12" t="n">
        <v>2077.555</v>
      </c>
    </row>
    <row r="98">
      <c r="A98" s="45" t="inlineStr">
        <is>
          <t>YoY</t>
        </is>
      </c>
      <c r="B98" s="3" t="inlineStr">
        <is>
          <t>전년 같은 분기·전년 대비</t>
        </is>
      </c>
      <c r="G98" s="17">
        <f>IF(OR(G97="",C97=""),"",IF(C97&lt;=0,"",IFERROR(G97/C97-1,"")))</f>
        <v/>
      </c>
      <c r="H98" s="17">
        <f>IF(OR(H97="",D97=""),"",IF(D97&lt;=0,"",IFERROR(H97/D97-1,"")))</f>
        <v/>
      </c>
      <c r="I98" s="17">
        <f>IF(OR(I97="",E97=""),"",IF(E97&lt;=0,"",IFERROR(I97/E97-1,"")))</f>
        <v/>
      </c>
      <c r="J98" s="17">
        <f>IF(OR(J97="",F97=""),"",IF(F97&lt;=0,"",IFERROR(J97/F97-1,"")))</f>
        <v/>
      </c>
      <c r="K98" s="17">
        <f>IF(OR(K97="",G97=""),"",IF(G97&lt;=0,"",IFERROR(K97/G97-1,"")))</f>
        <v/>
      </c>
      <c r="L98" s="17">
        <f>IF(OR(L97="",H97=""),"",IF(H97&lt;=0,"",IFERROR(L97/H97-1,"")))</f>
        <v/>
      </c>
      <c r="M98" s="17">
        <f>IF(OR(M97="",I97=""),"",IF(I97&lt;=0,"",IFERROR(M97/I97-1,"")))</f>
        <v/>
      </c>
      <c r="N98" s="17">
        <f>IF(OR(N97="",J97=""),"",IF(J97&lt;=0,"",IFERROR(N97/J97-1,"")))</f>
        <v/>
      </c>
      <c r="T98" s="17">
        <f>IF(OR(T97="",S97=""),"",IF(S97&lt;=0,"",IFERROR(T97/S97-1,"")))</f>
        <v/>
      </c>
      <c r="U98" s="17">
        <f>IF(OR(U97="",T97=""),"",IF(T97&lt;=0,"",IFERROR(U97/T97-1,"")))</f>
        <v/>
      </c>
      <c r="V98" s="17">
        <f>IF(OR(V97="",U97=""),"",IF(U97&lt;=0,"",IFERROR(V97/U97-1,"")))</f>
        <v/>
      </c>
      <c r="W98" s="17">
        <f>IF(OR(W97="",V97=""),"",IF(V97&lt;=0,"",IFERROR(W97/V97-1,"")))</f>
        <v/>
      </c>
      <c r="X98" s="17">
        <f>IF(OR(X97="",W97=""),"",IF(W97&lt;=0,"",IFERROR(X97/W97-1,"")))</f>
        <v/>
      </c>
    </row>
    <row r="99">
      <c r="A99" s="9" t="inlineStr">
        <is>
          <t>비지배지분</t>
        </is>
      </c>
      <c r="C99" s="12" t="n">
        <v>-8.057</v>
      </c>
      <c r="D99" s="12" t="n">
        <v>-7.753</v>
      </c>
      <c r="E99" s="12" t="n">
        <v>-6.323</v>
      </c>
      <c r="F99" s="12" t="n">
        <v>-5.831</v>
      </c>
      <c r="G99" s="12" t="n">
        <v>-5.205</v>
      </c>
      <c r="H99" s="12" t="n">
        <v>-5.744</v>
      </c>
      <c r="I99" s="12" t="n">
        <v>-2.855</v>
      </c>
      <c r="J99" s="12" t="n">
        <v>-6.292</v>
      </c>
      <c r="K99" s="12" t="n">
        <v>-6.906</v>
      </c>
      <c r="L99" s="12" t="n">
        <v>-5.291</v>
      </c>
      <c r="M99" s="12" t="n">
        <v>-8.279999999999999</v>
      </c>
      <c r="N99" s="12" t="n">
        <v>-5.7</v>
      </c>
      <c r="T99" s="12" t="n">
        <v>0.202</v>
      </c>
      <c r="U99" s="12" t="n">
        <v>-7.704</v>
      </c>
      <c r="V99" s="12" t="n">
        <v>-7.753</v>
      </c>
      <c r="W99" s="12" t="n">
        <v>-5.744</v>
      </c>
      <c r="X99" s="12" t="n">
        <v>-5.291</v>
      </c>
    </row>
    <row r="101">
      <c r="A101" s="18" t="inlineStr">
        <is>
          <t>포괄손익 · 전 항목</t>
        </is>
      </c>
      <c r="B101" s="44" t="inlineStr">
        <is>
          <t>분기 = 3개월 단독</t>
        </is>
      </c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</row>
    <row r="102">
      <c r="A102" s="5" t="inlineStr">
        <is>
          <t>항목</t>
        </is>
      </c>
      <c r="B102" s="5" t="inlineStr">
        <is>
          <t>참고</t>
        </is>
      </c>
      <c r="C102" s="5" t="inlineStr">
        <is>
          <t>2024.3Q</t>
        </is>
      </c>
      <c r="D102" s="5" t="inlineStr">
        <is>
          <t>2024.4Q</t>
        </is>
      </c>
      <c r="E102" s="5" t="inlineStr">
        <is>
          <t>2025.1Q</t>
        </is>
      </c>
      <c r="F102" s="5" t="inlineStr">
        <is>
          <t>2025.2Q</t>
        </is>
      </c>
      <c r="G102" s="5" t="inlineStr">
        <is>
          <t>2025.3Q</t>
        </is>
      </c>
      <c r="H102" s="5" t="inlineStr">
        <is>
          <t>2025.4Q</t>
        </is>
      </c>
      <c r="I102" s="5" t="inlineStr">
        <is>
          <t>2026.1Q</t>
        </is>
      </c>
      <c r="J102" s="5" t="inlineStr">
        <is>
          <t>2026.2Q</t>
        </is>
      </c>
      <c r="K102" s="5" t="inlineStr">
        <is>
          <t>2026.3Q</t>
        </is>
      </c>
      <c r="L102" s="5" t="inlineStr">
        <is>
          <t>2026.4Q</t>
        </is>
      </c>
      <c r="M102" s="5" t="inlineStr">
        <is>
          <t>2027.1Q</t>
        </is>
      </c>
      <c r="N102" s="5" t="inlineStr">
        <is>
          <t>2027.2Q</t>
        </is>
      </c>
      <c r="O102" s="5" t="inlineStr">
        <is>
          <t>2017</t>
        </is>
      </c>
      <c r="P102" s="5" t="inlineStr">
        <is>
          <t>2018</t>
        </is>
      </c>
      <c r="Q102" s="5" t="inlineStr">
        <is>
          <t>2019</t>
        </is>
      </c>
      <c r="R102" s="5" t="inlineStr">
        <is>
          <t>2020</t>
        </is>
      </c>
      <c r="S102" s="5" t="inlineStr">
        <is>
          <t>2021</t>
        </is>
      </c>
      <c r="T102" s="5" t="inlineStr">
        <is>
          <t>2022</t>
        </is>
      </c>
      <c r="U102" s="5" t="inlineStr">
        <is>
          <t>2023</t>
        </is>
      </c>
      <c r="V102" s="5" t="inlineStr">
        <is>
          <t>2024</t>
        </is>
      </c>
      <c r="W102" s="5" t="inlineStr">
        <is>
          <t>2025</t>
        </is>
      </c>
      <c r="X102" s="5" t="inlineStr">
        <is>
          <t>2026</t>
        </is>
      </c>
      <c r="Y102" s="5" t="inlineStr">
        <is>
          <t>2027(MW)</t>
        </is>
      </c>
      <c r="Z102" s="5" t="inlineStr">
        <is>
          <t>2028(MW)</t>
        </is>
      </c>
      <c r="AA102" s="5" t="inlineStr">
        <is>
          <t>2029(MW)</t>
        </is>
      </c>
      <c r="AB102" s="5" t="inlineStr">
        <is>
          <t>2030(MW)</t>
        </is>
      </c>
      <c r="AC102" s="5" t="inlineStr">
        <is>
          <t>2031(MW)</t>
        </is>
      </c>
    </row>
    <row r="103">
      <c r="A103" s="9" t="inlineStr">
        <is>
          <t>중간이익</t>
        </is>
      </c>
      <c r="C103" s="12" t="n">
        <v>1096.287</v>
      </c>
      <c r="D103" s="12" t="n">
        <v>904.121</v>
      </c>
      <c r="E103" s="12" t="n">
        <v>1742.237</v>
      </c>
      <c r="F103" s="12" t="n">
        <v>1843.02</v>
      </c>
      <c r="G103" s="12" t="n">
        <v>1099.941</v>
      </c>
      <c r="H103" s="12" t="n">
        <v>1221.245</v>
      </c>
      <c r="I103" s="12" t="n">
        <v>1463.894</v>
      </c>
      <c r="J103" s="12" t="n">
        <v>1465.493</v>
      </c>
      <c r="K103" s="12" t="n">
        <v>1477.162</v>
      </c>
      <c r="L103" s="12" t="n">
        <v>2072.264</v>
      </c>
      <c r="M103" s="12" t="n">
        <v>1550.924</v>
      </c>
      <c r="N103" s="12" t="n">
        <v>2231.229</v>
      </c>
      <c r="T103" s="12" t="n">
        <v>971.647</v>
      </c>
      <c r="U103" s="12" t="n">
        <v>485.591</v>
      </c>
      <c r="V103" s="12" t="n">
        <v>904.121</v>
      </c>
      <c r="W103" s="12" t="n">
        <v>1221.245</v>
      </c>
      <c r="X103" s="12" t="n">
        <v>2072.264</v>
      </c>
    </row>
    <row r="104">
      <c r="A104" s="20" t="inlineStr">
        <is>
          <t>기타포괄손익-공정가치 측정 금융자산</t>
        </is>
      </c>
      <c r="C104" s="22" t="n">
        <v>770.766</v>
      </c>
      <c r="D104" s="22" t="n">
        <v>-278.455</v>
      </c>
      <c r="E104" s="22" t="n">
        <v>-461.526</v>
      </c>
      <c r="F104" s="22" t="n">
        <v>536.265</v>
      </c>
      <c r="G104" s="22" t="n">
        <v>-300.953</v>
      </c>
      <c r="H104" s="22" t="n">
        <v>-175.311</v>
      </c>
      <c r="I104" s="22" t="n">
        <v>761.116</v>
      </c>
      <c r="J104" s="22" t="n">
        <v>853.674</v>
      </c>
      <c r="K104" s="22" t="n">
        <v>964.825</v>
      </c>
      <c r="L104" s="22" t="n">
        <v>-353.459</v>
      </c>
      <c r="M104" s="22" t="n">
        <v>-1257.647</v>
      </c>
      <c r="N104" s="22" t="n">
        <v>1390.385</v>
      </c>
      <c r="T104" s="22" t="n">
        <v>148.823</v>
      </c>
      <c r="U104" s="22" t="n">
        <v>513.7190000000001</v>
      </c>
      <c r="V104" s="22" t="n">
        <v>-278.455</v>
      </c>
      <c r="W104" s="22" t="n">
        <v>-175.311</v>
      </c>
      <c r="X104" s="22" t="n">
        <v>-353.459</v>
      </c>
    </row>
    <row r="105">
      <c r="A105" s="20" t="inlineStr">
        <is>
          <t>당기손익으로 재분류되지 않는 항목 합계</t>
        </is>
      </c>
      <c r="C105" s="22" t="n">
        <v>770.766</v>
      </c>
      <c r="D105" s="22" t="n">
        <v>-278.455</v>
      </c>
      <c r="E105" s="22" t="n">
        <v>-461.526</v>
      </c>
      <c r="F105" s="22" t="n">
        <v>536.265</v>
      </c>
      <c r="G105" s="22" t="n">
        <v>-300.953</v>
      </c>
      <c r="H105" s="22" t="n">
        <v>-175.311</v>
      </c>
      <c r="I105" s="22" t="n">
        <v>761.116</v>
      </c>
      <c r="J105" s="22" t="n">
        <v>853.674</v>
      </c>
      <c r="K105" s="22" t="n">
        <v>964.825</v>
      </c>
      <c r="L105" s="22" t="n">
        <v>-353.459</v>
      </c>
      <c r="M105" s="22" t="n">
        <v>-1257.647</v>
      </c>
      <c r="N105" s="22" t="n">
        <v>1390.385</v>
      </c>
      <c r="T105" s="22" t="n">
        <v>148.823</v>
      </c>
      <c r="U105" s="22" t="n">
        <v>513.7190000000001</v>
      </c>
      <c r="V105" s="22" t="n">
        <v>-278.455</v>
      </c>
      <c r="W105" s="22" t="n">
        <v>-175.311</v>
      </c>
      <c r="X105" s="22" t="n">
        <v>-353.459</v>
      </c>
    </row>
    <row r="106">
      <c r="A106" s="20" t="inlineStr">
        <is>
          <t>해외사업 환산차액</t>
        </is>
      </c>
      <c r="C106" s="22" t="n">
        <v>24.551</v>
      </c>
      <c r="D106" s="22" t="n">
        <v>4.804</v>
      </c>
      <c r="E106" s="22" t="n">
        <v>78.02</v>
      </c>
      <c r="F106" s="22" t="n">
        <v>-57.239</v>
      </c>
      <c r="G106" s="22" t="n">
        <v>-14.607</v>
      </c>
      <c r="H106" s="22" t="n">
        <v>-32.046</v>
      </c>
      <c r="I106" s="22" t="n">
        <v>-15.653</v>
      </c>
      <c r="J106" s="22" t="n">
        <v>38.548</v>
      </c>
      <c r="K106" s="22" t="n">
        <v>81.616</v>
      </c>
      <c r="L106" s="22" t="n">
        <v>107.506</v>
      </c>
      <c r="M106" s="22" t="n">
        <v>46.058</v>
      </c>
      <c r="N106" s="22" t="n">
        <v>6.956</v>
      </c>
      <c r="T106" s="22" t="n">
        <v>6.151</v>
      </c>
      <c r="U106" s="22" t="n">
        <v>-19.602</v>
      </c>
      <c r="V106" s="22" t="n">
        <v>4.804</v>
      </c>
      <c r="W106" s="22" t="n">
        <v>-32.046</v>
      </c>
      <c r="X106" s="22" t="n">
        <v>107.506</v>
      </c>
    </row>
    <row r="107">
      <c r="A107" s="20" t="inlineStr">
        <is>
          <t>당기손익으로 재분류될 수 있는 항목 합계</t>
        </is>
      </c>
      <c r="C107" s="22" t="n">
        <v>24.551</v>
      </c>
      <c r="D107" s="22" t="n">
        <v>4.804</v>
      </c>
      <c r="E107" s="22" t="n">
        <v>78.02</v>
      </c>
      <c r="F107" s="22" t="n">
        <v>-57.239</v>
      </c>
      <c r="G107" s="22" t="n">
        <v>-14.607</v>
      </c>
      <c r="H107" s="22" t="n">
        <v>-32.046</v>
      </c>
      <c r="I107" s="22" t="n">
        <v>-15.653</v>
      </c>
      <c r="J107" s="22" t="n">
        <v>38.548</v>
      </c>
      <c r="K107" s="22" t="n">
        <v>81.616</v>
      </c>
      <c r="L107" s="22" t="n">
        <v>107.506</v>
      </c>
      <c r="M107" s="22" t="n">
        <v>46.058</v>
      </c>
      <c r="N107" s="22" t="n">
        <v>6.956</v>
      </c>
      <c r="T107" s="22" t="n">
        <v>6.151</v>
      </c>
      <c r="U107" s="22" t="n">
        <v>-19.602</v>
      </c>
      <c r="V107" s="22" t="n">
        <v>4.804</v>
      </c>
      <c r="W107" s="22" t="n">
        <v>-32.046</v>
      </c>
      <c r="X107" s="22" t="n">
        <v>107.506</v>
      </c>
    </row>
    <row r="108">
      <c r="A108" s="20" t="inlineStr">
        <is>
          <t>세후 기타포괄이익</t>
        </is>
      </c>
      <c r="C108" s="22" t="n">
        <v>795.317</v>
      </c>
      <c r="D108" s="22" t="n">
        <v>-273.65</v>
      </c>
      <c r="E108" s="22" t="n">
        <v>-383.505</v>
      </c>
      <c r="F108" s="22" t="n">
        <v>479.026</v>
      </c>
      <c r="G108" s="22" t="n">
        <v>-315.56</v>
      </c>
      <c r="H108" s="22" t="n">
        <v>-207.358</v>
      </c>
      <c r="I108" s="22" t="n">
        <v>745.462</v>
      </c>
      <c r="J108" s="22" t="n">
        <v>892.224</v>
      </c>
      <c r="K108" s="22" t="n">
        <v>1046.441</v>
      </c>
      <c r="L108" s="22" t="n">
        <v>-245.954</v>
      </c>
      <c r="M108" s="22" t="n">
        <v>-1211.588</v>
      </c>
      <c r="N108" s="22" t="n">
        <v>1397.34</v>
      </c>
      <c r="T108" s="22" t="n">
        <v>154.975</v>
      </c>
      <c r="U108" s="22" t="n">
        <v>494.117</v>
      </c>
      <c r="V108" s="22" t="n">
        <v>-273.65</v>
      </c>
      <c r="W108" s="22" t="n">
        <v>-207.358</v>
      </c>
      <c r="X108" s="22" t="n">
        <v>-245.954</v>
      </c>
    </row>
    <row r="109">
      <c r="A109" s="9" t="inlineStr">
        <is>
          <t>포괄이익</t>
        </is>
      </c>
      <c r="C109" s="12" t="n">
        <v>1891.603</v>
      </c>
      <c r="D109" s="12" t="n">
        <v>630.471</v>
      </c>
      <c r="E109" s="12" t="n">
        <v>1358.732</v>
      </c>
      <c r="F109" s="12" t="n">
        <v>2322.046</v>
      </c>
      <c r="G109" s="12" t="n">
        <v>784.381</v>
      </c>
      <c r="H109" s="12" t="n">
        <v>1013.887</v>
      </c>
      <c r="I109" s="12" t="n">
        <v>2209.356</v>
      </c>
      <c r="J109" s="12" t="n">
        <v>2357.718</v>
      </c>
      <c r="K109" s="12" t="n">
        <v>2523.602</v>
      </c>
      <c r="L109" s="12" t="n">
        <v>1826.311</v>
      </c>
      <c r="M109" s="12" t="n">
        <v>339.336</v>
      </c>
      <c r="N109" s="12" t="n">
        <v>3628.57</v>
      </c>
      <c r="T109" s="12" t="n">
        <v>1126.622</v>
      </c>
      <c r="U109" s="12" t="n">
        <v>979.707</v>
      </c>
      <c r="V109" s="12" t="n">
        <v>630.471</v>
      </c>
      <c r="W109" s="12" t="n">
        <v>1013.887</v>
      </c>
      <c r="X109" s="12" t="n">
        <v>1826.311</v>
      </c>
    </row>
    <row r="110">
      <c r="A110" s="9" t="inlineStr">
        <is>
          <t>지배기업 소유주</t>
        </is>
      </c>
      <c r="C110" s="12" t="n">
        <v>1899.66</v>
      </c>
      <c r="D110" s="12" t="n">
        <v>638.224</v>
      </c>
      <c r="E110" s="12" t="n">
        <v>1365.055</v>
      </c>
      <c r="F110" s="12" t="n">
        <v>2327.877</v>
      </c>
      <c r="G110" s="12" t="n">
        <v>789.586</v>
      </c>
      <c r="H110" s="12" t="n">
        <v>1019.631</v>
      </c>
      <c r="I110" s="12" t="n">
        <v>2212.212</v>
      </c>
      <c r="J110" s="12" t="n">
        <v>2364.01</v>
      </c>
      <c r="K110" s="12" t="n">
        <v>2530.508</v>
      </c>
      <c r="L110" s="12" t="n">
        <v>1831.602</v>
      </c>
      <c r="M110" s="12" t="n">
        <v>347.616</v>
      </c>
      <c r="N110" s="12" t="n">
        <v>3634.27</v>
      </c>
      <c r="T110" s="12" t="n">
        <v>1126.42</v>
      </c>
      <c r="U110" s="12" t="n">
        <v>987.4109999999999</v>
      </c>
      <c r="V110" s="12" t="n">
        <v>638.224</v>
      </c>
      <c r="W110" s="12" t="n">
        <v>1019.631</v>
      </c>
      <c r="X110" s="12" t="n">
        <v>1831.602</v>
      </c>
    </row>
    <row r="111">
      <c r="A111" s="9" t="inlineStr">
        <is>
          <t>비지배지분</t>
        </is>
      </c>
      <c r="C111" s="12" t="n">
        <v>-8.057</v>
      </c>
      <c r="D111" s="12" t="n">
        <v>-7.753</v>
      </c>
      <c r="E111" s="12" t="n">
        <v>-6.323</v>
      </c>
      <c r="F111" s="12" t="n">
        <v>-5.831</v>
      </c>
      <c r="G111" s="12" t="n">
        <v>-5.205</v>
      </c>
      <c r="H111" s="12" t="n">
        <v>-5.744</v>
      </c>
      <c r="I111" s="12" t="n">
        <v>-2.855</v>
      </c>
      <c r="J111" s="12" t="n">
        <v>-6.292</v>
      </c>
      <c r="K111" s="12" t="n">
        <v>-6.906</v>
      </c>
      <c r="L111" s="12" t="n">
        <v>-5.291</v>
      </c>
      <c r="M111" s="12" t="n">
        <v>-8.279999999999999</v>
      </c>
      <c r="N111" s="12" t="n">
        <v>-5.7</v>
      </c>
      <c r="T111" s="12" t="n">
        <v>0.202</v>
      </c>
      <c r="U111" s="12" t="n">
        <v>-7.704</v>
      </c>
      <c r="V111" s="12" t="n">
        <v>-7.753</v>
      </c>
      <c r="W111" s="12" t="n">
        <v>-5.744</v>
      </c>
      <c r="X111" s="12" t="n">
        <v>-5.291</v>
      </c>
    </row>
    <row r="113">
      <c r="A113" s="18" t="inlineStr">
        <is>
          <t>현금흐름표 · 전 항목</t>
        </is>
      </c>
      <c r="B113" s="44" t="inlineStr">
        <is>
          <t>분기 = 결산기 첫날부터 누계(공시 그대로)</t>
        </is>
      </c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</row>
    <row r="114">
      <c r="A114" s="5" t="inlineStr">
        <is>
          <t>항목</t>
        </is>
      </c>
      <c r="B114" s="5" t="inlineStr">
        <is>
          <t>참고</t>
        </is>
      </c>
      <c r="C114" s="5" t="inlineStr">
        <is>
          <t>2024.3Q</t>
        </is>
      </c>
      <c r="D114" s="5" t="inlineStr">
        <is>
          <t>2024.4Q</t>
        </is>
      </c>
      <c r="E114" s="5" t="inlineStr">
        <is>
          <t>2025.1Q</t>
        </is>
      </c>
      <c r="F114" s="5" t="inlineStr">
        <is>
          <t>2025.2Q</t>
        </is>
      </c>
      <c r="G114" s="5" t="inlineStr">
        <is>
          <t>2025.3Q</t>
        </is>
      </c>
      <c r="H114" s="5" t="inlineStr">
        <is>
          <t>2025.4Q</t>
        </is>
      </c>
      <c r="I114" s="5" t="inlineStr">
        <is>
          <t>2026.1Q</t>
        </is>
      </c>
      <c r="J114" s="5" t="inlineStr">
        <is>
          <t>2026.2Q</t>
        </is>
      </c>
      <c r="K114" s="5" t="inlineStr">
        <is>
          <t>2026.3Q</t>
        </is>
      </c>
      <c r="L114" s="5" t="inlineStr">
        <is>
          <t>2026.4Q</t>
        </is>
      </c>
      <c r="M114" s="5" t="inlineStr">
        <is>
          <t>2027.1Q</t>
        </is>
      </c>
      <c r="N114" s="5" t="inlineStr">
        <is>
          <t>2027.2Q</t>
        </is>
      </c>
      <c r="O114" s="5" t="inlineStr">
        <is>
          <t>2017</t>
        </is>
      </c>
      <c r="P114" s="5" t="inlineStr">
        <is>
          <t>2018</t>
        </is>
      </c>
      <c r="Q114" s="5" t="inlineStr">
        <is>
          <t>2019</t>
        </is>
      </c>
      <c r="R114" s="5" t="inlineStr">
        <is>
          <t>2020</t>
        </is>
      </c>
      <c r="S114" s="5" t="inlineStr">
        <is>
          <t>2021</t>
        </is>
      </c>
      <c r="T114" s="5" t="inlineStr">
        <is>
          <t>2022</t>
        </is>
      </c>
      <c r="U114" s="5" t="inlineStr">
        <is>
          <t>2023</t>
        </is>
      </c>
      <c r="V114" s="5" t="inlineStr">
        <is>
          <t>2024</t>
        </is>
      </c>
      <c r="W114" s="5" t="inlineStr">
        <is>
          <t>2025</t>
        </is>
      </c>
      <c r="X114" s="5" t="inlineStr">
        <is>
          <t>2026</t>
        </is>
      </c>
      <c r="Y114" s="5" t="inlineStr">
        <is>
          <t>2027(MW)</t>
        </is>
      </c>
      <c r="Z114" s="5" t="inlineStr">
        <is>
          <t>2028(MW)</t>
        </is>
      </c>
      <c r="AA114" s="5" t="inlineStr">
        <is>
          <t>2029(MW)</t>
        </is>
      </c>
      <c r="AB114" s="5" t="inlineStr">
        <is>
          <t>2030(MW)</t>
        </is>
      </c>
      <c r="AC114" s="5" t="inlineStr">
        <is>
          <t>2031(MW)</t>
        </is>
      </c>
    </row>
    <row r="115">
      <c r="A115" s="9" t="inlineStr">
        <is>
          <t>법인세비용차감전 중간이익</t>
        </is>
      </c>
      <c r="C115" s="12" t="n">
        <v>6250.021</v>
      </c>
      <c r="D115" s="12" t="n">
        <v>7304.837</v>
      </c>
      <c r="E115" s="12" t="n">
        <v>2405.89</v>
      </c>
      <c r="F115" s="12" t="n">
        <v>4994.089</v>
      </c>
      <c r="G115" s="12" t="n">
        <v>6551.809</v>
      </c>
      <c r="H115" s="12" t="n">
        <v>8253.995000000001</v>
      </c>
      <c r="I115" s="12" t="n">
        <v>2088.89</v>
      </c>
      <c r="J115" s="12" t="n">
        <v>4144.81</v>
      </c>
      <c r="K115" s="12" t="n">
        <v>6217.792</v>
      </c>
      <c r="L115" s="12" t="n">
        <v>9087.557000000001</v>
      </c>
      <c r="M115" s="12" t="n">
        <v>2178.265</v>
      </c>
      <c r="N115" s="12" t="n">
        <v>5306.796</v>
      </c>
      <c r="R115" s="12" t="n">
        <v>5523.767</v>
      </c>
      <c r="S115" s="12" t="n">
        <v>3153.57</v>
      </c>
      <c r="T115" s="12" t="n">
        <v>5910.036</v>
      </c>
      <c r="U115" s="12" t="n">
        <v>5860.494</v>
      </c>
      <c r="V115" s="12" t="n">
        <v>7304.837</v>
      </c>
      <c r="W115" s="12" t="n">
        <v>8253.995000000001</v>
      </c>
      <c r="X115" s="12" t="n">
        <v>9087.557000000001</v>
      </c>
    </row>
    <row r="116">
      <c r="A116" s="20" t="inlineStr">
        <is>
          <t>감가상각비 및 상각비</t>
        </is>
      </c>
      <c r="C116" s="22" t="n">
        <v>1190.488</v>
      </c>
      <c r="D116" s="22" t="n">
        <v>1612.451</v>
      </c>
      <c r="E116" s="22" t="n">
        <v>429.283</v>
      </c>
      <c r="F116" s="22" t="n">
        <v>869.881</v>
      </c>
      <c r="G116" s="22" t="n">
        <v>1317.2</v>
      </c>
      <c r="H116" s="22" t="n">
        <v>1764.835</v>
      </c>
      <c r="I116" s="22" t="n">
        <v>432.553</v>
      </c>
      <c r="J116" s="22" t="n">
        <v>885.485</v>
      </c>
      <c r="K116" s="22" t="n">
        <v>1347.418</v>
      </c>
      <c r="L116" s="22" t="n">
        <v>1808.85</v>
      </c>
      <c r="M116" s="22" t="n">
        <v>465.781</v>
      </c>
      <c r="N116" s="22" t="n">
        <v>887.955</v>
      </c>
      <c r="R116" s="22" t="n">
        <v>1893.357</v>
      </c>
      <c r="S116" s="22" t="n">
        <v>3104.019</v>
      </c>
      <c r="T116" s="22" t="n">
        <v>1538.9</v>
      </c>
      <c r="U116" s="22" t="n">
        <v>1490.231</v>
      </c>
      <c r="V116" s="22" t="n">
        <v>1612.451</v>
      </c>
      <c r="W116" s="22" t="n">
        <v>1764.835</v>
      </c>
      <c r="X116" s="22" t="n">
        <v>1808.85</v>
      </c>
    </row>
    <row r="117">
      <c r="A117" s="20" t="inlineStr">
        <is>
          <t>위약금 손실</t>
        </is>
      </c>
      <c r="R117" s="22" t="n">
        <v>0</v>
      </c>
      <c r="S117" s="22" t="n">
        <v>400.077</v>
      </c>
      <c r="T117" s="22" t="n">
        <v>0</v>
      </c>
    </row>
    <row r="118">
      <c r="A118" s="20" t="inlineStr">
        <is>
          <t>금융수익</t>
        </is>
      </c>
      <c r="C118" s="22" t="n">
        <v>-81.485</v>
      </c>
      <c r="D118" s="22" t="n">
        <v>-123.893</v>
      </c>
      <c r="E118" s="22" t="n">
        <v>-11.333</v>
      </c>
      <c r="F118" s="22" t="n">
        <v>-70.25</v>
      </c>
      <c r="G118" s="22" t="n">
        <v>-80.89100000000001</v>
      </c>
      <c r="H118" s="22" t="n">
        <v>-152.048</v>
      </c>
      <c r="I118" s="22" t="n">
        <v>-5.199</v>
      </c>
      <c r="J118" s="22" t="n">
        <v>-82.553</v>
      </c>
      <c r="K118" s="22" t="n">
        <v>-93.92</v>
      </c>
      <c r="L118" s="22" t="n">
        <v>-193.845</v>
      </c>
      <c r="M118" s="22" t="n">
        <v>-5.924</v>
      </c>
      <c r="N118" s="22" t="n">
        <v>-169.613</v>
      </c>
      <c r="R118" s="22" t="n">
        <v>-25.909</v>
      </c>
      <c r="S118" s="22" t="n">
        <v>-89.206</v>
      </c>
      <c r="T118" s="22" t="n">
        <v>-50.026</v>
      </c>
      <c r="U118" s="22" t="n">
        <v>-72.782</v>
      </c>
      <c r="V118" s="22" t="n">
        <v>-123.893</v>
      </c>
      <c r="W118" s="22" t="n">
        <v>-152.048</v>
      </c>
      <c r="X118" s="22" t="n">
        <v>-193.845</v>
      </c>
    </row>
    <row r="119">
      <c r="A119" s="20" t="inlineStr">
        <is>
          <t>금융비용</t>
        </is>
      </c>
      <c r="C119" s="22" t="n">
        <v>98.16</v>
      </c>
      <c r="D119" s="22" t="n">
        <v>142.889</v>
      </c>
      <c r="E119" s="22" t="n">
        <v>28.251</v>
      </c>
      <c r="F119" s="22" t="n">
        <v>29.82</v>
      </c>
      <c r="G119" s="22" t="n">
        <v>59.015</v>
      </c>
      <c r="H119" s="22" t="n">
        <v>108.075</v>
      </c>
      <c r="I119" s="22" t="n">
        <v>24.898</v>
      </c>
      <c r="J119" s="22" t="n">
        <v>65.636</v>
      </c>
      <c r="K119" s="22" t="n">
        <v>112.301</v>
      </c>
      <c r="L119" s="22" t="n">
        <v>159.872</v>
      </c>
      <c r="M119" s="22" t="n">
        <v>37.845</v>
      </c>
      <c r="N119" s="22" t="n">
        <v>76.693</v>
      </c>
      <c r="R119" s="22" t="n">
        <v>174.946</v>
      </c>
      <c r="S119" s="22" t="n">
        <v>150.019</v>
      </c>
      <c r="T119" s="22" t="n">
        <v>143.948</v>
      </c>
      <c r="U119" s="22" t="n">
        <v>160.356</v>
      </c>
      <c r="V119" s="22" t="n">
        <v>142.889</v>
      </c>
      <c r="W119" s="22" t="n">
        <v>108.075</v>
      </c>
      <c r="X119" s="22" t="n">
        <v>159.872</v>
      </c>
    </row>
    <row r="120">
      <c r="A120" s="20" t="inlineStr">
        <is>
          <t>매출채권 및 기타채권 증감액</t>
        </is>
      </c>
      <c r="C120" s="22" t="n">
        <v>-443.746</v>
      </c>
      <c r="D120" s="22" t="n">
        <v>-196.751</v>
      </c>
      <c r="E120" s="22" t="n">
        <v>-452.714</v>
      </c>
      <c r="F120" s="22" t="n">
        <v>-1582.561</v>
      </c>
      <c r="G120" s="22" t="n">
        <v>-603.657</v>
      </c>
      <c r="H120" s="22" t="n">
        <v>-698.276</v>
      </c>
      <c r="I120" s="22" t="n">
        <v>13.195</v>
      </c>
      <c r="J120" s="22" t="n">
        <v>94.92400000000001</v>
      </c>
      <c r="K120" s="22" t="n">
        <v>-538.177</v>
      </c>
      <c r="L120" s="22" t="n">
        <v>-1448.472</v>
      </c>
      <c r="M120" s="22" t="n">
        <v>1430.814</v>
      </c>
      <c r="N120" s="22" t="n">
        <v>668.778</v>
      </c>
      <c r="R120" s="22" t="n">
        <v>-405.246</v>
      </c>
      <c r="S120" s="22" t="n">
        <v>-51.101</v>
      </c>
      <c r="T120" s="22" t="n">
        <v>233.281</v>
      </c>
      <c r="U120" s="22" t="n">
        <v>22.422</v>
      </c>
      <c r="V120" s="22" t="n">
        <v>-196.751</v>
      </c>
      <c r="W120" s="22" t="n">
        <v>-698.276</v>
      </c>
      <c r="X120" s="22" t="n">
        <v>-1448.472</v>
      </c>
    </row>
    <row r="121">
      <c r="A121" s="20" t="inlineStr">
        <is>
          <t>매입채무 및 기타채무 증감액</t>
        </is>
      </c>
      <c r="C121" s="22" t="n">
        <v>-284.707</v>
      </c>
      <c r="D121" s="22" t="n">
        <v>-203.872</v>
      </c>
      <c r="E121" s="22" t="n">
        <v>-56.925</v>
      </c>
      <c r="F121" s="22" t="n">
        <v>48.348</v>
      </c>
      <c r="G121" s="22" t="n">
        <v>42.545</v>
      </c>
      <c r="H121" s="22" t="n">
        <v>51.684</v>
      </c>
      <c r="I121" s="22" t="n">
        <v>-146.567</v>
      </c>
      <c r="J121" s="22" t="n">
        <v>2.432</v>
      </c>
      <c r="K121" s="22" t="n">
        <v>228.545</v>
      </c>
      <c r="L121" s="22" t="n">
        <v>12.49</v>
      </c>
      <c r="M121" s="22" t="n">
        <v>25.008</v>
      </c>
      <c r="N121" s="22" t="n">
        <v>32.635</v>
      </c>
      <c r="R121" s="22" t="n">
        <v>221.046</v>
      </c>
      <c r="S121" s="22" t="n">
        <v>-46.606</v>
      </c>
      <c r="T121" s="22" t="n">
        <v>-204.222</v>
      </c>
      <c r="U121" s="22" t="n">
        <v>422.902</v>
      </c>
      <c r="V121" s="22" t="n">
        <v>-203.872</v>
      </c>
      <c r="W121" s="22" t="n">
        <v>51.684</v>
      </c>
      <c r="X121" s="22" t="n">
        <v>12.49</v>
      </c>
    </row>
    <row r="122">
      <c r="A122" s="20" t="inlineStr">
        <is>
          <t>계약부채 증감</t>
        </is>
      </c>
      <c r="C122" s="22" t="n">
        <v>1044.582</v>
      </c>
      <c r="D122" s="22" t="n">
        <v>632.068</v>
      </c>
      <c r="E122" s="22" t="n">
        <v>1774.217</v>
      </c>
      <c r="F122" s="22" t="n">
        <v>1474.051</v>
      </c>
      <c r="G122" s="22" t="n">
        <v>1436.378</v>
      </c>
      <c r="H122" s="22" t="n">
        <v>1092.81</v>
      </c>
      <c r="I122" s="22" t="n">
        <v>1173.375</v>
      </c>
      <c r="J122" s="22" t="n">
        <v>1229.133</v>
      </c>
      <c r="K122" s="22" t="n">
        <v>735.806</v>
      </c>
      <c r="L122" s="22" t="n">
        <v>-51.662</v>
      </c>
      <c r="M122" s="22" t="n">
        <v>1965.157</v>
      </c>
      <c r="N122" s="22" t="n">
        <v>1634.498</v>
      </c>
      <c r="R122" s="22" t="n">
        <v>312.761</v>
      </c>
      <c r="S122" s="22" t="n">
        <v>27.69</v>
      </c>
      <c r="T122" s="22" t="n">
        <v>219.978</v>
      </c>
      <c r="U122" s="22" t="n">
        <v>611.242</v>
      </c>
      <c r="V122" s="22" t="n">
        <v>632.068</v>
      </c>
      <c r="W122" s="22" t="n">
        <v>1092.81</v>
      </c>
      <c r="X122" s="22" t="n">
        <v>-51.662</v>
      </c>
    </row>
    <row r="123">
      <c r="A123" s="20" t="inlineStr">
        <is>
          <t>기타 유동부채 증감</t>
        </is>
      </c>
      <c r="D123" s="22" t="n">
        <v>223.395</v>
      </c>
      <c r="E123" s="22" t="n">
        <v>-559.7809999999999</v>
      </c>
      <c r="H123" s="22" t="n">
        <v>-55.653</v>
      </c>
      <c r="I123" s="22" t="n">
        <v>-415.193</v>
      </c>
      <c r="J123" s="22" t="n">
        <v>-202.048</v>
      </c>
      <c r="L123" s="22" t="n">
        <v>288.401</v>
      </c>
      <c r="M123" s="22" t="n">
        <v>-617.776</v>
      </c>
      <c r="N123" s="22" t="n">
        <v>-361.851</v>
      </c>
      <c r="R123" s="22" t="n">
        <v>95.248</v>
      </c>
      <c r="S123" s="22" t="n">
        <v>90.988</v>
      </c>
      <c r="T123" s="22" t="n">
        <v>-239.532</v>
      </c>
      <c r="U123" s="22" t="n">
        <v>185.612</v>
      </c>
      <c r="V123" s="22" t="n">
        <v>223.395</v>
      </c>
      <c r="W123" s="22" t="n">
        <v>-55.653</v>
      </c>
      <c r="X123" s="22" t="n">
        <v>288.401</v>
      </c>
    </row>
    <row r="124">
      <c r="A124" s="20" t="inlineStr">
        <is>
          <t>기타</t>
        </is>
      </c>
      <c r="C124" s="22" t="n">
        <v>-24.73</v>
      </c>
      <c r="D124" s="22" t="n">
        <v>207.101</v>
      </c>
      <c r="E124" s="22" t="n">
        <v>-8.57</v>
      </c>
      <c r="F124" s="22" t="n">
        <v>-573.688</v>
      </c>
      <c r="G124" s="22" t="n">
        <v>-128.257</v>
      </c>
      <c r="H124" s="22" t="n">
        <v>394.112</v>
      </c>
      <c r="I124" s="22" t="n">
        <v>177.717</v>
      </c>
      <c r="J124" s="22" t="n">
        <v>-413.391</v>
      </c>
      <c r="K124" s="22" t="n">
        <v>-84.124</v>
      </c>
      <c r="L124" s="22" t="n">
        <v>291.881</v>
      </c>
      <c r="M124" s="22" t="n">
        <v>-51.447</v>
      </c>
      <c r="N124" s="22" t="n">
        <v>-551.026</v>
      </c>
      <c r="R124" s="22" t="n">
        <v>335.942</v>
      </c>
      <c r="S124" s="22" t="n">
        <v>53.811</v>
      </c>
      <c r="T124" s="22" t="n">
        <v>76.249</v>
      </c>
      <c r="U124" s="22" t="n">
        <v>7.814</v>
      </c>
      <c r="V124" s="22" t="n">
        <v>207.101</v>
      </c>
      <c r="W124" s="22" t="n">
        <v>394.112</v>
      </c>
      <c r="X124" s="22" t="n">
        <v>291.881</v>
      </c>
    </row>
    <row r="125">
      <c r="A125" s="20" t="inlineStr">
        <is>
          <t>소계</t>
        </is>
      </c>
      <c r="C125" s="22" t="n">
        <v>7748.582</v>
      </c>
      <c r="D125" s="22" t="n">
        <v>9598.226000000001</v>
      </c>
      <c r="E125" s="22" t="n">
        <v>3548.317</v>
      </c>
      <c r="F125" s="22" t="n">
        <v>5189.691</v>
      </c>
      <c r="G125" s="22" t="n">
        <v>8594.143</v>
      </c>
      <c r="H125" s="22" t="n">
        <v>10759.534</v>
      </c>
      <c r="I125" s="22" t="n">
        <v>3343.669</v>
      </c>
      <c r="J125" s="22" t="n">
        <v>5724.43</v>
      </c>
      <c r="K125" s="22" t="n">
        <v>7925.643</v>
      </c>
      <c r="L125" s="22" t="n">
        <v>9955.072</v>
      </c>
      <c r="M125" s="22" t="n">
        <v>5427.724</v>
      </c>
      <c r="N125" s="22" t="n">
        <v>7524.867</v>
      </c>
      <c r="R125" s="22" t="n">
        <v>8125.914</v>
      </c>
      <c r="S125" s="22" t="n">
        <v>6793.264</v>
      </c>
      <c r="T125" s="22" t="n">
        <v>7628.613</v>
      </c>
      <c r="U125" s="22" t="n">
        <v>8688.295</v>
      </c>
      <c r="V125" s="22" t="n">
        <v>9598.226000000001</v>
      </c>
      <c r="W125" s="22" t="n">
        <v>10759.534</v>
      </c>
      <c r="X125" s="22" t="n">
        <v>9955.072</v>
      </c>
    </row>
    <row r="126">
      <c r="A126" s="20" t="inlineStr">
        <is>
          <t>이자·배당금 수취</t>
        </is>
      </c>
      <c r="C126" s="22" t="n">
        <v>65.172</v>
      </c>
      <c r="D126" s="22" t="n">
        <v>101.339</v>
      </c>
      <c r="E126" s="22" t="n">
        <v>5.604</v>
      </c>
      <c r="F126" s="22" t="n">
        <v>62.492</v>
      </c>
      <c r="G126" s="22" t="n">
        <v>73.133</v>
      </c>
      <c r="H126" s="22" t="n">
        <v>124.96</v>
      </c>
      <c r="I126" s="22" t="n">
        <v>5.199</v>
      </c>
      <c r="J126" s="22" t="n">
        <v>93.78</v>
      </c>
      <c r="K126" s="22" t="n">
        <v>93.89700000000001</v>
      </c>
      <c r="L126" s="22" t="n">
        <v>185.901</v>
      </c>
      <c r="M126" s="22" t="n">
        <v>5.924</v>
      </c>
      <c r="N126" s="22" t="n">
        <v>180.827</v>
      </c>
      <c r="R126" s="22" t="n">
        <v>25.909</v>
      </c>
      <c r="S126" s="22" t="n">
        <v>24.822</v>
      </c>
      <c r="T126" s="22" t="n">
        <v>42.822</v>
      </c>
      <c r="U126" s="22" t="n">
        <v>52.033</v>
      </c>
      <c r="V126" s="22" t="n">
        <v>101.339</v>
      </c>
      <c r="W126" s="22" t="n">
        <v>124.96</v>
      </c>
      <c r="X126" s="22" t="n">
        <v>185.901</v>
      </c>
    </row>
    <row r="127">
      <c r="A127" s="20" t="inlineStr">
        <is>
          <t>이자 지급</t>
        </is>
      </c>
      <c r="C127" s="22" t="n">
        <v>-51.856</v>
      </c>
      <c r="D127" s="22" t="n">
        <v>-68.152</v>
      </c>
      <c r="E127" s="22" t="n">
        <v>-13.23</v>
      </c>
      <c r="F127" s="22" t="n">
        <v>-27.518</v>
      </c>
      <c r="G127" s="22" t="n">
        <v>-43.964</v>
      </c>
      <c r="H127" s="22" t="n">
        <v>-66.422</v>
      </c>
      <c r="I127" s="22" t="n">
        <v>-30.367</v>
      </c>
      <c r="J127" s="22" t="n">
        <v>-61.406</v>
      </c>
      <c r="K127" s="22" t="n">
        <v>-89.77200000000001</v>
      </c>
      <c r="L127" s="22" t="n">
        <v>-119.668</v>
      </c>
      <c r="M127" s="22" t="n">
        <v>-29.318</v>
      </c>
      <c r="N127" s="22" t="n">
        <v>-60.46</v>
      </c>
      <c r="R127" s="22" t="n">
        <v>-125.998</v>
      </c>
      <c r="S127" s="22" t="n">
        <v>-113.059</v>
      </c>
      <c r="T127" s="22" t="n">
        <v>-89.78400000000001</v>
      </c>
      <c r="U127" s="22" t="n">
        <v>-79.19</v>
      </c>
      <c r="V127" s="22" t="n">
        <v>-68.152</v>
      </c>
      <c r="W127" s="22" t="n">
        <v>-66.422</v>
      </c>
      <c r="X127" s="22" t="n">
        <v>-119.668</v>
      </c>
    </row>
    <row r="128">
      <c r="A128" s="20" t="inlineStr">
        <is>
          <t>지분법 적용회사 배당금 수령액</t>
        </is>
      </c>
      <c r="F128" s="22" t="n">
        <v>0</v>
      </c>
      <c r="G128" s="22" t="n">
        <v>0</v>
      </c>
      <c r="H128" s="22" t="n">
        <v>0</v>
      </c>
      <c r="J128" s="22" t="n">
        <v>11.25</v>
      </c>
      <c r="K128" s="22" t="n">
        <v>11.25</v>
      </c>
      <c r="L128" s="22" t="n">
        <v>11.25</v>
      </c>
      <c r="W128" s="22" t="n">
        <v>0</v>
      </c>
      <c r="X128" s="22" t="n">
        <v>11.25</v>
      </c>
    </row>
    <row r="129">
      <c r="A129" s="20" t="inlineStr">
        <is>
          <t>법인소득세 지급액</t>
        </is>
      </c>
      <c r="C129" s="22" t="n">
        <v>-1779.805</v>
      </c>
      <c r="D129" s="22" t="n">
        <v>-1791.385</v>
      </c>
      <c r="E129" s="22" t="n">
        <v>-1318.99</v>
      </c>
      <c r="F129" s="22" t="n">
        <v>-1336.742</v>
      </c>
      <c r="G129" s="22" t="n">
        <v>-2600.173</v>
      </c>
      <c r="H129" s="22" t="n">
        <v>-2621.828</v>
      </c>
      <c r="I129" s="22" t="n">
        <v>-1401.605</v>
      </c>
      <c r="J129" s="22" t="n">
        <v>-1418.22</v>
      </c>
      <c r="K129" s="22" t="n">
        <v>-2808.31</v>
      </c>
      <c r="L129" s="22" t="n">
        <v>-2834.556</v>
      </c>
      <c r="M129" s="22" t="n">
        <v>-1319.354</v>
      </c>
      <c r="N129" s="22" t="n">
        <v>-1358.111</v>
      </c>
      <c r="R129" s="22" t="n">
        <v>-1470.235</v>
      </c>
      <c r="S129" s="22" t="n">
        <v>-1752.105</v>
      </c>
      <c r="T129" s="22" t="n">
        <v>-1142.201</v>
      </c>
      <c r="U129" s="22" t="n">
        <v>-1790.334</v>
      </c>
      <c r="V129" s="22" t="n">
        <v>-1791.385</v>
      </c>
      <c r="W129" s="22" t="n">
        <v>-2621.828</v>
      </c>
      <c r="X129" s="22" t="n">
        <v>-2834.556</v>
      </c>
    </row>
    <row r="130">
      <c r="A130" s="9" t="inlineStr">
        <is>
          <t>영업활동 현금흐름</t>
        </is>
      </c>
      <c r="C130" s="12" t="n">
        <v>5982.092</v>
      </c>
      <c r="D130" s="12" t="n">
        <v>7840.027</v>
      </c>
      <c r="E130" s="12" t="n">
        <v>2221.701</v>
      </c>
      <c r="F130" s="12" t="n">
        <v>3887.923</v>
      </c>
      <c r="G130" s="12" t="n">
        <v>6023.138</v>
      </c>
      <c r="H130" s="12" t="n">
        <v>8196.244000000001</v>
      </c>
      <c r="I130" s="12" t="n">
        <v>1916.897</v>
      </c>
      <c r="J130" s="12" t="n">
        <v>4338.583</v>
      </c>
      <c r="K130" s="12" t="n">
        <v>5132.707</v>
      </c>
      <c r="L130" s="12" t="n">
        <v>7197.999</v>
      </c>
      <c r="M130" s="12" t="n">
        <v>4084.976</v>
      </c>
      <c r="N130" s="12" t="n">
        <v>6287.123</v>
      </c>
      <c r="R130" s="12" t="n">
        <v>6555.589</v>
      </c>
      <c r="S130" s="12" t="n">
        <v>4952.922</v>
      </c>
      <c r="T130" s="12" t="n">
        <v>6439.45</v>
      </c>
      <c r="U130" s="12" t="n">
        <v>6870.802</v>
      </c>
      <c r="V130" s="12" t="n">
        <v>7840.027</v>
      </c>
      <c r="W130" s="12" t="n">
        <v>8196.244000000001</v>
      </c>
      <c r="X130" s="12" t="n">
        <v>7197.999</v>
      </c>
    </row>
    <row r="131">
      <c r="A131" s="20" t="inlineStr">
        <is>
          <t>유형자산 취득(설비투자)</t>
        </is>
      </c>
      <c r="C131" s="22" t="n">
        <v>-473.581</v>
      </c>
      <c r="D131" s="22" t="n">
        <v>-488.573</v>
      </c>
      <c r="E131" s="22" t="n">
        <v>-52.228</v>
      </c>
      <c r="F131" s="22" t="n">
        <v>-193.693</v>
      </c>
      <c r="G131" s="22" t="n">
        <v>-339.941</v>
      </c>
      <c r="H131" s="22" t="n">
        <v>-390.578</v>
      </c>
      <c r="I131" s="22" t="n">
        <v>-69.342</v>
      </c>
      <c r="J131" s="22" t="n">
        <v>-84.479</v>
      </c>
      <c r="K131" s="22" t="n">
        <v>-119.767</v>
      </c>
      <c r="L131" s="22" t="n">
        <v>-182.314</v>
      </c>
      <c r="M131" s="22" t="n">
        <v>-123.808</v>
      </c>
      <c r="N131" s="22" t="n">
        <v>-173.087</v>
      </c>
      <c r="R131" s="22" t="n">
        <v>-341.154</v>
      </c>
      <c r="S131" s="22" t="n">
        <v>-490.409</v>
      </c>
      <c r="T131" s="22" t="n">
        <v>-104.09</v>
      </c>
      <c r="U131" s="22" t="n">
        <v>-93.16200000000001</v>
      </c>
      <c r="V131" s="22" t="n">
        <v>-488.573</v>
      </c>
      <c r="W131" s="22" t="n">
        <v>-390.578</v>
      </c>
      <c r="X131" s="22" t="n">
        <v>-182.314</v>
      </c>
    </row>
    <row r="132">
      <c r="A132" s="20" t="inlineStr">
        <is>
          <t>무형자산 취득 지출</t>
        </is>
      </c>
      <c r="C132" s="22" t="n">
        <v>-517.348</v>
      </c>
      <c r="D132" s="22" t="n">
        <v>-585.223</v>
      </c>
      <c r="E132" s="22" t="n">
        <v>-96.851</v>
      </c>
      <c r="F132" s="22" t="n">
        <v>-215.489</v>
      </c>
      <c r="G132" s="22" t="n">
        <v>-332.052</v>
      </c>
      <c r="H132" s="22" t="n">
        <v>-429.313</v>
      </c>
      <c r="I132" s="22" t="n">
        <v>-152.803</v>
      </c>
      <c r="J132" s="22" t="n">
        <v>-238.07</v>
      </c>
      <c r="K132" s="22" t="n">
        <v>-313.534</v>
      </c>
      <c r="L132" s="22" t="n">
        <v>-385.208</v>
      </c>
      <c r="M132" s="22" t="n">
        <v>-92.25</v>
      </c>
      <c r="N132" s="22" t="n">
        <v>-154.705</v>
      </c>
      <c r="R132" s="22" t="n">
        <v>-79.072</v>
      </c>
      <c r="S132" s="22" t="n">
        <v>-10.787</v>
      </c>
      <c r="T132" s="22" t="n">
        <v>-391.472</v>
      </c>
      <c r="U132" s="22" t="n">
        <v>-468.442</v>
      </c>
      <c r="V132" s="22" t="n">
        <v>-585.223</v>
      </c>
      <c r="W132" s="22" t="n">
        <v>-429.313</v>
      </c>
      <c r="X132" s="22" t="n">
        <v>-385.208</v>
      </c>
    </row>
    <row r="133">
      <c r="A133" s="20" t="inlineStr">
        <is>
          <t>임차보증금·보증금 납입</t>
        </is>
      </c>
      <c r="C133" s="22" t="n">
        <v>-8.061</v>
      </c>
      <c r="D133" s="22" t="n">
        <v>-16.436</v>
      </c>
      <c r="E133" s="22" t="n">
        <v>-22.469</v>
      </c>
      <c r="F133" s="22" t="n">
        <v>-22.469</v>
      </c>
      <c r="G133" s="22" t="n">
        <v>-22.549</v>
      </c>
      <c r="H133" s="22" t="n">
        <v>-23.401</v>
      </c>
      <c r="I133" s="22" t="n">
        <v>-0.226</v>
      </c>
      <c r="J133" s="22" t="n">
        <v>-0.226</v>
      </c>
      <c r="K133" s="22" t="n">
        <v>-1.509</v>
      </c>
      <c r="L133" s="22" t="n">
        <v>-16.317</v>
      </c>
      <c r="M133" s="22" t="n">
        <v>-27.019</v>
      </c>
      <c r="N133" s="22" t="n">
        <v>-30.56</v>
      </c>
      <c r="R133" s="22" t="n">
        <v>-26.564</v>
      </c>
      <c r="S133" s="22" t="n">
        <v>-6.728</v>
      </c>
      <c r="T133" s="22" t="n">
        <v>-2.021</v>
      </c>
      <c r="U133" s="22" t="n">
        <v>-59.827</v>
      </c>
      <c r="V133" s="22" t="n">
        <v>-16.436</v>
      </c>
      <c r="W133" s="22" t="n">
        <v>-23.401</v>
      </c>
      <c r="X133" s="22" t="n">
        <v>-16.317</v>
      </c>
    </row>
    <row r="134">
      <c r="A134" s="20" t="inlineStr">
        <is>
          <t>임차보증금·보증금 회수</t>
        </is>
      </c>
      <c r="C134" s="22" t="n">
        <v>7.567</v>
      </c>
      <c r="D134" s="22" t="n">
        <v>11.482</v>
      </c>
      <c r="E134" s="22" t="n">
        <v>0.12</v>
      </c>
      <c r="F134" s="22" t="n">
        <v>1.993</v>
      </c>
      <c r="G134" s="22" t="n">
        <v>9.417999999999999</v>
      </c>
      <c r="H134" s="22" t="n">
        <v>16.242</v>
      </c>
      <c r="I134" s="22" t="n">
        <v>0.156</v>
      </c>
      <c r="J134" s="22" t="n">
        <v>0.206</v>
      </c>
      <c r="K134" s="22" t="n">
        <v>0.206</v>
      </c>
      <c r="L134" s="22" t="n">
        <v>1.603</v>
      </c>
      <c r="M134" s="22" t="n">
        <v>1.909</v>
      </c>
      <c r="N134" s="22" t="n">
        <v>5.07</v>
      </c>
      <c r="R134" s="22" t="n">
        <v>1.332</v>
      </c>
      <c r="S134" s="22" t="n">
        <v>440.089</v>
      </c>
      <c r="T134" s="22" t="n">
        <v>9.287000000000001</v>
      </c>
      <c r="U134" s="22" t="n">
        <v>15.934</v>
      </c>
      <c r="V134" s="22" t="n">
        <v>11.482</v>
      </c>
      <c r="W134" s="22" t="n">
        <v>16.242</v>
      </c>
      <c r="X134" s="22" t="n">
        <v>1.603</v>
      </c>
    </row>
    <row r="135">
      <c r="A135" s="20" t="inlineStr">
        <is>
          <t>투자유가증권 취득</t>
        </is>
      </c>
      <c r="C135" s="22" t="n">
        <v>-487.095</v>
      </c>
      <c r="D135" s="22" t="n">
        <v>-527.095</v>
      </c>
      <c r="E135" s="22" t="n">
        <v>0</v>
      </c>
      <c r="F135" s="22" t="n">
        <v>0</v>
      </c>
      <c r="G135" s="22" t="n">
        <v>0</v>
      </c>
      <c r="H135" s="22" t="n">
        <v>0</v>
      </c>
      <c r="L135" s="22" t="n">
        <v>-40</v>
      </c>
      <c r="R135" s="22" t="n">
        <v>-50</v>
      </c>
      <c r="S135" s="22" t="n">
        <v>-128</v>
      </c>
      <c r="T135" s="22" t="n">
        <v>-121.299</v>
      </c>
      <c r="U135" s="22" t="n">
        <v>-414.686</v>
      </c>
      <c r="V135" s="22" t="n">
        <v>-527.095</v>
      </c>
      <c r="W135" s="22" t="n">
        <v>0</v>
      </c>
      <c r="X135" s="22" t="n">
        <v>-40</v>
      </c>
    </row>
    <row r="136">
      <c r="A136" s="20" t="inlineStr">
        <is>
          <t>투자유가증권 매각·상환 수입</t>
        </is>
      </c>
      <c r="C136" s="22" t="n">
        <v>35.548</v>
      </c>
      <c r="D136" s="22" t="n">
        <v>35.548</v>
      </c>
      <c r="E136" s="22" t="n">
        <v>0</v>
      </c>
      <c r="F136" s="22" t="n">
        <v>0.612</v>
      </c>
      <c r="G136" s="22" t="n">
        <v>0.622</v>
      </c>
      <c r="H136" s="22" t="n">
        <v>22.992</v>
      </c>
      <c r="L136" s="22" t="n">
        <v>2.027</v>
      </c>
      <c r="R136" s="22" t="n">
        <v>73.86</v>
      </c>
      <c r="S136" s="22" t="n">
        <v>60.957</v>
      </c>
      <c r="T136" s="22" t="n">
        <v>2.229</v>
      </c>
      <c r="U136" s="22" t="n">
        <v>0</v>
      </c>
      <c r="V136" s="22" t="n">
        <v>35.548</v>
      </c>
      <c r="W136" s="22" t="n">
        <v>22.992</v>
      </c>
      <c r="X136" s="22" t="n">
        <v>2.027</v>
      </c>
    </row>
    <row r="137">
      <c r="A137" s="20" t="inlineStr">
        <is>
          <t>자회사 취득 수입</t>
        </is>
      </c>
      <c r="S137" s="22" t="n">
        <v>0</v>
      </c>
      <c r="T137" s="22" t="n">
        <v>77</v>
      </c>
      <c r="U137" s="22" t="n">
        <v>0</v>
      </c>
    </row>
    <row r="138">
      <c r="A138" s="20" t="inlineStr">
        <is>
          <t>투자 매각·상환 수입</t>
        </is>
      </c>
      <c r="F138" s="22" t="n">
        <v>0.612</v>
      </c>
      <c r="G138" s="22" t="n">
        <v>0.622</v>
      </c>
      <c r="I138" s="22" t="n">
        <v>0</v>
      </c>
      <c r="J138" s="22" t="n">
        <v>2.027</v>
      </c>
      <c r="K138" s="22" t="n">
        <v>2.027</v>
      </c>
      <c r="M138" s="22" t="n">
        <v>21.076</v>
      </c>
      <c r="N138" s="22" t="n">
        <v>54.633</v>
      </c>
    </row>
    <row r="139">
      <c r="A139" s="20" t="inlineStr">
        <is>
          <t>자회사 취득 지출</t>
        </is>
      </c>
      <c r="C139" s="22" t="n">
        <v>0</v>
      </c>
      <c r="D139" s="22" t="n">
        <v>0</v>
      </c>
      <c r="E139" s="22" t="n">
        <v>-410.059</v>
      </c>
      <c r="F139" s="22" t="n">
        <v>-410.059</v>
      </c>
      <c r="G139" s="22" t="n">
        <v>-410.059</v>
      </c>
      <c r="H139" s="22" t="n">
        <v>-410.059</v>
      </c>
      <c r="I139" s="22" t="n">
        <v>0</v>
      </c>
      <c r="J139" s="22" t="n">
        <v>-2266.304</v>
      </c>
      <c r="K139" s="22" t="n">
        <v>-2266.304</v>
      </c>
      <c r="L139" s="22" t="n">
        <v>-2266.304</v>
      </c>
      <c r="N139" s="22" t="n">
        <v>0</v>
      </c>
      <c r="V139" s="22" t="n">
        <v>0</v>
      </c>
      <c r="W139" s="22" t="n">
        <v>-410.059</v>
      </c>
      <c r="X139" s="22" t="n">
        <v>-2266.304</v>
      </c>
    </row>
    <row r="140">
      <c r="A140" s="20" t="inlineStr">
        <is>
          <t>관계회사 취득 지출</t>
        </is>
      </c>
      <c r="D140" s="22" t="n">
        <v>0</v>
      </c>
      <c r="H140" s="22" t="n">
        <v>-450</v>
      </c>
      <c r="L140" s="22" t="n">
        <v>0</v>
      </c>
      <c r="V140" s="22" t="n">
        <v>0</v>
      </c>
      <c r="W140" s="22" t="n">
        <v>-450</v>
      </c>
      <c r="X140" s="22" t="n">
        <v>0</v>
      </c>
    </row>
    <row r="141">
      <c r="A141" s="20" t="inlineStr">
        <is>
          <t>기타</t>
        </is>
      </c>
      <c r="C141" s="22" t="n">
        <v>-30.608</v>
      </c>
      <c r="D141" s="22" t="n">
        <v>-30.608</v>
      </c>
      <c r="E141" s="22" t="n">
        <v>0</v>
      </c>
      <c r="F141" s="22" t="n">
        <v>2.542</v>
      </c>
      <c r="G141" s="22" t="n">
        <v>1.72</v>
      </c>
      <c r="H141" s="22" t="n">
        <v>7.047</v>
      </c>
      <c r="I141" s="22" t="n">
        <v>-8.342000000000001</v>
      </c>
      <c r="J141" s="22" t="n">
        <v>-8.906000000000001</v>
      </c>
      <c r="K141" s="22" t="n">
        <v>-9.664999999999999</v>
      </c>
      <c r="L141" s="22" t="n">
        <v>-8.506</v>
      </c>
      <c r="M141" s="22" t="n">
        <v>-8.259</v>
      </c>
      <c r="N141" s="22" t="n">
        <v>-50.949</v>
      </c>
      <c r="R141" s="22" t="n">
        <v>2.749</v>
      </c>
      <c r="S141" s="22" t="n">
        <v>0</v>
      </c>
      <c r="T141" s="22" t="n">
        <v>-2.184</v>
      </c>
      <c r="U141" s="22" t="n">
        <v>-0.281</v>
      </c>
      <c r="V141" s="22" t="n">
        <v>-30.608</v>
      </c>
      <c r="W141" s="22" t="n">
        <v>7.047</v>
      </c>
      <c r="X141" s="22" t="n">
        <v>-8.506</v>
      </c>
    </row>
    <row r="142">
      <c r="A142" s="9" t="inlineStr">
        <is>
          <t>투자활동 현금흐름</t>
        </is>
      </c>
      <c r="C142" s="12" t="n">
        <v>-1473.579</v>
      </c>
      <c r="D142" s="12" t="n">
        <v>-1600.906</v>
      </c>
      <c r="E142" s="12" t="n">
        <v>-581.489</v>
      </c>
      <c r="F142" s="12" t="n">
        <v>-836.561</v>
      </c>
      <c r="G142" s="12" t="n">
        <v>-1092.841</v>
      </c>
      <c r="H142" s="12" t="n">
        <v>-1657.07</v>
      </c>
      <c r="I142" s="12" t="n">
        <v>-230.558</v>
      </c>
      <c r="J142" s="12" t="n">
        <v>-2595.753</v>
      </c>
      <c r="K142" s="12" t="n">
        <v>-2708.548</v>
      </c>
      <c r="L142" s="12" t="n">
        <v>-2895.02</v>
      </c>
      <c r="M142" s="12" t="n">
        <v>-228.351</v>
      </c>
      <c r="N142" s="12" t="n">
        <v>-349.598</v>
      </c>
      <c r="R142" s="12" t="n">
        <v>-418.848</v>
      </c>
      <c r="S142" s="12" t="n">
        <v>-134.879</v>
      </c>
      <c r="T142" s="12" t="n">
        <v>-532.551</v>
      </c>
      <c r="U142" s="12" t="n">
        <v>-1020.466</v>
      </c>
      <c r="V142" s="12" t="n">
        <v>-1600.906</v>
      </c>
      <c r="W142" s="12" t="n">
        <v>-1657.07</v>
      </c>
      <c r="X142" s="12" t="n">
        <v>-2895.02</v>
      </c>
    </row>
    <row r="143">
      <c r="A143" s="20" t="inlineStr">
        <is>
          <t>차입금 상환 지출</t>
        </is>
      </c>
      <c r="R143" s="22" t="n">
        <v>-3750</v>
      </c>
      <c r="S143" s="22" t="n">
        <v>-6500</v>
      </c>
      <c r="T143" s="22" t="n">
        <v>-2000</v>
      </c>
      <c r="U143" s="22" t="n">
        <v>-2000</v>
      </c>
    </row>
    <row r="144">
      <c r="A144" s="20" t="inlineStr">
        <is>
          <t>차입에 의한 수입</t>
        </is>
      </c>
      <c r="R144" s="22" t="n">
        <v>0</v>
      </c>
      <c r="S144" s="22" t="n">
        <v>4500</v>
      </c>
      <c r="T144" s="22" t="n">
        <v>0</v>
      </c>
    </row>
    <row r="145">
      <c r="A145" s="20" t="inlineStr">
        <is>
          <t>약정 수수료 지급액</t>
        </is>
      </c>
      <c r="R145" s="22" t="n">
        <v>-88</v>
      </c>
      <c r="S145" s="22" t="n">
        <v>0</v>
      </c>
    </row>
    <row r="146">
      <c r="A146" s="20" t="inlineStr">
        <is>
          <t>장기차입</t>
        </is>
      </c>
      <c r="D146" s="22" t="n">
        <v>10000</v>
      </c>
      <c r="H146" s="22" t="n">
        <v>0</v>
      </c>
      <c r="U146" s="22" t="n">
        <v>0</v>
      </c>
      <c r="V146" s="22" t="n">
        <v>10000</v>
      </c>
      <c r="W146" s="22" t="n">
        <v>0</v>
      </c>
    </row>
    <row r="147">
      <c r="A147" s="20" t="inlineStr">
        <is>
          <t>리스부채 상환 지출</t>
        </is>
      </c>
      <c r="C147" s="22" t="n">
        <v>-287.956</v>
      </c>
      <c r="D147" s="22" t="n">
        <v>-390.372</v>
      </c>
      <c r="E147" s="22" t="n">
        <v>-104.499</v>
      </c>
      <c r="F147" s="22" t="n">
        <v>-210.645</v>
      </c>
      <c r="G147" s="22" t="n">
        <v>-312.032</v>
      </c>
      <c r="H147" s="22" t="n">
        <v>-406.917</v>
      </c>
      <c r="I147" s="22" t="n">
        <v>-95.881</v>
      </c>
      <c r="J147" s="22" t="n">
        <v>-211.463</v>
      </c>
      <c r="K147" s="22" t="n">
        <v>-315.965</v>
      </c>
      <c r="L147" s="22" t="n">
        <v>-421.734</v>
      </c>
      <c r="M147" s="22" t="n">
        <v>-107.108</v>
      </c>
      <c r="N147" s="22" t="n">
        <v>-215.533</v>
      </c>
      <c r="R147" s="22" t="n">
        <v>-751.322</v>
      </c>
      <c r="S147" s="22" t="n">
        <v>-1997.285</v>
      </c>
      <c r="T147" s="22" t="n">
        <v>-369.941</v>
      </c>
      <c r="U147" s="22" t="n">
        <v>-362.769</v>
      </c>
      <c r="V147" s="22" t="n">
        <v>-390.372</v>
      </c>
      <c r="W147" s="22" t="n">
        <v>-406.917</v>
      </c>
      <c r="X147" s="22" t="n">
        <v>-421.734</v>
      </c>
    </row>
    <row r="148">
      <c r="A148" s="20" t="inlineStr">
        <is>
          <t>장기차입금 상환</t>
        </is>
      </c>
      <c r="C148" s="22" t="n">
        <v>-1000</v>
      </c>
      <c r="D148" s="22" t="n">
        <v>-12250</v>
      </c>
      <c r="E148" s="22" t="n">
        <v>0</v>
      </c>
      <c r="F148" s="22" t="n">
        <v>-733.726</v>
      </c>
      <c r="G148" s="22" t="n">
        <v>-752.659</v>
      </c>
      <c r="H148" s="22" t="n">
        <v>-1487.228</v>
      </c>
      <c r="I148" s="22" t="n">
        <v>-14.747</v>
      </c>
      <c r="J148" s="22" t="n">
        <v>-737.463</v>
      </c>
      <c r="K148" s="22" t="n">
        <v>-738.473</v>
      </c>
      <c r="L148" s="22" t="n">
        <v>-1453.761</v>
      </c>
      <c r="M148" s="22" t="n">
        <v>-1.002</v>
      </c>
      <c r="N148" s="22" t="n">
        <v>-716.289</v>
      </c>
      <c r="U148" s="22" t="n">
        <v>-2000</v>
      </c>
      <c r="V148" s="22" t="n">
        <v>-12250</v>
      </c>
      <c r="W148" s="22" t="n">
        <v>-1487.228</v>
      </c>
      <c r="X148" s="22" t="n">
        <v>-1453.761</v>
      </c>
    </row>
    <row r="149">
      <c r="A149" s="20" t="inlineStr">
        <is>
          <t>배당금 지급</t>
        </is>
      </c>
      <c r="C149" s="22" t="n">
        <v>-1896.766</v>
      </c>
      <c r="D149" s="22" t="n">
        <v>-1900.536</v>
      </c>
      <c r="E149" s="22" t="n">
        <v>-1558.136</v>
      </c>
      <c r="F149" s="22" t="n">
        <v>-1562.204</v>
      </c>
      <c r="G149" s="22" t="n">
        <v>-3006.31</v>
      </c>
      <c r="H149" s="22" t="n">
        <v>-3017.439</v>
      </c>
      <c r="I149" s="22" t="n">
        <v>-2151.61</v>
      </c>
      <c r="J149" s="22" t="n">
        <v>-2147.751</v>
      </c>
      <c r="K149" s="22" t="n">
        <v>-3944.227</v>
      </c>
      <c r="L149" s="22" t="n">
        <v>-3954.662</v>
      </c>
      <c r="M149" s="22" t="n">
        <v>-1807.079</v>
      </c>
      <c r="N149" s="22" t="n">
        <v>-1808.289</v>
      </c>
      <c r="S149" s="22" t="n">
        <v>0</v>
      </c>
      <c r="T149" s="22" t="n">
        <v>-1428.913</v>
      </c>
      <c r="U149" s="22" t="n">
        <v>-1478.262</v>
      </c>
      <c r="V149" s="22" t="n">
        <v>-1900.536</v>
      </c>
      <c r="W149" s="22" t="n">
        <v>-3017.439</v>
      </c>
      <c r="X149" s="22" t="n">
        <v>-3954.662</v>
      </c>
    </row>
    <row r="150">
      <c r="A150" s="20" t="inlineStr">
        <is>
          <t>비지배지분에 자회사 지분 매각 수입</t>
        </is>
      </c>
      <c r="C150" s="22" t="n">
        <v>0</v>
      </c>
      <c r="D150" s="22" t="n">
        <v>0</v>
      </c>
      <c r="T150" s="22" t="n">
        <v>0</v>
      </c>
      <c r="U150" s="22" t="n">
        <v>20</v>
      </c>
      <c r="V150" s="22" t="n">
        <v>0</v>
      </c>
    </row>
    <row r="151">
      <c r="A151" s="20" t="inlineStr">
        <is>
          <t>비지배지분으로부터 자회사 지분 취득 지출</t>
        </is>
      </c>
      <c r="C151" s="22" t="n">
        <v>-2.876</v>
      </c>
      <c r="D151" s="22" t="n">
        <v>-2.876</v>
      </c>
      <c r="G151" s="22" t="n">
        <v>0</v>
      </c>
      <c r="H151" s="22" t="n">
        <v>0</v>
      </c>
      <c r="U151" s="22" t="n">
        <v>0</v>
      </c>
      <c r="V151" s="22" t="n">
        <v>-2.876</v>
      </c>
      <c r="W151" s="22" t="n">
        <v>0</v>
      </c>
    </row>
    <row r="152">
      <c r="A152" s="20" t="inlineStr">
        <is>
          <t>비지배지분 납입 수입</t>
        </is>
      </c>
      <c r="D152" s="22" t="n">
        <v>0</v>
      </c>
      <c r="H152" s="22" t="n">
        <v>56</v>
      </c>
      <c r="L152" s="22" t="n">
        <v>0</v>
      </c>
      <c r="V152" s="22" t="n">
        <v>0</v>
      </c>
      <c r="W152" s="22" t="n">
        <v>56</v>
      </c>
      <c r="X152" s="22" t="n">
        <v>0</v>
      </c>
    </row>
    <row r="153">
      <c r="A153" s="20" t="inlineStr">
        <is>
          <t>기타</t>
        </is>
      </c>
      <c r="C153" s="22" t="n">
        <v>-3.315</v>
      </c>
      <c r="D153" s="22" t="n">
        <v>-44.249</v>
      </c>
      <c r="E153" s="22" t="n">
        <v>-0.924</v>
      </c>
      <c r="F153" s="22" t="n">
        <v>-1.799</v>
      </c>
      <c r="G153" s="22" t="n">
        <v>-1.799</v>
      </c>
      <c r="H153" s="22" t="n">
        <v>-1.507</v>
      </c>
      <c r="I153" s="22" t="n">
        <v>0</v>
      </c>
      <c r="J153" s="22" t="n">
        <v>0</v>
      </c>
      <c r="K153" s="22" t="n">
        <v>0</v>
      </c>
      <c r="L153" s="22" t="n">
        <v>0</v>
      </c>
      <c r="R153" s="22" t="n">
        <v>-4.302</v>
      </c>
      <c r="S153" s="22" t="n">
        <v>0.875</v>
      </c>
      <c r="T153" s="22" t="n">
        <v>-6.856</v>
      </c>
      <c r="U153" s="22" t="n">
        <v>-8.624000000000001</v>
      </c>
      <c r="V153" s="22" t="n">
        <v>-44.249</v>
      </c>
      <c r="W153" s="22" t="n">
        <v>-1.507</v>
      </c>
      <c r="X153" s="22" t="n">
        <v>0</v>
      </c>
    </row>
    <row r="154">
      <c r="A154" s="20" t="inlineStr">
        <is>
          <t>주식 발행</t>
        </is>
      </c>
      <c r="C154" s="22" t="n">
        <v>113.15</v>
      </c>
      <c r="D154" s="22" t="n">
        <v>125.95</v>
      </c>
      <c r="E154" s="22" t="n">
        <v>8.65</v>
      </c>
      <c r="F154" s="22" t="n">
        <v>21.7</v>
      </c>
      <c r="G154" s="22" t="n">
        <v>36</v>
      </c>
      <c r="H154" s="22" t="n">
        <v>54.9</v>
      </c>
      <c r="I154" s="22" t="n">
        <v>11.7</v>
      </c>
      <c r="J154" s="22" t="n">
        <v>27.15</v>
      </c>
      <c r="K154" s="22" t="n">
        <v>34.05</v>
      </c>
      <c r="L154" s="22" t="n">
        <v>38.3</v>
      </c>
      <c r="M154" s="22" t="n">
        <v>5.5</v>
      </c>
      <c r="N154" s="22" t="n">
        <v>23.6</v>
      </c>
      <c r="S154" s="22" t="n">
        <v>0</v>
      </c>
      <c r="T154" s="22" t="n">
        <v>1721.105</v>
      </c>
      <c r="U154" s="22" t="n">
        <v>99.40000000000001</v>
      </c>
      <c r="V154" s="22" t="n">
        <v>125.95</v>
      </c>
      <c r="W154" s="22" t="n">
        <v>54.9</v>
      </c>
      <c r="X154" s="22" t="n">
        <v>38.3</v>
      </c>
    </row>
    <row r="155">
      <c r="A155" s="20" t="inlineStr">
        <is>
          <t>자기주식 취득</t>
        </is>
      </c>
      <c r="C155" s="22" t="n">
        <v>-0.201</v>
      </c>
      <c r="D155" s="22" t="n">
        <v>-0.317</v>
      </c>
      <c r="E155" s="22" t="n">
        <v>0</v>
      </c>
      <c r="F155" s="22" t="n">
        <v>0</v>
      </c>
      <c r="G155" s="22" t="n">
        <v>0</v>
      </c>
      <c r="H155" s="22" t="n">
        <v>0</v>
      </c>
      <c r="I155" s="22" t="n">
        <v>-0.176</v>
      </c>
      <c r="J155" s="22" t="n">
        <v>-0.176</v>
      </c>
      <c r="K155" s="22" t="n">
        <v>-0.176</v>
      </c>
      <c r="L155" s="22" t="n">
        <v>-0.176</v>
      </c>
      <c r="M155" s="22" t="n">
        <v>0</v>
      </c>
      <c r="N155" s="22" t="n">
        <v>0</v>
      </c>
      <c r="R155" s="22" t="n">
        <v>0</v>
      </c>
      <c r="S155" s="22" t="n">
        <v>-650</v>
      </c>
      <c r="T155" s="22" t="n">
        <v>-0.067</v>
      </c>
      <c r="U155" s="22" t="n">
        <v>-0.089</v>
      </c>
      <c r="V155" s="22" t="n">
        <v>-0.317</v>
      </c>
      <c r="W155" s="22" t="n">
        <v>0</v>
      </c>
      <c r="X155" s="22" t="n">
        <v>-0.176</v>
      </c>
    </row>
    <row r="156">
      <c r="A156" s="9" t="inlineStr">
        <is>
          <t>재무활동 현금흐름</t>
        </is>
      </c>
      <c r="C156" s="12" t="n">
        <v>-3077.965</v>
      </c>
      <c r="D156" s="12" t="n">
        <v>-4462.403</v>
      </c>
      <c r="E156" s="12" t="n">
        <v>-1654.91</v>
      </c>
      <c r="F156" s="12" t="n">
        <v>-2486.676</v>
      </c>
      <c r="G156" s="12" t="n">
        <v>-4036.802</v>
      </c>
      <c r="H156" s="12" t="n">
        <v>-4802.193</v>
      </c>
      <c r="I156" s="12" t="n">
        <v>-2250.716</v>
      </c>
      <c r="J156" s="12" t="n">
        <v>-3069.705</v>
      </c>
      <c r="K156" s="12" t="n">
        <v>-4964.792</v>
      </c>
      <c r="L156" s="12" t="n">
        <v>-5792.035</v>
      </c>
      <c r="M156" s="12" t="n">
        <v>-1909.689</v>
      </c>
      <c r="N156" s="12" t="n">
        <v>-2716.512</v>
      </c>
      <c r="R156" s="12" t="n">
        <v>-4593.624</v>
      </c>
      <c r="S156" s="12" t="n">
        <v>-4646.41</v>
      </c>
      <c r="T156" s="12" t="n">
        <v>-2084.673</v>
      </c>
      <c r="U156" s="12" t="n">
        <v>-3730.346</v>
      </c>
      <c r="V156" s="12" t="n">
        <v>-4462.403</v>
      </c>
      <c r="W156" s="12" t="n">
        <v>-4802.193</v>
      </c>
      <c r="X156" s="12" t="n">
        <v>-5792.035</v>
      </c>
    </row>
    <row r="157">
      <c r="A157" s="20" t="inlineStr">
        <is>
          <t>현금성자산 환산차이</t>
        </is>
      </c>
      <c r="C157" s="22" t="n">
        <v>38.055</v>
      </c>
      <c r="D157" s="22" t="n">
        <v>34.127</v>
      </c>
      <c r="E157" s="22" t="n">
        <v>42.23</v>
      </c>
      <c r="F157" s="22" t="n">
        <v>23.64</v>
      </c>
      <c r="G157" s="22" t="n">
        <v>6.043</v>
      </c>
      <c r="H157" s="22" t="n">
        <v>-8.398999999999999</v>
      </c>
      <c r="I157" s="22" t="n">
        <v>-15.143</v>
      </c>
      <c r="J157" s="22" t="n">
        <v>1.556</v>
      </c>
      <c r="K157" s="22" t="n">
        <v>47.782</v>
      </c>
      <c r="L157" s="22" t="n">
        <v>113.508</v>
      </c>
      <c r="M157" s="22" t="n">
        <v>34.056</v>
      </c>
      <c r="N157" s="22" t="n">
        <v>47.347</v>
      </c>
      <c r="R157" s="22" t="n">
        <v>-18.502</v>
      </c>
      <c r="S157" s="22" t="n">
        <v>36.129</v>
      </c>
      <c r="T157" s="22" t="n">
        <v>24.067</v>
      </c>
      <c r="U157" s="22" t="n">
        <v>39.358</v>
      </c>
      <c r="V157" s="22" t="n">
        <v>34.127</v>
      </c>
      <c r="W157" s="22" t="n">
        <v>-8.398999999999999</v>
      </c>
      <c r="X157" s="22" t="n">
        <v>113.508</v>
      </c>
    </row>
    <row r="158">
      <c r="A158" s="20" t="inlineStr">
        <is>
          <t>현금성자산 증감</t>
        </is>
      </c>
      <c r="C158" s="22" t="n">
        <v>1468.602</v>
      </c>
      <c r="D158" s="22" t="n">
        <v>1810.845</v>
      </c>
      <c r="E158" s="22" t="n">
        <v>27.532</v>
      </c>
      <c r="F158" s="22" t="n">
        <v>588.325</v>
      </c>
      <c r="G158" s="22" t="n">
        <v>899.538</v>
      </c>
      <c r="H158" s="22" t="n">
        <v>1728.58</v>
      </c>
      <c r="I158" s="22" t="n">
        <v>-579.52</v>
      </c>
      <c r="J158" s="22" t="n">
        <v>-1325.317</v>
      </c>
      <c r="K158" s="22" t="n">
        <v>-2492.85</v>
      </c>
      <c r="L158" s="22" t="n">
        <v>-1375.548</v>
      </c>
      <c r="M158" s="22" t="n">
        <v>1980.99</v>
      </c>
      <c r="N158" s="22" t="n">
        <v>3268.359</v>
      </c>
      <c r="R158" s="22" t="n">
        <v>1524.614</v>
      </c>
      <c r="S158" s="22" t="n">
        <v>207.762</v>
      </c>
      <c r="T158" s="22" t="n">
        <v>3846.292</v>
      </c>
      <c r="U158" s="22" t="n">
        <v>2159.348</v>
      </c>
      <c r="V158" s="22" t="n">
        <v>1810.845</v>
      </c>
      <c r="W158" s="22" t="n">
        <v>1728.58</v>
      </c>
      <c r="X158" s="22" t="n">
        <v>-1375.548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윙아크1st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17043.524</v>
      </c>
      <c r="D5" s="12" t="n">
        <v>16223.581</v>
      </c>
      <c r="E5" s="12" t="n">
        <v>18013.124</v>
      </c>
      <c r="F5" s="12" t="n">
        <v>19083.835</v>
      </c>
      <c r="G5" s="12" t="n">
        <v>21201.753</v>
      </c>
      <c r="H5" s="11" t="n">
        <v>10940.914</v>
      </c>
      <c r="I5" s="12" t="n">
        <v>13238.55</v>
      </c>
      <c r="J5" s="12" t="n">
        <v>15273.728</v>
      </c>
      <c r="K5" s="12" t="n">
        <v>17824.05</v>
      </c>
      <c r="L5" s="12" t="n">
        <v>18013.124</v>
      </c>
    </row>
    <row r="6">
      <c r="A6" s="20" t="inlineStr">
        <is>
          <t>현금및현금성자산</t>
        </is>
      </c>
      <c r="B6" s="10" t="n"/>
      <c r="C6" s="21" t="n">
        <v>13390.095</v>
      </c>
      <c r="D6" s="22" t="n">
        <v>12222.562</v>
      </c>
      <c r="E6" s="22" t="n">
        <v>13339.865</v>
      </c>
      <c r="F6" s="22" t="n">
        <v>15320.856</v>
      </c>
      <c r="G6" s="22" t="n">
        <v>16608.224</v>
      </c>
      <c r="H6" s="21" t="n">
        <v>9016.638999999999</v>
      </c>
      <c r="I6" s="22" t="n">
        <v>11175.988</v>
      </c>
      <c r="J6" s="22" t="n">
        <v>12986.833</v>
      </c>
      <c r="K6" s="22" t="n">
        <v>14715.413</v>
      </c>
      <c r="L6" s="22" t="n">
        <v>13339.865</v>
      </c>
    </row>
    <row r="7">
      <c r="A7" s="20" t="inlineStr">
        <is>
          <t>단기금융상품</t>
        </is>
      </c>
      <c r="B7" s="10" t="n"/>
      <c r="C7" s="21" t="n">
        <v>93.059</v>
      </c>
      <c r="D7" s="22" t="n">
        <v>98.511</v>
      </c>
      <c r="E7" s="22" t="n">
        <v>96.735</v>
      </c>
      <c r="F7" s="22" t="n">
        <v>107.301</v>
      </c>
      <c r="G7" s="22" t="n">
        <v>109.304</v>
      </c>
      <c r="H7" s="21" t="n">
        <v>32.215</v>
      </c>
      <c r="I7" s="22" t="n">
        <v>41.319</v>
      </c>
      <c r="J7" s="22" t="n">
        <v>48.396</v>
      </c>
      <c r="K7" s="22" t="n">
        <v>81.75</v>
      </c>
      <c r="L7" s="22" t="n">
        <v>96.735</v>
      </c>
    </row>
    <row r="8">
      <c r="A8" s="20" t="inlineStr">
        <is>
          <t>매출채권</t>
        </is>
      </c>
      <c r="B8" s="10" t="n"/>
      <c r="C8" s="21" t="n">
        <v>2356.451</v>
      </c>
      <c r="D8" s="22" t="n">
        <v>2989.553</v>
      </c>
      <c r="E8" s="22" t="n">
        <v>3899.849</v>
      </c>
      <c r="F8" s="22" t="n">
        <v>2469.034</v>
      </c>
      <c r="G8" s="22" t="n">
        <v>3231.07</v>
      </c>
      <c r="H8" s="21" t="n">
        <v>1495.336</v>
      </c>
      <c r="I8" s="22" t="n">
        <v>1472.914</v>
      </c>
      <c r="J8" s="22" t="n">
        <v>1669.666</v>
      </c>
      <c r="K8" s="22" t="n">
        <v>2451.376</v>
      </c>
      <c r="L8" s="22" t="n">
        <v>3899.849</v>
      </c>
    </row>
    <row r="9">
      <c r="A9" s="20" t="inlineStr">
        <is>
          <t>재고자산</t>
        </is>
      </c>
      <c r="B9" s="10" t="n"/>
      <c r="C9" s="21" t="n"/>
      <c r="D9" s="22" t="n"/>
      <c r="E9" s="22" t="n"/>
      <c r="F9" s="22" t="n"/>
      <c r="G9" s="22" t="n"/>
      <c r="H9" s="21" t="n"/>
      <c r="I9" s="22" t="n"/>
      <c r="J9" s="22" t="n"/>
      <c r="K9" s="22" t="n"/>
      <c r="L9" s="22" t="n"/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54937.657</v>
      </c>
      <c r="D11" s="12" t="n">
        <v>55987.038</v>
      </c>
      <c r="E11" s="12" t="n">
        <v>55477.686</v>
      </c>
      <c r="F11" s="12" t="n">
        <v>53424.262</v>
      </c>
      <c r="G11" s="12" t="n">
        <v>55544.15</v>
      </c>
      <c r="H11" s="11" t="n">
        <v>47978.457</v>
      </c>
      <c r="I11" s="12" t="n">
        <v>49311.52</v>
      </c>
      <c r="J11" s="12" t="n">
        <v>50676.299</v>
      </c>
      <c r="K11" s="12" t="n">
        <v>50612.902</v>
      </c>
      <c r="L11" s="12" t="n">
        <v>55477.686</v>
      </c>
    </row>
    <row r="12">
      <c r="A12" s="20" t="inlineStr">
        <is>
          <t>유형자산</t>
        </is>
      </c>
      <c r="B12" s="10" t="n"/>
      <c r="C12" s="21" t="n">
        <v>1908.246</v>
      </c>
      <c r="D12" s="22" t="n">
        <v>1739.951</v>
      </c>
      <c r="E12" s="22" t="n">
        <v>1859.489</v>
      </c>
      <c r="F12" s="22" t="n">
        <v>1799.73</v>
      </c>
      <c r="G12" s="22" t="n">
        <v>2097.297</v>
      </c>
      <c r="H12" s="21" t="n">
        <v>1481.054</v>
      </c>
      <c r="I12" s="22" t="n">
        <v>1604.798</v>
      </c>
      <c r="J12" s="22" t="n">
        <v>1803.563</v>
      </c>
      <c r="K12" s="22" t="n">
        <v>2076.237</v>
      </c>
      <c r="L12" s="22" t="n">
        <v>1859.489</v>
      </c>
    </row>
    <row r="13">
      <c r="A13" s="20" t="inlineStr">
        <is>
          <t>무형자산</t>
        </is>
      </c>
      <c r="B13" s="10" t="n"/>
      <c r="C13" s="21" t="n"/>
      <c r="D13" s="22" t="n"/>
      <c r="E13" s="22" t="n"/>
      <c r="F13" s="22" t="n"/>
      <c r="G13" s="22" t="n"/>
      <c r="H13" s="21" t="n"/>
      <c r="I13" s="22" t="n"/>
      <c r="J13" s="22" t="n"/>
      <c r="K13" s="22" t="n"/>
      <c r="L13" s="22" t="n"/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71981.181</v>
      </c>
      <c r="D16" s="12" t="n">
        <v>72210.62</v>
      </c>
      <c r="E16" s="12" t="n">
        <v>73490.811</v>
      </c>
      <c r="F16" s="12" t="n">
        <v>72508.098</v>
      </c>
      <c r="G16" s="12" t="n">
        <v>76745.90399999999</v>
      </c>
      <c r="H16" s="11" t="n">
        <v>58919.371</v>
      </c>
      <c r="I16" s="12" t="n">
        <v>62550.07</v>
      </c>
      <c r="J16" s="12" t="n">
        <v>65950.027</v>
      </c>
      <c r="K16" s="12" t="n">
        <v>68436.952</v>
      </c>
      <c r="L16" s="12" t="n">
        <v>73490.811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15844.918</v>
      </c>
      <c r="D18" s="12" t="n">
        <v>14919.814</v>
      </c>
      <c r="E18" s="12" t="n">
        <v>15300.514</v>
      </c>
      <c r="F18" s="12" t="n">
        <v>16327.102</v>
      </c>
      <c r="G18" s="12" t="n">
        <v>16691.76</v>
      </c>
      <c r="H18" s="11" t="n">
        <v>11403.085</v>
      </c>
      <c r="I18" s="12" t="n">
        <v>12752.384</v>
      </c>
      <c r="J18" s="12" t="n">
        <v>13348.837</v>
      </c>
      <c r="K18" s="12" t="n">
        <v>14840.239</v>
      </c>
      <c r="L18" s="12" t="n">
        <v>15300.514</v>
      </c>
    </row>
    <row r="19">
      <c r="A19" s="20" t="inlineStr">
        <is>
          <t>매입채무</t>
        </is>
      </c>
      <c r="B19" s="10" t="n"/>
      <c r="C19" s="21" t="n">
        <v>1117.683</v>
      </c>
      <c r="D19" s="22" t="n">
        <v>1354.761</v>
      </c>
      <c r="E19" s="22" t="n">
        <v>1128.27</v>
      </c>
      <c r="F19" s="22" t="n">
        <v>1154.799</v>
      </c>
      <c r="G19" s="22" t="n">
        <v>1163.058</v>
      </c>
      <c r="H19" s="21" t="n">
        <v>636.663</v>
      </c>
      <c r="I19" s="22" t="n">
        <v>1061.108</v>
      </c>
      <c r="J19" s="22" t="n">
        <v>857.7910000000001</v>
      </c>
      <c r="K19" s="22" t="n">
        <v>988.4109999999999</v>
      </c>
      <c r="L19" s="22" t="n">
        <v>1128.27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11752.034</v>
      </c>
      <c r="D23" s="12" t="n">
        <v>12135.667</v>
      </c>
      <c r="E23" s="12" t="n">
        <v>11157.702</v>
      </c>
      <c r="F23" s="12" t="n">
        <v>10571.216</v>
      </c>
      <c r="G23" s="12" t="n">
        <v>10773.689</v>
      </c>
      <c r="H23" s="11" t="n">
        <v>16896.826</v>
      </c>
      <c r="I23" s="12" t="n">
        <v>15223.544</v>
      </c>
      <c r="J23" s="12" t="n">
        <v>13504.74</v>
      </c>
      <c r="K23" s="12" t="n">
        <v>11750.519</v>
      </c>
      <c r="L23" s="12" t="n">
        <v>11157.702</v>
      </c>
    </row>
    <row r="24">
      <c r="A24" s="20" t="inlineStr">
        <is>
          <t>장기차입금</t>
        </is>
      </c>
      <c r="B24" s="10" t="n"/>
      <c r="C24" s="21" t="n">
        <v>6395.796</v>
      </c>
      <c r="D24" s="22" t="n">
        <v>6396.614</v>
      </c>
      <c r="E24" s="22" t="n">
        <v>5685.875</v>
      </c>
      <c r="F24" s="22" t="n">
        <v>5688.057</v>
      </c>
      <c r="G24" s="22" t="n">
        <v>4977.047</v>
      </c>
      <c r="H24" s="21" t="n">
        <v>12191.351</v>
      </c>
      <c r="I24" s="22" t="n">
        <v>10214.954</v>
      </c>
      <c r="J24" s="22" t="n">
        <v>8515.758</v>
      </c>
      <c r="K24" s="22" t="n">
        <v>7106.203</v>
      </c>
      <c r="L24" s="22" t="n">
        <v>5685.875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27596.952</v>
      </c>
      <c r="D27" s="12" t="n">
        <v>27055.481</v>
      </c>
      <c r="E27" s="12" t="n">
        <v>26458.217</v>
      </c>
      <c r="F27" s="12" t="n">
        <v>26898.319</v>
      </c>
      <c r="G27" s="12" t="n">
        <v>27465.45</v>
      </c>
      <c r="H27" s="11" t="n">
        <v>28299.912</v>
      </c>
      <c r="I27" s="12" t="n">
        <v>27975.928</v>
      </c>
      <c r="J27" s="12" t="n">
        <v>26853.578</v>
      </c>
      <c r="K27" s="12" t="n">
        <v>26590.758</v>
      </c>
      <c r="L27" s="12" t="n">
        <v>26458.217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44339.576</v>
      </c>
      <c r="D31" s="12" t="n">
        <v>45117.392</v>
      </c>
      <c r="E31" s="12" t="n">
        <v>47000.138</v>
      </c>
      <c r="F31" s="12" t="n">
        <v>45585.603</v>
      </c>
      <c r="G31" s="12" t="n">
        <v>49261.978</v>
      </c>
      <c r="H31" s="11" t="n">
        <v>30543.086</v>
      </c>
      <c r="I31" s="12" t="n">
        <v>34516.913</v>
      </c>
      <c r="J31" s="12" t="n">
        <v>39074.456</v>
      </c>
      <c r="K31" s="12" t="n">
        <v>41792.393</v>
      </c>
      <c r="L31" s="12" t="n">
        <v>47000.138</v>
      </c>
    </row>
    <row r="32">
      <c r="A32" s="20" t="inlineStr">
        <is>
          <t>자본금</t>
        </is>
      </c>
      <c r="B32" s="10" t="n"/>
      <c r="C32" s="21" t="n">
        <v>1241.95</v>
      </c>
      <c r="D32" s="22" t="n">
        <v>1245.493</v>
      </c>
      <c r="E32" s="22" t="n">
        <v>1247.675</v>
      </c>
      <c r="F32" s="22" t="n">
        <v>1250.499</v>
      </c>
      <c r="G32" s="22" t="n">
        <v>1259.794</v>
      </c>
      <c r="H32" s="21" t="n">
        <v>1084.1</v>
      </c>
      <c r="I32" s="22" t="n">
        <v>1135.142</v>
      </c>
      <c r="J32" s="22" t="n">
        <v>1199.817</v>
      </c>
      <c r="K32" s="22" t="n">
        <v>1228.008</v>
      </c>
      <c r="L32" s="22" t="n">
        <v>1247.675</v>
      </c>
    </row>
    <row r="33">
      <c r="A33" s="20" t="inlineStr">
        <is>
          <t>이익잉여금</t>
        </is>
      </c>
      <c r="B33" s="10" t="n"/>
      <c r="C33" s="21" t="n">
        <v>27398.644</v>
      </c>
      <c r="D33" s="22" t="n">
        <v>27075.271</v>
      </c>
      <c r="E33" s="22" t="n">
        <v>29152.827</v>
      </c>
      <c r="F33" s="22" t="n">
        <v>28896.06</v>
      </c>
      <c r="G33" s="22" t="n">
        <v>31132.989</v>
      </c>
      <c r="H33" s="21" t="n">
        <v>17269.118</v>
      </c>
      <c r="I33" s="22" t="n">
        <v>20190.35</v>
      </c>
      <c r="J33" s="22" t="n">
        <v>23700.677</v>
      </c>
      <c r="K33" s="22" t="n">
        <v>26611.769</v>
      </c>
      <c r="L33" s="22" t="n">
        <v>29152.827</v>
      </c>
    </row>
    <row r="34">
      <c r="A34" s="20" t="inlineStr">
        <is>
          <t>비지배지분</t>
        </is>
      </c>
      <c r="B34" s="10" t="n"/>
      <c r="C34" s="21" t="n">
        <v>44.652</v>
      </c>
      <c r="D34" s="22" t="n">
        <v>37.746</v>
      </c>
      <c r="E34" s="22" t="n">
        <v>32.455</v>
      </c>
      <c r="F34" s="22" t="n">
        <v>24.175</v>
      </c>
      <c r="G34" s="22" t="n">
        <v>18.475</v>
      </c>
      <c r="H34" s="21" t="n">
        <v>76.372</v>
      </c>
      <c r="I34" s="22" t="n">
        <v>57.228</v>
      </c>
      <c r="J34" s="22" t="n">
        <v>21.993</v>
      </c>
      <c r="K34" s="22" t="n">
        <v>53.8</v>
      </c>
      <c r="L34" s="22" t="n">
        <v>32.455</v>
      </c>
    </row>
    <row r="35">
      <c r="A35" s="9" t="inlineStr">
        <is>
          <t>자본총계</t>
        </is>
      </c>
      <c r="B35" s="10" t="n"/>
      <c r="C35" s="11" t="n">
        <v>44384.229</v>
      </c>
      <c r="D35" s="12" t="n">
        <v>45155.138</v>
      </c>
      <c r="E35" s="12" t="n">
        <v>47032.593</v>
      </c>
      <c r="F35" s="12" t="n">
        <v>45609.779</v>
      </c>
      <c r="G35" s="12" t="n">
        <v>49280.453</v>
      </c>
      <c r="H35" s="11" t="n">
        <v>30619.458</v>
      </c>
      <c r="I35" s="12" t="n">
        <v>34574.141</v>
      </c>
      <c r="J35" s="12" t="n">
        <v>39096.449</v>
      </c>
      <c r="K35" s="12" t="n">
        <v>41846.194</v>
      </c>
      <c r="L35" s="12" t="n">
        <v>47032.593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8646.904</v>
      </c>
      <c r="D37" s="12" t="n">
        <v>7305.813</v>
      </c>
      <c r="E37" s="12" t="n">
        <v>7197.999</v>
      </c>
      <c r="F37" s="12" t="n">
        <v>9366.078</v>
      </c>
      <c r="G37" s="12" t="n">
        <v>9146.539000000001</v>
      </c>
      <c r="H37" s="11" t="n">
        <v>6439.45</v>
      </c>
      <c r="I37" s="12" t="n">
        <v>6870.802</v>
      </c>
      <c r="J37" s="12" t="n">
        <v>7840.027</v>
      </c>
      <c r="K37" s="12" t="n">
        <v>8196.244000000001</v>
      </c>
      <c r="L37" s="12" t="n">
        <v>7197.999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733.258</v>
      </c>
      <c r="D38" s="22" t="n">
        <v>581.199</v>
      </c>
      <c r="E38" s="22" t="n">
        <v>567.522</v>
      </c>
      <c r="F38" s="22" t="n">
        <v>561.4349999999999</v>
      </c>
      <c r="G38" s="22" t="n">
        <v>572.765</v>
      </c>
      <c r="H38" s="21" t="n">
        <v>495.562</v>
      </c>
      <c r="I38" s="22" t="n">
        <v>561.604</v>
      </c>
      <c r="J38" s="22" t="n">
        <v>1073.796</v>
      </c>
      <c r="K38" s="22" t="n">
        <v>819.891</v>
      </c>
      <c r="L38" s="22" t="n">
        <v>567.522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3602.986</v>
      </c>
      <c r="D40" s="22" t="n">
        <v>3955.356</v>
      </c>
      <c r="E40" s="22" t="n">
        <v>3954.662</v>
      </c>
      <c r="F40" s="22" t="n">
        <v>3610.131</v>
      </c>
      <c r="G40" s="22" t="n">
        <v>3615.2</v>
      </c>
      <c r="H40" s="21" t="n">
        <v>1428.913</v>
      </c>
      <c r="I40" s="22" t="n">
        <v>1478.262</v>
      </c>
      <c r="J40" s="22" t="n">
        <v>1900.536</v>
      </c>
      <c r="K40" s="22" t="n">
        <v>3017.439</v>
      </c>
      <c r="L40" s="22" t="n">
        <v>3954.662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현금및현금성자산</t>
        </is>
      </c>
      <c r="C71" s="22" t="n">
        <v>13390.095</v>
      </c>
      <c r="D71" s="22" t="n">
        <v>12222.562</v>
      </c>
      <c r="E71" s="22" t="n">
        <v>13339.865</v>
      </c>
      <c r="F71" s="22" t="n">
        <v>15320.856</v>
      </c>
      <c r="G71" s="22" t="n">
        <v>16608.224</v>
      </c>
      <c r="H71" s="22" t="n">
        <v>9016.638999999999</v>
      </c>
      <c r="I71" s="22" t="n">
        <v>11175.988</v>
      </c>
      <c r="J71" s="22" t="n">
        <v>12986.833</v>
      </c>
      <c r="K71" s="22" t="n">
        <v>14715.413</v>
      </c>
      <c r="L71" s="22" t="n">
        <v>13339.865</v>
      </c>
    </row>
    <row r="72">
      <c r="A72" s="20" t="inlineStr">
        <is>
          <t>영업채권 및 기타채권</t>
        </is>
      </c>
      <c r="C72" s="22" t="n">
        <v>2356.451</v>
      </c>
      <c r="D72" s="22" t="n">
        <v>2989.553</v>
      </c>
      <c r="E72" s="22" t="n">
        <v>3899.849</v>
      </c>
      <c r="F72" s="22" t="n">
        <v>2469.034</v>
      </c>
      <c r="G72" s="22" t="n">
        <v>3231.07</v>
      </c>
      <c r="H72" s="22" t="n">
        <v>1495.336</v>
      </c>
      <c r="I72" s="22" t="n">
        <v>1472.914</v>
      </c>
      <c r="J72" s="22" t="n">
        <v>1669.666</v>
      </c>
      <c r="K72" s="22" t="n">
        <v>2451.376</v>
      </c>
      <c r="L72" s="22" t="n">
        <v>3899.849</v>
      </c>
    </row>
    <row r="73">
      <c r="A73" s="20" t="inlineStr">
        <is>
          <t>기타금융자산</t>
        </is>
      </c>
      <c r="C73" s="22" t="n">
        <v>93.059</v>
      </c>
      <c r="D73" s="22" t="n">
        <v>98.511</v>
      </c>
      <c r="E73" s="22" t="n">
        <v>96.735</v>
      </c>
      <c r="F73" s="22" t="n">
        <v>107.301</v>
      </c>
      <c r="G73" s="22" t="n">
        <v>109.304</v>
      </c>
      <c r="H73" s="22" t="n">
        <v>32.215</v>
      </c>
      <c r="I73" s="22" t="n">
        <v>41.319</v>
      </c>
      <c r="J73" s="22" t="n">
        <v>48.396</v>
      </c>
      <c r="K73" s="22" t="n">
        <v>81.75</v>
      </c>
      <c r="L73" s="22" t="n">
        <v>96.735</v>
      </c>
    </row>
    <row r="74">
      <c r="A74" s="20" t="inlineStr">
        <is>
          <t>기타유동자산</t>
        </is>
      </c>
      <c r="C74" s="22" t="n">
        <v>1203.917</v>
      </c>
      <c r="D74" s="22" t="n">
        <v>912.953</v>
      </c>
      <c r="E74" s="22" t="n">
        <v>676.673</v>
      </c>
      <c r="F74" s="22" t="n">
        <v>1186.643</v>
      </c>
      <c r="G74" s="22" t="n">
        <v>1253.153</v>
      </c>
      <c r="H74" s="22" t="n">
        <v>396.721</v>
      </c>
      <c r="I74" s="22" t="n">
        <v>548.328</v>
      </c>
      <c r="J74" s="22" t="n">
        <v>568.832</v>
      </c>
      <c r="K74" s="22" t="n">
        <v>575.509</v>
      </c>
      <c r="L74" s="22" t="n">
        <v>676.673</v>
      </c>
    </row>
    <row r="75">
      <c r="A75" s="9" t="inlineStr">
        <is>
          <t>유동자산 합계</t>
        </is>
      </c>
      <c r="C75" s="12" t="n">
        <v>17043.524</v>
      </c>
      <c r="D75" s="12" t="n">
        <v>16223.581</v>
      </c>
      <c r="E75" s="12" t="n">
        <v>18013.124</v>
      </c>
      <c r="F75" s="12" t="n">
        <v>19083.835</v>
      </c>
      <c r="G75" s="12" t="n">
        <v>21201.753</v>
      </c>
      <c r="H75" s="12" t="n">
        <v>10940.914</v>
      </c>
      <c r="I75" s="12" t="n">
        <v>13238.55</v>
      </c>
      <c r="J75" s="12" t="n">
        <v>15273.728</v>
      </c>
      <c r="K75" s="12" t="n">
        <v>17824.05</v>
      </c>
      <c r="L75" s="12" t="n">
        <v>18013.124</v>
      </c>
    </row>
    <row r="76">
      <c r="A76" s="20" t="inlineStr">
        <is>
          <t>유형자산</t>
        </is>
      </c>
      <c r="C76" s="22" t="n">
        <v>1908.246</v>
      </c>
      <c r="D76" s="22" t="n">
        <v>1739.951</v>
      </c>
      <c r="E76" s="22" t="n">
        <v>1859.489</v>
      </c>
      <c r="F76" s="22" t="n">
        <v>1799.73</v>
      </c>
      <c r="G76" s="22" t="n">
        <v>2097.297</v>
      </c>
      <c r="H76" s="22" t="n">
        <v>1481.054</v>
      </c>
      <c r="I76" s="22" t="n">
        <v>1604.798</v>
      </c>
      <c r="J76" s="22" t="n">
        <v>1803.563</v>
      </c>
      <c r="K76" s="22" t="n">
        <v>2076.237</v>
      </c>
      <c r="L76" s="22" t="n">
        <v>1859.489</v>
      </c>
    </row>
    <row r="77">
      <c r="A77" s="20" t="inlineStr">
        <is>
          <t>영업권</t>
        </is>
      </c>
      <c r="C77" s="22" t="n">
        <v>30112.661</v>
      </c>
      <c r="D77" s="22" t="n">
        <v>30155.126</v>
      </c>
      <c r="E77" s="22" t="n">
        <v>30209.905</v>
      </c>
      <c r="F77" s="22" t="n">
        <v>30233.4</v>
      </c>
      <c r="G77" s="22" t="n">
        <v>30236.928</v>
      </c>
      <c r="H77" s="22" t="n">
        <v>27249.587</v>
      </c>
      <c r="I77" s="22" t="n">
        <v>27309.157</v>
      </c>
      <c r="J77" s="22" t="n">
        <v>27348.96</v>
      </c>
      <c r="K77" s="22" t="n">
        <v>27674.087</v>
      </c>
      <c r="L77" s="22" t="n">
        <v>30209.905</v>
      </c>
    </row>
    <row r="78">
      <c r="A78" s="20" t="inlineStr">
        <is>
          <t>기타 무형자산</t>
        </is>
      </c>
      <c r="C78" s="22" t="n">
        <v>14669.915</v>
      </c>
      <c r="D78" s="22" t="n">
        <v>14445.506</v>
      </c>
      <c r="E78" s="22" t="n">
        <v>14199.585</v>
      </c>
      <c r="F78" s="22" t="n">
        <v>13962.488</v>
      </c>
      <c r="G78" s="22" t="n">
        <v>13752.566</v>
      </c>
      <c r="H78" s="22" t="n">
        <v>16636.995</v>
      </c>
      <c r="I78" s="22" t="n">
        <v>16231.589</v>
      </c>
      <c r="J78" s="22" t="n">
        <v>15674.016</v>
      </c>
      <c r="K78" s="22" t="n">
        <v>15055.624</v>
      </c>
      <c r="L78" s="22" t="n">
        <v>14199.585</v>
      </c>
    </row>
    <row r="79">
      <c r="A79" s="20" t="inlineStr">
        <is>
          <t>지분법 투자</t>
        </is>
      </c>
      <c r="C79" s="22" t="n">
        <v>474.389</v>
      </c>
      <c r="D79" s="22" t="n">
        <v>461.72</v>
      </c>
      <c r="E79" s="22" t="n">
        <v>490.589</v>
      </c>
      <c r="F79" s="22" t="n">
        <v>527.925</v>
      </c>
      <c r="G79" s="22" t="n">
        <v>515.989</v>
      </c>
      <c r="K79" s="22" t="n">
        <v>454.516</v>
      </c>
      <c r="L79" s="22" t="n">
        <v>490.589</v>
      </c>
    </row>
    <row r="80">
      <c r="A80" s="20" t="inlineStr">
        <is>
          <t>기타금융자산</t>
        </is>
      </c>
      <c r="C80" s="22" t="n">
        <v>7724.817</v>
      </c>
      <c r="D80" s="22" t="n">
        <v>9135.502</v>
      </c>
      <c r="E80" s="22" t="n">
        <v>8667.453</v>
      </c>
      <c r="F80" s="22" t="n">
        <v>6847.992</v>
      </c>
      <c r="G80" s="22" t="n">
        <v>8888.429</v>
      </c>
      <c r="H80" s="22" t="n">
        <v>2597.678</v>
      </c>
      <c r="I80" s="22" t="n">
        <v>4148.468</v>
      </c>
      <c r="J80" s="22" t="n">
        <v>5826.15</v>
      </c>
      <c r="K80" s="22" t="n">
        <v>5315.992</v>
      </c>
      <c r="L80" s="22" t="n">
        <v>8667.453</v>
      </c>
    </row>
    <row r="81">
      <c r="A81" s="20" t="inlineStr">
        <is>
          <t>기타비유동자산</t>
        </is>
      </c>
      <c r="C81" s="22" t="n">
        <v>47.626</v>
      </c>
      <c r="D81" s="22" t="n">
        <v>49.231</v>
      </c>
      <c r="E81" s="22" t="n">
        <v>50.663</v>
      </c>
      <c r="F81" s="22" t="n">
        <v>52.725</v>
      </c>
      <c r="G81" s="22" t="n">
        <v>52.94</v>
      </c>
      <c r="H81" s="22" t="n">
        <v>13.141</v>
      </c>
      <c r="I81" s="22" t="n">
        <v>17.506</v>
      </c>
      <c r="J81" s="22" t="n">
        <v>23.607</v>
      </c>
      <c r="K81" s="22" t="n">
        <v>36.443</v>
      </c>
      <c r="L81" s="22" t="n">
        <v>50.663</v>
      </c>
    </row>
    <row r="82">
      <c r="A82" s="20" t="inlineStr">
        <is>
          <t>비유동자산 합계</t>
        </is>
      </c>
      <c r="C82" s="22" t="n">
        <v>54937.657</v>
      </c>
      <c r="D82" s="22" t="n">
        <v>55987.038</v>
      </c>
      <c r="E82" s="22" t="n">
        <v>55477.686</v>
      </c>
      <c r="F82" s="22" t="n">
        <v>53424.262</v>
      </c>
      <c r="G82" s="22" t="n">
        <v>55544.15</v>
      </c>
      <c r="H82" s="22" t="n">
        <v>47978.457</v>
      </c>
      <c r="I82" s="22" t="n">
        <v>49311.52</v>
      </c>
      <c r="J82" s="22" t="n">
        <v>50676.299</v>
      </c>
      <c r="K82" s="22" t="n">
        <v>50612.902</v>
      </c>
      <c r="L82" s="22" t="n">
        <v>55477.686</v>
      </c>
    </row>
    <row r="83">
      <c r="A83" s="20" t="inlineStr">
        <is>
          <t>자산 합계</t>
        </is>
      </c>
      <c r="C83" s="22" t="n">
        <v>71981.181</v>
      </c>
      <c r="D83" s="22" t="n">
        <v>72210.62</v>
      </c>
      <c r="E83" s="22" t="n">
        <v>73490.811</v>
      </c>
      <c r="F83" s="22" t="n">
        <v>72508.098</v>
      </c>
      <c r="G83" s="22" t="n">
        <v>76745.90399999999</v>
      </c>
      <c r="H83" s="22" t="n">
        <v>58919.371</v>
      </c>
      <c r="I83" s="22" t="n">
        <v>62550.07</v>
      </c>
      <c r="J83" s="22" t="n">
        <v>65950.027</v>
      </c>
      <c r="K83" s="22" t="n">
        <v>68436.952</v>
      </c>
      <c r="L83" s="22" t="n">
        <v>73490.811</v>
      </c>
    </row>
    <row r="84">
      <c r="A84" s="20" t="inlineStr">
        <is>
          <t>영업채무 및 기타채무</t>
        </is>
      </c>
      <c r="C84" s="22" t="n">
        <v>1117.683</v>
      </c>
      <c r="D84" s="22" t="n">
        <v>1354.761</v>
      </c>
      <c r="E84" s="22" t="n">
        <v>1128.27</v>
      </c>
      <c r="F84" s="22" t="n">
        <v>1154.799</v>
      </c>
      <c r="G84" s="22" t="n">
        <v>1163.058</v>
      </c>
      <c r="H84" s="22" t="n">
        <v>636.663</v>
      </c>
      <c r="I84" s="22" t="n">
        <v>1061.108</v>
      </c>
      <c r="J84" s="22" t="n">
        <v>857.7910000000001</v>
      </c>
      <c r="K84" s="22" t="n">
        <v>988.4109999999999</v>
      </c>
      <c r="L84" s="22" t="n">
        <v>1128.27</v>
      </c>
    </row>
    <row r="85">
      <c r="A85" s="20" t="inlineStr">
        <is>
          <t>계약부채</t>
        </is>
      </c>
      <c r="C85" s="22" t="n">
        <v>9372.486999999999</v>
      </c>
      <c r="D85" s="22" t="n">
        <v>8879.16</v>
      </c>
      <c r="E85" s="22" t="n">
        <v>8091.691</v>
      </c>
      <c r="F85" s="22" t="n">
        <v>10056.848</v>
      </c>
      <c r="G85" s="22" t="n">
        <v>9726.189</v>
      </c>
      <c r="H85" s="22" t="n">
        <v>5746.468</v>
      </c>
      <c r="I85" s="22" t="n">
        <v>6357.711</v>
      </c>
      <c r="J85" s="22" t="n">
        <v>6989.78</v>
      </c>
      <c r="K85" s="22" t="n">
        <v>8082.59</v>
      </c>
      <c r="L85" s="22" t="n">
        <v>8091.691</v>
      </c>
    </row>
    <row r="86">
      <c r="A86" s="20" t="inlineStr">
        <is>
          <t>1년 내 상환 장기차입금</t>
        </is>
      </c>
      <c r="C86" s="22" t="n">
        <v>1431.612</v>
      </c>
      <c r="D86" s="22" t="n">
        <v>1432.784</v>
      </c>
      <c r="E86" s="22" t="n">
        <v>1431.236</v>
      </c>
      <c r="F86" s="22" t="n">
        <v>1430.779</v>
      </c>
      <c r="G86" s="22" t="n">
        <v>1429.231</v>
      </c>
      <c r="H86" s="22" t="n">
        <v>1997.478</v>
      </c>
      <c r="I86" s="22" t="n">
        <v>1997.476</v>
      </c>
      <c r="J86" s="22" t="n">
        <v>1426.936</v>
      </c>
      <c r="K86" s="22" t="n">
        <v>1452.125</v>
      </c>
      <c r="L86" s="22" t="n">
        <v>1431.236</v>
      </c>
    </row>
    <row r="87">
      <c r="A87" s="20" t="inlineStr">
        <is>
          <t>미지급법인세</t>
        </is>
      </c>
      <c r="C87" s="22" t="n">
        <v>1022.493</v>
      </c>
      <c r="D87" s="22" t="n">
        <v>413.25</v>
      </c>
      <c r="E87" s="22" t="n">
        <v>1266.199</v>
      </c>
      <c r="F87" s="22" t="n">
        <v>559.593</v>
      </c>
      <c r="G87" s="22" t="n">
        <v>1288.652</v>
      </c>
      <c r="H87" s="22" t="n">
        <v>840.301</v>
      </c>
      <c r="I87" s="22" t="n">
        <v>778.487</v>
      </c>
      <c r="J87" s="22" t="n">
        <v>1181.178</v>
      </c>
      <c r="K87" s="22" t="n">
        <v>1291.671</v>
      </c>
      <c r="L87" s="22" t="n">
        <v>1266.199</v>
      </c>
    </row>
    <row r="88">
      <c r="A88" s="20" t="inlineStr">
        <is>
          <t>기타금융부채</t>
        </is>
      </c>
      <c r="C88" s="22" t="n">
        <v>617.5549999999999</v>
      </c>
      <c r="D88" s="22" t="n">
        <v>893.362</v>
      </c>
      <c r="E88" s="22" t="n">
        <v>593.083</v>
      </c>
      <c r="F88" s="22" t="n">
        <v>971.182</v>
      </c>
      <c r="G88" s="22" t="n">
        <v>539.004</v>
      </c>
      <c r="H88" s="22" t="n">
        <v>383.667</v>
      </c>
      <c r="I88" s="22" t="n">
        <v>526.509</v>
      </c>
      <c r="J88" s="22" t="n">
        <v>497.285</v>
      </c>
      <c r="K88" s="22" t="n">
        <v>613.8869999999999</v>
      </c>
      <c r="L88" s="22" t="n">
        <v>593.083</v>
      </c>
    </row>
    <row r="89">
      <c r="A89" s="20" t="inlineStr">
        <is>
          <t>기타유동부채</t>
        </is>
      </c>
      <c r="C89" s="22" t="n">
        <v>2283.085</v>
      </c>
      <c r="D89" s="22" t="n">
        <v>1946.495</v>
      </c>
      <c r="E89" s="22" t="n">
        <v>2790.033</v>
      </c>
      <c r="F89" s="22" t="n">
        <v>2153.898</v>
      </c>
      <c r="G89" s="22" t="n">
        <v>2545.623</v>
      </c>
      <c r="H89" s="22" t="n">
        <v>1798.507</v>
      </c>
      <c r="I89" s="22" t="n">
        <v>2031.092</v>
      </c>
      <c r="J89" s="22" t="n">
        <v>2395.864</v>
      </c>
      <c r="K89" s="22" t="n">
        <v>2411.553</v>
      </c>
      <c r="L89" s="22" t="n">
        <v>2790.033</v>
      </c>
    </row>
    <row r="90">
      <c r="A90" s="20" t="inlineStr">
        <is>
          <t>유동부채 합계</t>
        </is>
      </c>
      <c r="C90" s="22" t="n">
        <v>15844.918</v>
      </c>
      <c r="D90" s="22" t="n">
        <v>14919.814</v>
      </c>
      <c r="E90" s="22" t="n">
        <v>15300.514</v>
      </c>
      <c r="F90" s="22" t="n">
        <v>16327.102</v>
      </c>
      <c r="G90" s="22" t="n">
        <v>16691.76</v>
      </c>
      <c r="H90" s="22" t="n">
        <v>11403.085</v>
      </c>
      <c r="I90" s="22" t="n">
        <v>12752.384</v>
      </c>
      <c r="J90" s="22" t="n">
        <v>13348.837</v>
      </c>
      <c r="K90" s="22" t="n">
        <v>14840.239</v>
      </c>
      <c r="L90" s="22" t="n">
        <v>15300.514</v>
      </c>
    </row>
    <row r="91">
      <c r="A91" s="20" t="inlineStr">
        <is>
          <t>장기차입금</t>
        </is>
      </c>
      <c r="C91" s="22" t="n">
        <v>6395.796</v>
      </c>
      <c r="D91" s="22" t="n">
        <v>6396.614</v>
      </c>
      <c r="E91" s="22" t="n">
        <v>5685.875</v>
      </c>
      <c r="F91" s="22" t="n">
        <v>5688.057</v>
      </c>
      <c r="G91" s="22" t="n">
        <v>4977.047</v>
      </c>
      <c r="H91" s="22" t="n">
        <v>12191.351</v>
      </c>
      <c r="I91" s="22" t="n">
        <v>10214.954</v>
      </c>
      <c r="J91" s="22" t="n">
        <v>8515.758</v>
      </c>
      <c r="K91" s="22" t="n">
        <v>7106.203</v>
      </c>
      <c r="L91" s="22" t="n">
        <v>5685.875</v>
      </c>
    </row>
    <row r="92">
      <c r="A92" s="20" t="inlineStr">
        <is>
          <t>충당금</t>
        </is>
      </c>
      <c r="C92" s="22" t="n">
        <v>244.678</v>
      </c>
      <c r="D92" s="22" t="n">
        <v>245.166</v>
      </c>
      <c r="E92" s="22" t="n">
        <v>245.638</v>
      </c>
      <c r="F92" s="22" t="n">
        <v>246.094</v>
      </c>
      <c r="G92" s="22" t="n">
        <v>244.876</v>
      </c>
      <c r="H92" s="22" t="n">
        <v>90.297</v>
      </c>
      <c r="I92" s="22" t="n">
        <v>90.52800000000001</v>
      </c>
      <c r="J92" s="22" t="n">
        <v>169.7</v>
      </c>
      <c r="K92" s="22" t="n">
        <v>192.82</v>
      </c>
      <c r="L92" s="22" t="n">
        <v>245.638</v>
      </c>
    </row>
    <row r="93">
      <c r="A93" s="20" t="inlineStr">
        <is>
          <t>기타금융부채</t>
        </is>
      </c>
      <c r="C93" s="22" t="n">
        <v>132.531</v>
      </c>
      <c r="D93" s="22" t="n">
        <v>54.55</v>
      </c>
      <c r="E93" s="22" t="n">
        <v>147.698</v>
      </c>
      <c r="F93" s="22" t="n">
        <v>137.544</v>
      </c>
      <c r="G93" s="22" t="n">
        <v>412.281</v>
      </c>
      <c r="H93" s="22" t="n">
        <v>57.041</v>
      </c>
      <c r="I93" s="22" t="n">
        <v>260.441</v>
      </c>
      <c r="J93" s="22" t="n">
        <v>108.529</v>
      </c>
      <c r="K93" s="22" t="n">
        <v>243.757</v>
      </c>
      <c r="L93" s="22" t="n">
        <v>147.698</v>
      </c>
    </row>
    <row r="94">
      <c r="A94" s="20" t="inlineStr">
        <is>
          <t>이연법인세부채</t>
        </is>
      </c>
      <c r="C94" s="22" t="n">
        <v>4979.028</v>
      </c>
      <c r="D94" s="22" t="n">
        <v>5439.335</v>
      </c>
      <c r="E94" s="22" t="n">
        <v>5078.489</v>
      </c>
      <c r="F94" s="22" t="n">
        <v>4499.52</v>
      </c>
      <c r="G94" s="22" t="n">
        <v>5139.483</v>
      </c>
      <c r="H94" s="22" t="n">
        <v>4558.135</v>
      </c>
      <c r="I94" s="22" t="n">
        <v>4657.62</v>
      </c>
      <c r="J94" s="22" t="n">
        <v>4710.751</v>
      </c>
      <c r="K94" s="22" t="n">
        <v>4207.737</v>
      </c>
      <c r="L94" s="22" t="n">
        <v>5078.489</v>
      </c>
    </row>
    <row r="95">
      <c r="A95" s="20" t="inlineStr">
        <is>
          <t>비유동부채 합계</t>
        </is>
      </c>
      <c r="C95" s="22" t="n">
        <v>11752.034</v>
      </c>
      <c r="D95" s="22" t="n">
        <v>12135.667</v>
      </c>
      <c r="E95" s="22" t="n">
        <v>11157.702</v>
      </c>
      <c r="F95" s="22" t="n">
        <v>10571.216</v>
      </c>
      <c r="G95" s="22" t="n">
        <v>10773.689</v>
      </c>
      <c r="H95" s="22" t="n">
        <v>16896.826</v>
      </c>
      <c r="I95" s="22" t="n">
        <v>15223.544</v>
      </c>
      <c r="J95" s="22" t="n">
        <v>13504.74</v>
      </c>
      <c r="K95" s="22" t="n">
        <v>11750.519</v>
      </c>
      <c r="L95" s="22" t="n">
        <v>11157.702</v>
      </c>
    </row>
    <row r="96">
      <c r="A96" s="20" t="inlineStr">
        <is>
          <t>부채 합계</t>
        </is>
      </c>
      <c r="C96" s="22" t="n">
        <v>27596.952</v>
      </c>
      <c r="D96" s="22" t="n">
        <v>27055.481</v>
      </c>
      <c r="E96" s="22" t="n">
        <v>26458.217</v>
      </c>
      <c r="F96" s="22" t="n">
        <v>26898.319</v>
      </c>
      <c r="G96" s="22" t="n">
        <v>27465.45</v>
      </c>
      <c r="H96" s="22" t="n">
        <v>28299.912</v>
      </c>
      <c r="I96" s="22" t="n">
        <v>27975.928</v>
      </c>
      <c r="J96" s="22" t="n">
        <v>26853.578</v>
      </c>
      <c r="K96" s="22" t="n">
        <v>26590.758</v>
      </c>
      <c r="L96" s="22" t="n">
        <v>26458.217</v>
      </c>
    </row>
    <row r="97">
      <c r="A97" s="20" t="inlineStr">
        <is>
          <t>자본금</t>
        </is>
      </c>
      <c r="C97" s="22" t="n">
        <v>1241.95</v>
      </c>
      <c r="D97" s="22" t="n">
        <v>1245.493</v>
      </c>
      <c r="E97" s="22" t="n">
        <v>1247.675</v>
      </c>
      <c r="F97" s="22" t="n">
        <v>1250.499</v>
      </c>
      <c r="G97" s="22" t="n">
        <v>1259.794</v>
      </c>
      <c r="H97" s="22" t="n">
        <v>1084.1</v>
      </c>
      <c r="I97" s="22" t="n">
        <v>1135.142</v>
      </c>
      <c r="J97" s="22" t="n">
        <v>1199.817</v>
      </c>
      <c r="K97" s="22" t="n">
        <v>1228.008</v>
      </c>
      <c r="L97" s="22" t="n">
        <v>1247.675</v>
      </c>
    </row>
    <row r="98">
      <c r="A98" s="20" t="inlineStr">
        <is>
          <t>자본잉여금</t>
        </is>
      </c>
      <c r="C98" s="22" t="n">
        <v>12432.207</v>
      </c>
      <c r="D98" s="22" t="n">
        <v>12483.598</v>
      </c>
      <c r="E98" s="22" t="n">
        <v>12532.674</v>
      </c>
      <c r="F98" s="22" t="n">
        <v>12506.738</v>
      </c>
      <c r="G98" s="22" t="n">
        <v>12540.037</v>
      </c>
      <c r="H98" s="22" t="n">
        <v>12061.694</v>
      </c>
      <c r="I98" s="22" t="n">
        <v>12161.273</v>
      </c>
      <c r="J98" s="22" t="n">
        <v>12250.296</v>
      </c>
      <c r="K98" s="22" t="n">
        <v>12399.974</v>
      </c>
      <c r="L98" s="22" t="n">
        <v>12532.674</v>
      </c>
    </row>
    <row r="99">
      <c r="A99" s="20" t="inlineStr">
        <is>
          <t>기타자본구성요소</t>
        </is>
      </c>
      <c r="C99" s="22" t="n">
        <v>3695.733</v>
      </c>
      <c r="D99" s="22" t="n">
        <v>4741.988</v>
      </c>
      <c r="E99" s="22" t="n">
        <v>4495.92</v>
      </c>
      <c r="F99" s="22" t="n">
        <v>3291.556</v>
      </c>
      <c r="G99" s="22" t="n">
        <v>4688.408</v>
      </c>
      <c r="H99" s="22" t="n">
        <v>778.173</v>
      </c>
      <c r="I99" s="22" t="n">
        <v>1653.532</v>
      </c>
      <c r="J99" s="22" t="n">
        <v>2487.971</v>
      </c>
      <c r="K99" s="22" t="n">
        <v>2059.091</v>
      </c>
      <c r="L99" s="22" t="n">
        <v>4495.92</v>
      </c>
    </row>
    <row r="100">
      <c r="A100" s="20" t="inlineStr">
        <is>
          <t>이익잉여금</t>
        </is>
      </c>
      <c r="C100" s="22" t="n">
        <v>27398.644</v>
      </c>
      <c r="D100" s="22" t="n">
        <v>27075.271</v>
      </c>
      <c r="E100" s="22" t="n">
        <v>29152.827</v>
      </c>
      <c r="F100" s="22" t="n">
        <v>28896.06</v>
      </c>
      <c r="G100" s="22" t="n">
        <v>31132.989</v>
      </c>
      <c r="H100" s="22" t="n">
        <v>17269.118</v>
      </c>
      <c r="I100" s="22" t="n">
        <v>20190.35</v>
      </c>
      <c r="J100" s="22" t="n">
        <v>23700.677</v>
      </c>
      <c r="K100" s="22" t="n">
        <v>26611.769</v>
      </c>
      <c r="L100" s="22" t="n">
        <v>29152.827</v>
      </c>
    </row>
    <row r="101">
      <c r="A101" s="20" t="inlineStr">
        <is>
          <t>자기주식</t>
        </is>
      </c>
      <c r="C101" s="22" t="n">
        <v>-428.959</v>
      </c>
      <c r="D101" s="22" t="n">
        <v>-428.959</v>
      </c>
      <c r="E101" s="22" t="n">
        <v>-428.959</v>
      </c>
      <c r="F101" s="22" t="n">
        <v>-359.251</v>
      </c>
      <c r="G101" s="22" t="n">
        <v>-359.251</v>
      </c>
      <c r="H101" s="22" t="n">
        <v>-650</v>
      </c>
      <c r="I101" s="22" t="n">
        <v>-623.385</v>
      </c>
      <c r="J101" s="22" t="n">
        <v>-564.3049999999999</v>
      </c>
      <c r="K101" s="22" t="n">
        <v>-506.45</v>
      </c>
      <c r="L101" s="22" t="n">
        <v>-428.959</v>
      </c>
    </row>
    <row r="102">
      <c r="A102" s="20" t="inlineStr">
        <is>
          <t>지배기업 소유주 귀속 지분 합계</t>
        </is>
      </c>
      <c r="C102" s="22" t="n">
        <v>44339.576</v>
      </c>
      <c r="D102" s="22" t="n">
        <v>45117.392</v>
      </c>
      <c r="E102" s="22" t="n">
        <v>47000.138</v>
      </c>
      <c r="F102" s="22" t="n">
        <v>45585.603</v>
      </c>
      <c r="G102" s="22" t="n">
        <v>49261.978</v>
      </c>
      <c r="H102" s="22" t="n">
        <v>30543.086</v>
      </c>
      <c r="I102" s="22" t="n">
        <v>34516.913</v>
      </c>
      <c r="J102" s="22" t="n">
        <v>39074.456</v>
      </c>
      <c r="K102" s="22" t="n">
        <v>41792.393</v>
      </c>
      <c r="L102" s="22" t="n">
        <v>47000.138</v>
      </c>
    </row>
    <row r="103">
      <c r="A103" s="20" t="inlineStr">
        <is>
          <t>비지배지분</t>
        </is>
      </c>
      <c r="C103" s="22" t="n">
        <v>44.652</v>
      </c>
      <c r="D103" s="22" t="n">
        <v>37.746</v>
      </c>
      <c r="E103" s="22" t="n">
        <v>32.455</v>
      </c>
      <c r="F103" s="22" t="n">
        <v>24.175</v>
      </c>
      <c r="G103" s="22" t="n">
        <v>18.475</v>
      </c>
      <c r="H103" s="22" t="n">
        <v>76.372</v>
      </c>
      <c r="I103" s="22" t="n">
        <v>57.228</v>
      </c>
      <c r="J103" s="22" t="n">
        <v>21.993</v>
      </c>
      <c r="K103" s="22" t="n">
        <v>53.8</v>
      </c>
      <c r="L103" s="22" t="n">
        <v>32.455</v>
      </c>
    </row>
    <row r="104">
      <c r="A104" s="20" t="inlineStr">
        <is>
          <t>자본 합계</t>
        </is>
      </c>
      <c r="C104" s="22" t="n">
        <v>44384.229</v>
      </c>
      <c r="D104" s="22" t="n">
        <v>45155.138</v>
      </c>
      <c r="E104" s="22" t="n">
        <v>47032.593</v>
      </c>
      <c r="F104" s="22" t="n">
        <v>45609.779</v>
      </c>
      <c r="G104" s="22" t="n">
        <v>49280.453</v>
      </c>
      <c r="H104" s="22" t="n">
        <v>30619.458</v>
      </c>
      <c r="I104" s="22" t="n">
        <v>34574.141</v>
      </c>
      <c r="J104" s="22" t="n">
        <v>39096.449</v>
      </c>
      <c r="K104" s="22" t="n">
        <v>41846.194</v>
      </c>
      <c r="L104" s="22" t="n">
        <v>47032.593</v>
      </c>
    </row>
    <row r="105">
      <c r="A105" s="20" t="inlineStr">
        <is>
          <t>부채및자본 합계</t>
        </is>
      </c>
      <c r="C105" s="22" t="n">
        <v>71981.181</v>
      </c>
      <c r="D105" s="22" t="n">
        <v>72210.62</v>
      </c>
      <c r="E105" s="22" t="n">
        <v>73490.811</v>
      </c>
      <c r="F105" s="22" t="n">
        <v>72508.098</v>
      </c>
      <c r="G105" s="22" t="n">
        <v>76745.90399999999</v>
      </c>
      <c r="H105" s="22" t="n">
        <v>58919.371</v>
      </c>
      <c r="I105" s="22" t="n">
        <v>62550.07</v>
      </c>
      <c r="J105" s="22" t="n">
        <v>65950.027</v>
      </c>
      <c r="K105" s="22" t="n">
        <v>68436.952</v>
      </c>
      <c r="L105" s="22" t="n">
        <v>73490.811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2" t="inlineStr">
        <is>
          <t>윙아크1st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가이던스 path · fc dps</t>
        </is>
      </c>
      <c r="B4" s="54" t="n"/>
      <c r="C4" s="54" t="n"/>
      <c r="D4" s="54" t="n"/>
      <c r="E4" s="54" t="n"/>
      <c r="F4" s="54" t="n"/>
      <c r="G4" s="54" t="n"/>
    </row>
    <row r="5">
      <c r="A5" s="55" t="inlineStr">
        <is>
          <t>항목</t>
        </is>
      </c>
      <c r="B5" s="55" t="inlineStr">
        <is>
          <t>값</t>
        </is>
      </c>
      <c r="G5" s="55" t="inlineStr">
        <is>
          <t>출처</t>
        </is>
      </c>
    </row>
    <row r="6">
      <c r="A6" s="56" t="inlineStr">
        <is>
          <t>FY2025</t>
        </is>
      </c>
      <c r="B6" s="57" t="n">
        <v>84</v>
      </c>
      <c r="G6" s="58" t="inlineStr">
        <is>
          <t>2단계 보고서 자료(회사 설명회 자료·공시)</t>
        </is>
      </c>
    </row>
    <row r="7">
      <c r="A7" s="56" t="inlineStr">
        <is>
          <t>FY2026</t>
        </is>
      </c>
      <c r="B7" s="57" t="n">
        <v>104</v>
      </c>
    </row>
    <row r="8">
      <c r="A8" s="56" t="inlineStr">
        <is>
          <t>FY2027</t>
        </is>
      </c>
      <c r="B8" s="57" t="n">
        <v>108</v>
      </c>
    </row>
    <row r="10">
      <c r="A10" s="54" t="inlineStr">
        <is>
          <t>this quarter · 상반기</t>
        </is>
      </c>
      <c r="B10" s="54" t="n"/>
      <c r="C10" s="54" t="n"/>
      <c r="D10" s="54" t="n"/>
      <c r="E10" s="54" t="n"/>
      <c r="F10" s="54" t="n"/>
      <c r="G10" s="54" t="n"/>
    </row>
    <row r="11">
      <c r="A11" s="55" t="inlineStr">
        <is>
          <t>항목</t>
        </is>
      </c>
      <c r="B11" s="55" t="inlineStr">
        <is>
          <t>값</t>
        </is>
      </c>
      <c r="G11" s="55" t="inlineStr">
        <is>
          <t>출처</t>
        </is>
      </c>
    </row>
    <row r="12">
      <c r="A12" s="56" t="inlineStr">
        <is>
          <t>매출</t>
        </is>
      </c>
      <c r="B12" s="59" t="n">
        <v>164.98</v>
      </c>
      <c r="G12" s="58" t="inlineStr">
        <is>
          <t>2단계 보고서 자료(회사 설명회 자료·공시)</t>
        </is>
      </c>
    </row>
    <row r="13">
      <c r="A13" s="56" t="inlineStr">
        <is>
          <t>매출 YoY</t>
        </is>
      </c>
      <c r="B13" s="59" t="n">
        <v>12.1</v>
      </c>
    </row>
    <row r="14">
      <c r="A14" s="56" t="inlineStr">
        <is>
          <t>영업이익</t>
        </is>
      </c>
      <c r="B14" s="59" t="n">
        <v>51.69</v>
      </c>
    </row>
    <row r="15">
      <c r="A15" s="56" t="inlineStr">
        <is>
          <t>영업이익 YoY</t>
        </is>
      </c>
      <c r="B15" s="59" t="n">
        <v>25.8</v>
      </c>
    </row>
    <row r="16">
      <c r="A16" s="56" t="inlineStr">
        <is>
          <t>pbt</t>
        </is>
      </c>
      <c r="B16" s="59" t="n">
        <v>53.07</v>
      </c>
    </row>
    <row r="17">
      <c r="A17" s="56" t="inlineStr">
        <is>
          <t>순이익 owner</t>
        </is>
      </c>
      <c r="B17" s="59" t="n">
        <v>37.96</v>
      </c>
    </row>
    <row r="18">
      <c r="A18" s="56" t="inlineStr">
        <is>
          <t>순이익 YoY</t>
        </is>
      </c>
      <c r="B18" s="59" t="n">
        <v>29.2</v>
      </c>
    </row>
    <row r="19">
      <c r="A19" s="56" t="inlineStr">
        <is>
          <t>ebitda</t>
        </is>
      </c>
      <c r="B19" s="59" t="n">
        <v>59.21</v>
      </c>
    </row>
    <row r="20">
      <c r="A20" s="56" t="inlineStr">
        <is>
          <t>ebitda YoY</t>
        </is>
      </c>
      <c r="B20" s="59" t="n">
        <v>21.9</v>
      </c>
    </row>
    <row r="21">
      <c r="A21" s="56" t="inlineStr">
        <is>
          <t>EPS</t>
        </is>
      </c>
      <c r="B21" s="59" t="n">
        <v>109.26</v>
      </c>
    </row>
    <row r="22">
      <c r="A22" s="56" t="inlineStr">
        <is>
          <t>opex net</t>
        </is>
      </c>
      <c r="B22" s="59" t="n">
        <v>113.29</v>
      </c>
    </row>
    <row r="23">
      <c r="A23" s="56" t="inlineStr">
        <is>
          <t>opex YoY</t>
        </is>
      </c>
      <c r="B23" s="59" t="n">
        <v>6.8</v>
      </c>
    </row>
    <row r="25">
      <c r="A25" s="54" t="inlineStr">
        <is>
          <t>this quarter · 2Q standalone</t>
        </is>
      </c>
      <c r="B25" s="54" t="n"/>
      <c r="C25" s="54" t="n"/>
      <c r="D25" s="54" t="n"/>
      <c r="E25" s="54" t="n"/>
      <c r="F25" s="54" t="n"/>
      <c r="G25" s="54" t="n"/>
    </row>
    <row r="26">
      <c r="A26" s="55" t="inlineStr">
        <is>
          <t>항목</t>
        </is>
      </c>
      <c r="B26" s="55" t="inlineStr">
        <is>
          <t>값</t>
        </is>
      </c>
      <c r="G26" s="55" t="inlineStr">
        <is>
          <t>출처</t>
        </is>
      </c>
    </row>
    <row r="27">
      <c r="A27" s="56" t="inlineStr">
        <is>
          <t>매출</t>
        </is>
      </c>
      <c r="B27" s="59" t="n">
        <v>86.86</v>
      </c>
      <c r="G27" s="58" t="inlineStr">
        <is>
          <t>2단계 보고서 자료(회사 설명회 자료·공시)</t>
        </is>
      </c>
    </row>
    <row r="28">
      <c r="A28" s="56" t="inlineStr">
        <is>
          <t>매출 YoY</t>
        </is>
      </c>
      <c r="B28" s="59" t="n">
        <v>17.4</v>
      </c>
    </row>
    <row r="29">
      <c r="A29" s="56" t="inlineStr">
        <is>
          <t>영업이익</t>
        </is>
      </c>
      <c r="B29" s="59" t="n">
        <v>30.01</v>
      </c>
    </row>
    <row r="30">
      <c r="A30" s="56" t="inlineStr">
        <is>
          <t>영업이익 YoY</t>
        </is>
      </c>
      <c r="B30" s="59" t="n">
        <v>49.2</v>
      </c>
    </row>
    <row r="31">
      <c r="A31" s="56" t="inlineStr">
        <is>
          <t>영업이익률</t>
        </is>
      </c>
      <c r="B31" s="59" t="n">
        <v>34.5</v>
      </c>
    </row>
    <row r="32">
      <c r="A32" s="56" t="inlineStr">
        <is>
          <t>순이익 owner</t>
        </is>
      </c>
      <c r="B32" s="59" t="n">
        <v>22.31</v>
      </c>
    </row>
    <row r="33">
      <c r="A33" s="56" t="inlineStr">
        <is>
          <t>순이익 YoY</t>
        </is>
      </c>
      <c r="B33" s="59" t="n">
        <v>51.6</v>
      </c>
    </row>
    <row r="35">
      <c r="A35" s="54" t="inlineStr">
        <is>
          <t>this quarter · 가이던스</t>
        </is>
      </c>
      <c r="B35" s="54" t="n"/>
      <c r="C35" s="54" t="n"/>
      <c r="D35" s="54" t="n"/>
      <c r="E35" s="54" t="n"/>
      <c r="F35" s="54" t="n"/>
      <c r="G35" s="54" t="n"/>
    </row>
    <row r="36">
      <c r="A36" s="55" t="inlineStr">
        <is>
          <t>항목</t>
        </is>
      </c>
      <c r="B36" s="55" t="inlineStr">
        <is>
          <t>값</t>
        </is>
      </c>
      <c r="G36" s="55" t="inlineStr">
        <is>
          <t>출처</t>
        </is>
      </c>
    </row>
    <row r="37">
      <c r="A37" s="56" t="inlineStr">
        <is>
          <t>매출</t>
        </is>
      </c>
      <c r="B37" s="59" t="n">
        <v>343</v>
      </c>
      <c r="G37" s="58" t="inlineStr">
        <is>
          <t>2단계 보고서 자료(회사 설명회 자료·공시)</t>
        </is>
      </c>
    </row>
    <row r="38">
      <c r="A38" s="56" t="inlineStr">
        <is>
          <t>영업이익</t>
        </is>
      </c>
      <c r="B38" s="59" t="n">
        <v>106</v>
      </c>
    </row>
    <row r="39">
      <c r="A39" s="56" t="inlineStr">
        <is>
          <t>ebitda</t>
        </is>
      </c>
      <c r="B39" s="59" t="n">
        <v>121</v>
      </c>
    </row>
    <row r="40">
      <c r="A40" s="56" t="inlineStr">
        <is>
          <t>순이익</t>
        </is>
      </c>
      <c r="B40" s="59" t="n">
        <v>74.2</v>
      </c>
    </row>
    <row r="41">
      <c r="A41" s="56" t="inlineStr">
        <is>
          <t>매출 YoY</t>
        </is>
      </c>
      <c r="B41" s="59" t="n">
        <v>10.8</v>
      </c>
    </row>
    <row r="42">
      <c r="A42" s="56" t="inlineStr">
        <is>
          <t>영업이익 YoY</t>
        </is>
      </c>
      <c r="B42" s="59" t="n">
        <v>17.9</v>
      </c>
    </row>
    <row r="44">
      <c r="A44" s="54" t="inlineStr">
        <is>
          <t>this quarter · bs cf</t>
        </is>
      </c>
      <c r="B44" s="54" t="n"/>
      <c r="C44" s="54" t="n"/>
      <c r="D44" s="54" t="n"/>
      <c r="E44" s="54" t="n"/>
      <c r="F44" s="54" t="n"/>
      <c r="G44" s="54" t="n"/>
    </row>
    <row r="45">
      <c r="A45" s="55" t="inlineStr">
        <is>
          <t>항목</t>
        </is>
      </c>
      <c r="B45" s="55" t="inlineStr">
        <is>
          <t>값</t>
        </is>
      </c>
      <c r="G45" s="55" t="inlineStr">
        <is>
          <t>출처</t>
        </is>
      </c>
    </row>
    <row r="46">
      <c r="A46" s="56" t="inlineStr">
        <is>
          <t>현금</t>
        </is>
      </c>
      <c r="B46" s="59" t="n">
        <v>166.08</v>
      </c>
      <c r="G46" s="58" t="inlineStr">
        <is>
          <t>2단계 보고서 자료(회사 설명회 자료·공시)</t>
        </is>
      </c>
    </row>
    <row r="47">
      <c r="A47" s="56" t="inlineStr">
        <is>
          <t>현금 전기말</t>
        </is>
      </c>
      <c r="B47" s="59" t="n">
        <v>133.4</v>
      </c>
    </row>
    <row r="48">
      <c r="A48" s="56" t="inlineStr">
        <is>
          <t>계약부채(선수금)</t>
        </is>
      </c>
      <c r="B48" s="59" t="n">
        <v>97.26000000000001</v>
      </c>
    </row>
    <row r="49">
      <c r="A49" s="56" t="inlineStr">
        <is>
          <t>계약부채 전기말</t>
        </is>
      </c>
      <c r="B49" s="59" t="n">
        <v>80.92</v>
      </c>
    </row>
    <row r="50">
      <c r="A50" s="56" t="inlineStr">
        <is>
          <t>계약부채 증가</t>
        </is>
      </c>
      <c r="B50" s="59" t="n">
        <v>16.34</v>
      </c>
    </row>
    <row r="51">
      <c r="A51" s="56" t="inlineStr">
        <is>
          <t>영업채권</t>
        </is>
      </c>
      <c r="B51" s="59" t="n">
        <v>32.31</v>
      </c>
    </row>
    <row r="52">
      <c r="A52" s="56" t="inlineStr">
        <is>
          <t>영업권</t>
        </is>
      </c>
      <c r="B52" s="59" t="n">
        <v>302.37</v>
      </c>
    </row>
    <row r="53">
      <c r="A53" s="56" t="inlineStr">
        <is>
          <t>기타 무형자산</t>
        </is>
      </c>
      <c r="B53" s="59" t="n">
        <v>137.53</v>
      </c>
    </row>
    <row r="54">
      <c r="A54" s="56" t="inlineStr">
        <is>
          <t>총자산</t>
        </is>
      </c>
      <c r="B54" s="59" t="n">
        <v>767.46</v>
      </c>
    </row>
    <row r="55">
      <c r="A55" s="56" t="inlineStr">
        <is>
          <t>자본(지배)</t>
        </is>
      </c>
      <c r="B55" s="59" t="n">
        <v>492.62</v>
      </c>
    </row>
    <row r="56">
      <c r="A56" s="56" t="inlineStr">
        <is>
          <t>자기자본비율</t>
        </is>
      </c>
      <c r="B56" s="59" t="n">
        <v>64.2</v>
      </c>
    </row>
    <row r="57">
      <c r="A57" s="56" t="inlineStr">
        <is>
          <t>차입금(1년내+장기)</t>
        </is>
      </c>
      <c r="B57" s="59" t="n">
        <v>64.06</v>
      </c>
    </row>
    <row r="58">
      <c r="A58" s="56" t="inlineStr">
        <is>
          <t>영업CF 1H</t>
        </is>
      </c>
      <c r="B58" s="59" t="n">
        <v>62.87</v>
      </c>
    </row>
    <row r="59">
      <c r="A59" s="56" t="inlineStr">
        <is>
          <t>영업CF 1H 전년</t>
        </is>
      </c>
      <c r="B59" s="59" t="n">
        <v>43.39</v>
      </c>
    </row>
    <row r="60">
      <c r="A60" s="56" t="inlineStr">
        <is>
          <t>투자CF 1H</t>
        </is>
      </c>
      <c r="B60" s="59" t="n">
        <v>-3.5</v>
      </c>
    </row>
    <row r="61">
      <c r="A61" s="56" t="inlineStr">
        <is>
          <t>배당 지급</t>
        </is>
      </c>
      <c r="B61" s="59" t="n">
        <v>-18.09</v>
      </c>
    </row>
    <row r="62">
      <c r="A62" s="56" t="inlineStr">
        <is>
          <t>차입 상환</t>
        </is>
      </c>
      <c r="B62" s="59" t="n">
        <v>-7.16</v>
      </c>
    </row>
    <row r="64">
      <c r="A64" s="54" t="inlineStr">
        <is>
          <t>컨센서스 · FY2027</t>
        </is>
      </c>
      <c r="B64" s="54" t="n"/>
      <c r="C64" s="54" t="n"/>
      <c r="D64" s="54" t="n"/>
      <c r="E64" s="54" t="n"/>
      <c r="F64" s="54" t="n"/>
      <c r="G64" s="54" t="n"/>
    </row>
    <row r="65">
      <c r="A65" s="55" t="inlineStr">
        <is>
          <t>항목</t>
        </is>
      </c>
      <c r="B65" s="55" t="inlineStr">
        <is>
          <t>값</t>
        </is>
      </c>
      <c r="G65" s="55" t="inlineStr">
        <is>
          <t>출처</t>
        </is>
      </c>
    </row>
    <row r="66">
      <c r="A66" s="56" t="inlineStr">
        <is>
          <t>EPS avg</t>
        </is>
      </c>
      <c r="B66" s="59" t="n">
        <v>221.75</v>
      </c>
      <c r="G66" s="58" t="inlineStr">
        <is>
          <t>야후 파이낸스 via jp_consensus, 2026-10-27 조회</t>
        </is>
      </c>
    </row>
    <row r="67">
      <c r="A67" s="56" t="inlineStr">
        <is>
          <t>EPS lo</t>
        </is>
      </c>
      <c r="B67" s="59" t="n">
        <v>216.3</v>
      </c>
    </row>
    <row r="68">
      <c r="A68" s="56" t="inlineStr">
        <is>
          <t>EPS hi</t>
        </is>
      </c>
      <c r="B68" s="59" t="n">
        <v>227.5</v>
      </c>
    </row>
    <row r="69">
      <c r="A69" s="56" t="inlineStr">
        <is>
          <t>애널리스트 수</t>
        </is>
      </c>
      <c r="B69" s="57" t="n">
        <v>4</v>
      </c>
    </row>
    <row r="70">
      <c r="A70" s="56" t="inlineStr">
        <is>
          <t>매출</t>
        </is>
      </c>
      <c r="B70" s="59" t="n">
        <v>343.7</v>
      </c>
    </row>
    <row r="71">
      <c r="A71" s="56" t="inlineStr">
        <is>
          <t>매출 애널리스트 수</t>
        </is>
      </c>
      <c r="B71" s="57" t="n">
        <v>4</v>
      </c>
    </row>
    <row r="72">
      <c r="A72" s="56" t="inlineStr">
        <is>
          <t>90일 전 EPS</t>
        </is>
      </c>
      <c r="B72" s="59" t="n">
        <v>217.7</v>
      </c>
    </row>
    <row r="74">
      <c r="A74" s="54" t="inlineStr">
        <is>
          <t>컨센서스 · FY2028</t>
        </is>
      </c>
      <c r="B74" s="54" t="n"/>
      <c r="C74" s="54" t="n"/>
      <c r="D74" s="54" t="n"/>
      <c r="E74" s="54" t="n"/>
      <c r="F74" s="54" t="n"/>
      <c r="G74" s="54" t="n"/>
    </row>
    <row r="75">
      <c r="A75" s="55" t="inlineStr">
        <is>
          <t>항목</t>
        </is>
      </c>
      <c r="B75" s="55" t="inlineStr">
        <is>
          <t>값</t>
        </is>
      </c>
      <c r="G75" s="55" t="inlineStr">
        <is>
          <t>출처</t>
        </is>
      </c>
    </row>
    <row r="76">
      <c r="A76" s="56" t="inlineStr">
        <is>
          <t>EPS avg</t>
        </is>
      </c>
      <c r="B76" s="59" t="n">
        <v>249.95</v>
      </c>
      <c r="G76" s="58" t="inlineStr">
        <is>
          <t>야후 파이낸스 via jp_consensus, 2026-10-27 조회</t>
        </is>
      </c>
    </row>
    <row r="77">
      <c r="A77" s="56" t="inlineStr">
        <is>
          <t>매출</t>
        </is>
      </c>
      <c r="B77" s="59" t="n">
        <v>372.9</v>
      </c>
    </row>
    <row r="78">
      <c r="A78" s="56" t="inlineStr">
        <is>
          <t>애널리스트 수</t>
        </is>
      </c>
      <c r="B78" s="57" t="n">
        <v>4</v>
      </c>
    </row>
    <row r="80">
      <c r="A80" s="54" t="inlineStr">
        <is>
          <t>consensus · 3Q FY27(26.9~11)</t>
        </is>
      </c>
      <c r="B80" s="54" t="n"/>
      <c r="C80" s="54" t="n"/>
      <c r="D80" s="54" t="n"/>
      <c r="E80" s="54" t="n"/>
      <c r="F80" s="54" t="n"/>
      <c r="G80" s="54" t="n"/>
    </row>
    <row r="81">
      <c r="A81" s="55" t="inlineStr">
        <is>
          <t>항목</t>
        </is>
      </c>
      <c r="B81" s="55" t="inlineStr">
        <is>
          <t>값</t>
        </is>
      </c>
      <c r="G81" s="55" t="inlineStr">
        <is>
          <t>출처</t>
        </is>
      </c>
    </row>
    <row r="82">
      <c r="A82" s="56" t="inlineStr">
        <is>
          <t>매출</t>
        </is>
      </c>
      <c r="B82" s="59" t="n">
        <v>85.3</v>
      </c>
      <c r="G82" s="58" t="inlineStr">
        <is>
          <t>야후 파이낸스 via jp_consensus, 2026-10-27 조회</t>
        </is>
      </c>
    </row>
    <row r="83">
      <c r="A83" s="56" t="inlineStr">
        <is>
          <t>애널리스트 수</t>
        </is>
      </c>
      <c r="B83" s="57" t="n">
        <v>3</v>
      </c>
    </row>
    <row r="84">
      <c r="A84" s="56" t="inlineStr">
        <is>
          <t>YoY</t>
        </is>
      </c>
      <c r="B84" s="59" t="n">
        <v>9.5</v>
      </c>
    </row>
    <row r="86">
      <c r="A86" s="54" t="inlineStr">
        <is>
          <t>consensus · 4Q FY27(26.12~27.2)</t>
        </is>
      </c>
      <c r="B86" s="54" t="n"/>
      <c r="C86" s="54" t="n"/>
      <c r="D86" s="54" t="n"/>
      <c r="E86" s="54" t="n"/>
      <c r="F86" s="54" t="n"/>
      <c r="G86" s="54" t="n"/>
    </row>
    <row r="87">
      <c r="A87" s="55" t="inlineStr">
        <is>
          <t>항목</t>
        </is>
      </c>
      <c r="B87" s="55" t="inlineStr">
        <is>
          <t>값</t>
        </is>
      </c>
      <c r="G87" s="55" t="inlineStr">
        <is>
          <t>출처</t>
        </is>
      </c>
    </row>
    <row r="88">
      <c r="A88" s="56" t="inlineStr">
        <is>
          <t>매출</t>
        </is>
      </c>
      <c r="B88" s="59" t="n">
        <v>94.7</v>
      </c>
      <c r="G88" s="58" t="inlineStr">
        <is>
          <t>야후 파이낸스 via jp_consensus, 2026-10-27 조회</t>
        </is>
      </c>
    </row>
    <row r="89">
      <c r="A89" s="56" t="inlineStr">
        <is>
          <t>애널리스트 수</t>
        </is>
      </c>
      <c r="B89" s="57" t="n">
        <v>3</v>
      </c>
    </row>
    <row r="90">
      <c r="A90" s="56" t="inlineStr">
        <is>
          <t>YoY</t>
        </is>
      </c>
      <c r="B90" s="59" t="n">
        <v>12.1</v>
      </c>
    </row>
    <row r="92">
      <c r="A92" s="54" t="inlineStr">
        <is>
          <t>컨센서스 · 목표주가 가격</t>
        </is>
      </c>
      <c r="B92" s="54" t="n"/>
      <c r="C92" s="54" t="n"/>
      <c r="D92" s="54" t="n"/>
      <c r="E92" s="54" t="n"/>
      <c r="F92" s="54" t="n"/>
      <c r="G92" s="54" t="n"/>
    </row>
    <row r="93">
      <c r="A93" s="55" t="inlineStr">
        <is>
          <t>항목</t>
        </is>
      </c>
      <c r="B93" s="55" t="inlineStr">
        <is>
          <t>값</t>
        </is>
      </c>
      <c r="G93" s="55" t="inlineStr">
        <is>
          <t>출처</t>
        </is>
      </c>
    </row>
    <row r="94">
      <c r="A94" s="56" t="inlineStr">
        <is>
          <t>평균</t>
        </is>
      </c>
      <c r="B94" s="57" t="n">
        <v>4350</v>
      </c>
      <c r="G94" s="58" t="inlineStr">
        <is>
          <t>야후 파이낸스 via jp_consensus, 2026-10-27 조회</t>
        </is>
      </c>
    </row>
    <row r="95">
      <c r="A95" s="56" t="inlineStr">
        <is>
          <t>최고</t>
        </is>
      </c>
      <c r="B95" s="57" t="n">
        <v>4400</v>
      </c>
    </row>
    <row r="96">
      <c r="A96" s="56" t="inlineStr">
        <is>
          <t>최저</t>
        </is>
      </c>
      <c r="B96" s="57" t="n">
        <v>4300</v>
      </c>
    </row>
    <row r="97">
      <c r="A97" s="56" t="inlineStr">
        <is>
          <t>애널리스트 수</t>
        </is>
      </c>
      <c r="B97" s="57" t="n">
        <v>2</v>
      </c>
    </row>
    <row r="99">
      <c r="A99" s="54" t="inlineStr">
        <is>
          <t>bs annual</t>
        </is>
      </c>
      <c r="B99" s="54" t="n"/>
      <c r="C99" s="54" t="n"/>
      <c r="D99" s="54" t="n"/>
      <c r="E99" s="54" t="n"/>
      <c r="F99" s="54" t="n"/>
      <c r="G99" s="54" t="n"/>
    </row>
    <row r="100">
      <c r="A100" s="55" t="inlineStr">
        <is>
          <t>항목</t>
        </is>
      </c>
      <c r="B100" s="55" t="inlineStr">
        <is>
          <t>2022</t>
        </is>
      </c>
      <c r="C100" s="55" t="inlineStr">
        <is>
          <t>2023</t>
        </is>
      </c>
      <c r="D100" s="55" t="inlineStr">
        <is>
          <t>2024</t>
        </is>
      </c>
      <c r="E100" s="55" t="inlineStr">
        <is>
          <t>2025</t>
        </is>
      </c>
      <c r="F100" s="55" t="inlineStr">
        <is>
          <t>2026</t>
        </is>
      </c>
      <c r="G100" s="55" t="inlineStr">
        <is>
          <t>출처</t>
        </is>
      </c>
    </row>
    <row r="101">
      <c r="A101" s="56" t="inlineStr">
        <is>
          <t>labels</t>
        </is>
      </c>
      <c r="B101" s="57" t="n">
        <v>2022</v>
      </c>
      <c r="C101" s="57" t="n">
        <v>2023</v>
      </c>
      <c r="D101" s="57" t="n">
        <v>2024</v>
      </c>
      <c r="E101" s="57" t="n">
        <v>2025</v>
      </c>
      <c r="F101" s="57" t="n">
        <v>2026</v>
      </c>
      <c r="G101" s="58" t="inlineStr">
        <is>
          <t>2단계 보고서 자료(회사 설명회 자료·공시)</t>
        </is>
      </c>
    </row>
    <row r="102">
      <c r="A102" s="56" t="inlineStr">
        <is>
          <t>current assets</t>
        </is>
      </c>
      <c r="B102" s="59" t="n">
        <v>109.4</v>
      </c>
      <c r="C102" s="59" t="n">
        <v>132.4</v>
      </c>
      <c r="D102" s="59" t="n">
        <v>152.7</v>
      </c>
      <c r="E102" s="59" t="n">
        <v>178.2</v>
      </c>
      <c r="F102" s="59" t="n">
        <v>180.1</v>
      </c>
    </row>
    <row r="103">
      <c r="A103" s="56" t="inlineStr">
        <is>
          <t>cash</t>
        </is>
      </c>
      <c r="B103" s="59" t="n">
        <v>90.2</v>
      </c>
      <c r="C103" s="59" t="n">
        <v>111.8</v>
      </c>
      <c r="D103" s="59" t="n">
        <v>129.9</v>
      </c>
      <c r="E103" s="59" t="n">
        <v>147.2</v>
      </c>
      <c r="F103" s="59" t="n">
        <v>133.4</v>
      </c>
    </row>
    <row r="104">
      <c r="A104" s="56" t="inlineStr">
        <is>
          <t>st fin</t>
        </is>
      </c>
      <c r="B104" s="59" t="n">
        <v>0.3</v>
      </c>
      <c r="C104" s="59" t="n">
        <v>0.4</v>
      </c>
      <c r="D104" s="59" t="n">
        <v>0.5</v>
      </c>
      <c r="E104" s="59" t="n">
        <v>0.8</v>
      </c>
      <c r="F104" s="59" t="n">
        <v>1</v>
      </c>
    </row>
    <row r="105">
      <c r="A105" s="56" t="inlineStr">
        <is>
          <t>receivables</t>
        </is>
      </c>
      <c r="B105" s="59" t="n">
        <v>15</v>
      </c>
      <c r="C105" s="59" t="n">
        <v>14.7</v>
      </c>
      <c r="D105" s="59" t="n">
        <v>16.7</v>
      </c>
      <c r="E105" s="59" t="n">
        <v>24.5</v>
      </c>
      <c r="F105" s="59" t="n">
        <v>39</v>
      </c>
    </row>
    <row r="106">
      <c r="A106" s="56" t="inlineStr">
        <is>
          <t>inventory</t>
        </is>
      </c>
      <c r="B106" s="60" t="n"/>
      <c r="C106" s="60" t="n"/>
      <c r="D106" s="60" t="n"/>
      <c r="E106" s="60" t="n"/>
      <c r="F106" s="60" t="n"/>
    </row>
    <row r="107">
      <c r="A107" s="56" t="inlineStr">
        <is>
          <t>noncurrent assets</t>
        </is>
      </c>
      <c r="B107" s="59" t="n">
        <v>479.8</v>
      </c>
      <c r="C107" s="59" t="n">
        <v>493.1</v>
      </c>
      <c r="D107" s="59" t="n">
        <v>506.8</v>
      </c>
      <c r="E107" s="59" t="n">
        <v>506.1</v>
      </c>
      <c r="F107" s="59" t="n">
        <v>554.8</v>
      </c>
    </row>
    <row r="108">
      <c r="A108" s="56" t="inlineStr">
        <is>
          <t>ppe</t>
        </is>
      </c>
      <c r="B108" s="59" t="n">
        <v>14.8</v>
      </c>
      <c r="C108" s="59" t="n">
        <v>16</v>
      </c>
      <c r="D108" s="59" t="n">
        <v>18</v>
      </c>
      <c r="E108" s="59" t="n">
        <v>20.8</v>
      </c>
      <c r="F108" s="59" t="n">
        <v>18.6</v>
      </c>
    </row>
    <row r="109">
      <c r="A109" s="56" t="inlineStr">
        <is>
          <t>intangibles</t>
        </is>
      </c>
      <c r="B109" s="60" t="n"/>
      <c r="C109" s="60" t="n"/>
      <c r="D109" s="60" t="n"/>
      <c r="E109" s="60" t="n"/>
      <c r="F109" s="60" t="n"/>
    </row>
    <row r="110">
      <c r="A110" s="56" t="inlineStr">
        <is>
          <t>inv property</t>
        </is>
      </c>
      <c r="B110" s="60" t="n"/>
      <c r="C110" s="60" t="n"/>
      <c r="D110" s="60" t="n"/>
      <c r="E110" s="60" t="n"/>
      <c r="F110" s="60" t="n"/>
    </row>
    <row r="111">
      <c r="A111" s="56" t="inlineStr">
        <is>
          <t>합계 assets</t>
        </is>
      </c>
      <c r="B111" s="59" t="n">
        <v>589.2</v>
      </c>
      <c r="C111" s="59" t="n">
        <v>625.5</v>
      </c>
      <c r="D111" s="59" t="n">
        <v>659.5</v>
      </c>
      <c r="E111" s="59" t="n">
        <v>684.4</v>
      </c>
      <c r="F111" s="59" t="n">
        <v>734.9</v>
      </c>
    </row>
    <row r="112">
      <c r="A112" s="56" t="inlineStr">
        <is>
          <t>current liab</t>
        </is>
      </c>
      <c r="B112" s="59" t="n">
        <v>114</v>
      </c>
      <c r="C112" s="59" t="n">
        <v>127.5</v>
      </c>
      <c r="D112" s="59" t="n">
        <v>133.5</v>
      </c>
      <c r="E112" s="59" t="n">
        <v>148.4</v>
      </c>
      <c r="F112" s="59" t="n">
        <v>153</v>
      </c>
    </row>
    <row r="113">
      <c r="A113" s="56" t="inlineStr">
        <is>
          <t>payables</t>
        </is>
      </c>
      <c r="B113" s="59" t="n">
        <v>6.4</v>
      </c>
      <c r="C113" s="59" t="n">
        <v>10.6</v>
      </c>
      <c r="D113" s="59" t="n">
        <v>8.6</v>
      </c>
      <c r="E113" s="59" t="n">
        <v>9.9</v>
      </c>
      <c r="F113" s="59" t="n">
        <v>11.3</v>
      </c>
    </row>
    <row r="114">
      <c r="A114" s="56" t="inlineStr">
        <is>
          <t>st debt</t>
        </is>
      </c>
      <c r="B114" s="60" t="n"/>
      <c r="C114" s="60" t="n"/>
      <c r="D114" s="60" t="n"/>
      <c r="E114" s="60" t="n"/>
      <c r="F114" s="60" t="n"/>
    </row>
    <row r="115">
      <c r="A115" s="56" t="inlineStr">
        <is>
          <t>noncurrent liab</t>
        </is>
      </c>
      <c r="B115" s="59" t="n">
        <v>169</v>
      </c>
      <c r="C115" s="59" t="n">
        <v>152.2</v>
      </c>
      <c r="D115" s="59" t="n">
        <v>135</v>
      </c>
      <c r="E115" s="59" t="n">
        <v>117.5</v>
      </c>
      <c r="F115" s="59" t="n">
        <v>111.6</v>
      </c>
    </row>
    <row r="116">
      <c r="A116" s="56" t="inlineStr">
        <is>
          <t>lt debt</t>
        </is>
      </c>
      <c r="B116" s="59" t="n">
        <v>121.9</v>
      </c>
      <c r="C116" s="59" t="n">
        <v>102.1</v>
      </c>
      <c r="D116" s="59" t="n">
        <v>85.2</v>
      </c>
      <c r="E116" s="59" t="n">
        <v>71.09999999999999</v>
      </c>
      <c r="F116" s="59" t="n">
        <v>56.9</v>
      </c>
    </row>
    <row r="117">
      <c r="A117" s="56" t="inlineStr">
        <is>
          <t>bonds</t>
        </is>
      </c>
      <c r="B117" s="60" t="n"/>
      <c r="C117" s="60" t="n"/>
      <c r="D117" s="60" t="n"/>
      <c r="E117" s="60" t="n"/>
      <c r="F117" s="60" t="n"/>
    </row>
    <row r="118">
      <c r="A118" s="56" t="inlineStr">
        <is>
          <t>합계 liab</t>
        </is>
      </c>
      <c r="B118" s="59" t="n">
        <v>283</v>
      </c>
      <c r="C118" s="59" t="n">
        <v>279.8</v>
      </c>
      <c r="D118" s="59" t="n">
        <v>268.5</v>
      </c>
      <c r="E118" s="59" t="n">
        <v>265.9</v>
      </c>
      <c r="F118" s="59" t="n">
        <v>264.6</v>
      </c>
    </row>
    <row r="119">
      <c r="A119" s="56" t="inlineStr">
        <is>
          <t>capital stock</t>
        </is>
      </c>
      <c r="B119" s="59" t="n">
        <v>10.8</v>
      </c>
      <c r="C119" s="59" t="n">
        <v>11.4</v>
      </c>
      <c r="D119" s="59" t="n">
        <v>12</v>
      </c>
      <c r="E119" s="59" t="n">
        <v>12.3</v>
      </c>
      <c r="F119" s="59" t="n">
        <v>12.5</v>
      </c>
    </row>
    <row r="120">
      <c r="A120" s="56" t="inlineStr">
        <is>
          <t>retained</t>
        </is>
      </c>
      <c r="B120" s="59" t="n">
        <v>172.7</v>
      </c>
      <c r="C120" s="59" t="n">
        <v>201.9</v>
      </c>
      <c r="D120" s="59" t="n">
        <v>237</v>
      </c>
      <c r="E120" s="59" t="n">
        <v>266.1</v>
      </c>
      <c r="F120" s="59" t="n">
        <v>291.5</v>
      </c>
    </row>
    <row r="121">
      <c r="A121" s="56" t="inlineStr">
        <is>
          <t>nci</t>
        </is>
      </c>
      <c r="B121" s="59" t="n">
        <v>0.8</v>
      </c>
      <c r="C121" s="59" t="n">
        <v>0.6</v>
      </c>
      <c r="D121" s="59" t="n">
        <v>0.2</v>
      </c>
      <c r="E121" s="59" t="n">
        <v>0.5</v>
      </c>
      <c r="F121" s="59" t="n">
        <v>0.3</v>
      </c>
    </row>
    <row r="122">
      <c r="A122" s="56" t="inlineStr">
        <is>
          <t>합계 equity</t>
        </is>
      </c>
      <c r="B122" s="59" t="n">
        <v>306.2</v>
      </c>
      <c r="C122" s="59" t="n">
        <v>345.7</v>
      </c>
      <c r="D122" s="59" t="n">
        <v>391</v>
      </c>
      <c r="E122" s="59" t="n">
        <v>418.5</v>
      </c>
      <c r="F122" s="59" t="n">
        <v>470.3</v>
      </c>
    </row>
    <row r="123">
      <c r="A123" s="56" t="inlineStr">
        <is>
          <t>current ltd</t>
        </is>
      </c>
      <c r="B123" s="60" t="n"/>
      <c r="C123" s="60" t="n"/>
      <c r="D123" s="60" t="n"/>
      <c r="E123" s="60" t="n"/>
      <c r="F123" s="60" t="n"/>
    </row>
    <row r="124">
      <c r="A124" s="56" t="inlineStr">
        <is>
          <t>equity owner</t>
        </is>
      </c>
      <c r="B124" s="59" t="n">
        <v>305.4</v>
      </c>
      <c r="C124" s="59" t="n">
        <v>345.2</v>
      </c>
      <c r="D124" s="59" t="n">
        <v>390.7</v>
      </c>
      <c r="E124" s="59" t="n">
        <v>417.9</v>
      </c>
      <c r="F124" s="59" t="n">
        <v>470</v>
      </c>
    </row>
    <row r="126">
      <c r="A126" s="54" t="inlineStr">
        <is>
          <t>cf annual</t>
        </is>
      </c>
      <c r="B126" s="54" t="n"/>
      <c r="C126" s="54" t="n"/>
      <c r="D126" s="54" t="n"/>
      <c r="E126" s="54" t="n"/>
      <c r="F126" s="54" t="n"/>
      <c r="G126" s="54" t="n"/>
    </row>
    <row r="127">
      <c r="A127" s="55" t="inlineStr">
        <is>
          <t>항목</t>
        </is>
      </c>
      <c r="B127" s="55" t="inlineStr">
        <is>
          <t>2022</t>
        </is>
      </c>
      <c r="C127" s="55" t="inlineStr">
        <is>
          <t>2023</t>
        </is>
      </c>
      <c r="D127" s="55" t="inlineStr">
        <is>
          <t>2024</t>
        </is>
      </c>
      <c r="E127" s="55" t="inlineStr">
        <is>
          <t>2025</t>
        </is>
      </c>
      <c r="F127" s="55" t="inlineStr">
        <is>
          <t>2026</t>
        </is>
      </c>
      <c r="G127" s="55" t="inlineStr">
        <is>
          <t>출처</t>
        </is>
      </c>
    </row>
    <row r="128">
      <c r="A128" s="56" t="inlineStr">
        <is>
          <t>labels</t>
        </is>
      </c>
      <c r="B128" s="57" t="n">
        <v>2022</v>
      </c>
      <c r="C128" s="57" t="n">
        <v>2023</v>
      </c>
      <c r="D128" s="57" t="n">
        <v>2024</v>
      </c>
      <c r="E128" s="57" t="n">
        <v>2025</v>
      </c>
      <c r="F128" s="57" t="n">
        <v>2026</v>
      </c>
      <c r="G128" s="58" t="inlineStr">
        <is>
          <t>2단계 보고서 자료(회사 설명회 자료·공시)</t>
        </is>
      </c>
    </row>
    <row r="129">
      <c r="A129" s="56" t="inlineStr">
        <is>
          <t>ocf</t>
        </is>
      </c>
      <c r="B129" s="59" t="n">
        <v>64.40000000000001</v>
      </c>
      <c r="C129" s="59" t="n">
        <v>68.7</v>
      </c>
      <c r="D129" s="59" t="n">
        <v>78.40000000000001</v>
      </c>
      <c r="E129" s="59" t="n">
        <v>82</v>
      </c>
      <c r="F129" s="59" t="n">
        <v>72</v>
      </c>
    </row>
    <row r="130">
      <c r="A130" s="56" t="inlineStr">
        <is>
          <t>설비투자</t>
        </is>
      </c>
      <c r="B130" s="59" t="n">
        <v>5</v>
      </c>
      <c r="C130" s="59" t="n">
        <v>5.6</v>
      </c>
      <c r="D130" s="59" t="n">
        <v>10.7</v>
      </c>
      <c r="E130" s="59" t="n">
        <v>8.199999999999999</v>
      </c>
      <c r="F130" s="59" t="n">
        <v>5.7</v>
      </c>
    </row>
    <row r="131">
      <c r="A131" s="56" t="inlineStr">
        <is>
          <t>dividends</t>
        </is>
      </c>
      <c r="B131" s="59" t="n">
        <v>14.3</v>
      </c>
      <c r="C131" s="59" t="n">
        <v>14.8</v>
      </c>
      <c r="D131" s="59" t="n">
        <v>19</v>
      </c>
      <c r="E131" s="59" t="n">
        <v>30.2</v>
      </c>
      <c r="F131" s="59" t="n">
        <v>39.5</v>
      </c>
    </row>
    <row r="133">
      <c r="A133" s="54" t="inlineStr">
        <is>
          <t>peers · 라쿠스(3923, 3월 결산, 클라우드 경비정산·청구서 발행)</t>
        </is>
      </c>
      <c r="B133" s="54" t="n"/>
      <c r="C133" s="54" t="n"/>
      <c r="D133" s="54" t="n"/>
      <c r="E133" s="54" t="n"/>
      <c r="F133" s="54" t="n"/>
      <c r="G133" s="54" t="n"/>
    </row>
    <row r="134">
      <c r="A134" s="55" t="inlineStr">
        <is>
          <t>항목</t>
        </is>
      </c>
      <c r="B134" s="55" t="inlineStr">
        <is>
          <t>값</t>
        </is>
      </c>
      <c r="G134" s="55" t="inlineStr">
        <is>
          <t>출처</t>
        </is>
      </c>
    </row>
    <row r="135">
      <c r="A135" s="56" t="inlineStr">
        <is>
          <t>가격</t>
        </is>
      </c>
      <c r="B135" s="57" t="n">
        <v>1113</v>
      </c>
      <c r="G135" s="58" t="inlineStr">
        <is>
          <t>경쟁·비교 일본 소프트웨어 4곳(jp_guidance history, 억 엔, [기간, 매출, 영업이익]). 결산월: 라쿠스 3월, 산산 5월, 아반트 6월, 사이보즈 12월. 주가 2026-10-27</t>
        </is>
      </c>
    </row>
    <row r="136">
      <c r="A136" s="56" t="inlineStr">
        <is>
          <t>mcap oku</t>
        </is>
      </c>
      <c r="B136" s="57" t="n">
        <v>3941</v>
      </c>
    </row>
    <row r="137">
      <c r="A137" s="56" t="inlineStr">
        <is>
          <t>cons EPS FY</t>
        </is>
      </c>
      <c r="B137" s="59" t="n">
        <v>75.13</v>
      </c>
    </row>
    <row r="138">
      <c r="A138" s="56" t="inlineStr">
        <is>
          <t>fc EPS</t>
        </is>
      </c>
      <c r="B138" s="59" t="n">
        <v>71.16</v>
      </c>
    </row>
    <row r="140">
      <c r="A140" s="54" t="inlineStr">
        <is>
          <t>peers · 산산(4443, 5월 결산, 명함관리·청구서 수령 클라우드)</t>
        </is>
      </c>
      <c r="B140" s="54" t="n"/>
      <c r="C140" s="54" t="n"/>
      <c r="D140" s="54" t="n"/>
      <c r="E140" s="54" t="n"/>
      <c r="F140" s="54" t="n"/>
      <c r="G140" s="54" t="n"/>
    </row>
    <row r="141">
      <c r="A141" s="55" t="inlineStr">
        <is>
          <t>항목</t>
        </is>
      </c>
      <c r="B141" s="55" t="inlineStr">
        <is>
          <t>값</t>
        </is>
      </c>
      <c r="G141" s="55" t="inlineStr">
        <is>
          <t>출처</t>
        </is>
      </c>
    </row>
    <row r="142">
      <c r="A142" s="56" t="inlineStr">
        <is>
          <t>가격</t>
        </is>
      </c>
      <c r="B142" s="57" t="n">
        <v>2169</v>
      </c>
      <c r="G142" s="58" t="inlineStr">
        <is>
          <t>경쟁·비교 일본 소프트웨어 4곳(jp_guidance history, 억 엔, [기간, 매출, 영업이익]). 결산월: 라쿠스 3월, 산산 5월, 아반트 6월, 사이보즈 12월. 주가 2026-10-27</t>
        </is>
      </c>
    </row>
    <row r="143">
      <c r="A143" s="56" t="inlineStr">
        <is>
          <t>mcap oku</t>
        </is>
      </c>
      <c r="B143" s="57" t="n">
        <v>2718</v>
      </c>
    </row>
    <row r="144">
      <c r="A144" s="56" t="inlineStr">
        <is>
          <t>cons EPS FY</t>
        </is>
      </c>
      <c r="B144" s="59" t="n">
        <v>73.83</v>
      </c>
    </row>
    <row r="146">
      <c r="A146" s="54" t="inlineStr">
        <is>
          <t>peers · 아반트그룹(3836, 6월 결산, 연결회계·경영관리·데이터 활용)</t>
        </is>
      </c>
      <c r="B146" s="54" t="n"/>
      <c r="C146" s="54" t="n"/>
      <c r="D146" s="54" t="n"/>
      <c r="E146" s="54" t="n"/>
      <c r="F146" s="54" t="n"/>
      <c r="G146" s="54" t="n"/>
    </row>
    <row r="147">
      <c r="A147" s="55" t="inlineStr">
        <is>
          <t>항목</t>
        </is>
      </c>
      <c r="B147" s="55" t="inlineStr">
        <is>
          <t>값</t>
        </is>
      </c>
      <c r="G147" s="55" t="inlineStr">
        <is>
          <t>출처</t>
        </is>
      </c>
    </row>
    <row r="148">
      <c r="A148" s="56" t="inlineStr">
        <is>
          <t>가격</t>
        </is>
      </c>
      <c r="B148" s="57" t="n">
        <v>1261</v>
      </c>
      <c r="G148" s="58" t="inlineStr">
        <is>
          <t>경쟁·비교 일본 소프트웨어 4곳(jp_guidance history, 억 엔, [기간, 매출, 영업이익]). 결산월: 라쿠스 3월, 산산 5월, 아반트 6월, 사이보즈 12월. 주가 2026-10-27</t>
        </is>
      </c>
    </row>
    <row r="149">
      <c r="A149" s="56" t="inlineStr">
        <is>
          <t>mcap oku</t>
        </is>
      </c>
      <c r="B149" s="57" t="n">
        <v>434</v>
      </c>
    </row>
    <row r="150">
      <c r="A150" s="56" t="inlineStr">
        <is>
          <t>fc EPS</t>
        </is>
      </c>
      <c r="B150" s="59" t="n">
        <v>100.13</v>
      </c>
    </row>
    <row r="152">
      <c r="A152" s="54" t="inlineStr">
        <is>
          <t>peers · 사이보즈(4776, 12월 결산, 업무 앱 클라우드)</t>
        </is>
      </c>
      <c r="B152" s="54" t="n"/>
      <c r="C152" s="54" t="n"/>
      <c r="D152" s="54" t="n"/>
      <c r="E152" s="54" t="n"/>
      <c r="F152" s="54" t="n"/>
      <c r="G152" s="54" t="n"/>
    </row>
    <row r="153">
      <c r="A153" s="55" t="inlineStr">
        <is>
          <t>항목</t>
        </is>
      </c>
      <c r="B153" s="55" t="inlineStr">
        <is>
          <t>값</t>
        </is>
      </c>
      <c r="G153" s="55" t="inlineStr">
        <is>
          <t>출처</t>
        </is>
      </c>
    </row>
    <row r="154">
      <c r="A154" s="56" t="inlineStr">
        <is>
          <t>가격</t>
        </is>
      </c>
      <c r="B154" s="57" t="n">
        <v>3110</v>
      </c>
      <c r="G154" s="58" t="inlineStr">
        <is>
          <t>경쟁·비교 일본 소프트웨어 4곳(jp_guidance history, 억 엔, [기간, 매출, 영업이익]). 결산월: 라쿠스 3월, 산산 5월, 아반트 6월, 사이보즈 12월. 주가 2026-10-27</t>
        </is>
      </c>
    </row>
    <row r="155">
      <c r="A155" s="56" t="inlineStr">
        <is>
          <t>mcap oku</t>
        </is>
      </c>
      <c r="B155" s="57" t="n">
        <v>1401</v>
      </c>
    </row>
    <row r="156">
      <c r="A156" s="56" t="inlineStr">
        <is>
          <t>fc EPS</t>
        </is>
      </c>
      <c r="B156" s="59" t="n">
        <v>163.26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2026-10-14</t>
        </is>
      </c>
      <c r="B4" t="inlineStr">
        <is>
          <t>2027년 2월 결산기 ２분기 결산단신</t>
        </is>
      </c>
      <c r="C4" t="inlineStr">
        <is>
          <t>https://www2.jpx.co.jp/disc/44320/140120261008548034.pdf</t>
        </is>
      </c>
    </row>
    <row r="5">
      <c r="A5" t="inlineStr">
        <is>
          <t>2026-07-14</t>
        </is>
      </c>
      <c r="B5" t="inlineStr">
        <is>
          <t>2027년 2월 결산기 연간 결산단신</t>
        </is>
      </c>
      <c r="C5" t="inlineStr">
        <is>
          <t>https://www2.jpx.co.jp/disc/44320/140120260713592543.pdf</t>
        </is>
      </c>
    </row>
    <row r="6">
      <c r="A6" t="inlineStr">
        <is>
          <t>2026-04-09</t>
        </is>
      </c>
      <c r="B6" t="inlineStr">
        <is>
          <t>2026년 2월 결산기 연간 결산단신</t>
        </is>
      </c>
      <c r="C6" t="inlineStr">
        <is>
          <t>https://www2.jpx.co.jp/disc/44320/140120260408500317.pdf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https://www2.jpx.co.jp/disc/44320/140120260113532708.pdf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https://www2.jpx.co.jp/disc/44320/140120251014573401.pdf</t>
        </is>
      </c>
    </row>
    <row r="9">
      <c r="A9" t="inlineStr">
        <is>
          <t>2025-07-10</t>
        </is>
      </c>
      <c r="B9" t="inlineStr">
        <is>
          <t>2026년 2월 결산기 １분기 결산단신</t>
        </is>
      </c>
      <c r="C9" t="inlineStr">
        <is>
          <t>https://www2.jpx.co.jp/disc/44320/140120250709511047.pdf</t>
        </is>
      </c>
    </row>
    <row r="10">
      <c r="A10" t="inlineStr">
        <is>
          <t>2025-04-10</t>
        </is>
      </c>
      <c r="B10" t="inlineStr">
        <is>
          <t>2025년 2월 결산기 연간 결산단신</t>
        </is>
      </c>
      <c r="C10" t="inlineStr">
        <is>
          <t>https://www2.jpx.co.jp/disc/44320/140120250409511943.pdf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https://www2.jpx.co.jp/disc/44320/140120250114549894.pdf</t>
        </is>
      </c>
    </row>
    <row r="12">
      <c r="A12" t="inlineStr">
        <is>
          <t>2024-10-10</t>
        </is>
      </c>
      <c r="B12" t="inlineStr">
        <is>
          <t>2025년 2월 결산기 ２분기 결산단신</t>
        </is>
      </c>
      <c r="C12" t="inlineStr">
        <is>
          <t>https://www2.jpx.co.jp/disc/44320/140120241010595953.pdf</t>
        </is>
      </c>
    </row>
    <row r="13">
      <c r="A13" t="inlineStr">
        <is>
          <t>2024-07-11</t>
        </is>
      </c>
      <c r="B13" t="inlineStr">
        <is>
          <t>2025년 2월 결산기 １분기 결산단신</t>
        </is>
      </c>
      <c r="C13" t="inlineStr">
        <is>
          <t>https://www2.jpx.co.jp/disc/44320/140120240710546968.pdf</t>
        </is>
      </c>
    </row>
    <row r="14">
      <c r="A14" t="inlineStr">
        <is>
          <t>2024-04-11</t>
        </is>
      </c>
      <c r="B14" t="inlineStr">
        <is>
          <t>2024년 2월 결산기 연간 결산단신</t>
        </is>
      </c>
      <c r="C14" t="inlineStr">
        <is>
          <t>https://www2.jpx.co.jp/disc/44320/140120240409567596.pdf</t>
        </is>
      </c>
    </row>
    <row r="15">
      <c r="A15" t="inlineStr">
        <is>
          <t>2024-01-12</t>
        </is>
      </c>
      <c r="B15" t="inlineStr">
        <is>
          <t>2024년 2월 결산기 ３분기 결산단신</t>
        </is>
      </c>
      <c r="C15" t="inlineStr">
        <is>
          <t>https://www2.jpx.co.jp/disc/44320/140120240111513545.pdf</t>
        </is>
      </c>
    </row>
    <row r="16">
      <c r="A16" t="inlineStr">
        <is>
          <t>2023-10-12</t>
        </is>
      </c>
      <c r="B16" t="inlineStr">
        <is>
          <t>2024년 2월 결산기 ２분기 결산단신</t>
        </is>
      </c>
      <c r="C16" t="inlineStr">
        <is>
          <t>https://www2.jpx.co.jp/disc/44320/140120231011565335.pdf</t>
        </is>
      </c>
    </row>
    <row r="17">
      <c r="A17" t="inlineStr">
        <is>
          <t>2023-07-13</t>
        </is>
      </c>
      <c r="B17" t="inlineStr">
        <is>
          <t>2024년 2월 결산기 １분기 결산단신</t>
        </is>
      </c>
      <c r="C17" t="inlineStr">
        <is>
          <t>https://www2.jpx.co.jp/disc/44320/140120230712520853.pdf</t>
        </is>
      </c>
    </row>
    <row r="18">
      <c r="A18" t="inlineStr">
        <is>
          <t>2023-04-13</t>
        </is>
      </c>
      <c r="B18" t="inlineStr">
        <is>
          <t>2023년 2월 결산기 연간 결산단신</t>
        </is>
      </c>
      <c r="C18" t="inlineStr">
        <is>
          <t>https://www2.jpx.co.jp/disc/44320/140120230412546184.pdf</t>
        </is>
      </c>
    </row>
    <row r="19">
      <c r="A19" t="inlineStr">
        <is>
          <t>2023-01-12</t>
        </is>
      </c>
      <c r="B19" t="inlineStr">
        <is>
          <t>2023년 2월 결산기 ３분기 결산단신</t>
        </is>
      </c>
      <c r="C19" t="inlineStr">
        <is>
          <t>https://www2.jpx.co.jp/disc/44320/140120230112587962.pdf</t>
        </is>
      </c>
    </row>
    <row r="20">
      <c r="A20" t="inlineStr">
        <is>
          <t>2022-04-13</t>
        </is>
      </c>
      <c r="B20" t="inlineStr">
        <is>
          <t>2022년 2월 결산기 연간 결산단신</t>
        </is>
      </c>
      <c r="C20" t="inlineStr">
        <is>
          <t>https://www2.jpx.co.jp/disc/44320/140120220411520070.pdf</t>
        </is>
      </c>
    </row>
    <row r="21">
      <c r="A21" t="inlineStr">
        <is>
          <t>2021-04-13</t>
        </is>
      </c>
      <c r="B21" t="inlineStr">
        <is>
          <t>2021년 2월 결산기 연간 결산단신</t>
        </is>
      </c>
      <c r="C21" t="inlineStr">
        <is>
          <t>https://www2.jpx.co.jp/disc/44320/140120210408491807.pdf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2026-10-27T05:10:24Z</dcterms:created>
  <dcterms:modified xmlns:dcterms="http://purl.org/dc/terms/" xmlns:xsi="http://www.w3.org/2001/XMLSchema-instance" xsi:type="dcterms:W3CDTF">2026-10-27T05:10:25Z</dcterms:modified>
</cp:coreProperties>
</file>