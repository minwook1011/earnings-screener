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JRC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2574.757</v>
      </c>
      <c r="D4" s="12" t="n">
        <v>2508.214</v>
      </c>
      <c r="E4" s="12" t="n">
        <v>2355.733</v>
      </c>
      <c r="F4" s="12" t="n">
        <v>2593.327</v>
      </c>
      <c r="G4" s="12" t="n">
        <v>2968.985</v>
      </c>
      <c r="H4" s="12" t="n">
        <v>3146.526</v>
      </c>
      <c r="I4" s="12" t="n">
        <v>3394.745</v>
      </c>
      <c r="J4" s="12" t="n">
        <v>2931.382</v>
      </c>
      <c r="K4" s="12" t="n">
        <v>3383.595</v>
      </c>
      <c r="L4" s="12" t="n">
        <v>4037.163</v>
      </c>
      <c r="M4" s="12" t="n">
        <v>3538.826</v>
      </c>
      <c r="N4" s="12" t="n">
        <v>3243.321</v>
      </c>
      <c r="O4" s="11" t="n"/>
      <c r="P4" s="12" t="n"/>
      <c r="Q4" s="12" t="n"/>
      <c r="R4" s="12" t="n"/>
      <c r="S4" s="12" t="n"/>
      <c r="T4" s="12" t="n"/>
      <c r="U4" s="12" t="n">
        <v>8961.165000000001</v>
      </c>
      <c r="V4" s="12" t="n">
        <v>9473.293</v>
      </c>
      <c r="W4" s="12" t="n">
        <v>11064.571</v>
      </c>
      <c r="X4" s="12" t="n">
        <v>13746.885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ConveyorBusinessReportableSegmentMember</t>
        </is>
      </c>
      <c r="B7" s="10" t="n"/>
      <c r="C7" s="19" t="n">
        <v>2268.64</v>
      </c>
      <c r="D7" s="20" t="n">
        <v>762.045</v>
      </c>
      <c r="E7" s="20" t="n">
        <v>1922.353</v>
      </c>
      <c r="F7" s="20" t="n">
        <v>1973.113</v>
      </c>
      <c r="G7" s="20" t="n">
        <v>1936.651</v>
      </c>
      <c r="H7" s="20" t="n">
        <v>2085.113</v>
      </c>
      <c r="I7" s="20" t="n">
        <v>1876.581</v>
      </c>
      <c r="J7" s="20" t="n">
        <v>1815.066</v>
      </c>
      <c r="K7" s="20" t="n">
        <v>3348.889</v>
      </c>
      <c r="L7" s="20" t="n">
        <v>3145.449</v>
      </c>
      <c r="M7" s="20" t="n">
        <v>1935.52</v>
      </c>
      <c r="N7" s="20" t="n">
        <v>1931.534</v>
      </c>
      <c r="O7" s="19" t="n"/>
      <c r="P7" s="20" t="n"/>
      <c r="Q7" s="20" t="n"/>
      <c r="R7" s="20" t="n"/>
      <c r="S7" s="20" t="n"/>
      <c r="T7" s="20" t="n"/>
      <c r="U7" s="20" t="n"/>
      <c r="V7" s="20" t="n">
        <v>7233.097</v>
      </c>
      <c r="W7" s="20" t="n">
        <v>7917.23</v>
      </c>
      <c r="X7" s="20" t="n">
        <v>10185.985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EnvironmentalPlantsReportableSegmentMember</t>
        </is>
      </c>
      <c r="B10" s="10" t="n"/>
      <c r="C10" s="19" t="n"/>
      <c r="D10" s="20" t="n"/>
      <c r="E10" s="20" t="n">
        <v>402.409</v>
      </c>
      <c r="F10" s="20" t="n">
        <v>544.112</v>
      </c>
      <c r="G10" s="20" t="n">
        <v>569.6900000000001</v>
      </c>
      <c r="H10" s="20" t="n">
        <v>633.831</v>
      </c>
      <c r="I10" s="20" t="n">
        <v>468.442</v>
      </c>
      <c r="J10" s="20" t="n">
        <v>526.745</v>
      </c>
      <c r="K10" s="20" t="n">
        <v>523.651</v>
      </c>
      <c r="L10" s="20" t="n">
        <v>622.241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1523.323</v>
      </c>
      <c r="W10" s="20" t="n">
        <v>2150.042</v>
      </c>
      <c r="X10" s="20" t="n">
        <v>2141.079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EnvironmentalEnergyBusinessReportableSegmentMember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>
        <v>1151.335</v>
      </c>
      <c r="J13" s="20" t="n">
        <v>806.705</v>
      </c>
      <c r="K13" s="20" t="n"/>
      <c r="L13" s="20" t="n"/>
      <c r="M13" s="20" t="n">
        <v>1173.001</v>
      </c>
      <c r="N13" s="20" t="n">
        <v>1127.693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RobotSIBusinessReportableSegmentMember</t>
        </is>
      </c>
      <c r="B16" s="10" t="n"/>
      <c r="C16" s="19" t="n">
        <v>306.116</v>
      </c>
      <c r="D16" s="20" t="n">
        <v>222.845</v>
      </c>
      <c r="E16" s="20" t="n">
        <v>30.97</v>
      </c>
      <c r="F16" s="20" t="n">
        <v>76.102</v>
      </c>
      <c r="G16" s="20" t="n">
        <v>462.644</v>
      </c>
      <c r="H16" s="20" t="n">
        <v>427.582</v>
      </c>
      <c r="I16" s="20" t="n">
        <v>366.829</v>
      </c>
      <c r="J16" s="20" t="n">
        <v>309.61</v>
      </c>
      <c r="K16" s="20" t="n">
        <v>473.908</v>
      </c>
      <c r="L16" s="20" t="n">
        <v>269.473</v>
      </c>
      <c r="M16" s="20" t="n">
        <v>430.304</v>
      </c>
      <c r="N16" s="20" t="n">
        <v>184.095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716.871</v>
      </c>
      <c r="W16" s="20" t="n">
        <v>997.298</v>
      </c>
      <c r="X16" s="20" t="n">
        <v>1419.82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>
        <v>3394.745</v>
      </c>
      <c r="J19" s="20" t="n"/>
      <c r="K19" s="20" t="n"/>
      <c r="L19" s="20" t="n"/>
      <c r="M19" s="20" t="n">
        <v>3538.826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1665.436</v>
      </c>
      <c r="D23" s="20" t="n">
        <v>1640.376</v>
      </c>
      <c r="E23" s="20" t="n">
        <v>1526.53</v>
      </c>
      <c r="F23" s="20" t="n">
        <v>1636.043</v>
      </c>
      <c r="G23" s="20" t="n">
        <v>1842.031</v>
      </c>
      <c r="H23" s="20" t="n">
        <v>2060.932</v>
      </c>
      <c r="I23" s="20" t="n">
        <v>1993.365</v>
      </c>
      <c r="J23" s="20" t="n">
        <v>2036.489</v>
      </c>
      <c r="K23" s="20" t="n">
        <v>2238.87</v>
      </c>
      <c r="L23" s="20" t="n">
        <v>2599.101</v>
      </c>
      <c r="M23" s="20" t="n">
        <v>2358.907</v>
      </c>
      <c r="N23" s="20" t="n">
        <v>1990.296</v>
      </c>
      <c r="O23" s="19" t="n"/>
      <c r="P23" s="20" t="n"/>
      <c r="Q23" s="20" t="n"/>
      <c r="R23" s="20" t="n"/>
      <c r="S23" s="20" t="n"/>
      <c r="T23" s="20" t="n"/>
      <c r="U23" s="20" t="n">
        <v>5937.793</v>
      </c>
      <c r="V23" s="20" t="n">
        <v>6259.998</v>
      </c>
      <c r="W23" s="20" t="n">
        <v>7065.536</v>
      </c>
      <c r="X23" s="20" t="n">
        <v>8867.825000000001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497.051</v>
      </c>
      <c r="D29" s="20" t="n">
        <v>507.193</v>
      </c>
      <c r="E29" s="20" t="n">
        <v>574.902</v>
      </c>
      <c r="F29" s="20" t="n">
        <v>560.385</v>
      </c>
      <c r="G29" s="20" t="n">
        <v>766.741</v>
      </c>
      <c r="H29" s="20" t="n">
        <v>721.298</v>
      </c>
      <c r="I29" s="20" t="n">
        <v>703.346</v>
      </c>
      <c r="J29" s="20" t="n">
        <v>688.722</v>
      </c>
      <c r="K29" s="20" t="n">
        <v>736.259</v>
      </c>
      <c r="L29" s="20" t="n">
        <v>786.669</v>
      </c>
      <c r="M29" s="20" t="n">
        <v>739.95</v>
      </c>
      <c r="N29" s="20" t="n">
        <v>689.49</v>
      </c>
      <c r="O29" s="19" t="n"/>
      <c r="P29" s="20" t="n"/>
      <c r="Q29" s="20" t="n"/>
      <c r="R29" s="20" t="n"/>
      <c r="S29" s="20" t="n"/>
      <c r="T29" s="20" t="n"/>
      <c r="U29" s="20" t="n">
        <v>1771.044</v>
      </c>
      <c r="V29" s="20" t="n">
        <v>1942.403</v>
      </c>
      <c r="W29" s="20" t="n">
        <v>2623.326</v>
      </c>
      <c r="X29" s="20" t="n">
        <v>2914.996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412.27</v>
      </c>
      <c r="D31" s="12" t="n">
        <v>360.646</v>
      </c>
      <c r="E31" s="12" t="n">
        <v>254.3</v>
      </c>
      <c r="F31" s="12" t="n">
        <v>396.899</v>
      </c>
      <c r="G31" s="12" t="n">
        <v>360.212</v>
      </c>
      <c r="H31" s="12" t="n">
        <v>364.298</v>
      </c>
      <c r="I31" s="12" t="n">
        <v>698.033</v>
      </c>
      <c r="J31" s="12" t="n">
        <v>206.17</v>
      </c>
      <c r="K31" s="12" t="n">
        <v>408.467</v>
      </c>
      <c r="L31" s="12" t="n">
        <v>651.393</v>
      </c>
      <c r="M31" s="12" t="n">
        <v>439.968</v>
      </c>
      <c r="N31" s="12" t="n">
        <v>563.535</v>
      </c>
      <c r="O31" s="11" t="n"/>
      <c r="P31" s="12" t="n"/>
      <c r="Q31" s="12" t="n"/>
      <c r="R31" s="12" t="n"/>
      <c r="S31" s="12" t="n"/>
      <c r="T31" s="12" t="n"/>
      <c r="U31" s="12" t="n">
        <v>1252.327</v>
      </c>
      <c r="V31" s="12" t="n">
        <v>1270.892</v>
      </c>
      <c r="W31" s="12" t="n">
        <v>1375.709</v>
      </c>
      <c r="X31" s="12" t="n">
        <v>1964.063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29.332</v>
      </c>
      <c r="E47" s="20" t="n">
        <v>60.32</v>
      </c>
      <c r="F47" s="20" t="n">
        <v>5.193</v>
      </c>
      <c r="G47" s="20" t="n">
        <v>51.707</v>
      </c>
      <c r="H47" s="20" t="n">
        <v>1.678</v>
      </c>
      <c r="I47" s="20" t="n">
        <v>0.452</v>
      </c>
      <c r="J47" s="20" t="n">
        <v>0.629</v>
      </c>
      <c r="K47" s="20" t="n">
        <v>14.734</v>
      </c>
      <c r="L47" s="20" t="n">
        <v>49.088</v>
      </c>
      <c r="M47" s="20" t="n">
        <v>35.724</v>
      </c>
      <c r="N47" s="20" t="n">
        <v>17.906</v>
      </c>
      <c r="O47" s="19" t="n"/>
      <c r="P47" s="20" t="n"/>
      <c r="Q47" s="20" t="n"/>
      <c r="R47" s="20" t="n"/>
      <c r="S47" s="20" t="n"/>
      <c r="T47" s="20" t="n"/>
      <c r="U47" s="20" t="n">
        <v>5.362</v>
      </c>
      <c r="V47" s="20" t="n">
        <v>38.981</v>
      </c>
      <c r="W47" s="20" t="n">
        <v>118.898</v>
      </c>
      <c r="X47" s="20" t="n">
        <v>64.90300000000001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0.679</v>
      </c>
      <c r="D49" s="20" t="n">
        <v>0.079</v>
      </c>
      <c r="E49" s="20" t="n">
        <v>0.078</v>
      </c>
      <c r="F49" s="20" t="n">
        <v>1.445</v>
      </c>
      <c r="G49" s="20" t="n">
        <v>67.697</v>
      </c>
      <c r="H49" s="20" t="n">
        <v>0.431</v>
      </c>
      <c r="I49" s="20" t="n">
        <v>5.382</v>
      </c>
      <c r="J49" s="20" t="n">
        <v>8.276</v>
      </c>
      <c r="K49" s="20" t="n">
        <v>0</v>
      </c>
      <c r="L49" s="20" t="n">
        <v>0.015</v>
      </c>
      <c r="M49" s="20" t="n">
        <v>0</v>
      </c>
      <c r="N49" s="20" t="n">
        <v>0.128</v>
      </c>
      <c r="O49" s="19" t="n"/>
      <c r="P49" s="20" t="n"/>
      <c r="Q49" s="20" t="n"/>
      <c r="R49" s="20" t="n"/>
      <c r="S49" s="20" t="n"/>
      <c r="T49" s="20" t="n"/>
      <c r="U49" s="20" t="n">
        <v>5.156</v>
      </c>
      <c r="V49" s="20" t="n">
        <v>1.883</v>
      </c>
      <c r="W49" s="20" t="n">
        <v>69.651</v>
      </c>
      <c r="X49" s="20" t="n">
        <v>13.673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6.56</v>
      </c>
      <c r="D51" s="20" t="n">
        <v>-13.31</v>
      </c>
      <c r="E51" s="20" t="n">
        <v>8.821</v>
      </c>
      <c r="F51" s="20" t="n">
        <v>15.384</v>
      </c>
      <c r="G51" s="20" t="n">
        <v>13.193</v>
      </c>
      <c r="H51" s="20" t="n">
        <v>17.893</v>
      </c>
      <c r="I51" s="20" t="n">
        <v>10.241</v>
      </c>
      <c r="J51" s="20" t="n">
        <v>13.53</v>
      </c>
      <c r="K51" s="20" t="n">
        <v>7.526</v>
      </c>
      <c r="L51" s="20" t="n">
        <v>14.891</v>
      </c>
      <c r="M51" s="20" t="n">
        <v>18.157</v>
      </c>
      <c r="N51" s="20" t="n">
        <v>17.625</v>
      </c>
      <c r="O51" s="19" t="n"/>
      <c r="P51" s="20" t="n"/>
      <c r="Q51" s="20" t="n"/>
      <c r="R51" s="20" t="n"/>
      <c r="S51" s="20" t="n"/>
      <c r="T51" s="20" t="n"/>
      <c r="U51" s="20" t="n">
        <v>323.189</v>
      </c>
      <c r="V51" s="20" t="n">
        <v>164.515</v>
      </c>
      <c r="W51" s="20" t="n">
        <v>55.291</v>
      </c>
      <c r="X51" s="20" t="n">
        <v>46.188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5.879</v>
      </c>
      <c r="D53" s="20" t="n">
        <v>-13.272</v>
      </c>
      <c r="E53" s="20" t="n">
        <v>4.433</v>
      </c>
      <c r="F53" s="20" t="n">
        <v>5.09</v>
      </c>
      <c r="G53" s="20" t="n">
        <v>7.446</v>
      </c>
      <c r="H53" s="20" t="n">
        <v>9.101000000000001</v>
      </c>
      <c r="I53" s="20" t="n">
        <v>37.457</v>
      </c>
      <c r="J53" s="20" t="n">
        <v>21.468</v>
      </c>
      <c r="K53" s="20" t="n">
        <v>21.719</v>
      </c>
      <c r="L53" s="20" t="n">
        <v>25.021</v>
      </c>
      <c r="M53" s="20" t="n">
        <v>30.584</v>
      </c>
      <c r="N53" s="20" t="n">
        <v>24.154</v>
      </c>
      <c r="O53" s="19" t="n"/>
      <c r="P53" s="20" t="n"/>
      <c r="Q53" s="20" t="n"/>
      <c r="R53" s="20" t="n"/>
      <c r="S53" s="20" t="n"/>
      <c r="T53" s="20" t="n"/>
      <c r="U53" s="20" t="n">
        <v>305.314</v>
      </c>
      <c r="V53" s="20" t="n">
        <v>161.539</v>
      </c>
      <c r="W53" s="20" t="n">
        <v>26.07</v>
      </c>
      <c r="X53" s="20" t="n">
        <v>105.665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412.271</v>
      </c>
      <c r="D55" s="12" t="n">
        <v>389.861</v>
      </c>
      <c r="E55" s="12" t="n">
        <v>318.93</v>
      </c>
      <c r="F55" s="12" t="n">
        <v>410.94</v>
      </c>
      <c r="G55" s="12" t="n">
        <v>349.97</v>
      </c>
      <c r="H55" s="12" t="n">
        <v>374.337</v>
      </c>
      <c r="I55" s="12" t="n">
        <v>665.8869999999999</v>
      </c>
      <c r="J55" s="12" t="n">
        <v>190.585</v>
      </c>
      <c r="K55" s="12" t="n">
        <v>409.008</v>
      </c>
      <c r="L55" s="12" t="n">
        <v>690.335</v>
      </c>
      <c r="M55" s="12" t="n">
        <v>463.265</v>
      </c>
      <c r="N55" s="12" t="n">
        <v>574.784</v>
      </c>
      <c r="O55" s="11" t="n"/>
      <c r="P55" s="12" t="n"/>
      <c r="Q55" s="12" t="n"/>
      <c r="R55" s="12" t="n"/>
      <c r="S55" s="12" t="n"/>
      <c r="T55" s="12" t="n"/>
      <c r="U55" s="12" t="n">
        <v>1270.408</v>
      </c>
      <c r="V55" s="12" t="n">
        <v>1310.965</v>
      </c>
      <c r="W55" s="12" t="n">
        <v>1454.177</v>
      </c>
      <c r="X55" s="12" t="n">
        <v>1955.815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133.035</v>
      </c>
      <c r="D57" s="20" t="n">
        <v>116.086</v>
      </c>
      <c r="E57" s="20" t="n">
        <v>73.72199999999999</v>
      </c>
      <c r="F57" s="20" t="n">
        <v>132.412</v>
      </c>
      <c r="G57" s="20" t="n">
        <v>128.016</v>
      </c>
      <c r="H57" s="20" t="n">
        <v>41.359</v>
      </c>
      <c r="I57" s="20" t="n">
        <v>149.441</v>
      </c>
      <c r="J57" s="20" t="n">
        <v>77.601</v>
      </c>
      <c r="K57" s="20" t="n">
        <v>138.849</v>
      </c>
      <c r="L57" s="20" t="n">
        <v>166.914</v>
      </c>
      <c r="M57" s="20" t="n">
        <v>169.907</v>
      </c>
      <c r="N57" s="20" t="n">
        <v>203.397</v>
      </c>
      <c r="O57" s="19" t="n"/>
      <c r="P57" s="20" t="n"/>
      <c r="Q57" s="20" t="n"/>
      <c r="R57" s="20" t="n"/>
      <c r="S57" s="20" t="n"/>
      <c r="T57" s="20" t="n"/>
      <c r="U57" s="20" t="n">
        <v>439.474</v>
      </c>
      <c r="V57" s="20" t="n">
        <v>463.507</v>
      </c>
      <c r="W57" s="20" t="n">
        <v>375.509</v>
      </c>
      <c r="X57" s="20" t="n">
        <v>532.8049999999999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279.237</v>
      </c>
      <c r="D59" s="12" t="n">
        <v>273.775</v>
      </c>
      <c r="E59" s="12" t="n">
        <v>245.207</v>
      </c>
      <c r="F59" s="12" t="n">
        <v>278.529</v>
      </c>
      <c r="G59" s="12" t="n">
        <v>221.953</v>
      </c>
      <c r="H59" s="12" t="n">
        <v>332.978</v>
      </c>
      <c r="I59" s="12" t="n">
        <v>516.446</v>
      </c>
      <c r="J59" s="12" t="n">
        <v>112.984</v>
      </c>
      <c r="K59" s="12" t="n">
        <v>270.158</v>
      </c>
      <c r="L59" s="12" t="n">
        <v>523.421</v>
      </c>
      <c r="M59" s="12" t="n">
        <v>293.357</v>
      </c>
      <c r="N59" s="12" t="n">
        <v>371.388</v>
      </c>
      <c r="O59" s="11" t="n"/>
      <c r="P59" s="12" t="n"/>
      <c r="Q59" s="12" t="n"/>
      <c r="R59" s="12" t="n"/>
      <c r="S59" s="12" t="n"/>
      <c r="T59" s="12" t="n"/>
      <c r="U59" s="12" t="n">
        <v>830.934</v>
      </c>
      <c r="V59" s="12" t="n">
        <v>847.458</v>
      </c>
      <c r="W59" s="12" t="n">
        <v>1078.667</v>
      </c>
      <c r="X59" s="12" t="n">
        <v>1423.009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279.237</v>
      </c>
      <c r="D61" s="12" t="n">
        <v>273.775</v>
      </c>
      <c r="E61" s="12" t="n">
        <v>245.207</v>
      </c>
      <c r="F61" s="12" t="n">
        <v>278.529</v>
      </c>
      <c r="G61" s="12" t="n">
        <v>221.953</v>
      </c>
      <c r="H61" s="12" t="n">
        <v>332.978</v>
      </c>
      <c r="I61" s="12" t="n">
        <v>516.446</v>
      </c>
      <c r="J61" s="12" t="n">
        <v>112.984</v>
      </c>
      <c r="K61" s="12" t="n">
        <v>270.158</v>
      </c>
      <c r="L61" s="12" t="n">
        <v>523.421</v>
      </c>
      <c r="M61" s="12" t="n">
        <v>293.357</v>
      </c>
      <c r="N61" s="12" t="n">
        <v>371.388</v>
      </c>
      <c r="O61" s="11" t="n"/>
      <c r="P61" s="12" t="n"/>
      <c r="Q61" s="12" t="n"/>
      <c r="R61" s="12" t="n"/>
      <c r="S61" s="12" t="n"/>
      <c r="T61" s="12" t="n"/>
      <c r="U61" s="12" t="n">
        <v>830.934</v>
      </c>
      <c r="V61" s="12" t="n">
        <v>847.458</v>
      </c>
      <c r="W61" s="12" t="n">
        <v>1078.667</v>
      </c>
      <c r="X61" s="12" t="n">
        <v>1423.009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(2026.10.28)</t>
        </is>
      </c>
      <c r="B65" s="27" t="n">
        <v>1162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13334640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2026.10.28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2574.757</v>
      </c>
      <c r="D96" s="12" t="n">
        <v>2508.214</v>
      </c>
      <c r="E96" s="12" t="n">
        <v>2355.733</v>
      </c>
      <c r="F96" s="12" t="n">
        <v>2593.327</v>
      </c>
      <c r="G96" s="12" t="n">
        <v>2968.985</v>
      </c>
      <c r="H96" s="12" t="n">
        <v>3146.526</v>
      </c>
      <c r="I96" s="12" t="n">
        <v>3394.745</v>
      </c>
      <c r="J96" s="12" t="n">
        <v>2931.382</v>
      </c>
      <c r="K96" s="12" t="n">
        <v>3383.595</v>
      </c>
      <c r="L96" s="12" t="n">
        <v>4037.163</v>
      </c>
      <c r="M96" s="12" t="n">
        <v>3538.826</v>
      </c>
      <c r="N96" s="12" t="n">
        <v>3243.321</v>
      </c>
      <c r="V96" s="12" t="n">
        <v>2508.214</v>
      </c>
      <c r="W96" s="12" t="n">
        <v>3146.526</v>
      </c>
      <c r="X96" s="12" t="n">
        <v>4037.163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1665.436</v>
      </c>
      <c r="D98" s="20" t="n">
        <v>1640.376</v>
      </c>
      <c r="E98" s="20" t="n">
        <v>1526.53</v>
      </c>
      <c r="F98" s="20" t="n">
        <v>1636.043</v>
      </c>
      <c r="G98" s="20" t="n">
        <v>1842.031</v>
      </c>
      <c r="H98" s="20" t="n">
        <v>2060.932</v>
      </c>
      <c r="I98" s="20" t="n">
        <v>1993.365</v>
      </c>
      <c r="J98" s="20" t="n">
        <v>2036.489</v>
      </c>
      <c r="K98" s="20" t="n">
        <v>2238.87</v>
      </c>
      <c r="L98" s="20" t="n">
        <v>2599.101</v>
      </c>
      <c r="M98" s="20" t="n">
        <v>2358.907</v>
      </c>
      <c r="N98" s="20" t="n">
        <v>1990.296</v>
      </c>
      <c r="V98" s="20" t="n">
        <v>1640.376</v>
      </c>
      <c r="W98" s="20" t="n">
        <v>2060.932</v>
      </c>
      <c r="X98" s="20" t="n">
        <v>2599.101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909.3200000000001</v>
      </c>
      <c r="D100" s="12" t="n">
        <v>867.8390000000001</v>
      </c>
      <c r="E100" s="12" t="n">
        <v>829.202</v>
      </c>
      <c r="F100" s="12" t="n">
        <v>957.285</v>
      </c>
      <c r="G100" s="12" t="n">
        <v>1126.953</v>
      </c>
      <c r="H100" s="12" t="n">
        <v>1085.595</v>
      </c>
      <c r="I100" s="12" t="n">
        <v>1401.38</v>
      </c>
      <c r="J100" s="12" t="n">
        <v>894.8920000000001</v>
      </c>
      <c r="K100" s="12" t="n">
        <v>1144.726</v>
      </c>
      <c r="L100" s="12" t="n">
        <v>1438.062</v>
      </c>
      <c r="M100" s="12" t="n">
        <v>1179.918</v>
      </c>
      <c r="N100" s="12" t="n">
        <v>1253.026</v>
      </c>
      <c r="V100" s="12" t="n">
        <v>867.8390000000001</v>
      </c>
      <c r="W100" s="12" t="n">
        <v>1085.595</v>
      </c>
      <c r="X100" s="12" t="n">
        <v>1438.062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497.051</v>
      </c>
      <c r="D102" s="20" t="n">
        <v>507.193</v>
      </c>
      <c r="E102" s="20" t="n">
        <v>574.902</v>
      </c>
      <c r="F102" s="20" t="n">
        <v>560.385</v>
      </c>
      <c r="G102" s="20" t="n">
        <v>766.741</v>
      </c>
      <c r="H102" s="20" t="n">
        <v>721.298</v>
      </c>
      <c r="I102" s="20" t="n">
        <v>703.346</v>
      </c>
      <c r="J102" s="20" t="n">
        <v>688.722</v>
      </c>
      <c r="K102" s="20" t="n">
        <v>736.259</v>
      </c>
      <c r="L102" s="20" t="n">
        <v>786.669</v>
      </c>
      <c r="M102" s="20" t="n">
        <v>739.95</v>
      </c>
      <c r="N102" s="20" t="n">
        <v>689.49</v>
      </c>
      <c r="V102" s="20" t="n">
        <v>507.193</v>
      </c>
      <c r="W102" s="20" t="n">
        <v>721.298</v>
      </c>
      <c r="X102" s="20" t="n">
        <v>786.669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412.27</v>
      </c>
      <c r="D104" s="12" t="n">
        <v>360.646</v>
      </c>
      <c r="E104" s="12" t="n">
        <v>254.3</v>
      </c>
      <c r="F104" s="12" t="n">
        <v>396.899</v>
      </c>
      <c r="G104" s="12" t="n">
        <v>360.212</v>
      </c>
      <c r="H104" s="12" t="n">
        <v>364.298</v>
      </c>
      <c r="I104" s="12" t="n">
        <v>698.033</v>
      </c>
      <c r="J104" s="12" t="n">
        <v>206.17</v>
      </c>
      <c r="K104" s="12" t="n">
        <v>408.467</v>
      </c>
      <c r="L104" s="12" t="n">
        <v>651.393</v>
      </c>
      <c r="M104" s="12" t="n">
        <v>439.968</v>
      </c>
      <c r="N104" s="12" t="n">
        <v>563.535</v>
      </c>
      <c r="V104" s="12" t="n">
        <v>360.646</v>
      </c>
      <c r="W104" s="12" t="n">
        <v>364.298</v>
      </c>
      <c r="X104" s="12" t="n">
        <v>651.393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외환차익</t>
        </is>
      </c>
      <c r="C107" s="20" t="n">
        <v>-0.64</v>
      </c>
      <c r="D107" s="20" t="n">
        <v>-0.652</v>
      </c>
      <c r="E107" s="20" t="n">
        <v>0.29</v>
      </c>
      <c r="F107" s="20" t="n">
        <v>0.113</v>
      </c>
      <c r="G107" s="20" t="n">
        <v>2.36</v>
      </c>
      <c r="H107" s="20" t="n">
        <v>0.591</v>
      </c>
      <c r="I107" s="20" t="n">
        <v>0</v>
      </c>
      <c r="J107" s="20" t="n">
        <v>0</v>
      </c>
      <c r="K107" s="20" t="n">
        <v>0.124</v>
      </c>
      <c r="L107" s="20" t="n">
        <v>-0.124</v>
      </c>
      <c r="V107" s="20" t="n">
        <v>-0.652</v>
      </c>
      <c r="W107" s="20" t="n">
        <v>0.591</v>
      </c>
      <c r="X107" s="20" t="n">
        <v>-0.124</v>
      </c>
    </row>
    <row r="108">
      <c r="A108" s="18" t="inlineStr">
        <is>
          <t>스크랩 매각이익</t>
        </is>
      </c>
      <c r="C108" s="20" t="n">
        <v>4.405</v>
      </c>
      <c r="D108" s="20" t="n">
        <v>8.638</v>
      </c>
      <c r="E108" s="20" t="n">
        <v>5.953</v>
      </c>
      <c r="F108" s="20" t="n">
        <v>10.225</v>
      </c>
      <c r="G108" s="20" t="n">
        <v>7.347</v>
      </c>
      <c r="H108" s="20" t="n">
        <v>6.435</v>
      </c>
      <c r="I108" s="20" t="n">
        <v>4.222</v>
      </c>
      <c r="J108" s="20" t="n">
        <v>6.911</v>
      </c>
      <c r="K108" s="20" t="n">
        <v>4.343</v>
      </c>
      <c r="L108" s="20" t="n">
        <v>7.302</v>
      </c>
      <c r="M108" s="20" t="n">
        <v>6.689</v>
      </c>
      <c r="N108" s="20" t="n">
        <v>8.106</v>
      </c>
      <c r="V108" s="20" t="n">
        <v>8.638</v>
      </c>
      <c r="W108" s="20" t="n">
        <v>6.435</v>
      </c>
      <c r="X108" s="20" t="n">
        <v>7.302</v>
      </c>
    </row>
    <row r="109">
      <c r="A109" s="18" t="inlineStr">
        <is>
          <t>배당금수익</t>
        </is>
      </c>
      <c r="C109" s="20" t="n">
        <v>0</v>
      </c>
      <c r="D109" s="20" t="n">
        <v>1.319</v>
      </c>
      <c r="E109" s="20" t="n">
        <v>0</v>
      </c>
      <c r="F109" s="20" t="n">
        <v>2.501</v>
      </c>
      <c r="G109" s="20" t="n">
        <v>0.405</v>
      </c>
      <c r="H109" s="20" t="n">
        <v>2.051</v>
      </c>
      <c r="I109" s="20" t="n">
        <v>0.147</v>
      </c>
      <c r="J109" s="20" t="n">
        <v>3.373</v>
      </c>
      <c r="K109" s="20" t="n">
        <v>0</v>
      </c>
      <c r="L109" s="20" t="n">
        <v>2.478</v>
      </c>
      <c r="M109" s="20" t="n">
        <v>0.193</v>
      </c>
      <c r="N109" s="20" t="n">
        <v>3.633</v>
      </c>
      <c r="V109" s="20" t="n">
        <v>1.319</v>
      </c>
      <c r="W109" s="20" t="n">
        <v>2.051</v>
      </c>
      <c r="X109" s="20" t="n">
        <v>2.478</v>
      </c>
    </row>
    <row r="110">
      <c r="A110" s="18" t="inlineStr">
        <is>
          <t>익명조합 투자이익</t>
        </is>
      </c>
      <c r="I110" s="20" t="n">
        <v>0</v>
      </c>
      <c r="J110" s="20" t="n">
        <v>0</v>
      </c>
      <c r="M110" s="20" t="n">
        <v>7.036</v>
      </c>
      <c r="N110" s="20" t="n">
        <v>0</v>
      </c>
    </row>
    <row r="111">
      <c r="A111" s="18" t="inlineStr">
        <is>
          <t>기타</t>
        </is>
      </c>
      <c r="C111" s="20" t="n">
        <v>2.795</v>
      </c>
      <c r="D111" s="20" t="n">
        <v>-22.615</v>
      </c>
      <c r="E111" s="20" t="n">
        <v>2.577</v>
      </c>
      <c r="F111" s="20" t="n">
        <v>2.544</v>
      </c>
      <c r="G111" s="20" t="n">
        <v>3.083</v>
      </c>
      <c r="H111" s="20" t="n">
        <v>8.608000000000001</v>
      </c>
      <c r="I111" s="20" t="n">
        <v>5.871</v>
      </c>
      <c r="J111" s="20" t="n">
        <v>3.246</v>
      </c>
      <c r="K111" s="20" t="n">
        <v>3.059</v>
      </c>
      <c r="L111" s="20" t="n">
        <v>0.313</v>
      </c>
      <c r="M111" s="20" t="n">
        <v>4.237</v>
      </c>
      <c r="N111" s="20" t="n">
        <v>5.551</v>
      </c>
      <c r="V111" s="20" t="n">
        <v>-22.615</v>
      </c>
      <c r="W111" s="20" t="n">
        <v>8.608000000000001</v>
      </c>
      <c r="X111" s="20" t="n">
        <v>0.313</v>
      </c>
    </row>
    <row r="112">
      <c r="A112" s="18" t="inlineStr">
        <is>
          <t>영업외수익 합계</t>
        </is>
      </c>
      <c r="C112" s="20" t="n">
        <v>6.56</v>
      </c>
      <c r="D112" s="20" t="n">
        <v>-13.31</v>
      </c>
      <c r="E112" s="20" t="n">
        <v>8.821</v>
      </c>
      <c r="F112" s="20" t="n">
        <v>15.384</v>
      </c>
      <c r="G112" s="20" t="n">
        <v>13.193</v>
      </c>
      <c r="H112" s="20" t="n">
        <v>17.893</v>
      </c>
      <c r="I112" s="20" t="n">
        <v>10.241</v>
      </c>
      <c r="J112" s="20" t="n">
        <v>13.53</v>
      </c>
      <c r="K112" s="20" t="n">
        <v>7.526</v>
      </c>
      <c r="L112" s="20" t="n">
        <v>14.891</v>
      </c>
      <c r="M112" s="20" t="n">
        <v>18.157</v>
      </c>
      <c r="N112" s="20" t="n">
        <v>17.625</v>
      </c>
      <c r="V112" s="20" t="n">
        <v>-13.31</v>
      </c>
      <c r="W112" s="20" t="n">
        <v>17.893</v>
      </c>
      <c r="X112" s="20" t="n">
        <v>14.891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이자비용</t>
        </is>
      </c>
      <c r="C114" s="20" t="n">
        <v>5.302</v>
      </c>
      <c r="D114" s="20" t="n">
        <v>4.95</v>
      </c>
      <c r="E114" s="20" t="n">
        <v>3.976</v>
      </c>
      <c r="F114" s="20" t="n">
        <v>4.749</v>
      </c>
      <c r="G114" s="20" t="n">
        <v>7.155</v>
      </c>
      <c r="H114" s="20" t="n">
        <v>9.064</v>
      </c>
      <c r="I114" s="20" t="n">
        <v>11.019</v>
      </c>
      <c r="J114" s="20" t="n">
        <v>10.937</v>
      </c>
      <c r="K114" s="20" t="n">
        <v>10.534</v>
      </c>
      <c r="L114" s="20" t="n">
        <v>11.328</v>
      </c>
      <c r="M114" s="20" t="n">
        <v>14.739</v>
      </c>
      <c r="N114" s="20" t="n">
        <v>18.089</v>
      </c>
      <c r="V114" s="20" t="n">
        <v>4.95</v>
      </c>
      <c r="W114" s="20" t="n">
        <v>9.064</v>
      </c>
      <c r="X114" s="20" t="n">
        <v>11.328</v>
      </c>
    </row>
    <row r="115">
      <c r="A115" s="18" t="inlineStr">
        <is>
          <t>대손충당금 전입</t>
        </is>
      </c>
      <c r="C115" s="20" t="n">
        <v>0</v>
      </c>
      <c r="D115" s="20" t="n">
        <v>-23.564</v>
      </c>
      <c r="E115" s="20" t="n">
        <v>0</v>
      </c>
      <c r="F115" s="20" t="n">
        <v>0</v>
      </c>
      <c r="G115" s="20" t="n">
        <v>0</v>
      </c>
      <c r="H115" s="20" t="n">
        <v>0</v>
      </c>
      <c r="V115" s="20" t="n">
        <v>-23.564</v>
      </c>
      <c r="W115" s="20" t="n">
        <v>0</v>
      </c>
    </row>
    <row r="116">
      <c r="A116" s="18" t="inlineStr">
        <is>
          <t>지분법손실</t>
        </is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4.906</v>
      </c>
      <c r="J116" s="20" t="n">
        <v>9.693</v>
      </c>
      <c r="K116" s="20" t="n">
        <v>6.544</v>
      </c>
      <c r="L116" s="20" t="n">
        <v>12.652</v>
      </c>
      <c r="M116" s="20" t="n">
        <v>10.364</v>
      </c>
      <c r="N116" s="20" t="n">
        <v>5.672</v>
      </c>
      <c r="W116" s="20" t="n">
        <v>0</v>
      </c>
      <c r="X116" s="20" t="n">
        <v>12.652</v>
      </c>
    </row>
    <row r="117">
      <c r="A117" s="18" t="inlineStr">
        <is>
          <t>익명조합 투자손실</t>
        </is>
      </c>
      <c r="E117" s="20" t="n">
        <v>0</v>
      </c>
      <c r="F117" s="20" t="n">
        <v>0</v>
      </c>
      <c r="G117" s="20" t="n">
        <v>0</v>
      </c>
      <c r="H117" s="20" t="n">
        <v>0</v>
      </c>
      <c r="I117" s="20" t="n">
        <v>17.221</v>
      </c>
      <c r="J117" s="20" t="n">
        <v>0</v>
      </c>
      <c r="K117" s="20" t="n">
        <v>0</v>
      </c>
      <c r="L117" s="20" t="n">
        <v>4.124</v>
      </c>
      <c r="M117" s="20" t="n">
        <v>3.838</v>
      </c>
      <c r="N117" s="20" t="n">
        <v>0</v>
      </c>
      <c r="W117" s="20" t="n">
        <v>0</v>
      </c>
      <c r="X117" s="20" t="n">
        <v>4.124</v>
      </c>
    </row>
    <row r="118">
      <c r="A118" s="18" t="inlineStr">
        <is>
          <t>외환차손</t>
        </is>
      </c>
      <c r="E118" s="20" t="n">
        <v>0</v>
      </c>
      <c r="F118" s="20" t="n">
        <v>0</v>
      </c>
      <c r="G118" s="20" t="n">
        <v>0</v>
      </c>
      <c r="H118" s="20" t="n">
        <v>0</v>
      </c>
      <c r="I118" s="20" t="n">
        <v>0.766</v>
      </c>
      <c r="J118" s="20" t="n">
        <v>0.583</v>
      </c>
      <c r="K118" s="20" t="n">
        <v>0.098</v>
      </c>
      <c r="L118" s="20" t="n">
        <v>-1.12</v>
      </c>
      <c r="M118" s="20" t="n">
        <v>0.038</v>
      </c>
      <c r="N118" s="20" t="n">
        <v>-0.038</v>
      </c>
      <c r="W118" s="20" t="n">
        <v>0</v>
      </c>
      <c r="X118" s="20" t="n">
        <v>-1.12</v>
      </c>
    </row>
    <row r="119">
      <c r="A119" s="18" t="inlineStr">
        <is>
          <t>기타</t>
        </is>
      </c>
      <c r="C119" s="20" t="n">
        <v>0.577</v>
      </c>
      <c r="D119" s="20" t="n">
        <v>-17.416</v>
      </c>
      <c r="E119" s="20" t="n">
        <v>0.456</v>
      </c>
      <c r="F119" s="20" t="n">
        <v>0.342</v>
      </c>
      <c r="G119" s="20" t="n">
        <v>0.29</v>
      </c>
      <c r="H119" s="20" t="n">
        <v>0.037</v>
      </c>
      <c r="I119" s="20" t="n">
        <v>3.543</v>
      </c>
      <c r="J119" s="20" t="n">
        <v>0.254</v>
      </c>
      <c r="K119" s="20" t="n">
        <v>4.544</v>
      </c>
      <c r="L119" s="20" t="n">
        <v>-1.963</v>
      </c>
      <c r="M119" s="20" t="n">
        <v>1.604</v>
      </c>
      <c r="N119" s="20" t="n">
        <v>0.431</v>
      </c>
      <c r="V119" s="20" t="n">
        <v>-17.416</v>
      </c>
      <c r="W119" s="20" t="n">
        <v>0.037</v>
      </c>
      <c r="X119" s="20" t="n">
        <v>-1.963</v>
      </c>
    </row>
    <row r="120">
      <c r="A120" s="18" t="inlineStr">
        <is>
          <t>영업외비용 합계</t>
        </is>
      </c>
      <c r="C120" s="20" t="n">
        <v>5.879</v>
      </c>
      <c r="D120" s="20" t="n">
        <v>-13.272</v>
      </c>
      <c r="E120" s="20" t="n">
        <v>4.433</v>
      </c>
      <c r="F120" s="20" t="n">
        <v>5.09</v>
      </c>
      <c r="G120" s="20" t="n">
        <v>7.446</v>
      </c>
      <c r="H120" s="20" t="n">
        <v>9.101000000000001</v>
      </c>
      <c r="I120" s="20" t="n">
        <v>37.457</v>
      </c>
      <c r="J120" s="20" t="n">
        <v>21.468</v>
      </c>
      <c r="K120" s="20" t="n">
        <v>21.719</v>
      </c>
      <c r="L120" s="20" t="n">
        <v>25.021</v>
      </c>
      <c r="M120" s="20" t="n">
        <v>30.584</v>
      </c>
      <c r="N120" s="20" t="n">
        <v>24.154</v>
      </c>
      <c r="V120" s="20" t="n">
        <v>-13.272</v>
      </c>
      <c r="W120" s="20" t="n">
        <v>9.101000000000001</v>
      </c>
      <c r="X120" s="20" t="n">
        <v>25.021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IF(OR(G120="",C120=""),"",IF(G120*C120&lt;=0,"",IFERROR(G120/C120-1,"")))</f>
        <v/>
      </c>
      <c r="H121" s="15">
        <f>IF(OR(H120="",D120=""),"",IF(H120*D120&lt;=0,"",IFERROR(H120/D120-1,"")))</f>
        <v/>
      </c>
      <c r="I121" s="15">
        <f>IF(OR(I120="",E120=""),"",IF(I120*E120&lt;=0,"",IFERROR(I120/E120-1,"")))</f>
        <v/>
      </c>
      <c r="J121" s="15">
        <f>IF(OR(J120="",F120=""),"",IF(J120*F120&lt;=0,"",IFERROR(J120/F120-1,"")))</f>
        <v/>
      </c>
      <c r="K121" s="15">
        <f>IF(OR(K120="",G120=""),"",IF(K120*G120&lt;=0,"",IFERROR(K120/G120-1,"")))</f>
        <v/>
      </c>
      <c r="L121" s="15">
        <f>IF(OR(L120="",H120=""),"",IF(L120*H120&lt;=0,"",IFERROR(L120/H120-1,"")))</f>
        <v/>
      </c>
      <c r="M121" s="15">
        <f>IF(OR(M120="",I120=""),"",IF(M120*I120&lt;=0,"",IFERROR(M120/I120-1,"")))</f>
        <v/>
      </c>
      <c r="N121" s="15">
        <f>IF(OR(N120="",J120=""),"",IF(N120*J120&lt;=0,"",IFERROR(N120/J120-1,"")))</f>
        <v/>
      </c>
      <c r="V121" s="15">
        <f>IF(OR(V120="",U120=""),"",IF(V120*U120&lt;=0,"",IFERROR(V120/U120-1,"")))</f>
        <v/>
      </c>
      <c r="W121" s="15">
        <f>IF(OR(W120="",V120=""),"",IF(W120*V120&lt;=0,"",IFERROR(W120/V120-1,"")))</f>
        <v/>
      </c>
      <c r="X121" s="15">
        <f>IF(OR(X120="",W120=""),"",IF(X120*W120&lt;=0,"",IFERROR(X120/W120-1,"")))</f>
        <v/>
      </c>
    </row>
    <row r="122">
      <c r="A122" s="9" t="inlineStr">
        <is>
          <t>경상이익</t>
        </is>
      </c>
      <c r="C122" s="12" t="n">
        <v>412.951</v>
      </c>
      <c r="D122" s="12" t="n">
        <v>360.608</v>
      </c>
      <c r="E122" s="12" t="n">
        <v>258.688</v>
      </c>
      <c r="F122" s="12" t="n">
        <v>407.193</v>
      </c>
      <c r="G122" s="12" t="n">
        <v>365.959</v>
      </c>
      <c r="H122" s="12" t="n">
        <v>373.09</v>
      </c>
      <c r="I122" s="12" t="n">
        <v>670.817</v>
      </c>
      <c r="J122" s="12" t="n">
        <v>198.233</v>
      </c>
      <c r="K122" s="12" t="n">
        <v>394.273</v>
      </c>
      <c r="L122" s="12" t="n">
        <v>641.2619999999999</v>
      </c>
      <c r="M122" s="12" t="n">
        <v>427.541</v>
      </c>
      <c r="N122" s="12" t="n">
        <v>557.0069999999999</v>
      </c>
      <c r="V122" s="12" t="n">
        <v>360.608</v>
      </c>
      <c r="W122" s="12" t="n">
        <v>373.09</v>
      </c>
      <c r="X122" s="12" t="n">
        <v>641.2619999999999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IF(OR(G122="",C122=""),"",IF(C122&lt;=0,"",IFERROR(G122/C122-1,"")))</f>
        <v/>
      </c>
      <c r="H123" s="15">
        <f>IF(OR(H122="",D122=""),"",IF(D122&lt;=0,"",IFERROR(H122/D122-1,"")))</f>
        <v/>
      </c>
      <c r="I123" s="15">
        <f>IF(OR(I122="",E122=""),"",IF(E122&lt;=0,"",IFERROR(I122/E122-1,"")))</f>
        <v/>
      </c>
      <c r="J123" s="15">
        <f>IF(OR(J122="",F122=""),"",IF(F122&lt;=0,"",IFERROR(J122/F122-1,"")))</f>
        <v/>
      </c>
      <c r="K123" s="15">
        <f>IF(OR(K122="",G122=""),"",IF(G122&lt;=0,"",IFERROR(K122/G122-1,"")))</f>
        <v/>
      </c>
      <c r="L123" s="15">
        <f>IF(OR(L122="",H122=""),"",IF(H122&lt;=0,"",IFERROR(L122/H122-1,"")))</f>
        <v/>
      </c>
      <c r="M123" s="15">
        <f>IF(OR(M122="",I122=""),"",IF(I122&lt;=0,"",IFERROR(M122/I122-1,"")))</f>
        <v/>
      </c>
      <c r="N123" s="15">
        <f>IF(OR(N122="",J122=""),"",IF(J122&lt;=0,"",IFERROR(N122/J122-1,"")))</f>
        <v/>
      </c>
      <c r="V123" s="15">
        <f>IF(OR(V122="",U122=""),"",IF(U122&lt;=0,"",IFERROR(V122/U122-1,"")))</f>
        <v/>
      </c>
      <c r="W123" s="15">
        <f>IF(OR(W122="",V122=""),"",IF(V122&lt;=0,"",IFERROR(W122/V122-1,"")))</f>
        <v/>
      </c>
      <c r="X123" s="15">
        <f>IF(OR(X122="",W122=""),"",IF(W122&lt;=0,"",IFERROR(X122/W122-1,"")))</f>
        <v/>
      </c>
    </row>
    <row r="124">
      <c r="A124" s="18" t="inlineStr">
        <is>
          <t>고정자산 매각이익</t>
        </is>
      </c>
      <c r="C124" s="20" t="n">
        <v>0</v>
      </c>
      <c r="D124" s="20" t="n">
        <v>17.782</v>
      </c>
      <c r="E124" s="20" t="n">
        <v>0</v>
      </c>
      <c r="F124" s="20" t="n">
        <v>0</v>
      </c>
      <c r="G124" s="20" t="n">
        <v>0.061</v>
      </c>
      <c r="H124" s="20" t="n">
        <v>0.092</v>
      </c>
      <c r="I124" s="20" t="n">
        <v>0.452</v>
      </c>
      <c r="J124" s="20" t="n">
        <v>0.629</v>
      </c>
      <c r="K124" s="20" t="n">
        <v>3.635</v>
      </c>
      <c r="L124" s="20" t="n">
        <v>0.3</v>
      </c>
      <c r="M124" s="20" t="n">
        <v>0</v>
      </c>
      <c r="N124" s="20" t="n">
        <v>0.226</v>
      </c>
      <c r="V124" s="20" t="n">
        <v>17.782</v>
      </c>
      <c r="W124" s="20" t="n">
        <v>0.092</v>
      </c>
      <c r="X124" s="20" t="n">
        <v>0.3</v>
      </c>
    </row>
    <row r="125">
      <c r="A125" s="18" t="inlineStr">
        <is>
          <t>보험 해약환급금</t>
        </is>
      </c>
      <c r="C125" s="20" t="n">
        <v>0</v>
      </c>
      <c r="D125" s="20" t="n">
        <v>11.549</v>
      </c>
      <c r="E125" s="20" t="n">
        <v>60.32</v>
      </c>
      <c r="F125" s="20" t="n">
        <v>1.551</v>
      </c>
      <c r="G125" s="20" t="n">
        <v>20.632</v>
      </c>
      <c r="H125" s="20" t="n">
        <v>1.586</v>
      </c>
      <c r="I125" s="20" t="n">
        <v>0</v>
      </c>
      <c r="J125" s="20" t="n">
        <v>0</v>
      </c>
      <c r="K125" s="20" t="n">
        <v>11.099</v>
      </c>
      <c r="L125" s="20" t="n">
        <v>5.632</v>
      </c>
      <c r="V125" s="20" t="n">
        <v>11.549</v>
      </c>
      <c r="W125" s="20" t="n">
        <v>1.586</v>
      </c>
      <c r="X125" s="20" t="n">
        <v>5.632</v>
      </c>
    </row>
    <row r="126">
      <c r="A126" s="18" t="inlineStr">
        <is>
          <t>부의 영업권 발생이익</t>
        </is>
      </c>
      <c r="C126" s="20" t="n">
        <v>0</v>
      </c>
      <c r="D126" s="20" t="n">
        <v>0</v>
      </c>
      <c r="G126" s="20" t="n">
        <v>31.013</v>
      </c>
      <c r="H126" s="20" t="n">
        <v>0</v>
      </c>
      <c r="K126" s="20" t="n">
        <v>0</v>
      </c>
      <c r="L126" s="20" t="n">
        <v>0</v>
      </c>
      <c r="V126" s="20" t="n">
        <v>0</v>
      </c>
      <c r="W126" s="20" t="n">
        <v>0</v>
      </c>
      <c r="X126" s="20" t="n">
        <v>0</v>
      </c>
    </row>
    <row r="127">
      <c r="A127" s="18" t="inlineStr">
        <is>
          <t>국고보조금</t>
        </is>
      </c>
      <c r="I127" s="20" t="n">
        <v>0</v>
      </c>
      <c r="J127" s="20" t="n">
        <v>0</v>
      </c>
      <c r="M127" s="20" t="n">
        <v>35.724</v>
      </c>
      <c r="N127" s="20" t="n">
        <v>0</v>
      </c>
    </row>
    <row r="128">
      <c r="A128" s="18" t="inlineStr">
        <is>
          <t>특별이익 합계</t>
        </is>
      </c>
      <c r="C128" s="20" t="n">
        <v>0</v>
      </c>
      <c r="D128" s="20" t="n">
        <v>29.332</v>
      </c>
      <c r="E128" s="20" t="n">
        <v>60.32</v>
      </c>
      <c r="F128" s="20" t="n">
        <v>5.193</v>
      </c>
      <c r="G128" s="20" t="n">
        <v>51.707</v>
      </c>
      <c r="H128" s="20" t="n">
        <v>1.678</v>
      </c>
      <c r="I128" s="20" t="n">
        <v>0.452</v>
      </c>
      <c r="J128" s="20" t="n">
        <v>0.629</v>
      </c>
      <c r="K128" s="20" t="n">
        <v>14.734</v>
      </c>
      <c r="L128" s="20" t="n">
        <v>49.088</v>
      </c>
      <c r="M128" s="20" t="n">
        <v>35.724</v>
      </c>
      <c r="N128" s="20" t="n">
        <v>17.906</v>
      </c>
      <c r="V128" s="20" t="n">
        <v>29.332</v>
      </c>
      <c r="W128" s="20" t="n">
        <v>1.678</v>
      </c>
      <c r="X128" s="20" t="n">
        <v>49.088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IF(OR(G128="",C128=""),"",IF(G128*C128&lt;=0,"",IFERROR(G128/C128-1,"")))</f>
        <v/>
      </c>
      <c r="H129" s="15">
        <f>IF(OR(H128="",D128=""),"",IF(H128*D128&lt;=0,"",IFERROR(H128/D128-1,"")))</f>
        <v/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K129" s="15">
        <f>IF(OR(K128="",G128=""),"",IF(K128*G128&lt;=0,"",IFERROR(K128/G128-1,"")))</f>
        <v/>
      </c>
      <c r="L129" s="15">
        <f>IF(OR(L128="",H128=""),"",IF(L128*H128&lt;=0,"",IFERROR(L128/H128-1,"")))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18" t="inlineStr">
        <is>
          <t>고정자산 제각손실</t>
        </is>
      </c>
      <c r="C130" s="20" t="n">
        <v>0.679</v>
      </c>
      <c r="D130" s="20" t="n">
        <v>0.079</v>
      </c>
      <c r="E130" s="20" t="n">
        <v>0</v>
      </c>
      <c r="F130" s="20" t="n">
        <v>0</v>
      </c>
      <c r="G130" s="20" t="n">
        <v>37.62</v>
      </c>
      <c r="H130" s="20" t="n">
        <v>0</v>
      </c>
      <c r="I130" s="20" t="n">
        <v>1.826</v>
      </c>
      <c r="J130" s="20" t="n">
        <v>8.255000000000001</v>
      </c>
      <c r="K130" s="20" t="n">
        <v>0</v>
      </c>
      <c r="L130" s="20" t="n">
        <v>0</v>
      </c>
      <c r="M130" s="20" t="n">
        <v>0</v>
      </c>
      <c r="N130" s="20" t="n">
        <v>0</v>
      </c>
      <c r="V130" s="20" t="n">
        <v>0.079</v>
      </c>
      <c r="W130" s="20" t="n">
        <v>0</v>
      </c>
      <c r="X130" s="20" t="n">
        <v>0</v>
      </c>
    </row>
    <row r="131">
      <c r="A131" s="18" t="inlineStr">
        <is>
          <t>고정자산 매각손실</t>
        </is>
      </c>
      <c r="D131" s="20" t="n">
        <v>0</v>
      </c>
      <c r="H131" s="20" t="n">
        <v>0</v>
      </c>
      <c r="L131" s="20" t="n">
        <v>0</v>
      </c>
      <c r="V131" s="20" t="n">
        <v>0</v>
      </c>
      <c r="W131" s="20" t="n">
        <v>0</v>
      </c>
      <c r="X131" s="20" t="n">
        <v>0</v>
      </c>
    </row>
    <row r="132">
      <c r="A132" s="18" t="inlineStr">
        <is>
          <t>손상차손</t>
        </is>
      </c>
      <c r="C132" s="20" t="n">
        <v>0</v>
      </c>
      <c r="D132" s="20" t="n">
        <v>0</v>
      </c>
      <c r="G132" s="20" t="n">
        <v>28.211</v>
      </c>
      <c r="H132" s="20" t="n">
        <v>0</v>
      </c>
      <c r="K132" s="20" t="n">
        <v>0</v>
      </c>
      <c r="L132" s="20" t="n">
        <v>0</v>
      </c>
      <c r="V132" s="20" t="n">
        <v>0</v>
      </c>
      <c r="W132" s="20" t="n">
        <v>0</v>
      </c>
      <c r="X132" s="20" t="n">
        <v>0</v>
      </c>
    </row>
    <row r="133">
      <c r="A133" s="18" t="inlineStr">
        <is>
          <t>보험해약 손실</t>
        </is>
      </c>
      <c r="E133" s="20" t="n">
        <v>0.078</v>
      </c>
      <c r="F133" s="20" t="n">
        <v>-0.078</v>
      </c>
      <c r="G133" s="20" t="n">
        <v>0</v>
      </c>
      <c r="H133" s="20" t="n">
        <v>0</v>
      </c>
      <c r="I133" s="20" t="n">
        <v>3.375</v>
      </c>
      <c r="J133" s="20" t="n">
        <v>0</v>
      </c>
      <c r="K133" s="20" t="n">
        <v>0</v>
      </c>
      <c r="L133" s="20" t="n">
        <v>0</v>
      </c>
      <c r="M133" s="20" t="n">
        <v>0</v>
      </c>
      <c r="N133" s="20" t="n">
        <v>0.049</v>
      </c>
      <c r="W133" s="20" t="n">
        <v>0</v>
      </c>
      <c r="X133" s="20" t="n">
        <v>0</v>
      </c>
    </row>
    <row r="134">
      <c r="A134" s="18" t="inlineStr">
        <is>
          <t>기타</t>
        </is>
      </c>
      <c r="C134" s="20" t="n">
        <v>0</v>
      </c>
      <c r="D134" s="20" t="n">
        <v>0</v>
      </c>
      <c r="E134" s="20" t="n">
        <v>0</v>
      </c>
      <c r="F134" s="20" t="n">
        <v>0.078</v>
      </c>
      <c r="G134" s="20" t="n">
        <v>0</v>
      </c>
      <c r="H134" s="20" t="n">
        <v>0.431</v>
      </c>
      <c r="I134" s="20" t="n">
        <v>0.18</v>
      </c>
      <c r="J134" s="20" t="n">
        <v>0</v>
      </c>
      <c r="K134" s="20" t="n">
        <v>0.021</v>
      </c>
      <c r="L134" s="20" t="n">
        <v>0.014</v>
      </c>
      <c r="M134" s="20" t="n">
        <v>0</v>
      </c>
      <c r="N134" s="20" t="n">
        <v>0</v>
      </c>
      <c r="V134" s="20" t="n">
        <v>0</v>
      </c>
      <c r="W134" s="20" t="n">
        <v>0.431</v>
      </c>
      <c r="X134" s="20" t="n">
        <v>0.014</v>
      </c>
    </row>
    <row r="135">
      <c r="A135" s="18" t="inlineStr">
        <is>
          <t>특별손실 합계</t>
        </is>
      </c>
      <c r="C135" s="20" t="n">
        <v>0.679</v>
      </c>
      <c r="D135" s="20" t="n">
        <v>0.079</v>
      </c>
      <c r="E135" s="20" t="n">
        <v>0.078</v>
      </c>
      <c r="F135" s="20" t="n">
        <v>1.445</v>
      </c>
      <c r="G135" s="20" t="n">
        <v>67.697</v>
      </c>
      <c r="H135" s="20" t="n">
        <v>0.431</v>
      </c>
      <c r="I135" s="20" t="n">
        <v>5.382</v>
      </c>
      <c r="J135" s="20" t="n">
        <v>8.276</v>
      </c>
      <c r="K135" s="20" t="n">
        <v>0</v>
      </c>
      <c r="L135" s="20" t="n">
        <v>0.015</v>
      </c>
      <c r="M135" s="20" t="n">
        <v>0</v>
      </c>
      <c r="N135" s="20" t="n">
        <v>0.128</v>
      </c>
      <c r="V135" s="20" t="n">
        <v>0.079</v>
      </c>
      <c r="W135" s="20" t="n">
        <v>0.431</v>
      </c>
      <c r="X135" s="20" t="n">
        <v>0.015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IF(OR(G135="",C135=""),"",IF(G135*C135&lt;=0,"",IFERROR(G135/C135-1,"")))</f>
        <v/>
      </c>
      <c r="H136" s="15">
        <f>IF(OR(H135="",D135=""),"",IF(H135*D135&lt;=0,"",IFERROR(H135/D135-1,"")))</f>
        <v/>
      </c>
      <c r="I136" s="15">
        <f>IF(OR(I135="",E135=""),"",IF(I135*E135&lt;=0,"",IFERROR(I135/E135-1,"")))</f>
        <v/>
      </c>
      <c r="J136" s="15">
        <f>IF(OR(J135="",F135=""),"",IF(J135*F135&lt;=0,"",IFERROR(J135/F135-1,"")))</f>
        <v/>
      </c>
      <c r="K136" s="15">
        <f>IF(OR(K135="",G135=""),"",IF(K135*G135&lt;=0,"",IFERROR(K135/G135-1,"")))</f>
        <v/>
      </c>
      <c r="L136" s="15">
        <f>IF(OR(L135="",H135=""),"",IF(L135*H135&lt;=0,"",IFERROR(L135/H135-1,"")))</f>
        <v/>
      </c>
      <c r="M136" s="15">
        <f>IF(OR(M135="",I135=""),"",IF(M135*I135&lt;=0,"",IFERROR(M135/I135-1,"")))</f>
        <v/>
      </c>
      <c r="N136" s="15">
        <f>IF(OR(N135="",J135=""),"",IF(N135*J135&lt;=0,"",IFERROR(N135/J135-1,"")))</f>
        <v/>
      </c>
      <c r="V136" s="15">
        <f>IF(OR(V135="",U135=""),"",IF(V135*U135&lt;=0,"",IFERROR(V135/U135-1,"")))</f>
        <v/>
      </c>
      <c r="W136" s="15">
        <f>IF(OR(W135="",V135=""),"",IF(W135*V135&lt;=0,"",IFERROR(W135/V135-1,"")))</f>
        <v/>
      </c>
      <c r="X136" s="15">
        <f>IF(OR(X135="",W135=""),"",IF(X135*W135&lt;=0,"",IFERROR(X135/W135-1,"")))</f>
        <v/>
      </c>
    </row>
    <row r="137">
      <c r="A137" s="9" t="inlineStr">
        <is>
          <t>법인세차감전 순이익</t>
        </is>
      </c>
      <c r="C137" s="12" t="n">
        <v>412.271</v>
      </c>
      <c r="D137" s="12" t="n">
        <v>389.861</v>
      </c>
      <c r="E137" s="12" t="n">
        <v>318.93</v>
      </c>
      <c r="F137" s="12" t="n">
        <v>410.94</v>
      </c>
      <c r="G137" s="12" t="n">
        <v>349.97</v>
      </c>
      <c r="H137" s="12" t="n">
        <v>374.337</v>
      </c>
      <c r="I137" s="12" t="n">
        <v>665.8869999999999</v>
      </c>
      <c r="J137" s="12" t="n">
        <v>190.585</v>
      </c>
      <c r="K137" s="12" t="n">
        <v>409.008</v>
      </c>
      <c r="L137" s="12" t="n">
        <v>690.335</v>
      </c>
      <c r="M137" s="12" t="n">
        <v>463.265</v>
      </c>
      <c r="N137" s="12" t="n">
        <v>574.784</v>
      </c>
      <c r="V137" s="12" t="n">
        <v>389.861</v>
      </c>
      <c r="W137" s="12" t="n">
        <v>374.337</v>
      </c>
      <c r="X137" s="12" t="n">
        <v>690.335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18" t="inlineStr">
        <is>
          <t>법인세·주민세·사업세</t>
        </is>
      </c>
      <c r="C139" s="20" t="n">
        <v>50.471</v>
      </c>
      <c r="D139" s="20" t="n">
        <v>17.265</v>
      </c>
      <c r="E139" s="20" t="n">
        <v>134.982</v>
      </c>
      <c r="F139" s="20" t="n">
        <v>134.735</v>
      </c>
      <c r="G139" s="20" t="n">
        <v>182.593</v>
      </c>
      <c r="H139" s="20" t="n">
        <v>45.996</v>
      </c>
      <c r="I139" s="20" t="n">
        <v>326.344</v>
      </c>
      <c r="J139" s="20" t="n">
        <v>49.754</v>
      </c>
      <c r="K139" s="20" t="n">
        <v>148.326</v>
      </c>
      <c r="L139" s="20" t="n">
        <v>144.111</v>
      </c>
      <c r="M139" s="20" t="n">
        <v>187.025</v>
      </c>
      <c r="N139" s="20" t="n">
        <v>194.399</v>
      </c>
      <c r="V139" s="20" t="n">
        <v>17.265</v>
      </c>
      <c r="W139" s="20" t="n">
        <v>45.996</v>
      </c>
      <c r="X139" s="20" t="n">
        <v>144.111</v>
      </c>
    </row>
    <row r="140">
      <c r="A140" s="18" t="inlineStr">
        <is>
          <t>법인세 조정액</t>
        </is>
      </c>
      <c r="C140" s="20" t="n">
        <v>82.563</v>
      </c>
      <c r="D140" s="20" t="n">
        <v>98.822</v>
      </c>
      <c r="E140" s="20" t="n">
        <v>-61.26</v>
      </c>
      <c r="F140" s="20" t="n">
        <v>-2.322</v>
      </c>
      <c r="G140" s="20" t="n">
        <v>-54.577</v>
      </c>
      <c r="H140" s="20" t="n">
        <v>-4.637</v>
      </c>
      <c r="I140" s="20" t="n">
        <v>-176.903</v>
      </c>
      <c r="J140" s="20" t="n">
        <v>27.847</v>
      </c>
      <c r="K140" s="20" t="n">
        <v>-9.476000000000001</v>
      </c>
      <c r="L140" s="20" t="n">
        <v>22.803</v>
      </c>
      <c r="M140" s="20" t="n">
        <v>-17.117</v>
      </c>
      <c r="N140" s="20" t="n">
        <v>8.997999999999999</v>
      </c>
      <c r="V140" s="20" t="n">
        <v>98.822</v>
      </c>
      <c r="W140" s="20" t="n">
        <v>-4.637</v>
      </c>
      <c r="X140" s="20" t="n">
        <v>22.803</v>
      </c>
    </row>
    <row r="141">
      <c r="A141" s="18" t="inlineStr">
        <is>
          <t>법인세 등</t>
        </is>
      </c>
      <c r="C141" s="20" t="n">
        <v>133.035</v>
      </c>
      <c r="D141" s="20" t="n">
        <v>116.086</v>
      </c>
      <c r="E141" s="20" t="n">
        <v>73.72199999999999</v>
      </c>
      <c r="F141" s="20" t="n">
        <v>132.412</v>
      </c>
      <c r="G141" s="20" t="n">
        <v>128.016</v>
      </c>
      <c r="H141" s="20" t="n">
        <v>41.359</v>
      </c>
      <c r="I141" s="20" t="n">
        <v>149.441</v>
      </c>
      <c r="J141" s="20" t="n">
        <v>77.601</v>
      </c>
      <c r="K141" s="20" t="n">
        <v>138.849</v>
      </c>
      <c r="L141" s="20" t="n">
        <v>166.914</v>
      </c>
      <c r="M141" s="20" t="n">
        <v>169.907</v>
      </c>
      <c r="N141" s="20" t="n">
        <v>203.397</v>
      </c>
      <c r="V141" s="20" t="n">
        <v>116.086</v>
      </c>
      <c r="W141" s="20" t="n">
        <v>41.359</v>
      </c>
      <c r="X141" s="20" t="n">
        <v>166.914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IF(OR(G141="",C141=""),"",IF(G141*C141&lt;=0,"",IFERROR(G141/C141-1,"")))</f>
        <v/>
      </c>
      <c r="H142" s="15">
        <f>IF(OR(H141="",D141=""),"",IF(H141*D141&lt;=0,"",IFERROR(H141/D141-1,"")))</f>
        <v/>
      </c>
      <c r="I142" s="15">
        <f>IF(OR(I141="",E141=""),"",IF(I141*E141&lt;=0,"",IFERROR(I141/E141-1,"")))</f>
        <v/>
      </c>
      <c r="J142" s="15">
        <f>IF(OR(J141="",F141=""),"",IF(J141*F141&lt;=0,"",IFERROR(J141/F141-1,"")))</f>
        <v/>
      </c>
      <c r="K142" s="15">
        <f>IF(OR(K141="",G141=""),"",IF(K141*G141&lt;=0,"",IFERROR(K141/G141-1,"")))</f>
        <v/>
      </c>
      <c r="L142" s="15">
        <f>IF(OR(L141="",H141=""),"",IF(L141*H141&lt;=0,"",IFERROR(L141/H141-1,"")))</f>
        <v/>
      </c>
      <c r="M142" s="15">
        <f>IF(OR(M141="",I141=""),"",IF(M141*I141&lt;=0,"",IFERROR(M141/I141-1,"")))</f>
        <v/>
      </c>
      <c r="N142" s="15">
        <f>IF(OR(N141="",J141=""),"",IF(N141*J141&lt;=0,"",IFERROR(N141/J141-1,"")))</f>
        <v/>
      </c>
      <c r="V142" s="15">
        <f>IF(OR(V141="",U141=""),"",IF(V141*U141&lt;=0,"",IFERROR(V141/U141-1,"")))</f>
        <v/>
      </c>
      <c r="W142" s="15">
        <f>IF(OR(W141="",V141=""),"",IF(W141*V141&lt;=0,"",IFERROR(W141/V141-1,"")))</f>
        <v/>
      </c>
      <c r="X142" s="15">
        <f>IF(OR(X141="",W141=""),"",IF(X141*W141&lt;=0,"",IFERROR(X141/W141-1,"")))</f>
        <v/>
      </c>
    </row>
    <row r="143">
      <c r="A143" s="9" t="inlineStr">
        <is>
          <t>순이익</t>
        </is>
      </c>
      <c r="C143" s="12" t="n">
        <v>279.237</v>
      </c>
      <c r="D143" s="12" t="n">
        <v>273.775</v>
      </c>
      <c r="E143" s="12" t="n">
        <v>245.207</v>
      </c>
      <c r="F143" s="12" t="n">
        <v>278.529</v>
      </c>
      <c r="G143" s="12" t="n">
        <v>221.953</v>
      </c>
      <c r="H143" s="12" t="n">
        <v>332.978</v>
      </c>
      <c r="I143" s="12" t="n">
        <v>516.446</v>
      </c>
      <c r="J143" s="12" t="n">
        <v>112.984</v>
      </c>
      <c r="K143" s="12" t="n">
        <v>270.158</v>
      </c>
      <c r="L143" s="12" t="n">
        <v>523.421</v>
      </c>
      <c r="M143" s="12" t="n">
        <v>293.357</v>
      </c>
      <c r="N143" s="12" t="n">
        <v>371.388</v>
      </c>
      <c r="V143" s="12" t="n">
        <v>273.775</v>
      </c>
      <c r="W143" s="12" t="n">
        <v>332.978</v>
      </c>
      <c r="X143" s="12" t="n">
        <v>523.421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9" t="inlineStr">
        <is>
          <t>지배주주 순이익</t>
        </is>
      </c>
      <c r="C145" s="12" t="n">
        <v>279.237</v>
      </c>
      <c r="D145" s="12" t="n">
        <v>273.775</v>
      </c>
      <c r="E145" s="12" t="n">
        <v>245.207</v>
      </c>
      <c r="F145" s="12" t="n">
        <v>278.529</v>
      </c>
      <c r="G145" s="12" t="n">
        <v>221.953</v>
      </c>
      <c r="H145" s="12" t="n">
        <v>332.978</v>
      </c>
      <c r="I145" s="12" t="n">
        <v>516.446</v>
      </c>
      <c r="J145" s="12" t="n">
        <v>112.984</v>
      </c>
      <c r="K145" s="12" t="n">
        <v>270.158</v>
      </c>
      <c r="L145" s="12" t="n">
        <v>523.421</v>
      </c>
      <c r="M145" s="12" t="n">
        <v>293.357</v>
      </c>
      <c r="N145" s="12" t="n">
        <v>371.388</v>
      </c>
      <c r="V145" s="12" t="n">
        <v>273.775</v>
      </c>
      <c r="W145" s="12" t="n">
        <v>332.978</v>
      </c>
      <c r="X145" s="12" t="n">
        <v>523.421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8">
      <c r="A148" s="16" t="inlineStr">
        <is>
          <t>포괄손익 · 전 항목</t>
        </is>
      </c>
      <c r="B148" s="42" t="inlineStr">
        <is>
          <t>분기 = 3개월 단독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2024.3Q</t>
        </is>
      </c>
      <c r="D149" s="5" t="inlineStr">
        <is>
          <t>2024.4Q</t>
        </is>
      </c>
      <c r="E149" s="5" t="inlineStr">
        <is>
          <t>2025.1Q</t>
        </is>
      </c>
      <c r="F149" s="5" t="inlineStr">
        <is>
          <t>2025.2Q</t>
        </is>
      </c>
      <c r="G149" s="5" t="inlineStr">
        <is>
          <t>2025.3Q</t>
        </is>
      </c>
      <c r="H149" s="5" t="inlineStr">
        <is>
          <t>2025.4Q</t>
        </is>
      </c>
      <c r="I149" s="5" t="inlineStr">
        <is>
          <t>2026.1Q</t>
        </is>
      </c>
      <c r="J149" s="5" t="inlineStr">
        <is>
          <t>2026.2Q</t>
        </is>
      </c>
      <c r="K149" s="5" t="inlineStr">
        <is>
          <t>2026.3Q</t>
        </is>
      </c>
      <c r="L149" s="5" t="inlineStr">
        <is>
          <t>2026.4Q</t>
        </is>
      </c>
      <c r="M149" s="5" t="inlineStr">
        <is>
          <t>2027.1Q</t>
        </is>
      </c>
      <c r="N149" s="5" t="inlineStr">
        <is>
          <t>2027.2Q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9" t="inlineStr">
        <is>
          <t>순이익</t>
        </is>
      </c>
      <c r="C150" s="12" t="n">
        <v>279.237</v>
      </c>
      <c r="D150" s="12" t="n">
        <v>273.775</v>
      </c>
      <c r="E150" s="12" t="n">
        <v>245.207</v>
      </c>
      <c r="F150" s="12" t="n">
        <v>278.529</v>
      </c>
      <c r="G150" s="12" t="n">
        <v>221.953</v>
      </c>
      <c r="H150" s="12" t="n">
        <v>332.978</v>
      </c>
      <c r="I150" s="12" t="n">
        <v>516.446</v>
      </c>
      <c r="J150" s="12" t="n">
        <v>112.984</v>
      </c>
      <c r="K150" s="12" t="n">
        <v>270.158</v>
      </c>
      <c r="L150" s="12" t="n">
        <v>523.421</v>
      </c>
      <c r="M150" s="12" t="n">
        <v>293.357</v>
      </c>
      <c r="N150" s="12" t="n">
        <v>371.388</v>
      </c>
      <c r="V150" s="12" t="n">
        <v>273.775</v>
      </c>
      <c r="W150" s="12" t="n">
        <v>332.978</v>
      </c>
      <c r="X150" s="12" t="n">
        <v>523.421</v>
      </c>
    </row>
    <row r="151">
      <c r="A151" s="18" t="inlineStr">
        <is>
          <t>기타유가증권 평가차액</t>
        </is>
      </c>
      <c r="C151" s="20" t="n">
        <v>1.897</v>
      </c>
      <c r="D151" s="20" t="n">
        <v>5.984</v>
      </c>
      <c r="E151" s="20" t="n">
        <v>4.323</v>
      </c>
      <c r="F151" s="20" t="n">
        <v>1.316</v>
      </c>
      <c r="G151" s="20" t="n">
        <v>-7.414</v>
      </c>
      <c r="H151" s="20" t="n">
        <v>2.464</v>
      </c>
      <c r="I151" s="20" t="n">
        <v>-5.741</v>
      </c>
      <c r="J151" s="20" t="n">
        <v>8.961</v>
      </c>
      <c r="K151" s="20" t="n">
        <v>-3.835</v>
      </c>
      <c r="L151" s="20" t="n">
        <v>3.846</v>
      </c>
      <c r="M151" s="20" t="n">
        <v>-1.957</v>
      </c>
      <c r="N151" s="20" t="n">
        <v>14.458</v>
      </c>
      <c r="V151" s="20" t="n">
        <v>5.984</v>
      </c>
      <c r="W151" s="20" t="n">
        <v>2.464</v>
      </c>
      <c r="X151" s="20" t="n">
        <v>3.846</v>
      </c>
    </row>
    <row r="152">
      <c r="A152" s="18" t="inlineStr">
        <is>
          <t>퇴직급여 조정액</t>
        </is>
      </c>
      <c r="C152" s="20" t="n">
        <v>-0.251</v>
      </c>
      <c r="D152" s="20" t="n">
        <v>34.101</v>
      </c>
      <c r="E152" s="20" t="n">
        <v>-1.109</v>
      </c>
      <c r="F152" s="20" t="n">
        <v>-1.109</v>
      </c>
      <c r="G152" s="20" t="n">
        <v>-1.11</v>
      </c>
      <c r="H152" s="20" t="n">
        <v>21.716</v>
      </c>
      <c r="I152" s="20" t="n">
        <v>-1.68</v>
      </c>
      <c r="J152" s="20" t="n">
        <v>-2.29</v>
      </c>
      <c r="K152" s="20" t="n">
        <v>-1.66</v>
      </c>
      <c r="L152" s="20" t="n">
        <v>-0.839</v>
      </c>
      <c r="M152" s="20" t="n">
        <v>-1.701</v>
      </c>
      <c r="N152" s="20" t="n">
        <v>-1.701</v>
      </c>
      <c r="V152" s="20" t="n">
        <v>34.101</v>
      </c>
      <c r="W152" s="20" t="n">
        <v>21.716</v>
      </c>
      <c r="X152" s="20" t="n">
        <v>-0.839</v>
      </c>
    </row>
    <row r="153">
      <c r="A153" s="18" t="inlineStr">
        <is>
          <t>지분법 적용회사 지분 해당액</t>
        </is>
      </c>
      <c r="E153" s="20" t="n">
        <v>0</v>
      </c>
      <c r="F153" s="20" t="n">
        <v>0</v>
      </c>
      <c r="G153" s="20" t="n">
        <v>0</v>
      </c>
      <c r="I153" s="20" t="n">
        <v>-4.017</v>
      </c>
      <c r="J153" s="20" t="n">
        <v>0.745</v>
      </c>
      <c r="K153" s="20" t="n">
        <v>2.239</v>
      </c>
      <c r="M153" s="20" t="n">
        <v>20.123</v>
      </c>
      <c r="N153" s="20" t="n">
        <v>0.142</v>
      </c>
    </row>
    <row r="154">
      <c r="A154" s="18" t="inlineStr">
        <is>
          <t>기타포괄손익 합계</t>
        </is>
      </c>
      <c r="C154" s="20" t="n">
        <v>1.646</v>
      </c>
      <c r="D154" s="20" t="n">
        <v>40.087</v>
      </c>
      <c r="E154" s="20" t="n">
        <v>3.213</v>
      </c>
      <c r="F154" s="20" t="n">
        <v>0.208</v>
      </c>
      <c r="G154" s="20" t="n">
        <v>-8.523999999999999</v>
      </c>
      <c r="H154" s="20" t="n">
        <v>24.181</v>
      </c>
      <c r="I154" s="20" t="n">
        <v>-11.438</v>
      </c>
      <c r="J154" s="20" t="n">
        <v>7.415</v>
      </c>
      <c r="K154" s="20" t="n">
        <v>-3.256</v>
      </c>
      <c r="L154" s="20" t="n">
        <v>-14.434</v>
      </c>
      <c r="M154" s="20" t="n">
        <v>16.465</v>
      </c>
      <c r="N154" s="20" t="n">
        <v>9.337999999999999</v>
      </c>
      <c r="V154" s="20" t="n">
        <v>40.087</v>
      </c>
      <c r="W154" s="20" t="n">
        <v>24.181</v>
      </c>
      <c r="X154" s="20" t="n">
        <v>-14.434</v>
      </c>
    </row>
    <row r="155">
      <c r="A155" s="9" t="inlineStr">
        <is>
          <t>포괄이익</t>
        </is>
      </c>
      <c r="C155" s="12" t="n">
        <v>280.883</v>
      </c>
      <c r="D155" s="12" t="n">
        <v>313.861</v>
      </c>
      <c r="E155" s="12" t="n">
        <v>248.421</v>
      </c>
      <c r="F155" s="12" t="n">
        <v>278.736</v>
      </c>
      <c r="G155" s="12" t="n">
        <v>213.429</v>
      </c>
      <c r="H155" s="12" t="n">
        <v>357.16</v>
      </c>
      <c r="I155" s="12" t="n">
        <v>505.007</v>
      </c>
      <c r="J155" s="12" t="n">
        <v>120.4</v>
      </c>
      <c r="K155" s="12" t="n">
        <v>266.902</v>
      </c>
      <c r="L155" s="12" t="n">
        <v>508.987</v>
      </c>
      <c r="M155" s="12" t="n">
        <v>309.822</v>
      </c>
      <c r="N155" s="12" t="n">
        <v>380.726</v>
      </c>
      <c r="V155" s="12" t="n">
        <v>313.861</v>
      </c>
      <c r="W155" s="12" t="n">
        <v>357.16</v>
      </c>
      <c r="X155" s="12" t="n">
        <v>508.987</v>
      </c>
    </row>
    <row r="156">
      <c r="A156" s="9" t="inlineStr">
        <is>
          <t>지배주주 포괄이익</t>
        </is>
      </c>
      <c r="C156" s="12" t="n">
        <v>280.883</v>
      </c>
      <c r="D156" s="12" t="n">
        <v>313.861</v>
      </c>
      <c r="E156" s="12" t="n">
        <v>248.421</v>
      </c>
      <c r="F156" s="12" t="n">
        <v>278.736</v>
      </c>
      <c r="G156" s="12" t="n">
        <v>213.429</v>
      </c>
      <c r="H156" s="12" t="n">
        <v>357.16</v>
      </c>
      <c r="I156" s="12" t="n">
        <v>505.007</v>
      </c>
      <c r="J156" s="12" t="n">
        <v>120.4</v>
      </c>
      <c r="K156" s="12" t="n">
        <v>266.902</v>
      </c>
      <c r="L156" s="12" t="n">
        <v>508.987</v>
      </c>
      <c r="M156" s="12" t="n">
        <v>309.822</v>
      </c>
      <c r="N156" s="12" t="n">
        <v>380.726</v>
      </c>
      <c r="V156" s="12" t="n">
        <v>313.861</v>
      </c>
      <c r="W156" s="12" t="n">
        <v>357.16</v>
      </c>
      <c r="X156" s="12" t="n">
        <v>508.987</v>
      </c>
    </row>
    <row r="158">
      <c r="A158" s="16" t="inlineStr">
        <is>
          <t>부문 · 전 항목</t>
        </is>
      </c>
      <c r="B158" s="42" t="inlineStr">
        <is>
          <t>부문 · 항목</t>
        </is>
      </c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</row>
    <row r="159">
      <c r="A159" s="5" t="inlineStr">
        <is>
          <t>항목</t>
        </is>
      </c>
      <c r="B159" s="5" t="inlineStr">
        <is>
          <t>참고</t>
        </is>
      </c>
      <c r="C159" s="5" t="inlineStr">
        <is>
          <t>2024.3Q</t>
        </is>
      </c>
      <c r="D159" s="5" t="inlineStr">
        <is>
          <t>2024.4Q</t>
        </is>
      </c>
      <c r="E159" s="5" t="inlineStr">
        <is>
          <t>2025.1Q</t>
        </is>
      </c>
      <c r="F159" s="5" t="inlineStr">
        <is>
          <t>2025.2Q</t>
        </is>
      </c>
      <c r="G159" s="5" t="inlineStr">
        <is>
          <t>2025.3Q</t>
        </is>
      </c>
      <c r="H159" s="5" t="inlineStr">
        <is>
          <t>2025.4Q</t>
        </is>
      </c>
      <c r="I159" s="5" t="inlineStr">
        <is>
          <t>2026.1Q</t>
        </is>
      </c>
      <c r="J159" s="5" t="inlineStr">
        <is>
          <t>2026.2Q</t>
        </is>
      </c>
      <c r="K159" s="5" t="inlineStr">
        <is>
          <t>2026.3Q</t>
        </is>
      </c>
      <c r="L159" s="5" t="inlineStr">
        <is>
          <t>2026.4Q</t>
        </is>
      </c>
      <c r="M159" s="5" t="inlineStr">
        <is>
          <t>2027.1Q</t>
        </is>
      </c>
      <c r="N159" s="5" t="inlineStr">
        <is>
          <t>2027.2Q</t>
        </is>
      </c>
      <c r="O159" s="5" t="inlineStr">
        <is>
          <t>2017</t>
        </is>
      </c>
      <c r="P159" s="5" t="inlineStr">
        <is>
          <t>2018</t>
        </is>
      </c>
      <c r="Q159" s="5" t="inlineStr">
        <is>
          <t>2019</t>
        </is>
      </c>
      <c r="R159" s="5" t="inlineStr">
        <is>
          <t>2020</t>
        </is>
      </c>
      <c r="S159" s="5" t="inlineStr">
        <is>
          <t>2021</t>
        </is>
      </c>
      <c r="T159" s="5" t="inlineStr">
        <is>
          <t>2022</t>
        </is>
      </c>
      <c r="U159" s="5" t="inlineStr">
        <is>
          <t>2023</t>
        </is>
      </c>
      <c r="V159" s="5" t="inlineStr">
        <is>
          <t>2024</t>
        </is>
      </c>
      <c r="W159" s="5" t="inlineStr">
        <is>
          <t>2025</t>
        </is>
      </c>
      <c r="X159" s="5" t="inlineStr">
        <is>
          <t>2026</t>
        </is>
      </c>
      <c r="Y159" s="5" t="inlineStr">
        <is>
          <t>2027(MW)</t>
        </is>
      </c>
      <c r="Z159" s="5" t="inlineStr">
        <is>
          <t>2028(MW)</t>
        </is>
      </c>
      <c r="AA159" s="5" t="inlineStr">
        <is>
          <t>2029(MW)</t>
        </is>
      </c>
      <c r="AB159" s="5" t="inlineStr">
        <is>
          <t>2030(MW)</t>
        </is>
      </c>
      <c r="AC159" s="5" t="inlineStr">
        <is>
          <t>2031(MW)</t>
        </is>
      </c>
    </row>
    <row r="160">
      <c r="A160" s="18" t="inlineStr">
        <is>
          <t>ConveyorBusinessReportableSegmentMember · 외부 고객 매출</t>
        </is>
      </c>
      <c r="C160" s="20" t="n">
        <v>2268.64</v>
      </c>
      <c r="D160" s="20" t="n">
        <v>762.045</v>
      </c>
      <c r="E160" s="20" t="n">
        <v>1922.353</v>
      </c>
      <c r="F160" s="20" t="n">
        <v>1973.113</v>
      </c>
      <c r="G160" s="20" t="n">
        <v>1936.651</v>
      </c>
      <c r="H160" s="20" t="n">
        <v>2085.113</v>
      </c>
      <c r="I160" s="20" t="n">
        <v>1876.581</v>
      </c>
      <c r="J160" s="20" t="n">
        <v>1815.066</v>
      </c>
      <c r="K160" s="20" t="n">
        <v>3348.889</v>
      </c>
      <c r="L160" s="20" t="n">
        <v>3145.449</v>
      </c>
      <c r="M160" s="20" t="n">
        <v>1935.52</v>
      </c>
      <c r="N160" s="20" t="n">
        <v>1931.534</v>
      </c>
      <c r="V160" s="20" t="n">
        <v>762.045</v>
      </c>
      <c r="W160" s="20" t="n">
        <v>2085.113</v>
      </c>
      <c r="X160" s="20" t="n">
        <v>3145.449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EnvironmentalPlantsReportableSegmentMember · 외부 고객 매출</t>
        </is>
      </c>
      <c r="E162" s="20" t="n">
        <v>402.409</v>
      </c>
      <c r="F162" s="20" t="n">
        <v>544.112</v>
      </c>
      <c r="G162" s="20" t="n">
        <v>569.6900000000001</v>
      </c>
      <c r="H162" s="20" t="n">
        <v>633.831</v>
      </c>
      <c r="I162" s="20" t="n">
        <v>468.442</v>
      </c>
      <c r="J162" s="20" t="n">
        <v>526.745</v>
      </c>
      <c r="K162" s="20" t="n">
        <v>523.651</v>
      </c>
      <c r="L162" s="20" t="n">
        <v>622.241</v>
      </c>
      <c r="W162" s="20" t="n">
        <v>633.831</v>
      </c>
      <c r="X162" s="20" t="n">
        <v>622.241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EnvironmentalEnergyBusinessReportableSegmentMember · 외부 고객 매출</t>
        </is>
      </c>
      <c r="I164" s="20" t="n">
        <v>1151.335</v>
      </c>
      <c r="J164" s="20" t="n">
        <v>806.705</v>
      </c>
      <c r="M164" s="20" t="n">
        <v>1173.001</v>
      </c>
      <c r="N164" s="20" t="n">
        <v>1127.693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</row>
    <row r="166">
      <c r="A166" s="18" t="inlineStr">
        <is>
          <t>RobotSIBusinessReportableSegmentMember · 외부 고객 매출</t>
        </is>
      </c>
      <c r="C166" s="20" t="n">
        <v>306.116</v>
      </c>
      <c r="D166" s="20" t="n">
        <v>222.845</v>
      </c>
      <c r="E166" s="20" t="n">
        <v>30.97</v>
      </c>
      <c r="F166" s="20" t="n">
        <v>76.102</v>
      </c>
      <c r="G166" s="20" t="n">
        <v>462.644</v>
      </c>
      <c r="H166" s="20" t="n">
        <v>427.582</v>
      </c>
      <c r="I166" s="20" t="n">
        <v>366.829</v>
      </c>
      <c r="J166" s="20" t="n">
        <v>309.61</v>
      </c>
      <c r="K166" s="20" t="n">
        <v>473.908</v>
      </c>
      <c r="L166" s="20" t="n">
        <v>269.473</v>
      </c>
      <c r="M166" s="20" t="n">
        <v>430.304</v>
      </c>
      <c r="N166" s="20" t="n">
        <v>184.095</v>
      </c>
      <c r="V166" s="20" t="n">
        <v>222.845</v>
      </c>
      <c r="W166" s="20" t="n">
        <v>427.582</v>
      </c>
      <c r="X166" s="20" t="n">
        <v>269.473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합계 · 외부 고객 매출</t>
        </is>
      </c>
      <c r="C168" s="20" t="n">
        <v>2574.757</v>
      </c>
      <c r="D168" s="20" t="n">
        <v>2508.214</v>
      </c>
      <c r="E168" s="20" t="n">
        <v>2355.733</v>
      </c>
      <c r="F168" s="20" t="n">
        <v>2593.327</v>
      </c>
      <c r="G168" s="20" t="n">
        <v>2968.985</v>
      </c>
      <c r="H168" s="20" t="n">
        <v>3146.526</v>
      </c>
      <c r="I168" s="20" t="n">
        <v>3394.745</v>
      </c>
      <c r="J168" s="20" t="n">
        <v>2931.382</v>
      </c>
      <c r="K168" s="20" t="n">
        <v>3383.595</v>
      </c>
      <c r="L168" s="20" t="n">
        <v>4037.163</v>
      </c>
      <c r="M168" s="20" t="n">
        <v>3538.826</v>
      </c>
      <c r="N168" s="20" t="n">
        <v>3243.321</v>
      </c>
      <c r="V168" s="20" t="n">
        <v>2508.214</v>
      </c>
      <c r="W168" s="20" t="n">
        <v>3146.526</v>
      </c>
      <c r="X168" s="20" t="n">
        <v>4037.163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조정액 · 외부 고객 매출</t>
        </is>
      </c>
      <c r="C170" s="20" t="n">
        <v>0</v>
      </c>
      <c r="D170" s="20" t="n">
        <v>0</v>
      </c>
      <c r="E170" s="20" t="n">
        <v>0</v>
      </c>
      <c r="F170" s="20" t="n">
        <v>0</v>
      </c>
      <c r="G170" s="20" t="n">
        <v>0</v>
      </c>
      <c r="H170" s="20" t="n">
        <v>0</v>
      </c>
      <c r="I170" s="20" t="n">
        <v>0</v>
      </c>
      <c r="J170" s="20" t="n">
        <v>0</v>
      </c>
      <c r="K170" s="20" t="n">
        <v>0</v>
      </c>
      <c r="L170" s="20" t="n">
        <v>0</v>
      </c>
      <c r="M170" s="20" t="n">
        <v>0</v>
      </c>
      <c r="N170" s="20" t="n">
        <v>0</v>
      </c>
      <c r="V170" s="20" t="n">
        <v>0</v>
      </c>
      <c r="W170" s="20" t="n">
        <v>0</v>
      </c>
      <c r="X170" s="20" t="n">
        <v>0</v>
      </c>
    </row>
    <row r="171">
      <c r="A171" s="18" t="inlineStr">
        <is>
          <t>EntityTotalMember · 외부 고객 매출</t>
        </is>
      </c>
      <c r="I171" s="20" t="n">
        <v>3394.745</v>
      </c>
      <c r="M171" s="20" t="n">
        <v>3538.826</v>
      </c>
    </row>
    <row r="172">
      <c r="A172" s="9" t="inlineStr">
        <is>
          <t>외부 고객 매출</t>
        </is>
      </c>
      <c r="C172" s="12" t="n">
        <v>2574.757</v>
      </c>
      <c r="D172" s="12" t="n">
        <v>2508.214</v>
      </c>
      <c r="E172" s="12" t="n">
        <v>2355.733</v>
      </c>
      <c r="F172" s="12" t="n">
        <v>2593.327</v>
      </c>
      <c r="G172" s="12" t="n">
        <v>2968.985</v>
      </c>
      <c r="H172" s="12" t="n">
        <v>3146.526</v>
      </c>
      <c r="I172" s="12" t="n">
        <v>3394.745</v>
      </c>
      <c r="J172" s="12" t="n">
        <v>2931.382</v>
      </c>
      <c r="K172" s="12" t="n">
        <v>3383.595</v>
      </c>
      <c r="L172" s="12" t="n">
        <v>4037.163</v>
      </c>
      <c r="V172" s="12" t="n">
        <v>2508.214</v>
      </c>
      <c r="W172" s="12" t="n">
        <v>3146.526</v>
      </c>
      <c r="X172" s="12" t="n">
        <v>4037.163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ConveyorBusinessReportableSegmentMember · 부문 간 내부매출·대체</t>
        </is>
      </c>
      <c r="C174" s="20" t="n">
        <v>0</v>
      </c>
      <c r="D174" s="20" t="n">
        <v>16.241</v>
      </c>
      <c r="E174" s="20" t="n">
        <v>27.723</v>
      </c>
      <c r="F174" s="20" t="n">
        <v>12.635</v>
      </c>
      <c r="G174" s="20" t="n">
        <v>10.669</v>
      </c>
      <c r="H174" s="20" t="n">
        <v>4.708</v>
      </c>
      <c r="I174" s="20" t="n">
        <v>4.177</v>
      </c>
      <c r="J174" s="20" t="n">
        <v>4.173</v>
      </c>
      <c r="K174" s="20" t="n">
        <v>6.66</v>
      </c>
      <c r="L174" s="20" t="n">
        <v>15.212</v>
      </c>
      <c r="M174" s="20" t="n">
        <v>4.46</v>
      </c>
      <c r="N174" s="20" t="n">
        <v>8.218</v>
      </c>
      <c r="V174" s="20" t="n">
        <v>16.241</v>
      </c>
      <c r="W174" s="20" t="n">
        <v>4.708</v>
      </c>
      <c r="X174" s="20" t="n">
        <v>15.212</v>
      </c>
    </row>
    <row r="175">
      <c r="A175" s="18" t="inlineStr">
        <is>
          <t>EnvironmentalPlantsReportableSegmentMember · 부문 간 내부매출·대체</t>
        </is>
      </c>
      <c r="E175" s="20" t="n">
        <v>2.7</v>
      </c>
      <c r="F175" s="20" t="n">
        <v>0</v>
      </c>
      <c r="G175" s="20" t="n">
        <v>0</v>
      </c>
      <c r="H175" s="20" t="n">
        <v>0</v>
      </c>
      <c r="I175" s="20" t="n">
        <v>25.6</v>
      </c>
      <c r="J175" s="20" t="n">
        <v>9.115</v>
      </c>
      <c r="K175" s="20" t="n">
        <v>8.25</v>
      </c>
      <c r="L175" s="20" t="n">
        <v>0</v>
      </c>
      <c r="W175" s="20" t="n">
        <v>0</v>
      </c>
      <c r="X175" s="20" t="n">
        <v>0</v>
      </c>
    </row>
    <row r="176">
      <c r="A176" s="18" t="inlineStr">
        <is>
          <t>EnvironmentalEnergyBusinessReportableSegmentMember · 부문 간 내부매출·대체</t>
        </is>
      </c>
      <c r="I176" s="20" t="n">
        <v>26.992</v>
      </c>
      <c r="J176" s="20" t="n">
        <v>16.889</v>
      </c>
      <c r="M176" s="20" t="n">
        <v>15.427</v>
      </c>
      <c r="N176" s="20" t="n">
        <v>7.308</v>
      </c>
    </row>
    <row r="177">
      <c r="A177" s="18" t="inlineStr">
        <is>
          <t>RobotSIBusinessReportableSegmentMember · 부문 간 내부매출·대체</t>
        </is>
      </c>
      <c r="C177" s="20" t="n">
        <v>2.002</v>
      </c>
      <c r="D177" s="20" t="n">
        <v>16.8</v>
      </c>
      <c r="E177" s="20" t="n">
        <v>2.254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V177" s="20" t="n">
        <v>16.8</v>
      </c>
      <c r="W177" s="20" t="n">
        <v>0</v>
      </c>
      <c r="X177" s="20" t="n">
        <v>0</v>
      </c>
    </row>
    <row r="178">
      <c r="A178" s="18" t="inlineStr">
        <is>
          <t>합계 · 부문 간 내부매출·대체</t>
        </is>
      </c>
      <c r="C178" s="20" t="n">
        <v>2.002</v>
      </c>
      <c r="D178" s="20" t="n">
        <v>52.016</v>
      </c>
      <c r="E178" s="20" t="n">
        <v>32.677</v>
      </c>
      <c r="F178" s="20" t="n">
        <v>12.635</v>
      </c>
      <c r="G178" s="20" t="n">
        <v>10.669</v>
      </c>
      <c r="H178" s="20" t="n">
        <v>4.708</v>
      </c>
      <c r="I178" s="20" t="n">
        <v>31.169</v>
      </c>
      <c r="J178" s="20" t="n">
        <v>21.062</v>
      </c>
      <c r="K178" s="20" t="n">
        <v>5.744</v>
      </c>
      <c r="L178" s="20" t="n">
        <v>15.212</v>
      </c>
      <c r="M178" s="20" t="n">
        <v>19.888</v>
      </c>
      <c r="N178" s="20" t="n">
        <v>15.526</v>
      </c>
      <c r="V178" s="20" t="n">
        <v>52.016</v>
      </c>
      <c r="W178" s="20" t="n">
        <v>4.708</v>
      </c>
      <c r="X178" s="20" t="n">
        <v>15.212</v>
      </c>
    </row>
    <row r="179">
      <c r="A179" s="18" t="inlineStr">
        <is>
          <t>조정액 · 부문 간 내부매출·대체</t>
        </is>
      </c>
      <c r="C179" s="20" t="n">
        <v>-2.002</v>
      </c>
      <c r="D179" s="20" t="n">
        <v>-52.016</v>
      </c>
      <c r="E179" s="20" t="n">
        <v>-32.677</v>
      </c>
      <c r="F179" s="20" t="n">
        <v>-12.635</v>
      </c>
      <c r="G179" s="20" t="n">
        <v>-10.669</v>
      </c>
      <c r="H179" s="20" t="n">
        <v>-4.708</v>
      </c>
      <c r="I179" s="20" t="n">
        <v>-31.169</v>
      </c>
      <c r="J179" s="20" t="n">
        <v>-21.062</v>
      </c>
      <c r="K179" s="20" t="n">
        <v>-5.744</v>
      </c>
      <c r="L179" s="20" t="n">
        <v>-15.212</v>
      </c>
      <c r="M179" s="20" t="n">
        <v>-19.888</v>
      </c>
      <c r="N179" s="20" t="n">
        <v>-15.526</v>
      </c>
      <c r="V179" s="20" t="n">
        <v>-52.016</v>
      </c>
      <c r="W179" s="20" t="n">
        <v>-4.708</v>
      </c>
      <c r="X179" s="20" t="n">
        <v>-15.212</v>
      </c>
    </row>
    <row r="180">
      <c r="A180" s="18" t="inlineStr">
        <is>
          <t>EntityTotalMember · 부문 간 내부매출·대체</t>
        </is>
      </c>
      <c r="I180" s="20" t="n">
        <v>0</v>
      </c>
      <c r="M180" s="20" t="n">
        <v>0</v>
      </c>
    </row>
    <row r="181">
      <c r="A181" s="18" t="inlineStr">
        <is>
          <t>부문 간 내부매출·대체</t>
        </is>
      </c>
      <c r="C181" s="20" t="n">
        <v>0</v>
      </c>
      <c r="D181" s="20" t="n">
        <v>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0" t="n">
        <v>0</v>
      </c>
      <c r="K181" s="20" t="n">
        <v>0</v>
      </c>
      <c r="L181" s="20" t="n">
        <v>0</v>
      </c>
      <c r="V181" s="20" t="n">
        <v>0</v>
      </c>
      <c r="W181" s="20" t="n">
        <v>0</v>
      </c>
      <c r="X181" s="20" t="n">
        <v>0</v>
      </c>
    </row>
    <row r="182">
      <c r="A182" s="18" t="inlineStr">
        <is>
          <t>ConveyorBusinessReportableSegmentMember · 계</t>
        </is>
      </c>
      <c r="C182" s="20" t="n">
        <v>2268.64</v>
      </c>
      <c r="D182" s="20" t="n">
        <v>778.2859999999999</v>
      </c>
      <c r="E182" s="20" t="n">
        <v>1950.076</v>
      </c>
      <c r="F182" s="20" t="n">
        <v>1985.749</v>
      </c>
      <c r="G182" s="20" t="n">
        <v>1947.319</v>
      </c>
      <c r="H182" s="20" t="n">
        <v>2089.822</v>
      </c>
      <c r="I182" s="20" t="n">
        <v>1880.759</v>
      </c>
      <c r="J182" s="20" t="n">
        <v>1819.238</v>
      </c>
      <c r="K182" s="20" t="n">
        <v>3355.55</v>
      </c>
      <c r="L182" s="20" t="n">
        <v>3160.661</v>
      </c>
      <c r="M182" s="20" t="n">
        <v>1939.981</v>
      </c>
      <c r="N182" s="20" t="n">
        <v>1939.751</v>
      </c>
      <c r="V182" s="20" t="n">
        <v>778.2859999999999</v>
      </c>
      <c r="W182" s="20" t="n">
        <v>2089.822</v>
      </c>
      <c r="X182" s="20" t="n">
        <v>3160.661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EnvironmentalPlantsReportableSegmentMember · 계</t>
        </is>
      </c>
      <c r="E184" s="20" t="n">
        <v>405.109</v>
      </c>
      <c r="F184" s="20" t="n">
        <v>544.112</v>
      </c>
      <c r="G184" s="20" t="n">
        <v>569.6900000000001</v>
      </c>
      <c r="H184" s="20" t="n">
        <v>633.831</v>
      </c>
      <c r="I184" s="20" t="n">
        <v>494.042</v>
      </c>
      <c r="J184" s="20" t="n">
        <v>535.86</v>
      </c>
      <c r="K184" s="20" t="n">
        <v>531.901</v>
      </c>
      <c r="L184" s="20" t="n">
        <v>622.241</v>
      </c>
      <c r="W184" s="20" t="n">
        <v>633.831</v>
      </c>
      <c r="X184" s="20" t="n">
        <v>622.241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EnvironmentalEnergyBusinessReportableSegmentMember · 계</t>
        </is>
      </c>
      <c r="I186" s="20" t="n">
        <v>1178.327</v>
      </c>
      <c r="J186" s="20" t="n">
        <v>823.5940000000001</v>
      </c>
      <c r="M186" s="20" t="n">
        <v>1188.429</v>
      </c>
      <c r="N186" s="20" t="n">
        <v>1135.001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</row>
    <row r="188">
      <c r="A188" s="18" t="inlineStr">
        <is>
          <t>RobotSIBusinessReportableSegmentMember · 계</t>
        </is>
      </c>
      <c r="C188" s="20" t="n">
        <v>308.118</v>
      </c>
      <c r="D188" s="20" t="n">
        <v>239.646</v>
      </c>
      <c r="E188" s="20" t="n">
        <v>33.224</v>
      </c>
      <c r="F188" s="20" t="n">
        <v>76.102</v>
      </c>
      <c r="G188" s="20" t="n">
        <v>462.644</v>
      </c>
      <c r="H188" s="20" t="n">
        <v>427.582</v>
      </c>
      <c r="I188" s="20" t="n">
        <v>366.829</v>
      </c>
      <c r="J188" s="20" t="n">
        <v>309.61</v>
      </c>
      <c r="K188" s="20" t="n">
        <v>473.908</v>
      </c>
      <c r="L188" s="20" t="n">
        <v>269.473</v>
      </c>
      <c r="M188" s="20" t="n">
        <v>430.304</v>
      </c>
      <c r="N188" s="20" t="n">
        <v>184.095</v>
      </c>
      <c r="V188" s="20" t="n">
        <v>239.646</v>
      </c>
      <c r="W188" s="20" t="n">
        <v>427.582</v>
      </c>
      <c r="X188" s="20" t="n">
        <v>269.473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합계 · 계</t>
        </is>
      </c>
      <c r="C190" s="20" t="n">
        <v>2576.759</v>
      </c>
      <c r="D190" s="20" t="n">
        <v>2560.231</v>
      </c>
      <c r="E190" s="20" t="n">
        <v>2388.41</v>
      </c>
      <c r="F190" s="20" t="n">
        <v>2605.963</v>
      </c>
      <c r="G190" s="20" t="n">
        <v>2979.653</v>
      </c>
      <c r="H190" s="20" t="n">
        <v>3151.235</v>
      </c>
      <c r="I190" s="20" t="n">
        <v>3425.915</v>
      </c>
      <c r="J190" s="20" t="n">
        <v>2952.443</v>
      </c>
      <c r="K190" s="20" t="n">
        <v>3389.34</v>
      </c>
      <c r="L190" s="20" t="n">
        <v>4052.375</v>
      </c>
      <c r="M190" s="20" t="n">
        <v>3558.715</v>
      </c>
      <c r="N190" s="20" t="n">
        <v>3258.846</v>
      </c>
      <c r="V190" s="20" t="n">
        <v>2560.231</v>
      </c>
      <c r="W190" s="20" t="n">
        <v>3151.235</v>
      </c>
      <c r="X190" s="20" t="n">
        <v>4052.375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조정액 · 계</t>
        </is>
      </c>
      <c r="C192" s="20" t="n">
        <v>-2.002</v>
      </c>
      <c r="D192" s="20" t="n">
        <v>-52.016</v>
      </c>
      <c r="E192" s="20" t="n">
        <v>-32.677</v>
      </c>
      <c r="F192" s="20" t="n">
        <v>-12.635</v>
      </c>
      <c r="G192" s="20" t="n">
        <v>-10.669</v>
      </c>
      <c r="H192" s="20" t="n">
        <v>-4.708</v>
      </c>
      <c r="I192" s="20" t="n">
        <v>-31.169</v>
      </c>
      <c r="J192" s="20" t="n">
        <v>-21.062</v>
      </c>
      <c r="K192" s="20" t="n">
        <v>-5.744</v>
      </c>
      <c r="L192" s="20" t="n">
        <v>-15.212</v>
      </c>
      <c r="M192" s="20" t="n">
        <v>-19.888</v>
      </c>
      <c r="N192" s="20" t="n">
        <v>-15.526</v>
      </c>
      <c r="V192" s="20" t="n">
        <v>-52.016</v>
      </c>
      <c r="W192" s="20" t="n">
        <v>-4.708</v>
      </c>
      <c r="X192" s="20" t="n">
        <v>-15.212</v>
      </c>
    </row>
    <row r="193">
      <c r="A193" s="18" t="inlineStr">
        <is>
          <t>EntityTotalMember · 계</t>
        </is>
      </c>
      <c r="I193" s="20" t="n">
        <v>3394.745</v>
      </c>
      <c r="M193" s="20" t="n">
        <v>3538.826</v>
      </c>
    </row>
    <row r="194">
      <c r="A194" s="9" t="inlineStr">
        <is>
          <t>계</t>
        </is>
      </c>
      <c r="C194" s="12" t="n">
        <v>2574.757</v>
      </c>
      <c r="D194" s="12" t="n">
        <v>2508.214</v>
      </c>
      <c r="E194" s="12" t="n">
        <v>2355.733</v>
      </c>
      <c r="F194" s="12" t="n">
        <v>2593.327</v>
      </c>
      <c r="G194" s="12" t="n">
        <v>2968.985</v>
      </c>
      <c r="H194" s="12" t="n">
        <v>3146.526</v>
      </c>
      <c r="I194" s="12" t="n">
        <v>3394.745</v>
      </c>
      <c r="J194" s="12" t="n">
        <v>2931.382</v>
      </c>
      <c r="K194" s="12" t="n">
        <v>3383.595</v>
      </c>
      <c r="L194" s="12" t="n">
        <v>4037.163</v>
      </c>
      <c r="V194" s="12" t="n">
        <v>2508.214</v>
      </c>
      <c r="W194" s="12" t="n">
        <v>3146.526</v>
      </c>
      <c r="X194" s="12" t="n">
        <v>4037.163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IF(OR(G194="",C194=""),"",IF(C194&lt;=0,"",IFERROR(G194/C194-1,"")))</f>
        <v/>
      </c>
      <c r="H195" s="15">
        <f>IF(OR(H194="",D194=""),"",IF(D194&lt;=0,"",IFERROR(H194/D194-1,"")))</f>
        <v/>
      </c>
      <c r="I195" s="15">
        <f>IF(OR(I194="",E194=""),"",IF(E194&lt;=0,"",IFERROR(I194/E194-1,"")))</f>
        <v/>
      </c>
      <c r="J195" s="15">
        <f>IF(OR(J194="",F194=""),"",IF(F194&lt;=0,"",IFERROR(J194/F194-1,"")))</f>
        <v/>
      </c>
      <c r="K195" s="15">
        <f>IF(OR(K194="",G194=""),"",IF(G194&lt;=0,"",IFERROR(K194/G194-1,"")))</f>
        <v/>
      </c>
      <c r="L195" s="15">
        <f>IF(OR(L194="",H194=""),"",IF(H194&lt;=0,"",IFERROR(L194/H194-1,"")))</f>
        <v/>
      </c>
      <c r="V195" s="15">
        <f>IF(OR(V194="",U194=""),"",IF(U194&lt;=0,"",IFERROR(V194/U194-1,"")))</f>
        <v/>
      </c>
      <c r="W195" s="15">
        <f>IF(OR(W194="",V194=""),"",IF(V194&lt;=0,"",IFERROR(W194/V194-1,"")))</f>
        <v/>
      </c>
      <c r="X195" s="15">
        <f>IF(OR(X194="",W194=""),"",IF(W194&lt;=0,"",IFERROR(X194/W194-1,"")))</f>
        <v/>
      </c>
    </row>
    <row r="196">
      <c r="A196" s="18" t="inlineStr">
        <is>
          <t>ConveyorBusinessReportableSegmentMember · 부문 이익</t>
        </is>
      </c>
      <c r="C196" s="20" t="n">
        <v>397.234</v>
      </c>
      <c r="D196" s="20" t="n">
        <v>716.357</v>
      </c>
      <c r="E196" s="20" t="n">
        <v>417.065</v>
      </c>
      <c r="F196" s="20" t="n">
        <v>441.5</v>
      </c>
      <c r="G196" s="20" t="n">
        <v>379.569</v>
      </c>
      <c r="H196" s="20" t="n">
        <v>459.42</v>
      </c>
      <c r="I196" s="20" t="n">
        <v>463.589</v>
      </c>
      <c r="J196" s="20" t="n">
        <v>394.042</v>
      </c>
      <c r="K196" s="20" t="n">
        <v>885.357</v>
      </c>
      <c r="L196" s="20" t="n">
        <v>834.0410000000001</v>
      </c>
      <c r="M196" s="20" t="n">
        <v>451.988</v>
      </c>
      <c r="N196" s="20" t="n">
        <v>484.042</v>
      </c>
      <c r="V196" s="20" t="n">
        <v>716.357</v>
      </c>
      <c r="W196" s="20" t="n">
        <v>459.42</v>
      </c>
      <c r="X196" s="20" t="n">
        <v>834.0410000000001</v>
      </c>
    </row>
    <row r="197">
      <c r="A197" s="43" t="inlineStr">
        <is>
          <t>OPM</t>
        </is>
      </c>
      <c r="B197" s="3" t="inlineStr">
        <is>
          <t>영업이익 ÷ 매출</t>
        </is>
      </c>
      <c r="C197" s="15">
        <f>IF(OR(C196="",C182=""),"",IF(C182&lt;=0,"",IFERROR(C196/C182,"")))</f>
        <v/>
      </c>
      <c r="D197" s="15">
        <f>IF(OR(D196="",D182=""),"",IF(D182&lt;=0,"",IFERROR(D196/D182,"")))</f>
        <v/>
      </c>
      <c r="E197" s="15">
        <f>IF(OR(E196="",E182=""),"",IF(E182&lt;=0,"",IFERROR(E196/E182,"")))</f>
        <v/>
      </c>
      <c r="F197" s="15">
        <f>IF(OR(F196="",F182=""),"",IF(F182&lt;=0,"",IFERROR(F196/F182,"")))</f>
        <v/>
      </c>
      <c r="G197" s="15">
        <f>IF(OR(G196="",G182=""),"",IF(G182&lt;=0,"",IFERROR(G196/G182,"")))</f>
        <v/>
      </c>
      <c r="H197" s="15">
        <f>IF(OR(H196="",H182=""),"",IF(H182&lt;=0,"",IFERROR(H196/H182,"")))</f>
        <v/>
      </c>
      <c r="I197" s="15">
        <f>IF(OR(I196="",I182=""),"",IF(I182&lt;=0,"",IFERROR(I196/I182,"")))</f>
        <v/>
      </c>
      <c r="J197" s="15">
        <f>IF(OR(J196="",J182=""),"",IF(J182&lt;=0,"",IFERROR(J196/J182,"")))</f>
        <v/>
      </c>
      <c r="K197" s="15">
        <f>IF(OR(K196="",K182=""),"",IF(K182&lt;=0,"",IFERROR(K196/K182,"")))</f>
        <v/>
      </c>
      <c r="L197" s="15">
        <f>IF(OR(L196="",L182=""),"",IF(L182&lt;=0,"",IFERROR(L196/L182,"")))</f>
        <v/>
      </c>
      <c r="M197" s="15">
        <f>IF(OR(M196="",M182=""),"",IF(M182&lt;=0,"",IFERROR(M196/M182,"")))</f>
        <v/>
      </c>
      <c r="N197" s="15">
        <f>IF(OR(N196="",N182=""),"",IF(N182&lt;=0,"",IFERROR(N196/N182,"")))</f>
        <v/>
      </c>
      <c r="V197" s="15">
        <f>IF(OR(V196="",V182=""),"",IF(V182&lt;=0,"",IFERROR(V196/V182,"")))</f>
        <v/>
      </c>
      <c r="W197" s="15">
        <f>IF(OR(W196="",W182=""),"",IF(W182&lt;=0,"",IFERROR(W196/W182,"")))</f>
        <v/>
      </c>
      <c r="X197" s="15">
        <f>IF(OR(X196="",X182=""),"",IF(X182&lt;=0,"",IFERROR(X196/X182,"")))</f>
        <v/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IF(OR(G196="",C196=""),"",IF(C196&lt;=0,"",IFERROR(G196/C196-1,"")))</f>
        <v/>
      </c>
      <c r="H198" s="15">
        <f>IF(OR(H196="",D196=""),"",IF(D196&lt;=0,"",IFERROR(H196/D196-1,"")))</f>
        <v/>
      </c>
      <c r="I198" s="15">
        <f>IF(OR(I196="",E196=""),"",IF(E196&lt;=0,"",IFERROR(I196/E196-1,"")))</f>
        <v/>
      </c>
      <c r="J198" s="15">
        <f>IF(OR(J196="",F196=""),"",IF(F196&lt;=0,"",IFERROR(J196/F196-1,"")))</f>
        <v/>
      </c>
      <c r="K198" s="15">
        <f>IF(OR(K196="",G196=""),"",IF(G196&lt;=0,"",IFERROR(K196/G196-1,"")))</f>
        <v/>
      </c>
      <c r="L198" s="15">
        <f>IF(OR(L196="",H196=""),"",IF(H196&lt;=0,"",IFERROR(L196/H196-1,"")))</f>
        <v/>
      </c>
      <c r="M198" s="15">
        <f>IF(OR(M196="",I196=""),"",IF(I196&lt;=0,"",IFERROR(M196/I196-1,"")))</f>
        <v/>
      </c>
      <c r="N198" s="15">
        <f>IF(OR(N196="",J196=""),"",IF(J196&lt;=0,"",IFERROR(N196/J196-1,"")))</f>
        <v/>
      </c>
      <c r="V198" s="15">
        <f>IF(OR(V196="",U196=""),"",IF(U196&lt;=0,"",IFERROR(V196/U196-1,"")))</f>
        <v/>
      </c>
      <c r="W198" s="15">
        <f>IF(OR(W196="",V196=""),"",IF(V196&lt;=0,"",IFERROR(W196/V196-1,"")))</f>
        <v/>
      </c>
      <c r="X198" s="15">
        <f>IF(OR(X196="",W196=""),"",IF(W196&lt;=0,"",IFERROR(X196/W196-1,"")))</f>
        <v/>
      </c>
    </row>
    <row r="199">
      <c r="A199" s="18" t="inlineStr">
        <is>
          <t>EnvironmentalPlantsReportableSegmentMember · 부문 이익</t>
        </is>
      </c>
      <c r="E199" s="20" t="n">
        <v>98.599</v>
      </c>
      <c r="F199" s="20" t="n">
        <v>171.212</v>
      </c>
      <c r="G199" s="20" t="n">
        <v>125.682</v>
      </c>
      <c r="H199" s="20" t="n">
        <v>56.369</v>
      </c>
      <c r="I199" s="20" t="n">
        <v>73.036</v>
      </c>
      <c r="J199" s="20" t="n">
        <v>35.25</v>
      </c>
      <c r="K199" s="20" t="n">
        <v>29.148</v>
      </c>
      <c r="L199" s="20" t="n">
        <v>58.486</v>
      </c>
      <c r="W199" s="20" t="n">
        <v>56.369</v>
      </c>
      <c r="X199" s="20" t="n">
        <v>58.486</v>
      </c>
    </row>
    <row r="200">
      <c r="A200" s="43" t="inlineStr">
        <is>
          <t>OPM</t>
        </is>
      </c>
      <c r="B200" s="3" t="inlineStr">
        <is>
          <t>영업이익 ÷ 매출</t>
        </is>
      </c>
      <c r="E200" s="15">
        <f>IF(OR(E199="",E184=""),"",IF(E184&lt;=0,"",IFERROR(E199/E184,"")))</f>
        <v/>
      </c>
      <c r="F200" s="15">
        <f>IF(OR(F199="",F184=""),"",IF(F184&lt;=0,"",IFERROR(F199/F184,"")))</f>
        <v/>
      </c>
      <c r="G200" s="15">
        <f>IF(OR(G199="",G184=""),"",IF(G184&lt;=0,"",IFERROR(G199/G184,"")))</f>
        <v/>
      </c>
      <c r="H200" s="15">
        <f>IF(OR(H199="",H184=""),"",IF(H184&lt;=0,"",IFERROR(H199/H184,"")))</f>
        <v/>
      </c>
      <c r="I200" s="15">
        <f>IF(OR(I199="",I184=""),"",IF(I184&lt;=0,"",IFERROR(I199/I184,"")))</f>
        <v/>
      </c>
      <c r="J200" s="15">
        <f>IF(OR(J199="",J184=""),"",IF(J184&lt;=0,"",IFERROR(J199/J184,"")))</f>
        <v/>
      </c>
      <c r="K200" s="15">
        <f>IF(OR(K199="",K184=""),"",IF(K184&lt;=0,"",IFERROR(K199/K184,"")))</f>
        <v/>
      </c>
      <c r="L200" s="15">
        <f>IF(OR(L199="",L184=""),"",IF(L184&lt;=0,"",IFERROR(L199/L184,"")))</f>
        <v/>
      </c>
      <c r="W200" s="15">
        <f>IF(OR(W199="",W184=""),"",IF(W184&lt;=0,"",IFERROR(W199/W184,"")))</f>
        <v/>
      </c>
      <c r="X200" s="15">
        <f>IF(OR(X199="",X184=""),"",IF(X184&lt;=0,"",IFERROR(X199/X184,"")))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IF(OR(G199="",C199=""),"",IF(C199&lt;=0,"",IFERROR(G199/C199-1,"")))</f>
        <v/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K201" s="15">
        <f>IF(OR(K199="",G199=""),"",IF(G199&lt;=0,"",IFERROR(K199/G199-1,"")))</f>
        <v/>
      </c>
      <c r="L201" s="15">
        <f>IF(OR(L199="",H199=""),"",IF(H199&lt;=0,"",IFERROR(L199/H199-1,"")))</f>
        <v/>
      </c>
      <c r="W201" s="15">
        <f>IF(OR(W199="",V199=""),"",IF(V199&lt;=0,"",IFERROR(W199/V199-1,"")))</f>
        <v/>
      </c>
      <c r="X201" s="15">
        <f>IF(OR(X199="",W199=""),"",IF(W199&lt;=0,"",IFERROR(X199/W199-1,"")))</f>
        <v/>
      </c>
    </row>
    <row r="202">
      <c r="A202" s="18" t="inlineStr">
        <is>
          <t>EnvironmentalEnergyBusinessReportableSegmentMember · 부문 이익</t>
        </is>
      </c>
      <c r="I202" s="20" t="n">
        <v>422.779</v>
      </c>
      <c r="J202" s="20" t="n">
        <v>18.843</v>
      </c>
      <c r="M202" s="20" t="n">
        <v>187.805</v>
      </c>
      <c r="N202" s="20" t="n">
        <v>322.171</v>
      </c>
    </row>
    <row r="203">
      <c r="A203" s="43" t="inlineStr">
        <is>
          <t>OPM</t>
        </is>
      </c>
      <c r="B203" s="3" t="inlineStr">
        <is>
          <t>영업이익 ÷ 매출</t>
        </is>
      </c>
      <c r="I203" s="15">
        <f>IF(OR(I202="",I186=""),"",IF(I186&lt;=0,"",IFERROR(I202/I186,"")))</f>
        <v/>
      </c>
      <c r="J203" s="15">
        <f>IF(OR(J202="",J186=""),"",IF(J186&lt;=0,"",IFERROR(J202/J186,"")))</f>
        <v/>
      </c>
      <c r="M203" s="15">
        <f>IF(OR(M202="",M186=""),"",IF(M186&lt;=0,"",IFERROR(M202/M186,"")))</f>
        <v/>
      </c>
      <c r="N203" s="15">
        <f>IF(OR(N202="",N186=""),"",IF(N186&lt;=0,"",IFERROR(N202/N186,"")))</f>
        <v/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I204" s="15">
        <f>IF(OR(I202="",E202=""),"",IF(E202&lt;=0,"",IFERROR(I202/E202-1,"")))</f>
        <v/>
      </c>
      <c r="J204" s="15">
        <f>IF(OR(J202="",F202=""),"",IF(F202&lt;=0,"",IFERROR(J202/F202-1,"")))</f>
        <v/>
      </c>
      <c r="M204" s="15">
        <f>IF(OR(M202="",I202=""),"",IF(I202&lt;=0,"",IFERROR(M202/I202-1,"")))</f>
        <v/>
      </c>
      <c r="N204" s="15">
        <f>IF(OR(N202="",J202=""),"",IF(J202&lt;=0,"",IFERROR(N202/J202-1,"")))</f>
        <v/>
      </c>
    </row>
    <row r="205">
      <c r="A205" s="18" t="inlineStr">
        <is>
          <t>RobotSIBusinessReportableSegmentMember · 부문 이익</t>
        </is>
      </c>
      <c r="C205" s="20" t="n">
        <v>15.035</v>
      </c>
      <c r="D205" s="20" t="n">
        <v>41.74</v>
      </c>
      <c r="E205" s="20" t="n">
        <v>-41.617</v>
      </c>
      <c r="F205" s="20" t="n">
        <v>-52.116</v>
      </c>
      <c r="G205" s="20" t="n">
        <v>78.441</v>
      </c>
      <c r="H205" s="20" t="n">
        <v>40.926</v>
      </c>
      <c r="I205" s="20" t="n">
        <v>43.581</v>
      </c>
      <c r="J205" s="20" t="n">
        <v>-1.228</v>
      </c>
      <c r="K205" s="20" t="n">
        <v>39.348</v>
      </c>
      <c r="L205" s="20" t="n">
        <v>-3.093</v>
      </c>
      <c r="M205" s="20" t="n">
        <v>51.591</v>
      </c>
      <c r="N205" s="20" t="n">
        <v>-13.498</v>
      </c>
      <c r="V205" s="20" t="n">
        <v>41.74</v>
      </c>
      <c r="W205" s="20" t="n">
        <v>40.926</v>
      </c>
      <c r="X205" s="20" t="n">
        <v>-3.093</v>
      </c>
    </row>
    <row r="206">
      <c r="A206" s="43" t="inlineStr">
        <is>
          <t>OPM</t>
        </is>
      </c>
      <c r="B206" s="3" t="inlineStr">
        <is>
          <t>영업이익 ÷ 매출</t>
        </is>
      </c>
      <c r="C206" s="15">
        <f>IF(OR(C205="",C188=""),"",IF(C188&lt;=0,"",IFERROR(C205/C188,"")))</f>
        <v/>
      </c>
      <c r="D206" s="15">
        <f>IF(OR(D205="",D188=""),"",IF(D188&lt;=0,"",IFERROR(D205/D188,"")))</f>
        <v/>
      </c>
      <c r="E206" s="15">
        <f>IF(OR(E205="",E188=""),"",IF(E188&lt;=0,"",IFERROR(E205/E188,"")))</f>
        <v/>
      </c>
      <c r="F206" s="15">
        <f>IF(OR(F205="",F188=""),"",IF(F188&lt;=0,"",IFERROR(F205/F188,"")))</f>
        <v/>
      </c>
      <c r="G206" s="15">
        <f>IF(OR(G205="",G188=""),"",IF(G188&lt;=0,"",IFERROR(G205/G188,"")))</f>
        <v/>
      </c>
      <c r="H206" s="15">
        <f>IF(OR(H205="",H188=""),"",IF(H188&lt;=0,"",IFERROR(H205/H188,"")))</f>
        <v/>
      </c>
      <c r="I206" s="15">
        <f>IF(OR(I205="",I188=""),"",IF(I188&lt;=0,"",IFERROR(I205/I188,"")))</f>
        <v/>
      </c>
      <c r="J206" s="15">
        <f>IF(OR(J205="",J188=""),"",IF(J188&lt;=0,"",IFERROR(J205/J188,"")))</f>
        <v/>
      </c>
      <c r="K206" s="15">
        <f>IF(OR(K205="",K188=""),"",IF(K188&lt;=0,"",IFERROR(K205/K188,"")))</f>
        <v/>
      </c>
      <c r="L206" s="15">
        <f>IF(OR(L205="",L188=""),"",IF(L188&lt;=0,"",IFERROR(L205/L188,"")))</f>
        <v/>
      </c>
      <c r="M206" s="15">
        <f>IF(OR(M205="",M188=""),"",IF(M188&lt;=0,"",IFERROR(M205/M188,"")))</f>
        <v/>
      </c>
      <c r="N206" s="15">
        <f>IF(OR(N205="",N188=""),"",IF(N188&lt;=0,"",IFERROR(N205/N188,"")))</f>
        <v/>
      </c>
      <c r="V206" s="15">
        <f>IF(OR(V205="",V188=""),"",IF(V188&lt;=0,"",IFERROR(V205/V188,"")))</f>
        <v/>
      </c>
      <c r="W206" s="15">
        <f>IF(OR(W205="",W188=""),"",IF(W188&lt;=0,"",IFERROR(W205/W188,"")))</f>
        <v/>
      </c>
      <c r="X206" s="15">
        <f>IF(OR(X205="",X188=""),"",IF(X188&lt;=0,"",IFERROR(X205/X188,"")))</f>
        <v/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IF(OR(G205="",C205=""),"",IF(C205&lt;=0,"",IFERROR(G205/C205-1,"")))</f>
        <v/>
      </c>
      <c r="H207" s="15">
        <f>IF(OR(H205="",D205=""),"",IF(D205&lt;=0,"",IFERROR(H205/D205-1,"")))</f>
        <v/>
      </c>
      <c r="I207" s="15">
        <f>IF(OR(I205="",E205=""),"",IF(E205&lt;=0,"",IFERROR(I205/E205-1,"")))</f>
        <v/>
      </c>
      <c r="J207" s="15">
        <f>IF(OR(J205="",F205=""),"",IF(F205&lt;=0,"",IFERROR(J205/F205-1,"")))</f>
        <v/>
      </c>
      <c r="K207" s="15">
        <f>IF(OR(K205="",G205=""),"",IF(G205&lt;=0,"",IFERROR(K205/G205-1,"")))</f>
        <v/>
      </c>
      <c r="L207" s="15">
        <f>IF(OR(L205="",H205=""),"",IF(H205&lt;=0,"",IFERROR(L205/H205-1,"")))</f>
        <v/>
      </c>
      <c r="M207" s="15">
        <f>IF(OR(M205="",I205=""),"",IF(I205&lt;=0,"",IFERROR(M205/I205-1,"")))</f>
        <v/>
      </c>
      <c r="N207" s="15">
        <f>IF(OR(N205="",J205=""),"",IF(J205&lt;=0,"",IFERROR(N205/J205-1,"")))</f>
        <v/>
      </c>
      <c r="V207" s="15">
        <f>IF(OR(V205="",U205=""),"",IF(U205&lt;=0,"",IFERROR(V205/U205-1,"")))</f>
        <v/>
      </c>
      <c r="W207" s="15">
        <f>IF(OR(W205="",V205=""),"",IF(V205&lt;=0,"",IFERROR(W205/V205-1,"")))</f>
        <v/>
      </c>
      <c r="X207" s="15">
        <f>IF(OR(X205="",W205=""),"",IF(W205&lt;=0,"",IFERROR(X205/W205-1,"")))</f>
        <v/>
      </c>
    </row>
    <row r="208">
      <c r="A208" s="18" t="inlineStr">
        <is>
          <t>합계 · 부문 이익</t>
        </is>
      </c>
      <c r="C208" s="20" t="n">
        <v>412.27</v>
      </c>
      <c r="D208" s="20" t="n">
        <v>1016.159</v>
      </c>
      <c r="E208" s="20" t="n">
        <v>474.047</v>
      </c>
      <c r="F208" s="20" t="n">
        <v>560.596</v>
      </c>
      <c r="G208" s="20" t="n">
        <v>583.692</v>
      </c>
      <c r="H208" s="20" t="n">
        <v>556.715</v>
      </c>
      <c r="I208" s="20" t="n">
        <v>929.949</v>
      </c>
      <c r="J208" s="20" t="n">
        <v>411.658</v>
      </c>
      <c r="K208" s="20" t="n">
        <v>620.516</v>
      </c>
      <c r="L208" s="20" t="n">
        <v>889.4349999999999</v>
      </c>
      <c r="M208" s="20" t="n">
        <v>691.386</v>
      </c>
      <c r="N208" s="20" t="n">
        <v>792.7140000000001</v>
      </c>
      <c r="V208" s="20" t="n">
        <v>1016.159</v>
      </c>
      <c r="W208" s="20" t="n">
        <v>556.715</v>
      </c>
      <c r="X208" s="20" t="n">
        <v>889.4349999999999</v>
      </c>
    </row>
    <row r="209">
      <c r="A209" s="43" t="inlineStr">
        <is>
          <t>OPM</t>
        </is>
      </c>
      <c r="B209" s="3" t="inlineStr">
        <is>
          <t>영업이익 ÷ 매출</t>
        </is>
      </c>
      <c r="C209" s="15">
        <f>IF(OR(C208="",C190=""),"",IF(C190&lt;=0,"",IFERROR(C208/C190,"")))</f>
        <v/>
      </c>
      <c r="D209" s="15">
        <f>IF(OR(D208="",D190=""),"",IF(D190&lt;=0,"",IFERROR(D208/D190,"")))</f>
        <v/>
      </c>
      <c r="E209" s="15">
        <f>IF(OR(E208="",E190=""),"",IF(E190&lt;=0,"",IFERROR(E208/E190,"")))</f>
        <v/>
      </c>
      <c r="F209" s="15">
        <f>IF(OR(F208="",F190=""),"",IF(F190&lt;=0,"",IFERROR(F208/F190,"")))</f>
        <v/>
      </c>
      <c r="G209" s="15">
        <f>IF(OR(G208="",G190=""),"",IF(G190&lt;=0,"",IFERROR(G208/G190,"")))</f>
        <v/>
      </c>
      <c r="H209" s="15">
        <f>IF(OR(H208="",H190=""),"",IF(H190&lt;=0,"",IFERROR(H208/H190,"")))</f>
        <v/>
      </c>
      <c r="I209" s="15">
        <f>IF(OR(I208="",I190=""),"",IF(I190&lt;=0,"",IFERROR(I208/I190,"")))</f>
        <v/>
      </c>
      <c r="J209" s="15">
        <f>IF(OR(J208="",J190=""),"",IF(J190&lt;=0,"",IFERROR(J208/J190,"")))</f>
        <v/>
      </c>
      <c r="K209" s="15">
        <f>IF(OR(K208="",K190=""),"",IF(K190&lt;=0,"",IFERROR(K208/K190,"")))</f>
        <v/>
      </c>
      <c r="L209" s="15">
        <f>IF(OR(L208="",L190=""),"",IF(L190&lt;=0,"",IFERROR(L208/L190,"")))</f>
        <v/>
      </c>
      <c r="M209" s="15">
        <f>IF(OR(M208="",M190=""),"",IF(M190&lt;=0,"",IFERROR(M208/M190,"")))</f>
        <v/>
      </c>
      <c r="N209" s="15">
        <f>IF(OR(N208="",N190=""),"",IF(N190&lt;=0,"",IFERROR(N208/N190,"")))</f>
        <v/>
      </c>
      <c r="V209" s="15">
        <f>IF(OR(V208="",V190=""),"",IF(V190&lt;=0,"",IFERROR(V208/V190,"")))</f>
        <v/>
      </c>
      <c r="W209" s="15">
        <f>IF(OR(W208="",W190=""),"",IF(W190&lt;=0,"",IFERROR(W208/W190,"")))</f>
        <v/>
      </c>
      <c r="X209" s="15">
        <f>IF(OR(X208="",X190=""),"",IF(X190&lt;=0,"",IFERROR(X208/X190,"")))</f>
        <v/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IF(OR(G208="",C208=""),"",IF(C208&lt;=0,"",IFERROR(G208/C208-1,"")))</f>
        <v/>
      </c>
      <c r="H210" s="15">
        <f>IF(OR(H208="",D208=""),"",IF(D208&lt;=0,"",IFERROR(H208/D208-1,"")))</f>
        <v/>
      </c>
      <c r="I210" s="15">
        <f>IF(OR(I208="",E208=""),"",IF(E208&lt;=0,"",IFERROR(I208/E208-1,"")))</f>
        <v/>
      </c>
      <c r="J210" s="15">
        <f>IF(OR(J208="",F208=""),"",IF(F208&lt;=0,"",IFERROR(J208/F208-1,"")))</f>
        <v/>
      </c>
      <c r="K210" s="15">
        <f>IF(OR(K208="",G208=""),"",IF(G208&lt;=0,"",IFERROR(K208/G208-1,"")))</f>
        <v/>
      </c>
      <c r="L210" s="15">
        <f>IF(OR(L208="",H208=""),"",IF(H208&lt;=0,"",IFERROR(L208/H208-1,"")))</f>
        <v/>
      </c>
      <c r="M210" s="15">
        <f>IF(OR(M208="",I208=""),"",IF(I208&lt;=0,"",IFERROR(M208/I208-1,"")))</f>
        <v/>
      </c>
      <c r="N210" s="15">
        <f>IF(OR(N208="",J208=""),"",IF(J208&lt;=0,"",IFERROR(N208/J208-1,"")))</f>
        <v/>
      </c>
      <c r="V210" s="15">
        <f>IF(OR(V208="",U208=""),"",IF(U208&lt;=0,"",IFERROR(V208/U208-1,"")))</f>
        <v/>
      </c>
      <c r="W210" s="15">
        <f>IF(OR(W208="",V208=""),"",IF(V208&lt;=0,"",IFERROR(W208/V208-1,"")))</f>
        <v/>
      </c>
      <c r="X210" s="15">
        <f>IF(OR(X208="",W208=""),"",IF(W208&lt;=0,"",IFERROR(X208/W208-1,"")))</f>
        <v/>
      </c>
    </row>
    <row r="211">
      <c r="A211" s="18" t="inlineStr">
        <is>
          <t>조정액 · 부문 이익</t>
        </is>
      </c>
      <c r="C211" s="20" t="n">
        <v>0</v>
      </c>
      <c r="D211" s="20" t="n">
        <v>-655.514</v>
      </c>
      <c r="E211" s="20" t="n">
        <v>-219.747</v>
      </c>
      <c r="F211" s="20" t="n">
        <v>-163.696</v>
      </c>
      <c r="G211" s="20" t="n">
        <v>-223.48</v>
      </c>
      <c r="H211" s="20" t="n">
        <v>-192.418</v>
      </c>
      <c r="I211" s="20" t="n">
        <v>-231.915</v>
      </c>
      <c r="J211" s="20" t="n">
        <v>-205.489</v>
      </c>
      <c r="K211" s="20" t="n">
        <v>-212.049</v>
      </c>
      <c r="L211" s="20" t="n">
        <v>-238.042</v>
      </c>
      <c r="M211" s="20" t="n">
        <v>-251.417</v>
      </c>
      <c r="N211" s="20" t="n">
        <v>-229.179</v>
      </c>
      <c r="V211" s="20" t="n">
        <v>-655.514</v>
      </c>
      <c r="W211" s="20" t="n">
        <v>-192.418</v>
      </c>
      <c r="X211" s="20" t="n">
        <v>-238.042</v>
      </c>
    </row>
    <row r="212">
      <c r="A212" s="18" t="inlineStr">
        <is>
          <t>EntityTotalMember · 부문 이익</t>
        </is>
      </c>
      <c r="I212" s="20" t="n">
        <v>698.033</v>
      </c>
      <c r="M212" s="20" t="n">
        <v>439.968</v>
      </c>
    </row>
    <row r="213">
      <c r="A213" s="9" t="inlineStr">
        <is>
          <t>부문 이익</t>
        </is>
      </c>
      <c r="C213" s="12" t="n">
        <v>412.27</v>
      </c>
      <c r="D213" s="12" t="n">
        <v>360.646</v>
      </c>
      <c r="E213" s="12" t="n">
        <v>254.3</v>
      </c>
      <c r="F213" s="12" t="n">
        <v>396.899</v>
      </c>
      <c r="G213" s="12" t="n">
        <v>360.212</v>
      </c>
      <c r="H213" s="12" t="n">
        <v>364.298</v>
      </c>
      <c r="I213" s="12" t="n">
        <v>700.345</v>
      </c>
      <c r="J213" s="12" t="n">
        <v>203.858</v>
      </c>
      <c r="K213" s="12" t="n">
        <v>408.467</v>
      </c>
      <c r="L213" s="12" t="n">
        <v>651.393</v>
      </c>
      <c r="V213" s="12" t="n">
        <v>360.646</v>
      </c>
      <c r="W213" s="12" t="n">
        <v>364.298</v>
      </c>
      <c r="X213" s="12" t="n">
        <v>651.393</v>
      </c>
    </row>
    <row r="214">
      <c r="A214" s="43" t="inlineStr">
        <is>
          <t>OPM</t>
        </is>
      </c>
      <c r="B214" s="3" t="inlineStr">
        <is>
          <t>영업이익 ÷ 매출</t>
        </is>
      </c>
      <c r="C214" s="15">
        <f>IF(OR(C213="",C172=""),"",IF(C172&lt;=0,"",IFERROR(C213/C172,"")))</f>
        <v/>
      </c>
      <c r="D214" s="15">
        <f>IF(OR(D213="",D172=""),"",IF(D172&lt;=0,"",IFERROR(D213/D172,"")))</f>
        <v/>
      </c>
      <c r="E214" s="15">
        <f>IF(OR(E213="",E172=""),"",IF(E172&lt;=0,"",IFERROR(E213/E172,"")))</f>
        <v/>
      </c>
      <c r="F214" s="15">
        <f>IF(OR(F213="",F172=""),"",IF(F172&lt;=0,"",IFERROR(F213/F172,"")))</f>
        <v/>
      </c>
      <c r="G214" s="15">
        <f>IF(OR(G213="",G172=""),"",IF(G172&lt;=0,"",IFERROR(G213/G172,"")))</f>
        <v/>
      </c>
      <c r="H214" s="15">
        <f>IF(OR(H213="",H172=""),"",IF(H172&lt;=0,"",IFERROR(H213/H172,"")))</f>
        <v/>
      </c>
      <c r="I214" s="15">
        <f>IF(OR(I213="",I172=""),"",IF(I172&lt;=0,"",IFERROR(I213/I172,"")))</f>
        <v/>
      </c>
      <c r="J214" s="15">
        <f>IF(OR(J213="",J172=""),"",IF(J172&lt;=0,"",IFERROR(J213/J172,"")))</f>
        <v/>
      </c>
      <c r="K214" s="15">
        <f>IF(OR(K213="",K172=""),"",IF(K172&lt;=0,"",IFERROR(K213/K172,"")))</f>
        <v/>
      </c>
      <c r="L214" s="15">
        <f>IF(OR(L213="",L172=""),"",IF(L172&lt;=0,"",IFERROR(L213/L172,"")))</f>
        <v/>
      </c>
      <c r="V214" s="15">
        <f>IF(OR(V213="",V172=""),"",IF(V172&lt;=0,"",IFERROR(V213/V172,"")))</f>
        <v/>
      </c>
      <c r="W214" s="15">
        <f>IF(OR(W213="",W172=""),"",IF(W172&lt;=0,"",IFERROR(W213/W172,"")))</f>
        <v/>
      </c>
      <c r="X214" s="15">
        <f>IF(OR(X213="",X172=""),"",IF(X172&lt;=0,"",IFERROR(X213/X172,"")))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IF(OR(G213="",C213=""),"",IF(C213&lt;=0,"",IFERROR(G213/C213-1,"")))</f>
        <v/>
      </c>
      <c r="H215" s="15">
        <f>IF(OR(H213="",D213=""),"",IF(D213&lt;=0,"",IFERROR(H213/D213-1,"")))</f>
        <v/>
      </c>
      <c r="I215" s="15">
        <f>IF(OR(I213="",E213=""),"",IF(E213&lt;=0,"",IFERROR(I213/E213-1,"")))</f>
        <v/>
      </c>
      <c r="J215" s="15">
        <f>IF(OR(J213="",F213=""),"",IF(F213&lt;=0,"",IFERROR(J213/F213-1,"")))</f>
        <v/>
      </c>
      <c r="K215" s="15">
        <f>IF(OR(K213="",G213=""),"",IF(G213&lt;=0,"",IFERROR(K213/G213-1,"")))</f>
        <v/>
      </c>
      <c r="L215" s="15">
        <f>IF(OR(L213="",H213=""),"",IF(H213&lt;=0,"",IFERROR(L213/H213-1,"")))</f>
        <v/>
      </c>
      <c r="V215" s="15">
        <f>IF(OR(V213="",U213=""),"",IF(U213&lt;=0,"",IFERROR(V213/U213-1,"")))</f>
        <v/>
      </c>
      <c r="W215" s="15">
        <f>IF(OR(W213="",V213=""),"",IF(V213&lt;=0,"",IFERROR(W213/V213-1,"")))</f>
        <v/>
      </c>
      <c r="X215" s="15">
        <f>IF(OR(X213="",W213=""),"",IF(W213&lt;=0,"",IFERROR(X213/W213-1,"")))</f>
        <v/>
      </c>
    </row>
    <row r="217">
      <c r="A217" s="16" t="inlineStr">
        <is>
          <t>현금흐름표 · 전 항목</t>
        </is>
      </c>
      <c r="B217" s="42" t="inlineStr">
        <is>
          <t>분기 = 결산기 첫날부터 누계(공시 그대로)</t>
        </is>
      </c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</row>
    <row r="218">
      <c r="A218" s="5" t="inlineStr">
        <is>
          <t>항목</t>
        </is>
      </c>
      <c r="B218" s="5" t="inlineStr">
        <is>
          <t>참고</t>
        </is>
      </c>
      <c r="C218" s="5" t="inlineStr">
        <is>
          <t>2024.3Q</t>
        </is>
      </c>
      <c r="D218" s="5" t="inlineStr">
        <is>
          <t>2024.4Q</t>
        </is>
      </c>
      <c r="E218" s="5" t="inlineStr">
        <is>
          <t>2025.1Q</t>
        </is>
      </c>
      <c r="F218" s="5" t="inlineStr">
        <is>
          <t>2025.2Q</t>
        </is>
      </c>
      <c r="G218" s="5" t="inlineStr">
        <is>
          <t>2025.3Q</t>
        </is>
      </c>
      <c r="H218" s="5" t="inlineStr">
        <is>
          <t>2025.4Q</t>
        </is>
      </c>
      <c r="I218" s="5" t="inlineStr">
        <is>
          <t>2026.1Q</t>
        </is>
      </c>
      <c r="J218" s="5" t="inlineStr">
        <is>
          <t>2026.2Q</t>
        </is>
      </c>
      <c r="K218" s="5" t="inlineStr">
        <is>
          <t>2026.3Q</t>
        </is>
      </c>
      <c r="L218" s="5" t="inlineStr">
        <is>
          <t>2026.4Q</t>
        </is>
      </c>
      <c r="M218" s="5" t="inlineStr">
        <is>
          <t>2027.1Q</t>
        </is>
      </c>
      <c r="N218" s="5" t="inlineStr">
        <is>
          <t>2027.2Q</t>
        </is>
      </c>
      <c r="O218" s="5" t="inlineStr">
        <is>
          <t>2017</t>
        </is>
      </c>
      <c r="P218" s="5" t="inlineStr">
        <is>
          <t>2018</t>
        </is>
      </c>
      <c r="Q218" s="5" t="inlineStr">
        <is>
          <t>2019</t>
        </is>
      </c>
      <c r="R218" s="5" t="inlineStr">
        <is>
          <t>2020</t>
        </is>
      </c>
      <c r="S218" s="5" t="inlineStr">
        <is>
          <t>2021</t>
        </is>
      </c>
      <c r="T218" s="5" t="inlineStr">
        <is>
          <t>2022</t>
        </is>
      </c>
      <c r="U218" s="5" t="inlineStr">
        <is>
          <t>2023</t>
        </is>
      </c>
      <c r="V218" s="5" t="inlineStr">
        <is>
          <t>2024</t>
        </is>
      </c>
      <c r="W218" s="5" t="inlineStr">
        <is>
          <t>2025</t>
        </is>
      </c>
      <c r="X218" s="5" t="inlineStr">
        <is>
          <t>2026</t>
        </is>
      </c>
      <c r="Y218" s="5" t="inlineStr">
        <is>
          <t>2027(MW)</t>
        </is>
      </c>
      <c r="Z218" s="5" t="inlineStr">
        <is>
          <t>2028(MW)</t>
        </is>
      </c>
      <c r="AA218" s="5" t="inlineStr">
        <is>
          <t>2029(MW)</t>
        </is>
      </c>
      <c r="AB218" s="5" t="inlineStr">
        <is>
          <t>2030(MW)</t>
        </is>
      </c>
      <c r="AC218" s="5" t="inlineStr">
        <is>
          <t>2031(MW)</t>
        </is>
      </c>
    </row>
    <row r="219">
      <c r="A219" s="9" t="inlineStr">
        <is>
          <t>법인세차감전 순이익</t>
        </is>
      </c>
      <c r="D219" s="12" t="n">
        <v>1310.965</v>
      </c>
      <c r="F219" s="12" t="n">
        <v>729.87</v>
      </c>
      <c r="H219" s="12" t="n">
        <v>1454.177</v>
      </c>
      <c r="J219" s="12" t="n">
        <v>856.472</v>
      </c>
      <c r="L219" s="12" t="n">
        <v>1955.815</v>
      </c>
      <c r="N219" s="12" t="n">
        <v>1038.049</v>
      </c>
      <c r="U219" s="12" t="n">
        <v>1270.408</v>
      </c>
      <c r="V219" s="12" t="n">
        <v>1310.965</v>
      </c>
      <c r="W219" s="12" t="n">
        <v>1454.177</v>
      </c>
      <c r="X219" s="12" t="n">
        <v>1955.815</v>
      </c>
    </row>
    <row r="220">
      <c r="A220" s="18" t="inlineStr">
        <is>
          <t>감가상각비</t>
        </is>
      </c>
      <c r="D220" s="20" t="n">
        <v>230.291</v>
      </c>
      <c r="F220" s="20" t="n">
        <v>114.122</v>
      </c>
      <c r="H220" s="20" t="n">
        <v>255.911</v>
      </c>
      <c r="J220" s="20" t="n">
        <v>186.053</v>
      </c>
      <c r="L220" s="20" t="n">
        <v>385.806</v>
      </c>
      <c r="N220" s="20" t="n">
        <v>184.342</v>
      </c>
      <c r="U220" s="20" t="n">
        <v>232.096</v>
      </c>
      <c r="V220" s="20" t="n">
        <v>230.291</v>
      </c>
      <c r="W220" s="20" t="n">
        <v>255.911</v>
      </c>
      <c r="X220" s="20" t="n">
        <v>385.806</v>
      </c>
    </row>
    <row r="221">
      <c r="A221" s="18" t="inlineStr">
        <is>
          <t>영업권 상각</t>
        </is>
      </c>
      <c r="D221" s="20" t="n">
        <v>1.636</v>
      </c>
      <c r="F221" s="20" t="n">
        <v>3.195</v>
      </c>
      <c r="H221" s="20" t="n">
        <v>16.37</v>
      </c>
      <c r="J221" s="20" t="n">
        <v>24.451</v>
      </c>
      <c r="L221" s="20" t="n">
        <v>54.299</v>
      </c>
      <c r="N221" s="20" t="n">
        <v>32.547</v>
      </c>
      <c r="U221" s="20" t="n">
        <v>1.636</v>
      </c>
      <c r="V221" s="20" t="n">
        <v>1.636</v>
      </c>
      <c r="W221" s="20" t="n">
        <v>16.37</v>
      </c>
      <c r="X221" s="20" t="n">
        <v>54.299</v>
      </c>
    </row>
    <row r="222">
      <c r="A222" s="18" t="inlineStr">
        <is>
          <t>지분법손익</t>
        </is>
      </c>
      <c r="F222" s="20" t="n">
        <v>0</v>
      </c>
      <c r="H222" s="20" t="n">
        <v>0</v>
      </c>
      <c r="J222" s="20" t="n">
        <v>14.599</v>
      </c>
      <c r="L222" s="20" t="n">
        <v>33.795</v>
      </c>
      <c r="N222" s="20" t="n">
        <v>16.036</v>
      </c>
      <c r="W222" s="20" t="n">
        <v>0</v>
      </c>
      <c r="X222" s="20" t="n">
        <v>33.795</v>
      </c>
    </row>
    <row r="223">
      <c r="A223" s="18" t="inlineStr">
        <is>
          <t>부의 영업권 발생이익</t>
        </is>
      </c>
      <c r="D223" s="20" t="n">
        <v>0</v>
      </c>
      <c r="F223" s="20" t="n">
        <v>-3.641</v>
      </c>
      <c r="H223" s="20" t="n">
        <v>-34.654</v>
      </c>
      <c r="J223" s="20" t="n">
        <v>0</v>
      </c>
      <c r="L223" s="20" t="n">
        <v>0</v>
      </c>
      <c r="V223" s="20" t="n">
        <v>0</v>
      </c>
      <c r="W223" s="20" t="n">
        <v>-34.654</v>
      </c>
      <c r="X223" s="20" t="n">
        <v>0</v>
      </c>
    </row>
    <row r="224">
      <c r="A224" s="18" t="inlineStr">
        <is>
          <t>손상차손</t>
        </is>
      </c>
      <c r="D224" s="20" t="n">
        <v>0</v>
      </c>
      <c r="F224" s="20" t="n">
        <v>1.444</v>
      </c>
      <c r="H224" s="20" t="n">
        <v>29.655</v>
      </c>
      <c r="J224" s="20" t="n">
        <v>0</v>
      </c>
      <c r="L224" s="20" t="n">
        <v>0</v>
      </c>
      <c r="V224" s="20" t="n">
        <v>0</v>
      </c>
      <c r="W224" s="20" t="n">
        <v>29.655</v>
      </c>
      <c r="X224" s="20" t="n">
        <v>0</v>
      </c>
    </row>
    <row r="225">
      <c r="A225" s="18" t="inlineStr">
        <is>
          <t>고정자산 매각손익</t>
        </is>
      </c>
      <c r="D225" s="20" t="n">
        <v>-18.084</v>
      </c>
      <c r="F225" s="20" t="n">
        <v>0</v>
      </c>
      <c r="H225" s="20" t="n">
        <v>1.712</v>
      </c>
      <c r="J225" s="20" t="n">
        <v>-1.081</v>
      </c>
      <c r="L225" s="20" t="n">
        <v>-5.016</v>
      </c>
      <c r="N225" s="20" t="n">
        <v>-0.226</v>
      </c>
      <c r="U225" s="20" t="n">
        <v>-0.926</v>
      </c>
      <c r="V225" s="20" t="n">
        <v>-18.084</v>
      </c>
      <c r="W225" s="20" t="n">
        <v>1.712</v>
      </c>
      <c r="X225" s="20" t="n">
        <v>-5.016</v>
      </c>
    </row>
    <row r="226">
      <c r="A226" s="18" t="inlineStr">
        <is>
          <t>고정자산 제각손실</t>
        </is>
      </c>
      <c r="D226" s="20" t="n">
        <v>1.883</v>
      </c>
      <c r="F226" s="20" t="n">
        <v>0</v>
      </c>
      <c r="H226" s="20" t="n">
        <v>37.62</v>
      </c>
      <c r="J226" s="20" t="n">
        <v>10.081</v>
      </c>
      <c r="L226" s="20" t="n">
        <v>10.081</v>
      </c>
      <c r="N226" s="20" t="n">
        <v>0</v>
      </c>
      <c r="U226" s="20" t="n">
        <v>2.413</v>
      </c>
      <c r="V226" s="20" t="n">
        <v>1.883</v>
      </c>
      <c r="W226" s="20" t="n">
        <v>37.62</v>
      </c>
      <c r="X226" s="20" t="n">
        <v>10.081</v>
      </c>
    </row>
    <row r="227">
      <c r="A227" s="18" t="inlineStr">
        <is>
          <t>보험 해약환급금</t>
        </is>
      </c>
      <c r="D227" s="20" t="n">
        <v>-20.896</v>
      </c>
      <c r="F227" s="20" t="n">
        <v>-61.871</v>
      </c>
      <c r="H227" s="20" t="n">
        <v>-84.089</v>
      </c>
      <c r="J227" s="20" t="n">
        <v>0</v>
      </c>
      <c r="L227" s="20" t="n">
        <v>-16.731</v>
      </c>
      <c r="N227" s="20" t="n">
        <v>-9.452</v>
      </c>
      <c r="U227" s="20" t="n">
        <v>-4.436</v>
      </c>
      <c r="V227" s="20" t="n">
        <v>-20.896</v>
      </c>
      <c r="W227" s="20" t="n">
        <v>-84.089</v>
      </c>
      <c r="X227" s="20" t="n">
        <v>-16.731</v>
      </c>
    </row>
    <row r="228">
      <c r="A228" s="18" t="inlineStr">
        <is>
          <t>보험해약 손익</t>
        </is>
      </c>
      <c r="D228" s="20" t="n">
        <v>0</v>
      </c>
      <c r="F228" s="20" t="n">
        <v>0.078</v>
      </c>
      <c r="H228" s="20" t="n">
        <v>0.509</v>
      </c>
      <c r="J228" s="20" t="n">
        <v>3.375</v>
      </c>
      <c r="L228" s="20" t="n">
        <v>3.375</v>
      </c>
      <c r="N228" s="20" t="n">
        <v>0.049</v>
      </c>
      <c r="U228" s="20" t="n">
        <v>0.742</v>
      </c>
      <c r="V228" s="20" t="n">
        <v>0</v>
      </c>
      <c r="W228" s="20" t="n">
        <v>0.509</v>
      </c>
      <c r="X228" s="20" t="n">
        <v>3.375</v>
      </c>
    </row>
    <row r="229">
      <c r="A229" s="18" t="inlineStr">
        <is>
          <t>골프회원권 매각손익</t>
        </is>
      </c>
      <c r="D229" s="20" t="n">
        <v>0</v>
      </c>
      <c r="U229" s="20" t="n">
        <v>2</v>
      </c>
      <c r="V229" s="20" t="n">
        <v>0</v>
      </c>
    </row>
    <row r="230">
      <c r="A230" s="18" t="inlineStr">
        <is>
          <t>매출채권·계약자산 증감</t>
        </is>
      </c>
      <c r="F230" s="20" t="n">
        <v>278.537</v>
      </c>
    </row>
    <row r="231">
      <c r="A231" s="18" t="inlineStr">
        <is>
          <t>매출채권·계약자산 증감</t>
        </is>
      </c>
      <c r="F231" s="20" t="n">
        <v>278.537</v>
      </c>
      <c r="J231" s="20" t="n">
        <v>232.64</v>
      </c>
    </row>
    <row r="232">
      <c r="A232" s="18" t="inlineStr">
        <is>
          <t>투자유가증권 매각손익</t>
        </is>
      </c>
      <c r="H232" s="20" t="n">
        <v>0</v>
      </c>
      <c r="J232" s="20" t="n">
        <v>0.02</v>
      </c>
      <c r="L232" s="20" t="n">
        <v>-7.133</v>
      </c>
      <c r="N232" s="20" t="n">
        <v>-8.148</v>
      </c>
      <c r="W232" s="20" t="n">
        <v>0</v>
      </c>
      <c r="X232" s="20" t="n">
        <v>-7.133</v>
      </c>
    </row>
    <row r="233">
      <c r="A233" s="18" t="inlineStr">
        <is>
          <t>상여충당금 증감</t>
        </is>
      </c>
      <c r="D233" s="20" t="n">
        <v>3.745</v>
      </c>
      <c r="F233" s="20" t="n">
        <v>13.153</v>
      </c>
      <c r="H233" s="20" t="n">
        <v>3.687</v>
      </c>
      <c r="J233" s="20" t="n">
        <v>23.507</v>
      </c>
      <c r="L233" s="20" t="n">
        <v>22.285</v>
      </c>
      <c r="N233" s="20" t="n">
        <v>16.956</v>
      </c>
      <c r="U233" s="20" t="n">
        <v>13.573</v>
      </c>
      <c r="V233" s="20" t="n">
        <v>3.745</v>
      </c>
      <c r="W233" s="20" t="n">
        <v>3.687</v>
      </c>
      <c r="X233" s="20" t="n">
        <v>22.285</v>
      </c>
    </row>
    <row r="234">
      <c r="A234" s="18" t="inlineStr">
        <is>
          <t>대손충당금 증감</t>
        </is>
      </c>
      <c r="D234" s="20" t="n">
        <v>-1764.55</v>
      </c>
      <c r="F234" s="20" t="n">
        <v>-0.115</v>
      </c>
      <c r="H234" s="20" t="n">
        <v>-0.211</v>
      </c>
      <c r="J234" s="20" t="n">
        <v>-2.093</v>
      </c>
      <c r="L234" s="20" t="n">
        <v>-1.978</v>
      </c>
      <c r="N234" s="20" t="n">
        <v>-1.157</v>
      </c>
      <c r="U234" s="20" t="n">
        <v>275.705</v>
      </c>
      <c r="V234" s="20" t="n">
        <v>-1764.55</v>
      </c>
      <c r="W234" s="20" t="n">
        <v>-0.211</v>
      </c>
      <c r="X234" s="20" t="n">
        <v>-1.978</v>
      </c>
    </row>
    <row r="235">
      <c r="A235" s="18" t="inlineStr">
        <is>
          <t>퇴직급여자산 증감</t>
        </is>
      </c>
      <c r="D235" s="20" t="n">
        <v>-7.748</v>
      </c>
      <c r="F235" s="20" t="n">
        <v>-6.697</v>
      </c>
      <c r="H235" s="20" t="n">
        <v>-13.28</v>
      </c>
      <c r="J235" s="20" t="n">
        <v>12.698</v>
      </c>
      <c r="L235" s="20" t="n">
        <v>6.969</v>
      </c>
      <c r="N235" s="20" t="n">
        <v>-7.688</v>
      </c>
      <c r="U235" s="20" t="n">
        <v>-6.718</v>
      </c>
      <c r="V235" s="20" t="n">
        <v>-7.748</v>
      </c>
      <c r="W235" s="20" t="n">
        <v>-13.28</v>
      </c>
      <c r="X235" s="20" t="n">
        <v>6.969</v>
      </c>
    </row>
    <row r="236">
      <c r="A236" s="18" t="inlineStr">
        <is>
          <t>퇴직급여부채 증감</t>
        </is>
      </c>
      <c r="D236" s="20" t="n">
        <v>-0.374</v>
      </c>
      <c r="F236" s="20" t="n">
        <v>-2.01</v>
      </c>
      <c r="H236" s="20" t="n">
        <v>-3.082</v>
      </c>
      <c r="J236" s="20" t="n">
        <v>-21.297</v>
      </c>
      <c r="L236" s="20" t="n">
        <v>-23.331</v>
      </c>
      <c r="N236" s="20" t="n">
        <v>10.131</v>
      </c>
      <c r="U236" s="20" t="n">
        <v>3.959</v>
      </c>
      <c r="V236" s="20" t="n">
        <v>-0.374</v>
      </c>
      <c r="W236" s="20" t="n">
        <v>-3.082</v>
      </c>
      <c r="X236" s="20" t="n">
        <v>-23.331</v>
      </c>
    </row>
    <row r="237">
      <c r="A237" s="18" t="inlineStr">
        <is>
          <t>이자·배당금 수익</t>
        </is>
      </c>
      <c r="D237" s="20" t="n">
        <v>-3.704</v>
      </c>
      <c r="F237" s="20" t="n">
        <v>-4.749</v>
      </c>
      <c r="H237" s="20" t="n">
        <v>-4.622</v>
      </c>
      <c r="J237" s="20" t="n">
        <v>-4.339</v>
      </c>
      <c r="L237" s="20" t="n">
        <v>-10.919</v>
      </c>
      <c r="N237" s="20" t="n">
        <v>-5.998</v>
      </c>
      <c r="U237" s="20" t="n">
        <v>-3.515</v>
      </c>
      <c r="V237" s="20" t="n">
        <v>-3.704</v>
      </c>
      <c r="W237" s="20" t="n">
        <v>-4.622</v>
      </c>
      <c r="X237" s="20" t="n">
        <v>-10.919</v>
      </c>
    </row>
    <row r="238">
      <c r="A238" s="18" t="inlineStr">
        <is>
          <t>보조금 수입</t>
        </is>
      </c>
      <c r="D238" s="20" t="n">
        <v>0</v>
      </c>
      <c r="U238" s="20" t="n">
        <v>-1.364</v>
      </c>
      <c r="V238" s="20" t="n">
        <v>0</v>
      </c>
    </row>
    <row r="239">
      <c r="A239" s="18" t="inlineStr">
        <is>
          <t>국고보조금</t>
        </is>
      </c>
      <c r="H239" s="20" t="n">
        <v>0</v>
      </c>
      <c r="J239" s="20" t="n">
        <v>0</v>
      </c>
      <c r="L239" s="20" t="n">
        <v>-36</v>
      </c>
      <c r="N239" s="20" t="n">
        <v>-35.724</v>
      </c>
      <c r="W239" s="20" t="n">
        <v>0</v>
      </c>
      <c r="X239" s="20" t="n">
        <v>-36</v>
      </c>
    </row>
    <row r="240">
      <c r="A240" s="18" t="inlineStr">
        <is>
          <t>외환차손익</t>
        </is>
      </c>
      <c r="D240" s="20" t="n">
        <v>-0.402</v>
      </c>
      <c r="F240" s="20" t="n">
        <v>-0.403</v>
      </c>
      <c r="H240" s="20" t="n">
        <v>0.028</v>
      </c>
      <c r="J240" s="20" t="n">
        <v>1.417</v>
      </c>
      <c r="L240" s="20" t="n">
        <v>-0.59</v>
      </c>
      <c r="N240" s="20" t="n">
        <v>0.148</v>
      </c>
      <c r="U240" s="20" t="n">
        <v>-0.583</v>
      </c>
      <c r="V240" s="20" t="n">
        <v>-0.402</v>
      </c>
      <c r="W240" s="20" t="n">
        <v>0.028</v>
      </c>
      <c r="X240" s="20" t="n">
        <v>-0.59</v>
      </c>
    </row>
    <row r="241">
      <c r="A241" s="18" t="inlineStr">
        <is>
          <t>이자비용</t>
        </is>
      </c>
      <c r="D241" s="20" t="n">
        <v>21.995</v>
      </c>
      <c r="F241" s="20" t="n">
        <v>8.725</v>
      </c>
      <c r="H241" s="20" t="n">
        <v>24.944</v>
      </c>
      <c r="J241" s="20" t="n">
        <v>21.956</v>
      </c>
      <c r="L241" s="20" t="n">
        <v>43.818</v>
      </c>
      <c r="N241" s="20" t="n">
        <v>32.828</v>
      </c>
      <c r="U241" s="20" t="n">
        <v>24.52</v>
      </c>
      <c r="V241" s="20" t="n">
        <v>21.995</v>
      </c>
      <c r="W241" s="20" t="n">
        <v>24.944</v>
      </c>
      <c r="X241" s="20" t="n">
        <v>43.818</v>
      </c>
    </row>
    <row r="242">
      <c r="A242" s="18" t="inlineStr">
        <is>
          <t>매출채권 증감</t>
        </is>
      </c>
      <c r="D242" s="20" t="n">
        <v>-308.954</v>
      </c>
      <c r="H242" s="20" t="n">
        <v>603</v>
      </c>
      <c r="J242" s="20" t="n">
        <v>232.64</v>
      </c>
      <c r="L242" s="20" t="n">
        <v>-227.853</v>
      </c>
      <c r="N242" s="20" t="n">
        <v>450.914</v>
      </c>
      <c r="U242" s="20" t="n">
        <v>-592.854</v>
      </c>
      <c r="V242" s="20" t="n">
        <v>-308.954</v>
      </c>
      <c r="W242" s="20" t="n">
        <v>603</v>
      </c>
      <c r="X242" s="20" t="n">
        <v>-227.853</v>
      </c>
    </row>
    <row r="243">
      <c r="A243" s="18" t="inlineStr">
        <is>
          <t>재고자산 증감</t>
        </is>
      </c>
      <c r="D243" s="20" t="n">
        <v>-8.135999999999999</v>
      </c>
      <c r="F243" s="20" t="n">
        <v>-303.916</v>
      </c>
      <c r="H243" s="20" t="n">
        <v>-234.136</v>
      </c>
      <c r="J243" s="20" t="n">
        <v>-268.449</v>
      </c>
      <c r="L243" s="20" t="n">
        <v>-88.521</v>
      </c>
      <c r="N243" s="20" t="n">
        <v>-271.205</v>
      </c>
      <c r="U243" s="20" t="n">
        <v>-146.823</v>
      </c>
      <c r="V243" s="20" t="n">
        <v>-8.135999999999999</v>
      </c>
      <c r="W243" s="20" t="n">
        <v>-234.136</v>
      </c>
      <c r="X243" s="20" t="n">
        <v>-88.521</v>
      </c>
    </row>
    <row r="244">
      <c r="A244" s="18" t="inlineStr">
        <is>
          <t>미수 환급법인세 증감</t>
        </is>
      </c>
      <c r="D244" s="20" t="n">
        <v>-178.539</v>
      </c>
      <c r="H244" s="20" t="n">
        <v>0</v>
      </c>
      <c r="U244" s="20" t="n">
        <v>0</v>
      </c>
      <c r="V244" s="20" t="n">
        <v>-178.539</v>
      </c>
      <c r="W244" s="20" t="n">
        <v>0</v>
      </c>
    </row>
    <row r="245">
      <c r="A245" s="18" t="inlineStr">
        <is>
          <t>매입채무 증감</t>
        </is>
      </c>
      <c r="D245" s="20" t="n">
        <v>20.415</v>
      </c>
      <c r="F245" s="20" t="n">
        <v>93.324</v>
      </c>
      <c r="H245" s="20" t="n">
        <v>-299.823</v>
      </c>
      <c r="J245" s="20" t="n">
        <v>0.264</v>
      </c>
      <c r="L245" s="20" t="n">
        <v>-411.625</v>
      </c>
      <c r="N245" s="20" t="n">
        <v>-799.515</v>
      </c>
      <c r="U245" s="20" t="n">
        <v>276.107</v>
      </c>
      <c r="V245" s="20" t="n">
        <v>20.415</v>
      </c>
      <c r="W245" s="20" t="n">
        <v>-299.823</v>
      </c>
      <c r="X245" s="20" t="n">
        <v>-411.625</v>
      </c>
    </row>
    <row r="246">
      <c r="A246" s="18" t="inlineStr">
        <is>
          <t>미지급비용 증감</t>
        </is>
      </c>
      <c r="D246" s="20" t="n">
        <v>5.798</v>
      </c>
      <c r="F246" s="20" t="n">
        <v>27.635</v>
      </c>
      <c r="H246" s="20" t="n">
        <v>12.849</v>
      </c>
      <c r="J246" s="20" t="n">
        <v>33.149</v>
      </c>
      <c r="L246" s="20" t="n">
        <v>15.864</v>
      </c>
      <c r="N246" s="20" t="n">
        <v>-8.491</v>
      </c>
      <c r="U246" s="20" t="n">
        <v>2.152</v>
      </c>
      <c r="V246" s="20" t="n">
        <v>5.798</v>
      </c>
      <c r="W246" s="20" t="n">
        <v>12.849</v>
      </c>
      <c r="X246" s="20" t="n">
        <v>15.864</v>
      </c>
    </row>
    <row r="247">
      <c r="A247" s="18" t="inlineStr">
        <is>
          <t>미수 소비세 증감</t>
        </is>
      </c>
      <c r="D247" s="20" t="n">
        <v>0</v>
      </c>
      <c r="F247" s="20" t="n">
        <v>0</v>
      </c>
      <c r="H247" s="20" t="n">
        <v>-42.521</v>
      </c>
      <c r="J247" s="20" t="n">
        <v>41.618</v>
      </c>
      <c r="L247" s="20" t="n">
        <v>3.283</v>
      </c>
      <c r="N247" s="20" t="n">
        <v>37.393</v>
      </c>
      <c r="V247" s="20" t="n">
        <v>0</v>
      </c>
      <c r="W247" s="20" t="n">
        <v>-42.521</v>
      </c>
      <c r="X247" s="20" t="n">
        <v>3.283</v>
      </c>
    </row>
    <row r="248">
      <c r="A248" s="18" t="inlineStr">
        <is>
          <t>미지급 소비세 증감</t>
        </is>
      </c>
      <c r="D248" s="20" t="n">
        <v>2.389</v>
      </c>
      <c r="F248" s="20" t="n">
        <v>-44.653</v>
      </c>
      <c r="H248" s="20" t="n">
        <v>12.584</v>
      </c>
      <c r="J248" s="20" t="n">
        <v>-37.192</v>
      </c>
      <c r="L248" s="20" t="n">
        <v>37.5</v>
      </c>
      <c r="N248" s="20" t="n">
        <v>-11.015</v>
      </c>
      <c r="U248" s="20" t="n">
        <v>26.143</v>
      </c>
      <c r="V248" s="20" t="n">
        <v>2.389</v>
      </c>
      <c r="W248" s="20" t="n">
        <v>12.584</v>
      </c>
      <c r="X248" s="20" t="n">
        <v>37.5</v>
      </c>
    </row>
    <row r="249">
      <c r="A249" s="18" t="inlineStr">
        <is>
          <t>파산갱생채권 증감</t>
        </is>
      </c>
      <c r="D249" s="20" t="n">
        <v>1837.996</v>
      </c>
      <c r="F249" s="20" t="n">
        <v>0</v>
      </c>
      <c r="H249" s="20" t="n">
        <v>0</v>
      </c>
      <c r="J249" s="20" t="n">
        <v>0</v>
      </c>
      <c r="N249" s="20" t="n">
        <v>-0.609</v>
      </c>
      <c r="U249" s="20" t="n">
        <v>-279.893</v>
      </c>
      <c r="V249" s="20" t="n">
        <v>1837.996</v>
      </c>
      <c r="W249" s="20" t="n">
        <v>0</v>
      </c>
    </row>
    <row r="250">
      <c r="A250" s="18" t="inlineStr">
        <is>
          <t>기타</t>
        </is>
      </c>
      <c r="D250" s="20" t="n">
        <v>-32.964</v>
      </c>
      <c r="F250" s="20" t="n">
        <v>104.597</v>
      </c>
      <c r="H250" s="20" t="n">
        <v>-37.788</v>
      </c>
      <c r="J250" s="20" t="n">
        <v>-25.627</v>
      </c>
      <c r="L250" s="20" t="n">
        <v>109.706</v>
      </c>
      <c r="N250" s="20" t="n">
        <v>-26.855</v>
      </c>
      <c r="U250" s="20" t="n">
        <v>53.759</v>
      </c>
      <c r="V250" s="20" t="n">
        <v>-32.964</v>
      </c>
      <c r="W250" s="20" t="n">
        <v>-37.788</v>
      </c>
      <c r="X250" s="20" t="n">
        <v>109.706</v>
      </c>
    </row>
    <row r="251">
      <c r="A251" s="18" t="inlineStr">
        <is>
          <t>소계</t>
        </is>
      </c>
      <c r="D251" s="20" t="n">
        <v>1092.761</v>
      </c>
      <c r="F251" s="20" t="n">
        <v>946.625</v>
      </c>
      <c r="H251" s="20" t="n">
        <v>1698.837</v>
      </c>
      <c r="J251" s="20" t="n">
        <v>1102.226</v>
      </c>
      <c r="L251" s="20" t="n">
        <v>1852.902</v>
      </c>
      <c r="N251" s="20" t="n">
        <v>633.308</v>
      </c>
      <c r="U251" s="20" t="n">
        <v>1148.104</v>
      </c>
      <c r="V251" s="20" t="n">
        <v>1092.761</v>
      </c>
      <c r="W251" s="20" t="n">
        <v>1698.837</v>
      </c>
      <c r="X251" s="20" t="n">
        <v>1852.902</v>
      </c>
    </row>
    <row r="252">
      <c r="A252" s="18" t="inlineStr">
        <is>
          <t>이자·배당금 수취</t>
        </is>
      </c>
      <c r="D252" s="20" t="n">
        <v>0.59</v>
      </c>
      <c r="F252" s="20" t="n">
        <v>2.65</v>
      </c>
      <c r="H252" s="20" t="n">
        <v>0.902</v>
      </c>
      <c r="J252" s="20" t="n">
        <v>2.291</v>
      </c>
      <c r="L252" s="20" t="n">
        <v>6.924</v>
      </c>
      <c r="N252" s="20" t="n">
        <v>3.209</v>
      </c>
      <c r="U252" s="20" t="n">
        <v>0.577</v>
      </c>
      <c r="V252" s="20" t="n">
        <v>0.59</v>
      </c>
      <c r="W252" s="20" t="n">
        <v>0.902</v>
      </c>
      <c r="X252" s="20" t="n">
        <v>6.924</v>
      </c>
    </row>
    <row r="253">
      <c r="A253" s="18" t="inlineStr">
        <is>
          <t>이자 지급</t>
        </is>
      </c>
      <c r="D253" s="20" t="n">
        <v>-22.937</v>
      </c>
      <c r="F253" s="20" t="n">
        <v>-8.007999999999999</v>
      </c>
      <c r="H253" s="20" t="n">
        <v>-24.228</v>
      </c>
      <c r="J253" s="20" t="n">
        <v>-21.178</v>
      </c>
      <c r="L253" s="20" t="n">
        <v>-42.786</v>
      </c>
      <c r="N253" s="20" t="n">
        <v>-35.32</v>
      </c>
      <c r="U253" s="20" t="n">
        <v>-24.695</v>
      </c>
      <c r="V253" s="20" t="n">
        <v>-22.937</v>
      </c>
      <c r="W253" s="20" t="n">
        <v>-24.228</v>
      </c>
      <c r="X253" s="20" t="n">
        <v>-42.786</v>
      </c>
    </row>
    <row r="254">
      <c r="A254" s="18" t="inlineStr">
        <is>
          <t>보조금 수취</t>
        </is>
      </c>
      <c r="D254" s="20" t="n">
        <v>0</v>
      </c>
      <c r="H254" s="20" t="n">
        <v>0</v>
      </c>
      <c r="J254" s="20" t="n">
        <v>0</v>
      </c>
      <c r="L254" s="20" t="n">
        <v>36</v>
      </c>
      <c r="N254" s="20" t="n">
        <v>35.724</v>
      </c>
      <c r="U254" s="20" t="n">
        <v>1.364</v>
      </c>
      <c r="V254" s="20" t="n">
        <v>0</v>
      </c>
      <c r="W254" s="20" t="n">
        <v>0</v>
      </c>
      <c r="X254" s="20" t="n">
        <v>36</v>
      </c>
    </row>
    <row r="255">
      <c r="A255" s="18" t="inlineStr">
        <is>
          <t>법인세 납부</t>
        </is>
      </c>
      <c r="D255" s="20" t="n">
        <v>-494.049</v>
      </c>
      <c r="F255" s="20" t="n">
        <v>-57.061</v>
      </c>
      <c r="H255" s="20" t="n">
        <v>-180.896</v>
      </c>
      <c r="J255" s="20" t="n">
        <v>-639.027</v>
      </c>
      <c r="L255" s="20" t="n">
        <v>-1028.369</v>
      </c>
      <c r="N255" s="20" t="n">
        <v>-177.832</v>
      </c>
      <c r="U255" s="20" t="n">
        <v>-94.72199999999999</v>
      </c>
      <c r="V255" s="20" t="n">
        <v>-494.049</v>
      </c>
      <c r="W255" s="20" t="n">
        <v>-180.896</v>
      </c>
      <c r="X255" s="20" t="n">
        <v>-1028.369</v>
      </c>
    </row>
    <row r="256">
      <c r="A256" s="18" t="inlineStr">
        <is>
          <t>법인세 환급</t>
        </is>
      </c>
      <c r="D256" s="20" t="n">
        <v>0</v>
      </c>
      <c r="F256" s="20" t="n">
        <v>181.03</v>
      </c>
      <c r="H256" s="20" t="n">
        <v>181.888</v>
      </c>
      <c r="J256" s="20" t="n">
        <v>0</v>
      </c>
      <c r="L256" s="20" t="n">
        <v>0</v>
      </c>
      <c r="N256" s="20" t="n">
        <v>68.47799999999999</v>
      </c>
      <c r="V256" s="20" t="n">
        <v>0</v>
      </c>
      <c r="W256" s="20" t="n">
        <v>181.888</v>
      </c>
      <c r="X256" s="20" t="n">
        <v>0</v>
      </c>
    </row>
    <row r="257">
      <c r="A257" s="9" t="inlineStr">
        <is>
          <t>영업활동 현금흐름</t>
        </is>
      </c>
      <c r="D257" s="12" t="n">
        <v>576.365</v>
      </c>
      <c r="F257" s="12" t="n">
        <v>1065.235</v>
      </c>
      <c r="H257" s="12" t="n">
        <v>1676.503</v>
      </c>
      <c r="J257" s="12" t="n">
        <v>444.311</v>
      </c>
      <c r="L257" s="12" t="n">
        <v>824.671</v>
      </c>
      <c r="N257" s="12" t="n">
        <v>527.567</v>
      </c>
      <c r="U257" s="12" t="n">
        <v>1030.628</v>
      </c>
      <c r="V257" s="12" t="n">
        <v>576.365</v>
      </c>
      <c r="W257" s="12" t="n">
        <v>1676.503</v>
      </c>
      <c r="X257" s="12" t="n">
        <v>824.671</v>
      </c>
    </row>
    <row r="258">
      <c r="A258" s="18" t="inlineStr">
        <is>
          <t>유형자산 제각 지출</t>
        </is>
      </c>
      <c r="F258" s="20" t="n">
        <v>0</v>
      </c>
      <c r="J258" s="20" t="n">
        <v>-0.176</v>
      </c>
      <c r="N258" s="20" t="n">
        <v>0</v>
      </c>
    </row>
    <row r="259">
      <c r="A259" s="18" t="inlineStr">
        <is>
          <t>유형자산 취득(설비투자)</t>
        </is>
      </c>
      <c r="D259" s="20" t="n">
        <v>-94.31</v>
      </c>
      <c r="F259" s="20" t="n">
        <v>-121.509</v>
      </c>
      <c r="H259" s="20" t="n">
        <v>-275.602</v>
      </c>
      <c r="J259" s="20" t="n">
        <v>-386.014</v>
      </c>
      <c r="L259" s="20" t="n">
        <v>-578.55</v>
      </c>
      <c r="N259" s="20" t="n">
        <v>-58.526</v>
      </c>
      <c r="U259" s="20" t="n">
        <v>-99.40600000000001</v>
      </c>
      <c r="V259" s="20" t="n">
        <v>-94.31</v>
      </c>
      <c r="W259" s="20" t="n">
        <v>-275.602</v>
      </c>
      <c r="X259" s="20" t="n">
        <v>-578.55</v>
      </c>
    </row>
    <row r="260">
      <c r="A260" s="18" t="inlineStr">
        <is>
          <t>유형자산 매각</t>
        </is>
      </c>
      <c r="D260" s="20" t="n">
        <v>306.26</v>
      </c>
      <c r="F260" s="20" t="n">
        <v>0</v>
      </c>
      <c r="H260" s="20" t="n">
        <v>70.34999999999999</v>
      </c>
      <c r="J260" s="20" t="n">
        <v>99.26300000000001</v>
      </c>
      <c r="L260" s="20" t="n">
        <v>103.198</v>
      </c>
      <c r="N260" s="20" t="n">
        <v>0.226</v>
      </c>
      <c r="U260" s="20" t="n">
        <v>0.926</v>
      </c>
      <c r="V260" s="20" t="n">
        <v>306.26</v>
      </c>
      <c r="W260" s="20" t="n">
        <v>70.34999999999999</v>
      </c>
      <c r="X260" s="20" t="n">
        <v>103.198</v>
      </c>
    </row>
    <row r="261">
      <c r="A261" s="18" t="inlineStr">
        <is>
          <t>무형자산 취득</t>
        </is>
      </c>
      <c r="D261" s="20" t="n">
        <v>-71.67400000000001</v>
      </c>
      <c r="F261" s="20" t="n">
        <v>-19.976</v>
      </c>
      <c r="H261" s="20" t="n">
        <v>-34.586</v>
      </c>
      <c r="J261" s="20" t="n">
        <v>-28.793</v>
      </c>
      <c r="L261" s="20" t="n">
        <v>-34.058</v>
      </c>
      <c r="N261" s="20" t="n">
        <v>-4.225</v>
      </c>
      <c r="U261" s="20" t="n">
        <v>-7.1</v>
      </c>
      <c r="V261" s="20" t="n">
        <v>-71.67400000000001</v>
      </c>
      <c r="W261" s="20" t="n">
        <v>-34.586</v>
      </c>
      <c r="X261" s="20" t="n">
        <v>-34.058</v>
      </c>
    </row>
    <row r="262">
      <c r="A262" s="18" t="inlineStr">
        <is>
          <t>투자유가증권 취득</t>
        </is>
      </c>
      <c r="D262" s="20" t="n">
        <v>-2.04</v>
      </c>
      <c r="F262" s="20" t="n">
        <v>-1.02</v>
      </c>
      <c r="H262" s="20" t="n">
        <v>-77.41</v>
      </c>
      <c r="J262" s="20" t="n">
        <v>-1.278</v>
      </c>
      <c r="L262" s="20" t="n">
        <v>-2.688</v>
      </c>
      <c r="N262" s="20" t="n">
        <v>-1.377</v>
      </c>
      <c r="U262" s="20" t="n">
        <v>-2.04</v>
      </c>
      <c r="V262" s="20" t="n">
        <v>-2.04</v>
      </c>
      <c r="W262" s="20" t="n">
        <v>-77.41</v>
      </c>
      <c r="X262" s="20" t="n">
        <v>-2.688</v>
      </c>
    </row>
    <row r="263">
      <c r="A263" s="18" t="inlineStr">
        <is>
          <t>투자유가증권 매각</t>
        </is>
      </c>
      <c r="H263" s="20" t="n">
        <v>0</v>
      </c>
      <c r="J263" s="20" t="n">
        <v>0</v>
      </c>
      <c r="L263" s="20" t="n">
        <v>57.958</v>
      </c>
      <c r="N263" s="20" t="n">
        <v>32.117</v>
      </c>
      <c r="W263" s="20" t="n">
        <v>0</v>
      </c>
      <c r="X263" s="20" t="n">
        <v>57.958</v>
      </c>
    </row>
    <row r="264">
      <c r="A264" s="18" t="inlineStr">
        <is>
          <t>연결범위 변경 자회사 주식 취득</t>
        </is>
      </c>
      <c r="D264" s="20" t="n">
        <v>0</v>
      </c>
      <c r="H264" s="20" t="n">
        <v>-1194.468</v>
      </c>
      <c r="L264" s="20" t="n">
        <v>-221.881</v>
      </c>
      <c r="V264" s="20" t="n">
        <v>0</v>
      </c>
      <c r="W264" s="20" t="n">
        <v>-1194.468</v>
      </c>
      <c r="X264" s="20" t="n">
        <v>-221.881</v>
      </c>
    </row>
    <row r="265">
      <c r="A265" s="18" t="inlineStr">
        <is>
          <t>연결범위 변경 자회사 주식 취득(수입)</t>
        </is>
      </c>
      <c r="D265" s="20" t="n">
        <v>51.559</v>
      </c>
      <c r="F265" s="20" t="n">
        <v>108.84</v>
      </c>
      <c r="H265" s="20" t="n">
        <v>108.84</v>
      </c>
      <c r="J265" s="20" t="n">
        <v>0</v>
      </c>
      <c r="L265" s="20" t="n">
        <v>0</v>
      </c>
      <c r="U265" s="20" t="n">
        <v>0</v>
      </c>
      <c r="V265" s="20" t="n">
        <v>51.559</v>
      </c>
      <c r="W265" s="20" t="n">
        <v>108.84</v>
      </c>
      <c r="X265" s="20" t="n">
        <v>0</v>
      </c>
    </row>
    <row r="266">
      <c r="A266" s="18" t="inlineStr">
        <is>
          <t>정기예금 증감</t>
        </is>
      </c>
      <c r="D266" s="20" t="n">
        <v>0</v>
      </c>
      <c r="F266" s="20" t="n">
        <v>50</v>
      </c>
      <c r="H266" s="20" t="n">
        <v>61.2</v>
      </c>
      <c r="J266" s="20" t="n">
        <v>0</v>
      </c>
      <c r="L266" s="20" t="n">
        <v>0</v>
      </c>
      <c r="V266" s="20" t="n">
        <v>0</v>
      </c>
      <c r="W266" s="20" t="n">
        <v>61.2</v>
      </c>
      <c r="X266" s="20" t="n">
        <v>0</v>
      </c>
    </row>
    <row r="267">
      <c r="A267" s="18" t="inlineStr">
        <is>
          <t>별단예금 예입</t>
        </is>
      </c>
      <c r="D267" s="20" t="n">
        <v>0</v>
      </c>
      <c r="F267" s="20" t="n">
        <v>-2</v>
      </c>
      <c r="H267" s="20" t="n">
        <v>-2</v>
      </c>
      <c r="J267" s="20" t="n">
        <v>0</v>
      </c>
      <c r="L267" s="20" t="n">
        <v>-0.189</v>
      </c>
      <c r="V267" s="20" t="n">
        <v>0</v>
      </c>
      <c r="W267" s="20" t="n">
        <v>-2</v>
      </c>
      <c r="X267" s="20" t="n">
        <v>-0.189</v>
      </c>
    </row>
    <row r="268">
      <c r="A268" s="18" t="inlineStr">
        <is>
          <t>관계회사 대여</t>
        </is>
      </c>
      <c r="J268" s="20" t="n">
        <v>0</v>
      </c>
      <c r="N268" s="20" t="n">
        <v>-24.157</v>
      </c>
    </row>
    <row r="269">
      <c r="A269" s="18" t="inlineStr">
        <is>
          <t>보험적립금 적립</t>
        </is>
      </c>
      <c r="D269" s="20" t="n">
        <v>-10.156</v>
      </c>
      <c r="F269" s="20" t="n">
        <v>-7.524</v>
      </c>
      <c r="H269" s="20" t="n">
        <v>-15.055</v>
      </c>
      <c r="J269" s="20" t="n">
        <v>-13.472</v>
      </c>
      <c r="L269" s="20" t="n">
        <v>-20.629</v>
      </c>
      <c r="N269" s="20" t="n">
        <v>-9.132</v>
      </c>
      <c r="U269" s="20" t="n">
        <v>-15.715</v>
      </c>
      <c r="V269" s="20" t="n">
        <v>-10.156</v>
      </c>
      <c r="W269" s="20" t="n">
        <v>-15.055</v>
      </c>
      <c r="X269" s="20" t="n">
        <v>-20.629</v>
      </c>
    </row>
    <row r="270">
      <c r="A270" s="18" t="inlineStr">
        <is>
          <t>보험적립금 해약</t>
        </is>
      </c>
      <c r="D270" s="20" t="n">
        <v>33.646</v>
      </c>
      <c r="F270" s="20" t="n">
        <v>128.216</v>
      </c>
      <c r="H270" s="20" t="n">
        <v>207.618</v>
      </c>
      <c r="J270" s="20" t="n">
        <v>540.894</v>
      </c>
      <c r="L270" s="20" t="n">
        <v>565.809</v>
      </c>
      <c r="N270" s="20" t="n">
        <v>51.591</v>
      </c>
      <c r="U270" s="20" t="n">
        <v>10.487</v>
      </c>
      <c r="V270" s="20" t="n">
        <v>33.646</v>
      </c>
      <c r="W270" s="20" t="n">
        <v>207.618</v>
      </c>
      <c r="X270" s="20" t="n">
        <v>565.809</v>
      </c>
    </row>
    <row r="271">
      <c r="A271" s="18" t="inlineStr">
        <is>
          <t>보험적립금 환급</t>
        </is>
      </c>
      <c r="D271" s="20" t="n">
        <v>12.802</v>
      </c>
      <c r="F271" s="20" t="n">
        <v>0</v>
      </c>
      <c r="H271" s="20" t="n">
        <v>0</v>
      </c>
      <c r="U271" s="20" t="n">
        <v>0</v>
      </c>
      <c r="V271" s="20" t="n">
        <v>12.802</v>
      </c>
      <c r="W271" s="20" t="n">
        <v>0</v>
      </c>
    </row>
    <row r="272">
      <c r="A272" s="18" t="inlineStr">
        <is>
          <t>임차보증금 회수</t>
        </is>
      </c>
      <c r="D272" s="20" t="n">
        <v>0.39</v>
      </c>
      <c r="H272" s="20" t="n">
        <v>1.021</v>
      </c>
      <c r="L272" s="20" t="n">
        <v>19.759</v>
      </c>
      <c r="U272" s="20" t="n">
        <v>1.959</v>
      </c>
      <c r="V272" s="20" t="n">
        <v>0.39</v>
      </c>
      <c r="W272" s="20" t="n">
        <v>1.021</v>
      </c>
      <c r="X272" s="20" t="n">
        <v>19.759</v>
      </c>
    </row>
    <row r="273">
      <c r="A273" s="18" t="inlineStr">
        <is>
          <t>임차보증금 납입</t>
        </is>
      </c>
      <c r="D273" s="20" t="n">
        <v>-2.812</v>
      </c>
      <c r="H273" s="20" t="n">
        <v>-27.56</v>
      </c>
      <c r="L273" s="20" t="n">
        <v>-30.408</v>
      </c>
      <c r="U273" s="20" t="n">
        <v>-1.53</v>
      </c>
      <c r="V273" s="20" t="n">
        <v>-2.812</v>
      </c>
      <c r="W273" s="20" t="n">
        <v>-27.56</v>
      </c>
      <c r="X273" s="20" t="n">
        <v>-30.408</v>
      </c>
    </row>
    <row r="274">
      <c r="A274" s="18" t="inlineStr">
        <is>
          <t>골프회원권 매각</t>
        </is>
      </c>
      <c r="D274" s="20" t="n">
        <v>0</v>
      </c>
      <c r="H274" s="20" t="n">
        <v>0</v>
      </c>
      <c r="U274" s="20" t="n">
        <v>8</v>
      </c>
      <c r="V274" s="20" t="n">
        <v>0</v>
      </c>
      <c r="W274" s="20" t="n">
        <v>0</v>
      </c>
    </row>
    <row r="275">
      <c r="A275" s="18" t="inlineStr">
        <is>
          <t>기타</t>
        </is>
      </c>
      <c r="D275" s="20" t="n">
        <v>-0.584</v>
      </c>
      <c r="F275" s="20" t="n">
        <v>8.805999999999999</v>
      </c>
      <c r="H275" s="20" t="n">
        <v>23.757</v>
      </c>
      <c r="J275" s="20" t="n">
        <v>-26.804</v>
      </c>
      <c r="L275" s="20" t="n">
        <v>28.556</v>
      </c>
      <c r="N275" s="20" t="n">
        <v>5.359</v>
      </c>
      <c r="U275" s="20" t="n">
        <v>0.018</v>
      </c>
      <c r="V275" s="20" t="n">
        <v>-0.584</v>
      </c>
      <c r="W275" s="20" t="n">
        <v>23.757</v>
      </c>
      <c r="X275" s="20" t="n">
        <v>28.556</v>
      </c>
    </row>
    <row r="276">
      <c r="A276" s="9" t="inlineStr">
        <is>
          <t>투자활동 현금흐름</t>
        </is>
      </c>
      <c r="D276" s="12" t="n">
        <v>223.081</v>
      </c>
      <c r="F276" s="12" t="n">
        <v>143.833</v>
      </c>
      <c r="H276" s="12" t="n">
        <v>-1153.895</v>
      </c>
      <c r="J276" s="12" t="n">
        <v>183.618</v>
      </c>
      <c r="L276" s="12" t="n">
        <v>-113.124</v>
      </c>
      <c r="N276" s="12" t="n">
        <v>-8.122</v>
      </c>
      <c r="U276" s="12" t="n">
        <v>-104.4</v>
      </c>
      <c r="V276" s="12" t="n">
        <v>223.081</v>
      </c>
      <c r="W276" s="12" t="n">
        <v>-1153.895</v>
      </c>
      <c r="X276" s="12" t="n">
        <v>-113.124</v>
      </c>
    </row>
    <row r="277">
      <c r="A277" s="18" t="inlineStr">
        <is>
          <t>장기차입</t>
        </is>
      </c>
      <c r="D277" s="20" t="n">
        <v>3290</v>
      </c>
      <c r="H277" s="20" t="n">
        <v>0</v>
      </c>
      <c r="J277" s="20" t="n">
        <v>0</v>
      </c>
      <c r="L277" s="20" t="n">
        <v>1900</v>
      </c>
      <c r="N277" s="20" t="n">
        <v>800</v>
      </c>
      <c r="U277" s="20" t="n">
        <v>0</v>
      </c>
      <c r="V277" s="20" t="n">
        <v>3290</v>
      </c>
      <c r="W277" s="20" t="n">
        <v>0</v>
      </c>
      <c r="X277" s="20" t="n">
        <v>1900</v>
      </c>
    </row>
    <row r="278">
      <c r="A278" s="18" t="inlineStr">
        <is>
          <t>주식 발행</t>
        </is>
      </c>
      <c r="D278" s="20" t="n">
        <v>51.146</v>
      </c>
      <c r="F278" s="20" t="n">
        <v>0</v>
      </c>
      <c r="H278" s="20" t="n">
        <v>0</v>
      </c>
      <c r="U278" s="20" t="n">
        <v>0</v>
      </c>
      <c r="V278" s="20" t="n">
        <v>51.146</v>
      </c>
      <c r="W278" s="20" t="n">
        <v>0</v>
      </c>
    </row>
    <row r="279">
      <c r="A279" s="18" t="inlineStr">
        <is>
          <t>단기차입금 순증감</t>
        </is>
      </c>
      <c r="D279" s="20" t="n">
        <v>0</v>
      </c>
      <c r="F279" s="20" t="n">
        <v>817.8</v>
      </c>
      <c r="H279" s="20" t="n">
        <v>1581.932</v>
      </c>
      <c r="J279" s="20" t="n">
        <v>700</v>
      </c>
      <c r="L279" s="20" t="n">
        <v>-1550</v>
      </c>
      <c r="N279" s="20" t="n">
        <v>700</v>
      </c>
      <c r="U279" s="20" t="n">
        <v>-0.905</v>
      </c>
      <c r="V279" s="20" t="n">
        <v>0</v>
      </c>
      <c r="W279" s="20" t="n">
        <v>1581.932</v>
      </c>
      <c r="X279" s="20" t="n">
        <v>-1550</v>
      </c>
    </row>
    <row r="280">
      <c r="A280" s="18" t="inlineStr">
        <is>
          <t>장기차입금 상환</t>
        </is>
      </c>
      <c r="D280" s="20" t="n">
        <v>-3722</v>
      </c>
      <c r="F280" s="20" t="n">
        <v>-425.158</v>
      </c>
      <c r="H280" s="20" t="n">
        <v>-778.39</v>
      </c>
      <c r="J280" s="20" t="n">
        <v>-236.071</v>
      </c>
      <c r="L280" s="20" t="n">
        <v>-593.539</v>
      </c>
      <c r="N280" s="20" t="n">
        <v>-437.558</v>
      </c>
      <c r="U280" s="20" t="n">
        <v>-426</v>
      </c>
      <c r="V280" s="20" t="n">
        <v>-3722</v>
      </c>
      <c r="W280" s="20" t="n">
        <v>-778.39</v>
      </c>
      <c r="X280" s="20" t="n">
        <v>-593.539</v>
      </c>
    </row>
    <row r="281">
      <c r="A281" s="18" t="inlineStr">
        <is>
          <t>자기주식 취득</t>
        </is>
      </c>
      <c r="D281" s="20" t="n">
        <v>-555.4930000000001</v>
      </c>
      <c r="H281" s="20" t="n">
        <v>0</v>
      </c>
      <c r="J281" s="20" t="n">
        <v>0</v>
      </c>
      <c r="L281" s="20" t="n">
        <v>-134.272</v>
      </c>
      <c r="N281" s="20" t="n">
        <v>-0.054</v>
      </c>
      <c r="U281" s="20" t="n">
        <v>0</v>
      </c>
      <c r="V281" s="20" t="n">
        <v>-555.4930000000001</v>
      </c>
      <c r="W281" s="20" t="n">
        <v>0</v>
      </c>
      <c r="X281" s="20" t="n">
        <v>-134.272</v>
      </c>
    </row>
    <row r="282">
      <c r="A282" s="18" t="inlineStr">
        <is>
          <t>배당금 지급</t>
        </is>
      </c>
      <c r="D282" s="20" t="n">
        <v>-100</v>
      </c>
      <c r="F282" s="20" t="n">
        <v>-253.697</v>
      </c>
      <c r="H282" s="20" t="n">
        <v>-413.791</v>
      </c>
      <c r="J282" s="20" t="n">
        <v>-161.883</v>
      </c>
      <c r="L282" s="20" t="n">
        <v>-341.944</v>
      </c>
      <c r="N282" s="20" t="n">
        <v>-245.177</v>
      </c>
      <c r="U282" s="20" t="n">
        <v>-100</v>
      </c>
      <c r="V282" s="20" t="n">
        <v>-100</v>
      </c>
      <c r="W282" s="20" t="n">
        <v>-413.791</v>
      </c>
      <c r="X282" s="20" t="n">
        <v>-341.944</v>
      </c>
    </row>
    <row r="283">
      <c r="A283" s="18" t="inlineStr">
        <is>
          <t>기타</t>
        </is>
      </c>
      <c r="D283" s="20" t="n">
        <v>0.525</v>
      </c>
      <c r="U283" s="20" t="n">
        <v>0.374</v>
      </c>
      <c r="V283" s="20" t="n">
        <v>0.525</v>
      </c>
    </row>
    <row r="284">
      <c r="A284" s="18" t="inlineStr">
        <is>
          <t>신주예약권 발행</t>
        </is>
      </c>
      <c r="D284" s="20" t="n">
        <v>0.525</v>
      </c>
      <c r="F284" s="20" t="n">
        <v>0</v>
      </c>
      <c r="H284" s="20" t="n">
        <v>0</v>
      </c>
      <c r="V284" s="20" t="n">
        <v>0.525</v>
      </c>
      <c r="W284" s="20" t="n">
        <v>0</v>
      </c>
    </row>
    <row r="285">
      <c r="A285" s="18" t="inlineStr">
        <is>
          <t>신주예약권 행사 자기주식 처분</t>
        </is>
      </c>
      <c r="D285" s="20" t="n">
        <v>0</v>
      </c>
      <c r="F285" s="20" t="n">
        <v>75.18000000000001</v>
      </c>
      <c r="H285" s="20" t="n">
        <v>115.334</v>
      </c>
      <c r="J285" s="20" t="n">
        <v>58.156</v>
      </c>
      <c r="L285" s="20" t="n">
        <v>59.142</v>
      </c>
      <c r="N285" s="20" t="n">
        <v>0</v>
      </c>
      <c r="V285" s="20" t="n">
        <v>0</v>
      </c>
      <c r="W285" s="20" t="n">
        <v>115.334</v>
      </c>
      <c r="X285" s="20" t="n">
        <v>59.142</v>
      </c>
    </row>
    <row r="286">
      <c r="A286" s="18" t="inlineStr">
        <is>
          <t>신주예약권 행사에 따른 주식 발행</t>
        </is>
      </c>
      <c r="D286" s="20" t="n">
        <v>51.68</v>
      </c>
      <c r="F286" s="20" t="n">
        <v>0</v>
      </c>
      <c r="H286" s="20" t="n">
        <v>0</v>
      </c>
      <c r="J286" s="20" t="n">
        <v>73.012</v>
      </c>
      <c r="L286" s="20" t="n">
        <v>102.424</v>
      </c>
      <c r="N286" s="20" t="n">
        <v>74.67400000000001</v>
      </c>
      <c r="U286" s="20" t="n">
        <v>0</v>
      </c>
      <c r="V286" s="20" t="n">
        <v>51.68</v>
      </c>
      <c r="W286" s="20" t="n">
        <v>0</v>
      </c>
      <c r="X286" s="20" t="n">
        <v>102.424</v>
      </c>
    </row>
    <row r="287">
      <c r="A287" s="18" t="inlineStr">
        <is>
          <t>리스부채 상환</t>
        </is>
      </c>
      <c r="D287" s="20" t="n">
        <v>-3.531</v>
      </c>
      <c r="F287" s="20" t="n">
        <v>-0.06</v>
      </c>
      <c r="H287" s="20" t="n">
        <v>-0.06</v>
      </c>
      <c r="J287" s="20" t="n">
        <v>0</v>
      </c>
      <c r="L287" s="20" t="n">
        <v>0</v>
      </c>
      <c r="U287" s="20" t="n">
        <v>-3.531</v>
      </c>
      <c r="V287" s="20" t="n">
        <v>-3.531</v>
      </c>
      <c r="W287" s="20" t="n">
        <v>-0.06</v>
      </c>
      <c r="X287" s="20" t="n">
        <v>0</v>
      </c>
    </row>
    <row r="288">
      <c r="A288" s="9" t="inlineStr">
        <is>
          <t>재무활동 현금흐름</t>
        </is>
      </c>
      <c r="D288" s="12" t="n">
        <v>-987.674</v>
      </c>
      <c r="F288" s="12" t="n">
        <v>214.065</v>
      </c>
      <c r="H288" s="12" t="n">
        <v>505.024</v>
      </c>
      <c r="J288" s="12" t="n">
        <v>433.214</v>
      </c>
      <c r="L288" s="12" t="n">
        <v>-558.189</v>
      </c>
      <c r="N288" s="12" t="n">
        <v>891.883</v>
      </c>
      <c r="U288" s="12" t="n">
        <v>-530.063</v>
      </c>
      <c r="V288" s="12" t="n">
        <v>-987.674</v>
      </c>
      <c r="W288" s="12" t="n">
        <v>505.024</v>
      </c>
      <c r="X288" s="12" t="n">
        <v>-558.189</v>
      </c>
    </row>
    <row r="289">
      <c r="A289" s="18" t="inlineStr">
        <is>
          <t>현금성자산 환산차이</t>
        </is>
      </c>
      <c r="D289" s="20" t="n">
        <v>0.402</v>
      </c>
      <c r="F289" s="20" t="n">
        <v>0.403</v>
      </c>
      <c r="H289" s="20" t="n">
        <v>-0.028</v>
      </c>
      <c r="J289" s="20" t="n">
        <v>-1.417</v>
      </c>
      <c r="L289" s="20" t="n">
        <v>0.59</v>
      </c>
      <c r="N289" s="20" t="n">
        <v>-3.709</v>
      </c>
      <c r="U289" s="20" t="n">
        <v>0.583</v>
      </c>
      <c r="V289" s="20" t="n">
        <v>0.402</v>
      </c>
      <c r="W289" s="20" t="n">
        <v>-0.028</v>
      </c>
      <c r="X289" s="20" t="n">
        <v>0.59</v>
      </c>
    </row>
    <row r="290">
      <c r="A290" s="18" t="inlineStr">
        <is>
          <t>현금성자산 증감</t>
        </is>
      </c>
      <c r="D290" s="20" t="n">
        <v>-187.825</v>
      </c>
      <c r="F290" s="20" t="n">
        <v>1423.536</v>
      </c>
      <c r="H290" s="20" t="n">
        <v>1027.603</v>
      </c>
      <c r="J290" s="20" t="n">
        <v>1059.727</v>
      </c>
      <c r="L290" s="20" t="n">
        <v>153.948</v>
      </c>
      <c r="N290" s="20" t="n">
        <v>1407.619</v>
      </c>
      <c r="U290" s="20" t="n">
        <v>396.746</v>
      </c>
      <c r="V290" s="20" t="n">
        <v>-187.825</v>
      </c>
      <c r="W290" s="20" t="n">
        <v>1027.603</v>
      </c>
      <c r="X290" s="20" t="n">
        <v>153.948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JRC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</row>
    <row r="5">
      <c r="A5" s="9" t="inlineStr">
        <is>
          <t>유동자산</t>
        </is>
      </c>
      <c r="B5" s="10" t="n"/>
      <c r="C5" s="11" t="n">
        <v>8524.744000000001</v>
      </c>
      <c r="D5" s="12" t="n">
        <v>7781.556</v>
      </c>
      <c r="E5" s="12" t="n">
        <v>8076.244</v>
      </c>
      <c r="F5" s="12" t="n">
        <v>7920.312</v>
      </c>
      <c r="G5" s="12" t="n">
        <v>9246.473</v>
      </c>
      <c r="H5" s="11" t="n">
        <v>5939.914</v>
      </c>
      <c r="I5" s="12" t="n">
        <v>6332.272</v>
      </c>
      <c r="J5" s="12" t="n">
        <v>7455.58</v>
      </c>
      <c r="K5" s="12" t="n">
        <v>8076.244</v>
      </c>
    </row>
    <row r="6">
      <c r="A6" s="18" t="inlineStr">
        <is>
          <t>현금및현금성자산</t>
        </is>
      </c>
      <c r="B6" s="10" t="n"/>
      <c r="C6" s="19" t="n">
        <v>3490.925</v>
      </c>
      <c r="D6" s="20" t="n">
        <v>2503.11</v>
      </c>
      <c r="E6" s="20" t="n">
        <v>2585.441</v>
      </c>
      <c r="F6" s="20" t="n">
        <v>2615.56</v>
      </c>
      <c r="G6" s="20" t="n">
        <v>3992.872</v>
      </c>
      <c r="H6" s="19" t="n">
        <v>1640.16</v>
      </c>
      <c r="I6" s="20" t="n">
        <v>1452.334</v>
      </c>
      <c r="J6" s="20" t="n">
        <v>2431.302</v>
      </c>
      <c r="K6" s="20" t="n">
        <v>2585.441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</row>
    <row r="8">
      <c r="A8" s="18" t="inlineStr">
        <is>
          <t>매출채권</t>
        </is>
      </c>
      <c r="B8" s="10" t="n"/>
      <c r="C8" s="19" t="n">
        <v>1535.028</v>
      </c>
      <c r="D8" s="20" t="n">
        <v>1912.332</v>
      </c>
      <c r="E8" s="20" t="n">
        <v>1947.797</v>
      </c>
      <c r="F8" s="20" t="n">
        <v>1736.543</v>
      </c>
      <c r="G8" s="20" t="n">
        <v>1669.569</v>
      </c>
      <c r="H8" s="19" t="n">
        <v>1316.414</v>
      </c>
      <c r="I8" s="20" t="n">
        <v>1700.152</v>
      </c>
      <c r="J8" s="20" t="n">
        <v>1631.052</v>
      </c>
      <c r="K8" s="20" t="n">
        <v>1947.797</v>
      </c>
    </row>
    <row r="9">
      <c r="A9" s="18" t="inlineStr">
        <is>
          <t>재고자산</t>
        </is>
      </c>
      <c r="B9" s="10" t="n"/>
      <c r="C9" s="19" t="n">
        <v>1602.244</v>
      </c>
      <c r="D9" s="20" t="n">
        <v>1435.551</v>
      </c>
      <c r="E9" s="20" t="n">
        <v>1501.549</v>
      </c>
      <c r="F9" s="20" t="n">
        <v>1463.152</v>
      </c>
      <c r="G9" s="20" t="n">
        <v>1672.885</v>
      </c>
      <c r="H9" s="19" t="n">
        <v>1120.821</v>
      </c>
      <c r="I9" s="20" t="n">
        <v>1160.758</v>
      </c>
      <c r="J9" s="20" t="n">
        <v>1403.762</v>
      </c>
      <c r="K9" s="20" t="n">
        <v>1501.549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5075.602</v>
      </c>
      <c r="D11" s="12" t="n">
        <v>5298.01</v>
      </c>
      <c r="E11" s="12" t="n">
        <v>5234.132</v>
      </c>
      <c r="F11" s="12" t="n">
        <v>5146.187</v>
      </c>
      <c r="G11" s="12" t="n">
        <v>4981.268</v>
      </c>
      <c r="H11" s="11" t="n">
        <v>4022.378</v>
      </c>
      <c r="I11" s="12" t="n">
        <v>3722.839</v>
      </c>
      <c r="J11" s="12" t="n">
        <v>5646.152</v>
      </c>
      <c r="K11" s="12" t="n">
        <v>5234.132</v>
      </c>
    </row>
    <row r="12">
      <c r="A12" s="18" t="inlineStr">
        <is>
          <t>유형자산</t>
        </is>
      </c>
      <c r="B12" s="10" t="n"/>
      <c r="C12" s="19" t="n">
        <v>3528.067</v>
      </c>
      <c r="D12" s="20" t="n">
        <v>3535.928</v>
      </c>
      <c r="E12" s="20" t="n">
        <v>3592.733</v>
      </c>
      <c r="F12" s="20" t="n">
        <v>3557.432</v>
      </c>
      <c r="G12" s="20" t="n">
        <v>3499.899</v>
      </c>
      <c r="H12" s="19" t="n">
        <v>3069.965</v>
      </c>
      <c r="I12" s="20" t="n">
        <v>2971.439</v>
      </c>
      <c r="J12" s="20" t="n">
        <v>3547.303</v>
      </c>
      <c r="K12" s="20" t="n">
        <v>3592.733</v>
      </c>
    </row>
    <row r="13">
      <c r="A13" s="18" t="inlineStr">
        <is>
          <t>무형자산</t>
        </is>
      </c>
      <c r="B13" s="10" t="n"/>
      <c r="C13" s="19" t="n">
        <v>768.4829999999999</v>
      </c>
      <c r="D13" s="20" t="n">
        <v>886.276</v>
      </c>
      <c r="E13" s="20" t="n">
        <v>860.303</v>
      </c>
      <c r="F13" s="20" t="n">
        <v>831.968</v>
      </c>
      <c r="G13" s="20" t="n">
        <v>799.912</v>
      </c>
      <c r="H13" s="19" t="n">
        <v>49.995</v>
      </c>
      <c r="I13" s="20" t="n">
        <v>151.657</v>
      </c>
      <c r="J13" s="20" t="n">
        <v>798.616</v>
      </c>
      <c r="K13" s="20" t="n">
        <v>860.303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13600.347</v>
      </c>
      <c r="D16" s="12" t="n">
        <v>13079.567</v>
      </c>
      <c r="E16" s="12" t="n">
        <v>13310.376</v>
      </c>
      <c r="F16" s="12" t="n">
        <v>13066.499</v>
      </c>
      <c r="G16" s="12" t="n">
        <v>14227.741</v>
      </c>
      <c r="H16" s="11" t="n">
        <v>9962.291999999999</v>
      </c>
      <c r="I16" s="12" t="n">
        <v>10055.111</v>
      </c>
      <c r="J16" s="12" t="n">
        <v>13101.732</v>
      </c>
      <c r="K16" s="12" t="n">
        <v>13310.376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</row>
    <row r="18">
      <c r="A18" s="9" t="inlineStr">
        <is>
          <t>유동부채</t>
        </is>
      </c>
      <c r="B18" s="10" t="n"/>
      <c r="C18" s="11" t="n">
        <v>5877.376</v>
      </c>
      <c r="D18" s="12" t="n">
        <v>4421.018</v>
      </c>
      <c r="E18" s="12" t="n">
        <v>3773</v>
      </c>
      <c r="F18" s="12" t="n">
        <v>3709.487</v>
      </c>
      <c r="G18" s="12" t="n">
        <v>3989.318</v>
      </c>
      <c r="H18" s="11" t="n">
        <v>2967.909</v>
      </c>
      <c r="I18" s="12" t="n">
        <v>2914.029</v>
      </c>
      <c r="J18" s="12" t="n">
        <v>5657.748</v>
      </c>
      <c r="K18" s="12" t="n">
        <v>3773</v>
      </c>
    </row>
    <row r="19">
      <c r="A19" s="18" t="inlineStr">
        <is>
          <t>매입채무</t>
        </is>
      </c>
      <c r="B19" s="10" t="n"/>
      <c r="C19" s="19" t="n">
        <v>1332.152</v>
      </c>
      <c r="D19" s="20" t="n">
        <v>1317.172</v>
      </c>
      <c r="E19" s="20" t="n">
        <v>999.029</v>
      </c>
      <c r="F19" s="20" t="n">
        <v>439.387</v>
      </c>
      <c r="G19" s="20" t="n">
        <v>339.557</v>
      </c>
      <c r="H19" s="19" t="n">
        <v>1584.963</v>
      </c>
      <c r="I19" s="20" t="n">
        <v>1639.051</v>
      </c>
      <c r="J19" s="20" t="n">
        <v>1479.95</v>
      </c>
      <c r="K19" s="20" t="n">
        <v>999.029</v>
      </c>
    </row>
    <row r="20">
      <c r="A20" s="18" t="inlineStr">
        <is>
          <t>단기차입금</t>
        </is>
      </c>
      <c r="B20" s="10" t="n"/>
      <c r="C20" s="19" t="n">
        <v>2500</v>
      </c>
      <c r="D20" s="20" t="n">
        <v>850</v>
      </c>
      <c r="E20" s="20" t="n">
        <v>250</v>
      </c>
      <c r="F20" s="20" t="n">
        <v>500</v>
      </c>
      <c r="G20" s="20" t="n">
        <v>950</v>
      </c>
      <c r="H20" s="19" t="n">
        <v>0</v>
      </c>
      <c r="I20" s="20" t="n">
        <v>182.2</v>
      </c>
      <c r="J20" s="20" t="n">
        <v>1800</v>
      </c>
      <c r="K20" s="20" t="n">
        <v>250</v>
      </c>
    </row>
    <row r="21">
      <c r="A21" s="18" t="inlineStr">
        <is>
          <t>유동성장기부채</t>
        </is>
      </c>
      <c r="B21" s="10" t="n"/>
      <c r="C21" s="19" t="n">
        <v>472.142</v>
      </c>
      <c r="D21" s="20" t="n">
        <v>644.1420000000001</v>
      </c>
      <c r="E21" s="20" t="n">
        <v>785.022</v>
      </c>
      <c r="F21" s="20" t="n">
        <v>782.16</v>
      </c>
      <c r="G21" s="20" t="n">
        <v>942.36</v>
      </c>
      <c r="H21" s="19" t="n">
        <v>426</v>
      </c>
      <c r="I21" s="20" t="n">
        <v>470</v>
      </c>
      <c r="J21" s="20" t="n">
        <v>472.142</v>
      </c>
      <c r="K21" s="20" t="n">
        <v>785.022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2477.585</v>
      </c>
      <c r="D23" s="12" t="n">
        <v>3345.532</v>
      </c>
      <c r="E23" s="12" t="n">
        <v>3698.566</v>
      </c>
      <c r="F23" s="12" t="n">
        <v>3450.149</v>
      </c>
      <c r="G23" s="12" t="n">
        <v>3851.346</v>
      </c>
      <c r="H23" s="11" t="n">
        <v>3544.298</v>
      </c>
      <c r="I23" s="12" t="n">
        <v>3343.734</v>
      </c>
      <c r="J23" s="12" t="n">
        <v>2829.952</v>
      </c>
      <c r="K23" s="12" t="n">
        <v>3698.566</v>
      </c>
    </row>
    <row r="24">
      <c r="A24" s="18" t="inlineStr">
        <is>
          <t>장기차입금</t>
        </is>
      </c>
      <c r="B24" s="10" t="n"/>
      <c r="C24" s="19" t="n">
        <v>2120.714</v>
      </c>
      <c r="D24" s="20" t="n">
        <v>2987.678</v>
      </c>
      <c r="E24" s="20" t="n">
        <v>3350.365</v>
      </c>
      <c r="F24" s="20" t="n">
        <v>3151.26</v>
      </c>
      <c r="G24" s="20" t="n">
        <v>3555.47</v>
      </c>
      <c r="H24" s="19" t="n">
        <v>3296</v>
      </c>
      <c r="I24" s="20" t="n">
        <v>3010.158</v>
      </c>
      <c r="J24" s="20" t="n">
        <v>2356.785</v>
      </c>
      <c r="K24" s="20" t="n">
        <v>3350.365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8354.960999999999</v>
      </c>
      <c r="D27" s="12" t="n">
        <v>7766.55</v>
      </c>
      <c r="E27" s="12" t="n">
        <v>7471.566</v>
      </c>
      <c r="F27" s="12" t="n">
        <v>7159.636</v>
      </c>
      <c r="G27" s="12" t="n">
        <v>7840.664</v>
      </c>
      <c r="H27" s="11" t="n">
        <v>6512.208</v>
      </c>
      <c r="I27" s="12" t="n">
        <v>6257.764</v>
      </c>
      <c r="J27" s="12" t="n">
        <v>8487.700000000001</v>
      </c>
      <c r="K27" s="12" t="n">
        <v>7471.566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</row>
    <row r="31">
      <c r="A31" s="9" t="inlineStr">
        <is>
          <t>지배주주지분</t>
        </is>
      </c>
      <c r="B31" s="10" t="n"/>
      <c r="C31" s="11" t="n">
        <v>5244.921</v>
      </c>
      <c r="D31" s="12" t="n">
        <v>5312.553</v>
      </c>
      <c r="E31" s="12" t="n">
        <v>5838.356</v>
      </c>
      <c r="F31" s="12" t="n">
        <v>5906.41</v>
      </c>
      <c r="G31" s="12" t="n">
        <v>6386.681</v>
      </c>
      <c r="H31" s="11" t="n">
        <v>3449.622</v>
      </c>
      <c r="I31" s="12" t="n">
        <v>3796.367</v>
      </c>
      <c r="J31" s="12" t="n">
        <v>4613.16</v>
      </c>
      <c r="K31" s="12" t="n">
        <v>5838.356</v>
      </c>
    </row>
    <row r="32">
      <c r="A32" s="18" t="inlineStr">
        <is>
          <t>자본금</t>
        </is>
      </c>
      <c r="B32" s="10" t="n"/>
      <c r="C32" s="19" t="n">
        <v>167.944</v>
      </c>
      <c r="D32" s="20" t="n">
        <v>174.918</v>
      </c>
      <c r="E32" s="20" t="n">
        <v>182.65</v>
      </c>
      <c r="F32" s="20" t="n">
        <v>184.503</v>
      </c>
      <c r="G32" s="20" t="n">
        <v>220.016</v>
      </c>
      <c r="H32" s="19" t="n">
        <v>80</v>
      </c>
      <c r="I32" s="20" t="n">
        <v>131.415</v>
      </c>
      <c r="J32" s="20" t="n">
        <v>131.415</v>
      </c>
      <c r="K32" s="20" t="n">
        <v>182.65</v>
      </c>
    </row>
    <row r="33">
      <c r="A33" s="18" t="inlineStr">
        <is>
          <t>이익잉여금</t>
        </is>
      </c>
      <c r="B33" s="10" t="n"/>
      <c r="C33" s="19" t="n">
        <v>5079.281</v>
      </c>
      <c r="D33" s="20" t="n">
        <v>5189.145</v>
      </c>
      <c r="E33" s="20" t="n">
        <v>5712.741</v>
      </c>
      <c r="F33" s="20" t="n">
        <v>5760.624</v>
      </c>
      <c r="G33" s="20" t="n">
        <v>6132.011</v>
      </c>
      <c r="H33" s="19" t="n">
        <v>3489.538</v>
      </c>
      <c r="I33" s="20" t="n">
        <v>4236.995</v>
      </c>
      <c r="J33" s="20" t="n">
        <v>4691.581</v>
      </c>
      <c r="K33" s="20" t="n">
        <v>5712.741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</row>
    <row r="35">
      <c r="A35" s="9" t="inlineStr">
        <is>
          <t>자본총계</t>
        </is>
      </c>
      <c r="B35" s="10" t="n"/>
      <c r="C35" s="11" t="n">
        <v>5245.385</v>
      </c>
      <c r="D35" s="12" t="n">
        <v>5313.016</v>
      </c>
      <c r="E35" s="12" t="n">
        <v>5838.809</v>
      </c>
      <c r="F35" s="12" t="n">
        <v>5906.863</v>
      </c>
      <c r="G35" s="12" t="n">
        <v>6387.077</v>
      </c>
      <c r="H35" s="11" t="n">
        <v>3450.084</v>
      </c>
      <c r="I35" s="12" t="n">
        <v>3797.347</v>
      </c>
      <c r="J35" s="12" t="n">
        <v>4614.032</v>
      </c>
      <c r="K35" s="12" t="n">
        <v>5838.809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</row>
    <row r="37">
      <c r="A37" s="9" t="inlineStr">
        <is>
          <t>영업활동현금흐름</t>
        </is>
      </c>
      <c r="B37" s="10" t="n"/>
      <c r="C37" s="11" t="n">
        <v>1055.579</v>
      </c>
      <c r="D37" s="12" t="n"/>
      <c r="E37" s="12" t="n">
        <v>824.671</v>
      </c>
      <c r="F37" s="12" t="n"/>
      <c r="G37" s="12" t="n">
        <v>907.927</v>
      </c>
      <c r="H37" s="11" t="n">
        <v>1030.628</v>
      </c>
      <c r="I37" s="12" t="n">
        <v>576.365</v>
      </c>
      <c r="J37" s="12" t="n">
        <v>1676.503</v>
      </c>
      <c r="K37" s="12" t="n">
        <v>824.671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583.51</v>
      </c>
      <c r="D38" s="20" t="n"/>
      <c r="E38" s="20" t="n">
        <v>612.6079999999999</v>
      </c>
      <c r="F38" s="20" t="n"/>
      <c r="G38" s="20" t="n">
        <v>260.552</v>
      </c>
      <c r="H38" s="19" t="n">
        <v>106.506</v>
      </c>
      <c r="I38" s="20" t="n">
        <v>165.984</v>
      </c>
      <c r="J38" s="20" t="n">
        <v>310.188</v>
      </c>
      <c r="K38" s="20" t="n">
        <v>612.6079999999999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321.977</v>
      </c>
      <c r="D40" s="20" t="n"/>
      <c r="E40" s="20" t="n">
        <v>341.944</v>
      </c>
      <c r="F40" s="20" t="n"/>
      <c r="G40" s="20" t="n">
        <v>425.238</v>
      </c>
      <c r="H40" s="19" t="n">
        <v>100</v>
      </c>
      <c r="I40" s="20" t="n">
        <v>100</v>
      </c>
      <c r="J40" s="20" t="n">
        <v>413.791</v>
      </c>
      <c r="K40" s="20" t="n">
        <v>341.944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IFERROR(('연간'!U31)/('연간'!U53),"")</f>
        <v/>
      </c>
      <c r="I48" s="31">
        <f>IFERROR(('연간'!V31)/('연간'!V53),"")</f>
        <v/>
      </c>
      <c r="J48" s="31">
        <f>IFERROR(('연간'!W31)/('연간'!W53),"")</f>
        <v/>
      </c>
      <c r="K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IFERROR(IF(('연간'!U61)&lt;=0,"적자",H28/('연간'!U61)),"")</f>
        <v/>
      </c>
      <c r="I49" s="47">
        <f>IFERROR(IF(('연간'!V61)&lt;=0,"적자",I28/('연간'!V61)),"")</f>
        <v/>
      </c>
      <c r="J49" s="47">
        <f>IFERROR(IF(('연간'!W61)&lt;=0,"적자",J28/('연간'!W61)),"")</f>
        <v/>
      </c>
      <c r="K49" s="47">
        <f>IFERROR(IF(('연간'!X61)&lt;=0,"적자",K28/('연간'!X61)),"")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IFERROR(('연간'!U61)/H31,"")</f>
        <v/>
      </c>
      <c r="I51" s="36">
        <f>IFERROR(('연간'!V61)/I31,"")</f>
        <v/>
      </c>
      <c r="J51" s="36">
        <f>IFERROR(('연간'!W61)/J31,"")</f>
        <v/>
      </c>
      <c r="K51" s="36">
        <f>IFERROR(('연간'!X61)/K31,"")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IFERROR(('연간'!U59)/H16,"")</f>
        <v/>
      </c>
      <c r="I52" s="36">
        <f>IFERROR(('연간'!V59)/I16,"")</f>
        <v/>
      </c>
      <c r="J52" s="36">
        <f>IFERROR(('연간'!W59)/J16,"")</f>
        <v/>
      </c>
      <c r="K52" s="36">
        <f>IFERROR(('연간'!X59)/K16,"")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IFERROR(('연간'!U31)*(1-0.3)/(H35+H29),"")</f>
        <v/>
      </c>
      <c r="I53" s="36">
        <f>IFERROR(('연간'!V31)*(1-0.3)/(I35+I29),"")</f>
        <v/>
      </c>
      <c r="J53" s="36">
        <f>IFERROR(('연간'!W31)*(1-0.3)/(J35+J29),"")</f>
        <v/>
      </c>
      <c r="K53" s="36">
        <f>IFERROR(('연간'!X31)*(1-0.3)/(K35+K29),"")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IFERROR(('연간'!U25)/('연간'!U4),"")</f>
        <v/>
      </c>
      <c r="I54" s="36">
        <f>IFERROR(('연간'!V25)/('연간'!V4),"")</f>
        <v/>
      </c>
      <c r="J54" s="36">
        <f>IFERROR(('연간'!W25)/('연간'!W4),"")</f>
        <v/>
      </c>
      <c r="K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IFERROR(('연간'!U31)/('연간'!U4),"")</f>
        <v/>
      </c>
      <c r="I55" s="36">
        <f>IFERROR(('연간'!V31)/('연간'!V4),"")</f>
        <v/>
      </c>
      <c r="J55" s="36">
        <f>IFERROR(('연간'!W31)/('연간'!W4),"")</f>
        <v/>
      </c>
      <c r="K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IFERROR(('연간'!U59)/('연간'!U4),"")</f>
        <v/>
      </c>
      <c r="I56" s="36">
        <f>IFERROR(('연간'!V59)/('연간'!V4),"")</f>
        <v/>
      </c>
      <c r="J56" s="36">
        <f>IFERROR(('연간'!W59)/('연간'!W4),"")</f>
        <v/>
      </c>
      <c r="K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IFERROR(('연간'!U4)/H16,"")</f>
        <v/>
      </c>
      <c r="I58" s="31">
        <f>IFERROR(('연간'!V4)/I16,"")</f>
        <v/>
      </c>
      <c r="J58" s="31">
        <f>IFERROR(('연간'!W4)/J16,"")</f>
        <v/>
      </c>
      <c r="K58" s="31">
        <f>IFERROR(('연간'!X4)/K16,"")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IFERROR(H8/('연간'!U4)*365,"")</f>
        <v/>
      </c>
      <c r="I59" s="49">
        <f>IFERROR(I8/('연간'!V4)*365,"")</f>
        <v/>
      </c>
      <c r="J59" s="49">
        <f>IFERROR(J8/('연간'!W4)*365,"")</f>
        <v/>
      </c>
      <c r="K59" s="49">
        <f>IFERROR(K8/('연간'!X4)*365,"")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IFERROR(H9/('연간'!U23)*365,"")</f>
        <v/>
      </c>
      <c r="I60" s="49">
        <f>IFERROR(I9/('연간'!V23)*365,"")</f>
        <v/>
      </c>
      <c r="J60" s="49">
        <f>IFERROR(J9/('연간'!W23)*365,"")</f>
        <v/>
      </c>
      <c r="K60" s="49">
        <f>IFERROR(K9/('연간'!X23)*365,"")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IFERROR(H19/('연간'!U23)*365,"")</f>
        <v/>
      </c>
      <c r="I61" s="49">
        <f>IFERROR(I19/('연간'!V23)*365,"")</f>
        <v/>
      </c>
      <c r="J61" s="49">
        <f>IFERROR(J19/('연간'!W23)*365,"")</f>
        <v/>
      </c>
      <c r="K61" s="49">
        <f>IFERROR(K19/('연간'!X23)*365,"")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IF(H37="","",IFERROR(H37/('연간'!U59),""))</f>
        <v/>
      </c>
      <c r="I64" s="31">
        <f>IF(I37="","",IFERROR(I37/('연간'!V59),""))</f>
        <v/>
      </c>
      <c r="J64" s="31">
        <f>IF(J37="","",IFERROR(J37/('연간'!W59),""))</f>
        <v/>
      </c>
      <c r="K64" s="31">
        <f>IF(K37="","",IFERROR(K37/('연간'!X59),""))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IF(H39="","",IFERROR(H39/('연간'!U4),""))</f>
        <v/>
      </c>
      <c r="I65" s="36">
        <f>IF(I39="","",IFERROR(I39/('연간'!V4),""))</f>
        <v/>
      </c>
      <c r="J65" s="36">
        <f>IF(J39="","",IFERROR(J39/('연간'!W4),""))</f>
        <v/>
      </c>
      <c r="K65" s="36">
        <f>IF(K39="","",IFERROR(K39/('연간'!X4),""))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IF(H38="","",IFERROR(H38/('연간'!U4),""))</f>
        <v/>
      </c>
      <c r="I66" s="36">
        <f>IF(I38="","",IFERROR(I38/('연간'!V4),""))</f>
        <v/>
      </c>
      <c r="J66" s="36">
        <f>IF(J38="","",IFERROR(J38/('연간'!W4),""))</f>
        <v/>
      </c>
      <c r="K66" s="36">
        <f>IF(K38="","",IFERROR(K38/('연간'!X4),""))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IF(H40="","",IFERROR(H40/('연간'!U61),""))</f>
        <v/>
      </c>
      <c r="I67" s="36">
        <f>IF(I40="","",IFERROR(I40/('연간'!V61),""))</f>
        <v/>
      </c>
      <c r="J67" s="36">
        <f>IF(J40="","",IFERROR(J40/('연간'!W61),""))</f>
        <v/>
      </c>
      <c r="K67" s="36">
        <f>IF(K40="","",IFERROR(K40/('연간'!X61),""))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  <c r="K70" s="5" t="inlineStr">
        <is>
          <t>2026</t>
        </is>
      </c>
    </row>
    <row r="71">
      <c r="A71" s="18" t="inlineStr">
        <is>
          <t>현금 및 예금</t>
        </is>
      </c>
      <c r="C71" s="20" t="n">
        <v>3490.925</v>
      </c>
      <c r="D71" s="20" t="n">
        <v>2503.11</v>
      </c>
      <c r="E71" s="20" t="n">
        <v>2585.441</v>
      </c>
      <c r="F71" s="20" t="n">
        <v>2615.56</v>
      </c>
      <c r="G71" s="20" t="n">
        <v>3992.872</v>
      </c>
      <c r="H71" s="20" t="n">
        <v>1640.16</v>
      </c>
      <c r="I71" s="20" t="n">
        <v>1452.334</v>
      </c>
      <c r="J71" s="20" t="n">
        <v>2431.302</v>
      </c>
      <c r="K71" s="20" t="n">
        <v>2585.441</v>
      </c>
    </row>
    <row r="72">
      <c r="A72" s="18" t="inlineStr">
        <is>
          <t>받을어음</t>
        </is>
      </c>
      <c r="C72" s="20" t="n">
        <v>270.178</v>
      </c>
      <c r="D72" s="20" t="n">
        <v>175.996</v>
      </c>
      <c r="E72" s="20" t="n">
        <v>106.432</v>
      </c>
      <c r="F72" s="20" t="n">
        <v>48.787</v>
      </c>
      <c r="G72" s="20" t="n">
        <v>19.969</v>
      </c>
      <c r="H72" s="20" t="n">
        <v>613.829</v>
      </c>
      <c r="I72" s="20" t="n">
        <v>606.22</v>
      </c>
      <c r="J72" s="20" t="n">
        <v>387.634</v>
      </c>
      <c r="K72" s="20" t="n">
        <v>106.432</v>
      </c>
    </row>
    <row r="73">
      <c r="A73" s="18" t="inlineStr">
        <is>
          <t>매출채권</t>
        </is>
      </c>
      <c r="C73" s="20" t="n">
        <v>1535.028</v>
      </c>
      <c r="D73" s="20" t="n">
        <v>1912.332</v>
      </c>
      <c r="E73" s="20" t="n">
        <v>1947.797</v>
      </c>
      <c r="F73" s="20" t="n">
        <v>1736.543</v>
      </c>
      <c r="G73" s="20" t="n">
        <v>1669.569</v>
      </c>
      <c r="H73" s="20" t="n">
        <v>1316.414</v>
      </c>
      <c r="I73" s="20" t="n">
        <v>1700.152</v>
      </c>
      <c r="J73" s="20" t="n">
        <v>1631.052</v>
      </c>
      <c r="K73" s="20" t="n">
        <v>1947.797</v>
      </c>
    </row>
    <row r="74">
      <c r="A74" s="18" t="inlineStr">
        <is>
          <t>전자기록채권</t>
        </is>
      </c>
      <c r="C74" s="20" t="n">
        <v>1135.984</v>
      </c>
      <c r="D74" s="20" t="n">
        <v>1158.279</v>
      </c>
      <c r="E74" s="20" t="n">
        <v>1315.871</v>
      </c>
      <c r="F74" s="20" t="n">
        <v>1327.428</v>
      </c>
      <c r="G74" s="20" t="n">
        <v>1283.487</v>
      </c>
      <c r="H74" s="20" t="n">
        <v>1202.858</v>
      </c>
      <c r="I74" s="20" t="n">
        <v>1163.451</v>
      </c>
      <c r="J74" s="20" t="n">
        <v>1142.516</v>
      </c>
      <c r="K74" s="20" t="n">
        <v>1315.871</v>
      </c>
    </row>
    <row r="75">
      <c r="A75" s="18" t="inlineStr">
        <is>
          <t>완성공사 미수금</t>
        </is>
      </c>
      <c r="C75" s="20" t="n">
        <v>149.546</v>
      </c>
      <c r="D75" s="20" t="n">
        <v>180.994</v>
      </c>
      <c r="E75" s="20" t="n">
        <v>175.997</v>
      </c>
      <c r="F75" s="20" t="n">
        <v>154.437</v>
      </c>
      <c r="G75" s="20" t="n">
        <v>133.481</v>
      </c>
      <c r="I75" s="20" t="n">
        <v>0</v>
      </c>
      <c r="J75" s="20" t="n">
        <v>162.176</v>
      </c>
      <c r="K75" s="20" t="n">
        <v>175.997</v>
      </c>
    </row>
    <row r="76">
      <c r="A76" s="18" t="inlineStr">
        <is>
          <t>계약자산</t>
        </is>
      </c>
      <c r="E76" s="20" t="n">
        <v>23.556</v>
      </c>
      <c r="F76" s="20" t="n">
        <v>0</v>
      </c>
      <c r="G76" s="20" t="n">
        <v>12.233</v>
      </c>
      <c r="H76" s="20" t="n">
        <v>0</v>
      </c>
      <c r="J76" s="20" t="n">
        <v>0</v>
      </c>
      <c r="K76" s="20" t="n">
        <v>23.556</v>
      </c>
    </row>
    <row r="77">
      <c r="A77" s="18" t="inlineStr">
        <is>
          <t>상품·제품</t>
        </is>
      </c>
      <c r="C77" s="20" t="n">
        <v>602.813</v>
      </c>
      <c r="D77" s="20" t="n">
        <v>589.033</v>
      </c>
      <c r="E77" s="20" t="n">
        <v>563.792</v>
      </c>
      <c r="F77" s="20" t="n">
        <v>570.545</v>
      </c>
      <c r="G77" s="20" t="n">
        <v>601.535</v>
      </c>
      <c r="H77" s="20" t="n">
        <v>478.01</v>
      </c>
      <c r="I77" s="20" t="n">
        <v>599.9690000000001</v>
      </c>
      <c r="J77" s="20" t="n">
        <v>555.663</v>
      </c>
      <c r="K77" s="20" t="n">
        <v>563.792</v>
      </c>
    </row>
    <row r="78">
      <c r="A78" s="18" t="inlineStr">
        <is>
          <t>재공품</t>
        </is>
      </c>
      <c r="C78" s="20" t="n">
        <v>814.2190000000001</v>
      </c>
      <c r="D78" s="20" t="n">
        <v>657.919</v>
      </c>
      <c r="E78" s="20" t="n">
        <v>759.6849999999999</v>
      </c>
      <c r="F78" s="20" t="n">
        <v>701.388</v>
      </c>
      <c r="G78" s="20" t="n">
        <v>866.15</v>
      </c>
      <c r="H78" s="20" t="n">
        <v>477.407</v>
      </c>
      <c r="I78" s="20" t="n">
        <v>378.436</v>
      </c>
      <c r="J78" s="20" t="n">
        <v>657.799</v>
      </c>
      <c r="K78" s="20" t="n">
        <v>759.6849999999999</v>
      </c>
    </row>
    <row r="79">
      <c r="A79" s="18" t="inlineStr">
        <is>
          <t>미성공사 지출금</t>
        </is>
      </c>
      <c r="D79" s="20" t="n">
        <v>224.661</v>
      </c>
      <c r="I79" s="20" t="n">
        <v>0</v>
      </c>
      <c r="J79" s="20" t="n">
        <v>125.649</v>
      </c>
    </row>
    <row r="80">
      <c r="A80" s="18" t="inlineStr">
        <is>
          <t>미성공사 지출금</t>
        </is>
      </c>
      <c r="C80" s="20" t="n">
        <v>195.618</v>
      </c>
      <c r="E80" s="20" t="n">
        <v>180.631</v>
      </c>
      <c r="F80" s="20" t="n">
        <v>275.48</v>
      </c>
      <c r="G80" s="20" t="n">
        <v>280.501</v>
      </c>
      <c r="I80" s="20" t="n">
        <v>0</v>
      </c>
      <c r="J80" s="20" t="n">
        <v>125.649</v>
      </c>
      <c r="K80" s="20" t="n">
        <v>180.631</v>
      </c>
    </row>
    <row r="81">
      <c r="A81" s="18" t="inlineStr">
        <is>
          <t>원재료·저장품</t>
        </is>
      </c>
      <c r="C81" s="20" t="n">
        <v>185.212</v>
      </c>
      <c r="D81" s="20" t="n">
        <v>188.599</v>
      </c>
      <c r="E81" s="20" t="n">
        <v>178.072</v>
      </c>
      <c r="F81" s="20" t="n">
        <v>191.219</v>
      </c>
      <c r="G81" s="20" t="n">
        <v>205.2</v>
      </c>
      <c r="H81" s="20" t="n">
        <v>165.404</v>
      </c>
      <c r="I81" s="20" t="n">
        <v>182.353</v>
      </c>
      <c r="J81" s="20" t="n">
        <v>190.3</v>
      </c>
      <c r="K81" s="20" t="n">
        <v>178.072</v>
      </c>
    </row>
    <row r="82">
      <c r="A82" s="18" t="inlineStr">
        <is>
          <t>미수 환급법인세</t>
        </is>
      </c>
      <c r="C82" s="20" t="n">
        <v>11.381</v>
      </c>
      <c r="D82" s="20" t="n">
        <v>21.67</v>
      </c>
      <c r="E82" s="20" t="n">
        <v>76.619</v>
      </c>
      <c r="F82" s="20" t="n">
        <v>76.625</v>
      </c>
      <c r="G82" s="20" t="n">
        <v>8.141</v>
      </c>
      <c r="H82" s="20" t="n">
        <v>0</v>
      </c>
      <c r="I82" s="20" t="n">
        <v>178.539</v>
      </c>
      <c r="J82" s="20" t="n">
        <v>43.986</v>
      </c>
      <c r="K82" s="20" t="n">
        <v>76.619</v>
      </c>
    </row>
    <row r="83">
      <c r="A83" s="18" t="inlineStr">
        <is>
          <t>미수 환급소비세</t>
        </is>
      </c>
      <c r="E83" s="20" t="n">
        <v>39.557</v>
      </c>
      <c r="I83" s="20" t="n">
        <v>0</v>
      </c>
      <c r="J83" s="20" t="n">
        <v>42.84</v>
      </c>
      <c r="K83" s="20" t="n">
        <v>39.557</v>
      </c>
    </row>
    <row r="84">
      <c r="A84" s="18" t="inlineStr">
        <is>
          <t>기타</t>
        </is>
      </c>
      <c r="C84" s="20" t="n">
        <v>137.219</v>
      </c>
      <c r="D84" s="20" t="n">
        <v>173.668</v>
      </c>
      <c r="E84" s="20" t="n">
        <v>166.034</v>
      </c>
      <c r="F84" s="20" t="n">
        <v>225.007</v>
      </c>
      <c r="G84" s="20" t="n">
        <v>175.387</v>
      </c>
      <c r="H84" s="20" t="n">
        <v>51.168</v>
      </c>
      <c r="I84" s="20" t="n">
        <v>75.301</v>
      </c>
      <c r="J84" s="20" t="n">
        <v>90.134</v>
      </c>
      <c r="K84" s="20" t="n">
        <v>166.034</v>
      </c>
    </row>
    <row r="85">
      <c r="A85" s="18" t="inlineStr">
        <is>
          <t>대손충당금</t>
        </is>
      </c>
      <c r="C85" s="20" t="n">
        <v>-3.382</v>
      </c>
      <c r="D85" s="20" t="n">
        <v>-4.709</v>
      </c>
      <c r="E85" s="20" t="n">
        <v>-3.688</v>
      </c>
      <c r="F85" s="20" t="n">
        <v>-2.712</v>
      </c>
      <c r="G85" s="20" t="n">
        <v>-2.057</v>
      </c>
      <c r="H85" s="20" t="n">
        <v>-5.34</v>
      </c>
      <c r="I85" s="20" t="n">
        <v>-4.487</v>
      </c>
      <c r="J85" s="20" t="n">
        <v>-5.475</v>
      </c>
      <c r="K85" s="20" t="n">
        <v>-3.688</v>
      </c>
    </row>
    <row r="86">
      <c r="A86" s="9" t="inlineStr">
        <is>
          <t>유동자산 합계</t>
        </is>
      </c>
      <c r="C86" s="12" t="n">
        <v>8524.744000000001</v>
      </c>
      <c r="D86" s="12" t="n">
        <v>7781.556</v>
      </c>
      <c r="E86" s="12" t="n">
        <v>8076.244</v>
      </c>
      <c r="F86" s="12" t="n">
        <v>7920.312</v>
      </c>
      <c r="G86" s="12" t="n">
        <v>9246.473</v>
      </c>
      <c r="H86" s="12" t="n">
        <v>5939.914</v>
      </c>
      <c r="I86" s="12" t="n">
        <v>6332.272</v>
      </c>
      <c r="J86" s="12" t="n">
        <v>7455.58</v>
      </c>
      <c r="K86" s="12" t="n">
        <v>8076.244</v>
      </c>
    </row>
    <row r="87">
      <c r="A87" s="18" t="inlineStr">
        <is>
          <t>건물·구축물</t>
        </is>
      </c>
      <c r="E87" s="20" t="n">
        <v>3515.598</v>
      </c>
      <c r="H87" s="20" t="n">
        <v>2820.528</v>
      </c>
      <c r="I87" s="20" t="n">
        <v>3082.172</v>
      </c>
      <c r="J87" s="20" t="n">
        <v>3434.942</v>
      </c>
      <c r="K87" s="20" t="n">
        <v>3515.598</v>
      </c>
    </row>
    <row r="88">
      <c r="A88" s="18" t="inlineStr">
        <is>
          <t>감가상각누계액</t>
        </is>
      </c>
      <c r="E88" s="20" t="n">
        <v>-2392.852</v>
      </c>
      <c r="H88" s="20" t="n">
        <v>-1812.798</v>
      </c>
      <c r="I88" s="20" t="n">
        <v>-2078.84</v>
      </c>
      <c r="J88" s="20" t="n">
        <v>-2322.888</v>
      </c>
      <c r="K88" s="20" t="n">
        <v>-2392.852</v>
      </c>
    </row>
    <row r="89">
      <c r="A89" s="18" t="inlineStr">
        <is>
          <t>건물·구축물(순액)</t>
        </is>
      </c>
      <c r="C89" s="20" t="n">
        <v>1115.407</v>
      </c>
      <c r="D89" s="20" t="n">
        <v>1141.911</v>
      </c>
      <c r="E89" s="20" t="n">
        <v>1122.746</v>
      </c>
      <c r="F89" s="20" t="n">
        <v>1103.579</v>
      </c>
      <c r="G89" s="20" t="n">
        <v>1107.934</v>
      </c>
      <c r="H89" s="20" t="n">
        <v>1007.73</v>
      </c>
      <c r="I89" s="20" t="n">
        <v>1003.331</v>
      </c>
      <c r="J89" s="20" t="n">
        <v>1112.054</v>
      </c>
      <c r="K89" s="20" t="n">
        <v>1122.746</v>
      </c>
    </row>
    <row r="90">
      <c r="A90" s="18" t="inlineStr">
        <is>
          <t>기계장치·운반구</t>
        </is>
      </c>
      <c r="E90" s="20" t="n">
        <v>4450.768</v>
      </c>
      <c r="H90" s="20" t="n">
        <v>3579.648</v>
      </c>
      <c r="I90" s="20" t="n">
        <v>3763.051</v>
      </c>
      <c r="J90" s="20" t="n">
        <v>4019.611</v>
      </c>
      <c r="K90" s="20" t="n">
        <v>4450.768</v>
      </c>
    </row>
    <row r="91">
      <c r="A91" s="18" t="inlineStr">
        <is>
          <t>감가상각누계액</t>
        </is>
      </c>
      <c r="E91" s="20" t="n">
        <v>-3756.641</v>
      </c>
      <c r="H91" s="20" t="n">
        <v>-3178.617</v>
      </c>
      <c r="I91" s="20" t="n">
        <v>-3409.247</v>
      </c>
      <c r="J91" s="20" t="n">
        <v>-3681.962</v>
      </c>
      <c r="K91" s="20" t="n">
        <v>-3756.641</v>
      </c>
    </row>
    <row r="92">
      <c r="A92" s="18" t="inlineStr">
        <is>
          <t>기계장치·운반구(순액)</t>
        </is>
      </c>
      <c r="C92" s="20" t="n">
        <v>645.708</v>
      </c>
      <c r="D92" s="20" t="n">
        <v>608.151</v>
      </c>
      <c r="E92" s="20" t="n">
        <v>694.127</v>
      </c>
      <c r="F92" s="20" t="n">
        <v>660.649</v>
      </c>
      <c r="G92" s="20" t="n">
        <v>620.023</v>
      </c>
      <c r="H92" s="20" t="n">
        <v>401.031</v>
      </c>
      <c r="I92" s="20" t="n">
        <v>353.804</v>
      </c>
      <c r="J92" s="20" t="n">
        <v>337.648</v>
      </c>
      <c r="K92" s="20" t="n">
        <v>694.127</v>
      </c>
    </row>
    <row r="93">
      <c r="A93" s="18" t="inlineStr">
        <is>
          <t>토지</t>
        </is>
      </c>
      <c r="C93" s="20" t="n">
        <v>1697.949</v>
      </c>
      <c r="D93" s="20" t="n">
        <v>1715.793</v>
      </c>
      <c r="E93" s="20" t="n">
        <v>1715.793</v>
      </c>
      <c r="F93" s="20" t="n">
        <v>1715.793</v>
      </c>
      <c r="G93" s="20" t="n">
        <v>1715.793</v>
      </c>
      <c r="H93" s="20" t="n">
        <v>1615.02</v>
      </c>
      <c r="I93" s="20" t="n">
        <v>1552.965</v>
      </c>
      <c r="J93" s="20" t="n">
        <v>1796.131</v>
      </c>
      <c r="K93" s="20" t="n">
        <v>1715.793</v>
      </c>
    </row>
    <row r="94">
      <c r="A94" s="18" t="inlineStr">
        <is>
          <t>기타</t>
        </is>
      </c>
      <c r="E94" s="20" t="n">
        <v>559.617</v>
      </c>
      <c r="H94" s="20" t="n">
        <v>438.313</v>
      </c>
      <c r="I94" s="20" t="n">
        <v>486.889</v>
      </c>
      <c r="J94" s="20" t="n">
        <v>789.297</v>
      </c>
      <c r="K94" s="20" t="n">
        <v>559.617</v>
      </c>
    </row>
    <row r="95">
      <c r="A95" s="18" t="inlineStr">
        <is>
          <t>감가상각누계액</t>
        </is>
      </c>
      <c r="E95" s="20" t="n">
        <v>-499.551</v>
      </c>
      <c r="H95" s="20" t="n">
        <v>-392.131</v>
      </c>
      <c r="I95" s="20" t="n">
        <v>-425.551</v>
      </c>
      <c r="J95" s="20" t="n">
        <v>-487.827</v>
      </c>
      <c r="K95" s="20" t="n">
        <v>-499.551</v>
      </c>
    </row>
    <row r="96">
      <c r="A96" s="18" t="inlineStr">
        <is>
          <t>기타(순액)</t>
        </is>
      </c>
      <c r="C96" s="20" t="n">
        <v>69.001</v>
      </c>
      <c r="D96" s="20" t="n">
        <v>70.071</v>
      </c>
      <c r="E96" s="20" t="n">
        <v>60.066</v>
      </c>
      <c r="F96" s="20" t="n">
        <v>77.41</v>
      </c>
      <c r="G96" s="20" t="n">
        <v>56.147</v>
      </c>
      <c r="H96" s="20" t="n">
        <v>46.182</v>
      </c>
      <c r="I96" s="20" t="n">
        <v>61.337</v>
      </c>
      <c r="J96" s="20" t="n">
        <v>301.469</v>
      </c>
      <c r="K96" s="20" t="n">
        <v>60.066</v>
      </c>
    </row>
    <row r="97">
      <c r="A97" s="18" t="inlineStr">
        <is>
          <t>유형자산 합계</t>
        </is>
      </c>
      <c r="C97" s="20" t="n">
        <v>3528.067</v>
      </c>
      <c r="D97" s="20" t="n">
        <v>3535.928</v>
      </c>
      <c r="E97" s="20" t="n">
        <v>3592.733</v>
      </c>
      <c r="F97" s="20" t="n">
        <v>3557.432</v>
      </c>
      <c r="G97" s="20" t="n">
        <v>3499.899</v>
      </c>
      <c r="H97" s="20" t="n">
        <v>3069.965</v>
      </c>
      <c r="I97" s="20" t="n">
        <v>2971.439</v>
      </c>
      <c r="J97" s="20" t="n">
        <v>3547.303</v>
      </c>
      <c r="K97" s="20" t="n">
        <v>3592.733</v>
      </c>
    </row>
    <row r="98">
      <c r="A98" s="18" t="inlineStr">
        <is>
          <t>영업권</t>
        </is>
      </c>
      <c r="C98" s="20" t="n">
        <v>405.851</v>
      </c>
      <c r="D98" s="20" t="n">
        <v>539.35</v>
      </c>
      <c r="E98" s="20" t="n">
        <v>521.727</v>
      </c>
      <c r="F98" s="20" t="n">
        <v>505.454</v>
      </c>
      <c r="G98" s="20" t="n">
        <v>489.18</v>
      </c>
      <c r="J98" s="20" t="n">
        <v>430.302</v>
      </c>
      <c r="K98" s="20" t="n">
        <v>521.727</v>
      </c>
    </row>
    <row r="99">
      <c r="A99" s="18" t="inlineStr">
        <is>
          <t>소프트웨어</t>
        </is>
      </c>
      <c r="C99" s="20" t="n">
        <v>93.629</v>
      </c>
      <c r="D99" s="20" t="n">
        <v>100.88</v>
      </c>
      <c r="E99" s="20" t="n">
        <v>100.248</v>
      </c>
      <c r="F99" s="20" t="n">
        <v>94.996</v>
      </c>
      <c r="G99" s="20" t="n">
        <v>86.023</v>
      </c>
      <c r="J99" s="20" t="n">
        <v>102.624</v>
      </c>
      <c r="K99" s="20" t="n">
        <v>100.248</v>
      </c>
    </row>
    <row r="100">
      <c r="A100" s="18" t="inlineStr">
        <is>
          <t>개발 중 소프트웨어</t>
        </is>
      </c>
      <c r="C100" s="20" t="n">
        <v>17.11</v>
      </c>
      <c r="D100" s="20" t="n">
        <v>0.893</v>
      </c>
      <c r="J100" s="20" t="n">
        <v>0</v>
      </c>
    </row>
    <row r="101">
      <c r="A101" s="18" t="inlineStr">
        <is>
          <t>고객관계자산</t>
        </is>
      </c>
      <c r="E101" s="20" t="n">
        <v>238</v>
      </c>
      <c r="J101" s="20" t="n">
        <v>265.2</v>
      </c>
      <c r="K101" s="20" t="n">
        <v>238</v>
      </c>
    </row>
    <row r="102">
      <c r="A102" s="18" t="inlineStr">
        <is>
          <t>고객관계자산</t>
        </is>
      </c>
      <c r="D102" s="20" t="n">
        <v>244.8</v>
      </c>
      <c r="E102" s="20" t="n">
        <v>238</v>
      </c>
      <c r="F102" s="20" t="n">
        <v>231.2</v>
      </c>
      <c r="J102" s="20" t="n">
        <v>265.2</v>
      </c>
      <c r="K102" s="20" t="n">
        <v>238</v>
      </c>
    </row>
    <row r="103">
      <c r="A103" s="18" t="inlineStr">
        <is>
          <t>고객관계자산</t>
        </is>
      </c>
      <c r="C103" s="20" t="n">
        <v>251.6</v>
      </c>
      <c r="E103" s="20" t="n">
        <v>238</v>
      </c>
      <c r="G103" s="20" t="n">
        <v>224.4</v>
      </c>
      <c r="J103" s="20" t="n">
        <v>265.2</v>
      </c>
      <c r="K103" s="20" t="n">
        <v>238</v>
      </c>
    </row>
    <row r="104">
      <c r="A104" s="18" t="inlineStr">
        <is>
          <t>기타</t>
        </is>
      </c>
      <c r="C104" s="20" t="n">
        <v>0.291</v>
      </c>
      <c r="D104" s="20" t="n">
        <v>0.351</v>
      </c>
      <c r="E104" s="20" t="n">
        <v>0.327</v>
      </c>
      <c r="F104" s="20" t="n">
        <v>0.317</v>
      </c>
      <c r="G104" s="20" t="n">
        <v>0.307</v>
      </c>
      <c r="J104" s="20" t="n">
        <v>0.49</v>
      </c>
      <c r="K104" s="20" t="n">
        <v>0.327</v>
      </c>
    </row>
    <row r="105">
      <c r="A105" s="18" t="inlineStr">
        <is>
          <t>무형자산 합계</t>
        </is>
      </c>
      <c r="C105" s="20" t="n">
        <v>768.4829999999999</v>
      </c>
      <c r="D105" s="20" t="n">
        <v>886.276</v>
      </c>
      <c r="E105" s="20" t="n">
        <v>860.303</v>
      </c>
      <c r="F105" s="20" t="n">
        <v>831.968</v>
      </c>
      <c r="G105" s="20" t="n">
        <v>799.912</v>
      </c>
      <c r="H105" s="20" t="n">
        <v>49.995</v>
      </c>
      <c r="I105" s="20" t="n">
        <v>151.657</v>
      </c>
      <c r="J105" s="20" t="n">
        <v>798.616</v>
      </c>
      <c r="K105" s="20" t="n">
        <v>860.303</v>
      </c>
    </row>
    <row r="106">
      <c r="A106" s="18" t="inlineStr">
        <is>
          <t>투자유가증권</t>
        </is>
      </c>
      <c r="C106" s="20" t="n">
        <v>211.132</v>
      </c>
      <c r="D106" s="20" t="n">
        <v>259.939</v>
      </c>
      <c r="E106" s="20" t="n">
        <v>190.69</v>
      </c>
      <c r="F106" s="20" t="n">
        <v>198.275</v>
      </c>
      <c r="G106" s="20" t="n">
        <v>193.064</v>
      </c>
      <c r="H106" s="20" t="n">
        <v>85.304</v>
      </c>
      <c r="I106" s="20" t="n">
        <v>115.234</v>
      </c>
      <c r="J106" s="20" t="n">
        <v>216.862</v>
      </c>
      <c r="K106" s="20" t="n">
        <v>190.69</v>
      </c>
    </row>
    <row r="107">
      <c r="A107" s="18" t="inlineStr">
        <is>
          <t>이연법인세자산</t>
        </is>
      </c>
      <c r="C107" s="20" t="n">
        <v>129.744</v>
      </c>
      <c r="D107" s="20" t="n">
        <v>144.964</v>
      </c>
      <c r="E107" s="20" t="n">
        <v>116.769</v>
      </c>
      <c r="F107" s="20" t="n">
        <v>79.852</v>
      </c>
      <c r="G107" s="20" t="n">
        <v>64.962</v>
      </c>
      <c r="H107" s="20" t="n">
        <v>417.642</v>
      </c>
      <c r="I107" s="20" t="n">
        <v>51.902</v>
      </c>
      <c r="J107" s="20" t="n">
        <v>106.092</v>
      </c>
      <c r="K107" s="20" t="n">
        <v>116.769</v>
      </c>
    </row>
    <row r="108">
      <c r="A108" s="18" t="inlineStr">
        <is>
          <t>퇴직급여자산</t>
        </is>
      </c>
      <c r="C108" s="20" t="n">
        <v>153.094</v>
      </c>
      <c r="D108" s="20" t="n">
        <v>151.706</v>
      </c>
      <c r="E108" s="20" t="n">
        <v>159.198</v>
      </c>
      <c r="F108" s="20" t="n">
        <v>160.497</v>
      </c>
      <c r="G108" s="20" t="n">
        <v>161.986</v>
      </c>
      <c r="H108" s="20" t="n">
        <v>75.093</v>
      </c>
      <c r="I108" s="20" t="n">
        <v>130.883</v>
      </c>
      <c r="J108" s="20" t="n">
        <v>170.653</v>
      </c>
      <c r="K108" s="20" t="n">
        <v>159.198</v>
      </c>
    </row>
    <row r="109">
      <c r="A109" s="18" t="inlineStr">
        <is>
          <t>파산갱생채권 등</t>
        </is>
      </c>
      <c r="E109" s="20" t="n">
        <v>0</v>
      </c>
      <c r="G109" s="20" t="n">
        <v>0.609</v>
      </c>
      <c r="H109" s="20" t="n">
        <v>1837.996</v>
      </c>
      <c r="I109" s="20" t="n">
        <v>0</v>
      </c>
      <c r="K109" s="20" t="n">
        <v>0</v>
      </c>
    </row>
    <row r="110">
      <c r="A110" s="18" t="inlineStr">
        <is>
          <t>기타</t>
        </is>
      </c>
      <c r="C110" s="20" t="n">
        <v>285.079</v>
      </c>
      <c r="D110" s="20" t="n">
        <v>319.194</v>
      </c>
      <c r="E110" s="20" t="n">
        <v>314.57</v>
      </c>
      <c r="F110" s="20" t="n">
        <v>318.16</v>
      </c>
      <c r="G110" s="20" t="n">
        <v>261.443</v>
      </c>
      <c r="H110" s="20" t="n">
        <v>249.837</v>
      </c>
      <c r="I110" s="20" t="n">
        <v>301.722</v>
      </c>
      <c r="J110" s="20" t="n">
        <v>806.623</v>
      </c>
      <c r="K110" s="20" t="n">
        <v>314.57</v>
      </c>
    </row>
    <row r="111">
      <c r="A111" s="18" t="inlineStr">
        <is>
          <t>대손충당금</t>
        </is>
      </c>
      <c r="C111" s="20" t="n">
        <v>-0</v>
      </c>
      <c r="D111" s="20" t="n">
        <v>-0</v>
      </c>
      <c r="E111" s="20" t="n">
        <v>-0.135</v>
      </c>
      <c r="F111" s="20" t="n">
        <v>0</v>
      </c>
      <c r="G111" s="20" t="n">
        <v>-0.609</v>
      </c>
      <c r="H111" s="20" t="n">
        <v>-1763.457</v>
      </c>
      <c r="I111" s="20" t="n">
        <v>0</v>
      </c>
      <c r="J111" s="20" t="n">
        <v>0</v>
      </c>
      <c r="K111" s="20" t="n">
        <v>-0.135</v>
      </c>
    </row>
    <row r="112">
      <c r="A112" s="18" t="inlineStr">
        <is>
          <t>투자 및 기타자산 합계</t>
        </is>
      </c>
      <c r="C112" s="20" t="n">
        <v>779.051</v>
      </c>
      <c r="D112" s="20" t="n">
        <v>875.8049999999999</v>
      </c>
      <c r="E112" s="20" t="n">
        <v>781.095</v>
      </c>
      <c r="F112" s="20" t="n">
        <v>756.785</v>
      </c>
      <c r="G112" s="20" t="n">
        <v>681.457</v>
      </c>
      <c r="H112" s="20" t="n">
        <v>902.417</v>
      </c>
      <c r="I112" s="20" t="n">
        <v>599.742</v>
      </c>
      <c r="J112" s="20" t="n">
        <v>1300.231</v>
      </c>
      <c r="K112" s="20" t="n">
        <v>781.095</v>
      </c>
    </row>
    <row r="113">
      <c r="A113" s="9" t="inlineStr">
        <is>
          <t>비유동자산 합계</t>
        </is>
      </c>
      <c r="C113" s="12" t="n">
        <v>5075.602</v>
      </c>
      <c r="D113" s="12" t="n">
        <v>5298.01</v>
      </c>
      <c r="E113" s="12" t="n">
        <v>5234.132</v>
      </c>
      <c r="F113" s="12" t="n">
        <v>5146.187</v>
      </c>
      <c r="G113" s="12" t="n">
        <v>4981.268</v>
      </c>
      <c r="H113" s="12" t="n">
        <v>4022.378</v>
      </c>
      <c r="I113" s="12" t="n">
        <v>3722.839</v>
      </c>
      <c r="J113" s="12" t="n">
        <v>5646.152</v>
      </c>
      <c r="K113" s="12" t="n">
        <v>5234.132</v>
      </c>
    </row>
    <row r="114">
      <c r="A114" s="9" t="inlineStr">
        <is>
          <t>자산 합계</t>
        </is>
      </c>
      <c r="C114" s="12" t="n">
        <v>13600.347</v>
      </c>
      <c r="D114" s="12" t="n">
        <v>13079.567</v>
      </c>
      <c r="E114" s="12" t="n">
        <v>13310.376</v>
      </c>
      <c r="F114" s="12" t="n">
        <v>13066.499</v>
      </c>
      <c r="G114" s="12" t="n">
        <v>14227.741</v>
      </c>
      <c r="H114" s="12" t="n">
        <v>9962.291999999999</v>
      </c>
      <c r="I114" s="12" t="n">
        <v>10055.111</v>
      </c>
      <c r="J114" s="12" t="n">
        <v>13101.732</v>
      </c>
      <c r="K114" s="12" t="n">
        <v>13310.376</v>
      </c>
    </row>
    <row r="115">
      <c r="A115" s="18" t="inlineStr">
        <is>
          <t>지급어음·매입채무</t>
        </is>
      </c>
      <c r="C115" s="20" t="n">
        <v>1332.152</v>
      </c>
      <c r="D115" s="20" t="n">
        <v>1317.172</v>
      </c>
      <c r="E115" s="20" t="n">
        <v>999.029</v>
      </c>
      <c r="F115" s="20" t="n">
        <v>439.387</v>
      </c>
      <c r="G115" s="20" t="n">
        <v>339.557</v>
      </c>
      <c r="H115" s="20" t="n">
        <v>1584.963</v>
      </c>
      <c r="I115" s="20" t="n">
        <v>1639.051</v>
      </c>
      <c r="J115" s="20" t="n">
        <v>1479.95</v>
      </c>
      <c r="K115" s="20" t="n">
        <v>999.029</v>
      </c>
    </row>
    <row r="116">
      <c r="A116" s="18" t="inlineStr">
        <is>
          <t>전자기록채무</t>
        </is>
      </c>
      <c r="C116" s="20" t="n">
        <v>177.649</v>
      </c>
      <c r="D116" s="20" t="n">
        <v>143.613</v>
      </c>
      <c r="E116" s="20" t="n">
        <v>149.602</v>
      </c>
      <c r="F116" s="20" t="n">
        <v>108.403</v>
      </c>
      <c r="G116" s="20" t="n">
        <v>19.648</v>
      </c>
      <c r="I116" s="20" t="n">
        <v>0</v>
      </c>
      <c r="J116" s="20" t="n">
        <v>76.122</v>
      </c>
      <c r="K116" s="20" t="n">
        <v>149.602</v>
      </c>
    </row>
    <row r="117">
      <c r="A117" s="18" t="inlineStr">
        <is>
          <t>1년 내 상환 장기차입금</t>
        </is>
      </c>
      <c r="C117" s="20" t="n">
        <v>472.142</v>
      </c>
      <c r="D117" s="20" t="n">
        <v>644.1420000000001</v>
      </c>
      <c r="E117" s="20" t="n">
        <v>785.022</v>
      </c>
      <c r="F117" s="20" t="n">
        <v>782.16</v>
      </c>
      <c r="G117" s="20" t="n">
        <v>942.36</v>
      </c>
      <c r="H117" s="20" t="n">
        <v>426</v>
      </c>
      <c r="I117" s="20" t="n">
        <v>470</v>
      </c>
      <c r="J117" s="20" t="n">
        <v>472.142</v>
      </c>
      <c r="K117" s="20" t="n">
        <v>785.022</v>
      </c>
    </row>
    <row r="118">
      <c r="A118" s="18" t="inlineStr">
        <is>
          <t>단기차입금</t>
        </is>
      </c>
      <c r="C118" s="20" t="n">
        <v>2500</v>
      </c>
      <c r="D118" s="20" t="n">
        <v>850</v>
      </c>
      <c r="E118" s="20" t="n">
        <v>250</v>
      </c>
      <c r="F118" s="20" t="n">
        <v>500</v>
      </c>
      <c r="G118" s="20" t="n">
        <v>950</v>
      </c>
      <c r="H118" s="20" t="n">
        <v>0</v>
      </c>
      <c r="I118" s="20" t="n">
        <v>182.2</v>
      </c>
      <c r="J118" s="20" t="n">
        <v>1800</v>
      </c>
      <c r="K118" s="20" t="n">
        <v>250</v>
      </c>
    </row>
    <row r="119">
      <c r="A119" s="18" t="inlineStr">
        <is>
          <t>미지급법인세</t>
        </is>
      </c>
      <c r="C119" s="20" t="n">
        <v>165.391</v>
      </c>
      <c r="D119" s="20" t="n">
        <v>123.748</v>
      </c>
      <c r="E119" s="20" t="n">
        <v>186.046</v>
      </c>
      <c r="F119" s="20" t="n">
        <v>191.798</v>
      </c>
      <c r="G119" s="20" t="n">
        <v>389.917</v>
      </c>
      <c r="H119" s="20" t="n">
        <v>431.971</v>
      </c>
      <c r="I119" s="20" t="n">
        <v>74.464</v>
      </c>
      <c r="J119" s="20" t="n">
        <v>444.329</v>
      </c>
      <c r="K119" s="20" t="n">
        <v>186.046</v>
      </c>
    </row>
    <row r="120">
      <c r="A120" s="18" t="inlineStr">
        <is>
          <t>상여충당금</t>
        </is>
      </c>
      <c r="C120" s="20" t="n">
        <v>179.443</v>
      </c>
      <c r="D120" s="20" t="n">
        <v>263.832</v>
      </c>
      <c r="E120" s="20" t="n">
        <v>182.901</v>
      </c>
      <c r="F120" s="20" t="n">
        <v>289.543</v>
      </c>
      <c r="G120" s="20" t="n">
        <v>199.858</v>
      </c>
      <c r="H120" s="20" t="n">
        <v>121.044</v>
      </c>
      <c r="I120" s="20" t="n">
        <v>131.989</v>
      </c>
      <c r="J120" s="20" t="n">
        <v>155.936</v>
      </c>
      <c r="K120" s="20" t="n">
        <v>182.901</v>
      </c>
    </row>
    <row r="121">
      <c r="A121" s="18" t="inlineStr">
        <is>
          <t>계약부채</t>
        </is>
      </c>
      <c r="C121" s="20" t="n">
        <v>259.489</v>
      </c>
      <c r="D121" s="20" t="n">
        <v>287.574</v>
      </c>
      <c r="E121" s="20" t="n">
        <v>436.915</v>
      </c>
      <c r="F121" s="20" t="n">
        <v>436.201</v>
      </c>
      <c r="G121" s="20" t="n">
        <v>443.586</v>
      </c>
      <c r="H121" s="20" t="n">
        <v>44.919</v>
      </c>
      <c r="I121" s="20" t="n">
        <v>7.382</v>
      </c>
      <c r="J121" s="20" t="n">
        <v>348.844</v>
      </c>
      <c r="K121" s="20" t="n">
        <v>436.915</v>
      </c>
    </row>
    <row r="122">
      <c r="A122" s="18" t="inlineStr">
        <is>
          <t>공사 미지급금</t>
        </is>
      </c>
      <c r="D122" s="20" t="n">
        <v>123.347</v>
      </c>
      <c r="E122" s="20" t="n">
        <v>79.98099999999999</v>
      </c>
      <c r="F122" s="20" t="n">
        <v>140.603</v>
      </c>
      <c r="I122" s="20" t="n">
        <v>0</v>
      </c>
      <c r="J122" s="20" t="n">
        <v>44.059</v>
      </c>
      <c r="K122" s="20" t="n">
        <v>79.98099999999999</v>
      </c>
    </row>
    <row r="123">
      <c r="A123" s="18" t="inlineStr">
        <is>
          <t>공사 미지급금</t>
        </is>
      </c>
      <c r="C123" s="20" t="n">
        <v>72.248</v>
      </c>
      <c r="E123" s="20" t="n">
        <v>79.98099999999999</v>
      </c>
      <c r="G123" s="20" t="n">
        <v>69.892</v>
      </c>
      <c r="J123" s="20" t="n">
        <v>44.059</v>
      </c>
      <c r="K123" s="20" t="n">
        <v>79.98099999999999</v>
      </c>
    </row>
    <row r="124">
      <c r="A124" s="18" t="inlineStr">
        <is>
          <t>미성공사 선수금</t>
        </is>
      </c>
      <c r="C124" s="20" t="n">
        <v>184.55</v>
      </c>
      <c r="D124" s="20" t="n">
        <v>162.849</v>
      </c>
      <c r="E124" s="20" t="n">
        <v>132.882</v>
      </c>
      <c r="F124" s="20" t="n">
        <v>216.859</v>
      </c>
      <c r="G124" s="20" t="n">
        <v>160.502</v>
      </c>
      <c r="I124" s="20" t="n">
        <v>0</v>
      </c>
      <c r="J124" s="20" t="n">
        <v>221.353</v>
      </c>
      <c r="K124" s="20" t="n">
        <v>132.882</v>
      </c>
    </row>
    <row r="125">
      <c r="A125" s="18" t="inlineStr">
        <is>
          <t>미지급 배당금</t>
        </is>
      </c>
      <c r="E125" s="20" t="n">
        <v>1.014</v>
      </c>
      <c r="I125" s="20" t="n">
        <v>0</v>
      </c>
      <c r="J125" s="20" t="n">
        <v>0.867</v>
      </c>
      <c r="K125" s="20" t="n">
        <v>1.014</v>
      </c>
    </row>
    <row r="126">
      <c r="A126" s="18" t="inlineStr">
        <is>
          <t>기타</t>
        </is>
      </c>
      <c r="C126" s="20" t="n">
        <v>534.307</v>
      </c>
      <c r="D126" s="20" t="n">
        <v>504.738</v>
      </c>
      <c r="E126" s="20" t="n">
        <v>570.617</v>
      </c>
      <c r="F126" s="20" t="n">
        <v>604.53</v>
      </c>
      <c r="G126" s="20" t="n">
        <v>473.995</v>
      </c>
      <c r="H126" s="20" t="n">
        <v>359.01</v>
      </c>
      <c r="I126" s="20" t="n">
        <v>408.943</v>
      </c>
      <c r="J126" s="20" t="n">
        <v>614.1420000000001</v>
      </c>
      <c r="K126" s="20" t="n">
        <v>570.617</v>
      </c>
    </row>
    <row r="127">
      <c r="A127" s="9" t="inlineStr">
        <is>
          <t>유동부채 합계</t>
        </is>
      </c>
      <c r="C127" s="12" t="n">
        <v>5877.376</v>
      </c>
      <c r="D127" s="12" t="n">
        <v>4421.018</v>
      </c>
      <c r="E127" s="12" t="n">
        <v>3773</v>
      </c>
      <c r="F127" s="12" t="n">
        <v>3709.487</v>
      </c>
      <c r="G127" s="12" t="n">
        <v>3989.318</v>
      </c>
      <c r="H127" s="12" t="n">
        <v>2967.909</v>
      </c>
      <c r="I127" s="12" t="n">
        <v>2914.029</v>
      </c>
      <c r="J127" s="12" t="n">
        <v>5657.748</v>
      </c>
      <c r="K127" s="12" t="n">
        <v>3773</v>
      </c>
    </row>
    <row r="128">
      <c r="A128" s="18" t="inlineStr">
        <is>
          <t>장기차입금</t>
        </is>
      </c>
      <c r="C128" s="20" t="n">
        <v>2120.714</v>
      </c>
      <c r="D128" s="20" t="n">
        <v>2987.678</v>
      </c>
      <c r="E128" s="20" t="n">
        <v>3350.365</v>
      </c>
      <c r="F128" s="20" t="n">
        <v>3151.26</v>
      </c>
      <c r="G128" s="20" t="n">
        <v>3555.47</v>
      </c>
      <c r="H128" s="20" t="n">
        <v>3296</v>
      </c>
      <c r="I128" s="20" t="n">
        <v>3010.158</v>
      </c>
      <c r="J128" s="20" t="n">
        <v>2356.785</v>
      </c>
      <c r="K128" s="20" t="n">
        <v>3350.365</v>
      </c>
    </row>
    <row r="129">
      <c r="A129" s="18" t="inlineStr">
        <is>
          <t>퇴직급여부채</t>
        </is>
      </c>
      <c r="C129" s="20" t="n">
        <v>71.902</v>
      </c>
      <c r="D129" s="20" t="n">
        <v>70.705</v>
      </c>
      <c r="E129" s="20" t="n">
        <v>69.86799999999999</v>
      </c>
      <c r="F129" s="20" t="n">
        <v>73.036</v>
      </c>
      <c r="G129" s="20" t="n">
        <v>80</v>
      </c>
      <c r="H129" s="20" t="n">
        <v>57.821</v>
      </c>
      <c r="I129" s="20" t="n">
        <v>77.88800000000001</v>
      </c>
      <c r="J129" s="20" t="n">
        <v>93.2</v>
      </c>
      <c r="K129" s="20" t="n">
        <v>69.86799999999999</v>
      </c>
    </row>
    <row r="130">
      <c r="A130" s="18" t="inlineStr">
        <is>
          <t>이연법인세부채</t>
        </is>
      </c>
      <c r="C130" s="20" t="n">
        <v>59.412</v>
      </c>
      <c r="D130" s="20" t="n">
        <v>56.549</v>
      </c>
      <c r="E130" s="20" t="n">
        <v>55.686</v>
      </c>
      <c r="F130" s="20" t="n">
        <v>0</v>
      </c>
      <c r="G130" s="20" t="n">
        <v>0</v>
      </c>
      <c r="H130" s="20" t="n">
        <v>9.507999999999999</v>
      </c>
      <c r="I130" s="20" t="n">
        <v>60.078</v>
      </c>
      <c r="J130" s="20" t="n">
        <v>182.99</v>
      </c>
      <c r="K130" s="20" t="n">
        <v>55.686</v>
      </c>
    </row>
    <row r="131">
      <c r="A131" s="18" t="inlineStr">
        <is>
          <t>기타</t>
        </is>
      </c>
      <c r="C131" s="20" t="n">
        <v>225.556</v>
      </c>
      <c r="D131" s="20" t="n">
        <v>230.598</v>
      </c>
      <c r="E131" s="20" t="n">
        <v>222.644</v>
      </c>
      <c r="F131" s="20" t="n">
        <v>225.852</v>
      </c>
      <c r="G131" s="20" t="n">
        <v>215.875</v>
      </c>
      <c r="H131" s="20" t="n">
        <v>180.968</v>
      </c>
      <c r="I131" s="20" t="n">
        <v>195.609</v>
      </c>
      <c r="J131" s="20" t="n">
        <v>196.975</v>
      </c>
      <c r="K131" s="20" t="n">
        <v>222.644</v>
      </c>
    </row>
    <row r="132">
      <c r="A132" s="9" t="inlineStr">
        <is>
          <t>비유동부채 합계</t>
        </is>
      </c>
      <c r="C132" s="12" t="n">
        <v>2477.585</v>
      </c>
      <c r="D132" s="12" t="n">
        <v>3345.532</v>
      </c>
      <c r="E132" s="12" t="n">
        <v>3698.566</v>
      </c>
      <c r="F132" s="12" t="n">
        <v>3450.149</v>
      </c>
      <c r="G132" s="12" t="n">
        <v>3851.346</v>
      </c>
      <c r="H132" s="12" t="n">
        <v>3544.298</v>
      </c>
      <c r="I132" s="12" t="n">
        <v>3343.734</v>
      </c>
      <c r="J132" s="12" t="n">
        <v>2829.952</v>
      </c>
      <c r="K132" s="12" t="n">
        <v>3698.566</v>
      </c>
    </row>
    <row r="133">
      <c r="A133" s="9" t="inlineStr">
        <is>
          <t>부채 합계</t>
        </is>
      </c>
      <c r="C133" s="12" t="n">
        <v>8354.960999999999</v>
      </c>
      <c r="D133" s="12" t="n">
        <v>7766.55</v>
      </c>
      <c r="E133" s="12" t="n">
        <v>7471.566</v>
      </c>
      <c r="F133" s="12" t="n">
        <v>7159.636</v>
      </c>
      <c r="G133" s="12" t="n">
        <v>7840.664</v>
      </c>
      <c r="H133" s="12" t="n">
        <v>6512.208</v>
      </c>
      <c r="I133" s="12" t="n">
        <v>6257.764</v>
      </c>
      <c r="J133" s="12" t="n">
        <v>8487.700000000001</v>
      </c>
      <c r="K133" s="12" t="n">
        <v>7471.566</v>
      </c>
    </row>
    <row r="134">
      <c r="A134" s="18" t="inlineStr">
        <is>
          <t>자본금</t>
        </is>
      </c>
      <c r="C134" s="20" t="n">
        <v>167.944</v>
      </c>
      <c r="D134" s="20" t="n">
        <v>174.918</v>
      </c>
      <c r="E134" s="20" t="n">
        <v>182.65</v>
      </c>
      <c r="F134" s="20" t="n">
        <v>184.503</v>
      </c>
      <c r="G134" s="20" t="n">
        <v>220.016</v>
      </c>
      <c r="H134" s="20" t="n">
        <v>80</v>
      </c>
      <c r="I134" s="20" t="n">
        <v>131.415</v>
      </c>
      <c r="J134" s="20" t="n">
        <v>131.415</v>
      </c>
      <c r="K134" s="20" t="n">
        <v>182.65</v>
      </c>
    </row>
    <row r="135">
      <c r="A135" s="18" t="inlineStr">
        <is>
          <t>자본잉여금</t>
        </is>
      </c>
      <c r="C135" s="20" t="n">
        <v>87.944</v>
      </c>
      <c r="D135" s="20" t="n">
        <v>94.91800000000001</v>
      </c>
      <c r="E135" s="20" t="n">
        <v>102.65</v>
      </c>
      <c r="F135" s="20" t="n">
        <v>104.503</v>
      </c>
      <c r="G135" s="20" t="n">
        <v>141.968</v>
      </c>
      <c r="H135" s="20" t="n">
        <v>0</v>
      </c>
      <c r="I135" s="20" t="n">
        <v>51.415</v>
      </c>
      <c r="J135" s="20" t="n">
        <v>51.415</v>
      </c>
      <c r="K135" s="20" t="n">
        <v>102.65</v>
      </c>
    </row>
    <row r="136">
      <c r="A136" s="18" t="inlineStr">
        <is>
          <t>이익잉여금</t>
        </is>
      </c>
      <c r="C136" s="20" t="n">
        <v>5079.281</v>
      </c>
      <c r="D136" s="20" t="n">
        <v>5189.145</v>
      </c>
      <c r="E136" s="20" t="n">
        <v>5712.741</v>
      </c>
      <c r="F136" s="20" t="n">
        <v>5760.624</v>
      </c>
      <c r="G136" s="20" t="n">
        <v>6132.011</v>
      </c>
      <c r="H136" s="20" t="n">
        <v>3489.538</v>
      </c>
      <c r="I136" s="20" t="n">
        <v>4236.995</v>
      </c>
      <c r="J136" s="20" t="n">
        <v>4691.581</v>
      </c>
      <c r="K136" s="20" t="n">
        <v>5712.741</v>
      </c>
    </row>
    <row r="137">
      <c r="A137" s="18" t="inlineStr">
        <is>
          <t>자기주식</t>
        </is>
      </c>
      <c r="C137" s="20" t="n">
        <v>-179.234</v>
      </c>
      <c r="D137" s="20" t="n">
        <v>-232.158</v>
      </c>
      <c r="E137" s="20" t="n">
        <v>-230.983</v>
      </c>
      <c r="F137" s="20" t="n">
        <v>-230.983</v>
      </c>
      <c r="G137" s="20" t="n">
        <v>-204.415</v>
      </c>
      <c r="H137" s="20" t="n">
        <v>-143</v>
      </c>
      <c r="I137" s="20" t="n">
        <v>-698.4930000000001</v>
      </c>
      <c r="J137" s="20" t="n">
        <v>-354.262</v>
      </c>
      <c r="K137" s="20" t="n">
        <v>-230.983</v>
      </c>
    </row>
    <row r="138">
      <c r="A138" s="9" t="inlineStr">
        <is>
          <t>주주자본 합계</t>
        </is>
      </c>
      <c r="C138" s="12" t="n">
        <v>5155.935</v>
      </c>
      <c r="D138" s="12" t="n">
        <v>5226.823</v>
      </c>
      <c r="E138" s="12" t="n">
        <v>5767.059</v>
      </c>
      <c r="F138" s="12" t="n">
        <v>5818.648</v>
      </c>
      <c r="G138" s="12" t="n">
        <v>6289.581</v>
      </c>
      <c r="H138" s="12" t="n">
        <v>3426.538</v>
      </c>
      <c r="I138" s="12" t="n">
        <v>3721.332</v>
      </c>
      <c r="J138" s="12" t="n">
        <v>4520.15</v>
      </c>
      <c r="K138" s="12" t="n">
        <v>5767.059</v>
      </c>
    </row>
    <row r="139">
      <c r="A139" s="18" t="inlineStr">
        <is>
          <t>기타유가증권 평가차액</t>
        </is>
      </c>
      <c r="C139" s="20" t="n">
        <v>36.721</v>
      </c>
      <c r="D139" s="20" t="n">
        <v>32.885</v>
      </c>
      <c r="E139" s="20" t="n">
        <v>36.732</v>
      </c>
      <c r="F139" s="20" t="n">
        <v>34.775</v>
      </c>
      <c r="G139" s="20" t="n">
        <v>49.234</v>
      </c>
      <c r="H139" s="20" t="n">
        <v>15.758</v>
      </c>
      <c r="I139" s="20" t="n">
        <v>33.915</v>
      </c>
      <c r="J139" s="20" t="n">
        <v>33.5</v>
      </c>
      <c r="K139" s="20" t="n">
        <v>36.732</v>
      </c>
    </row>
    <row r="140">
      <c r="A140" s="18" t="inlineStr">
        <is>
          <t>해외사업환산조정</t>
        </is>
      </c>
      <c r="C140" s="20" t="n">
        <v>-3.272</v>
      </c>
      <c r="D140" s="20" t="n">
        <v>-1.033</v>
      </c>
      <c r="E140" s="20" t="n">
        <v>-18.475</v>
      </c>
      <c r="F140" s="20" t="n">
        <v>1.648</v>
      </c>
      <c r="G140" s="20" t="n">
        <v>-1.77</v>
      </c>
      <c r="J140" s="20" t="n">
        <v>0</v>
      </c>
      <c r="K140" s="20" t="n">
        <v>-18.475</v>
      </c>
    </row>
    <row r="141">
      <c r="A141" s="18" t="inlineStr">
        <is>
          <t>퇴직급여 조정누계액</t>
        </is>
      </c>
      <c r="C141" s="20" t="n">
        <v>55.537</v>
      </c>
      <c r="D141" s="20" t="n">
        <v>53.877</v>
      </c>
      <c r="E141" s="20" t="n">
        <v>53.038</v>
      </c>
      <c r="F141" s="20" t="n">
        <v>51.337</v>
      </c>
      <c r="G141" s="20" t="n">
        <v>49.635</v>
      </c>
      <c r="H141" s="20" t="n">
        <v>7.324</v>
      </c>
      <c r="I141" s="20" t="n">
        <v>41.119</v>
      </c>
      <c r="J141" s="20" t="n">
        <v>59.508</v>
      </c>
      <c r="K141" s="20" t="n">
        <v>53.038</v>
      </c>
    </row>
    <row r="142">
      <c r="A142" s="18" t="inlineStr">
        <is>
          <t>기타포괄손익누계액 합계</t>
        </is>
      </c>
      <c r="C142" s="20" t="n">
        <v>88.985</v>
      </c>
      <c r="D142" s="20" t="n">
        <v>85.729</v>
      </c>
      <c r="E142" s="20" t="n">
        <v>71.29600000000001</v>
      </c>
      <c r="F142" s="20" t="n">
        <v>87.761</v>
      </c>
      <c r="G142" s="20" t="n">
        <v>97.099</v>
      </c>
      <c r="H142" s="20" t="n">
        <v>23.083</v>
      </c>
      <c r="I142" s="20" t="n">
        <v>75.03400000000001</v>
      </c>
      <c r="J142" s="20" t="n">
        <v>93.009</v>
      </c>
      <c r="K142" s="20" t="n">
        <v>71.29600000000001</v>
      </c>
    </row>
    <row r="143">
      <c r="A143" s="18" t="inlineStr">
        <is>
          <t>신주예약권</t>
        </is>
      </c>
      <c r="C143" s="20" t="n">
        <v>0.464</v>
      </c>
      <c r="D143" s="20" t="n">
        <v>0.463</v>
      </c>
      <c r="E143" s="20" t="n">
        <v>0.453</v>
      </c>
      <c r="F143" s="20" t="n">
        <v>0.453</v>
      </c>
      <c r="G143" s="20" t="n">
        <v>0.396</v>
      </c>
      <c r="H143" s="20" t="n">
        <v>0.462</v>
      </c>
      <c r="I143" s="20" t="n">
        <v>0.98</v>
      </c>
      <c r="J143" s="20" t="n">
        <v>0.872</v>
      </c>
      <c r="K143" s="20" t="n">
        <v>0.453</v>
      </c>
    </row>
    <row r="144">
      <c r="A144" s="9" t="inlineStr">
        <is>
          <t>순자산 합계</t>
        </is>
      </c>
      <c r="C144" s="12" t="n">
        <v>5245.385</v>
      </c>
      <c r="D144" s="12" t="n">
        <v>5313.016</v>
      </c>
      <c r="E144" s="12" t="n">
        <v>5838.809</v>
      </c>
      <c r="F144" s="12" t="n">
        <v>5906.863</v>
      </c>
      <c r="G144" s="12" t="n">
        <v>6387.077</v>
      </c>
      <c r="H144" s="12" t="n">
        <v>3450.084</v>
      </c>
      <c r="I144" s="12" t="n">
        <v>3797.347</v>
      </c>
      <c r="J144" s="12" t="n">
        <v>4614.032</v>
      </c>
      <c r="K144" s="12" t="n">
        <v>5838.809</v>
      </c>
    </row>
    <row r="145">
      <c r="A145" s="9" t="inlineStr">
        <is>
          <t>부채·순자산 합계</t>
        </is>
      </c>
      <c r="C145" s="12" t="n">
        <v>13600.347</v>
      </c>
      <c r="D145" s="12" t="n">
        <v>13079.567</v>
      </c>
      <c r="E145" s="12" t="n">
        <v>13310.376</v>
      </c>
      <c r="F145" s="12" t="n">
        <v>13066.499</v>
      </c>
      <c r="G145" s="12" t="n">
        <v>14227.741</v>
      </c>
      <c r="H145" s="12" t="n">
        <v>9962.291999999999</v>
      </c>
      <c r="I145" s="12" t="n">
        <v>10055.111</v>
      </c>
      <c r="J145" s="12" t="n">
        <v>13101.732</v>
      </c>
      <c r="K145" s="12" t="n">
        <v>13310.376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https://www2.jpx.co.jp/disc/62240/140120261014550149.pdf</t>
        </is>
      </c>
    </row>
    <row r="5">
      <c r="A5" t="inlineStr">
        <is>
          <t>2026-07-15</t>
        </is>
      </c>
      <c r="B5" t="inlineStr">
        <is>
          <t>2027년 2월 결산기 １분기 결산단신</t>
        </is>
      </c>
      <c r="C5" t="inlineStr">
        <is>
          <t>https://www2.jpx.co.jp/disc/62240/140120260715594254.pdf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https://www2.jpx.co.jp/disc/62240/140120260413503143.pdf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https://www2.jpx.co.jp/disc/62240/140120260113532987.pdf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https://www2.jpx.co.jp/disc/62240/140120251010571763.pdf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https://www2.jpx.co.jp/disc/62240/140120250714514097.pdf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https://www2.jpx.co.jp/disc/62240/140120250414514702.pdf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https://www2.jpx.co.jp/disc/62240/140120250114549920.pdf</t>
        </is>
      </c>
    </row>
    <row r="12">
      <c r="A12" t="inlineStr">
        <is>
          <t>2024-10-11</t>
        </is>
      </c>
      <c r="B12" t="inlineStr">
        <is>
          <t>2025년 2월 결산기 ２분기 결산단신</t>
        </is>
      </c>
      <c r="C12" t="inlineStr">
        <is>
          <t>https://www2.jpx.co.jp/disc/62240/140120241009595879.pdf</t>
        </is>
      </c>
    </row>
    <row r="13">
      <c r="A13" t="inlineStr">
        <is>
          <t>2024-07-12</t>
        </is>
      </c>
      <c r="B13" t="inlineStr">
        <is>
          <t>2025년 2월 결산기 １분기 결산단신</t>
        </is>
      </c>
      <c r="C13" t="inlineStr">
        <is>
          <t>https://www2.jpx.co.jp/disc/62240/140120240710546620.pdf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https://www2.jpx.co.jp/disc/62240/140120240411569055.pdf</t>
        </is>
      </c>
    </row>
    <row r="15">
      <c r="A15" t="inlineStr">
        <is>
          <t>2024-01-12</t>
        </is>
      </c>
      <c r="B15" t="inlineStr">
        <is>
          <t>2024년 2월 결산기 ３분기 결산단신</t>
        </is>
      </c>
      <c r="C15" t="inlineStr">
        <is>
          <t>https://www2.jpx.co.jp/disc/62240/140120240112514275.pdf</t>
        </is>
      </c>
    </row>
    <row r="16">
      <c r="A16" t="inlineStr">
        <is>
          <t>2023-10-13</t>
        </is>
      </c>
      <c r="B16" t="inlineStr">
        <is>
          <t>2024년 2월 결산기 ２분기 결산단신</t>
        </is>
      </c>
      <c r="C16" t="inlineStr">
        <is>
          <t>https://www2.jpx.co.jp/disc/62240/140120231013566440.pdf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2026-10-28T07:04:06Z</dcterms:created>
  <dcterms:modified xmlns:dcterms="http://purl.org/dc/terms/" xmlns:xsi="http://www.w3.org/2001/XMLSchema-instance" xsi:type="dcterms:W3CDTF">2026-10-28T07:04:06Z</dcterms:modified>
</cp:coreProperties>
</file>