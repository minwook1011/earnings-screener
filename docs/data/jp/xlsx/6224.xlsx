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76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JRC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2월 결산 · 일본 기준 · 2027.2Q = 2027년 2월 결산기 2분기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2024.3Q</t>
        </is>
      </c>
      <c r="D3" s="5" t="inlineStr">
        <is>
          <t>2024.4Q</t>
        </is>
      </c>
      <c r="E3" s="5" t="inlineStr">
        <is>
          <t>2025.1Q</t>
        </is>
      </c>
      <c r="F3" s="5" t="inlineStr">
        <is>
          <t>2025.2Q</t>
        </is>
      </c>
      <c r="G3" s="5" t="inlineStr">
        <is>
          <t>2025.3Q</t>
        </is>
      </c>
      <c r="H3" s="5" t="inlineStr">
        <is>
          <t>2025.4Q</t>
        </is>
      </c>
      <c r="I3" s="5" t="inlineStr">
        <is>
          <t>2026.1Q</t>
        </is>
      </c>
      <c r="J3" s="5" t="inlineStr">
        <is>
          <t>2026.2Q</t>
        </is>
      </c>
      <c r="K3" s="5" t="inlineStr">
        <is>
          <t>2026.3Q</t>
        </is>
      </c>
      <c r="L3" s="5" t="inlineStr">
        <is>
          <t>2026.4Q</t>
        </is>
      </c>
      <c r="M3" s="5" t="inlineStr">
        <is>
          <t>2027.1Q</t>
        </is>
      </c>
      <c r="N3" s="5" t="inlineStr">
        <is>
          <t>2027.2Q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2574.757</v>
      </c>
      <c r="D4" s="12" t="n">
        <v>2508.214</v>
      </c>
      <c r="E4" s="12" t="n">
        <v>2355.733</v>
      </c>
      <c r="F4" s="12" t="n">
        <v>2593.327</v>
      </c>
      <c r="G4" s="12" t="n">
        <v>2968.985</v>
      </c>
      <c r="H4" s="12" t="n">
        <v>3146.526</v>
      </c>
      <c r="I4" s="12" t="n">
        <v>3394.745</v>
      </c>
      <c r="J4" s="12" t="n">
        <v>2931.382</v>
      </c>
      <c r="K4" s="12" t="n">
        <v>3383.595</v>
      </c>
      <c r="L4" s="12" t="n">
        <v>4037.163</v>
      </c>
      <c r="M4" s="12" t="n">
        <v>3538.826</v>
      </c>
      <c r="N4" s="12" t="n">
        <v>3243.321</v>
      </c>
      <c r="O4" s="11" t="n"/>
      <c r="P4" s="12" t="n"/>
      <c r="Q4" s="12" t="n"/>
      <c r="R4" s="12" t="n"/>
      <c r="S4" s="12" t="n"/>
      <c r="T4" s="12" t="n"/>
      <c r="U4" s="12" t="n">
        <v>8961.165000000001</v>
      </c>
      <c r="V4" s="12" t="n">
        <v>9473.293</v>
      </c>
      <c r="W4" s="12" t="n">
        <v>11064.571</v>
      </c>
      <c r="X4" s="12" t="n">
        <v>13746.885</v>
      </c>
      <c r="Y4" s="11">
        <f>IF(COUNT(Y7,Y10,Y13,Y16,Y19)=0,"",SUM(Y7,Y10,Y13,Y16,Y19))</f>
        <v/>
      </c>
      <c r="Z4" s="12">
        <f>IF(COUNT(Z7,Z10,Z13,Z16,Z19)=0,"",SUM(Z7,Z10,Z13,Z16,Z19))</f>
        <v/>
      </c>
      <c r="AA4" s="12">
        <f>IF(COUNT(AA7,AA10,AA13,AA16,AA19)=0,"",SUM(AA7,AA10,AA13,AA16,AA19))</f>
        <v/>
      </c>
      <c r="AB4" s="12">
        <f>IF(COUNT(AB7,AB10,AB13,AB16,AB19)=0,"",SUM(AB7,AB10,AB13,AB16,AB19))</f>
        <v/>
      </c>
      <c r="AC4" s="12">
        <f>IF(COUNT(AC7,AC10,AC13,AC16,AC19)=0,"",SUM(AC7,AC10,AC13,AC16,AC19))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ConveyorBusinessReportableSegmentMember</t>
        </is>
      </c>
      <c r="B7" s="10" t="n"/>
      <c r="C7" s="19" t="n">
        <v>2268.64</v>
      </c>
      <c r="D7" s="20" t="n">
        <v>762.045</v>
      </c>
      <c r="E7" s="20" t="n">
        <v>1922.353</v>
      </c>
      <c r="F7" s="20" t="n">
        <v>1973.113</v>
      </c>
      <c r="G7" s="20" t="n">
        <v>1936.651</v>
      </c>
      <c r="H7" s="20" t="n">
        <v>2085.113</v>
      </c>
      <c r="I7" s="20" t="n">
        <v>1876.581</v>
      </c>
      <c r="J7" s="20" t="n">
        <v>1815.066</v>
      </c>
      <c r="K7" s="20" t="n">
        <v>3348.889</v>
      </c>
      <c r="L7" s="20" t="n">
        <v>3145.449</v>
      </c>
      <c r="M7" s="20" t="n">
        <v>1935.52</v>
      </c>
      <c r="N7" s="20" t="n">
        <v>1931.534</v>
      </c>
      <c r="O7" s="19" t="n"/>
      <c r="P7" s="20" t="n"/>
      <c r="Q7" s="20" t="n"/>
      <c r="R7" s="20" t="n"/>
      <c r="S7" s="20" t="n"/>
      <c r="T7" s="20" t="n"/>
      <c r="U7" s="20" t="n"/>
      <c r="V7" s="20" t="n">
        <v>7233.097</v>
      </c>
      <c r="W7" s="20" t="n">
        <v>7917.23</v>
      </c>
      <c r="X7" s="20" t="n">
        <v>10185.985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EnvironmentalPlantsReportableSegmentMember</t>
        </is>
      </c>
      <c r="B10" s="10" t="n"/>
      <c r="C10" s="19" t="n"/>
      <c r="D10" s="20" t="n"/>
      <c r="E10" s="20" t="n">
        <v>402.409</v>
      </c>
      <c r="F10" s="20" t="n">
        <v>544.112</v>
      </c>
      <c r="G10" s="20" t="n">
        <v>569.6900000000001</v>
      </c>
      <c r="H10" s="20" t="n">
        <v>633.831</v>
      </c>
      <c r="I10" s="20" t="n">
        <v>468.442</v>
      </c>
      <c r="J10" s="20" t="n">
        <v>526.745</v>
      </c>
      <c r="K10" s="20" t="n">
        <v>523.651</v>
      </c>
      <c r="L10" s="20" t="n">
        <v>622.241</v>
      </c>
      <c r="M10" s="20" t="n"/>
      <c r="N10" s="20" t="n"/>
      <c r="O10" s="19" t="n"/>
      <c r="P10" s="20" t="n"/>
      <c r="Q10" s="20" t="n"/>
      <c r="R10" s="20" t="n"/>
      <c r="S10" s="20" t="n"/>
      <c r="T10" s="20" t="n"/>
      <c r="U10" s="20" t="n"/>
      <c r="V10" s="20" t="n">
        <v>1523.323</v>
      </c>
      <c r="W10" s="20" t="n">
        <v>2150.042</v>
      </c>
      <c r="X10" s="20" t="n">
        <v>2141.079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EnvironmentalEnergyBusinessReportableSegmentMember</t>
        </is>
      </c>
      <c r="B13" s="10" t="n"/>
      <c r="C13" s="19" t="n"/>
      <c r="D13" s="20" t="n"/>
      <c r="E13" s="20" t="n"/>
      <c r="F13" s="20" t="n"/>
      <c r="G13" s="20" t="n"/>
      <c r="H13" s="20" t="n"/>
      <c r="I13" s="20" t="n">
        <v>1151.335</v>
      </c>
      <c r="J13" s="20" t="n">
        <v>806.705</v>
      </c>
      <c r="K13" s="20" t="n"/>
      <c r="L13" s="20" t="n"/>
      <c r="M13" s="20" t="n">
        <v>1173.001</v>
      </c>
      <c r="N13" s="20" t="n">
        <v>1127.693</v>
      </c>
      <c r="O13" s="19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RobotSIBusinessReportableSegmentMember</t>
        </is>
      </c>
      <c r="B16" s="10" t="n"/>
      <c r="C16" s="19" t="n">
        <v>306.116</v>
      </c>
      <c r="D16" s="20" t="n">
        <v>222.845</v>
      </c>
      <c r="E16" s="20" t="n">
        <v>30.97</v>
      </c>
      <c r="F16" s="20" t="n">
        <v>76.102</v>
      </c>
      <c r="G16" s="20" t="n">
        <v>462.644</v>
      </c>
      <c r="H16" s="20" t="n">
        <v>427.582</v>
      </c>
      <c r="I16" s="20" t="n">
        <v>366.829</v>
      </c>
      <c r="J16" s="20" t="n">
        <v>309.61</v>
      </c>
      <c r="K16" s="20" t="n">
        <v>473.908</v>
      </c>
      <c r="L16" s="20" t="n">
        <v>269.473</v>
      </c>
      <c r="M16" s="20" t="n">
        <v>430.304</v>
      </c>
      <c r="N16" s="20" t="n">
        <v>184.095</v>
      </c>
      <c r="O16" s="19" t="n"/>
      <c r="P16" s="20" t="n"/>
      <c r="Q16" s="20" t="n"/>
      <c r="R16" s="20" t="n"/>
      <c r="S16" s="20" t="n"/>
      <c r="T16" s="20" t="n"/>
      <c r="U16" s="20" t="n"/>
      <c r="V16" s="20" t="n">
        <v>716.871</v>
      </c>
      <c r="W16" s="20" t="n">
        <v>997.298</v>
      </c>
      <c r="X16" s="20" t="n">
        <v>1419.82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EntityTotalMember</t>
        </is>
      </c>
      <c r="B19" s="10" t="n"/>
      <c r="C19" s="19" t="n"/>
      <c r="D19" s="20" t="n"/>
      <c r="E19" s="20" t="n"/>
      <c r="F19" s="20" t="n"/>
      <c r="G19" s="20" t="n"/>
      <c r="H19" s="20" t="n"/>
      <c r="I19" s="20" t="n">
        <v>3394.745</v>
      </c>
      <c r="J19" s="20" t="n"/>
      <c r="K19" s="20" t="n"/>
      <c r="L19" s="20" t="n"/>
      <c r="M19" s="20" t="n">
        <v>3538.826</v>
      </c>
      <c r="N19" s="20" t="n"/>
      <c r="O19" s="19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6" t="inlineStr">
        <is>
          <t>매출원가</t>
        </is>
      </c>
      <c r="B22" s="16" t="n"/>
      <c r="C22" s="17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7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7" t="n"/>
      <c r="Z22" s="16" t="n"/>
      <c r="AA22" s="16" t="n"/>
      <c r="AB22" s="16" t="n"/>
      <c r="AC22" s="16" t="n"/>
    </row>
    <row r="23">
      <c r="A23" s="18" t="inlineStr">
        <is>
          <t>전체 매출원가</t>
        </is>
      </c>
      <c r="B23" s="10" t="n"/>
      <c r="C23" s="19" t="n">
        <v>1665.436</v>
      </c>
      <c r="D23" s="20" t="n">
        <v>1640.376</v>
      </c>
      <c r="E23" s="20" t="n">
        <v>1526.53</v>
      </c>
      <c r="F23" s="20" t="n">
        <v>1636.043</v>
      </c>
      <c r="G23" s="20" t="n">
        <v>1842.031</v>
      </c>
      <c r="H23" s="20" t="n">
        <v>2060.932</v>
      </c>
      <c r="I23" s="20" t="n">
        <v>1993.365</v>
      </c>
      <c r="J23" s="20" t="n">
        <v>2036.489</v>
      </c>
      <c r="K23" s="20" t="n">
        <v>2238.87</v>
      </c>
      <c r="L23" s="20" t="n">
        <v>2599.101</v>
      </c>
      <c r="M23" s="20" t="n">
        <v>2358.907</v>
      </c>
      <c r="N23" s="20" t="n">
        <v>1990.296</v>
      </c>
      <c r="O23" s="19" t="n"/>
      <c r="P23" s="20" t="n"/>
      <c r="Q23" s="20" t="n"/>
      <c r="R23" s="20" t="n"/>
      <c r="S23" s="20" t="n"/>
      <c r="T23" s="20" t="n"/>
      <c r="U23" s="20" t="n">
        <v>5937.793</v>
      </c>
      <c r="V23" s="20" t="n">
        <v>6259.998</v>
      </c>
      <c r="W23" s="20" t="n">
        <v>7065.536</v>
      </c>
      <c r="X23" s="20" t="n">
        <v>8867.825000000001</v>
      </c>
      <c r="Y23" s="19" t="n"/>
      <c r="Z23" s="20" t="n"/>
      <c r="AA23" s="20" t="n"/>
      <c r="AB23" s="20" t="n"/>
      <c r="AC23" s="20" t="n"/>
    </row>
    <row r="24">
      <c r="A24" s="18" t="inlineStr">
        <is>
          <t>매출총이익</t>
        </is>
      </c>
      <c r="B24" s="10" t="n"/>
      <c r="C24" s="19">
        <f>IF(OR(C4="",C23=""),"",IFERROR(C4-C23,""))</f>
        <v/>
      </c>
      <c r="D24" s="20">
        <f>IF(OR(D4="",D23=""),"",IFERROR(D4-D23,""))</f>
        <v/>
      </c>
      <c r="E24" s="20">
        <f>IF(OR(E4="",E23=""),"",IFERROR(E4-E23,""))</f>
        <v/>
      </c>
      <c r="F24" s="20">
        <f>IF(OR(F4="",F23=""),"",IFERROR(F4-F23,""))</f>
        <v/>
      </c>
      <c r="G24" s="20">
        <f>IF(OR(G4="",G23=""),"",IFERROR(G4-G23,""))</f>
        <v/>
      </c>
      <c r="H24" s="20">
        <f>IF(OR(H4="",H23=""),"",IFERROR(H4-H23,""))</f>
        <v/>
      </c>
      <c r="I24" s="20">
        <f>IF(OR(I4="",I23=""),"",IFERROR(I4-I23,""))</f>
        <v/>
      </c>
      <c r="J24" s="20">
        <f>IF(OR(J4="",J23=""),"",IFERROR(J4-J23,""))</f>
        <v/>
      </c>
      <c r="K24" s="20">
        <f>IF(OR(K4="",K23=""),"",IFERROR(K4-K23,""))</f>
        <v/>
      </c>
      <c r="L24" s="20">
        <f>IF(OR(L4="",L23=""),"",IFERROR(L4-L23,""))</f>
        <v/>
      </c>
      <c r="M24" s="20">
        <f>IF(OR(M4="",M23=""),"",IFERROR(M4-M23,""))</f>
        <v/>
      </c>
      <c r="N24" s="20">
        <f>IF(OR(N4="",N23=""),"",IFERROR(N4-N23,""))</f>
        <v/>
      </c>
      <c r="O24" s="19">
        <f>IF(OR(O4="",O23=""),"",IFERROR(O4-O23,""))</f>
        <v/>
      </c>
      <c r="P24" s="20">
        <f>IF(OR(P4="",P23=""),"",IFERROR(P4-P23,""))</f>
        <v/>
      </c>
      <c r="Q24" s="20">
        <f>IF(OR(Q4="",Q23=""),"",IFERROR(Q4-Q23,""))</f>
        <v/>
      </c>
      <c r="R24" s="20">
        <f>IF(OR(R4="",R23=""),"",IFERROR(R4-R23,""))</f>
        <v/>
      </c>
      <c r="S24" s="20">
        <f>IF(OR(S4="",S23=""),"",IFERROR(S4-S23,""))</f>
        <v/>
      </c>
      <c r="T24" s="20">
        <f>IF(OR(T4="",T23=""),"",IFERROR(T4-T23,""))</f>
        <v/>
      </c>
      <c r="U24" s="20">
        <f>IF(OR(U4="",U23=""),"",IFERROR(U4-U23,""))</f>
        <v/>
      </c>
      <c r="V24" s="20">
        <f>IF(OR(V4="",V23=""),"",IFERROR(V4-V23,""))</f>
        <v/>
      </c>
      <c r="W24" s="20">
        <f>IF(OR(W4="",W23=""),"",IFERROR(W4-W23,""))</f>
        <v/>
      </c>
      <c r="X24" s="20">
        <f>IF(OR(X4="",X23=""),"",IFERROR(X4-X23,""))</f>
        <v/>
      </c>
      <c r="Y24" s="19" t="n"/>
      <c r="Z24" s="20" t="n"/>
      <c r="AA24" s="20" t="n"/>
      <c r="AB24" s="20" t="n"/>
      <c r="AC24" s="20" t="n"/>
    </row>
    <row r="25">
      <c r="A25" s="13" t="inlineStr">
        <is>
          <t>GPM</t>
        </is>
      </c>
      <c r="B25" s="10" t="n"/>
      <c r="C25" s="14">
        <f>IF(OR(C24="",C4=""),"",IFERROR(C24/C4,""))</f>
        <v/>
      </c>
      <c r="D25" s="15">
        <f>IF(OR(D24="",D4=""),"",IFERROR(D24/D4,""))</f>
        <v/>
      </c>
      <c r="E25" s="15">
        <f>IF(OR(E24="",E4=""),"",IFERROR(E24/E4,""))</f>
        <v/>
      </c>
      <c r="F25" s="15">
        <f>IF(OR(F24="",F4=""),"",IFERROR(F24/F4,""))</f>
        <v/>
      </c>
      <c r="G25" s="15">
        <f>IF(OR(G24="",G4=""),"",IFERROR(G24/G4,""))</f>
        <v/>
      </c>
      <c r="H25" s="15">
        <f>IF(OR(H24="",H4=""),"",IFERROR(H24/H4,""))</f>
        <v/>
      </c>
      <c r="I25" s="15">
        <f>IF(OR(I24="",I4=""),"",IFERROR(I24/I4,""))</f>
        <v/>
      </c>
      <c r="J25" s="15">
        <f>IF(OR(J24="",J4=""),"",IFERROR(J24/J4,""))</f>
        <v/>
      </c>
      <c r="K25" s="15">
        <f>IF(OR(K24="",K4=""),"",IFERROR(K24/K4,""))</f>
        <v/>
      </c>
      <c r="L25" s="15">
        <f>IF(OR(L24="",L4=""),"",IFERROR(L24/L4,""))</f>
        <v/>
      </c>
      <c r="M25" s="15">
        <f>IF(OR(M24="",M4=""),"",IFERROR(M24/M4,""))</f>
        <v/>
      </c>
      <c r="N25" s="15">
        <f>IF(OR(N24="",N4=""),"",IFERROR(N24/N4,""))</f>
        <v/>
      </c>
      <c r="O25" s="14">
        <f>IF(OR(O24="",O4=""),"",IFERROR(O24/O4,""))</f>
        <v/>
      </c>
      <c r="P25" s="15">
        <f>IF(OR(P24="",P4=""),"",IFERROR(P24/P4,""))</f>
        <v/>
      </c>
      <c r="Q25" s="15">
        <f>IF(OR(Q24="",Q4=""),"",IFERROR(Q24/Q4,""))</f>
        <v/>
      </c>
      <c r="R25" s="15">
        <f>IF(OR(R24="",R4=""),"",IFERROR(R24/R4,""))</f>
        <v/>
      </c>
      <c r="S25" s="15">
        <f>IF(OR(S24="",S4=""),"",IFERROR(S24/S4,""))</f>
        <v/>
      </c>
      <c r="T25" s="15">
        <f>IF(OR(T24="",T4=""),"",IFERROR(T24/T4,""))</f>
        <v/>
      </c>
      <c r="U25" s="15">
        <f>IF(OR(U24="",U4=""),"",IFERROR(U24/U4,""))</f>
        <v/>
      </c>
      <c r="V25" s="15">
        <f>IF(OR(V24="",V4=""),"",IFERROR(V24/V4,""))</f>
        <v/>
      </c>
      <c r="W25" s="15">
        <f>IF(OR(W24="",W4=""),"",IFERROR(W24/W4,""))</f>
        <v/>
      </c>
      <c r="X25" s="15">
        <f>IF(OR(X24="",X4=""),"",IFERROR(X24/X4,""))</f>
        <v/>
      </c>
      <c r="Y25" s="14">
        <f>IF(OR(Y24="",Y4=""),"",IFERROR(Y24/Y4,""))</f>
        <v/>
      </c>
      <c r="Z25" s="15">
        <f>IF(OR(Z24="",Z4=""),"",IFERROR(Z24/Z4,""))</f>
        <v/>
      </c>
      <c r="AA25" s="15">
        <f>IF(OR(AA24="",AA4=""),"",IFERROR(AA24/AA4,""))</f>
        <v/>
      </c>
      <c r="AB25" s="15">
        <f>IF(OR(AB24="",AB4=""),"",IFERROR(AB24/AB4,""))</f>
        <v/>
      </c>
      <c r="AC25" s="15">
        <f>IF(OR(AC24="",AC4=""),"",IFERROR(AC24/AC4,""))</f>
        <v/>
      </c>
    </row>
    <row r="26">
      <c r="A26" s="23" t="inlineStr">
        <is>
          <t>판매관리비</t>
        </is>
      </c>
      <c r="B26" s="23" t="n"/>
      <c r="C26" s="24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  <c r="O26" s="24" t="n"/>
      <c r="P26" s="23" t="n"/>
      <c r="Q26" s="23" t="n"/>
      <c r="R26" s="23" t="n"/>
      <c r="S26" s="23" t="n"/>
      <c r="T26" s="23" t="n"/>
      <c r="U26" s="23" t="n"/>
      <c r="V26" s="23" t="n"/>
      <c r="W26" s="23" t="n"/>
      <c r="X26" s="23" t="n"/>
      <c r="Y26" s="24" t="n"/>
      <c r="Z26" s="23" t="n"/>
      <c r="AA26" s="23" t="n"/>
      <c r="AB26" s="23" t="n"/>
      <c r="AC26" s="23" t="n"/>
    </row>
    <row r="27">
      <c r="A27" s="18" t="inlineStr">
        <is>
          <t>전체 판관비</t>
        </is>
      </c>
      <c r="B27" s="10" t="n"/>
      <c r="C27" s="19" t="n">
        <v>497.051</v>
      </c>
      <c r="D27" s="20" t="n">
        <v>507.193</v>
      </c>
      <c r="E27" s="20" t="n">
        <v>574.902</v>
      </c>
      <c r="F27" s="20" t="n">
        <v>560.385</v>
      </c>
      <c r="G27" s="20" t="n">
        <v>766.741</v>
      </c>
      <c r="H27" s="20" t="n">
        <v>721.298</v>
      </c>
      <c r="I27" s="20" t="n">
        <v>703.346</v>
      </c>
      <c r="J27" s="20" t="n">
        <v>688.722</v>
      </c>
      <c r="K27" s="20" t="n">
        <v>736.259</v>
      </c>
      <c r="L27" s="20" t="n">
        <v>786.669</v>
      </c>
      <c r="M27" s="20" t="n">
        <v>739.95</v>
      </c>
      <c r="N27" s="20" t="n">
        <v>689.49</v>
      </c>
      <c r="O27" s="19" t="n"/>
      <c r="P27" s="20" t="n"/>
      <c r="Q27" s="20" t="n"/>
      <c r="R27" s="20" t="n"/>
      <c r="S27" s="20" t="n"/>
      <c r="T27" s="20" t="n"/>
      <c r="U27" s="20" t="n">
        <v>1771.044</v>
      </c>
      <c r="V27" s="20" t="n">
        <v>1942.403</v>
      </c>
      <c r="W27" s="20" t="n">
        <v>2623.326</v>
      </c>
      <c r="X27" s="20" t="n">
        <v>2914.996</v>
      </c>
      <c r="Y27" s="19" t="n"/>
      <c r="Z27" s="20" t="n"/>
      <c r="AA27" s="20" t="n"/>
      <c r="AB27" s="20" t="n"/>
      <c r="AC27" s="20" t="n"/>
    </row>
    <row r="28">
      <c r="A28" s="9" t="inlineStr">
        <is>
          <t>영업이익</t>
        </is>
      </c>
      <c r="B28" s="10" t="inlineStr">
        <is>
          <t>MW = 매출 × OPM</t>
        </is>
      </c>
      <c r="C28" s="11" t="n">
        <v>412.27</v>
      </c>
      <c r="D28" s="12" t="n">
        <v>360.646</v>
      </c>
      <c r="E28" s="12" t="n">
        <v>254.3</v>
      </c>
      <c r="F28" s="12" t="n">
        <v>396.899</v>
      </c>
      <c r="G28" s="12" t="n">
        <v>360.212</v>
      </c>
      <c r="H28" s="12" t="n">
        <v>364.298</v>
      </c>
      <c r="I28" s="12" t="n">
        <v>698.033</v>
      </c>
      <c r="J28" s="12" t="n">
        <v>206.17</v>
      </c>
      <c r="K28" s="12" t="n">
        <v>408.467</v>
      </c>
      <c r="L28" s="12" t="n">
        <v>651.393</v>
      </c>
      <c r="M28" s="12" t="n">
        <v>439.968</v>
      </c>
      <c r="N28" s="12" t="n">
        <v>563.535</v>
      </c>
      <c r="O28" s="11" t="n"/>
      <c r="P28" s="12" t="n"/>
      <c r="Q28" s="12" t="n"/>
      <c r="R28" s="12" t="n"/>
      <c r="S28" s="12" t="n"/>
      <c r="T28" s="12" t="n"/>
      <c r="U28" s="12" t="n">
        <v>1252.327</v>
      </c>
      <c r="V28" s="12" t="n">
        <v>1270.892</v>
      </c>
      <c r="W28" s="12" t="n">
        <v>1375.709</v>
      </c>
      <c r="X28" s="12" t="n">
        <v>1964.063</v>
      </c>
      <c r="Y28" s="11">
        <f>IF(OR(Y4="",Y29=""),"",IFERROR(Y4*Y29,""))</f>
        <v/>
      </c>
      <c r="Z28" s="12">
        <f>IF(OR(Z4="",Z29=""),"",IFERROR(Z4*Z29,""))</f>
        <v/>
      </c>
      <c r="AA28" s="12">
        <f>IF(OR(AA4="",AA29=""),"",IFERROR(AA4*AA29,""))</f>
        <v/>
      </c>
      <c r="AB28" s="12">
        <f>IF(OR(AB4="",AB29=""),"",IFERROR(AB4*AB29,""))</f>
        <v/>
      </c>
      <c r="AC28" s="12">
        <f>IF(OR(AC4="",AC29=""),"",IFERROR(AC4*AC29,""))</f>
        <v/>
      </c>
    </row>
    <row r="29">
      <c r="A29" s="13" t="inlineStr">
        <is>
          <t>OPM</t>
        </is>
      </c>
      <c r="B29" s="10" t="inlineStr">
        <is>
          <t>MW 입력</t>
        </is>
      </c>
      <c r="C29" s="14">
        <f>IF(OR(C28="",C4=""),"",IFERROR(C28/C4,""))</f>
        <v/>
      </c>
      <c r="D29" s="15">
        <f>IF(OR(D28="",D4=""),"",IFERROR(D28/D4,""))</f>
        <v/>
      </c>
      <c r="E29" s="15">
        <f>IF(OR(E28="",E4=""),"",IFERROR(E28/E4,""))</f>
        <v/>
      </c>
      <c r="F29" s="15">
        <f>IF(OR(F28="",F4=""),"",IFERROR(F28/F4,""))</f>
        <v/>
      </c>
      <c r="G29" s="15">
        <f>IF(OR(G28="",G4=""),"",IFERROR(G28/G4,""))</f>
        <v/>
      </c>
      <c r="H29" s="15">
        <f>IF(OR(H28="",H4=""),"",IFERROR(H28/H4,""))</f>
        <v/>
      </c>
      <c r="I29" s="15">
        <f>IF(OR(I28="",I4=""),"",IFERROR(I28/I4,""))</f>
        <v/>
      </c>
      <c r="J29" s="15">
        <f>IF(OR(J28="",J4=""),"",IFERROR(J28/J4,""))</f>
        <v/>
      </c>
      <c r="K29" s="15">
        <f>IF(OR(K28="",K4=""),"",IFERROR(K28/K4,""))</f>
        <v/>
      </c>
      <c r="L29" s="15">
        <f>IF(OR(L28="",L4=""),"",IFERROR(L28/L4,""))</f>
        <v/>
      </c>
      <c r="M29" s="15">
        <f>IF(OR(M28="",M4=""),"",IFERROR(M28/M4,""))</f>
        <v/>
      </c>
      <c r="N29" s="15">
        <f>IF(OR(N28="",N4=""),"",IFERROR(N28/N4,""))</f>
        <v/>
      </c>
      <c r="O29" s="14">
        <f>IF(OR(O28="",O4=""),"",IFERROR(O28/O4,""))</f>
        <v/>
      </c>
      <c r="P29" s="15">
        <f>IF(OR(P28="",P4=""),"",IFERROR(P28/P4,""))</f>
        <v/>
      </c>
      <c r="Q29" s="15">
        <f>IF(OR(Q28="",Q4=""),"",IFERROR(Q28/Q4,""))</f>
        <v/>
      </c>
      <c r="R29" s="15">
        <f>IF(OR(R28="",R4=""),"",IFERROR(R28/R4,""))</f>
        <v/>
      </c>
      <c r="S29" s="15">
        <f>IF(OR(S28="",S4=""),"",IFERROR(S28/S4,""))</f>
        <v/>
      </c>
      <c r="T29" s="15">
        <f>IF(OR(T28="",T4=""),"",IFERROR(T28/T4,""))</f>
        <v/>
      </c>
      <c r="U29" s="15">
        <f>IF(OR(U28="",U4=""),"",IFERROR(U28/U4,""))</f>
        <v/>
      </c>
      <c r="V29" s="15">
        <f>IF(OR(V28="",V4=""),"",IFERROR(V28/V4,""))</f>
        <v/>
      </c>
      <c r="W29" s="15">
        <f>IF(OR(W28="",W4=""),"",IFERROR(W28/W4,""))</f>
        <v/>
      </c>
      <c r="X29" s="15">
        <f>IF(OR(X28="",X4=""),"",IFERROR(X28/X4,""))</f>
        <v/>
      </c>
      <c r="Y29" s="25" t="n"/>
      <c r="Z29" s="26" t="n"/>
      <c r="AA29" s="26" t="n"/>
      <c r="AB29" s="26" t="n"/>
      <c r="AC29" s="26" t="n"/>
    </row>
    <row r="30">
      <c r="A30" s="13" t="inlineStr">
        <is>
          <t>증가율</t>
        </is>
      </c>
      <c r="B30" s="10" t="n"/>
      <c r="C30" s="14" t="n"/>
      <c r="D30" s="15" t="n"/>
      <c r="E30" s="15" t="n"/>
      <c r="F30" s="15" t="n"/>
      <c r="G30" s="15">
        <f>IF(OR(G28="",C28=""),"",IFERROR(G28/C28-1,""))</f>
        <v/>
      </c>
      <c r="H30" s="15">
        <f>IF(OR(H28="",D28=""),"",IFERROR(H28/D28-1,""))</f>
        <v/>
      </c>
      <c r="I30" s="15">
        <f>IF(OR(I28="",E28=""),"",IFERROR(I28/E28-1,""))</f>
        <v/>
      </c>
      <c r="J30" s="15">
        <f>IF(OR(J28="",F28=""),"",IFERROR(J28/F28-1,""))</f>
        <v/>
      </c>
      <c r="K30" s="15">
        <f>IF(OR(K28="",G28=""),"",IFERROR(K28/G28-1,""))</f>
        <v/>
      </c>
      <c r="L30" s="15">
        <f>IF(OR(L28="",H28=""),"",IFERROR(L28/H28-1,""))</f>
        <v/>
      </c>
      <c r="M30" s="15">
        <f>IF(OR(M28="",I28=""),"",IFERROR(M28/I28-1,""))</f>
        <v/>
      </c>
      <c r="N30" s="15">
        <f>IF(OR(N28="",J28=""),"",IFERROR(N28/J28-1,""))</f>
        <v/>
      </c>
      <c r="O30" s="14" t="n"/>
      <c r="P30" s="15">
        <f>IF(OR(P28="",O28=""),"",IFERROR(P28/O28-1,""))</f>
        <v/>
      </c>
      <c r="Q30" s="15">
        <f>IF(OR(Q28="",P28=""),"",IFERROR(Q28/P28-1,""))</f>
        <v/>
      </c>
      <c r="R30" s="15">
        <f>IF(OR(R28="",Q28=""),"",IFERROR(R28/Q28-1,""))</f>
        <v/>
      </c>
      <c r="S30" s="15">
        <f>IF(OR(S28="",R28=""),"",IFERROR(S28/R28-1,""))</f>
        <v/>
      </c>
      <c r="T30" s="15">
        <f>IF(OR(T28="",S28=""),"",IFERROR(T28/S28-1,""))</f>
        <v/>
      </c>
      <c r="U30" s="15">
        <f>IF(OR(U28="",T28=""),"",IFERROR(U28/T28-1,""))</f>
        <v/>
      </c>
      <c r="V30" s="15">
        <f>IF(OR(V28="",U28=""),"",IFERROR(V28/U28-1,""))</f>
        <v/>
      </c>
      <c r="W30" s="15">
        <f>IF(OR(W28="",V28=""),"",IFERROR(W28/V28-1,""))</f>
        <v/>
      </c>
      <c r="X30" s="15">
        <f>IF(OR(X28="",W28=""),"",IFERROR(X28/W28-1,""))</f>
        <v/>
      </c>
      <c r="Y30" s="14">
        <f>IF(OR(Y28="",X28=""),"",IFERROR(Y28/X28-1,""))</f>
        <v/>
      </c>
      <c r="Z30" s="15">
        <f>IF(OR(Z28="",Y28=""),"",IFERROR(Z28/Y28-1,""))</f>
        <v/>
      </c>
      <c r="AA30" s="15">
        <f>IF(OR(AA28="",Z28=""),"",IFERROR(AA28/Z28-1,""))</f>
        <v/>
      </c>
      <c r="AB30" s="15">
        <f>IF(OR(AB28="",AA28=""),"",IFERROR(AB28/AA28-1,""))</f>
        <v/>
      </c>
      <c r="AC30" s="15">
        <f>IF(OR(AC28="",AB28=""),"",IFERROR(AC28/AB28-1,""))</f>
        <v/>
      </c>
    </row>
    <row r="31">
      <c r="A31" s="16" t="inlineStr">
        <is>
          <t>비용의 성격별 분류</t>
        </is>
      </c>
      <c r="B31" s="16" t="inlineStr">
        <is>
          <t>참고 데이터</t>
        </is>
      </c>
      <c r="C31" s="17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7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7" t="n"/>
      <c r="Z31" s="16" t="n"/>
      <c r="AA31" s="16" t="n"/>
      <c r="AB31" s="16" t="n"/>
      <c r="AC31" s="16" t="n"/>
    </row>
    <row r="32">
      <c r="A32" s="9" t="inlineStr">
        <is>
          <t>총 판관비</t>
        </is>
      </c>
      <c r="B32" s="10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2" t="n"/>
      <c r="M32" s="12" t="n"/>
      <c r="N32" s="12" t="n"/>
      <c r="O32" s="11">
        <f>IF(O27="","",O27)</f>
        <v/>
      </c>
      <c r="P32" s="12">
        <f>IF(P27="","",P27)</f>
        <v/>
      </c>
      <c r="Q32" s="12">
        <f>IF(Q27="","",Q27)</f>
        <v/>
      </c>
      <c r="R32" s="12">
        <f>IF(R27="","",R27)</f>
        <v/>
      </c>
      <c r="S32" s="12">
        <f>IF(S27="","",S27)</f>
        <v/>
      </c>
      <c r="T32" s="12">
        <f>IF(T27="","",T27)</f>
        <v/>
      </c>
      <c r="U32" s="12">
        <f>IF(U27="","",U27)</f>
        <v/>
      </c>
      <c r="V32" s="12">
        <f>IF(V27="","",V27)</f>
        <v/>
      </c>
      <c r="W32" s="12">
        <f>IF(W27="","",W27)</f>
        <v/>
      </c>
      <c r="X32" s="12">
        <f>IF(X27="","",X27)</f>
        <v/>
      </c>
      <c r="Y32" s="11" t="n"/>
      <c r="Z32" s="12" t="n"/>
      <c r="AA32" s="12" t="n"/>
      <c r="AB32" s="12" t="n"/>
      <c r="AC32" s="12" t="n"/>
    </row>
    <row r="33">
      <c r="A33" s="18" t="inlineStr">
        <is>
          <t>급여</t>
        </is>
      </c>
      <c r="B33" s="10" t="inlineStr">
        <is>
          <t>고정비</t>
        </is>
      </c>
      <c r="C33" s="19" t="n"/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19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19" t="n"/>
      <c r="Z33" s="20" t="n"/>
      <c r="AA33" s="20" t="n"/>
      <c r="AB33" s="20" t="n"/>
      <c r="AC33" s="20" t="n"/>
    </row>
    <row r="34">
      <c r="A34" s="13" t="inlineStr">
        <is>
          <t>% of Sales</t>
        </is>
      </c>
      <c r="B34" s="10" t="n"/>
      <c r="C34" s="14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4">
        <f>IF(OR(O33="",O4=""),"",IFERROR(O33/O4,""))</f>
        <v/>
      </c>
      <c r="P34" s="15">
        <f>IF(OR(P33="",P4=""),"",IFERROR(P33/P4,""))</f>
        <v/>
      </c>
      <c r="Q34" s="15">
        <f>IF(OR(Q33="",Q4=""),"",IFERROR(Q33/Q4,""))</f>
        <v/>
      </c>
      <c r="R34" s="15">
        <f>IF(OR(R33="",R4=""),"",IFERROR(R33/R4,""))</f>
        <v/>
      </c>
      <c r="S34" s="15">
        <f>IF(OR(S33="",S4=""),"",IFERROR(S33/S4,""))</f>
        <v/>
      </c>
      <c r="T34" s="15">
        <f>IF(OR(T33="",T4=""),"",IFERROR(T33/T4,""))</f>
        <v/>
      </c>
      <c r="U34" s="15">
        <f>IF(OR(U33="",U4=""),"",IFERROR(U33/U4,""))</f>
        <v/>
      </c>
      <c r="V34" s="15">
        <f>IF(OR(V33="",V4=""),"",IFERROR(V33/V4,""))</f>
        <v/>
      </c>
      <c r="W34" s="15">
        <f>IF(OR(W33="",W4=""),"",IFERROR(W33/W4,""))</f>
        <v/>
      </c>
      <c r="X34" s="15">
        <f>IF(OR(X33="",X4=""),"",IFERROR(X33/X4,""))</f>
        <v/>
      </c>
      <c r="Y34" s="14" t="n"/>
      <c r="Z34" s="15" t="n"/>
      <c r="AA34" s="15" t="n"/>
      <c r="AB34" s="15" t="n"/>
      <c r="AC34" s="15" t="n"/>
    </row>
    <row r="35">
      <c r="A35" s="18" t="inlineStr">
        <is>
          <t>감가상각비</t>
        </is>
      </c>
      <c r="B35" s="10" t="inlineStr">
        <is>
          <t>고정비</t>
        </is>
      </c>
      <c r="C35" s="19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19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19" t="n"/>
      <c r="Z35" s="20" t="n"/>
      <c r="AA35" s="20" t="n"/>
      <c r="AB35" s="20" t="n"/>
      <c r="AC35" s="20" t="n"/>
    </row>
    <row r="36">
      <c r="A36" s="13" t="inlineStr">
        <is>
          <t>% of Sales</t>
        </is>
      </c>
      <c r="B36" s="10" t="n"/>
      <c r="C36" s="14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4">
        <f>IF(OR(O35="",O4=""),"",IFERROR(O35/O4,""))</f>
        <v/>
      </c>
      <c r="P36" s="15">
        <f>IF(OR(P35="",P4=""),"",IFERROR(P35/P4,""))</f>
        <v/>
      </c>
      <c r="Q36" s="15">
        <f>IF(OR(Q35="",Q4=""),"",IFERROR(Q35/Q4,""))</f>
        <v/>
      </c>
      <c r="R36" s="15">
        <f>IF(OR(R35="",R4=""),"",IFERROR(R35/R4,""))</f>
        <v/>
      </c>
      <c r="S36" s="15">
        <f>IF(OR(S35="",S4=""),"",IFERROR(S35/S4,""))</f>
        <v/>
      </c>
      <c r="T36" s="15">
        <f>IF(OR(T35="",T4=""),"",IFERROR(T35/T4,""))</f>
        <v/>
      </c>
      <c r="U36" s="15">
        <f>IF(OR(U35="",U4=""),"",IFERROR(U35/U4,""))</f>
        <v/>
      </c>
      <c r="V36" s="15">
        <f>IF(OR(V35="",V4=""),"",IFERROR(V35/V4,""))</f>
        <v/>
      </c>
      <c r="W36" s="15">
        <f>IF(OR(W35="",W4=""),"",IFERROR(W35/W4,""))</f>
        <v/>
      </c>
      <c r="X36" s="15">
        <f>IF(OR(X35="",X4=""),"",IFERROR(X35/X4,""))</f>
        <v/>
      </c>
      <c r="Y36" s="14" t="n"/>
      <c r="Z36" s="15" t="n"/>
      <c r="AA36" s="15" t="n"/>
      <c r="AB36" s="15" t="n"/>
      <c r="AC36" s="15" t="n"/>
    </row>
    <row r="37">
      <c r="A37" s="18" t="inlineStr">
        <is>
          <t>지급수수료</t>
        </is>
      </c>
      <c r="B37" s="10" t="inlineStr">
        <is>
          <t>고정비</t>
        </is>
      </c>
      <c r="C37" s="19" t="n"/>
      <c r="D37" s="20" t="n"/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19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19" t="n"/>
      <c r="Z37" s="20" t="n"/>
      <c r="AA37" s="20" t="n"/>
      <c r="AB37" s="20" t="n"/>
      <c r="AC37" s="20" t="n"/>
    </row>
    <row r="38">
      <c r="A38" s="13" t="inlineStr">
        <is>
          <t>% of Sales</t>
        </is>
      </c>
      <c r="B38" s="10" t="n"/>
      <c r="C38" s="14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4">
        <f>IF(OR(O37="",O4=""),"",IFERROR(O37/O4,""))</f>
        <v/>
      </c>
      <c r="P38" s="15">
        <f>IF(OR(P37="",P4=""),"",IFERROR(P37/P4,""))</f>
        <v/>
      </c>
      <c r="Q38" s="15">
        <f>IF(OR(Q37="",Q4=""),"",IFERROR(Q37/Q4,""))</f>
        <v/>
      </c>
      <c r="R38" s="15">
        <f>IF(OR(R37="",R4=""),"",IFERROR(R37/R4,""))</f>
        <v/>
      </c>
      <c r="S38" s="15">
        <f>IF(OR(S37="",S4=""),"",IFERROR(S37/S4,""))</f>
        <v/>
      </c>
      <c r="T38" s="15">
        <f>IF(OR(T37="",T4=""),"",IFERROR(T37/T4,""))</f>
        <v/>
      </c>
      <c r="U38" s="15">
        <f>IF(OR(U37="",U4=""),"",IFERROR(U37/U4,""))</f>
        <v/>
      </c>
      <c r="V38" s="15">
        <f>IF(OR(V37="",V4=""),"",IFERROR(V37/V4,""))</f>
        <v/>
      </c>
      <c r="W38" s="15">
        <f>IF(OR(W37="",W4=""),"",IFERROR(W37/W4,""))</f>
        <v/>
      </c>
      <c r="X38" s="15">
        <f>IF(OR(X37="",X4=""),"",IFERROR(X37/X4,""))</f>
        <v/>
      </c>
      <c r="Y38" s="14" t="n"/>
      <c r="Z38" s="15" t="n"/>
      <c r="AA38" s="15" t="n"/>
      <c r="AB38" s="15" t="n"/>
      <c r="AC38" s="15" t="n"/>
    </row>
    <row r="39">
      <c r="A39" s="18" t="inlineStr">
        <is>
          <t>연구개발비</t>
        </is>
      </c>
      <c r="B39" s="10" t="inlineStr">
        <is>
          <t>변동비</t>
        </is>
      </c>
      <c r="C39" s="19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19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19" t="n"/>
      <c r="Z39" s="20" t="n"/>
      <c r="AA39" s="20" t="n"/>
      <c r="AB39" s="20" t="n"/>
      <c r="AC39" s="20" t="n"/>
    </row>
    <row r="40">
      <c r="A40" s="13" t="inlineStr">
        <is>
          <t>% of Sales</t>
        </is>
      </c>
      <c r="B40" s="10" t="n"/>
      <c r="C40" s="14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4">
        <f>IF(OR(O39="",O4=""),"",IFERROR(O39/O4,""))</f>
        <v/>
      </c>
      <c r="P40" s="15">
        <f>IF(OR(P39="",P4=""),"",IFERROR(P39/P4,""))</f>
        <v/>
      </c>
      <c r="Q40" s="15">
        <f>IF(OR(Q39="",Q4=""),"",IFERROR(Q39/Q4,""))</f>
        <v/>
      </c>
      <c r="R40" s="15">
        <f>IF(OR(R39="",R4=""),"",IFERROR(R39/R4,""))</f>
        <v/>
      </c>
      <c r="S40" s="15">
        <f>IF(OR(S39="",S4=""),"",IFERROR(S39/S4,""))</f>
        <v/>
      </c>
      <c r="T40" s="15">
        <f>IF(OR(T39="",T4=""),"",IFERROR(T39/T4,""))</f>
        <v/>
      </c>
      <c r="U40" s="15">
        <f>IF(OR(U39="",U4=""),"",IFERROR(U39/U4,""))</f>
        <v/>
      </c>
      <c r="V40" s="15">
        <f>IF(OR(V39="",V4=""),"",IFERROR(V39/V4,""))</f>
        <v/>
      </c>
      <c r="W40" s="15">
        <f>IF(OR(W39="",W4=""),"",IFERROR(W39/W4,""))</f>
        <v/>
      </c>
      <c r="X40" s="15">
        <f>IF(OR(X39="",X4=""),"",IFERROR(X39/X4,""))</f>
        <v/>
      </c>
      <c r="Y40" s="14" t="n"/>
      <c r="Z40" s="15" t="n"/>
      <c r="AA40" s="15" t="n"/>
      <c r="AB40" s="15" t="n"/>
      <c r="AC40" s="15" t="n"/>
    </row>
    <row r="41">
      <c r="A41" s="18" t="inlineStr">
        <is>
          <t>기타비용</t>
        </is>
      </c>
      <c r="B41" s="10" t="inlineStr">
        <is>
          <t>변동비</t>
        </is>
      </c>
      <c r="C41" s="19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19">
        <f>IF(OR(O32="",O33="",O35="",O37="",O39=""),"",IFERROR(O32-O33-O35-O37-O39,""))</f>
        <v/>
      </c>
      <c r="P41" s="20">
        <f>IF(OR(P32="",P33="",P35="",P37="",P39=""),"",IFERROR(P32-P33-P35-P37-P39,""))</f>
        <v/>
      </c>
      <c r="Q41" s="20">
        <f>IF(OR(Q32="",Q33="",Q35="",Q37="",Q39=""),"",IFERROR(Q32-Q33-Q35-Q37-Q39,""))</f>
        <v/>
      </c>
      <c r="R41" s="20">
        <f>IF(OR(R32="",R33="",R35="",R37="",R39=""),"",IFERROR(R32-R33-R35-R37-R39,""))</f>
        <v/>
      </c>
      <c r="S41" s="20">
        <f>IF(OR(S32="",S33="",S35="",S37="",S39=""),"",IFERROR(S32-S33-S35-S37-S39,""))</f>
        <v/>
      </c>
      <c r="T41" s="20">
        <f>IF(OR(T32="",T33="",T35="",T37="",T39=""),"",IFERROR(T32-T33-T35-T37-T39,""))</f>
        <v/>
      </c>
      <c r="U41" s="20">
        <f>IF(OR(U32="",U33="",U35="",U37="",U39=""),"",IFERROR(U32-U33-U35-U37-U39,""))</f>
        <v/>
      </c>
      <c r="V41" s="20">
        <f>IF(OR(V32="",V33="",V35="",V37="",V39=""),"",IFERROR(V32-V33-V35-V37-V39,""))</f>
        <v/>
      </c>
      <c r="W41" s="20">
        <f>IF(OR(W32="",W33="",W35="",W37="",W39=""),"",IFERROR(W32-W33-W35-W37-W39,""))</f>
        <v/>
      </c>
      <c r="X41" s="20">
        <f>IF(OR(X32="",X33="",X35="",X37="",X39=""),"",IFERROR(X32-X33-X35-X37-X39,""))</f>
        <v/>
      </c>
      <c r="Y41" s="19" t="n"/>
      <c r="Z41" s="20" t="n"/>
      <c r="AA41" s="20" t="n"/>
      <c r="AB41" s="20" t="n"/>
      <c r="AC41" s="20" t="n"/>
    </row>
    <row r="42">
      <c r="A42" s="13" t="inlineStr">
        <is>
          <t>% of Sales</t>
        </is>
      </c>
      <c r="B42" s="10" t="n"/>
      <c r="C42" s="14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14" t="n"/>
      <c r="Z42" s="15" t="n"/>
      <c r="AA42" s="15" t="n"/>
      <c r="AB42" s="15" t="n"/>
      <c r="AC42" s="15" t="n"/>
    </row>
    <row r="43">
      <c r="A43" s="16" t="inlineStr">
        <is>
          <t>당기순이익 추정</t>
        </is>
      </c>
      <c r="B43" s="16" t="n"/>
      <c r="C43" s="17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7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7" t="n"/>
      <c r="Z43" s="16" t="n"/>
      <c r="AA43" s="16" t="n"/>
      <c r="AB43" s="16" t="n"/>
      <c r="AC43" s="16" t="n"/>
    </row>
    <row r="44">
      <c r="A44" s="18" t="inlineStr">
        <is>
          <t>특별이익</t>
        </is>
      </c>
      <c r="B44" s="10" t="n"/>
      <c r="C44" s="19" t="n">
        <v>0</v>
      </c>
      <c r="D44" s="20" t="n">
        <v>29.332</v>
      </c>
      <c r="E44" s="20" t="n">
        <v>60.32</v>
      </c>
      <c r="F44" s="20" t="n">
        <v>5.193</v>
      </c>
      <c r="G44" s="20" t="n">
        <v>51.707</v>
      </c>
      <c r="H44" s="20" t="n">
        <v>1.678</v>
      </c>
      <c r="I44" s="20" t="n">
        <v>0.452</v>
      </c>
      <c r="J44" s="20" t="n">
        <v>0.629</v>
      </c>
      <c r="K44" s="20" t="n">
        <v>14.734</v>
      </c>
      <c r="L44" s="20" t="n">
        <v>49.088</v>
      </c>
      <c r="M44" s="20" t="n">
        <v>35.724</v>
      </c>
      <c r="N44" s="20" t="n">
        <v>17.906</v>
      </c>
      <c r="O44" s="19" t="n"/>
      <c r="P44" s="20" t="n"/>
      <c r="Q44" s="20" t="n"/>
      <c r="R44" s="20" t="n"/>
      <c r="S44" s="20" t="n"/>
      <c r="T44" s="20" t="n"/>
      <c r="U44" s="20" t="n">
        <v>5.362</v>
      </c>
      <c r="V44" s="20" t="n">
        <v>38.981</v>
      </c>
      <c r="W44" s="20" t="n">
        <v>118.898</v>
      </c>
      <c r="X44" s="20" t="n">
        <v>64.90300000000001</v>
      </c>
      <c r="Y44" s="19">
        <f>IF(OR(Y4="",Y45=""),"",IFERROR(Y4*Y45,""))</f>
        <v/>
      </c>
      <c r="Z44" s="20">
        <f>IF(OR(Z4="",Z45=""),"",IFERROR(Z4*Z45,""))</f>
        <v/>
      </c>
      <c r="AA44" s="20">
        <f>IF(OR(AA4="",AA45=""),"",IFERROR(AA4*AA45,""))</f>
        <v/>
      </c>
      <c r="AB44" s="20">
        <f>IF(OR(AB4="",AB45=""),"",IFERROR(AB4*AB45,""))</f>
        <v/>
      </c>
      <c r="AC44" s="20">
        <f>IF(OR(AC4="",AC45=""),"",IFERROR(AC4*AC45,""))</f>
        <v/>
      </c>
    </row>
    <row r="45">
      <c r="A45" s="13" t="inlineStr">
        <is>
          <t>% of Sales</t>
        </is>
      </c>
      <c r="B45" s="10" t="inlineStr">
        <is>
          <t>MW = 최근 3년 평균</t>
        </is>
      </c>
      <c r="C45" s="14">
        <f>IF(OR(C44="",C4=""),"",IFERROR(C44/C4,""))</f>
        <v/>
      </c>
      <c r="D45" s="15">
        <f>IF(OR(D44="",D4=""),"",IFERROR(D44/D4,""))</f>
        <v/>
      </c>
      <c r="E45" s="15">
        <f>IF(OR(E44="",E4=""),"",IFERROR(E44/E4,""))</f>
        <v/>
      </c>
      <c r="F45" s="15">
        <f>IF(OR(F44="",F4=""),"",IFERROR(F44/F4,""))</f>
        <v/>
      </c>
      <c r="G45" s="15">
        <f>IF(OR(G44="",G4=""),"",IFERROR(G44/G4,""))</f>
        <v/>
      </c>
      <c r="H45" s="15">
        <f>IF(OR(H44="",H4=""),"",IFERROR(H44/H4,""))</f>
        <v/>
      </c>
      <c r="I45" s="15">
        <f>IF(OR(I44="",I4=""),"",IFERROR(I44/I4,""))</f>
        <v/>
      </c>
      <c r="J45" s="15">
        <f>IF(OR(J44="",J4=""),"",IFERROR(J44/J4,""))</f>
        <v/>
      </c>
      <c r="K45" s="15">
        <f>IF(OR(K44="",K4=""),"",IFERROR(K44/K4,""))</f>
        <v/>
      </c>
      <c r="L45" s="15">
        <f>IF(OR(L44="",L4=""),"",IFERROR(L44/L4,""))</f>
        <v/>
      </c>
      <c r="M45" s="15">
        <f>IF(OR(M44="",M4=""),"",IFERROR(M44/M4,""))</f>
        <v/>
      </c>
      <c r="N45" s="15">
        <f>IF(OR(N44="",N4=""),"",IFERROR(N44/N4,""))</f>
        <v/>
      </c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25">
        <f>IFERROR(AVERAGE(V45,W45,X45),"")</f>
        <v/>
      </c>
      <c r="Z45" s="26">
        <f>Y45</f>
        <v/>
      </c>
      <c r="AA45" s="26">
        <f>Z45</f>
        <v/>
      </c>
      <c r="AB45" s="26">
        <f>AA45</f>
        <v/>
      </c>
      <c r="AC45" s="26">
        <f>AB45</f>
        <v/>
      </c>
    </row>
    <row r="46">
      <c r="A46" s="18" t="inlineStr">
        <is>
          <t>특별손실</t>
        </is>
      </c>
      <c r="B46" s="10" t="n"/>
      <c r="C46" s="19" t="n">
        <v>0.679</v>
      </c>
      <c r="D46" s="20" t="n">
        <v>0.079</v>
      </c>
      <c r="E46" s="20" t="n">
        <v>0.078</v>
      </c>
      <c r="F46" s="20" t="n">
        <v>1.445</v>
      </c>
      <c r="G46" s="20" t="n">
        <v>67.697</v>
      </c>
      <c r="H46" s="20" t="n">
        <v>0.431</v>
      </c>
      <c r="I46" s="20" t="n">
        <v>5.382</v>
      </c>
      <c r="J46" s="20" t="n">
        <v>8.276</v>
      </c>
      <c r="K46" s="20" t="n">
        <v>0</v>
      </c>
      <c r="L46" s="20" t="n">
        <v>0.015</v>
      </c>
      <c r="M46" s="20" t="n">
        <v>0</v>
      </c>
      <c r="N46" s="20" t="n">
        <v>0.128</v>
      </c>
      <c r="O46" s="19" t="n"/>
      <c r="P46" s="20" t="n"/>
      <c r="Q46" s="20" t="n"/>
      <c r="R46" s="20" t="n"/>
      <c r="S46" s="20" t="n"/>
      <c r="T46" s="20" t="n"/>
      <c r="U46" s="20" t="n">
        <v>5.156</v>
      </c>
      <c r="V46" s="20" t="n">
        <v>1.883</v>
      </c>
      <c r="W46" s="20" t="n">
        <v>69.651</v>
      </c>
      <c r="X46" s="20" t="n">
        <v>13.673</v>
      </c>
      <c r="Y46" s="19">
        <f>IF(OR(Y4="",Y47=""),"",IFERROR(Y4*Y47,""))</f>
        <v/>
      </c>
      <c r="Z46" s="20">
        <f>IF(OR(Z4="",Z47=""),"",IFERROR(Z4*Z47,""))</f>
        <v/>
      </c>
      <c r="AA46" s="20">
        <f>IF(OR(AA4="",AA47=""),"",IFERROR(AA4*AA47,""))</f>
        <v/>
      </c>
      <c r="AB46" s="20">
        <f>IF(OR(AB4="",AB47=""),"",IFERROR(AB4*AB47,""))</f>
        <v/>
      </c>
      <c r="AC46" s="20">
        <f>IF(OR(AC4="",AC47=""),"",IFERROR(AC4*AC47,""))</f>
        <v/>
      </c>
    </row>
    <row r="47">
      <c r="A47" s="13" t="inlineStr">
        <is>
          <t>% of Sales</t>
        </is>
      </c>
      <c r="B47" s="10" t="n"/>
      <c r="C47" s="14">
        <f>IF(OR(C46="",C4=""),"",IFERROR(C46/C4,""))</f>
        <v/>
      </c>
      <c r="D47" s="15">
        <f>IF(OR(D46="",D4=""),"",IFERROR(D46/D4,""))</f>
        <v/>
      </c>
      <c r="E47" s="15">
        <f>IF(OR(E46="",E4=""),"",IFERROR(E46/E4,""))</f>
        <v/>
      </c>
      <c r="F47" s="15">
        <f>IF(OR(F46="",F4=""),"",IFERROR(F46/F4,""))</f>
        <v/>
      </c>
      <c r="G47" s="15">
        <f>IF(OR(G46="",G4=""),"",IFERROR(G46/G4,""))</f>
        <v/>
      </c>
      <c r="H47" s="15">
        <f>IF(OR(H46="",H4=""),"",IFERROR(H46/H4,""))</f>
        <v/>
      </c>
      <c r="I47" s="15">
        <f>IF(OR(I46="",I4=""),"",IFERROR(I46/I4,""))</f>
        <v/>
      </c>
      <c r="J47" s="15">
        <f>IF(OR(J46="",J4=""),"",IFERROR(J46/J4,""))</f>
        <v/>
      </c>
      <c r="K47" s="15">
        <f>IF(OR(K46="",K4=""),"",IFERROR(K46/K4,""))</f>
        <v/>
      </c>
      <c r="L47" s="15">
        <f>IF(OR(L46="",L4=""),"",IFERROR(L46/L4,""))</f>
        <v/>
      </c>
      <c r="M47" s="15">
        <f>IF(OR(M46="",M4=""),"",IFERROR(M46/M4,""))</f>
        <v/>
      </c>
      <c r="N47" s="15">
        <f>IF(OR(N46="",N4=""),"",IFERROR(N46/N4,""))</f>
        <v/>
      </c>
      <c r="O47" s="14">
        <f>IF(OR(O46="",O4=""),"",IFERROR(O46/O4,""))</f>
        <v/>
      </c>
      <c r="P47" s="15">
        <f>IF(OR(P46="",P4=""),"",IFERROR(P46/P4,""))</f>
        <v/>
      </c>
      <c r="Q47" s="15">
        <f>IF(OR(Q46="",Q4=""),"",IFERROR(Q46/Q4,""))</f>
        <v/>
      </c>
      <c r="R47" s="15">
        <f>IF(OR(R46="",R4=""),"",IFERROR(R46/R4,""))</f>
        <v/>
      </c>
      <c r="S47" s="15">
        <f>IF(OR(S46="",S4=""),"",IFERROR(S46/S4,""))</f>
        <v/>
      </c>
      <c r="T47" s="15">
        <f>IF(OR(T46="",T4=""),"",IFERROR(T46/T4,""))</f>
        <v/>
      </c>
      <c r="U47" s="15">
        <f>IF(OR(U46="",U4=""),"",IFERROR(U46/U4,""))</f>
        <v/>
      </c>
      <c r="V47" s="15">
        <f>IF(OR(V46="",V4=""),"",IFERROR(V46/V4,""))</f>
        <v/>
      </c>
      <c r="W47" s="15">
        <f>IF(OR(W46="",W4=""),"",IFERROR(W46/W4,""))</f>
        <v/>
      </c>
      <c r="X47" s="15">
        <f>IF(OR(X46="",X4=""),"",IFERROR(X46/X4,""))</f>
        <v/>
      </c>
      <c r="Y47" s="25">
        <f>IFERROR(AVERAGE(V47,W47,X47),"")</f>
        <v/>
      </c>
      <c r="Z47" s="26">
        <f>Y47</f>
        <v/>
      </c>
      <c r="AA47" s="26">
        <f>Z47</f>
        <v/>
      </c>
      <c r="AB47" s="26">
        <f>AA47</f>
        <v/>
      </c>
      <c r="AC47" s="26">
        <f>AB47</f>
        <v/>
      </c>
    </row>
    <row r="48">
      <c r="A48" s="18" t="inlineStr">
        <is>
          <t>영업외수익</t>
        </is>
      </c>
      <c r="B48" s="10" t="n"/>
      <c r="C48" s="19" t="n">
        <v>6.56</v>
      </c>
      <c r="D48" s="20" t="n">
        <v>-13.31</v>
      </c>
      <c r="E48" s="20" t="n">
        <v>8.821</v>
      </c>
      <c r="F48" s="20" t="n">
        <v>15.384</v>
      </c>
      <c r="G48" s="20" t="n">
        <v>13.193</v>
      </c>
      <c r="H48" s="20" t="n">
        <v>17.893</v>
      </c>
      <c r="I48" s="20" t="n">
        <v>10.241</v>
      </c>
      <c r="J48" s="20" t="n">
        <v>13.53</v>
      </c>
      <c r="K48" s="20" t="n">
        <v>7.526</v>
      </c>
      <c r="L48" s="20" t="n">
        <v>14.891</v>
      </c>
      <c r="M48" s="20" t="n">
        <v>18.157</v>
      </c>
      <c r="N48" s="20" t="n">
        <v>17.625</v>
      </c>
      <c r="O48" s="19" t="n"/>
      <c r="P48" s="20" t="n"/>
      <c r="Q48" s="20" t="n"/>
      <c r="R48" s="20" t="n"/>
      <c r="S48" s="20" t="n"/>
      <c r="T48" s="20" t="n"/>
      <c r="U48" s="20" t="n">
        <v>323.189</v>
      </c>
      <c r="V48" s="20" t="n">
        <v>164.515</v>
      </c>
      <c r="W48" s="20" t="n">
        <v>55.291</v>
      </c>
      <c r="X48" s="20" t="n">
        <v>46.188</v>
      </c>
      <c r="Y48" s="19">
        <f>IF(OR(Y4="",Y49=""),"",IFERROR(Y4*Y49,""))</f>
        <v/>
      </c>
      <c r="Z48" s="20">
        <f>IF(OR(Z4="",Z49=""),"",IFERROR(Z4*Z49,""))</f>
        <v/>
      </c>
      <c r="AA48" s="20">
        <f>IF(OR(AA4="",AA49=""),"",IFERROR(AA4*AA49,""))</f>
        <v/>
      </c>
      <c r="AB48" s="20">
        <f>IF(OR(AB4="",AB49=""),"",IFERROR(AB4*AB49,""))</f>
        <v/>
      </c>
      <c r="AC48" s="20">
        <f>IF(OR(AC4="",AC49=""),"",IFERROR(AC4*AC49,""))</f>
        <v/>
      </c>
    </row>
    <row r="49">
      <c r="A49" s="13" t="inlineStr">
        <is>
          <t>% of Sales</t>
        </is>
      </c>
      <c r="B49" s="10" t="n"/>
      <c r="C49" s="14">
        <f>IF(OR(C48="",C4=""),"",IFERROR(C48/C4,""))</f>
        <v/>
      </c>
      <c r="D49" s="15">
        <f>IF(OR(D48="",D4=""),"",IFERROR(D48/D4,""))</f>
        <v/>
      </c>
      <c r="E49" s="15">
        <f>IF(OR(E48="",E4=""),"",IFERROR(E48/E4,""))</f>
        <v/>
      </c>
      <c r="F49" s="15">
        <f>IF(OR(F48="",F4=""),"",IFERROR(F48/F4,""))</f>
        <v/>
      </c>
      <c r="G49" s="15">
        <f>IF(OR(G48="",G4=""),"",IFERROR(G48/G4,""))</f>
        <v/>
      </c>
      <c r="H49" s="15">
        <f>IF(OR(H48="",H4=""),"",IFERROR(H48/H4,""))</f>
        <v/>
      </c>
      <c r="I49" s="15">
        <f>IF(OR(I48="",I4=""),"",IFERROR(I48/I4,""))</f>
        <v/>
      </c>
      <c r="J49" s="15">
        <f>IF(OR(J48="",J4=""),"",IFERROR(J48/J4,""))</f>
        <v/>
      </c>
      <c r="K49" s="15">
        <f>IF(OR(K48="",K4=""),"",IFERROR(K48/K4,""))</f>
        <v/>
      </c>
      <c r="L49" s="15">
        <f>IF(OR(L48="",L4=""),"",IFERROR(L48/L4,""))</f>
        <v/>
      </c>
      <c r="M49" s="15">
        <f>IF(OR(M48="",M4=""),"",IFERROR(M48/M4,""))</f>
        <v/>
      </c>
      <c r="N49" s="15">
        <f>IF(OR(N48="",N4=""),"",IFERROR(N48/N4,""))</f>
        <v/>
      </c>
      <c r="O49" s="14">
        <f>IF(OR(O48="",O4=""),"",IFERROR(O48/O4,""))</f>
        <v/>
      </c>
      <c r="P49" s="15">
        <f>IF(OR(P48="",P4=""),"",IFERROR(P48/P4,""))</f>
        <v/>
      </c>
      <c r="Q49" s="15">
        <f>IF(OR(Q48="",Q4=""),"",IFERROR(Q48/Q4,""))</f>
        <v/>
      </c>
      <c r="R49" s="15">
        <f>IF(OR(R48="",R4=""),"",IFERROR(R48/R4,""))</f>
        <v/>
      </c>
      <c r="S49" s="15">
        <f>IF(OR(S48="",S4=""),"",IFERROR(S48/S4,""))</f>
        <v/>
      </c>
      <c r="T49" s="15">
        <f>IF(OR(T48="",T4=""),"",IFERROR(T48/T4,""))</f>
        <v/>
      </c>
      <c r="U49" s="15">
        <f>IF(OR(U48="",U4=""),"",IFERROR(U48/U4,""))</f>
        <v/>
      </c>
      <c r="V49" s="15">
        <f>IF(OR(V48="",V4=""),"",IFERROR(V48/V4,""))</f>
        <v/>
      </c>
      <c r="W49" s="15">
        <f>IF(OR(W48="",W4=""),"",IFERROR(W48/W4,""))</f>
        <v/>
      </c>
      <c r="X49" s="15">
        <f>IF(OR(X48="",X4=""),"",IFERROR(X48/X4,""))</f>
        <v/>
      </c>
      <c r="Y49" s="25">
        <f>IFERROR(AVERAGE(V49,W49,X49),"")</f>
        <v/>
      </c>
      <c r="Z49" s="26">
        <f>Y49</f>
        <v/>
      </c>
      <c r="AA49" s="26">
        <f>Z49</f>
        <v/>
      </c>
      <c r="AB49" s="26">
        <f>AA49</f>
        <v/>
      </c>
      <c r="AC49" s="26">
        <f>AB49</f>
        <v/>
      </c>
    </row>
    <row r="50">
      <c r="A50" s="18" t="inlineStr">
        <is>
          <t>영업외비용</t>
        </is>
      </c>
      <c r="B50" s="10" t="n"/>
      <c r="C50" s="19" t="n">
        <v>5.879</v>
      </c>
      <c r="D50" s="20" t="n">
        <v>-13.272</v>
      </c>
      <c r="E50" s="20" t="n">
        <v>4.433</v>
      </c>
      <c r="F50" s="20" t="n">
        <v>5.09</v>
      </c>
      <c r="G50" s="20" t="n">
        <v>7.446</v>
      </c>
      <c r="H50" s="20" t="n">
        <v>9.101000000000001</v>
      </c>
      <c r="I50" s="20" t="n">
        <v>37.457</v>
      </c>
      <c r="J50" s="20" t="n">
        <v>21.468</v>
      </c>
      <c r="K50" s="20" t="n">
        <v>21.719</v>
      </c>
      <c r="L50" s="20" t="n">
        <v>25.021</v>
      </c>
      <c r="M50" s="20" t="n">
        <v>30.584</v>
      </c>
      <c r="N50" s="20" t="n">
        <v>24.154</v>
      </c>
      <c r="O50" s="19" t="n"/>
      <c r="P50" s="20" t="n"/>
      <c r="Q50" s="20" t="n"/>
      <c r="R50" s="20" t="n"/>
      <c r="S50" s="20" t="n"/>
      <c r="T50" s="20" t="n"/>
      <c r="U50" s="20" t="n">
        <v>305.314</v>
      </c>
      <c r="V50" s="20" t="n">
        <v>161.539</v>
      </c>
      <c r="W50" s="20" t="n">
        <v>26.07</v>
      </c>
      <c r="X50" s="20" t="n">
        <v>105.665</v>
      </c>
      <c r="Y50" s="19">
        <f>IF(OR(Y4="",Y51=""),"",IFERROR(Y4*Y51,""))</f>
        <v/>
      </c>
      <c r="Z50" s="20">
        <f>IF(OR(Z4="",Z51=""),"",IFERROR(Z4*Z51,""))</f>
        <v/>
      </c>
      <c r="AA50" s="20">
        <f>IF(OR(AA4="",AA51=""),"",IFERROR(AA4*AA51,""))</f>
        <v/>
      </c>
      <c r="AB50" s="20">
        <f>IF(OR(AB4="",AB51=""),"",IFERROR(AB4*AB51,""))</f>
        <v/>
      </c>
      <c r="AC50" s="20">
        <f>IF(OR(AC4="",AC51=""),"",IFERROR(AC4*AC51,""))</f>
        <v/>
      </c>
    </row>
    <row r="51">
      <c r="A51" s="13" t="inlineStr">
        <is>
          <t>% of Sales</t>
        </is>
      </c>
      <c r="B51" s="10" t="n"/>
      <c r="C51" s="14">
        <f>IF(OR(C50="",C4=""),"",IFERROR(C50/C4,""))</f>
        <v/>
      </c>
      <c r="D51" s="15">
        <f>IF(OR(D50="",D4=""),"",IFERROR(D50/D4,""))</f>
        <v/>
      </c>
      <c r="E51" s="15">
        <f>IF(OR(E50="",E4=""),"",IFERROR(E50/E4,""))</f>
        <v/>
      </c>
      <c r="F51" s="15">
        <f>IF(OR(F50="",F4=""),"",IFERROR(F50/F4,""))</f>
        <v/>
      </c>
      <c r="G51" s="15">
        <f>IF(OR(G50="",G4=""),"",IFERROR(G50/G4,""))</f>
        <v/>
      </c>
      <c r="H51" s="15">
        <f>IF(OR(H50="",H4=""),"",IFERROR(H50/H4,""))</f>
        <v/>
      </c>
      <c r="I51" s="15">
        <f>IF(OR(I50="",I4=""),"",IFERROR(I50/I4,""))</f>
        <v/>
      </c>
      <c r="J51" s="15">
        <f>IF(OR(J50="",J4=""),"",IFERROR(J50/J4,""))</f>
        <v/>
      </c>
      <c r="K51" s="15">
        <f>IF(OR(K50="",K4=""),"",IFERROR(K50/K4,""))</f>
        <v/>
      </c>
      <c r="L51" s="15">
        <f>IF(OR(L50="",L4=""),"",IFERROR(L50/L4,""))</f>
        <v/>
      </c>
      <c r="M51" s="15">
        <f>IF(OR(M50="",M4=""),"",IFERROR(M50/M4,""))</f>
        <v/>
      </c>
      <c r="N51" s="15">
        <f>IF(OR(N50="",N4=""),"",IFERROR(N50/N4,""))</f>
        <v/>
      </c>
      <c r="O51" s="14">
        <f>IF(OR(O50="",O4=""),"",IFERROR(O50/O4,""))</f>
        <v/>
      </c>
      <c r="P51" s="15">
        <f>IF(OR(P50="",P4=""),"",IFERROR(P50/P4,""))</f>
        <v/>
      </c>
      <c r="Q51" s="15">
        <f>IF(OR(Q50="",Q4=""),"",IFERROR(Q50/Q4,""))</f>
        <v/>
      </c>
      <c r="R51" s="15">
        <f>IF(OR(R50="",R4=""),"",IFERROR(R50/R4,""))</f>
        <v/>
      </c>
      <c r="S51" s="15">
        <f>IF(OR(S50="",S4=""),"",IFERROR(S50/S4,""))</f>
        <v/>
      </c>
      <c r="T51" s="15">
        <f>IF(OR(T50="",T4=""),"",IFERROR(T50/T4,""))</f>
        <v/>
      </c>
      <c r="U51" s="15">
        <f>IF(OR(U50="",U4=""),"",IFERROR(U50/U4,""))</f>
        <v/>
      </c>
      <c r="V51" s="15">
        <f>IF(OR(V50="",V4=""),"",IFERROR(V50/V4,""))</f>
        <v/>
      </c>
      <c r="W51" s="15">
        <f>IF(OR(W50="",W4=""),"",IFERROR(W50/W4,""))</f>
        <v/>
      </c>
      <c r="X51" s="15">
        <f>IF(OR(X50="",X4=""),"",IFERROR(X50/X4,""))</f>
        <v/>
      </c>
      <c r="Y51" s="25">
        <f>IFERROR(AVERAGE(V51,W51,X51),"")</f>
        <v/>
      </c>
      <c r="Z51" s="26">
        <f>Y51</f>
        <v/>
      </c>
      <c r="AA51" s="26">
        <f>Z51</f>
        <v/>
      </c>
      <c r="AB51" s="26">
        <f>AA51</f>
        <v/>
      </c>
      <c r="AC51" s="26">
        <f>AB51</f>
        <v/>
      </c>
    </row>
    <row r="52">
      <c r="A52" s="9" t="inlineStr">
        <is>
          <t>법인세비용차감전순이익(손실)</t>
        </is>
      </c>
      <c r="B52" s="10" t="n"/>
      <c r="C52" s="11" t="n">
        <v>412.271</v>
      </c>
      <c r="D52" s="12" t="n">
        <v>389.861</v>
      </c>
      <c r="E52" s="12" t="n">
        <v>318.93</v>
      </c>
      <c r="F52" s="12" t="n">
        <v>410.94</v>
      </c>
      <c r="G52" s="12" t="n">
        <v>349.97</v>
      </c>
      <c r="H52" s="12" t="n">
        <v>374.337</v>
      </c>
      <c r="I52" s="12" t="n">
        <v>665.8869999999999</v>
      </c>
      <c r="J52" s="12" t="n">
        <v>190.585</v>
      </c>
      <c r="K52" s="12" t="n">
        <v>409.008</v>
      </c>
      <c r="L52" s="12" t="n">
        <v>690.335</v>
      </c>
      <c r="M52" s="12" t="n">
        <v>463.265</v>
      </c>
      <c r="N52" s="12" t="n">
        <v>574.784</v>
      </c>
      <c r="O52" s="11" t="n"/>
      <c r="P52" s="12" t="n"/>
      <c r="Q52" s="12" t="n"/>
      <c r="R52" s="12" t="n"/>
      <c r="S52" s="12" t="n"/>
      <c r="T52" s="12" t="n"/>
      <c r="U52" s="12" t="n">
        <v>1270.408</v>
      </c>
      <c r="V52" s="12" t="n">
        <v>1310.965</v>
      </c>
      <c r="W52" s="12" t="n">
        <v>1454.177</v>
      </c>
      <c r="X52" s="12" t="n">
        <v>1955.815</v>
      </c>
      <c r="Y52" s="11">
        <f>IF(OR(Y28=""),"",IFERROR(Y28+N(Y44)-N(Y46)+N(Y48)-N(Y50),""))</f>
        <v/>
      </c>
      <c r="Z52" s="12">
        <f>IF(OR(Z28=""),"",IFERROR(Z28+N(Z44)-N(Z46)+N(Z48)-N(Z50),""))</f>
        <v/>
      </c>
      <c r="AA52" s="12">
        <f>IF(OR(AA28=""),"",IFERROR(AA28+N(AA44)-N(AA46)+N(AA48)-N(AA50),""))</f>
        <v/>
      </c>
      <c r="AB52" s="12">
        <f>IF(OR(AB28=""),"",IFERROR(AB28+N(AB44)-N(AB46)+N(AB48)-N(AB50),""))</f>
        <v/>
      </c>
      <c r="AC52" s="12">
        <f>IF(OR(AC28=""),"",IFERROR(AC28+N(AC44)-N(AC46)+N(AC48)-N(AC50),""))</f>
        <v/>
      </c>
    </row>
    <row r="53">
      <c r="A53" s="18" t="inlineStr">
        <is>
          <t>법인세비용(수익)</t>
        </is>
      </c>
      <c r="B53" s="10" t="n"/>
      <c r="C53" s="19" t="n">
        <v>133.035</v>
      </c>
      <c r="D53" s="20" t="n">
        <v>116.086</v>
      </c>
      <c r="E53" s="20" t="n">
        <v>73.72199999999999</v>
      </c>
      <c r="F53" s="20" t="n">
        <v>132.412</v>
      </c>
      <c r="G53" s="20" t="n">
        <v>128.016</v>
      </c>
      <c r="H53" s="20" t="n">
        <v>41.359</v>
      </c>
      <c r="I53" s="20" t="n">
        <v>149.441</v>
      </c>
      <c r="J53" s="20" t="n">
        <v>77.601</v>
      </c>
      <c r="K53" s="20" t="n">
        <v>138.849</v>
      </c>
      <c r="L53" s="20" t="n">
        <v>166.914</v>
      </c>
      <c r="M53" s="20" t="n">
        <v>169.907</v>
      </c>
      <c r="N53" s="20" t="n">
        <v>203.397</v>
      </c>
      <c r="O53" s="19" t="n"/>
      <c r="P53" s="20" t="n"/>
      <c r="Q53" s="20" t="n"/>
      <c r="R53" s="20" t="n"/>
      <c r="S53" s="20" t="n"/>
      <c r="T53" s="20" t="n"/>
      <c r="U53" s="20" t="n">
        <v>439.474</v>
      </c>
      <c r="V53" s="20" t="n">
        <v>463.507</v>
      </c>
      <c r="W53" s="20" t="n">
        <v>375.509</v>
      </c>
      <c r="X53" s="20" t="n">
        <v>532.8049999999999</v>
      </c>
      <c r="Y53" s="19">
        <f>IF(OR(Y52="",Y54=""),"",IFERROR(MAX(Y52,0)*Y54,""))</f>
        <v/>
      </c>
      <c r="Z53" s="20">
        <f>IF(OR(Z52="",Z54=""),"",IFERROR(MAX(Z52,0)*Z54,""))</f>
        <v/>
      </c>
      <c r="AA53" s="20">
        <f>IF(OR(AA52="",AA54=""),"",IFERROR(MAX(AA52,0)*AA54,""))</f>
        <v/>
      </c>
      <c r="AB53" s="20">
        <f>IF(OR(AB52="",AB54=""),"",IFERROR(MAX(AB52,0)*AB54,""))</f>
        <v/>
      </c>
      <c r="AC53" s="20">
        <f>IF(OR(AC52="",AC54=""),"",IFERROR(MAX(AC52,0)*AC54,""))</f>
        <v/>
      </c>
    </row>
    <row r="54">
      <c r="A54" s="13" t="inlineStr">
        <is>
          <t>법인세율</t>
        </is>
      </c>
      <c r="B54" s="10" t="inlineStr">
        <is>
          <t>MW 기본 30%</t>
        </is>
      </c>
      <c r="C54" s="14">
        <f>IF(OR(C53="",C52=""),"",IFERROR(C53/C52,""))</f>
        <v/>
      </c>
      <c r="D54" s="15">
        <f>IF(OR(D53="",D52=""),"",IFERROR(D53/D52,""))</f>
        <v/>
      </c>
      <c r="E54" s="15">
        <f>IF(OR(E53="",E52=""),"",IFERROR(E53/E52,""))</f>
        <v/>
      </c>
      <c r="F54" s="15">
        <f>IF(OR(F53="",F52=""),"",IFERROR(F53/F52,""))</f>
        <v/>
      </c>
      <c r="G54" s="15">
        <f>IF(OR(G53="",G52=""),"",IFERROR(G53/G52,""))</f>
        <v/>
      </c>
      <c r="H54" s="15">
        <f>IF(OR(H53="",H52=""),"",IFERROR(H53/H52,""))</f>
        <v/>
      </c>
      <c r="I54" s="15">
        <f>IF(OR(I53="",I52=""),"",IFERROR(I53/I52,""))</f>
        <v/>
      </c>
      <c r="J54" s="15">
        <f>IF(OR(J53="",J52=""),"",IFERROR(J53/J52,""))</f>
        <v/>
      </c>
      <c r="K54" s="15">
        <f>IF(OR(K53="",K52=""),"",IFERROR(K53/K52,""))</f>
        <v/>
      </c>
      <c r="L54" s="15">
        <f>IF(OR(L53="",L52=""),"",IFERROR(L53/L52,""))</f>
        <v/>
      </c>
      <c r="M54" s="15">
        <f>IF(OR(M53="",M52=""),"",IFERROR(M53/M52,""))</f>
        <v/>
      </c>
      <c r="N54" s="15">
        <f>IF(OR(N53="",N52=""),"",IFERROR(N53/N52,""))</f>
        <v/>
      </c>
      <c r="O54" s="14">
        <f>IF(OR(O53="",O52=""),"",IFERROR(O53/O52,""))</f>
        <v/>
      </c>
      <c r="P54" s="15">
        <f>IF(OR(P53="",P52=""),"",IFERROR(P53/P52,""))</f>
        <v/>
      </c>
      <c r="Q54" s="15">
        <f>IF(OR(Q53="",Q52=""),"",IFERROR(Q53/Q52,""))</f>
        <v/>
      </c>
      <c r="R54" s="15">
        <f>IF(OR(R53="",R52=""),"",IFERROR(R53/R52,""))</f>
        <v/>
      </c>
      <c r="S54" s="15">
        <f>IF(OR(S53="",S52=""),"",IFERROR(S53/S52,""))</f>
        <v/>
      </c>
      <c r="T54" s="15">
        <f>IF(OR(T53="",T52=""),"",IFERROR(T53/T52,""))</f>
        <v/>
      </c>
      <c r="U54" s="15">
        <f>IF(OR(U53="",U52=""),"",IFERROR(U53/U52,""))</f>
        <v/>
      </c>
      <c r="V54" s="15">
        <f>IF(OR(V53="",V52=""),"",IFERROR(V53/V52,""))</f>
        <v/>
      </c>
      <c r="W54" s="15">
        <f>IF(OR(W53="",W52=""),"",IFERROR(W53/W52,""))</f>
        <v/>
      </c>
      <c r="X54" s="15">
        <f>IF(OR(X53="",X52=""),"",IFERROR(X53/X52,""))</f>
        <v/>
      </c>
      <c r="Y54" s="25" t="n">
        <v>0.3</v>
      </c>
      <c r="Z54" s="26" t="n">
        <v>0.3</v>
      </c>
      <c r="AA54" s="26" t="n">
        <v>0.3</v>
      </c>
      <c r="AB54" s="26" t="n">
        <v>0.3</v>
      </c>
      <c r="AC54" s="26" t="n">
        <v>0.3</v>
      </c>
    </row>
    <row r="55">
      <c r="A55" s="9" t="inlineStr">
        <is>
          <t>당기순이익(손실)</t>
        </is>
      </c>
      <c r="B55" s="10" t="n"/>
      <c r="C55" s="11" t="n">
        <v>279.237</v>
      </c>
      <c r="D55" s="12" t="n">
        <v>273.775</v>
      </c>
      <c r="E55" s="12" t="n">
        <v>245.207</v>
      </c>
      <c r="F55" s="12" t="n">
        <v>278.529</v>
      </c>
      <c r="G55" s="12" t="n">
        <v>221.953</v>
      </c>
      <c r="H55" s="12" t="n">
        <v>332.978</v>
      </c>
      <c r="I55" s="12" t="n">
        <v>516.446</v>
      </c>
      <c r="J55" s="12" t="n">
        <v>112.984</v>
      </c>
      <c r="K55" s="12" t="n">
        <v>270.158</v>
      </c>
      <c r="L55" s="12" t="n">
        <v>523.421</v>
      </c>
      <c r="M55" s="12" t="n">
        <v>293.357</v>
      </c>
      <c r="N55" s="12" t="n">
        <v>371.388</v>
      </c>
      <c r="O55" s="11" t="n"/>
      <c r="P55" s="12" t="n"/>
      <c r="Q55" s="12" t="n"/>
      <c r="R55" s="12" t="n"/>
      <c r="S55" s="12" t="n"/>
      <c r="T55" s="12" t="n"/>
      <c r="U55" s="12" t="n">
        <v>830.934</v>
      </c>
      <c r="V55" s="12" t="n">
        <v>847.458</v>
      </c>
      <c r="W55" s="12" t="n">
        <v>1078.667</v>
      </c>
      <c r="X55" s="12" t="n">
        <v>1423.009</v>
      </c>
      <c r="Y55" s="11">
        <f>IF(OR(Y52=""),"",IFERROR(Y52-Y53,""))</f>
        <v/>
      </c>
      <c r="Z55" s="12">
        <f>IF(OR(Z52=""),"",IFERROR(Z52-Z53,""))</f>
        <v/>
      </c>
      <c r="AA55" s="12">
        <f>IF(OR(AA52=""),"",IFERROR(AA52-AA53,""))</f>
        <v/>
      </c>
      <c r="AB55" s="12">
        <f>IF(OR(AB52=""),"",IFERROR(AB52-AB53,""))</f>
        <v/>
      </c>
      <c r="AC55" s="12">
        <f>IF(OR(AC52=""),"",IFERROR(AC52-AC53,""))</f>
        <v/>
      </c>
    </row>
    <row r="56">
      <c r="A56" s="9" t="inlineStr">
        <is>
          <t>지배주주 순이익</t>
        </is>
      </c>
      <c r="B56" s="10" t="n"/>
      <c r="C56" s="11" t="n">
        <v>279.237</v>
      </c>
      <c r="D56" s="12" t="n">
        <v>273.775</v>
      </c>
      <c r="E56" s="12" t="n">
        <v>245.207</v>
      </c>
      <c r="F56" s="12" t="n">
        <v>278.529</v>
      </c>
      <c r="G56" s="12" t="n">
        <v>221.953</v>
      </c>
      <c r="H56" s="12" t="n">
        <v>332.978</v>
      </c>
      <c r="I56" s="12" t="n">
        <v>516.446</v>
      </c>
      <c r="J56" s="12" t="n">
        <v>112.984</v>
      </c>
      <c r="K56" s="12" t="n">
        <v>270.158</v>
      </c>
      <c r="L56" s="12" t="n">
        <v>523.421</v>
      </c>
      <c r="M56" s="12" t="n">
        <v>293.357</v>
      </c>
      <c r="N56" s="12" t="n">
        <v>371.388</v>
      </c>
      <c r="O56" s="11" t="n"/>
      <c r="P56" s="12" t="n"/>
      <c r="Q56" s="12" t="n"/>
      <c r="R56" s="12" t="n"/>
      <c r="S56" s="12" t="n"/>
      <c r="T56" s="12" t="n"/>
      <c r="U56" s="12" t="n">
        <v>830.934</v>
      </c>
      <c r="V56" s="12" t="n">
        <v>847.458</v>
      </c>
      <c r="W56" s="12" t="n">
        <v>1078.667</v>
      </c>
      <c r="X56" s="12" t="n">
        <v>1423.009</v>
      </c>
      <c r="Y56" s="11">
        <f>IF(OR(Y55="",Y57=""),"",IFERROR(Y55*Y57,""))</f>
        <v/>
      </c>
      <c r="Z56" s="12">
        <f>IF(OR(Z55="",Z57=""),"",IFERROR(Z55*Z57,""))</f>
        <v/>
      </c>
      <c r="AA56" s="12">
        <f>IF(OR(AA55="",AA57=""),"",IFERROR(AA55*AA57,""))</f>
        <v/>
      </c>
      <c r="AB56" s="12">
        <f>IF(OR(AB55="",AB57=""),"",IFERROR(AB55*AB57,""))</f>
        <v/>
      </c>
      <c r="AC56" s="12">
        <f>IF(OR(AC55="",AC57=""),"",IFERROR(AC55*AC57,""))</f>
        <v/>
      </c>
    </row>
    <row r="57">
      <c r="A57" s="13" t="inlineStr">
        <is>
          <t>지배주주 순이익률</t>
        </is>
      </c>
      <c r="B57" s="10" t="inlineStr">
        <is>
          <t>MW 기본 100%</t>
        </is>
      </c>
      <c r="C57" s="14">
        <f>IF(OR(C56="",C55=""),"",IFERROR(C56/C55,""))</f>
        <v/>
      </c>
      <c r="D57" s="15">
        <f>IF(OR(D56="",D55=""),"",IFERROR(D56/D55,""))</f>
        <v/>
      </c>
      <c r="E57" s="15">
        <f>IF(OR(E56="",E55=""),"",IFERROR(E56/E55,""))</f>
        <v/>
      </c>
      <c r="F57" s="15">
        <f>IF(OR(F56="",F55=""),"",IFERROR(F56/F55,""))</f>
        <v/>
      </c>
      <c r="G57" s="15">
        <f>IF(OR(G56="",G55=""),"",IFERROR(G56/G55,""))</f>
        <v/>
      </c>
      <c r="H57" s="15">
        <f>IF(OR(H56="",H55=""),"",IFERROR(H56/H55,""))</f>
        <v/>
      </c>
      <c r="I57" s="15">
        <f>IF(OR(I56="",I55=""),"",IFERROR(I56/I55,""))</f>
        <v/>
      </c>
      <c r="J57" s="15">
        <f>IF(OR(J56="",J55=""),"",IFERROR(J56/J55,""))</f>
        <v/>
      </c>
      <c r="K57" s="15">
        <f>IF(OR(K56="",K55=""),"",IFERROR(K56/K55,""))</f>
        <v/>
      </c>
      <c r="L57" s="15">
        <f>IF(OR(L56="",L55=""),"",IFERROR(L56/L55,""))</f>
        <v/>
      </c>
      <c r="M57" s="15">
        <f>IF(OR(M56="",M55=""),"",IFERROR(M56/M55,""))</f>
        <v/>
      </c>
      <c r="N57" s="15">
        <f>IF(OR(N56="",N55=""),"",IFERROR(N56/N55,""))</f>
        <v/>
      </c>
      <c r="O57" s="14">
        <f>IF(OR(O56="",O55=""),"",IFERROR(O56/O55,""))</f>
        <v/>
      </c>
      <c r="P57" s="15">
        <f>IF(OR(P56="",P55=""),"",IFERROR(P56/P55,""))</f>
        <v/>
      </c>
      <c r="Q57" s="15">
        <f>IF(OR(Q56="",Q55=""),"",IFERROR(Q56/Q55,""))</f>
        <v/>
      </c>
      <c r="R57" s="15">
        <f>IF(OR(R56="",R55=""),"",IFERROR(R56/R55,""))</f>
        <v/>
      </c>
      <c r="S57" s="15">
        <f>IF(OR(S56="",S55=""),"",IFERROR(S56/S55,""))</f>
        <v/>
      </c>
      <c r="T57" s="15">
        <f>IF(OR(T56="",T55=""),"",IFERROR(T56/T55,""))</f>
        <v/>
      </c>
      <c r="U57" s="15">
        <f>IF(OR(U56="",U55=""),"",IFERROR(U56/U55,""))</f>
        <v/>
      </c>
      <c r="V57" s="15">
        <f>IF(OR(V56="",V55=""),"",IFERROR(V56/V55,""))</f>
        <v/>
      </c>
      <c r="W57" s="15">
        <f>IF(OR(W56="",W55=""),"",IFERROR(W56/W55,""))</f>
        <v/>
      </c>
      <c r="X57" s="15">
        <f>IF(OR(X56="",X55=""),"",IFERROR(X56/X55,""))</f>
        <v/>
      </c>
      <c r="Y57" s="25" t="n">
        <v>1</v>
      </c>
      <c r="Z57" s="26" t="n">
        <v>1</v>
      </c>
      <c r="AA57" s="26" t="n">
        <v>1</v>
      </c>
      <c r="AB57" s="26" t="n">
        <v>1</v>
      </c>
      <c r="AC57" s="26" t="n">
        <v>1</v>
      </c>
    </row>
    <row r="58">
      <c r="A58" s="16" t="inlineStr">
        <is>
          <t>목표주가 산출</t>
        </is>
      </c>
      <c r="B58" s="16" t="n"/>
      <c r="C58" s="17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7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7" t="n"/>
      <c r="Z58" s="16" t="n"/>
      <c r="AA58" s="16" t="n"/>
      <c r="AB58" s="16" t="n"/>
      <c r="AC58" s="16" t="n"/>
    </row>
    <row r="59">
      <c r="A59" s="18" t="inlineStr">
        <is>
          <t>현재 주가 (2026.10.26)</t>
        </is>
      </c>
      <c r="B59" s="27" t="n">
        <v>1150</v>
      </c>
      <c r="C59" s="28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8" t="n"/>
      <c r="P59" s="29" t="n"/>
      <c r="Q59" s="29" t="n"/>
      <c r="R59" s="29" t="n"/>
      <c r="S59" s="29" t="n"/>
      <c r="T59" s="29" t="n"/>
      <c r="U59" s="29" t="n"/>
      <c r="V59" s="29" t="n"/>
      <c r="W59" s="29" t="n"/>
      <c r="X59" s="29" t="n"/>
      <c r="Y59" s="28" t="n"/>
      <c r="Z59" s="29" t="n"/>
      <c r="AA59" s="29" t="n"/>
      <c r="AB59" s="29" t="n"/>
      <c r="AC59" s="29" t="n"/>
    </row>
    <row r="60">
      <c r="A60" s="18" t="inlineStr">
        <is>
          <t>발행주식수 (보통주)</t>
        </is>
      </c>
      <c r="B60" s="27" t="n">
        <v>13334640</v>
      </c>
      <c r="C60" s="28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8" t="n"/>
      <c r="P60" s="29" t="n"/>
      <c r="Q60" s="29" t="n"/>
      <c r="R60" s="29" t="n"/>
      <c r="S60" s="29" t="n"/>
      <c r="T60" s="29" t="n"/>
      <c r="U60" s="29" t="n"/>
      <c r="V60" s="29" t="n"/>
      <c r="W60" s="29" t="n"/>
      <c r="X60" s="29" t="n"/>
      <c r="Y60" s="28" t="n"/>
      <c r="Z60" s="29" t="n"/>
      <c r="AA60" s="29" t="n"/>
      <c r="AB60" s="29" t="n"/>
      <c r="AC60" s="29" t="n"/>
    </row>
    <row r="61">
      <c r="A61" s="18" t="inlineStr">
        <is>
          <t>시가총액 (백만엔)</t>
        </is>
      </c>
      <c r="B61" s="12">
        <f>IF(OR(B59="",B60=""),"",B59*B60/1000000.0)</f>
        <v/>
      </c>
      <c r="C61" s="19" t="n"/>
      <c r="D61" s="20" t="n"/>
      <c r="E61" s="20" t="n"/>
      <c r="F61" s="20" t="n"/>
      <c r="G61" s="20" t="n"/>
      <c r="H61" s="20" t="n"/>
      <c r="I61" s="20" t="n"/>
      <c r="J61" s="20" t="n"/>
      <c r="K61" s="20" t="n"/>
      <c r="L61" s="20" t="n"/>
      <c r="M61" s="20" t="n"/>
      <c r="N61" s="20" t="n"/>
      <c r="O61" s="19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19" t="n"/>
      <c r="Z61" s="20" t="n"/>
      <c r="AA61" s="20" t="n"/>
      <c r="AB61" s="20" t="n"/>
      <c r="AC61" s="20" t="n"/>
    </row>
    <row r="62">
      <c r="A62" s="13" t="inlineStr">
        <is>
          <t>OPM</t>
        </is>
      </c>
      <c r="B62" s="10" t="n"/>
      <c r="C62" s="14" t="n"/>
      <c r="D62" s="15" t="n"/>
      <c r="E62" s="15" t="n"/>
      <c r="F62" s="15" t="n"/>
      <c r="G62" s="15" t="n"/>
      <c r="H62" s="15" t="n"/>
      <c r="I62" s="15" t="n"/>
      <c r="J62" s="15" t="n"/>
      <c r="K62" s="15" t="n"/>
      <c r="L62" s="15" t="n"/>
      <c r="M62" s="15" t="n"/>
      <c r="N62" s="15" t="n"/>
      <c r="O62" s="14">
        <f>IF(O29="","",O29)</f>
        <v/>
      </c>
      <c r="P62" s="15">
        <f>IF(P29="","",P29)</f>
        <v/>
      </c>
      <c r="Q62" s="15">
        <f>IF(Q29="","",Q29)</f>
        <v/>
      </c>
      <c r="R62" s="15">
        <f>IF(R29="","",R29)</f>
        <v/>
      </c>
      <c r="S62" s="15">
        <f>IF(S29="","",S29)</f>
        <v/>
      </c>
      <c r="T62" s="15">
        <f>IF(T29="","",T29)</f>
        <v/>
      </c>
      <c r="U62" s="15">
        <f>IF(U29="","",U29)</f>
        <v/>
      </c>
      <c r="V62" s="15">
        <f>IF(V29="","",V29)</f>
        <v/>
      </c>
      <c r="W62" s="15">
        <f>IF(W29="","",W29)</f>
        <v/>
      </c>
      <c r="X62" s="15">
        <f>IF(X29="","",X29)</f>
        <v/>
      </c>
      <c r="Y62" s="14">
        <f>IF(Y29="","",Y29)</f>
        <v/>
      </c>
      <c r="Z62" s="15">
        <f>IF(Z29="","",Z29)</f>
        <v/>
      </c>
      <c r="AA62" s="15">
        <f>IF(AA29="","",AA29)</f>
        <v/>
      </c>
      <c r="AB62" s="15">
        <f>IF(AB29="","",AB29)</f>
        <v/>
      </c>
      <c r="AC62" s="15">
        <f>IF(AC29="","",AC29)</f>
        <v/>
      </c>
    </row>
    <row r="63">
      <c r="A63" s="13" t="inlineStr">
        <is>
          <t>지배주주 순이익 증가율</t>
        </is>
      </c>
      <c r="B63" s="10" t="n"/>
      <c r="C63" s="14" t="n"/>
      <c r="D63" s="15" t="n"/>
      <c r="E63" s="15" t="n"/>
      <c r="F63" s="15" t="n"/>
      <c r="G63" s="15" t="n"/>
      <c r="H63" s="15" t="n"/>
      <c r="I63" s="15" t="n"/>
      <c r="J63" s="15" t="n"/>
      <c r="K63" s="15" t="n"/>
      <c r="L63" s="15" t="n"/>
      <c r="M63" s="15" t="n"/>
      <c r="N63" s="15" t="n"/>
      <c r="O63" s="14" t="n"/>
      <c r="P63" s="15">
        <f>IF(OR(P56="",O56=""),"",IFERROR(P56/O56-1,""))</f>
        <v/>
      </c>
      <c r="Q63" s="15">
        <f>IF(OR(Q56="",P56=""),"",IFERROR(Q56/P56-1,""))</f>
        <v/>
      </c>
      <c r="R63" s="15">
        <f>IF(OR(R56="",Q56=""),"",IFERROR(R56/Q56-1,""))</f>
        <v/>
      </c>
      <c r="S63" s="15">
        <f>IF(OR(S56="",R56=""),"",IFERROR(S56/R56-1,""))</f>
        <v/>
      </c>
      <c r="T63" s="15">
        <f>IF(OR(T56="",S56=""),"",IFERROR(T56/S56-1,""))</f>
        <v/>
      </c>
      <c r="U63" s="15">
        <f>IF(OR(U56="",T56=""),"",IFERROR(U56/T56-1,""))</f>
        <v/>
      </c>
      <c r="V63" s="15">
        <f>IF(OR(V56="",U56=""),"",IFERROR(V56/U56-1,""))</f>
        <v/>
      </c>
      <c r="W63" s="15">
        <f>IF(OR(W56="",V56=""),"",IFERROR(W56/V56-1,""))</f>
        <v/>
      </c>
      <c r="X63" s="15">
        <f>IF(OR(X56="",W56=""),"",IFERROR(X56/W56-1,""))</f>
        <v/>
      </c>
      <c r="Y63" s="14">
        <f>IF(OR(Y56="",X56=""),"",IFERROR(Y56/X56-1,""))</f>
        <v/>
      </c>
      <c r="Z63" s="15">
        <f>IF(OR(Z56="",Y56=""),"",IFERROR(Z56/Y56-1,""))</f>
        <v/>
      </c>
      <c r="AA63" s="15">
        <f>IF(OR(AA56="",Z56=""),"",IFERROR(AA56/Z56-1,""))</f>
        <v/>
      </c>
      <c r="AB63" s="15">
        <f>IF(OR(AB56="",AA56=""),"",IFERROR(AB56/AA56-1,""))</f>
        <v/>
      </c>
      <c r="AC63" s="15">
        <f>IF(OR(AC56="",AB56=""),"",IFERROR(AC56/AB56-1,""))</f>
        <v/>
      </c>
    </row>
    <row r="64">
      <c r="A64" s="18" t="inlineStr">
        <is>
          <t>P/E (현재 주가)</t>
        </is>
      </c>
      <c r="B64" s="10" t="inlineStr">
        <is>
          <t>시총 ÷ 지배순이익</t>
        </is>
      </c>
      <c r="C64" s="30" t="n"/>
      <c r="D64" s="31" t="n"/>
      <c r="E64" s="31" t="n"/>
      <c r="F64" s="31" t="n"/>
      <c r="G64" s="31" t="n"/>
      <c r="H64" s="31" t="n"/>
      <c r="I64" s="31" t="n"/>
      <c r="J64" s="31" t="n"/>
      <c r="K64" s="31" t="n"/>
      <c r="L64" s="31" t="n"/>
      <c r="M64" s="31" t="n"/>
      <c r="N64" s="31" t="n"/>
      <c r="O64" s="30" t="n"/>
      <c r="P64" s="31" t="n"/>
      <c r="Q64" s="31" t="n"/>
      <c r="R64" s="31" t="n"/>
      <c r="S64" s="31" t="n"/>
      <c r="T64" s="31" t="n"/>
      <c r="U64" s="31" t="n"/>
      <c r="V64" s="31" t="n"/>
      <c r="W64" s="31" t="n"/>
      <c r="X64" s="31">
        <f>IF(OR($B$61="",X56=""),"",IFERROR($B$61/X56,""))</f>
        <v/>
      </c>
      <c r="Y64" s="30">
        <f>IF(OR($B$61="",Y56=""),"",IFERROR($B$61/Y56,""))</f>
        <v/>
      </c>
      <c r="Z64" s="31">
        <f>IF(OR($B$61="",Z56=""),"",IFERROR($B$61/Z56,""))</f>
        <v/>
      </c>
      <c r="AA64" s="31">
        <f>IF(OR($B$61="",AA56=""),"",IFERROR($B$61/AA56,""))</f>
        <v/>
      </c>
      <c r="AB64" s="31">
        <f>IF(OR($B$61="",AB56=""),"",IFERROR($B$61/AB56,""))</f>
        <v/>
      </c>
      <c r="AC64" s="31">
        <f>IF(OR($B$61="",AC56=""),"",IFERROR($B$61/AC56,""))</f>
        <v/>
      </c>
    </row>
    <row r="65">
      <c r="A65" s="18" t="inlineStr">
        <is>
          <t>Target P/E</t>
        </is>
      </c>
      <c r="B65" s="10" t="inlineStr">
        <is>
          <t>직접 입력</t>
        </is>
      </c>
      <c r="C65" s="30" t="n"/>
      <c r="D65" s="31" t="n"/>
      <c r="E65" s="31" t="n"/>
      <c r="F65" s="31" t="n"/>
      <c r="G65" s="31" t="n"/>
      <c r="H65" s="31" t="n"/>
      <c r="I65" s="31" t="n"/>
      <c r="J65" s="31" t="n"/>
      <c r="K65" s="31" t="n"/>
      <c r="L65" s="31" t="n"/>
      <c r="M65" s="31" t="n"/>
      <c r="N65" s="31" t="n"/>
      <c r="O65" s="30" t="n"/>
      <c r="P65" s="31" t="n"/>
      <c r="Q65" s="31" t="n"/>
      <c r="R65" s="31" t="n"/>
      <c r="S65" s="31" t="n"/>
      <c r="T65" s="31" t="n"/>
      <c r="U65" s="31" t="n"/>
      <c r="V65" s="31" t="n"/>
      <c r="W65" s="31" t="n"/>
      <c r="X65" s="31" t="n"/>
      <c r="Y65" s="32" t="n"/>
      <c r="Z65" s="33" t="n"/>
      <c r="AA65" s="33" t="n"/>
      <c r="AB65" s="33" t="n"/>
      <c r="AC65" s="33" t="n"/>
    </row>
    <row r="66">
      <c r="A66" s="18" t="inlineStr">
        <is>
          <t>EPS</t>
        </is>
      </c>
      <c r="B66" s="10" t="inlineStr">
        <is>
          <t>지배순이익 ÷ 주식수</t>
        </is>
      </c>
      <c r="C66" s="28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8">
        <f>IF(OR(O56="",$B$60=""),"",IFERROR(O56*1000000.0/$B$60,""))</f>
        <v/>
      </c>
      <c r="P66" s="29">
        <f>IF(OR(P56="",$B$60=""),"",IFERROR(P56*1000000.0/$B$60,""))</f>
        <v/>
      </c>
      <c r="Q66" s="29">
        <f>IF(OR(Q56="",$B$60=""),"",IFERROR(Q56*1000000.0/$B$60,""))</f>
        <v/>
      </c>
      <c r="R66" s="29">
        <f>IF(OR(R56="",$B$60=""),"",IFERROR(R56*1000000.0/$B$60,""))</f>
        <v/>
      </c>
      <c r="S66" s="29">
        <f>IF(OR(S56="",$B$60=""),"",IFERROR(S56*1000000.0/$B$60,""))</f>
        <v/>
      </c>
      <c r="T66" s="29">
        <f>IF(OR(T56="",$B$60=""),"",IFERROR(T56*1000000.0/$B$60,""))</f>
        <v/>
      </c>
      <c r="U66" s="29">
        <f>IF(OR(U56="",$B$60=""),"",IFERROR(U56*1000000.0/$B$60,""))</f>
        <v/>
      </c>
      <c r="V66" s="29">
        <f>IF(OR(V56="",$B$60=""),"",IFERROR(V56*1000000.0/$B$60,""))</f>
        <v/>
      </c>
      <c r="W66" s="29">
        <f>IF(OR(W56="",$B$60=""),"",IFERROR(W56*1000000.0/$B$60,""))</f>
        <v/>
      </c>
      <c r="X66" s="29">
        <f>IF(OR(X56="",$B$60=""),"",IFERROR(X56*1000000.0/$B$60,""))</f>
        <v/>
      </c>
      <c r="Y66" s="28">
        <f>IF(OR(Y56="",$B$60=""),"",IFERROR(Y56*1000000.0/$B$60,""))</f>
        <v/>
      </c>
      <c r="Z66" s="29">
        <f>IF(OR(Z56="",$B$60=""),"",IFERROR(Z56*1000000.0/$B$60,""))</f>
        <v/>
      </c>
      <c r="AA66" s="29">
        <f>IF(OR(AA56="",$B$60=""),"",IFERROR(AA56*1000000.0/$B$60,""))</f>
        <v/>
      </c>
      <c r="AB66" s="29">
        <f>IF(OR(AB56="",$B$60=""),"",IFERROR(AB56*1000000.0/$B$60,""))</f>
        <v/>
      </c>
      <c r="AC66" s="29">
        <f>IF(OR(AC56="",$B$60=""),"",IFERROR(AC56*1000000.0/$B$60,""))</f>
        <v/>
      </c>
    </row>
    <row r="67">
      <c r="A67" s="9" t="inlineStr">
        <is>
          <t>목표주가</t>
        </is>
      </c>
      <c r="B67" s="10" t="n"/>
      <c r="C67" s="34" t="n"/>
      <c r="D67" s="27" t="n"/>
      <c r="E67" s="27" t="n"/>
      <c r="F67" s="27" t="n"/>
      <c r="G67" s="27" t="n"/>
      <c r="H67" s="27" t="n"/>
      <c r="I67" s="27" t="n"/>
      <c r="J67" s="27" t="n"/>
      <c r="K67" s="27" t="n"/>
      <c r="L67" s="27" t="n"/>
      <c r="M67" s="27" t="n"/>
      <c r="N67" s="27" t="n"/>
      <c r="O67" s="34" t="n"/>
      <c r="P67" s="27" t="n"/>
      <c r="Q67" s="27" t="n"/>
      <c r="R67" s="27" t="n"/>
      <c r="S67" s="27" t="n"/>
      <c r="T67" s="27" t="n"/>
      <c r="U67" s="27" t="n"/>
      <c r="V67" s="27" t="n"/>
      <c r="W67" s="27" t="n"/>
      <c r="X67" s="27" t="n"/>
      <c r="Y67" s="34">
        <f>IF(OR(Y66="",Y65=""),"",IFERROR(Y66*Y65,""))</f>
        <v/>
      </c>
      <c r="Z67" s="27">
        <f>IF(OR(Z66="",Z65=""),"",IFERROR(Z66*Z65,""))</f>
        <v/>
      </c>
      <c r="AA67" s="27">
        <f>IF(OR(AA66="",AA65=""),"",IFERROR(AA66*AA65,""))</f>
        <v/>
      </c>
      <c r="AB67" s="27">
        <f>IF(OR(AB66="",AB65=""),"",IFERROR(AB66*AB65,""))</f>
        <v/>
      </c>
      <c r="AC67" s="27">
        <f>IF(OR(AC66="",AC65=""),"",IFERROR(AC66*AC65,""))</f>
        <v/>
      </c>
    </row>
    <row r="68">
      <c r="A68" s="18" t="inlineStr">
        <is>
          <t>상승여력</t>
        </is>
      </c>
      <c r="B68" s="10" t="n"/>
      <c r="C68" s="35" t="n"/>
      <c r="D68" s="36" t="n"/>
      <c r="E68" s="36" t="n"/>
      <c r="F68" s="36" t="n"/>
      <c r="G68" s="36" t="n"/>
      <c r="H68" s="36" t="n"/>
      <c r="I68" s="36" t="n"/>
      <c r="J68" s="36" t="n"/>
      <c r="K68" s="36" t="n"/>
      <c r="L68" s="36" t="n"/>
      <c r="M68" s="36" t="n"/>
      <c r="N68" s="36" t="n"/>
      <c r="O68" s="35" t="n"/>
      <c r="P68" s="36" t="n"/>
      <c r="Q68" s="36" t="n"/>
      <c r="R68" s="36" t="n"/>
      <c r="S68" s="36" t="n"/>
      <c r="T68" s="36" t="n"/>
      <c r="U68" s="36" t="n"/>
      <c r="V68" s="36" t="n"/>
      <c r="W68" s="36" t="n"/>
      <c r="X68" s="36" t="n"/>
      <c r="Y68" s="37">
        <f>IF(OR(Y67="",$B$59=""),"",IFERROR(Y67/$B$59-1,""))</f>
        <v/>
      </c>
      <c r="Z68" s="38">
        <f>IF(OR(Z67="",$B$59=""),"",IFERROR(Z67/$B$59-1,""))</f>
        <v/>
      </c>
      <c r="AA68" s="38">
        <f>IF(OR(AA67="",$B$59=""),"",IFERROR(AA67/$B$59-1,""))</f>
        <v/>
      </c>
      <c r="AB68" s="38">
        <f>IF(OR(AB67="",$B$59=""),"",IFERROR(AB67/$B$59-1,""))</f>
        <v/>
      </c>
      <c r="AC68" s="38">
        <f>IF(OR(AC67="",$B$59=""),"",IFERROR(AC67/$B$59-1,""))</f>
        <v/>
      </c>
    </row>
    <row r="69">
      <c r="A69" s="16" t="inlineStr">
        <is>
          <t>자산가치 산출</t>
        </is>
      </c>
      <c r="B69" s="16" t="inlineStr">
        <is>
          <t>최신 분기 BS</t>
        </is>
      </c>
      <c r="C69" s="17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  <c r="M69" s="16" t="n"/>
      <c r="N69" s="16" t="n"/>
      <c r="O69" s="17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7" t="n"/>
      <c r="Z69" s="16" t="n"/>
      <c r="AA69" s="16" t="n"/>
      <c r="AB69" s="16" t="n"/>
      <c r="AC69" s="16" t="n"/>
    </row>
    <row r="70">
      <c r="A70" s="18" t="inlineStr">
        <is>
          <t>현금및현금성자산</t>
        </is>
      </c>
      <c r="B70" s="10" t="n"/>
      <c r="C70" s="19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19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>
        <f>'재무상태표'!G6</f>
        <v/>
      </c>
      <c r="Y70" s="19">
        <f>'재무상태표'!G6</f>
        <v/>
      </c>
      <c r="Z70" s="20">
        <f>'재무상태표'!G6</f>
        <v/>
      </c>
      <c r="AA70" s="20">
        <f>'재무상태표'!G6</f>
        <v/>
      </c>
      <c r="AB70" s="20">
        <f>'재무상태표'!G6</f>
        <v/>
      </c>
      <c r="AC70" s="20">
        <f>'재무상태표'!G6</f>
        <v/>
      </c>
    </row>
    <row r="71">
      <c r="A71" s="18" t="inlineStr">
        <is>
          <t>단기금융상품</t>
        </is>
      </c>
      <c r="B71" s="10" t="n"/>
      <c r="C71" s="19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19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>
        <f>'재무상태표'!G7</f>
        <v/>
      </c>
      <c r="Y71" s="19">
        <f>'재무상태표'!G7</f>
        <v/>
      </c>
      <c r="Z71" s="20">
        <f>'재무상태표'!G7</f>
        <v/>
      </c>
      <c r="AA71" s="20">
        <f>'재무상태표'!G7</f>
        <v/>
      </c>
      <c r="AB71" s="20">
        <f>'재무상태표'!G7</f>
        <v/>
      </c>
      <c r="AC71" s="20">
        <f>'재무상태표'!G7</f>
        <v/>
      </c>
    </row>
    <row r="72">
      <c r="A72" s="18" t="inlineStr">
        <is>
          <t>투자부동산</t>
        </is>
      </c>
      <c r="B72" s="10" t="n"/>
      <c r="C72" s="19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19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>
        <f>'재무상태표'!G14</f>
        <v/>
      </c>
      <c r="Y72" s="19">
        <f>'재무상태표'!G14</f>
        <v/>
      </c>
      <c r="Z72" s="20">
        <f>'재무상태표'!G14</f>
        <v/>
      </c>
      <c r="AA72" s="20">
        <f>'재무상태표'!G14</f>
        <v/>
      </c>
      <c r="AB72" s="20">
        <f>'재무상태표'!G14</f>
        <v/>
      </c>
      <c r="AC72" s="20">
        <f>'재무상태표'!G14</f>
        <v/>
      </c>
    </row>
    <row r="73">
      <c r="A73" s="18" t="inlineStr">
        <is>
          <t>지배자본</t>
        </is>
      </c>
      <c r="B73" s="10" t="n"/>
      <c r="C73" s="19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19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>
        <f>'재무상태표'!G31</f>
        <v/>
      </c>
      <c r="Y73" s="19">
        <f>'재무상태표'!G31</f>
        <v/>
      </c>
      <c r="Z73" s="20">
        <f>'재무상태표'!G31</f>
        <v/>
      </c>
      <c r="AA73" s="20">
        <f>'재무상태표'!G31</f>
        <v/>
      </c>
      <c r="AB73" s="20">
        <f>'재무상태표'!G31</f>
        <v/>
      </c>
      <c r="AC73" s="20">
        <f>'재무상태표'!G31</f>
        <v/>
      </c>
    </row>
    <row r="74">
      <c r="A74" s="18" t="inlineStr">
        <is>
          <t>부채</t>
        </is>
      </c>
      <c r="B74" s="10" t="n"/>
      <c r="C74" s="19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19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>
        <f>'재무상태표'!G27</f>
        <v/>
      </c>
      <c r="Y74" s="19">
        <f>'재무상태표'!G27</f>
        <v/>
      </c>
      <c r="Z74" s="20">
        <f>'재무상태표'!G27</f>
        <v/>
      </c>
      <c r="AA74" s="20">
        <f>'재무상태표'!G27</f>
        <v/>
      </c>
      <c r="AB74" s="20">
        <f>'재무상태표'!G27</f>
        <v/>
      </c>
      <c r="AC74" s="20">
        <f>'재무상태표'!G27</f>
        <v/>
      </c>
    </row>
    <row r="75">
      <c r="A75" s="13" t="inlineStr">
        <is>
          <t>부채비율</t>
        </is>
      </c>
      <c r="B75" s="10" t="n"/>
      <c r="C75" s="14" t="n"/>
      <c r="D75" s="15" t="n"/>
      <c r="E75" s="15" t="n"/>
      <c r="F75" s="15" t="n"/>
      <c r="G75" s="15" t="n"/>
      <c r="H75" s="15" t="n"/>
      <c r="I75" s="15" t="n"/>
      <c r="J75" s="15" t="n"/>
      <c r="K75" s="15" t="n"/>
      <c r="L75" s="15" t="n"/>
      <c r="M75" s="15" t="n"/>
      <c r="N75" s="15" t="n"/>
      <c r="O75" s="14" t="n"/>
      <c r="P75" s="15" t="n"/>
      <c r="Q75" s="15" t="n"/>
      <c r="R75" s="15" t="n"/>
      <c r="S75" s="15" t="n"/>
      <c r="T75" s="15" t="n"/>
      <c r="U75" s="15" t="n"/>
      <c r="V75" s="15" t="n"/>
      <c r="W75" s="15" t="n"/>
      <c r="X75" s="15">
        <f>IF(OR(X74="",X73=""),"",IFERROR(X74/X73,""))</f>
        <v/>
      </c>
      <c r="Y75" s="14">
        <f>IF(OR(Y74="",Y73=""),"",IFERROR(Y74/Y73,""))</f>
        <v/>
      </c>
      <c r="Z75" s="15">
        <f>IF(OR(Z74="",Z73=""),"",IFERROR(Z74/Z73,""))</f>
        <v/>
      </c>
      <c r="AA75" s="15">
        <f>IF(OR(AA74="",AA73=""),"",IFERROR(AA74/AA73,""))</f>
        <v/>
      </c>
      <c r="AB75" s="15">
        <f>IF(OR(AB74="",AB73=""),"",IFERROR(AB74/AB73,""))</f>
        <v/>
      </c>
      <c r="AC75" s="15">
        <f>IF(OR(AC74="",AC73=""),"",IFERROR(AC74/AC73,""))</f>
        <v/>
      </c>
    </row>
    <row r="76">
      <c r="A76" s="9" t="inlineStr">
        <is>
          <t>자산가치</t>
        </is>
      </c>
      <c r="B76" s="10" t="inlineStr">
        <is>
          <t>현금+단기금융+투자부동산</t>
        </is>
      </c>
      <c r="C76" s="11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1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>
        <f>SUM(X70,X71,X72)</f>
        <v/>
      </c>
      <c r="Y76" s="11">
        <f>SUM(Y70,Y71,Y72)</f>
        <v/>
      </c>
      <c r="Z76" s="12">
        <f>SUM(Z70,Z71,Z72)</f>
        <v/>
      </c>
      <c r="AA76" s="12">
        <f>SUM(AA70,AA71,AA72)</f>
        <v/>
      </c>
      <c r="AB76" s="12">
        <f>SUM(AB70,AB71,AB72)</f>
        <v/>
      </c>
      <c r="AC76" s="12">
        <f>SUM(AC70,AC71,AC72)</f>
        <v/>
      </c>
    </row>
    <row r="77">
      <c r="A77" s="16" t="inlineStr">
        <is>
          <t>기업가치 산출</t>
        </is>
      </c>
      <c r="B77" s="16" t="n"/>
      <c r="C77" s="17" t="n"/>
      <c r="D77" s="16" t="n"/>
      <c r="E77" s="16" t="n"/>
      <c r="F77" s="16" t="n"/>
      <c r="G77" s="16" t="n"/>
      <c r="H77" s="16" t="n"/>
      <c r="I77" s="16" t="n"/>
      <c r="J77" s="16" t="n"/>
      <c r="K77" s="16" t="n"/>
      <c r="L77" s="16" t="n"/>
      <c r="M77" s="16" t="n"/>
      <c r="N77" s="16" t="n"/>
      <c r="O77" s="17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7" t="n"/>
      <c r="Z77" s="16" t="n"/>
      <c r="AA77" s="16" t="n"/>
      <c r="AB77" s="16" t="n"/>
      <c r="AC77" s="16" t="n"/>
    </row>
    <row r="78">
      <c r="A78" s="18" t="inlineStr">
        <is>
          <t>목표 시가총액 (P/E)</t>
        </is>
      </c>
      <c r="B78" s="10" t="inlineStr">
        <is>
          <t>지배순이익 × Target P/E</t>
        </is>
      </c>
      <c r="C78" s="19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19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19">
        <f>IF(OR(Y56="",Y65=""),"",IFERROR(Y56*Y65,""))</f>
        <v/>
      </c>
      <c r="Z78" s="20">
        <f>IF(OR(Z56="",Z65=""),"",IFERROR(Z56*Z65,""))</f>
        <v/>
      </c>
      <c r="AA78" s="20">
        <f>IF(OR(AA56="",AA65=""),"",IFERROR(AA56*AA65,""))</f>
        <v/>
      </c>
      <c r="AB78" s="20">
        <f>IF(OR(AB56="",AB65=""),"",IFERROR(AB56*AB65,""))</f>
        <v/>
      </c>
      <c r="AC78" s="20">
        <f>IF(OR(AC56="",AC65=""),"",IFERROR(AC56*AC65,""))</f>
        <v/>
      </c>
    </row>
    <row r="79">
      <c r="A79" s="9" t="inlineStr">
        <is>
          <t>기업가치</t>
        </is>
      </c>
      <c r="B79" s="10" t="inlineStr">
        <is>
          <t>목표시총 + 자산가치</t>
        </is>
      </c>
      <c r="C79" s="11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1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 t="n"/>
      <c r="Y79" s="11">
        <f>IF(OR(Y78=""),"",IFERROR(Y78+Y76,""))</f>
        <v/>
      </c>
      <c r="Z79" s="12">
        <f>IF(OR(Z78=""),"",IFERROR(Z78+Z76,""))</f>
        <v/>
      </c>
      <c r="AA79" s="12">
        <f>IF(OR(AA78=""),"",IFERROR(AA78+AA76,""))</f>
        <v/>
      </c>
      <c r="AB79" s="12">
        <f>IF(OR(AB78=""),"",IFERROR(AB78+AB76,""))</f>
        <v/>
      </c>
      <c r="AC79" s="12">
        <f>IF(OR(AC78=""),"",IFERROR(AC78+AC76,""))</f>
        <v/>
      </c>
    </row>
    <row r="80">
      <c r="A80" s="18" t="inlineStr">
        <is>
          <t>현재 시가총액</t>
        </is>
      </c>
      <c r="B80" s="10" t="n"/>
      <c r="C80" s="19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19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19">
        <f>$B$61</f>
        <v/>
      </c>
      <c r="Z80" s="20">
        <f>$B$61</f>
        <v/>
      </c>
      <c r="AA80" s="20">
        <f>$B$61</f>
        <v/>
      </c>
      <c r="AB80" s="20">
        <f>$B$61</f>
        <v/>
      </c>
      <c r="AC80" s="20">
        <f>$B$61</f>
        <v/>
      </c>
    </row>
    <row r="81">
      <c r="A81" s="18" t="inlineStr">
        <is>
          <t>상승여력</t>
        </is>
      </c>
      <c r="B81" s="10" t="n"/>
      <c r="C81" s="35" t="n"/>
      <c r="D81" s="36" t="n"/>
      <c r="E81" s="36" t="n"/>
      <c r="F81" s="36" t="n"/>
      <c r="G81" s="36" t="n"/>
      <c r="H81" s="36" t="n"/>
      <c r="I81" s="36" t="n"/>
      <c r="J81" s="36" t="n"/>
      <c r="K81" s="36" t="n"/>
      <c r="L81" s="36" t="n"/>
      <c r="M81" s="36" t="n"/>
      <c r="N81" s="36" t="n"/>
      <c r="O81" s="35" t="n"/>
      <c r="P81" s="36" t="n"/>
      <c r="Q81" s="36" t="n"/>
      <c r="R81" s="36" t="n"/>
      <c r="S81" s="36" t="n"/>
      <c r="T81" s="36" t="n"/>
      <c r="U81" s="36" t="n"/>
      <c r="V81" s="36" t="n"/>
      <c r="W81" s="36" t="n"/>
      <c r="X81" s="36" t="n"/>
      <c r="Y81" s="37">
        <f>IF(OR(Y79="",Y80=""),"",IFERROR(Y79/Y80-1,""))</f>
        <v/>
      </c>
      <c r="Z81" s="38">
        <f>IF(OR(Z79="",Z80=""),"",IFERROR(Z79/Z80-1,""))</f>
        <v/>
      </c>
      <c r="AA81" s="38">
        <f>IF(OR(AA79="",AA80=""),"",IFERROR(AA79/AA80-1,""))</f>
        <v/>
      </c>
      <c r="AB81" s="38">
        <f>IF(OR(AB79="",AB80=""),"",IFERROR(AB79/AB80-1,""))</f>
        <v/>
      </c>
      <c r="AC81" s="38">
        <f>IF(OR(AC79="",AC80=""),"",IFERROR(AC79/AC80-1,""))</f>
        <v/>
      </c>
    </row>
    <row r="82">
      <c r="C82" s="39" t="n"/>
      <c r="O82" s="39" t="n"/>
      <c r="Y82" s="39" t="n"/>
    </row>
    <row r="83">
      <c r="A83" s="40" t="inlineStr">
        <is>
          <t>출처</t>
        </is>
      </c>
      <c r="C83" s="39" t="n"/>
      <c r="O83" s="39" t="n"/>
      <c r="Y83" s="39" t="n"/>
    </row>
    <row r="84">
      <c r="A84" s="41" t="inlineStr">
        <is>
          <t>결산단신 XBRL(TDnet·JPX 보관소) — 쓴 문서는 '출처' 시트</t>
        </is>
      </c>
      <c r="C84" s="39" t="n"/>
      <c r="O84" s="39" t="n"/>
      <c r="Y84" s="39" t="n"/>
    </row>
    <row r="85">
      <c r="A85" s="41" t="inlineStr">
        <is>
          <t>분기 = 누계에서 앞 분기를 뺀 3개월 값</t>
        </is>
      </c>
      <c r="C85" s="39" t="n"/>
      <c r="O85" s="39" t="n"/>
      <c r="Y85" s="39" t="n"/>
    </row>
    <row r="86">
      <c r="A86" s="41" t="inlineStr">
        <is>
          <t>주가: 야후 파이낸스 일봉 2026.10.26</t>
        </is>
      </c>
      <c r="C86" s="39" t="n"/>
      <c r="O86" s="39" t="n"/>
      <c r="Y86" s="39" t="n"/>
    </row>
    <row r="88">
      <c r="A88" s="16" t="inlineStr">
        <is>
          <t>손익계산서 · 전 항목</t>
        </is>
      </c>
      <c r="B88" s="42" t="inlineStr">
        <is>
          <t>분기 = 3개월 단독</t>
        </is>
      </c>
      <c r="C88" s="16" t="n"/>
      <c r="D88" s="16" t="n"/>
      <c r="E88" s="16" t="n"/>
      <c r="F88" s="16" t="n"/>
      <c r="G88" s="16" t="n"/>
      <c r="H88" s="16" t="n"/>
      <c r="I88" s="16" t="n"/>
      <c r="J88" s="16" t="n"/>
      <c r="K88" s="16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  <c r="AA88" s="16" t="n"/>
      <c r="AB88" s="16" t="n"/>
      <c r="AC88" s="16" t="n"/>
    </row>
    <row r="89">
      <c r="A89" s="5" t="inlineStr">
        <is>
          <t>항목</t>
        </is>
      </c>
      <c r="B89" s="5" t="inlineStr">
        <is>
          <t>참고</t>
        </is>
      </c>
      <c r="C89" s="5" t="inlineStr">
        <is>
          <t>2024.3Q</t>
        </is>
      </c>
      <c r="D89" s="5" t="inlineStr">
        <is>
          <t>2024.4Q</t>
        </is>
      </c>
      <c r="E89" s="5" t="inlineStr">
        <is>
          <t>2025.1Q</t>
        </is>
      </c>
      <c r="F89" s="5" t="inlineStr">
        <is>
          <t>2025.2Q</t>
        </is>
      </c>
      <c r="G89" s="5" t="inlineStr">
        <is>
          <t>2025.3Q</t>
        </is>
      </c>
      <c r="H89" s="5" t="inlineStr">
        <is>
          <t>2025.4Q</t>
        </is>
      </c>
      <c r="I89" s="5" t="inlineStr">
        <is>
          <t>2026.1Q</t>
        </is>
      </c>
      <c r="J89" s="5" t="inlineStr">
        <is>
          <t>2026.2Q</t>
        </is>
      </c>
      <c r="K89" s="5" t="inlineStr">
        <is>
          <t>2026.3Q</t>
        </is>
      </c>
      <c r="L89" s="5" t="inlineStr">
        <is>
          <t>2026.4Q</t>
        </is>
      </c>
      <c r="M89" s="5" t="inlineStr">
        <is>
          <t>2027.1Q</t>
        </is>
      </c>
      <c r="N89" s="5" t="inlineStr">
        <is>
          <t>2027.2Q</t>
        </is>
      </c>
      <c r="O89" s="5" t="inlineStr">
        <is>
          <t>2017</t>
        </is>
      </c>
      <c r="P89" s="5" t="inlineStr">
        <is>
          <t>2018</t>
        </is>
      </c>
      <c r="Q89" s="5" t="inlineStr">
        <is>
          <t>2019</t>
        </is>
      </c>
      <c r="R89" s="5" t="inlineStr">
        <is>
          <t>2020</t>
        </is>
      </c>
      <c r="S89" s="5" t="inlineStr">
        <is>
          <t>2021</t>
        </is>
      </c>
      <c r="T89" s="5" t="inlineStr">
        <is>
          <t>2022</t>
        </is>
      </c>
      <c r="U89" s="5" t="inlineStr">
        <is>
          <t>2023</t>
        </is>
      </c>
      <c r="V89" s="5" t="inlineStr">
        <is>
          <t>2024</t>
        </is>
      </c>
      <c r="W89" s="5" t="inlineStr">
        <is>
          <t>2025</t>
        </is>
      </c>
      <c r="X89" s="5" t="inlineStr">
        <is>
          <t>2026</t>
        </is>
      </c>
      <c r="Y89" s="5" t="inlineStr">
        <is>
          <t>2027(MW)</t>
        </is>
      </c>
      <c r="Z89" s="5" t="inlineStr">
        <is>
          <t>2028(MW)</t>
        </is>
      </c>
      <c r="AA89" s="5" t="inlineStr">
        <is>
          <t>2029(MW)</t>
        </is>
      </c>
      <c r="AB89" s="5" t="inlineStr">
        <is>
          <t>2030(MW)</t>
        </is>
      </c>
      <c r="AC89" s="5" t="inlineStr">
        <is>
          <t>2031(MW)</t>
        </is>
      </c>
    </row>
    <row r="90">
      <c r="A90" s="9" t="inlineStr">
        <is>
          <t>매출액</t>
        </is>
      </c>
      <c r="C90" s="12" t="n">
        <v>2574.757</v>
      </c>
      <c r="D90" s="12" t="n">
        <v>2508.214</v>
      </c>
      <c r="E90" s="12" t="n">
        <v>2355.733</v>
      </c>
      <c r="F90" s="12" t="n">
        <v>2593.327</v>
      </c>
      <c r="G90" s="12" t="n">
        <v>2968.985</v>
      </c>
      <c r="H90" s="12" t="n">
        <v>3146.526</v>
      </c>
      <c r="I90" s="12" t="n">
        <v>3394.745</v>
      </c>
      <c r="J90" s="12" t="n">
        <v>2931.382</v>
      </c>
      <c r="K90" s="12" t="n">
        <v>3383.595</v>
      </c>
      <c r="L90" s="12" t="n">
        <v>4037.163</v>
      </c>
      <c r="M90" s="12" t="n">
        <v>3538.826</v>
      </c>
      <c r="N90" s="12" t="n">
        <v>3243.321</v>
      </c>
      <c r="V90" s="12" t="n">
        <v>2508.214</v>
      </c>
      <c r="W90" s="12" t="n">
        <v>3146.526</v>
      </c>
      <c r="X90" s="12" t="n">
        <v>4037.163</v>
      </c>
    </row>
    <row r="91">
      <c r="A91" s="43" t="inlineStr">
        <is>
          <t>YoY</t>
        </is>
      </c>
      <c r="B91" s="3" t="inlineStr">
        <is>
          <t>전년 같은 분기·전년 대비</t>
        </is>
      </c>
      <c r="G91" s="15">
        <f>IF(OR(G90="",C90=""),"",IF(C90&lt;=0,"",IFERROR(G90/C90-1,"")))</f>
        <v/>
      </c>
      <c r="H91" s="15">
        <f>IF(OR(H90="",D90=""),"",IF(D90&lt;=0,"",IFERROR(H90/D90-1,"")))</f>
        <v/>
      </c>
      <c r="I91" s="15">
        <f>IF(OR(I90="",E90=""),"",IF(E90&lt;=0,"",IFERROR(I90/E90-1,"")))</f>
        <v/>
      </c>
      <c r="J91" s="15">
        <f>IF(OR(J90="",F90=""),"",IF(F90&lt;=0,"",IFERROR(J90/F90-1,"")))</f>
        <v/>
      </c>
      <c r="K91" s="15">
        <f>IF(OR(K90="",G90=""),"",IF(G90&lt;=0,"",IFERROR(K90/G90-1,"")))</f>
        <v/>
      </c>
      <c r="L91" s="15">
        <f>IF(OR(L90="",H90=""),"",IF(H90&lt;=0,"",IFERROR(L90/H90-1,"")))</f>
        <v/>
      </c>
      <c r="M91" s="15">
        <f>IF(OR(M90="",I90=""),"",IF(I90&lt;=0,"",IFERROR(M90/I90-1,"")))</f>
        <v/>
      </c>
      <c r="N91" s="15">
        <f>IF(OR(N90="",J90=""),"",IF(J90&lt;=0,"",IFERROR(N90/J90-1,"")))</f>
        <v/>
      </c>
      <c r="V91" s="15">
        <f>IF(OR(V90="",U90=""),"",IF(U90&lt;=0,"",IFERROR(V90/U90-1,"")))</f>
        <v/>
      </c>
      <c r="W91" s="15">
        <f>IF(OR(W90="",V90=""),"",IF(V90&lt;=0,"",IFERROR(W90/V90-1,"")))</f>
        <v/>
      </c>
      <c r="X91" s="15">
        <f>IF(OR(X90="",W90=""),"",IF(W90&lt;=0,"",IFERROR(X90/W90-1,"")))</f>
        <v/>
      </c>
    </row>
    <row r="92">
      <c r="A92" s="18" t="inlineStr">
        <is>
          <t>매출원가</t>
        </is>
      </c>
      <c r="C92" s="20" t="n">
        <v>1665.436</v>
      </c>
      <c r="D92" s="20" t="n">
        <v>1640.376</v>
      </c>
      <c r="E92" s="20" t="n">
        <v>1526.53</v>
      </c>
      <c r="F92" s="20" t="n">
        <v>1636.043</v>
      </c>
      <c r="G92" s="20" t="n">
        <v>1842.031</v>
      </c>
      <c r="H92" s="20" t="n">
        <v>2060.932</v>
      </c>
      <c r="I92" s="20" t="n">
        <v>1993.365</v>
      </c>
      <c r="J92" s="20" t="n">
        <v>2036.489</v>
      </c>
      <c r="K92" s="20" t="n">
        <v>2238.87</v>
      </c>
      <c r="L92" s="20" t="n">
        <v>2599.101</v>
      </c>
      <c r="M92" s="20" t="n">
        <v>2358.907</v>
      </c>
      <c r="N92" s="20" t="n">
        <v>1990.296</v>
      </c>
      <c r="V92" s="20" t="n">
        <v>1640.376</v>
      </c>
      <c r="W92" s="20" t="n">
        <v>2060.932</v>
      </c>
      <c r="X92" s="20" t="n">
        <v>2599.101</v>
      </c>
    </row>
    <row r="93">
      <c r="A93" s="9" t="inlineStr">
        <is>
          <t>매출총이익</t>
        </is>
      </c>
      <c r="C93" s="12" t="n">
        <v>909.3200000000001</v>
      </c>
      <c r="D93" s="12" t="n">
        <v>867.8390000000001</v>
      </c>
      <c r="E93" s="12" t="n">
        <v>829.202</v>
      </c>
      <c r="F93" s="12" t="n">
        <v>957.285</v>
      </c>
      <c r="G93" s="12" t="n">
        <v>1126.953</v>
      </c>
      <c r="H93" s="12" t="n">
        <v>1085.595</v>
      </c>
      <c r="I93" s="12" t="n">
        <v>1401.38</v>
      </c>
      <c r="J93" s="12" t="n">
        <v>894.8920000000001</v>
      </c>
      <c r="K93" s="12" t="n">
        <v>1144.726</v>
      </c>
      <c r="L93" s="12" t="n">
        <v>1438.062</v>
      </c>
      <c r="M93" s="12" t="n">
        <v>1179.918</v>
      </c>
      <c r="N93" s="12" t="n">
        <v>1253.026</v>
      </c>
      <c r="V93" s="12" t="n">
        <v>867.8390000000001</v>
      </c>
      <c r="W93" s="12" t="n">
        <v>1085.595</v>
      </c>
      <c r="X93" s="12" t="n">
        <v>1438.062</v>
      </c>
    </row>
    <row r="94">
      <c r="A94" s="43" t="inlineStr">
        <is>
          <t>YoY</t>
        </is>
      </c>
      <c r="B94" s="3" t="inlineStr">
        <is>
          <t>전년 같은 분기·전년 대비</t>
        </is>
      </c>
      <c r="G94" s="15">
        <f>IF(OR(G93="",C93=""),"",IF(C93&lt;=0,"",IFERROR(G93/C93-1,"")))</f>
        <v/>
      </c>
      <c r="H94" s="15">
        <f>IF(OR(H93="",D93=""),"",IF(D93&lt;=0,"",IFERROR(H93/D93-1,"")))</f>
        <v/>
      </c>
      <c r="I94" s="15">
        <f>IF(OR(I93="",E93=""),"",IF(E93&lt;=0,"",IFERROR(I93/E93-1,"")))</f>
        <v/>
      </c>
      <c r="J94" s="15">
        <f>IF(OR(J93="",F93=""),"",IF(F93&lt;=0,"",IFERROR(J93/F93-1,"")))</f>
        <v/>
      </c>
      <c r="K94" s="15">
        <f>IF(OR(K93="",G93=""),"",IF(G93&lt;=0,"",IFERROR(K93/G93-1,"")))</f>
        <v/>
      </c>
      <c r="L94" s="15">
        <f>IF(OR(L93="",H93=""),"",IF(H93&lt;=0,"",IFERROR(L93/H93-1,"")))</f>
        <v/>
      </c>
      <c r="M94" s="15">
        <f>IF(OR(M93="",I93=""),"",IF(I93&lt;=0,"",IFERROR(M93/I93-1,"")))</f>
        <v/>
      </c>
      <c r="N94" s="15">
        <f>IF(OR(N93="",J93=""),"",IF(J93&lt;=0,"",IFERROR(N93/J93-1,"")))</f>
        <v/>
      </c>
      <c r="V94" s="15">
        <f>IF(OR(V93="",U93=""),"",IF(U93&lt;=0,"",IFERROR(V93/U93-1,"")))</f>
        <v/>
      </c>
      <c r="W94" s="15">
        <f>IF(OR(W93="",V93=""),"",IF(V93&lt;=0,"",IFERROR(W93/V93-1,"")))</f>
        <v/>
      </c>
      <c r="X94" s="15">
        <f>IF(OR(X93="",W93=""),"",IF(W93&lt;=0,"",IFERROR(X93/W93-1,"")))</f>
        <v/>
      </c>
    </row>
    <row r="95">
      <c r="A95" s="18" t="inlineStr">
        <is>
          <t>판매비와 관리비</t>
        </is>
      </c>
      <c r="C95" s="20" t="n">
        <v>497.051</v>
      </c>
      <c r="D95" s="20" t="n">
        <v>507.193</v>
      </c>
      <c r="E95" s="20" t="n">
        <v>574.902</v>
      </c>
      <c r="F95" s="20" t="n">
        <v>560.385</v>
      </c>
      <c r="G95" s="20" t="n">
        <v>766.741</v>
      </c>
      <c r="H95" s="20" t="n">
        <v>721.298</v>
      </c>
      <c r="I95" s="20" t="n">
        <v>703.346</v>
      </c>
      <c r="J95" s="20" t="n">
        <v>688.722</v>
      </c>
      <c r="K95" s="20" t="n">
        <v>736.259</v>
      </c>
      <c r="L95" s="20" t="n">
        <v>786.669</v>
      </c>
      <c r="M95" s="20" t="n">
        <v>739.95</v>
      </c>
      <c r="N95" s="20" t="n">
        <v>689.49</v>
      </c>
      <c r="V95" s="20" t="n">
        <v>507.193</v>
      </c>
      <c r="W95" s="20" t="n">
        <v>721.298</v>
      </c>
      <c r="X95" s="20" t="n">
        <v>786.669</v>
      </c>
    </row>
    <row r="96">
      <c r="A96" s="9" t="inlineStr">
        <is>
          <t>영업이익</t>
        </is>
      </c>
      <c r="C96" s="12" t="n">
        <v>412.27</v>
      </c>
      <c r="D96" s="12" t="n">
        <v>360.646</v>
      </c>
      <c r="E96" s="12" t="n">
        <v>254.3</v>
      </c>
      <c r="F96" s="12" t="n">
        <v>396.899</v>
      </c>
      <c r="G96" s="12" t="n">
        <v>360.212</v>
      </c>
      <c r="H96" s="12" t="n">
        <v>364.298</v>
      </c>
      <c r="I96" s="12" t="n">
        <v>698.033</v>
      </c>
      <c r="J96" s="12" t="n">
        <v>206.17</v>
      </c>
      <c r="K96" s="12" t="n">
        <v>408.467</v>
      </c>
      <c r="L96" s="12" t="n">
        <v>651.393</v>
      </c>
      <c r="M96" s="12" t="n">
        <v>439.968</v>
      </c>
      <c r="N96" s="12" t="n">
        <v>563.535</v>
      </c>
      <c r="V96" s="12" t="n">
        <v>360.646</v>
      </c>
      <c r="W96" s="12" t="n">
        <v>364.298</v>
      </c>
      <c r="X96" s="12" t="n">
        <v>651.393</v>
      </c>
    </row>
    <row r="97">
      <c r="A97" s="43" t="inlineStr">
        <is>
          <t>OPM</t>
        </is>
      </c>
      <c r="B97" s="3" t="inlineStr">
        <is>
          <t>영업이익 ÷ 매출</t>
        </is>
      </c>
      <c r="C97" s="15">
        <f>IF(OR(C96="",C90=""),"",IF(C90&lt;=0,"",IFERROR(C96/C90,"")))</f>
        <v/>
      </c>
      <c r="D97" s="15">
        <f>IF(OR(D96="",D90=""),"",IF(D90&lt;=0,"",IFERROR(D96/D90,"")))</f>
        <v/>
      </c>
      <c r="E97" s="15">
        <f>IF(OR(E96="",E90=""),"",IF(E90&lt;=0,"",IFERROR(E96/E90,"")))</f>
        <v/>
      </c>
      <c r="F97" s="15">
        <f>IF(OR(F96="",F90=""),"",IF(F90&lt;=0,"",IFERROR(F96/F90,"")))</f>
        <v/>
      </c>
      <c r="G97" s="15">
        <f>IF(OR(G96="",G90=""),"",IF(G90&lt;=0,"",IFERROR(G96/G90,"")))</f>
        <v/>
      </c>
      <c r="H97" s="15">
        <f>IF(OR(H96="",H90=""),"",IF(H90&lt;=0,"",IFERROR(H96/H90,"")))</f>
        <v/>
      </c>
      <c r="I97" s="15">
        <f>IF(OR(I96="",I90=""),"",IF(I90&lt;=0,"",IFERROR(I96/I90,"")))</f>
        <v/>
      </c>
      <c r="J97" s="15">
        <f>IF(OR(J96="",J90=""),"",IF(J90&lt;=0,"",IFERROR(J96/J90,"")))</f>
        <v/>
      </c>
      <c r="K97" s="15">
        <f>IF(OR(K96="",K90=""),"",IF(K90&lt;=0,"",IFERROR(K96/K90,"")))</f>
        <v/>
      </c>
      <c r="L97" s="15">
        <f>IF(OR(L96="",L90=""),"",IF(L90&lt;=0,"",IFERROR(L96/L90,"")))</f>
        <v/>
      </c>
      <c r="M97" s="15">
        <f>IF(OR(M96="",M90=""),"",IF(M90&lt;=0,"",IFERROR(M96/M90,"")))</f>
        <v/>
      </c>
      <c r="N97" s="15">
        <f>IF(OR(N96="",N90=""),"",IF(N90&lt;=0,"",IFERROR(N96/N90,"")))</f>
        <v/>
      </c>
      <c r="V97" s="15">
        <f>IF(OR(V96="",V90=""),"",IF(V90&lt;=0,"",IFERROR(V96/V90,"")))</f>
        <v/>
      </c>
      <c r="W97" s="15">
        <f>IF(OR(W96="",W90=""),"",IF(W90&lt;=0,"",IFERROR(W96/W90,"")))</f>
        <v/>
      </c>
      <c r="X97" s="15">
        <f>IF(OR(X96="",X90=""),"",IF(X90&lt;=0,"",IFERROR(X96/X90,"")))</f>
        <v/>
      </c>
    </row>
    <row r="98">
      <c r="A98" s="43" t="inlineStr">
        <is>
          <t>YoY</t>
        </is>
      </c>
      <c r="B98" s="3" t="inlineStr">
        <is>
          <t>전년 같은 분기·전년 대비</t>
        </is>
      </c>
      <c r="G98" s="15">
        <f>IF(OR(G96="",C96=""),"",IF(C96&lt;=0,"",IFERROR(G96/C96-1,"")))</f>
        <v/>
      </c>
      <c r="H98" s="15">
        <f>IF(OR(H96="",D96=""),"",IF(D96&lt;=0,"",IFERROR(H96/D96-1,"")))</f>
        <v/>
      </c>
      <c r="I98" s="15">
        <f>IF(OR(I96="",E96=""),"",IF(E96&lt;=0,"",IFERROR(I96/E96-1,"")))</f>
        <v/>
      </c>
      <c r="J98" s="15">
        <f>IF(OR(J96="",F96=""),"",IF(F96&lt;=0,"",IFERROR(J96/F96-1,"")))</f>
        <v/>
      </c>
      <c r="K98" s="15">
        <f>IF(OR(K96="",G96=""),"",IF(G96&lt;=0,"",IFERROR(K96/G96-1,"")))</f>
        <v/>
      </c>
      <c r="L98" s="15">
        <f>IF(OR(L96="",H96=""),"",IF(H96&lt;=0,"",IFERROR(L96/H96-1,"")))</f>
        <v/>
      </c>
      <c r="M98" s="15">
        <f>IF(OR(M96="",I96=""),"",IF(I96&lt;=0,"",IFERROR(M96/I96-1,"")))</f>
        <v/>
      </c>
      <c r="N98" s="15">
        <f>IF(OR(N96="",J96=""),"",IF(J96&lt;=0,"",IFERROR(N96/J96-1,"")))</f>
        <v/>
      </c>
      <c r="V98" s="15">
        <f>IF(OR(V96="",U96=""),"",IF(U96&lt;=0,"",IFERROR(V96/U96-1,"")))</f>
        <v/>
      </c>
      <c r="W98" s="15">
        <f>IF(OR(W96="",V96=""),"",IF(V96&lt;=0,"",IFERROR(W96/V96-1,"")))</f>
        <v/>
      </c>
      <c r="X98" s="15">
        <f>IF(OR(X96="",W96=""),"",IF(W96&lt;=0,"",IFERROR(X96/W96-1,"")))</f>
        <v/>
      </c>
    </row>
    <row r="99">
      <c r="A99" s="18" t="inlineStr">
        <is>
          <t>외환차익</t>
        </is>
      </c>
      <c r="C99" s="20" t="n">
        <v>-0.64</v>
      </c>
      <c r="D99" s="20" t="n">
        <v>-0.652</v>
      </c>
      <c r="E99" s="20" t="n">
        <v>0.29</v>
      </c>
      <c r="F99" s="20" t="n">
        <v>0.113</v>
      </c>
      <c r="G99" s="20" t="n">
        <v>2.36</v>
      </c>
      <c r="H99" s="20" t="n">
        <v>0.591</v>
      </c>
      <c r="I99" s="20" t="n">
        <v>0</v>
      </c>
      <c r="J99" s="20" t="n">
        <v>0</v>
      </c>
      <c r="K99" s="20" t="n">
        <v>0.124</v>
      </c>
      <c r="L99" s="20" t="n">
        <v>-0.124</v>
      </c>
      <c r="V99" s="20" t="n">
        <v>-0.652</v>
      </c>
      <c r="W99" s="20" t="n">
        <v>0.591</v>
      </c>
      <c r="X99" s="20" t="n">
        <v>-0.124</v>
      </c>
    </row>
    <row r="100">
      <c r="A100" s="18" t="inlineStr">
        <is>
          <t>스크랩 매각이익</t>
        </is>
      </c>
      <c r="C100" s="20" t="n">
        <v>4.405</v>
      </c>
      <c r="D100" s="20" t="n">
        <v>8.638</v>
      </c>
      <c r="E100" s="20" t="n">
        <v>5.953</v>
      </c>
      <c r="F100" s="20" t="n">
        <v>10.225</v>
      </c>
      <c r="G100" s="20" t="n">
        <v>7.347</v>
      </c>
      <c r="H100" s="20" t="n">
        <v>6.435</v>
      </c>
      <c r="I100" s="20" t="n">
        <v>4.222</v>
      </c>
      <c r="J100" s="20" t="n">
        <v>6.911</v>
      </c>
      <c r="K100" s="20" t="n">
        <v>4.343</v>
      </c>
      <c r="L100" s="20" t="n">
        <v>7.302</v>
      </c>
      <c r="M100" s="20" t="n">
        <v>6.689</v>
      </c>
      <c r="N100" s="20" t="n">
        <v>8.106</v>
      </c>
      <c r="V100" s="20" t="n">
        <v>8.638</v>
      </c>
      <c r="W100" s="20" t="n">
        <v>6.435</v>
      </c>
      <c r="X100" s="20" t="n">
        <v>7.302</v>
      </c>
    </row>
    <row r="101">
      <c r="A101" s="18" t="inlineStr">
        <is>
          <t>배당금수익</t>
        </is>
      </c>
      <c r="C101" s="20" t="n">
        <v>0</v>
      </c>
      <c r="D101" s="20" t="n">
        <v>1.319</v>
      </c>
      <c r="E101" s="20" t="n">
        <v>0</v>
      </c>
      <c r="F101" s="20" t="n">
        <v>2.501</v>
      </c>
      <c r="G101" s="20" t="n">
        <v>0.405</v>
      </c>
      <c r="H101" s="20" t="n">
        <v>2.051</v>
      </c>
      <c r="I101" s="20" t="n">
        <v>0.147</v>
      </c>
      <c r="J101" s="20" t="n">
        <v>3.373</v>
      </c>
      <c r="K101" s="20" t="n">
        <v>0</v>
      </c>
      <c r="L101" s="20" t="n">
        <v>2.478</v>
      </c>
      <c r="M101" s="20" t="n">
        <v>0.193</v>
      </c>
      <c r="N101" s="20" t="n">
        <v>3.633</v>
      </c>
      <c r="V101" s="20" t="n">
        <v>1.319</v>
      </c>
      <c r="W101" s="20" t="n">
        <v>2.051</v>
      </c>
      <c r="X101" s="20" t="n">
        <v>2.478</v>
      </c>
    </row>
    <row r="102">
      <c r="A102" s="18" t="inlineStr">
        <is>
          <t>익명조합 투자이익</t>
        </is>
      </c>
      <c r="I102" s="20" t="n">
        <v>0</v>
      </c>
      <c r="J102" s="20" t="n">
        <v>0</v>
      </c>
      <c r="M102" s="20" t="n">
        <v>7.036</v>
      </c>
      <c r="N102" s="20" t="n">
        <v>0</v>
      </c>
    </row>
    <row r="103">
      <c r="A103" s="18" t="inlineStr">
        <is>
          <t>기타</t>
        </is>
      </c>
      <c r="C103" s="20" t="n">
        <v>2.795</v>
      </c>
      <c r="D103" s="20" t="n">
        <v>-22.615</v>
      </c>
      <c r="E103" s="20" t="n">
        <v>2.577</v>
      </c>
      <c r="F103" s="20" t="n">
        <v>2.544</v>
      </c>
      <c r="G103" s="20" t="n">
        <v>3.083</v>
      </c>
      <c r="H103" s="20" t="n">
        <v>8.608000000000001</v>
      </c>
      <c r="I103" s="20" t="n">
        <v>5.871</v>
      </c>
      <c r="J103" s="20" t="n">
        <v>3.246</v>
      </c>
      <c r="K103" s="20" t="n">
        <v>3.059</v>
      </c>
      <c r="L103" s="20" t="n">
        <v>0.313</v>
      </c>
      <c r="M103" s="20" t="n">
        <v>4.237</v>
      </c>
      <c r="N103" s="20" t="n">
        <v>5.551</v>
      </c>
      <c r="V103" s="20" t="n">
        <v>-22.615</v>
      </c>
      <c r="W103" s="20" t="n">
        <v>8.608000000000001</v>
      </c>
      <c r="X103" s="20" t="n">
        <v>0.313</v>
      </c>
    </row>
    <row r="104">
      <c r="A104" s="18" t="inlineStr">
        <is>
          <t>영업외수익 합계</t>
        </is>
      </c>
      <c r="C104" s="20" t="n">
        <v>6.56</v>
      </c>
      <c r="D104" s="20" t="n">
        <v>-13.31</v>
      </c>
      <c r="E104" s="20" t="n">
        <v>8.821</v>
      </c>
      <c r="F104" s="20" t="n">
        <v>15.384</v>
      </c>
      <c r="G104" s="20" t="n">
        <v>13.193</v>
      </c>
      <c r="H104" s="20" t="n">
        <v>17.893</v>
      </c>
      <c r="I104" s="20" t="n">
        <v>10.241</v>
      </c>
      <c r="J104" s="20" t="n">
        <v>13.53</v>
      </c>
      <c r="K104" s="20" t="n">
        <v>7.526</v>
      </c>
      <c r="L104" s="20" t="n">
        <v>14.891</v>
      </c>
      <c r="M104" s="20" t="n">
        <v>18.157</v>
      </c>
      <c r="N104" s="20" t="n">
        <v>17.625</v>
      </c>
      <c r="V104" s="20" t="n">
        <v>-13.31</v>
      </c>
      <c r="W104" s="20" t="n">
        <v>17.893</v>
      </c>
      <c r="X104" s="20" t="n">
        <v>14.891</v>
      </c>
    </row>
    <row r="105">
      <c r="A105" s="18" t="inlineStr">
        <is>
          <t>이자비용</t>
        </is>
      </c>
      <c r="C105" s="20" t="n">
        <v>5.302</v>
      </c>
      <c r="D105" s="20" t="n">
        <v>4.95</v>
      </c>
      <c r="E105" s="20" t="n">
        <v>3.976</v>
      </c>
      <c r="F105" s="20" t="n">
        <v>4.749</v>
      </c>
      <c r="G105" s="20" t="n">
        <v>7.155</v>
      </c>
      <c r="H105" s="20" t="n">
        <v>9.064</v>
      </c>
      <c r="I105" s="20" t="n">
        <v>11.019</v>
      </c>
      <c r="J105" s="20" t="n">
        <v>10.937</v>
      </c>
      <c r="K105" s="20" t="n">
        <v>10.534</v>
      </c>
      <c r="L105" s="20" t="n">
        <v>11.328</v>
      </c>
      <c r="M105" s="20" t="n">
        <v>14.739</v>
      </c>
      <c r="N105" s="20" t="n">
        <v>18.089</v>
      </c>
      <c r="V105" s="20" t="n">
        <v>4.95</v>
      </c>
      <c r="W105" s="20" t="n">
        <v>9.064</v>
      </c>
      <c r="X105" s="20" t="n">
        <v>11.328</v>
      </c>
    </row>
    <row r="106">
      <c r="A106" s="18" t="inlineStr">
        <is>
          <t>대손충당금 전입</t>
        </is>
      </c>
      <c r="C106" s="20" t="n">
        <v>0</v>
      </c>
      <c r="D106" s="20" t="n">
        <v>-23.564</v>
      </c>
      <c r="E106" s="20" t="n">
        <v>0</v>
      </c>
      <c r="F106" s="20" t="n">
        <v>0</v>
      </c>
      <c r="G106" s="20" t="n">
        <v>0</v>
      </c>
      <c r="H106" s="20" t="n">
        <v>0</v>
      </c>
      <c r="V106" s="20" t="n">
        <v>-23.564</v>
      </c>
      <c r="W106" s="20" t="n">
        <v>0</v>
      </c>
    </row>
    <row r="107">
      <c r="A107" s="18" t="inlineStr">
        <is>
          <t>지분법손실</t>
        </is>
      </c>
      <c r="E107" s="20" t="n">
        <v>0</v>
      </c>
      <c r="F107" s="20" t="n">
        <v>0</v>
      </c>
      <c r="G107" s="20" t="n">
        <v>0</v>
      </c>
      <c r="H107" s="20" t="n">
        <v>0</v>
      </c>
      <c r="I107" s="20" t="n">
        <v>4.906</v>
      </c>
      <c r="J107" s="20" t="n">
        <v>9.693</v>
      </c>
      <c r="K107" s="20" t="n">
        <v>6.544</v>
      </c>
      <c r="L107" s="20" t="n">
        <v>12.652</v>
      </c>
      <c r="M107" s="20" t="n">
        <v>10.364</v>
      </c>
      <c r="N107" s="20" t="n">
        <v>5.672</v>
      </c>
      <c r="W107" s="20" t="n">
        <v>0</v>
      </c>
      <c r="X107" s="20" t="n">
        <v>12.652</v>
      </c>
    </row>
    <row r="108">
      <c r="A108" s="18" t="inlineStr">
        <is>
          <t>익명조합 투자손실</t>
        </is>
      </c>
      <c r="E108" s="20" t="n">
        <v>0</v>
      </c>
      <c r="F108" s="20" t="n">
        <v>0</v>
      </c>
      <c r="G108" s="20" t="n">
        <v>0</v>
      </c>
      <c r="H108" s="20" t="n">
        <v>0</v>
      </c>
      <c r="I108" s="20" t="n">
        <v>17.221</v>
      </c>
      <c r="J108" s="20" t="n">
        <v>0</v>
      </c>
      <c r="K108" s="20" t="n">
        <v>0</v>
      </c>
      <c r="L108" s="20" t="n">
        <v>4.124</v>
      </c>
      <c r="M108" s="20" t="n">
        <v>3.838</v>
      </c>
      <c r="N108" s="20" t="n">
        <v>0</v>
      </c>
      <c r="W108" s="20" t="n">
        <v>0</v>
      </c>
      <c r="X108" s="20" t="n">
        <v>4.124</v>
      </c>
    </row>
    <row r="109">
      <c r="A109" s="18" t="inlineStr">
        <is>
          <t>외환차손</t>
        </is>
      </c>
      <c r="E109" s="20" t="n">
        <v>0</v>
      </c>
      <c r="F109" s="20" t="n">
        <v>0</v>
      </c>
      <c r="G109" s="20" t="n">
        <v>0</v>
      </c>
      <c r="H109" s="20" t="n">
        <v>0</v>
      </c>
      <c r="I109" s="20" t="n">
        <v>0.766</v>
      </c>
      <c r="J109" s="20" t="n">
        <v>0.583</v>
      </c>
      <c r="K109" s="20" t="n">
        <v>0.098</v>
      </c>
      <c r="L109" s="20" t="n">
        <v>-1.12</v>
      </c>
      <c r="M109" s="20" t="n">
        <v>0.038</v>
      </c>
      <c r="N109" s="20" t="n">
        <v>-0.038</v>
      </c>
      <c r="W109" s="20" t="n">
        <v>0</v>
      </c>
      <c r="X109" s="20" t="n">
        <v>-1.12</v>
      </c>
    </row>
    <row r="110">
      <c r="A110" s="18" t="inlineStr">
        <is>
          <t>기타</t>
        </is>
      </c>
      <c r="C110" s="20" t="n">
        <v>0.577</v>
      </c>
      <c r="D110" s="20" t="n">
        <v>-17.416</v>
      </c>
      <c r="E110" s="20" t="n">
        <v>0.456</v>
      </c>
      <c r="F110" s="20" t="n">
        <v>0.342</v>
      </c>
      <c r="G110" s="20" t="n">
        <v>0.29</v>
      </c>
      <c r="H110" s="20" t="n">
        <v>0.037</v>
      </c>
      <c r="I110" s="20" t="n">
        <v>3.543</v>
      </c>
      <c r="J110" s="20" t="n">
        <v>0.254</v>
      </c>
      <c r="K110" s="20" t="n">
        <v>4.544</v>
      </c>
      <c r="L110" s="20" t="n">
        <v>-1.963</v>
      </c>
      <c r="M110" s="20" t="n">
        <v>1.604</v>
      </c>
      <c r="N110" s="20" t="n">
        <v>0.431</v>
      </c>
      <c r="V110" s="20" t="n">
        <v>-17.416</v>
      </c>
      <c r="W110" s="20" t="n">
        <v>0.037</v>
      </c>
      <c r="X110" s="20" t="n">
        <v>-1.963</v>
      </c>
    </row>
    <row r="111">
      <c r="A111" s="18" t="inlineStr">
        <is>
          <t>영업외비용 합계</t>
        </is>
      </c>
      <c r="C111" s="20" t="n">
        <v>5.879</v>
      </c>
      <c r="D111" s="20" t="n">
        <v>-13.272</v>
      </c>
      <c r="E111" s="20" t="n">
        <v>4.433</v>
      </c>
      <c r="F111" s="20" t="n">
        <v>5.09</v>
      </c>
      <c r="G111" s="20" t="n">
        <v>7.446</v>
      </c>
      <c r="H111" s="20" t="n">
        <v>9.101000000000001</v>
      </c>
      <c r="I111" s="20" t="n">
        <v>37.457</v>
      </c>
      <c r="J111" s="20" t="n">
        <v>21.468</v>
      </c>
      <c r="K111" s="20" t="n">
        <v>21.719</v>
      </c>
      <c r="L111" s="20" t="n">
        <v>25.021</v>
      </c>
      <c r="M111" s="20" t="n">
        <v>30.584</v>
      </c>
      <c r="N111" s="20" t="n">
        <v>24.154</v>
      </c>
      <c r="V111" s="20" t="n">
        <v>-13.272</v>
      </c>
      <c r="W111" s="20" t="n">
        <v>9.101000000000001</v>
      </c>
      <c r="X111" s="20" t="n">
        <v>25.021</v>
      </c>
    </row>
    <row r="112">
      <c r="A112" s="9" t="inlineStr">
        <is>
          <t>경상이익</t>
        </is>
      </c>
      <c r="C112" s="12" t="n">
        <v>412.951</v>
      </c>
      <c r="D112" s="12" t="n">
        <v>360.608</v>
      </c>
      <c r="E112" s="12" t="n">
        <v>258.688</v>
      </c>
      <c r="F112" s="12" t="n">
        <v>407.193</v>
      </c>
      <c r="G112" s="12" t="n">
        <v>365.959</v>
      </c>
      <c r="H112" s="12" t="n">
        <v>373.09</v>
      </c>
      <c r="I112" s="12" t="n">
        <v>670.817</v>
      </c>
      <c r="J112" s="12" t="n">
        <v>198.233</v>
      </c>
      <c r="K112" s="12" t="n">
        <v>394.273</v>
      </c>
      <c r="L112" s="12" t="n">
        <v>641.2619999999999</v>
      </c>
      <c r="M112" s="12" t="n">
        <v>427.541</v>
      </c>
      <c r="N112" s="12" t="n">
        <v>557.0069999999999</v>
      </c>
      <c r="V112" s="12" t="n">
        <v>360.608</v>
      </c>
      <c r="W112" s="12" t="n">
        <v>373.09</v>
      </c>
      <c r="X112" s="12" t="n">
        <v>641.2619999999999</v>
      </c>
    </row>
    <row r="113">
      <c r="A113" s="43" t="inlineStr">
        <is>
          <t>YoY</t>
        </is>
      </c>
      <c r="B113" s="3" t="inlineStr">
        <is>
          <t>전년 같은 분기·전년 대비</t>
        </is>
      </c>
      <c r="G113" s="15">
        <f>IF(OR(G112="",C112=""),"",IF(C112&lt;=0,"",IFERROR(G112/C112-1,"")))</f>
        <v/>
      </c>
      <c r="H113" s="15">
        <f>IF(OR(H112="",D112=""),"",IF(D112&lt;=0,"",IFERROR(H112/D112-1,"")))</f>
        <v/>
      </c>
      <c r="I113" s="15">
        <f>IF(OR(I112="",E112=""),"",IF(E112&lt;=0,"",IFERROR(I112/E112-1,"")))</f>
        <v/>
      </c>
      <c r="J113" s="15">
        <f>IF(OR(J112="",F112=""),"",IF(F112&lt;=0,"",IFERROR(J112/F112-1,"")))</f>
        <v/>
      </c>
      <c r="K113" s="15">
        <f>IF(OR(K112="",G112=""),"",IF(G112&lt;=0,"",IFERROR(K112/G112-1,"")))</f>
        <v/>
      </c>
      <c r="L113" s="15">
        <f>IF(OR(L112="",H112=""),"",IF(H112&lt;=0,"",IFERROR(L112/H112-1,"")))</f>
        <v/>
      </c>
      <c r="M113" s="15">
        <f>IF(OR(M112="",I112=""),"",IF(I112&lt;=0,"",IFERROR(M112/I112-1,"")))</f>
        <v/>
      </c>
      <c r="N113" s="15">
        <f>IF(OR(N112="",J112=""),"",IF(J112&lt;=0,"",IFERROR(N112/J112-1,"")))</f>
        <v/>
      </c>
      <c r="V113" s="15">
        <f>IF(OR(V112="",U112=""),"",IF(U112&lt;=0,"",IFERROR(V112/U112-1,"")))</f>
        <v/>
      </c>
      <c r="W113" s="15">
        <f>IF(OR(W112="",V112=""),"",IF(V112&lt;=0,"",IFERROR(W112/V112-1,"")))</f>
        <v/>
      </c>
      <c r="X113" s="15">
        <f>IF(OR(X112="",W112=""),"",IF(W112&lt;=0,"",IFERROR(X112/W112-1,"")))</f>
        <v/>
      </c>
    </row>
    <row r="114">
      <c r="A114" s="18" t="inlineStr">
        <is>
          <t>고정자산 매각이익</t>
        </is>
      </c>
      <c r="C114" s="20" t="n">
        <v>0</v>
      </c>
      <c r="D114" s="20" t="n">
        <v>17.782</v>
      </c>
      <c r="E114" s="20" t="n">
        <v>0</v>
      </c>
      <c r="F114" s="20" t="n">
        <v>0</v>
      </c>
      <c r="G114" s="20" t="n">
        <v>0.061</v>
      </c>
      <c r="H114" s="20" t="n">
        <v>0.092</v>
      </c>
      <c r="I114" s="20" t="n">
        <v>0.452</v>
      </c>
      <c r="J114" s="20" t="n">
        <v>0.629</v>
      </c>
      <c r="K114" s="20" t="n">
        <v>3.635</v>
      </c>
      <c r="L114" s="20" t="n">
        <v>0.3</v>
      </c>
      <c r="M114" s="20" t="n">
        <v>0</v>
      </c>
      <c r="N114" s="20" t="n">
        <v>0.226</v>
      </c>
      <c r="V114" s="20" t="n">
        <v>17.782</v>
      </c>
      <c r="W114" s="20" t="n">
        <v>0.092</v>
      </c>
      <c r="X114" s="20" t="n">
        <v>0.3</v>
      </c>
    </row>
    <row r="115">
      <c r="A115" s="18" t="inlineStr">
        <is>
          <t>보험 해약환급금</t>
        </is>
      </c>
      <c r="C115" s="20" t="n">
        <v>0</v>
      </c>
      <c r="D115" s="20" t="n">
        <v>11.549</v>
      </c>
      <c r="E115" s="20" t="n">
        <v>60.32</v>
      </c>
      <c r="F115" s="20" t="n">
        <v>1.551</v>
      </c>
      <c r="G115" s="20" t="n">
        <v>20.632</v>
      </c>
      <c r="H115" s="20" t="n">
        <v>1.586</v>
      </c>
      <c r="I115" s="20" t="n">
        <v>0</v>
      </c>
      <c r="J115" s="20" t="n">
        <v>0</v>
      </c>
      <c r="K115" s="20" t="n">
        <v>11.099</v>
      </c>
      <c r="L115" s="20" t="n">
        <v>5.632</v>
      </c>
      <c r="V115" s="20" t="n">
        <v>11.549</v>
      </c>
      <c r="W115" s="20" t="n">
        <v>1.586</v>
      </c>
      <c r="X115" s="20" t="n">
        <v>5.632</v>
      </c>
    </row>
    <row r="116">
      <c r="A116" s="18" t="inlineStr">
        <is>
          <t>부의 영업권 발생이익</t>
        </is>
      </c>
      <c r="C116" s="20" t="n">
        <v>0</v>
      </c>
      <c r="D116" s="20" t="n">
        <v>0</v>
      </c>
      <c r="G116" s="20" t="n">
        <v>31.013</v>
      </c>
      <c r="H116" s="20" t="n">
        <v>0</v>
      </c>
      <c r="K116" s="20" t="n">
        <v>0</v>
      </c>
      <c r="L116" s="20" t="n">
        <v>0</v>
      </c>
      <c r="V116" s="20" t="n">
        <v>0</v>
      </c>
      <c r="W116" s="20" t="n">
        <v>0</v>
      </c>
      <c r="X116" s="20" t="n">
        <v>0</v>
      </c>
    </row>
    <row r="117">
      <c r="A117" s="18" t="inlineStr">
        <is>
          <t>국고보조금</t>
        </is>
      </c>
      <c r="I117" s="20" t="n">
        <v>0</v>
      </c>
      <c r="J117" s="20" t="n">
        <v>0</v>
      </c>
      <c r="M117" s="20" t="n">
        <v>35.724</v>
      </c>
      <c r="N117" s="20" t="n">
        <v>0</v>
      </c>
    </row>
    <row r="118">
      <c r="A118" s="18" t="inlineStr">
        <is>
          <t>특별이익 합계</t>
        </is>
      </c>
      <c r="C118" s="20" t="n">
        <v>0</v>
      </c>
      <c r="D118" s="20" t="n">
        <v>29.332</v>
      </c>
      <c r="E118" s="20" t="n">
        <v>60.32</v>
      </c>
      <c r="F118" s="20" t="n">
        <v>5.193</v>
      </c>
      <c r="G118" s="20" t="n">
        <v>51.707</v>
      </c>
      <c r="H118" s="20" t="n">
        <v>1.678</v>
      </c>
      <c r="I118" s="20" t="n">
        <v>0.452</v>
      </c>
      <c r="J118" s="20" t="n">
        <v>0.629</v>
      </c>
      <c r="K118" s="20" t="n">
        <v>14.734</v>
      </c>
      <c r="L118" s="20" t="n">
        <v>49.088</v>
      </c>
      <c r="M118" s="20" t="n">
        <v>35.724</v>
      </c>
      <c r="N118" s="20" t="n">
        <v>17.906</v>
      </c>
      <c r="V118" s="20" t="n">
        <v>29.332</v>
      </c>
      <c r="W118" s="20" t="n">
        <v>1.678</v>
      </c>
      <c r="X118" s="20" t="n">
        <v>49.088</v>
      </c>
    </row>
    <row r="119">
      <c r="A119" s="18" t="inlineStr">
        <is>
          <t>고정자산 제각손실</t>
        </is>
      </c>
      <c r="C119" s="20" t="n">
        <v>0.679</v>
      </c>
      <c r="D119" s="20" t="n">
        <v>0.079</v>
      </c>
      <c r="E119" s="20" t="n">
        <v>0</v>
      </c>
      <c r="F119" s="20" t="n">
        <v>0</v>
      </c>
      <c r="G119" s="20" t="n">
        <v>37.62</v>
      </c>
      <c r="H119" s="20" t="n">
        <v>0</v>
      </c>
      <c r="I119" s="20" t="n">
        <v>1.826</v>
      </c>
      <c r="J119" s="20" t="n">
        <v>8.255000000000001</v>
      </c>
      <c r="K119" s="20" t="n">
        <v>0</v>
      </c>
      <c r="L119" s="20" t="n">
        <v>0</v>
      </c>
      <c r="M119" s="20" t="n">
        <v>0</v>
      </c>
      <c r="N119" s="20" t="n">
        <v>0</v>
      </c>
      <c r="V119" s="20" t="n">
        <v>0.079</v>
      </c>
      <c r="W119" s="20" t="n">
        <v>0</v>
      </c>
      <c r="X119" s="20" t="n">
        <v>0</v>
      </c>
    </row>
    <row r="120">
      <c r="A120" s="18" t="inlineStr">
        <is>
          <t>고정자산 매각손실</t>
        </is>
      </c>
      <c r="D120" s="20" t="n">
        <v>0</v>
      </c>
      <c r="H120" s="20" t="n">
        <v>0</v>
      </c>
      <c r="L120" s="20" t="n">
        <v>0</v>
      </c>
      <c r="V120" s="20" t="n">
        <v>0</v>
      </c>
      <c r="W120" s="20" t="n">
        <v>0</v>
      </c>
      <c r="X120" s="20" t="n">
        <v>0</v>
      </c>
    </row>
    <row r="121">
      <c r="A121" s="18" t="inlineStr">
        <is>
          <t>손상차손</t>
        </is>
      </c>
      <c r="C121" s="20" t="n">
        <v>0</v>
      </c>
      <c r="D121" s="20" t="n">
        <v>0</v>
      </c>
      <c r="G121" s="20" t="n">
        <v>28.211</v>
      </c>
      <c r="H121" s="20" t="n">
        <v>0</v>
      </c>
      <c r="K121" s="20" t="n">
        <v>0</v>
      </c>
      <c r="L121" s="20" t="n">
        <v>0</v>
      </c>
      <c r="V121" s="20" t="n">
        <v>0</v>
      </c>
      <c r="W121" s="20" t="n">
        <v>0</v>
      </c>
      <c r="X121" s="20" t="n">
        <v>0</v>
      </c>
    </row>
    <row r="122">
      <c r="A122" s="18" t="inlineStr">
        <is>
          <t>보험해약 손실</t>
        </is>
      </c>
      <c r="E122" s="20" t="n">
        <v>0.078</v>
      </c>
      <c r="F122" s="20" t="n">
        <v>-0.078</v>
      </c>
      <c r="G122" s="20" t="n">
        <v>0</v>
      </c>
      <c r="H122" s="20" t="n">
        <v>0</v>
      </c>
      <c r="I122" s="20" t="n">
        <v>3.375</v>
      </c>
      <c r="J122" s="20" t="n">
        <v>0</v>
      </c>
      <c r="K122" s="20" t="n">
        <v>0</v>
      </c>
      <c r="L122" s="20" t="n">
        <v>0</v>
      </c>
      <c r="M122" s="20" t="n">
        <v>0</v>
      </c>
      <c r="N122" s="20" t="n">
        <v>0.049</v>
      </c>
      <c r="W122" s="20" t="n">
        <v>0</v>
      </c>
      <c r="X122" s="20" t="n">
        <v>0</v>
      </c>
    </row>
    <row r="123">
      <c r="A123" s="18" t="inlineStr">
        <is>
          <t>기타</t>
        </is>
      </c>
      <c r="C123" s="20" t="n">
        <v>0</v>
      </c>
      <c r="D123" s="20" t="n">
        <v>0</v>
      </c>
      <c r="E123" s="20" t="n">
        <v>0</v>
      </c>
      <c r="F123" s="20" t="n">
        <v>0.078</v>
      </c>
      <c r="G123" s="20" t="n">
        <v>0</v>
      </c>
      <c r="H123" s="20" t="n">
        <v>0.431</v>
      </c>
      <c r="I123" s="20" t="n">
        <v>0.18</v>
      </c>
      <c r="J123" s="20" t="n">
        <v>0</v>
      </c>
      <c r="K123" s="20" t="n">
        <v>0.021</v>
      </c>
      <c r="L123" s="20" t="n">
        <v>0.014</v>
      </c>
      <c r="M123" s="20" t="n">
        <v>0</v>
      </c>
      <c r="N123" s="20" t="n">
        <v>0</v>
      </c>
      <c r="V123" s="20" t="n">
        <v>0</v>
      </c>
      <c r="W123" s="20" t="n">
        <v>0.431</v>
      </c>
      <c r="X123" s="20" t="n">
        <v>0.014</v>
      </c>
    </row>
    <row r="124">
      <c r="A124" s="18" t="inlineStr">
        <is>
          <t>특별손실 합계</t>
        </is>
      </c>
      <c r="C124" s="20" t="n">
        <v>0.679</v>
      </c>
      <c r="D124" s="20" t="n">
        <v>0.079</v>
      </c>
      <c r="E124" s="20" t="n">
        <v>0.078</v>
      </c>
      <c r="F124" s="20" t="n">
        <v>1.445</v>
      </c>
      <c r="G124" s="20" t="n">
        <v>67.697</v>
      </c>
      <c r="H124" s="20" t="n">
        <v>0.431</v>
      </c>
      <c r="I124" s="20" t="n">
        <v>5.382</v>
      </c>
      <c r="J124" s="20" t="n">
        <v>8.276</v>
      </c>
      <c r="K124" s="20" t="n">
        <v>0</v>
      </c>
      <c r="L124" s="20" t="n">
        <v>0.015</v>
      </c>
      <c r="M124" s="20" t="n">
        <v>0</v>
      </c>
      <c r="N124" s="20" t="n">
        <v>0.128</v>
      </c>
      <c r="V124" s="20" t="n">
        <v>0.079</v>
      </c>
      <c r="W124" s="20" t="n">
        <v>0.431</v>
      </c>
      <c r="X124" s="20" t="n">
        <v>0.015</v>
      </c>
    </row>
    <row r="125">
      <c r="A125" s="9" t="inlineStr">
        <is>
          <t>법인세차감전 순이익</t>
        </is>
      </c>
      <c r="C125" s="12" t="n">
        <v>412.271</v>
      </c>
      <c r="D125" s="12" t="n">
        <v>389.861</v>
      </c>
      <c r="E125" s="12" t="n">
        <v>318.93</v>
      </c>
      <c r="F125" s="12" t="n">
        <v>410.94</v>
      </c>
      <c r="G125" s="12" t="n">
        <v>349.97</v>
      </c>
      <c r="H125" s="12" t="n">
        <v>374.337</v>
      </c>
      <c r="I125" s="12" t="n">
        <v>665.8869999999999</v>
      </c>
      <c r="J125" s="12" t="n">
        <v>190.585</v>
      </c>
      <c r="K125" s="12" t="n">
        <v>409.008</v>
      </c>
      <c r="L125" s="12" t="n">
        <v>690.335</v>
      </c>
      <c r="M125" s="12" t="n">
        <v>463.265</v>
      </c>
      <c r="N125" s="12" t="n">
        <v>574.784</v>
      </c>
      <c r="V125" s="12" t="n">
        <v>389.861</v>
      </c>
      <c r="W125" s="12" t="n">
        <v>374.337</v>
      </c>
      <c r="X125" s="12" t="n">
        <v>690.335</v>
      </c>
    </row>
    <row r="126">
      <c r="A126" s="18" t="inlineStr">
        <is>
          <t>법인세·주민세·사업세</t>
        </is>
      </c>
      <c r="C126" s="20" t="n">
        <v>50.471</v>
      </c>
      <c r="D126" s="20" t="n">
        <v>17.265</v>
      </c>
      <c r="E126" s="20" t="n">
        <v>134.982</v>
      </c>
      <c r="F126" s="20" t="n">
        <v>134.735</v>
      </c>
      <c r="G126" s="20" t="n">
        <v>182.593</v>
      </c>
      <c r="H126" s="20" t="n">
        <v>45.996</v>
      </c>
      <c r="I126" s="20" t="n">
        <v>326.344</v>
      </c>
      <c r="J126" s="20" t="n">
        <v>49.754</v>
      </c>
      <c r="K126" s="20" t="n">
        <v>148.326</v>
      </c>
      <c r="L126" s="20" t="n">
        <v>144.111</v>
      </c>
      <c r="M126" s="20" t="n">
        <v>187.025</v>
      </c>
      <c r="N126" s="20" t="n">
        <v>194.399</v>
      </c>
      <c r="V126" s="20" t="n">
        <v>17.265</v>
      </c>
      <c r="W126" s="20" t="n">
        <v>45.996</v>
      </c>
      <c r="X126" s="20" t="n">
        <v>144.111</v>
      </c>
    </row>
    <row r="127">
      <c r="A127" s="18" t="inlineStr">
        <is>
          <t>법인세 조정액</t>
        </is>
      </c>
      <c r="C127" s="20" t="n">
        <v>82.563</v>
      </c>
      <c r="D127" s="20" t="n">
        <v>98.822</v>
      </c>
      <c r="E127" s="20" t="n">
        <v>-61.26</v>
      </c>
      <c r="F127" s="20" t="n">
        <v>-2.322</v>
      </c>
      <c r="G127" s="20" t="n">
        <v>-54.577</v>
      </c>
      <c r="H127" s="20" t="n">
        <v>-4.637</v>
      </c>
      <c r="I127" s="20" t="n">
        <v>-176.903</v>
      </c>
      <c r="J127" s="20" t="n">
        <v>27.847</v>
      </c>
      <c r="K127" s="20" t="n">
        <v>-9.476000000000001</v>
      </c>
      <c r="L127" s="20" t="n">
        <v>22.803</v>
      </c>
      <c r="M127" s="20" t="n">
        <v>-17.117</v>
      </c>
      <c r="N127" s="20" t="n">
        <v>8.997999999999999</v>
      </c>
      <c r="V127" s="20" t="n">
        <v>98.822</v>
      </c>
      <c r="W127" s="20" t="n">
        <v>-4.637</v>
      </c>
      <c r="X127" s="20" t="n">
        <v>22.803</v>
      </c>
    </row>
    <row r="128">
      <c r="A128" s="18" t="inlineStr">
        <is>
          <t>법인세 등</t>
        </is>
      </c>
      <c r="C128" s="20" t="n">
        <v>133.035</v>
      </c>
      <c r="D128" s="20" t="n">
        <v>116.086</v>
      </c>
      <c r="E128" s="20" t="n">
        <v>73.72199999999999</v>
      </c>
      <c r="F128" s="20" t="n">
        <v>132.412</v>
      </c>
      <c r="G128" s="20" t="n">
        <v>128.016</v>
      </c>
      <c r="H128" s="20" t="n">
        <v>41.359</v>
      </c>
      <c r="I128" s="20" t="n">
        <v>149.441</v>
      </c>
      <c r="J128" s="20" t="n">
        <v>77.601</v>
      </c>
      <c r="K128" s="20" t="n">
        <v>138.849</v>
      </c>
      <c r="L128" s="20" t="n">
        <v>166.914</v>
      </c>
      <c r="M128" s="20" t="n">
        <v>169.907</v>
      </c>
      <c r="N128" s="20" t="n">
        <v>203.397</v>
      </c>
      <c r="V128" s="20" t="n">
        <v>116.086</v>
      </c>
      <c r="W128" s="20" t="n">
        <v>41.359</v>
      </c>
      <c r="X128" s="20" t="n">
        <v>166.914</v>
      </c>
    </row>
    <row r="129">
      <c r="A129" s="9" t="inlineStr">
        <is>
          <t>순이익</t>
        </is>
      </c>
      <c r="C129" s="12" t="n">
        <v>279.237</v>
      </c>
      <c r="D129" s="12" t="n">
        <v>273.775</v>
      </c>
      <c r="E129" s="12" t="n">
        <v>245.207</v>
      </c>
      <c r="F129" s="12" t="n">
        <v>278.529</v>
      </c>
      <c r="G129" s="12" t="n">
        <v>221.953</v>
      </c>
      <c r="H129" s="12" t="n">
        <v>332.978</v>
      </c>
      <c r="I129" s="12" t="n">
        <v>516.446</v>
      </c>
      <c r="J129" s="12" t="n">
        <v>112.984</v>
      </c>
      <c r="K129" s="12" t="n">
        <v>270.158</v>
      </c>
      <c r="L129" s="12" t="n">
        <v>523.421</v>
      </c>
      <c r="M129" s="12" t="n">
        <v>293.357</v>
      </c>
      <c r="N129" s="12" t="n">
        <v>371.388</v>
      </c>
      <c r="V129" s="12" t="n">
        <v>273.775</v>
      </c>
      <c r="W129" s="12" t="n">
        <v>332.978</v>
      </c>
      <c r="X129" s="12" t="n">
        <v>523.421</v>
      </c>
    </row>
    <row r="130">
      <c r="A130" s="43" t="inlineStr">
        <is>
          <t>YoY</t>
        </is>
      </c>
      <c r="B130" s="3" t="inlineStr">
        <is>
          <t>전년 같은 분기·전년 대비</t>
        </is>
      </c>
      <c r="G130" s="15">
        <f>IF(OR(G129="",C129=""),"",IF(C129&lt;=0,"",IFERROR(G129/C129-1,"")))</f>
        <v/>
      </c>
      <c r="H130" s="15">
        <f>IF(OR(H129="",D129=""),"",IF(D129&lt;=0,"",IFERROR(H129/D129-1,"")))</f>
        <v/>
      </c>
      <c r="I130" s="15">
        <f>IF(OR(I129="",E129=""),"",IF(E129&lt;=0,"",IFERROR(I129/E129-1,"")))</f>
        <v/>
      </c>
      <c r="J130" s="15">
        <f>IF(OR(J129="",F129=""),"",IF(F129&lt;=0,"",IFERROR(J129/F129-1,"")))</f>
        <v/>
      </c>
      <c r="K130" s="15">
        <f>IF(OR(K129="",G129=""),"",IF(G129&lt;=0,"",IFERROR(K129/G129-1,"")))</f>
        <v/>
      </c>
      <c r="L130" s="15">
        <f>IF(OR(L129="",H129=""),"",IF(H129&lt;=0,"",IFERROR(L129/H129-1,"")))</f>
        <v/>
      </c>
      <c r="M130" s="15">
        <f>IF(OR(M129="",I129=""),"",IF(I129&lt;=0,"",IFERROR(M129/I129-1,"")))</f>
        <v/>
      </c>
      <c r="N130" s="15">
        <f>IF(OR(N129="",J129=""),"",IF(J129&lt;=0,"",IFERROR(N129/J129-1,"")))</f>
        <v/>
      </c>
      <c r="V130" s="15">
        <f>IF(OR(V129="",U129=""),"",IF(U129&lt;=0,"",IFERROR(V129/U129-1,"")))</f>
        <v/>
      </c>
      <c r="W130" s="15">
        <f>IF(OR(W129="",V129=""),"",IF(V129&lt;=0,"",IFERROR(W129/V129-1,"")))</f>
        <v/>
      </c>
      <c r="X130" s="15">
        <f>IF(OR(X129="",W129=""),"",IF(W129&lt;=0,"",IFERROR(X129/W129-1,"")))</f>
        <v/>
      </c>
    </row>
    <row r="131">
      <c r="A131" s="9" t="inlineStr">
        <is>
          <t>지배주주 순이익</t>
        </is>
      </c>
      <c r="C131" s="12" t="n">
        <v>279.237</v>
      </c>
      <c r="D131" s="12" t="n">
        <v>273.775</v>
      </c>
      <c r="E131" s="12" t="n">
        <v>245.207</v>
      </c>
      <c r="F131" s="12" t="n">
        <v>278.529</v>
      </c>
      <c r="G131" s="12" t="n">
        <v>221.953</v>
      </c>
      <c r="H131" s="12" t="n">
        <v>332.978</v>
      </c>
      <c r="I131" s="12" t="n">
        <v>516.446</v>
      </c>
      <c r="J131" s="12" t="n">
        <v>112.984</v>
      </c>
      <c r="K131" s="12" t="n">
        <v>270.158</v>
      </c>
      <c r="L131" s="12" t="n">
        <v>523.421</v>
      </c>
      <c r="M131" s="12" t="n">
        <v>293.357</v>
      </c>
      <c r="N131" s="12" t="n">
        <v>371.388</v>
      </c>
      <c r="V131" s="12" t="n">
        <v>273.775</v>
      </c>
      <c r="W131" s="12" t="n">
        <v>332.978</v>
      </c>
      <c r="X131" s="12" t="n">
        <v>523.421</v>
      </c>
    </row>
    <row r="132">
      <c r="A132" s="43" t="inlineStr">
        <is>
          <t>YoY</t>
        </is>
      </c>
      <c r="B132" s="3" t="inlineStr">
        <is>
          <t>전년 같은 분기·전년 대비</t>
        </is>
      </c>
      <c r="G132" s="15">
        <f>IF(OR(G131="",C131=""),"",IF(C131&lt;=0,"",IFERROR(G131/C131-1,"")))</f>
        <v/>
      </c>
      <c r="H132" s="15">
        <f>IF(OR(H131="",D131=""),"",IF(D131&lt;=0,"",IFERROR(H131/D131-1,"")))</f>
        <v/>
      </c>
      <c r="I132" s="15">
        <f>IF(OR(I131="",E131=""),"",IF(E131&lt;=0,"",IFERROR(I131/E131-1,"")))</f>
        <v/>
      </c>
      <c r="J132" s="15">
        <f>IF(OR(J131="",F131=""),"",IF(F131&lt;=0,"",IFERROR(J131/F131-1,"")))</f>
        <v/>
      </c>
      <c r="K132" s="15">
        <f>IF(OR(K131="",G131=""),"",IF(G131&lt;=0,"",IFERROR(K131/G131-1,"")))</f>
        <v/>
      </c>
      <c r="L132" s="15">
        <f>IF(OR(L131="",H131=""),"",IF(H131&lt;=0,"",IFERROR(L131/H131-1,"")))</f>
        <v/>
      </c>
      <c r="M132" s="15">
        <f>IF(OR(M131="",I131=""),"",IF(I131&lt;=0,"",IFERROR(M131/I131-1,"")))</f>
        <v/>
      </c>
      <c r="N132" s="15">
        <f>IF(OR(N131="",J131=""),"",IF(J131&lt;=0,"",IFERROR(N131/J131-1,"")))</f>
        <v/>
      </c>
      <c r="V132" s="15">
        <f>IF(OR(V131="",U131=""),"",IF(U131&lt;=0,"",IFERROR(V131/U131-1,"")))</f>
        <v/>
      </c>
      <c r="W132" s="15">
        <f>IF(OR(W131="",V131=""),"",IF(V131&lt;=0,"",IFERROR(W131/V131-1,"")))</f>
        <v/>
      </c>
      <c r="X132" s="15">
        <f>IF(OR(X131="",W131=""),"",IF(W131&lt;=0,"",IFERROR(X131/W131-1,"")))</f>
        <v/>
      </c>
    </row>
    <row r="134">
      <c r="A134" s="16" t="inlineStr">
        <is>
          <t>포괄손익 · 전 항목</t>
        </is>
      </c>
      <c r="B134" s="42" t="inlineStr">
        <is>
          <t>분기 = 3개월 단독</t>
        </is>
      </c>
      <c r="C134" s="16" t="n"/>
      <c r="D134" s="16" t="n"/>
      <c r="E134" s="16" t="n"/>
      <c r="F134" s="16" t="n"/>
      <c r="G134" s="16" t="n"/>
      <c r="H134" s="16" t="n"/>
      <c r="I134" s="16" t="n"/>
      <c r="J134" s="16" t="n"/>
      <c r="K134" s="16" t="n"/>
      <c r="L134" s="16" t="n"/>
      <c r="M134" s="16" t="n"/>
      <c r="N134" s="16" t="n"/>
      <c r="O134" s="16" t="n"/>
      <c r="P134" s="16" t="n"/>
      <c r="Q134" s="16" t="n"/>
      <c r="R134" s="16" t="n"/>
      <c r="S134" s="16" t="n"/>
      <c r="T134" s="16" t="n"/>
      <c r="U134" s="16" t="n"/>
      <c r="V134" s="16" t="n"/>
      <c r="W134" s="16" t="n"/>
      <c r="X134" s="16" t="n"/>
      <c r="Y134" s="16" t="n"/>
      <c r="Z134" s="16" t="n"/>
      <c r="AA134" s="16" t="n"/>
      <c r="AB134" s="16" t="n"/>
      <c r="AC134" s="16" t="n"/>
    </row>
    <row r="135">
      <c r="A135" s="5" t="inlineStr">
        <is>
          <t>항목</t>
        </is>
      </c>
      <c r="B135" s="5" t="inlineStr">
        <is>
          <t>참고</t>
        </is>
      </c>
      <c r="C135" s="5" t="inlineStr">
        <is>
          <t>2024.3Q</t>
        </is>
      </c>
      <c r="D135" s="5" t="inlineStr">
        <is>
          <t>2024.4Q</t>
        </is>
      </c>
      <c r="E135" s="5" t="inlineStr">
        <is>
          <t>2025.1Q</t>
        </is>
      </c>
      <c r="F135" s="5" t="inlineStr">
        <is>
          <t>2025.2Q</t>
        </is>
      </c>
      <c r="G135" s="5" t="inlineStr">
        <is>
          <t>2025.3Q</t>
        </is>
      </c>
      <c r="H135" s="5" t="inlineStr">
        <is>
          <t>2025.4Q</t>
        </is>
      </c>
      <c r="I135" s="5" t="inlineStr">
        <is>
          <t>2026.1Q</t>
        </is>
      </c>
      <c r="J135" s="5" t="inlineStr">
        <is>
          <t>2026.2Q</t>
        </is>
      </c>
      <c r="K135" s="5" t="inlineStr">
        <is>
          <t>2026.3Q</t>
        </is>
      </c>
      <c r="L135" s="5" t="inlineStr">
        <is>
          <t>2026.4Q</t>
        </is>
      </c>
      <c r="M135" s="5" t="inlineStr">
        <is>
          <t>2027.1Q</t>
        </is>
      </c>
      <c r="N135" s="5" t="inlineStr">
        <is>
          <t>2027.2Q</t>
        </is>
      </c>
      <c r="O135" s="5" t="inlineStr">
        <is>
          <t>2017</t>
        </is>
      </c>
      <c r="P135" s="5" t="inlineStr">
        <is>
          <t>2018</t>
        </is>
      </c>
      <c r="Q135" s="5" t="inlineStr">
        <is>
          <t>2019</t>
        </is>
      </c>
      <c r="R135" s="5" t="inlineStr">
        <is>
          <t>2020</t>
        </is>
      </c>
      <c r="S135" s="5" t="inlineStr">
        <is>
          <t>2021</t>
        </is>
      </c>
      <c r="T135" s="5" t="inlineStr">
        <is>
          <t>2022</t>
        </is>
      </c>
      <c r="U135" s="5" t="inlineStr">
        <is>
          <t>2023</t>
        </is>
      </c>
      <c r="V135" s="5" t="inlineStr">
        <is>
          <t>2024</t>
        </is>
      </c>
      <c r="W135" s="5" t="inlineStr">
        <is>
          <t>2025</t>
        </is>
      </c>
      <c r="X135" s="5" t="inlineStr">
        <is>
          <t>2026</t>
        </is>
      </c>
      <c r="Y135" s="5" t="inlineStr">
        <is>
          <t>2027(MW)</t>
        </is>
      </c>
      <c r="Z135" s="5" t="inlineStr">
        <is>
          <t>2028(MW)</t>
        </is>
      </c>
      <c r="AA135" s="5" t="inlineStr">
        <is>
          <t>2029(MW)</t>
        </is>
      </c>
      <c r="AB135" s="5" t="inlineStr">
        <is>
          <t>2030(MW)</t>
        </is>
      </c>
      <c r="AC135" s="5" t="inlineStr">
        <is>
          <t>2031(MW)</t>
        </is>
      </c>
    </row>
    <row r="136">
      <c r="A136" s="9" t="inlineStr">
        <is>
          <t>순이익</t>
        </is>
      </c>
      <c r="C136" s="12" t="n">
        <v>279.237</v>
      </c>
      <c r="D136" s="12" t="n">
        <v>273.775</v>
      </c>
      <c r="E136" s="12" t="n">
        <v>245.207</v>
      </c>
      <c r="F136" s="12" t="n">
        <v>278.529</v>
      </c>
      <c r="G136" s="12" t="n">
        <v>221.953</v>
      </c>
      <c r="H136" s="12" t="n">
        <v>332.978</v>
      </c>
      <c r="I136" s="12" t="n">
        <v>516.446</v>
      </c>
      <c r="J136" s="12" t="n">
        <v>112.984</v>
      </c>
      <c r="K136" s="12" t="n">
        <v>270.158</v>
      </c>
      <c r="L136" s="12" t="n">
        <v>523.421</v>
      </c>
      <c r="M136" s="12" t="n">
        <v>293.357</v>
      </c>
      <c r="N136" s="12" t="n">
        <v>371.388</v>
      </c>
      <c r="V136" s="12" t="n">
        <v>273.775</v>
      </c>
      <c r="W136" s="12" t="n">
        <v>332.978</v>
      </c>
      <c r="X136" s="12" t="n">
        <v>523.421</v>
      </c>
    </row>
    <row r="137">
      <c r="A137" s="18" t="inlineStr">
        <is>
          <t>기타유가증권 평가차액</t>
        </is>
      </c>
      <c r="C137" s="20" t="n">
        <v>1.897</v>
      </c>
      <c r="D137" s="20" t="n">
        <v>5.984</v>
      </c>
      <c r="E137" s="20" t="n">
        <v>4.323</v>
      </c>
      <c r="F137" s="20" t="n">
        <v>1.316</v>
      </c>
      <c r="G137" s="20" t="n">
        <v>-7.414</v>
      </c>
      <c r="H137" s="20" t="n">
        <v>2.464</v>
      </c>
      <c r="I137" s="20" t="n">
        <v>-5.741</v>
      </c>
      <c r="J137" s="20" t="n">
        <v>8.961</v>
      </c>
      <c r="K137" s="20" t="n">
        <v>-3.835</v>
      </c>
      <c r="L137" s="20" t="n">
        <v>3.846</v>
      </c>
      <c r="M137" s="20" t="n">
        <v>-1.957</v>
      </c>
      <c r="N137" s="20" t="n">
        <v>14.458</v>
      </c>
      <c r="V137" s="20" t="n">
        <v>5.984</v>
      </c>
      <c r="W137" s="20" t="n">
        <v>2.464</v>
      </c>
      <c r="X137" s="20" t="n">
        <v>3.846</v>
      </c>
    </row>
    <row r="138">
      <c r="A138" s="18" t="inlineStr">
        <is>
          <t>퇴직급여 조정액</t>
        </is>
      </c>
      <c r="C138" s="20" t="n">
        <v>-0.251</v>
      </c>
      <c r="D138" s="20" t="n">
        <v>34.101</v>
      </c>
      <c r="E138" s="20" t="n">
        <v>-1.109</v>
      </c>
      <c r="F138" s="20" t="n">
        <v>-1.109</v>
      </c>
      <c r="G138" s="20" t="n">
        <v>-1.11</v>
      </c>
      <c r="H138" s="20" t="n">
        <v>21.716</v>
      </c>
      <c r="I138" s="20" t="n">
        <v>-1.68</v>
      </c>
      <c r="J138" s="20" t="n">
        <v>-2.29</v>
      </c>
      <c r="K138" s="20" t="n">
        <v>-1.66</v>
      </c>
      <c r="L138" s="20" t="n">
        <v>-0.839</v>
      </c>
      <c r="M138" s="20" t="n">
        <v>-1.701</v>
      </c>
      <c r="N138" s="20" t="n">
        <v>-1.701</v>
      </c>
      <c r="V138" s="20" t="n">
        <v>34.101</v>
      </c>
      <c r="W138" s="20" t="n">
        <v>21.716</v>
      </c>
      <c r="X138" s="20" t="n">
        <v>-0.839</v>
      </c>
    </row>
    <row r="139">
      <c r="A139" s="18" t="inlineStr">
        <is>
          <t>지분법 적용회사 지분 해당액</t>
        </is>
      </c>
      <c r="E139" s="20" t="n">
        <v>0</v>
      </c>
      <c r="F139" s="20" t="n">
        <v>0</v>
      </c>
      <c r="G139" s="20" t="n">
        <v>0</v>
      </c>
      <c r="I139" s="20" t="n">
        <v>-4.017</v>
      </c>
      <c r="J139" s="20" t="n">
        <v>0.745</v>
      </c>
      <c r="K139" s="20" t="n">
        <v>2.239</v>
      </c>
      <c r="M139" s="20" t="n">
        <v>20.123</v>
      </c>
      <c r="N139" s="20" t="n">
        <v>0.142</v>
      </c>
    </row>
    <row r="140">
      <c r="A140" s="18" t="inlineStr">
        <is>
          <t>기타포괄손익 합계</t>
        </is>
      </c>
      <c r="C140" s="20" t="n">
        <v>1.646</v>
      </c>
      <c r="D140" s="20" t="n">
        <v>40.087</v>
      </c>
      <c r="E140" s="20" t="n">
        <v>3.213</v>
      </c>
      <c r="F140" s="20" t="n">
        <v>0.208</v>
      </c>
      <c r="G140" s="20" t="n">
        <v>-8.523999999999999</v>
      </c>
      <c r="H140" s="20" t="n">
        <v>24.181</v>
      </c>
      <c r="I140" s="20" t="n">
        <v>-11.438</v>
      </c>
      <c r="J140" s="20" t="n">
        <v>7.415</v>
      </c>
      <c r="K140" s="20" t="n">
        <v>-3.256</v>
      </c>
      <c r="L140" s="20" t="n">
        <v>-14.434</v>
      </c>
      <c r="M140" s="20" t="n">
        <v>16.465</v>
      </c>
      <c r="N140" s="20" t="n">
        <v>9.337999999999999</v>
      </c>
      <c r="V140" s="20" t="n">
        <v>40.087</v>
      </c>
      <c r="W140" s="20" t="n">
        <v>24.181</v>
      </c>
      <c r="X140" s="20" t="n">
        <v>-14.434</v>
      </c>
    </row>
    <row r="141">
      <c r="A141" s="9" t="inlineStr">
        <is>
          <t>포괄이익</t>
        </is>
      </c>
      <c r="C141" s="12" t="n">
        <v>280.883</v>
      </c>
      <c r="D141" s="12" t="n">
        <v>313.861</v>
      </c>
      <c r="E141" s="12" t="n">
        <v>248.421</v>
      </c>
      <c r="F141" s="12" t="n">
        <v>278.736</v>
      </c>
      <c r="G141" s="12" t="n">
        <v>213.429</v>
      </c>
      <c r="H141" s="12" t="n">
        <v>357.16</v>
      </c>
      <c r="I141" s="12" t="n">
        <v>505.007</v>
      </c>
      <c r="J141" s="12" t="n">
        <v>120.4</v>
      </c>
      <c r="K141" s="12" t="n">
        <v>266.902</v>
      </c>
      <c r="L141" s="12" t="n">
        <v>508.987</v>
      </c>
      <c r="M141" s="12" t="n">
        <v>309.822</v>
      </c>
      <c r="N141" s="12" t="n">
        <v>380.726</v>
      </c>
      <c r="V141" s="12" t="n">
        <v>313.861</v>
      </c>
      <c r="W141" s="12" t="n">
        <v>357.16</v>
      </c>
      <c r="X141" s="12" t="n">
        <v>508.987</v>
      </c>
    </row>
    <row r="142">
      <c r="A142" s="9" t="inlineStr">
        <is>
          <t>지배주주 포괄이익</t>
        </is>
      </c>
      <c r="C142" s="12" t="n">
        <v>280.883</v>
      </c>
      <c r="D142" s="12" t="n">
        <v>313.861</v>
      </c>
      <c r="E142" s="12" t="n">
        <v>248.421</v>
      </c>
      <c r="F142" s="12" t="n">
        <v>278.736</v>
      </c>
      <c r="G142" s="12" t="n">
        <v>213.429</v>
      </c>
      <c r="H142" s="12" t="n">
        <v>357.16</v>
      </c>
      <c r="I142" s="12" t="n">
        <v>505.007</v>
      </c>
      <c r="J142" s="12" t="n">
        <v>120.4</v>
      </c>
      <c r="K142" s="12" t="n">
        <v>266.902</v>
      </c>
      <c r="L142" s="12" t="n">
        <v>508.987</v>
      </c>
      <c r="M142" s="12" t="n">
        <v>309.822</v>
      </c>
      <c r="N142" s="12" t="n">
        <v>380.726</v>
      </c>
      <c r="V142" s="12" t="n">
        <v>313.861</v>
      </c>
      <c r="W142" s="12" t="n">
        <v>357.16</v>
      </c>
      <c r="X142" s="12" t="n">
        <v>508.987</v>
      </c>
    </row>
    <row r="144">
      <c r="A144" s="16" t="inlineStr">
        <is>
          <t>부문 · 전 항목</t>
        </is>
      </c>
      <c r="B144" s="42" t="inlineStr">
        <is>
          <t>부문 · 항목</t>
        </is>
      </c>
      <c r="C144" s="16" t="n"/>
      <c r="D144" s="16" t="n"/>
      <c r="E144" s="16" t="n"/>
      <c r="F144" s="16" t="n"/>
      <c r="G144" s="16" t="n"/>
      <c r="H144" s="16" t="n"/>
      <c r="I144" s="16" t="n"/>
      <c r="J144" s="16" t="n"/>
      <c r="K144" s="16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  <c r="AA144" s="16" t="n"/>
      <c r="AB144" s="16" t="n"/>
      <c r="AC144" s="16" t="n"/>
    </row>
    <row r="145">
      <c r="A145" s="5" t="inlineStr">
        <is>
          <t>항목</t>
        </is>
      </c>
      <c r="B145" s="5" t="inlineStr">
        <is>
          <t>참고</t>
        </is>
      </c>
      <c r="C145" s="5" t="inlineStr">
        <is>
          <t>2024.3Q</t>
        </is>
      </c>
      <c r="D145" s="5" t="inlineStr">
        <is>
          <t>2024.4Q</t>
        </is>
      </c>
      <c r="E145" s="5" t="inlineStr">
        <is>
          <t>2025.1Q</t>
        </is>
      </c>
      <c r="F145" s="5" t="inlineStr">
        <is>
          <t>2025.2Q</t>
        </is>
      </c>
      <c r="G145" s="5" t="inlineStr">
        <is>
          <t>2025.3Q</t>
        </is>
      </c>
      <c r="H145" s="5" t="inlineStr">
        <is>
          <t>2025.4Q</t>
        </is>
      </c>
      <c r="I145" s="5" t="inlineStr">
        <is>
          <t>2026.1Q</t>
        </is>
      </c>
      <c r="J145" s="5" t="inlineStr">
        <is>
          <t>2026.2Q</t>
        </is>
      </c>
      <c r="K145" s="5" t="inlineStr">
        <is>
          <t>2026.3Q</t>
        </is>
      </c>
      <c r="L145" s="5" t="inlineStr">
        <is>
          <t>2026.4Q</t>
        </is>
      </c>
      <c r="M145" s="5" t="inlineStr">
        <is>
          <t>2027.1Q</t>
        </is>
      </c>
      <c r="N145" s="5" t="inlineStr">
        <is>
          <t>2027.2Q</t>
        </is>
      </c>
      <c r="O145" s="5" t="inlineStr">
        <is>
          <t>2017</t>
        </is>
      </c>
      <c r="P145" s="5" t="inlineStr">
        <is>
          <t>2018</t>
        </is>
      </c>
      <c r="Q145" s="5" t="inlineStr">
        <is>
          <t>2019</t>
        </is>
      </c>
      <c r="R145" s="5" t="inlineStr">
        <is>
          <t>2020</t>
        </is>
      </c>
      <c r="S145" s="5" t="inlineStr">
        <is>
          <t>2021</t>
        </is>
      </c>
      <c r="T145" s="5" t="inlineStr">
        <is>
          <t>2022</t>
        </is>
      </c>
      <c r="U145" s="5" t="inlineStr">
        <is>
          <t>2023</t>
        </is>
      </c>
      <c r="V145" s="5" t="inlineStr">
        <is>
          <t>2024</t>
        </is>
      </c>
      <c r="W145" s="5" t="inlineStr">
        <is>
          <t>2025</t>
        </is>
      </c>
      <c r="X145" s="5" t="inlineStr">
        <is>
          <t>2026</t>
        </is>
      </c>
      <c r="Y145" s="5" t="inlineStr">
        <is>
          <t>2027(MW)</t>
        </is>
      </c>
      <c r="Z145" s="5" t="inlineStr">
        <is>
          <t>2028(MW)</t>
        </is>
      </c>
      <c r="AA145" s="5" t="inlineStr">
        <is>
          <t>2029(MW)</t>
        </is>
      </c>
      <c r="AB145" s="5" t="inlineStr">
        <is>
          <t>2030(MW)</t>
        </is>
      </c>
      <c r="AC145" s="5" t="inlineStr">
        <is>
          <t>2031(MW)</t>
        </is>
      </c>
    </row>
    <row r="146">
      <c r="A146" s="18" t="inlineStr">
        <is>
          <t>ConveyorBusinessReportableSegmentMember · 외부 고객 매출</t>
        </is>
      </c>
      <c r="C146" s="20" t="n">
        <v>2268.64</v>
      </c>
      <c r="D146" s="20" t="n">
        <v>762.045</v>
      </c>
      <c r="E146" s="20" t="n">
        <v>1922.353</v>
      </c>
      <c r="F146" s="20" t="n">
        <v>1973.113</v>
      </c>
      <c r="G146" s="20" t="n">
        <v>1936.651</v>
      </c>
      <c r="H146" s="20" t="n">
        <v>2085.113</v>
      </c>
      <c r="I146" s="20" t="n">
        <v>1876.581</v>
      </c>
      <c r="J146" s="20" t="n">
        <v>1815.066</v>
      </c>
      <c r="K146" s="20" t="n">
        <v>3348.889</v>
      </c>
      <c r="L146" s="20" t="n">
        <v>3145.449</v>
      </c>
      <c r="M146" s="20" t="n">
        <v>1935.52</v>
      </c>
      <c r="N146" s="20" t="n">
        <v>1931.534</v>
      </c>
      <c r="V146" s="20" t="n">
        <v>762.045</v>
      </c>
      <c r="W146" s="20" t="n">
        <v>2085.113</v>
      </c>
      <c r="X146" s="20" t="n">
        <v>3145.449</v>
      </c>
    </row>
    <row r="147">
      <c r="A147" s="43" t="inlineStr">
        <is>
          <t>YoY</t>
        </is>
      </c>
      <c r="B147" s="3" t="inlineStr">
        <is>
          <t>전년 같은 분기·전년 대비</t>
        </is>
      </c>
      <c r="G147" s="15">
        <f>IF(OR(G146="",C146=""),"",IF(C146&lt;=0,"",IFERROR(G146/C146-1,"")))</f>
        <v/>
      </c>
      <c r="H147" s="15">
        <f>IF(OR(H146="",D146=""),"",IF(D146&lt;=0,"",IFERROR(H146/D146-1,"")))</f>
        <v/>
      </c>
      <c r="I147" s="15">
        <f>IF(OR(I146="",E146=""),"",IF(E146&lt;=0,"",IFERROR(I146/E146-1,"")))</f>
        <v/>
      </c>
      <c r="J147" s="15">
        <f>IF(OR(J146="",F146=""),"",IF(F146&lt;=0,"",IFERROR(J146/F146-1,"")))</f>
        <v/>
      </c>
      <c r="K147" s="15">
        <f>IF(OR(K146="",G146=""),"",IF(G146&lt;=0,"",IFERROR(K146/G146-1,"")))</f>
        <v/>
      </c>
      <c r="L147" s="15">
        <f>IF(OR(L146="",H146=""),"",IF(H146&lt;=0,"",IFERROR(L146/H146-1,"")))</f>
        <v/>
      </c>
      <c r="M147" s="15">
        <f>IF(OR(M146="",I146=""),"",IF(I146&lt;=0,"",IFERROR(M146/I146-1,"")))</f>
        <v/>
      </c>
      <c r="N147" s="15">
        <f>IF(OR(N146="",J146=""),"",IF(J146&lt;=0,"",IFERROR(N146/J146-1,"")))</f>
        <v/>
      </c>
      <c r="V147" s="15">
        <f>IF(OR(V146="",U146=""),"",IF(U146&lt;=0,"",IFERROR(V146/U146-1,"")))</f>
        <v/>
      </c>
      <c r="W147" s="15">
        <f>IF(OR(W146="",V146=""),"",IF(V146&lt;=0,"",IFERROR(W146/V146-1,"")))</f>
        <v/>
      </c>
      <c r="X147" s="15">
        <f>IF(OR(X146="",W146=""),"",IF(W146&lt;=0,"",IFERROR(X146/W146-1,"")))</f>
        <v/>
      </c>
    </row>
    <row r="148">
      <c r="A148" s="18" t="inlineStr">
        <is>
          <t>EnvironmentalPlantsReportableSegmentMember · 외부 고객 매출</t>
        </is>
      </c>
      <c r="E148" s="20" t="n">
        <v>402.409</v>
      </c>
      <c r="F148" s="20" t="n">
        <v>544.112</v>
      </c>
      <c r="G148" s="20" t="n">
        <v>569.6900000000001</v>
      </c>
      <c r="H148" s="20" t="n">
        <v>633.831</v>
      </c>
      <c r="I148" s="20" t="n">
        <v>468.442</v>
      </c>
      <c r="J148" s="20" t="n">
        <v>526.745</v>
      </c>
      <c r="K148" s="20" t="n">
        <v>523.651</v>
      </c>
      <c r="L148" s="20" t="n">
        <v>622.241</v>
      </c>
      <c r="W148" s="20" t="n">
        <v>633.831</v>
      </c>
      <c r="X148" s="20" t="n">
        <v>622.241</v>
      </c>
    </row>
    <row r="149">
      <c r="A149" s="43" t="inlineStr">
        <is>
          <t>YoY</t>
        </is>
      </c>
      <c r="B149" s="3" t="inlineStr">
        <is>
          <t>전년 같은 분기·전년 대비</t>
        </is>
      </c>
      <c r="G149" s="15">
        <f>IF(OR(G148="",C148=""),"",IF(C148&lt;=0,"",IFERROR(G148/C148-1,"")))</f>
        <v/>
      </c>
      <c r="H149" s="15">
        <f>IF(OR(H148="",D148=""),"",IF(D148&lt;=0,"",IFERROR(H148/D148-1,"")))</f>
        <v/>
      </c>
      <c r="I149" s="15">
        <f>IF(OR(I148="",E148=""),"",IF(E148&lt;=0,"",IFERROR(I148/E148-1,"")))</f>
        <v/>
      </c>
      <c r="J149" s="15">
        <f>IF(OR(J148="",F148=""),"",IF(F148&lt;=0,"",IFERROR(J148/F148-1,"")))</f>
        <v/>
      </c>
      <c r="K149" s="15">
        <f>IF(OR(K148="",G148=""),"",IF(G148&lt;=0,"",IFERROR(K148/G148-1,"")))</f>
        <v/>
      </c>
      <c r="L149" s="15">
        <f>IF(OR(L148="",H148=""),"",IF(H148&lt;=0,"",IFERROR(L148/H148-1,"")))</f>
        <v/>
      </c>
      <c r="W149" s="15">
        <f>IF(OR(W148="",V148=""),"",IF(V148&lt;=0,"",IFERROR(W148/V148-1,"")))</f>
        <v/>
      </c>
      <c r="X149" s="15">
        <f>IF(OR(X148="",W148=""),"",IF(W148&lt;=0,"",IFERROR(X148/W148-1,"")))</f>
        <v/>
      </c>
    </row>
    <row r="150">
      <c r="A150" s="18" t="inlineStr">
        <is>
          <t>EnvironmentalEnergyBusinessReportableSegmentMember · 외부 고객 매출</t>
        </is>
      </c>
      <c r="I150" s="20" t="n">
        <v>1151.335</v>
      </c>
      <c r="J150" s="20" t="n">
        <v>806.705</v>
      </c>
      <c r="M150" s="20" t="n">
        <v>1173.001</v>
      </c>
      <c r="N150" s="20" t="n">
        <v>1127.693</v>
      </c>
    </row>
    <row r="151">
      <c r="A151" s="43" t="inlineStr">
        <is>
          <t>YoY</t>
        </is>
      </c>
      <c r="B151" s="3" t="inlineStr">
        <is>
          <t>전년 같은 분기·전년 대비</t>
        </is>
      </c>
      <c r="I151" s="15">
        <f>IF(OR(I150="",E150=""),"",IF(E150&lt;=0,"",IFERROR(I150/E150-1,"")))</f>
        <v/>
      </c>
      <c r="J151" s="15">
        <f>IF(OR(J150="",F150=""),"",IF(F150&lt;=0,"",IFERROR(J150/F150-1,"")))</f>
        <v/>
      </c>
      <c r="M151" s="15">
        <f>IF(OR(M150="",I150=""),"",IF(I150&lt;=0,"",IFERROR(M150/I150-1,"")))</f>
        <v/>
      </c>
      <c r="N151" s="15">
        <f>IF(OR(N150="",J150=""),"",IF(J150&lt;=0,"",IFERROR(N150/J150-1,"")))</f>
        <v/>
      </c>
    </row>
    <row r="152">
      <c r="A152" s="18" t="inlineStr">
        <is>
          <t>RobotSIBusinessReportableSegmentMember · 외부 고객 매출</t>
        </is>
      </c>
      <c r="C152" s="20" t="n">
        <v>306.116</v>
      </c>
      <c r="D152" s="20" t="n">
        <v>222.845</v>
      </c>
      <c r="E152" s="20" t="n">
        <v>30.97</v>
      </c>
      <c r="F152" s="20" t="n">
        <v>76.102</v>
      </c>
      <c r="G152" s="20" t="n">
        <v>462.644</v>
      </c>
      <c r="H152" s="20" t="n">
        <v>427.582</v>
      </c>
      <c r="I152" s="20" t="n">
        <v>366.829</v>
      </c>
      <c r="J152" s="20" t="n">
        <v>309.61</v>
      </c>
      <c r="K152" s="20" t="n">
        <v>473.908</v>
      </c>
      <c r="L152" s="20" t="n">
        <v>269.473</v>
      </c>
      <c r="M152" s="20" t="n">
        <v>430.304</v>
      </c>
      <c r="N152" s="20" t="n">
        <v>184.095</v>
      </c>
      <c r="V152" s="20" t="n">
        <v>222.845</v>
      </c>
      <c r="W152" s="20" t="n">
        <v>427.582</v>
      </c>
      <c r="X152" s="20" t="n">
        <v>269.473</v>
      </c>
    </row>
    <row r="153">
      <c r="A153" s="43" t="inlineStr">
        <is>
          <t>YoY</t>
        </is>
      </c>
      <c r="B153" s="3" t="inlineStr">
        <is>
          <t>전년 같은 분기·전년 대비</t>
        </is>
      </c>
      <c r="G153" s="15">
        <f>IF(OR(G152="",C152=""),"",IF(C152&lt;=0,"",IFERROR(G152/C152-1,"")))</f>
        <v/>
      </c>
      <c r="H153" s="15">
        <f>IF(OR(H152="",D152=""),"",IF(D152&lt;=0,"",IFERROR(H152/D152-1,"")))</f>
        <v/>
      </c>
      <c r="I153" s="15">
        <f>IF(OR(I152="",E152=""),"",IF(E152&lt;=0,"",IFERROR(I152/E152-1,"")))</f>
        <v/>
      </c>
      <c r="J153" s="15">
        <f>IF(OR(J152="",F152=""),"",IF(F152&lt;=0,"",IFERROR(J152/F152-1,"")))</f>
        <v/>
      </c>
      <c r="K153" s="15">
        <f>IF(OR(K152="",G152=""),"",IF(G152&lt;=0,"",IFERROR(K152/G152-1,"")))</f>
        <v/>
      </c>
      <c r="L153" s="15">
        <f>IF(OR(L152="",H152=""),"",IF(H152&lt;=0,"",IFERROR(L152/H152-1,"")))</f>
        <v/>
      </c>
      <c r="M153" s="15">
        <f>IF(OR(M152="",I152=""),"",IF(I152&lt;=0,"",IFERROR(M152/I152-1,"")))</f>
        <v/>
      </c>
      <c r="N153" s="15">
        <f>IF(OR(N152="",J152=""),"",IF(J152&lt;=0,"",IFERROR(N152/J152-1,"")))</f>
        <v/>
      </c>
      <c r="V153" s="15">
        <f>IF(OR(V152="",U152=""),"",IF(U152&lt;=0,"",IFERROR(V152/U152-1,"")))</f>
        <v/>
      </c>
      <c r="W153" s="15">
        <f>IF(OR(W152="",V152=""),"",IF(V152&lt;=0,"",IFERROR(W152/V152-1,"")))</f>
        <v/>
      </c>
      <c r="X153" s="15">
        <f>IF(OR(X152="",W152=""),"",IF(W152&lt;=0,"",IFERROR(X152/W152-1,"")))</f>
        <v/>
      </c>
    </row>
    <row r="154">
      <c r="A154" s="18" t="inlineStr">
        <is>
          <t>합계 · 외부 고객 매출</t>
        </is>
      </c>
      <c r="C154" s="20" t="n">
        <v>2574.757</v>
      </c>
      <c r="D154" s="20" t="n">
        <v>2508.214</v>
      </c>
      <c r="E154" s="20" t="n">
        <v>2355.733</v>
      </c>
      <c r="F154" s="20" t="n">
        <v>2593.327</v>
      </c>
      <c r="G154" s="20" t="n">
        <v>2968.985</v>
      </c>
      <c r="H154" s="20" t="n">
        <v>3146.526</v>
      </c>
      <c r="I154" s="20" t="n">
        <v>3394.745</v>
      </c>
      <c r="J154" s="20" t="n">
        <v>2931.382</v>
      </c>
      <c r="K154" s="20" t="n">
        <v>3383.595</v>
      </c>
      <c r="L154" s="20" t="n">
        <v>4037.163</v>
      </c>
      <c r="M154" s="20" t="n">
        <v>3538.826</v>
      </c>
      <c r="N154" s="20" t="n">
        <v>3243.321</v>
      </c>
      <c r="V154" s="20" t="n">
        <v>2508.214</v>
      </c>
      <c r="W154" s="20" t="n">
        <v>3146.526</v>
      </c>
      <c r="X154" s="20" t="n">
        <v>4037.163</v>
      </c>
    </row>
    <row r="155">
      <c r="A155" s="43" t="inlineStr">
        <is>
          <t>YoY</t>
        </is>
      </c>
      <c r="B155" s="3" t="inlineStr">
        <is>
          <t>전년 같은 분기·전년 대비</t>
        </is>
      </c>
      <c r="G155" s="15">
        <f>IF(OR(G154="",C154=""),"",IF(C154&lt;=0,"",IFERROR(G154/C154-1,"")))</f>
        <v/>
      </c>
      <c r="H155" s="15">
        <f>IF(OR(H154="",D154=""),"",IF(D154&lt;=0,"",IFERROR(H154/D154-1,"")))</f>
        <v/>
      </c>
      <c r="I155" s="15">
        <f>IF(OR(I154="",E154=""),"",IF(E154&lt;=0,"",IFERROR(I154/E154-1,"")))</f>
        <v/>
      </c>
      <c r="J155" s="15">
        <f>IF(OR(J154="",F154=""),"",IF(F154&lt;=0,"",IFERROR(J154/F154-1,"")))</f>
        <v/>
      </c>
      <c r="K155" s="15">
        <f>IF(OR(K154="",G154=""),"",IF(G154&lt;=0,"",IFERROR(K154/G154-1,"")))</f>
        <v/>
      </c>
      <c r="L155" s="15">
        <f>IF(OR(L154="",H154=""),"",IF(H154&lt;=0,"",IFERROR(L154/H154-1,"")))</f>
        <v/>
      </c>
      <c r="M155" s="15">
        <f>IF(OR(M154="",I154=""),"",IF(I154&lt;=0,"",IFERROR(M154/I154-1,"")))</f>
        <v/>
      </c>
      <c r="N155" s="15">
        <f>IF(OR(N154="",J154=""),"",IF(J154&lt;=0,"",IFERROR(N154/J154-1,"")))</f>
        <v/>
      </c>
      <c r="V155" s="15">
        <f>IF(OR(V154="",U154=""),"",IF(U154&lt;=0,"",IFERROR(V154/U154-1,"")))</f>
        <v/>
      </c>
      <c r="W155" s="15">
        <f>IF(OR(W154="",V154=""),"",IF(V154&lt;=0,"",IFERROR(W154/V154-1,"")))</f>
        <v/>
      </c>
      <c r="X155" s="15">
        <f>IF(OR(X154="",W154=""),"",IF(W154&lt;=0,"",IFERROR(X154/W154-1,"")))</f>
        <v/>
      </c>
    </row>
    <row r="156">
      <c r="A156" s="18" t="inlineStr">
        <is>
          <t>조정액 · 외부 고객 매출</t>
        </is>
      </c>
      <c r="C156" s="20" t="n">
        <v>0</v>
      </c>
      <c r="D156" s="20" t="n">
        <v>0</v>
      </c>
      <c r="E156" s="20" t="n">
        <v>0</v>
      </c>
      <c r="F156" s="20" t="n">
        <v>0</v>
      </c>
      <c r="G156" s="20" t="n">
        <v>0</v>
      </c>
      <c r="H156" s="20" t="n">
        <v>0</v>
      </c>
      <c r="I156" s="20" t="n">
        <v>0</v>
      </c>
      <c r="J156" s="20" t="n">
        <v>0</v>
      </c>
      <c r="K156" s="20" t="n">
        <v>0</v>
      </c>
      <c r="L156" s="20" t="n">
        <v>0</v>
      </c>
      <c r="M156" s="20" t="n">
        <v>0</v>
      </c>
      <c r="N156" s="20" t="n">
        <v>0</v>
      </c>
      <c r="V156" s="20" t="n">
        <v>0</v>
      </c>
      <c r="W156" s="20" t="n">
        <v>0</v>
      </c>
      <c r="X156" s="20" t="n">
        <v>0</v>
      </c>
    </row>
    <row r="157">
      <c r="A157" s="18" t="inlineStr">
        <is>
          <t>EntityTotalMember · 외부 고객 매출</t>
        </is>
      </c>
      <c r="I157" s="20" t="n">
        <v>3394.745</v>
      </c>
      <c r="M157" s="20" t="n">
        <v>3538.826</v>
      </c>
    </row>
    <row r="158">
      <c r="A158" s="9" t="inlineStr">
        <is>
          <t>외부 고객 매출</t>
        </is>
      </c>
      <c r="C158" s="12" t="n">
        <v>2574.757</v>
      </c>
      <c r="D158" s="12" t="n">
        <v>2508.214</v>
      </c>
      <c r="E158" s="12" t="n">
        <v>2355.733</v>
      </c>
      <c r="F158" s="12" t="n">
        <v>2593.327</v>
      </c>
      <c r="G158" s="12" t="n">
        <v>2968.985</v>
      </c>
      <c r="H158" s="12" t="n">
        <v>3146.526</v>
      </c>
      <c r="I158" s="12" t="n">
        <v>3394.745</v>
      </c>
      <c r="J158" s="12" t="n">
        <v>2931.382</v>
      </c>
      <c r="K158" s="12" t="n">
        <v>3383.595</v>
      </c>
      <c r="L158" s="12" t="n">
        <v>4037.163</v>
      </c>
      <c r="V158" s="12" t="n">
        <v>2508.214</v>
      </c>
      <c r="W158" s="12" t="n">
        <v>3146.526</v>
      </c>
      <c r="X158" s="12" t="n">
        <v>4037.163</v>
      </c>
    </row>
    <row r="159">
      <c r="A159" s="43" t="inlineStr">
        <is>
          <t>YoY</t>
        </is>
      </c>
      <c r="B159" s="3" t="inlineStr">
        <is>
          <t>전년 같은 분기·전년 대비</t>
        </is>
      </c>
      <c r="G159" s="15">
        <f>IF(OR(G158="",C158=""),"",IF(C158&lt;=0,"",IFERROR(G158/C158-1,"")))</f>
        <v/>
      </c>
      <c r="H159" s="15">
        <f>IF(OR(H158="",D158=""),"",IF(D158&lt;=0,"",IFERROR(H158/D158-1,"")))</f>
        <v/>
      </c>
      <c r="I159" s="15">
        <f>IF(OR(I158="",E158=""),"",IF(E158&lt;=0,"",IFERROR(I158/E158-1,"")))</f>
        <v/>
      </c>
      <c r="J159" s="15">
        <f>IF(OR(J158="",F158=""),"",IF(F158&lt;=0,"",IFERROR(J158/F158-1,"")))</f>
        <v/>
      </c>
      <c r="K159" s="15">
        <f>IF(OR(K158="",G158=""),"",IF(G158&lt;=0,"",IFERROR(K158/G158-1,"")))</f>
        <v/>
      </c>
      <c r="L159" s="15">
        <f>IF(OR(L158="",H158=""),"",IF(H158&lt;=0,"",IFERROR(L158/H158-1,"")))</f>
        <v/>
      </c>
      <c r="V159" s="15">
        <f>IF(OR(V158="",U158=""),"",IF(U158&lt;=0,"",IFERROR(V158/U158-1,"")))</f>
        <v/>
      </c>
      <c r="W159" s="15">
        <f>IF(OR(W158="",V158=""),"",IF(V158&lt;=0,"",IFERROR(W158/V158-1,"")))</f>
        <v/>
      </c>
      <c r="X159" s="15">
        <f>IF(OR(X158="",W158=""),"",IF(W158&lt;=0,"",IFERROR(X158/W158-1,"")))</f>
        <v/>
      </c>
    </row>
    <row r="160">
      <c r="A160" s="18" t="inlineStr">
        <is>
          <t>ConveyorBusinessReportableSegmentMember · 부문 간 내부매출·대체</t>
        </is>
      </c>
      <c r="C160" s="20" t="n">
        <v>0</v>
      </c>
      <c r="D160" s="20" t="n">
        <v>16.241</v>
      </c>
      <c r="E160" s="20" t="n">
        <v>27.723</v>
      </c>
      <c r="F160" s="20" t="n">
        <v>12.635</v>
      </c>
      <c r="G160" s="20" t="n">
        <v>10.669</v>
      </c>
      <c r="H160" s="20" t="n">
        <v>4.708</v>
      </c>
      <c r="I160" s="20" t="n">
        <v>4.177</v>
      </c>
      <c r="J160" s="20" t="n">
        <v>4.173</v>
      </c>
      <c r="K160" s="20" t="n">
        <v>6.66</v>
      </c>
      <c r="L160" s="20" t="n">
        <v>15.212</v>
      </c>
      <c r="M160" s="20" t="n">
        <v>4.46</v>
      </c>
      <c r="N160" s="20" t="n">
        <v>8.218</v>
      </c>
      <c r="V160" s="20" t="n">
        <v>16.241</v>
      </c>
      <c r="W160" s="20" t="n">
        <v>4.708</v>
      </c>
      <c r="X160" s="20" t="n">
        <v>15.212</v>
      </c>
    </row>
    <row r="161">
      <c r="A161" s="18" t="inlineStr">
        <is>
          <t>EnvironmentalPlantsReportableSegmentMember · 부문 간 내부매출·대체</t>
        </is>
      </c>
      <c r="E161" s="20" t="n">
        <v>2.7</v>
      </c>
      <c r="F161" s="20" t="n">
        <v>0</v>
      </c>
      <c r="G161" s="20" t="n">
        <v>0</v>
      </c>
      <c r="H161" s="20" t="n">
        <v>0</v>
      </c>
      <c r="I161" s="20" t="n">
        <v>25.6</v>
      </c>
      <c r="J161" s="20" t="n">
        <v>9.115</v>
      </c>
      <c r="K161" s="20" t="n">
        <v>8.25</v>
      </c>
      <c r="L161" s="20" t="n">
        <v>0</v>
      </c>
      <c r="W161" s="20" t="n">
        <v>0</v>
      </c>
      <c r="X161" s="20" t="n">
        <v>0</v>
      </c>
    </row>
    <row r="162">
      <c r="A162" s="18" t="inlineStr">
        <is>
          <t>EnvironmentalEnergyBusinessReportableSegmentMember · 부문 간 내부매출·대체</t>
        </is>
      </c>
      <c r="I162" s="20" t="n">
        <v>26.992</v>
      </c>
      <c r="J162" s="20" t="n">
        <v>16.889</v>
      </c>
      <c r="M162" s="20" t="n">
        <v>15.427</v>
      </c>
      <c r="N162" s="20" t="n">
        <v>7.308</v>
      </c>
    </row>
    <row r="163">
      <c r="A163" s="18" t="inlineStr">
        <is>
          <t>RobotSIBusinessReportableSegmentMember · 부문 간 내부매출·대체</t>
        </is>
      </c>
      <c r="C163" s="20" t="n">
        <v>2.002</v>
      </c>
      <c r="D163" s="20" t="n">
        <v>16.8</v>
      </c>
      <c r="E163" s="20" t="n">
        <v>2.254</v>
      </c>
      <c r="F163" s="20" t="n">
        <v>0</v>
      </c>
      <c r="G163" s="20" t="n">
        <v>0</v>
      </c>
      <c r="H163" s="20" t="n">
        <v>0</v>
      </c>
      <c r="I163" s="20" t="n">
        <v>0</v>
      </c>
      <c r="J163" s="20" t="n">
        <v>0</v>
      </c>
      <c r="K163" s="20" t="n">
        <v>0</v>
      </c>
      <c r="L163" s="20" t="n">
        <v>0</v>
      </c>
      <c r="M163" s="20" t="n">
        <v>0</v>
      </c>
      <c r="N163" s="20" t="n">
        <v>0</v>
      </c>
      <c r="V163" s="20" t="n">
        <v>16.8</v>
      </c>
      <c r="W163" s="20" t="n">
        <v>0</v>
      </c>
      <c r="X163" s="20" t="n">
        <v>0</v>
      </c>
    </row>
    <row r="164">
      <c r="A164" s="18" t="inlineStr">
        <is>
          <t>합계 · 부문 간 내부매출·대체</t>
        </is>
      </c>
      <c r="C164" s="20" t="n">
        <v>2.002</v>
      </c>
      <c r="D164" s="20" t="n">
        <v>52.016</v>
      </c>
      <c r="E164" s="20" t="n">
        <v>32.677</v>
      </c>
      <c r="F164" s="20" t="n">
        <v>12.635</v>
      </c>
      <c r="G164" s="20" t="n">
        <v>10.669</v>
      </c>
      <c r="H164" s="20" t="n">
        <v>4.708</v>
      </c>
      <c r="I164" s="20" t="n">
        <v>31.169</v>
      </c>
      <c r="J164" s="20" t="n">
        <v>21.062</v>
      </c>
      <c r="K164" s="20" t="n">
        <v>5.744</v>
      </c>
      <c r="L164" s="20" t="n">
        <v>15.212</v>
      </c>
      <c r="M164" s="20" t="n">
        <v>19.888</v>
      </c>
      <c r="N164" s="20" t="n">
        <v>15.526</v>
      </c>
      <c r="V164" s="20" t="n">
        <v>52.016</v>
      </c>
      <c r="W164" s="20" t="n">
        <v>4.708</v>
      </c>
      <c r="X164" s="20" t="n">
        <v>15.212</v>
      </c>
    </row>
    <row r="165">
      <c r="A165" s="18" t="inlineStr">
        <is>
          <t>조정액 · 부문 간 내부매출·대체</t>
        </is>
      </c>
      <c r="C165" s="20" t="n">
        <v>-2.002</v>
      </c>
      <c r="D165" s="20" t="n">
        <v>-52.016</v>
      </c>
      <c r="E165" s="20" t="n">
        <v>-32.677</v>
      </c>
      <c r="F165" s="20" t="n">
        <v>-12.635</v>
      </c>
      <c r="G165" s="20" t="n">
        <v>-10.669</v>
      </c>
      <c r="H165" s="20" t="n">
        <v>-4.708</v>
      </c>
      <c r="I165" s="20" t="n">
        <v>-31.169</v>
      </c>
      <c r="J165" s="20" t="n">
        <v>-21.062</v>
      </c>
      <c r="K165" s="20" t="n">
        <v>-5.744</v>
      </c>
      <c r="L165" s="20" t="n">
        <v>-15.212</v>
      </c>
      <c r="M165" s="20" t="n">
        <v>-19.888</v>
      </c>
      <c r="N165" s="20" t="n">
        <v>-15.526</v>
      </c>
      <c r="V165" s="20" t="n">
        <v>-52.016</v>
      </c>
      <c r="W165" s="20" t="n">
        <v>-4.708</v>
      </c>
      <c r="X165" s="20" t="n">
        <v>-15.212</v>
      </c>
    </row>
    <row r="166">
      <c r="A166" s="18" t="inlineStr">
        <is>
          <t>EntityTotalMember · 부문 간 내부매출·대체</t>
        </is>
      </c>
      <c r="I166" s="20" t="n">
        <v>0</v>
      </c>
      <c r="M166" s="20" t="n">
        <v>0</v>
      </c>
    </row>
    <row r="167">
      <c r="A167" s="18" t="inlineStr">
        <is>
          <t>부문 간 내부매출·대체</t>
        </is>
      </c>
      <c r="C167" s="20" t="n">
        <v>0</v>
      </c>
      <c r="D167" s="20" t="n">
        <v>0</v>
      </c>
      <c r="E167" s="20" t="n">
        <v>0</v>
      </c>
      <c r="F167" s="20" t="n">
        <v>0</v>
      </c>
      <c r="G167" s="20" t="n">
        <v>0</v>
      </c>
      <c r="H167" s="20" t="n">
        <v>0</v>
      </c>
      <c r="I167" s="20" t="n">
        <v>0</v>
      </c>
      <c r="J167" s="20" t="n">
        <v>0</v>
      </c>
      <c r="K167" s="20" t="n">
        <v>0</v>
      </c>
      <c r="L167" s="20" t="n">
        <v>0</v>
      </c>
      <c r="V167" s="20" t="n">
        <v>0</v>
      </c>
      <c r="W167" s="20" t="n">
        <v>0</v>
      </c>
      <c r="X167" s="20" t="n">
        <v>0</v>
      </c>
    </row>
    <row r="168">
      <c r="A168" s="18" t="inlineStr">
        <is>
          <t>ConveyorBusinessReportableSegmentMember · 계</t>
        </is>
      </c>
      <c r="C168" s="20" t="n">
        <v>2268.64</v>
      </c>
      <c r="D168" s="20" t="n">
        <v>778.2859999999999</v>
      </c>
      <c r="E168" s="20" t="n">
        <v>1950.076</v>
      </c>
      <c r="F168" s="20" t="n">
        <v>1985.749</v>
      </c>
      <c r="G168" s="20" t="n">
        <v>1947.319</v>
      </c>
      <c r="H168" s="20" t="n">
        <v>2089.822</v>
      </c>
      <c r="I168" s="20" t="n">
        <v>1880.759</v>
      </c>
      <c r="J168" s="20" t="n">
        <v>1819.238</v>
      </c>
      <c r="K168" s="20" t="n">
        <v>3355.55</v>
      </c>
      <c r="L168" s="20" t="n">
        <v>3160.661</v>
      </c>
      <c r="M168" s="20" t="n">
        <v>1939.981</v>
      </c>
      <c r="N168" s="20" t="n">
        <v>1939.751</v>
      </c>
      <c r="V168" s="20" t="n">
        <v>778.2859999999999</v>
      </c>
      <c r="W168" s="20" t="n">
        <v>2089.822</v>
      </c>
      <c r="X168" s="20" t="n">
        <v>3160.661</v>
      </c>
    </row>
    <row r="169">
      <c r="A169" s="43" t="inlineStr">
        <is>
          <t>YoY</t>
        </is>
      </c>
      <c r="B169" s="3" t="inlineStr">
        <is>
          <t>전년 같은 분기·전년 대비</t>
        </is>
      </c>
      <c r="G169" s="15">
        <f>IF(OR(G168="",C168=""),"",IF(C168&lt;=0,"",IFERROR(G168/C168-1,"")))</f>
        <v/>
      </c>
      <c r="H169" s="15">
        <f>IF(OR(H168="",D168=""),"",IF(D168&lt;=0,"",IFERROR(H168/D168-1,"")))</f>
        <v/>
      </c>
      <c r="I169" s="15">
        <f>IF(OR(I168="",E168=""),"",IF(E168&lt;=0,"",IFERROR(I168/E168-1,"")))</f>
        <v/>
      </c>
      <c r="J169" s="15">
        <f>IF(OR(J168="",F168=""),"",IF(F168&lt;=0,"",IFERROR(J168/F168-1,"")))</f>
        <v/>
      </c>
      <c r="K169" s="15">
        <f>IF(OR(K168="",G168=""),"",IF(G168&lt;=0,"",IFERROR(K168/G168-1,"")))</f>
        <v/>
      </c>
      <c r="L169" s="15">
        <f>IF(OR(L168="",H168=""),"",IF(H168&lt;=0,"",IFERROR(L168/H168-1,"")))</f>
        <v/>
      </c>
      <c r="M169" s="15">
        <f>IF(OR(M168="",I168=""),"",IF(I168&lt;=0,"",IFERROR(M168/I168-1,"")))</f>
        <v/>
      </c>
      <c r="N169" s="15">
        <f>IF(OR(N168="",J168=""),"",IF(J168&lt;=0,"",IFERROR(N168/J168-1,"")))</f>
        <v/>
      </c>
      <c r="V169" s="15">
        <f>IF(OR(V168="",U168=""),"",IF(U168&lt;=0,"",IFERROR(V168/U168-1,"")))</f>
        <v/>
      </c>
      <c r="W169" s="15">
        <f>IF(OR(W168="",V168=""),"",IF(V168&lt;=0,"",IFERROR(W168/V168-1,"")))</f>
        <v/>
      </c>
      <c r="X169" s="15">
        <f>IF(OR(X168="",W168=""),"",IF(W168&lt;=0,"",IFERROR(X168/W168-1,"")))</f>
        <v/>
      </c>
    </row>
    <row r="170">
      <c r="A170" s="18" t="inlineStr">
        <is>
          <t>EnvironmentalPlantsReportableSegmentMember · 계</t>
        </is>
      </c>
      <c r="E170" s="20" t="n">
        <v>405.109</v>
      </c>
      <c r="F170" s="20" t="n">
        <v>544.112</v>
      </c>
      <c r="G170" s="20" t="n">
        <v>569.6900000000001</v>
      </c>
      <c r="H170" s="20" t="n">
        <v>633.831</v>
      </c>
      <c r="I170" s="20" t="n">
        <v>494.042</v>
      </c>
      <c r="J170" s="20" t="n">
        <v>535.86</v>
      </c>
      <c r="K170" s="20" t="n">
        <v>531.901</v>
      </c>
      <c r="L170" s="20" t="n">
        <v>622.241</v>
      </c>
      <c r="W170" s="20" t="n">
        <v>633.831</v>
      </c>
      <c r="X170" s="20" t="n">
        <v>622.241</v>
      </c>
    </row>
    <row r="171">
      <c r="A171" s="43" t="inlineStr">
        <is>
          <t>YoY</t>
        </is>
      </c>
      <c r="B171" s="3" t="inlineStr">
        <is>
          <t>전년 같은 분기·전년 대비</t>
        </is>
      </c>
      <c r="G171" s="15">
        <f>IF(OR(G170="",C170=""),"",IF(C170&lt;=0,"",IFERROR(G170/C170-1,"")))</f>
        <v/>
      </c>
      <c r="H171" s="15">
        <f>IF(OR(H170="",D170=""),"",IF(D170&lt;=0,"",IFERROR(H170/D170-1,"")))</f>
        <v/>
      </c>
      <c r="I171" s="15">
        <f>IF(OR(I170="",E170=""),"",IF(E170&lt;=0,"",IFERROR(I170/E170-1,"")))</f>
        <v/>
      </c>
      <c r="J171" s="15">
        <f>IF(OR(J170="",F170=""),"",IF(F170&lt;=0,"",IFERROR(J170/F170-1,"")))</f>
        <v/>
      </c>
      <c r="K171" s="15">
        <f>IF(OR(K170="",G170=""),"",IF(G170&lt;=0,"",IFERROR(K170/G170-1,"")))</f>
        <v/>
      </c>
      <c r="L171" s="15">
        <f>IF(OR(L170="",H170=""),"",IF(H170&lt;=0,"",IFERROR(L170/H170-1,"")))</f>
        <v/>
      </c>
      <c r="W171" s="15">
        <f>IF(OR(W170="",V170=""),"",IF(V170&lt;=0,"",IFERROR(W170/V170-1,"")))</f>
        <v/>
      </c>
      <c r="X171" s="15">
        <f>IF(OR(X170="",W170=""),"",IF(W170&lt;=0,"",IFERROR(X170/W170-1,"")))</f>
        <v/>
      </c>
    </row>
    <row r="172">
      <c r="A172" s="18" t="inlineStr">
        <is>
          <t>EnvironmentalEnergyBusinessReportableSegmentMember · 계</t>
        </is>
      </c>
      <c r="I172" s="20" t="n">
        <v>1178.327</v>
      </c>
      <c r="J172" s="20" t="n">
        <v>823.5940000000001</v>
      </c>
      <c r="M172" s="20" t="n">
        <v>1188.429</v>
      </c>
      <c r="N172" s="20" t="n">
        <v>1135.001</v>
      </c>
    </row>
    <row r="173">
      <c r="A173" s="43" t="inlineStr">
        <is>
          <t>YoY</t>
        </is>
      </c>
      <c r="B173" s="3" t="inlineStr">
        <is>
          <t>전년 같은 분기·전년 대비</t>
        </is>
      </c>
      <c r="I173" s="15">
        <f>IF(OR(I172="",E172=""),"",IF(E172&lt;=0,"",IFERROR(I172/E172-1,"")))</f>
        <v/>
      </c>
      <c r="J173" s="15">
        <f>IF(OR(J172="",F172=""),"",IF(F172&lt;=0,"",IFERROR(J172/F172-1,"")))</f>
        <v/>
      </c>
      <c r="M173" s="15">
        <f>IF(OR(M172="",I172=""),"",IF(I172&lt;=0,"",IFERROR(M172/I172-1,"")))</f>
        <v/>
      </c>
      <c r="N173" s="15">
        <f>IF(OR(N172="",J172=""),"",IF(J172&lt;=0,"",IFERROR(N172/J172-1,"")))</f>
        <v/>
      </c>
    </row>
    <row r="174">
      <c r="A174" s="18" t="inlineStr">
        <is>
          <t>RobotSIBusinessReportableSegmentMember · 계</t>
        </is>
      </c>
      <c r="C174" s="20" t="n">
        <v>308.118</v>
      </c>
      <c r="D174" s="20" t="n">
        <v>239.646</v>
      </c>
      <c r="E174" s="20" t="n">
        <v>33.224</v>
      </c>
      <c r="F174" s="20" t="n">
        <v>76.102</v>
      </c>
      <c r="G174" s="20" t="n">
        <v>462.644</v>
      </c>
      <c r="H174" s="20" t="n">
        <v>427.582</v>
      </c>
      <c r="I174" s="20" t="n">
        <v>366.829</v>
      </c>
      <c r="J174" s="20" t="n">
        <v>309.61</v>
      </c>
      <c r="K174" s="20" t="n">
        <v>473.908</v>
      </c>
      <c r="L174" s="20" t="n">
        <v>269.473</v>
      </c>
      <c r="M174" s="20" t="n">
        <v>430.304</v>
      </c>
      <c r="N174" s="20" t="n">
        <v>184.095</v>
      </c>
      <c r="V174" s="20" t="n">
        <v>239.646</v>
      </c>
      <c r="W174" s="20" t="n">
        <v>427.582</v>
      </c>
      <c r="X174" s="20" t="n">
        <v>269.473</v>
      </c>
    </row>
    <row r="175">
      <c r="A175" s="43" t="inlineStr">
        <is>
          <t>YoY</t>
        </is>
      </c>
      <c r="B175" s="3" t="inlineStr">
        <is>
          <t>전년 같은 분기·전년 대비</t>
        </is>
      </c>
      <c r="G175" s="15">
        <f>IF(OR(G174="",C174=""),"",IF(C174&lt;=0,"",IFERROR(G174/C174-1,"")))</f>
        <v/>
      </c>
      <c r="H175" s="15">
        <f>IF(OR(H174="",D174=""),"",IF(D174&lt;=0,"",IFERROR(H174/D174-1,"")))</f>
        <v/>
      </c>
      <c r="I175" s="15">
        <f>IF(OR(I174="",E174=""),"",IF(E174&lt;=0,"",IFERROR(I174/E174-1,"")))</f>
        <v/>
      </c>
      <c r="J175" s="15">
        <f>IF(OR(J174="",F174=""),"",IF(F174&lt;=0,"",IFERROR(J174/F174-1,"")))</f>
        <v/>
      </c>
      <c r="K175" s="15">
        <f>IF(OR(K174="",G174=""),"",IF(G174&lt;=0,"",IFERROR(K174/G174-1,"")))</f>
        <v/>
      </c>
      <c r="L175" s="15">
        <f>IF(OR(L174="",H174=""),"",IF(H174&lt;=0,"",IFERROR(L174/H174-1,"")))</f>
        <v/>
      </c>
      <c r="M175" s="15">
        <f>IF(OR(M174="",I174=""),"",IF(I174&lt;=0,"",IFERROR(M174/I174-1,"")))</f>
        <v/>
      </c>
      <c r="N175" s="15">
        <f>IF(OR(N174="",J174=""),"",IF(J174&lt;=0,"",IFERROR(N174/J174-1,"")))</f>
        <v/>
      </c>
      <c r="V175" s="15">
        <f>IF(OR(V174="",U174=""),"",IF(U174&lt;=0,"",IFERROR(V174/U174-1,"")))</f>
        <v/>
      </c>
      <c r="W175" s="15">
        <f>IF(OR(W174="",V174=""),"",IF(V174&lt;=0,"",IFERROR(W174/V174-1,"")))</f>
        <v/>
      </c>
      <c r="X175" s="15">
        <f>IF(OR(X174="",W174=""),"",IF(W174&lt;=0,"",IFERROR(X174/W174-1,"")))</f>
        <v/>
      </c>
    </row>
    <row r="176">
      <c r="A176" s="18" t="inlineStr">
        <is>
          <t>합계 · 계</t>
        </is>
      </c>
      <c r="C176" s="20" t="n">
        <v>2576.759</v>
      </c>
      <c r="D176" s="20" t="n">
        <v>2560.231</v>
      </c>
      <c r="E176" s="20" t="n">
        <v>2388.41</v>
      </c>
      <c r="F176" s="20" t="n">
        <v>2605.963</v>
      </c>
      <c r="G176" s="20" t="n">
        <v>2979.653</v>
      </c>
      <c r="H176" s="20" t="n">
        <v>3151.235</v>
      </c>
      <c r="I176" s="20" t="n">
        <v>3425.915</v>
      </c>
      <c r="J176" s="20" t="n">
        <v>2952.443</v>
      </c>
      <c r="K176" s="20" t="n">
        <v>3389.34</v>
      </c>
      <c r="L176" s="20" t="n">
        <v>4052.375</v>
      </c>
      <c r="M176" s="20" t="n">
        <v>3558.715</v>
      </c>
      <c r="N176" s="20" t="n">
        <v>3258.846</v>
      </c>
      <c r="V176" s="20" t="n">
        <v>2560.231</v>
      </c>
      <c r="W176" s="20" t="n">
        <v>3151.235</v>
      </c>
      <c r="X176" s="20" t="n">
        <v>4052.375</v>
      </c>
    </row>
    <row r="177">
      <c r="A177" s="43" t="inlineStr">
        <is>
          <t>YoY</t>
        </is>
      </c>
      <c r="B177" s="3" t="inlineStr">
        <is>
          <t>전년 같은 분기·전년 대비</t>
        </is>
      </c>
      <c r="G177" s="15">
        <f>IF(OR(G176="",C176=""),"",IF(C176&lt;=0,"",IFERROR(G176/C176-1,"")))</f>
        <v/>
      </c>
      <c r="H177" s="15">
        <f>IF(OR(H176="",D176=""),"",IF(D176&lt;=0,"",IFERROR(H176/D176-1,"")))</f>
        <v/>
      </c>
      <c r="I177" s="15">
        <f>IF(OR(I176="",E176=""),"",IF(E176&lt;=0,"",IFERROR(I176/E176-1,"")))</f>
        <v/>
      </c>
      <c r="J177" s="15">
        <f>IF(OR(J176="",F176=""),"",IF(F176&lt;=0,"",IFERROR(J176/F176-1,"")))</f>
        <v/>
      </c>
      <c r="K177" s="15">
        <f>IF(OR(K176="",G176=""),"",IF(G176&lt;=0,"",IFERROR(K176/G176-1,"")))</f>
        <v/>
      </c>
      <c r="L177" s="15">
        <f>IF(OR(L176="",H176=""),"",IF(H176&lt;=0,"",IFERROR(L176/H176-1,"")))</f>
        <v/>
      </c>
      <c r="M177" s="15">
        <f>IF(OR(M176="",I176=""),"",IF(I176&lt;=0,"",IFERROR(M176/I176-1,"")))</f>
        <v/>
      </c>
      <c r="N177" s="15">
        <f>IF(OR(N176="",J176=""),"",IF(J176&lt;=0,"",IFERROR(N176/J176-1,"")))</f>
        <v/>
      </c>
      <c r="V177" s="15">
        <f>IF(OR(V176="",U176=""),"",IF(U176&lt;=0,"",IFERROR(V176/U176-1,"")))</f>
        <v/>
      </c>
      <c r="W177" s="15">
        <f>IF(OR(W176="",V176=""),"",IF(V176&lt;=0,"",IFERROR(W176/V176-1,"")))</f>
        <v/>
      </c>
      <c r="X177" s="15">
        <f>IF(OR(X176="",W176=""),"",IF(W176&lt;=0,"",IFERROR(X176/W176-1,"")))</f>
        <v/>
      </c>
    </row>
    <row r="178">
      <c r="A178" s="18" t="inlineStr">
        <is>
          <t>조정액 · 계</t>
        </is>
      </c>
      <c r="C178" s="20" t="n">
        <v>-2.002</v>
      </c>
      <c r="D178" s="20" t="n">
        <v>-52.016</v>
      </c>
      <c r="E178" s="20" t="n">
        <v>-32.677</v>
      </c>
      <c r="F178" s="20" t="n">
        <v>-12.635</v>
      </c>
      <c r="G178" s="20" t="n">
        <v>-10.669</v>
      </c>
      <c r="H178" s="20" t="n">
        <v>-4.708</v>
      </c>
      <c r="I178" s="20" t="n">
        <v>-31.169</v>
      </c>
      <c r="J178" s="20" t="n">
        <v>-21.062</v>
      </c>
      <c r="K178" s="20" t="n">
        <v>-5.744</v>
      </c>
      <c r="L178" s="20" t="n">
        <v>-15.212</v>
      </c>
      <c r="M178" s="20" t="n">
        <v>-19.888</v>
      </c>
      <c r="N178" s="20" t="n">
        <v>-15.526</v>
      </c>
      <c r="V178" s="20" t="n">
        <v>-52.016</v>
      </c>
      <c r="W178" s="20" t="n">
        <v>-4.708</v>
      </c>
      <c r="X178" s="20" t="n">
        <v>-15.212</v>
      </c>
    </row>
    <row r="179">
      <c r="A179" s="18" t="inlineStr">
        <is>
          <t>EntityTotalMember · 계</t>
        </is>
      </c>
      <c r="I179" s="20" t="n">
        <v>3394.745</v>
      </c>
      <c r="M179" s="20" t="n">
        <v>3538.826</v>
      </c>
    </row>
    <row r="180">
      <c r="A180" s="9" t="inlineStr">
        <is>
          <t>계</t>
        </is>
      </c>
      <c r="C180" s="12" t="n">
        <v>2574.757</v>
      </c>
      <c r="D180" s="12" t="n">
        <v>2508.214</v>
      </c>
      <c r="E180" s="12" t="n">
        <v>2355.733</v>
      </c>
      <c r="F180" s="12" t="n">
        <v>2593.327</v>
      </c>
      <c r="G180" s="12" t="n">
        <v>2968.985</v>
      </c>
      <c r="H180" s="12" t="n">
        <v>3146.526</v>
      </c>
      <c r="I180" s="12" t="n">
        <v>3394.745</v>
      </c>
      <c r="J180" s="12" t="n">
        <v>2931.382</v>
      </c>
      <c r="K180" s="12" t="n">
        <v>3383.595</v>
      </c>
      <c r="L180" s="12" t="n">
        <v>4037.163</v>
      </c>
      <c r="V180" s="12" t="n">
        <v>2508.214</v>
      </c>
      <c r="W180" s="12" t="n">
        <v>3146.526</v>
      </c>
      <c r="X180" s="12" t="n">
        <v>4037.163</v>
      </c>
    </row>
    <row r="181">
      <c r="A181" s="43" t="inlineStr">
        <is>
          <t>YoY</t>
        </is>
      </c>
      <c r="B181" s="3" t="inlineStr">
        <is>
          <t>전년 같은 분기·전년 대비</t>
        </is>
      </c>
      <c r="G181" s="15">
        <f>IF(OR(G180="",C180=""),"",IF(C180&lt;=0,"",IFERROR(G180/C180-1,"")))</f>
        <v/>
      </c>
      <c r="H181" s="15">
        <f>IF(OR(H180="",D180=""),"",IF(D180&lt;=0,"",IFERROR(H180/D180-1,"")))</f>
        <v/>
      </c>
      <c r="I181" s="15">
        <f>IF(OR(I180="",E180=""),"",IF(E180&lt;=0,"",IFERROR(I180/E180-1,"")))</f>
        <v/>
      </c>
      <c r="J181" s="15">
        <f>IF(OR(J180="",F180=""),"",IF(F180&lt;=0,"",IFERROR(J180/F180-1,"")))</f>
        <v/>
      </c>
      <c r="K181" s="15">
        <f>IF(OR(K180="",G180=""),"",IF(G180&lt;=0,"",IFERROR(K180/G180-1,"")))</f>
        <v/>
      </c>
      <c r="L181" s="15">
        <f>IF(OR(L180="",H180=""),"",IF(H180&lt;=0,"",IFERROR(L180/H180-1,"")))</f>
        <v/>
      </c>
      <c r="V181" s="15">
        <f>IF(OR(V180="",U180=""),"",IF(U180&lt;=0,"",IFERROR(V180/U180-1,"")))</f>
        <v/>
      </c>
      <c r="W181" s="15">
        <f>IF(OR(W180="",V180=""),"",IF(V180&lt;=0,"",IFERROR(W180/V180-1,"")))</f>
        <v/>
      </c>
      <c r="X181" s="15">
        <f>IF(OR(X180="",W180=""),"",IF(W180&lt;=0,"",IFERROR(X180/W180-1,"")))</f>
        <v/>
      </c>
    </row>
    <row r="182">
      <c r="A182" s="18" t="inlineStr">
        <is>
          <t>ConveyorBusinessReportableSegmentMember · 부문 이익</t>
        </is>
      </c>
      <c r="C182" s="20" t="n">
        <v>397.234</v>
      </c>
      <c r="D182" s="20" t="n">
        <v>716.357</v>
      </c>
      <c r="E182" s="20" t="n">
        <v>417.065</v>
      </c>
      <c r="F182" s="20" t="n">
        <v>441.5</v>
      </c>
      <c r="G182" s="20" t="n">
        <v>379.569</v>
      </c>
      <c r="H182" s="20" t="n">
        <v>459.42</v>
      </c>
      <c r="I182" s="20" t="n">
        <v>463.589</v>
      </c>
      <c r="J182" s="20" t="n">
        <v>394.042</v>
      </c>
      <c r="K182" s="20" t="n">
        <v>885.357</v>
      </c>
      <c r="L182" s="20" t="n">
        <v>834.0410000000001</v>
      </c>
      <c r="M182" s="20" t="n">
        <v>451.988</v>
      </c>
      <c r="N182" s="20" t="n">
        <v>484.042</v>
      </c>
      <c r="V182" s="20" t="n">
        <v>716.357</v>
      </c>
      <c r="W182" s="20" t="n">
        <v>459.42</v>
      </c>
      <c r="X182" s="20" t="n">
        <v>834.0410000000001</v>
      </c>
    </row>
    <row r="183">
      <c r="A183" s="43" t="inlineStr">
        <is>
          <t>OPM</t>
        </is>
      </c>
      <c r="B183" s="3" t="inlineStr">
        <is>
          <t>영업이익 ÷ 매출</t>
        </is>
      </c>
      <c r="C183" s="15">
        <f>IF(OR(C182="",C168=""),"",IF(C168&lt;=0,"",IFERROR(C182/C168,"")))</f>
        <v/>
      </c>
      <c r="D183" s="15">
        <f>IF(OR(D182="",D168=""),"",IF(D168&lt;=0,"",IFERROR(D182/D168,"")))</f>
        <v/>
      </c>
      <c r="E183" s="15">
        <f>IF(OR(E182="",E168=""),"",IF(E168&lt;=0,"",IFERROR(E182/E168,"")))</f>
        <v/>
      </c>
      <c r="F183" s="15">
        <f>IF(OR(F182="",F168=""),"",IF(F168&lt;=0,"",IFERROR(F182/F168,"")))</f>
        <v/>
      </c>
      <c r="G183" s="15">
        <f>IF(OR(G182="",G168=""),"",IF(G168&lt;=0,"",IFERROR(G182/G168,"")))</f>
        <v/>
      </c>
      <c r="H183" s="15">
        <f>IF(OR(H182="",H168=""),"",IF(H168&lt;=0,"",IFERROR(H182/H168,"")))</f>
        <v/>
      </c>
      <c r="I183" s="15">
        <f>IF(OR(I182="",I168=""),"",IF(I168&lt;=0,"",IFERROR(I182/I168,"")))</f>
        <v/>
      </c>
      <c r="J183" s="15">
        <f>IF(OR(J182="",J168=""),"",IF(J168&lt;=0,"",IFERROR(J182/J168,"")))</f>
        <v/>
      </c>
      <c r="K183" s="15">
        <f>IF(OR(K182="",K168=""),"",IF(K168&lt;=0,"",IFERROR(K182/K168,"")))</f>
        <v/>
      </c>
      <c r="L183" s="15">
        <f>IF(OR(L182="",L168=""),"",IF(L168&lt;=0,"",IFERROR(L182/L168,"")))</f>
        <v/>
      </c>
      <c r="M183" s="15">
        <f>IF(OR(M182="",M168=""),"",IF(M168&lt;=0,"",IFERROR(M182/M168,"")))</f>
        <v/>
      </c>
      <c r="N183" s="15">
        <f>IF(OR(N182="",N168=""),"",IF(N168&lt;=0,"",IFERROR(N182/N168,"")))</f>
        <v/>
      </c>
      <c r="V183" s="15">
        <f>IF(OR(V182="",V168=""),"",IF(V168&lt;=0,"",IFERROR(V182/V168,"")))</f>
        <v/>
      </c>
      <c r="W183" s="15">
        <f>IF(OR(W182="",W168=""),"",IF(W168&lt;=0,"",IFERROR(W182/W168,"")))</f>
        <v/>
      </c>
      <c r="X183" s="15">
        <f>IF(OR(X182="",X168=""),"",IF(X168&lt;=0,"",IFERROR(X182/X168,"")))</f>
        <v/>
      </c>
    </row>
    <row r="184">
      <c r="A184" s="43" t="inlineStr">
        <is>
          <t>YoY</t>
        </is>
      </c>
      <c r="B184" s="3" t="inlineStr">
        <is>
          <t>전년 같은 분기·전년 대비</t>
        </is>
      </c>
      <c r="G184" s="15">
        <f>IF(OR(G182="",C182=""),"",IF(C182&lt;=0,"",IFERROR(G182/C182-1,"")))</f>
        <v/>
      </c>
      <c r="H184" s="15">
        <f>IF(OR(H182="",D182=""),"",IF(D182&lt;=0,"",IFERROR(H182/D182-1,"")))</f>
        <v/>
      </c>
      <c r="I184" s="15">
        <f>IF(OR(I182="",E182=""),"",IF(E182&lt;=0,"",IFERROR(I182/E182-1,"")))</f>
        <v/>
      </c>
      <c r="J184" s="15">
        <f>IF(OR(J182="",F182=""),"",IF(F182&lt;=0,"",IFERROR(J182/F182-1,"")))</f>
        <v/>
      </c>
      <c r="K184" s="15">
        <f>IF(OR(K182="",G182=""),"",IF(G182&lt;=0,"",IFERROR(K182/G182-1,"")))</f>
        <v/>
      </c>
      <c r="L184" s="15">
        <f>IF(OR(L182="",H182=""),"",IF(H182&lt;=0,"",IFERROR(L182/H182-1,"")))</f>
        <v/>
      </c>
      <c r="M184" s="15">
        <f>IF(OR(M182="",I182=""),"",IF(I182&lt;=0,"",IFERROR(M182/I182-1,"")))</f>
        <v/>
      </c>
      <c r="N184" s="15">
        <f>IF(OR(N182="",J182=""),"",IF(J182&lt;=0,"",IFERROR(N182/J182-1,"")))</f>
        <v/>
      </c>
      <c r="V184" s="15">
        <f>IF(OR(V182="",U182=""),"",IF(U182&lt;=0,"",IFERROR(V182/U182-1,"")))</f>
        <v/>
      </c>
      <c r="W184" s="15">
        <f>IF(OR(W182="",V182=""),"",IF(V182&lt;=0,"",IFERROR(W182/V182-1,"")))</f>
        <v/>
      </c>
      <c r="X184" s="15">
        <f>IF(OR(X182="",W182=""),"",IF(W182&lt;=0,"",IFERROR(X182/W182-1,"")))</f>
        <v/>
      </c>
    </row>
    <row r="185">
      <c r="A185" s="18" t="inlineStr">
        <is>
          <t>EnvironmentalPlantsReportableSegmentMember · 부문 이익</t>
        </is>
      </c>
      <c r="E185" s="20" t="n">
        <v>98.599</v>
      </c>
      <c r="F185" s="20" t="n">
        <v>171.212</v>
      </c>
      <c r="G185" s="20" t="n">
        <v>125.682</v>
      </c>
      <c r="H185" s="20" t="n">
        <v>56.369</v>
      </c>
      <c r="I185" s="20" t="n">
        <v>73.036</v>
      </c>
      <c r="J185" s="20" t="n">
        <v>35.25</v>
      </c>
      <c r="K185" s="20" t="n">
        <v>29.148</v>
      </c>
      <c r="L185" s="20" t="n">
        <v>58.486</v>
      </c>
      <c r="W185" s="20" t="n">
        <v>56.369</v>
      </c>
      <c r="X185" s="20" t="n">
        <v>58.486</v>
      </c>
    </row>
    <row r="186">
      <c r="A186" s="43" t="inlineStr">
        <is>
          <t>OPM</t>
        </is>
      </c>
      <c r="B186" s="3" t="inlineStr">
        <is>
          <t>영업이익 ÷ 매출</t>
        </is>
      </c>
      <c r="E186" s="15">
        <f>IF(OR(E185="",E170=""),"",IF(E170&lt;=0,"",IFERROR(E185/E170,"")))</f>
        <v/>
      </c>
      <c r="F186" s="15">
        <f>IF(OR(F185="",F170=""),"",IF(F170&lt;=0,"",IFERROR(F185/F170,"")))</f>
        <v/>
      </c>
      <c r="G186" s="15">
        <f>IF(OR(G185="",G170=""),"",IF(G170&lt;=0,"",IFERROR(G185/G170,"")))</f>
        <v/>
      </c>
      <c r="H186" s="15">
        <f>IF(OR(H185="",H170=""),"",IF(H170&lt;=0,"",IFERROR(H185/H170,"")))</f>
        <v/>
      </c>
      <c r="I186" s="15">
        <f>IF(OR(I185="",I170=""),"",IF(I170&lt;=0,"",IFERROR(I185/I170,"")))</f>
        <v/>
      </c>
      <c r="J186" s="15">
        <f>IF(OR(J185="",J170=""),"",IF(J170&lt;=0,"",IFERROR(J185/J170,"")))</f>
        <v/>
      </c>
      <c r="K186" s="15">
        <f>IF(OR(K185="",K170=""),"",IF(K170&lt;=0,"",IFERROR(K185/K170,"")))</f>
        <v/>
      </c>
      <c r="L186" s="15">
        <f>IF(OR(L185="",L170=""),"",IF(L170&lt;=0,"",IFERROR(L185/L170,"")))</f>
        <v/>
      </c>
      <c r="W186" s="15">
        <f>IF(OR(W185="",W170=""),"",IF(W170&lt;=0,"",IFERROR(W185/W170,"")))</f>
        <v/>
      </c>
      <c r="X186" s="15">
        <f>IF(OR(X185="",X170=""),"",IF(X170&lt;=0,"",IFERROR(X185/X170,"")))</f>
        <v/>
      </c>
    </row>
    <row r="187">
      <c r="A187" s="43" t="inlineStr">
        <is>
          <t>YoY</t>
        </is>
      </c>
      <c r="B187" s="3" t="inlineStr">
        <is>
          <t>전년 같은 분기·전년 대비</t>
        </is>
      </c>
      <c r="G187" s="15">
        <f>IF(OR(G185="",C185=""),"",IF(C185&lt;=0,"",IFERROR(G185/C185-1,"")))</f>
        <v/>
      </c>
      <c r="H187" s="15">
        <f>IF(OR(H185="",D185=""),"",IF(D185&lt;=0,"",IFERROR(H185/D185-1,"")))</f>
        <v/>
      </c>
      <c r="I187" s="15">
        <f>IF(OR(I185="",E185=""),"",IF(E185&lt;=0,"",IFERROR(I185/E185-1,"")))</f>
        <v/>
      </c>
      <c r="J187" s="15">
        <f>IF(OR(J185="",F185=""),"",IF(F185&lt;=0,"",IFERROR(J185/F185-1,"")))</f>
        <v/>
      </c>
      <c r="K187" s="15">
        <f>IF(OR(K185="",G185=""),"",IF(G185&lt;=0,"",IFERROR(K185/G185-1,"")))</f>
        <v/>
      </c>
      <c r="L187" s="15">
        <f>IF(OR(L185="",H185=""),"",IF(H185&lt;=0,"",IFERROR(L185/H185-1,"")))</f>
        <v/>
      </c>
      <c r="W187" s="15">
        <f>IF(OR(W185="",V185=""),"",IF(V185&lt;=0,"",IFERROR(W185/V185-1,"")))</f>
        <v/>
      </c>
      <c r="X187" s="15">
        <f>IF(OR(X185="",W185=""),"",IF(W185&lt;=0,"",IFERROR(X185/W185-1,"")))</f>
        <v/>
      </c>
    </row>
    <row r="188">
      <c r="A188" s="18" t="inlineStr">
        <is>
          <t>EnvironmentalEnergyBusinessReportableSegmentMember · 부문 이익</t>
        </is>
      </c>
      <c r="I188" s="20" t="n">
        <v>422.779</v>
      </c>
      <c r="J188" s="20" t="n">
        <v>18.843</v>
      </c>
      <c r="M188" s="20" t="n">
        <v>187.805</v>
      </c>
      <c r="N188" s="20" t="n">
        <v>322.171</v>
      </c>
    </row>
    <row r="189">
      <c r="A189" s="43" t="inlineStr">
        <is>
          <t>OPM</t>
        </is>
      </c>
      <c r="B189" s="3" t="inlineStr">
        <is>
          <t>영업이익 ÷ 매출</t>
        </is>
      </c>
      <c r="I189" s="15">
        <f>IF(OR(I188="",I172=""),"",IF(I172&lt;=0,"",IFERROR(I188/I172,"")))</f>
        <v/>
      </c>
      <c r="J189" s="15">
        <f>IF(OR(J188="",J172=""),"",IF(J172&lt;=0,"",IFERROR(J188/J172,"")))</f>
        <v/>
      </c>
      <c r="M189" s="15">
        <f>IF(OR(M188="",M172=""),"",IF(M172&lt;=0,"",IFERROR(M188/M172,"")))</f>
        <v/>
      </c>
      <c r="N189" s="15">
        <f>IF(OR(N188="",N172=""),"",IF(N172&lt;=0,"",IFERROR(N188/N172,"")))</f>
        <v/>
      </c>
    </row>
    <row r="190">
      <c r="A190" s="43" t="inlineStr">
        <is>
          <t>YoY</t>
        </is>
      </c>
      <c r="B190" s="3" t="inlineStr">
        <is>
          <t>전년 같은 분기·전년 대비</t>
        </is>
      </c>
      <c r="I190" s="15">
        <f>IF(OR(I188="",E188=""),"",IF(E188&lt;=0,"",IFERROR(I188/E188-1,"")))</f>
        <v/>
      </c>
      <c r="J190" s="15">
        <f>IF(OR(J188="",F188=""),"",IF(F188&lt;=0,"",IFERROR(J188/F188-1,"")))</f>
        <v/>
      </c>
      <c r="M190" s="15">
        <f>IF(OR(M188="",I188=""),"",IF(I188&lt;=0,"",IFERROR(M188/I188-1,"")))</f>
        <v/>
      </c>
      <c r="N190" s="15">
        <f>IF(OR(N188="",J188=""),"",IF(J188&lt;=0,"",IFERROR(N188/J188-1,"")))</f>
        <v/>
      </c>
    </row>
    <row r="191">
      <c r="A191" s="18" t="inlineStr">
        <is>
          <t>RobotSIBusinessReportableSegmentMember · 부문 이익</t>
        </is>
      </c>
      <c r="C191" s="20" t="n">
        <v>15.035</v>
      </c>
      <c r="D191" s="20" t="n">
        <v>41.74</v>
      </c>
      <c r="E191" s="20" t="n">
        <v>-41.617</v>
      </c>
      <c r="F191" s="20" t="n">
        <v>-52.116</v>
      </c>
      <c r="G191" s="20" t="n">
        <v>78.441</v>
      </c>
      <c r="H191" s="20" t="n">
        <v>40.926</v>
      </c>
      <c r="I191" s="20" t="n">
        <v>43.581</v>
      </c>
      <c r="J191" s="20" t="n">
        <v>-1.228</v>
      </c>
      <c r="K191" s="20" t="n">
        <v>39.348</v>
      </c>
      <c r="L191" s="20" t="n">
        <v>-3.093</v>
      </c>
      <c r="M191" s="20" t="n">
        <v>51.591</v>
      </c>
      <c r="N191" s="20" t="n">
        <v>-13.498</v>
      </c>
      <c r="V191" s="20" t="n">
        <v>41.74</v>
      </c>
      <c r="W191" s="20" t="n">
        <v>40.926</v>
      </c>
      <c r="X191" s="20" t="n">
        <v>-3.093</v>
      </c>
    </row>
    <row r="192">
      <c r="A192" s="43" t="inlineStr">
        <is>
          <t>OPM</t>
        </is>
      </c>
      <c r="B192" s="3" t="inlineStr">
        <is>
          <t>영업이익 ÷ 매출</t>
        </is>
      </c>
      <c r="C192" s="15">
        <f>IF(OR(C191="",C174=""),"",IF(C174&lt;=0,"",IFERROR(C191/C174,"")))</f>
        <v/>
      </c>
      <c r="D192" s="15">
        <f>IF(OR(D191="",D174=""),"",IF(D174&lt;=0,"",IFERROR(D191/D174,"")))</f>
        <v/>
      </c>
      <c r="E192" s="15">
        <f>IF(OR(E191="",E174=""),"",IF(E174&lt;=0,"",IFERROR(E191/E174,"")))</f>
        <v/>
      </c>
      <c r="F192" s="15">
        <f>IF(OR(F191="",F174=""),"",IF(F174&lt;=0,"",IFERROR(F191/F174,"")))</f>
        <v/>
      </c>
      <c r="G192" s="15">
        <f>IF(OR(G191="",G174=""),"",IF(G174&lt;=0,"",IFERROR(G191/G174,"")))</f>
        <v/>
      </c>
      <c r="H192" s="15">
        <f>IF(OR(H191="",H174=""),"",IF(H174&lt;=0,"",IFERROR(H191/H174,"")))</f>
        <v/>
      </c>
      <c r="I192" s="15">
        <f>IF(OR(I191="",I174=""),"",IF(I174&lt;=0,"",IFERROR(I191/I174,"")))</f>
        <v/>
      </c>
      <c r="J192" s="15">
        <f>IF(OR(J191="",J174=""),"",IF(J174&lt;=0,"",IFERROR(J191/J174,"")))</f>
        <v/>
      </c>
      <c r="K192" s="15">
        <f>IF(OR(K191="",K174=""),"",IF(K174&lt;=0,"",IFERROR(K191/K174,"")))</f>
        <v/>
      </c>
      <c r="L192" s="15">
        <f>IF(OR(L191="",L174=""),"",IF(L174&lt;=0,"",IFERROR(L191/L174,"")))</f>
        <v/>
      </c>
      <c r="M192" s="15">
        <f>IF(OR(M191="",M174=""),"",IF(M174&lt;=0,"",IFERROR(M191/M174,"")))</f>
        <v/>
      </c>
      <c r="N192" s="15">
        <f>IF(OR(N191="",N174=""),"",IF(N174&lt;=0,"",IFERROR(N191/N174,"")))</f>
        <v/>
      </c>
      <c r="V192" s="15">
        <f>IF(OR(V191="",V174=""),"",IF(V174&lt;=0,"",IFERROR(V191/V174,"")))</f>
        <v/>
      </c>
      <c r="W192" s="15">
        <f>IF(OR(W191="",W174=""),"",IF(W174&lt;=0,"",IFERROR(W191/W174,"")))</f>
        <v/>
      </c>
      <c r="X192" s="15">
        <f>IF(OR(X191="",X174=""),"",IF(X174&lt;=0,"",IFERROR(X191/X174,"")))</f>
        <v/>
      </c>
    </row>
    <row r="193">
      <c r="A193" s="43" t="inlineStr">
        <is>
          <t>YoY</t>
        </is>
      </c>
      <c r="B193" s="3" t="inlineStr">
        <is>
          <t>전년 같은 분기·전년 대비</t>
        </is>
      </c>
      <c r="G193" s="15">
        <f>IF(OR(G191="",C191=""),"",IF(C191&lt;=0,"",IFERROR(G191/C191-1,"")))</f>
        <v/>
      </c>
      <c r="H193" s="15">
        <f>IF(OR(H191="",D191=""),"",IF(D191&lt;=0,"",IFERROR(H191/D191-1,"")))</f>
        <v/>
      </c>
      <c r="I193" s="15">
        <f>IF(OR(I191="",E191=""),"",IF(E191&lt;=0,"",IFERROR(I191/E191-1,"")))</f>
        <v/>
      </c>
      <c r="J193" s="15">
        <f>IF(OR(J191="",F191=""),"",IF(F191&lt;=0,"",IFERROR(J191/F191-1,"")))</f>
        <v/>
      </c>
      <c r="K193" s="15">
        <f>IF(OR(K191="",G191=""),"",IF(G191&lt;=0,"",IFERROR(K191/G191-1,"")))</f>
        <v/>
      </c>
      <c r="L193" s="15">
        <f>IF(OR(L191="",H191=""),"",IF(H191&lt;=0,"",IFERROR(L191/H191-1,"")))</f>
        <v/>
      </c>
      <c r="M193" s="15">
        <f>IF(OR(M191="",I191=""),"",IF(I191&lt;=0,"",IFERROR(M191/I191-1,"")))</f>
        <v/>
      </c>
      <c r="N193" s="15">
        <f>IF(OR(N191="",J191=""),"",IF(J191&lt;=0,"",IFERROR(N191/J191-1,"")))</f>
        <v/>
      </c>
      <c r="V193" s="15">
        <f>IF(OR(V191="",U191=""),"",IF(U191&lt;=0,"",IFERROR(V191/U191-1,"")))</f>
        <v/>
      </c>
      <c r="W193" s="15">
        <f>IF(OR(W191="",V191=""),"",IF(V191&lt;=0,"",IFERROR(W191/V191-1,"")))</f>
        <v/>
      </c>
      <c r="X193" s="15">
        <f>IF(OR(X191="",W191=""),"",IF(W191&lt;=0,"",IFERROR(X191/W191-1,"")))</f>
        <v/>
      </c>
    </row>
    <row r="194">
      <c r="A194" s="18" t="inlineStr">
        <is>
          <t>합계 · 부문 이익</t>
        </is>
      </c>
      <c r="C194" s="20" t="n">
        <v>412.27</v>
      </c>
      <c r="D194" s="20" t="n">
        <v>1016.159</v>
      </c>
      <c r="E194" s="20" t="n">
        <v>474.047</v>
      </c>
      <c r="F194" s="20" t="n">
        <v>560.596</v>
      </c>
      <c r="G194" s="20" t="n">
        <v>583.692</v>
      </c>
      <c r="H194" s="20" t="n">
        <v>556.715</v>
      </c>
      <c r="I194" s="20" t="n">
        <v>929.949</v>
      </c>
      <c r="J194" s="20" t="n">
        <v>411.658</v>
      </c>
      <c r="K194" s="20" t="n">
        <v>620.516</v>
      </c>
      <c r="L194" s="20" t="n">
        <v>889.4349999999999</v>
      </c>
      <c r="M194" s="20" t="n">
        <v>691.386</v>
      </c>
      <c r="N194" s="20" t="n">
        <v>792.7140000000001</v>
      </c>
      <c r="V194" s="20" t="n">
        <v>1016.159</v>
      </c>
      <c r="W194" s="20" t="n">
        <v>556.715</v>
      </c>
      <c r="X194" s="20" t="n">
        <v>889.4349999999999</v>
      </c>
    </row>
    <row r="195">
      <c r="A195" s="43" t="inlineStr">
        <is>
          <t>OPM</t>
        </is>
      </c>
      <c r="B195" s="3" t="inlineStr">
        <is>
          <t>영업이익 ÷ 매출</t>
        </is>
      </c>
      <c r="C195" s="15">
        <f>IF(OR(C194="",C176=""),"",IF(C176&lt;=0,"",IFERROR(C194/C176,"")))</f>
        <v/>
      </c>
      <c r="D195" s="15">
        <f>IF(OR(D194="",D176=""),"",IF(D176&lt;=0,"",IFERROR(D194/D176,"")))</f>
        <v/>
      </c>
      <c r="E195" s="15">
        <f>IF(OR(E194="",E176=""),"",IF(E176&lt;=0,"",IFERROR(E194/E176,"")))</f>
        <v/>
      </c>
      <c r="F195" s="15">
        <f>IF(OR(F194="",F176=""),"",IF(F176&lt;=0,"",IFERROR(F194/F176,"")))</f>
        <v/>
      </c>
      <c r="G195" s="15">
        <f>IF(OR(G194="",G176=""),"",IF(G176&lt;=0,"",IFERROR(G194/G176,"")))</f>
        <v/>
      </c>
      <c r="H195" s="15">
        <f>IF(OR(H194="",H176=""),"",IF(H176&lt;=0,"",IFERROR(H194/H176,"")))</f>
        <v/>
      </c>
      <c r="I195" s="15">
        <f>IF(OR(I194="",I176=""),"",IF(I176&lt;=0,"",IFERROR(I194/I176,"")))</f>
        <v/>
      </c>
      <c r="J195" s="15">
        <f>IF(OR(J194="",J176=""),"",IF(J176&lt;=0,"",IFERROR(J194/J176,"")))</f>
        <v/>
      </c>
      <c r="K195" s="15">
        <f>IF(OR(K194="",K176=""),"",IF(K176&lt;=0,"",IFERROR(K194/K176,"")))</f>
        <v/>
      </c>
      <c r="L195" s="15">
        <f>IF(OR(L194="",L176=""),"",IF(L176&lt;=0,"",IFERROR(L194/L176,"")))</f>
        <v/>
      </c>
      <c r="M195" s="15">
        <f>IF(OR(M194="",M176=""),"",IF(M176&lt;=0,"",IFERROR(M194/M176,"")))</f>
        <v/>
      </c>
      <c r="N195" s="15">
        <f>IF(OR(N194="",N176=""),"",IF(N176&lt;=0,"",IFERROR(N194/N176,"")))</f>
        <v/>
      </c>
      <c r="V195" s="15">
        <f>IF(OR(V194="",V176=""),"",IF(V176&lt;=0,"",IFERROR(V194/V176,"")))</f>
        <v/>
      </c>
      <c r="W195" s="15">
        <f>IF(OR(W194="",W176=""),"",IF(W176&lt;=0,"",IFERROR(W194/W176,"")))</f>
        <v/>
      </c>
      <c r="X195" s="15">
        <f>IF(OR(X194="",X176=""),"",IF(X176&lt;=0,"",IFERROR(X194/X176,"")))</f>
        <v/>
      </c>
    </row>
    <row r="196">
      <c r="A196" s="43" t="inlineStr">
        <is>
          <t>YoY</t>
        </is>
      </c>
      <c r="B196" s="3" t="inlineStr">
        <is>
          <t>전년 같은 분기·전년 대비</t>
        </is>
      </c>
      <c r="G196" s="15">
        <f>IF(OR(G194="",C194=""),"",IF(C194&lt;=0,"",IFERROR(G194/C194-1,"")))</f>
        <v/>
      </c>
      <c r="H196" s="15">
        <f>IF(OR(H194="",D194=""),"",IF(D194&lt;=0,"",IFERROR(H194/D194-1,"")))</f>
        <v/>
      </c>
      <c r="I196" s="15">
        <f>IF(OR(I194="",E194=""),"",IF(E194&lt;=0,"",IFERROR(I194/E194-1,"")))</f>
        <v/>
      </c>
      <c r="J196" s="15">
        <f>IF(OR(J194="",F194=""),"",IF(F194&lt;=0,"",IFERROR(J194/F194-1,"")))</f>
        <v/>
      </c>
      <c r="K196" s="15">
        <f>IF(OR(K194="",G194=""),"",IF(G194&lt;=0,"",IFERROR(K194/G194-1,"")))</f>
        <v/>
      </c>
      <c r="L196" s="15">
        <f>IF(OR(L194="",H194=""),"",IF(H194&lt;=0,"",IFERROR(L194/H194-1,"")))</f>
        <v/>
      </c>
      <c r="M196" s="15">
        <f>IF(OR(M194="",I194=""),"",IF(I194&lt;=0,"",IFERROR(M194/I194-1,"")))</f>
        <v/>
      </c>
      <c r="N196" s="15">
        <f>IF(OR(N194="",J194=""),"",IF(J194&lt;=0,"",IFERROR(N194/J194-1,"")))</f>
        <v/>
      </c>
      <c r="V196" s="15">
        <f>IF(OR(V194="",U194=""),"",IF(U194&lt;=0,"",IFERROR(V194/U194-1,"")))</f>
        <v/>
      </c>
      <c r="W196" s="15">
        <f>IF(OR(W194="",V194=""),"",IF(V194&lt;=0,"",IFERROR(W194/V194-1,"")))</f>
        <v/>
      </c>
      <c r="X196" s="15">
        <f>IF(OR(X194="",W194=""),"",IF(W194&lt;=0,"",IFERROR(X194/W194-1,"")))</f>
        <v/>
      </c>
    </row>
    <row r="197">
      <c r="A197" s="18" t="inlineStr">
        <is>
          <t>조정액 · 부문 이익</t>
        </is>
      </c>
      <c r="C197" s="20" t="n">
        <v>0</v>
      </c>
      <c r="D197" s="20" t="n">
        <v>-655.514</v>
      </c>
      <c r="E197" s="20" t="n">
        <v>-219.747</v>
      </c>
      <c r="F197" s="20" t="n">
        <v>-163.696</v>
      </c>
      <c r="G197" s="20" t="n">
        <v>-223.48</v>
      </c>
      <c r="H197" s="20" t="n">
        <v>-192.418</v>
      </c>
      <c r="I197" s="20" t="n">
        <v>-231.915</v>
      </c>
      <c r="J197" s="20" t="n">
        <v>-205.489</v>
      </c>
      <c r="K197" s="20" t="n">
        <v>-212.049</v>
      </c>
      <c r="L197" s="20" t="n">
        <v>-238.042</v>
      </c>
      <c r="M197" s="20" t="n">
        <v>-251.417</v>
      </c>
      <c r="N197" s="20" t="n">
        <v>-229.179</v>
      </c>
      <c r="V197" s="20" t="n">
        <v>-655.514</v>
      </c>
      <c r="W197" s="20" t="n">
        <v>-192.418</v>
      </c>
      <c r="X197" s="20" t="n">
        <v>-238.042</v>
      </c>
    </row>
    <row r="198">
      <c r="A198" s="18" t="inlineStr">
        <is>
          <t>EntityTotalMember · 부문 이익</t>
        </is>
      </c>
      <c r="I198" s="20" t="n">
        <v>698.033</v>
      </c>
      <c r="M198" s="20" t="n">
        <v>439.968</v>
      </c>
    </row>
    <row r="199">
      <c r="A199" s="9" t="inlineStr">
        <is>
          <t>부문 이익</t>
        </is>
      </c>
      <c r="C199" s="12" t="n">
        <v>412.27</v>
      </c>
      <c r="D199" s="12" t="n">
        <v>360.646</v>
      </c>
      <c r="E199" s="12" t="n">
        <v>254.3</v>
      </c>
      <c r="F199" s="12" t="n">
        <v>396.899</v>
      </c>
      <c r="G199" s="12" t="n">
        <v>360.212</v>
      </c>
      <c r="H199" s="12" t="n">
        <v>364.298</v>
      </c>
      <c r="I199" s="12" t="n">
        <v>700.345</v>
      </c>
      <c r="J199" s="12" t="n">
        <v>203.858</v>
      </c>
      <c r="K199" s="12" t="n">
        <v>408.467</v>
      </c>
      <c r="L199" s="12" t="n">
        <v>651.393</v>
      </c>
      <c r="V199" s="12" t="n">
        <v>360.646</v>
      </c>
      <c r="W199" s="12" t="n">
        <v>364.298</v>
      </c>
      <c r="X199" s="12" t="n">
        <v>651.393</v>
      </c>
    </row>
    <row r="200">
      <c r="A200" s="43" t="inlineStr">
        <is>
          <t>OPM</t>
        </is>
      </c>
      <c r="B200" s="3" t="inlineStr">
        <is>
          <t>영업이익 ÷ 매출</t>
        </is>
      </c>
      <c r="C200" s="15">
        <f>IF(OR(C199="",C158=""),"",IF(C158&lt;=0,"",IFERROR(C199/C158,"")))</f>
        <v/>
      </c>
      <c r="D200" s="15">
        <f>IF(OR(D199="",D158=""),"",IF(D158&lt;=0,"",IFERROR(D199/D158,"")))</f>
        <v/>
      </c>
      <c r="E200" s="15">
        <f>IF(OR(E199="",E158=""),"",IF(E158&lt;=0,"",IFERROR(E199/E158,"")))</f>
        <v/>
      </c>
      <c r="F200" s="15">
        <f>IF(OR(F199="",F158=""),"",IF(F158&lt;=0,"",IFERROR(F199/F158,"")))</f>
        <v/>
      </c>
      <c r="G200" s="15">
        <f>IF(OR(G199="",G158=""),"",IF(G158&lt;=0,"",IFERROR(G199/G158,"")))</f>
        <v/>
      </c>
      <c r="H200" s="15">
        <f>IF(OR(H199="",H158=""),"",IF(H158&lt;=0,"",IFERROR(H199/H158,"")))</f>
        <v/>
      </c>
      <c r="I200" s="15">
        <f>IF(OR(I199="",I158=""),"",IF(I158&lt;=0,"",IFERROR(I199/I158,"")))</f>
        <v/>
      </c>
      <c r="J200" s="15">
        <f>IF(OR(J199="",J158=""),"",IF(J158&lt;=0,"",IFERROR(J199/J158,"")))</f>
        <v/>
      </c>
      <c r="K200" s="15">
        <f>IF(OR(K199="",K158=""),"",IF(K158&lt;=0,"",IFERROR(K199/K158,"")))</f>
        <v/>
      </c>
      <c r="L200" s="15">
        <f>IF(OR(L199="",L158=""),"",IF(L158&lt;=0,"",IFERROR(L199/L158,"")))</f>
        <v/>
      </c>
      <c r="V200" s="15">
        <f>IF(OR(V199="",V158=""),"",IF(V158&lt;=0,"",IFERROR(V199/V158,"")))</f>
        <v/>
      </c>
      <c r="W200" s="15">
        <f>IF(OR(W199="",W158=""),"",IF(W158&lt;=0,"",IFERROR(W199/W158,"")))</f>
        <v/>
      </c>
      <c r="X200" s="15">
        <f>IF(OR(X199="",X158=""),"",IF(X158&lt;=0,"",IFERROR(X199/X158,"")))</f>
        <v/>
      </c>
    </row>
    <row r="201">
      <c r="A201" s="43" t="inlineStr">
        <is>
          <t>YoY</t>
        </is>
      </c>
      <c r="B201" s="3" t="inlineStr">
        <is>
          <t>전년 같은 분기·전년 대비</t>
        </is>
      </c>
      <c r="G201" s="15">
        <f>IF(OR(G199="",C199=""),"",IF(C199&lt;=0,"",IFERROR(G199/C199-1,"")))</f>
        <v/>
      </c>
      <c r="H201" s="15">
        <f>IF(OR(H199="",D199=""),"",IF(D199&lt;=0,"",IFERROR(H199/D199-1,"")))</f>
        <v/>
      </c>
      <c r="I201" s="15">
        <f>IF(OR(I199="",E199=""),"",IF(E199&lt;=0,"",IFERROR(I199/E199-1,"")))</f>
        <v/>
      </c>
      <c r="J201" s="15">
        <f>IF(OR(J199="",F199=""),"",IF(F199&lt;=0,"",IFERROR(J199/F199-1,"")))</f>
        <v/>
      </c>
      <c r="K201" s="15">
        <f>IF(OR(K199="",G199=""),"",IF(G199&lt;=0,"",IFERROR(K199/G199-1,"")))</f>
        <v/>
      </c>
      <c r="L201" s="15">
        <f>IF(OR(L199="",H199=""),"",IF(H199&lt;=0,"",IFERROR(L199/H199-1,"")))</f>
        <v/>
      </c>
      <c r="V201" s="15">
        <f>IF(OR(V199="",U199=""),"",IF(U199&lt;=0,"",IFERROR(V199/U199-1,"")))</f>
        <v/>
      </c>
      <c r="W201" s="15">
        <f>IF(OR(W199="",V199=""),"",IF(V199&lt;=0,"",IFERROR(W199/V199-1,"")))</f>
        <v/>
      </c>
      <c r="X201" s="15">
        <f>IF(OR(X199="",W199=""),"",IF(W199&lt;=0,"",IFERROR(X199/W199-1,"")))</f>
        <v/>
      </c>
    </row>
    <row r="203">
      <c r="A203" s="16" t="inlineStr">
        <is>
          <t>현금흐름표 · 전 항목</t>
        </is>
      </c>
      <c r="B203" s="42" t="inlineStr">
        <is>
          <t>분기 = 결산기 첫날부터 누계(공시 그대로)</t>
        </is>
      </c>
      <c r="C203" s="16" t="n"/>
      <c r="D203" s="16" t="n"/>
      <c r="E203" s="16" t="n"/>
      <c r="F203" s="16" t="n"/>
      <c r="G203" s="16" t="n"/>
      <c r="H203" s="16" t="n"/>
      <c r="I203" s="16" t="n"/>
      <c r="J203" s="16" t="n"/>
      <c r="K203" s="16" t="n"/>
      <c r="L203" s="16" t="n"/>
      <c r="M203" s="16" t="n"/>
      <c r="N203" s="16" t="n"/>
      <c r="O203" s="16" t="n"/>
      <c r="P203" s="16" t="n"/>
      <c r="Q203" s="16" t="n"/>
      <c r="R203" s="16" t="n"/>
      <c r="S203" s="16" t="n"/>
      <c r="T203" s="16" t="n"/>
      <c r="U203" s="16" t="n"/>
      <c r="V203" s="16" t="n"/>
      <c r="W203" s="16" t="n"/>
      <c r="X203" s="16" t="n"/>
      <c r="Y203" s="16" t="n"/>
      <c r="Z203" s="16" t="n"/>
      <c r="AA203" s="16" t="n"/>
      <c r="AB203" s="16" t="n"/>
      <c r="AC203" s="16" t="n"/>
    </row>
    <row r="204">
      <c r="A204" s="5" t="inlineStr">
        <is>
          <t>항목</t>
        </is>
      </c>
      <c r="B204" s="5" t="inlineStr">
        <is>
          <t>참고</t>
        </is>
      </c>
      <c r="C204" s="5" t="inlineStr">
        <is>
          <t>2024.3Q</t>
        </is>
      </c>
      <c r="D204" s="5" t="inlineStr">
        <is>
          <t>2024.4Q</t>
        </is>
      </c>
      <c r="E204" s="5" t="inlineStr">
        <is>
          <t>2025.1Q</t>
        </is>
      </c>
      <c r="F204" s="5" t="inlineStr">
        <is>
          <t>2025.2Q</t>
        </is>
      </c>
      <c r="G204" s="5" t="inlineStr">
        <is>
          <t>2025.3Q</t>
        </is>
      </c>
      <c r="H204" s="5" t="inlineStr">
        <is>
          <t>2025.4Q</t>
        </is>
      </c>
      <c r="I204" s="5" t="inlineStr">
        <is>
          <t>2026.1Q</t>
        </is>
      </c>
      <c r="J204" s="5" t="inlineStr">
        <is>
          <t>2026.2Q</t>
        </is>
      </c>
      <c r="K204" s="5" t="inlineStr">
        <is>
          <t>2026.3Q</t>
        </is>
      </c>
      <c r="L204" s="5" t="inlineStr">
        <is>
          <t>2026.4Q</t>
        </is>
      </c>
      <c r="M204" s="5" t="inlineStr">
        <is>
          <t>2027.1Q</t>
        </is>
      </c>
      <c r="N204" s="5" t="inlineStr">
        <is>
          <t>2027.2Q</t>
        </is>
      </c>
      <c r="O204" s="5" t="inlineStr">
        <is>
          <t>2017</t>
        </is>
      </c>
      <c r="P204" s="5" t="inlineStr">
        <is>
          <t>2018</t>
        </is>
      </c>
      <c r="Q204" s="5" t="inlineStr">
        <is>
          <t>2019</t>
        </is>
      </c>
      <c r="R204" s="5" t="inlineStr">
        <is>
          <t>2020</t>
        </is>
      </c>
      <c r="S204" s="5" t="inlineStr">
        <is>
          <t>2021</t>
        </is>
      </c>
      <c r="T204" s="5" t="inlineStr">
        <is>
          <t>2022</t>
        </is>
      </c>
      <c r="U204" s="5" t="inlineStr">
        <is>
          <t>2023</t>
        </is>
      </c>
      <c r="V204" s="5" t="inlineStr">
        <is>
          <t>2024</t>
        </is>
      </c>
      <c r="W204" s="5" t="inlineStr">
        <is>
          <t>2025</t>
        </is>
      </c>
      <c r="X204" s="5" t="inlineStr">
        <is>
          <t>2026</t>
        </is>
      </c>
      <c r="Y204" s="5" t="inlineStr">
        <is>
          <t>2027(MW)</t>
        </is>
      </c>
      <c r="Z204" s="5" t="inlineStr">
        <is>
          <t>2028(MW)</t>
        </is>
      </c>
      <c r="AA204" s="5" t="inlineStr">
        <is>
          <t>2029(MW)</t>
        </is>
      </c>
      <c r="AB204" s="5" t="inlineStr">
        <is>
          <t>2030(MW)</t>
        </is>
      </c>
      <c r="AC204" s="5" t="inlineStr">
        <is>
          <t>2031(MW)</t>
        </is>
      </c>
    </row>
    <row r="205">
      <c r="A205" s="9" t="inlineStr">
        <is>
          <t>법인세차감전 순이익</t>
        </is>
      </c>
      <c r="D205" s="12" t="n">
        <v>1310.965</v>
      </c>
      <c r="F205" s="12" t="n">
        <v>729.87</v>
      </c>
      <c r="H205" s="12" t="n">
        <v>1454.177</v>
      </c>
      <c r="J205" s="12" t="n">
        <v>856.472</v>
      </c>
      <c r="L205" s="12" t="n">
        <v>1955.815</v>
      </c>
      <c r="N205" s="12" t="n">
        <v>1038.049</v>
      </c>
      <c r="U205" s="12" t="n">
        <v>1270.408</v>
      </c>
      <c r="V205" s="12" t="n">
        <v>1310.965</v>
      </c>
      <c r="W205" s="12" t="n">
        <v>1454.177</v>
      </c>
      <c r="X205" s="12" t="n">
        <v>1955.815</v>
      </c>
    </row>
    <row r="206">
      <c r="A206" s="18" t="inlineStr">
        <is>
          <t>감가상각비</t>
        </is>
      </c>
      <c r="D206" s="20" t="n">
        <v>230.291</v>
      </c>
      <c r="F206" s="20" t="n">
        <v>114.122</v>
      </c>
      <c r="H206" s="20" t="n">
        <v>255.911</v>
      </c>
      <c r="J206" s="20" t="n">
        <v>186.053</v>
      </c>
      <c r="L206" s="20" t="n">
        <v>385.806</v>
      </c>
      <c r="N206" s="20" t="n">
        <v>184.342</v>
      </c>
      <c r="U206" s="20" t="n">
        <v>232.096</v>
      </c>
      <c r="V206" s="20" t="n">
        <v>230.291</v>
      </c>
      <c r="W206" s="20" t="n">
        <v>255.911</v>
      </c>
      <c r="X206" s="20" t="n">
        <v>385.806</v>
      </c>
    </row>
    <row r="207">
      <c r="A207" s="18" t="inlineStr">
        <is>
          <t>영업권 상각</t>
        </is>
      </c>
      <c r="D207" s="20" t="n">
        <v>1.636</v>
      </c>
      <c r="F207" s="20" t="n">
        <v>3.195</v>
      </c>
      <c r="H207" s="20" t="n">
        <v>16.37</v>
      </c>
      <c r="J207" s="20" t="n">
        <v>24.451</v>
      </c>
      <c r="L207" s="20" t="n">
        <v>54.299</v>
      </c>
      <c r="N207" s="20" t="n">
        <v>32.547</v>
      </c>
      <c r="U207" s="20" t="n">
        <v>1.636</v>
      </c>
      <c r="V207" s="20" t="n">
        <v>1.636</v>
      </c>
      <c r="W207" s="20" t="n">
        <v>16.37</v>
      </c>
      <c r="X207" s="20" t="n">
        <v>54.299</v>
      </c>
    </row>
    <row r="208">
      <c r="A208" s="18" t="inlineStr">
        <is>
          <t>지분법손익</t>
        </is>
      </c>
      <c r="F208" s="20" t="n">
        <v>0</v>
      </c>
      <c r="H208" s="20" t="n">
        <v>0</v>
      </c>
      <c r="J208" s="20" t="n">
        <v>14.599</v>
      </c>
      <c r="L208" s="20" t="n">
        <v>33.795</v>
      </c>
      <c r="N208" s="20" t="n">
        <v>16.036</v>
      </c>
      <c r="W208" s="20" t="n">
        <v>0</v>
      </c>
      <c r="X208" s="20" t="n">
        <v>33.795</v>
      </c>
    </row>
    <row r="209">
      <c r="A209" s="18" t="inlineStr">
        <is>
          <t>부의 영업권 발생이익</t>
        </is>
      </c>
      <c r="D209" s="20" t="n">
        <v>0</v>
      </c>
      <c r="F209" s="20" t="n">
        <v>-3.641</v>
      </c>
      <c r="H209" s="20" t="n">
        <v>-34.654</v>
      </c>
      <c r="J209" s="20" t="n">
        <v>0</v>
      </c>
      <c r="L209" s="20" t="n">
        <v>0</v>
      </c>
      <c r="V209" s="20" t="n">
        <v>0</v>
      </c>
      <c r="W209" s="20" t="n">
        <v>-34.654</v>
      </c>
      <c r="X209" s="20" t="n">
        <v>0</v>
      </c>
    </row>
    <row r="210">
      <c r="A210" s="18" t="inlineStr">
        <is>
          <t>손상차손</t>
        </is>
      </c>
      <c r="D210" s="20" t="n">
        <v>0</v>
      </c>
      <c r="F210" s="20" t="n">
        <v>1.444</v>
      </c>
      <c r="H210" s="20" t="n">
        <v>29.655</v>
      </c>
      <c r="J210" s="20" t="n">
        <v>0</v>
      </c>
      <c r="L210" s="20" t="n">
        <v>0</v>
      </c>
      <c r="V210" s="20" t="n">
        <v>0</v>
      </c>
      <c r="W210" s="20" t="n">
        <v>29.655</v>
      </c>
      <c r="X210" s="20" t="n">
        <v>0</v>
      </c>
    </row>
    <row r="211">
      <c r="A211" s="18" t="inlineStr">
        <is>
          <t>고정자산 매각손익</t>
        </is>
      </c>
      <c r="D211" s="20" t="n">
        <v>-18.084</v>
      </c>
      <c r="F211" s="20" t="n">
        <v>0</v>
      </c>
      <c r="H211" s="20" t="n">
        <v>1.712</v>
      </c>
      <c r="J211" s="20" t="n">
        <v>-1.081</v>
      </c>
      <c r="L211" s="20" t="n">
        <v>-5.016</v>
      </c>
      <c r="N211" s="20" t="n">
        <v>-0.226</v>
      </c>
      <c r="U211" s="20" t="n">
        <v>-0.926</v>
      </c>
      <c r="V211" s="20" t="n">
        <v>-18.084</v>
      </c>
      <c r="W211" s="20" t="n">
        <v>1.712</v>
      </c>
      <c r="X211" s="20" t="n">
        <v>-5.016</v>
      </c>
    </row>
    <row r="212">
      <c r="A212" s="18" t="inlineStr">
        <is>
          <t>고정자산 제각손실</t>
        </is>
      </c>
      <c r="D212" s="20" t="n">
        <v>1.883</v>
      </c>
      <c r="F212" s="20" t="n">
        <v>0</v>
      </c>
      <c r="H212" s="20" t="n">
        <v>37.62</v>
      </c>
      <c r="J212" s="20" t="n">
        <v>10.081</v>
      </c>
      <c r="L212" s="20" t="n">
        <v>10.081</v>
      </c>
      <c r="N212" s="20" t="n">
        <v>0</v>
      </c>
      <c r="U212" s="20" t="n">
        <v>2.413</v>
      </c>
      <c r="V212" s="20" t="n">
        <v>1.883</v>
      </c>
      <c r="W212" s="20" t="n">
        <v>37.62</v>
      </c>
      <c r="X212" s="20" t="n">
        <v>10.081</v>
      </c>
    </row>
    <row r="213">
      <c r="A213" s="18" t="inlineStr">
        <is>
          <t>보험 해약환급금</t>
        </is>
      </c>
      <c r="D213" s="20" t="n">
        <v>-20.896</v>
      </c>
      <c r="F213" s="20" t="n">
        <v>-61.871</v>
      </c>
      <c r="H213" s="20" t="n">
        <v>-84.089</v>
      </c>
      <c r="J213" s="20" t="n">
        <v>0</v>
      </c>
      <c r="L213" s="20" t="n">
        <v>-16.731</v>
      </c>
      <c r="N213" s="20" t="n">
        <v>-9.452</v>
      </c>
      <c r="U213" s="20" t="n">
        <v>-4.436</v>
      </c>
      <c r="V213" s="20" t="n">
        <v>-20.896</v>
      </c>
      <c r="W213" s="20" t="n">
        <v>-84.089</v>
      </c>
      <c r="X213" s="20" t="n">
        <v>-16.731</v>
      </c>
    </row>
    <row r="214">
      <c r="A214" s="18" t="inlineStr">
        <is>
          <t>보험해약 손익</t>
        </is>
      </c>
      <c r="D214" s="20" t="n">
        <v>0</v>
      </c>
      <c r="F214" s="20" t="n">
        <v>0.078</v>
      </c>
      <c r="H214" s="20" t="n">
        <v>0.509</v>
      </c>
      <c r="J214" s="20" t="n">
        <v>3.375</v>
      </c>
      <c r="L214" s="20" t="n">
        <v>3.375</v>
      </c>
      <c r="N214" s="20" t="n">
        <v>0.049</v>
      </c>
      <c r="U214" s="20" t="n">
        <v>0.742</v>
      </c>
      <c r="V214" s="20" t="n">
        <v>0</v>
      </c>
      <c r="W214" s="20" t="n">
        <v>0.509</v>
      </c>
      <c r="X214" s="20" t="n">
        <v>3.375</v>
      </c>
    </row>
    <row r="215">
      <c r="A215" s="18" t="inlineStr">
        <is>
          <t>골프회원권 매각손익</t>
        </is>
      </c>
      <c r="D215" s="20" t="n">
        <v>0</v>
      </c>
      <c r="U215" s="20" t="n">
        <v>2</v>
      </c>
      <c r="V215" s="20" t="n">
        <v>0</v>
      </c>
    </row>
    <row r="216">
      <c r="A216" s="18" t="inlineStr">
        <is>
          <t>매출채권·계약자산 증감</t>
        </is>
      </c>
      <c r="F216" s="20" t="n">
        <v>278.537</v>
      </c>
    </row>
    <row r="217">
      <c r="A217" s="18" t="inlineStr">
        <is>
          <t>매출채권·계약자산 증감</t>
        </is>
      </c>
      <c r="F217" s="20" t="n">
        <v>278.537</v>
      </c>
      <c r="J217" s="20" t="n">
        <v>232.64</v>
      </c>
    </row>
    <row r="218">
      <c r="A218" s="18" t="inlineStr">
        <is>
          <t>투자유가증권 매각손익</t>
        </is>
      </c>
      <c r="H218" s="20" t="n">
        <v>0</v>
      </c>
      <c r="J218" s="20" t="n">
        <v>0.02</v>
      </c>
      <c r="L218" s="20" t="n">
        <v>-7.133</v>
      </c>
      <c r="N218" s="20" t="n">
        <v>-8.148</v>
      </c>
      <c r="W218" s="20" t="n">
        <v>0</v>
      </c>
      <c r="X218" s="20" t="n">
        <v>-7.133</v>
      </c>
    </row>
    <row r="219">
      <c r="A219" s="18" t="inlineStr">
        <is>
          <t>상여충당금 증감</t>
        </is>
      </c>
      <c r="D219" s="20" t="n">
        <v>3.745</v>
      </c>
      <c r="F219" s="20" t="n">
        <v>13.153</v>
      </c>
      <c r="H219" s="20" t="n">
        <v>3.687</v>
      </c>
      <c r="J219" s="20" t="n">
        <v>23.507</v>
      </c>
      <c r="L219" s="20" t="n">
        <v>22.285</v>
      </c>
      <c r="N219" s="20" t="n">
        <v>16.956</v>
      </c>
      <c r="U219" s="20" t="n">
        <v>13.573</v>
      </c>
      <c r="V219" s="20" t="n">
        <v>3.745</v>
      </c>
      <c r="W219" s="20" t="n">
        <v>3.687</v>
      </c>
      <c r="X219" s="20" t="n">
        <v>22.285</v>
      </c>
    </row>
    <row r="220">
      <c r="A220" s="18" t="inlineStr">
        <is>
          <t>대손충당금 증감</t>
        </is>
      </c>
      <c r="D220" s="20" t="n">
        <v>-1764.55</v>
      </c>
      <c r="F220" s="20" t="n">
        <v>-0.115</v>
      </c>
      <c r="H220" s="20" t="n">
        <v>-0.211</v>
      </c>
      <c r="J220" s="20" t="n">
        <v>-2.093</v>
      </c>
      <c r="L220" s="20" t="n">
        <v>-1.978</v>
      </c>
      <c r="N220" s="20" t="n">
        <v>-1.157</v>
      </c>
      <c r="U220" s="20" t="n">
        <v>275.705</v>
      </c>
      <c r="V220" s="20" t="n">
        <v>-1764.55</v>
      </c>
      <c r="W220" s="20" t="n">
        <v>-0.211</v>
      </c>
      <c r="X220" s="20" t="n">
        <v>-1.978</v>
      </c>
    </row>
    <row r="221">
      <c r="A221" s="18" t="inlineStr">
        <is>
          <t>퇴직급여자산 증감</t>
        </is>
      </c>
      <c r="D221" s="20" t="n">
        <v>-7.748</v>
      </c>
      <c r="F221" s="20" t="n">
        <v>-6.697</v>
      </c>
      <c r="H221" s="20" t="n">
        <v>-13.28</v>
      </c>
      <c r="J221" s="20" t="n">
        <v>12.698</v>
      </c>
      <c r="L221" s="20" t="n">
        <v>6.969</v>
      </c>
      <c r="N221" s="20" t="n">
        <v>-7.688</v>
      </c>
      <c r="U221" s="20" t="n">
        <v>-6.718</v>
      </c>
      <c r="V221" s="20" t="n">
        <v>-7.748</v>
      </c>
      <c r="W221" s="20" t="n">
        <v>-13.28</v>
      </c>
      <c r="X221" s="20" t="n">
        <v>6.969</v>
      </c>
    </row>
    <row r="222">
      <c r="A222" s="18" t="inlineStr">
        <is>
          <t>퇴직급여부채 증감</t>
        </is>
      </c>
      <c r="D222" s="20" t="n">
        <v>-0.374</v>
      </c>
      <c r="F222" s="20" t="n">
        <v>-2.01</v>
      </c>
      <c r="H222" s="20" t="n">
        <v>-3.082</v>
      </c>
      <c r="J222" s="20" t="n">
        <v>-21.297</v>
      </c>
      <c r="L222" s="20" t="n">
        <v>-23.331</v>
      </c>
      <c r="N222" s="20" t="n">
        <v>10.131</v>
      </c>
      <c r="U222" s="20" t="n">
        <v>3.959</v>
      </c>
      <c r="V222" s="20" t="n">
        <v>-0.374</v>
      </c>
      <c r="W222" s="20" t="n">
        <v>-3.082</v>
      </c>
      <c r="X222" s="20" t="n">
        <v>-23.331</v>
      </c>
    </row>
    <row r="223">
      <c r="A223" s="18" t="inlineStr">
        <is>
          <t>이자·배당금 수익</t>
        </is>
      </c>
      <c r="D223" s="20" t="n">
        <v>-3.704</v>
      </c>
      <c r="F223" s="20" t="n">
        <v>-4.749</v>
      </c>
      <c r="H223" s="20" t="n">
        <v>-4.622</v>
      </c>
      <c r="J223" s="20" t="n">
        <v>-4.339</v>
      </c>
      <c r="L223" s="20" t="n">
        <v>-10.919</v>
      </c>
      <c r="N223" s="20" t="n">
        <v>-5.998</v>
      </c>
      <c r="U223" s="20" t="n">
        <v>-3.515</v>
      </c>
      <c r="V223" s="20" t="n">
        <v>-3.704</v>
      </c>
      <c r="W223" s="20" t="n">
        <v>-4.622</v>
      </c>
      <c r="X223" s="20" t="n">
        <v>-10.919</v>
      </c>
    </row>
    <row r="224">
      <c r="A224" s="18" t="inlineStr">
        <is>
          <t>보조금 수입</t>
        </is>
      </c>
      <c r="D224" s="20" t="n">
        <v>0</v>
      </c>
      <c r="U224" s="20" t="n">
        <v>-1.364</v>
      </c>
      <c r="V224" s="20" t="n">
        <v>0</v>
      </c>
    </row>
    <row r="225">
      <c r="A225" s="18" t="inlineStr">
        <is>
          <t>국고보조금</t>
        </is>
      </c>
      <c r="H225" s="20" t="n">
        <v>0</v>
      </c>
      <c r="J225" s="20" t="n">
        <v>0</v>
      </c>
      <c r="L225" s="20" t="n">
        <v>-36</v>
      </c>
      <c r="N225" s="20" t="n">
        <v>-35.724</v>
      </c>
      <c r="W225" s="20" t="n">
        <v>0</v>
      </c>
      <c r="X225" s="20" t="n">
        <v>-36</v>
      </c>
    </row>
    <row r="226">
      <c r="A226" s="18" t="inlineStr">
        <is>
          <t>외환차손익</t>
        </is>
      </c>
      <c r="D226" s="20" t="n">
        <v>-0.402</v>
      </c>
      <c r="F226" s="20" t="n">
        <v>-0.403</v>
      </c>
      <c r="H226" s="20" t="n">
        <v>0.028</v>
      </c>
      <c r="J226" s="20" t="n">
        <v>1.417</v>
      </c>
      <c r="L226" s="20" t="n">
        <v>-0.59</v>
      </c>
      <c r="N226" s="20" t="n">
        <v>0.148</v>
      </c>
      <c r="U226" s="20" t="n">
        <v>-0.583</v>
      </c>
      <c r="V226" s="20" t="n">
        <v>-0.402</v>
      </c>
      <c r="W226" s="20" t="n">
        <v>0.028</v>
      </c>
      <c r="X226" s="20" t="n">
        <v>-0.59</v>
      </c>
    </row>
    <row r="227">
      <c r="A227" s="18" t="inlineStr">
        <is>
          <t>이자비용</t>
        </is>
      </c>
      <c r="D227" s="20" t="n">
        <v>21.995</v>
      </c>
      <c r="F227" s="20" t="n">
        <v>8.725</v>
      </c>
      <c r="H227" s="20" t="n">
        <v>24.944</v>
      </c>
      <c r="J227" s="20" t="n">
        <v>21.956</v>
      </c>
      <c r="L227" s="20" t="n">
        <v>43.818</v>
      </c>
      <c r="N227" s="20" t="n">
        <v>32.828</v>
      </c>
      <c r="U227" s="20" t="n">
        <v>24.52</v>
      </c>
      <c r="V227" s="20" t="n">
        <v>21.995</v>
      </c>
      <c r="W227" s="20" t="n">
        <v>24.944</v>
      </c>
      <c r="X227" s="20" t="n">
        <v>43.818</v>
      </c>
    </row>
    <row r="228">
      <c r="A228" s="18" t="inlineStr">
        <is>
          <t>매출채권 증감</t>
        </is>
      </c>
      <c r="D228" s="20" t="n">
        <v>-308.954</v>
      </c>
      <c r="H228" s="20" t="n">
        <v>603</v>
      </c>
      <c r="J228" s="20" t="n">
        <v>232.64</v>
      </c>
      <c r="L228" s="20" t="n">
        <v>-227.853</v>
      </c>
      <c r="N228" s="20" t="n">
        <v>450.914</v>
      </c>
      <c r="U228" s="20" t="n">
        <v>-592.854</v>
      </c>
      <c r="V228" s="20" t="n">
        <v>-308.954</v>
      </c>
      <c r="W228" s="20" t="n">
        <v>603</v>
      </c>
      <c r="X228" s="20" t="n">
        <v>-227.853</v>
      </c>
    </row>
    <row r="229">
      <c r="A229" s="18" t="inlineStr">
        <is>
          <t>재고자산 증감</t>
        </is>
      </c>
      <c r="D229" s="20" t="n">
        <v>-8.135999999999999</v>
      </c>
      <c r="F229" s="20" t="n">
        <v>-303.916</v>
      </c>
      <c r="H229" s="20" t="n">
        <v>-234.136</v>
      </c>
      <c r="J229" s="20" t="n">
        <v>-268.449</v>
      </c>
      <c r="L229" s="20" t="n">
        <v>-88.521</v>
      </c>
      <c r="N229" s="20" t="n">
        <v>-271.205</v>
      </c>
      <c r="U229" s="20" t="n">
        <v>-146.823</v>
      </c>
      <c r="V229" s="20" t="n">
        <v>-8.135999999999999</v>
      </c>
      <c r="W229" s="20" t="n">
        <v>-234.136</v>
      </c>
      <c r="X229" s="20" t="n">
        <v>-88.521</v>
      </c>
    </row>
    <row r="230">
      <c r="A230" s="18" t="inlineStr">
        <is>
          <t>미수 환급법인세 증감</t>
        </is>
      </c>
      <c r="D230" s="20" t="n">
        <v>-178.539</v>
      </c>
      <c r="H230" s="20" t="n">
        <v>0</v>
      </c>
      <c r="U230" s="20" t="n">
        <v>0</v>
      </c>
      <c r="V230" s="20" t="n">
        <v>-178.539</v>
      </c>
      <c r="W230" s="20" t="n">
        <v>0</v>
      </c>
    </row>
    <row r="231">
      <c r="A231" s="18" t="inlineStr">
        <is>
          <t>매입채무 증감</t>
        </is>
      </c>
      <c r="D231" s="20" t="n">
        <v>20.415</v>
      </c>
      <c r="F231" s="20" t="n">
        <v>93.324</v>
      </c>
      <c r="H231" s="20" t="n">
        <v>-299.823</v>
      </c>
      <c r="J231" s="20" t="n">
        <v>0.264</v>
      </c>
      <c r="L231" s="20" t="n">
        <v>-411.625</v>
      </c>
      <c r="N231" s="20" t="n">
        <v>-799.515</v>
      </c>
      <c r="U231" s="20" t="n">
        <v>276.107</v>
      </c>
      <c r="V231" s="20" t="n">
        <v>20.415</v>
      </c>
      <c r="W231" s="20" t="n">
        <v>-299.823</v>
      </c>
      <c r="X231" s="20" t="n">
        <v>-411.625</v>
      </c>
    </row>
    <row r="232">
      <c r="A232" s="18" t="inlineStr">
        <is>
          <t>미지급비용 증감</t>
        </is>
      </c>
      <c r="D232" s="20" t="n">
        <v>5.798</v>
      </c>
      <c r="F232" s="20" t="n">
        <v>27.635</v>
      </c>
      <c r="H232" s="20" t="n">
        <v>12.849</v>
      </c>
      <c r="J232" s="20" t="n">
        <v>33.149</v>
      </c>
      <c r="L232" s="20" t="n">
        <v>15.864</v>
      </c>
      <c r="N232" s="20" t="n">
        <v>-8.491</v>
      </c>
      <c r="U232" s="20" t="n">
        <v>2.152</v>
      </c>
      <c r="V232" s="20" t="n">
        <v>5.798</v>
      </c>
      <c r="W232" s="20" t="n">
        <v>12.849</v>
      </c>
      <c r="X232" s="20" t="n">
        <v>15.864</v>
      </c>
    </row>
    <row r="233">
      <c r="A233" s="18" t="inlineStr">
        <is>
          <t>미수 소비세 증감</t>
        </is>
      </c>
      <c r="D233" s="20" t="n">
        <v>0</v>
      </c>
      <c r="F233" s="20" t="n">
        <v>0</v>
      </c>
      <c r="H233" s="20" t="n">
        <v>-42.521</v>
      </c>
      <c r="J233" s="20" t="n">
        <v>41.618</v>
      </c>
      <c r="L233" s="20" t="n">
        <v>3.283</v>
      </c>
      <c r="N233" s="20" t="n">
        <v>37.393</v>
      </c>
      <c r="V233" s="20" t="n">
        <v>0</v>
      </c>
      <c r="W233" s="20" t="n">
        <v>-42.521</v>
      </c>
      <c r="X233" s="20" t="n">
        <v>3.283</v>
      </c>
    </row>
    <row r="234">
      <c r="A234" s="18" t="inlineStr">
        <is>
          <t>미지급 소비세 증감</t>
        </is>
      </c>
      <c r="D234" s="20" t="n">
        <v>2.389</v>
      </c>
      <c r="F234" s="20" t="n">
        <v>-44.653</v>
      </c>
      <c r="H234" s="20" t="n">
        <v>12.584</v>
      </c>
      <c r="J234" s="20" t="n">
        <v>-37.192</v>
      </c>
      <c r="L234" s="20" t="n">
        <v>37.5</v>
      </c>
      <c r="N234" s="20" t="n">
        <v>-11.015</v>
      </c>
      <c r="U234" s="20" t="n">
        <v>26.143</v>
      </c>
      <c r="V234" s="20" t="n">
        <v>2.389</v>
      </c>
      <c r="W234" s="20" t="n">
        <v>12.584</v>
      </c>
      <c r="X234" s="20" t="n">
        <v>37.5</v>
      </c>
    </row>
    <row r="235">
      <c r="A235" s="18" t="inlineStr">
        <is>
          <t>파산갱생채권 증감</t>
        </is>
      </c>
      <c r="D235" s="20" t="n">
        <v>1837.996</v>
      </c>
      <c r="F235" s="20" t="n">
        <v>0</v>
      </c>
      <c r="H235" s="20" t="n">
        <v>0</v>
      </c>
      <c r="J235" s="20" t="n">
        <v>0</v>
      </c>
      <c r="N235" s="20" t="n">
        <v>-0.609</v>
      </c>
      <c r="U235" s="20" t="n">
        <v>-279.893</v>
      </c>
      <c r="V235" s="20" t="n">
        <v>1837.996</v>
      </c>
      <c r="W235" s="20" t="n">
        <v>0</v>
      </c>
    </row>
    <row r="236">
      <c r="A236" s="18" t="inlineStr">
        <is>
          <t>기타</t>
        </is>
      </c>
      <c r="D236" s="20" t="n">
        <v>-32.964</v>
      </c>
      <c r="F236" s="20" t="n">
        <v>104.597</v>
      </c>
      <c r="H236" s="20" t="n">
        <v>-37.788</v>
      </c>
      <c r="J236" s="20" t="n">
        <v>-25.627</v>
      </c>
      <c r="L236" s="20" t="n">
        <v>109.706</v>
      </c>
      <c r="N236" s="20" t="n">
        <v>-26.855</v>
      </c>
      <c r="U236" s="20" t="n">
        <v>53.759</v>
      </c>
      <c r="V236" s="20" t="n">
        <v>-32.964</v>
      </c>
      <c r="W236" s="20" t="n">
        <v>-37.788</v>
      </c>
      <c r="X236" s="20" t="n">
        <v>109.706</v>
      </c>
    </row>
    <row r="237">
      <c r="A237" s="18" t="inlineStr">
        <is>
          <t>소계</t>
        </is>
      </c>
      <c r="D237" s="20" t="n">
        <v>1092.761</v>
      </c>
      <c r="F237" s="20" t="n">
        <v>946.625</v>
      </c>
      <c r="H237" s="20" t="n">
        <v>1698.837</v>
      </c>
      <c r="J237" s="20" t="n">
        <v>1102.226</v>
      </c>
      <c r="L237" s="20" t="n">
        <v>1852.902</v>
      </c>
      <c r="N237" s="20" t="n">
        <v>633.308</v>
      </c>
      <c r="U237" s="20" t="n">
        <v>1148.104</v>
      </c>
      <c r="V237" s="20" t="n">
        <v>1092.761</v>
      </c>
      <c r="W237" s="20" t="n">
        <v>1698.837</v>
      </c>
      <c r="X237" s="20" t="n">
        <v>1852.902</v>
      </c>
    </row>
    <row r="238">
      <c r="A238" s="18" t="inlineStr">
        <is>
          <t>이자·배당금 수취</t>
        </is>
      </c>
      <c r="D238" s="20" t="n">
        <v>0.59</v>
      </c>
      <c r="F238" s="20" t="n">
        <v>2.65</v>
      </c>
      <c r="H238" s="20" t="n">
        <v>0.902</v>
      </c>
      <c r="J238" s="20" t="n">
        <v>2.291</v>
      </c>
      <c r="L238" s="20" t="n">
        <v>6.924</v>
      </c>
      <c r="N238" s="20" t="n">
        <v>3.209</v>
      </c>
      <c r="U238" s="20" t="n">
        <v>0.577</v>
      </c>
      <c r="V238" s="20" t="n">
        <v>0.59</v>
      </c>
      <c r="W238" s="20" t="n">
        <v>0.902</v>
      </c>
      <c r="X238" s="20" t="n">
        <v>6.924</v>
      </c>
    </row>
    <row r="239">
      <c r="A239" s="18" t="inlineStr">
        <is>
          <t>이자 지급</t>
        </is>
      </c>
      <c r="D239" s="20" t="n">
        <v>-22.937</v>
      </c>
      <c r="F239" s="20" t="n">
        <v>-8.007999999999999</v>
      </c>
      <c r="H239" s="20" t="n">
        <v>-24.228</v>
      </c>
      <c r="J239" s="20" t="n">
        <v>-21.178</v>
      </c>
      <c r="L239" s="20" t="n">
        <v>-42.786</v>
      </c>
      <c r="N239" s="20" t="n">
        <v>-35.32</v>
      </c>
      <c r="U239" s="20" t="n">
        <v>-24.695</v>
      </c>
      <c r="V239" s="20" t="n">
        <v>-22.937</v>
      </c>
      <c r="W239" s="20" t="n">
        <v>-24.228</v>
      </c>
      <c r="X239" s="20" t="n">
        <v>-42.786</v>
      </c>
    </row>
    <row r="240">
      <c r="A240" s="18" t="inlineStr">
        <is>
          <t>보조금 수취</t>
        </is>
      </c>
      <c r="D240" s="20" t="n">
        <v>0</v>
      </c>
      <c r="H240" s="20" t="n">
        <v>0</v>
      </c>
      <c r="J240" s="20" t="n">
        <v>0</v>
      </c>
      <c r="L240" s="20" t="n">
        <v>36</v>
      </c>
      <c r="N240" s="20" t="n">
        <v>35.724</v>
      </c>
      <c r="U240" s="20" t="n">
        <v>1.364</v>
      </c>
      <c r="V240" s="20" t="n">
        <v>0</v>
      </c>
      <c r="W240" s="20" t="n">
        <v>0</v>
      </c>
      <c r="X240" s="20" t="n">
        <v>36</v>
      </c>
    </row>
    <row r="241">
      <c r="A241" s="18" t="inlineStr">
        <is>
          <t>법인세 납부</t>
        </is>
      </c>
      <c r="D241" s="20" t="n">
        <v>-494.049</v>
      </c>
      <c r="F241" s="20" t="n">
        <v>-57.061</v>
      </c>
      <c r="H241" s="20" t="n">
        <v>-180.896</v>
      </c>
      <c r="J241" s="20" t="n">
        <v>-639.027</v>
      </c>
      <c r="L241" s="20" t="n">
        <v>-1028.369</v>
      </c>
      <c r="N241" s="20" t="n">
        <v>-177.832</v>
      </c>
      <c r="U241" s="20" t="n">
        <v>-94.72199999999999</v>
      </c>
      <c r="V241" s="20" t="n">
        <v>-494.049</v>
      </c>
      <c r="W241" s="20" t="n">
        <v>-180.896</v>
      </c>
      <c r="X241" s="20" t="n">
        <v>-1028.369</v>
      </c>
    </row>
    <row r="242">
      <c r="A242" s="18" t="inlineStr">
        <is>
          <t>법인세 환급</t>
        </is>
      </c>
      <c r="D242" s="20" t="n">
        <v>0</v>
      </c>
      <c r="F242" s="20" t="n">
        <v>181.03</v>
      </c>
      <c r="H242" s="20" t="n">
        <v>181.888</v>
      </c>
      <c r="J242" s="20" t="n">
        <v>0</v>
      </c>
      <c r="L242" s="20" t="n">
        <v>0</v>
      </c>
      <c r="N242" s="20" t="n">
        <v>68.47799999999999</v>
      </c>
      <c r="V242" s="20" t="n">
        <v>0</v>
      </c>
      <c r="W242" s="20" t="n">
        <v>181.888</v>
      </c>
      <c r="X242" s="20" t="n">
        <v>0</v>
      </c>
    </row>
    <row r="243">
      <c r="A243" s="9" t="inlineStr">
        <is>
          <t>영업활동 현금흐름</t>
        </is>
      </c>
      <c r="D243" s="12" t="n">
        <v>576.365</v>
      </c>
      <c r="F243" s="12" t="n">
        <v>1065.235</v>
      </c>
      <c r="H243" s="12" t="n">
        <v>1676.503</v>
      </c>
      <c r="J243" s="12" t="n">
        <v>444.311</v>
      </c>
      <c r="L243" s="12" t="n">
        <v>824.671</v>
      </c>
      <c r="N243" s="12" t="n">
        <v>527.567</v>
      </c>
      <c r="U243" s="12" t="n">
        <v>1030.628</v>
      </c>
      <c r="V243" s="12" t="n">
        <v>576.365</v>
      </c>
      <c r="W243" s="12" t="n">
        <v>1676.503</v>
      </c>
      <c r="X243" s="12" t="n">
        <v>824.671</v>
      </c>
    </row>
    <row r="244">
      <c r="A244" s="18" t="inlineStr">
        <is>
          <t>유형자산 제각 지출</t>
        </is>
      </c>
      <c r="F244" s="20" t="n">
        <v>0</v>
      </c>
      <c r="J244" s="20" t="n">
        <v>-0.176</v>
      </c>
      <c r="N244" s="20" t="n">
        <v>0</v>
      </c>
    </row>
    <row r="245">
      <c r="A245" s="18" t="inlineStr">
        <is>
          <t>유형자산 취득(설비투자)</t>
        </is>
      </c>
      <c r="D245" s="20" t="n">
        <v>-94.31</v>
      </c>
      <c r="F245" s="20" t="n">
        <v>-121.509</v>
      </c>
      <c r="H245" s="20" t="n">
        <v>-275.602</v>
      </c>
      <c r="J245" s="20" t="n">
        <v>-386.014</v>
      </c>
      <c r="L245" s="20" t="n">
        <v>-578.55</v>
      </c>
      <c r="N245" s="20" t="n">
        <v>-58.526</v>
      </c>
      <c r="U245" s="20" t="n">
        <v>-99.40600000000001</v>
      </c>
      <c r="V245" s="20" t="n">
        <v>-94.31</v>
      </c>
      <c r="W245" s="20" t="n">
        <v>-275.602</v>
      </c>
      <c r="X245" s="20" t="n">
        <v>-578.55</v>
      </c>
    </row>
    <row r="246">
      <c r="A246" s="18" t="inlineStr">
        <is>
          <t>유형자산 매각</t>
        </is>
      </c>
      <c r="D246" s="20" t="n">
        <v>306.26</v>
      </c>
      <c r="F246" s="20" t="n">
        <v>0</v>
      </c>
      <c r="H246" s="20" t="n">
        <v>70.34999999999999</v>
      </c>
      <c r="J246" s="20" t="n">
        <v>99.26300000000001</v>
      </c>
      <c r="L246" s="20" t="n">
        <v>103.198</v>
      </c>
      <c r="N246" s="20" t="n">
        <v>0.226</v>
      </c>
      <c r="U246" s="20" t="n">
        <v>0.926</v>
      </c>
      <c r="V246" s="20" t="n">
        <v>306.26</v>
      </c>
      <c r="W246" s="20" t="n">
        <v>70.34999999999999</v>
      </c>
      <c r="X246" s="20" t="n">
        <v>103.198</v>
      </c>
    </row>
    <row r="247">
      <c r="A247" s="18" t="inlineStr">
        <is>
          <t>무형자산 취득</t>
        </is>
      </c>
      <c r="D247" s="20" t="n">
        <v>-71.67400000000001</v>
      </c>
      <c r="F247" s="20" t="n">
        <v>-19.976</v>
      </c>
      <c r="H247" s="20" t="n">
        <v>-34.586</v>
      </c>
      <c r="J247" s="20" t="n">
        <v>-28.793</v>
      </c>
      <c r="L247" s="20" t="n">
        <v>-34.058</v>
      </c>
      <c r="N247" s="20" t="n">
        <v>-4.225</v>
      </c>
      <c r="U247" s="20" t="n">
        <v>-7.1</v>
      </c>
      <c r="V247" s="20" t="n">
        <v>-71.67400000000001</v>
      </c>
      <c r="W247" s="20" t="n">
        <v>-34.586</v>
      </c>
      <c r="X247" s="20" t="n">
        <v>-34.058</v>
      </c>
    </row>
    <row r="248">
      <c r="A248" s="18" t="inlineStr">
        <is>
          <t>투자유가증권 취득</t>
        </is>
      </c>
      <c r="D248" s="20" t="n">
        <v>-2.04</v>
      </c>
      <c r="F248" s="20" t="n">
        <v>-1.02</v>
      </c>
      <c r="H248" s="20" t="n">
        <v>-77.41</v>
      </c>
      <c r="J248" s="20" t="n">
        <v>-1.278</v>
      </c>
      <c r="L248" s="20" t="n">
        <v>-2.688</v>
      </c>
      <c r="N248" s="20" t="n">
        <v>-1.377</v>
      </c>
      <c r="U248" s="20" t="n">
        <v>-2.04</v>
      </c>
      <c r="V248" s="20" t="n">
        <v>-2.04</v>
      </c>
      <c r="W248" s="20" t="n">
        <v>-77.41</v>
      </c>
      <c r="X248" s="20" t="n">
        <v>-2.688</v>
      </c>
    </row>
    <row r="249">
      <c r="A249" s="18" t="inlineStr">
        <is>
          <t>투자유가증권 매각</t>
        </is>
      </c>
      <c r="H249" s="20" t="n">
        <v>0</v>
      </c>
      <c r="J249" s="20" t="n">
        <v>0</v>
      </c>
      <c r="L249" s="20" t="n">
        <v>57.958</v>
      </c>
      <c r="N249" s="20" t="n">
        <v>32.117</v>
      </c>
      <c r="W249" s="20" t="n">
        <v>0</v>
      </c>
      <c r="X249" s="20" t="n">
        <v>57.958</v>
      </c>
    </row>
    <row r="250">
      <c r="A250" s="18" t="inlineStr">
        <is>
          <t>연결범위 변경 자회사 주식 취득</t>
        </is>
      </c>
      <c r="D250" s="20" t="n">
        <v>0</v>
      </c>
      <c r="H250" s="20" t="n">
        <v>-1194.468</v>
      </c>
      <c r="L250" s="20" t="n">
        <v>-221.881</v>
      </c>
      <c r="V250" s="20" t="n">
        <v>0</v>
      </c>
      <c r="W250" s="20" t="n">
        <v>-1194.468</v>
      </c>
      <c r="X250" s="20" t="n">
        <v>-221.881</v>
      </c>
    </row>
    <row r="251">
      <c r="A251" s="18" t="inlineStr">
        <is>
          <t>연결범위 변경 자회사 주식 취득(수입)</t>
        </is>
      </c>
      <c r="D251" s="20" t="n">
        <v>51.559</v>
      </c>
      <c r="F251" s="20" t="n">
        <v>108.84</v>
      </c>
      <c r="H251" s="20" t="n">
        <v>108.84</v>
      </c>
      <c r="J251" s="20" t="n">
        <v>0</v>
      </c>
      <c r="L251" s="20" t="n">
        <v>0</v>
      </c>
      <c r="U251" s="20" t="n">
        <v>0</v>
      </c>
      <c r="V251" s="20" t="n">
        <v>51.559</v>
      </c>
      <c r="W251" s="20" t="n">
        <v>108.84</v>
      </c>
      <c r="X251" s="20" t="n">
        <v>0</v>
      </c>
    </row>
    <row r="252">
      <c r="A252" s="18" t="inlineStr">
        <is>
          <t>정기예금 증감</t>
        </is>
      </c>
      <c r="D252" s="20" t="n">
        <v>0</v>
      </c>
      <c r="F252" s="20" t="n">
        <v>50</v>
      </c>
      <c r="H252" s="20" t="n">
        <v>61.2</v>
      </c>
      <c r="J252" s="20" t="n">
        <v>0</v>
      </c>
      <c r="L252" s="20" t="n">
        <v>0</v>
      </c>
      <c r="V252" s="20" t="n">
        <v>0</v>
      </c>
      <c r="W252" s="20" t="n">
        <v>61.2</v>
      </c>
      <c r="X252" s="20" t="n">
        <v>0</v>
      </c>
    </row>
    <row r="253">
      <c r="A253" s="18" t="inlineStr">
        <is>
          <t>별단예금 예입</t>
        </is>
      </c>
      <c r="D253" s="20" t="n">
        <v>0</v>
      </c>
      <c r="F253" s="20" t="n">
        <v>-2</v>
      </c>
      <c r="H253" s="20" t="n">
        <v>-2</v>
      </c>
      <c r="J253" s="20" t="n">
        <v>0</v>
      </c>
      <c r="L253" s="20" t="n">
        <v>-0.189</v>
      </c>
      <c r="V253" s="20" t="n">
        <v>0</v>
      </c>
      <c r="W253" s="20" t="n">
        <v>-2</v>
      </c>
      <c r="X253" s="20" t="n">
        <v>-0.189</v>
      </c>
    </row>
    <row r="254">
      <c r="A254" s="18" t="inlineStr">
        <is>
          <t>관계회사 대여</t>
        </is>
      </c>
      <c r="J254" s="20" t="n">
        <v>0</v>
      </c>
      <c r="N254" s="20" t="n">
        <v>-24.157</v>
      </c>
    </row>
    <row r="255">
      <c r="A255" s="18" t="inlineStr">
        <is>
          <t>보험적립금 적립</t>
        </is>
      </c>
      <c r="D255" s="20" t="n">
        <v>-10.156</v>
      </c>
      <c r="F255" s="20" t="n">
        <v>-7.524</v>
      </c>
      <c r="H255" s="20" t="n">
        <v>-15.055</v>
      </c>
      <c r="J255" s="20" t="n">
        <v>-13.472</v>
      </c>
      <c r="L255" s="20" t="n">
        <v>-20.629</v>
      </c>
      <c r="N255" s="20" t="n">
        <v>-9.132</v>
      </c>
      <c r="U255" s="20" t="n">
        <v>-15.715</v>
      </c>
      <c r="V255" s="20" t="n">
        <v>-10.156</v>
      </c>
      <c r="W255" s="20" t="n">
        <v>-15.055</v>
      </c>
      <c r="X255" s="20" t="n">
        <v>-20.629</v>
      </c>
    </row>
    <row r="256">
      <c r="A256" s="18" t="inlineStr">
        <is>
          <t>보험적립금 해약</t>
        </is>
      </c>
      <c r="D256" s="20" t="n">
        <v>33.646</v>
      </c>
      <c r="F256" s="20" t="n">
        <v>128.216</v>
      </c>
      <c r="H256" s="20" t="n">
        <v>207.618</v>
      </c>
      <c r="J256" s="20" t="n">
        <v>540.894</v>
      </c>
      <c r="L256" s="20" t="n">
        <v>565.809</v>
      </c>
      <c r="N256" s="20" t="n">
        <v>51.591</v>
      </c>
      <c r="U256" s="20" t="n">
        <v>10.487</v>
      </c>
      <c r="V256" s="20" t="n">
        <v>33.646</v>
      </c>
      <c r="W256" s="20" t="n">
        <v>207.618</v>
      </c>
      <c r="X256" s="20" t="n">
        <v>565.809</v>
      </c>
    </row>
    <row r="257">
      <c r="A257" s="18" t="inlineStr">
        <is>
          <t>보험적립금 환급</t>
        </is>
      </c>
      <c r="D257" s="20" t="n">
        <v>12.802</v>
      </c>
      <c r="F257" s="20" t="n">
        <v>0</v>
      </c>
      <c r="H257" s="20" t="n">
        <v>0</v>
      </c>
      <c r="U257" s="20" t="n">
        <v>0</v>
      </c>
      <c r="V257" s="20" t="n">
        <v>12.802</v>
      </c>
      <c r="W257" s="20" t="n">
        <v>0</v>
      </c>
    </row>
    <row r="258">
      <c r="A258" s="18" t="inlineStr">
        <is>
          <t>임차보증금 회수</t>
        </is>
      </c>
      <c r="D258" s="20" t="n">
        <v>0.39</v>
      </c>
      <c r="H258" s="20" t="n">
        <v>1.021</v>
      </c>
      <c r="L258" s="20" t="n">
        <v>19.759</v>
      </c>
      <c r="U258" s="20" t="n">
        <v>1.959</v>
      </c>
      <c r="V258" s="20" t="n">
        <v>0.39</v>
      </c>
      <c r="W258" s="20" t="n">
        <v>1.021</v>
      </c>
      <c r="X258" s="20" t="n">
        <v>19.759</v>
      </c>
    </row>
    <row r="259">
      <c r="A259" s="18" t="inlineStr">
        <is>
          <t>임차보증금 납입</t>
        </is>
      </c>
      <c r="D259" s="20" t="n">
        <v>-2.812</v>
      </c>
      <c r="H259" s="20" t="n">
        <v>-27.56</v>
      </c>
      <c r="L259" s="20" t="n">
        <v>-30.408</v>
      </c>
      <c r="U259" s="20" t="n">
        <v>-1.53</v>
      </c>
      <c r="V259" s="20" t="n">
        <v>-2.812</v>
      </c>
      <c r="W259" s="20" t="n">
        <v>-27.56</v>
      </c>
      <c r="X259" s="20" t="n">
        <v>-30.408</v>
      </c>
    </row>
    <row r="260">
      <c r="A260" s="18" t="inlineStr">
        <is>
          <t>골프회원권 매각</t>
        </is>
      </c>
      <c r="D260" s="20" t="n">
        <v>0</v>
      </c>
      <c r="H260" s="20" t="n">
        <v>0</v>
      </c>
      <c r="U260" s="20" t="n">
        <v>8</v>
      </c>
      <c r="V260" s="20" t="n">
        <v>0</v>
      </c>
      <c r="W260" s="20" t="n">
        <v>0</v>
      </c>
    </row>
    <row r="261">
      <c r="A261" s="18" t="inlineStr">
        <is>
          <t>기타</t>
        </is>
      </c>
      <c r="D261" s="20" t="n">
        <v>-0.584</v>
      </c>
      <c r="F261" s="20" t="n">
        <v>8.805999999999999</v>
      </c>
      <c r="H261" s="20" t="n">
        <v>23.757</v>
      </c>
      <c r="J261" s="20" t="n">
        <v>-26.804</v>
      </c>
      <c r="L261" s="20" t="n">
        <v>28.556</v>
      </c>
      <c r="N261" s="20" t="n">
        <v>5.359</v>
      </c>
      <c r="U261" s="20" t="n">
        <v>0.018</v>
      </c>
      <c r="V261" s="20" t="n">
        <v>-0.584</v>
      </c>
      <c r="W261" s="20" t="n">
        <v>23.757</v>
      </c>
      <c r="X261" s="20" t="n">
        <v>28.556</v>
      </c>
    </row>
    <row r="262">
      <c r="A262" s="9" t="inlineStr">
        <is>
          <t>투자활동 현금흐름</t>
        </is>
      </c>
      <c r="D262" s="12" t="n">
        <v>223.081</v>
      </c>
      <c r="F262" s="12" t="n">
        <v>143.833</v>
      </c>
      <c r="H262" s="12" t="n">
        <v>-1153.895</v>
      </c>
      <c r="J262" s="12" t="n">
        <v>183.618</v>
      </c>
      <c r="L262" s="12" t="n">
        <v>-113.124</v>
      </c>
      <c r="N262" s="12" t="n">
        <v>-8.122</v>
      </c>
      <c r="U262" s="12" t="n">
        <v>-104.4</v>
      </c>
      <c r="V262" s="12" t="n">
        <v>223.081</v>
      </c>
      <c r="W262" s="12" t="n">
        <v>-1153.895</v>
      </c>
      <c r="X262" s="12" t="n">
        <v>-113.124</v>
      </c>
    </row>
    <row r="263">
      <c r="A263" s="18" t="inlineStr">
        <is>
          <t>장기차입</t>
        </is>
      </c>
      <c r="D263" s="20" t="n">
        <v>3290</v>
      </c>
      <c r="H263" s="20" t="n">
        <v>0</v>
      </c>
      <c r="J263" s="20" t="n">
        <v>0</v>
      </c>
      <c r="L263" s="20" t="n">
        <v>1900</v>
      </c>
      <c r="N263" s="20" t="n">
        <v>800</v>
      </c>
      <c r="U263" s="20" t="n">
        <v>0</v>
      </c>
      <c r="V263" s="20" t="n">
        <v>3290</v>
      </c>
      <c r="W263" s="20" t="n">
        <v>0</v>
      </c>
      <c r="X263" s="20" t="n">
        <v>1900</v>
      </c>
    </row>
    <row r="264">
      <c r="A264" s="18" t="inlineStr">
        <is>
          <t>주식 발행</t>
        </is>
      </c>
      <c r="D264" s="20" t="n">
        <v>51.146</v>
      </c>
      <c r="F264" s="20" t="n">
        <v>0</v>
      </c>
      <c r="H264" s="20" t="n">
        <v>0</v>
      </c>
      <c r="U264" s="20" t="n">
        <v>0</v>
      </c>
      <c r="V264" s="20" t="n">
        <v>51.146</v>
      </c>
      <c r="W264" s="20" t="n">
        <v>0</v>
      </c>
    </row>
    <row r="265">
      <c r="A265" s="18" t="inlineStr">
        <is>
          <t>단기차입금 순증감</t>
        </is>
      </c>
      <c r="D265" s="20" t="n">
        <v>0</v>
      </c>
      <c r="F265" s="20" t="n">
        <v>817.8</v>
      </c>
      <c r="H265" s="20" t="n">
        <v>1581.932</v>
      </c>
      <c r="J265" s="20" t="n">
        <v>700</v>
      </c>
      <c r="L265" s="20" t="n">
        <v>-1550</v>
      </c>
      <c r="N265" s="20" t="n">
        <v>700</v>
      </c>
      <c r="U265" s="20" t="n">
        <v>-0.905</v>
      </c>
      <c r="V265" s="20" t="n">
        <v>0</v>
      </c>
      <c r="W265" s="20" t="n">
        <v>1581.932</v>
      </c>
      <c r="X265" s="20" t="n">
        <v>-1550</v>
      </c>
    </row>
    <row r="266">
      <c r="A266" s="18" t="inlineStr">
        <is>
          <t>장기차입금 상환</t>
        </is>
      </c>
      <c r="D266" s="20" t="n">
        <v>-3722</v>
      </c>
      <c r="F266" s="20" t="n">
        <v>-425.158</v>
      </c>
      <c r="H266" s="20" t="n">
        <v>-778.39</v>
      </c>
      <c r="J266" s="20" t="n">
        <v>-236.071</v>
      </c>
      <c r="L266" s="20" t="n">
        <v>-593.539</v>
      </c>
      <c r="N266" s="20" t="n">
        <v>-437.558</v>
      </c>
      <c r="U266" s="20" t="n">
        <v>-426</v>
      </c>
      <c r="V266" s="20" t="n">
        <v>-3722</v>
      </c>
      <c r="W266" s="20" t="n">
        <v>-778.39</v>
      </c>
      <c r="X266" s="20" t="n">
        <v>-593.539</v>
      </c>
    </row>
    <row r="267">
      <c r="A267" s="18" t="inlineStr">
        <is>
          <t>자기주식 취득</t>
        </is>
      </c>
      <c r="D267" s="20" t="n">
        <v>-555.4930000000001</v>
      </c>
      <c r="H267" s="20" t="n">
        <v>0</v>
      </c>
      <c r="J267" s="20" t="n">
        <v>0</v>
      </c>
      <c r="L267" s="20" t="n">
        <v>-134.272</v>
      </c>
      <c r="N267" s="20" t="n">
        <v>-0.054</v>
      </c>
      <c r="U267" s="20" t="n">
        <v>0</v>
      </c>
      <c r="V267" s="20" t="n">
        <v>-555.4930000000001</v>
      </c>
      <c r="W267" s="20" t="n">
        <v>0</v>
      </c>
      <c r="X267" s="20" t="n">
        <v>-134.272</v>
      </c>
    </row>
    <row r="268">
      <c r="A268" s="18" t="inlineStr">
        <is>
          <t>배당금 지급</t>
        </is>
      </c>
      <c r="D268" s="20" t="n">
        <v>-100</v>
      </c>
      <c r="F268" s="20" t="n">
        <v>-253.697</v>
      </c>
      <c r="H268" s="20" t="n">
        <v>-413.791</v>
      </c>
      <c r="J268" s="20" t="n">
        <v>-161.883</v>
      </c>
      <c r="L268" s="20" t="n">
        <v>-341.944</v>
      </c>
      <c r="N268" s="20" t="n">
        <v>-245.177</v>
      </c>
      <c r="U268" s="20" t="n">
        <v>-100</v>
      </c>
      <c r="V268" s="20" t="n">
        <v>-100</v>
      </c>
      <c r="W268" s="20" t="n">
        <v>-413.791</v>
      </c>
      <c r="X268" s="20" t="n">
        <v>-341.944</v>
      </c>
    </row>
    <row r="269">
      <c r="A269" s="18" t="inlineStr">
        <is>
          <t>기타</t>
        </is>
      </c>
      <c r="D269" s="20" t="n">
        <v>0.525</v>
      </c>
      <c r="U269" s="20" t="n">
        <v>0.374</v>
      </c>
      <c r="V269" s="20" t="n">
        <v>0.525</v>
      </c>
    </row>
    <row r="270">
      <c r="A270" s="18" t="inlineStr">
        <is>
          <t>신주예약권 발행</t>
        </is>
      </c>
      <c r="D270" s="20" t="n">
        <v>0.525</v>
      </c>
      <c r="F270" s="20" t="n">
        <v>0</v>
      </c>
      <c r="H270" s="20" t="n">
        <v>0</v>
      </c>
      <c r="V270" s="20" t="n">
        <v>0.525</v>
      </c>
      <c r="W270" s="20" t="n">
        <v>0</v>
      </c>
    </row>
    <row r="271">
      <c r="A271" s="18" t="inlineStr">
        <is>
          <t>신주예약권 행사 자기주식 처분</t>
        </is>
      </c>
      <c r="D271" s="20" t="n">
        <v>0</v>
      </c>
      <c r="F271" s="20" t="n">
        <v>75.18000000000001</v>
      </c>
      <c r="H271" s="20" t="n">
        <v>115.334</v>
      </c>
      <c r="J271" s="20" t="n">
        <v>58.156</v>
      </c>
      <c r="L271" s="20" t="n">
        <v>59.142</v>
      </c>
      <c r="N271" s="20" t="n">
        <v>0</v>
      </c>
      <c r="V271" s="20" t="n">
        <v>0</v>
      </c>
      <c r="W271" s="20" t="n">
        <v>115.334</v>
      </c>
      <c r="X271" s="20" t="n">
        <v>59.142</v>
      </c>
    </row>
    <row r="272">
      <c r="A272" s="18" t="inlineStr">
        <is>
          <t>신주예약권 행사에 따른 주식 발행</t>
        </is>
      </c>
      <c r="D272" s="20" t="n">
        <v>51.68</v>
      </c>
      <c r="F272" s="20" t="n">
        <v>0</v>
      </c>
      <c r="H272" s="20" t="n">
        <v>0</v>
      </c>
      <c r="J272" s="20" t="n">
        <v>73.012</v>
      </c>
      <c r="L272" s="20" t="n">
        <v>102.424</v>
      </c>
      <c r="N272" s="20" t="n">
        <v>74.67400000000001</v>
      </c>
      <c r="U272" s="20" t="n">
        <v>0</v>
      </c>
      <c r="V272" s="20" t="n">
        <v>51.68</v>
      </c>
      <c r="W272" s="20" t="n">
        <v>0</v>
      </c>
      <c r="X272" s="20" t="n">
        <v>102.424</v>
      </c>
    </row>
    <row r="273">
      <c r="A273" s="18" t="inlineStr">
        <is>
          <t>리스부채 상환</t>
        </is>
      </c>
      <c r="D273" s="20" t="n">
        <v>-3.531</v>
      </c>
      <c r="F273" s="20" t="n">
        <v>-0.06</v>
      </c>
      <c r="H273" s="20" t="n">
        <v>-0.06</v>
      </c>
      <c r="J273" s="20" t="n">
        <v>0</v>
      </c>
      <c r="L273" s="20" t="n">
        <v>0</v>
      </c>
      <c r="U273" s="20" t="n">
        <v>-3.531</v>
      </c>
      <c r="V273" s="20" t="n">
        <v>-3.531</v>
      </c>
      <c r="W273" s="20" t="n">
        <v>-0.06</v>
      </c>
      <c r="X273" s="20" t="n">
        <v>0</v>
      </c>
    </row>
    <row r="274">
      <c r="A274" s="9" t="inlineStr">
        <is>
          <t>재무활동 현금흐름</t>
        </is>
      </c>
      <c r="D274" s="12" t="n">
        <v>-987.674</v>
      </c>
      <c r="F274" s="12" t="n">
        <v>214.065</v>
      </c>
      <c r="H274" s="12" t="n">
        <v>505.024</v>
      </c>
      <c r="J274" s="12" t="n">
        <v>433.214</v>
      </c>
      <c r="L274" s="12" t="n">
        <v>-558.189</v>
      </c>
      <c r="N274" s="12" t="n">
        <v>891.883</v>
      </c>
      <c r="U274" s="12" t="n">
        <v>-530.063</v>
      </c>
      <c r="V274" s="12" t="n">
        <v>-987.674</v>
      </c>
      <c r="W274" s="12" t="n">
        <v>505.024</v>
      </c>
      <c r="X274" s="12" t="n">
        <v>-558.189</v>
      </c>
    </row>
    <row r="275">
      <c r="A275" s="18" t="inlineStr">
        <is>
          <t>현금성자산 환산차이</t>
        </is>
      </c>
      <c r="D275" s="20" t="n">
        <v>0.402</v>
      </c>
      <c r="F275" s="20" t="n">
        <v>0.403</v>
      </c>
      <c r="H275" s="20" t="n">
        <v>-0.028</v>
      </c>
      <c r="J275" s="20" t="n">
        <v>-1.417</v>
      </c>
      <c r="L275" s="20" t="n">
        <v>0.59</v>
      </c>
      <c r="N275" s="20" t="n">
        <v>-3.709</v>
      </c>
      <c r="U275" s="20" t="n">
        <v>0.583</v>
      </c>
      <c r="V275" s="20" t="n">
        <v>0.402</v>
      </c>
      <c r="W275" s="20" t="n">
        <v>-0.028</v>
      </c>
      <c r="X275" s="20" t="n">
        <v>0.59</v>
      </c>
    </row>
    <row r="276">
      <c r="A276" s="18" t="inlineStr">
        <is>
          <t>현금성자산 증감</t>
        </is>
      </c>
      <c r="D276" s="20" t="n">
        <v>-187.825</v>
      </c>
      <c r="F276" s="20" t="n">
        <v>1423.536</v>
      </c>
      <c r="H276" s="20" t="n">
        <v>1027.603</v>
      </c>
      <c r="J276" s="20" t="n">
        <v>1059.727</v>
      </c>
      <c r="L276" s="20" t="n">
        <v>153.948</v>
      </c>
      <c r="N276" s="20" t="n">
        <v>1407.619</v>
      </c>
      <c r="U276" s="20" t="n">
        <v>396.746</v>
      </c>
      <c r="V276" s="20" t="n">
        <v>-187.825</v>
      </c>
      <c r="W276" s="20" t="n">
        <v>1027.603</v>
      </c>
      <c r="X276" s="20" t="n">
        <v>153.948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145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30" customHeight="1">
      <c r="A1" s="1" t="inlineStr">
        <is>
          <t>JRC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2026.2Q</t>
        </is>
      </c>
      <c r="D3" s="5" t="inlineStr">
        <is>
          <t>2026.3Q</t>
        </is>
      </c>
      <c r="E3" s="5" t="inlineStr">
        <is>
          <t>2026.4Q</t>
        </is>
      </c>
      <c r="F3" s="5" t="inlineStr">
        <is>
          <t>2027.1Q</t>
        </is>
      </c>
      <c r="G3" s="5" t="inlineStr">
        <is>
          <t>2027.2Q</t>
        </is>
      </c>
      <c r="H3" s="6" t="inlineStr">
        <is>
          <t>2023</t>
        </is>
      </c>
      <c r="I3" s="5" t="inlineStr">
        <is>
          <t>2024</t>
        </is>
      </c>
      <c r="J3" s="5" t="inlineStr">
        <is>
          <t>2025</t>
        </is>
      </c>
      <c r="K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</row>
    <row r="5">
      <c r="A5" s="9" t="inlineStr">
        <is>
          <t>유동자산</t>
        </is>
      </c>
      <c r="B5" s="10" t="n"/>
      <c r="C5" s="11" t="n">
        <v>8524.744000000001</v>
      </c>
      <c r="D5" s="12" t="n">
        <v>7781.556</v>
      </c>
      <c r="E5" s="12" t="n">
        <v>8076.244</v>
      </c>
      <c r="F5" s="12" t="n">
        <v>7920.312</v>
      </c>
      <c r="G5" s="12" t="n">
        <v>9246.473</v>
      </c>
      <c r="H5" s="11" t="n">
        <v>5939.914</v>
      </c>
      <c r="I5" s="12" t="n">
        <v>6332.272</v>
      </c>
      <c r="J5" s="12" t="n">
        <v>7455.58</v>
      </c>
      <c r="K5" s="12" t="n">
        <v>8076.244</v>
      </c>
    </row>
    <row r="6">
      <c r="A6" s="18" t="inlineStr">
        <is>
          <t>현금및현금성자산</t>
        </is>
      </c>
      <c r="B6" s="10" t="n"/>
      <c r="C6" s="19" t="n">
        <v>3490.925</v>
      </c>
      <c r="D6" s="20" t="n">
        <v>2503.11</v>
      </c>
      <c r="E6" s="20" t="n">
        <v>2585.441</v>
      </c>
      <c r="F6" s="20" t="n">
        <v>2615.56</v>
      </c>
      <c r="G6" s="20" t="n">
        <v>3992.872</v>
      </c>
      <c r="H6" s="19" t="n">
        <v>1640.16</v>
      </c>
      <c r="I6" s="20" t="n">
        <v>1452.334</v>
      </c>
      <c r="J6" s="20" t="n">
        <v>2431.302</v>
      </c>
      <c r="K6" s="20" t="n">
        <v>2585.441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</row>
    <row r="8">
      <c r="A8" s="18" t="inlineStr">
        <is>
          <t>매출채권</t>
        </is>
      </c>
      <c r="B8" s="10" t="n"/>
      <c r="C8" s="19" t="n">
        <v>1535.028</v>
      </c>
      <c r="D8" s="20" t="n">
        <v>1912.332</v>
      </c>
      <c r="E8" s="20" t="n">
        <v>1947.797</v>
      </c>
      <c r="F8" s="20" t="n">
        <v>1736.543</v>
      </c>
      <c r="G8" s="20" t="n">
        <v>1669.569</v>
      </c>
      <c r="H8" s="19" t="n">
        <v>1316.414</v>
      </c>
      <c r="I8" s="20" t="n">
        <v>1700.152</v>
      </c>
      <c r="J8" s="20" t="n">
        <v>1631.052</v>
      </c>
      <c r="K8" s="20" t="n">
        <v>1947.797</v>
      </c>
    </row>
    <row r="9">
      <c r="A9" s="18" t="inlineStr">
        <is>
          <t>재고자산</t>
        </is>
      </c>
      <c r="B9" s="10" t="n"/>
      <c r="C9" s="19" t="n">
        <v>1602.244</v>
      </c>
      <c r="D9" s="20" t="n">
        <v>1435.551</v>
      </c>
      <c r="E9" s="20" t="n">
        <v>1501.549</v>
      </c>
      <c r="F9" s="20" t="n">
        <v>1463.152</v>
      </c>
      <c r="G9" s="20" t="n">
        <v>1672.885</v>
      </c>
      <c r="H9" s="19" t="n">
        <v>1120.821</v>
      </c>
      <c r="I9" s="20" t="n">
        <v>1160.758</v>
      </c>
      <c r="J9" s="20" t="n">
        <v>1403.762</v>
      </c>
      <c r="K9" s="20" t="n">
        <v>1501.549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</row>
    <row r="11">
      <c r="A11" s="9" t="inlineStr">
        <is>
          <t>비유동자산</t>
        </is>
      </c>
      <c r="B11" s="10" t="n"/>
      <c r="C11" s="11" t="n">
        <v>5075.602</v>
      </c>
      <c r="D11" s="12" t="n">
        <v>5298.01</v>
      </c>
      <c r="E11" s="12" t="n">
        <v>5234.132</v>
      </c>
      <c r="F11" s="12" t="n">
        <v>5146.187</v>
      </c>
      <c r="G11" s="12" t="n">
        <v>4981.268</v>
      </c>
      <c r="H11" s="11" t="n">
        <v>4022.378</v>
      </c>
      <c r="I11" s="12" t="n">
        <v>3722.839</v>
      </c>
      <c r="J11" s="12" t="n">
        <v>5646.152</v>
      </c>
      <c r="K11" s="12" t="n">
        <v>5234.132</v>
      </c>
    </row>
    <row r="12">
      <c r="A12" s="18" t="inlineStr">
        <is>
          <t>유형자산</t>
        </is>
      </c>
      <c r="B12" s="10" t="n"/>
      <c r="C12" s="19" t="n">
        <v>3528.067</v>
      </c>
      <c r="D12" s="20" t="n">
        <v>3535.928</v>
      </c>
      <c r="E12" s="20" t="n">
        <v>3592.733</v>
      </c>
      <c r="F12" s="20" t="n">
        <v>3557.432</v>
      </c>
      <c r="G12" s="20" t="n">
        <v>3499.899</v>
      </c>
      <c r="H12" s="19" t="n">
        <v>3069.965</v>
      </c>
      <c r="I12" s="20" t="n">
        <v>2971.439</v>
      </c>
      <c r="J12" s="20" t="n">
        <v>3547.303</v>
      </c>
      <c r="K12" s="20" t="n">
        <v>3592.733</v>
      </c>
    </row>
    <row r="13">
      <c r="A13" s="18" t="inlineStr">
        <is>
          <t>무형자산</t>
        </is>
      </c>
      <c r="B13" s="10" t="n"/>
      <c r="C13" s="19" t="n">
        <v>768.4829999999999</v>
      </c>
      <c r="D13" s="20" t="n">
        <v>886.276</v>
      </c>
      <c r="E13" s="20" t="n">
        <v>860.303</v>
      </c>
      <c r="F13" s="20" t="n">
        <v>831.968</v>
      </c>
      <c r="G13" s="20" t="n">
        <v>799.912</v>
      </c>
      <c r="H13" s="19" t="n">
        <v>49.995</v>
      </c>
      <c r="I13" s="20" t="n">
        <v>151.657</v>
      </c>
      <c r="J13" s="20" t="n">
        <v>798.616</v>
      </c>
      <c r="K13" s="20" t="n">
        <v>860.303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</row>
    <row r="16">
      <c r="A16" s="9" t="inlineStr">
        <is>
          <t>자산총계</t>
        </is>
      </c>
      <c r="B16" s="10" t="n"/>
      <c r="C16" s="11" t="n">
        <v>13600.347</v>
      </c>
      <c r="D16" s="12" t="n">
        <v>13079.567</v>
      </c>
      <c r="E16" s="12" t="n">
        <v>13310.376</v>
      </c>
      <c r="F16" s="12" t="n">
        <v>13066.499</v>
      </c>
      <c r="G16" s="12" t="n">
        <v>14227.741</v>
      </c>
      <c r="H16" s="11" t="n">
        <v>9962.291999999999</v>
      </c>
      <c r="I16" s="12" t="n">
        <v>10055.111</v>
      </c>
      <c r="J16" s="12" t="n">
        <v>13101.732</v>
      </c>
      <c r="K16" s="12" t="n">
        <v>13310.376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</row>
    <row r="18">
      <c r="A18" s="9" t="inlineStr">
        <is>
          <t>유동부채</t>
        </is>
      </c>
      <c r="B18" s="10" t="n"/>
      <c r="C18" s="11" t="n">
        <v>5877.376</v>
      </c>
      <c r="D18" s="12" t="n">
        <v>4421.018</v>
      </c>
      <c r="E18" s="12" t="n">
        <v>3773</v>
      </c>
      <c r="F18" s="12" t="n">
        <v>3709.487</v>
      </c>
      <c r="G18" s="12" t="n">
        <v>3989.318</v>
      </c>
      <c r="H18" s="11" t="n">
        <v>2967.909</v>
      </c>
      <c r="I18" s="12" t="n">
        <v>2914.029</v>
      </c>
      <c r="J18" s="12" t="n">
        <v>5657.748</v>
      </c>
      <c r="K18" s="12" t="n">
        <v>3773</v>
      </c>
    </row>
    <row r="19">
      <c r="A19" s="18" t="inlineStr">
        <is>
          <t>매입채무</t>
        </is>
      </c>
      <c r="B19" s="10" t="n"/>
      <c r="C19" s="19" t="n">
        <v>1332.152</v>
      </c>
      <c r="D19" s="20" t="n">
        <v>1317.172</v>
      </c>
      <c r="E19" s="20" t="n">
        <v>999.029</v>
      </c>
      <c r="F19" s="20" t="n">
        <v>439.387</v>
      </c>
      <c r="G19" s="20" t="n">
        <v>339.557</v>
      </c>
      <c r="H19" s="19" t="n">
        <v>1584.963</v>
      </c>
      <c r="I19" s="20" t="n">
        <v>1639.051</v>
      </c>
      <c r="J19" s="20" t="n">
        <v>1479.95</v>
      </c>
      <c r="K19" s="20" t="n">
        <v>999.029</v>
      </c>
    </row>
    <row r="20">
      <c r="A20" s="18" t="inlineStr">
        <is>
          <t>단기차입금</t>
        </is>
      </c>
      <c r="B20" s="10" t="n"/>
      <c r="C20" s="19" t="n">
        <v>2500</v>
      </c>
      <c r="D20" s="20" t="n">
        <v>850</v>
      </c>
      <c r="E20" s="20" t="n">
        <v>250</v>
      </c>
      <c r="F20" s="20" t="n">
        <v>500</v>
      </c>
      <c r="G20" s="20" t="n">
        <v>950</v>
      </c>
      <c r="H20" s="19" t="n">
        <v>0</v>
      </c>
      <c r="I20" s="20" t="n">
        <v>182.2</v>
      </c>
      <c r="J20" s="20" t="n">
        <v>1800</v>
      </c>
      <c r="K20" s="20" t="n">
        <v>250</v>
      </c>
    </row>
    <row r="21">
      <c r="A21" s="18" t="inlineStr">
        <is>
          <t>유동성장기부채</t>
        </is>
      </c>
      <c r="B21" s="10" t="n"/>
      <c r="C21" s="19" t="n">
        <v>472.142</v>
      </c>
      <c r="D21" s="20" t="n">
        <v>644.1420000000001</v>
      </c>
      <c r="E21" s="20" t="n">
        <v>785.022</v>
      </c>
      <c r="F21" s="20" t="n">
        <v>782.16</v>
      </c>
      <c r="G21" s="20" t="n">
        <v>942.36</v>
      </c>
      <c r="H21" s="19" t="n">
        <v>426</v>
      </c>
      <c r="I21" s="20" t="n">
        <v>470</v>
      </c>
      <c r="J21" s="20" t="n">
        <v>472.142</v>
      </c>
      <c r="K21" s="20" t="n">
        <v>785.022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</row>
    <row r="23">
      <c r="A23" s="9" t="inlineStr">
        <is>
          <t>비유동부채</t>
        </is>
      </c>
      <c r="B23" s="10" t="n"/>
      <c r="C23" s="11" t="n">
        <v>2477.585</v>
      </c>
      <c r="D23" s="12" t="n">
        <v>3345.532</v>
      </c>
      <c r="E23" s="12" t="n">
        <v>3698.566</v>
      </c>
      <c r="F23" s="12" t="n">
        <v>3450.149</v>
      </c>
      <c r="G23" s="12" t="n">
        <v>3851.346</v>
      </c>
      <c r="H23" s="11" t="n">
        <v>3544.298</v>
      </c>
      <c r="I23" s="12" t="n">
        <v>3343.734</v>
      </c>
      <c r="J23" s="12" t="n">
        <v>2829.952</v>
      </c>
      <c r="K23" s="12" t="n">
        <v>3698.566</v>
      </c>
    </row>
    <row r="24">
      <c r="A24" s="18" t="inlineStr">
        <is>
          <t>장기차입금</t>
        </is>
      </c>
      <c r="B24" s="10" t="n"/>
      <c r="C24" s="19" t="n">
        <v>2120.714</v>
      </c>
      <c r="D24" s="20" t="n">
        <v>2987.678</v>
      </c>
      <c r="E24" s="20" t="n">
        <v>3350.365</v>
      </c>
      <c r="F24" s="20" t="n">
        <v>3151.26</v>
      </c>
      <c r="G24" s="20" t="n">
        <v>3555.47</v>
      </c>
      <c r="H24" s="19" t="n">
        <v>3296</v>
      </c>
      <c r="I24" s="20" t="n">
        <v>3010.158</v>
      </c>
      <c r="J24" s="20" t="n">
        <v>2356.785</v>
      </c>
      <c r="K24" s="20" t="n">
        <v>3350.365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</row>
    <row r="27">
      <c r="A27" s="9" t="inlineStr">
        <is>
          <t>부채총계</t>
        </is>
      </c>
      <c r="B27" s="10" t="n"/>
      <c r="C27" s="11" t="n">
        <v>8354.960999999999</v>
      </c>
      <c r="D27" s="12" t="n">
        <v>7766.55</v>
      </c>
      <c r="E27" s="12" t="n">
        <v>7471.566</v>
      </c>
      <c r="F27" s="12" t="n">
        <v>7159.636</v>
      </c>
      <c r="G27" s="12" t="n">
        <v>7840.664</v>
      </c>
      <c r="H27" s="11" t="n">
        <v>6512.208</v>
      </c>
      <c r="I27" s="12" t="n">
        <v>6257.764</v>
      </c>
      <c r="J27" s="12" t="n">
        <v>8487.700000000001</v>
      </c>
      <c r="K27" s="12" t="n">
        <v>7471.566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</row>
    <row r="31">
      <c r="A31" s="9" t="inlineStr">
        <is>
          <t>지배주주지분</t>
        </is>
      </c>
      <c r="B31" s="10" t="n"/>
      <c r="C31" s="11" t="n">
        <v>5244.921</v>
      </c>
      <c r="D31" s="12" t="n">
        <v>5312.553</v>
      </c>
      <c r="E31" s="12" t="n">
        <v>5838.356</v>
      </c>
      <c r="F31" s="12" t="n">
        <v>5906.41</v>
      </c>
      <c r="G31" s="12" t="n">
        <v>6386.681</v>
      </c>
      <c r="H31" s="11" t="n">
        <v>3449.622</v>
      </c>
      <c r="I31" s="12" t="n">
        <v>3796.367</v>
      </c>
      <c r="J31" s="12" t="n">
        <v>4613.16</v>
      </c>
      <c r="K31" s="12" t="n">
        <v>5838.356</v>
      </c>
    </row>
    <row r="32">
      <c r="A32" s="18" t="inlineStr">
        <is>
          <t>자본금</t>
        </is>
      </c>
      <c r="B32" s="10" t="n"/>
      <c r="C32" s="19" t="n">
        <v>167.944</v>
      </c>
      <c r="D32" s="20" t="n">
        <v>174.918</v>
      </c>
      <c r="E32" s="20" t="n">
        <v>182.65</v>
      </c>
      <c r="F32" s="20" t="n">
        <v>184.503</v>
      </c>
      <c r="G32" s="20" t="n">
        <v>220.016</v>
      </c>
      <c r="H32" s="19" t="n">
        <v>80</v>
      </c>
      <c r="I32" s="20" t="n">
        <v>131.415</v>
      </c>
      <c r="J32" s="20" t="n">
        <v>131.415</v>
      </c>
      <c r="K32" s="20" t="n">
        <v>182.65</v>
      </c>
    </row>
    <row r="33">
      <c r="A33" s="18" t="inlineStr">
        <is>
          <t>이익잉여금</t>
        </is>
      </c>
      <c r="B33" s="10" t="n"/>
      <c r="C33" s="19" t="n">
        <v>5079.281</v>
      </c>
      <c r="D33" s="20" t="n">
        <v>5189.145</v>
      </c>
      <c r="E33" s="20" t="n">
        <v>5712.741</v>
      </c>
      <c r="F33" s="20" t="n">
        <v>5760.624</v>
      </c>
      <c r="G33" s="20" t="n">
        <v>6132.011</v>
      </c>
      <c r="H33" s="19" t="n">
        <v>3489.538</v>
      </c>
      <c r="I33" s="20" t="n">
        <v>4236.995</v>
      </c>
      <c r="J33" s="20" t="n">
        <v>4691.581</v>
      </c>
      <c r="K33" s="20" t="n">
        <v>5712.741</v>
      </c>
    </row>
    <row r="34">
      <c r="A34" s="18" t="inlineStr">
        <is>
          <t>비지배지분</t>
        </is>
      </c>
      <c r="B34" s="10" t="n"/>
      <c r="C34" s="19" t="n"/>
      <c r="D34" s="20" t="n"/>
      <c r="E34" s="20" t="n"/>
      <c r="F34" s="20" t="n"/>
      <c r="G34" s="20" t="n"/>
      <c r="H34" s="19" t="n"/>
      <c r="I34" s="20" t="n"/>
      <c r="J34" s="20" t="n"/>
      <c r="K34" s="20" t="n"/>
    </row>
    <row r="35">
      <c r="A35" s="9" t="inlineStr">
        <is>
          <t>자본총계</t>
        </is>
      </c>
      <c r="B35" s="10" t="n"/>
      <c r="C35" s="11" t="n">
        <v>5245.385</v>
      </c>
      <c r="D35" s="12" t="n">
        <v>5313.016</v>
      </c>
      <c r="E35" s="12" t="n">
        <v>5838.809</v>
      </c>
      <c r="F35" s="12" t="n">
        <v>5906.863</v>
      </c>
      <c r="G35" s="12" t="n">
        <v>6387.077</v>
      </c>
      <c r="H35" s="11" t="n">
        <v>3450.084</v>
      </c>
      <c r="I35" s="12" t="n">
        <v>3797.347</v>
      </c>
      <c r="J35" s="12" t="n">
        <v>4614.032</v>
      </c>
      <c r="K35" s="12" t="n">
        <v>5838.809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</row>
    <row r="37">
      <c r="A37" s="9" t="inlineStr">
        <is>
          <t>영업활동현금흐름</t>
        </is>
      </c>
      <c r="B37" s="10" t="n"/>
      <c r="C37" s="11" t="n">
        <v>1055.579</v>
      </c>
      <c r="D37" s="12" t="n"/>
      <c r="E37" s="12" t="n">
        <v>824.671</v>
      </c>
      <c r="F37" s="12" t="n"/>
      <c r="G37" s="12" t="n">
        <v>907.927</v>
      </c>
      <c r="H37" s="11" t="n">
        <v>1030.628</v>
      </c>
      <c r="I37" s="12" t="n">
        <v>576.365</v>
      </c>
      <c r="J37" s="12" t="n">
        <v>1676.503</v>
      </c>
      <c r="K37" s="12" t="n">
        <v>824.671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>
        <v>583.51</v>
      </c>
      <c r="D38" s="20" t="n"/>
      <c r="E38" s="20" t="n">
        <v>612.6079999999999</v>
      </c>
      <c r="F38" s="20" t="n"/>
      <c r="G38" s="20" t="n">
        <v>260.552</v>
      </c>
      <c r="H38" s="19" t="n">
        <v>106.506</v>
      </c>
      <c r="I38" s="20" t="n">
        <v>165.984</v>
      </c>
      <c r="J38" s="20" t="n">
        <v>310.188</v>
      </c>
      <c r="K38" s="20" t="n">
        <v>612.6079999999999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>
        <v>321.977</v>
      </c>
      <c r="D40" s="20" t="n"/>
      <c r="E40" s="20" t="n">
        <v>341.944</v>
      </c>
      <c r="F40" s="20" t="n"/>
      <c r="G40" s="20" t="n">
        <v>425.238</v>
      </c>
      <c r="H40" s="19" t="n">
        <v>100</v>
      </c>
      <c r="I40" s="20" t="n">
        <v>100</v>
      </c>
      <c r="J40" s="20" t="n">
        <v>413.791</v>
      </c>
      <c r="K40" s="20" t="n">
        <v>341.944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IFERROR((IF(COUNT('연간'!G28:J28)&lt;4,"",SUM('연간'!G28:J28)))/(IF(COUNT('연간'!G50:J50)&lt;4,"",SUM('연간'!G50:J50))),"")</f>
        <v/>
      </c>
      <c r="D48" s="31">
        <f>IFERROR((IF(COUNT('연간'!H28:K28)&lt;4,"",SUM('연간'!H28:K28)))/(IF(COUNT('연간'!H50:K50)&lt;4,"",SUM('연간'!H50:K50))),"")</f>
        <v/>
      </c>
      <c r="E48" s="31">
        <f>IFERROR((IF(COUNT('연간'!I28:L28)&lt;4,"",SUM('연간'!I28:L28)))/(IF(COUNT('연간'!I50:L50)&lt;4,"",SUM('연간'!I50:L50))),"")</f>
        <v/>
      </c>
      <c r="F48" s="31">
        <f>IFERROR((IF(COUNT('연간'!J28:M28)&lt;4,"",SUM('연간'!J28:M28)))/(IF(COUNT('연간'!J50:M50)&lt;4,"",SUM('연간'!J50:M50))),"")</f>
        <v/>
      </c>
      <c r="G48" s="31">
        <f>IFERROR((IF(COUNT('연간'!K28:N28)&lt;4,"",SUM('연간'!K28:N28)))/(IF(COUNT('연간'!K50:N50)&lt;4,"",SUM('연간'!K50:N50))),"")</f>
        <v/>
      </c>
      <c r="H48" s="30">
        <f>IFERROR(('연간'!U28)/('연간'!U50),"")</f>
        <v/>
      </c>
      <c r="I48" s="31">
        <f>IFERROR(('연간'!V28)/('연간'!V50),"")</f>
        <v/>
      </c>
      <c r="J48" s="31">
        <f>IFERROR(('연간'!W28)/('연간'!W50),"")</f>
        <v/>
      </c>
      <c r="K48" s="31">
        <f>IFERROR(('연간'!X28)/('연간'!X50),"")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IFERROR(IF((IF(COUNT('연간'!G56:J56)&lt;4,"",SUM('연간'!G56:J56)))&lt;=0,"적자",C28/(IF(COUNT('연간'!G56:J56)&lt;4,"",SUM('연간'!G56:J56)))),"")</f>
        <v/>
      </c>
      <c r="D49" s="47">
        <f>IFERROR(IF((IF(COUNT('연간'!H56:K56)&lt;4,"",SUM('연간'!H56:K56)))&lt;=0,"적자",D28/(IF(COUNT('연간'!H56:K56)&lt;4,"",SUM('연간'!H56:K56)))),"")</f>
        <v/>
      </c>
      <c r="E49" s="47">
        <f>IFERROR(IF((IF(COUNT('연간'!I56:L56)&lt;4,"",SUM('연간'!I56:L56)))&lt;=0,"적자",E28/(IF(COUNT('연간'!I56:L56)&lt;4,"",SUM('연간'!I56:L56)))),"")</f>
        <v/>
      </c>
      <c r="F49" s="47">
        <f>IFERROR(IF((IF(COUNT('연간'!J56:M56)&lt;4,"",SUM('연간'!J56:M56)))&lt;=0,"적자",F28/(IF(COUNT('연간'!J56:M56)&lt;4,"",SUM('연간'!J56:M56)))),"")</f>
        <v/>
      </c>
      <c r="G49" s="47">
        <f>IFERROR(IF((IF(COUNT('연간'!K56:N56)&lt;4,"",SUM('연간'!K56:N56)))&lt;=0,"적자",G28/(IF(COUNT('연간'!K56:N56)&lt;4,"",SUM('연간'!K56:N56)))),"")</f>
        <v/>
      </c>
      <c r="H49" s="46">
        <f>IFERROR(IF(('연간'!U56)&lt;=0,"적자",H28/('연간'!U56)),"")</f>
        <v/>
      </c>
      <c r="I49" s="47">
        <f>IFERROR(IF(('연간'!V56)&lt;=0,"적자",I28/('연간'!V56)),"")</f>
        <v/>
      </c>
      <c r="J49" s="47">
        <f>IFERROR(IF(('연간'!W56)&lt;=0,"적자",J28/('연간'!W56)),"")</f>
        <v/>
      </c>
      <c r="K49" s="47">
        <f>IFERROR(IF(('연간'!X56)&lt;=0,"적자",K28/('연간'!X56)),"")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IFERROR((IF(COUNT('연간'!G56:J56)&lt;4,"",SUM('연간'!G56:J56)))/C31,"")</f>
        <v/>
      </c>
      <c r="D51" s="36">
        <f>IFERROR((IF(COUNT('연간'!H56:K56)&lt;4,"",SUM('연간'!H56:K56)))/D31,"")</f>
        <v/>
      </c>
      <c r="E51" s="36">
        <f>IFERROR((IF(COUNT('연간'!I56:L56)&lt;4,"",SUM('연간'!I56:L56)))/E31,"")</f>
        <v/>
      </c>
      <c r="F51" s="36">
        <f>IFERROR((IF(COUNT('연간'!J56:M56)&lt;4,"",SUM('연간'!J56:M56)))/F31,"")</f>
        <v/>
      </c>
      <c r="G51" s="36">
        <f>IFERROR((IF(COUNT('연간'!K56:N56)&lt;4,"",SUM('연간'!K56:N56)))/G31,"")</f>
        <v/>
      </c>
      <c r="H51" s="35">
        <f>IFERROR(('연간'!U56)/H31,"")</f>
        <v/>
      </c>
      <c r="I51" s="36">
        <f>IFERROR(('연간'!V56)/I31,"")</f>
        <v/>
      </c>
      <c r="J51" s="36">
        <f>IFERROR(('연간'!W56)/J31,"")</f>
        <v/>
      </c>
      <c r="K51" s="36">
        <f>IFERROR(('연간'!X56)/K31,"")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IFERROR((IF(COUNT('연간'!G55:J55)&lt;4,"",SUM('연간'!G55:J55)))/C16,"")</f>
        <v/>
      </c>
      <c r="D52" s="36">
        <f>IFERROR((IF(COUNT('연간'!H55:K55)&lt;4,"",SUM('연간'!H55:K55)))/D16,"")</f>
        <v/>
      </c>
      <c r="E52" s="36">
        <f>IFERROR((IF(COUNT('연간'!I55:L55)&lt;4,"",SUM('연간'!I55:L55)))/E16,"")</f>
        <v/>
      </c>
      <c r="F52" s="36">
        <f>IFERROR((IF(COUNT('연간'!J55:M55)&lt;4,"",SUM('연간'!J55:M55)))/F16,"")</f>
        <v/>
      </c>
      <c r="G52" s="36">
        <f>IFERROR((IF(COUNT('연간'!K55:N55)&lt;4,"",SUM('연간'!K55:N55)))/G16,"")</f>
        <v/>
      </c>
      <c r="H52" s="35">
        <f>IFERROR(('연간'!U55)/H16,"")</f>
        <v/>
      </c>
      <c r="I52" s="36">
        <f>IFERROR(('연간'!V55)/I16,"")</f>
        <v/>
      </c>
      <c r="J52" s="36">
        <f>IFERROR(('연간'!W55)/J16,"")</f>
        <v/>
      </c>
      <c r="K52" s="36">
        <f>IFERROR(('연간'!X55)/K16,"")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IFERROR((IF(COUNT('연간'!G28:J28)&lt;4,"",SUM('연간'!G28:J28)))*(1-0.3)/(C35+C29),"")</f>
        <v/>
      </c>
      <c r="D53" s="36">
        <f>IFERROR((IF(COUNT('연간'!H28:K28)&lt;4,"",SUM('연간'!H28:K28)))*(1-0.3)/(D35+D29),"")</f>
        <v/>
      </c>
      <c r="E53" s="36">
        <f>IFERROR((IF(COUNT('연간'!I28:L28)&lt;4,"",SUM('연간'!I28:L28)))*(1-0.3)/(E35+E29),"")</f>
        <v/>
      </c>
      <c r="F53" s="36">
        <f>IFERROR((IF(COUNT('연간'!J28:M28)&lt;4,"",SUM('연간'!J28:M28)))*(1-0.3)/(F35+F29),"")</f>
        <v/>
      </c>
      <c r="G53" s="36">
        <f>IFERROR((IF(COUNT('연간'!K28:N28)&lt;4,"",SUM('연간'!K28:N28)))*(1-0.3)/(G35+G29),"")</f>
        <v/>
      </c>
      <c r="H53" s="35">
        <f>IFERROR(('연간'!U28)*(1-0.3)/(H35+H29),"")</f>
        <v/>
      </c>
      <c r="I53" s="36">
        <f>IFERROR(('연간'!V28)*(1-0.3)/(I35+I29),"")</f>
        <v/>
      </c>
      <c r="J53" s="36">
        <f>IFERROR(('연간'!W28)*(1-0.3)/(J35+J29),"")</f>
        <v/>
      </c>
      <c r="K53" s="36">
        <f>IFERROR(('연간'!X28)*(1-0.3)/(K35+K29),"")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IFERROR((IF(COUNT('연간'!G24:J24)&lt;4,"",SUM('연간'!G24:J24)))/(IF(COUNT('연간'!G4:J4)&lt;4,"",SUM('연간'!G4:J4))),"")</f>
        <v/>
      </c>
      <c r="D54" s="36">
        <f>IFERROR((IF(COUNT('연간'!H24:K24)&lt;4,"",SUM('연간'!H24:K24)))/(IF(COUNT('연간'!H4:K4)&lt;4,"",SUM('연간'!H4:K4))),"")</f>
        <v/>
      </c>
      <c r="E54" s="36">
        <f>IFERROR((IF(COUNT('연간'!I24:L24)&lt;4,"",SUM('연간'!I24:L24)))/(IF(COUNT('연간'!I4:L4)&lt;4,"",SUM('연간'!I4:L4))),"")</f>
        <v/>
      </c>
      <c r="F54" s="36">
        <f>IFERROR((IF(COUNT('연간'!J24:M24)&lt;4,"",SUM('연간'!J24:M24)))/(IF(COUNT('연간'!J4:M4)&lt;4,"",SUM('연간'!J4:M4))),"")</f>
        <v/>
      </c>
      <c r="G54" s="36">
        <f>IFERROR((IF(COUNT('연간'!K24:N24)&lt;4,"",SUM('연간'!K24:N24)))/(IF(COUNT('연간'!K4:N4)&lt;4,"",SUM('연간'!K4:N4))),"")</f>
        <v/>
      </c>
      <c r="H54" s="35">
        <f>IFERROR(('연간'!U24)/('연간'!U4),"")</f>
        <v/>
      </c>
      <c r="I54" s="36">
        <f>IFERROR(('연간'!V24)/('연간'!V4),"")</f>
        <v/>
      </c>
      <c r="J54" s="36">
        <f>IFERROR(('연간'!W24)/('연간'!W4),"")</f>
        <v/>
      </c>
      <c r="K54" s="36">
        <f>IFERROR(('연간'!X24)/('연간'!X4),"")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IFERROR((IF(COUNT('연간'!G28:J28)&lt;4,"",SUM('연간'!G28:J28)))/(IF(COUNT('연간'!G4:J4)&lt;4,"",SUM('연간'!G4:J4))),"")</f>
        <v/>
      </c>
      <c r="D55" s="36">
        <f>IFERROR((IF(COUNT('연간'!H28:K28)&lt;4,"",SUM('연간'!H28:K28)))/(IF(COUNT('연간'!H4:K4)&lt;4,"",SUM('연간'!H4:K4))),"")</f>
        <v/>
      </c>
      <c r="E55" s="36">
        <f>IFERROR((IF(COUNT('연간'!I28:L28)&lt;4,"",SUM('연간'!I28:L28)))/(IF(COUNT('연간'!I4:L4)&lt;4,"",SUM('연간'!I4:L4))),"")</f>
        <v/>
      </c>
      <c r="F55" s="36">
        <f>IFERROR((IF(COUNT('연간'!J28:M28)&lt;4,"",SUM('연간'!J28:M28)))/(IF(COUNT('연간'!J4:M4)&lt;4,"",SUM('연간'!J4:M4))),"")</f>
        <v/>
      </c>
      <c r="G55" s="36">
        <f>IFERROR((IF(COUNT('연간'!K28:N28)&lt;4,"",SUM('연간'!K28:N28)))/(IF(COUNT('연간'!K4:N4)&lt;4,"",SUM('연간'!K4:N4))),"")</f>
        <v/>
      </c>
      <c r="H55" s="35">
        <f>IFERROR(('연간'!U28)/('연간'!U4),"")</f>
        <v/>
      </c>
      <c r="I55" s="36">
        <f>IFERROR(('연간'!V28)/('연간'!V4),"")</f>
        <v/>
      </c>
      <c r="J55" s="36">
        <f>IFERROR(('연간'!W28)/('연간'!W4),"")</f>
        <v/>
      </c>
      <c r="K55" s="36">
        <f>IFERROR(('연간'!X28)/('연간'!X4),"")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IFERROR((IF(COUNT('연간'!G55:J55)&lt;4,"",SUM('연간'!G55:J55)))/(IF(COUNT('연간'!G4:J4)&lt;4,"",SUM('연간'!G4:J4))),"")</f>
        <v/>
      </c>
      <c r="D56" s="36">
        <f>IFERROR((IF(COUNT('연간'!H55:K55)&lt;4,"",SUM('연간'!H55:K55)))/(IF(COUNT('연간'!H4:K4)&lt;4,"",SUM('연간'!H4:K4))),"")</f>
        <v/>
      </c>
      <c r="E56" s="36">
        <f>IFERROR((IF(COUNT('연간'!I55:L55)&lt;4,"",SUM('연간'!I55:L55)))/(IF(COUNT('연간'!I4:L4)&lt;4,"",SUM('연간'!I4:L4))),"")</f>
        <v/>
      </c>
      <c r="F56" s="36">
        <f>IFERROR((IF(COUNT('연간'!J55:M55)&lt;4,"",SUM('연간'!J55:M55)))/(IF(COUNT('연간'!J4:M4)&lt;4,"",SUM('연간'!J4:M4))),"")</f>
        <v/>
      </c>
      <c r="G56" s="36">
        <f>IFERROR((IF(COUNT('연간'!K55:N55)&lt;4,"",SUM('연간'!K55:N55)))/(IF(COUNT('연간'!K4:N4)&lt;4,"",SUM('연간'!K4:N4))),"")</f>
        <v/>
      </c>
      <c r="H56" s="35">
        <f>IFERROR(('연간'!U55)/('연간'!U4),"")</f>
        <v/>
      </c>
      <c r="I56" s="36">
        <f>IFERROR(('연간'!V55)/('연간'!V4),"")</f>
        <v/>
      </c>
      <c r="J56" s="36">
        <f>IFERROR(('연간'!W55)/('연간'!W4),"")</f>
        <v/>
      </c>
      <c r="K56" s="36">
        <f>IFERROR(('연간'!X55)/('연간'!X4),"")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IFERROR(('연간'!U4)/H16,"")</f>
        <v/>
      </c>
      <c r="I58" s="31">
        <f>IFERROR(('연간'!V4)/I16,"")</f>
        <v/>
      </c>
      <c r="J58" s="31">
        <f>IFERROR(('연간'!W4)/J16,"")</f>
        <v/>
      </c>
      <c r="K58" s="31">
        <f>IFERROR(('연간'!X4)/K16,"")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IFERROR(H8/('연간'!U4)*365,"")</f>
        <v/>
      </c>
      <c r="I59" s="49">
        <f>IFERROR(I8/('연간'!V4)*365,"")</f>
        <v/>
      </c>
      <c r="J59" s="49">
        <f>IFERROR(J8/('연간'!W4)*365,"")</f>
        <v/>
      </c>
      <c r="K59" s="49">
        <f>IFERROR(K8/('연간'!X4)*365,"")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IFERROR(C9/(IF(COUNT('연간'!G23:J23)&lt;4,"",SUM('연간'!G23:J23)))*365,"")</f>
        <v/>
      </c>
      <c r="D60" s="49">
        <f>IFERROR(D9/(IF(COUNT('연간'!H23:K23)&lt;4,"",SUM('연간'!H23:K23)))*365,"")</f>
        <v/>
      </c>
      <c r="E60" s="49">
        <f>IFERROR(E9/(IF(COUNT('연간'!I23:L23)&lt;4,"",SUM('연간'!I23:L23)))*365,"")</f>
        <v/>
      </c>
      <c r="F60" s="49">
        <f>IFERROR(F9/(IF(COUNT('연간'!J23:M23)&lt;4,"",SUM('연간'!J23:M23)))*365,"")</f>
        <v/>
      </c>
      <c r="G60" s="49">
        <f>IFERROR(G9/(IF(COUNT('연간'!K23:N23)&lt;4,"",SUM('연간'!K23:N23)))*365,"")</f>
        <v/>
      </c>
      <c r="H60" s="48">
        <f>IFERROR(H9/('연간'!U23)*365,"")</f>
        <v/>
      </c>
      <c r="I60" s="49">
        <f>IFERROR(I9/('연간'!V23)*365,"")</f>
        <v/>
      </c>
      <c r="J60" s="49">
        <f>IFERROR(J9/('연간'!W23)*365,"")</f>
        <v/>
      </c>
      <c r="K60" s="49">
        <f>IFERROR(K9/('연간'!X23)*365,"")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IFERROR(C19/(IF(COUNT('연간'!G23:J23)&lt;4,"",SUM('연간'!G23:J23)))*365,"")</f>
        <v/>
      </c>
      <c r="D61" s="49">
        <f>IFERROR(D19/(IF(COUNT('연간'!H23:K23)&lt;4,"",SUM('연간'!H23:K23)))*365,"")</f>
        <v/>
      </c>
      <c r="E61" s="49">
        <f>IFERROR(E19/(IF(COUNT('연간'!I23:L23)&lt;4,"",SUM('연간'!I23:L23)))*365,"")</f>
        <v/>
      </c>
      <c r="F61" s="49">
        <f>IFERROR(F19/(IF(COUNT('연간'!J23:M23)&lt;4,"",SUM('연간'!J23:M23)))*365,"")</f>
        <v/>
      </c>
      <c r="G61" s="49">
        <f>IFERROR(G19/(IF(COUNT('연간'!K23:N23)&lt;4,"",SUM('연간'!K23:N23)))*365,"")</f>
        <v/>
      </c>
      <c r="H61" s="48">
        <f>IFERROR(H19/('연간'!U23)*365,"")</f>
        <v/>
      </c>
      <c r="I61" s="49">
        <f>IFERROR(I19/('연간'!V23)*365,"")</f>
        <v/>
      </c>
      <c r="J61" s="49">
        <f>IFERROR(J19/('연간'!W23)*365,"")</f>
        <v/>
      </c>
      <c r="K61" s="49">
        <f>IFERROR(K19/('연간'!X23)*365,"")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IF(C37="","",IFERROR(C37/(IF(COUNT('연간'!G55:J55)&lt;4,"",SUM('연간'!G55:J55))),""))</f>
        <v/>
      </c>
      <c r="D64" s="31">
        <f>IF(D37="","",IFERROR(D37/(IF(COUNT('연간'!H55:K55)&lt;4,"",SUM('연간'!H55:K55))),""))</f>
        <v/>
      </c>
      <c r="E64" s="31">
        <f>IF(E37="","",IFERROR(E37/(IF(COUNT('연간'!I55:L55)&lt;4,"",SUM('연간'!I55:L55))),""))</f>
        <v/>
      </c>
      <c r="F64" s="31">
        <f>IF(F37="","",IFERROR(F37/(IF(COUNT('연간'!J55:M55)&lt;4,"",SUM('연간'!J55:M55))),""))</f>
        <v/>
      </c>
      <c r="G64" s="31">
        <f>IF(G37="","",IFERROR(G37/(IF(COUNT('연간'!K55:N55)&lt;4,"",SUM('연간'!K55:N55))),""))</f>
        <v/>
      </c>
      <c r="H64" s="30">
        <f>IF(H37="","",IFERROR(H37/('연간'!U55),""))</f>
        <v/>
      </c>
      <c r="I64" s="31">
        <f>IF(I37="","",IFERROR(I37/('연간'!V55),""))</f>
        <v/>
      </c>
      <c r="J64" s="31">
        <f>IF(J37="","",IFERROR(J37/('연간'!W55),""))</f>
        <v/>
      </c>
      <c r="K64" s="31">
        <f>IF(K37="","",IFERROR(K37/('연간'!X55),""))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IF(H39="","",IFERROR(H39/('연간'!U4),""))</f>
        <v/>
      </c>
      <c r="I65" s="36">
        <f>IF(I39="","",IFERROR(I39/('연간'!V4),""))</f>
        <v/>
      </c>
      <c r="J65" s="36">
        <f>IF(J39="","",IFERROR(J39/('연간'!W4),""))</f>
        <v/>
      </c>
      <c r="K65" s="36">
        <f>IF(K39="","",IFERROR(K39/('연간'!X4),""))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IF(H38="","",IFERROR(H38/('연간'!U4),""))</f>
        <v/>
      </c>
      <c r="I66" s="36">
        <f>IF(I38="","",IFERROR(I38/('연간'!V4),""))</f>
        <v/>
      </c>
      <c r="J66" s="36">
        <f>IF(J38="","",IFERROR(J38/('연간'!W4),""))</f>
        <v/>
      </c>
      <c r="K66" s="36">
        <f>IF(K38="","",IFERROR(K38/('연간'!X4),""))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IF(C40="","",IFERROR(C40/(IF(COUNT('연간'!G56:J56)&lt;4,"",SUM('연간'!G56:J56))),""))</f>
        <v/>
      </c>
      <c r="D67" s="36">
        <f>IF(D40="","",IFERROR(D40/(IF(COUNT('연간'!H56:K56)&lt;4,"",SUM('연간'!H56:K56))),""))</f>
        <v/>
      </c>
      <c r="E67" s="36">
        <f>IF(E40="","",IFERROR(E40/(IF(COUNT('연간'!I56:L56)&lt;4,"",SUM('연간'!I56:L56))),""))</f>
        <v/>
      </c>
      <c r="F67" s="36">
        <f>IF(F40="","",IFERROR(F40/(IF(COUNT('연간'!J56:M56)&lt;4,"",SUM('연간'!J56:M56))),""))</f>
        <v/>
      </c>
      <c r="G67" s="36">
        <f>IF(G40="","",IFERROR(G40/(IF(COUNT('연간'!K56:N56)&lt;4,"",SUM('연간'!K56:N56))),""))</f>
        <v/>
      </c>
      <c r="H67" s="35">
        <f>IF(H40="","",IFERROR(H40/('연간'!U56),""))</f>
        <v/>
      </c>
      <c r="I67" s="36">
        <f>IF(I40="","",IFERROR(I40/('연간'!V56),""))</f>
        <v/>
      </c>
      <c r="J67" s="36">
        <f>IF(J40="","",IFERROR(J40/('연간'!W56),""))</f>
        <v/>
      </c>
      <c r="K67" s="36">
        <f>IF(K40="","",IFERROR(K40/('연간'!X56),""))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2026.2Q</t>
        </is>
      </c>
      <c r="D70" s="5" t="inlineStr">
        <is>
          <t>2026.3Q</t>
        </is>
      </c>
      <c r="E70" s="5" t="inlineStr">
        <is>
          <t>2026.4Q</t>
        </is>
      </c>
      <c r="F70" s="5" t="inlineStr">
        <is>
          <t>2027.1Q</t>
        </is>
      </c>
      <c r="G70" s="5" t="inlineStr">
        <is>
          <t>2027.2Q</t>
        </is>
      </c>
      <c r="H70" s="5" t="inlineStr">
        <is>
          <t>2023</t>
        </is>
      </c>
      <c r="I70" s="5" t="inlineStr">
        <is>
          <t>2024</t>
        </is>
      </c>
      <c r="J70" s="5" t="inlineStr">
        <is>
          <t>2025</t>
        </is>
      </c>
      <c r="K70" s="5" t="inlineStr">
        <is>
          <t>2026</t>
        </is>
      </c>
    </row>
    <row r="71">
      <c r="A71" s="18" t="inlineStr">
        <is>
          <t>현금 및 예금</t>
        </is>
      </c>
      <c r="C71" s="20" t="n">
        <v>3490.925</v>
      </c>
      <c r="D71" s="20" t="n">
        <v>2503.11</v>
      </c>
      <c r="E71" s="20" t="n">
        <v>2585.441</v>
      </c>
      <c r="F71" s="20" t="n">
        <v>2615.56</v>
      </c>
      <c r="G71" s="20" t="n">
        <v>3992.872</v>
      </c>
      <c r="H71" s="20" t="n">
        <v>1640.16</v>
      </c>
      <c r="I71" s="20" t="n">
        <v>1452.334</v>
      </c>
      <c r="J71" s="20" t="n">
        <v>2431.302</v>
      </c>
      <c r="K71" s="20" t="n">
        <v>2585.441</v>
      </c>
    </row>
    <row r="72">
      <c r="A72" s="18" t="inlineStr">
        <is>
          <t>받을어음</t>
        </is>
      </c>
      <c r="C72" s="20" t="n">
        <v>270.178</v>
      </c>
      <c r="D72" s="20" t="n">
        <v>175.996</v>
      </c>
      <c r="E72" s="20" t="n">
        <v>106.432</v>
      </c>
      <c r="F72" s="20" t="n">
        <v>48.787</v>
      </c>
      <c r="G72" s="20" t="n">
        <v>19.969</v>
      </c>
      <c r="H72" s="20" t="n">
        <v>613.829</v>
      </c>
      <c r="I72" s="20" t="n">
        <v>606.22</v>
      </c>
      <c r="J72" s="20" t="n">
        <v>387.634</v>
      </c>
      <c r="K72" s="20" t="n">
        <v>106.432</v>
      </c>
    </row>
    <row r="73">
      <c r="A73" s="18" t="inlineStr">
        <is>
          <t>매출채권</t>
        </is>
      </c>
      <c r="C73" s="20" t="n">
        <v>1535.028</v>
      </c>
      <c r="D73" s="20" t="n">
        <v>1912.332</v>
      </c>
      <c r="E73" s="20" t="n">
        <v>1947.797</v>
      </c>
      <c r="F73" s="20" t="n">
        <v>1736.543</v>
      </c>
      <c r="G73" s="20" t="n">
        <v>1669.569</v>
      </c>
      <c r="H73" s="20" t="n">
        <v>1316.414</v>
      </c>
      <c r="I73" s="20" t="n">
        <v>1700.152</v>
      </c>
      <c r="J73" s="20" t="n">
        <v>1631.052</v>
      </c>
      <c r="K73" s="20" t="n">
        <v>1947.797</v>
      </c>
    </row>
    <row r="74">
      <c r="A74" s="18" t="inlineStr">
        <is>
          <t>전자기록채권</t>
        </is>
      </c>
      <c r="C74" s="20" t="n">
        <v>1135.984</v>
      </c>
      <c r="D74" s="20" t="n">
        <v>1158.279</v>
      </c>
      <c r="E74" s="20" t="n">
        <v>1315.871</v>
      </c>
      <c r="F74" s="20" t="n">
        <v>1327.428</v>
      </c>
      <c r="G74" s="20" t="n">
        <v>1283.487</v>
      </c>
      <c r="H74" s="20" t="n">
        <v>1202.858</v>
      </c>
      <c r="I74" s="20" t="n">
        <v>1163.451</v>
      </c>
      <c r="J74" s="20" t="n">
        <v>1142.516</v>
      </c>
      <c r="K74" s="20" t="n">
        <v>1315.871</v>
      </c>
    </row>
    <row r="75">
      <c r="A75" s="18" t="inlineStr">
        <is>
          <t>완성공사 미수금</t>
        </is>
      </c>
      <c r="C75" s="20" t="n">
        <v>149.546</v>
      </c>
      <c r="D75" s="20" t="n">
        <v>180.994</v>
      </c>
      <c r="E75" s="20" t="n">
        <v>175.997</v>
      </c>
      <c r="F75" s="20" t="n">
        <v>154.437</v>
      </c>
      <c r="G75" s="20" t="n">
        <v>133.481</v>
      </c>
      <c r="I75" s="20" t="n">
        <v>0</v>
      </c>
      <c r="J75" s="20" t="n">
        <v>162.176</v>
      </c>
      <c r="K75" s="20" t="n">
        <v>175.997</v>
      </c>
    </row>
    <row r="76">
      <c r="A76" s="18" t="inlineStr">
        <is>
          <t>계약자산</t>
        </is>
      </c>
      <c r="E76" s="20" t="n">
        <v>23.556</v>
      </c>
      <c r="F76" s="20" t="n">
        <v>0</v>
      </c>
      <c r="G76" s="20" t="n">
        <v>12.233</v>
      </c>
      <c r="H76" s="20" t="n">
        <v>0</v>
      </c>
      <c r="J76" s="20" t="n">
        <v>0</v>
      </c>
      <c r="K76" s="20" t="n">
        <v>23.556</v>
      </c>
    </row>
    <row r="77">
      <c r="A77" s="18" t="inlineStr">
        <is>
          <t>상품·제품</t>
        </is>
      </c>
      <c r="C77" s="20" t="n">
        <v>602.813</v>
      </c>
      <c r="D77" s="20" t="n">
        <v>589.033</v>
      </c>
      <c r="E77" s="20" t="n">
        <v>563.792</v>
      </c>
      <c r="F77" s="20" t="n">
        <v>570.545</v>
      </c>
      <c r="G77" s="20" t="n">
        <v>601.535</v>
      </c>
      <c r="H77" s="20" t="n">
        <v>478.01</v>
      </c>
      <c r="I77" s="20" t="n">
        <v>599.9690000000001</v>
      </c>
      <c r="J77" s="20" t="n">
        <v>555.663</v>
      </c>
      <c r="K77" s="20" t="n">
        <v>563.792</v>
      </c>
    </row>
    <row r="78">
      <c r="A78" s="18" t="inlineStr">
        <is>
          <t>재공품</t>
        </is>
      </c>
      <c r="C78" s="20" t="n">
        <v>814.2190000000001</v>
      </c>
      <c r="D78" s="20" t="n">
        <v>657.919</v>
      </c>
      <c r="E78" s="20" t="n">
        <v>759.6849999999999</v>
      </c>
      <c r="F78" s="20" t="n">
        <v>701.388</v>
      </c>
      <c r="G78" s="20" t="n">
        <v>866.15</v>
      </c>
      <c r="H78" s="20" t="n">
        <v>477.407</v>
      </c>
      <c r="I78" s="20" t="n">
        <v>378.436</v>
      </c>
      <c r="J78" s="20" t="n">
        <v>657.799</v>
      </c>
      <c r="K78" s="20" t="n">
        <v>759.6849999999999</v>
      </c>
    </row>
    <row r="79">
      <c r="A79" s="18" t="inlineStr">
        <is>
          <t>미성공사 지출금</t>
        </is>
      </c>
      <c r="D79" s="20" t="n">
        <v>224.661</v>
      </c>
      <c r="I79" s="20" t="n">
        <v>0</v>
      </c>
      <c r="J79" s="20" t="n">
        <v>125.649</v>
      </c>
    </row>
    <row r="80">
      <c r="A80" s="18" t="inlineStr">
        <is>
          <t>미성공사 지출금</t>
        </is>
      </c>
      <c r="C80" s="20" t="n">
        <v>195.618</v>
      </c>
      <c r="E80" s="20" t="n">
        <v>180.631</v>
      </c>
      <c r="F80" s="20" t="n">
        <v>275.48</v>
      </c>
      <c r="G80" s="20" t="n">
        <v>280.501</v>
      </c>
      <c r="I80" s="20" t="n">
        <v>0</v>
      </c>
      <c r="J80" s="20" t="n">
        <v>125.649</v>
      </c>
      <c r="K80" s="20" t="n">
        <v>180.631</v>
      </c>
    </row>
    <row r="81">
      <c r="A81" s="18" t="inlineStr">
        <is>
          <t>원재료·저장품</t>
        </is>
      </c>
      <c r="C81" s="20" t="n">
        <v>185.212</v>
      </c>
      <c r="D81" s="20" t="n">
        <v>188.599</v>
      </c>
      <c r="E81" s="20" t="n">
        <v>178.072</v>
      </c>
      <c r="F81" s="20" t="n">
        <v>191.219</v>
      </c>
      <c r="G81" s="20" t="n">
        <v>205.2</v>
      </c>
      <c r="H81" s="20" t="n">
        <v>165.404</v>
      </c>
      <c r="I81" s="20" t="n">
        <v>182.353</v>
      </c>
      <c r="J81" s="20" t="n">
        <v>190.3</v>
      </c>
      <c r="K81" s="20" t="n">
        <v>178.072</v>
      </c>
    </row>
    <row r="82">
      <c r="A82" s="18" t="inlineStr">
        <is>
          <t>미수 환급법인세</t>
        </is>
      </c>
      <c r="C82" s="20" t="n">
        <v>11.381</v>
      </c>
      <c r="D82" s="20" t="n">
        <v>21.67</v>
      </c>
      <c r="E82" s="20" t="n">
        <v>76.619</v>
      </c>
      <c r="F82" s="20" t="n">
        <v>76.625</v>
      </c>
      <c r="G82" s="20" t="n">
        <v>8.141</v>
      </c>
      <c r="H82" s="20" t="n">
        <v>0</v>
      </c>
      <c r="I82" s="20" t="n">
        <v>178.539</v>
      </c>
      <c r="J82" s="20" t="n">
        <v>43.986</v>
      </c>
      <c r="K82" s="20" t="n">
        <v>76.619</v>
      </c>
    </row>
    <row r="83">
      <c r="A83" s="18" t="inlineStr">
        <is>
          <t>미수 환급소비세</t>
        </is>
      </c>
      <c r="E83" s="20" t="n">
        <v>39.557</v>
      </c>
      <c r="I83" s="20" t="n">
        <v>0</v>
      </c>
      <c r="J83" s="20" t="n">
        <v>42.84</v>
      </c>
      <c r="K83" s="20" t="n">
        <v>39.557</v>
      </c>
    </row>
    <row r="84">
      <c r="A84" s="18" t="inlineStr">
        <is>
          <t>기타</t>
        </is>
      </c>
      <c r="C84" s="20" t="n">
        <v>137.219</v>
      </c>
      <c r="D84" s="20" t="n">
        <v>173.668</v>
      </c>
      <c r="E84" s="20" t="n">
        <v>166.034</v>
      </c>
      <c r="F84" s="20" t="n">
        <v>225.007</v>
      </c>
      <c r="G84" s="20" t="n">
        <v>175.387</v>
      </c>
      <c r="H84" s="20" t="n">
        <v>51.168</v>
      </c>
      <c r="I84" s="20" t="n">
        <v>75.301</v>
      </c>
      <c r="J84" s="20" t="n">
        <v>90.134</v>
      </c>
      <c r="K84" s="20" t="n">
        <v>166.034</v>
      </c>
    </row>
    <row r="85">
      <c r="A85" s="18" t="inlineStr">
        <is>
          <t>대손충당금</t>
        </is>
      </c>
      <c r="C85" s="20" t="n">
        <v>-3.382</v>
      </c>
      <c r="D85" s="20" t="n">
        <v>-4.709</v>
      </c>
      <c r="E85" s="20" t="n">
        <v>-3.688</v>
      </c>
      <c r="F85" s="20" t="n">
        <v>-2.712</v>
      </c>
      <c r="G85" s="20" t="n">
        <v>-2.057</v>
      </c>
      <c r="H85" s="20" t="n">
        <v>-5.34</v>
      </c>
      <c r="I85" s="20" t="n">
        <v>-4.487</v>
      </c>
      <c r="J85" s="20" t="n">
        <v>-5.475</v>
      </c>
      <c r="K85" s="20" t="n">
        <v>-3.688</v>
      </c>
    </row>
    <row r="86">
      <c r="A86" s="9" t="inlineStr">
        <is>
          <t>유동자산 합계</t>
        </is>
      </c>
      <c r="C86" s="12" t="n">
        <v>8524.744000000001</v>
      </c>
      <c r="D86" s="12" t="n">
        <v>7781.556</v>
      </c>
      <c r="E86" s="12" t="n">
        <v>8076.244</v>
      </c>
      <c r="F86" s="12" t="n">
        <v>7920.312</v>
      </c>
      <c r="G86" s="12" t="n">
        <v>9246.473</v>
      </c>
      <c r="H86" s="12" t="n">
        <v>5939.914</v>
      </c>
      <c r="I86" s="12" t="n">
        <v>6332.272</v>
      </c>
      <c r="J86" s="12" t="n">
        <v>7455.58</v>
      </c>
      <c r="K86" s="12" t="n">
        <v>8076.244</v>
      </c>
    </row>
    <row r="87">
      <c r="A87" s="18" t="inlineStr">
        <is>
          <t>건물·구축물</t>
        </is>
      </c>
      <c r="E87" s="20" t="n">
        <v>3515.598</v>
      </c>
      <c r="H87" s="20" t="n">
        <v>2820.528</v>
      </c>
      <c r="I87" s="20" t="n">
        <v>3082.172</v>
      </c>
      <c r="J87" s="20" t="n">
        <v>3434.942</v>
      </c>
      <c r="K87" s="20" t="n">
        <v>3515.598</v>
      </c>
    </row>
    <row r="88">
      <c r="A88" s="18" t="inlineStr">
        <is>
          <t>감가상각누계액</t>
        </is>
      </c>
      <c r="E88" s="20" t="n">
        <v>-2392.852</v>
      </c>
      <c r="H88" s="20" t="n">
        <v>-1812.798</v>
      </c>
      <c r="I88" s="20" t="n">
        <v>-2078.84</v>
      </c>
      <c r="J88" s="20" t="n">
        <v>-2322.888</v>
      </c>
      <c r="K88" s="20" t="n">
        <v>-2392.852</v>
      </c>
    </row>
    <row r="89">
      <c r="A89" s="18" t="inlineStr">
        <is>
          <t>건물·구축물(순액)</t>
        </is>
      </c>
      <c r="C89" s="20" t="n">
        <v>1115.407</v>
      </c>
      <c r="D89" s="20" t="n">
        <v>1141.911</v>
      </c>
      <c r="E89" s="20" t="n">
        <v>1122.746</v>
      </c>
      <c r="F89" s="20" t="n">
        <v>1103.579</v>
      </c>
      <c r="G89" s="20" t="n">
        <v>1107.934</v>
      </c>
      <c r="H89" s="20" t="n">
        <v>1007.73</v>
      </c>
      <c r="I89" s="20" t="n">
        <v>1003.331</v>
      </c>
      <c r="J89" s="20" t="n">
        <v>1112.054</v>
      </c>
      <c r="K89" s="20" t="n">
        <v>1122.746</v>
      </c>
    </row>
    <row r="90">
      <c r="A90" s="18" t="inlineStr">
        <is>
          <t>기계장치·운반구</t>
        </is>
      </c>
      <c r="E90" s="20" t="n">
        <v>4450.768</v>
      </c>
      <c r="H90" s="20" t="n">
        <v>3579.648</v>
      </c>
      <c r="I90" s="20" t="n">
        <v>3763.051</v>
      </c>
      <c r="J90" s="20" t="n">
        <v>4019.611</v>
      </c>
      <c r="K90" s="20" t="n">
        <v>4450.768</v>
      </c>
    </row>
    <row r="91">
      <c r="A91" s="18" t="inlineStr">
        <is>
          <t>감가상각누계액</t>
        </is>
      </c>
      <c r="E91" s="20" t="n">
        <v>-3756.641</v>
      </c>
      <c r="H91" s="20" t="n">
        <v>-3178.617</v>
      </c>
      <c r="I91" s="20" t="n">
        <v>-3409.247</v>
      </c>
      <c r="J91" s="20" t="n">
        <v>-3681.962</v>
      </c>
      <c r="K91" s="20" t="n">
        <v>-3756.641</v>
      </c>
    </row>
    <row r="92">
      <c r="A92" s="18" t="inlineStr">
        <is>
          <t>기계장치·운반구(순액)</t>
        </is>
      </c>
      <c r="C92" s="20" t="n">
        <v>645.708</v>
      </c>
      <c r="D92" s="20" t="n">
        <v>608.151</v>
      </c>
      <c r="E92" s="20" t="n">
        <v>694.127</v>
      </c>
      <c r="F92" s="20" t="n">
        <v>660.649</v>
      </c>
      <c r="G92" s="20" t="n">
        <v>620.023</v>
      </c>
      <c r="H92" s="20" t="n">
        <v>401.031</v>
      </c>
      <c r="I92" s="20" t="n">
        <v>353.804</v>
      </c>
      <c r="J92" s="20" t="n">
        <v>337.648</v>
      </c>
      <c r="K92" s="20" t="n">
        <v>694.127</v>
      </c>
    </row>
    <row r="93">
      <c r="A93" s="18" t="inlineStr">
        <is>
          <t>토지</t>
        </is>
      </c>
      <c r="C93" s="20" t="n">
        <v>1697.949</v>
      </c>
      <c r="D93" s="20" t="n">
        <v>1715.793</v>
      </c>
      <c r="E93" s="20" t="n">
        <v>1715.793</v>
      </c>
      <c r="F93" s="20" t="n">
        <v>1715.793</v>
      </c>
      <c r="G93" s="20" t="n">
        <v>1715.793</v>
      </c>
      <c r="H93" s="20" t="n">
        <v>1615.02</v>
      </c>
      <c r="I93" s="20" t="n">
        <v>1552.965</v>
      </c>
      <c r="J93" s="20" t="n">
        <v>1796.131</v>
      </c>
      <c r="K93" s="20" t="n">
        <v>1715.793</v>
      </c>
    </row>
    <row r="94">
      <c r="A94" s="18" t="inlineStr">
        <is>
          <t>기타</t>
        </is>
      </c>
      <c r="E94" s="20" t="n">
        <v>559.617</v>
      </c>
      <c r="H94" s="20" t="n">
        <v>438.313</v>
      </c>
      <c r="I94" s="20" t="n">
        <v>486.889</v>
      </c>
      <c r="J94" s="20" t="n">
        <v>789.297</v>
      </c>
      <c r="K94" s="20" t="n">
        <v>559.617</v>
      </c>
    </row>
    <row r="95">
      <c r="A95" s="18" t="inlineStr">
        <is>
          <t>감가상각누계액</t>
        </is>
      </c>
      <c r="E95" s="20" t="n">
        <v>-499.551</v>
      </c>
      <c r="H95" s="20" t="n">
        <v>-392.131</v>
      </c>
      <c r="I95" s="20" t="n">
        <v>-425.551</v>
      </c>
      <c r="J95" s="20" t="n">
        <v>-487.827</v>
      </c>
      <c r="K95" s="20" t="n">
        <v>-499.551</v>
      </c>
    </row>
    <row r="96">
      <c r="A96" s="18" t="inlineStr">
        <is>
          <t>기타(순액)</t>
        </is>
      </c>
      <c r="C96" s="20" t="n">
        <v>69.001</v>
      </c>
      <c r="D96" s="20" t="n">
        <v>70.071</v>
      </c>
      <c r="E96" s="20" t="n">
        <v>60.066</v>
      </c>
      <c r="F96" s="20" t="n">
        <v>77.41</v>
      </c>
      <c r="G96" s="20" t="n">
        <v>56.147</v>
      </c>
      <c r="H96" s="20" t="n">
        <v>46.182</v>
      </c>
      <c r="I96" s="20" t="n">
        <v>61.337</v>
      </c>
      <c r="J96" s="20" t="n">
        <v>301.469</v>
      </c>
      <c r="K96" s="20" t="n">
        <v>60.066</v>
      </c>
    </row>
    <row r="97">
      <c r="A97" s="18" t="inlineStr">
        <is>
          <t>유형자산 합계</t>
        </is>
      </c>
      <c r="C97" s="20" t="n">
        <v>3528.067</v>
      </c>
      <c r="D97" s="20" t="n">
        <v>3535.928</v>
      </c>
      <c r="E97" s="20" t="n">
        <v>3592.733</v>
      </c>
      <c r="F97" s="20" t="n">
        <v>3557.432</v>
      </c>
      <c r="G97" s="20" t="n">
        <v>3499.899</v>
      </c>
      <c r="H97" s="20" t="n">
        <v>3069.965</v>
      </c>
      <c r="I97" s="20" t="n">
        <v>2971.439</v>
      </c>
      <c r="J97" s="20" t="n">
        <v>3547.303</v>
      </c>
      <c r="K97" s="20" t="n">
        <v>3592.733</v>
      </c>
    </row>
    <row r="98">
      <c r="A98" s="18" t="inlineStr">
        <is>
          <t>영업권</t>
        </is>
      </c>
      <c r="C98" s="20" t="n">
        <v>405.851</v>
      </c>
      <c r="D98" s="20" t="n">
        <v>539.35</v>
      </c>
      <c r="E98" s="20" t="n">
        <v>521.727</v>
      </c>
      <c r="F98" s="20" t="n">
        <v>505.454</v>
      </c>
      <c r="G98" s="20" t="n">
        <v>489.18</v>
      </c>
      <c r="J98" s="20" t="n">
        <v>430.302</v>
      </c>
      <c r="K98" s="20" t="n">
        <v>521.727</v>
      </c>
    </row>
    <row r="99">
      <c r="A99" s="18" t="inlineStr">
        <is>
          <t>소프트웨어</t>
        </is>
      </c>
      <c r="C99" s="20" t="n">
        <v>93.629</v>
      </c>
      <c r="D99" s="20" t="n">
        <v>100.88</v>
      </c>
      <c r="E99" s="20" t="n">
        <v>100.248</v>
      </c>
      <c r="F99" s="20" t="n">
        <v>94.996</v>
      </c>
      <c r="G99" s="20" t="n">
        <v>86.023</v>
      </c>
      <c r="J99" s="20" t="n">
        <v>102.624</v>
      </c>
      <c r="K99" s="20" t="n">
        <v>100.248</v>
      </c>
    </row>
    <row r="100">
      <c r="A100" s="18" t="inlineStr">
        <is>
          <t>개발 중 소프트웨어</t>
        </is>
      </c>
      <c r="C100" s="20" t="n">
        <v>17.11</v>
      </c>
      <c r="D100" s="20" t="n">
        <v>0.893</v>
      </c>
      <c r="J100" s="20" t="n">
        <v>0</v>
      </c>
    </row>
    <row r="101">
      <c r="A101" s="18" t="inlineStr">
        <is>
          <t>고객관계자산</t>
        </is>
      </c>
      <c r="E101" s="20" t="n">
        <v>238</v>
      </c>
      <c r="J101" s="20" t="n">
        <v>265.2</v>
      </c>
      <c r="K101" s="20" t="n">
        <v>238</v>
      </c>
    </row>
    <row r="102">
      <c r="A102" s="18" t="inlineStr">
        <is>
          <t>고객관계자산</t>
        </is>
      </c>
      <c r="D102" s="20" t="n">
        <v>244.8</v>
      </c>
      <c r="E102" s="20" t="n">
        <v>238</v>
      </c>
      <c r="F102" s="20" t="n">
        <v>231.2</v>
      </c>
      <c r="J102" s="20" t="n">
        <v>265.2</v>
      </c>
      <c r="K102" s="20" t="n">
        <v>238</v>
      </c>
    </row>
    <row r="103">
      <c r="A103" s="18" t="inlineStr">
        <is>
          <t>고객관계자산</t>
        </is>
      </c>
      <c r="C103" s="20" t="n">
        <v>251.6</v>
      </c>
      <c r="E103" s="20" t="n">
        <v>238</v>
      </c>
      <c r="G103" s="20" t="n">
        <v>224.4</v>
      </c>
      <c r="J103" s="20" t="n">
        <v>265.2</v>
      </c>
      <c r="K103" s="20" t="n">
        <v>238</v>
      </c>
    </row>
    <row r="104">
      <c r="A104" s="18" t="inlineStr">
        <is>
          <t>기타</t>
        </is>
      </c>
      <c r="C104" s="20" t="n">
        <v>0.291</v>
      </c>
      <c r="D104" s="20" t="n">
        <v>0.351</v>
      </c>
      <c r="E104" s="20" t="n">
        <v>0.327</v>
      </c>
      <c r="F104" s="20" t="n">
        <v>0.317</v>
      </c>
      <c r="G104" s="20" t="n">
        <v>0.307</v>
      </c>
      <c r="J104" s="20" t="n">
        <v>0.49</v>
      </c>
      <c r="K104" s="20" t="n">
        <v>0.327</v>
      </c>
    </row>
    <row r="105">
      <c r="A105" s="18" t="inlineStr">
        <is>
          <t>무형자산 합계</t>
        </is>
      </c>
      <c r="C105" s="20" t="n">
        <v>768.4829999999999</v>
      </c>
      <c r="D105" s="20" t="n">
        <v>886.276</v>
      </c>
      <c r="E105" s="20" t="n">
        <v>860.303</v>
      </c>
      <c r="F105" s="20" t="n">
        <v>831.968</v>
      </c>
      <c r="G105" s="20" t="n">
        <v>799.912</v>
      </c>
      <c r="H105" s="20" t="n">
        <v>49.995</v>
      </c>
      <c r="I105" s="20" t="n">
        <v>151.657</v>
      </c>
      <c r="J105" s="20" t="n">
        <v>798.616</v>
      </c>
      <c r="K105" s="20" t="n">
        <v>860.303</v>
      </c>
    </row>
    <row r="106">
      <c r="A106" s="18" t="inlineStr">
        <is>
          <t>투자유가증권</t>
        </is>
      </c>
      <c r="C106" s="20" t="n">
        <v>211.132</v>
      </c>
      <c r="D106" s="20" t="n">
        <v>259.939</v>
      </c>
      <c r="E106" s="20" t="n">
        <v>190.69</v>
      </c>
      <c r="F106" s="20" t="n">
        <v>198.275</v>
      </c>
      <c r="G106" s="20" t="n">
        <v>193.064</v>
      </c>
      <c r="H106" s="20" t="n">
        <v>85.304</v>
      </c>
      <c r="I106" s="20" t="n">
        <v>115.234</v>
      </c>
      <c r="J106" s="20" t="n">
        <v>216.862</v>
      </c>
      <c r="K106" s="20" t="n">
        <v>190.69</v>
      </c>
    </row>
    <row r="107">
      <c r="A107" s="18" t="inlineStr">
        <is>
          <t>이연법인세자산</t>
        </is>
      </c>
      <c r="C107" s="20" t="n">
        <v>129.744</v>
      </c>
      <c r="D107" s="20" t="n">
        <v>144.964</v>
      </c>
      <c r="E107" s="20" t="n">
        <v>116.769</v>
      </c>
      <c r="F107" s="20" t="n">
        <v>79.852</v>
      </c>
      <c r="G107" s="20" t="n">
        <v>64.962</v>
      </c>
      <c r="H107" s="20" t="n">
        <v>417.642</v>
      </c>
      <c r="I107" s="20" t="n">
        <v>51.902</v>
      </c>
      <c r="J107" s="20" t="n">
        <v>106.092</v>
      </c>
      <c r="K107" s="20" t="n">
        <v>116.769</v>
      </c>
    </row>
    <row r="108">
      <c r="A108" s="18" t="inlineStr">
        <is>
          <t>퇴직급여자산</t>
        </is>
      </c>
      <c r="C108" s="20" t="n">
        <v>153.094</v>
      </c>
      <c r="D108" s="20" t="n">
        <v>151.706</v>
      </c>
      <c r="E108" s="20" t="n">
        <v>159.198</v>
      </c>
      <c r="F108" s="20" t="n">
        <v>160.497</v>
      </c>
      <c r="G108" s="20" t="n">
        <v>161.986</v>
      </c>
      <c r="H108" s="20" t="n">
        <v>75.093</v>
      </c>
      <c r="I108" s="20" t="n">
        <v>130.883</v>
      </c>
      <c r="J108" s="20" t="n">
        <v>170.653</v>
      </c>
      <c r="K108" s="20" t="n">
        <v>159.198</v>
      </c>
    </row>
    <row r="109">
      <c r="A109" s="18" t="inlineStr">
        <is>
          <t>파산갱생채권 등</t>
        </is>
      </c>
      <c r="E109" s="20" t="n">
        <v>0</v>
      </c>
      <c r="G109" s="20" t="n">
        <v>0.609</v>
      </c>
      <c r="H109" s="20" t="n">
        <v>1837.996</v>
      </c>
      <c r="I109" s="20" t="n">
        <v>0</v>
      </c>
      <c r="K109" s="20" t="n">
        <v>0</v>
      </c>
    </row>
    <row r="110">
      <c r="A110" s="18" t="inlineStr">
        <is>
          <t>기타</t>
        </is>
      </c>
      <c r="C110" s="20" t="n">
        <v>285.079</v>
      </c>
      <c r="D110" s="20" t="n">
        <v>319.194</v>
      </c>
      <c r="E110" s="20" t="n">
        <v>314.57</v>
      </c>
      <c r="F110" s="20" t="n">
        <v>318.16</v>
      </c>
      <c r="G110" s="20" t="n">
        <v>261.443</v>
      </c>
      <c r="H110" s="20" t="n">
        <v>249.837</v>
      </c>
      <c r="I110" s="20" t="n">
        <v>301.722</v>
      </c>
      <c r="J110" s="20" t="n">
        <v>806.623</v>
      </c>
      <c r="K110" s="20" t="n">
        <v>314.57</v>
      </c>
    </row>
    <row r="111">
      <c r="A111" s="18" t="inlineStr">
        <is>
          <t>대손충당금</t>
        </is>
      </c>
      <c r="C111" s="20" t="n">
        <v>-0</v>
      </c>
      <c r="D111" s="20" t="n">
        <v>-0</v>
      </c>
      <c r="E111" s="20" t="n">
        <v>-0.135</v>
      </c>
      <c r="F111" s="20" t="n">
        <v>0</v>
      </c>
      <c r="G111" s="20" t="n">
        <v>-0.609</v>
      </c>
      <c r="H111" s="20" t="n">
        <v>-1763.457</v>
      </c>
      <c r="I111" s="20" t="n">
        <v>0</v>
      </c>
      <c r="J111" s="20" t="n">
        <v>0</v>
      </c>
      <c r="K111" s="20" t="n">
        <v>-0.135</v>
      </c>
    </row>
    <row r="112">
      <c r="A112" s="18" t="inlineStr">
        <is>
          <t>투자 및 기타자산 합계</t>
        </is>
      </c>
      <c r="C112" s="20" t="n">
        <v>779.051</v>
      </c>
      <c r="D112" s="20" t="n">
        <v>875.8049999999999</v>
      </c>
      <c r="E112" s="20" t="n">
        <v>781.095</v>
      </c>
      <c r="F112" s="20" t="n">
        <v>756.785</v>
      </c>
      <c r="G112" s="20" t="n">
        <v>681.457</v>
      </c>
      <c r="H112" s="20" t="n">
        <v>902.417</v>
      </c>
      <c r="I112" s="20" t="n">
        <v>599.742</v>
      </c>
      <c r="J112" s="20" t="n">
        <v>1300.231</v>
      </c>
      <c r="K112" s="20" t="n">
        <v>781.095</v>
      </c>
    </row>
    <row r="113">
      <c r="A113" s="9" t="inlineStr">
        <is>
          <t>비유동자산 합계</t>
        </is>
      </c>
      <c r="C113" s="12" t="n">
        <v>5075.602</v>
      </c>
      <c r="D113" s="12" t="n">
        <v>5298.01</v>
      </c>
      <c r="E113" s="12" t="n">
        <v>5234.132</v>
      </c>
      <c r="F113" s="12" t="n">
        <v>5146.187</v>
      </c>
      <c r="G113" s="12" t="n">
        <v>4981.268</v>
      </c>
      <c r="H113" s="12" t="n">
        <v>4022.378</v>
      </c>
      <c r="I113" s="12" t="n">
        <v>3722.839</v>
      </c>
      <c r="J113" s="12" t="n">
        <v>5646.152</v>
      </c>
      <c r="K113" s="12" t="n">
        <v>5234.132</v>
      </c>
    </row>
    <row r="114">
      <c r="A114" s="9" t="inlineStr">
        <is>
          <t>자산 합계</t>
        </is>
      </c>
      <c r="C114" s="12" t="n">
        <v>13600.347</v>
      </c>
      <c r="D114" s="12" t="n">
        <v>13079.567</v>
      </c>
      <c r="E114" s="12" t="n">
        <v>13310.376</v>
      </c>
      <c r="F114" s="12" t="n">
        <v>13066.499</v>
      </c>
      <c r="G114" s="12" t="n">
        <v>14227.741</v>
      </c>
      <c r="H114" s="12" t="n">
        <v>9962.291999999999</v>
      </c>
      <c r="I114" s="12" t="n">
        <v>10055.111</v>
      </c>
      <c r="J114" s="12" t="n">
        <v>13101.732</v>
      </c>
      <c r="K114" s="12" t="n">
        <v>13310.376</v>
      </c>
    </row>
    <row r="115">
      <c r="A115" s="18" t="inlineStr">
        <is>
          <t>지급어음·매입채무</t>
        </is>
      </c>
      <c r="C115" s="20" t="n">
        <v>1332.152</v>
      </c>
      <c r="D115" s="20" t="n">
        <v>1317.172</v>
      </c>
      <c r="E115" s="20" t="n">
        <v>999.029</v>
      </c>
      <c r="F115" s="20" t="n">
        <v>439.387</v>
      </c>
      <c r="G115" s="20" t="n">
        <v>339.557</v>
      </c>
      <c r="H115" s="20" t="n">
        <v>1584.963</v>
      </c>
      <c r="I115" s="20" t="n">
        <v>1639.051</v>
      </c>
      <c r="J115" s="20" t="n">
        <v>1479.95</v>
      </c>
      <c r="K115" s="20" t="n">
        <v>999.029</v>
      </c>
    </row>
    <row r="116">
      <c r="A116" s="18" t="inlineStr">
        <is>
          <t>전자기록채무</t>
        </is>
      </c>
      <c r="C116" s="20" t="n">
        <v>177.649</v>
      </c>
      <c r="D116" s="20" t="n">
        <v>143.613</v>
      </c>
      <c r="E116" s="20" t="n">
        <v>149.602</v>
      </c>
      <c r="F116" s="20" t="n">
        <v>108.403</v>
      </c>
      <c r="G116" s="20" t="n">
        <v>19.648</v>
      </c>
      <c r="I116" s="20" t="n">
        <v>0</v>
      </c>
      <c r="J116" s="20" t="n">
        <v>76.122</v>
      </c>
      <c r="K116" s="20" t="n">
        <v>149.602</v>
      </c>
    </row>
    <row r="117">
      <c r="A117" s="18" t="inlineStr">
        <is>
          <t>1년 내 상환 장기차입금</t>
        </is>
      </c>
      <c r="C117" s="20" t="n">
        <v>472.142</v>
      </c>
      <c r="D117" s="20" t="n">
        <v>644.1420000000001</v>
      </c>
      <c r="E117" s="20" t="n">
        <v>785.022</v>
      </c>
      <c r="F117" s="20" t="n">
        <v>782.16</v>
      </c>
      <c r="G117" s="20" t="n">
        <v>942.36</v>
      </c>
      <c r="H117" s="20" t="n">
        <v>426</v>
      </c>
      <c r="I117" s="20" t="n">
        <v>470</v>
      </c>
      <c r="J117" s="20" t="n">
        <v>472.142</v>
      </c>
      <c r="K117" s="20" t="n">
        <v>785.022</v>
      </c>
    </row>
    <row r="118">
      <c r="A118" s="18" t="inlineStr">
        <is>
          <t>단기차입금</t>
        </is>
      </c>
      <c r="C118" s="20" t="n">
        <v>2500</v>
      </c>
      <c r="D118" s="20" t="n">
        <v>850</v>
      </c>
      <c r="E118" s="20" t="n">
        <v>250</v>
      </c>
      <c r="F118" s="20" t="n">
        <v>500</v>
      </c>
      <c r="G118" s="20" t="n">
        <v>950</v>
      </c>
      <c r="H118" s="20" t="n">
        <v>0</v>
      </c>
      <c r="I118" s="20" t="n">
        <v>182.2</v>
      </c>
      <c r="J118" s="20" t="n">
        <v>1800</v>
      </c>
      <c r="K118" s="20" t="n">
        <v>250</v>
      </c>
    </row>
    <row r="119">
      <c r="A119" s="18" t="inlineStr">
        <is>
          <t>미지급법인세</t>
        </is>
      </c>
      <c r="C119" s="20" t="n">
        <v>165.391</v>
      </c>
      <c r="D119" s="20" t="n">
        <v>123.748</v>
      </c>
      <c r="E119" s="20" t="n">
        <v>186.046</v>
      </c>
      <c r="F119" s="20" t="n">
        <v>191.798</v>
      </c>
      <c r="G119" s="20" t="n">
        <v>389.917</v>
      </c>
      <c r="H119" s="20" t="n">
        <v>431.971</v>
      </c>
      <c r="I119" s="20" t="n">
        <v>74.464</v>
      </c>
      <c r="J119" s="20" t="n">
        <v>444.329</v>
      </c>
      <c r="K119" s="20" t="n">
        <v>186.046</v>
      </c>
    </row>
    <row r="120">
      <c r="A120" s="18" t="inlineStr">
        <is>
          <t>상여충당금</t>
        </is>
      </c>
      <c r="C120" s="20" t="n">
        <v>179.443</v>
      </c>
      <c r="D120" s="20" t="n">
        <v>263.832</v>
      </c>
      <c r="E120" s="20" t="n">
        <v>182.901</v>
      </c>
      <c r="F120" s="20" t="n">
        <v>289.543</v>
      </c>
      <c r="G120" s="20" t="n">
        <v>199.858</v>
      </c>
      <c r="H120" s="20" t="n">
        <v>121.044</v>
      </c>
      <c r="I120" s="20" t="n">
        <v>131.989</v>
      </c>
      <c r="J120" s="20" t="n">
        <v>155.936</v>
      </c>
      <c r="K120" s="20" t="n">
        <v>182.901</v>
      </c>
    </row>
    <row r="121">
      <c r="A121" s="18" t="inlineStr">
        <is>
          <t>계약부채</t>
        </is>
      </c>
      <c r="C121" s="20" t="n">
        <v>259.489</v>
      </c>
      <c r="D121" s="20" t="n">
        <v>287.574</v>
      </c>
      <c r="E121" s="20" t="n">
        <v>436.915</v>
      </c>
      <c r="F121" s="20" t="n">
        <v>436.201</v>
      </c>
      <c r="G121" s="20" t="n">
        <v>443.586</v>
      </c>
      <c r="H121" s="20" t="n">
        <v>44.919</v>
      </c>
      <c r="I121" s="20" t="n">
        <v>7.382</v>
      </c>
      <c r="J121" s="20" t="n">
        <v>348.844</v>
      </c>
      <c r="K121" s="20" t="n">
        <v>436.915</v>
      </c>
    </row>
    <row r="122">
      <c r="A122" s="18" t="inlineStr">
        <is>
          <t>공사 미지급금</t>
        </is>
      </c>
      <c r="D122" s="20" t="n">
        <v>123.347</v>
      </c>
      <c r="E122" s="20" t="n">
        <v>79.98099999999999</v>
      </c>
      <c r="F122" s="20" t="n">
        <v>140.603</v>
      </c>
      <c r="I122" s="20" t="n">
        <v>0</v>
      </c>
      <c r="J122" s="20" t="n">
        <v>44.059</v>
      </c>
      <c r="K122" s="20" t="n">
        <v>79.98099999999999</v>
      </c>
    </row>
    <row r="123">
      <c r="A123" s="18" t="inlineStr">
        <is>
          <t>공사 미지급금</t>
        </is>
      </c>
      <c r="C123" s="20" t="n">
        <v>72.248</v>
      </c>
      <c r="E123" s="20" t="n">
        <v>79.98099999999999</v>
      </c>
      <c r="G123" s="20" t="n">
        <v>69.892</v>
      </c>
      <c r="J123" s="20" t="n">
        <v>44.059</v>
      </c>
      <c r="K123" s="20" t="n">
        <v>79.98099999999999</v>
      </c>
    </row>
    <row r="124">
      <c r="A124" s="18" t="inlineStr">
        <is>
          <t>미성공사 선수금</t>
        </is>
      </c>
      <c r="C124" s="20" t="n">
        <v>184.55</v>
      </c>
      <c r="D124" s="20" t="n">
        <v>162.849</v>
      </c>
      <c r="E124" s="20" t="n">
        <v>132.882</v>
      </c>
      <c r="F124" s="20" t="n">
        <v>216.859</v>
      </c>
      <c r="G124" s="20" t="n">
        <v>160.502</v>
      </c>
      <c r="I124" s="20" t="n">
        <v>0</v>
      </c>
      <c r="J124" s="20" t="n">
        <v>221.353</v>
      </c>
      <c r="K124" s="20" t="n">
        <v>132.882</v>
      </c>
    </row>
    <row r="125">
      <c r="A125" s="18" t="inlineStr">
        <is>
          <t>미지급 배당금</t>
        </is>
      </c>
      <c r="E125" s="20" t="n">
        <v>1.014</v>
      </c>
      <c r="I125" s="20" t="n">
        <v>0</v>
      </c>
      <c r="J125" s="20" t="n">
        <v>0.867</v>
      </c>
      <c r="K125" s="20" t="n">
        <v>1.014</v>
      </c>
    </row>
    <row r="126">
      <c r="A126" s="18" t="inlineStr">
        <is>
          <t>기타</t>
        </is>
      </c>
      <c r="C126" s="20" t="n">
        <v>534.307</v>
      </c>
      <c r="D126" s="20" t="n">
        <v>504.738</v>
      </c>
      <c r="E126" s="20" t="n">
        <v>570.617</v>
      </c>
      <c r="F126" s="20" t="n">
        <v>604.53</v>
      </c>
      <c r="G126" s="20" t="n">
        <v>473.995</v>
      </c>
      <c r="H126" s="20" t="n">
        <v>359.01</v>
      </c>
      <c r="I126" s="20" t="n">
        <v>408.943</v>
      </c>
      <c r="J126" s="20" t="n">
        <v>614.1420000000001</v>
      </c>
      <c r="K126" s="20" t="n">
        <v>570.617</v>
      </c>
    </row>
    <row r="127">
      <c r="A127" s="9" t="inlineStr">
        <is>
          <t>유동부채 합계</t>
        </is>
      </c>
      <c r="C127" s="12" t="n">
        <v>5877.376</v>
      </c>
      <c r="D127" s="12" t="n">
        <v>4421.018</v>
      </c>
      <c r="E127" s="12" t="n">
        <v>3773</v>
      </c>
      <c r="F127" s="12" t="n">
        <v>3709.487</v>
      </c>
      <c r="G127" s="12" t="n">
        <v>3989.318</v>
      </c>
      <c r="H127" s="12" t="n">
        <v>2967.909</v>
      </c>
      <c r="I127" s="12" t="n">
        <v>2914.029</v>
      </c>
      <c r="J127" s="12" t="n">
        <v>5657.748</v>
      </c>
      <c r="K127" s="12" t="n">
        <v>3773</v>
      </c>
    </row>
    <row r="128">
      <c r="A128" s="18" t="inlineStr">
        <is>
          <t>장기차입금</t>
        </is>
      </c>
      <c r="C128" s="20" t="n">
        <v>2120.714</v>
      </c>
      <c r="D128" s="20" t="n">
        <v>2987.678</v>
      </c>
      <c r="E128" s="20" t="n">
        <v>3350.365</v>
      </c>
      <c r="F128" s="20" t="n">
        <v>3151.26</v>
      </c>
      <c r="G128" s="20" t="n">
        <v>3555.47</v>
      </c>
      <c r="H128" s="20" t="n">
        <v>3296</v>
      </c>
      <c r="I128" s="20" t="n">
        <v>3010.158</v>
      </c>
      <c r="J128" s="20" t="n">
        <v>2356.785</v>
      </c>
      <c r="K128" s="20" t="n">
        <v>3350.365</v>
      </c>
    </row>
    <row r="129">
      <c r="A129" s="18" t="inlineStr">
        <is>
          <t>퇴직급여부채</t>
        </is>
      </c>
      <c r="C129" s="20" t="n">
        <v>71.902</v>
      </c>
      <c r="D129" s="20" t="n">
        <v>70.705</v>
      </c>
      <c r="E129" s="20" t="n">
        <v>69.86799999999999</v>
      </c>
      <c r="F129" s="20" t="n">
        <v>73.036</v>
      </c>
      <c r="G129" s="20" t="n">
        <v>80</v>
      </c>
      <c r="H129" s="20" t="n">
        <v>57.821</v>
      </c>
      <c r="I129" s="20" t="n">
        <v>77.88800000000001</v>
      </c>
      <c r="J129" s="20" t="n">
        <v>93.2</v>
      </c>
      <c r="K129" s="20" t="n">
        <v>69.86799999999999</v>
      </c>
    </row>
    <row r="130">
      <c r="A130" s="18" t="inlineStr">
        <is>
          <t>이연법인세부채</t>
        </is>
      </c>
      <c r="C130" s="20" t="n">
        <v>59.412</v>
      </c>
      <c r="D130" s="20" t="n">
        <v>56.549</v>
      </c>
      <c r="E130" s="20" t="n">
        <v>55.686</v>
      </c>
      <c r="F130" s="20" t="n">
        <v>0</v>
      </c>
      <c r="G130" s="20" t="n">
        <v>0</v>
      </c>
      <c r="H130" s="20" t="n">
        <v>9.507999999999999</v>
      </c>
      <c r="I130" s="20" t="n">
        <v>60.078</v>
      </c>
      <c r="J130" s="20" t="n">
        <v>182.99</v>
      </c>
      <c r="K130" s="20" t="n">
        <v>55.686</v>
      </c>
    </row>
    <row r="131">
      <c r="A131" s="18" t="inlineStr">
        <is>
          <t>기타</t>
        </is>
      </c>
      <c r="C131" s="20" t="n">
        <v>225.556</v>
      </c>
      <c r="D131" s="20" t="n">
        <v>230.598</v>
      </c>
      <c r="E131" s="20" t="n">
        <v>222.644</v>
      </c>
      <c r="F131" s="20" t="n">
        <v>225.852</v>
      </c>
      <c r="G131" s="20" t="n">
        <v>215.875</v>
      </c>
      <c r="H131" s="20" t="n">
        <v>180.968</v>
      </c>
      <c r="I131" s="20" t="n">
        <v>195.609</v>
      </c>
      <c r="J131" s="20" t="n">
        <v>196.975</v>
      </c>
      <c r="K131" s="20" t="n">
        <v>222.644</v>
      </c>
    </row>
    <row r="132">
      <c r="A132" s="9" t="inlineStr">
        <is>
          <t>비유동부채 합계</t>
        </is>
      </c>
      <c r="C132" s="12" t="n">
        <v>2477.585</v>
      </c>
      <c r="D132" s="12" t="n">
        <v>3345.532</v>
      </c>
      <c r="E132" s="12" t="n">
        <v>3698.566</v>
      </c>
      <c r="F132" s="12" t="n">
        <v>3450.149</v>
      </c>
      <c r="G132" s="12" t="n">
        <v>3851.346</v>
      </c>
      <c r="H132" s="12" t="n">
        <v>3544.298</v>
      </c>
      <c r="I132" s="12" t="n">
        <v>3343.734</v>
      </c>
      <c r="J132" s="12" t="n">
        <v>2829.952</v>
      </c>
      <c r="K132" s="12" t="n">
        <v>3698.566</v>
      </c>
    </row>
    <row r="133">
      <c r="A133" s="9" t="inlineStr">
        <is>
          <t>부채 합계</t>
        </is>
      </c>
      <c r="C133" s="12" t="n">
        <v>8354.960999999999</v>
      </c>
      <c r="D133" s="12" t="n">
        <v>7766.55</v>
      </c>
      <c r="E133" s="12" t="n">
        <v>7471.566</v>
      </c>
      <c r="F133" s="12" t="n">
        <v>7159.636</v>
      </c>
      <c r="G133" s="12" t="n">
        <v>7840.664</v>
      </c>
      <c r="H133" s="12" t="n">
        <v>6512.208</v>
      </c>
      <c r="I133" s="12" t="n">
        <v>6257.764</v>
      </c>
      <c r="J133" s="12" t="n">
        <v>8487.700000000001</v>
      </c>
      <c r="K133" s="12" t="n">
        <v>7471.566</v>
      </c>
    </row>
    <row r="134">
      <c r="A134" s="18" t="inlineStr">
        <is>
          <t>자본금</t>
        </is>
      </c>
      <c r="C134" s="20" t="n">
        <v>167.944</v>
      </c>
      <c r="D134" s="20" t="n">
        <v>174.918</v>
      </c>
      <c r="E134" s="20" t="n">
        <v>182.65</v>
      </c>
      <c r="F134" s="20" t="n">
        <v>184.503</v>
      </c>
      <c r="G134" s="20" t="n">
        <v>220.016</v>
      </c>
      <c r="H134" s="20" t="n">
        <v>80</v>
      </c>
      <c r="I134" s="20" t="n">
        <v>131.415</v>
      </c>
      <c r="J134" s="20" t="n">
        <v>131.415</v>
      </c>
      <c r="K134" s="20" t="n">
        <v>182.65</v>
      </c>
    </row>
    <row r="135">
      <c r="A135" s="18" t="inlineStr">
        <is>
          <t>자본잉여금</t>
        </is>
      </c>
      <c r="C135" s="20" t="n">
        <v>87.944</v>
      </c>
      <c r="D135" s="20" t="n">
        <v>94.91800000000001</v>
      </c>
      <c r="E135" s="20" t="n">
        <v>102.65</v>
      </c>
      <c r="F135" s="20" t="n">
        <v>104.503</v>
      </c>
      <c r="G135" s="20" t="n">
        <v>141.968</v>
      </c>
      <c r="H135" s="20" t="n">
        <v>0</v>
      </c>
      <c r="I135" s="20" t="n">
        <v>51.415</v>
      </c>
      <c r="J135" s="20" t="n">
        <v>51.415</v>
      </c>
      <c r="K135" s="20" t="n">
        <v>102.65</v>
      </c>
    </row>
    <row r="136">
      <c r="A136" s="18" t="inlineStr">
        <is>
          <t>이익잉여금</t>
        </is>
      </c>
      <c r="C136" s="20" t="n">
        <v>5079.281</v>
      </c>
      <c r="D136" s="20" t="n">
        <v>5189.145</v>
      </c>
      <c r="E136" s="20" t="n">
        <v>5712.741</v>
      </c>
      <c r="F136" s="20" t="n">
        <v>5760.624</v>
      </c>
      <c r="G136" s="20" t="n">
        <v>6132.011</v>
      </c>
      <c r="H136" s="20" t="n">
        <v>3489.538</v>
      </c>
      <c r="I136" s="20" t="n">
        <v>4236.995</v>
      </c>
      <c r="J136" s="20" t="n">
        <v>4691.581</v>
      </c>
      <c r="K136" s="20" t="n">
        <v>5712.741</v>
      </c>
    </row>
    <row r="137">
      <c r="A137" s="18" t="inlineStr">
        <is>
          <t>자기주식</t>
        </is>
      </c>
      <c r="C137" s="20" t="n">
        <v>-179.234</v>
      </c>
      <c r="D137" s="20" t="n">
        <v>-232.158</v>
      </c>
      <c r="E137" s="20" t="n">
        <v>-230.983</v>
      </c>
      <c r="F137" s="20" t="n">
        <v>-230.983</v>
      </c>
      <c r="G137" s="20" t="n">
        <v>-204.415</v>
      </c>
      <c r="H137" s="20" t="n">
        <v>-143</v>
      </c>
      <c r="I137" s="20" t="n">
        <v>-698.4930000000001</v>
      </c>
      <c r="J137" s="20" t="n">
        <v>-354.262</v>
      </c>
      <c r="K137" s="20" t="n">
        <v>-230.983</v>
      </c>
    </row>
    <row r="138">
      <c r="A138" s="9" t="inlineStr">
        <is>
          <t>주주자본 합계</t>
        </is>
      </c>
      <c r="C138" s="12" t="n">
        <v>5155.935</v>
      </c>
      <c r="D138" s="12" t="n">
        <v>5226.823</v>
      </c>
      <c r="E138" s="12" t="n">
        <v>5767.059</v>
      </c>
      <c r="F138" s="12" t="n">
        <v>5818.648</v>
      </c>
      <c r="G138" s="12" t="n">
        <v>6289.581</v>
      </c>
      <c r="H138" s="12" t="n">
        <v>3426.538</v>
      </c>
      <c r="I138" s="12" t="n">
        <v>3721.332</v>
      </c>
      <c r="J138" s="12" t="n">
        <v>4520.15</v>
      </c>
      <c r="K138" s="12" t="n">
        <v>5767.059</v>
      </c>
    </row>
    <row r="139">
      <c r="A139" s="18" t="inlineStr">
        <is>
          <t>기타유가증권 평가차액</t>
        </is>
      </c>
      <c r="C139" s="20" t="n">
        <v>36.721</v>
      </c>
      <c r="D139" s="20" t="n">
        <v>32.885</v>
      </c>
      <c r="E139" s="20" t="n">
        <v>36.732</v>
      </c>
      <c r="F139" s="20" t="n">
        <v>34.775</v>
      </c>
      <c r="G139" s="20" t="n">
        <v>49.234</v>
      </c>
      <c r="H139" s="20" t="n">
        <v>15.758</v>
      </c>
      <c r="I139" s="20" t="n">
        <v>33.915</v>
      </c>
      <c r="J139" s="20" t="n">
        <v>33.5</v>
      </c>
      <c r="K139" s="20" t="n">
        <v>36.732</v>
      </c>
    </row>
    <row r="140">
      <c r="A140" s="18" t="inlineStr">
        <is>
          <t>해외사업환산조정</t>
        </is>
      </c>
      <c r="C140" s="20" t="n">
        <v>-3.272</v>
      </c>
      <c r="D140" s="20" t="n">
        <v>-1.033</v>
      </c>
      <c r="E140" s="20" t="n">
        <v>-18.475</v>
      </c>
      <c r="F140" s="20" t="n">
        <v>1.648</v>
      </c>
      <c r="G140" s="20" t="n">
        <v>-1.77</v>
      </c>
      <c r="J140" s="20" t="n">
        <v>0</v>
      </c>
      <c r="K140" s="20" t="n">
        <v>-18.475</v>
      </c>
    </row>
    <row r="141">
      <c r="A141" s="18" t="inlineStr">
        <is>
          <t>퇴직급여 조정누계액</t>
        </is>
      </c>
      <c r="C141" s="20" t="n">
        <v>55.537</v>
      </c>
      <c r="D141" s="20" t="n">
        <v>53.877</v>
      </c>
      <c r="E141" s="20" t="n">
        <v>53.038</v>
      </c>
      <c r="F141" s="20" t="n">
        <v>51.337</v>
      </c>
      <c r="G141" s="20" t="n">
        <v>49.635</v>
      </c>
      <c r="H141" s="20" t="n">
        <v>7.324</v>
      </c>
      <c r="I141" s="20" t="n">
        <v>41.119</v>
      </c>
      <c r="J141" s="20" t="n">
        <v>59.508</v>
      </c>
      <c r="K141" s="20" t="n">
        <v>53.038</v>
      </c>
    </row>
    <row r="142">
      <c r="A142" s="18" t="inlineStr">
        <is>
          <t>기타포괄손익누계액 합계</t>
        </is>
      </c>
      <c r="C142" s="20" t="n">
        <v>88.985</v>
      </c>
      <c r="D142" s="20" t="n">
        <v>85.729</v>
      </c>
      <c r="E142" s="20" t="n">
        <v>71.29600000000001</v>
      </c>
      <c r="F142" s="20" t="n">
        <v>87.761</v>
      </c>
      <c r="G142" s="20" t="n">
        <v>97.099</v>
      </c>
      <c r="H142" s="20" t="n">
        <v>23.083</v>
      </c>
      <c r="I142" s="20" t="n">
        <v>75.03400000000001</v>
      </c>
      <c r="J142" s="20" t="n">
        <v>93.009</v>
      </c>
      <c r="K142" s="20" t="n">
        <v>71.29600000000001</v>
      </c>
    </row>
    <row r="143">
      <c r="A143" s="18" t="inlineStr">
        <is>
          <t>신주예약권</t>
        </is>
      </c>
      <c r="C143" s="20" t="n">
        <v>0.464</v>
      </c>
      <c r="D143" s="20" t="n">
        <v>0.463</v>
      </c>
      <c r="E143" s="20" t="n">
        <v>0.453</v>
      </c>
      <c r="F143" s="20" t="n">
        <v>0.453</v>
      </c>
      <c r="G143" s="20" t="n">
        <v>0.396</v>
      </c>
      <c r="H143" s="20" t="n">
        <v>0.462</v>
      </c>
      <c r="I143" s="20" t="n">
        <v>0.98</v>
      </c>
      <c r="J143" s="20" t="n">
        <v>0.872</v>
      </c>
      <c r="K143" s="20" t="n">
        <v>0.453</v>
      </c>
    </row>
    <row r="144">
      <c r="A144" s="9" t="inlineStr">
        <is>
          <t>순자산 합계</t>
        </is>
      </c>
      <c r="C144" s="12" t="n">
        <v>5245.385</v>
      </c>
      <c r="D144" s="12" t="n">
        <v>5313.016</v>
      </c>
      <c r="E144" s="12" t="n">
        <v>5838.809</v>
      </c>
      <c r="F144" s="12" t="n">
        <v>5906.863</v>
      </c>
      <c r="G144" s="12" t="n">
        <v>6387.077</v>
      </c>
      <c r="H144" s="12" t="n">
        <v>3450.084</v>
      </c>
      <c r="I144" s="12" t="n">
        <v>3797.347</v>
      </c>
      <c r="J144" s="12" t="n">
        <v>4614.032</v>
      </c>
      <c r="K144" s="12" t="n">
        <v>5838.809</v>
      </c>
    </row>
    <row r="145">
      <c r="A145" s="9" t="inlineStr">
        <is>
          <t>부채·순자산 합계</t>
        </is>
      </c>
      <c r="C145" s="12" t="n">
        <v>13600.347</v>
      </c>
      <c r="D145" s="12" t="n">
        <v>13079.567</v>
      </c>
      <c r="E145" s="12" t="n">
        <v>13310.376</v>
      </c>
      <c r="F145" s="12" t="n">
        <v>13066.499</v>
      </c>
      <c r="G145" s="12" t="n">
        <v>14227.741</v>
      </c>
      <c r="H145" s="12" t="n">
        <v>9962.291999999999</v>
      </c>
      <c r="I145" s="12" t="n">
        <v>10055.111</v>
      </c>
      <c r="J145" s="12" t="n">
        <v>13101.732</v>
      </c>
      <c r="K145" s="12" t="n">
        <v>13310.376</v>
      </c>
    </row>
  </sheetData>
  <conditionalFormatting sqref="C43:K43">
    <cfRule type="expression" priority="1" dxfId="0">
      <formula>AND(ISNUMBER(C43),C43&gt;1.0)</formula>
    </cfRule>
  </conditionalFormatting>
  <conditionalFormatting sqref="C44:K44">
    <cfRule type="expression" priority="2" dxfId="0">
      <formula>AND(ISNUMBER(C44),C44&gt;0.5)</formula>
    </cfRule>
  </conditionalFormatting>
  <conditionalFormatting sqref="C45:K45">
    <cfRule type="expression" priority="3" dxfId="0">
      <formula>AND(ISNUMBER(C45),C45&lt;0.5)</formula>
    </cfRule>
  </conditionalFormatting>
  <conditionalFormatting sqref="C46:K46">
    <cfRule type="expression" priority="4" dxfId="0">
      <formula>AND(ISNUMBER(C46),C46&lt;1.5)</formula>
    </cfRule>
  </conditionalFormatting>
  <conditionalFormatting sqref="C47:K47">
    <cfRule type="expression" priority="5" dxfId="0">
      <formula>AND(ISNUMBER(C47),C47&lt;1.0)</formula>
    </cfRule>
  </conditionalFormatting>
  <conditionalFormatting sqref="C48:K48">
    <cfRule type="expression" priority="6" dxfId="0">
      <formula>AND(ISNUMBER(C48),C48&lt;5)</formula>
    </cfRule>
  </conditionalFormatting>
  <conditionalFormatting sqref="C49:K49">
    <cfRule type="expression" priority="7" dxfId="0">
      <formula>AND(ISNUMBER(C49),C49&gt;4)</formula>
    </cfRule>
  </conditionalFormatting>
  <conditionalFormatting sqref="C51:K51">
    <cfRule type="expression" priority="8" dxfId="0">
      <formula>AND(ISNUMBER(C51),C51&lt;0.15)</formula>
    </cfRule>
  </conditionalFormatting>
  <conditionalFormatting sqref="C52:K52">
    <cfRule type="expression" priority="9" dxfId="0">
      <formula>AND(ISNUMBER(C52),C52&lt;0.05)</formula>
    </cfRule>
  </conditionalFormatting>
  <conditionalFormatting sqref="C53:K53">
    <cfRule type="expression" priority="10" dxfId="0">
      <formula>AND(ISNUMBER(C53),C53&lt;0.1)</formula>
    </cfRule>
  </conditionalFormatting>
  <conditionalFormatting sqref="C54:K54">
    <cfRule type="expression" priority="11" dxfId="0">
      <formula>AND(ISNUMBER(C54),C54&lt;0.4)</formula>
    </cfRule>
  </conditionalFormatting>
  <conditionalFormatting sqref="C55:K55">
    <cfRule type="expression" priority="12" dxfId="0">
      <formula>AND(ISNUMBER(C55),C55&lt;0.15)</formula>
    </cfRule>
  </conditionalFormatting>
  <conditionalFormatting sqref="C56:K56">
    <cfRule type="expression" priority="13" dxfId="0">
      <formula>AND(ISNUMBER(C56),C56&lt;0.1)</formula>
    </cfRule>
  </conditionalFormatting>
  <conditionalFormatting sqref="C64:K64">
    <cfRule type="expression" priority="14" dxfId="0">
      <formula>AND(ISNUMBER(C64),C64&lt;1.0)</formula>
    </cfRule>
  </conditionalFormatting>
  <conditionalFormatting sqref="C65:K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1" t="inlineStr">
        <is>
          <t>공시일</t>
        </is>
      </c>
      <c r="B3" s="51" t="inlineStr">
        <is>
          <t>문서</t>
        </is>
      </c>
      <c r="C3" s="51" t="inlineStr">
        <is>
          <t>PDF</t>
        </is>
      </c>
    </row>
    <row r="4">
      <c r="A4" t="inlineStr">
        <is>
          <t>2026-10-15</t>
        </is>
      </c>
      <c r="B4" t="inlineStr">
        <is>
          <t>2027년 2월 결산기 ２분기 결산단신</t>
        </is>
      </c>
      <c r="C4" t="inlineStr">
        <is>
          <t>https://www2.jpx.co.jp/disc/62240/140120261014550149.pdf</t>
        </is>
      </c>
    </row>
    <row r="5">
      <c r="A5" t="inlineStr">
        <is>
          <t>2026-07-15</t>
        </is>
      </c>
      <c r="B5" t="inlineStr">
        <is>
          <t>2027년 2월 결산기 １분기 결산단신</t>
        </is>
      </c>
      <c r="C5" t="inlineStr">
        <is>
          <t>https://www2.jpx.co.jp/disc/62240/140120260715594254.pdf</t>
        </is>
      </c>
    </row>
    <row r="6">
      <c r="A6" t="inlineStr">
        <is>
          <t>2026-04-14</t>
        </is>
      </c>
      <c r="B6" t="inlineStr">
        <is>
          <t>2026년 2월 결산기 연간 결산단신</t>
        </is>
      </c>
      <c r="C6" t="inlineStr">
        <is>
          <t>https://www2.jpx.co.jp/disc/62240/140120260413503143.pdf</t>
        </is>
      </c>
    </row>
    <row r="7">
      <c r="A7" t="inlineStr">
        <is>
          <t>2026-01-14</t>
        </is>
      </c>
      <c r="B7" t="inlineStr">
        <is>
          <t>2026년 2월 결산기 ３분기 결산단신</t>
        </is>
      </c>
      <c r="C7" t="inlineStr">
        <is>
          <t>https://www2.jpx.co.jp/disc/62240/140120260113532987.pdf</t>
        </is>
      </c>
    </row>
    <row r="8">
      <c r="A8" t="inlineStr">
        <is>
          <t>2025-10-15</t>
        </is>
      </c>
      <c r="B8" t="inlineStr">
        <is>
          <t>2026년 2월 결산기 ２분기 결산단신</t>
        </is>
      </c>
      <c r="C8" t="inlineStr">
        <is>
          <t>https://www2.jpx.co.jp/disc/62240/140120251010571763.pdf</t>
        </is>
      </c>
    </row>
    <row r="9">
      <c r="A9" t="inlineStr">
        <is>
          <t>2025-07-15</t>
        </is>
      </c>
      <c r="B9" t="inlineStr">
        <is>
          <t>2026년 2월 결산기 １분기 결산단신</t>
        </is>
      </c>
      <c r="C9" t="inlineStr">
        <is>
          <t>https://www2.jpx.co.jp/disc/62240/140120250714514097.pdf</t>
        </is>
      </c>
    </row>
    <row r="10">
      <c r="A10" t="inlineStr">
        <is>
          <t>2025-04-14</t>
        </is>
      </c>
      <c r="B10" t="inlineStr">
        <is>
          <t>2025년 2월 결산기 연간 결산단신</t>
        </is>
      </c>
      <c r="C10" t="inlineStr">
        <is>
          <t>https://www2.jpx.co.jp/disc/62240/140120250414514702.pdf</t>
        </is>
      </c>
    </row>
    <row r="11">
      <c r="A11" t="inlineStr">
        <is>
          <t>2025-01-14</t>
        </is>
      </c>
      <c r="B11" t="inlineStr">
        <is>
          <t>2025년 2월 결산기 ３분기 결산단신</t>
        </is>
      </c>
      <c r="C11" t="inlineStr">
        <is>
          <t>https://www2.jpx.co.jp/disc/62240/140120250114549920.pdf</t>
        </is>
      </c>
    </row>
    <row r="12">
      <c r="A12" t="inlineStr">
        <is>
          <t>2024-10-11</t>
        </is>
      </c>
      <c r="B12" t="inlineStr">
        <is>
          <t>2025년 2월 결산기 ２분기 결산단신</t>
        </is>
      </c>
      <c r="C12" t="inlineStr">
        <is>
          <t>https://www2.jpx.co.jp/disc/62240/140120241009595879.pdf</t>
        </is>
      </c>
    </row>
    <row r="13">
      <c r="A13" t="inlineStr">
        <is>
          <t>2024-07-12</t>
        </is>
      </c>
      <c r="B13" t="inlineStr">
        <is>
          <t>2025년 2월 결산기 １분기 결산단신</t>
        </is>
      </c>
      <c r="C13" t="inlineStr">
        <is>
          <t>https://www2.jpx.co.jp/disc/62240/140120240710546620.pdf</t>
        </is>
      </c>
    </row>
    <row r="14">
      <c r="A14" t="inlineStr">
        <is>
          <t>2024-04-12</t>
        </is>
      </c>
      <c r="B14" t="inlineStr">
        <is>
          <t>2024년 2월 결산기 연간 결산단신</t>
        </is>
      </c>
      <c r="C14" t="inlineStr">
        <is>
          <t>https://www2.jpx.co.jp/disc/62240/140120240411569055.pdf</t>
        </is>
      </c>
    </row>
    <row r="15">
      <c r="A15" t="inlineStr">
        <is>
          <t>2024-01-12</t>
        </is>
      </c>
      <c r="B15" t="inlineStr">
        <is>
          <t>2024년 2월 결산기 ３분기 결산단신</t>
        </is>
      </c>
      <c r="C15" t="inlineStr">
        <is>
          <t>https://www2.jpx.co.jp/disc/62240/140120240112514275.pdf</t>
        </is>
      </c>
    </row>
    <row r="16">
      <c r="A16" t="inlineStr">
        <is>
          <t>2023-10-13</t>
        </is>
      </c>
      <c r="B16" t="inlineStr">
        <is>
          <t>2024년 2월 결산기 ２분기 결산단신</t>
        </is>
      </c>
      <c r="C16" t="inlineStr">
        <is>
          <t>https://www2.jpx.co.jp/disc/62240/140120231013566440.pdf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2026-10-26T10:55:15Z</dcterms:created>
  <dcterms:modified xmlns:dcterms="http://purl.org/dc/terms/" xmlns:xsi="http://www.w3.org/2001/XMLSchema-instance" xsi:type="dcterms:W3CDTF">2026-10-26T10:55:15Z</dcterms:modified>
</cp:coreProperties>
</file>