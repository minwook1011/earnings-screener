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부문" sheetId="5" state="visible" r:id="rId5"/>
    <sheet xmlns:r="http://schemas.openxmlformats.org/officeDocument/2006/relationships" name="출처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8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</fonts>
  <fills count="3">
    <fill>
      <patternFill/>
    </fill>
    <fill>
      <patternFill patternType="gray125"/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40" customWidth="1" min="24" max="24"/>
  </cols>
  <sheetData>
    <row r="1">
      <c r="A1" s="1" t="inlineStr">
        <is>
          <t>JRC 손익계산서</t>
        </is>
      </c>
    </row>
    <row r="2">
      <c r="A2" s="2" t="inlineStr">
        <is>
          <t>결산기 기준(27.2Q = 2027년 결산기 2분기) · 2월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22.4Q</t>
        </is>
      </c>
      <c r="D3" s="4" t="inlineStr">
        <is>
          <t>23.4Q</t>
        </is>
      </c>
      <c r="E3" s="4" t="inlineStr">
        <is>
          <t>24.1Q</t>
        </is>
      </c>
      <c r="F3" s="4" t="inlineStr">
        <is>
          <t>24.2Q</t>
        </is>
      </c>
      <c r="G3" s="4" t="inlineStr">
        <is>
          <t>24.3Q</t>
        </is>
      </c>
      <c r="H3" s="4" t="inlineStr">
        <is>
          <t>24.4Q</t>
        </is>
      </c>
      <c r="I3" s="4" t="inlineStr">
        <is>
          <t>25.1Q</t>
        </is>
      </c>
      <c r="J3" s="4" t="inlineStr">
        <is>
          <t>25.2Q</t>
        </is>
      </c>
      <c r="K3" s="4" t="inlineStr">
        <is>
          <t>25.3Q</t>
        </is>
      </c>
      <c r="L3" s="4" t="inlineStr">
        <is>
          <t>25.4Q</t>
        </is>
      </c>
      <c r="M3" s="4" t="inlineStr">
        <is>
          <t>26.1Q</t>
        </is>
      </c>
      <c r="N3" s="4" t="inlineStr">
        <is>
          <t>26.2Q</t>
        </is>
      </c>
      <c r="O3" s="4" t="inlineStr">
        <is>
          <t>26.3Q</t>
        </is>
      </c>
      <c r="P3" s="4" t="inlineStr">
        <is>
          <t>26.4Q</t>
        </is>
      </c>
      <c r="Q3" s="4" t="inlineStr">
        <is>
          <t>27.1Q</t>
        </is>
      </c>
      <c r="R3" s="4" t="inlineStr">
        <is>
          <t>27.2Q</t>
        </is>
      </c>
      <c r="S3" s="4" t="inlineStr">
        <is>
          <t>FY22</t>
        </is>
      </c>
      <c r="T3" s="4" t="inlineStr">
        <is>
          <t>FY23</t>
        </is>
      </c>
      <c r="U3" s="4" t="inlineStr">
        <is>
          <t>FY24</t>
        </is>
      </c>
      <c r="V3" s="4" t="inlineStr">
        <is>
          <t>FY25</t>
        </is>
      </c>
      <c r="W3" s="4" t="inlineStr">
        <is>
          <t>FY26</t>
        </is>
      </c>
      <c r="X3" s="4" t="inlineStr">
        <is>
          <t>출처</t>
        </is>
      </c>
    </row>
    <row r="4">
      <c r="A4" s="5" t="inlineStr">
        <is>
          <t>매출액</t>
        </is>
      </c>
      <c r="E4" s="6" t="n">
        <v>19.7294</v>
      </c>
      <c r="F4" s="6" t="n">
        <v>24.1738</v>
      </c>
      <c r="G4" s="6" t="n">
        <v>25.7476</v>
      </c>
      <c r="H4" s="6" t="n">
        <v>25.0821</v>
      </c>
      <c r="I4" s="6" t="n">
        <v>23.5573</v>
      </c>
      <c r="J4" s="6" t="n">
        <v>25.9333</v>
      </c>
      <c r="K4" s="6" t="n">
        <v>29.6898</v>
      </c>
      <c r="L4" s="6" t="n">
        <v>31.4653</v>
      </c>
      <c r="M4" s="6" t="n">
        <v>33.9475</v>
      </c>
      <c r="N4" s="6" t="n">
        <v>29.3138</v>
      </c>
      <c r="O4" s="6" t="n">
        <v>33.8359</v>
      </c>
      <c r="P4" s="6" t="n">
        <v>40.3716</v>
      </c>
      <c r="Q4" s="6" t="n">
        <v>35.3883</v>
      </c>
      <c r="R4" s="6" t="n">
        <v>32.4332</v>
      </c>
      <c r="T4" s="6" t="n">
        <v>89.6116</v>
      </c>
      <c r="U4" s="6" t="n">
        <v>94.7329</v>
      </c>
      <c r="V4" s="6" t="n">
        <v>110.6457</v>
      </c>
      <c r="W4" s="6" t="n">
        <v>137.4689</v>
      </c>
      <c r="X4" s="7" t="inlineStr">
        <is>
          <t>결산단신 XBRL(거래소 공시, TDnet·JPX 보관소). 쓴 문서: 2026-10-15, 2026-07-15, 2026-04-14, 2026-01-14 외 9건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T5" s="9">
        <f>IF(OR(T4="",S4=""),"",IFERROR(T4/S4-1,""))</f>
        <v/>
      </c>
      <c r="U5" s="9">
        <f>IF(OR(U4="",T4=""),"",IFERROR(U4/T4-1,""))</f>
        <v/>
      </c>
      <c r="V5" s="9">
        <f>IF(OR(V4="",U4=""),"",IFERROR(V4/U4-1,""))</f>
        <v/>
      </c>
      <c r="W5" s="9">
        <f>IF(OR(W4="",V4=""),"",IFERROR(W4/V4-1,""))</f>
        <v/>
      </c>
    </row>
    <row r="6">
      <c r="A6" s="5" t="inlineStr">
        <is>
          <t>매출원가</t>
        </is>
      </c>
      <c r="E6" s="6" t="n">
        <v>13.2088</v>
      </c>
      <c r="F6" s="6" t="n">
        <v>16.3331</v>
      </c>
      <c r="G6" s="6" t="n">
        <v>16.6544</v>
      </c>
      <c r="H6" s="6" t="n">
        <v>16.4038</v>
      </c>
      <c r="I6" s="6" t="n">
        <v>15.2653</v>
      </c>
      <c r="J6" s="6" t="n">
        <v>16.3604</v>
      </c>
      <c r="K6" s="6" t="n">
        <v>18.4203</v>
      </c>
      <c r="L6" s="6" t="n">
        <v>20.6093</v>
      </c>
      <c r="M6" s="6" t="n">
        <v>19.9337</v>
      </c>
      <c r="N6" s="6" t="n">
        <v>20.3649</v>
      </c>
      <c r="O6" s="6" t="n">
        <v>22.3887</v>
      </c>
      <c r="P6" s="6" t="n">
        <v>25.991</v>
      </c>
      <c r="Q6" s="6" t="n">
        <v>23.5891</v>
      </c>
      <c r="R6" s="6" t="n">
        <v>19.903</v>
      </c>
      <c r="T6" s="6" t="n">
        <v>59.3779</v>
      </c>
      <c r="U6" s="6" t="n">
        <v>62.6</v>
      </c>
      <c r="V6" s="6" t="n">
        <v>70.6554</v>
      </c>
      <c r="W6" s="6" t="n">
        <v>88.67829999999999</v>
      </c>
    </row>
    <row r="7">
      <c r="A7" s="5" t="inlineStr">
        <is>
          <t>매출총이익</t>
        </is>
      </c>
      <c r="E7" s="6" t="n">
        <v>6.5206</v>
      </c>
      <c r="F7" s="6" t="n">
        <v>7.8407</v>
      </c>
      <c r="G7" s="6" t="n">
        <v>9.0932</v>
      </c>
      <c r="H7" s="6" t="n">
        <v>8.6784</v>
      </c>
      <c r="I7" s="6" t="n">
        <v>8.292</v>
      </c>
      <c r="J7" s="6" t="n">
        <v>9.572900000000001</v>
      </c>
      <c r="K7" s="6" t="n">
        <v>11.2695</v>
      </c>
      <c r="L7" s="6" t="n">
        <v>10.8559</v>
      </c>
      <c r="M7" s="6" t="n">
        <v>14.0138</v>
      </c>
      <c r="N7" s="6" t="n">
        <v>8.9489</v>
      </c>
      <c r="O7" s="6" t="n">
        <v>11.4473</v>
      </c>
      <c r="P7" s="6" t="n">
        <v>14.3806</v>
      </c>
      <c r="Q7" s="6" t="n">
        <v>11.7992</v>
      </c>
      <c r="R7" s="6" t="n">
        <v>12.5303</v>
      </c>
      <c r="T7" s="6" t="n">
        <v>30.2337</v>
      </c>
      <c r="U7" s="6" t="n">
        <v>32.133</v>
      </c>
      <c r="V7" s="6" t="n">
        <v>39.9903</v>
      </c>
      <c r="W7" s="6" t="n">
        <v>48.7906</v>
      </c>
    </row>
    <row r="8">
      <c r="A8" s="8" t="inlineStr">
        <is>
          <t>매출총이익률</t>
        </is>
      </c>
      <c r="C8" s="9">
        <f>IF(OR(C7="",C4=""),"",IFERROR(C7/C4,""))</f>
        <v/>
      </c>
      <c r="D8" s="9">
        <f>IF(OR(D7="",D4=""),"",IFERROR(D7/D4,""))</f>
        <v/>
      </c>
      <c r="E8" s="9">
        <f>IF(OR(E7="",E4=""),"",IFERROR(E7/E4,""))</f>
        <v/>
      </c>
      <c r="F8" s="9">
        <f>IF(OR(F7="",F4=""),"",IFERROR(F7/F4,""))</f>
        <v/>
      </c>
      <c r="G8" s="9">
        <f>IF(OR(G7="",G4=""),"",IFERROR(G7/G4,""))</f>
        <v/>
      </c>
      <c r="H8" s="9">
        <f>IF(OR(H7="",H4=""),"",IFERROR(H7/H4,""))</f>
        <v/>
      </c>
      <c r="I8" s="9">
        <f>IF(OR(I7="",I4=""),"",IFERROR(I7/I4,""))</f>
        <v/>
      </c>
      <c r="J8" s="9">
        <f>IF(OR(J7="",J4=""),"",IFERROR(J7/J4,""))</f>
        <v/>
      </c>
      <c r="K8" s="9">
        <f>IF(OR(K7="",K4=""),"",IFERROR(K7/K4,""))</f>
        <v/>
      </c>
      <c r="L8" s="9">
        <f>IF(OR(L7="",L4=""),"",IFERROR(L7/L4,""))</f>
        <v/>
      </c>
      <c r="M8" s="9">
        <f>IF(OR(M7="",M4=""),"",IFERROR(M7/M4,""))</f>
        <v/>
      </c>
      <c r="N8" s="9">
        <f>IF(OR(N7="",N4=""),"",IFERROR(N7/N4,""))</f>
        <v/>
      </c>
      <c r="O8" s="9">
        <f>IF(OR(O7="",O4=""),"",IFERROR(O7/O4,""))</f>
        <v/>
      </c>
      <c r="P8" s="9">
        <f>IF(OR(P7="",P4=""),"",IFERROR(P7/P4,""))</f>
        <v/>
      </c>
      <c r="Q8" s="9">
        <f>IF(OR(Q7="",Q4=""),"",IFERROR(Q7/Q4,""))</f>
        <v/>
      </c>
      <c r="R8" s="9">
        <f>IF(OR(R7="",R4=""),"",IFERROR(R7/R4,""))</f>
        <v/>
      </c>
      <c r="S8" s="9">
        <f>IF(OR(S7="",S4=""),"",IFERROR(S7/S4,""))</f>
        <v/>
      </c>
      <c r="T8" s="9">
        <f>IF(OR(T7="",T4=""),"",IFERROR(T7/T4,""))</f>
        <v/>
      </c>
      <c r="U8" s="9">
        <f>IF(OR(U7="",U4=""),"",IFERROR(U7/U4,""))</f>
        <v/>
      </c>
      <c r="V8" s="9">
        <f>IF(OR(V7="",V4=""),"",IFERROR(V7/V4,""))</f>
        <v/>
      </c>
      <c r="W8" s="9">
        <f>IF(OR(W7="",W4=""),"",IFERROR(W7/W4,""))</f>
        <v/>
      </c>
    </row>
    <row r="9">
      <c r="A9" s="10" t="inlineStr">
        <is>
          <t>판매비와 관리비</t>
        </is>
      </c>
      <c r="E9" s="11" t="n">
        <v>4.564</v>
      </c>
      <c r="F9" s="11" t="n">
        <v>4.8176</v>
      </c>
      <c r="G9" s="11" t="n">
        <v>4.9705</v>
      </c>
      <c r="H9" s="11" t="n">
        <v>5.0719</v>
      </c>
      <c r="I9" s="11" t="n">
        <v>5.749</v>
      </c>
      <c r="J9" s="11" t="n">
        <v>5.6039</v>
      </c>
      <c r="K9" s="11" t="n">
        <v>7.6674</v>
      </c>
      <c r="L9" s="11" t="n">
        <v>7.213</v>
      </c>
      <c r="M9" s="11" t="n">
        <v>7.0335</v>
      </c>
      <c r="N9" s="11" t="n">
        <v>6.8872</v>
      </c>
      <c r="O9" s="11" t="n">
        <v>7.3626</v>
      </c>
      <c r="P9" s="11" t="n">
        <v>7.8667</v>
      </c>
      <c r="Q9" s="11" t="n">
        <v>7.3995</v>
      </c>
      <c r="R9" s="11" t="n">
        <v>6.8949</v>
      </c>
      <c r="T9" s="11" t="n">
        <v>17.7104</v>
      </c>
      <c r="U9" s="11" t="n">
        <v>19.424</v>
      </c>
      <c r="V9" s="11" t="n">
        <v>26.2333</v>
      </c>
      <c r="W9" s="11" t="n">
        <v>29.15</v>
      </c>
    </row>
    <row r="10">
      <c r="A10" s="5" t="inlineStr">
        <is>
          <t>영업이익</t>
        </is>
      </c>
      <c r="E10" s="6" t="n">
        <v>1.9566</v>
      </c>
      <c r="F10" s="6" t="n">
        <v>3.0231</v>
      </c>
      <c r="G10" s="6" t="n">
        <v>4.1227</v>
      </c>
      <c r="H10" s="6" t="n">
        <v>3.6065</v>
      </c>
      <c r="I10" s="6" t="n">
        <v>2.543</v>
      </c>
      <c r="J10" s="6" t="n">
        <v>3.969</v>
      </c>
      <c r="K10" s="6" t="n">
        <v>3.6021</v>
      </c>
      <c r="L10" s="6" t="n">
        <v>3.643</v>
      </c>
      <c r="M10" s="6" t="n">
        <v>6.9803</v>
      </c>
      <c r="N10" s="6" t="n">
        <v>2.0617</v>
      </c>
      <c r="O10" s="6" t="n">
        <v>4.0847</v>
      </c>
      <c r="P10" s="6" t="n">
        <v>6.5139</v>
      </c>
      <c r="Q10" s="6" t="n">
        <v>4.3997</v>
      </c>
      <c r="R10" s="6" t="n">
        <v>5.6353</v>
      </c>
      <c r="T10" s="6" t="n">
        <v>12.5233</v>
      </c>
      <c r="U10" s="6" t="n">
        <v>12.7089</v>
      </c>
      <c r="V10" s="6" t="n">
        <v>13.7571</v>
      </c>
      <c r="W10" s="6" t="n">
        <v>19.6406</v>
      </c>
    </row>
    <row r="11">
      <c r="A11" s="8" t="inlineStr">
        <is>
          <t>영업이익률</t>
        </is>
      </c>
      <c r="C11" s="9">
        <f>IF(OR(C10="",C4=""),"",IFERROR(C10/C4,""))</f>
        <v/>
      </c>
      <c r="D11" s="9">
        <f>IF(OR(D10="",D4=""),"",IFERROR(D10/D4,""))</f>
        <v/>
      </c>
      <c r="E11" s="9">
        <f>IF(OR(E10="",E4=""),"",IFERROR(E10/E4,""))</f>
        <v/>
      </c>
      <c r="F11" s="9">
        <f>IF(OR(F10="",F4=""),"",IFERROR(F10/F4,""))</f>
        <v/>
      </c>
      <c r="G11" s="9">
        <f>IF(OR(G10="",G4=""),"",IFERROR(G10/G4,""))</f>
        <v/>
      </c>
      <c r="H11" s="9">
        <f>IF(OR(H10="",H4=""),"",IFERROR(H10/H4,""))</f>
        <v/>
      </c>
      <c r="I11" s="9">
        <f>IF(OR(I10="",I4=""),"",IFERROR(I10/I4,""))</f>
        <v/>
      </c>
      <c r="J11" s="9">
        <f>IF(OR(J10="",J4=""),"",IFERROR(J10/J4,""))</f>
        <v/>
      </c>
      <c r="K11" s="9">
        <f>IF(OR(K10="",K4=""),"",IFERROR(K10/K4,""))</f>
        <v/>
      </c>
      <c r="L11" s="9">
        <f>IF(OR(L10="",L4=""),"",IFERROR(L10/L4,""))</f>
        <v/>
      </c>
      <c r="M11" s="9">
        <f>IF(OR(M10="",M4=""),"",IFERROR(M10/M4,""))</f>
        <v/>
      </c>
      <c r="N11" s="9">
        <f>IF(OR(N10="",N4=""),"",IFERROR(N10/N4,""))</f>
        <v/>
      </c>
      <c r="O11" s="9">
        <f>IF(OR(O10="",O4=""),"",IFERROR(O10/O4,""))</f>
        <v/>
      </c>
      <c r="P11" s="9">
        <f>IF(OR(P10="",P4=""),"",IFERROR(P10/P4,""))</f>
        <v/>
      </c>
      <c r="Q11" s="9">
        <f>IF(OR(Q10="",Q4=""),"",IFERROR(Q10/Q4,""))</f>
        <v/>
      </c>
      <c r="R11" s="9">
        <f>IF(OR(R10="",R4=""),"",IFERROR(R10/R4,""))</f>
        <v/>
      </c>
      <c r="S11" s="9">
        <f>IF(OR(S10="",S4=""),"",IFERROR(S10/S4,""))</f>
        <v/>
      </c>
      <c r="T11" s="9">
        <f>IF(OR(T10="",T4=""),"",IFERROR(T10/T4,""))</f>
        <v/>
      </c>
      <c r="U11" s="9">
        <f>IF(OR(U10="",U4=""),"",IFERROR(U10/U4,""))</f>
        <v/>
      </c>
      <c r="V11" s="9">
        <f>IF(OR(V10="",V4=""),"",IFERROR(V10/V4,""))</f>
        <v/>
      </c>
      <c r="W11" s="9">
        <f>IF(OR(W10="",W4=""),"",IFERROR(W10/W4,""))</f>
        <v/>
      </c>
    </row>
    <row r="12">
      <c r="A12" s="8" t="inlineStr">
        <is>
          <t>YoY</t>
        </is>
      </c>
      <c r="G12" s="9">
        <f>IF(OR(G10="",C10=""),"",IFERROR(G10/C10-1,""))</f>
        <v/>
      </c>
      <c r="H12" s="9">
        <f>IF(OR(H10="",D10=""),"",IFERROR(H10/D10-1,""))</f>
        <v/>
      </c>
      <c r="I12" s="9">
        <f>IF(OR(I10="",E10=""),"",IFERROR(I10/E10-1,""))</f>
        <v/>
      </c>
      <c r="J12" s="9">
        <f>IF(OR(J10="",F10=""),"",IFERROR(J10/F10-1,""))</f>
        <v/>
      </c>
      <c r="K12" s="9">
        <f>IF(OR(K10="",G10=""),"",IFERROR(K10/G10-1,""))</f>
        <v/>
      </c>
      <c r="L12" s="9">
        <f>IF(OR(L10="",H10=""),"",IFERROR(L10/H10-1,""))</f>
        <v/>
      </c>
      <c r="M12" s="9">
        <f>IF(OR(M10="",I10=""),"",IFERROR(M10/I10-1,""))</f>
        <v/>
      </c>
      <c r="N12" s="9">
        <f>IF(OR(N10="",J10=""),"",IFERROR(N10/J10-1,""))</f>
        <v/>
      </c>
      <c r="O12" s="9">
        <f>IF(OR(O10="",K10=""),"",IFERROR(O10/K10-1,""))</f>
        <v/>
      </c>
      <c r="P12" s="9">
        <f>IF(OR(P10="",L10=""),"",IFERROR(P10/L10-1,""))</f>
        <v/>
      </c>
      <c r="Q12" s="9">
        <f>IF(OR(Q10="",M10=""),"",IFERROR(Q10/M10-1,""))</f>
        <v/>
      </c>
      <c r="R12" s="9">
        <f>IF(OR(R10="",N10=""),"",IFERROR(R10/N10-1,""))</f>
        <v/>
      </c>
      <c r="T12" s="9">
        <f>IF(OR(T10="",S10=""),"",IFERROR(T10/S10-1,""))</f>
        <v/>
      </c>
      <c r="U12" s="9">
        <f>IF(OR(U10="",T10=""),"",IFERROR(U10/T10-1,""))</f>
        <v/>
      </c>
      <c r="V12" s="9">
        <f>IF(OR(V10="",U10=""),"",IFERROR(V10/U10-1,""))</f>
        <v/>
      </c>
      <c r="W12" s="9">
        <f>IF(OR(W10="",V10=""),"",IFERROR(W10/V10-1,""))</f>
        <v/>
      </c>
    </row>
    <row r="13">
      <c r="A13" s="10" t="inlineStr">
        <is>
          <t>이자수익</t>
        </is>
      </c>
      <c r="V13" s="11" t="n">
        <v>0.0021</v>
      </c>
      <c r="W13" s="11" t="n">
        <v>0.0492</v>
      </c>
    </row>
    <row r="14">
      <c r="A14" s="10" t="inlineStr">
        <is>
          <t>외환차익</t>
        </is>
      </c>
      <c r="E14" s="11" t="n">
        <v>0.4534</v>
      </c>
      <c r="F14" s="11" t="n">
        <v>0.8677</v>
      </c>
      <c r="G14" s="11" t="n">
        <v>-0.0064</v>
      </c>
      <c r="H14" s="11" t="n">
        <v>-0.0065</v>
      </c>
      <c r="I14" s="11" t="n">
        <v>0.0029</v>
      </c>
      <c r="J14" s="11" t="n">
        <v>0.0011</v>
      </c>
      <c r="K14" s="11" t="n">
        <v>0.0236</v>
      </c>
      <c r="L14" s="11" t="n">
        <v>0.0059</v>
      </c>
      <c r="M14" s="11" t="n">
        <v>0</v>
      </c>
      <c r="N14" s="11" t="n">
        <v>0</v>
      </c>
      <c r="O14" s="11" t="n">
        <v>0.0012</v>
      </c>
      <c r="P14" s="11" t="n">
        <v>-0.0012</v>
      </c>
      <c r="T14" s="11" t="n">
        <v>2.7888</v>
      </c>
      <c r="U14" s="11" t="n">
        <v>1.3081</v>
      </c>
      <c r="V14" s="11" t="n">
        <v>0.0335</v>
      </c>
      <c r="W14" s="11" t="n">
        <v>0</v>
      </c>
    </row>
    <row r="15">
      <c r="A15" s="10" t="inlineStr">
        <is>
          <t>스크랩 매각이익</t>
        </is>
      </c>
      <c r="E15" s="11" t="n">
        <v>0.0489</v>
      </c>
      <c r="F15" s="11" t="n">
        <v>0.0663</v>
      </c>
      <c r="G15" s="11" t="n">
        <v>0.044</v>
      </c>
      <c r="H15" s="11" t="n">
        <v>0.0864</v>
      </c>
      <c r="I15" s="11" t="n">
        <v>0.0595</v>
      </c>
      <c r="J15" s="11" t="n">
        <v>0.1022</v>
      </c>
      <c r="K15" s="11" t="n">
        <v>0.0735</v>
      </c>
      <c r="L15" s="11" t="n">
        <v>0.0644</v>
      </c>
      <c r="M15" s="11" t="n">
        <v>0.0422</v>
      </c>
      <c r="N15" s="11" t="n">
        <v>0.06909999999999999</v>
      </c>
      <c r="O15" s="11" t="n">
        <v>0.0434</v>
      </c>
      <c r="P15" s="11" t="n">
        <v>0.073</v>
      </c>
      <c r="Q15" s="11" t="n">
        <v>0.0669</v>
      </c>
      <c r="R15" s="11" t="n">
        <v>0.08110000000000001</v>
      </c>
      <c r="T15" s="11" t="n">
        <v>0.2812</v>
      </c>
      <c r="U15" s="11" t="n">
        <v>0.2456</v>
      </c>
      <c r="V15" s="11" t="n">
        <v>0.2996</v>
      </c>
      <c r="W15" s="11" t="n">
        <v>0.2278</v>
      </c>
    </row>
    <row r="16">
      <c r="A16" s="10" t="inlineStr">
        <is>
          <t>배당금수익</t>
        </is>
      </c>
      <c r="G16" s="11" t="n">
        <v>0</v>
      </c>
      <c r="H16" s="11" t="n">
        <v>0.0132</v>
      </c>
      <c r="I16" s="11" t="n">
        <v>0</v>
      </c>
      <c r="J16" s="11" t="n">
        <v>0.025</v>
      </c>
      <c r="K16" s="11" t="n">
        <v>0.004</v>
      </c>
      <c r="L16" s="11" t="n">
        <v>0.0205</v>
      </c>
      <c r="M16" s="11" t="n">
        <v>0.0015</v>
      </c>
      <c r="N16" s="11" t="n">
        <v>0.0337</v>
      </c>
      <c r="O16" s="11" t="n">
        <v>0</v>
      </c>
      <c r="P16" s="11" t="n">
        <v>0.0248</v>
      </c>
      <c r="Q16" s="11" t="n">
        <v>0.0019</v>
      </c>
      <c r="R16" s="11" t="n">
        <v>0.0363</v>
      </c>
      <c r="T16" s="11" t="n">
        <v>0.0351</v>
      </c>
      <c r="U16" s="11" t="n">
        <v>0.037</v>
      </c>
      <c r="V16" s="11" t="n">
        <v>0.0496</v>
      </c>
      <c r="W16" s="11" t="n">
        <v>0.06</v>
      </c>
    </row>
    <row r="17">
      <c r="A17" s="10" t="inlineStr">
        <is>
          <t>익명조합 투자이익</t>
        </is>
      </c>
      <c r="M17" s="11" t="n">
        <v>0</v>
      </c>
      <c r="N17" s="11" t="n">
        <v>0</v>
      </c>
      <c r="Q17" s="11" t="n">
        <v>0.0704</v>
      </c>
      <c r="R17" s="11" t="n">
        <v>0</v>
      </c>
    </row>
    <row r="18">
      <c r="A18" s="10" t="inlineStr">
        <is>
          <t>기타</t>
        </is>
      </c>
      <c r="E18" s="11" t="n">
        <v>0.0067</v>
      </c>
      <c r="F18" s="11" t="n">
        <v>0.2459</v>
      </c>
      <c r="G18" s="11" t="n">
        <v>0.0279</v>
      </c>
      <c r="H18" s="11" t="n">
        <v>-0.2261</v>
      </c>
      <c r="I18" s="11" t="n">
        <v>0.0258</v>
      </c>
      <c r="J18" s="11" t="n">
        <v>0.0254</v>
      </c>
      <c r="K18" s="11" t="n">
        <v>0.0308</v>
      </c>
      <c r="L18" s="11" t="n">
        <v>0.0861</v>
      </c>
      <c r="M18" s="11" t="n">
        <v>0.0587</v>
      </c>
      <c r="N18" s="11" t="n">
        <v>0.0325</v>
      </c>
      <c r="O18" s="11" t="n">
        <v>0.0306</v>
      </c>
      <c r="P18" s="11" t="n">
        <v>0.0031</v>
      </c>
      <c r="Q18" s="11" t="n">
        <v>0.0424</v>
      </c>
      <c r="R18" s="11" t="n">
        <v>0.0555</v>
      </c>
      <c r="T18" s="11" t="n">
        <v>0.1268</v>
      </c>
      <c r="U18" s="11" t="n">
        <v>0.0544</v>
      </c>
      <c r="V18" s="11" t="n">
        <v>0.1681</v>
      </c>
      <c r="W18" s="11" t="n">
        <v>0.1249</v>
      </c>
    </row>
    <row r="19">
      <c r="A19" s="5" t="inlineStr">
        <is>
          <t>영업외수익 합계</t>
        </is>
      </c>
      <c r="E19" s="6" t="n">
        <v>0.509</v>
      </c>
      <c r="F19" s="6" t="n">
        <v>1.2036</v>
      </c>
      <c r="G19" s="6" t="n">
        <v>0.06560000000000001</v>
      </c>
      <c r="H19" s="6" t="n">
        <v>-0.1331</v>
      </c>
      <c r="I19" s="6" t="n">
        <v>0.0882</v>
      </c>
      <c r="J19" s="6" t="n">
        <v>0.1538</v>
      </c>
      <c r="K19" s="6" t="n">
        <v>0.1319</v>
      </c>
      <c r="L19" s="6" t="n">
        <v>0.1789</v>
      </c>
      <c r="M19" s="6" t="n">
        <v>0.1024</v>
      </c>
      <c r="N19" s="6" t="n">
        <v>0.1353</v>
      </c>
      <c r="O19" s="6" t="n">
        <v>0.07530000000000001</v>
      </c>
      <c r="P19" s="6" t="n">
        <v>0.1489</v>
      </c>
      <c r="Q19" s="6" t="n">
        <v>0.1816</v>
      </c>
      <c r="R19" s="6" t="n">
        <v>0.1762</v>
      </c>
      <c r="T19" s="6" t="n">
        <v>3.2319</v>
      </c>
      <c r="U19" s="6" t="n">
        <v>1.6451</v>
      </c>
      <c r="V19" s="6" t="n">
        <v>0.5528999999999999</v>
      </c>
      <c r="W19" s="6" t="n">
        <v>0.4619</v>
      </c>
    </row>
    <row r="20">
      <c r="A20" s="10" t="inlineStr">
        <is>
          <t>이자비용</t>
        </is>
      </c>
      <c r="E20" s="11" t="n">
        <v>0.0569</v>
      </c>
      <c r="F20" s="11" t="n">
        <v>0.0605</v>
      </c>
      <c r="G20" s="11" t="n">
        <v>0.053</v>
      </c>
      <c r="H20" s="11" t="n">
        <v>0.0495</v>
      </c>
      <c r="I20" s="11" t="n">
        <v>0.0398</v>
      </c>
      <c r="J20" s="11" t="n">
        <v>0.0475</v>
      </c>
      <c r="K20" s="11" t="n">
        <v>0.0716</v>
      </c>
      <c r="L20" s="11" t="n">
        <v>0.0906</v>
      </c>
      <c r="M20" s="11" t="n">
        <v>0.1102</v>
      </c>
      <c r="N20" s="11" t="n">
        <v>0.1094</v>
      </c>
      <c r="O20" s="11" t="n">
        <v>0.1053</v>
      </c>
      <c r="P20" s="11" t="n">
        <v>0.1133</v>
      </c>
      <c r="Q20" s="11" t="n">
        <v>0.1474</v>
      </c>
      <c r="R20" s="11" t="n">
        <v>0.1809</v>
      </c>
      <c r="T20" s="11" t="n">
        <v>0.2452</v>
      </c>
      <c r="U20" s="11" t="n">
        <v>0.22</v>
      </c>
      <c r="V20" s="11" t="n">
        <v>0.2494</v>
      </c>
      <c r="W20" s="11" t="n">
        <v>0.4382</v>
      </c>
    </row>
    <row r="21">
      <c r="A21" s="10" t="inlineStr">
        <is>
          <t>대손충당금 전입</t>
        </is>
      </c>
      <c r="E21" s="11" t="n">
        <v>0.4672</v>
      </c>
      <c r="F21" s="11" t="n">
        <v>0.8696</v>
      </c>
      <c r="G21" s="11" t="n">
        <v>0</v>
      </c>
      <c r="H21" s="11" t="n">
        <v>-0.2356</v>
      </c>
      <c r="I21" s="11" t="n">
        <v>0</v>
      </c>
      <c r="J21" s="11" t="n">
        <v>0</v>
      </c>
      <c r="K21" s="11" t="n">
        <v>0</v>
      </c>
      <c r="L21" s="11" t="n">
        <v>0</v>
      </c>
      <c r="T21" s="11" t="n">
        <v>2.7826</v>
      </c>
      <c r="U21" s="11" t="n">
        <v>1.1011</v>
      </c>
      <c r="V21" s="11" t="n">
        <v>0</v>
      </c>
    </row>
    <row r="22">
      <c r="A22" s="10" t="inlineStr">
        <is>
          <t>상장 관련 비용</t>
        </is>
      </c>
      <c r="T22" s="11" t="n">
        <v>0</v>
      </c>
      <c r="U22" s="11" t="n">
        <v>0.2276</v>
      </c>
      <c r="V22" s="11" t="n">
        <v>0</v>
      </c>
    </row>
    <row r="23">
      <c r="A23" s="10" t="inlineStr">
        <is>
          <t>지분법손실</t>
        </is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0.0491</v>
      </c>
      <c r="N23" s="11" t="n">
        <v>0.0969</v>
      </c>
      <c r="O23" s="11" t="n">
        <v>0.0654</v>
      </c>
      <c r="P23" s="11" t="n">
        <v>0.1265</v>
      </c>
      <c r="Q23" s="11" t="n">
        <v>0.1036</v>
      </c>
      <c r="R23" s="11" t="n">
        <v>0.0567</v>
      </c>
      <c r="V23" s="11" t="n">
        <v>0</v>
      </c>
      <c r="W23" s="11" t="n">
        <v>0.3379</v>
      </c>
    </row>
    <row r="24">
      <c r="A24" s="10" t="inlineStr">
        <is>
          <t>익명조합 투자손실</t>
        </is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v>0.1722</v>
      </c>
      <c r="N24" s="11" t="n">
        <v>0</v>
      </c>
      <c r="O24" s="11" t="n">
        <v>0</v>
      </c>
      <c r="P24" s="11" t="n">
        <v>0.0412</v>
      </c>
      <c r="Q24" s="11" t="n">
        <v>0.0384</v>
      </c>
      <c r="R24" s="11" t="n">
        <v>0</v>
      </c>
      <c r="V24" s="11" t="n">
        <v>0</v>
      </c>
      <c r="W24" s="11" t="n">
        <v>0.2135</v>
      </c>
    </row>
    <row r="25">
      <c r="A25" s="10" t="inlineStr">
        <is>
          <t>외환차손</t>
        </is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0.0077</v>
      </c>
      <c r="N25" s="11" t="n">
        <v>0.0058</v>
      </c>
      <c r="O25" s="11" t="n">
        <v>0.001</v>
      </c>
      <c r="P25" s="11" t="n">
        <v>-0.0112</v>
      </c>
      <c r="Q25" s="11" t="n">
        <v>0.0004</v>
      </c>
      <c r="R25" s="11" t="n">
        <v>-0.0004</v>
      </c>
      <c r="V25" s="11" t="n">
        <v>0</v>
      </c>
      <c r="W25" s="11" t="n">
        <v>0.0033</v>
      </c>
    </row>
    <row r="26">
      <c r="A26" s="10" t="inlineStr">
        <is>
          <t>기타</t>
        </is>
      </c>
      <c r="E26" s="11" t="n">
        <v>0.0274</v>
      </c>
      <c r="F26" s="11" t="n">
        <v>0.2078</v>
      </c>
      <c r="G26" s="11" t="n">
        <v>0.0058</v>
      </c>
      <c r="H26" s="11" t="n">
        <v>-0.1742</v>
      </c>
      <c r="I26" s="11" t="n">
        <v>0.0046</v>
      </c>
      <c r="J26" s="11" t="n">
        <v>0.0034</v>
      </c>
      <c r="K26" s="11" t="n">
        <v>0.0029</v>
      </c>
      <c r="L26" s="11" t="n">
        <v>0.0004</v>
      </c>
      <c r="M26" s="11" t="n">
        <v>0.0354</v>
      </c>
      <c r="N26" s="11" t="n">
        <v>0.0025</v>
      </c>
      <c r="O26" s="11" t="n">
        <v>0.0454</v>
      </c>
      <c r="P26" s="11" t="n">
        <v>-0.0196</v>
      </c>
      <c r="Q26" s="11" t="n">
        <v>0.016</v>
      </c>
      <c r="R26" s="11" t="n">
        <v>0.0043</v>
      </c>
      <c r="T26" s="11" t="n">
        <v>0.0253</v>
      </c>
      <c r="U26" s="11" t="n">
        <v>0.0668</v>
      </c>
      <c r="V26" s="11" t="n">
        <v>0.0112</v>
      </c>
      <c r="W26" s="11" t="n">
        <v>0.0638</v>
      </c>
    </row>
    <row r="27">
      <c r="A27" s="10" t="inlineStr">
        <is>
          <t>영업외비용 합계</t>
        </is>
      </c>
      <c r="E27" s="11" t="n">
        <v>0.5514</v>
      </c>
      <c r="F27" s="11" t="n">
        <v>1.1379</v>
      </c>
      <c r="G27" s="11" t="n">
        <v>0.0588</v>
      </c>
      <c r="H27" s="11" t="n">
        <v>-0.1327</v>
      </c>
      <c r="I27" s="11" t="n">
        <v>0.0443</v>
      </c>
      <c r="J27" s="11" t="n">
        <v>0.0509</v>
      </c>
      <c r="K27" s="11" t="n">
        <v>0.0745</v>
      </c>
      <c r="L27" s="11" t="n">
        <v>0.091</v>
      </c>
      <c r="M27" s="11" t="n">
        <v>0.3746</v>
      </c>
      <c r="N27" s="11" t="n">
        <v>0.2147</v>
      </c>
      <c r="O27" s="11" t="n">
        <v>0.2172</v>
      </c>
      <c r="P27" s="11" t="n">
        <v>0.2502</v>
      </c>
      <c r="Q27" s="11" t="n">
        <v>0.3058</v>
      </c>
      <c r="R27" s="11" t="n">
        <v>0.2415</v>
      </c>
      <c r="T27" s="11" t="n">
        <v>3.0531</v>
      </c>
      <c r="U27" s="11" t="n">
        <v>1.6154</v>
      </c>
      <c r="V27" s="11" t="n">
        <v>0.2607</v>
      </c>
      <c r="W27" s="11" t="n">
        <v>1.0567</v>
      </c>
    </row>
    <row r="28">
      <c r="A28" s="5" t="inlineStr">
        <is>
          <t>경상이익</t>
        </is>
      </c>
      <c r="E28" s="6" t="n">
        <v>1.9142</v>
      </c>
      <c r="F28" s="6" t="n">
        <v>3.0889</v>
      </c>
      <c r="G28" s="6" t="n">
        <v>4.1295</v>
      </c>
      <c r="H28" s="6" t="n">
        <v>3.6061</v>
      </c>
      <c r="I28" s="6" t="n">
        <v>2.5869</v>
      </c>
      <c r="J28" s="6" t="n">
        <v>4.0719</v>
      </c>
      <c r="K28" s="6" t="n">
        <v>3.6596</v>
      </c>
      <c r="L28" s="6" t="n">
        <v>3.7309</v>
      </c>
      <c r="M28" s="6" t="n">
        <v>6.7082</v>
      </c>
      <c r="N28" s="6" t="n">
        <v>1.9823</v>
      </c>
      <c r="O28" s="6" t="n">
        <v>3.9427</v>
      </c>
      <c r="P28" s="6" t="n">
        <v>6.4126</v>
      </c>
      <c r="Q28" s="6" t="n">
        <v>4.2754</v>
      </c>
      <c r="R28" s="6" t="n">
        <v>5.5701</v>
      </c>
      <c r="T28" s="6" t="n">
        <v>12.702</v>
      </c>
      <c r="U28" s="6" t="n">
        <v>12.7387</v>
      </c>
      <c r="V28" s="6" t="n">
        <v>14.0493</v>
      </c>
      <c r="W28" s="6" t="n">
        <v>19.0459</v>
      </c>
    </row>
    <row r="29">
      <c r="A29" s="8" t="inlineStr">
        <is>
          <t>경상이익률</t>
        </is>
      </c>
      <c r="C29" s="9">
        <f>IF(OR(C28="",C4=""),"",IFERROR(C28/C4,""))</f>
        <v/>
      </c>
      <c r="D29" s="9">
        <f>IF(OR(D28="",D4=""),"",IFERROR(D28/D4,""))</f>
        <v/>
      </c>
      <c r="E29" s="9">
        <f>IF(OR(E28="",E4=""),"",IFERROR(E28/E4,""))</f>
        <v/>
      </c>
      <c r="F29" s="9">
        <f>IF(OR(F28="",F4=""),"",IFERROR(F28/F4,""))</f>
        <v/>
      </c>
      <c r="G29" s="9">
        <f>IF(OR(G28="",G4=""),"",IFERROR(G28/G4,""))</f>
        <v/>
      </c>
      <c r="H29" s="9">
        <f>IF(OR(H28="",H4=""),"",IFERROR(H28/H4,""))</f>
        <v/>
      </c>
      <c r="I29" s="9">
        <f>IF(OR(I28="",I4=""),"",IFERROR(I28/I4,""))</f>
        <v/>
      </c>
      <c r="J29" s="9">
        <f>IF(OR(J28="",J4=""),"",IFERROR(J28/J4,""))</f>
        <v/>
      </c>
      <c r="K29" s="9">
        <f>IF(OR(K28="",K4=""),"",IFERROR(K28/K4,""))</f>
        <v/>
      </c>
      <c r="L29" s="9">
        <f>IF(OR(L28="",L4=""),"",IFERROR(L28/L4,""))</f>
        <v/>
      </c>
      <c r="M29" s="9">
        <f>IF(OR(M28="",M4=""),"",IFERROR(M28/M4,""))</f>
        <v/>
      </c>
      <c r="N29" s="9">
        <f>IF(OR(N28="",N4=""),"",IFERROR(N28/N4,""))</f>
        <v/>
      </c>
      <c r="O29" s="9">
        <f>IF(OR(O28="",O4=""),"",IFERROR(O28/O4,""))</f>
        <v/>
      </c>
      <c r="P29" s="9">
        <f>IF(OR(P28="",P4=""),"",IFERROR(P28/P4,""))</f>
        <v/>
      </c>
      <c r="Q29" s="9">
        <f>IF(OR(Q28="",Q4=""),"",IFERROR(Q28/Q4,""))</f>
        <v/>
      </c>
      <c r="R29" s="9">
        <f>IF(OR(R28="",R4=""),"",IFERROR(R28/R4,""))</f>
        <v/>
      </c>
      <c r="S29" s="9">
        <f>IF(OR(S28="",S4=""),"",IFERROR(S28/S4,""))</f>
        <v/>
      </c>
      <c r="T29" s="9">
        <f>IF(OR(T28="",T4=""),"",IFERROR(T28/T4,""))</f>
        <v/>
      </c>
      <c r="U29" s="9">
        <f>IF(OR(U28="",U4=""),"",IFERROR(U28/U4,""))</f>
        <v/>
      </c>
      <c r="V29" s="9">
        <f>IF(OR(V28="",V4=""),"",IFERROR(V28/V4,""))</f>
        <v/>
      </c>
      <c r="W29" s="9">
        <f>IF(OR(W28="",W4=""),"",IFERROR(W28/W4,""))</f>
        <v/>
      </c>
    </row>
    <row r="30">
      <c r="A30" s="10" t="inlineStr">
        <is>
          <t>고정자산 매각이익</t>
        </is>
      </c>
      <c r="E30" s="11" t="n">
        <v>0.0025</v>
      </c>
      <c r="F30" s="11" t="n">
        <v>0.0005</v>
      </c>
      <c r="G30" s="11" t="n">
        <v>0</v>
      </c>
      <c r="H30" s="11" t="n">
        <v>0.1778</v>
      </c>
      <c r="I30" s="11" t="n">
        <v>0</v>
      </c>
      <c r="J30" s="11" t="n">
        <v>0</v>
      </c>
      <c r="K30" s="11" t="n">
        <v>0.0005999999999999999</v>
      </c>
      <c r="L30" s="11" t="n">
        <v>0.0009</v>
      </c>
      <c r="M30" s="11" t="n">
        <v>0.0045</v>
      </c>
      <c r="N30" s="11" t="n">
        <v>0.0063</v>
      </c>
      <c r="O30" s="11" t="n">
        <v>0.0364</v>
      </c>
      <c r="P30" s="11" t="n">
        <v>0.003</v>
      </c>
      <c r="Q30" s="11" t="n">
        <v>0</v>
      </c>
      <c r="R30" s="11" t="n">
        <v>0.0023</v>
      </c>
      <c r="T30" s="11" t="n">
        <v>0.009299999999999999</v>
      </c>
      <c r="U30" s="11" t="n">
        <v>0.1808</v>
      </c>
      <c r="V30" s="11" t="n">
        <v>0.0015</v>
      </c>
      <c r="W30" s="11" t="n">
        <v>0.0502</v>
      </c>
    </row>
    <row r="31">
      <c r="A31" s="10" t="inlineStr">
        <is>
          <t>투자유가증권 매각이익</t>
        </is>
      </c>
      <c r="V31" s="11" t="n">
        <v>0</v>
      </c>
      <c r="W31" s="11" t="n">
        <v>0.07149999999999999</v>
      </c>
    </row>
    <row r="32">
      <c r="A32" s="10" t="inlineStr">
        <is>
          <t>보험 해약환급금</t>
        </is>
      </c>
      <c r="E32" s="11" t="n">
        <v>0.0707</v>
      </c>
      <c r="F32" s="11" t="n">
        <v>0.0227</v>
      </c>
      <c r="G32" s="11" t="n">
        <v>0</v>
      </c>
      <c r="H32" s="11" t="n">
        <v>0.1155</v>
      </c>
      <c r="I32" s="11" t="n">
        <v>0.6032</v>
      </c>
      <c r="J32" s="11" t="n">
        <v>0.0155</v>
      </c>
      <c r="K32" s="11" t="n">
        <v>0.2063</v>
      </c>
      <c r="L32" s="11" t="n">
        <v>0.0159</v>
      </c>
      <c r="M32" s="11" t="n">
        <v>0</v>
      </c>
      <c r="N32" s="11" t="n">
        <v>0</v>
      </c>
      <c r="O32" s="11" t="n">
        <v>0.111</v>
      </c>
      <c r="P32" s="11" t="n">
        <v>0.0563</v>
      </c>
      <c r="T32" s="11" t="n">
        <v>0.0444</v>
      </c>
      <c r="U32" s="11" t="n">
        <v>0.209</v>
      </c>
      <c r="V32" s="11" t="n">
        <v>0.8409</v>
      </c>
      <c r="W32" s="11" t="n">
        <v>0.1673</v>
      </c>
    </row>
    <row r="33">
      <c r="A33" s="10" t="inlineStr">
        <is>
          <t>부의 영업권 발생이익</t>
        </is>
      </c>
      <c r="G33" s="11" t="n">
        <v>0</v>
      </c>
      <c r="H33" s="11" t="n">
        <v>0</v>
      </c>
      <c r="K33" s="11" t="n">
        <v>0.3101</v>
      </c>
      <c r="L33" s="11" t="n">
        <v>0</v>
      </c>
      <c r="O33" s="11" t="n">
        <v>0</v>
      </c>
      <c r="P33" s="11" t="n">
        <v>0</v>
      </c>
      <c r="U33" s="11" t="n">
        <v>0</v>
      </c>
      <c r="V33" s="11" t="n">
        <v>0.3465</v>
      </c>
      <c r="W33" s="11" t="n">
        <v>0</v>
      </c>
    </row>
    <row r="34">
      <c r="A34" s="10" t="inlineStr">
        <is>
          <t>국고보조금</t>
        </is>
      </c>
      <c r="M34" s="11" t="n">
        <v>0</v>
      </c>
      <c r="N34" s="11" t="n">
        <v>0</v>
      </c>
      <c r="Q34" s="11" t="n">
        <v>0.3572</v>
      </c>
      <c r="R34" s="11" t="n">
        <v>0</v>
      </c>
      <c r="V34" s="11" t="n">
        <v>0</v>
      </c>
      <c r="W34" s="11" t="n">
        <v>0.36</v>
      </c>
    </row>
    <row r="35">
      <c r="A35" s="10" t="inlineStr">
        <is>
          <t>특별이익 합계</t>
        </is>
      </c>
      <c r="E35" s="11" t="n">
        <v>0.0732</v>
      </c>
      <c r="F35" s="11" t="n">
        <v>0.0233</v>
      </c>
      <c r="G35" s="11" t="n">
        <v>0</v>
      </c>
      <c r="H35" s="11" t="n">
        <v>0.2933</v>
      </c>
      <c r="I35" s="11" t="n">
        <v>0.6032</v>
      </c>
      <c r="J35" s="11" t="n">
        <v>0.0519</v>
      </c>
      <c r="K35" s="11" t="n">
        <v>0.5171</v>
      </c>
      <c r="L35" s="11" t="n">
        <v>0.0168</v>
      </c>
      <c r="M35" s="11" t="n">
        <v>0.0045</v>
      </c>
      <c r="N35" s="11" t="n">
        <v>0.0063</v>
      </c>
      <c r="O35" s="11" t="n">
        <v>0.1473</v>
      </c>
      <c r="P35" s="11" t="n">
        <v>0.4909</v>
      </c>
      <c r="Q35" s="11" t="n">
        <v>0.3572</v>
      </c>
      <c r="R35" s="11" t="n">
        <v>0.1791</v>
      </c>
      <c r="T35" s="11" t="n">
        <v>0.0536</v>
      </c>
      <c r="U35" s="11" t="n">
        <v>0.3898</v>
      </c>
      <c r="V35" s="11" t="n">
        <v>1.189</v>
      </c>
      <c r="W35" s="11" t="n">
        <v>0.649</v>
      </c>
    </row>
    <row r="36">
      <c r="A36" s="10" t="inlineStr">
        <is>
          <t>고정자산 제각손실</t>
        </is>
      </c>
      <c r="E36" s="11" t="n">
        <v>0.0062</v>
      </c>
      <c r="F36" s="11" t="n">
        <v>0.0051</v>
      </c>
      <c r="G36" s="11" t="n">
        <v>0.0068</v>
      </c>
      <c r="H36" s="11" t="n">
        <v>0.0008</v>
      </c>
      <c r="I36" s="11" t="n">
        <v>0</v>
      </c>
      <c r="J36" s="11" t="n">
        <v>0</v>
      </c>
      <c r="K36" s="11" t="n">
        <v>0.3762</v>
      </c>
      <c r="L36" s="11" t="n">
        <v>0</v>
      </c>
      <c r="M36" s="11" t="n">
        <v>0.0183</v>
      </c>
      <c r="N36" s="11" t="n">
        <v>0.0825</v>
      </c>
      <c r="O36" s="11" t="n">
        <v>0</v>
      </c>
      <c r="P36" s="11" t="n">
        <v>0</v>
      </c>
      <c r="Q36" s="11" t="n">
        <v>0</v>
      </c>
      <c r="R36" s="11" t="n">
        <v>0</v>
      </c>
      <c r="T36" s="11" t="n">
        <v>0.0241</v>
      </c>
      <c r="U36" s="11" t="n">
        <v>0.0188</v>
      </c>
      <c r="V36" s="11" t="n">
        <v>0.3762</v>
      </c>
      <c r="W36" s="11" t="n">
        <v>0.1008</v>
      </c>
    </row>
    <row r="37">
      <c r="A37" s="10" t="inlineStr">
        <is>
          <t>골프회원권 매각손실</t>
        </is>
      </c>
      <c r="T37" s="11" t="n">
        <v>0.02</v>
      </c>
      <c r="U37" s="11" t="n">
        <v>0</v>
      </c>
    </row>
    <row r="38">
      <c r="A38" s="10" t="inlineStr">
        <is>
          <t>고정자산 매각손실</t>
        </is>
      </c>
      <c r="H38" s="11" t="n">
        <v>0</v>
      </c>
      <c r="L38" s="11" t="n">
        <v>0</v>
      </c>
      <c r="P38" s="11" t="n">
        <v>0</v>
      </c>
      <c r="U38" s="11" t="n">
        <v>0</v>
      </c>
      <c r="V38" s="11" t="n">
        <v>0.0187</v>
      </c>
      <c r="W38" s="11" t="n">
        <v>0</v>
      </c>
    </row>
    <row r="39">
      <c r="A39" s="10" t="inlineStr">
        <is>
          <t>손상차손</t>
        </is>
      </c>
      <c r="G39" s="11" t="n">
        <v>0</v>
      </c>
      <c r="H39" s="11" t="n">
        <v>0</v>
      </c>
      <c r="K39" s="11" t="n">
        <v>0.2821</v>
      </c>
      <c r="L39" s="11" t="n">
        <v>0</v>
      </c>
      <c r="O39" s="11" t="n">
        <v>0</v>
      </c>
      <c r="P39" s="11" t="n">
        <v>0</v>
      </c>
      <c r="U39" s="11" t="n">
        <v>0</v>
      </c>
      <c r="V39" s="11" t="n">
        <v>0.2965</v>
      </c>
      <c r="W39" s="11" t="n">
        <v>0</v>
      </c>
    </row>
    <row r="40">
      <c r="A40" s="10" t="inlineStr">
        <is>
          <t>보험해약 손실</t>
        </is>
      </c>
      <c r="I40" s="11" t="n">
        <v>0.0008</v>
      </c>
      <c r="J40" s="11" t="n">
        <v>-0.0008</v>
      </c>
      <c r="K40" s="11" t="n">
        <v>0</v>
      </c>
      <c r="L40" s="11" t="n">
        <v>0</v>
      </c>
      <c r="M40" s="11" t="n">
        <v>0.0338</v>
      </c>
      <c r="N40" s="11" t="n">
        <v>0</v>
      </c>
      <c r="O40" s="11" t="n">
        <v>0</v>
      </c>
      <c r="P40" s="11" t="n">
        <v>0</v>
      </c>
      <c r="Q40" s="11" t="n">
        <v>0</v>
      </c>
      <c r="R40" s="11" t="n">
        <v>0.0005</v>
      </c>
      <c r="T40" s="11" t="n">
        <v>0.0074</v>
      </c>
      <c r="U40" s="11" t="n">
        <v>0</v>
      </c>
      <c r="V40" s="11" t="n">
        <v>0</v>
      </c>
      <c r="W40" s="11" t="n">
        <v>0.0338</v>
      </c>
    </row>
    <row r="41">
      <c r="A41" s="10" t="inlineStr">
        <is>
          <t>기타</t>
        </is>
      </c>
      <c r="E41" s="11" t="n">
        <v>0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0.0008</v>
      </c>
      <c r="K41" s="11" t="n">
        <v>0</v>
      </c>
      <c r="L41" s="11" t="n">
        <v>0.0043</v>
      </c>
      <c r="M41" s="11" t="n">
        <v>0.0018</v>
      </c>
      <c r="N41" s="11" t="n">
        <v>0</v>
      </c>
      <c r="O41" s="11" t="n">
        <v>0.0002</v>
      </c>
      <c r="P41" s="11" t="n">
        <v>0.0001</v>
      </c>
      <c r="Q41" s="11" t="n">
        <v>0</v>
      </c>
      <c r="R41" s="11" t="n">
        <v>0</v>
      </c>
      <c r="U41" s="11" t="n">
        <v>0</v>
      </c>
      <c r="V41" s="11" t="n">
        <v>0.0051</v>
      </c>
      <c r="W41" s="11" t="n">
        <v>0.0022</v>
      </c>
    </row>
    <row r="42">
      <c r="A42" s="10" t="inlineStr">
        <is>
          <t>특별손실 합계</t>
        </is>
      </c>
      <c r="E42" s="11" t="n">
        <v>0.0062</v>
      </c>
      <c r="F42" s="11" t="n">
        <v>0.0051</v>
      </c>
      <c r="G42" s="11" t="n">
        <v>0.0068</v>
      </c>
      <c r="H42" s="11" t="n">
        <v>0.0008</v>
      </c>
      <c r="I42" s="11" t="n">
        <v>0.0008</v>
      </c>
      <c r="J42" s="11" t="n">
        <v>0.0144</v>
      </c>
      <c r="K42" s="11" t="n">
        <v>0.677</v>
      </c>
      <c r="L42" s="11" t="n">
        <v>0.0043</v>
      </c>
      <c r="M42" s="11" t="n">
        <v>0.0538</v>
      </c>
      <c r="N42" s="11" t="n">
        <v>0.0828</v>
      </c>
      <c r="O42" s="11" t="n">
        <v>0</v>
      </c>
      <c r="P42" s="11" t="n">
        <v>0.0001</v>
      </c>
      <c r="Q42" s="11" t="n">
        <v>0</v>
      </c>
      <c r="R42" s="11" t="n">
        <v>0.0013</v>
      </c>
      <c r="T42" s="11" t="n">
        <v>0.0516</v>
      </c>
      <c r="U42" s="11" t="n">
        <v>0.0188</v>
      </c>
      <c r="V42" s="11" t="n">
        <v>0.6965</v>
      </c>
      <c r="W42" s="11" t="n">
        <v>0.1367</v>
      </c>
    </row>
    <row r="43">
      <c r="A43" s="10" t="inlineStr">
        <is>
          <t>법인세차감전 순이익</t>
        </is>
      </c>
      <c r="E43" s="11" t="n">
        <v>1.9813</v>
      </c>
      <c r="F43" s="11" t="n">
        <v>3.1071</v>
      </c>
      <c r="G43" s="11" t="n">
        <v>4.1227</v>
      </c>
      <c r="H43" s="11" t="n">
        <v>3.8986</v>
      </c>
      <c r="I43" s="11" t="n">
        <v>3.1893</v>
      </c>
      <c r="J43" s="11" t="n">
        <v>4.1094</v>
      </c>
      <c r="K43" s="11" t="n">
        <v>3.4997</v>
      </c>
      <c r="L43" s="11" t="n">
        <v>3.7434</v>
      </c>
      <c r="M43" s="11" t="n">
        <v>6.6589</v>
      </c>
      <c r="N43" s="11" t="n">
        <v>1.9059</v>
      </c>
      <c r="O43" s="11" t="n">
        <v>4.0901</v>
      </c>
      <c r="P43" s="11" t="n">
        <v>6.9033</v>
      </c>
      <c r="Q43" s="11" t="n">
        <v>4.6326</v>
      </c>
      <c r="R43" s="11" t="n">
        <v>5.7478</v>
      </c>
      <c r="T43" s="11" t="n">
        <v>12.7041</v>
      </c>
      <c r="U43" s="11" t="n">
        <v>13.1097</v>
      </c>
      <c r="V43" s="11" t="n">
        <v>14.5418</v>
      </c>
      <c r="W43" s="11" t="n">
        <v>19.5582</v>
      </c>
    </row>
    <row r="44">
      <c r="A44" s="10" t="inlineStr">
        <is>
          <t>법인세·주민세·사업세</t>
        </is>
      </c>
      <c r="E44" s="11" t="n">
        <v>0.6314</v>
      </c>
      <c r="F44" s="11" t="n">
        <v>-0.1181</v>
      </c>
      <c r="G44" s="11" t="n">
        <v>0.5047</v>
      </c>
      <c r="H44" s="11" t="n">
        <v>0.1726</v>
      </c>
      <c r="I44" s="11" t="n">
        <v>1.3498</v>
      </c>
      <c r="J44" s="11" t="n">
        <v>1.3474</v>
      </c>
      <c r="K44" s="11" t="n">
        <v>1.8259</v>
      </c>
      <c r="L44" s="11" t="n">
        <v>0.46</v>
      </c>
      <c r="M44" s="11" t="n">
        <v>3.2634</v>
      </c>
      <c r="N44" s="11" t="n">
        <v>0.4975</v>
      </c>
      <c r="O44" s="11" t="n">
        <v>1.4833</v>
      </c>
      <c r="P44" s="11" t="n">
        <v>1.4411</v>
      </c>
      <c r="Q44" s="11" t="n">
        <v>1.8702</v>
      </c>
      <c r="R44" s="11" t="n">
        <v>1.944</v>
      </c>
      <c r="T44" s="11" t="n">
        <v>4.8079</v>
      </c>
      <c r="U44" s="11" t="n">
        <v>1.1906</v>
      </c>
      <c r="V44" s="11" t="n">
        <v>4.9831</v>
      </c>
      <c r="W44" s="11" t="n">
        <v>6.6853</v>
      </c>
    </row>
    <row r="45">
      <c r="A45" s="10" t="inlineStr">
        <is>
          <t>법인세 조정액</t>
        </is>
      </c>
      <c r="E45" s="11" t="n">
        <v>0.0727</v>
      </c>
      <c r="F45" s="11" t="n">
        <v>1.5579</v>
      </c>
      <c r="G45" s="11" t="n">
        <v>0.8256</v>
      </c>
      <c r="H45" s="11" t="n">
        <v>0.9882</v>
      </c>
      <c r="I45" s="11" t="n">
        <v>-0.6126</v>
      </c>
      <c r="J45" s="11" t="n">
        <v>-0.0232</v>
      </c>
      <c r="K45" s="11" t="n">
        <v>-0.5458</v>
      </c>
      <c r="L45" s="11" t="n">
        <v>-0.0464</v>
      </c>
      <c r="M45" s="11" t="n">
        <v>-1.769</v>
      </c>
      <c r="N45" s="11" t="n">
        <v>0.2785</v>
      </c>
      <c r="O45" s="11" t="n">
        <v>-0.0948</v>
      </c>
      <c r="P45" s="11" t="n">
        <v>0.228</v>
      </c>
      <c r="Q45" s="11" t="n">
        <v>-0.1712</v>
      </c>
      <c r="R45" s="11" t="n">
        <v>0.09</v>
      </c>
      <c r="T45" s="11" t="n">
        <v>-0.4131</v>
      </c>
      <c r="U45" s="11" t="n">
        <v>3.4445</v>
      </c>
      <c r="V45" s="11" t="n">
        <v>-1.228</v>
      </c>
      <c r="W45" s="11" t="n">
        <v>-1.3573</v>
      </c>
    </row>
    <row r="46">
      <c r="A46" s="10" t="inlineStr">
        <is>
          <t>법인세 등</t>
        </is>
      </c>
      <c r="E46" s="11" t="n">
        <v>0.7040999999999999</v>
      </c>
      <c r="F46" s="11" t="n">
        <v>1.4397</v>
      </c>
      <c r="G46" s="11" t="n">
        <v>1.3303</v>
      </c>
      <c r="H46" s="11" t="n">
        <v>1.1609</v>
      </c>
      <c r="I46" s="11" t="n">
        <v>0.7372</v>
      </c>
      <c r="J46" s="11" t="n">
        <v>1.3241</v>
      </c>
      <c r="K46" s="11" t="n">
        <v>1.2802</v>
      </c>
      <c r="L46" s="11" t="n">
        <v>0.4136</v>
      </c>
      <c r="M46" s="11" t="n">
        <v>1.4944</v>
      </c>
      <c r="N46" s="11" t="n">
        <v>0.776</v>
      </c>
      <c r="O46" s="11" t="n">
        <v>1.3885</v>
      </c>
      <c r="P46" s="11" t="n">
        <v>1.6691</v>
      </c>
      <c r="Q46" s="11" t="n">
        <v>1.6991</v>
      </c>
      <c r="R46" s="11" t="n">
        <v>2.034</v>
      </c>
      <c r="T46" s="11" t="n">
        <v>4.3947</v>
      </c>
      <c r="U46" s="11" t="n">
        <v>4.6351</v>
      </c>
      <c r="V46" s="11" t="n">
        <v>3.7551</v>
      </c>
      <c r="W46" s="11" t="n">
        <v>5.3281</v>
      </c>
    </row>
    <row r="47">
      <c r="A47" s="5" t="inlineStr">
        <is>
          <t>순이익</t>
        </is>
      </c>
      <c r="E47" s="6" t="n">
        <v>1.2771</v>
      </c>
      <c r="F47" s="6" t="n">
        <v>1.6673</v>
      </c>
      <c r="G47" s="6" t="n">
        <v>2.7924</v>
      </c>
      <c r="H47" s="6" t="n">
        <v>2.7378</v>
      </c>
      <c r="I47" s="6" t="n">
        <v>2.4521</v>
      </c>
      <c r="J47" s="6" t="n">
        <v>2.7853</v>
      </c>
      <c r="K47" s="6" t="n">
        <v>2.2195</v>
      </c>
      <c r="L47" s="6" t="n">
        <v>3.3298</v>
      </c>
      <c r="M47" s="6" t="n">
        <v>5.1645</v>
      </c>
      <c r="N47" s="6" t="n">
        <v>1.1298</v>
      </c>
      <c r="O47" s="6" t="n">
        <v>2.7016</v>
      </c>
      <c r="P47" s="6" t="n">
        <v>5.2342</v>
      </c>
      <c r="Q47" s="6" t="n">
        <v>2.9336</v>
      </c>
      <c r="R47" s="6" t="n">
        <v>3.7139</v>
      </c>
      <c r="T47" s="6" t="n">
        <v>8.3093</v>
      </c>
      <c r="U47" s="6" t="n">
        <v>8.474600000000001</v>
      </c>
      <c r="V47" s="6" t="n">
        <v>10.7867</v>
      </c>
      <c r="W47" s="6" t="n">
        <v>14.2301</v>
      </c>
    </row>
    <row r="48">
      <c r="A48" s="5" t="inlineStr">
        <is>
          <t>지배주주 순이익</t>
        </is>
      </c>
      <c r="E48" s="6" t="n">
        <v>1.2771</v>
      </c>
      <c r="F48" s="6" t="n">
        <v>1.6673</v>
      </c>
      <c r="G48" s="6" t="n">
        <v>2.7924</v>
      </c>
      <c r="H48" s="6" t="n">
        <v>2.7378</v>
      </c>
      <c r="I48" s="6" t="n">
        <v>2.4521</v>
      </c>
      <c r="J48" s="6" t="n">
        <v>2.7853</v>
      </c>
      <c r="K48" s="6" t="n">
        <v>2.2195</v>
      </c>
      <c r="L48" s="6" t="n">
        <v>3.3298</v>
      </c>
      <c r="M48" s="6" t="n">
        <v>5.1645</v>
      </c>
      <c r="N48" s="6" t="n">
        <v>1.1298</v>
      </c>
      <c r="O48" s="6" t="n">
        <v>2.7016</v>
      </c>
      <c r="P48" s="6" t="n">
        <v>5.2342</v>
      </c>
      <c r="Q48" s="6" t="n">
        <v>2.9336</v>
      </c>
      <c r="R48" s="6" t="n">
        <v>3.7139</v>
      </c>
      <c r="T48" s="6" t="n">
        <v>8.3093</v>
      </c>
      <c r="U48" s="6" t="n">
        <v>8.474600000000001</v>
      </c>
      <c r="V48" s="6" t="n">
        <v>10.7867</v>
      </c>
      <c r="W48" s="6" t="n">
        <v>14.2301</v>
      </c>
    </row>
    <row r="49">
      <c r="A49" s="8" t="inlineStr">
        <is>
          <t>순이익률</t>
        </is>
      </c>
      <c r="C49" s="9">
        <f>IF(OR(C48="",C4=""),"",IFERROR(C48/C4,""))</f>
        <v/>
      </c>
      <c r="D49" s="9">
        <f>IF(OR(D48="",D4=""),"",IFERROR(D48/D4,""))</f>
        <v/>
      </c>
      <c r="E49" s="9">
        <f>IF(OR(E48="",E4=""),"",IFERROR(E48/E4,""))</f>
        <v/>
      </c>
      <c r="F49" s="9">
        <f>IF(OR(F48="",F4=""),"",IFERROR(F48/F4,""))</f>
        <v/>
      </c>
      <c r="G49" s="9">
        <f>IF(OR(G48="",G4=""),"",IFERROR(G48/G4,""))</f>
        <v/>
      </c>
      <c r="H49" s="9">
        <f>IF(OR(H48="",H4=""),"",IFERROR(H48/H4,""))</f>
        <v/>
      </c>
      <c r="I49" s="9">
        <f>IF(OR(I48="",I4=""),"",IFERROR(I48/I4,""))</f>
        <v/>
      </c>
      <c r="J49" s="9">
        <f>IF(OR(J48="",J4=""),"",IFERROR(J48/J4,""))</f>
        <v/>
      </c>
      <c r="K49" s="9">
        <f>IF(OR(K48="",K4=""),"",IFERROR(K48/K4,""))</f>
        <v/>
      </c>
      <c r="L49" s="9">
        <f>IF(OR(L48="",L4=""),"",IFERROR(L48/L4,""))</f>
        <v/>
      </c>
      <c r="M49" s="9">
        <f>IF(OR(M48="",M4=""),"",IFERROR(M48/M4,""))</f>
        <v/>
      </c>
      <c r="N49" s="9">
        <f>IF(OR(N48="",N4=""),"",IFERROR(N48/N4,""))</f>
        <v/>
      </c>
      <c r="O49" s="9">
        <f>IF(OR(O48="",O4=""),"",IFERROR(O48/O4,""))</f>
        <v/>
      </c>
      <c r="P49" s="9">
        <f>IF(OR(P48="",P4=""),"",IFERROR(P48/P4,""))</f>
        <v/>
      </c>
      <c r="Q49" s="9">
        <f>IF(OR(Q48="",Q4=""),"",IFERROR(Q48/Q4,""))</f>
        <v/>
      </c>
      <c r="R49" s="9">
        <f>IF(OR(R48="",R4=""),"",IFERROR(R48/R4,""))</f>
        <v/>
      </c>
      <c r="S49" s="9">
        <f>IF(OR(S48="",S4=""),"",IFERROR(S48/S4,""))</f>
        <v/>
      </c>
      <c r="T49" s="9">
        <f>IF(OR(T48="",T4=""),"",IFERROR(T48/T4,""))</f>
        <v/>
      </c>
      <c r="U49" s="9">
        <f>IF(OR(U48="",U4=""),"",IFERROR(U48/U4,""))</f>
        <v/>
      </c>
      <c r="V49" s="9">
        <f>IF(OR(V48="",V4=""),"",IFERROR(V48/V4,""))</f>
        <v/>
      </c>
      <c r="W49" s="9">
        <f>IF(OR(W48="",W4=""),"",IFERROR(W48/W4,""))</f>
        <v/>
      </c>
    </row>
    <row r="50">
      <c r="A50" s="8" t="inlineStr">
        <is>
          <t>YoY</t>
        </is>
      </c>
      <c r="G50" s="9">
        <f>IF(OR(G48="",C48=""),"",IFERROR(G48/C48-1,""))</f>
        <v/>
      </c>
      <c r="H50" s="9">
        <f>IF(OR(H48="",D48=""),"",IFERROR(H48/D48-1,""))</f>
        <v/>
      </c>
      <c r="I50" s="9">
        <f>IF(OR(I48="",E48=""),"",IFERROR(I48/E48-1,""))</f>
        <v/>
      </c>
      <c r="J50" s="9">
        <f>IF(OR(J48="",F48=""),"",IFERROR(J48/F48-1,""))</f>
        <v/>
      </c>
      <c r="K50" s="9">
        <f>IF(OR(K48="",G48=""),"",IFERROR(K48/G48-1,""))</f>
        <v/>
      </c>
      <c r="L50" s="9">
        <f>IF(OR(L48="",H48=""),"",IFERROR(L48/H48-1,""))</f>
        <v/>
      </c>
      <c r="M50" s="9">
        <f>IF(OR(M48="",I48=""),"",IFERROR(M48/I48-1,""))</f>
        <v/>
      </c>
      <c r="N50" s="9">
        <f>IF(OR(N48="",J48=""),"",IFERROR(N48/J48-1,""))</f>
        <v/>
      </c>
      <c r="O50" s="9">
        <f>IF(OR(O48="",K48=""),"",IFERROR(O48/K48-1,""))</f>
        <v/>
      </c>
      <c r="P50" s="9">
        <f>IF(OR(P48="",L48=""),"",IFERROR(P48/L48-1,""))</f>
        <v/>
      </c>
      <c r="Q50" s="9">
        <f>IF(OR(Q48="",M48=""),"",IFERROR(Q48/M48-1,""))</f>
        <v/>
      </c>
      <c r="R50" s="9">
        <f>IF(OR(R48="",N48=""),"",IFERROR(R48/N48-1,""))</f>
        <v/>
      </c>
      <c r="T50" s="9">
        <f>IF(OR(T48="",S48=""),"",IFERROR(T48/S48-1,""))</f>
        <v/>
      </c>
      <c r="U50" s="9">
        <f>IF(OR(U48="",T48=""),"",IFERROR(U48/T48-1,""))</f>
        <v/>
      </c>
      <c r="V50" s="9">
        <f>IF(OR(V48="",U48=""),"",IFERROR(V48/U48-1,""))</f>
        <v/>
      </c>
      <c r="W50" s="9">
        <f>IF(OR(W48="",V48=""),"",IFERROR(W48/V48-1,""))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40" customWidth="1" min="24" max="24"/>
  </cols>
  <sheetData>
    <row r="1">
      <c r="A1" s="1" t="inlineStr">
        <is>
          <t>JRC 포괄손익</t>
        </is>
      </c>
    </row>
    <row r="2">
      <c r="A2" s="2" t="inlineStr">
        <is>
          <t>결산기 기준(27.2Q = 2027년 결산기 2분기) · 2월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22.4Q</t>
        </is>
      </c>
      <c r="D3" s="4" t="inlineStr">
        <is>
          <t>23.4Q</t>
        </is>
      </c>
      <c r="E3" s="4" t="inlineStr">
        <is>
          <t>24.1Q</t>
        </is>
      </c>
      <c r="F3" s="4" t="inlineStr">
        <is>
          <t>24.2Q</t>
        </is>
      </c>
      <c r="G3" s="4" t="inlineStr">
        <is>
          <t>24.3Q</t>
        </is>
      </c>
      <c r="H3" s="4" t="inlineStr">
        <is>
          <t>24.4Q</t>
        </is>
      </c>
      <c r="I3" s="4" t="inlineStr">
        <is>
          <t>25.1Q</t>
        </is>
      </c>
      <c r="J3" s="4" t="inlineStr">
        <is>
          <t>25.2Q</t>
        </is>
      </c>
      <c r="K3" s="4" t="inlineStr">
        <is>
          <t>25.3Q</t>
        </is>
      </c>
      <c r="L3" s="4" t="inlineStr">
        <is>
          <t>25.4Q</t>
        </is>
      </c>
      <c r="M3" s="4" t="inlineStr">
        <is>
          <t>26.1Q</t>
        </is>
      </c>
      <c r="N3" s="4" t="inlineStr">
        <is>
          <t>26.2Q</t>
        </is>
      </c>
      <c r="O3" s="4" t="inlineStr">
        <is>
          <t>26.3Q</t>
        </is>
      </c>
      <c r="P3" s="4" t="inlineStr">
        <is>
          <t>26.4Q</t>
        </is>
      </c>
      <c r="Q3" s="4" t="inlineStr">
        <is>
          <t>27.1Q</t>
        </is>
      </c>
      <c r="R3" s="4" t="inlineStr">
        <is>
          <t>27.2Q</t>
        </is>
      </c>
      <c r="S3" s="4" t="inlineStr">
        <is>
          <t>FY22</t>
        </is>
      </c>
      <c r="T3" s="4" t="inlineStr">
        <is>
          <t>FY23</t>
        </is>
      </c>
      <c r="U3" s="4" t="inlineStr">
        <is>
          <t>FY24</t>
        </is>
      </c>
      <c r="V3" s="4" t="inlineStr">
        <is>
          <t>FY25</t>
        </is>
      </c>
      <c r="W3" s="4" t="inlineStr">
        <is>
          <t>FY26</t>
        </is>
      </c>
      <c r="X3" s="4" t="inlineStr">
        <is>
          <t>출처</t>
        </is>
      </c>
    </row>
    <row r="4">
      <c r="A4" s="5" t="inlineStr">
        <is>
          <t>순이익</t>
        </is>
      </c>
      <c r="E4" s="6" t="n">
        <v>1.2771</v>
      </c>
      <c r="F4" s="6" t="n">
        <v>1.6673</v>
      </c>
      <c r="G4" s="6" t="n">
        <v>2.7924</v>
      </c>
      <c r="H4" s="6" t="n">
        <v>2.7378</v>
      </c>
      <c r="I4" s="6" t="n">
        <v>2.4521</v>
      </c>
      <c r="J4" s="6" t="n">
        <v>2.7853</v>
      </c>
      <c r="K4" s="6" t="n">
        <v>2.2195</v>
      </c>
      <c r="L4" s="6" t="n">
        <v>3.3298</v>
      </c>
      <c r="M4" s="6" t="n">
        <v>5.1645</v>
      </c>
      <c r="N4" s="6" t="n">
        <v>1.1298</v>
      </c>
      <c r="O4" s="6" t="n">
        <v>2.7016</v>
      </c>
      <c r="P4" s="6" t="n">
        <v>5.2342</v>
      </c>
      <c r="Q4" s="6" t="n">
        <v>2.9336</v>
      </c>
      <c r="R4" s="6" t="n">
        <v>3.7139</v>
      </c>
      <c r="T4" s="6" t="n">
        <v>8.3093</v>
      </c>
      <c r="U4" s="6" t="n">
        <v>8.474600000000001</v>
      </c>
      <c r="V4" s="6" t="n">
        <v>10.7867</v>
      </c>
      <c r="W4" s="6" t="n">
        <v>14.2301</v>
      </c>
      <c r="X4" s="7" t="inlineStr">
        <is>
          <t>결산단신 XBRL(거래소 공시, TDnet·JPX 보관소). 쓴 문서: 2026-10-15, 2026-07-15, 2026-04-14, 2026-01-14 외 9건 — '출처' 시트에 전부</t>
        </is>
      </c>
    </row>
    <row r="5">
      <c r="A5" s="10" t="inlineStr">
        <is>
          <t>기타유가증권 평가차액</t>
        </is>
      </c>
      <c r="E5" s="11" t="n">
        <v>0.0243</v>
      </c>
      <c r="F5" s="11" t="n">
        <v>0.0784</v>
      </c>
      <c r="G5" s="11" t="n">
        <v>0.019</v>
      </c>
      <c r="H5" s="11" t="n">
        <v>0.0598</v>
      </c>
      <c r="I5" s="11" t="n">
        <v>0.0432</v>
      </c>
      <c r="J5" s="11" t="n">
        <v>0.0132</v>
      </c>
      <c r="K5" s="11" t="n">
        <v>-0.0741</v>
      </c>
      <c r="L5" s="11" t="n">
        <v>0.0246</v>
      </c>
      <c r="M5" s="11" t="n">
        <v>-0.0574</v>
      </c>
      <c r="N5" s="11" t="n">
        <v>0.0896</v>
      </c>
      <c r="O5" s="11" t="n">
        <v>-0.0384</v>
      </c>
      <c r="P5" s="11" t="n">
        <v>0.0385</v>
      </c>
      <c r="Q5" s="11" t="n">
        <v>-0.0196</v>
      </c>
      <c r="R5" s="11" t="n">
        <v>0.1446</v>
      </c>
      <c r="T5" s="11" t="n">
        <v>-0.0322</v>
      </c>
      <c r="U5" s="11" t="n">
        <v>0.1816</v>
      </c>
      <c r="V5" s="11" t="n">
        <v>0.0069</v>
      </c>
      <c r="W5" s="11" t="n">
        <v>0.0323</v>
      </c>
    </row>
    <row r="6">
      <c r="A6" s="10" t="inlineStr">
        <is>
          <t>해외사업환산조정</t>
        </is>
      </c>
      <c r="V6" s="11" t="n">
        <v>0</v>
      </c>
      <c r="W6" s="11" t="n">
        <v>-0.1847</v>
      </c>
    </row>
    <row r="7">
      <c r="A7" s="10" t="inlineStr">
        <is>
          <t>퇴직급여 조정액</t>
        </is>
      </c>
      <c r="E7" s="11" t="n">
        <v>-0.0024</v>
      </c>
      <c r="F7" s="11" t="n">
        <v>0.0018</v>
      </c>
      <c r="G7" s="11" t="n">
        <v>-0.0025</v>
      </c>
      <c r="H7" s="11" t="n">
        <v>0.341</v>
      </c>
      <c r="I7" s="11" t="n">
        <v>-0.0111</v>
      </c>
      <c r="J7" s="11" t="n">
        <v>-0.0111</v>
      </c>
      <c r="K7" s="11" t="n">
        <v>-0.0111</v>
      </c>
      <c r="L7" s="11" t="n">
        <v>0.2172</v>
      </c>
      <c r="M7" s="11" t="n">
        <v>-0.0168</v>
      </c>
      <c r="N7" s="11" t="n">
        <v>-0.0229</v>
      </c>
      <c r="O7" s="11" t="n">
        <v>-0.0166</v>
      </c>
      <c r="P7" s="11" t="n">
        <v>-0.008399999999999999</v>
      </c>
      <c r="Q7" s="11" t="n">
        <v>-0.017</v>
      </c>
      <c r="R7" s="11" t="n">
        <v>-0.017</v>
      </c>
      <c r="T7" s="11" t="n">
        <v>-0.0276</v>
      </c>
      <c r="U7" s="11" t="n">
        <v>0.3379</v>
      </c>
      <c r="V7" s="11" t="n">
        <v>0.1839</v>
      </c>
      <c r="W7" s="11" t="n">
        <v>-0.06469999999999999</v>
      </c>
    </row>
    <row r="8">
      <c r="A8" s="10" t="inlineStr">
        <is>
          <t>지분법 적용회사 지분 해당액</t>
        </is>
      </c>
      <c r="I8" s="11" t="n">
        <v>0</v>
      </c>
      <c r="J8" s="11" t="n">
        <v>0</v>
      </c>
      <c r="K8" s="11" t="n">
        <v>0</v>
      </c>
      <c r="M8" s="11" t="n">
        <v>-0.0402</v>
      </c>
      <c r="N8" s="11" t="n">
        <v>0.0075</v>
      </c>
      <c r="O8" s="11" t="n">
        <v>0.0224</v>
      </c>
      <c r="Q8" s="11" t="n">
        <v>0.2012</v>
      </c>
      <c r="R8" s="11" t="n">
        <v>0.0014</v>
      </c>
    </row>
    <row r="9">
      <c r="A9" s="10" t="inlineStr">
        <is>
          <t>기타포괄손익 합계</t>
        </is>
      </c>
      <c r="E9" s="11" t="n">
        <v>0.022</v>
      </c>
      <c r="F9" s="11" t="n">
        <v>0.08019999999999999</v>
      </c>
      <c r="G9" s="11" t="n">
        <v>0.0165</v>
      </c>
      <c r="H9" s="11" t="n">
        <v>0.4009</v>
      </c>
      <c r="I9" s="11" t="n">
        <v>0.0321</v>
      </c>
      <c r="J9" s="11" t="n">
        <v>0.0021</v>
      </c>
      <c r="K9" s="11" t="n">
        <v>-0.0852</v>
      </c>
      <c r="L9" s="11" t="n">
        <v>0.2418</v>
      </c>
      <c r="M9" s="11" t="n">
        <v>-0.1144</v>
      </c>
      <c r="N9" s="11" t="n">
        <v>0.0741</v>
      </c>
      <c r="O9" s="11" t="n">
        <v>-0.0326</v>
      </c>
      <c r="P9" s="11" t="n">
        <v>-0.1443</v>
      </c>
      <c r="Q9" s="11" t="n">
        <v>0.1646</v>
      </c>
      <c r="R9" s="11" t="n">
        <v>0.0934</v>
      </c>
      <c r="T9" s="11" t="n">
        <v>-0.0598</v>
      </c>
      <c r="U9" s="11" t="n">
        <v>0.5195</v>
      </c>
      <c r="V9" s="11" t="n">
        <v>0.1908</v>
      </c>
      <c r="W9" s="11" t="n">
        <v>-0.2171</v>
      </c>
    </row>
    <row r="10">
      <c r="A10" s="10" t="inlineStr">
        <is>
          <t>포괄이익</t>
        </is>
      </c>
      <c r="E10" s="11" t="n">
        <v>1.2991</v>
      </c>
      <c r="F10" s="11" t="n">
        <v>1.7476</v>
      </c>
      <c r="G10" s="11" t="n">
        <v>2.8088</v>
      </c>
      <c r="H10" s="11" t="n">
        <v>3.1386</v>
      </c>
      <c r="I10" s="11" t="n">
        <v>2.4842</v>
      </c>
      <c r="J10" s="11" t="n">
        <v>2.7874</v>
      </c>
      <c r="K10" s="11" t="n">
        <v>2.1343</v>
      </c>
      <c r="L10" s="11" t="n">
        <v>3.5716</v>
      </c>
      <c r="M10" s="11" t="n">
        <v>5.0501</v>
      </c>
      <c r="N10" s="11" t="n">
        <v>1.204</v>
      </c>
      <c r="O10" s="11" t="n">
        <v>2.669</v>
      </c>
      <c r="P10" s="11" t="n">
        <v>5.0899</v>
      </c>
      <c r="Q10" s="11" t="n">
        <v>3.0982</v>
      </c>
      <c r="R10" s="11" t="n">
        <v>3.8073</v>
      </c>
      <c r="T10" s="11" t="n">
        <v>8.249599999999999</v>
      </c>
      <c r="U10" s="11" t="n">
        <v>8.9941</v>
      </c>
      <c r="V10" s="11" t="n">
        <v>10.9775</v>
      </c>
      <c r="W10" s="11" t="n">
        <v>14.013</v>
      </c>
    </row>
    <row r="11">
      <c r="A11" s="10" t="inlineStr">
        <is>
          <t>지배주주 포괄이익</t>
        </is>
      </c>
      <c r="E11" s="11" t="n">
        <v>1.2991</v>
      </c>
      <c r="F11" s="11" t="n">
        <v>1.7476</v>
      </c>
      <c r="G11" s="11" t="n">
        <v>2.8088</v>
      </c>
      <c r="H11" s="11" t="n">
        <v>3.1386</v>
      </c>
      <c r="I11" s="11" t="n">
        <v>2.4842</v>
      </c>
      <c r="J11" s="11" t="n">
        <v>2.7874</v>
      </c>
      <c r="K11" s="11" t="n">
        <v>2.1343</v>
      </c>
      <c r="L11" s="11" t="n">
        <v>3.5716</v>
      </c>
      <c r="M11" s="11" t="n">
        <v>5.0501</v>
      </c>
      <c r="N11" s="11" t="n">
        <v>1.204</v>
      </c>
      <c r="O11" s="11" t="n">
        <v>2.669</v>
      </c>
      <c r="P11" s="11" t="n">
        <v>5.0899</v>
      </c>
      <c r="Q11" s="11" t="n">
        <v>3.0982</v>
      </c>
      <c r="R11" s="11" t="n">
        <v>3.8073</v>
      </c>
      <c r="T11" s="11" t="n">
        <v>8.249599999999999</v>
      </c>
      <c r="U11" s="11" t="n">
        <v>8.9941</v>
      </c>
      <c r="V11" s="11" t="n">
        <v>10.9775</v>
      </c>
      <c r="W11" s="11" t="n">
        <v>14.013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8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40" customWidth="1" min="24" max="24"/>
  </cols>
  <sheetData>
    <row r="1">
      <c r="A1" s="1" t="inlineStr">
        <is>
          <t>JRC 재무상태표</t>
        </is>
      </c>
    </row>
    <row r="2">
      <c r="A2" s="2" t="inlineStr">
        <is>
          <t>결산기 기준(27.2Q = 2027년 결산기 2분기) · 2월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22.4Q</t>
        </is>
      </c>
      <c r="D3" s="4" t="inlineStr">
        <is>
          <t>23.4Q</t>
        </is>
      </c>
      <c r="E3" s="4" t="inlineStr">
        <is>
          <t>24.1Q</t>
        </is>
      </c>
      <c r="F3" s="4" t="inlineStr">
        <is>
          <t>24.2Q</t>
        </is>
      </c>
      <c r="G3" s="4" t="inlineStr">
        <is>
          <t>24.3Q</t>
        </is>
      </c>
      <c r="H3" s="4" t="inlineStr">
        <is>
          <t>24.4Q</t>
        </is>
      </c>
      <c r="I3" s="4" t="inlineStr">
        <is>
          <t>25.1Q</t>
        </is>
      </c>
      <c r="J3" s="4" t="inlineStr">
        <is>
          <t>25.2Q</t>
        </is>
      </c>
      <c r="K3" s="4" t="inlineStr">
        <is>
          <t>25.3Q</t>
        </is>
      </c>
      <c r="L3" s="4" t="inlineStr">
        <is>
          <t>25.4Q</t>
        </is>
      </c>
      <c r="M3" s="4" t="inlineStr">
        <is>
          <t>26.1Q</t>
        </is>
      </c>
      <c r="N3" s="4" t="inlineStr">
        <is>
          <t>26.2Q</t>
        </is>
      </c>
      <c r="O3" s="4" t="inlineStr">
        <is>
          <t>26.3Q</t>
        </is>
      </c>
      <c r="P3" s="4" t="inlineStr">
        <is>
          <t>26.4Q</t>
        </is>
      </c>
      <c r="Q3" s="4" t="inlineStr">
        <is>
          <t>27.1Q</t>
        </is>
      </c>
      <c r="R3" s="4" t="inlineStr">
        <is>
          <t>27.2Q</t>
        </is>
      </c>
      <c r="S3" s="4" t="inlineStr">
        <is>
          <t>FY22</t>
        </is>
      </c>
      <c r="T3" s="4" t="inlineStr">
        <is>
          <t>FY23</t>
        </is>
      </c>
      <c r="U3" s="4" t="inlineStr">
        <is>
          <t>FY24</t>
        </is>
      </c>
      <c r="V3" s="4" t="inlineStr">
        <is>
          <t>FY25</t>
        </is>
      </c>
      <c r="W3" s="4" t="inlineStr">
        <is>
          <t>FY26</t>
        </is>
      </c>
      <c r="X3" s="4" t="inlineStr">
        <is>
          <t>출처</t>
        </is>
      </c>
    </row>
    <row r="4">
      <c r="A4" s="10" t="inlineStr">
        <is>
          <t>현금 및 예금</t>
        </is>
      </c>
      <c r="D4" s="11" t="n">
        <v>16.4016</v>
      </c>
      <c r="F4" s="11" t="n">
        <v>16.2959</v>
      </c>
      <c r="G4" s="11" t="n">
        <v>14.3349</v>
      </c>
      <c r="H4" s="11" t="n">
        <v>14.5233</v>
      </c>
      <c r="I4" s="11" t="n">
        <v>25.0846</v>
      </c>
      <c r="J4" s="11" t="n">
        <v>28.3877</v>
      </c>
      <c r="K4" s="11" t="n">
        <v>29.4766</v>
      </c>
      <c r="L4" s="11" t="n">
        <v>24.313</v>
      </c>
      <c r="M4" s="11" t="n">
        <v>35.1494</v>
      </c>
      <c r="N4" s="11" t="n">
        <v>34.9093</v>
      </c>
      <c r="O4" s="11" t="n">
        <v>25.0311</v>
      </c>
      <c r="P4" s="11" t="n">
        <v>25.8544</v>
      </c>
      <c r="Q4" s="11" t="n">
        <v>26.1556</v>
      </c>
      <c r="R4" s="11" t="n">
        <v>39.9287</v>
      </c>
      <c r="T4" s="11" t="n">
        <v>16.4016</v>
      </c>
      <c r="U4" s="11" t="n">
        <v>14.5233</v>
      </c>
      <c r="V4" s="11" t="n">
        <v>24.313</v>
      </c>
      <c r="W4" s="11" t="n">
        <v>25.8544</v>
      </c>
      <c r="X4" s="7" t="inlineStr">
        <is>
          <t>결산단신 XBRL(거래소 공시, TDnet·JPX 보관소). 쓴 문서: 2026-10-15, 2026-07-15, 2026-04-14, 2026-01-14 외 9건 — '출처' 시트에 전부</t>
        </is>
      </c>
    </row>
    <row r="5">
      <c r="A5" s="10" t="inlineStr">
        <is>
          <t>받을어음</t>
        </is>
      </c>
      <c r="D5" s="11" t="n">
        <v>6.1383</v>
      </c>
      <c r="F5" s="11" t="n">
        <v>6.6793</v>
      </c>
      <c r="G5" s="11" t="n">
        <v>6.8883</v>
      </c>
      <c r="H5" s="11" t="n">
        <v>6.0622</v>
      </c>
      <c r="I5" s="11" t="n">
        <v>5.2346</v>
      </c>
      <c r="J5" s="11" t="n">
        <v>5.9443</v>
      </c>
      <c r="K5" s="11" t="n">
        <v>5.4318</v>
      </c>
      <c r="L5" s="11" t="n">
        <v>3.8763</v>
      </c>
      <c r="M5" s="11" t="n">
        <v>3.2827</v>
      </c>
      <c r="N5" s="11" t="n">
        <v>2.7018</v>
      </c>
      <c r="O5" s="11" t="n">
        <v>1.76</v>
      </c>
      <c r="P5" s="11" t="n">
        <v>1.0643</v>
      </c>
      <c r="Q5" s="11" t="n">
        <v>0.4879</v>
      </c>
      <c r="R5" s="11" t="n">
        <v>0.1997</v>
      </c>
      <c r="T5" s="11" t="n">
        <v>6.1383</v>
      </c>
      <c r="U5" s="11" t="n">
        <v>6.0622</v>
      </c>
      <c r="V5" s="11" t="n">
        <v>3.8763</v>
      </c>
      <c r="W5" s="11" t="n">
        <v>1.0643</v>
      </c>
    </row>
    <row r="6">
      <c r="A6" s="10" t="inlineStr">
        <is>
          <t>매출채권</t>
        </is>
      </c>
      <c r="D6" s="11" t="n">
        <v>13.1641</v>
      </c>
      <c r="F6" s="11" t="n">
        <v>12.9266</v>
      </c>
      <c r="G6" s="11" t="n">
        <v>14.3464</v>
      </c>
      <c r="H6" s="11" t="n">
        <v>17.0015</v>
      </c>
      <c r="I6" s="11" t="n">
        <v>13.8642</v>
      </c>
      <c r="J6" s="11" t="n">
        <v>14.6749</v>
      </c>
      <c r="K6" s="11" t="n">
        <v>18.3092</v>
      </c>
      <c r="L6" s="11" t="n">
        <v>16.3105</v>
      </c>
      <c r="M6" s="11" t="n">
        <v>13.6525</v>
      </c>
      <c r="N6" s="11" t="n">
        <v>15.3503</v>
      </c>
      <c r="O6" s="11" t="n">
        <v>19.1233</v>
      </c>
      <c r="P6" s="11" t="n">
        <v>19.478</v>
      </c>
      <c r="Q6" s="11" t="n">
        <v>17.3654</v>
      </c>
      <c r="R6" s="11" t="n">
        <v>16.6957</v>
      </c>
      <c r="T6" s="11" t="n">
        <v>13.1641</v>
      </c>
      <c r="U6" s="11" t="n">
        <v>17.0015</v>
      </c>
      <c r="V6" s="11" t="n">
        <v>16.3105</v>
      </c>
      <c r="W6" s="11" t="n">
        <v>19.478</v>
      </c>
    </row>
    <row r="7">
      <c r="A7" s="10" t="inlineStr">
        <is>
          <t>전자기록채권</t>
        </is>
      </c>
      <c r="D7" s="11" t="n">
        <v>12.0286</v>
      </c>
      <c r="F7" s="11" t="n">
        <v>9.1381</v>
      </c>
      <c r="G7" s="11" t="n">
        <v>12.263</v>
      </c>
      <c r="H7" s="11" t="n">
        <v>11.6345</v>
      </c>
      <c r="I7" s="11" t="n">
        <v>11.7714</v>
      </c>
      <c r="J7" s="11" t="n">
        <v>12.0332</v>
      </c>
      <c r="K7" s="11" t="n">
        <v>12.4019</v>
      </c>
      <c r="L7" s="11" t="n">
        <v>11.4252</v>
      </c>
      <c r="M7" s="11" t="n">
        <v>11.5369</v>
      </c>
      <c r="N7" s="11" t="n">
        <v>11.3598</v>
      </c>
      <c r="O7" s="11" t="n">
        <v>11.5828</v>
      </c>
      <c r="P7" s="11" t="n">
        <v>13.1587</v>
      </c>
      <c r="Q7" s="11" t="n">
        <v>13.2743</v>
      </c>
      <c r="R7" s="11" t="n">
        <v>12.8349</v>
      </c>
      <c r="T7" s="11" t="n">
        <v>12.0286</v>
      </c>
      <c r="U7" s="11" t="n">
        <v>11.6345</v>
      </c>
      <c r="V7" s="11" t="n">
        <v>11.4252</v>
      </c>
      <c r="W7" s="11" t="n">
        <v>13.1587</v>
      </c>
    </row>
    <row r="8">
      <c r="A8" s="10" t="inlineStr">
        <is>
          <t>완성공사 미수금</t>
        </is>
      </c>
      <c r="H8" s="11" t="n">
        <v>0</v>
      </c>
      <c r="L8" s="11" t="n">
        <v>1.6218</v>
      </c>
      <c r="P8" s="11" t="n">
        <v>1.76</v>
      </c>
      <c r="U8" s="11" t="n">
        <v>0</v>
      </c>
      <c r="V8" s="11" t="n">
        <v>1.6218</v>
      </c>
      <c r="W8" s="11" t="n">
        <v>1.76</v>
      </c>
    </row>
    <row r="9">
      <c r="A9" s="10" t="inlineStr">
        <is>
          <t>완성공사 미수금</t>
        </is>
      </c>
      <c r="H9" s="11" t="n">
        <v>0</v>
      </c>
      <c r="K9" s="11" t="n">
        <v>0.8446</v>
      </c>
      <c r="L9" s="11" t="n">
        <v>1.6218</v>
      </c>
      <c r="M9" s="11" t="n">
        <v>2.7174</v>
      </c>
      <c r="O9" s="11" t="n">
        <v>1.8099</v>
      </c>
      <c r="P9" s="11" t="n">
        <v>1.76</v>
      </c>
      <c r="Q9" s="11" t="n">
        <v>1.5444</v>
      </c>
      <c r="U9" s="11" t="n">
        <v>0</v>
      </c>
      <c r="V9" s="11" t="n">
        <v>1.6218</v>
      </c>
      <c r="W9" s="11" t="n">
        <v>1.76</v>
      </c>
    </row>
    <row r="10">
      <c r="A10" s="10" t="inlineStr">
        <is>
          <t>완성공사 미수금</t>
        </is>
      </c>
      <c r="L10" s="11" t="n">
        <v>1.6218</v>
      </c>
      <c r="N10" s="11" t="n">
        <v>1.4955</v>
      </c>
      <c r="P10" s="11" t="n">
        <v>1.76</v>
      </c>
      <c r="R10" s="11" t="n">
        <v>1.3348</v>
      </c>
      <c r="V10" s="11" t="n">
        <v>1.6218</v>
      </c>
      <c r="W10" s="11" t="n">
        <v>1.76</v>
      </c>
    </row>
    <row r="11">
      <c r="A11" s="10" t="inlineStr">
        <is>
          <t>계약자산</t>
        </is>
      </c>
      <c r="D11" s="11" t="n">
        <v>0</v>
      </c>
      <c r="F11" s="11" t="n">
        <v>0.0203</v>
      </c>
      <c r="L11" s="11" t="n">
        <v>0</v>
      </c>
      <c r="P11" s="11" t="n">
        <v>0.2356</v>
      </c>
      <c r="Q11" s="11" t="n">
        <v>0</v>
      </c>
      <c r="R11" s="11" t="n">
        <v>0.1223</v>
      </c>
      <c r="T11" s="11" t="n">
        <v>0</v>
      </c>
      <c r="V11" s="11" t="n">
        <v>0</v>
      </c>
      <c r="W11" s="11" t="n">
        <v>0.2356</v>
      </c>
    </row>
    <row r="12">
      <c r="A12" s="10" t="inlineStr">
        <is>
          <t>상품·제품</t>
        </is>
      </c>
      <c r="D12" s="11" t="n">
        <v>4.7801</v>
      </c>
      <c r="F12" s="11" t="n">
        <v>4.5098</v>
      </c>
      <c r="G12" s="11" t="n">
        <v>5.4779</v>
      </c>
      <c r="H12" s="11" t="n">
        <v>5.9997</v>
      </c>
      <c r="I12" s="11" t="n">
        <v>5.5908</v>
      </c>
      <c r="J12" s="11" t="n">
        <v>5.4061</v>
      </c>
      <c r="K12" s="11" t="n">
        <v>5.4996</v>
      </c>
      <c r="L12" s="11" t="n">
        <v>5.5566</v>
      </c>
      <c r="M12" s="11" t="n">
        <v>6.1816</v>
      </c>
      <c r="N12" s="11" t="n">
        <v>6.0281</v>
      </c>
      <c r="O12" s="11" t="n">
        <v>5.8903</v>
      </c>
      <c r="P12" s="11" t="n">
        <v>5.6379</v>
      </c>
      <c r="Q12" s="11" t="n">
        <v>5.7054</v>
      </c>
      <c r="R12" s="11" t="n">
        <v>6.0153</v>
      </c>
      <c r="T12" s="11" t="n">
        <v>4.7801</v>
      </c>
      <c r="U12" s="11" t="n">
        <v>5.9997</v>
      </c>
      <c r="V12" s="11" t="n">
        <v>5.5566</v>
      </c>
      <c r="W12" s="11" t="n">
        <v>5.6379</v>
      </c>
    </row>
    <row r="13">
      <c r="A13" s="10" t="inlineStr">
        <is>
          <t>재공품</t>
        </is>
      </c>
      <c r="D13" s="11" t="n">
        <v>4.7741</v>
      </c>
      <c r="F13" s="11" t="n">
        <v>5.7892</v>
      </c>
      <c r="G13" s="11" t="n">
        <v>4.6865</v>
      </c>
      <c r="H13" s="11" t="n">
        <v>3.7844</v>
      </c>
      <c r="I13" s="11" t="n">
        <v>5.6696</v>
      </c>
      <c r="J13" s="11" t="n">
        <v>7.7533</v>
      </c>
      <c r="K13" s="11" t="n">
        <v>7.0595</v>
      </c>
      <c r="L13" s="11" t="n">
        <v>6.578</v>
      </c>
      <c r="M13" s="11" t="n">
        <v>7.4686</v>
      </c>
      <c r="N13" s="11" t="n">
        <v>8.142200000000001</v>
      </c>
      <c r="O13" s="11" t="n">
        <v>6.5792</v>
      </c>
      <c r="P13" s="11" t="n">
        <v>7.5968</v>
      </c>
      <c r="Q13" s="11" t="n">
        <v>7.0139</v>
      </c>
      <c r="R13" s="11" t="n">
        <v>8.6615</v>
      </c>
      <c r="T13" s="11" t="n">
        <v>4.7741</v>
      </c>
      <c r="U13" s="11" t="n">
        <v>3.7844</v>
      </c>
      <c r="V13" s="11" t="n">
        <v>6.578</v>
      </c>
      <c r="W13" s="11" t="n">
        <v>7.5968</v>
      </c>
    </row>
    <row r="14">
      <c r="A14" s="10" t="inlineStr">
        <is>
          <t>미성공사 지출금</t>
        </is>
      </c>
      <c r="H14" s="11" t="n">
        <v>0</v>
      </c>
      <c r="K14" s="11" t="n">
        <v>0.7067</v>
      </c>
      <c r="L14" s="11" t="n">
        <v>1.2565</v>
      </c>
      <c r="O14" s="11" t="n">
        <v>2.2466</v>
      </c>
      <c r="U14" s="11" t="n">
        <v>0</v>
      </c>
      <c r="V14" s="11" t="n">
        <v>1.2565</v>
      </c>
    </row>
    <row r="15">
      <c r="A15" s="10" t="inlineStr">
        <is>
          <t>미성공사 지출금</t>
        </is>
      </c>
      <c r="H15" s="11" t="n">
        <v>0</v>
      </c>
      <c r="L15" s="11" t="n">
        <v>1.2565</v>
      </c>
      <c r="P15" s="11" t="n">
        <v>1.8063</v>
      </c>
      <c r="U15" s="11" t="n">
        <v>0</v>
      </c>
      <c r="V15" s="11" t="n">
        <v>1.2565</v>
      </c>
      <c r="W15" s="11" t="n">
        <v>1.8063</v>
      </c>
    </row>
    <row r="16">
      <c r="A16" s="10" t="inlineStr">
        <is>
          <t>미성공사 지출금</t>
        </is>
      </c>
      <c r="L16" s="11" t="n">
        <v>1.2565</v>
      </c>
      <c r="M16" s="11" t="n">
        <v>1.1289</v>
      </c>
      <c r="P16" s="11" t="n">
        <v>1.8063</v>
      </c>
      <c r="Q16" s="11" t="n">
        <v>2.7548</v>
      </c>
      <c r="V16" s="11" t="n">
        <v>1.2565</v>
      </c>
      <c r="W16" s="11" t="n">
        <v>1.8063</v>
      </c>
    </row>
    <row r="17">
      <c r="A17" s="10" t="inlineStr">
        <is>
          <t>미성공사 지출금</t>
        </is>
      </c>
      <c r="L17" s="11" t="n">
        <v>1.2565</v>
      </c>
      <c r="N17" s="11" t="n">
        <v>1.9562</v>
      </c>
      <c r="P17" s="11" t="n">
        <v>1.8063</v>
      </c>
      <c r="R17" s="11" t="n">
        <v>2.805</v>
      </c>
      <c r="V17" s="11" t="n">
        <v>1.2565</v>
      </c>
      <c r="W17" s="11" t="n">
        <v>1.8063</v>
      </c>
    </row>
    <row r="18">
      <c r="A18" s="10" t="inlineStr">
        <is>
          <t>원재료·저장품</t>
        </is>
      </c>
      <c r="D18" s="11" t="n">
        <v>1.654</v>
      </c>
      <c r="F18" s="11" t="n">
        <v>1.8066</v>
      </c>
      <c r="G18" s="11" t="n">
        <v>1.8683</v>
      </c>
      <c r="H18" s="11" t="n">
        <v>1.8235</v>
      </c>
      <c r="I18" s="11" t="n">
        <v>1.8929</v>
      </c>
      <c r="J18" s="11" t="n">
        <v>1.9721</v>
      </c>
      <c r="K18" s="11" t="n">
        <v>2.0158</v>
      </c>
      <c r="L18" s="11" t="n">
        <v>1.903</v>
      </c>
      <c r="M18" s="11" t="n">
        <v>1.8715</v>
      </c>
      <c r="N18" s="11" t="n">
        <v>1.8521</v>
      </c>
      <c r="O18" s="11" t="n">
        <v>1.886</v>
      </c>
      <c r="P18" s="11" t="n">
        <v>1.7807</v>
      </c>
      <c r="Q18" s="11" t="n">
        <v>1.9122</v>
      </c>
      <c r="R18" s="11" t="n">
        <v>2.052</v>
      </c>
      <c r="T18" s="11" t="n">
        <v>1.654</v>
      </c>
      <c r="U18" s="11" t="n">
        <v>1.8235</v>
      </c>
      <c r="V18" s="11" t="n">
        <v>1.903</v>
      </c>
      <c r="W18" s="11" t="n">
        <v>1.7807</v>
      </c>
    </row>
    <row r="19">
      <c r="A19" s="10" t="inlineStr">
        <is>
          <t>미수 환급법인세</t>
        </is>
      </c>
      <c r="D19" s="11" t="n">
        <v>0</v>
      </c>
      <c r="H19" s="11" t="n">
        <v>1.7854</v>
      </c>
      <c r="I19" s="11" t="n">
        <v>1.7854</v>
      </c>
      <c r="J19" s="11" t="n">
        <v>0.0086</v>
      </c>
      <c r="K19" s="11" t="n">
        <v>0.0042</v>
      </c>
      <c r="L19" s="11" t="n">
        <v>0.4399</v>
      </c>
      <c r="M19" s="11" t="n">
        <v>0.0002</v>
      </c>
      <c r="N19" s="11" t="n">
        <v>0.1138</v>
      </c>
      <c r="O19" s="11" t="n">
        <v>0.2167</v>
      </c>
      <c r="P19" s="11" t="n">
        <v>0.7662</v>
      </c>
      <c r="Q19" s="11" t="n">
        <v>0.7662</v>
      </c>
      <c r="R19" s="11" t="n">
        <v>0.0814</v>
      </c>
      <c r="T19" s="11" t="n">
        <v>0</v>
      </c>
      <c r="U19" s="11" t="n">
        <v>1.7854</v>
      </c>
      <c r="V19" s="11" t="n">
        <v>0.4399</v>
      </c>
      <c r="W19" s="11" t="n">
        <v>0.7662</v>
      </c>
    </row>
    <row r="20">
      <c r="A20" s="10" t="inlineStr">
        <is>
          <t>미수 환급소비세</t>
        </is>
      </c>
      <c r="H20" s="11" t="n">
        <v>0</v>
      </c>
      <c r="L20" s="11" t="n">
        <v>0.4284</v>
      </c>
      <c r="P20" s="11" t="n">
        <v>0.3956</v>
      </c>
      <c r="U20" s="11" t="n">
        <v>0</v>
      </c>
      <c r="V20" s="11" t="n">
        <v>0.4284</v>
      </c>
      <c r="W20" s="11" t="n">
        <v>0.3956</v>
      </c>
    </row>
    <row r="21">
      <c r="A21" s="10" t="inlineStr">
        <is>
          <t>기타</t>
        </is>
      </c>
      <c r="D21" s="11" t="n">
        <v>0.5117</v>
      </c>
      <c r="F21" s="11" t="n">
        <v>0.7821</v>
      </c>
      <c r="G21" s="11" t="n">
        <v>2.7252</v>
      </c>
      <c r="H21" s="11" t="n">
        <v>0.753</v>
      </c>
      <c r="I21" s="11" t="n">
        <v>1.0917</v>
      </c>
      <c r="J21" s="11" t="n">
        <v>0.8374</v>
      </c>
      <c r="K21" s="11" t="n">
        <v>2.2119</v>
      </c>
      <c r="L21" s="11" t="n">
        <v>0.9013</v>
      </c>
      <c r="M21" s="11" t="n">
        <v>1.4809</v>
      </c>
      <c r="N21" s="11" t="n">
        <v>1.3722</v>
      </c>
      <c r="O21" s="11" t="n">
        <v>1.7367</v>
      </c>
      <c r="P21" s="11" t="n">
        <v>1.6603</v>
      </c>
      <c r="Q21" s="11" t="n">
        <v>2.2501</v>
      </c>
      <c r="R21" s="11" t="n">
        <v>1.7539</v>
      </c>
      <c r="T21" s="11" t="n">
        <v>0.5117</v>
      </c>
      <c r="U21" s="11" t="n">
        <v>0.753</v>
      </c>
      <c r="V21" s="11" t="n">
        <v>0.9013</v>
      </c>
      <c r="W21" s="11" t="n">
        <v>1.6603</v>
      </c>
    </row>
    <row r="22">
      <c r="A22" s="10" t="inlineStr">
        <is>
          <t>대손충당금</t>
        </is>
      </c>
      <c r="D22" s="11" t="n">
        <v>-0.0534</v>
      </c>
      <c r="F22" s="11" t="n">
        <v>-0.0448</v>
      </c>
      <c r="G22" s="11" t="n">
        <v>-0.0518</v>
      </c>
      <c r="H22" s="11" t="n">
        <v>-0.0449</v>
      </c>
      <c r="I22" s="11" t="n">
        <v>-0.0437</v>
      </c>
      <c r="J22" s="11" t="n">
        <v>-0.0496</v>
      </c>
      <c r="K22" s="11" t="n">
        <v>-0.0556</v>
      </c>
      <c r="L22" s="11" t="n">
        <v>-0.0548</v>
      </c>
      <c r="M22" s="11" t="n">
        <v>-0.0384</v>
      </c>
      <c r="N22" s="11" t="n">
        <v>-0.0338</v>
      </c>
      <c r="O22" s="11" t="n">
        <v>-0.0471</v>
      </c>
      <c r="P22" s="11" t="n">
        <v>-0.0369</v>
      </c>
      <c r="Q22" s="11" t="n">
        <v>-0.0271</v>
      </c>
      <c r="R22" s="11" t="n">
        <v>-0.0206</v>
      </c>
      <c r="T22" s="11" t="n">
        <v>-0.0534</v>
      </c>
      <c r="U22" s="11" t="n">
        <v>-0.0449</v>
      </c>
      <c r="V22" s="11" t="n">
        <v>-0.0548</v>
      </c>
      <c r="W22" s="11" t="n">
        <v>-0.0369</v>
      </c>
    </row>
    <row r="23">
      <c r="A23" s="10" t="inlineStr">
        <is>
          <t>유동자산 합계</t>
        </is>
      </c>
      <c r="D23" s="11" t="n">
        <v>59.3991</v>
      </c>
      <c r="F23" s="11" t="n">
        <v>57.9031</v>
      </c>
      <c r="G23" s="11" t="n">
        <v>62.5387</v>
      </c>
      <c r="H23" s="11" t="n">
        <v>63.3227</v>
      </c>
      <c r="I23" s="11" t="n">
        <v>71.9415</v>
      </c>
      <c r="J23" s="11" t="n">
        <v>76.9679</v>
      </c>
      <c r="K23" s="11" t="n">
        <v>83.9062</v>
      </c>
      <c r="L23" s="11" t="n">
        <v>74.5558</v>
      </c>
      <c r="M23" s="11" t="n">
        <v>84.43219999999999</v>
      </c>
      <c r="N23" s="11" t="n">
        <v>85.2474</v>
      </c>
      <c r="O23" s="11" t="n">
        <v>77.8156</v>
      </c>
      <c r="P23" s="11" t="n">
        <v>80.7624</v>
      </c>
      <c r="Q23" s="11" t="n">
        <v>79.20310000000001</v>
      </c>
      <c r="R23" s="11" t="n">
        <v>92.46469999999999</v>
      </c>
      <c r="T23" s="11" t="n">
        <v>59.3991</v>
      </c>
      <c r="U23" s="11" t="n">
        <v>63.3227</v>
      </c>
      <c r="V23" s="11" t="n">
        <v>74.5558</v>
      </c>
      <c r="W23" s="11" t="n">
        <v>80.7624</v>
      </c>
    </row>
    <row r="24">
      <c r="A24" s="10" t="inlineStr">
        <is>
          <t>건물·구축물</t>
        </is>
      </c>
      <c r="D24" s="11" t="n">
        <v>28.2053</v>
      </c>
      <c r="H24" s="11" t="n">
        <v>30.8217</v>
      </c>
      <c r="L24" s="11" t="n">
        <v>34.3494</v>
      </c>
      <c r="P24" s="11" t="n">
        <v>35.156</v>
      </c>
      <c r="T24" s="11" t="n">
        <v>28.2053</v>
      </c>
      <c r="U24" s="11" t="n">
        <v>30.8217</v>
      </c>
      <c r="V24" s="11" t="n">
        <v>34.3494</v>
      </c>
      <c r="W24" s="11" t="n">
        <v>35.156</v>
      </c>
    </row>
    <row r="25">
      <c r="A25" s="10" t="inlineStr">
        <is>
          <t>감가상각누계액</t>
        </is>
      </c>
      <c r="D25" s="11" t="n">
        <v>-18.128</v>
      </c>
      <c r="H25" s="11" t="n">
        <v>-20.7884</v>
      </c>
      <c r="L25" s="11" t="n">
        <v>-23.2289</v>
      </c>
      <c r="P25" s="11" t="n">
        <v>-23.9285</v>
      </c>
      <c r="T25" s="11" t="n">
        <v>-18.128</v>
      </c>
      <c r="U25" s="11" t="n">
        <v>-20.7884</v>
      </c>
      <c r="V25" s="11" t="n">
        <v>-23.2289</v>
      </c>
      <c r="W25" s="11" t="n">
        <v>-23.9285</v>
      </c>
    </row>
    <row r="26">
      <c r="A26" s="10" t="inlineStr">
        <is>
          <t>건물·구축물(순액)</t>
        </is>
      </c>
      <c r="D26" s="11" t="n">
        <v>10.0773</v>
      </c>
      <c r="F26" s="11" t="n">
        <v>9.909800000000001</v>
      </c>
      <c r="G26" s="11" t="n">
        <v>9.7631</v>
      </c>
      <c r="H26" s="11" t="n">
        <v>10.0333</v>
      </c>
      <c r="I26" s="11" t="n">
        <v>9.9344</v>
      </c>
      <c r="J26" s="11" t="n">
        <v>10.1986</v>
      </c>
      <c r="K26" s="11" t="n">
        <v>11.1146</v>
      </c>
      <c r="L26" s="11" t="n">
        <v>11.1205</v>
      </c>
      <c r="M26" s="11" t="n">
        <v>11.0814</v>
      </c>
      <c r="N26" s="11" t="n">
        <v>11.1541</v>
      </c>
      <c r="O26" s="11" t="n">
        <v>11.4191</v>
      </c>
      <c r="P26" s="11" t="n">
        <v>11.2275</v>
      </c>
      <c r="Q26" s="11" t="n">
        <v>11.0358</v>
      </c>
      <c r="R26" s="11" t="n">
        <v>11.0793</v>
      </c>
      <c r="T26" s="11" t="n">
        <v>10.0773</v>
      </c>
      <c r="U26" s="11" t="n">
        <v>10.0333</v>
      </c>
      <c r="V26" s="11" t="n">
        <v>11.1205</v>
      </c>
      <c r="W26" s="11" t="n">
        <v>11.2275</v>
      </c>
    </row>
    <row r="27">
      <c r="A27" s="10" t="inlineStr">
        <is>
          <t>기계장치·운반구</t>
        </is>
      </c>
      <c r="D27" s="11" t="n">
        <v>35.7965</v>
      </c>
      <c r="H27" s="11" t="n">
        <v>37.6305</v>
      </c>
      <c r="L27" s="11" t="n">
        <v>40.1961</v>
      </c>
      <c r="P27" s="11" t="n">
        <v>44.5077</v>
      </c>
      <c r="T27" s="11" t="n">
        <v>35.7965</v>
      </c>
      <c r="U27" s="11" t="n">
        <v>37.6305</v>
      </c>
      <c r="V27" s="11" t="n">
        <v>40.1961</v>
      </c>
      <c r="W27" s="11" t="n">
        <v>44.5077</v>
      </c>
    </row>
    <row r="28">
      <c r="A28" s="10" t="inlineStr">
        <is>
          <t>감가상각누계액</t>
        </is>
      </c>
      <c r="D28" s="11" t="n">
        <v>-31.7862</v>
      </c>
      <c r="H28" s="11" t="n">
        <v>-34.0925</v>
      </c>
      <c r="L28" s="11" t="n">
        <v>-36.8196</v>
      </c>
      <c r="P28" s="11" t="n">
        <v>-37.5664</v>
      </c>
      <c r="T28" s="11" t="n">
        <v>-31.7862</v>
      </c>
      <c r="U28" s="11" t="n">
        <v>-34.0925</v>
      </c>
      <c r="V28" s="11" t="n">
        <v>-36.8196</v>
      </c>
      <c r="W28" s="11" t="n">
        <v>-37.5664</v>
      </c>
    </row>
    <row r="29">
      <c r="A29" s="10" t="inlineStr">
        <is>
          <t>기계장치·운반구(순액)</t>
        </is>
      </c>
      <c r="D29" s="11" t="n">
        <v>4.0103</v>
      </c>
      <c r="F29" s="11" t="n">
        <v>3.5394</v>
      </c>
      <c r="G29" s="11" t="n">
        <v>3.3794</v>
      </c>
      <c r="H29" s="11" t="n">
        <v>3.538</v>
      </c>
      <c r="I29" s="11" t="n">
        <v>3.8985</v>
      </c>
      <c r="J29" s="11" t="n">
        <v>3.687</v>
      </c>
      <c r="K29" s="11" t="n">
        <v>3.6345</v>
      </c>
      <c r="L29" s="11" t="n">
        <v>3.3765</v>
      </c>
      <c r="M29" s="11" t="n">
        <v>6.8777</v>
      </c>
      <c r="N29" s="11" t="n">
        <v>6.4571</v>
      </c>
      <c r="O29" s="11" t="n">
        <v>6.0815</v>
      </c>
      <c r="P29" s="11" t="n">
        <v>6.9413</v>
      </c>
      <c r="Q29" s="11" t="n">
        <v>6.6065</v>
      </c>
      <c r="R29" s="11" t="n">
        <v>6.2002</v>
      </c>
      <c r="T29" s="11" t="n">
        <v>4.0103</v>
      </c>
      <c r="U29" s="11" t="n">
        <v>3.538</v>
      </c>
      <c r="V29" s="11" t="n">
        <v>3.3765</v>
      </c>
      <c r="W29" s="11" t="n">
        <v>6.9413</v>
      </c>
    </row>
    <row r="30">
      <c r="A30" s="10" t="inlineStr">
        <is>
          <t>토지</t>
        </is>
      </c>
      <c r="D30" s="11" t="n">
        <v>16.1502</v>
      </c>
      <c r="F30" s="11" t="n">
        <v>16.1502</v>
      </c>
      <c r="G30" s="11" t="n">
        <v>16.1502</v>
      </c>
      <c r="H30" s="11" t="n">
        <v>15.5297</v>
      </c>
      <c r="I30" s="11" t="n">
        <v>15.5297</v>
      </c>
      <c r="J30" s="11" t="n">
        <v>16.9509</v>
      </c>
      <c r="K30" s="11" t="n">
        <v>17.9613</v>
      </c>
      <c r="L30" s="11" t="n">
        <v>17.9613</v>
      </c>
      <c r="M30" s="11" t="n">
        <v>16.9795</v>
      </c>
      <c r="N30" s="11" t="n">
        <v>16.9795</v>
      </c>
      <c r="O30" s="11" t="n">
        <v>17.1579</v>
      </c>
      <c r="P30" s="11" t="n">
        <v>17.1579</v>
      </c>
      <c r="Q30" s="11" t="n">
        <v>17.1579</v>
      </c>
      <c r="R30" s="11" t="n">
        <v>17.1579</v>
      </c>
      <c r="T30" s="11" t="n">
        <v>16.1502</v>
      </c>
      <c r="U30" s="11" t="n">
        <v>15.5297</v>
      </c>
      <c r="V30" s="11" t="n">
        <v>17.9613</v>
      </c>
      <c r="W30" s="11" t="n">
        <v>17.1579</v>
      </c>
    </row>
    <row r="31">
      <c r="A31" s="10" t="inlineStr">
        <is>
          <t>기타</t>
        </is>
      </c>
      <c r="D31" s="11" t="n">
        <v>4.3831</v>
      </c>
      <c r="H31" s="11" t="n">
        <v>4.8689</v>
      </c>
      <c r="L31" s="11" t="n">
        <v>7.893</v>
      </c>
      <c r="P31" s="11" t="n">
        <v>5.5962</v>
      </c>
      <c r="T31" s="11" t="n">
        <v>4.3831</v>
      </c>
      <c r="U31" s="11" t="n">
        <v>4.8689</v>
      </c>
      <c r="V31" s="11" t="n">
        <v>7.893</v>
      </c>
      <c r="W31" s="11" t="n">
        <v>5.5962</v>
      </c>
    </row>
    <row r="32">
      <c r="A32" s="10" t="inlineStr">
        <is>
          <t>감가상각누계액</t>
        </is>
      </c>
      <c r="D32" s="11" t="n">
        <v>-3.9213</v>
      </c>
      <c r="H32" s="11" t="n">
        <v>-4.2555</v>
      </c>
      <c r="L32" s="11" t="n">
        <v>-4.8783</v>
      </c>
      <c r="P32" s="11" t="n">
        <v>-4.9955</v>
      </c>
      <c r="T32" s="11" t="n">
        <v>-3.9213</v>
      </c>
      <c r="U32" s="11" t="n">
        <v>-4.2555</v>
      </c>
      <c r="V32" s="11" t="n">
        <v>-4.8783</v>
      </c>
      <c r="W32" s="11" t="n">
        <v>-4.9955</v>
      </c>
    </row>
    <row r="33">
      <c r="A33" s="10" t="inlineStr">
        <is>
          <t>기타(순액)</t>
        </is>
      </c>
      <c r="D33" s="11" t="n">
        <v>0.4618</v>
      </c>
      <c r="F33" s="11" t="n">
        <v>0.5733</v>
      </c>
      <c r="G33" s="11" t="n">
        <v>0.5091</v>
      </c>
      <c r="H33" s="11" t="n">
        <v>0.6133999999999999</v>
      </c>
      <c r="I33" s="11" t="n">
        <v>0.667</v>
      </c>
      <c r="J33" s="11" t="n">
        <v>0.9596</v>
      </c>
      <c r="K33" s="11" t="n">
        <v>2.5337</v>
      </c>
      <c r="L33" s="11" t="n">
        <v>3.0147</v>
      </c>
      <c r="M33" s="11" t="n">
        <v>0.6573</v>
      </c>
      <c r="N33" s="11" t="n">
        <v>0.6899999999999999</v>
      </c>
      <c r="O33" s="11" t="n">
        <v>0.7007</v>
      </c>
      <c r="P33" s="11" t="n">
        <v>0.6007</v>
      </c>
      <c r="Q33" s="11" t="n">
        <v>0.7741</v>
      </c>
      <c r="R33" s="11" t="n">
        <v>0.5615</v>
      </c>
      <c r="T33" s="11" t="n">
        <v>0.4618</v>
      </c>
      <c r="U33" s="11" t="n">
        <v>0.6133999999999999</v>
      </c>
      <c r="V33" s="11" t="n">
        <v>3.0147</v>
      </c>
      <c r="W33" s="11" t="n">
        <v>0.6007</v>
      </c>
    </row>
    <row r="34">
      <c r="A34" s="10" t="inlineStr">
        <is>
          <t>유형자산 합계</t>
        </is>
      </c>
      <c r="D34" s="11" t="n">
        <v>30.6996</v>
      </c>
      <c r="F34" s="11" t="n">
        <v>30.1727</v>
      </c>
      <c r="G34" s="11" t="n">
        <v>29.8018</v>
      </c>
      <c r="H34" s="11" t="n">
        <v>29.7144</v>
      </c>
      <c r="I34" s="11" t="n">
        <v>30.0295</v>
      </c>
      <c r="J34" s="11" t="n">
        <v>31.7962</v>
      </c>
      <c r="K34" s="11" t="n">
        <v>35.2441</v>
      </c>
      <c r="L34" s="11" t="n">
        <v>35.473</v>
      </c>
      <c r="M34" s="11" t="n">
        <v>35.5959</v>
      </c>
      <c r="N34" s="11" t="n">
        <v>35.2807</v>
      </c>
      <c r="O34" s="11" t="n">
        <v>35.3593</v>
      </c>
      <c r="P34" s="11" t="n">
        <v>35.9273</v>
      </c>
      <c r="Q34" s="11" t="n">
        <v>35.5743</v>
      </c>
      <c r="R34" s="11" t="n">
        <v>34.999</v>
      </c>
      <c r="T34" s="11" t="n">
        <v>30.6996</v>
      </c>
      <c r="U34" s="11" t="n">
        <v>29.7144</v>
      </c>
      <c r="V34" s="11" t="n">
        <v>35.473</v>
      </c>
      <c r="W34" s="11" t="n">
        <v>35.9273</v>
      </c>
    </row>
    <row r="35">
      <c r="A35" s="10" t="inlineStr">
        <is>
          <t>영업권</t>
        </is>
      </c>
      <c r="L35" s="11" t="n">
        <v>4.303</v>
      </c>
      <c r="M35" s="11" t="n">
        <v>5.8862</v>
      </c>
      <c r="N35" s="11" t="n">
        <v>4.0585</v>
      </c>
      <c r="O35" s="11" t="n">
        <v>5.3935</v>
      </c>
      <c r="P35" s="11" t="n">
        <v>5.2173</v>
      </c>
      <c r="Q35" s="11" t="n">
        <v>5.0545</v>
      </c>
      <c r="R35" s="11" t="n">
        <v>4.8918</v>
      </c>
      <c r="V35" s="11" t="n">
        <v>4.303</v>
      </c>
      <c r="W35" s="11" t="n">
        <v>5.2173</v>
      </c>
    </row>
    <row r="36">
      <c r="A36" s="10" t="inlineStr">
        <is>
          <t>소프트웨어</t>
        </is>
      </c>
      <c r="L36" s="11" t="n">
        <v>1.0262</v>
      </c>
      <c r="M36" s="11" t="n">
        <v>0.9631999999999999</v>
      </c>
      <c r="N36" s="11" t="n">
        <v>0.9363</v>
      </c>
      <c r="O36" s="11" t="n">
        <v>1.0088</v>
      </c>
      <c r="P36" s="11" t="n">
        <v>1.0025</v>
      </c>
      <c r="Q36" s="11" t="n">
        <v>0.95</v>
      </c>
      <c r="R36" s="11" t="n">
        <v>0.8602</v>
      </c>
      <c r="V36" s="11" t="n">
        <v>1.0262</v>
      </c>
      <c r="W36" s="11" t="n">
        <v>1.0025</v>
      </c>
    </row>
    <row r="37">
      <c r="A37" s="10" t="inlineStr">
        <is>
          <t>개발 중 소프트웨어</t>
        </is>
      </c>
      <c r="L37" s="11" t="n">
        <v>0</v>
      </c>
      <c r="N37" s="11" t="n">
        <v>0.1711</v>
      </c>
      <c r="O37" s="11" t="n">
        <v>0.0089</v>
      </c>
      <c r="V37" s="11" t="n">
        <v>0</v>
      </c>
    </row>
    <row r="38">
      <c r="A38" s="10" t="inlineStr">
        <is>
          <t>고객관계자산</t>
        </is>
      </c>
      <c r="L38" s="11" t="n">
        <v>2.652</v>
      </c>
      <c r="P38" s="11" t="n">
        <v>2.38</v>
      </c>
      <c r="V38" s="11" t="n">
        <v>2.652</v>
      </c>
      <c r="W38" s="11" t="n">
        <v>2.38</v>
      </c>
    </row>
    <row r="39">
      <c r="A39" s="10" t="inlineStr">
        <is>
          <t>고객관계자산</t>
        </is>
      </c>
      <c r="L39" s="11" t="n">
        <v>2.652</v>
      </c>
      <c r="O39" s="11" t="n">
        <v>2.448</v>
      </c>
      <c r="P39" s="11" t="n">
        <v>2.38</v>
      </c>
      <c r="Q39" s="11" t="n">
        <v>2.312</v>
      </c>
      <c r="V39" s="11" t="n">
        <v>2.652</v>
      </c>
      <c r="W39" s="11" t="n">
        <v>2.38</v>
      </c>
    </row>
    <row r="40">
      <c r="A40" s="10" t="inlineStr">
        <is>
          <t>고객관계자산</t>
        </is>
      </c>
      <c r="L40" s="11" t="n">
        <v>2.652</v>
      </c>
      <c r="N40" s="11" t="n">
        <v>2.516</v>
      </c>
      <c r="P40" s="11" t="n">
        <v>2.38</v>
      </c>
      <c r="R40" s="11" t="n">
        <v>2.244</v>
      </c>
      <c r="V40" s="11" t="n">
        <v>2.652</v>
      </c>
      <c r="W40" s="11" t="n">
        <v>2.38</v>
      </c>
    </row>
    <row r="41">
      <c r="A41" s="10" t="inlineStr">
        <is>
          <t>기타</t>
        </is>
      </c>
      <c r="L41" s="11" t="n">
        <v>0.0049</v>
      </c>
      <c r="M41" s="11" t="n">
        <v>0.003</v>
      </c>
      <c r="N41" s="11" t="n">
        <v>0.0029</v>
      </c>
      <c r="O41" s="11" t="n">
        <v>0.0035</v>
      </c>
      <c r="P41" s="11" t="n">
        <v>0.0033</v>
      </c>
      <c r="Q41" s="11" t="n">
        <v>0.0032</v>
      </c>
      <c r="R41" s="11" t="n">
        <v>0.0031</v>
      </c>
      <c r="V41" s="11" t="n">
        <v>0.0049</v>
      </c>
      <c r="W41" s="11" t="n">
        <v>0.0033</v>
      </c>
    </row>
    <row r="42">
      <c r="A42" s="10" t="inlineStr">
        <is>
          <t>무형자산 합계</t>
        </is>
      </c>
      <c r="D42" s="11" t="n">
        <v>0.5</v>
      </c>
      <c r="F42" s="11" t="n">
        <v>0.5829</v>
      </c>
      <c r="G42" s="11" t="n">
        <v>0.9412</v>
      </c>
      <c r="H42" s="11" t="n">
        <v>1.5166</v>
      </c>
      <c r="I42" s="11" t="n">
        <v>1.4781</v>
      </c>
      <c r="J42" s="11" t="n">
        <v>1.4276</v>
      </c>
      <c r="K42" s="11" t="n">
        <v>6.5225</v>
      </c>
      <c r="L42" s="11" t="n">
        <v>7.9862</v>
      </c>
      <c r="M42" s="11" t="n">
        <v>6.8524</v>
      </c>
      <c r="N42" s="11" t="n">
        <v>7.6848</v>
      </c>
      <c r="O42" s="11" t="n">
        <v>8.8628</v>
      </c>
      <c r="P42" s="11" t="n">
        <v>8.603</v>
      </c>
      <c r="Q42" s="11" t="n">
        <v>8.319699999999999</v>
      </c>
      <c r="R42" s="11" t="n">
        <v>7.9991</v>
      </c>
      <c r="T42" s="11" t="n">
        <v>0.5</v>
      </c>
      <c r="U42" s="11" t="n">
        <v>1.5166</v>
      </c>
      <c r="V42" s="11" t="n">
        <v>7.9862</v>
      </c>
      <c r="W42" s="11" t="n">
        <v>8.603</v>
      </c>
    </row>
    <row r="43">
      <c r="A43" s="10" t="inlineStr">
        <is>
          <t>투자유가증권</t>
        </is>
      </c>
      <c r="D43" s="11" t="n">
        <v>0.853</v>
      </c>
      <c r="F43" s="11" t="n">
        <v>1.0174</v>
      </c>
      <c r="G43" s="11" t="n">
        <v>1.0499</v>
      </c>
      <c r="H43" s="11" t="n">
        <v>1.1523</v>
      </c>
      <c r="I43" s="11" t="n">
        <v>1.2197</v>
      </c>
      <c r="J43" s="11" t="n">
        <v>1.4685</v>
      </c>
      <c r="K43" s="11" t="n">
        <v>1.3698</v>
      </c>
      <c r="L43" s="11" t="n">
        <v>2.1686</v>
      </c>
      <c r="M43" s="11" t="n">
        <v>2.0053</v>
      </c>
      <c r="N43" s="11" t="n">
        <v>2.1113</v>
      </c>
      <c r="O43" s="11" t="n">
        <v>2.5994</v>
      </c>
      <c r="P43" s="11" t="n">
        <v>1.9069</v>
      </c>
      <c r="Q43" s="11" t="n">
        <v>1.9828</v>
      </c>
      <c r="R43" s="11" t="n">
        <v>1.9306</v>
      </c>
      <c r="T43" s="11" t="n">
        <v>0.853</v>
      </c>
      <c r="U43" s="11" t="n">
        <v>1.1523</v>
      </c>
      <c r="V43" s="11" t="n">
        <v>2.1686</v>
      </c>
      <c r="W43" s="11" t="n">
        <v>1.9069</v>
      </c>
    </row>
    <row r="44">
      <c r="A44" s="10" t="inlineStr">
        <is>
          <t>이연법인세자산</t>
        </is>
      </c>
      <c r="D44" s="11" t="n">
        <v>4.1764</v>
      </c>
      <c r="F44" s="11" t="n">
        <v>2.5354</v>
      </c>
      <c r="G44" s="11" t="n">
        <v>1.6855</v>
      </c>
      <c r="H44" s="11" t="n">
        <v>0.519</v>
      </c>
      <c r="I44" s="11" t="n">
        <v>0.6032</v>
      </c>
      <c r="J44" s="11" t="n">
        <v>0.6409</v>
      </c>
      <c r="K44" s="11" t="n">
        <v>1.1623</v>
      </c>
      <c r="L44" s="11" t="n">
        <v>1.0609</v>
      </c>
      <c r="M44" s="11" t="n">
        <v>1.9075</v>
      </c>
      <c r="N44" s="11" t="n">
        <v>1.2974</v>
      </c>
      <c r="O44" s="11" t="n">
        <v>1.4496</v>
      </c>
      <c r="P44" s="11" t="n">
        <v>1.1677</v>
      </c>
      <c r="Q44" s="11" t="n">
        <v>0.7985</v>
      </c>
      <c r="R44" s="11" t="n">
        <v>0.6496</v>
      </c>
      <c r="T44" s="11" t="n">
        <v>4.1764</v>
      </c>
      <c r="U44" s="11" t="n">
        <v>0.519</v>
      </c>
      <c r="V44" s="11" t="n">
        <v>1.0609</v>
      </c>
      <c r="W44" s="11" t="n">
        <v>1.1677</v>
      </c>
    </row>
    <row r="45">
      <c r="A45" s="10" t="inlineStr">
        <is>
          <t>퇴직급여자산</t>
        </is>
      </c>
      <c r="D45" s="11" t="n">
        <v>0.7509</v>
      </c>
      <c r="F45" s="11" t="n">
        <v>0.7815</v>
      </c>
      <c r="G45" s="11" t="n">
        <v>0.7973</v>
      </c>
      <c r="H45" s="11" t="n">
        <v>1.3088</v>
      </c>
      <c r="I45" s="11" t="n">
        <v>1.3279</v>
      </c>
      <c r="J45" s="11" t="n">
        <v>1.3438</v>
      </c>
      <c r="K45" s="11" t="n">
        <v>1.3604</v>
      </c>
      <c r="L45" s="11" t="n">
        <v>1.7065</v>
      </c>
      <c r="M45" s="11" t="n">
        <v>1.5021</v>
      </c>
      <c r="N45" s="11" t="n">
        <v>1.5309</v>
      </c>
      <c r="O45" s="11" t="n">
        <v>1.5171</v>
      </c>
      <c r="P45" s="11" t="n">
        <v>1.592</v>
      </c>
      <c r="Q45" s="11" t="n">
        <v>1.605</v>
      </c>
      <c r="R45" s="11" t="n">
        <v>1.6199</v>
      </c>
      <c r="T45" s="11" t="n">
        <v>0.7509</v>
      </c>
      <c r="U45" s="11" t="n">
        <v>1.3088</v>
      </c>
      <c r="V45" s="11" t="n">
        <v>1.7065</v>
      </c>
      <c r="W45" s="11" t="n">
        <v>1.592</v>
      </c>
    </row>
    <row r="46">
      <c r="A46" s="10" t="inlineStr">
        <is>
          <t>파산갱생채권 등</t>
        </is>
      </c>
      <c r="D46" s="11" t="n">
        <v>18.38</v>
      </c>
      <c r="F46" s="11" t="n">
        <v>0.0152</v>
      </c>
      <c r="G46" s="11" t="n">
        <v>0.0152</v>
      </c>
      <c r="H46" s="11" t="n">
        <v>0</v>
      </c>
      <c r="P46" s="11" t="n">
        <v>0</v>
      </c>
      <c r="R46" s="11" t="n">
        <v>0.0061</v>
      </c>
      <c r="T46" s="11" t="n">
        <v>18.38</v>
      </c>
      <c r="U46" s="11" t="n">
        <v>0</v>
      </c>
      <c r="W46" s="11" t="n">
        <v>0</v>
      </c>
    </row>
    <row r="47">
      <c r="A47" s="10" t="inlineStr">
        <is>
          <t>기타</t>
        </is>
      </c>
      <c r="D47" s="11" t="n">
        <v>2.4984</v>
      </c>
      <c r="F47" s="11" t="n">
        <v>2.3964</v>
      </c>
      <c r="G47" s="11" t="n">
        <v>2.4008</v>
      </c>
      <c r="H47" s="11" t="n">
        <v>3.0172</v>
      </c>
      <c r="I47" s="11" t="n">
        <v>2.3588</v>
      </c>
      <c r="J47" s="11" t="n">
        <v>2.5694</v>
      </c>
      <c r="K47" s="11" t="n">
        <v>8.301299999999999</v>
      </c>
      <c r="L47" s="11" t="n">
        <v>8.0662</v>
      </c>
      <c r="M47" s="11" t="n">
        <v>2.8735</v>
      </c>
      <c r="N47" s="11" t="n">
        <v>2.8508</v>
      </c>
      <c r="O47" s="11" t="n">
        <v>3.1919</v>
      </c>
      <c r="P47" s="11" t="n">
        <v>3.1457</v>
      </c>
      <c r="Q47" s="11" t="n">
        <v>3.1816</v>
      </c>
      <c r="R47" s="11" t="n">
        <v>2.6144</v>
      </c>
      <c r="T47" s="11" t="n">
        <v>2.4984</v>
      </c>
      <c r="U47" s="11" t="n">
        <v>3.0172</v>
      </c>
      <c r="V47" s="11" t="n">
        <v>8.0662</v>
      </c>
      <c r="W47" s="11" t="n">
        <v>3.1457</v>
      </c>
    </row>
    <row r="48">
      <c r="A48" s="10" t="inlineStr">
        <is>
          <t>대손충당금</t>
        </is>
      </c>
      <c r="D48" s="11" t="n">
        <v>-17.6346</v>
      </c>
      <c r="F48" s="11" t="n">
        <v>-0.0152</v>
      </c>
      <c r="G48" s="11" t="n">
        <v>-0.0152</v>
      </c>
      <c r="H48" s="11" t="n">
        <v>0</v>
      </c>
      <c r="L48" s="11" t="n">
        <v>0</v>
      </c>
      <c r="M48" s="11" t="n">
        <v>-0</v>
      </c>
      <c r="N48" s="11" t="n">
        <v>-0</v>
      </c>
      <c r="O48" s="11" t="n">
        <v>-0</v>
      </c>
      <c r="P48" s="11" t="n">
        <v>-0.0014</v>
      </c>
      <c r="Q48" s="11" t="n">
        <v>0</v>
      </c>
      <c r="R48" s="11" t="n">
        <v>-0.0061</v>
      </c>
      <c r="T48" s="11" t="n">
        <v>-17.6346</v>
      </c>
      <c r="U48" s="11" t="n">
        <v>0</v>
      </c>
      <c r="V48" s="11" t="n">
        <v>0</v>
      </c>
      <c r="W48" s="11" t="n">
        <v>-0.0014</v>
      </c>
    </row>
    <row r="49">
      <c r="A49" s="10" t="inlineStr">
        <is>
          <t>투자 및 기타자산 합계</t>
        </is>
      </c>
      <c r="D49" s="11" t="n">
        <v>9.0242</v>
      </c>
      <c r="F49" s="11" t="n">
        <v>6.7308</v>
      </c>
      <c r="G49" s="11" t="n">
        <v>5.9334</v>
      </c>
      <c r="H49" s="11" t="n">
        <v>5.9974</v>
      </c>
      <c r="I49" s="11" t="n">
        <v>5.5096</v>
      </c>
      <c r="J49" s="11" t="n">
        <v>6.0227</v>
      </c>
      <c r="K49" s="11" t="n">
        <v>12.1938</v>
      </c>
      <c r="L49" s="11" t="n">
        <v>13.0023</v>
      </c>
      <c r="M49" s="11" t="n">
        <v>8.288399999999999</v>
      </c>
      <c r="N49" s="11" t="n">
        <v>7.7905</v>
      </c>
      <c r="O49" s="11" t="n">
        <v>8.758100000000001</v>
      </c>
      <c r="P49" s="11" t="n">
        <v>7.811</v>
      </c>
      <c r="Q49" s="11" t="n">
        <v>7.5678</v>
      </c>
      <c r="R49" s="11" t="n">
        <v>6.8146</v>
      </c>
      <c r="T49" s="11" t="n">
        <v>9.0242</v>
      </c>
      <c r="U49" s="11" t="n">
        <v>5.9974</v>
      </c>
      <c r="V49" s="11" t="n">
        <v>13.0023</v>
      </c>
      <c r="W49" s="11" t="n">
        <v>7.811</v>
      </c>
    </row>
    <row r="50">
      <c r="A50" s="10" t="inlineStr">
        <is>
          <t>비유동자산 합계</t>
        </is>
      </c>
      <c r="D50" s="11" t="n">
        <v>40.2238</v>
      </c>
      <c r="F50" s="11" t="n">
        <v>37.4864</v>
      </c>
      <c r="G50" s="11" t="n">
        <v>36.6765</v>
      </c>
      <c r="H50" s="11" t="n">
        <v>37.2284</v>
      </c>
      <c r="I50" s="11" t="n">
        <v>37.0172</v>
      </c>
      <c r="J50" s="11" t="n">
        <v>39.2465</v>
      </c>
      <c r="K50" s="11" t="n">
        <v>53.9604</v>
      </c>
      <c r="L50" s="11" t="n">
        <v>56.4615</v>
      </c>
      <c r="M50" s="11" t="n">
        <v>50.7366</v>
      </c>
      <c r="N50" s="11" t="n">
        <v>50.756</v>
      </c>
      <c r="O50" s="11" t="n">
        <v>52.9801</v>
      </c>
      <c r="P50" s="11" t="n">
        <v>52.3413</v>
      </c>
      <c r="Q50" s="11" t="n">
        <v>51.4619</v>
      </c>
      <c r="R50" s="11" t="n">
        <v>49.8127</v>
      </c>
      <c r="T50" s="11" t="n">
        <v>40.2238</v>
      </c>
      <c r="U50" s="11" t="n">
        <v>37.2284</v>
      </c>
      <c r="V50" s="11" t="n">
        <v>56.4615</v>
      </c>
      <c r="W50" s="11" t="n">
        <v>52.3413</v>
      </c>
    </row>
    <row r="51">
      <c r="A51" s="10" t="inlineStr">
        <is>
          <t>자산 합계</t>
        </is>
      </c>
      <c r="D51" s="11" t="n">
        <v>99.6229</v>
      </c>
      <c r="F51" s="11" t="n">
        <v>95.3895</v>
      </c>
      <c r="G51" s="11" t="n">
        <v>99.2152</v>
      </c>
      <c r="H51" s="11" t="n">
        <v>100.5511</v>
      </c>
      <c r="I51" s="11" t="n">
        <v>108.9588</v>
      </c>
      <c r="J51" s="11" t="n">
        <v>116.2144</v>
      </c>
      <c r="K51" s="11" t="n">
        <v>137.8665</v>
      </c>
      <c r="L51" s="11" t="n">
        <v>131.0173</v>
      </c>
      <c r="M51" s="11" t="n">
        <v>135.1689</v>
      </c>
      <c r="N51" s="11" t="n">
        <v>136.0035</v>
      </c>
      <c r="O51" s="11" t="n">
        <v>130.7957</v>
      </c>
      <c r="P51" s="11" t="n">
        <v>133.1038</v>
      </c>
      <c r="Q51" s="11" t="n">
        <v>130.665</v>
      </c>
      <c r="R51" s="11" t="n">
        <v>142.2774</v>
      </c>
      <c r="T51" s="11" t="n">
        <v>99.6229</v>
      </c>
      <c r="U51" s="11" t="n">
        <v>100.5511</v>
      </c>
      <c r="V51" s="11" t="n">
        <v>131.0173</v>
      </c>
      <c r="W51" s="11" t="n">
        <v>133.1038</v>
      </c>
    </row>
    <row r="52">
      <c r="A52" s="10" t="inlineStr">
        <is>
          <t>지급어음·매입채무</t>
        </is>
      </c>
      <c r="D52" s="11" t="n">
        <v>15.8496</v>
      </c>
      <c r="F52" s="11" t="n">
        <v>15.5156</v>
      </c>
      <c r="G52" s="11" t="n">
        <v>15.5408</v>
      </c>
      <c r="H52" s="11" t="n">
        <v>16.3905</v>
      </c>
      <c r="I52" s="11" t="n">
        <v>16.5597</v>
      </c>
      <c r="J52" s="11" t="n">
        <v>18.6454</v>
      </c>
      <c r="K52" s="11" t="n">
        <v>20.2254</v>
      </c>
      <c r="L52" s="11" t="n">
        <v>14.7995</v>
      </c>
      <c r="M52" s="11" t="n">
        <v>14.3121</v>
      </c>
      <c r="N52" s="11" t="n">
        <v>13.3215</v>
      </c>
      <c r="O52" s="11" t="n">
        <v>13.1717</v>
      </c>
      <c r="P52" s="11" t="n">
        <v>9.9903</v>
      </c>
      <c r="Q52" s="11" t="n">
        <v>4.3939</v>
      </c>
      <c r="R52" s="11" t="n">
        <v>3.3956</v>
      </c>
      <c r="T52" s="11" t="n">
        <v>15.8496</v>
      </c>
      <c r="U52" s="11" t="n">
        <v>16.3905</v>
      </c>
      <c r="V52" s="11" t="n">
        <v>14.7995</v>
      </c>
      <c r="W52" s="11" t="n">
        <v>9.9903</v>
      </c>
    </row>
    <row r="53">
      <c r="A53" s="10" t="inlineStr">
        <is>
          <t>전자기록채무</t>
        </is>
      </c>
      <c r="H53" s="11" t="n">
        <v>0</v>
      </c>
      <c r="K53" s="11" t="n">
        <v>0.3798</v>
      </c>
      <c r="L53" s="11" t="n">
        <v>0.7612</v>
      </c>
      <c r="M53" s="11" t="n">
        <v>1.3169</v>
      </c>
      <c r="N53" s="11" t="n">
        <v>1.7765</v>
      </c>
      <c r="O53" s="11" t="n">
        <v>1.4361</v>
      </c>
      <c r="P53" s="11" t="n">
        <v>1.496</v>
      </c>
      <c r="Q53" s="11" t="n">
        <v>1.084</v>
      </c>
      <c r="R53" s="11" t="n">
        <v>0.1965</v>
      </c>
      <c r="U53" s="11" t="n">
        <v>0</v>
      </c>
      <c r="V53" s="11" t="n">
        <v>0.7612</v>
      </c>
      <c r="W53" s="11" t="n">
        <v>1.496</v>
      </c>
    </row>
    <row r="54">
      <c r="A54" s="10" t="inlineStr">
        <is>
          <t>1년 내 상환 장기차입금</t>
        </is>
      </c>
      <c r="D54" s="11" t="n">
        <v>4.26</v>
      </c>
      <c r="F54" s="11" t="n">
        <v>4.26</v>
      </c>
      <c r="G54" s="11" t="n">
        <v>4.26</v>
      </c>
      <c r="H54" s="11" t="n">
        <v>4.7</v>
      </c>
      <c r="I54" s="11" t="n">
        <v>4.7</v>
      </c>
      <c r="J54" s="11" t="n">
        <v>4.7</v>
      </c>
      <c r="K54" s="11" t="n">
        <v>4.7214</v>
      </c>
      <c r="L54" s="11" t="n">
        <v>4.7214</v>
      </c>
      <c r="M54" s="11" t="n">
        <v>4.7214</v>
      </c>
      <c r="N54" s="11" t="n">
        <v>4.7214</v>
      </c>
      <c r="O54" s="11" t="n">
        <v>6.4414</v>
      </c>
      <c r="P54" s="11" t="n">
        <v>7.8502</v>
      </c>
      <c r="Q54" s="11" t="n">
        <v>7.8216</v>
      </c>
      <c r="R54" s="11" t="n">
        <v>9.4236</v>
      </c>
      <c r="T54" s="11" t="n">
        <v>4.26</v>
      </c>
      <c r="U54" s="11" t="n">
        <v>4.7</v>
      </c>
      <c r="V54" s="11" t="n">
        <v>4.7214</v>
      </c>
      <c r="W54" s="11" t="n">
        <v>7.8502</v>
      </c>
    </row>
    <row r="55">
      <c r="A55" s="10" t="inlineStr">
        <is>
          <t>단기차입금</t>
        </is>
      </c>
      <c r="D55" s="11" t="n">
        <v>0</v>
      </c>
      <c r="H55" s="11" t="n">
        <v>1.822</v>
      </c>
      <c r="I55" s="11" t="n">
        <v>10</v>
      </c>
      <c r="J55" s="11" t="n">
        <v>10.3587</v>
      </c>
      <c r="K55" s="11" t="n">
        <v>23.3587</v>
      </c>
      <c r="L55" s="11" t="n">
        <v>18</v>
      </c>
      <c r="M55" s="11" t="n">
        <v>23</v>
      </c>
      <c r="N55" s="11" t="n">
        <v>25</v>
      </c>
      <c r="O55" s="11" t="n">
        <v>8.5</v>
      </c>
      <c r="P55" s="11" t="n">
        <v>2.5</v>
      </c>
      <c r="Q55" s="11" t="n">
        <v>5</v>
      </c>
      <c r="R55" s="11" t="n">
        <v>9.5</v>
      </c>
      <c r="T55" s="11" t="n">
        <v>0</v>
      </c>
      <c r="U55" s="11" t="n">
        <v>1.822</v>
      </c>
      <c r="V55" s="11" t="n">
        <v>18</v>
      </c>
      <c r="W55" s="11" t="n">
        <v>2.5</v>
      </c>
    </row>
    <row r="56">
      <c r="A56" s="10" t="inlineStr">
        <is>
          <t>미지급법인세</t>
        </is>
      </c>
      <c r="D56" s="11" t="n">
        <v>4.3197</v>
      </c>
      <c r="F56" s="11" t="n">
        <v>0.5285</v>
      </c>
      <c r="G56" s="11" t="n">
        <v>0.4934</v>
      </c>
      <c r="H56" s="11" t="n">
        <v>0.7446</v>
      </c>
      <c r="I56" s="11" t="n">
        <v>1.6001</v>
      </c>
      <c r="J56" s="11" t="n">
        <v>2.8903</v>
      </c>
      <c r="K56" s="11" t="n">
        <v>4.4327</v>
      </c>
      <c r="L56" s="11" t="n">
        <v>4.4433</v>
      </c>
      <c r="M56" s="11" t="n">
        <v>2.8842</v>
      </c>
      <c r="N56" s="11" t="n">
        <v>1.6539</v>
      </c>
      <c r="O56" s="11" t="n">
        <v>1.2375</v>
      </c>
      <c r="P56" s="11" t="n">
        <v>1.8605</v>
      </c>
      <c r="Q56" s="11" t="n">
        <v>1.918</v>
      </c>
      <c r="R56" s="11" t="n">
        <v>3.8992</v>
      </c>
      <c r="T56" s="11" t="n">
        <v>4.3197</v>
      </c>
      <c r="U56" s="11" t="n">
        <v>0.7446</v>
      </c>
      <c r="V56" s="11" t="n">
        <v>4.4433</v>
      </c>
      <c r="W56" s="11" t="n">
        <v>1.8605</v>
      </c>
    </row>
    <row r="57">
      <c r="A57" s="10" t="inlineStr">
        <is>
          <t>상여충당금</t>
        </is>
      </c>
      <c r="D57" s="11" t="n">
        <v>1.2104</v>
      </c>
      <c r="F57" s="11" t="n">
        <v>1.1729</v>
      </c>
      <c r="G57" s="11" t="n">
        <v>1.7666</v>
      </c>
      <c r="H57" s="11" t="n">
        <v>1.3199</v>
      </c>
      <c r="I57" s="11" t="n">
        <v>2.0003</v>
      </c>
      <c r="J57" s="11" t="n">
        <v>1.4674</v>
      </c>
      <c r="K57" s="11" t="n">
        <v>2.3739</v>
      </c>
      <c r="L57" s="11" t="n">
        <v>1.5594</v>
      </c>
      <c r="M57" s="11" t="n">
        <v>2.4479</v>
      </c>
      <c r="N57" s="11" t="n">
        <v>1.7944</v>
      </c>
      <c r="O57" s="11" t="n">
        <v>2.6383</v>
      </c>
      <c r="P57" s="11" t="n">
        <v>1.829</v>
      </c>
      <c r="Q57" s="11" t="n">
        <v>2.8954</v>
      </c>
      <c r="R57" s="11" t="n">
        <v>1.9986</v>
      </c>
      <c r="T57" s="11" t="n">
        <v>1.2104</v>
      </c>
      <c r="U57" s="11" t="n">
        <v>1.3199</v>
      </c>
      <c r="V57" s="11" t="n">
        <v>1.5594</v>
      </c>
      <c r="W57" s="11" t="n">
        <v>1.829</v>
      </c>
    </row>
    <row r="58">
      <c r="A58" s="10" t="inlineStr">
        <is>
          <t>계약부채</t>
        </is>
      </c>
      <c r="D58" s="11" t="n">
        <v>0.4492</v>
      </c>
      <c r="F58" s="11" t="n">
        <v>0.1817</v>
      </c>
      <c r="G58" s="11" t="n">
        <v>0.1785</v>
      </c>
      <c r="H58" s="11" t="n">
        <v>0.0738</v>
      </c>
      <c r="I58" s="11" t="n">
        <v>0.6827</v>
      </c>
      <c r="J58" s="11" t="n">
        <v>1.6121</v>
      </c>
      <c r="K58" s="11" t="n">
        <v>4.7537</v>
      </c>
      <c r="L58" s="11" t="n">
        <v>3.4884</v>
      </c>
      <c r="M58" s="11" t="n">
        <v>2.6992</v>
      </c>
      <c r="N58" s="11" t="n">
        <v>2.5949</v>
      </c>
      <c r="O58" s="11" t="n">
        <v>2.8757</v>
      </c>
      <c r="P58" s="11" t="n">
        <v>4.3692</v>
      </c>
      <c r="Q58" s="11" t="n">
        <v>4.362</v>
      </c>
      <c r="R58" s="11" t="n">
        <v>4.4359</v>
      </c>
      <c r="T58" s="11" t="n">
        <v>0.4492</v>
      </c>
      <c r="U58" s="11" t="n">
        <v>0.0738</v>
      </c>
      <c r="V58" s="11" t="n">
        <v>3.4884</v>
      </c>
      <c r="W58" s="11" t="n">
        <v>4.3692</v>
      </c>
    </row>
    <row r="59">
      <c r="A59" s="10" t="inlineStr">
        <is>
          <t>공사 미지급금</t>
        </is>
      </c>
      <c r="H59" s="11" t="n">
        <v>0</v>
      </c>
      <c r="L59" s="11" t="n">
        <v>0.4406</v>
      </c>
      <c r="P59" s="11" t="n">
        <v>0.7998</v>
      </c>
      <c r="U59" s="11" t="n">
        <v>0</v>
      </c>
      <c r="V59" s="11" t="n">
        <v>0.4406</v>
      </c>
      <c r="W59" s="11" t="n">
        <v>0.7998</v>
      </c>
    </row>
    <row r="60">
      <c r="A60" s="10" t="inlineStr">
        <is>
          <t>미성공사 선수금</t>
        </is>
      </c>
      <c r="H60" s="11" t="n">
        <v>0</v>
      </c>
      <c r="L60" s="11" t="n">
        <v>2.2135</v>
      </c>
      <c r="P60" s="11" t="n">
        <v>1.3288</v>
      </c>
      <c r="U60" s="11" t="n">
        <v>0</v>
      </c>
      <c r="V60" s="11" t="n">
        <v>2.2135</v>
      </c>
      <c r="W60" s="11" t="n">
        <v>1.3288</v>
      </c>
    </row>
    <row r="61">
      <c r="A61" s="10" t="inlineStr">
        <is>
          <t>미지급 배당금</t>
        </is>
      </c>
      <c r="H61" s="11" t="n">
        <v>0</v>
      </c>
      <c r="L61" s="11" t="n">
        <v>0.008699999999999999</v>
      </c>
      <c r="P61" s="11" t="n">
        <v>0.0101</v>
      </c>
      <c r="U61" s="11" t="n">
        <v>0</v>
      </c>
      <c r="V61" s="11" t="n">
        <v>0.008699999999999999</v>
      </c>
      <c r="W61" s="11" t="n">
        <v>0.0101</v>
      </c>
    </row>
    <row r="62">
      <c r="A62" s="10" t="inlineStr">
        <is>
          <t>공사 미지급금</t>
        </is>
      </c>
      <c r="H62" s="11" t="n">
        <v>0</v>
      </c>
      <c r="K62" s="11" t="n">
        <v>0.3326</v>
      </c>
      <c r="L62" s="11" t="n">
        <v>0.4406</v>
      </c>
      <c r="M62" s="11" t="n">
        <v>0.635</v>
      </c>
      <c r="O62" s="11" t="n">
        <v>1.2335</v>
      </c>
      <c r="P62" s="11" t="n">
        <v>0.7998</v>
      </c>
      <c r="Q62" s="11" t="n">
        <v>1.406</v>
      </c>
      <c r="U62" s="11" t="n">
        <v>0</v>
      </c>
      <c r="V62" s="11" t="n">
        <v>0.4406</v>
      </c>
      <c r="W62" s="11" t="n">
        <v>0.7998</v>
      </c>
    </row>
    <row r="63">
      <c r="A63" s="10" t="inlineStr">
        <is>
          <t>미성공사 선수금</t>
        </is>
      </c>
      <c r="H63" s="11" t="n">
        <v>0</v>
      </c>
      <c r="K63" s="11" t="n">
        <v>0.6022999999999999</v>
      </c>
      <c r="L63" s="11" t="n">
        <v>2.2135</v>
      </c>
      <c r="M63" s="11" t="n">
        <v>0.642</v>
      </c>
      <c r="O63" s="11" t="n">
        <v>1.6285</v>
      </c>
      <c r="P63" s="11" t="n">
        <v>1.3288</v>
      </c>
      <c r="Q63" s="11" t="n">
        <v>2.1686</v>
      </c>
      <c r="U63" s="11" t="n">
        <v>0</v>
      </c>
      <c r="V63" s="11" t="n">
        <v>2.2135</v>
      </c>
      <c r="W63" s="11" t="n">
        <v>1.3288</v>
      </c>
    </row>
    <row r="64">
      <c r="A64" s="10" t="inlineStr">
        <is>
          <t>공사 미지급금</t>
        </is>
      </c>
      <c r="L64" s="11" t="n">
        <v>0.4406</v>
      </c>
      <c r="N64" s="11" t="n">
        <v>0.7225</v>
      </c>
      <c r="P64" s="11" t="n">
        <v>0.7998</v>
      </c>
      <c r="R64" s="11" t="n">
        <v>0.6989</v>
      </c>
      <c r="V64" s="11" t="n">
        <v>0.4406</v>
      </c>
      <c r="W64" s="11" t="n">
        <v>0.7998</v>
      </c>
    </row>
    <row r="65">
      <c r="A65" s="10" t="inlineStr">
        <is>
          <t>미성공사 선수금</t>
        </is>
      </c>
      <c r="L65" s="11" t="n">
        <v>2.2135</v>
      </c>
      <c r="N65" s="11" t="n">
        <v>1.8455</v>
      </c>
      <c r="P65" s="11" t="n">
        <v>1.3288</v>
      </c>
      <c r="R65" s="11" t="n">
        <v>1.605</v>
      </c>
      <c r="V65" s="11" t="n">
        <v>2.2135</v>
      </c>
      <c r="W65" s="11" t="n">
        <v>1.3288</v>
      </c>
    </row>
    <row r="66">
      <c r="A66" s="10" t="inlineStr">
        <is>
          <t>기타</t>
        </is>
      </c>
      <c r="D66" s="11" t="n">
        <v>3.5901</v>
      </c>
      <c r="F66" s="11" t="n">
        <v>3.3287</v>
      </c>
      <c r="G66" s="11" t="n">
        <v>3.7526</v>
      </c>
      <c r="H66" s="11" t="n">
        <v>4.0894</v>
      </c>
      <c r="I66" s="11" t="n">
        <v>5.504</v>
      </c>
      <c r="J66" s="11" t="n">
        <v>4.8238</v>
      </c>
      <c r="K66" s="11" t="n">
        <v>4.8176</v>
      </c>
      <c r="L66" s="11" t="n">
        <v>6.1414</v>
      </c>
      <c r="M66" s="11" t="n">
        <v>7.1624</v>
      </c>
      <c r="N66" s="11" t="n">
        <v>5.3431</v>
      </c>
      <c r="O66" s="11" t="n">
        <v>5.0474</v>
      </c>
      <c r="P66" s="11" t="n">
        <v>5.7062</v>
      </c>
      <c r="Q66" s="11" t="n">
        <v>6.0453</v>
      </c>
      <c r="R66" s="11" t="n">
        <v>4.74</v>
      </c>
      <c r="T66" s="11" t="n">
        <v>3.5901</v>
      </c>
      <c r="U66" s="11" t="n">
        <v>4.0894</v>
      </c>
      <c r="V66" s="11" t="n">
        <v>6.1414</v>
      </c>
      <c r="W66" s="11" t="n">
        <v>5.7062</v>
      </c>
    </row>
    <row r="67">
      <c r="A67" s="10" t="inlineStr">
        <is>
          <t>유동부채 합계</t>
        </is>
      </c>
      <c r="D67" s="11" t="n">
        <v>29.6791</v>
      </c>
      <c r="F67" s="11" t="n">
        <v>24.9875</v>
      </c>
      <c r="G67" s="11" t="n">
        <v>25.992</v>
      </c>
      <c r="H67" s="11" t="n">
        <v>29.1403</v>
      </c>
      <c r="I67" s="11" t="n">
        <v>41.0468</v>
      </c>
      <c r="J67" s="11" t="n">
        <v>44.4978</v>
      </c>
      <c r="K67" s="11" t="n">
        <v>65.99809999999999</v>
      </c>
      <c r="L67" s="11" t="n">
        <v>56.5775</v>
      </c>
      <c r="M67" s="11" t="n">
        <v>59.8211</v>
      </c>
      <c r="N67" s="11" t="n">
        <v>58.7738</v>
      </c>
      <c r="O67" s="11" t="n">
        <v>44.2102</v>
      </c>
      <c r="P67" s="11" t="n">
        <v>37.73</v>
      </c>
      <c r="Q67" s="11" t="n">
        <v>37.0949</v>
      </c>
      <c r="R67" s="11" t="n">
        <v>39.8932</v>
      </c>
      <c r="T67" s="11" t="n">
        <v>29.6791</v>
      </c>
      <c r="U67" s="11" t="n">
        <v>29.1403</v>
      </c>
      <c r="V67" s="11" t="n">
        <v>56.5775</v>
      </c>
      <c r="W67" s="11" t="n">
        <v>37.73</v>
      </c>
    </row>
    <row r="68">
      <c r="A68" s="10" t="inlineStr">
        <is>
          <t>장기차입금</t>
        </is>
      </c>
      <c r="D68" s="11" t="n">
        <v>32.96</v>
      </c>
      <c r="F68" s="11" t="n">
        <v>30.83</v>
      </c>
      <c r="G68" s="11" t="n">
        <v>30.83</v>
      </c>
      <c r="H68" s="11" t="n">
        <v>30.1016</v>
      </c>
      <c r="I68" s="11" t="n">
        <v>27.025</v>
      </c>
      <c r="J68" s="11" t="n">
        <v>27.027</v>
      </c>
      <c r="K68" s="11" t="n">
        <v>25.8904</v>
      </c>
      <c r="L68" s="11" t="n">
        <v>23.5678</v>
      </c>
      <c r="M68" s="11" t="n">
        <v>22.3875</v>
      </c>
      <c r="N68" s="11" t="n">
        <v>21.2071</v>
      </c>
      <c r="O68" s="11" t="n">
        <v>29.8768</v>
      </c>
      <c r="P68" s="11" t="n">
        <v>33.5037</v>
      </c>
      <c r="Q68" s="11" t="n">
        <v>31.5126</v>
      </c>
      <c r="R68" s="11" t="n">
        <v>35.5547</v>
      </c>
      <c r="T68" s="11" t="n">
        <v>32.96</v>
      </c>
      <c r="U68" s="11" t="n">
        <v>30.1016</v>
      </c>
      <c r="V68" s="11" t="n">
        <v>23.5678</v>
      </c>
      <c r="W68" s="11" t="n">
        <v>33.5037</v>
      </c>
    </row>
    <row r="69">
      <c r="A69" s="10" t="inlineStr">
        <is>
          <t>퇴직급여부채</t>
        </is>
      </c>
      <c r="D69" s="11" t="n">
        <v>0.5782</v>
      </c>
      <c r="F69" s="11" t="n">
        <v>0.5881999999999999</v>
      </c>
      <c r="G69" s="11" t="n">
        <v>0.6171</v>
      </c>
      <c r="H69" s="11" t="n">
        <v>0.7789</v>
      </c>
      <c r="I69" s="11" t="n">
        <v>0.7855</v>
      </c>
      <c r="J69" s="11" t="n">
        <v>0.9355</v>
      </c>
      <c r="K69" s="11" t="n">
        <v>0.9577</v>
      </c>
      <c r="L69" s="11" t="n">
        <v>0.9320000000000001</v>
      </c>
      <c r="M69" s="11" t="n">
        <v>0.6907</v>
      </c>
      <c r="N69" s="11" t="n">
        <v>0.719</v>
      </c>
      <c r="O69" s="11" t="n">
        <v>0.707</v>
      </c>
      <c r="P69" s="11" t="n">
        <v>0.6987</v>
      </c>
      <c r="Q69" s="11" t="n">
        <v>0.7304</v>
      </c>
      <c r="R69" s="11" t="n">
        <v>0.8</v>
      </c>
      <c r="T69" s="11" t="n">
        <v>0.5782</v>
      </c>
      <c r="U69" s="11" t="n">
        <v>0.7789</v>
      </c>
      <c r="V69" s="11" t="n">
        <v>0.9320000000000001</v>
      </c>
      <c r="W69" s="11" t="n">
        <v>0.6987</v>
      </c>
    </row>
    <row r="70">
      <c r="A70" s="10" t="inlineStr">
        <is>
          <t>이연법인세부채</t>
        </is>
      </c>
      <c r="D70" s="11" t="n">
        <v>0.0951</v>
      </c>
      <c r="H70" s="11" t="n">
        <v>0.6008</v>
      </c>
      <c r="I70" s="11" t="n">
        <v>0.08649999999999999</v>
      </c>
      <c r="J70" s="11" t="n">
        <v>0.2768</v>
      </c>
      <c r="K70" s="11" t="n">
        <v>0.9502</v>
      </c>
      <c r="L70" s="11" t="n">
        <v>1.8299</v>
      </c>
      <c r="M70" s="11" t="n">
        <v>0</v>
      </c>
      <c r="N70" s="11" t="n">
        <v>0.5941</v>
      </c>
      <c r="O70" s="11" t="n">
        <v>0.5655</v>
      </c>
      <c r="P70" s="11" t="n">
        <v>0.5569</v>
      </c>
      <c r="Q70" s="11" t="n">
        <v>0</v>
      </c>
      <c r="R70" s="11" t="n">
        <v>0</v>
      </c>
      <c r="T70" s="11" t="n">
        <v>0.0951</v>
      </c>
      <c r="U70" s="11" t="n">
        <v>0.6008</v>
      </c>
      <c r="V70" s="11" t="n">
        <v>1.8299</v>
      </c>
      <c r="W70" s="11" t="n">
        <v>0.5569</v>
      </c>
    </row>
    <row r="71">
      <c r="A71" s="10" t="inlineStr">
        <is>
          <t>기타</t>
        </is>
      </c>
      <c r="D71" s="11" t="n">
        <v>1.8097</v>
      </c>
      <c r="F71" s="11" t="n">
        <v>1.9196</v>
      </c>
      <c r="G71" s="11" t="n">
        <v>1.9031</v>
      </c>
      <c r="H71" s="11" t="n">
        <v>1.9561</v>
      </c>
      <c r="I71" s="11" t="n">
        <v>1.9566</v>
      </c>
      <c r="J71" s="11" t="n">
        <v>2.0141</v>
      </c>
      <c r="K71" s="11" t="n">
        <v>2.0561</v>
      </c>
      <c r="L71" s="11" t="n">
        <v>1.9697</v>
      </c>
      <c r="M71" s="11" t="n">
        <v>2.2081</v>
      </c>
      <c r="N71" s="11" t="n">
        <v>2.2556</v>
      </c>
      <c r="O71" s="11" t="n">
        <v>2.306</v>
      </c>
      <c r="P71" s="11" t="n">
        <v>2.2264</v>
      </c>
      <c r="Q71" s="11" t="n">
        <v>2.2585</v>
      </c>
      <c r="R71" s="11" t="n">
        <v>2.1587</v>
      </c>
      <c r="T71" s="11" t="n">
        <v>1.8097</v>
      </c>
      <c r="U71" s="11" t="n">
        <v>1.9561</v>
      </c>
      <c r="V71" s="11" t="n">
        <v>1.9697</v>
      </c>
      <c r="W71" s="11" t="n">
        <v>2.2264</v>
      </c>
    </row>
    <row r="72">
      <c r="A72" s="10" t="inlineStr">
        <is>
          <t>비유동부채 합계</t>
        </is>
      </c>
      <c r="D72" s="11" t="n">
        <v>35.443</v>
      </c>
      <c r="F72" s="11" t="n">
        <v>33.3379</v>
      </c>
      <c r="G72" s="11" t="n">
        <v>33.3502</v>
      </c>
      <c r="H72" s="11" t="n">
        <v>33.4373</v>
      </c>
      <c r="I72" s="11" t="n">
        <v>29.8536</v>
      </c>
      <c r="J72" s="11" t="n">
        <v>30.2534</v>
      </c>
      <c r="K72" s="11" t="n">
        <v>29.8544</v>
      </c>
      <c r="L72" s="11" t="n">
        <v>28.2995</v>
      </c>
      <c r="M72" s="11" t="n">
        <v>25.2863</v>
      </c>
      <c r="N72" s="11" t="n">
        <v>24.7758</v>
      </c>
      <c r="O72" s="11" t="n">
        <v>33.4553</v>
      </c>
      <c r="P72" s="11" t="n">
        <v>36.9857</v>
      </c>
      <c r="Q72" s="11" t="n">
        <v>34.5015</v>
      </c>
      <c r="R72" s="11" t="n">
        <v>38.5135</v>
      </c>
      <c r="T72" s="11" t="n">
        <v>35.443</v>
      </c>
      <c r="U72" s="11" t="n">
        <v>33.4373</v>
      </c>
      <c r="V72" s="11" t="n">
        <v>28.2995</v>
      </c>
      <c r="W72" s="11" t="n">
        <v>36.9857</v>
      </c>
    </row>
    <row r="73">
      <c r="A73" s="10" t="inlineStr">
        <is>
          <t>부채 합계</t>
        </is>
      </c>
      <c r="D73" s="11" t="n">
        <v>65.1221</v>
      </c>
      <c r="F73" s="11" t="n">
        <v>58.3253</v>
      </c>
      <c r="G73" s="11" t="n">
        <v>59.3422</v>
      </c>
      <c r="H73" s="11" t="n">
        <v>62.5776</v>
      </c>
      <c r="I73" s="11" t="n">
        <v>70.9004</v>
      </c>
      <c r="J73" s="11" t="n">
        <v>74.7512</v>
      </c>
      <c r="K73" s="11" t="n">
        <v>95.85250000000001</v>
      </c>
      <c r="L73" s="11" t="n">
        <v>84.877</v>
      </c>
      <c r="M73" s="11" t="n">
        <v>85.1074</v>
      </c>
      <c r="N73" s="11" t="n">
        <v>83.5496</v>
      </c>
      <c r="O73" s="11" t="n">
        <v>77.66549999999999</v>
      </c>
      <c r="P73" s="11" t="n">
        <v>74.7157</v>
      </c>
      <c r="Q73" s="11" t="n">
        <v>71.5964</v>
      </c>
      <c r="R73" s="11" t="n">
        <v>78.4066</v>
      </c>
      <c r="T73" s="11" t="n">
        <v>65.1221</v>
      </c>
      <c r="U73" s="11" t="n">
        <v>62.5776</v>
      </c>
      <c r="V73" s="11" t="n">
        <v>84.877</v>
      </c>
      <c r="W73" s="11" t="n">
        <v>74.7157</v>
      </c>
    </row>
    <row r="74">
      <c r="A74" s="10" t="inlineStr">
        <is>
          <t>자본금</t>
        </is>
      </c>
      <c r="D74" s="11" t="n">
        <v>0.8</v>
      </c>
      <c r="F74" s="11" t="n">
        <v>1.0557</v>
      </c>
      <c r="G74" s="11" t="n">
        <v>1.0557</v>
      </c>
      <c r="H74" s="11" t="n">
        <v>1.3141</v>
      </c>
      <c r="I74" s="11" t="n">
        <v>1.3141</v>
      </c>
      <c r="J74" s="11" t="n">
        <v>1.3141</v>
      </c>
      <c r="K74" s="11" t="n">
        <v>1.3141</v>
      </c>
      <c r="L74" s="11" t="n">
        <v>1.3141</v>
      </c>
      <c r="M74" s="11" t="n">
        <v>1.3141</v>
      </c>
      <c r="N74" s="11" t="n">
        <v>1.6794</v>
      </c>
      <c r="O74" s="11" t="n">
        <v>1.7492</v>
      </c>
      <c r="P74" s="11" t="n">
        <v>1.8265</v>
      </c>
      <c r="Q74" s="11" t="n">
        <v>1.845</v>
      </c>
      <c r="R74" s="11" t="n">
        <v>2.2002</v>
      </c>
      <c r="T74" s="11" t="n">
        <v>0.8</v>
      </c>
      <c r="U74" s="11" t="n">
        <v>1.3141</v>
      </c>
      <c r="V74" s="11" t="n">
        <v>1.3141</v>
      </c>
      <c r="W74" s="11" t="n">
        <v>1.8265</v>
      </c>
    </row>
    <row r="75">
      <c r="A75" s="10" t="inlineStr">
        <is>
          <t>자본잉여금</t>
        </is>
      </c>
      <c r="D75" s="11" t="n">
        <v>0</v>
      </c>
      <c r="F75" s="11" t="n">
        <v>0.2557</v>
      </c>
      <c r="G75" s="11" t="n">
        <v>0.2557</v>
      </c>
      <c r="H75" s="11" t="n">
        <v>0.5141</v>
      </c>
      <c r="I75" s="11" t="n">
        <v>0.5141</v>
      </c>
      <c r="J75" s="11" t="n">
        <v>0.5141</v>
      </c>
      <c r="K75" s="11" t="n">
        <v>0.5141</v>
      </c>
      <c r="L75" s="11" t="n">
        <v>0.5141</v>
      </c>
      <c r="M75" s="11" t="n">
        <v>0.5141</v>
      </c>
      <c r="N75" s="11" t="n">
        <v>0.8794</v>
      </c>
      <c r="O75" s="11" t="n">
        <v>0.9492</v>
      </c>
      <c r="P75" s="11" t="n">
        <v>1.0265</v>
      </c>
      <c r="Q75" s="11" t="n">
        <v>1.045</v>
      </c>
      <c r="R75" s="11" t="n">
        <v>1.4197</v>
      </c>
      <c r="T75" s="11" t="n">
        <v>0</v>
      </c>
      <c r="U75" s="11" t="n">
        <v>0.5141</v>
      </c>
      <c r="V75" s="11" t="n">
        <v>0.5141</v>
      </c>
      <c r="W75" s="11" t="n">
        <v>1.0265</v>
      </c>
    </row>
    <row r="76">
      <c r="A76" s="10" t="inlineStr">
        <is>
          <t>이익잉여금</t>
        </is>
      </c>
      <c r="D76" s="11" t="n">
        <v>34.8954</v>
      </c>
      <c r="F76" s="11" t="n">
        <v>36.8398</v>
      </c>
      <c r="G76" s="11" t="n">
        <v>39.6322</v>
      </c>
      <c r="H76" s="11" t="n">
        <v>42.37</v>
      </c>
      <c r="I76" s="11" t="n">
        <v>41.9872</v>
      </c>
      <c r="J76" s="11" t="n">
        <v>43.5687</v>
      </c>
      <c r="K76" s="11" t="n">
        <v>44.1284</v>
      </c>
      <c r="L76" s="11" t="n">
        <v>46.9158</v>
      </c>
      <c r="M76" s="11" t="n">
        <v>49.8426</v>
      </c>
      <c r="N76" s="11" t="n">
        <v>50.7928</v>
      </c>
      <c r="O76" s="11" t="n">
        <v>51.8914</v>
      </c>
      <c r="P76" s="11" t="n">
        <v>57.1274</v>
      </c>
      <c r="Q76" s="11" t="n">
        <v>57.6062</v>
      </c>
      <c r="R76" s="11" t="n">
        <v>61.3201</v>
      </c>
      <c r="T76" s="11" t="n">
        <v>34.8954</v>
      </c>
      <c r="U76" s="11" t="n">
        <v>42.37</v>
      </c>
      <c r="V76" s="11" t="n">
        <v>46.9158</v>
      </c>
      <c r="W76" s="11" t="n">
        <v>57.1274</v>
      </c>
    </row>
    <row r="77">
      <c r="A77" s="10" t="inlineStr">
        <is>
          <t>자기주식</t>
        </is>
      </c>
      <c r="D77" s="11" t="n">
        <v>-1.43</v>
      </c>
      <c r="F77" s="11" t="n">
        <v>-1.43</v>
      </c>
      <c r="G77" s="11" t="n">
        <v>-1.43</v>
      </c>
      <c r="H77" s="11" t="n">
        <v>-6.9849</v>
      </c>
      <c r="I77" s="11" t="n">
        <v>-6.5492</v>
      </c>
      <c r="J77" s="11" t="n">
        <v>-4.7272</v>
      </c>
      <c r="K77" s="11" t="n">
        <v>-4.648</v>
      </c>
      <c r="L77" s="11" t="n">
        <v>-3.5426</v>
      </c>
      <c r="M77" s="11" t="n">
        <v>-2.3995</v>
      </c>
      <c r="N77" s="11" t="n">
        <v>-1.7923</v>
      </c>
      <c r="O77" s="11" t="n">
        <v>-2.3216</v>
      </c>
      <c r="P77" s="11" t="n">
        <v>-2.3098</v>
      </c>
      <c r="Q77" s="11" t="n">
        <v>-2.3098</v>
      </c>
      <c r="R77" s="11" t="n">
        <v>-2.0442</v>
      </c>
      <c r="T77" s="11" t="n">
        <v>-1.43</v>
      </c>
      <c r="U77" s="11" t="n">
        <v>-6.9849</v>
      </c>
      <c r="V77" s="11" t="n">
        <v>-3.5426</v>
      </c>
      <c r="W77" s="11" t="n">
        <v>-2.3098</v>
      </c>
    </row>
    <row r="78">
      <c r="A78" s="10" t="inlineStr">
        <is>
          <t>주주자본 합계</t>
        </is>
      </c>
      <c r="D78" s="11" t="n">
        <v>34.2654</v>
      </c>
      <c r="F78" s="11" t="n">
        <v>36.7213</v>
      </c>
      <c r="G78" s="11" t="n">
        <v>39.5137</v>
      </c>
      <c r="H78" s="11" t="n">
        <v>37.2133</v>
      </c>
      <c r="I78" s="11" t="n">
        <v>37.2663</v>
      </c>
      <c r="J78" s="11" t="n">
        <v>40.6698</v>
      </c>
      <c r="K78" s="11" t="n">
        <v>41.3087</v>
      </c>
      <c r="L78" s="11" t="n">
        <v>45.2015</v>
      </c>
      <c r="M78" s="11" t="n">
        <v>49.2714</v>
      </c>
      <c r="N78" s="11" t="n">
        <v>51.5594</v>
      </c>
      <c r="O78" s="11" t="n">
        <v>52.2682</v>
      </c>
      <c r="P78" s="11" t="n">
        <v>57.6706</v>
      </c>
      <c r="Q78" s="11" t="n">
        <v>58.1865</v>
      </c>
      <c r="R78" s="11" t="n">
        <v>62.8958</v>
      </c>
      <c r="T78" s="11" t="n">
        <v>34.2654</v>
      </c>
      <c r="U78" s="11" t="n">
        <v>37.2133</v>
      </c>
      <c r="V78" s="11" t="n">
        <v>45.2015</v>
      </c>
      <c r="W78" s="11" t="n">
        <v>57.6706</v>
      </c>
    </row>
    <row r="79">
      <c r="A79" s="10" t="inlineStr">
        <is>
          <t>기타유가증권 평가차액</t>
        </is>
      </c>
      <c r="D79" s="11" t="n">
        <v>0.1576</v>
      </c>
      <c r="F79" s="11" t="n">
        <v>0.2603</v>
      </c>
      <c r="G79" s="11" t="n">
        <v>0.2793</v>
      </c>
      <c r="H79" s="11" t="n">
        <v>0.3392</v>
      </c>
      <c r="I79" s="11" t="n">
        <v>0.3824</v>
      </c>
      <c r="J79" s="11" t="n">
        <v>0.3955</v>
      </c>
      <c r="K79" s="11" t="n">
        <v>0.3185</v>
      </c>
      <c r="L79" s="11" t="n">
        <v>0.335</v>
      </c>
      <c r="M79" s="11" t="n">
        <v>0.2528</v>
      </c>
      <c r="N79" s="11" t="n">
        <v>0.3672</v>
      </c>
      <c r="O79" s="11" t="n">
        <v>0.3288</v>
      </c>
      <c r="P79" s="11" t="n">
        <v>0.3673</v>
      </c>
      <c r="Q79" s="11" t="n">
        <v>0.3478</v>
      </c>
      <c r="R79" s="11" t="n">
        <v>0.4923</v>
      </c>
      <c r="T79" s="11" t="n">
        <v>0.1576</v>
      </c>
      <c r="U79" s="11" t="n">
        <v>0.3392</v>
      </c>
      <c r="V79" s="11" t="n">
        <v>0.335</v>
      </c>
      <c r="W79" s="11" t="n">
        <v>0.3673</v>
      </c>
    </row>
    <row r="80">
      <c r="A80" s="10" t="inlineStr">
        <is>
          <t>해외사업환산조정</t>
        </is>
      </c>
      <c r="L80" s="11" t="n">
        <v>0</v>
      </c>
      <c r="M80" s="11" t="n">
        <v>-0.0402</v>
      </c>
      <c r="N80" s="11" t="n">
        <v>-0.0327</v>
      </c>
      <c r="O80" s="11" t="n">
        <v>-0.0103</v>
      </c>
      <c r="P80" s="11" t="n">
        <v>-0.1847</v>
      </c>
      <c r="Q80" s="11" t="n">
        <v>0.0165</v>
      </c>
      <c r="R80" s="11" t="n">
        <v>-0.0177</v>
      </c>
      <c r="V80" s="11" t="n">
        <v>0</v>
      </c>
      <c r="W80" s="11" t="n">
        <v>-0.1847</v>
      </c>
    </row>
    <row r="81">
      <c r="A81" s="10" t="inlineStr">
        <is>
          <t>퇴직급여 조정누계액</t>
        </is>
      </c>
      <c r="D81" s="11" t="n">
        <v>0.0732</v>
      </c>
      <c r="F81" s="11" t="n">
        <v>0.0727</v>
      </c>
      <c r="G81" s="11" t="n">
        <v>0.0702</v>
      </c>
      <c r="H81" s="11" t="n">
        <v>0.4112</v>
      </c>
      <c r="I81" s="11" t="n">
        <v>0.4001</v>
      </c>
      <c r="J81" s="11" t="n">
        <v>0.389</v>
      </c>
      <c r="K81" s="11" t="n">
        <v>0.3779</v>
      </c>
      <c r="L81" s="11" t="n">
        <v>0.5951</v>
      </c>
      <c r="M81" s="11" t="n">
        <v>0.5724</v>
      </c>
      <c r="N81" s="11" t="n">
        <v>0.5554</v>
      </c>
      <c r="O81" s="11" t="n">
        <v>0.5387999999999999</v>
      </c>
      <c r="P81" s="11" t="n">
        <v>0.5304</v>
      </c>
      <c r="Q81" s="11" t="n">
        <v>0.5134</v>
      </c>
      <c r="R81" s="11" t="n">
        <v>0.4964</v>
      </c>
      <c r="T81" s="11" t="n">
        <v>0.0732</v>
      </c>
      <c r="U81" s="11" t="n">
        <v>0.4112</v>
      </c>
      <c r="V81" s="11" t="n">
        <v>0.5951</v>
      </c>
      <c r="W81" s="11" t="n">
        <v>0.5304</v>
      </c>
    </row>
    <row r="82">
      <c r="A82" s="10" t="inlineStr">
        <is>
          <t>기타포괄손익누계액 합계</t>
        </is>
      </c>
      <c r="D82" s="11" t="n">
        <v>0.2308</v>
      </c>
      <c r="F82" s="11" t="n">
        <v>0.333</v>
      </c>
      <c r="G82" s="11" t="n">
        <v>0.3495</v>
      </c>
      <c r="H82" s="11" t="n">
        <v>0.7503</v>
      </c>
      <c r="I82" s="11" t="n">
        <v>0.7825</v>
      </c>
      <c r="J82" s="11" t="n">
        <v>0.7845</v>
      </c>
      <c r="K82" s="11" t="n">
        <v>0.6964</v>
      </c>
      <c r="L82" s="11" t="n">
        <v>0.9301</v>
      </c>
      <c r="M82" s="11" t="n">
        <v>0.785</v>
      </c>
      <c r="N82" s="11" t="n">
        <v>0.8899</v>
      </c>
      <c r="O82" s="11" t="n">
        <v>0.8573</v>
      </c>
      <c r="P82" s="11" t="n">
        <v>0.713</v>
      </c>
      <c r="Q82" s="11" t="n">
        <v>0.8776</v>
      </c>
      <c r="R82" s="11" t="n">
        <v>0.971</v>
      </c>
      <c r="T82" s="11" t="n">
        <v>0.2308</v>
      </c>
      <c r="U82" s="11" t="n">
        <v>0.7503</v>
      </c>
      <c r="V82" s="11" t="n">
        <v>0.9301</v>
      </c>
      <c r="W82" s="11" t="n">
        <v>0.713</v>
      </c>
    </row>
    <row r="83">
      <c r="A83" s="10" t="inlineStr">
        <is>
          <t>신주예약권</t>
        </is>
      </c>
      <c r="D83" s="11" t="n">
        <v>0.0046</v>
      </c>
      <c r="F83" s="11" t="n">
        <v>0.009900000000000001</v>
      </c>
      <c r="G83" s="11" t="n">
        <v>0.009900000000000001</v>
      </c>
      <c r="H83" s="11" t="n">
        <v>0.0098</v>
      </c>
      <c r="I83" s="11" t="n">
        <v>0.009599999999999999</v>
      </c>
      <c r="J83" s="11" t="n">
        <v>0.0089</v>
      </c>
      <c r="K83" s="11" t="n">
        <v>0.0089</v>
      </c>
      <c r="L83" s="11" t="n">
        <v>0.008699999999999999</v>
      </c>
      <c r="M83" s="11" t="n">
        <v>0.0051</v>
      </c>
      <c r="N83" s="11" t="n">
        <v>0.0046</v>
      </c>
      <c r="O83" s="11" t="n">
        <v>0.0046</v>
      </c>
      <c r="P83" s="11" t="n">
        <v>0.0045</v>
      </c>
      <c r="Q83" s="11" t="n">
        <v>0.0045</v>
      </c>
      <c r="R83" s="11" t="n">
        <v>0.004</v>
      </c>
      <c r="T83" s="11" t="n">
        <v>0.0046</v>
      </c>
      <c r="U83" s="11" t="n">
        <v>0.0098</v>
      </c>
      <c r="V83" s="11" t="n">
        <v>0.008699999999999999</v>
      </c>
      <c r="W83" s="11" t="n">
        <v>0.0045</v>
      </c>
    </row>
    <row r="84">
      <c r="A84" s="10" t="inlineStr">
        <is>
          <t>순자산 합계</t>
        </is>
      </c>
      <c r="D84" s="11" t="n">
        <v>34.5008</v>
      </c>
      <c r="F84" s="11" t="n">
        <v>37.0642</v>
      </c>
      <c r="G84" s="11" t="n">
        <v>39.873</v>
      </c>
      <c r="H84" s="11" t="n">
        <v>37.9735</v>
      </c>
      <c r="I84" s="11" t="n">
        <v>38.0584</v>
      </c>
      <c r="J84" s="11" t="n">
        <v>41.4632</v>
      </c>
      <c r="K84" s="11" t="n">
        <v>42.014</v>
      </c>
      <c r="L84" s="11" t="n">
        <v>46.1403</v>
      </c>
      <c r="M84" s="11" t="n">
        <v>50.0615</v>
      </c>
      <c r="N84" s="11" t="n">
        <v>52.4539</v>
      </c>
      <c r="O84" s="11" t="n">
        <v>53.1302</v>
      </c>
      <c r="P84" s="11" t="n">
        <v>58.3881</v>
      </c>
      <c r="Q84" s="11" t="n">
        <v>59.0686</v>
      </c>
      <c r="R84" s="11" t="n">
        <v>63.8708</v>
      </c>
      <c r="T84" s="11" t="n">
        <v>34.5008</v>
      </c>
      <c r="U84" s="11" t="n">
        <v>37.9735</v>
      </c>
      <c r="V84" s="11" t="n">
        <v>46.1403</v>
      </c>
      <c r="W84" s="11" t="n">
        <v>58.3881</v>
      </c>
    </row>
    <row r="85">
      <c r="A85" s="10" t="inlineStr">
        <is>
          <t>부채·순자산 합계</t>
        </is>
      </c>
      <c r="D85" s="11" t="n">
        <v>99.6229</v>
      </c>
      <c r="F85" s="11" t="n">
        <v>95.3895</v>
      </c>
      <c r="G85" s="11" t="n">
        <v>99.2152</v>
      </c>
      <c r="H85" s="11" t="n">
        <v>100.5511</v>
      </c>
      <c r="I85" s="11" t="n">
        <v>108.9588</v>
      </c>
      <c r="J85" s="11" t="n">
        <v>116.2144</v>
      </c>
      <c r="K85" s="11" t="n">
        <v>137.8665</v>
      </c>
      <c r="L85" s="11" t="n">
        <v>131.0173</v>
      </c>
      <c r="M85" s="11" t="n">
        <v>135.1689</v>
      </c>
      <c r="N85" s="11" t="n">
        <v>136.0035</v>
      </c>
      <c r="O85" s="11" t="n">
        <v>130.7957</v>
      </c>
      <c r="P85" s="11" t="n">
        <v>133.1038</v>
      </c>
      <c r="Q85" s="11" t="n">
        <v>130.665</v>
      </c>
      <c r="R85" s="11" t="n">
        <v>142.2774</v>
      </c>
      <c r="T85" s="11" t="n">
        <v>99.6229</v>
      </c>
      <c r="U85" s="11" t="n">
        <v>100.5511</v>
      </c>
      <c r="V85" s="11" t="n">
        <v>131.0173</v>
      </c>
      <c r="W85" s="11" t="n">
        <v>133.1038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7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40" customWidth="1" min="24" max="24"/>
  </cols>
  <sheetData>
    <row r="1">
      <c r="A1" s="1" t="inlineStr">
        <is>
          <t>JRC 현금흐름표</t>
        </is>
      </c>
    </row>
    <row r="2">
      <c r="A2" s="2" t="inlineStr">
        <is>
          <t>결산기 기준(27.2Q = 2027년 결산기 2분기) · 2월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22.4Q</t>
        </is>
      </c>
      <c r="D3" s="4" t="inlineStr">
        <is>
          <t>23.4Q</t>
        </is>
      </c>
      <c r="E3" s="4" t="inlineStr">
        <is>
          <t>24.1Q</t>
        </is>
      </c>
      <c r="F3" s="4" t="inlineStr">
        <is>
          <t>24.2Q</t>
        </is>
      </c>
      <c r="G3" s="4" t="inlineStr">
        <is>
          <t>24.3Q</t>
        </is>
      </c>
      <c r="H3" s="4" t="inlineStr">
        <is>
          <t>24.4Q</t>
        </is>
      </c>
      <c r="I3" s="4" t="inlineStr">
        <is>
          <t>25.1Q</t>
        </is>
      </c>
      <c r="J3" s="4" t="inlineStr">
        <is>
          <t>25.2Q</t>
        </is>
      </c>
      <c r="K3" s="4" t="inlineStr">
        <is>
          <t>25.3Q</t>
        </is>
      </c>
      <c r="L3" s="4" t="inlineStr">
        <is>
          <t>25.4Q</t>
        </is>
      </c>
      <c r="M3" s="4" t="inlineStr">
        <is>
          <t>26.1Q</t>
        </is>
      </c>
      <c r="N3" s="4" t="inlineStr">
        <is>
          <t>26.2Q</t>
        </is>
      </c>
      <c r="O3" s="4" t="inlineStr">
        <is>
          <t>26.3Q</t>
        </is>
      </c>
      <c r="P3" s="4" t="inlineStr">
        <is>
          <t>26.4Q</t>
        </is>
      </c>
      <c r="Q3" s="4" t="inlineStr">
        <is>
          <t>27.1Q</t>
        </is>
      </c>
      <c r="R3" s="4" t="inlineStr">
        <is>
          <t>27.2Q</t>
        </is>
      </c>
      <c r="S3" s="4" t="inlineStr">
        <is>
          <t>FY22</t>
        </is>
      </c>
      <c r="T3" s="4" t="inlineStr">
        <is>
          <t>FY23</t>
        </is>
      </c>
      <c r="U3" s="4" t="inlineStr">
        <is>
          <t>FY24</t>
        </is>
      </c>
      <c r="V3" s="4" t="inlineStr">
        <is>
          <t>FY25</t>
        </is>
      </c>
      <c r="W3" s="4" t="inlineStr">
        <is>
          <t>FY26</t>
        </is>
      </c>
      <c r="X3" s="4" t="inlineStr">
        <is>
          <t>출처</t>
        </is>
      </c>
    </row>
    <row r="4">
      <c r="A4" s="10" t="inlineStr">
        <is>
          <t>법인세차감전 순이익</t>
        </is>
      </c>
      <c r="D4" s="11" t="n">
        <v>12.7041</v>
      </c>
      <c r="F4" s="11" t="n">
        <v>5.0883</v>
      </c>
      <c r="H4" s="11" t="n">
        <v>13.1097</v>
      </c>
      <c r="J4" s="11" t="n">
        <v>7.2987</v>
      </c>
      <c r="L4" s="11" t="n">
        <v>14.5418</v>
      </c>
      <c r="N4" s="11" t="n">
        <v>8.5647</v>
      </c>
      <c r="P4" s="11" t="n">
        <v>19.5582</v>
      </c>
      <c r="R4" s="11" t="n">
        <v>10.3805</v>
      </c>
      <c r="T4" s="11" t="n">
        <v>12.7041</v>
      </c>
      <c r="U4" s="11" t="n">
        <v>13.1097</v>
      </c>
      <c r="V4" s="11" t="n">
        <v>14.5418</v>
      </c>
      <c r="W4" s="11" t="n">
        <v>19.5582</v>
      </c>
      <c r="X4" s="7" t="inlineStr">
        <is>
          <t>결산단신 XBRL(거래소 공시, TDnet·JPX 보관소). 쓴 문서: 2026-10-15, 2026-07-15, 2026-04-14, 2026-01-14 외 9건 — '출처' 시트에 전부</t>
        </is>
      </c>
    </row>
    <row r="5">
      <c r="A5" s="10" t="inlineStr">
        <is>
          <t>감가상각비</t>
        </is>
      </c>
      <c r="D5" s="11" t="n">
        <v>2.321</v>
      </c>
      <c r="F5" s="11" t="n">
        <v>1.1169</v>
      </c>
      <c r="H5" s="11" t="n">
        <v>2.3029</v>
      </c>
      <c r="J5" s="11" t="n">
        <v>1.1412</v>
      </c>
      <c r="L5" s="11" t="n">
        <v>2.5591</v>
      </c>
      <c r="N5" s="11" t="n">
        <v>1.8605</v>
      </c>
      <c r="P5" s="11" t="n">
        <v>3.8581</v>
      </c>
      <c r="R5" s="11" t="n">
        <v>1.8434</v>
      </c>
      <c r="T5" s="11" t="n">
        <v>2.321</v>
      </c>
      <c r="U5" s="11" t="n">
        <v>2.3029</v>
      </c>
      <c r="V5" s="11" t="n">
        <v>2.5591</v>
      </c>
      <c r="W5" s="11" t="n">
        <v>3.8581</v>
      </c>
    </row>
    <row r="6">
      <c r="A6" s="10" t="inlineStr">
        <is>
          <t>영업권 상각</t>
        </is>
      </c>
      <c r="D6" s="11" t="n">
        <v>0.0164</v>
      </c>
      <c r="F6" s="11" t="n">
        <v>0.0103</v>
      </c>
      <c r="H6" s="11" t="n">
        <v>0.0164</v>
      </c>
      <c r="J6" s="11" t="n">
        <v>0.0319</v>
      </c>
      <c r="L6" s="11" t="n">
        <v>0.1637</v>
      </c>
      <c r="N6" s="11" t="n">
        <v>0.2445</v>
      </c>
      <c r="P6" s="11" t="n">
        <v>0.543</v>
      </c>
      <c r="R6" s="11" t="n">
        <v>0.3255</v>
      </c>
      <c r="T6" s="11" t="n">
        <v>0.0164</v>
      </c>
      <c r="U6" s="11" t="n">
        <v>0.0164</v>
      </c>
      <c r="V6" s="11" t="n">
        <v>0.1637</v>
      </c>
      <c r="W6" s="11" t="n">
        <v>0.543</v>
      </c>
    </row>
    <row r="7">
      <c r="A7" s="10" t="inlineStr">
        <is>
          <t>지분법손익</t>
        </is>
      </c>
      <c r="J7" s="11" t="n">
        <v>0</v>
      </c>
      <c r="L7" s="11" t="n">
        <v>0</v>
      </c>
      <c r="N7" s="11" t="n">
        <v>0.146</v>
      </c>
      <c r="P7" s="11" t="n">
        <v>0.3379</v>
      </c>
      <c r="R7" s="11" t="n">
        <v>0.1604</v>
      </c>
      <c r="V7" s="11" t="n">
        <v>0</v>
      </c>
      <c r="W7" s="11" t="n">
        <v>0.3379</v>
      </c>
    </row>
    <row r="8">
      <c r="A8" s="10" t="inlineStr">
        <is>
          <t>부의 영업권 발생이익</t>
        </is>
      </c>
      <c r="F8" s="11" t="n">
        <v>0</v>
      </c>
      <c r="H8" s="11" t="n">
        <v>0</v>
      </c>
      <c r="J8" s="11" t="n">
        <v>-0.0364</v>
      </c>
      <c r="L8" s="11" t="n">
        <v>-0.3465</v>
      </c>
      <c r="N8" s="11" t="n">
        <v>0</v>
      </c>
      <c r="P8" s="11" t="n">
        <v>0</v>
      </c>
      <c r="U8" s="11" t="n">
        <v>0</v>
      </c>
      <c r="V8" s="11" t="n">
        <v>-0.3465</v>
      </c>
      <c r="W8" s="11" t="n">
        <v>0</v>
      </c>
    </row>
    <row r="9">
      <c r="A9" s="10" t="inlineStr">
        <is>
          <t>손상차손</t>
        </is>
      </c>
      <c r="F9" s="11" t="n">
        <v>0</v>
      </c>
      <c r="H9" s="11" t="n">
        <v>0</v>
      </c>
      <c r="J9" s="11" t="n">
        <v>0.0144</v>
      </c>
      <c r="L9" s="11" t="n">
        <v>0.2965</v>
      </c>
      <c r="N9" s="11" t="n">
        <v>0</v>
      </c>
      <c r="P9" s="11" t="n">
        <v>0</v>
      </c>
      <c r="U9" s="11" t="n">
        <v>0</v>
      </c>
      <c r="V9" s="11" t="n">
        <v>0.2965</v>
      </c>
      <c r="W9" s="11" t="n">
        <v>0</v>
      </c>
    </row>
    <row r="10">
      <c r="A10" s="10" t="inlineStr">
        <is>
          <t>고정자산 매각손익</t>
        </is>
      </c>
      <c r="D10" s="11" t="n">
        <v>-0.009299999999999999</v>
      </c>
      <c r="F10" s="11" t="n">
        <v>-0.003</v>
      </c>
      <c r="H10" s="11" t="n">
        <v>-0.1808</v>
      </c>
      <c r="J10" s="11" t="n">
        <v>0</v>
      </c>
      <c r="L10" s="11" t="n">
        <v>0.0171</v>
      </c>
      <c r="N10" s="11" t="n">
        <v>-0.0108</v>
      </c>
      <c r="P10" s="11" t="n">
        <v>-0.0502</v>
      </c>
      <c r="R10" s="11" t="n">
        <v>-0.0023</v>
      </c>
      <c r="T10" s="11" t="n">
        <v>-0.009299999999999999</v>
      </c>
      <c r="U10" s="11" t="n">
        <v>-0.1808</v>
      </c>
      <c r="V10" s="11" t="n">
        <v>0.0171</v>
      </c>
      <c r="W10" s="11" t="n">
        <v>-0.0502</v>
      </c>
    </row>
    <row r="11">
      <c r="A11" s="10" t="inlineStr">
        <is>
          <t>고정자산 제각손실</t>
        </is>
      </c>
      <c r="D11" s="11" t="n">
        <v>0.0241</v>
      </c>
      <c r="F11" s="11" t="n">
        <v>0.0112</v>
      </c>
      <c r="H11" s="11" t="n">
        <v>0.0188</v>
      </c>
      <c r="J11" s="11" t="n">
        <v>0</v>
      </c>
      <c r="L11" s="11" t="n">
        <v>0.3762</v>
      </c>
      <c r="N11" s="11" t="n">
        <v>0.1008</v>
      </c>
      <c r="P11" s="11" t="n">
        <v>0.1008</v>
      </c>
      <c r="R11" s="11" t="n">
        <v>0</v>
      </c>
      <c r="T11" s="11" t="n">
        <v>0.0241</v>
      </c>
      <c r="U11" s="11" t="n">
        <v>0.0188</v>
      </c>
      <c r="V11" s="11" t="n">
        <v>0.3762</v>
      </c>
      <c r="W11" s="11" t="n">
        <v>0.1008</v>
      </c>
    </row>
    <row r="12">
      <c r="A12" s="10" t="inlineStr">
        <is>
          <t>매출채권·계약자산 증감</t>
        </is>
      </c>
      <c r="F12" s="11" t="n">
        <v>2.5416</v>
      </c>
    </row>
    <row r="13">
      <c r="A13" s="10" t="inlineStr">
        <is>
          <t>보험 해약환급금</t>
        </is>
      </c>
      <c r="D13" s="11" t="n">
        <v>-0.0444</v>
      </c>
      <c r="F13" s="11" t="n">
        <v>-0.0935</v>
      </c>
      <c r="H13" s="11" t="n">
        <v>-0.209</v>
      </c>
      <c r="J13" s="11" t="n">
        <v>-0.6187</v>
      </c>
      <c r="L13" s="11" t="n">
        <v>-0.8409</v>
      </c>
      <c r="N13" s="11" t="n">
        <v>0</v>
      </c>
      <c r="P13" s="11" t="n">
        <v>-0.1673</v>
      </c>
      <c r="R13" s="11" t="n">
        <v>-0.0945</v>
      </c>
      <c r="T13" s="11" t="n">
        <v>-0.0444</v>
      </c>
      <c r="U13" s="11" t="n">
        <v>-0.209</v>
      </c>
      <c r="V13" s="11" t="n">
        <v>-0.8409</v>
      </c>
      <c r="W13" s="11" t="n">
        <v>-0.1673</v>
      </c>
    </row>
    <row r="14">
      <c r="A14" s="10" t="inlineStr">
        <is>
          <t>보험해약 손익</t>
        </is>
      </c>
      <c r="D14" s="11" t="n">
        <v>0.0074</v>
      </c>
      <c r="F14" s="11" t="n">
        <v>0</v>
      </c>
      <c r="H14" s="11" t="n">
        <v>0</v>
      </c>
      <c r="J14" s="11" t="n">
        <v>0.0008</v>
      </c>
      <c r="L14" s="11" t="n">
        <v>0.0051</v>
      </c>
      <c r="N14" s="11" t="n">
        <v>0.0338</v>
      </c>
      <c r="P14" s="11" t="n">
        <v>0.0338</v>
      </c>
      <c r="R14" s="11" t="n">
        <v>0.0005</v>
      </c>
      <c r="T14" s="11" t="n">
        <v>0.0074</v>
      </c>
      <c r="U14" s="11" t="n">
        <v>0</v>
      </c>
      <c r="V14" s="11" t="n">
        <v>0.0051</v>
      </c>
      <c r="W14" s="11" t="n">
        <v>0.0338</v>
      </c>
    </row>
    <row r="15">
      <c r="A15" s="10" t="inlineStr">
        <is>
          <t>골프회원권 매각손익</t>
        </is>
      </c>
      <c r="D15" s="11" t="n">
        <v>0.02</v>
      </c>
      <c r="H15" s="11" t="n">
        <v>0</v>
      </c>
      <c r="T15" s="11" t="n">
        <v>0.02</v>
      </c>
      <c r="U15" s="11" t="n">
        <v>0</v>
      </c>
    </row>
    <row r="16">
      <c r="A16" s="10" t="inlineStr">
        <is>
          <t>매출채권·계약자산 증감</t>
        </is>
      </c>
      <c r="F16" s="11" t="n">
        <v>2.5416</v>
      </c>
      <c r="J16" s="11" t="n">
        <v>2.7854</v>
      </c>
    </row>
    <row r="17">
      <c r="A17" s="10" t="inlineStr">
        <is>
          <t>매출채권·계약자산 증감</t>
        </is>
      </c>
      <c r="J17" s="11" t="n">
        <v>2.7854</v>
      </c>
      <c r="N17" s="11" t="n">
        <v>2.3264</v>
      </c>
    </row>
    <row r="18">
      <c r="A18" s="10" t="inlineStr">
        <is>
          <t>투자유가증권 매각손익</t>
        </is>
      </c>
      <c r="L18" s="11" t="n">
        <v>0</v>
      </c>
      <c r="N18" s="11" t="n">
        <v>0.0002</v>
      </c>
      <c r="P18" s="11" t="n">
        <v>-0.0713</v>
      </c>
      <c r="R18" s="11" t="n">
        <v>-0.0815</v>
      </c>
      <c r="V18" s="11" t="n">
        <v>0</v>
      </c>
      <c r="W18" s="11" t="n">
        <v>-0.0713</v>
      </c>
    </row>
    <row r="19">
      <c r="A19" s="10" t="inlineStr">
        <is>
          <t>상여충당금 증감</t>
        </is>
      </c>
      <c r="D19" s="11" t="n">
        <v>0.1357</v>
      </c>
      <c r="F19" s="11" t="n">
        <v>-0.0375</v>
      </c>
      <c r="H19" s="11" t="n">
        <v>0.0374</v>
      </c>
      <c r="J19" s="11" t="n">
        <v>0.1315</v>
      </c>
      <c r="L19" s="11" t="n">
        <v>0.0369</v>
      </c>
      <c r="N19" s="11" t="n">
        <v>0.2351</v>
      </c>
      <c r="P19" s="11" t="n">
        <v>0.2228</v>
      </c>
      <c r="R19" s="11" t="n">
        <v>0.1696</v>
      </c>
      <c r="T19" s="11" t="n">
        <v>0.1357</v>
      </c>
      <c r="U19" s="11" t="n">
        <v>0.0374</v>
      </c>
      <c r="V19" s="11" t="n">
        <v>0.0369</v>
      </c>
      <c r="W19" s="11" t="n">
        <v>0.2228</v>
      </c>
    </row>
    <row r="20">
      <c r="A20" s="10" t="inlineStr">
        <is>
          <t>대손충당금 증감</t>
        </is>
      </c>
      <c r="D20" s="11" t="n">
        <v>2.7571</v>
      </c>
      <c r="F20" s="11" t="n">
        <v>-17.6279</v>
      </c>
      <c r="H20" s="11" t="n">
        <v>-17.6455</v>
      </c>
      <c r="J20" s="11" t="n">
        <v>-0.0011</v>
      </c>
      <c r="L20" s="11" t="n">
        <v>-0.0021</v>
      </c>
      <c r="N20" s="11" t="n">
        <v>-0.0209</v>
      </c>
      <c r="P20" s="11" t="n">
        <v>-0.0198</v>
      </c>
      <c r="R20" s="11" t="n">
        <v>-0.0116</v>
      </c>
      <c r="T20" s="11" t="n">
        <v>2.7571</v>
      </c>
      <c r="U20" s="11" t="n">
        <v>-17.6455</v>
      </c>
      <c r="V20" s="11" t="n">
        <v>-0.0021</v>
      </c>
      <c r="W20" s="11" t="n">
        <v>-0.0198</v>
      </c>
    </row>
    <row r="21">
      <c r="A21" s="10" t="inlineStr">
        <is>
          <t>퇴직급여자산 증감</t>
        </is>
      </c>
      <c r="D21" s="11" t="n">
        <v>-0.0672</v>
      </c>
      <c r="F21" s="11" t="n">
        <v>-0.0378</v>
      </c>
      <c r="H21" s="11" t="n">
        <v>-0.0775</v>
      </c>
      <c r="J21" s="11" t="n">
        <v>-0.067</v>
      </c>
      <c r="L21" s="11" t="n">
        <v>-0.1328</v>
      </c>
      <c r="N21" s="11" t="n">
        <v>0.127</v>
      </c>
      <c r="P21" s="11" t="n">
        <v>0.0697</v>
      </c>
      <c r="R21" s="11" t="n">
        <v>-0.0769</v>
      </c>
      <c r="T21" s="11" t="n">
        <v>-0.0672</v>
      </c>
      <c r="U21" s="11" t="n">
        <v>-0.0775</v>
      </c>
      <c r="V21" s="11" t="n">
        <v>-0.1328</v>
      </c>
      <c r="W21" s="11" t="n">
        <v>0.0697</v>
      </c>
    </row>
    <row r="22">
      <c r="A22" s="10" t="inlineStr">
        <is>
          <t>퇴직급여부채 증감</t>
        </is>
      </c>
      <c r="D22" s="11" t="n">
        <v>0.0396</v>
      </c>
      <c r="F22" s="11" t="n">
        <v>0.01</v>
      </c>
      <c r="H22" s="11" t="n">
        <v>-0.0037</v>
      </c>
      <c r="J22" s="11" t="n">
        <v>-0.0201</v>
      </c>
      <c r="L22" s="11" t="n">
        <v>-0.0308</v>
      </c>
      <c r="N22" s="11" t="n">
        <v>-0.213</v>
      </c>
      <c r="P22" s="11" t="n">
        <v>-0.2333</v>
      </c>
      <c r="R22" s="11" t="n">
        <v>0.1013</v>
      </c>
      <c r="T22" s="11" t="n">
        <v>0.0396</v>
      </c>
      <c r="U22" s="11" t="n">
        <v>-0.0037</v>
      </c>
      <c r="V22" s="11" t="n">
        <v>-0.0308</v>
      </c>
      <c r="W22" s="11" t="n">
        <v>-0.2333</v>
      </c>
    </row>
    <row r="23">
      <c r="A23" s="10" t="inlineStr">
        <is>
          <t>이자·배당금 수익</t>
        </is>
      </c>
      <c r="D23" s="11" t="n">
        <v>-0.0352</v>
      </c>
      <c r="F23" s="11" t="n">
        <v>-0.0238</v>
      </c>
      <c r="H23" s="11" t="n">
        <v>-0.037</v>
      </c>
      <c r="J23" s="11" t="n">
        <v>-0.0475</v>
      </c>
      <c r="L23" s="11" t="n">
        <v>-0.0462</v>
      </c>
      <c r="N23" s="11" t="n">
        <v>-0.0434</v>
      </c>
      <c r="P23" s="11" t="n">
        <v>-0.1092</v>
      </c>
      <c r="R23" s="11" t="n">
        <v>-0.06</v>
      </c>
      <c r="T23" s="11" t="n">
        <v>-0.0352</v>
      </c>
      <c r="U23" s="11" t="n">
        <v>-0.037</v>
      </c>
      <c r="V23" s="11" t="n">
        <v>-0.0462</v>
      </c>
      <c r="W23" s="11" t="n">
        <v>-0.1092</v>
      </c>
    </row>
    <row r="24">
      <c r="A24" s="10" t="inlineStr">
        <is>
          <t>보조금 수입</t>
        </is>
      </c>
      <c r="D24" s="11" t="n">
        <v>-0.0136</v>
      </c>
      <c r="H24" s="11" t="n">
        <v>0</v>
      </c>
      <c r="T24" s="11" t="n">
        <v>-0.0136</v>
      </c>
      <c r="U24" s="11" t="n">
        <v>0</v>
      </c>
    </row>
    <row r="25">
      <c r="A25" s="10" t="inlineStr">
        <is>
          <t>국고보조금</t>
        </is>
      </c>
      <c r="L25" s="11" t="n">
        <v>0</v>
      </c>
      <c r="P25" s="11" t="n">
        <v>-0.36</v>
      </c>
      <c r="V25" s="11" t="n">
        <v>0</v>
      </c>
      <c r="W25" s="11" t="n">
        <v>-0.36</v>
      </c>
    </row>
    <row r="26">
      <c r="A26" s="10" t="inlineStr">
        <is>
          <t>국고보조금</t>
        </is>
      </c>
      <c r="N26" s="11" t="n">
        <v>0</v>
      </c>
      <c r="R26" s="11" t="n">
        <v>-0.3572</v>
      </c>
    </row>
    <row r="27">
      <c r="A27" s="10" t="inlineStr">
        <is>
          <t>외환차손익</t>
        </is>
      </c>
      <c r="D27" s="11" t="n">
        <v>-0.0058</v>
      </c>
      <c r="F27" s="11" t="n">
        <v>-0.0028</v>
      </c>
      <c r="H27" s="11" t="n">
        <v>-0.004</v>
      </c>
      <c r="J27" s="11" t="n">
        <v>-0.004</v>
      </c>
      <c r="L27" s="11" t="n">
        <v>0.0003</v>
      </c>
      <c r="N27" s="11" t="n">
        <v>0.0142</v>
      </c>
      <c r="P27" s="11" t="n">
        <v>-0.0059</v>
      </c>
      <c r="R27" s="11" t="n">
        <v>0.0015</v>
      </c>
      <c r="T27" s="11" t="n">
        <v>-0.0058</v>
      </c>
      <c r="U27" s="11" t="n">
        <v>-0.004</v>
      </c>
      <c r="V27" s="11" t="n">
        <v>0.0003</v>
      </c>
      <c r="W27" s="11" t="n">
        <v>-0.0059</v>
      </c>
    </row>
    <row r="28">
      <c r="A28" s="10" t="inlineStr">
        <is>
          <t>이자비용</t>
        </is>
      </c>
      <c r="D28" s="11" t="n">
        <v>0.2452</v>
      </c>
      <c r="F28" s="11" t="n">
        <v>0.1174</v>
      </c>
      <c r="H28" s="11" t="n">
        <v>0.22</v>
      </c>
      <c r="J28" s="11" t="n">
        <v>0.0872</v>
      </c>
      <c r="L28" s="11" t="n">
        <v>0.2494</v>
      </c>
      <c r="N28" s="11" t="n">
        <v>0.2196</v>
      </c>
      <c r="P28" s="11" t="n">
        <v>0.4382</v>
      </c>
      <c r="R28" s="11" t="n">
        <v>0.3283</v>
      </c>
      <c r="T28" s="11" t="n">
        <v>0.2452</v>
      </c>
      <c r="U28" s="11" t="n">
        <v>0.22</v>
      </c>
      <c r="V28" s="11" t="n">
        <v>0.2494</v>
      </c>
      <c r="W28" s="11" t="n">
        <v>0.4382</v>
      </c>
    </row>
    <row r="29">
      <c r="A29" s="10" t="inlineStr">
        <is>
          <t>매출채권 증감</t>
        </is>
      </c>
      <c r="D29" s="11" t="n">
        <v>-5.9285</v>
      </c>
      <c r="H29" s="11" t="n">
        <v>-3.0895</v>
      </c>
      <c r="L29" s="11" t="n">
        <v>6.03</v>
      </c>
      <c r="N29" s="11" t="n">
        <v>2.3264</v>
      </c>
      <c r="P29" s="11" t="n">
        <v>-2.2785</v>
      </c>
      <c r="R29" s="11" t="n">
        <v>4.5091</v>
      </c>
      <c r="T29" s="11" t="n">
        <v>-5.9285</v>
      </c>
      <c r="U29" s="11" t="n">
        <v>-3.0895</v>
      </c>
      <c r="V29" s="11" t="n">
        <v>6.03</v>
      </c>
      <c r="W29" s="11" t="n">
        <v>-2.2785</v>
      </c>
    </row>
    <row r="30">
      <c r="A30" s="10" t="inlineStr">
        <is>
          <t>재고자산 증감</t>
        </is>
      </c>
      <c r="D30" s="11" t="n">
        <v>-1.4682</v>
      </c>
      <c r="F30" s="11" t="n">
        <v>-0.9181</v>
      </c>
      <c r="H30" s="11" t="n">
        <v>-0.0814</v>
      </c>
      <c r="J30" s="11" t="n">
        <v>-3.0392</v>
      </c>
      <c r="L30" s="11" t="n">
        <v>-2.3414</v>
      </c>
      <c r="N30" s="11" t="n">
        <v>-2.6845</v>
      </c>
      <c r="P30" s="11" t="n">
        <v>-0.8852</v>
      </c>
      <c r="R30" s="11" t="n">
        <v>-2.7121</v>
      </c>
      <c r="T30" s="11" t="n">
        <v>-1.4682</v>
      </c>
      <c r="U30" s="11" t="n">
        <v>-0.0814</v>
      </c>
      <c r="V30" s="11" t="n">
        <v>-2.3414</v>
      </c>
      <c r="W30" s="11" t="n">
        <v>-0.8852</v>
      </c>
    </row>
    <row r="31">
      <c r="A31" s="10" t="inlineStr">
        <is>
          <t>미수 환급법인세 증감</t>
        </is>
      </c>
      <c r="D31" s="11" t="n">
        <v>0</v>
      </c>
      <c r="H31" s="11" t="n">
        <v>-1.7854</v>
      </c>
      <c r="L31" s="11" t="n">
        <v>0</v>
      </c>
      <c r="T31" s="11" t="n">
        <v>0</v>
      </c>
      <c r="U31" s="11" t="n">
        <v>-1.7854</v>
      </c>
      <c r="V31" s="11" t="n">
        <v>0</v>
      </c>
    </row>
    <row r="32">
      <c r="A32" s="10" t="inlineStr">
        <is>
          <t>매입채무 증감</t>
        </is>
      </c>
      <c r="D32" s="11" t="n">
        <v>2.7611</v>
      </c>
      <c r="F32" s="11" t="n">
        <v>-0.3321</v>
      </c>
      <c r="H32" s="11" t="n">
        <v>0.2041</v>
      </c>
      <c r="J32" s="11" t="n">
        <v>0.9332</v>
      </c>
      <c r="L32" s="11" t="n">
        <v>-2.9982</v>
      </c>
      <c r="N32" s="11" t="n">
        <v>0.0026</v>
      </c>
      <c r="P32" s="11" t="n">
        <v>-4.1162</v>
      </c>
      <c r="R32" s="11" t="n">
        <v>-7.9951</v>
      </c>
      <c r="T32" s="11" t="n">
        <v>2.7611</v>
      </c>
      <c r="U32" s="11" t="n">
        <v>0.2041</v>
      </c>
      <c r="V32" s="11" t="n">
        <v>-2.9982</v>
      </c>
      <c r="W32" s="11" t="n">
        <v>-4.1162</v>
      </c>
    </row>
    <row r="33">
      <c r="A33" s="10" t="inlineStr">
        <is>
          <t>미지급비용 증감</t>
        </is>
      </c>
      <c r="D33" s="11" t="n">
        <v>0.0215</v>
      </c>
      <c r="F33" s="11" t="n">
        <v>0.1707</v>
      </c>
      <c r="H33" s="11" t="n">
        <v>0.058</v>
      </c>
      <c r="J33" s="11" t="n">
        <v>0.2763</v>
      </c>
      <c r="L33" s="11" t="n">
        <v>0.1285</v>
      </c>
      <c r="N33" s="11" t="n">
        <v>0.3315</v>
      </c>
      <c r="P33" s="11" t="n">
        <v>0.1586</v>
      </c>
      <c r="R33" s="11" t="n">
        <v>-0.0849</v>
      </c>
      <c r="T33" s="11" t="n">
        <v>0.0215</v>
      </c>
      <c r="U33" s="11" t="n">
        <v>0.058</v>
      </c>
      <c r="V33" s="11" t="n">
        <v>0.1285</v>
      </c>
      <c r="W33" s="11" t="n">
        <v>0.1586</v>
      </c>
    </row>
    <row r="34">
      <c r="A34" s="10" t="inlineStr">
        <is>
          <t>미수 소비세 증감</t>
        </is>
      </c>
      <c r="H34" s="11" t="n">
        <v>0</v>
      </c>
      <c r="J34" s="11" t="n">
        <v>0</v>
      </c>
      <c r="L34" s="11" t="n">
        <v>-0.4252</v>
      </c>
      <c r="N34" s="11" t="n">
        <v>0.4162</v>
      </c>
      <c r="P34" s="11" t="n">
        <v>0.0328</v>
      </c>
      <c r="R34" s="11" t="n">
        <v>0.3739</v>
      </c>
      <c r="U34" s="11" t="n">
        <v>0</v>
      </c>
      <c r="V34" s="11" t="n">
        <v>-0.4252</v>
      </c>
      <c r="W34" s="11" t="n">
        <v>0.0328</v>
      </c>
    </row>
    <row r="35">
      <c r="A35" s="10" t="inlineStr">
        <is>
          <t>미지급 소비세 증감</t>
        </is>
      </c>
      <c r="D35" s="11" t="n">
        <v>0.2614</v>
      </c>
      <c r="F35" s="11" t="n">
        <v>-0.3953</v>
      </c>
      <c r="H35" s="11" t="n">
        <v>0.0239</v>
      </c>
      <c r="J35" s="11" t="n">
        <v>-0.4465</v>
      </c>
      <c r="L35" s="11" t="n">
        <v>0.1258</v>
      </c>
      <c r="N35" s="11" t="n">
        <v>-0.3719</v>
      </c>
      <c r="P35" s="11" t="n">
        <v>0.375</v>
      </c>
      <c r="R35" s="11" t="n">
        <v>-0.1101</v>
      </c>
      <c r="T35" s="11" t="n">
        <v>0.2614</v>
      </c>
      <c r="U35" s="11" t="n">
        <v>0.0239</v>
      </c>
      <c r="V35" s="11" t="n">
        <v>0.1258</v>
      </c>
      <c r="W35" s="11" t="n">
        <v>0.375</v>
      </c>
    </row>
    <row r="36">
      <c r="A36" s="10" t="inlineStr">
        <is>
          <t>파산갱생채권 증감</t>
        </is>
      </c>
      <c r="D36" s="11" t="n">
        <v>-2.7989</v>
      </c>
      <c r="F36" s="11" t="n">
        <v>18.3647</v>
      </c>
      <c r="H36" s="11" t="n">
        <v>18.38</v>
      </c>
      <c r="J36" s="11" t="n">
        <v>0</v>
      </c>
      <c r="L36" s="11" t="n">
        <v>0</v>
      </c>
      <c r="N36" s="11" t="n">
        <v>0</v>
      </c>
      <c r="R36" s="11" t="n">
        <v>-0.0061</v>
      </c>
      <c r="T36" s="11" t="n">
        <v>-2.7989</v>
      </c>
      <c r="U36" s="11" t="n">
        <v>18.38</v>
      </c>
      <c r="V36" s="11" t="n">
        <v>0</v>
      </c>
    </row>
    <row r="37">
      <c r="A37" s="10" t="inlineStr">
        <is>
          <t>기타</t>
        </is>
      </c>
      <c r="D37" s="11" t="n">
        <v>0.5376</v>
      </c>
      <c r="F37" s="11" t="n">
        <v>-0.524</v>
      </c>
      <c r="H37" s="11" t="n">
        <v>-0.3296</v>
      </c>
      <c r="J37" s="11" t="n">
        <v>1.046</v>
      </c>
      <c r="L37" s="11" t="n">
        <v>-0.3779</v>
      </c>
      <c r="N37" s="11" t="n">
        <v>-0.2563</v>
      </c>
      <c r="P37" s="11" t="n">
        <v>1.0971</v>
      </c>
      <c r="R37" s="11" t="n">
        <v>-0.2686</v>
      </c>
      <c r="T37" s="11" t="n">
        <v>0.5376</v>
      </c>
      <c r="U37" s="11" t="n">
        <v>-0.3296</v>
      </c>
      <c r="V37" s="11" t="n">
        <v>-0.3779</v>
      </c>
      <c r="W37" s="11" t="n">
        <v>1.0971</v>
      </c>
    </row>
    <row r="38">
      <c r="A38" s="10" t="inlineStr">
        <is>
          <t>소계</t>
        </is>
      </c>
      <c r="D38" s="11" t="n">
        <v>11.481</v>
      </c>
      <c r="F38" s="11" t="n">
        <v>7.4355</v>
      </c>
      <c r="H38" s="11" t="n">
        <v>10.9276</v>
      </c>
      <c r="J38" s="11" t="n">
        <v>9.4663</v>
      </c>
      <c r="L38" s="11" t="n">
        <v>16.9884</v>
      </c>
      <c r="N38" s="11" t="n">
        <v>11.0223</v>
      </c>
      <c r="P38" s="11" t="n">
        <v>18.529</v>
      </c>
      <c r="R38" s="11" t="n">
        <v>6.3331</v>
      </c>
      <c r="T38" s="11" t="n">
        <v>11.481</v>
      </c>
      <c r="U38" s="11" t="n">
        <v>10.9276</v>
      </c>
      <c r="V38" s="11" t="n">
        <v>16.9884</v>
      </c>
      <c r="W38" s="11" t="n">
        <v>18.529</v>
      </c>
    </row>
    <row r="39">
      <c r="A39" s="10" t="inlineStr">
        <is>
          <t>이자·배당금 수취</t>
        </is>
      </c>
      <c r="D39" s="11" t="n">
        <v>0.0058</v>
      </c>
      <c r="F39" s="11" t="n">
        <v>0.0002</v>
      </c>
      <c r="H39" s="11" t="n">
        <v>0.0059</v>
      </c>
      <c r="J39" s="11" t="n">
        <v>0.0265</v>
      </c>
      <c r="L39" s="11" t="n">
        <v>0.008999999999999999</v>
      </c>
      <c r="N39" s="11" t="n">
        <v>0.0229</v>
      </c>
      <c r="P39" s="11" t="n">
        <v>0.0692</v>
      </c>
      <c r="R39" s="11" t="n">
        <v>0.0321</v>
      </c>
      <c r="T39" s="11" t="n">
        <v>0.0058</v>
      </c>
      <c r="U39" s="11" t="n">
        <v>0.0059</v>
      </c>
      <c r="V39" s="11" t="n">
        <v>0.008999999999999999</v>
      </c>
      <c r="W39" s="11" t="n">
        <v>0.0692</v>
      </c>
    </row>
    <row r="40">
      <c r="A40" s="10" t="inlineStr">
        <is>
          <t>이자 지급</t>
        </is>
      </c>
      <c r="D40" s="11" t="n">
        <v>-0.247</v>
      </c>
      <c r="F40" s="11" t="n">
        <v>-0.1162</v>
      </c>
      <c r="H40" s="11" t="n">
        <v>-0.2294</v>
      </c>
      <c r="J40" s="11" t="n">
        <v>-0.0801</v>
      </c>
      <c r="L40" s="11" t="n">
        <v>-0.2423</v>
      </c>
      <c r="N40" s="11" t="n">
        <v>-0.2118</v>
      </c>
      <c r="P40" s="11" t="n">
        <v>-0.4279</v>
      </c>
      <c r="R40" s="11" t="n">
        <v>-0.3532</v>
      </c>
      <c r="T40" s="11" t="n">
        <v>-0.247</v>
      </c>
      <c r="U40" s="11" t="n">
        <v>-0.2294</v>
      </c>
      <c r="V40" s="11" t="n">
        <v>-0.2423</v>
      </c>
      <c r="W40" s="11" t="n">
        <v>-0.4279</v>
      </c>
    </row>
    <row r="41">
      <c r="A41" s="10" t="inlineStr">
        <is>
          <t>보조금 수취</t>
        </is>
      </c>
      <c r="D41" s="11" t="n">
        <v>0.0136</v>
      </c>
      <c r="H41" s="11" t="n">
        <v>0</v>
      </c>
      <c r="L41" s="11" t="n">
        <v>0</v>
      </c>
      <c r="N41" s="11" t="n">
        <v>0</v>
      </c>
      <c r="P41" s="11" t="n">
        <v>0.36</v>
      </c>
      <c r="R41" s="11" t="n">
        <v>0.3572</v>
      </c>
      <c r="T41" s="11" t="n">
        <v>0.0136</v>
      </c>
      <c r="U41" s="11" t="n">
        <v>0</v>
      </c>
      <c r="V41" s="11" t="n">
        <v>0</v>
      </c>
      <c r="W41" s="11" t="n">
        <v>0.36</v>
      </c>
    </row>
    <row r="42">
      <c r="A42" s="10" t="inlineStr">
        <is>
          <t>법인세 납부</t>
        </is>
      </c>
      <c r="D42" s="11" t="n">
        <v>-0.9472</v>
      </c>
      <c r="F42" s="11" t="n">
        <v>-4.3188</v>
      </c>
      <c r="H42" s="11" t="n">
        <v>-4.9405</v>
      </c>
      <c r="J42" s="11" t="n">
        <v>-0.5706</v>
      </c>
      <c r="L42" s="11" t="n">
        <v>-1.809</v>
      </c>
      <c r="N42" s="11" t="n">
        <v>-6.3903</v>
      </c>
      <c r="P42" s="11" t="n">
        <v>-10.2837</v>
      </c>
      <c r="R42" s="11" t="n">
        <v>-1.7783</v>
      </c>
      <c r="T42" s="11" t="n">
        <v>-0.9472</v>
      </c>
      <c r="U42" s="11" t="n">
        <v>-4.9405</v>
      </c>
      <c r="V42" s="11" t="n">
        <v>-1.809</v>
      </c>
      <c r="W42" s="11" t="n">
        <v>-10.2837</v>
      </c>
    </row>
    <row r="43">
      <c r="A43" s="10" t="inlineStr">
        <is>
          <t>법인세 환급</t>
        </is>
      </c>
      <c r="F43" s="11" t="n">
        <v>0</v>
      </c>
      <c r="H43" s="11" t="n">
        <v>0</v>
      </c>
      <c r="J43" s="11" t="n">
        <v>1.8103</v>
      </c>
      <c r="L43" s="11" t="n">
        <v>1.8189</v>
      </c>
      <c r="N43" s="11" t="n">
        <v>0</v>
      </c>
      <c r="P43" s="11" t="n">
        <v>0</v>
      </c>
      <c r="R43" s="11" t="n">
        <v>0.6848</v>
      </c>
      <c r="U43" s="11" t="n">
        <v>0</v>
      </c>
      <c r="V43" s="11" t="n">
        <v>1.8189</v>
      </c>
      <c r="W43" s="11" t="n">
        <v>0</v>
      </c>
    </row>
    <row r="44">
      <c r="A44" s="10" t="inlineStr">
        <is>
          <t>영업활동 현금흐름</t>
        </is>
      </c>
      <c r="D44" s="11" t="n">
        <v>10.3063</v>
      </c>
      <c r="F44" s="11" t="n">
        <v>3.0008</v>
      </c>
      <c r="H44" s="11" t="n">
        <v>5.7637</v>
      </c>
      <c r="J44" s="11" t="n">
        <v>10.6524</v>
      </c>
      <c r="L44" s="11" t="n">
        <v>16.765</v>
      </c>
      <c r="N44" s="11" t="n">
        <v>4.4431</v>
      </c>
      <c r="P44" s="11" t="n">
        <v>8.246700000000001</v>
      </c>
      <c r="R44" s="11" t="n">
        <v>5.2757</v>
      </c>
      <c r="T44" s="11" t="n">
        <v>10.3063</v>
      </c>
      <c r="U44" s="11" t="n">
        <v>5.7637</v>
      </c>
      <c r="V44" s="11" t="n">
        <v>16.765</v>
      </c>
      <c r="W44" s="11" t="n">
        <v>8.246700000000001</v>
      </c>
    </row>
    <row r="45">
      <c r="A45" s="10" t="inlineStr">
        <is>
          <t>유형자산 제각 지출</t>
        </is>
      </c>
      <c r="F45" s="11" t="n">
        <v>-0.0027</v>
      </c>
      <c r="J45" s="11" t="n">
        <v>0</v>
      </c>
      <c r="N45" s="11" t="n">
        <v>-0.0018</v>
      </c>
      <c r="R45" s="11" t="n">
        <v>0</v>
      </c>
    </row>
    <row r="46">
      <c r="A46" s="10" t="inlineStr">
        <is>
          <t>유형자산 취득(설비투자)</t>
        </is>
      </c>
      <c r="D46" s="11" t="n">
        <v>-0.9941</v>
      </c>
      <c r="F46" s="11" t="n">
        <v>-0.4627</v>
      </c>
      <c r="H46" s="11" t="n">
        <v>-0.9431</v>
      </c>
      <c r="J46" s="11" t="n">
        <v>-1.2151</v>
      </c>
      <c r="L46" s="11" t="n">
        <v>-2.756</v>
      </c>
      <c r="N46" s="11" t="n">
        <v>-3.8601</v>
      </c>
      <c r="P46" s="11" t="n">
        <v>-5.7855</v>
      </c>
      <c r="R46" s="11" t="n">
        <v>-0.5853</v>
      </c>
      <c r="T46" s="11" t="n">
        <v>-0.9941</v>
      </c>
      <c r="U46" s="11" t="n">
        <v>-0.9431</v>
      </c>
      <c r="V46" s="11" t="n">
        <v>-2.756</v>
      </c>
      <c r="W46" s="11" t="n">
        <v>-5.7855</v>
      </c>
    </row>
    <row r="47">
      <c r="A47" s="10" t="inlineStr">
        <is>
          <t>유형자산 매각</t>
        </is>
      </c>
      <c r="D47" s="11" t="n">
        <v>0.009299999999999999</v>
      </c>
      <c r="F47" s="11" t="n">
        <v>0.003</v>
      </c>
      <c r="H47" s="11" t="n">
        <v>3.0626</v>
      </c>
      <c r="J47" s="11" t="n">
        <v>0</v>
      </c>
      <c r="L47" s="11" t="n">
        <v>0.7035</v>
      </c>
      <c r="N47" s="11" t="n">
        <v>0.9926</v>
      </c>
      <c r="P47" s="11" t="n">
        <v>1.032</v>
      </c>
      <c r="R47" s="11" t="n">
        <v>0.0023</v>
      </c>
      <c r="T47" s="11" t="n">
        <v>0.009299999999999999</v>
      </c>
      <c r="U47" s="11" t="n">
        <v>3.0626</v>
      </c>
      <c r="V47" s="11" t="n">
        <v>0.7035</v>
      </c>
      <c r="W47" s="11" t="n">
        <v>1.032</v>
      </c>
    </row>
    <row r="48">
      <c r="A48" s="10" t="inlineStr">
        <is>
          <t>무형자산 취득</t>
        </is>
      </c>
      <c r="D48" s="11" t="n">
        <v>-0.07099999999999999</v>
      </c>
      <c r="F48" s="11" t="n">
        <v>-0.1631</v>
      </c>
      <c r="H48" s="11" t="n">
        <v>-0.7167</v>
      </c>
      <c r="J48" s="11" t="n">
        <v>-0.1998</v>
      </c>
      <c r="L48" s="11" t="n">
        <v>-0.3459</v>
      </c>
      <c r="N48" s="11" t="n">
        <v>-0.2879</v>
      </c>
      <c r="P48" s="11" t="n">
        <v>-0.3406</v>
      </c>
      <c r="R48" s="11" t="n">
        <v>-0.0423</v>
      </c>
      <c r="T48" s="11" t="n">
        <v>-0.07099999999999999</v>
      </c>
      <c r="U48" s="11" t="n">
        <v>-0.7167</v>
      </c>
      <c r="V48" s="11" t="n">
        <v>-0.3459</v>
      </c>
      <c r="W48" s="11" t="n">
        <v>-0.3406</v>
      </c>
    </row>
    <row r="49">
      <c r="A49" s="10" t="inlineStr">
        <is>
          <t>투자유가증권 취득</t>
        </is>
      </c>
      <c r="D49" s="11" t="n">
        <v>-0.0204</v>
      </c>
      <c r="F49" s="11" t="n">
        <v>-0.0102</v>
      </c>
      <c r="H49" s="11" t="n">
        <v>-0.0204</v>
      </c>
      <c r="J49" s="11" t="n">
        <v>-0.0102</v>
      </c>
      <c r="L49" s="11" t="n">
        <v>-0.7741</v>
      </c>
      <c r="N49" s="11" t="n">
        <v>-0.0128</v>
      </c>
      <c r="P49" s="11" t="n">
        <v>-0.0269</v>
      </c>
      <c r="R49" s="11" t="n">
        <v>-0.0138</v>
      </c>
      <c r="T49" s="11" t="n">
        <v>-0.0204</v>
      </c>
      <c r="U49" s="11" t="n">
        <v>-0.0204</v>
      </c>
      <c r="V49" s="11" t="n">
        <v>-0.7741</v>
      </c>
      <c r="W49" s="11" t="n">
        <v>-0.0269</v>
      </c>
    </row>
    <row r="50">
      <c r="A50" s="10" t="inlineStr">
        <is>
          <t>투자유가증권 매각</t>
        </is>
      </c>
      <c r="L50" s="11" t="n">
        <v>0</v>
      </c>
      <c r="N50" s="11" t="n">
        <v>0</v>
      </c>
      <c r="P50" s="11" t="n">
        <v>0.5796</v>
      </c>
      <c r="R50" s="11" t="n">
        <v>0.3212</v>
      </c>
      <c r="V50" s="11" t="n">
        <v>0</v>
      </c>
      <c r="W50" s="11" t="n">
        <v>0.5796</v>
      </c>
    </row>
    <row r="51">
      <c r="A51" s="10" t="inlineStr">
        <is>
          <t>연결범위 변경 자회사 주식 취득</t>
        </is>
      </c>
      <c r="H51" s="11" t="n">
        <v>0</v>
      </c>
      <c r="L51" s="11" t="n">
        <v>-11.9447</v>
      </c>
      <c r="P51" s="11" t="n">
        <v>-2.2188</v>
      </c>
      <c r="U51" s="11" t="n">
        <v>0</v>
      </c>
      <c r="V51" s="11" t="n">
        <v>-11.9447</v>
      </c>
      <c r="W51" s="11" t="n">
        <v>-2.2188</v>
      </c>
    </row>
    <row r="52">
      <c r="A52" s="10" t="inlineStr">
        <is>
          <t>연결범위 변경 자회사 주식 취득(수입)</t>
        </is>
      </c>
      <c r="D52" s="11" t="n">
        <v>0</v>
      </c>
      <c r="F52" s="11" t="n">
        <v>0</v>
      </c>
      <c r="H52" s="11" t="n">
        <v>0.5155999999999999</v>
      </c>
      <c r="J52" s="11" t="n">
        <v>1.0884</v>
      </c>
      <c r="L52" s="11" t="n">
        <v>1.0884</v>
      </c>
      <c r="N52" s="11" t="n">
        <v>0</v>
      </c>
      <c r="P52" s="11" t="n">
        <v>0</v>
      </c>
      <c r="T52" s="11" t="n">
        <v>0</v>
      </c>
      <c r="U52" s="11" t="n">
        <v>0.5155999999999999</v>
      </c>
      <c r="V52" s="11" t="n">
        <v>1.0884</v>
      </c>
      <c r="W52" s="11" t="n">
        <v>0</v>
      </c>
    </row>
    <row r="53">
      <c r="A53" s="10" t="inlineStr">
        <is>
          <t>정기예금 증감</t>
        </is>
      </c>
      <c r="F53" s="11" t="n">
        <v>0</v>
      </c>
      <c r="H53" s="11" t="n">
        <v>0</v>
      </c>
      <c r="J53" s="11" t="n">
        <v>0.5</v>
      </c>
      <c r="L53" s="11" t="n">
        <v>0.612</v>
      </c>
      <c r="N53" s="11" t="n">
        <v>0</v>
      </c>
      <c r="P53" s="11" t="n">
        <v>0</v>
      </c>
      <c r="U53" s="11" t="n">
        <v>0</v>
      </c>
      <c r="V53" s="11" t="n">
        <v>0.612</v>
      </c>
      <c r="W53" s="11" t="n">
        <v>0</v>
      </c>
    </row>
    <row r="54">
      <c r="A54" s="10" t="inlineStr">
        <is>
          <t>별단예금 예입</t>
        </is>
      </c>
      <c r="F54" s="11" t="n">
        <v>0</v>
      </c>
      <c r="J54" s="11" t="n">
        <v>-0.02</v>
      </c>
      <c r="N54" s="11" t="n">
        <v>0</v>
      </c>
    </row>
    <row r="55">
      <c r="A55" s="10" t="inlineStr">
        <is>
          <t>별단예금 예입</t>
        </is>
      </c>
      <c r="H55" s="11" t="n">
        <v>0</v>
      </c>
      <c r="L55" s="11" t="n">
        <v>-0.02</v>
      </c>
      <c r="P55" s="11" t="n">
        <v>-0.0019</v>
      </c>
      <c r="U55" s="11" t="n">
        <v>0</v>
      </c>
      <c r="V55" s="11" t="n">
        <v>-0.02</v>
      </c>
      <c r="W55" s="11" t="n">
        <v>-0.0019</v>
      </c>
    </row>
    <row r="56">
      <c r="A56" s="10" t="inlineStr">
        <is>
          <t>관계회사 대여</t>
        </is>
      </c>
      <c r="N56" s="11" t="n">
        <v>0</v>
      </c>
      <c r="R56" s="11" t="n">
        <v>-0.2416</v>
      </c>
    </row>
    <row r="57">
      <c r="A57" s="10" t="inlineStr">
        <is>
          <t>보험적립금 적립</t>
        </is>
      </c>
      <c r="D57" s="11" t="n">
        <v>-0.1572</v>
      </c>
      <c r="F57" s="11" t="n">
        <v>-0.044</v>
      </c>
      <c r="H57" s="11" t="n">
        <v>-0.1016</v>
      </c>
      <c r="J57" s="11" t="n">
        <v>-0.0752</v>
      </c>
      <c r="L57" s="11" t="n">
        <v>-0.1505</v>
      </c>
      <c r="N57" s="11" t="n">
        <v>-0.1347</v>
      </c>
      <c r="P57" s="11" t="n">
        <v>-0.2063</v>
      </c>
      <c r="R57" s="11" t="n">
        <v>-0.09130000000000001</v>
      </c>
      <c r="T57" s="11" t="n">
        <v>-0.1572</v>
      </c>
      <c r="U57" s="11" t="n">
        <v>-0.1016</v>
      </c>
      <c r="V57" s="11" t="n">
        <v>-0.1505</v>
      </c>
      <c r="W57" s="11" t="n">
        <v>-0.2063</v>
      </c>
    </row>
    <row r="58">
      <c r="A58" s="10" t="inlineStr">
        <is>
          <t>보험적립금 해약</t>
        </is>
      </c>
      <c r="D58" s="11" t="n">
        <v>0.1049</v>
      </c>
      <c r="F58" s="11" t="n">
        <v>0.0598</v>
      </c>
      <c r="H58" s="11" t="n">
        <v>0.3365</v>
      </c>
      <c r="J58" s="11" t="n">
        <v>1.2822</v>
      </c>
      <c r="L58" s="11" t="n">
        <v>2.0762</v>
      </c>
      <c r="N58" s="11" t="n">
        <v>5.4089</v>
      </c>
      <c r="P58" s="11" t="n">
        <v>5.6581</v>
      </c>
      <c r="R58" s="11" t="n">
        <v>0.5159</v>
      </c>
      <c r="T58" s="11" t="n">
        <v>0.1049</v>
      </c>
      <c r="U58" s="11" t="n">
        <v>0.3365</v>
      </c>
      <c r="V58" s="11" t="n">
        <v>2.0762</v>
      </c>
      <c r="W58" s="11" t="n">
        <v>5.6581</v>
      </c>
    </row>
    <row r="59">
      <c r="A59" s="10" t="inlineStr">
        <is>
          <t>보험적립금 환급</t>
        </is>
      </c>
      <c r="D59" s="11" t="n">
        <v>0</v>
      </c>
      <c r="F59" s="11" t="n">
        <v>0.128</v>
      </c>
      <c r="H59" s="11" t="n">
        <v>0.128</v>
      </c>
      <c r="J59" s="11" t="n">
        <v>0</v>
      </c>
      <c r="L59" s="11" t="n">
        <v>0</v>
      </c>
      <c r="T59" s="11" t="n">
        <v>0</v>
      </c>
      <c r="U59" s="11" t="n">
        <v>0.128</v>
      </c>
      <c r="V59" s="11" t="n">
        <v>0</v>
      </c>
    </row>
    <row r="60">
      <c r="A60" s="10" t="inlineStr">
        <is>
          <t>임차보증금 회수</t>
        </is>
      </c>
      <c r="D60" s="11" t="n">
        <v>0.0196</v>
      </c>
      <c r="H60" s="11" t="n">
        <v>0.0039</v>
      </c>
      <c r="L60" s="11" t="n">
        <v>0.0102</v>
      </c>
      <c r="P60" s="11" t="n">
        <v>0.1976</v>
      </c>
      <c r="T60" s="11" t="n">
        <v>0.0196</v>
      </c>
      <c r="U60" s="11" t="n">
        <v>0.0039</v>
      </c>
      <c r="V60" s="11" t="n">
        <v>0.0102</v>
      </c>
      <c r="W60" s="11" t="n">
        <v>0.1976</v>
      </c>
    </row>
    <row r="61">
      <c r="A61" s="10" t="inlineStr">
        <is>
          <t>임차보증금 납입</t>
        </is>
      </c>
      <c r="D61" s="11" t="n">
        <v>-0.0153</v>
      </c>
      <c r="H61" s="11" t="n">
        <v>-0.0281</v>
      </c>
      <c r="L61" s="11" t="n">
        <v>-0.2756</v>
      </c>
      <c r="P61" s="11" t="n">
        <v>-0.3041</v>
      </c>
      <c r="T61" s="11" t="n">
        <v>-0.0153</v>
      </c>
      <c r="U61" s="11" t="n">
        <v>-0.0281</v>
      </c>
      <c r="V61" s="11" t="n">
        <v>-0.2756</v>
      </c>
      <c r="W61" s="11" t="n">
        <v>-0.3041</v>
      </c>
    </row>
    <row r="62">
      <c r="A62" s="10" t="inlineStr">
        <is>
          <t>골프회원권 매각</t>
        </is>
      </c>
      <c r="D62" s="11" t="n">
        <v>0.08</v>
      </c>
      <c r="H62" s="11" t="n">
        <v>0</v>
      </c>
      <c r="L62" s="11" t="n">
        <v>0</v>
      </c>
      <c r="T62" s="11" t="n">
        <v>0.08</v>
      </c>
      <c r="U62" s="11" t="n">
        <v>0</v>
      </c>
      <c r="V62" s="11" t="n">
        <v>0</v>
      </c>
    </row>
    <row r="63">
      <c r="A63" s="10" t="inlineStr">
        <is>
          <t>기타</t>
        </is>
      </c>
      <c r="D63" s="11" t="n">
        <v>0.0002</v>
      </c>
      <c r="F63" s="11" t="n">
        <v>0.0136</v>
      </c>
      <c r="H63" s="11" t="n">
        <v>-0.0058</v>
      </c>
      <c r="J63" s="11" t="n">
        <v>0.0881</v>
      </c>
      <c r="L63" s="11" t="n">
        <v>0.2376</v>
      </c>
      <c r="N63" s="11" t="n">
        <v>-0.268</v>
      </c>
      <c r="P63" s="11" t="n">
        <v>0.2856</v>
      </c>
      <c r="R63" s="11" t="n">
        <v>0.0536</v>
      </c>
      <c r="T63" s="11" t="n">
        <v>0.0002</v>
      </c>
      <c r="U63" s="11" t="n">
        <v>-0.0058</v>
      </c>
      <c r="V63" s="11" t="n">
        <v>0.2376</v>
      </c>
      <c r="W63" s="11" t="n">
        <v>0.2856</v>
      </c>
    </row>
    <row r="64">
      <c r="A64" s="10" t="inlineStr">
        <is>
          <t>투자활동 현금흐름</t>
        </is>
      </c>
      <c r="D64" s="11" t="n">
        <v>-1.044</v>
      </c>
      <c r="F64" s="11" t="n">
        <v>-0.4783</v>
      </c>
      <c r="H64" s="11" t="n">
        <v>2.2308</v>
      </c>
      <c r="J64" s="11" t="n">
        <v>1.4383</v>
      </c>
      <c r="L64" s="11" t="n">
        <v>-11.5389</v>
      </c>
      <c r="N64" s="11" t="n">
        <v>1.8362</v>
      </c>
      <c r="P64" s="11" t="n">
        <v>-1.1312</v>
      </c>
      <c r="R64" s="11" t="n">
        <v>-0.08119999999999999</v>
      </c>
      <c r="T64" s="11" t="n">
        <v>-1.044</v>
      </c>
      <c r="U64" s="11" t="n">
        <v>2.2308</v>
      </c>
      <c r="V64" s="11" t="n">
        <v>-11.5389</v>
      </c>
      <c r="W64" s="11" t="n">
        <v>-1.1312</v>
      </c>
    </row>
    <row r="65">
      <c r="A65" s="10" t="inlineStr">
        <is>
          <t>장기차입</t>
        </is>
      </c>
      <c r="D65" s="11" t="n">
        <v>0</v>
      </c>
      <c r="H65" s="11" t="n">
        <v>32.9</v>
      </c>
      <c r="L65" s="11" t="n">
        <v>0</v>
      </c>
      <c r="N65" s="11" t="n">
        <v>0</v>
      </c>
      <c r="P65" s="11" t="n">
        <v>19</v>
      </c>
      <c r="R65" s="11" t="n">
        <v>8</v>
      </c>
      <c r="T65" s="11" t="n">
        <v>0</v>
      </c>
      <c r="U65" s="11" t="n">
        <v>32.9</v>
      </c>
      <c r="V65" s="11" t="n">
        <v>0</v>
      </c>
      <c r="W65" s="11" t="n">
        <v>19</v>
      </c>
    </row>
    <row r="66">
      <c r="A66" s="10" t="inlineStr">
        <is>
          <t>주식 발행</t>
        </is>
      </c>
      <c r="D66" s="11" t="n">
        <v>0</v>
      </c>
      <c r="F66" s="11" t="n">
        <v>0.5115</v>
      </c>
      <c r="H66" s="11" t="n">
        <v>0.5115</v>
      </c>
      <c r="J66" s="11" t="n">
        <v>0</v>
      </c>
      <c r="L66" s="11" t="n">
        <v>0</v>
      </c>
      <c r="T66" s="11" t="n">
        <v>0</v>
      </c>
      <c r="U66" s="11" t="n">
        <v>0.5115</v>
      </c>
      <c r="V66" s="11" t="n">
        <v>0</v>
      </c>
    </row>
    <row r="67">
      <c r="A67" s="10" t="inlineStr">
        <is>
          <t>단기차입금 순증감</t>
        </is>
      </c>
      <c r="D67" s="11" t="n">
        <v>-0.0091</v>
      </c>
      <c r="F67" s="11" t="n">
        <v>0</v>
      </c>
      <c r="H67" s="11" t="n">
        <v>0</v>
      </c>
      <c r="J67" s="11" t="n">
        <v>8.178000000000001</v>
      </c>
      <c r="L67" s="11" t="n">
        <v>15.8193</v>
      </c>
      <c r="N67" s="11" t="n">
        <v>7</v>
      </c>
      <c r="P67" s="11" t="n">
        <v>-15.5</v>
      </c>
      <c r="R67" s="11" t="n">
        <v>7</v>
      </c>
      <c r="T67" s="11" t="n">
        <v>-0.0091</v>
      </c>
      <c r="U67" s="11" t="n">
        <v>0</v>
      </c>
      <c r="V67" s="11" t="n">
        <v>15.8193</v>
      </c>
      <c r="W67" s="11" t="n">
        <v>-15.5</v>
      </c>
    </row>
    <row r="68">
      <c r="A68" s="10" t="inlineStr">
        <is>
          <t>장기차입금 상환</t>
        </is>
      </c>
      <c r="D68" s="11" t="n">
        <v>-4.26</v>
      </c>
      <c r="F68" s="11" t="n">
        <v>-2.13</v>
      </c>
      <c r="H68" s="11" t="n">
        <v>-37.22</v>
      </c>
      <c r="J68" s="11" t="n">
        <v>-4.2516</v>
      </c>
      <c r="L68" s="11" t="n">
        <v>-7.7839</v>
      </c>
      <c r="N68" s="11" t="n">
        <v>-2.3607</v>
      </c>
      <c r="P68" s="11" t="n">
        <v>-5.9354</v>
      </c>
      <c r="R68" s="11" t="n">
        <v>-4.3756</v>
      </c>
      <c r="T68" s="11" t="n">
        <v>-4.26</v>
      </c>
      <c r="U68" s="11" t="n">
        <v>-37.22</v>
      </c>
      <c r="V68" s="11" t="n">
        <v>-7.7839</v>
      </c>
      <c r="W68" s="11" t="n">
        <v>-5.9354</v>
      </c>
    </row>
    <row r="69">
      <c r="A69" s="10" t="inlineStr">
        <is>
          <t>자기주식 취득</t>
        </is>
      </c>
      <c r="D69" s="11" t="n">
        <v>0</v>
      </c>
      <c r="H69" s="11" t="n">
        <v>-5.5549</v>
      </c>
      <c r="L69" s="11" t="n">
        <v>0</v>
      </c>
      <c r="N69" s="11" t="n">
        <v>0</v>
      </c>
      <c r="P69" s="11" t="n">
        <v>-1.3427</v>
      </c>
      <c r="R69" s="11" t="n">
        <v>-0.0005</v>
      </c>
      <c r="T69" s="11" t="n">
        <v>0</v>
      </c>
      <c r="U69" s="11" t="n">
        <v>-5.5549</v>
      </c>
      <c r="V69" s="11" t="n">
        <v>0</v>
      </c>
      <c r="W69" s="11" t="n">
        <v>-1.3427</v>
      </c>
    </row>
    <row r="70">
      <c r="A70" s="10" t="inlineStr">
        <is>
          <t>배당금 지급</t>
        </is>
      </c>
      <c r="D70" s="11" t="n">
        <v>-1</v>
      </c>
      <c r="F70" s="11" t="n">
        <v>-1</v>
      </c>
      <c r="H70" s="11" t="n">
        <v>-1</v>
      </c>
      <c r="J70" s="11" t="n">
        <v>-2.537</v>
      </c>
      <c r="L70" s="11" t="n">
        <v>-4.1379</v>
      </c>
      <c r="N70" s="11" t="n">
        <v>-1.6188</v>
      </c>
      <c r="P70" s="11" t="n">
        <v>-3.4194</v>
      </c>
      <c r="R70" s="11" t="n">
        <v>-2.4518</v>
      </c>
      <c r="T70" s="11" t="n">
        <v>-1</v>
      </c>
      <c r="U70" s="11" t="n">
        <v>-1</v>
      </c>
      <c r="V70" s="11" t="n">
        <v>-4.1379</v>
      </c>
      <c r="W70" s="11" t="n">
        <v>-3.4194</v>
      </c>
    </row>
    <row r="71">
      <c r="A71" s="10" t="inlineStr">
        <is>
          <t>기타</t>
        </is>
      </c>
      <c r="D71" s="11" t="n">
        <v>0.0037</v>
      </c>
      <c r="H71" s="11" t="n">
        <v>0.0053</v>
      </c>
      <c r="T71" s="11" t="n">
        <v>0.0037</v>
      </c>
      <c r="U71" s="11" t="n">
        <v>0.0053</v>
      </c>
    </row>
    <row r="72">
      <c r="A72" s="10" t="inlineStr">
        <is>
          <t>신주예약권 발행</t>
        </is>
      </c>
      <c r="F72" s="11" t="n">
        <v>0.0053</v>
      </c>
      <c r="H72" s="11" t="n">
        <v>0.0053</v>
      </c>
      <c r="J72" s="11" t="n">
        <v>0</v>
      </c>
      <c r="L72" s="11" t="n">
        <v>0</v>
      </c>
      <c r="U72" s="11" t="n">
        <v>0.0053</v>
      </c>
      <c r="V72" s="11" t="n">
        <v>0</v>
      </c>
    </row>
    <row r="73">
      <c r="A73" s="10" t="inlineStr">
        <is>
          <t>신주예약권 행사 자기주식 처분</t>
        </is>
      </c>
      <c r="H73" s="11" t="n">
        <v>0</v>
      </c>
      <c r="L73" s="11" t="n">
        <v>1.1533</v>
      </c>
      <c r="P73" s="11" t="n">
        <v>0.5914</v>
      </c>
      <c r="U73" s="11" t="n">
        <v>0</v>
      </c>
      <c r="V73" s="11" t="n">
        <v>1.1533</v>
      </c>
      <c r="W73" s="11" t="n">
        <v>0.5914</v>
      </c>
    </row>
    <row r="74">
      <c r="A74" s="10" t="inlineStr">
        <is>
          <t>신주예약권 행사 자기주식 처분</t>
        </is>
      </c>
      <c r="F74" s="11" t="n">
        <v>0</v>
      </c>
      <c r="J74" s="11" t="n">
        <v>0.7518</v>
      </c>
      <c r="N74" s="11" t="n">
        <v>0.5816</v>
      </c>
      <c r="R74" s="11" t="n">
        <v>0</v>
      </c>
    </row>
    <row r="75">
      <c r="A75" s="10" t="inlineStr">
        <is>
          <t>신주예약권 행사에 따른 주식 발행</t>
        </is>
      </c>
      <c r="D75" s="11" t="n">
        <v>0</v>
      </c>
      <c r="H75" s="11" t="n">
        <v>0.5168</v>
      </c>
      <c r="J75" s="11" t="n">
        <v>0</v>
      </c>
      <c r="L75" s="11" t="n">
        <v>0</v>
      </c>
      <c r="N75" s="11" t="n">
        <v>0.7301</v>
      </c>
      <c r="P75" s="11" t="n">
        <v>1.0242</v>
      </c>
      <c r="R75" s="11" t="n">
        <v>0.7467</v>
      </c>
      <c r="T75" s="11" t="n">
        <v>0</v>
      </c>
      <c r="U75" s="11" t="n">
        <v>0.5168</v>
      </c>
      <c r="V75" s="11" t="n">
        <v>0</v>
      </c>
      <c r="W75" s="11" t="n">
        <v>1.0242</v>
      </c>
    </row>
    <row r="76">
      <c r="A76" s="10" t="inlineStr">
        <is>
          <t>리스부채 상환</t>
        </is>
      </c>
      <c r="D76" s="11" t="n">
        <v>-0.0353</v>
      </c>
      <c r="F76" s="11" t="n">
        <v>-0.0176</v>
      </c>
      <c r="H76" s="11" t="n">
        <v>-0.0353</v>
      </c>
      <c r="J76" s="11" t="n">
        <v>-0.0005999999999999999</v>
      </c>
      <c r="L76" s="11" t="n">
        <v>-0.0005999999999999999</v>
      </c>
      <c r="N76" s="11" t="n">
        <v>0</v>
      </c>
      <c r="P76" s="11" t="n">
        <v>0</v>
      </c>
      <c r="T76" s="11" t="n">
        <v>-0.0353</v>
      </c>
      <c r="U76" s="11" t="n">
        <v>-0.0353</v>
      </c>
      <c r="V76" s="11" t="n">
        <v>-0.0005999999999999999</v>
      </c>
      <c r="W76" s="11" t="n">
        <v>0</v>
      </c>
    </row>
    <row r="77">
      <c r="A77" s="10" t="inlineStr">
        <is>
          <t>재무활동 현금흐름</t>
        </is>
      </c>
      <c r="D77" s="11" t="n">
        <v>-5.3006</v>
      </c>
      <c r="F77" s="11" t="n">
        <v>-2.6309</v>
      </c>
      <c r="H77" s="11" t="n">
        <v>-9.8767</v>
      </c>
      <c r="J77" s="11" t="n">
        <v>2.1406</v>
      </c>
      <c r="L77" s="11" t="n">
        <v>5.0502</v>
      </c>
      <c r="N77" s="11" t="n">
        <v>4.3321</v>
      </c>
      <c r="P77" s="11" t="n">
        <v>-5.5819</v>
      </c>
      <c r="R77" s="11" t="n">
        <v>8.918799999999999</v>
      </c>
      <c r="T77" s="11" t="n">
        <v>-5.3006</v>
      </c>
      <c r="U77" s="11" t="n">
        <v>-9.8767</v>
      </c>
      <c r="V77" s="11" t="n">
        <v>5.0502</v>
      </c>
      <c r="W77" s="11" t="n">
        <v>-5.5819</v>
      </c>
    </row>
    <row r="78">
      <c r="A78" s="10" t="inlineStr">
        <is>
          <t>현금성자산 환산차이</t>
        </is>
      </c>
      <c r="D78" s="11" t="n">
        <v>0.0058</v>
      </c>
      <c r="F78" s="11" t="n">
        <v>0.0028</v>
      </c>
      <c r="H78" s="11" t="n">
        <v>0.004</v>
      </c>
      <c r="J78" s="11" t="n">
        <v>0.004</v>
      </c>
      <c r="L78" s="11" t="n">
        <v>-0.0003</v>
      </c>
      <c r="N78" s="11" t="n">
        <v>-0.0142</v>
      </c>
      <c r="P78" s="11" t="n">
        <v>0.0059</v>
      </c>
      <c r="R78" s="11" t="n">
        <v>-0.0371</v>
      </c>
      <c r="T78" s="11" t="n">
        <v>0.0058</v>
      </c>
      <c r="U78" s="11" t="n">
        <v>0.004</v>
      </c>
      <c r="V78" s="11" t="n">
        <v>-0.0003</v>
      </c>
      <c r="W78" s="11" t="n">
        <v>0.0059</v>
      </c>
    </row>
    <row r="79">
      <c r="A79" s="10" t="inlineStr">
        <is>
          <t>현금성자산 증감</t>
        </is>
      </c>
      <c r="D79" s="11" t="n">
        <v>3.9675</v>
      </c>
      <c r="F79" s="11" t="n">
        <v>-0.1057</v>
      </c>
      <c r="H79" s="11" t="n">
        <v>-1.8782</v>
      </c>
      <c r="J79" s="11" t="n">
        <v>14.2354</v>
      </c>
      <c r="L79" s="11" t="n">
        <v>10.276</v>
      </c>
      <c r="N79" s="11" t="n">
        <v>10.5973</v>
      </c>
      <c r="P79" s="11" t="n">
        <v>1.5395</v>
      </c>
      <c r="R79" s="11" t="n">
        <v>14.0762</v>
      </c>
      <c r="T79" s="11" t="n">
        <v>3.9675</v>
      </c>
      <c r="U79" s="11" t="n">
        <v>-1.8782</v>
      </c>
      <c r="V79" s="11" t="n">
        <v>10.276</v>
      </c>
      <c r="W79" s="11" t="n">
        <v>1.5395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40" customWidth="1" min="24" max="24"/>
  </cols>
  <sheetData>
    <row r="1">
      <c r="A1" s="1" t="inlineStr">
        <is>
          <t>JRC 부문</t>
        </is>
      </c>
    </row>
    <row r="2">
      <c r="A2" s="2" t="inlineStr">
        <is>
          <t>결산기 기준(27.2Q = 2027년 결산기 2분기) · 2월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22.4Q</t>
        </is>
      </c>
      <c r="D3" s="4" t="inlineStr">
        <is>
          <t>23.4Q</t>
        </is>
      </c>
      <c r="E3" s="4" t="inlineStr">
        <is>
          <t>24.1Q</t>
        </is>
      </c>
      <c r="F3" s="4" t="inlineStr">
        <is>
          <t>24.2Q</t>
        </is>
      </c>
      <c r="G3" s="4" t="inlineStr">
        <is>
          <t>24.3Q</t>
        </is>
      </c>
      <c r="H3" s="4" t="inlineStr">
        <is>
          <t>24.4Q</t>
        </is>
      </c>
      <c r="I3" s="4" t="inlineStr">
        <is>
          <t>25.1Q</t>
        </is>
      </c>
      <c r="J3" s="4" t="inlineStr">
        <is>
          <t>25.2Q</t>
        </is>
      </c>
      <c r="K3" s="4" t="inlineStr">
        <is>
          <t>25.3Q</t>
        </is>
      </c>
      <c r="L3" s="4" t="inlineStr">
        <is>
          <t>25.4Q</t>
        </is>
      </c>
      <c r="M3" s="4" t="inlineStr">
        <is>
          <t>26.1Q</t>
        </is>
      </c>
      <c r="N3" s="4" t="inlineStr">
        <is>
          <t>26.2Q</t>
        </is>
      </c>
      <c r="O3" s="4" t="inlineStr">
        <is>
          <t>26.3Q</t>
        </is>
      </c>
      <c r="P3" s="4" t="inlineStr">
        <is>
          <t>26.4Q</t>
        </is>
      </c>
      <c r="Q3" s="4" t="inlineStr">
        <is>
          <t>27.1Q</t>
        </is>
      </c>
      <c r="R3" s="4" t="inlineStr">
        <is>
          <t>27.2Q</t>
        </is>
      </c>
      <c r="S3" s="4" t="inlineStr">
        <is>
          <t>FY22</t>
        </is>
      </c>
      <c r="T3" s="4" t="inlineStr">
        <is>
          <t>FY23</t>
        </is>
      </c>
      <c r="U3" s="4" t="inlineStr">
        <is>
          <t>FY24</t>
        </is>
      </c>
      <c r="V3" s="4" t="inlineStr">
        <is>
          <t>FY25</t>
        </is>
      </c>
      <c r="W3" s="4" t="inlineStr">
        <is>
          <t>FY26</t>
        </is>
      </c>
      <c r="X3" s="4" t="inlineStr">
        <is>
          <t>출처</t>
        </is>
      </c>
    </row>
    <row r="4">
      <c r="A4" s="10" t="inlineStr">
        <is>
          <t>TotalOfReportableSegmentsAndOthersMember · 외부 고객 매출</t>
        </is>
      </c>
      <c r="G4" s="11" t="n">
        <v>25.7476</v>
      </c>
      <c r="H4" s="11" t="n">
        <v>25.0821</v>
      </c>
      <c r="I4" s="11" t="n">
        <v>23.5573</v>
      </c>
      <c r="J4" s="11" t="n">
        <v>25.9333</v>
      </c>
      <c r="K4" s="11" t="n">
        <v>29.6898</v>
      </c>
      <c r="L4" s="11" t="n">
        <v>31.4653</v>
      </c>
      <c r="M4" s="11" t="n">
        <v>33.9475</v>
      </c>
      <c r="N4" s="11" t="n">
        <v>29.3138</v>
      </c>
      <c r="O4" s="11" t="n">
        <v>33.8359</v>
      </c>
      <c r="P4" s="11" t="n">
        <v>40.3716</v>
      </c>
      <c r="Q4" s="11" t="n">
        <v>35.3883</v>
      </c>
      <c r="R4" s="11" t="n">
        <v>32.4332</v>
      </c>
      <c r="U4" s="11" t="n">
        <v>94.7329</v>
      </c>
      <c r="V4" s="11" t="n">
        <v>110.6457</v>
      </c>
      <c r="W4" s="11" t="n">
        <v>137.4689</v>
      </c>
      <c r="X4" s="7" t="inlineStr">
        <is>
          <t>결산단신 XBRL(거래소 공시, TDnet·JPX 보관소). 쓴 문서: 2026-10-15, 2026-07-15, 2026-04-14, 2026-01-14 외 9건 — '출처' 시트에 전부</t>
        </is>
      </c>
    </row>
    <row r="5">
      <c r="A5" s="10" t="inlineStr">
        <is>
          <t>ReconcilingItemsMember · 외부 고객 매출</t>
        </is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U5" s="11" t="n">
        <v>0</v>
      </c>
      <c r="V5" s="11" t="n">
        <v>0</v>
      </c>
      <c r="W5" s="11" t="n">
        <v>0</v>
      </c>
    </row>
    <row r="6">
      <c r="A6" s="10" t="inlineStr">
        <is>
          <t>EntityTotalMember · 외부 고객 매출</t>
        </is>
      </c>
      <c r="M6" s="11" t="n">
        <v>33.9475</v>
      </c>
      <c r="Q6" s="11" t="n">
        <v>35.3883</v>
      </c>
    </row>
    <row r="7">
      <c r="A7" s="10" t="inlineStr">
        <is>
          <t>ConveyorBusinessReportableSegmentMember · 부문 간 내부매출·대체</t>
        </is>
      </c>
      <c r="I7" s="11" t="n">
        <v>0.2772</v>
      </c>
      <c r="M7" s="11" t="n">
        <v>0.0418</v>
      </c>
      <c r="Q7" s="11" t="n">
        <v>0.0446</v>
      </c>
    </row>
    <row r="8">
      <c r="A8" s="10" t="inlineStr">
        <is>
          <t>EnvironmentalPlantsReportableSegmentMember · 부문 간 내부매출·대체</t>
        </is>
      </c>
      <c r="I8" s="11" t="n">
        <v>0.027</v>
      </c>
      <c r="M8" s="11" t="n">
        <v>0.256</v>
      </c>
    </row>
    <row r="9">
      <c r="A9" s="10" t="inlineStr">
        <is>
          <t>EnvironmentalEnergyBusinessReportableSegmentMember · 부문 간 내부매출·대체</t>
        </is>
      </c>
      <c r="M9" s="11" t="n">
        <v>0.2699</v>
      </c>
      <c r="Q9" s="11" t="n">
        <v>0.1543</v>
      </c>
    </row>
    <row r="10">
      <c r="A10" s="10" t="inlineStr">
        <is>
          <t>RobotSIBusinessReportableSegmentMember · 부문 간 내부매출·대체</t>
        </is>
      </c>
      <c r="I10" s="11" t="n">
        <v>0.0225</v>
      </c>
      <c r="M10" s="11" t="n">
        <v>0</v>
      </c>
      <c r="Q10" s="11" t="n">
        <v>0</v>
      </c>
    </row>
    <row r="11">
      <c r="A11" s="5" t="inlineStr">
        <is>
          <t>외부 고객 매출</t>
        </is>
      </c>
      <c r="G11" s="6" t="n">
        <v>25.7476</v>
      </c>
      <c r="H11" s="6" t="n">
        <v>25.0821</v>
      </c>
      <c r="I11" s="6" t="n">
        <v>23.5573</v>
      </c>
      <c r="J11" s="6" t="n">
        <v>25.9333</v>
      </c>
      <c r="K11" s="6" t="n">
        <v>29.6898</v>
      </c>
      <c r="L11" s="6" t="n">
        <v>31.4653</v>
      </c>
      <c r="M11" s="6" t="n">
        <v>33.9475</v>
      </c>
      <c r="N11" s="6" t="n">
        <v>29.3138</v>
      </c>
      <c r="O11" s="6" t="n">
        <v>33.8359</v>
      </c>
      <c r="P11" s="6" t="n">
        <v>40.3716</v>
      </c>
      <c r="U11" s="6" t="n">
        <v>94.7329</v>
      </c>
      <c r="V11" s="6" t="n">
        <v>110.6457</v>
      </c>
      <c r="W11" s="6" t="n">
        <v>137.4689</v>
      </c>
    </row>
    <row r="12">
      <c r="A12" s="10" t="inlineStr">
        <is>
          <t>ConveyorBusinessReportableSegmentMember · 부문 간 내부매출·대체</t>
        </is>
      </c>
      <c r="U12" s="11" t="n">
        <v>0.1624</v>
      </c>
      <c r="V12" s="11" t="n">
        <v>0.5574</v>
      </c>
      <c r="W12" s="11" t="n">
        <v>0.3022</v>
      </c>
    </row>
    <row r="13">
      <c r="A13" s="10" t="inlineStr">
        <is>
          <t>EnvironmentalPlantsReportableSegmentMember · 부문 간 내부매출·대체</t>
        </is>
      </c>
      <c r="U13" s="11" t="n">
        <v>0.1898</v>
      </c>
      <c r="V13" s="11" t="n">
        <v>0.027</v>
      </c>
      <c r="W13" s="11" t="n">
        <v>0.4296</v>
      </c>
    </row>
    <row r="14">
      <c r="A14" s="10" t="inlineStr">
        <is>
          <t>RobotSIBusinessReportableSegmentMember · 부문 간 내부매출·대체</t>
        </is>
      </c>
      <c r="U14" s="11" t="n">
        <v>0.2783</v>
      </c>
      <c r="V14" s="11" t="n">
        <v>0.0225</v>
      </c>
      <c r="W14" s="11" t="n">
        <v>0</v>
      </c>
    </row>
    <row r="15">
      <c r="A15" s="10" t="inlineStr">
        <is>
          <t>TotalOfReportableSegmentsAndOthersMember · 부문 간 내부매출·대체</t>
        </is>
      </c>
      <c r="G15" s="11" t="n">
        <v>0.02</v>
      </c>
      <c r="H15" s="11" t="n">
        <v>0.5202</v>
      </c>
      <c r="I15" s="11" t="n">
        <v>0.3268</v>
      </c>
      <c r="J15" s="11" t="n">
        <v>0.1263</v>
      </c>
      <c r="K15" s="11" t="n">
        <v>0.1067</v>
      </c>
      <c r="L15" s="11" t="n">
        <v>0.0471</v>
      </c>
      <c r="M15" s="11" t="n">
        <v>0.3117</v>
      </c>
      <c r="N15" s="11" t="n">
        <v>0.2106</v>
      </c>
      <c r="O15" s="11" t="n">
        <v>0.0574</v>
      </c>
      <c r="P15" s="11" t="n">
        <v>0.1521</v>
      </c>
      <c r="Q15" s="11" t="n">
        <v>0.1989</v>
      </c>
      <c r="R15" s="11" t="n">
        <v>0.1553</v>
      </c>
      <c r="U15" s="11" t="n">
        <v>0.6304999999999999</v>
      </c>
      <c r="V15" s="11" t="n">
        <v>0.6069</v>
      </c>
      <c r="W15" s="11" t="n">
        <v>0.7319</v>
      </c>
    </row>
    <row r="16">
      <c r="A16" s="10" t="inlineStr">
        <is>
          <t>ReconcilingItemsMember · 부문 간 내부매출·대체</t>
        </is>
      </c>
      <c r="G16" s="11" t="n">
        <v>-0.02</v>
      </c>
      <c r="H16" s="11" t="n">
        <v>-0.5202</v>
      </c>
      <c r="I16" s="11" t="n">
        <v>-0.3268</v>
      </c>
      <c r="J16" s="11" t="n">
        <v>-0.1263</v>
      </c>
      <c r="K16" s="11" t="n">
        <v>-0.1067</v>
      </c>
      <c r="L16" s="11" t="n">
        <v>-0.0471</v>
      </c>
      <c r="M16" s="11" t="n">
        <v>-0.3117</v>
      </c>
      <c r="N16" s="11" t="n">
        <v>-0.2106</v>
      </c>
      <c r="O16" s="11" t="n">
        <v>-0.0574</v>
      </c>
      <c r="P16" s="11" t="n">
        <v>-0.1521</v>
      </c>
      <c r="Q16" s="11" t="n">
        <v>-0.1989</v>
      </c>
      <c r="R16" s="11" t="n">
        <v>-0.1553</v>
      </c>
      <c r="U16" s="11" t="n">
        <v>-0.6304999999999999</v>
      </c>
      <c r="V16" s="11" t="n">
        <v>-0.6069</v>
      </c>
      <c r="W16" s="11" t="n">
        <v>-0.7319</v>
      </c>
    </row>
    <row r="17">
      <c r="A17" s="10" t="inlineStr">
        <is>
          <t>EntityTotalMember · 부문 간 내부매출·대체</t>
        </is>
      </c>
      <c r="M17" s="11" t="n">
        <v>0</v>
      </c>
      <c r="Q17" s="11" t="n">
        <v>0</v>
      </c>
    </row>
    <row r="18">
      <c r="A18" s="10" t="inlineStr">
        <is>
          <t>ConveyorBusinessReportableSegmentMember · 계</t>
        </is>
      </c>
      <c r="I18" s="11" t="n">
        <v>19.5008</v>
      </c>
      <c r="M18" s="11" t="n">
        <v>18.8076</v>
      </c>
      <c r="Q18" s="11" t="n">
        <v>19.3998</v>
      </c>
    </row>
    <row r="19">
      <c r="A19" s="10" t="inlineStr">
        <is>
          <t>EnvironmentalPlantsReportableSegmentMember · 계</t>
        </is>
      </c>
      <c r="I19" s="11" t="n">
        <v>4.0511</v>
      </c>
      <c r="M19" s="11" t="n">
        <v>4.9404</v>
      </c>
    </row>
    <row r="20">
      <c r="A20" s="10" t="inlineStr">
        <is>
          <t>EnvironmentalEnergyBusinessReportableSegmentMember · 계</t>
        </is>
      </c>
      <c r="M20" s="11" t="n">
        <v>11.7833</v>
      </c>
      <c r="Q20" s="11" t="n">
        <v>11.8843</v>
      </c>
    </row>
    <row r="21">
      <c r="A21" s="10" t="inlineStr">
        <is>
          <t>RobotSIBusinessReportableSegmentMember · 계</t>
        </is>
      </c>
      <c r="I21" s="11" t="n">
        <v>0.3322</v>
      </c>
      <c r="M21" s="11" t="n">
        <v>3.6683</v>
      </c>
      <c r="Q21" s="11" t="n">
        <v>4.303</v>
      </c>
    </row>
    <row r="22">
      <c r="A22" s="10" t="inlineStr">
        <is>
          <t>부문 간 내부매출·대체</t>
        </is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>
        <v>0</v>
      </c>
      <c r="U22" s="11" t="n">
        <v>0</v>
      </c>
      <c r="V22" s="11" t="n">
        <v>0</v>
      </c>
      <c r="W22" s="11" t="n">
        <v>0</v>
      </c>
    </row>
    <row r="23">
      <c r="A23" s="10" t="inlineStr">
        <is>
          <t>ConveyorBusinessReportableSegmentMember · 계</t>
        </is>
      </c>
      <c r="U23" s="11" t="n">
        <v>72.49339999999999</v>
      </c>
      <c r="V23" s="11" t="n">
        <v>79.72969999999999</v>
      </c>
      <c r="W23" s="11" t="n">
        <v>102.1621</v>
      </c>
    </row>
    <row r="24">
      <c r="A24" s="10" t="inlineStr">
        <is>
          <t>EnvironmentalPlantsReportableSegmentMember · 계</t>
        </is>
      </c>
      <c r="U24" s="11" t="n">
        <v>15.423</v>
      </c>
      <c r="V24" s="11" t="n">
        <v>21.5274</v>
      </c>
      <c r="W24" s="11" t="n">
        <v>21.8404</v>
      </c>
    </row>
    <row r="25">
      <c r="A25" s="10" t="inlineStr">
        <is>
          <t>RobotSIBusinessReportableSegmentMember · 계</t>
        </is>
      </c>
      <c r="U25" s="11" t="n">
        <v>7.4471</v>
      </c>
      <c r="V25" s="11" t="n">
        <v>9.9955</v>
      </c>
      <c r="W25" s="11" t="n">
        <v>14.1982</v>
      </c>
    </row>
    <row r="26">
      <c r="A26" s="10" t="inlineStr">
        <is>
          <t>TotalOfReportableSegmentsAndOthersMember · 계</t>
        </is>
      </c>
      <c r="G26" s="11" t="n">
        <v>25.7676</v>
      </c>
      <c r="H26" s="11" t="n">
        <v>25.6023</v>
      </c>
      <c r="I26" s="11" t="n">
        <v>23.8841</v>
      </c>
      <c r="J26" s="11" t="n">
        <v>26.0596</v>
      </c>
      <c r="K26" s="11" t="n">
        <v>29.7965</v>
      </c>
      <c r="L26" s="11" t="n">
        <v>31.5124</v>
      </c>
      <c r="M26" s="11" t="n">
        <v>34.2591</v>
      </c>
      <c r="N26" s="11" t="n">
        <v>29.5244</v>
      </c>
      <c r="O26" s="11" t="n">
        <v>33.8934</v>
      </c>
      <c r="P26" s="11" t="n">
        <v>40.5237</v>
      </c>
      <c r="Q26" s="11" t="n">
        <v>35.5872</v>
      </c>
      <c r="R26" s="11" t="n">
        <v>32.5885</v>
      </c>
      <c r="U26" s="11" t="n">
        <v>95.3634</v>
      </c>
      <c r="V26" s="11" t="n">
        <v>111.2526</v>
      </c>
      <c r="W26" s="11" t="n">
        <v>138.2007</v>
      </c>
    </row>
    <row r="27">
      <c r="A27" s="10" t="inlineStr">
        <is>
          <t>ReconcilingItemsMember · 계</t>
        </is>
      </c>
      <c r="G27" s="11" t="n">
        <v>-0.02</v>
      </c>
      <c r="H27" s="11" t="n">
        <v>-0.5202</v>
      </c>
      <c r="I27" s="11" t="n">
        <v>-0.3268</v>
      </c>
      <c r="J27" s="11" t="n">
        <v>-0.1263</v>
      </c>
      <c r="K27" s="11" t="n">
        <v>-0.1067</v>
      </c>
      <c r="L27" s="11" t="n">
        <v>-0.0471</v>
      </c>
      <c r="M27" s="11" t="n">
        <v>-0.3117</v>
      </c>
      <c r="N27" s="11" t="n">
        <v>-0.2106</v>
      </c>
      <c r="O27" s="11" t="n">
        <v>-0.0574</v>
      </c>
      <c r="P27" s="11" t="n">
        <v>-0.1521</v>
      </c>
      <c r="Q27" s="11" t="n">
        <v>-0.1989</v>
      </c>
      <c r="R27" s="11" t="n">
        <v>-0.1553</v>
      </c>
      <c r="U27" s="11" t="n">
        <v>-0.6304999999999999</v>
      </c>
      <c r="V27" s="11" t="n">
        <v>-0.6069</v>
      </c>
      <c r="W27" s="11" t="n">
        <v>-0.7319</v>
      </c>
    </row>
    <row r="28">
      <c r="A28" s="10" t="inlineStr">
        <is>
          <t>EntityTotalMember · 계</t>
        </is>
      </c>
      <c r="M28" s="11" t="n">
        <v>33.9475</v>
      </c>
      <c r="Q28" s="11" t="n">
        <v>35.3883</v>
      </c>
    </row>
    <row r="29">
      <c r="A29" s="10" t="inlineStr">
        <is>
          <t>ConveyorBusinessReportableSegmentMember · 부문 이익</t>
        </is>
      </c>
      <c r="I29" s="11" t="n">
        <v>4.1707</v>
      </c>
      <c r="M29" s="11" t="n">
        <v>4.6359</v>
      </c>
      <c r="Q29" s="11" t="n">
        <v>4.5199</v>
      </c>
    </row>
    <row r="30">
      <c r="A30" s="10" t="inlineStr">
        <is>
          <t>EnvironmentalPlantsReportableSegmentMember · 부문 이익(손실)</t>
        </is>
      </c>
      <c r="I30" s="11" t="n">
        <v>0.986</v>
      </c>
      <c r="M30" s="11" t="n">
        <v>0.7304</v>
      </c>
    </row>
    <row r="31">
      <c r="A31" s="10" t="inlineStr">
        <is>
          <t>EnvironmentalEnergyBusinessReportableSegmentMember · 부문 이익</t>
        </is>
      </c>
      <c r="M31" s="11" t="n">
        <v>4.2278</v>
      </c>
      <c r="Q31" s="11" t="n">
        <v>1.878</v>
      </c>
    </row>
    <row r="32">
      <c r="A32" s="10" t="inlineStr">
        <is>
          <t>RobotSIBusinessReportableSegmentMember · 부문 이익</t>
        </is>
      </c>
      <c r="I32" s="11" t="n">
        <v>-0.4162</v>
      </c>
      <c r="M32" s="11" t="n">
        <v>0.4358</v>
      </c>
      <c r="Q32" s="11" t="n">
        <v>0.5159</v>
      </c>
    </row>
    <row r="33">
      <c r="A33" s="5" t="inlineStr">
        <is>
          <t>계</t>
        </is>
      </c>
      <c r="G33" s="6" t="n">
        <v>25.7476</v>
      </c>
      <c r="H33" s="6" t="n">
        <v>25.0821</v>
      </c>
      <c r="I33" s="6" t="n">
        <v>23.5573</v>
      </c>
      <c r="J33" s="6" t="n">
        <v>25.9333</v>
      </c>
      <c r="K33" s="6" t="n">
        <v>29.6898</v>
      </c>
      <c r="L33" s="6" t="n">
        <v>31.4653</v>
      </c>
      <c r="M33" s="6" t="n">
        <v>33.9475</v>
      </c>
      <c r="N33" s="6" t="n">
        <v>29.3138</v>
      </c>
      <c r="O33" s="6" t="n">
        <v>33.8359</v>
      </c>
      <c r="P33" s="6" t="n">
        <v>40.3716</v>
      </c>
      <c r="U33" s="6" t="n">
        <v>94.7329</v>
      </c>
      <c r="V33" s="6" t="n">
        <v>110.6457</v>
      </c>
      <c r="W33" s="6" t="n">
        <v>137.4689</v>
      </c>
    </row>
    <row r="34">
      <c r="A34" s="10" t="inlineStr">
        <is>
          <t>ConveyorBusinessReportableSegmentMember · 부문 이익</t>
        </is>
      </c>
      <c r="U34" s="11" t="n">
        <v>16.6995</v>
      </c>
      <c r="V34" s="11" t="n">
        <v>16.9755</v>
      </c>
      <c r="W34" s="11" t="n">
        <v>25.7703</v>
      </c>
    </row>
    <row r="35">
      <c r="A35" s="10" t="inlineStr">
        <is>
          <t>EnvironmentalPlantsReportableSegmentMember · 부문 이익</t>
        </is>
      </c>
      <c r="U35" s="11" t="n">
        <v>2.5806</v>
      </c>
      <c r="V35" s="11" t="n">
        <v>4.5186</v>
      </c>
      <c r="W35" s="11" t="n">
        <v>1.9592</v>
      </c>
    </row>
    <row r="36">
      <c r="A36" s="10" t="inlineStr">
        <is>
          <t>RobotSIBusinessReportableSegmentMember · 부문 이익</t>
        </is>
      </c>
      <c r="U36" s="11" t="n">
        <v>0.0536</v>
      </c>
      <c r="V36" s="11" t="n">
        <v>0.2563</v>
      </c>
      <c r="W36" s="11" t="n">
        <v>0.7861</v>
      </c>
    </row>
    <row r="37">
      <c r="A37" s="10" t="inlineStr">
        <is>
          <t>TotalOfReportableSegmentsAndOthersMember · 부문 이익</t>
        </is>
      </c>
      <c r="G37" s="11" t="n">
        <v>4.1227</v>
      </c>
      <c r="H37" s="11" t="n">
        <v>10.1616</v>
      </c>
      <c r="I37" s="11" t="n">
        <v>4.7405</v>
      </c>
      <c r="J37" s="11" t="n">
        <v>5.606</v>
      </c>
      <c r="K37" s="11" t="n">
        <v>5.8369</v>
      </c>
      <c r="L37" s="11" t="n">
        <v>5.5671</v>
      </c>
      <c r="M37" s="11" t="n">
        <v>9.2995</v>
      </c>
      <c r="N37" s="11" t="n">
        <v>4.1166</v>
      </c>
      <c r="O37" s="11" t="n">
        <v>6.2052</v>
      </c>
      <c r="P37" s="11" t="n">
        <v>8.894299999999999</v>
      </c>
      <c r="Q37" s="11" t="n">
        <v>6.9139</v>
      </c>
      <c r="R37" s="11" t="n">
        <v>7.9271</v>
      </c>
      <c r="U37" s="11" t="n">
        <v>19.3337</v>
      </c>
      <c r="V37" s="11" t="n">
        <v>21.7505</v>
      </c>
      <c r="W37" s="11" t="n">
        <v>28.5156</v>
      </c>
    </row>
    <row r="38">
      <c r="A38" s="10" t="inlineStr">
        <is>
          <t>ReconcilingItemsMember · 부문 이익</t>
        </is>
      </c>
      <c r="G38" s="11" t="n">
        <v>0</v>
      </c>
      <c r="H38" s="11" t="n">
        <v>-6.5551</v>
      </c>
      <c r="I38" s="11" t="n">
        <v>-2.1975</v>
      </c>
      <c r="J38" s="11" t="n">
        <v>-1.637</v>
      </c>
      <c r="K38" s="11" t="n">
        <v>-2.2348</v>
      </c>
      <c r="L38" s="11" t="n">
        <v>-1.9242</v>
      </c>
      <c r="M38" s="11" t="n">
        <v>-2.3192</v>
      </c>
      <c r="N38" s="11" t="n">
        <v>-2.0549</v>
      </c>
      <c r="O38" s="11" t="n">
        <v>-2.1205</v>
      </c>
      <c r="P38" s="11" t="n">
        <v>-2.3804</v>
      </c>
      <c r="Q38" s="11" t="n">
        <v>-2.5142</v>
      </c>
      <c r="R38" s="11" t="n">
        <v>-2.2918</v>
      </c>
      <c r="U38" s="11" t="n">
        <v>-6.6248</v>
      </c>
      <c r="V38" s="11" t="n">
        <v>-7.9934</v>
      </c>
      <c r="W38" s="11" t="n">
        <v>-8.875</v>
      </c>
    </row>
    <row r="39">
      <c r="A39" s="10" t="inlineStr">
        <is>
          <t>EntityTotalMember · 부문 이익</t>
        </is>
      </c>
      <c r="M39" s="11" t="n">
        <v>6.9803</v>
      </c>
      <c r="Q39" s="11" t="n">
        <v>4.3997</v>
      </c>
    </row>
    <row r="40">
      <c r="A40" s="5" t="inlineStr">
        <is>
          <t>부문 이익</t>
        </is>
      </c>
      <c r="G40" s="6" t="n">
        <v>4.1227</v>
      </c>
      <c r="H40" s="6" t="n">
        <v>3.6065</v>
      </c>
      <c r="I40" s="6" t="n">
        <v>2.543</v>
      </c>
      <c r="J40" s="6" t="n">
        <v>3.969</v>
      </c>
      <c r="K40" s="6" t="n">
        <v>3.6021</v>
      </c>
      <c r="L40" s="6" t="n">
        <v>3.643</v>
      </c>
      <c r="M40" s="6" t="n">
        <v>7.0034</v>
      </c>
      <c r="N40" s="6" t="n">
        <v>2.0386</v>
      </c>
      <c r="O40" s="6" t="n">
        <v>4.0847</v>
      </c>
      <c r="P40" s="6" t="n">
        <v>6.5139</v>
      </c>
      <c r="U40" s="6" t="n">
        <v>12.7089</v>
      </c>
      <c r="V40" s="6" t="n">
        <v>13.7571</v>
      </c>
      <c r="W40" s="6" t="n">
        <v>19.6406</v>
      </c>
    </row>
    <row r="41">
      <c r="A41" s="10" t="inlineStr">
        <is>
          <t>ConveyorBusinessReportableSegmentMember · 감가상각비</t>
        </is>
      </c>
      <c r="U41" s="11" t="n">
        <v>1.8537</v>
      </c>
      <c r="V41" s="11" t="n">
        <v>1.9675</v>
      </c>
      <c r="W41" s="11" t="n">
        <v>2.9499</v>
      </c>
    </row>
    <row r="42">
      <c r="A42" s="10" t="inlineStr">
        <is>
          <t>EnvironmentalPlantsReportableSegmentMember · 감가상각비</t>
        </is>
      </c>
      <c r="U42" s="11" t="n">
        <v>0.1877</v>
      </c>
      <c r="V42" s="11" t="n">
        <v>0.2543</v>
      </c>
      <c r="W42" s="11" t="n">
        <v>0.4437</v>
      </c>
    </row>
    <row r="43">
      <c r="A43" s="10" t="inlineStr">
        <is>
          <t>RobotSIBusinessReportableSegmentMember · 감가상각비</t>
        </is>
      </c>
      <c r="U43" s="11" t="n">
        <v>0.0568</v>
      </c>
      <c r="V43" s="11" t="n">
        <v>0.1156</v>
      </c>
      <c r="W43" s="11" t="n">
        <v>0.1323</v>
      </c>
    </row>
    <row r="44">
      <c r="A44" s="10" t="inlineStr">
        <is>
          <t>TotalOfReportableSegmentsAndOthersMember · 감가상각비</t>
        </is>
      </c>
      <c r="U44" s="11" t="n">
        <v>2.0981</v>
      </c>
      <c r="V44" s="11" t="n">
        <v>2.3374</v>
      </c>
      <c r="W44" s="11" t="n">
        <v>3.526</v>
      </c>
    </row>
    <row r="45">
      <c r="A45" s="10" t="inlineStr">
        <is>
          <t>ReconcilingItemsMember · 감가상각비</t>
        </is>
      </c>
      <c r="U45" s="11" t="n">
        <v>0.2048</v>
      </c>
      <c r="V45" s="11" t="n">
        <v>0.2217</v>
      </c>
      <c r="W45" s="11" t="n">
        <v>0.3318</v>
      </c>
    </row>
    <row r="46">
      <c r="A46" s="10" t="inlineStr">
        <is>
          <t>감가상각비</t>
        </is>
      </c>
      <c r="U46" s="11" t="n">
        <v>2.3029</v>
      </c>
      <c r="V46" s="11" t="n">
        <v>2.5591</v>
      </c>
      <c r="W46" s="11" t="n">
        <v>3.8579</v>
      </c>
    </row>
    <row r="47">
      <c r="A47" s="10" t="inlineStr">
        <is>
          <t>ConveyorBusinessReportableSegmentMember · 영업권 상각</t>
        </is>
      </c>
      <c r="U47" s="11" t="n">
        <v>0</v>
      </c>
      <c r="V47" s="11" t="n">
        <v>0.0798</v>
      </c>
      <c r="W47" s="11" t="n">
        <v>0.3191</v>
      </c>
    </row>
    <row r="48">
      <c r="A48" s="10" t="inlineStr">
        <is>
          <t>EnvironmentalPlantsReportableSegmentMember · 영업권 상각</t>
        </is>
      </c>
      <c r="U48" s="11" t="n">
        <v>0</v>
      </c>
      <c r="V48" s="11" t="n">
        <v>0.06759999999999999</v>
      </c>
      <c r="W48" s="11" t="n">
        <v>0.2075</v>
      </c>
    </row>
    <row r="49">
      <c r="A49" s="10" t="inlineStr">
        <is>
          <t>RobotSIBusinessReportableSegmentMember · 영업권 상각</t>
        </is>
      </c>
      <c r="U49" s="11" t="n">
        <v>0.0164</v>
      </c>
      <c r="V49" s="11" t="n">
        <v>0.0164</v>
      </c>
      <c r="W49" s="11" t="n">
        <v>0.0164</v>
      </c>
    </row>
    <row r="50">
      <c r="A50" s="10" t="inlineStr">
        <is>
          <t>TotalOfReportableSegmentsAndOthersMember · 영업권 상각</t>
        </is>
      </c>
      <c r="U50" s="11" t="n">
        <v>0.0164</v>
      </c>
      <c r="V50" s="11" t="n">
        <v>0.1637</v>
      </c>
      <c r="W50" s="11" t="n">
        <v>0.543</v>
      </c>
    </row>
    <row r="51">
      <c r="A51" s="10" t="inlineStr">
        <is>
          <t>ReconcilingItemsMember · 영업권 상각</t>
        </is>
      </c>
      <c r="U51" s="11" t="n">
        <v>0</v>
      </c>
      <c r="V51" s="11" t="n">
        <v>0</v>
      </c>
      <c r="W51" s="11" t="n">
        <v>0</v>
      </c>
    </row>
    <row r="52">
      <c r="A52" s="10" t="inlineStr">
        <is>
          <t>영업권 상각</t>
        </is>
      </c>
      <c r="U52" s="11" t="n">
        <v>0.0164</v>
      </c>
      <c r="V52" s="11" t="n">
        <v>0.1637</v>
      </c>
      <c r="W52" s="11" t="n">
        <v>0.543</v>
      </c>
    </row>
    <row r="53">
      <c r="A53" s="10" t="inlineStr">
        <is>
          <t>ConveyorBusinessReportableSegmentMember · 유형·무형자산 증가액</t>
        </is>
      </c>
      <c r="U53" s="11" t="n">
        <v>1.886</v>
      </c>
      <c r="V53" s="11" t="n">
        <v>3.991</v>
      </c>
      <c r="W53" s="11" t="n">
        <v>2.3576</v>
      </c>
    </row>
    <row r="54">
      <c r="A54" s="10" t="inlineStr">
        <is>
          <t>EnvironmentalPlantsReportableSegmentMember · 유형·무형자산 증가액</t>
        </is>
      </c>
      <c r="U54" s="11" t="n">
        <v>0.006</v>
      </c>
      <c r="V54" s="11" t="n">
        <v>0.0746</v>
      </c>
      <c r="W54" s="11" t="n">
        <v>1.4246</v>
      </c>
    </row>
    <row r="55">
      <c r="A55" s="10" t="inlineStr">
        <is>
          <t>RobotSIBusinessReportableSegmentMember · 유형·무형자산 증가액</t>
        </is>
      </c>
      <c r="U55" s="11" t="n">
        <v>0.0282</v>
      </c>
      <c r="V55" s="11" t="n">
        <v>0</v>
      </c>
      <c r="W55" s="11" t="n">
        <v>0.03</v>
      </c>
    </row>
    <row r="56">
      <c r="A56" s="10" t="inlineStr">
        <is>
          <t>TotalOfReportableSegmentsAndOthersMember · 유형·무형자산 증가액</t>
        </is>
      </c>
      <c r="U56" s="11" t="n">
        <v>1.9201</v>
      </c>
      <c r="V56" s="11" t="n">
        <v>4.0656</v>
      </c>
      <c r="W56" s="11" t="n">
        <v>3.8122</v>
      </c>
    </row>
    <row r="57">
      <c r="A57" s="10" t="inlineStr">
        <is>
          <t>ReconcilingItemsMember · 유형·무형자산 증가액</t>
        </is>
      </c>
      <c r="U57" s="11" t="n">
        <v>0.2815</v>
      </c>
      <c r="V57" s="11" t="n">
        <v>0.1958</v>
      </c>
      <c r="W57" s="11" t="n">
        <v>0.6073</v>
      </c>
    </row>
    <row r="58">
      <c r="A58" s="10" t="inlineStr">
        <is>
          <t>유형·무형자산 증가액</t>
        </is>
      </c>
      <c r="U58" s="11" t="n">
        <v>2.2016</v>
      </c>
      <c r="V58" s="11" t="n">
        <v>4.2614</v>
      </c>
      <c r="W58" s="11" t="n">
        <v>4.4195</v>
      </c>
    </row>
    <row r="59">
      <c r="A59" s="10" t="inlineStr">
        <is>
          <t>ConveyorBusinessReportableSegmentMember · 외부 고객 매출</t>
        </is>
      </c>
      <c r="I59" s="11" t="n">
        <v>19.2235</v>
      </c>
      <c r="M59" s="11" t="n">
        <v>18.7658</v>
      </c>
      <c r="Q59" s="11" t="n">
        <v>19.3552</v>
      </c>
    </row>
    <row r="60">
      <c r="A60" s="10" t="inlineStr">
        <is>
          <t>EnvironmentalPlantsReportableSegmentMember · 외부 고객 매출</t>
        </is>
      </c>
      <c r="I60" s="11" t="n">
        <v>4.0241</v>
      </c>
      <c r="M60" s="11" t="n">
        <v>4.6844</v>
      </c>
    </row>
    <row r="61">
      <c r="A61" s="10" t="inlineStr">
        <is>
          <t>EnvironmentalEnergyBusinessReportableSegmentMember · 외부 고객 매출</t>
        </is>
      </c>
      <c r="M61" s="11" t="n">
        <v>11.5134</v>
      </c>
      <c r="Q61" s="11" t="n">
        <v>11.73</v>
      </c>
    </row>
    <row r="62">
      <c r="A62" s="10" t="inlineStr">
        <is>
          <t>RobotSIBusinessReportableSegmentMember · 외부 고객 매출</t>
        </is>
      </c>
      <c r="I62" s="11" t="n">
        <v>0.3097</v>
      </c>
      <c r="M62" s="11" t="n">
        <v>3.6683</v>
      </c>
      <c r="Q62" s="11" t="n">
        <v>4.303</v>
      </c>
    </row>
    <row r="63">
      <c r="A63" s="10" t="inlineStr">
        <is>
          <t>ConveyorBusinessReportableSegmentMember · 외부 고객 매출</t>
        </is>
      </c>
      <c r="U63" s="11" t="n">
        <v>72.331</v>
      </c>
      <c r="V63" s="11" t="n">
        <v>79.17230000000001</v>
      </c>
      <c r="W63" s="11" t="n">
        <v>101.8598</v>
      </c>
    </row>
    <row r="64">
      <c r="A64" s="10" t="inlineStr">
        <is>
          <t>EnvironmentalPlantsReportableSegmentMember · 외부 고객 매출</t>
        </is>
      </c>
      <c r="U64" s="11" t="n">
        <v>15.2332</v>
      </c>
      <c r="V64" s="11" t="n">
        <v>21.5004</v>
      </c>
      <c r="W64" s="11" t="n">
        <v>21.4108</v>
      </c>
    </row>
    <row r="65">
      <c r="A65" s="10" t="inlineStr">
        <is>
          <t>RobotSIBusinessReportableSegmentMember · 외부 고객 매출</t>
        </is>
      </c>
      <c r="U65" s="11" t="n">
        <v>7.1687</v>
      </c>
      <c r="V65" s="11" t="n">
        <v>9.973000000000001</v>
      </c>
      <c r="W65" s="11" t="n">
        <v>14.1982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2" t="inlineStr">
        <is>
          <t>공시일</t>
        </is>
      </c>
      <c r="B3" s="12" t="inlineStr">
        <is>
          <t>문서</t>
        </is>
      </c>
      <c r="C3" s="12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https://www2.jpx.co.jp/disc/62240/140120261014550149.pdf</t>
        </is>
      </c>
    </row>
    <row r="5">
      <c r="A5" t="inlineStr">
        <is>
          <t>2026-07-15</t>
        </is>
      </c>
      <c r="B5" t="inlineStr">
        <is>
          <t>2027년 2월 결산기 １분기 결산단신</t>
        </is>
      </c>
      <c r="C5" t="inlineStr">
        <is>
          <t>https://www2.jpx.co.jp/disc/62240/140120260715594254.pdf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https://www2.jpx.co.jp/disc/62240/140120260413503143.pdf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https://www2.jpx.co.jp/disc/62240/140120260113532987.pdf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https://www2.jpx.co.jp/disc/62240/140120251010571763.pdf</t>
        </is>
      </c>
    </row>
    <row r="9">
      <c r="A9" t="inlineStr">
        <is>
          <t>2025-07-15</t>
        </is>
      </c>
      <c r="B9" t="inlineStr">
        <is>
          <t>2026년 2월 결산기 １분기 결산단신</t>
        </is>
      </c>
      <c r="C9" t="inlineStr">
        <is>
          <t>https://www2.jpx.co.jp/disc/62240/140120250714514097.pdf</t>
        </is>
      </c>
    </row>
    <row r="10">
      <c r="A10" t="inlineStr">
        <is>
          <t>2025-04-14</t>
        </is>
      </c>
      <c r="B10" t="inlineStr">
        <is>
          <t>2025년 2월 결산기 연간 결산단신</t>
        </is>
      </c>
      <c r="C10" t="inlineStr">
        <is>
          <t>https://www2.jpx.co.jp/disc/62240/140120250414514702.pdf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https://www2.jpx.co.jp/disc/62240/140120250114549920.pdf</t>
        </is>
      </c>
    </row>
    <row r="12">
      <c r="A12" t="inlineStr">
        <is>
          <t>2024-10-11</t>
        </is>
      </c>
      <c r="B12" t="inlineStr">
        <is>
          <t>2025년 2월 결산기 ２분기 결산단신</t>
        </is>
      </c>
      <c r="C12" t="inlineStr">
        <is>
          <t>https://www2.jpx.co.jp/disc/62240/140120241009595879.pdf</t>
        </is>
      </c>
    </row>
    <row r="13">
      <c r="A13" t="inlineStr">
        <is>
          <t>2024-07-12</t>
        </is>
      </c>
      <c r="B13" t="inlineStr">
        <is>
          <t>2025년 2월 결산기 １분기 결산단신</t>
        </is>
      </c>
      <c r="C13" t="inlineStr">
        <is>
          <t>https://www2.jpx.co.jp/disc/62240/140120240710546620.pdf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https://www2.jpx.co.jp/disc/62240/140120240411569055.pdf</t>
        </is>
      </c>
    </row>
    <row r="15">
      <c r="A15" t="inlineStr">
        <is>
          <t>2024-01-12</t>
        </is>
      </c>
      <c r="B15" t="inlineStr">
        <is>
          <t>2024년 2월 결산기 ３분기 결산단신</t>
        </is>
      </c>
      <c r="C15" t="inlineStr">
        <is>
          <t>https://www2.jpx.co.jp/disc/62240/140120240112514275.pdf</t>
        </is>
      </c>
    </row>
    <row r="16">
      <c r="A16" t="inlineStr">
        <is>
          <t>2023-10-13</t>
        </is>
      </c>
      <c r="B16" t="inlineStr">
        <is>
          <t>2024년 2월 결산기 ２분기 결산단신</t>
        </is>
      </c>
      <c r="C16" t="inlineStr">
        <is>
          <t>https://www2.jpx.co.jp/disc/62240/140120231013566440.pdf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2026-10-25T06:59:14Z</dcterms:created>
  <dcterms:modified xmlns:dcterms="http://purl.org/dc/terms/" xmlns:xsi="http://www.w3.org/2001/XMLSchema-instance" xsi:type="dcterms:W3CDTF">2026-10-25T06:59:14Z</dcterms:modified>
</cp:coreProperties>
</file>