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8">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0000FF"/>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165" fontId="11" fillId="0" borderId="3" applyAlignment="1" pivotButton="0" quotePrefix="0" xfId="0">
      <alignment horizontal="center" vertical="center"/>
    </xf>
    <xf numFmtId="165" fontId="11"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2" fillId="0" borderId="3" applyAlignment="1" pivotButton="0" quotePrefix="0" xfId="0">
      <alignment horizontal="center" vertical="center"/>
    </xf>
    <xf numFmtId="164" fontId="12" fillId="0" borderId="0" applyAlignment="1" pivotButton="0" quotePrefix="0" xfId="0">
      <alignment horizontal="center" vertical="center"/>
    </xf>
    <xf numFmtId="0" fontId="0" fillId="0" borderId="3" pivotButton="0" quotePrefix="0" xfId="0"/>
    <xf numFmtId="0" fontId="13" fillId="0" borderId="0" applyAlignment="1" pivotButton="0" quotePrefix="0" xfId="0">
      <alignment horizontal="left"/>
    </xf>
    <xf numFmtId="0" fontId="3" fillId="0" borderId="0" applyAlignment="1" pivotButton="0" quotePrefix="0" xfId="0">
      <alignment horizontal="left"/>
    </xf>
    <xf numFmtId="0" fontId="15" fillId="3" borderId="0" applyAlignment="1" pivotButton="0" quotePrefix="0" xfId="0">
      <alignment horizontal="center" vertical="center"/>
    </xf>
    <xf numFmtId="0" fontId="6" fillId="0" borderId="0" applyAlignment="1" pivotButton="0" quotePrefix="0" xfId="0">
      <alignment horizontal="center" vertical="center"/>
    </xf>
    <xf numFmtId="0" fontId="14"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6" fillId="0" borderId="0" pivotButton="0" quotePrefix="0" xfId="0"/>
    <xf numFmtId="0" fontId="17"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199"/>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4502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직접 입력</t>
        </is>
      </c>
      <c r="C4" s="11" t="n">
        <v>1043089</v>
      </c>
      <c r="D4" s="12" t="n">
        <v>1111186</v>
      </c>
      <c r="E4" s="12" t="n">
        <v>1050869</v>
      </c>
      <c r="F4" s="12" t="n">
        <v>1207990</v>
      </c>
      <c r="G4" s="12" t="n">
        <v>1176038</v>
      </c>
      <c r="H4" s="12" t="n">
        <v>1144124</v>
      </c>
      <c r="I4" s="12" t="n">
        <v>1053399</v>
      </c>
      <c r="J4" s="12" t="n">
        <v>1106685</v>
      </c>
      <c r="K4" s="12" t="n">
        <v>1112796</v>
      </c>
      <c r="L4" s="12" t="n">
        <v>1191698</v>
      </c>
      <c r="M4" s="12" t="n">
        <v>1094541</v>
      </c>
      <c r="N4" s="12" t="n">
        <v>1219900</v>
      </c>
      <c r="O4" s="11" t="n"/>
      <c r="P4" s="12" t="n">
        <v>1770531</v>
      </c>
      <c r="Q4" s="12" t="n">
        <v>2097224</v>
      </c>
      <c r="R4" s="12" t="n">
        <v>3291188</v>
      </c>
      <c r="S4" s="12" t="n">
        <v>3197812</v>
      </c>
      <c r="T4" s="12" t="n">
        <v>3569006</v>
      </c>
      <c r="U4" s="12" t="n">
        <v>4027478</v>
      </c>
      <c r="V4" s="12" t="n">
        <v>4263762</v>
      </c>
      <c r="W4" s="12" t="n">
        <v>4581551</v>
      </c>
      <c r="X4" s="12" t="n">
        <v>4505720</v>
      </c>
      <c r="Y4" s="13">
        <f>IF(COUNT(Y7)=0,"",SUM(Y7))</f>
        <v/>
      </c>
      <c r="Z4" s="14">
        <f>IF(COUNT(Z7)=0,"",SUM(Z7))</f>
        <v/>
      </c>
      <c r="AA4" s="14">
        <f>IF(COUNT(AA7)=0,"",SUM(AA7))</f>
        <v/>
      </c>
      <c r="AB4" s="14">
        <f>IF(COUNT(AB7)=0,"",SUM(AB7))</f>
        <v/>
      </c>
      <c r="AC4" s="14">
        <f>IF(COUNT(AC7)=0,"",SUM(AC7))</f>
        <v/>
      </c>
    </row>
    <row r="5">
      <c r="A5" s="15" t="inlineStr">
        <is>
          <t>YoY</t>
        </is>
      </c>
      <c r="B5" s="10" t="n"/>
      <c r="C5" s="16" t="n"/>
      <c r="D5" s="17" t="n"/>
      <c r="E5" s="17" t="n"/>
      <c r="F5" s="17" t="n"/>
      <c r="G5" s="17">
        <f>IF(OR(G4="",C4=""),"",IFERROR(G4/C4-1,""))</f>
        <v/>
      </c>
      <c r="H5" s="17">
        <f>IF(OR(H4="",D4=""),"",IFERROR(H4/D4-1,""))</f>
        <v/>
      </c>
      <c r="I5" s="17">
        <f>IF(OR(I4="",E4=""),"",IFERROR(I4/E4-1,""))</f>
        <v/>
      </c>
      <c r="J5" s="17">
        <f>IF(OR(J4="",F4=""),"",IFERROR(J4/F4-1,""))</f>
        <v/>
      </c>
      <c r="K5" s="17">
        <f>IF(OR(K4="",G4=""),"",IFERROR(K4/G4-1,""))</f>
        <v/>
      </c>
      <c r="L5" s="17">
        <f>IF(OR(L4="",H4=""),"",IFERROR(L4/H4-1,""))</f>
        <v/>
      </c>
      <c r="M5" s="17">
        <f>IF(OR(M4="",I4=""),"",IFERROR(M4/I4-1,""))</f>
        <v/>
      </c>
      <c r="N5" s="17">
        <f>IF(OR(N4="",J4=""),"",IFERROR(N4/J4-1,""))</f>
        <v/>
      </c>
      <c r="O5" s="16" t="n"/>
      <c r="P5" s="17">
        <f>IF(OR(P4="",O4=""),"",IFERROR(P4/O4-1,""))</f>
        <v/>
      </c>
      <c r="Q5" s="17">
        <f>IF(OR(Q4="",P4=""),"",IFERROR(Q4/P4-1,""))</f>
        <v/>
      </c>
      <c r="R5" s="17">
        <f>IF(OR(R4="",Q4=""),"",IFERROR(R4/Q4-1,""))</f>
        <v/>
      </c>
      <c r="S5" s="17">
        <f>IF(OR(S4="",R4=""),"",IFERROR(S4/R4-1,""))</f>
        <v/>
      </c>
      <c r="T5" s="17">
        <f>IF(OR(T4="",S4=""),"",IFERROR(T4/S4-1,""))</f>
        <v/>
      </c>
      <c r="U5" s="17">
        <f>IF(OR(U4="",T4=""),"",IFERROR(U4/T4-1,""))</f>
        <v/>
      </c>
      <c r="V5" s="17">
        <f>IF(OR(V4="",U4=""),"",IFERROR(V4/U4-1,""))</f>
        <v/>
      </c>
      <c r="W5" s="17">
        <f>IF(OR(W4="",V4=""),"",IFERROR(W4/V4-1,""))</f>
        <v/>
      </c>
      <c r="X5" s="17">
        <f>IF(OR(X4="",W4=""),"",IFERROR(X4/W4-1,""))</f>
        <v/>
      </c>
      <c r="Y5" s="16">
        <f>IF(OR(Y4="",X4=""),"",IFERROR(Y4/X4-1,""))</f>
        <v/>
      </c>
      <c r="Z5" s="17">
        <f>IF(OR(Z4="",Y4=""),"",IFERROR(Z4/Y4-1,""))</f>
        <v/>
      </c>
      <c r="AA5" s="17">
        <f>IF(OR(AA4="",Z4=""),"",IFERROR(AA4/Z4-1,""))</f>
        <v/>
      </c>
      <c r="AB5" s="17">
        <f>IF(OR(AB4="",AA4=""),"",IFERROR(AB4/AA4-1,""))</f>
        <v/>
      </c>
      <c r="AC5" s="17">
        <f>IF(OR(AC4="",AB4=""),"",IFERROR(AC4/AB4-1,""))</f>
        <v/>
      </c>
    </row>
    <row r="6">
      <c r="A6" s="18" t="inlineStr">
        <is>
          <t>제품별 매출 분류</t>
        </is>
      </c>
      <c r="B6" s="18" t="inlineStr">
        <is>
          <t>사업보고서 매출실적</t>
        </is>
      </c>
      <c r="C6" s="19" t="n"/>
      <c r="D6" s="18" t="n"/>
      <c r="E6" s="18" t="n"/>
      <c r="F6" s="18" t="n"/>
      <c r="G6" s="18" t="n"/>
      <c r="H6" s="18" t="n"/>
      <c r="I6" s="18" t="n"/>
      <c r="J6" s="18" t="n"/>
      <c r="K6" s="18" t="n"/>
      <c r="L6" s="18" t="n"/>
      <c r="M6" s="18" t="n"/>
      <c r="N6" s="18" t="n"/>
      <c r="O6" s="19" t="n"/>
      <c r="P6" s="18" t="n"/>
      <c r="Q6" s="18" t="n"/>
      <c r="R6" s="18" t="n"/>
      <c r="S6" s="18" t="n"/>
      <c r="T6" s="18" t="n"/>
      <c r="U6" s="18" t="n"/>
      <c r="V6" s="18" t="n"/>
      <c r="W6" s="18" t="n"/>
      <c r="X6" s="18" t="n"/>
      <c r="Y6" s="19" t="n"/>
      <c r="Z6" s="18" t="n"/>
      <c r="AA6" s="18" t="n"/>
      <c r="AB6" s="18" t="n"/>
      <c r="AC6" s="18" t="n"/>
    </row>
    <row r="7">
      <c r="A7" s="20" t="inlineStr">
        <is>
          <t>(제품별 매출 미공시 — 직접 입력)</t>
        </is>
      </c>
      <c r="B7" s="10" t="n"/>
      <c r="C7" s="21" t="n"/>
      <c r="D7" s="22" t="n"/>
      <c r="E7" s="22" t="n"/>
      <c r="F7" s="22" t="n"/>
      <c r="G7" s="22" t="n"/>
      <c r="H7" s="22" t="n"/>
      <c r="I7" s="22" t="n"/>
      <c r="J7" s="22" t="n"/>
      <c r="K7" s="22" t="n"/>
      <c r="L7" s="22" t="n"/>
      <c r="M7" s="22" t="n"/>
      <c r="N7" s="22" t="n"/>
      <c r="O7" s="21" t="n"/>
      <c r="P7" s="22" t="n"/>
      <c r="Q7" s="22" t="n"/>
      <c r="R7" s="22" t="n"/>
      <c r="S7" s="22" t="n"/>
      <c r="T7" s="22" t="n"/>
      <c r="U7" s="22" t="n"/>
      <c r="V7" s="22" t="n"/>
      <c r="W7" s="22" t="n"/>
      <c r="X7" s="22" t="n"/>
      <c r="Y7" s="23" t="n"/>
      <c r="Z7" s="24" t="n"/>
      <c r="AA7" s="24" t="n"/>
      <c r="AB7" s="24" t="n"/>
      <c r="AC7" s="24" t="n"/>
    </row>
    <row r="8">
      <c r="A8" s="15" t="inlineStr">
        <is>
          <t>비중</t>
        </is>
      </c>
      <c r="B8" s="10" t="n"/>
      <c r="C8" s="16">
        <f>IF(OR(C7="",C4=""),"",IFERROR(C7/C4,""))</f>
        <v/>
      </c>
      <c r="D8" s="17">
        <f>IF(OR(D7="",D4=""),"",IFERROR(D7/D4,""))</f>
        <v/>
      </c>
      <c r="E8" s="17">
        <f>IF(OR(E7="",E4=""),"",IFERROR(E7/E4,""))</f>
        <v/>
      </c>
      <c r="F8" s="17">
        <f>IF(OR(F7="",F4=""),"",IFERROR(F7/F4,""))</f>
        <v/>
      </c>
      <c r="G8" s="17">
        <f>IF(OR(G7="",G4=""),"",IFERROR(G7/G4,""))</f>
        <v/>
      </c>
      <c r="H8" s="17">
        <f>IF(OR(H7="",H4=""),"",IFERROR(H7/H4,""))</f>
        <v/>
      </c>
      <c r="I8" s="17">
        <f>IF(OR(I7="",I4=""),"",IFERROR(I7/I4,""))</f>
        <v/>
      </c>
      <c r="J8" s="17">
        <f>IF(OR(J7="",J4=""),"",IFERROR(J7/J4,""))</f>
        <v/>
      </c>
      <c r="K8" s="17">
        <f>IF(OR(K7="",K4=""),"",IFERROR(K7/K4,""))</f>
        <v/>
      </c>
      <c r="L8" s="17">
        <f>IF(OR(L7="",L4=""),"",IFERROR(L7/L4,""))</f>
        <v/>
      </c>
      <c r="M8" s="17">
        <f>IF(OR(M7="",M4=""),"",IFERROR(M7/M4,""))</f>
        <v/>
      </c>
      <c r="N8" s="17">
        <f>IF(OR(N7="",N4=""),"",IFERROR(N7/N4,""))</f>
        <v/>
      </c>
      <c r="O8" s="16">
        <f>IF(OR(O7="",O4=""),"",IFERROR(O7/O4,""))</f>
        <v/>
      </c>
      <c r="P8" s="17">
        <f>IF(OR(P7="",P4=""),"",IFERROR(P7/P4,""))</f>
        <v/>
      </c>
      <c r="Q8" s="17">
        <f>IF(OR(Q7="",Q4=""),"",IFERROR(Q7/Q4,""))</f>
        <v/>
      </c>
      <c r="R8" s="17">
        <f>IF(OR(R7="",R4=""),"",IFERROR(R7/R4,""))</f>
        <v/>
      </c>
      <c r="S8" s="17">
        <f>IF(OR(S7="",S4=""),"",IFERROR(S7/S4,""))</f>
        <v/>
      </c>
      <c r="T8" s="17">
        <f>IF(OR(T7="",T4=""),"",IFERROR(T7/T4,""))</f>
        <v/>
      </c>
      <c r="U8" s="17">
        <f>IF(OR(U7="",U4=""),"",IFERROR(U7/U4,""))</f>
        <v/>
      </c>
      <c r="V8" s="17">
        <f>IF(OR(V7="",V4=""),"",IFERROR(V7/V4,""))</f>
        <v/>
      </c>
      <c r="W8" s="17">
        <f>IF(OR(W7="",W4=""),"",IFERROR(W7/W4,""))</f>
        <v/>
      </c>
      <c r="X8" s="17">
        <f>IF(OR(X7="",X4=""),"",IFERROR(X7/X4,""))</f>
        <v/>
      </c>
      <c r="Y8" s="16">
        <f>IF(OR(Y7="",Y4=""),"",IFERROR(Y7/Y4,""))</f>
        <v/>
      </c>
      <c r="Z8" s="17">
        <f>IF(OR(Z7="",Z4=""),"",IFERROR(Z7/Z4,""))</f>
        <v/>
      </c>
      <c r="AA8" s="17">
        <f>IF(OR(AA7="",AA4=""),"",IFERROR(AA7/AA4,""))</f>
        <v/>
      </c>
      <c r="AB8" s="17">
        <f>IF(OR(AB7="",AB4=""),"",IFERROR(AB7/AB4,""))</f>
        <v/>
      </c>
      <c r="AC8" s="17">
        <f>IF(OR(AC7="",AC4=""),"",IFERROR(AC7/AC4,""))</f>
        <v/>
      </c>
    </row>
    <row r="9">
      <c r="A9" s="15" t="inlineStr">
        <is>
          <t>YoY</t>
        </is>
      </c>
      <c r="B9" s="10" t="n"/>
      <c r="C9" s="16" t="n"/>
      <c r="D9" s="17" t="n"/>
      <c r="E9" s="17" t="n"/>
      <c r="F9" s="17" t="n"/>
      <c r="G9" s="17">
        <f>IF(OR(G7="",C7=""),"",IFERROR(G7/C7-1,""))</f>
        <v/>
      </c>
      <c r="H9" s="17">
        <f>IF(OR(H7="",D7=""),"",IFERROR(H7/D7-1,""))</f>
        <v/>
      </c>
      <c r="I9" s="17">
        <f>IF(OR(I7="",E7=""),"",IFERROR(I7/E7-1,""))</f>
        <v/>
      </c>
      <c r="J9" s="17">
        <f>IF(OR(J7="",F7=""),"",IFERROR(J7/F7-1,""))</f>
        <v/>
      </c>
      <c r="K9" s="17">
        <f>IF(OR(K7="",G7=""),"",IFERROR(K7/G7-1,""))</f>
        <v/>
      </c>
      <c r="L9" s="17">
        <f>IF(OR(L7="",H7=""),"",IFERROR(L7/H7-1,""))</f>
        <v/>
      </c>
      <c r="M9" s="17">
        <f>IF(OR(M7="",I7=""),"",IFERROR(M7/I7-1,""))</f>
        <v/>
      </c>
      <c r="N9" s="17">
        <f>IF(OR(N7="",J7=""),"",IFERROR(N7/J7-1,""))</f>
        <v/>
      </c>
      <c r="O9" s="16" t="n"/>
      <c r="P9" s="17">
        <f>IF(OR(P7="",O7=""),"",IFERROR(P7/O7-1,""))</f>
        <v/>
      </c>
      <c r="Q9" s="17">
        <f>IF(OR(Q7="",P7=""),"",IFERROR(Q7/P7-1,""))</f>
        <v/>
      </c>
      <c r="R9" s="17">
        <f>IF(OR(R7="",Q7=""),"",IFERROR(R7/Q7-1,""))</f>
        <v/>
      </c>
      <c r="S9" s="17">
        <f>IF(OR(S7="",R7=""),"",IFERROR(S7/R7-1,""))</f>
        <v/>
      </c>
      <c r="T9" s="17">
        <f>IF(OR(T7="",S7=""),"",IFERROR(T7/S7-1,""))</f>
        <v/>
      </c>
      <c r="U9" s="17">
        <f>IF(OR(U7="",T7=""),"",IFERROR(U7/T7-1,""))</f>
        <v/>
      </c>
      <c r="V9" s="17">
        <f>IF(OR(V7="",U7=""),"",IFERROR(V7/U7-1,""))</f>
        <v/>
      </c>
      <c r="W9" s="17">
        <f>IF(OR(W7="",V7=""),"",IFERROR(W7/V7-1,""))</f>
        <v/>
      </c>
      <c r="X9" s="17">
        <f>IF(OR(X7="",W7=""),"",IFERROR(X7/W7-1,""))</f>
        <v/>
      </c>
      <c r="Y9" s="16">
        <f>IF(OR(Y7="",X7=""),"",IFERROR(Y7/X7-1,""))</f>
        <v/>
      </c>
      <c r="Z9" s="17">
        <f>IF(OR(Z7="",Y7=""),"",IFERROR(Z7/Y7-1,""))</f>
        <v/>
      </c>
      <c r="AA9" s="17">
        <f>IF(OR(AA7="",Z7=""),"",IFERROR(AA7/Z7-1,""))</f>
        <v/>
      </c>
      <c r="AB9" s="17">
        <f>IF(OR(AB7="",AA7=""),"",IFERROR(AB7/AA7-1,""))</f>
        <v/>
      </c>
      <c r="AC9" s="17">
        <f>IF(OR(AC7="",AB7=""),"",IFERROR(AC7/AB7-1,""))</f>
        <v/>
      </c>
    </row>
    <row r="10">
      <c r="A10" s="18" t="inlineStr">
        <is>
          <t>매출원가</t>
        </is>
      </c>
      <c r="B10" s="18" t="n"/>
      <c r="C10" s="19" t="n"/>
      <c r="D10" s="18" t="n"/>
      <c r="E10" s="18" t="n"/>
      <c r="F10" s="18" t="n"/>
      <c r="G10" s="18" t="n"/>
      <c r="H10" s="18" t="n"/>
      <c r="I10" s="18" t="n"/>
      <c r="J10" s="18" t="n"/>
      <c r="K10" s="18" t="n"/>
      <c r="L10" s="18" t="n"/>
      <c r="M10" s="18" t="n"/>
      <c r="N10" s="18" t="n"/>
      <c r="O10" s="19" t="n"/>
      <c r="P10" s="18" t="n"/>
      <c r="Q10" s="18" t="n"/>
      <c r="R10" s="18" t="n"/>
      <c r="S10" s="18" t="n"/>
      <c r="T10" s="18" t="n"/>
      <c r="U10" s="18" t="n"/>
      <c r="V10" s="18" t="n"/>
      <c r="W10" s="18" t="n"/>
      <c r="X10" s="18" t="n"/>
      <c r="Y10" s="19" t="n"/>
      <c r="Z10" s="18" t="n"/>
      <c r="AA10" s="18" t="n"/>
      <c r="AB10" s="18" t="n"/>
      <c r="AC10" s="18" t="n"/>
    </row>
    <row r="11">
      <c r="A11" s="20" t="inlineStr">
        <is>
          <t>전체 매출원가</t>
        </is>
      </c>
      <c r="B11" s="10" t="n"/>
      <c r="C11" s="21" t="n">
        <v>343582</v>
      </c>
      <c r="D11" s="22" t="n">
        <v>379481</v>
      </c>
      <c r="E11" s="22" t="n">
        <v>382501</v>
      </c>
      <c r="F11" s="22" t="n">
        <v>386954</v>
      </c>
      <c r="G11" s="22" t="n">
        <v>394311</v>
      </c>
      <c r="H11" s="22" t="n">
        <v>416874</v>
      </c>
      <c r="I11" s="22" t="n">
        <v>382078</v>
      </c>
      <c r="J11" s="22" t="n">
        <v>384675</v>
      </c>
      <c r="K11" s="22" t="n">
        <v>380061</v>
      </c>
      <c r="L11" s="22" t="n">
        <v>401148</v>
      </c>
      <c r="M11" s="22" t="n">
        <v>405704</v>
      </c>
      <c r="N11" s="22" t="n">
        <v>406676</v>
      </c>
      <c r="O11" s="21" t="n"/>
      <c r="P11" s="22" t="n">
        <v>-495921</v>
      </c>
      <c r="Q11" s="22" t="n">
        <v>651729</v>
      </c>
      <c r="R11" s="22" t="n">
        <v>1089764</v>
      </c>
      <c r="S11" s="22" t="n">
        <v>994308</v>
      </c>
      <c r="T11" s="22" t="n">
        <v>1106846</v>
      </c>
      <c r="U11" s="22" t="n">
        <v>1244072</v>
      </c>
      <c r="V11" s="22" t="n">
        <v>1426678</v>
      </c>
      <c r="W11" s="22" t="n">
        <v>1580217</v>
      </c>
      <c r="X11" s="22" t="n">
        <v>1571588</v>
      </c>
      <c r="Y11" s="21" t="n"/>
      <c r="Z11" s="22" t="n"/>
      <c r="AA11" s="22" t="n"/>
      <c r="AB11" s="22" t="n"/>
      <c r="AC11" s="22" t="n"/>
    </row>
    <row r="12">
      <c r="A12" s="15" t="inlineStr">
        <is>
          <t>YoY</t>
        </is>
      </c>
      <c r="B12" s="10" t="n"/>
      <c r="C12" s="16" t="n"/>
      <c r="D12" s="17" t="n"/>
      <c r="E12" s="17" t="n"/>
      <c r="F12" s="17" t="n"/>
      <c r="G12" s="17">
        <f>IF(OR(G11="",C11=""),"",IF(C11&lt;=0,"",IFERROR(G11/C11-1,"")))</f>
        <v/>
      </c>
      <c r="H12" s="17">
        <f>IF(OR(H11="",D11=""),"",IF(D11&lt;=0,"",IFERROR(H11/D11-1,"")))</f>
        <v/>
      </c>
      <c r="I12" s="17">
        <f>IF(OR(I11="",E11=""),"",IF(E11&lt;=0,"",IFERROR(I11/E11-1,"")))</f>
        <v/>
      </c>
      <c r="J12" s="17">
        <f>IF(OR(J11="",F11=""),"",IF(F11&lt;=0,"",IFERROR(J11/F11-1,"")))</f>
        <v/>
      </c>
      <c r="K12" s="17">
        <f>IF(OR(K11="",G11=""),"",IF(G11&lt;=0,"",IFERROR(K11/G11-1,"")))</f>
        <v/>
      </c>
      <c r="L12" s="17">
        <f>IF(OR(L11="",H11=""),"",IF(H11&lt;=0,"",IFERROR(L11/H11-1,"")))</f>
        <v/>
      </c>
      <c r="M12" s="17">
        <f>IF(OR(M11="",I11=""),"",IF(I11&lt;=0,"",IFERROR(M11/I11-1,"")))</f>
        <v/>
      </c>
      <c r="N12" s="17">
        <f>IF(OR(N11="",J11=""),"",IF(J11&lt;=0,"",IFERROR(N11/J11-1,"")))</f>
        <v/>
      </c>
      <c r="O12" s="16" t="n"/>
      <c r="P12" s="17">
        <f>IF(OR(P11="",O11=""),"",IF(O11&lt;=0,"",IFERROR(P11/O11-1,"")))</f>
        <v/>
      </c>
      <c r="Q12" s="17">
        <f>IF(OR(Q11="",P11=""),"",IF(P11&lt;=0,"",IFERROR(Q11/P11-1,"")))</f>
        <v/>
      </c>
      <c r="R12" s="17">
        <f>IF(OR(R11="",Q11=""),"",IF(Q11&lt;=0,"",IFERROR(R11/Q11-1,"")))</f>
        <v/>
      </c>
      <c r="S12" s="17">
        <f>IF(OR(S11="",R11=""),"",IF(R11&lt;=0,"",IFERROR(S11/R11-1,"")))</f>
        <v/>
      </c>
      <c r="T12" s="17">
        <f>IF(OR(T11="",S11=""),"",IF(S11&lt;=0,"",IFERROR(T11/S11-1,"")))</f>
        <v/>
      </c>
      <c r="U12" s="17">
        <f>IF(OR(U11="",T11=""),"",IF(T11&lt;=0,"",IFERROR(U11/T11-1,"")))</f>
        <v/>
      </c>
      <c r="V12" s="17">
        <f>IF(OR(V11="",U11=""),"",IF(U11&lt;=0,"",IFERROR(V11/U11-1,"")))</f>
        <v/>
      </c>
      <c r="W12" s="17">
        <f>IF(OR(W11="",V11=""),"",IF(V11&lt;=0,"",IFERROR(W11/V11-1,"")))</f>
        <v/>
      </c>
      <c r="X12" s="17">
        <f>IF(OR(X11="",W11=""),"",IF(W11&lt;=0,"",IFERROR(X11/W11-1,"")))</f>
        <v/>
      </c>
      <c r="Y12" s="16">
        <f>IF(OR(Y11="",X11=""),"",IF(X11&lt;=0,"",IFERROR(Y11/X11-1,"")))</f>
        <v/>
      </c>
      <c r="Z12" s="17">
        <f>IF(OR(Z11="",Y11=""),"",IF(Y11&lt;=0,"",IFERROR(Z11/Y11-1,"")))</f>
        <v/>
      </c>
      <c r="AA12" s="17">
        <f>IF(OR(AA11="",Z11=""),"",IF(Z11&lt;=0,"",IFERROR(AA11/Z11-1,"")))</f>
        <v/>
      </c>
      <c r="AB12" s="17">
        <f>IF(OR(AB11="",AA11=""),"",IF(AA11&lt;=0,"",IFERROR(AB11/AA11-1,"")))</f>
        <v/>
      </c>
      <c r="AC12" s="17">
        <f>IF(OR(AC11="",AB11=""),"",IF(AB11&lt;=0,"",IFERROR(AC11/AB11-1,"")))</f>
        <v/>
      </c>
    </row>
    <row r="13">
      <c r="A13" s="20" t="inlineStr">
        <is>
          <t>매출총이익</t>
        </is>
      </c>
      <c r="B13" s="10" t="n"/>
      <c r="C13" s="21">
        <f>IF(OR(C4="",C11=""),"",IFERROR(C4-C11,""))</f>
        <v/>
      </c>
      <c r="D13" s="22">
        <f>IF(OR(D4="",D11=""),"",IFERROR(D4-D11,""))</f>
        <v/>
      </c>
      <c r="E13" s="22">
        <f>IF(OR(E4="",E11=""),"",IFERROR(E4-E11,""))</f>
        <v/>
      </c>
      <c r="F13" s="22">
        <f>IF(OR(F4="",F11=""),"",IFERROR(F4-F11,""))</f>
        <v/>
      </c>
      <c r="G13" s="22">
        <f>IF(OR(G4="",G11=""),"",IFERROR(G4-G11,""))</f>
        <v/>
      </c>
      <c r="H13" s="22">
        <f>IF(OR(H4="",H11=""),"",IFERROR(H4-H11,""))</f>
        <v/>
      </c>
      <c r="I13" s="22">
        <f>IF(OR(I4="",I11=""),"",IFERROR(I4-I11,""))</f>
        <v/>
      </c>
      <c r="J13" s="22">
        <f>IF(OR(J4="",J11=""),"",IFERROR(J4-J11,""))</f>
        <v/>
      </c>
      <c r="K13" s="22">
        <f>IF(OR(K4="",K11=""),"",IFERROR(K4-K11,""))</f>
        <v/>
      </c>
      <c r="L13" s="22">
        <f>IF(OR(L4="",L11=""),"",IFERROR(L4-L11,""))</f>
        <v/>
      </c>
      <c r="M13" s="22">
        <f>IF(OR(M4="",M11=""),"",IFERROR(M4-M11,""))</f>
        <v/>
      </c>
      <c r="N13" s="22">
        <f>IF(OR(N4="",N11=""),"",IFERROR(N4-N11,""))</f>
        <v/>
      </c>
      <c r="O13" s="21">
        <f>IF(OR(O4="",O11=""),"",IFERROR(O4-O11,""))</f>
        <v/>
      </c>
      <c r="P13" s="22">
        <f>IF(OR(P4="",P11=""),"",IFERROR(P4-P11,""))</f>
        <v/>
      </c>
      <c r="Q13" s="22">
        <f>IF(OR(Q4="",Q11=""),"",IFERROR(Q4-Q11,""))</f>
        <v/>
      </c>
      <c r="R13" s="22">
        <f>IF(OR(R4="",R11=""),"",IFERROR(R4-R11,""))</f>
        <v/>
      </c>
      <c r="S13" s="22">
        <f>IF(OR(S4="",S11=""),"",IFERROR(S4-S11,""))</f>
        <v/>
      </c>
      <c r="T13" s="22">
        <f>IF(OR(T4="",T11=""),"",IFERROR(T4-T11,""))</f>
        <v/>
      </c>
      <c r="U13" s="22">
        <f>IF(OR(U4="",U11=""),"",IFERROR(U4-U11,""))</f>
        <v/>
      </c>
      <c r="V13" s="22">
        <f>IF(OR(V4="",V11=""),"",IFERROR(V4-V11,""))</f>
        <v/>
      </c>
      <c r="W13" s="22">
        <f>IF(OR(W4="",W11=""),"",IFERROR(W4-W11,""))</f>
        <v/>
      </c>
      <c r="X13" s="22">
        <f>IF(OR(X4="",X11=""),"",IFERROR(X4-X11,""))</f>
        <v/>
      </c>
      <c r="Y13" s="21" t="n"/>
      <c r="Z13" s="22" t="n"/>
      <c r="AA13" s="22" t="n"/>
      <c r="AB13" s="22" t="n"/>
      <c r="AC13" s="22" t="n"/>
    </row>
    <row r="14">
      <c r="A14" s="15" t="inlineStr">
        <is>
          <t>GPM</t>
        </is>
      </c>
      <c r="B14" s="10" t="n"/>
      <c r="C14" s="16">
        <f>IF(OR(C13="",C4=""),"",IFERROR(C13/C4,""))</f>
        <v/>
      </c>
      <c r="D14" s="17">
        <f>IF(OR(D13="",D4=""),"",IFERROR(D13/D4,""))</f>
        <v/>
      </c>
      <c r="E14" s="17">
        <f>IF(OR(E13="",E4=""),"",IFERROR(E13/E4,""))</f>
        <v/>
      </c>
      <c r="F14" s="17">
        <f>IF(OR(F13="",F4=""),"",IFERROR(F13/F4,""))</f>
        <v/>
      </c>
      <c r="G14" s="17">
        <f>IF(OR(G13="",G4=""),"",IFERROR(G13/G4,""))</f>
        <v/>
      </c>
      <c r="H14" s="17">
        <f>IF(OR(H13="",H4=""),"",IFERROR(H13/H4,""))</f>
        <v/>
      </c>
      <c r="I14" s="17">
        <f>IF(OR(I13="",I4=""),"",IFERROR(I13/I4,""))</f>
        <v/>
      </c>
      <c r="J14" s="17">
        <f>IF(OR(J13="",J4=""),"",IFERROR(J13/J4,""))</f>
        <v/>
      </c>
      <c r="K14" s="17">
        <f>IF(OR(K13="",K4=""),"",IFERROR(K13/K4,""))</f>
        <v/>
      </c>
      <c r="L14" s="17">
        <f>IF(OR(L13="",L4=""),"",IFERROR(L13/L4,""))</f>
        <v/>
      </c>
      <c r="M14" s="17">
        <f>IF(OR(M13="",M4=""),"",IFERROR(M13/M4,""))</f>
        <v/>
      </c>
      <c r="N14" s="17">
        <f>IF(OR(N13="",N4=""),"",IFERROR(N13/N4,""))</f>
        <v/>
      </c>
      <c r="O14" s="16">
        <f>IF(OR(O13="",O4=""),"",IFERROR(O13/O4,""))</f>
        <v/>
      </c>
      <c r="P14" s="17">
        <f>IF(OR(P13="",P4=""),"",IFERROR(P13/P4,""))</f>
        <v/>
      </c>
      <c r="Q14" s="17">
        <f>IF(OR(Q13="",Q4=""),"",IFERROR(Q13/Q4,""))</f>
        <v/>
      </c>
      <c r="R14" s="17">
        <f>IF(OR(R13="",R4=""),"",IFERROR(R13/R4,""))</f>
        <v/>
      </c>
      <c r="S14" s="17">
        <f>IF(OR(S13="",S4=""),"",IFERROR(S13/S4,""))</f>
        <v/>
      </c>
      <c r="T14" s="17">
        <f>IF(OR(T13="",T4=""),"",IFERROR(T13/T4,""))</f>
        <v/>
      </c>
      <c r="U14" s="17">
        <f>IF(OR(U13="",U4=""),"",IFERROR(U13/U4,""))</f>
        <v/>
      </c>
      <c r="V14" s="17">
        <f>IF(OR(V13="",V4=""),"",IFERROR(V13/V4,""))</f>
        <v/>
      </c>
      <c r="W14" s="17">
        <f>IF(OR(W13="",W4=""),"",IFERROR(W13/W4,""))</f>
        <v/>
      </c>
      <c r="X14" s="17">
        <f>IF(OR(X13="",X4=""),"",IFERROR(X13/X4,""))</f>
        <v/>
      </c>
      <c r="Y14" s="16">
        <f>IF(OR(Y13="",Y4=""),"",IFERROR(Y13/Y4,""))</f>
        <v/>
      </c>
      <c r="Z14" s="17">
        <f>IF(OR(Z13="",Z4=""),"",IFERROR(Z13/Z4,""))</f>
        <v/>
      </c>
      <c r="AA14" s="17">
        <f>IF(OR(AA13="",AA4=""),"",IFERROR(AA13/AA4,""))</f>
        <v/>
      </c>
      <c r="AB14" s="17">
        <f>IF(OR(AB13="",AB4=""),"",IFERROR(AB13/AB4,""))</f>
        <v/>
      </c>
      <c r="AC14" s="17">
        <f>IF(OR(AC13="",AC4=""),"",IFERROR(AC13/AC4,""))</f>
        <v/>
      </c>
    </row>
    <row r="15">
      <c r="A15" s="15" t="inlineStr">
        <is>
          <t>YoY</t>
        </is>
      </c>
      <c r="B15" s="10" t="n"/>
      <c r="C15" s="16" t="n"/>
      <c r="D15" s="17" t="n"/>
      <c r="E15" s="17" t="n"/>
      <c r="F15" s="17" t="n"/>
      <c r="G15" s="17">
        <f>IF(OR(G13="",C13=""),"",IF(C13&lt;=0,"",IFERROR(G13/C13-1,"")))</f>
        <v/>
      </c>
      <c r="H15" s="17">
        <f>IF(OR(H13="",D13=""),"",IF(D13&lt;=0,"",IFERROR(H13/D13-1,"")))</f>
        <v/>
      </c>
      <c r="I15" s="17">
        <f>IF(OR(I13="",E13=""),"",IF(E13&lt;=0,"",IFERROR(I13/E13-1,"")))</f>
        <v/>
      </c>
      <c r="J15" s="17">
        <f>IF(OR(J13="",F13=""),"",IF(F13&lt;=0,"",IFERROR(J13/F13-1,"")))</f>
        <v/>
      </c>
      <c r="K15" s="17">
        <f>IF(OR(K13="",G13=""),"",IF(G13&lt;=0,"",IFERROR(K13/G13-1,"")))</f>
        <v/>
      </c>
      <c r="L15" s="17">
        <f>IF(OR(L13="",H13=""),"",IF(H13&lt;=0,"",IFERROR(L13/H13-1,"")))</f>
        <v/>
      </c>
      <c r="M15" s="17">
        <f>IF(OR(M13="",I13=""),"",IF(I13&lt;=0,"",IFERROR(M13/I13-1,"")))</f>
        <v/>
      </c>
      <c r="N15" s="17">
        <f>IF(OR(N13="",J13=""),"",IF(J13&lt;=0,"",IFERROR(N13/J13-1,"")))</f>
        <v/>
      </c>
      <c r="O15" s="16" t="n"/>
      <c r="P15" s="17">
        <f>IF(OR(P13="",O13=""),"",IF(O13&lt;=0,"",IFERROR(P13/O13-1,"")))</f>
        <v/>
      </c>
      <c r="Q15" s="17">
        <f>IF(OR(Q13="",P13=""),"",IF(P13&lt;=0,"",IFERROR(Q13/P13-1,"")))</f>
        <v/>
      </c>
      <c r="R15" s="17">
        <f>IF(OR(R13="",Q13=""),"",IF(Q13&lt;=0,"",IFERROR(R13/Q13-1,"")))</f>
        <v/>
      </c>
      <c r="S15" s="17">
        <f>IF(OR(S13="",R13=""),"",IF(R13&lt;=0,"",IFERROR(S13/R13-1,"")))</f>
        <v/>
      </c>
      <c r="T15" s="17">
        <f>IF(OR(T13="",S13=""),"",IF(S13&lt;=0,"",IFERROR(T13/S13-1,"")))</f>
        <v/>
      </c>
      <c r="U15" s="17">
        <f>IF(OR(U13="",T13=""),"",IF(T13&lt;=0,"",IFERROR(U13/T13-1,"")))</f>
        <v/>
      </c>
      <c r="V15" s="17">
        <f>IF(OR(V13="",U13=""),"",IF(U13&lt;=0,"",IFERROR(V13/U13-1,"")))</f>
        <v/>
      </c>
      <c r="W15" s="17">
        <f>IF(OR(W13="",V13=""),"",IF(V13&lt;=0,"",IFERROR(W13/V13-1,"")))</f>
        <v/>
      </c>
      <c r="X15" s="17">
        <f>IF(OR(X13="",W13=""),"",IF(W13&lt;=0,"",IFERROR(X13/W13-1,"")))</f>
        <v/>
      </c>
      <c r="Y15" s="16">
        <f>IF(OR(Y13="",X13=""),"",IF(X13&lt;=0,"",IFERROR(Y13/X13-1,"")))</f>
        <v/>
      </c>
      <c r="Z15" s="17">
        <f>IF(OR(Z13="",Y13=""),"",IF(Y13&lt;=0,"",IFERROR(Z13/Y13-1,"")))</f>
        <v/>
      </c>
      <c r="AA15" s="17">
        <f>IF(OR(AA13="",Z13=""),"",IF(Z13&lt;=0,"",IFERROR(AA13/Z13-1,"")))</f>
        <v/>
      </c>
      <c r="AB15" s="17">
        <f>IF(OR(AB13="",AA13=""),"",IF(AA13&lt;=0,"",IFERROR(AB13/AA13-1,"")))</f>
        <v/>
      </c>
      <c r="AC15" s="17">
        <f>IF(OR(AC13="",AB13=""),"",IF(AB13&lt;=0,"",IFERROR(AC13/AB13-1,"")))</f>
        <v/>
      </c>
    </row>
    <row r="16">
      <c r="A16" s="25" t="inlineStr">
        <is>
          <t>판매관리비</t>
        </is>
      </c>
      <c r="B16" s="25" t="n"/>
      <c r="C16" s="26" t="n"/>
      <c r="D16" s="25" t="n"/>
      <c r="E16" s="25" t="n"/>
      <c r="F16" s="25" t="n"/>
      <c r="G16" s="25" t="n"/>
      <c r="H16" s="25" t="n"/>
      <c r="I16" s="25" t="n"/>
      <c r="J16" s="25" t="n"/>
      <c r="K16" s="25" t="n"/>
      <c r="L16" s="25" t="n"/>
      <c r="M16" s="25" t="n"/>
      <c r="N16" s="25" t="n"/>
      <c r="O16" s="26" t="n"/>
      <c r="P16" s="25" t="n"/>
      <c r="Q16" s="25" t="n"/>
      <c r="R16" s="25" t="n"/>
      <c r="S16" s="25" t="n"/>
      <c r="T16" s="25" t="n"/>
      <c r="U16" s="25" t="n"/>
      <c r="V16" s="25" t="n"/>
      <c r="W16" s="25" t="n"/>
      <c r="X16" s="25" t="n"/>
      <c r="Y16" s="26" t="n"/>
      <c r="Z16" s="25" t="n"/>
      <c r="AA16" s="25" t="n"/>
      <c r="AB16" s="25" t="n"/>
      <c r="AC16" s="25" t="n"/>
    </row>
    <row r="17">
      <c r="A17" s="20" t="inlineStr">
        <is>
          <t>전체 판관비</t>
        </is>
      </c>
      <c r="B17" s="10" t="n"/>
      <c r="C17" s="21" t="n">
        <v>252952</v>
      </c>
      <c r="D17" s="22" t="n">
        <v>267520</v>
      </c>
      <c r="E17" s="22" t="n">
        <v>285234</v>
      </c>
      <c r="F17" s="22" t="n">
        <v>270030</v>
      </c>
      <c r="G17" s="22" t="n">
        <v>268282</v>
      </c>
      <c r="H17" s="22" t="n">
        <v>270588</v>
      </c>
      <c r="I17" s="22" t="n">
        <v>295866</v>
      </c>
      <c r="J17" s="22" t="n">
        <v>255885</v>
      </c>
      <c r="K17" s="22" t="n">
        <v>253551</v>
      </c>
      <c r="L17" s="22" t="n">
        <v>282783</v>
      </c>
      <c r="M17" s="22" t="n">
        <v>291996</v>
      </c>
      <c r="N17" s="22" t="n">
        <v>286513</v>
      </c>
      <c r="O17" s="21" t="n"/>
      <c r="P17" s="22" t="n">
        <v>-628106</v>
      </c>
      <c r="Q17" s="22" t="n">
        <v>717599</v>
      </c>
      <c r="R17" s="22" t="n">
        <v>964737</v>
      </c>
      <c r="S17" s="22" t="n">
        <v>875663</v>
      </c>
      <c r="T17" s="22" t="n">
        <v>886361</v>
      </c>
      <c r="U17" s="22" t="n">
        <v>997309</v>
      </c>
      <c r="V17" s="22" t="n">
        <v>1053819</v>
      </c>
      <c r="W17" s="22" t="n">
        <v>1104766</v>
      </c>
      <c r="X17" s="22" t="n">
        <v>1084215</v>
      </c>
      <c r="Y17" s="21" t="n"/>
      <c r="Z17" s="22" t="n"/>
      <c r="AA17" s="22" t="n"/>
      <c r="AB17" s="22" t="n"/>
      <c r="AC17" s="22" t="n"/>
    </row>
    <row r="18">
      <c r="A18" s="15" t="inlineStr">
        <is>
          <t>YoY</t>
        </is>
      </c>
      <c r="B18" s="10" t="n"/>
      <c r="C18" s="16" t="n"/>
      <c r="D18" s="17" t="n"/>
      <c r="E18" s="17" t="n"/>
      <c r="F18" s="17" t="n"/>
      <c r="G18" s="17">
        <f>IF(OR(G17="",C17=""),"",IF(C17&lt;=0,"",IFERROR(G17/C17-1,"")))</f>
        <v/>
      </c>
      <c r="H18" s="17">
        <f>IF(OR(H17="",D17=""),"",IF(D17&lt;=0,"",IFERROR(H17/D17-1,"")))</f>
        <v/>
      </c>
      <c r="I18" s="17">
        <f>IF(OR(I17="",E17=""),"",IF(E17&lt;=0,"",IFERROR(I17/E17-1,"")))</f>
        <v/>
      </c>
      <c r="J18" s="17">
        <f>IF(OR(J17="",F17=""),"",IF(F17&lt;=0,"",IFERROR(J17/F17-1,"")))</f>
        <v/>
      </c>
      <c r="K18" s="17">
        <f>IF(OR(K17="",G17=""),"",IF(G17&lt;=0,"",IFERROR(K17/G17-1,"")))</f>
        <v/>
      </c>
      <c r="L18" s="17">
        <f>IF(OR(L17="",H17=""),"",IF(H17&lt;=0,"",IFERROR(L17/H17-1,"")))</f>
        <v/>
      </c>
      <c r="M18" s="17">
        <f>IF(OR(M17="",I17=""),"",IF(I17&lt;=0,"",IFERROR(M17/I17-1,"")))</f>
        <v/>
      </c>
      <c r="N18" s="17">
        <f>IF(OR(N17="",J17=""),"",IF(J17&lt;=0,"",IFERROR(N17/J17-1,"")))</f>
        <v/>
      </c>
      <c r="O18" s="16" t="n"/>
      <c r="P18" s="17">
        <f>IF(OR(P17="",O17=""),"",IF(O17&lt;=0,"",IFERROR(P17/O17-1,"")))</f>
        <v/>
      </c>
      <c r="Q18" s="17">
        <f>IF(OR(Q17="",P17=""),"",IF(P17&lt;=0,"",IFERROR(Q17/P17-1,"")))</f>
        <v/>
      </c>
      <c r="R18" s="17">
        <f>IF(OR(R17="",Q17=""),"",IF(Q17&lt;=0,"",IFERROR(R17/Q17-1,"")))</f>
        <v/>
      </c>
      <c r="S18" s="17">
        <f>IF(OR(S17="",R17=""),"",IF(R17&lt;=0,"",IFERROR(S17/R17-1,"")))</f>
        <v/>
      </c>
      <c r="T18" s="17">
        <f>IF(OR(T17="",S17=""),"",IF(S17&lt;=0,"",IFERROR(T17/S17-1,"")))</f>
        <v/>
      </c>
      <c r="U18" s="17">
        <f>IF(OR(U17="",T17=""),"",IF(T17&lt;=0,"",IFERROR(U17/T17-1,"")))</f>
        <v/>
      </c>
      <c r="V18" s="17">
        <f>IF(OR(V17="",U17=""),"",IF(U17&lt;=0,"",IFERROR(V17/U17-1,"")))</f>
        <v/>
      </c>
      <c r="W18" s="17">
        <f>IF(OR(W17="",V17=""),"",IF(V17&lt;=0,"",IFERROR(W17/V17-1,"")))</f>
        <v/>
      </c>
      <c r="X18" s="17">
        <f>IF(OR(X17="",W17=""),"",IF(W17&lt;=0,"",IFERROR(X17/W17-1,"")))</f>
        <v/>
      </c>
      <c r="Y18" s="16">
        <f>IF(OR(Y17="",X17=""),"",IF(X17&lt;=0,"",IFERROR(Y17/X17-1,"")))</f>
        <v/>
      </c>
      <c r="Z18" s="17">
        <f>IF(OR(Z17="",Y17=""),"",IF(Y17&lt;=0,"",IFERROR(Z17/Y17-1,"")))</f>
        <v/>
      </c>
      <c r="AA18" s="17">
        <f>IF(OR(AA17="",Z17=""),"",IF(Z17&lt;=0,"",IFERROR(AA17/Z17-1,"")))</f>
        <v/>
      </c>
      <c r="AB18" s="17">
        <f>IF(OR(AB17="",AA17=""),"",IF(AA17&lt;=0,"",IFERROR(AB17/AA17-1,"")))</f>
        <v/>
      </c>
      <c r="AC18" s="17">
        <f>IF(OR(AC17="",AB17=""),"",IF(AB17&lt;=0,"",IFERROR(AC17/AB17-1,"")))</f>
        <v/>
      </c>
    </row>
    <row r="19">
      <c r="A19" s="9" t="inlineStr">
        <is>
          <t>영업이익</t>
        </is>
      </c>
      <c r="B19" s="10" t="inlineStr">
        <is>
          <t>MW = 매출 × OPM</t>
        </is>
      </c>
      <c r="C19" s="11" t="n">
        <v>-49341</v>
      </c>
      <c r="D19" s="12" t="n">
        <v>104914</v>
      </c>
      <c r="E19" s="12" t="n">
        <v>-10069</v>
      </c>
      <c r="F19" s="12" t="n">
        <v>166329</v>
      </c>
      <c r="G19" s="12" t="n">
        <v>184247</v>
      </c>
      <c r="H19" s="12" t="n">
        <v>66942</v>
      </c>
      <c r="I19" s="12" t="n">
        <v>-74932</v>
      </c>
      <c r="J19" s="12" t="n">
        <v>184566</v>
      </c>
      <c r="K19" s="12" t="n">
        <v>68995</v>
      </c>
      <c r="L19" s="12" t="n">
        <v>168821</v>
      </c>
      <c r="M19" s="12" t="n">
        <v>-13621</v>
      </c>
      <c r="N19" s="12" t="n">
        <v>201417</v>
      </c>
      <c r="O19" s="11" t="n"/>
      <c r="P19" s="12" t="n">
        <v>241789</v>
      </c>
      <c r="Q19" s="12" t="n">
        <v>237685</v>
      </c>
      <c r="R19" s="12" t="n">
        <v>100408</v>
      </c>
      <c r="S19" s="12" t="n">
        <v>509269</v>
      </c>
      <c r="T19" s="12" t="n">
        <v>460844</v>
      </c>
      <c r="U19" s="12" t="n">
        <v>490505</v>
      </c>
      <c r="V19" s="12" t="n">
        <v>214075</v>
      </c>
      <c r="W19" s="12" t="n">
        <v>342586</v>
      </c>
      <c r="X19" s="12" t="n">
        <v>408761</v>
      </c>
      <c r="Y19" s="11">
        <f>IF(OR(Y4="",Y20=""),"",IFERROR(Y4*Y20,""))</f>
        <v/>
      </c>
      <c r="Z19" s="12">
        <f>IF(OR(Z4="",Z20=""),"",IFERROR(Z4*Z20,""))</f>
        <v/>
      </c>
      <c r="AA19" s="12">
        <f>IF(OR(AA4="",AA20=""),"",IFERROR(AA4*AA20,""))</f>
        <v/>
      </c>
      <c r="AB19" s="12">
        <f>IF(OR(AB4="",AB20=""),"",IFERROR(AB4*AB20,""))</f>
        <v/>
      </c>
      <c r="AC19" s="12">
        <f>IF(OR(AC4="",AC20=""),"",IFERROR(AC4*AC20,""))</f>
        <v/>
      </c>
    </row>
    <row r="20">
      <c r="A20" s="15" t="inlineStr">
        <is>
          <t>OPM</t>
        </is>
      </c>
      <c r="B20" s="10" t="inlineStr">
        <is>
          <t>MW 입력</t>
        </is>
      </c>
      <c r="C20" s="16">
        <f>IF(OR(C19="",C4=""),"",IFERROR(C19/C4,""))</f>
        <v/>
      </c>
      <c r="D20" s="17">
        <f>IF(OR(D19="",D4=""),"",IFERROR(D19/D4,""))</f>
        <v/>
      </c>
      <c r="E20" s="17">
        <f>IF(OR(E19="",E4=""),"",IFERROR(E19/E4,""))</f>
        <v/>
      </c>
      <c r="F20" s="17">
        <f>IF(OR(F19="",F4=""),"",IFERROR(F19/F4,""))</f>
        <v/>
      </c>
      <c r="G20" s="17">
        <f>IF(OR(G19="",G4=""),"",IFERROR(G19/G4,""))</f>
        <v/>
      </c>
      <c r="H20" s="17">
        <f>IF(OR(H19="",H4=""),"",IFERROR(H19/H4,""))</f>
        <v/>
      </c>
      <c r="I20" s="17">
        <f>IF(OR(I19="",I4=""),"",IFERROR(I19/I4,""))</f>
        <v/>
      </c>
      <c r="J20" s="17">
        <f>IF(OR(J19="",J4=""),"",IFERROR(J19/J4,""))</f>
        <v/>
      </c>
      <c r="K20" s="17">
        <f>IF(OR(K19="",K4=""),"",IFERROR(K19/K4,""))</f>
        <v/>
      </c>
      <c r="L20" s="17">
        <f>IF(OR(L19="",L4=""),"",IFERROR(L19/L4,""))</f>
        <v/>
      </c>
      <c r="M20" s="17">
        <f>IF(OR(M19="",M4=""),"",IFERROR(M19/M4,""))</f>
        <v/>
      </c>
      <c r="N20" s="17">
        <f>IF(OR(N19="",N4=""),"",IFERROR(N19/N4,""))</f>
        <v/>
      </c>
      <c r="O20" s="16">
        <f>IF(OR(O19="",O4=""),"",IFERROR(O19/O4,""))</f>
        <v/>
      </c>
      <c r="P20" s="17">
        <f>IF(OR(P19="",P4=""),"",IFERROR(P19/P4,""))</f>
        <v/>
      </c>
      <c r="Q20" s="17">
        <f>IF(OR(Q19="",Q4=""),"",IFERROR(Q19/Q4,""))</f>
        <v/>
      </c>
      <c r="R20" s="17">
        <f>IF(OR(R19="",R4=""),"",IFERROR(R19/R4,""))</f>
        <v/>
      </c>
      <c r="S20" s="17">
        <f>IF(OR(S19="",S4=""),"",IFERROR(S19/S4,""))</f>
        <v/>
      </c>
      <c r="T20" s="17">
        <f>IF(OR(T19="",T4=""),"",IFERROR(T19/T4,""))</f>
        <v/>
      </c>
      <c r="U20" s="17">
        <f>IF(OR(U19="",U4=""),"",IFERROR(U19/U4,""))</f>
        <v/>
      </c>
      <c r="V20" s="17">
        <f>IF(OR(V19="",V4=""),"",IFERROR(V19/V4,""))</f>
        <v/>
      </c>
      <c r="W20" s="17">
        <f>IF(OR(W19="",W4=""),"",IFERROR(W19/W4,""))</f>
        <v/>
      </c>
      <c r="X20" s="17">
        <f>IF(OR(X19="",X4=""),"",IFERROR(X19/X4,""))</f>
        <v/>
      </c>
      <c r="Y20" s="27" t="n"/>
      <c r="Z20" s="28" t="n"/>
      <c r="AA20" s="28" t="n"/>
      <c r="AB20" s="28" t="n"/>
      <c r="AC20" s="28" t="n"/>
    </row>
    <row r="21">
      <c r="A21" s="15" t="inlineStr">
        <is>
          <t>증가율</t>
        </is>
      </c>
      <c r="B21" s="10" t="n"/>
      <c r="C21" s="16" t="n"/>
      <c r="D21" s="17" t="n"/>
      <c r="E21" s="17" t="n"/>
      <c r="F21" s="17" t="n"/>
      <c r="G21" s="17">
        <f>IF(OR(G19="",C19=""),"",IFERROR(G19/C19-1,""))</f>
        <v/>
      </c>
      <c r="H21" s="17">
        <f>IF(OR(H19="",D19=""),"",IFERROR(H19/D19-1,""))</f>
        <v/>
      </c>
      <c r="I21" s="17">
        <f>IF(OR(I19="",E19=""),"",IFERROR(I19/E19-1,""))</f>
        <v/>
      </c>
      <c r="J21" s="17">
        <f>IF(OR(J19="",F19=""),"",IFERROR(J19/F19-1,""))</f>
        <v/>
      </c>
      <c r="K21" s="17">
        <f>IF(OR(K19="",G19=""),"",IFERROR(K19/G19-1,""))</f>
        <v/>
      </c>
      <c r="L21" s="17">
        <f>IF(OR(L19="",H19=""),"",IFERROR(L19/H19-1,""))</f>
        <v/>
      </c>
      <c r="M21" s="17">
        <f>IF(OR(M19="",I19=""),"",IFERROR(M19/I19-1,""))</f>
        <v/>
      </c>
      <c r="N21" s="17">
        <f>IF(OR(N19="",J19=""),"",IFERROR(N19/J19-1,""))</f>
        <v/>
      </c>
      <c r="O21" s="16" t="n"/>
      <c r="P21" s="17">
        <f>IF(OR(P19="",O19=""),"",IFERROR(P19/O19-1,""))</f>
        <v/>
      </c>
      <c r="Q21" s="17">
        <f>IF(OR(Q19="",P19=""),"",IFERROR(Q19/P19-1,""))</f>
        <v/>
      </c>
      <c r="R21" s="17">
        <f>IF(OR(R19="",Q19=""),"",IFERROR(R19/Q19-1,""))</f>
        <v/>
      </c>
      <c r="S21" s="17">
        <f>IF(OR(S19="",R19=""),"",IFERROR(S19/R19-1,""))</f>
        <v/>
      </c>
      <c r="T21" s="17">
        <f>IF(OR(T19="",S19=""),"",IFERROR(T19/S19-1,""))</f>
        <v/>
      </c>
      <c r="U21" s="17">
        <f>IF(OR(U19="",T19=""),"",IFERROR(U19/T19-1,""))</f>
        <v/>
      </c>
      <c r="V21" s="17">
        <f>IF(OR(V19="",U19=""),"",IFERROR(V19/U19-1,""))</f>
        <v/>
      </c>
      <c r="W21" s="17">
        <f>IF(OR(W19="",V19=""),"",IFERROR(W19/V19-1,""))</f>
        <v/>
      </c>
      <c r="X21" s="17">
        <f>IF(OR(X19="",W19=""),"",IFERROR(X19/W19-1,""))</f>
        <v/>
      </c>
      <c r="Y21" s="16">
        <f>IF(OR(Y19="",X19=""),"",IFERROR(Y19/X19-1,""))</f>
        <v/>
      </c>
      <c r="Z21" s="17">
        <f>IF(OR(Z19="",Y19=""),"",IFERROR(Z19/Y19-1,""))</f>
        <v/>
      </c>
      <c r="AA21" s="17">
        <f>IF(OR(AA19="",Z19=""),"",IFERROR(AA19/Z19-1,""))</f>
        <v/>
      </c>
      <c r="AB21" s="17">
        <f>IF(OR(AB19="",AA19=""),"",IFERROR(AB19/AA19-1,""))</f>
        <v/>
      </c>
      <c r="AC21" s="17">
        <f>IF(OR(AC19="",AB19=""),"",IFERROR(AC19/AB19-1,""))</f>
        <v/>
      </c>
    </row>
    <row r="22">
      <c r="A22" s="18" t="inlineStr">
        <is>
          <t>비용의 성격별 분류</t>
        </is>
      </c>
      <c r="B22" s="18" t="inlineStr">
        <is>
          <t>참고 데이터</t>
        </is>
      </c>
      <c r="C22" s="19" t="n"/>
      <c r="D22" s="18" t="n"/>
      <c r="E22" s="18" t="n"/>
      <c r="F22" s="18" t="n"/>
      <c r="G22" s="18" t="n"/>
      <c r="H22" s="18" t="n"/>
      <c r="I22" s="18" t="n"/>
      <c r="J22" s="18" t="n"/>
      <c r="K22" s="18" t="n"/>
      <c r="L22" s="18" t="n"/>
      <c r="M22" s="18" t="n"/>
      <c r="N22" s="18" t="n"/>
      <c r="O22" s="19" t="n"/>
      <c r="P22" s="18" t="n"/>
      <c r="Q22" s="18" t="n"/>
      <c r="R22" s="18" t="n"/>
      <c r="S22" s="18" t="n"/>
      <c r="T22" s="18" t="n"/>
      <c r="U22" s="18" t="n"/>
      <c r="V22" s="18" t="n"/>
      <c r="W22" s="18" t="n"/>
      <c r="X22" s="18" t="n"/>
      <c r="Y22" s="19" t="n"/>
      <c r="Z22" s="18" t="n"/>
      <c r="AA22" s="18" t="n"/>
      <c r="AB22" s="18" t="n"/>
      <c r="AC22" s="18" t="n"/>
    </row>
    <row r="23">
      <c r="A23" s="9" t="inlineStr">
        <is>
          <t>총 판관비</t>
        </is>
      </c>
      <c r="B23" s="10" t="n"/>
      <c r="C23" s="11" t="n"/>
      <c r="D23" s="12" t="n"/>
      <c r="E23" s="12" t="n"/>
      <c r="F23" s="12" t="n"/>
      <c r="G23" s="12" t="n"/>
      <c r="H23" s="12" t="n"/>
      <c r="I23" s="12" t="n"/>
      <c r="J23" s="12" t="n"/>
      <c r="K23" s="12" t="n"/>
      <c r="L23" s="12" t="n"/>
      <c r="M23" s="12" t="n"/>
      <c r="N23" s="12" t="n"/>
      <c r="O23" s="11">
        <f>IF(O17="","",O17)</f>
        <v/>
      </c>
      <c r="P23" s="12">
        <f>IF(P17="","",P17)</f>
        <v/>
      </c>
      <c r="Q23" s="12">
        <f>IF(Q17="","",Q17)</f>
        <v/>
      </c>
      <c r="R23" s="12">
        <f>IF(R17="","",R17)</f>
        <v/>
      </c>
      <c r="S23" s="12">
        <f>IF(S17="","",S17)</f>
        <v/>
      </c>
      <c r="T23" s="12">
        <f>IF(T17="","",T17)</f>
        <v/>
      </c>
      <c r="U23" s="12">
        <f>IF(U17="","",U17)</f>
        <v/>
      </c>
      <c r="V23" s="12">
        <f>IF(V17="","",V17)</f>
        <v/>
      </c>
      <c r="W23" s="12">
        <f>IF(W17="","",W17)</f>
        <v/>
      </c>
      <c r="X23" s="12">
        <f>IF(X17="","",X17)</f>
        <v/>
      </c>
      <c r="Y23" s="11" t="n"/>
      <c r="Z23" s="12" t="n"/>
      <c r="AA23" s="12" t="n"/>
      <c r="AB23" s="12" t="n"/>
      <c r="AC23" s="12" t="n"/>
    </row>
    <row r="24">
      <c r="A24" s="20" t="inlineStr">
        <is>
          <t>급여</t>
        </is>
      </c>
      <c r="B24" s="10" t="inlineStr">
        <is>
          <t>고정비</t>
        </is>
      </c>
      <c r="C24" s="21" t="n"/>
      <c r="D24" s="22" t="n"/>
      <c r="E24" s="22" t="n"/>
      <c r="F24" s="22" t="n"/>
      <c r="G24" s="22" t="n"/>
      <c r="H24" s="22" t="n"/>
      <c r="I24" s="22" t="n"/>
      <c r="J24" s="22" t="n"/>
      <c r="K24" s="22" t="n"/>
      <c r="L24" s="22" t="n"/>
      <c r="M24" s="22" t="n"/>
      <c r="N24" s="22" t="n"/>
      <c r="O24" s="21" t="n"/>
      <c r="P24" s="22" t="n"/>
      <c r="Q24" s="22" t="n"/>
      <c r="R24" s="22" t="n"/>
      <c r="S24" s="22" t="n"/>
      <c r="T24" s="22" t="n"/>
      <c r="U24" s="22" t="n"/>
      <c r="V24" s="22" t="n"/>
      <c r="W24" s="22" t="n"/>
      <c r="X24" s="22" t="n"/>
      <c r="Y24" s="21" t="n"/>
      <c r="Z24" s="22" t="n"/>
      <c r="AA24" s="22" t="n"/>
      <c r="AB24" s="22" t="n"/>
      <c r="AC24" s="22" t="n"/>
    </row>
    <row r="25">
      <c r="A25" s="15" t="inlineStr">
        <is>
          <t>% of Sales</t>
        </is>
      </c>
      <c r="B25" s="10" t="n"/>
      <c r="C25" s="16" t="n"/>
      <c r="D25" s="17" t="n"/>
      <c r="E25" s="17" t="n"/>
      <c r="F25" s="17" t="n"/>
      <c r="G25" s="17" t="n"/>
      <c r="H25" s="17" t="n"/>
      <c r="I25" s="17" t="n"/>
      <c r="J25" s="17" t="n"/>
      <c r="K25" s="17" t="n"/>
      <c r="L25" s="17" t="n"/>
      <c r="M25" s="17" t="n"/>
      <c r="N25" s="17" t="n"/>
      <c r="O25" s="16">
        <f>IF(OR(O24="",O4=""),"",IFERROR(O24/O4,""))</f>
        <v/>
      </c>
      <c r="P25" s="17">
        <f>IF(OR(P24="",P4=""),"",IFERROR(P24/P4,""))</f>
        <v/>
      </c>
      <c r="Q25" s="17">
        <f>IF(OR(Q24="",Q4=""),"",IFERROR(Q24/Q4,""))</f>
        <v/>
      </c>
      <c r="R25" s="17">
        <f>IF(OR(R24="",R4=""),"",IFERROR(R24/R4,""))</f>
        <v/>
      </c>
      <c r="S25" s="17">
        <f>IF(OR(S24="",S4=""),"",IFERROR(S24/S4,""))</f>
        <v/>
      </c>
      <c r="T25" s="17">
        <f>IF(OR(T24="",T4=""),"",IFERROR(T24/T4,""))</f>
        <v/>
      </c>
      <c r="U25" s="17">
        <f>IF(OR(U24="",U4=""),"",IFERROR(U24/U4,""))</f>
        <v/>
      </c>
      <c r="V25" s="17">
        <f>IF(OR(V24="",V4=""),"",IFERROR(V24/V4,""))</f>
        <v/>
      </c>
      <c r="W25" s="17">
        <f>IF(OR(W24="",W4=""),"",IFERROR(W24/W4,""))</f>
        <v/>
      </c>
      <c r="X25" s="17">
        <f>IF(OR(X24="",X4=""),"",IFERROR(X24/X4,""))</f>
        <v/>
      </c>
      <c r="Y25" s="16" t="n"/>
      <c r="Z25" s="17" t="n"/>
      <c r="AA25" s="17" t="n"/>
      <c r="AB25" s="17" t="n"/>
      <c r="AC25" s="17" t="n"/>
    </row>
    <row r="26">
      <c r="A26" s="20" t="inlineStr">
        <is>
          <t>감가상각비</t>
        </is>
      </c>
      <c r="B26" s="10" t="inlineStr">
        <is>
          <t>고정비</t>
        </is>
      </c>
      <c r="C26" s="21" t="n"/>
      <c r="D26" s="22" t="n"/>
      <c r="E26" s="22" t="n"/>
      <c r="F26" s="22" t="n"/>
      <c r="G26" s="22" t="n"/>
      <c r="H26" s="22" t="n"/>
      <c r="I26" s="22" t="n"/>
      <c r="J26" s="22" t="n"/>
      <c r="K26" s="22" t="n"/>
      <c r="L26" s="22" t="n"/>
      <c r="M26" s="22" t="n"/>
      <c r="N26" s="22" t="n"/>
      <c r="O26" s="21" t="n"/>
      <c r="P26" s="22" t="n"/>
      <c r="Q26" s="22" t="n"/>
      <c r="R26" s="22" t="n"/>
      <c r="S26" s="22" t="n"/>
      <c r="T26" s="22" t="n"/>
      <c r="U26" s="22" t="n"/>
      <c r="V26" s="22" t="n"/>
      <c r="W26" s="22" t="n"/>
      <c r="X26" s="22" t="n"/>
      <c r="Y26" s="21" t="n"/>
      <c r="Z26" s="22" t="n"/>
      <c r="AA26" s="22" t="n"/>
      <c r="AB26" s="22" t="n"/>
      <c r="AC26" s="22" t="n"/>
    </row>
    <row r="27">
      <c r="A27" s="15" t="inlineStr">
        <is>
          <t>% of Sales</t>
        </is>
      </c>
      <c r="B27" s="10" t="n"/>
      <c r="C27" s="16" t="n"/>
      <c r="D27" s="17" t="n"/>
      <c r="E27" s="17" t="n"/>
      <c r="F27" s="17" t="n"/>
      <c r="G27" s="17" t="n"/>
      <c r="H27" s="17" t="n"/>
      <c r="I27" s="17" t="n"/>
      <c r="J27" s="17" t="n"/>
      <c r="K27" s="17" t="n"/>
      <c r="L27" s="17" t="n"/>
      <c r="M27" s="17" t="n"/>
      <c r="N27" s="17" t="n"/>
      <c r="O27" s="16">
        <f>IF(OR(O26="",O4=""),"",IFERROR(O26/O4,""))</f>
        <v/>
      </c>
      <c r="P27" s="17">
        <f>IF(OR(P26="",P4=""),"",IFERROR(P26/P4,""))</f>
        <v/>
      </c>
      <c r="Q27" s="17">
        <f>IF(OR(Q26="",Q4=""),"",IFERROR(Q26/Q4,""))</f>
        <v/>
      </c>
      <c r="R27" s="17">
        <f>IF(OR(R26="",R4=""),"",IFERROR(R26/R4,""))</f>
        <v/>
      </c>
      <c r="S27" s="17">
        <f>IF(OR(S26="",S4=""),"",IFERROR(S26/S4,""))</f>
        <v/>
      </c>
      <c r="T27" s="17">
        <f>IF(OR(T26="",T4=""),"",IFERROR(T26/T4,""))</f>
        <v/>
      </c>
      <c r="U27" s="17">
        <f>IF(OR(U26="",U4=""),"",IFERROR(U26/U4,""))</f>
        <v/>
      </c>
      <c r="V27" s="17">
        <f>IF(OR(V26="",V4=""),"",IFERROR(V26/V4,""))</f>
        <v/>
      </c>
      <c r="W27" s="17">
        <f>IF(OR(W26="",W4=""),"",IFERROR(W26/W4,""))</f>
        <v/>
      </c>
      <c r="X27" s="17">
        <f>IF(OR(X26="",X4=""),"",IFERROR(X26/X4,""))</f>
        <v/>
      </c>
      <c r="Y27" s="16" t="n"/>
      <c r="Z27" s="17" t="n"/>
      <c r="AA27" s="17" t="n"/>
      <c r="AB27" s="17" t="n"/>
      <c r="AC27" s="17" t="n"/>
    </row>
    <row r="28">
      <c r="A28" s="20" t="inlineStr">
        <is>
          <t>지급수수료</t>
        </is>
      </c>
      <c r="B28" s="10" t="inlineStr">
        <is>
          <t>고정비</t>
        </is>
      </c>
      <c r="C28" s="21" t="n"/>
      <c r="D28" s="22" t="n"/>
      <c r="E28" s="22" t="n"/>
      <c r="F28" s="22" t="n"/>
      <c r="G28" s="22" t="n"/>
      <c r="H28" s="22" t="n"/>
      <c r="I28" s="22" t="n"/>
      <c r="J28" s="22" t="n"/>
      <c r="K28" s="22" t="n"/>
      <c r="L28" s="22" t="n"/>
      <c r="M28" s="22" t="n"/>
      <c r="N28" s="22" t="n"/>
      <c r="O28" s="21" t="n"/>
      <c r="P28" s="22" t="n"/>
      <c r="Q28" s="22" t="n"/>
      <c r="R28" s="22" t="n"/>
      <c r="S28" s="22" t="n"/>
      <c r="T28" s="22" t="n"/>
      <c r="U28" s="22" t="n"/>
      <c r="V28" s="22" t="n"/>
      <c r="W28" s="22" t="n"/>
      <c r="X28" s="22" t="n"/>
      <c r="Y28" s="21" t="n"/>
      <c r="Z28" s="22" t="n"/>
      <c r="AA28" s="22" t="n"/>
      <c r="AB28" s="22" t="n"/>
      <c r="AC28" s="22" t="n"/>
    </row>
    <row r="29">
      <c r="A29" s="15" t="inlineStr">
        <is>
          <t>% of Sales</t>
        </is>
      </c>
      <c r="B29" s="10" t="n"/>
      <c r="C29" s="16" t="n"/>
      <c r="D29" s="17" t="n"/>
      <c r="E29" s="17" t="n"/>
      <c r="F29" s="17" t="n"/>
      <c r="G29" s="17" t="n"/>
      <c r="H29" s="17" t="n"/>
      <c r="I29" s="17" t="n"/>
      <c r="J29" s="17" t="n"/>
      <c r="K29" s="17" t="n"/>
      <c r="L29" s="17" t="n"/>
      <c r="M29" s="17" t="n"/>
      <c r="N29" s="17" t="n"/>
      <c r="O29" s="16">
        <f>IF(OR(O28="",O4=""),"",IFERROR(O28/O4,""))</f>
        <v/>
      </c>
      <c r="P29" s="17">
        <f>IF(OR(P28="",P4=""),"",IFERROR(P28/P4,""))</f>
        <v/>
      </c>
      <c r="Q29" s="17">
        <f>IF(OR(Q28="",Q4=""),"",IFERROR(Q28/Q4,""))</f>
        <v/>
      </c>
      <c r="R29" s="17">
        <f>IF(OR(R28="",R4=""),"",IFERROR(R28/R4,""))</f>
        <v/>
      </c>
      <c r="S29" s="17">
        <f>IF(OR(S28="",S4=""),"",IFERROR(S28/S4,""))</f>
        <v/>
      </c>
      <c r="T29" s="17">
        <f>IF(OR(T28="",T4=""),"",IFERROR(T28/T4,""))</f>
        <v/>
      </c>
      <c r="U29" s="17">
        <f>IF(OR(U28="",U4=""),"",IFERROR(U28/U4,""))</f>
        <v/>
      </c>
      <c r="V29" s="17">
        <f>IF(OR(V28="",V4=""),"",IFERROR(V28/V4,""))</f>
        <v/>
      </c>
      <c r="W29" s="17">
        <f>IF(OR(W28="",W4=""),"",IFERROR(W28/W4,""))</f>
        <v/>
      </c>
      <c r="X29" s="17">
        <f>IF(OR(X28="",X4=""),"",IFERROR(X28/X4,""))</f>
        <v/>
      </c>
      <c r="Y29" s="16" t="n"/>
      <c r="Z29" s="17" t="n"/>
      <c r="AA29" s="17" t="n"/>
      <c r="AB29" s="17" t="n"/>
      <c r="AC29" s="17" t="n"/>
    </row>
    <row r="30">
      <c r="A30" s="20" t="inlineStr">
        <is>
          <t>연구개발비</t>
        </is>
      </c>
      <c r="B30" s="10" t="inlineStr">
        <is>
          <t>변동비</t>
        </is>
      </c>
      <c r="C30" s="21" t="n"/>
      <c r="D30" s="22" t="n"/>
      <c r="E30" s="22" t="n"/>
      <c r="F30" s="22" t="n"/>
      <c r="G30" s="22" t="n"/>
      <c r="H30" s="22" t="n"/>
      <c r="I30" s="22" t="n"/>
      <c r="J30" s="22" t="n"/>
      <c r="K30" s="22" t="n"/>
      <c r="L30" s="22" t="n"/>
      <c r="M30" s="22" t="n"/>
      <c r="N30" s="22" t="n"/>
      <c r="O30" s="21" t="n"/>
      <c r="P30" s="22" t="n"/>
      <c r="Q30" s="22" t="n"/>
      <c r="R30" s="22" t="n"/>
      <c r="S30" s="22" t="n"/>
      <c r="T30" s="22" t="n"/>
      <c r="U30" s="22" t="n"/>
      <c r="V30" s="22" t="n"/>
      <c r="W30" s="22" t="n"/>
      <c r="X30" s="22" t="n"/>
      <c r="Y30" s="21" t="n"/>
      <c r="Z30" s="22" t="n"/>
      <c r="AA30" s="22" t="n"/>
      <c r="AB30" s="22" t="n"/>
      <c r="AC30" s="22" t="n"/>
    </row>
    <row r="31">
      <c r="A31" s="15" t="inlineStr">
        <is>
          <t>% of Sales</t>
        </is>
      </c>
      <c r="B31" s="10" t="n"/>
      <c r="C31" s="16" t="n"/>
      <c r="D31" s="17" t="n"/>
      <c r="E31" s="17" t="n"/>
      <c r="F31" s="17" t="n"/>
      <c r="G31" s="17" t="n"/>
      <c r="H31" s="17" t="n"/>
      <c r="I31" s="17" t="n"/>
      <c r="J31" s="17" t="n"/>
      <c r="K31" s="17" t="n"/>
      <c r="L31" s="17" t="n"/>
      <c r="M31" s="17" t="n"/>
      <c r="N31" s="17" t="n"/>
      <c r="O31" s="16">
        <f>IF(OR(O30="",O4=""),"",IFERROR(O30/O4,""))</f>
        <v/>
      </c>
      <c r="P31" s="17">
        <f>IF(OR(P30="",P4=""),"",IFERROR(P30/P4,""))</f>
        <v/>
      </c>
      <c r="Q31" s="17">
        <f>IF(OR(Q30="",Q4=""),"",IFERROR(Q30/Q4,""))</f>
        <v/>
      </c>
      <c r="R31" s="17">
        <f>IF(OR(R30="",R4=""),"",IFERROR(R30/R4,""))</f>
        <v/>
      </c>
      <c r="S31" s="17">
        <f>IF(OR(S30="",S4=""),"",IFERROR(S30/S4,""))</f>
        <v/>
      </c>
      <c r="T31" s="17">
        <f>IF(OR(T30="",T4=""),"",IFERROR(T30/T4,""))</f>
        <v/>
      </c>
      <c r="U31" s="17">
        <f>IF(OR(U30="",U4=""),"",IFERROR(U30/U4,""))</f>
        <v/>
      </c>
      <c r="V31" s="17">
        <f>IF(OR(V30="",V4=""),"",IFERROR(V30/V4,""))</f>
        <v/>
      </c>
      <c r="W31" s="17">
        <f>IF(OR(W30="",W4=""),"",IFERROR(W30/W4,""))</f>
        <v/>
      </c>
      <c r="X31" s="17">
        <f>IF(OR(X30="",X4=""),"",IFERROR(X30/X4,""))</f>
        <v/>
      </c>
      <c r="Y31" s="16" t="n"/>
      <c r="Z31" s="17" t="n"/>
      <c r="AA31" s="17" t="n"/>
      <c r="AB31" s="17" t="n"/>
      <c r="AC31" s="17" t="n"/>
    </row>
    <row r="32">
      <c r="A32" s="20" t="inlineStr">
        <is>
          <t>기타비용</t>
        </is>
      </c>
      <c r="B32" s="10" t="inlineStr">
        <is>
          <t>변동비</t>
        </is>
      </c>
      <c r="C32" s="21" t="n"/>
      <c r="D32" s="22" t="n"/>
      <c r="E32" s="22" t="n"/>
      <c r="F32" s="22" t="n"/>
      <c r="G32" s="22" t="n"/>
      <c r="H32" s="22" t="n"/>
      <c r="I32" s="22" t="n"/>
      <c r="J32" s="22" t="n"/>
      <c r="K32" s="22" t="n"/>
      <c r="L32" s="22" t="n"/>
      <c r="M32" s="22" t="n"/>
      <c r="N32" s="22" t="n"/>
      <c r="O32" s="21">
        <f>IF(OR(O23="",O24="",O26="",O28="",O30=""),"",IFERROR(O23-O24-O26-O28-O30,""))</f>
        <v/>
      </c>
      <c r="P32" s="22">
        <f>IF(OR(P23="",P24="",P26="",P28="",P30=""),"",IFERROR(P23-P24-P26-P28-P30,""))</f>
        <v/>
      </c>
      <c r="Q32" s="22">
        <f>IF(OR(Q23="",Q24="",Q26="",Q28="",Q30=""),"",IFERROR(Q23-Q24-Q26-Q28-Q30,""))</f>
        <v/>
      </c>
      <c r="R32" s="22">
        <f>IF(OR(R23="",R24="",R26="",R28="",R30=""),"",IFERROR(R23-R24-R26-R28-R30,""))</f>
        <v/>
      </c>
      <c r="S32" s="22">
        <f>IF(OR(S23="",S24="",S26="",S28="",S30=""),"",IFERROR(S23-S24-S26-S28-S30,""))</f>
        <v/>
      </c>
      <c r="T32" s="22">
        <f>IF(OR(T23="",T24="",T26="",T28="",T30=""),"",IFERROR(T23-T24-T26-T28-T30,""))</f>
        <v/>
      </c>
      <c r="U32" s="22">
        <f>IF(OR(U23="",U24="",U26="",U28="",U30=""),"",IFERROR(U23-U24-U26-U28-U30,""))</f>
        <v/>
      </c>
      <c r="V32" s="22">
        <f>IF(OR(V23="",V24="",V26="",V28="",V30=""),"",IFERROR(V23-V24-V26-V28-V30,""))</f>
        <v/>
      </c>
      <c r="W32" s="22">
        <f>IF(OR(W23="",W24="",W26="",W28="",W30=""),"",IFERROR(W23-W24-W26-W28-W30,""))</f>
        <v/>
      </c>
      <c r="X32" s="22">
        <f>IF(OR(X23="",X24="",X26="",X28="",X30=""),"",IFERROR(X23-X24-X26-X28-X30,""))</f>
        <v/>
      </c>
      <c r="Y32" s="21" t="n"/>
      <c r="Z32" s="22" t="n"/>
      <c r="AA32" s="22" t="n"/>
      <c r="AB32" s="22" t="n"/>
      <c r="AC32" s="22" t="n"/>
    </row>
    <row r="33">
      <c r="A33" s="15" t="inlineStr">
        <is>
          <t>% of Sales</t>
        </is>
      </c>
      <c r="B33" s="10" t="n"/>
      <c r="C33" s="16" t="n"/>
      <c r="D33" s="17" t="n"/>
      <c r="E33" s="17" t="n"/>
      <c r="F33" s="17" t="n"/>
      <c r="G33" s="17" t="n"/>
      <c r="H33" s="17" t="n"/>
      <c r="I33" s="17" t="n"/>
      <c r="J33" s="17" t="n"/>
      <c r="K33" s="17" t="n"/>
      <c r="L33" s="17" t="n"/>
      <c r="M33" s="17" t="n"/>
      <c r="N33" s="17" t="n"/>
      <c r="O33" s="16">
        <f>IF(OR(O32="",O4=""),"",IFERROR(O32/O4,""))</f>
        <v/>
      </c>
      <c r="P33" s="17">
        <f>IF(OR(P32="",P4=""),"",IFERROR(P32/P4,""))</f>
        <v/>
      </c>
      <c r="Q33" s="17">
        <f>IF(OR(Q32="",Q4=""),"",IFERROR(Q32/Q4,""))</f>
        <v/>
      </c>
      <c r="R33" s="17">
        <f>IF(OR(R32="",R4=""),"",IFERROR(R32/R4,""))</f>
        <v/>
      </c>
      <c r="S33" s="17">
        <f>IF(OR(S32="",S4=""),"",IFERROR(S32/S4,""))</f>
        <v/>
      </c>
      <c r="T33" s="17">
        <f>IF(OR(T32="",T4=""),"",IFERROR(T32/T4,""))</f>
        <v/>
      </c>
      <c r="U33" s="17">
        <f>IF(OR(U32="",U4=""),"",IFERROR(U32/U4,""))</f>
        <v/>
      </c>
      <c r="V33" s="17">
        <f>IF(OR(V32="",V4=""),"",IFERROR(V32/V4,""))</f>
        <v/>
      </c>
      <c r="W33" s="17">
        <f>IF(OR(W32="",W4=""),"",IFERROR(W32/W4,""))</f>
        <v/>
      </c>
      <c r="X33" s="17">
        <f>IF(OR(X32="",X4=""),"",IFERROR(X32/X4,""))</f>
        <v/>
      </c>
      <c r="Y33" s="16" t="n"/>
      <c r="Z33" s="17" t="n"/>
      <c r="AA33" s="17" t="n"/>
      <c r="AB33" s="17" t="n"/>
      <c r="AC33" s="17" t="n"/>
    </row>
    <row r="34">
      <c r="A34" s="18" t="inlineStr">
        <is>
          <t>당기순이익 추정</t>
        </is>
      </c>
      <c r="B34" s="18" t="n"/>
      <c r="C34" s="19" t="n"/>
      <c r="D34" s="18" t="n"/>
      <c r="E34" s="18" t="n"/>
      <c r="F34" s="18" t="n"/>
      <c r="G34" s="18" t="n"/>
      <c r="H34" s="18" t="n"/>
      <c r="I34" s="18" t="n"/>
      <c r="J34" s="18" t="n"/>
      <c r="K34" s="18" t="n"/>
      <c r="L34" s="18" t="n"/>
      <c r="M34" s="18" t="n"/>
      <c r="N34" s="18" t="n"/>
      <c r="O34" s="19" t="n"/>
      <c r="P34" s="18" t="n"/>
      <c r="Q34" s="18" t="n"/>
      <c r="R34" s="18" t="n"/>
      <c r="S34" s="18" t="n"/>
      <c r="T34" s="18" t="n"/>
      <c r="U34" s="18" t="n"/>
      <c r="V34" s="18" t="n"/>
      <c r="W34" s="18" t="n"/>
      <c r="X34" s="18" t="n"/>
      <c r="Y34" s="19" t="n"/>
      <c r="Z34" s="18" t="n"/>
      <c r="AA34" s="18" t="n"/>
      <c r="AB34" s="18" t="n"/>
      <c r="AC34" s="18" t="n"/>
    </row>
    <row r="35">
      <c r="A35" s="20" t="inlineStr">
        <is>
          <t>기타이익</t>
        </is>
      </c>
      <c r="B35" s="10" t="n"/>
      <c r="C35" s="21" t="n"/>
      <c r="D35" s="22" t="n"/>
      <c r="E35" s="22" t="n"/>
      <c r="F35" s="22" t="n"/>
      <c r="G35" s="22" t="n"/>
      <c r="H35" s="22" t="n"/>
      <c r="I35" s="22" t="n"/>
      <c r="J35" s="22" t="n"/>
      <c r="K35" s="22" t="n"/>
      <c r="L35" s="22" t="n"/>
      <c r="M35" s="22" t="n"/>
      <c r="N35" s="22" t="n"/>
      <c r="O35" s="21" t="n"/>
      <c r="P35" s="22" t="n"/>
      <c r="Q35" s="22" t="n"/>
      <c r="R35" s="22" t="n"/>
      <c r="S35" s="22" t="n"/>
      <c r="T35" s="22" t="n"/>
      <c r="U35" s="22" t="n"/>
      <c r="V35" s="22" t="n"/>
      <c r="W35" s="22" t="n"/>
      <c r="X35" s="22" t="n"/>
      <c r="Y35" s="21">
        <f>IF(OR(Y4="",Y36=""),"",IFERROR(Y4*Y36,""))</f>
        <v/>
      </c>
      <c r="Z35" s="22">
        <f>IF(OR(Z4="",Z36=""),"",IFERROR(Z4*Z36,""))</f>
        <v/>
      </c>
      <c r="AA35" s="22">
        <f>IF(OR(AA4="",AA36=""),"",IFERROR(AA4*AA36,""))</f>
        <v/>
      </c>
      <c r="AB35" s="22">
        <f>IF(OR(AB4="",AB36=""),"",IFERROR(AB4*AB36,""))</f>
        <v/>
      </c>
      <c r="AC35" s="22">
        <f>IF(OR(AC4="",AC36=""),"",IFERROR(AC4*AC36,""))</f>
        <v/>
      </c>
    </row>
    <row r="36">
      <c r="A36" s="15" t="inlineStr">
        <is>
          <t>% of Sales</t>
        </is>
      </c>
      <c r="B36" s="10" t="inlineStr">
        <is>
          <t>MW = 최근 3년 평균</t>
        </is>
      </c>
      <c r="C36" s="16">
        <f>IF(OR(C35="",C4=""),"",IFERROR(C35/C4,""))</f>
        <v/>
      </c>
      <c r="D36" s="17">
        <f>IF(OR(D35="",D4=""),"",IFERROR(D35/D4,""))</f>
        <v/>
      </c>
      <c r="E36" s="17">
        <f>IF(OR(E35="",E4=""),"",IFERROR(E35/E4,""))</f>
        <v/>
      </c>
      <c r="F36" s="17">
        <f>IF(OR(F35="",F4=""),"",IFERROR(F35/F4,""))</f>
        <v/>
      </c>
      <c r="G36" s="17">
        <f>IF(OR(G35="",G4=""),"",IFERROR(G35/G4,""))</f>
        <v/>
      </c>
      <c r="H36" s="17">
        <f>IF(OR(H35="",H4=""),"",IFERROR(H35/H4,""))</f>
        <v/>
      </c>
      <c r="I36" s="17">
        <f>IF(OR(I35="",I4=""),"",IFERROR(I35/I4,""))</f>
        <v/>
      </c>
      <c r="J36" s="17">
        <f>IF(OR(J35="",J4=""),"",IFERROR(J35/J4,""))</f>
        <v/>
      </c>
      <c r="K36" s="17">
        <f>IF(OR(K35="",K4=""),"",IFERROR(K35/K4,""))</f>
        <v/>
      </c>
      <c r="L36" s="17">
        <f>IF(OR(L35="",L4=""),"",IFERROR(L35/L4,""))</f>
        <v/>
      </c>
      <c r="M36" s="17">
        <f>IF(OR(M35="",M4=""),"",IFERROR(M35/M4,""))</f>
        <v/>
      </c>
      <c r="N36" s="17">
        <f>IF(OR(N35="",N4=""),"",IFERROR(N35/N4,""))</f>
        <v/>
      </c>
      <c r="O36" s="16">
        <f>IF(OR(O35="",O4=""),"",IFERROR(O35/O4,""))</f>
        <v/>
      </c>
      <c r="P36" s="17">
        <f>IF(OR(P35="",P4=""),"",IFERROR(P35/P4,""))</f>
        <v/>
      </c>
      <c r="Q36" s="17">
        <f>IF(OR(Q35="",Q4=""),"",IFERROR(Q35/Q4,""))</f>
        <v/>
      </c>
      <c r="R36" s="17">
        <f>IF(OR(R35="",R4=""),"",IFERROR(R35/R4,""))</f>
        <v/>
      </c>
      <c r="S36" s="17">
        <f>IF(OR(S35="",S4=""),"",IFERROR(S35/S4,""))</f>
        <v/>
      </c>
      <c r="T36" s="17">
        <f>IF(OR(T35="",T4=""),"",IFERROR(T35/T4,""))</f>
        <v/>
      </c>
      <c r="U36" s="17">
        <f>IF(OR(U35="",U4=""),"",IFERROR(U35/U4,""))</f>
        <v/>
      </c>
      <c r="V36" s="17">
        <f>IF(OR(V35="",V4=""),"",IFERROR(V35/V4,""))</f>
        <v/>
      </c>
      <c r="W36" s="17">
        <f>IF(OR(W35="",W4=""),"",IFERROR(W35/W4,""))</f>
        <v/>
      </c>
      <c r="X36" s="17">
        <f>IF(OR(X35="",X4=""),"",IFERROR(X35/X4,""))</f>
        <v/>
      </c>
      <c r="Y36" s="27">
        <f>IFERROR(AVERAGE(V36,W36,X36),"")</f>
        <v/>
      </c>
      <c r="Z36" s="28">
        <f>Y36</f>
        <v/>
      </c>
      <c r="AA36" s="28">
        <f>Z36</f>
        <v/>
      </c>
      <c r="AB36" s="28">
        <f>AA36</f>
        <v/>
      </c>
      <c r="AC36" s="28">
        <f>AB36</f>
        <v/>
      </c>
    </row>
    <row r="37">
      <c r="A37" s="20" t="inlineStr">
        <is>
          <t>기타손실</t>
        </is>
      </c>
      <c r="B37" s="10" t="n"/>
      <c r="C37" s="21" t="n"/>
      <c r="D37" s="22" t="n"/>
      <c r="E37" s="22" t="n"/>
      <c r="F37" s="22" t="n"/>
      <c r="G37" s="22" t="n"/>
      <c r="H37" s="22" t="n"/>
      <c r="I37" s="22" t="n"/>
      <c r="J37" s="22" t="n"/>
      <c r="K37" s="22" t="n"/>
      <c r="L37" s="22" t="n"/>
      <c r="M37" s="22" t="n"/>
      <c r="N37" s="22" t="n"/>
      <c r="O37" s="21" t="n"/>
      <c r="P37" s="22" t="n"/>
      <c r="Q37" s="22" t="n"/>
      <c r="R37" s="22" t="n"/>
      <c r="S37" s="22" t="n"/>
      <c r="T37" s="22" t="n"/>
      <c r="U37" s="22" t="n"/>
      <c r="V37" s="22" t="n"/>
      <c r="W37" s="22" t="n"/>
      <c r="X37" s="22" t="n"/>
      <c r="Y37" s="21">
        <f>IF(OR(Y4="",Y38=""),"",IFERROR(Y4*Y38,""))</f>
        <v/>
      </c>
      <c r="Z37" s="22">
        <f>IF(OR(Z4="",Z38=""),"",IFERROR(Z4*Z38,""))</f>
        <v/>
      </c>
      <c r="AA37" s="22">
        <f>IF(OR(AA4="",AA38=""),"",IFERROR(AA4*AA38,""))</f>
        <v/>
      </c>
      <c r="AB37" s="22">
        <f>IF(OR(AB4="",AB38=""),"",IFERROR(AB4*AB38,""))</f>
        <v/>
      </c>
      <c r="AC37" s="22">
        <f>IF(OR(AC4="",AC38=""),"",IFERROR(AC4*AC38,""))</f>
        <v/>
      </c>
    </row>
    <row r="38">
      <c r="A38" s="15" t="inlineStr">
        <is>
          <t>% of Sales</t>
        </is>
      </c>
      <c r="B38" s="10" t="n"/>
      <c r="C38" s="16">
        <f>IF(OR(C37="",C4=""),"",IFERROR(C37/C4,""))</f>
        <v/>
      </c>
      <c r="D38" s="17">
        <f>IF(OR(D37="",D4=""),"",IFERROR(D37/D4,""))</f>
        <v/>
      </c>
      <c r="E38" s="17">
        <f>IF(OR(E37="",E4=""),"",IFERROR(E37/E4,""))</f>
        <v/>
      </c>
      <c r="F38" s="17">
        <f>IF(OR(F37="",F4=""),"",IFERROR(F37/F4,""))</f>
        <v/>
      </c>
      <c r="G38" s="17">
        <f>IF(OR(G37="",G4=""),"",IFERROR(G37/G4,""))</f>
        <v/>
      </c>
      <c r="H38" s="17">
        <f>IF(OR(H37="",H4=""),"",IFERROR(H37/H4,""))</f>
        <v/>
      </c>
      <c r="I38" s="17">
        <f>IF(OR(I37="",I4=""),"",IFERROR(I37/I4,""))</f>
        <v/>
      </c>
      <c r="J38" s="17">
        <f>IF(OR(J37="",J4=""),"",IFERROR(J37/J4,""))</f>
        <v/>
      </c>
      <c r="K38" s="17">
        <f>IF(OR(K37="",K4=""),"",IFERROR(K37/K4,""))</f>
        <v/>
      </c>
      <c r="L38" s="17">
        <f>IF(OR(L37="",L4=""),"",IFERROR(L37/L4,""))</f>
        <v/>
      </c>
      <c r="M38" s="17">
        <f>IF(OR(M37="",M4=""),"",IFERROR(M37/M4,""))</f>
        <v/>
      </c>
      <c r="N38" s="17">
        <f>IF(OR(N37="",N4=""),"",IFERROR(N37/N4,""))</f>
        <v/>
      </c>
      <c r="O38" s="16">
        <f>IF(OR(O37="",O4=""),"",IFERROR(O37/O4,""))</f>
        <v/>
      </c>
      <c r="P38" s="17">
        <f>IF(OR(P37="",P4=""),"",IFERROR(P37/P4,""))</f>
        <v/>
      </c>
      <c r="Q38" s="17">
        <f>IF(OR(Q37="",Q4=""),"",IFERROR(Q37/Q4,""))</f>
        <v/>
      </c>
      <c r="R38" s="17">
        <f>IF(OR(R37="",R4=""),"",IFERROR(R37/R4,""))</f>
        <v/>
      </c>
      <c r="S38" s="17">
        <f>IF(OR(S37="",S4=""),"",IFERROR(S37/S4,""))</f>
        <v/>
      </c>
      <c r="T38" s="17">
        <f>IF(OR(T37="",T4=""),"",IFERROR(T37/T4,""))</f>
        <v/>
      </c>
      <c r="U38" s="17">
        <f>IF(OR(U37="",U4=""),"",IFERROR(U37/U4,""))</f>
        <v/>
      </c>
      <c r="V38" s="17">
        <f>IF(OR(V37="",V4=""),"",IFERROR(V37/V4,""))</f>
        <v/>
      </c>
      <c r="W38" s="17">
        <f>IF(OR(W37="",W4=""),"",IFERROR(W37/W4,""))</f>
        <v/>
      </c>
      <c r="X38" s="17">
        <f>IF(OR(X37="",X4=""),"",IFERROR(X37/X4,""))</f>
        <v/>
      </c>
      <c r="Y38" s="27">
        <f>IFERROR(AVERAGE(V38,W38,X38),"")</f>
        <v/>
      </c>
      <c r="Z38" s="28">
        <f>Y38</f>
        <v/>
      </c>
      <c r="AA38" s="28">
        <f>Z38</f>
        <v/>
      </c>
      <c r="AB38" s="28">
        <f>AA38</f>
        <v/>
      </c>
      <c r="AC38" s="28">
        <f>AB38</f>
        <v/>
      </c>
    </row>
    <row r="39">
      <c r="A39" s="20" t="inlineStr">
        <is>
          <t>금융수익</t>
        </is>
      </c>
      <c r="B39" s="10" t="n"/>
      <c r="C39" s="21" t="n">
        <v>-2143</v>
      </c>
      <c r="D39" s="22" t="n">
        <v>21789</v>
      </c>
      <c r="E39" s="22" t="n">
        <v>5992</v>
      </c>
      <c r="F39" s="22" t="n">
        <v>30677</v>
      </c>
      <c r="G39" s="22" t="n">
        <v>4116</v>
      </c>
      <c r="H39" s="22" t="n">
        <v>-6988</v>
      </c>
      <c r="I39" s="22" t="n">
        <v>18744</v>
      </c>
      <c r="J39" s="22" t="n">
        <v>73758</v>
      </c>
      <c r="K39" s="22" t="n">
        <v>44396</v>
      </c>
      <c r="L39" s="22" t="n">
        <v>87871</v>
      </c>
      <c r="M39" s="22" t="n">
        <v>5152</v>
      </c>
      <c r="N39" s="22" t="n">
        <v>24608</v>
      </c>
      <c r="O39" s="21" t="n"/>
      <c r="P39" s="22" t="n">
        <v>39543</v>
      </c>
      <c r="Q39" s="22" t="n">
        <v>16843</v>
      </c>
      <c r="R39" s="22" t="n">
        <v>27831</v>
      </c>
      <c r="S39" s="22" t="n">
        <v>105521</v>
      </c>
      <c r="T39" s="22" t="n">
        <v>23700</v>
      </c>
      <c r="U39" s="22" t="n">
        <v>62913</v>
      </c>
      <c r="V39" s="22" t="n">
        <v>52093</v>
      </c>
      <c r="W39" s="22" t="n">
        <v>46549</v>
      </c>
      <c r="X39" s="22" t="n">
        <v>211177</v>
      </c>
      <c r="Y39" s="21">
        <f>IF(OR(Y4="",Y40=""),"",IFERROR(Y4*Y40,""))</f>
        <v/>
      </c>
      <c r="Z39" s="22">
        <f>IF(OR(Z4="",Z40=""),"",IFERROR(Z4*Z40,""))</f>
        <v/>
      </c>
      <c r="AA39" s="22">
        <f>IF(OR(AA4="",AA40=""),"",IFERROR(AA4*AA40,""))</f>
        <v/>
      </c>
      <c r="AB39" s="22">
        <f>IF(OR(AB4="",AB40=""),"",IFERROR(AB4*AB40,""))</f>
        <v/>
      </c>
      <c r="AC39" s="22">
        <f>IF(OR(AC4="",AC40=""),"",IFERROR(AC4*AC40,""))</f>
        <v/>
      </c>
    </row>
    <row r="40">
      <c r="A40" s="15" t="inlineStr">
        <is>
          <t>% of Sales</t>
        </is>
      </c>
      <c r="B40" s="10" t="n"/>
      <c r="C40" s="16">
        <f>IF(OR(C39="",C4=""),"",IFERROR(C39/C4,""))</f>
        <v/>
      </c>
      <c r="D40" s="17">
        <f>IF(OR(D39="",D4=""),"",IFERROR(D39/D4,""))</f>
        <v/>
      </c>
      <c r="E40" s="17">
        <f>IF(OR(E39="",E4=""),"",IFERROR(E39/E4,""))</f>
        <v/>
      </c>
      <c r="F40" s="17">
        <f>IF(OR(F39="",F4=""),"",IFERROR(F39/F4,""))</f>
        <v/>
      </c>
      <c r="G40" s="17">
        <f>IF(OR(G39="",G4=""),"",IFERROR(G39/G4,""))</f>
        <v/>
      </c>
      <c r="H40" s="17">
        <f>IF(OR(H39="",H4=""),"",IFERROR(H39/H4,""))</f>
        <v/>
      </c>
      <c r="I40" s="17">
        <f>IF(OR(I39="",I4=""),"",IFERROR(I39/I4,""))</f>
        <v/>
      </c>
      <c r="J40" s="17">
        <f>IF(OR(J39="",J4=""),"",IFERROR(J39/J4,""))</f>
        <v/>
      </c>
      <c r="K40" s="17">
        <f>IF(OR(K39="",K4=""),"",IFERROR(K39/K4,""))</f>
        <v/>
      </c>
      <c r="L40" s="17">
        <f>IF(OR(L39="",L4=""),"",IFERROR(L39/L4,""))</f>
        <v/>
      </c>
      <c r="M40" s="17">
        <f>IF(OR(M39="",M4=""),"",IFERROR(M39/M4,""))</f>
        <v/>
      </c>
      <c r="N40" s="17">
        <f>IF(OR(N39="",N4=""),"",IFERROR(N39/N4,""))</f>
        <v/>
      </c>
      <c r="O40" s="16">
        <f>IF(OR(O39="",O4=""),"",IFERROR(O39/O4,""))</f>
        <v/>
      </c>
      <c r="P40" s="17">
        <f>IF(OR(P39="",P4=""),"",IFERROR(P39/P4,""))</f>
        <v/>
      </c>
      <c r="Q40" s="17">
        <f>IF(OR(Q39="",Q4=""),"",IFERROR(Q39/Q4,""))</f>
        <v/>
      </c>
      <c r="R40" s="17">
        <f>IF(OR(R39="",R4=""),"",IFERROR(R39/R4,""))</f>
        <v/>
      </c>
      <c r="S40" s="17">
        <f>IF(OR(S39="",S4=""),"",IFERROR(S39/S4,""))</f>
        <v/>
      </c>
      <c r="T40" s="17">
        <f>IF(OR(T39="",T4=""),"",IFERROR(T39/T4,""))</f>
        <v/>
      </c>
      <c r="U40" s="17">
        <f>IF(OR(U39="",U4=""),"",IFERROR(U39/U4,""))</f>
        <v/>
      </c>
      <c r="V40" s="17">
        <f>IF(OR(V39="",V4=""),"",IFERROR(V39/V4,""))</f>
        <v/>
      </c>
      <c r="W40" s="17">
        <f>IF(OR(W39="",W4=""),"",IFERROR(W39/W4,""))</f>
        <v/>
      </c>
      <c r="X40" s="17">
        <f>IF(OR(X39="",X4=""),"",IFERROR(X39/X4,""))</f>
        <v/>
      </c>
      <c r="Y40" s="27">
        <f>IFERROR(AVERAGE(V40,W40,X40),"")</f>
        <v/>
      </c>
      <c r="Z40" s="28">
        <f>Y40</f>
        <v/>
      </c>
      <c r="AA40" s="28">
        <f>Z40</f>
        <v/>
      </c>
      <c r="AB40" s="28">
        <f>AA40</f>
        <v/>
      </c>
      <c r="AC40" s="28">
        <f>AB40</f>
        <v/>
      </c>
    </row>
    <row r="41">
      <c r="A41" s="20" t="inlineStr">
        <is>
          <t>금융원가</t>
        </is>
      </c>
      <c r="B41" s="10" t="n"/>
      <c r="C41" s="21" t="n">
        <v>46520</v>
      </c>
      <c r="D41" s="22" t="n">
        <v>66568</v>
      </c>
      <c r="E41" s="22" t="n">
        <v>47187</v>
      </c>
      <c r="F41" s="22" t="n">
        <v>59691</v>
      </c>
      <c r="G41" s="22" t="n">
        <v>68454</v>
      </c>
      <c r="H41" s="22" t="n">
        <v>31596</v>
      </c>
      <c r="I41" s="22" t="n">
        <v>50324</v>
      </c>
      <c r="J41" s="22" t="n">
        <v>107158</v>
      </c>
      <c r="K41" s="22" t="n">
        <v>83138</v>
      </c>
      <c r="L41" s="22" t="n">
        <v>123627</v>
      </c>
      <c r="M41" s="22" t="n">
        <v>43649</v>
      </c>
      <c r="N41" s="22" t="n">
        <v>63845</v>
      </c>
      <c r="O41" s="21" t="n"/>
      <c r="P41" s="22" t="n">
        <v>-31928</v>
      </c>
      <c r="Q41" s="22" t="n">
        <v>83289</v>
      </c>
      <c r="R41" s="22" t="n">
        <v>165006</v>
      </c>
      <c r="S41" s="22" t="n">
        <v>248631</v>
      </c>
      <c r="T41" s="22" t="n">
        <v>166607</v>
      </c>
      <c r="U41" s="22" t="n">
        <v>169698</v>
      </c>
      <c r="V41" s="22" t="n">
        <v>219850</v>
      </c>
      <c r="W41" s="22" t="n">
        <v>210065</v>
      </c>
      <c r="X41" s="22" t="n">
        <v>357572</v>
      </c>
      <c r="Y41" s="21">
        <f>IF(OR(Y4="",Y42=""),"",IFERROR(Y4*Y42,""))</f>
        <v/>
      </c>
      <c r="Z41" s="22">
        <f>IF(OR(Z4="",Z42=""),"",IFERROR(Z4*Z42,""))</f>
        <v/>
      </c>
      <c r="AA41" s="22">
        <f>IF(OR(AA4="",AA42=""),"",IFERROR(AA4*AA42,""))</f>
        <v/>
      </c>
      <c r="AB41" s="22">
        <f>IF(OR(AB4="",AB42=""),"",IFERROR(AB4*AB42,""))</f>
        <v/>
      </c>
      <c r="AC41" s="22">
        <f>IF(OR(AC4="",AC42=""),"",IFERROR(AC4*AC42,""))</f>
        <v/>
      </c>
    </row>
    <row r="42">
      <c r="A42" s="15" t="inlineStr">
        <is>
          <t>% of Sales</t>
        </is>
      </c>
      <c r="B42" s="10" t="n"/>
      <c r="C42" s="16">
        <f>IF(OR(C41="",C4=""),"",IFERROR(C41/C4,""))</f>
        <v/>
      </c>
      <c r="D42" s="17">
        <f>IF(OR(D41="",D4=""),"",IFERROR(D41/D4,""))</f>
        <v/>
      </c>
      <c r="E42" s="17">
        <f>IF(OR(E41="",E4=""),"",IFERROR(E41/E4,""))</f>
        <v/>
      </c>
      <c r="F42" s="17">
        <f>IF(OR(F41="",F4=""),"",IFERROR(F41/F4,""))</f>
        <v/>
      </c>
      <c r="G42" s="17">
        <f>IF(OR(G41="",G4=""),"",IFERROR(G41/G4,""))</f>
        <v/>
      </c>
      <c r="H42" s="17">
        <f>IF(OR(H41="",H4=""),"",IFERROR(H41/H4,""))</f>
        <v/>
      </c>
      <c r="I42" s="17">
        <f>IF(OR(I41="",I4=""),"",IFERROR(I41/I4,""))</f>
        <v/>
      </c>
      <c r="J42" s="17">
        <f>IF(OR(J41="",J4=""),"",IFERROR(J41/J4,""))</f>
        <v/>
      </c>
      <c r="K42" s="17">
        <f>IF(OR(K41="",K4=""),"",IFERROR(K41/K4,""))</f>
        <v/>
      </c>
      <c r="L42" s="17">
        <f>IF(OR(L41="",L4=""),"",IFERROR(L41/L4,""))</f>
        <v/>
      </c>
      <c r="M42" s="17">
        <f>IF(OR(M41="",M4=""),"",IFERROR(M41/M4,""))</f>
        <v/>
      </c>
      <c r="N42" s="17">
        <f>IF(OR(N41="",N4=""),"",IFERROR(N41/N4,""))</f>
        <v/>
      </c>
      <c r="O42" s="16">
        <f>IF(OR(O41="",O4=""),"",IFERROR(O41/O4,""))</f>
        <v/>
      </c>
      <c r="P42" s="17">
        <f>IF(OR(P41="",P4=""),"",IFERROR(P41/P4,""))</f>
        <v/>
      </c>
      <c r="Q42" s="17">
        <f>IF(OR(Q41="",Q4=""),"",IFERROR(Q41/Q4,""))</f>
        <v/>
      </c>
      <c r="R42" s="17">
        <f>IF(OR(R41="",R4=""),"",IFERROR(R41/R4,""))</f>
        <v/>
      </c>
      <c r="S42" s="17">
        <f>IF(OR(S41="",S4=""),"",IFERROR(S41/S4,""))</f>
        <v/>
      </c>
      <c r="T42" s="17">
        <f>IF(OR(T41="",T4=""),"",IFERROR(T41/T4,""))</f>
        <v/>
      </c>
      <c r="U42" s="17">
        <f>IF(OR(U41="",U4=""),"",IFERROR(U41/U4,""))</f>
        <v/>
      </c>
      <c r="V42" s="17">
        <f>IF(OR(V41="",V4=""),"",IFERROR(V41/V4,""))</f>
        <v/>
      </c>
      <c r="W42" s="17">
        <f>IF(OR(W41="",W4=""),"",IFERROR(W41/W4,""))</f>
        <v/>
      </c>
      <c r="X42" s="17">
        <f>IF(OR(X41="",X4=""),"",IFERROR(X41/X4,""))</f>
        <v/>
      </c>
      <c r="Y42" s="27">
        <f>IFERROR(AVERAGE(V42,W42,X42),"")</f>
        <v/>
      </c>
      <c r="Z42" s="28">
        <f>Y42</f>
        <v/>
      </c>
      <c r="AA42" s="28">
        <f>Z42</f>
        <v/>
      </c>
      <c r="AB42" s="28">
        <f>AA42</f>
        <v/>
      </c>
      <c r="AC42" s="28">
        <f>AB42</f>
        <v/>
      </c>
    </row>
    <row r="43">
      <c r="A43" s="9" t="inlineStr">
        <is>
          <t>법인세비용차감전순이익(손실)</t>
        </is>
      </c>
      <c r="B43" s="10" t="n"/>
      <c r="C43" s="11" t="n">
        <v>-95980</v>
      </c>
      <c r="D43" s="12" t="n">
        <v>61260</v>
      </c>
      <c r="E43" s="12" t="n">
        <v>-47522</v>
      </c>
      <c r="F43" s="12" t="n">
        <v>136604</v>
      </c>
      <c r="G43" s="12" t="n">
        <v>119372</v>
      </c>
      <c r="H43" s="12" t="n">
        <v>26407</v>
      </c>
      <c r="I43" s="12" t="n">
        <v>-107299</v>
      </c>
      <c r="J43" s="12" t="n">
        <v>150630</v>
      </c>
      <c r="K43" s="12" t="n">
        <v>28174</v>
      </c>
      <c r="L43" s="12" t="n">
        <v>133864</v>
      </c>
      <c r="M43" s="12" t="n">
        <v>-52479</v>
      </c>
      <c r="N43" s="12" t="n">
        <v>162718</v>
      </c>
      <c r="O43" s="11" t="n"/>
      <c r="P43" s="12" t="n">
        <v>217205</v>
      </c>
      <c r="Q43" s="12" t="n">
        <v>127612</v>
      </c>
      <c r="R43" s="12" t="n">
        <v>-60754</v>
      </c>
      <c r="S43" s="12" t="n">
        <v>366235</v>
      </c>
      <c r="T43" s="12" t="n">
        <v>302571</v>
      </c>
      <c r="U43" s="12" t="n">
        <v>375090</v>
      </c>
      <c r="V43" s="12" t="n">
        <v>52791</v>
      </c>
      <c r="W43" s="12" t="n">
        <v>175084</v>
      </c>
      <c r="X43" s="12" t="n">
        <v>260189</v>
      </c>
      <c r="Y43" s="11">
        <f>IF(OR(Y19=""),"",IFERROR(Y19+N(Y35)-N(Y37)+N(Y39)-N(Y41),""))</f>
        <v/>
      </c>
      <c r="Z43" s="12">
        <f>IF(OR(Z19=""),"",IFERROR(Z19+N(Z35)-N(Z37)+N(Z39)-N(Z41),""))</f>
        <v/>
      </c>
      <c r="AA43" s="12">
        <f>IF(OR(AA19=""),"",IFERROR(AA19+N(AA35)-N(AA37)+N(AA39)-N(AA41),""))</f>
        <v/>
      </c>
      <c r="AB43" s="12">
        <f>IF(OR(AB19=""),"",IFERROR(AB19+N(AB35)-N(AB37)+N(AB39)-N(AB41),""))</f>
        <v/>
      </c>
      <c r="AC43" s="12">
        <f>IF(OR(AC19=""),"",IFERROR(AC19+N(AC35)-N(AC37)+N(AC39)-N(AC41),""))</f>
        <v/>
      </c>
    </row>
    <row r="44">
      <c r="A44" s="15" t="inlineStr">
        <is>
          <t>YoY</t>
        </is>
      </c>
      <c r="B44" s="10" t="n"/>
      <c r="C44" s="16" t="n"/>
      <c r="D44" s="17" t="n"/>
      <c r="E44" s="17" t="n"/>
      <c r="F44" s="17" t="n"/>
      <c r="G44" s="17">
        <f>IF(OR(G43="",C43=""),"",IF(C43&lt;=0,"",IFERROR(G43/C43-1,"")))</f>
        <v/>
      </c>
      <c r="H44" s="17">
        <f>IF(OR(H43="",D43=""),"",IF(D43&lt;=0,"",IFERROR(H43/D43-1,"")))</f>
        <v/>
      </c>
      <c r="I44" s="17">
        <f>IF(OR(I43="",E43=""),"",IF(E43&lt;=0,"",IFERROR(I43/E43-1,"")))</f>
        <v/>
      </c>
      <c r="J44" s="17">
        <f>IF(OR(J43="",F43=""),"",IF(F43&lt;=0,"",IFERROR(J43/F43-1,"")))</f>
        <v/>
      </c>
      <c r="K44" s="17">
        <f>IF(OR(K43="",G43=""),"",IF(G43&lt;=0,"",IFERROR(K43/G43-1,"")))</f>
        <v/>
      </c>
      <c r="L44" s="17">
        <f>IF(OR(L43="",H43=""),"",IF(H43&lt;=0,"",IFERROR(L43/H43-1,"")))</f>
        <v/>
      </c>
      <c r="M44" s="17">
        <f>IF(OR(M43="",I43=""),"",IF(I43&lt;=0,"",IFERROR(M43/I43-1,"")))</f>
        <v/>
      </c>
      <c r="N44" s="17">
        <f>IF(OR(N43="",J43=""),"",IF(J43&lt;=0,"",IFERROR(N43/J43-1,"")))</f>
        <v/>
      </c>
      <c r="O44" s="16" t="n"/>
      <c r="P44" s="17">
        <f>IF(OR(P43="",O43=""),"",IF(O43&lt;=0,"",IFERROR(P43/O43-1,"")))</f>
        <v/>
      </c>
      <c r="Q44" s="17">
        <f>IF(OR(Q43="",P43=""),"",IF(P43&lt;=0,"",IFERROR(Q43/P43-1,"")))</f>
        <v/>
      </c>
      <c r="R44" s="17">
        <f>IF(OR(R43="",Q43=""),"",IF(Q43&lt;=0,"",IFERROR(R43/Q43-1,"")))</f>
        <v/>
      </c>
      <c r="S44" s="17">
        <f>IF(OR(S43="",R43=""),"",IF(R43&lt;=0,"",IFERROR(S43/R43-1,"")))</f>
        <v/>
      </c>
      <c r="T44" s="17">
        <f>IF(OR(T43="",S43=""),"",IF(S43&lt;=0,"",IFERROR(T43/S43-1,"")))</f>
        <v/>
      </c>
      <c r="U44" s="17">
        <f>IF(OR(U43="",T43=""),"",IF(T43&lt;=0,"",IFERROR(U43/T43-1,"")))</f>
        <v/>
      </c>
      <c r="V44" s="17">
        <f>IF(OR(V43="",U43=""),"",IF(U43&lt;=0,"",IFERROR(V43/U43-1,"")))</f>
        <v/>
      </c>
      <c r="W44" s="17">
        <f>IF(OR(W43="",V43=""),"",IF(V43&lt;=0,"",IFERROR(W43/V43-1,"")))</f>
        <v/>
      </c>
      <c r="X44" s="17">
        <f>IF(OR(X43="",W43=""),"",IF(W43&lt;=0,"",IFERROR(X43/W43-1,"")))</f>
        <v/>
      </c>
      <c r="Y44" s="16">
        <f>IF(OR(Y43="",X43=""),"",IF(X43&lt;=0,"",IFERROR(Y43/X43-1,"")))</f>
        <v/>
      </c>
      <c r="Z44" s="17">
        <f>IF(OR(Z43="",Y43=""),"",IF(Y43&lt;=0,"",IFERROR(Z43/Y43-1,"")))</f>
        <v/>
      </c>
      <c r="AA44" s="17">
        <f>IF(OR(AA43="",Z43=""),"",IF(Z43&lt;=0,"",IFERROR(AA43/Z43-1,"")))</f>
        <v/>
      </c>
      <c r="AB44" s="17">
        <f>IF(OR(AB43="",AA43=""),"",IF(AA43&lt;=0,"",IFERROR(AB43/AA43-1,"")))</f>
        <v/>
      </c>
      <c r="AC44" s="17">
        <f>IF(OR(AC43="",AB43=""),"",IF(AB43&lt;=0,"",IFERROR(AC43/AB43-1,"")))</f>
        <v/>
      </c>
    </row>
    <row r="45">
      <c r="A45" s="20" t="inlineStr">
        <is>
          <t>법인세비용(수익)</t>
        </is>
      </c>
      <c r="B45" s="10" t="n"/>
      <c r="C45" s="21" t="n">
        <v>-48009</v>
      </c>
      <c r="D45" s="22" t="n">
        <v>-44496</v>
      </c>
      <c r="E45" s="22" t="n">
        <v>-44528</v>
      </c>
      <c r="F45" s="22" t="n">
        <v>41304</v>
      </c>
      <c r="G45" s="22" t="n">
        <v>27266</v>
      </c>
      <c r="H45" s="22" t="n">
        <v>2572</v>
      </c>
      <c r="I45" s="22" t="n">
        <v>-4201</v>
      </c>
      <c r="J45" s="22" t="n">
        <v>26351</v>
      </c>
      <c r="K45" s="22" t="n">
        <v>39903</v>
      </c>
      <c r="L45" s="22" t="n">
        <v>30131</v>
      </c>
      <c r="M45" s="22" t="n">
        <v>-28222</v>
      </c>
      <c r="N45" s="22" t="n">
        <v>49462</v>
      </c>
      <c r="O45" s="21" t="n"/>
      <c r="P45" s="22" t="n">
        <v>-30497</v>
      </c>
      <c r="Q45" s="22" t="n">
        <v>-7468</v>
      </c>
      <c r="R45" s="22" t="n">
        <v>-105044</v>
      </c>
      <c r="S45" s="22" t="n">
        <v>-9936</v>
      </c>
      <c r="T45" s="22" t="n">
        <v>72405</v>
      </c>
      <c r="U45" s="22" t="n">
        <v>58052</v>
      </c>
      <c r="V45" s="22" t="n">
        <v>-91406</v>
      </c>
      <c r="W45" s="22" t="n">
        <v>66941</v>
      </c>
      <c r="X45" s="22" t="n">
        <v>68163</v>
      </c>
      <c r="Y45" s="21">
        <f>IF(OR(Y43="",Y46=""),"",IFERROR(MAX(Y43,0)*Y46,""))</f>
        <v/>
      </c>
      <c r="Z45" s="22">
        <f>IF(OR(Z43="",Z46=""),"",IFERROR(MAX(Z43,0)*Z46,""))</f>
        <v/>
      </c>
      <c r="AA45" s="22">
        <f>IF(OR(AA43="",AA46=""),"",IFERROR(MAX(AA43,0)*AA46,""))</f>
        <v/>
      </c>
      <c r="AB45" s="22">
        <f>IF(OR(AB43="",AB46=""),"",IFERROR(MAX(AB43,0)*AB46,""))</f>
        <v/>
      </c>
      <c r="AC45" s="22">
        <f>IF(OR(AC43="",AC46=""),"",IFERROR(MAX(AC43,0)*AC46,""))</f>
        <v/>
      </c>
    </row>
    <row r="46">
      <c r="A46" s="15" t="inlineStr">
        <is>
          <t>법인세율</t>
        </is>
      </c>
      <c r="B46" s="10" t="inlineStr">
        <is>
          <t>MW 기본 30%</t>
        </is>
      </c>
      <c r="C46" s="16">
        <f>IF(OR(C45="",C43=""),"",IFERROR(C45/C43,""))</f>
        <v/>
      </c>
      <c r="D46" s="17">
        <f>IF(OR(D45="",D43=""),"",IFERROR(D45/D43,""))</f>
        <v/>
      </c>
      <c r="E46" s="17">
        <f>IF(OR(E45="",E43=""),"",IFERROR(E45/E43,""))</f>
        <v/>
      </c>
      <c r="F46" s="17">
        <f>IF(OR(F45="",F43=""),"",IFERROR(F45/F43,""))</f>
        <v/>
      </c>
      <c r="G46" s="17">
        <f>IF(OR(G45="",G43=""),"",IFERROR(G45/G43,""))</f>
        <v/>
      </c>
      <c r="H46" s="17">
        <f>IF(OR(H45="",H43=""),"",IFERROR(H45/H43,""))</f>
        <v/>
      </c>
      <c r="I46" s="17">
        <f>IF(OR(I45="",I43=""),"",IFERROR(I45/I43,""))</f>
        <v/>
      </c>
      <c r="J46" s="17">
        <f>IF(OR(J45="",J43=""),"",IFERROR(J45/J43,""))</f>
        <v/>
      </c>
      <c r="K46" s="17">
        <f>IF(OR(K45="",K43=""),"",IFERROR(K45/K43,""))</f>
        <v/>
      </c>
      <c r="L46" s="17">
        <f>IF(OR(L45="",L43=""),"",IFERROR(L45/L43,""))</f>
        <v/>
      </c>
      <c r="M46" s="17">
        <f>IF(OR(M45="",M43=""),"",IFERROR(M45/M43,""))</f>
        <v/>
      </c>
      <c r="N46" s="17">
        <f>IF(OR(N45="",N43=""),"",IFERROR(N45/N43,""))</f>
        <v/>
      </c>
      <c r="O46" s="16">
        <f>IF(OR(O45="",O43=""),"",IFERROR(O45/O43,""))</f>
        <v/>
      </c>
      <c r="P46" s="17">
        <f>IF(OR(P45="",P43=""),"",IFERROR(P45/P43,""))</f>
        <v/>
      </c>
      <c r="Q46" s="17">
        <f>IF(OR(Q45="",Q43=""),"",IFERROR(Q45/Q43,""))</f>
        <v/>
      </c>
      <c r="R46" s="17">
        <f>IF(OR(R45="",R43=""),"",IFERROR(R45/R43,""))</f>
        <v/>
      </c>
      <c r="S46" s="17">
        <f>IF(OR(S45="",S43=""),"",IFERROR(S45/S43,""))</f>
        <v/>
      </c>
      <c r="T46" s="17">
        <f>IF(OR(T45="",T43=""),"",IFERROR(T45/T43,""))</f>
        <v/>
      </c>
      <c r="U46" s="17">
        <f>IF(OR(U45="",U43=""),"",IFERROR(U45/U43,""))</f>
        <v/>
      </c>
      <c r="V46" s="17">
        <f>IF(OR(V45="",V43=""),"",IFERROR(V45/V43,""))</f>
        <v/>
      </c>
      <c r="W46" s="17">
        <f>IF(OR(W45="",W43=""),"",IFERROR(W45/W43,""))</f>
        <v/>
      </c>
      <c r="X46" s="17">
        <f>IF(OR(X45="",X43=""),"",IFERROR(X45/X43,""))</f>
        <v/>
      </c>
      <c r="Y46" s="27" t="n">
        <v>0.3</v>
      </c>
      <c r="Z46" s="28" t="n">
        <v>0.3</v>
      </c>
      <c r="AA46" s="28" t="n">
        <v>0.3</v>
      </c>
      <c r="AB46" s="28" t="n">
        <v>0.3</v>
      </c>
      <c r="AC46" s="28" t="n">
        <v>0.3</v>
      </c>
    </row>
    <row r="47">
      <c r="A47" s="9" t="inlineStr">
        <is>
          <t>당기순이익(손실)</t>
        </is>
      </c>
      <c r="B47" s="10" t="n"/>
      <c r="C47" s="11" t="n">
        <v>-47970</v>
      </c>
      <c r="D47" s="12" t="n">
        <v>105755</v>
      </c>
      <c r="E47" s="12" t="n">
        <v>-2994</v>
      </c>
      <c r="F47" s="12" t="n">
        <v>95299</v>
      </c>
      <c r="G47" s="12" t="n">
        <v>92107</v>
      </c>
      <c r="H47" s="12" t="n">
        <v>23835</v>
      </c>
      <c r="I47" s="12" t="n">
        <v>-103098</v>
      </c>
      <c r="J47" s="12" t="n">
        <v>124279</v>
      </c>
      <c r="K47" s="12" t="n">
        <v>-11729</v>
      </c>
      <c r="L47" s="12" t="n">
        <v>103733</v>
      </c>
      <c r="M47" s="12" t="n">
        <v>-24257</v>
      </c>
      <c r="N47" s="12" t="n">
        <v>113256</v>
      </c>
      <c r="O47" s="11" t="n"/>
      <c r="P47" s="12" t="n">
        <v>186708</v>
      </c>
      <c r="Q47" s="12" t="n">
        <v>135080</v>
      </c>
      <c r="R47" s="12" t="n">
        <v>44290</v>
      </c>
      <c r="S47" s="12" t="n">
        <v>376171</v>
      </c>
      <c r="T47" s="12" t="n">
        <v>230166</v>
      </c>
      <c r="U47" s="12" t="n">
        <v>317038</v>
      </c>
      <c r="V47" s="12" t="n">
        <v>144197</v>
      </c>
      <c r="W47" s="12" t="n">
        <v>108143</v>
      </c>
      <c r="X47" s="12" t="n">
        <v>192026</v>
      </c>
      <c r="Y47" s="11">
        <f>IF(OR(Y43=""),"",IFERROR(Y43-Y45,""))</f>
        <v/>
      </c>
      <c r="Z47" s="12">
        <f>IF(OR(Z43=""),"",IFERROR(Z43-Z45,""))</f>
        <v/>
      </c>
      <c r="AA47" s="12">
        <f>IF(OR(AA43=""),"",IFERROR(AA43-AA45,""))</f>
        <v/>
      </c>
      <c r="AB47" s="12">
        <f>IF(OR(AB43=""),"",IFERROR(AB43-AB45,""))</f>
        <v/>
      </c>
      <c r="AC47" s="12">
        <f>IF(OR(AC43=""),"",IFERROR(AC43-AC45,""))</f>
        <v/>
      </c>
    </row>
    <row r="48">
      <c r="A48" s="15" t="inlineStr">
        <is>
          <t>YoY</t>
        </is>
      </c>
      <c r="B48" s="10" t="n"/>
      <c r="C48" s="16" t="n"/>
      <c r="D48" s="17" t="n"/>
      <c r="E48" s="17" t="n"/>
      <c r="F48" s="17" t="n"/>
      <c r="G48" s="17">
        <f>IF(OR(G47="",C47=""),"",IF(C47&lt;=0,"",IFERROR(G47/C47-1,"")))</f>
        <v/>
      </c>
      <c r="H48" s="17">
        <f>IF(OR(H47="",D47=""),"",IF(D47&lt;=0,"",IFERROR(H47/D47-1,"")))</f>
        <v/>
      </c>
      <c r="I48" s="17">
        <f>IF(OR(I47="",E47=""),"",IF(E47&lt;=0,"",IFERROR(I47/E47-1,"")))</f>
        <v/>
      </c>
      <c r="J48" s="17">
        <f>IF(OR(J47="",F47=""),"",IF(F47&lt;=0,"",IFERROR(J47/F47-1,"")))</f>
        <v/>
      </c>
      <c r="K48" s="17">
        <f>IF(OR(K47="",G47=""),"",IF(G47&lt;=0,"",IFERROR(K47/G47-1,"")))</f>
        <v/>
      </c>
      <c r="L48" s="17">
        <f>IF(OR(L47="",H47=""),"",IF(H47&lt;=0,"",IFERROR(L47/H47-1,"")))</f>
        <v/>
      </c>
      <c r="M48" s="17">
        <f>IF(OR(M47="",I47=""),"",IF(I47&lt;=0,"",IFERROR(M47/I47-1,"")))</f>
        <v/>
      </c>
      <c r="N48" s="17">
        <f>IF(OR(N47="",J47=""),"",IF(J47&lt;=0,"",IFERROR(N47/J47-1,"")))</f>
        <v/>
      </c>
      <c r="O48" s="16" t="n"/>
      <c r="P48" s="17">
        <f>IF(OR(P47="",O47=""),"",IF(O47&lt;=0,"",IFERROR(P47/O47-1,"")))</f>
        <v/>
      </c>
      <c r="Q48" s="17">
        <f>IF(OR(Q47="",P47=""),"",IF(P47&lt;=0,"",IFERROR(Q47/P47-1,"")))</f>
        <v/>
      </c>
      <c r="R48" s="17">
        <f>IF(OR(R47="",Q47=""),"",IF(Q47&lt;=0,"",IFERROR(R47/Q47-1,"")))</f>
        <v/>
      </c>
      <c r="S48" s="17">
        <f>IF(OR(S47="",R47=""),"",IF(R47&lt;=0,"",IFERROR(S47/R47-1,"")))</f>
        <v/>
      </c>
      <c r="T48" s="17">
        <f>IF(OR(T47="",S47=""),"",IF(S47&lt;=0,"",IFERROR(T47/S47-1,"")))</f>
        <v/>
      </c>
      <c r="U48" s="17">
        <f>IF(OR(U47="",T47=""),"",IF(T47&lt;=0,"",IFERROR(U47/T47-1,"")))</f>
        <v/>
      </c>
      <c r="V48" s="17">
        <f>IF(OR(V47="",U47=""),"",IF(U47&lt;=0,"",IFERROR(V47/U47-1,"")))</f>
        <v/>
      </c>
      <c r="W48" s="17">
        <f>IF(OR(W47="",V47=""),"",IF(V47&lt;=0,"",IFERROR(W47/V47-1,"")))</f>
        <v/>
      </c>
      <c r="X48" s="17">
        <f>IF(OR(X47="",W47=""),"",IF(W47&lt;=0,"",IFERROR(X47/W47-1,"")))</f>
        <v/>
      </c>
      <c r="Y48" s="16">
        <f>IF(OR(Y47="",X47=""),"",IF(X47&lt;=0,"",IFERROR(Y47/X47-1,"")))</f>
        <v/>
      </c>
      <c r="Z48" s="17">
        <f>IF(OR(Z47="",Y47=""),"",IF(Y47&lt;=0,"",IFERROR(Z47/Y47-1,"")))</f>
        <v/>
      </c>
      <c r="AA48" s="17">
        <f>IF(OR(AA47="",Z47=""),"",IF(Z47&lt;=0,"",IFERROR(AA47/Z47-1,"")))</f>
        <v/>
      </c>
      <c r="AB48" s="17">
        <f>IF(OR(AB47="",AA47=""),"",IF(AA47&lt;=0,"",IFERROR(AB47/AA47-1,"")))</f>
        <v/>
      </c>
      <c r="AC48" s="17">
        <f>IF(OR(AC47="",AB47=""),"",IF(AB47&lt;=0,"",IFERROR(AC47/AB47-1,"")))</f>
        <v/>
      </c>
    </row>
    <row r="49">
      <c r="A49" s="9" t="inlineStr">
        <is>
          <t>지배주주 순이익</t>
        </is>
      </c>
      <c r="B49" s="10" t="n"/>
      <c r="C49" s="11" t="n">
        <v>-48030</v>
      </c>
      <c r="D49" s="12" t="n">
        <v>105720</v>
      </c>
      <c r="E49" s="12" t="n">
        <v>-3018</v>
      </c>
      <c r="F49" s="12" t="n">
        <v>95248</v>
      </c>
      <c r="G49" s="12" t="n">
        <v>92046</v>
      </c>
      <c r="H49" s="12" t="n">
        <v>23789</v>
      </c>
      <c r="I49" s="12" t="n">
        <v>-103155</v>
      </c>
      <c r="J49" s="12" t="n">
        <v>124243</v>
      </c>
      <c r="K49" s="12" t="n">
        <v>-11802</v>
      </c>
      <c r="L49" s="12" t="n">
        <v>103640</v>
      </c>
      <c r="M49" s="12" t="n">
        <v>-24319</v>
      </c>
      <c r="N49" s="12" t="n">
        <v>113197</v>
      </c>
      <c r="O49" s="11" t="n"/>
      <c r="P49" s="12" t="n">
        <v>186886</v>
      </c>
      <c r="Q49" s="12" t="n">
        <v>135192</v>
      </c>
      <c r="R49" s="12" t="n">
        <v>44241</v>
      </c>
      <c r="S49" s="12" t="n">
        <v>376005</v>
      </c>
      <c r="T49" s="12" t="n">
        <v>230059</v>
      </c>
      <c r="U49" s="12" t="n">
        <v>317017</v>
      </c>
      <c r="V49" s="12" t="n">
        <v>144067</v>
      </c>
      <c r="W49" s="12" t="n">
        <v>107928</v>
      </c>
      <c r="X49" s="12" t="n">
        <v>191762</v>
      </c>
      <c r="Y49" s="11">
        <f>IF(OR(Y47="",Y50=""),"",IFERROR(Y47*Y50,""))</f>
        <v/>
      </c>
      <c r="Z49" s="12">
        <f>IF(OR(Z47="",Z50=""),"",IFERROR(Z47*Z50,""))</f>
        <v/>
      </c>
      <c r="AA49" s="12">
        <f>IF(OR(AA47="",AA50=""),"",IFERROR(AA47*AA50,""))</f>
        <v/>
      </c>
      <c r="AB49" s="12">
        <f>IF(OR(AB47="",AB50=""),"",IFERROR(AB47*AB50,""))</f>
        <v/>
      </c>
      <c r="AC49" s="12">
        <f>IF(OR(AC47="",AC50=""),"",IFERROR(AC47*AC50,""))</f>
        <v/>
      </c>
    </row>
    <row r="50">
      <c r="A50" s="15" t="inlineStr">
        <is>
          <t>지배주주 순이익률</t>
        </is>
      </c>
      <c r="B50" s="10" t="inlineStr">
        <is>
          <t>MW 기본 100%</t>
        </is>
      </c>
      <c r="C50" s="16">
        <f>IF(OR(C49="",C47=""),"",IFERROR(C49/C47,""))</f>
        <v/>
      </c>
      <c r="D50" s="17">
        <f>IF(OR(D49="",D47=""),"",IFERROR(D49/D47,""))</f>
        <v/>
      </c>
      <c r="E50" s="17">
        <f>IF(OR(E49="",E47=""),"",IFERROR(E49/E47,""))</f>
        <v/>
      </c>
      <c r="F50" s="17">
        <f>IF(OR(F49="",F47=""),"",IFERROR(F49/F47,""))</f>
        <v/>
      </c>
      <c r="G50" s="17">
        <f>IF(OR(G49="",G47=""),"",IFERROR(G49/G47,""))</f>
        <v/>
      </c>
      <c r="H50" s="17">
        <f>IF(OR(H49="",H47=""),"",IFERROR(H49/H47,""))</f>
        <v/>
      </c>
      <c r="I50" s="17">
        <f>IF(OR(I49="",I47=""),"",IFERROR(I49/I47,""))</f>
        <v/>
      </c>
      <c r="J50" s="17">
        <f>IF(OR(J49="",J47=""),"",IFERROR(J49/J47,""))</f>
        <v/>
      </c>
      <c r="K50" s="17">
        <f>IF(OR(K49="",K47=""),"",IFERROR(K49/K47,""))</f>
        <v/>
      </c>
      <c r="L50" s="17">
        <f>IF(OR(L49="",L47=""),"",IFERROR(L49/L47,""))</f>
        <v/>
      </c>
      <c r="M50" s="17">
        <f>IF(OR(M49="",M47=""),"",IFERROR(M49/M47,""))</f>
        <v/>
      </c>
      <c r="N50" s="17">
        <f>IF(OR(N49="",N47=""),"",IFERROR(N49/N47,""))</f>
        <v/>
      </c>
      <c r="O50" s="16">
        <f>IF(OR(O49="",O47=""),"",IFERROR(O49/O47,""))</f>
        <v/>
      </c>
      <c r="P50" s="17">
        <f>IF(OR(P49="",P47=""),"",IFERROR(P49/P47,""))</f>
        <v/>
      </c>
      <c r="Q50" s="17">
        <f>IF(OR(Q49="",Q47=""),"",IFERROR(Q49/Q47,""))</f>
        <v/>
      </c>
      <c r="R50" s="17">
        <f>IF(OR(R49="",R47=""),"",IFERROR(R49/R47,""))</f>
        <v/>
      </c>
      <c r="S50" s="17">
        <f>IF(OR(S49="",S47=""),"",IFERROR(S49/S47,""))</f>
        <v/>
      </c>
      <c r="T50" s="17">
        <f>IF(OR(T49="",T47=""),"",IFERROR(T49/T47,""))</f>
        <v/>
      </c>
      <c r="U50" s="17">
        <f>IF(OR(U49="",U47=""),"",IFERROR(U49/U47,""))</f>
        <v/>
      </c>
      <c r="V50" s="17">
        <f>IF(OR(V49="",V47=""),"",IFERROR(V49/V47,""))</f>
        <v/>
      </c>
      <c r="W50" s="17">
        <f>IF(OR(W49="",W47=""),"",IFERROR(W49/W47,""))</f>
        <v/>
      </c>
      <c r="X50" s="17">
        <f>IF(OR(X49="",X47=""),"",IFERROR(X49/X47,""))</f>
        <v/>
      </c>
      <c r="Y50" s="27" t="n">
        <v>1</v>
      </c>
      <c r="Z50" s="28" t="n">
        <v>1</v>
      </c>
      <c r="AA50" s="28" t="n">
        <v>1</v>
      </c>
      <c r="AB50" s="28" t="n">
        <v>1</v>
      </c>
      <c r="AC50" s="28" t="n">
        <v>1</v>
      </c>
    </row>
    <row r="51">
      <c r="A51" s="15" t="inlineStr">
        <is>
          <t>지배주주 순이익 YoY</t>
        </is>
      </c>
      <c r="B51" s="10" t="n"/>
      <c r="C51" s="16" t="n"/>
      <c r="D51" s="17" t="n"/>
      <c r="E51" s="17" t="n"/>
      <c r="F51" s="17" t="n"/>
      <c r="G51" s="17">
        <f>IF(OR(G49="",C49=""),"",IF(C49&lt;=0,"",IFERROR(G49/C49-1,"")))</f>
        <v/>
      </c>
      <c r="H51" s="17">
        <f>IF(OR(H49="",D49=""),"",IF(D49&lt;=0,"",IFERROR(H49/D49-1,"")))</f>
        <v/>
      </c>
      <c r="I51" s="17">
        <f>IF(OR(I49="",E49=""),"",IF(E49&lt;=0,"",IFERROR(I49/E49-1,"")))</f>
        <v/>
      </c>
      <c r="J51" s="17">
        <f>IF(OR(J49="",F49=""),"",IF(F49&lt;=0,"",IFERROR(J49/F49-1,"")))</f>
        <v/>
      </c>
      <c r="K51" s="17">
        <f>IF(OR(K49="",G49=""),"",IF(G49&lt;=0,"",IFERROR(K49/G49-1,"")))</f>
        <v/>
      </c>
      <c r="L51" s="17">
        <f>IF(OR(L49="",H49=""),"",IF(H49&lt;=0,"",IFERROR(L49/H49-1,"")))</f>
        <v/>
      </c>
      <c r="M51" s="17">
        <f>IF(OR(M49="",I49=""),"",IF(I49&lt;=0,"",IFERROR(M49/I49-1,"")))</f>
        <v/>
      </c>
      <c r="N51" s="17">
        <f>IF(OR(N49="",J49=""),"",IF(J49&lt;=0,"",IFERROR(N49/J49-1,"")))</f>
        <v/>
      </c>
      <c r="O51" s="16" t="n"/>
      <c r="P51" s="17">
        <f>IF(OR(P49="",O49=""),"",IF(O49&lt;=0,"",IFERROR(P49/O49-1,"")))</f>
        <v/>
      </c>
      <c r="Q51" s="17">
        <f>IF(OR(Q49="",P49=""),"",IF(P49&lt;=0,"",IFERROR(Q49/P49-1,"")))</f>
        <v/>
      </c>
      <c r="R51" s="17">
        <f>IF(OR(R49="",Q49=""),"",IF(Q49&lt;=0,"",IFERROR(R49/Q49-1,"")))</f>
        <v/>
      </c>
      <c r="S51" s="17">
        <f>IF(OR(S49="",R49=""),"",IF(R49&lt;=0,"",IFERROR(S49/R49-1,"")))</f>
        <v/>
      </c>
      <c r="T51" s="17">
        <f>IF(OR(T49="",S49=""),"",IF(S49&lt;=0,"",IFERROR(T49/S49-1,"")))</f>
        <v/>
      </c>
      <c r="U51" s="17">
        <f>IF(OR(U49="",T49=""),"",IF(T49&lt;=0,"",IFERROR(U49/T49-1,"")))</f>
        <v/>
      </c>
      <c r="V51" s="17">
        <f>IF(OR(V49="",U49=""),"",IF(U49&lt;=0,"",IFERROR(V49/U49-1,"")))</f>
        <v/>
      </c>
      <c r="W51" s="17">
        <f>IF(OR(W49="",V49=""),"",IF(V49&lt;=0,"",IFERROR(W49/V49-1,"")))</f>
        <v/>
      </c>
      <c r="X51" s="17">
        <f>IF(OR(X49="",W49=""),"",IF(W49&lt;=0,"",IFERROR(X49/W49-1,"")))</f>
        <v/>
      </c>
      <c r="Y51" s="16">
        <f>IF(OR(Y49="",X49=""),"",IF(X49&lt;=0,"",IFERROR(Y49/X49-1,"")))</f>
        <v/>
      </c>
      <c r="Z51" s="17">
        <f>IF(OR(Z49="",Y49=""),"",IF(Y49&lt;=0,"",IFERROR(Z49/Y49-1,"")))</f>
        <v/>
      </c>
      <c r="AA51" s="17">
        <f>IF(OR(AA49="",Z49=""),"",IF(Z49&lt;=0,"",IFERROR(AA49/Z49-1,"")))</f>
        <v/>
      </c>
      <c r="AB51" s="17">
        <f>IF(OR(AB49="",AA49=""),"",IF(AA49&lt;=0,"",IFERROR(AB49/AA49-1,"")))</f>
        <v/>
      </c>
      <c r="AC51" s="17">
        <f>IF(OR(AC49="",AB49=""),"",IF(AB49&lt;=0,"",IFERROR(AC49/AB49-1,"")))</f>
        <v/>
      </c>
    </row>
    <row r="52">
      <c r="A52" s="18" t="inlineStr">
        <is>
          <t>목표주가 산출</t>
        </is>
      </c>
      <c r="B52" s="18" t="n"/>
      <c r="C52" s="19" t="n"/>
      <c r="D52" s="18" t="n"/>
      <c r="E52" s="18" t="n"/>
      <c r="F52" s="18" t="n"/>
      <c r="G52" s="18" t="n"/>
      <c r="H52" s="18" t="n"/>
      <c r="I52" s="18" t="n"/>
      <c r="J52" s="18" t="n"/>
      <c r="K52" s="18" t="n"/>
      <c r="L52" s="18" t="n"/>
      <c r="M52" s="18" t="n"/>
      <c r="N52" s="18" t="n"/>
      <c r="O52" s="19" t="n"/>
      <c r="P52" s="18" t="n"/>
      <c r="Q52" s="18" t="n"/>
      <c r="R52" s="18" t="n"/>
      <c r="S52" s="18" t="n"/>
      <c r="T52" s="18" t="n"/>
      <c r="U52" s="18" t="n"/>
      <c r="V52" s="18" t="n"/>
      <c r="W52" s="18" t="n"/>
      <c r="X52" s="18" t="n"/>
      <c r="Y52" s="19" t="n"/>
      <c r="Z52" s="18" t="n"/>
      <c r="AA52" s="18" t="n"/>
      <c r="AB52" s="18" t="n"/>
      <c r="AC52" s="18" t="n"/>
    </row>
    <row r="53">
      <c r="A53" s="20" t="inlineStr">
        <is>
          <t>현재 주가 (2026.10.28)</t>
        </is>
      </c>
      <c r="B53" s="29" t="n">
        <v>6307</v>
      </c>
      <c r="C53" s="30" t="n"/>
      <c r="D53" s="31" t="n"/>
      <c r="E53" s="31" t="n"/>
      <c r="F53" s="31" t="n"/>
      <c r="G53" s="31" t="n"/>
      <c r="H53" s="31" t="n"/>
      <c r="I53" s="31" t="n"/>
      <c r="J53" s="31" t="n"/>
      <c r="K53" s="31" t="n"/>
      <c r="L53" s="31" t="n"/>
      <c r="M53" s="31" t="n"/>
      <c r="N53" s="31" t="n"/>
      <c r="O53" s="30" t="n"/>
      <c r="P53" s="31" t="n"/>
      <c r="Q53" s="31" t="n"/>
      <c r="R53" s="31" t="n"/>
      <c r="S53" s="31" t="n"/>
      <c r="T53" s="31" t="n"/>
      <c r="U53" s="31" t="n"/>
      <c r="V53" s="31" t="n"/>
      <c r="W53" s="31" t="n"/>
      <c r="X53" s="31" t="n"/>
      <c r="Y53" s="30" t="n"/>
      <c r="Z53" s="31" t="n"/>
      <c r="AA53" s="31" t="n"/>
      <c r="AB53" s="31" t="n"/>
      <c r="AC53" s="31" t="n"/>
    </row>
    <row r="54">
      <c r="A54" s="20" t="inlineStr">
        <is>
          <t>발행주식수 (보통주)</t>
        </is>
      </c>
      <c r="B54" s="29" t="n">
        <v>1591273909</v>
      </c>
      <c r="C54" s="30" t="n"/>
      <c r="D54" s="31" t="n"/>
      <c r="E54" s="31" t="n"/>
      <c r="F54" s="31" t="n"/>
      <c r="G54" s="31" t="n"/>
      <c r="H54" s="31" t="n"/>
      <c r="I54" s="31" t="n"/>
      <c r="J54" s="31" t="n"/>
      <c r="K54" s="31" t="n"/>
      <c r="L54" s="31" t="n"/>
      <c r="M54" s="31" t="n"/>
      <c r="N54" s="31" t="n"/>
      <c r="O54" s="30" t="n"/>
      <c r="P54" s="31" t="n"/>
      <c r="Q54" s="31" t="n"/>
      <c r="R54" s="31" t="n"/>
      <c r="S54" s="31" t="n"/>
      <c r="T54" s="31" t="n"/>
      <c r="U54" s="31" t="n"/>
      <c r="V54" s="31" t="n"/>
      <c r="W54" s="31" t="n"/>
      <c r="X54" s="31" t="n"/>
      <c r="Y54" s="30" t="n"/>
      <c r="Z54" s="31" t="n"/>
      <c r="AA54" s="31" t="n"/>
      <c r="AB54" s="31" t="n"/>
      <c r="AC54" s="31" t="n"/>
    </row>
    <row r="55">
      <c r="A55" s="20" t="inlineStr">
        <is>
          <t>시가총액 (백만엔)</t>
        </is>
      </c>
      <c r="B55" s="12">
        <f>IF(OR(B53="",B54=""),"",B53*B54/1000000.0)</f>
        <v/>
      </c>
      <c r="C55" s="21" t="n"/>
      <c r="D55" s="22" t="n"/>
      <c r="E55" s="22" t="n"/>
      <c r="F55" s="22" t="n"/>
      <c r="G55" s="22" t="n"/>
      <c r="H55" s="22" t="n"/>
      <c r="I55" s="22" t="n"/>
      <c r="J55" s="22" t="n"/>
      <c r="K55" s="22" t="n"/>
      <c r="L55" s="22" t="n"/>
      <c r="M55" s="22" t="n"/>
      <c r="N55" s="22" t="n"/>
      <c r="O55" s="21" t="n"/>
      <c r="P55" s="22" t="n"/>
      <c r="Q55" s="22" t="n"/>
      <c r="R55" s="22" t="n"/>
      <c r="S55" s="22" t="n"/>
      <c r="T55" s="22" t="n"/>
      <c r="U55" s="22" t="n"/>
      <c r="V55" s="22" t="n"/>
      <c r="W55" s="22" t="n"/>
      <c r="X55" s="22" t="n"/>
      <c r="Y55" s="21" t="n"/>
      <c r="Z55" s="22" t="n"/>
      <c r="AA55" s="22" t="n"/>
      <c r="AB55" s="22" t="n"/>
      <c r="AC55" s="22" t="n"/>
    </row>
    <row r="56">
      <c r="A56" s="15" t="inlineStr">
        <is>
          <t>OPM</t>
        </is>
      </c>
      <c r="B56" s="10" t="n"/>
      <c r="C56" s="16" t="n"/>
      <c r="D56" s="17" t="n"/>
      <c r="E56" s="17" t="n"/>
      <c r="F56" s="17" t="n"/>
      <c r="G56" s="17" t="n"/>
      <c r="H56" s="17" t="n"/>
      <c r="I56" s="17" t="n"/>
      <c r="J56" s="17" t="n"/>
      <c r="K56" s="17" t="n"/>
      <c r="L56" s="17" t="n"/>
      <c r="M56" s="17" t="n"/>
      <c r="N56" s="17" t="n"/>
      <c r="O56" s="16">
        <f>IF(O20="","",O20)</f>
        <v/>
      </c>
      <c r="P56" s="17">
        <f>IF(P20="","",P20)</f>
        <v/>
      </c>
      <c r="Q56" s="17">
        <f>IF(Q20="","",Q20)</f>
        <v/>
      </c>
      <c r="R56" s="17">
        <f>IF(R20="","",R20)</f>
        <v/>
      </c>
      <c r="S56" s="17">
        <f>IF(S20="","",S20)</f>
        <v/>
      </c>
      <c r="T56" s="17">
        <f>IF(T20="","",T20)</f>
        <v/>
      </c>
      <c r="U56" s="17">
        <f>IF(U20="","",U20)</f>
        <v/>
      </c>
      <c r="V56" s="17">
        <f>IF(V20="","",V20)</f>
        <v/>
      </c>
      <c r="W56" s="17">
        <f>IF(W20="","",W20)</f>
        <v/>
      </c>
      <c r="X56" s="17">
        <f>IF(X20="","",X20)</f>
        <v/>
      </c>
      <c r="Y56" s="16">
        <f>IF(Y20="","",Y20)</f>
        <v/>
      </c>
      <c r="Z56" s="17">
        <f>IF(Z20="","",Z20)</f>
        <v/>
      </c>
      <c r="AA56" s="17">
        <f>IF(AA20="","",AA20)</f>
        <v/>
      </c>
      <c r="AB56" s="17">
        <f>IF(AB20="","",AB20)</f>
        <v/>
      </c>
      <c r="AC56" s="17">
        <f>IF(AC20="","",AC20)</f>
        <v/>
      </c>
    </row>
    <row r="57">
      <c r="A57" s="15" t="inlineStr">
        <is>
          <t>지배주주 순이익 증가율</t>
        </is>
      </c>
      <c r="B57" s="10" t="n"/>
      <c r="C57" s="16" t="n"/>
      <c r="D57" s="17" t="n"/>
      <c r="E57" s="17" t="n"/>
      <c r="F57" s="17" t="n"/>
      <c r="G57" s="17" t="n"/>
      <c r="H57" s="17" t="n"/>
      <c r="I57" s="17" t="n"/>
      <c r="J57" s="17" t="n"/>
      <c r="K57" s="17" t="n"/>
      <c r="L57" s="17" t="n"/>
      <c r="M57" s="17" t="n"/>
      <c r="N57" s="17" t="n"/>
      <c r="O57" s="16" t="n"/>
      <c r="P57" s="17">
        <f>IF(OR(P49="",O49=""),"",IFERROR(P49/O49-1,""))</f>
        <v/>
      </c>
      <c r="Q57" s="17">
        <f>IF(OR(Q49="",P49=""),"",IFERROR(Q49/P49-1,""))</f>
        <v/>
      </c>
      <c r="R57" s="17">
        <f>IF(OR(R49="",Q49=""),"",IFERROR(R49/Q49-1,""))</f>
        <v/>
      </c>
      <c r="S57" s="17">
        <f>IF(OR(S49="",R49=""),"",IFERROR(S49/R49-1,""))</f>
        <v/>
      </c>
      <c r="T57" s="17">
        <f>IF(OR(T49="",S49=""),"",IFERROR(T49/S49-1,""))</f>
        <v/>
      </c>
      <c r="U57" s="17">
        <f>IF(OR(U49="",T49=""),"",IFERROR(U49/T49-1,""))</f>
        <v/>
      </c>
      <c r="V57" s="17">
        <f>IF(OR(V49="",U49=""),"",IFERROR(V49/U49-1,""))</f>
        <v/>
      </c>
      <c r="W57" s="17">
        <f>IF(OR(W49="",V49=""),"",IFERROR(W49/V49-1,""))</f>
        <v/>
      </c>
      <c r="X57" s="17">
        <f>IF(OR(X49="",W49=""),"",IFERROR(X49/W49-1,""))</f>
        <v/>
      </c>
      <c r="Y57" s="16">
        <f>IF(OR(Y49="",X49=""),"",IFERROR(Y49/X49-1,""))</f>
        <v/>
      </c>
      <c r="Z57" s="17">
        <f>IF(OR(Z49="",Y49=""),"",IFERROR(Z49/Y49-1,""))</f>
        <v/>
      </c>
      <c r="AA57" s="17">
        <f>IF(OR(AA49="",Z49=""),"",IFERROR(AA49/Z49-1,""))</f>
        <v/>
      </c>
      <c r="AB57" s="17">
        <f>IF(OR(AB49="",AA49=""),"",IFERROR(AB49/AA49-1,""))</f>
        <v/>
      </c>
      <c r="AC57" s="17">
        <f>IF(OR(AC49="",AB49=""),"",IFERROR(AC49/AB49-1,""))</f>
        <v/>
      </c>
    </row>
    <row r="58">
      <c r="A58" s="20" t="inlineStr">
        <is>
          <t>P/E (현재 주가)</t>
        </is>
      </c>
      <c r="B58" s="10" t="inlineStr">
        <is>
          <t>시총 ÷ 지배순이익</t>
        </is>
      </c>
      <c r="C58" s="32" t="n"/>
      <c r="D58" s="33" t="n"/>
      <c r="E58" s="33" t="n"/>
      <c r="F58" s="33" t="n"/>
      <c r="G58" s="33" t="n"/>
      <c r="H58" s="33" t="n"/>
      <c r="I58" s="33" t="n"/>
      <c r="J58" s="33" t="n"/>
      <c r="K58" s="33" t="n"/>
      <c r="L58" s="33" t="n"/>
      <c r="M58" s="33" t="n"/>
      <c r="N58" s="33" t="n"/>
      <c r="O58" s="32" t="n"/>
      <c r="P58" s="33" t="n"/>
      <c r="Q58" s="33" t="n"/>
      <c r="R58" s="33" t="n"/>
      <c r="S58" s="33" t="n"/>
      <c r="T58" s="33" t="n"/>
      <c r="U58" s="33" t="n"/>
      <c r="V58" s="33" t="n"/>
      <c r="W58" s="33" t="n"/>
      <c r="X58" s="33">
        <f>IF(OR($B$55="",X49=""),"",IFERROR($B$55/X49,""))</f>
        <v/>
      </c>
      <c r="Y58" s="32">
        <f>IF(OR($B$55="",Y49=""),"",IFERROR($B$55/Y49,""))</f>
        <v/>
      </c>
      <c r="Z58" s="33">
        <f>IF(OR($B$55="",Z49=""),"",IFERROR($B$55/Z49,""))</f>
        <v/>
      </c>
      <c r="AA58" s="33">
        <f>IF(OR($B$55="",AA49=""),"",IFERROR($B$55/AA49,""))</f>
        <v/>
      </c>
      <c r="AB58" s="33">
        <f>IF(OR($B$55="",AB49=""),"",IFERROR($B$55/AB49,""))</f>
        <v/>
      </c>
      <c r="AC58" s="33">
        <f>IF(OR($B$55="",AC49=""),"",IFERROR($B$55/AC49,""))</f>
        <v/>
      </c>
    </row>
    <row r="59">
      <c r="A59" s="20" t="inlineStr">
        <is>
          <t>Target P/E</t>
        </is>
      </c>
      <c r="B59" s="10" t="inlineStr">
        <is>
          <t>직접 입력</t>
        </is>
      </c>
      <c r="C59" s="32" t="n"/>
      <c r="D59" s="33" t="n"/>
      <c r="E59" s="33" t="n"/>
      <c r="F59" s="33" t="n"/>
      <c r="G59" s="33" t="n"/>
      <c r="H59" s="33" t="n"/>
      <c r="I59" s="33" t="n"/>
      <c r="J59" s="33" t="n"/>
      <c r="K59" s="33" t="n"/>
      <c r="L59" s="33" t="n"/>
      <c r="M59" s="33" t="n"/>
      <c r="N59" s="33" t="n"/>
      <c r="O59" s="32" t="n"/>
      <c r="P59" s="33" t="n"/>
      <c r="Q59" s="33" t="n"/>
      <c r="R59" s="33" t="n"/>
      <c r="S59" s="33" t="n"/>
      <c r="T59" s="33" t="n"/>
      <c r="U59" s="33" t="n"/>
      <c r="V59" s="33" t="n"/>
      <c r="W59" s="33" t="n"/>
      <c r="X59" s="33" t="n"/>
      <c r="Y59" s="34" t="n"/>
      <c r="Z59" s="35" t="n"/>
      <c r="AA59" s="35" t="n"/>
      <c r="AB59" s="35" t="n"/>
      <c r="AC59" s="35" t="n"/>
    </row>
    <row r="60">
      <c r="A60" s="20" t="inlineStr">
        <is>
          <t>EPS</t>
        </is>
      </c>
      <c r="B60" s="10" t="inlineStr">
        <is>
          <t>지배순이익 ÷ 주식수</t>
        </is>
      </c>
      <c r="C60" s="30" t="n"/>
      <c r="D60" s="31" t="n"/>
      <c r="E60" s="31" t="n"/>
      <c r="F60" s="31" t="n"/>
      <c r="G60" s="31" t="n"/>
      <c r="H60" s="31" t="n"/>
      <c r="I60" s="31" t="n"/>
      <c r="J60" s="31" t="n"/>
      <c r="K60" s="31" t="n"/>
      <c r="L60" s="31" t="n"/>
      <c r="M60" s="31" t="n"/>
      <c r="N60" s="31" t="n"/>
      <c r="O60" s="30">
        <f>IF(OR(O49="",$B$54=""),"",IFERROR(O49*1000000.0/$B$54,""))</f>
        <v/>
      </c>
      <c r="P60" s="31">
        <f>IF(OR(P49="",$B$54=""),"",IFERROR(P49*1000000.0/$B$54,""))</f>
        <v/>
      </c>
      <c r="Q60" s="31">
        <f>IF(OR(Q49="",$B$54=""),"",IFERROR(Q49*1000000.0/$B$54,""))</f>
        <v/>
      </c>
      <c r="R60" s="31">
        <f>IF(OR(R49="",$B$54=""),"",IFERROR(R49*1000000.0/$B$54,""))</f>
        <v/>
      </c>
      <c r="S60" s="31">
        <f>IF(OR(S49="",$B$54=""),"",IFERROR(S49*1000000.0/$B$54,""))</f>
        <v/>
      </c>
      <c r="T60" s="31">
        <f>IF(OR(T49="",$B$54=""),"",IFERROR(T49*1000000.0/$B$54,""))</f>
        <v/>
      </c>
      <c r="U60" s="31">
        <f>IF(OR(U49="",$B$54=""),"",IFERROR(U49*1000000.0/$B$54,""))</f>
        <v/>
      </c>
      <c r="V60" s="31">
        <f>IF(OR(V49="",$B$54=""),"",IFERROR(V49*1000000.0/$B$54,""))</f>
        <v/>
      </c>
      <c r="W60" s="31">
        <f>IF(OR(W49="",$B$54=""),"",IFERROR(W49*1000000.0/$B$54,""))</f>
        <v/>
      </c>
      <c r="X60" s="31">
        <f>IF(OR(X49="",$B$54=""),"",IFERROR(X49*1000000.0/$B$54,""))</f>
        <v/>
      </c>
      <c r="Y60" s="30">
        <f>IF(OR(Y49="",$B$54=""),"",IFERROR(Y49*1000000.0/$B$54,""))</f>
        <v/>
      </c>
      <c r="Z60" s="31">
        <f>IF(OR(Z49="",$B$54=""),"",IFERROR(Z49*1000000.0/$B$54,""))</f>
        <v/>
      </c>
      <c r="AA60" s="31">
        <f>IF(OR(AA49="",$B$54=""),"",IFERROR(AA49*1000000.0/$B$54,""))</f>
        <v/>
      </c>
      <c r="AB60" s="31">
        <f>IF(OR(AB49="",$B$54=""),"",IFERROR(AB49*1000000.0/$B$54,""))</f>
        <v/>
      </c>
      <c r="AC60" s="31">
        <f>IF(OR(AC49="",$B$54=""),"",IFERROR(AC49*1000000.0/$B$54,""))</f>
        <v/>
      </c>
    </row>
    <row r="61">
      <c r="A61" s="9" t="inlineStr">
        <is>
          <t>목표주가</t>
        </is>
      </c>
      <c r="B61" s="10" t="n"/>
      <c r="C61" s="36" t="n"/>
      <c r="D61" s="29" t="n"/>
      <c r="E61" s="29" t="n"/>
      <c r="F61" s="29" t="n"/>
      <c r="G61" s="29" t="n"/>
      <c r="H61" s="29" t="n"/>
      <c r="I61" s="29" t="n"/>
      <c r="J61" s="29" t="n"/>
      <c r="K61" s="29" t="n"/>
      <c r="L61" s="29" t="n"/>
      <c r="M61" s="29" t="n"/>
      <c r="N61" s="29" t="n"/>
      <c r="O61" s="36" t="n"/>
      <c r="P61" s="29" t="n"/>
      <c r="Q61" s="29" t="n"/>
      <c r="R61" s="29" t="n"/>
      <c r="S61" s="29" t="n"/>
      <c r="T61" s="29" t="n"/>
      <c r="U61" s="29" t="n"/>
      <c r="V61" s="29" t="n"/>
      <c r="W61" s="29" t="n"/>
      <c r="X61" s="29" t="n"/>
      <c r="Y61" s="36">
        <f>IF(OR(Y60="",Y59=""),"",IFERROR(Y60*Y59,""))</f>
        <v/>
      </c>
      <c r="Z61" s="29">
        <f>IF(OR(Z60="",Z59=""),"",IFERROR(Z60*Z59,""))</f>
        <v/>
      </c>
      <c r="AA61" s="29">
        <f>IF(OR(AA60="",AA59=""),"",IFERROR(AA60*AA59,""))</f>
        <v/>
      </c>
      <c r="AB61" s="29">
        <f>IF(OR(AB60="",AB59=""),"",IFERROR(AB60*AB59,""))</f>
        <v/>
      </c>
      <c r="AC61" s="29">
        <f>IF(OR(AC60="",AC59=""),"",IFERROR(AC60*AC59,""))</f>
        <v/>
      </c>
    </row>
    <row r="62">
      <c r="A62" s="20" t="inlineStr">
        <is>
          <t>상승여력</t>
        </is>
      </c>
      <c r="B62" s="10" t="n"/>
      <c r="C62" s="37" t="n"/>
      <c r="D62" s="38" t="n"/>
      <c r="E62" s="38" t="n"/>
      <c r="F62" s="38" t="n"/>
      <c r="G62" s="38" t="n"/>
      <c r="H62" s="38" t="n"/>
      <c r="I62" s="38" t="n"/>
      <c r="J62" s="38" t="n"/>
      <c r="K62" s="38" t="n"/>
      <c r="L62" s="38" t="n"/>
      <c r="M62" s="38" t="n"/>
      <c r="N62" s="38" t="n"/>
      <c r="O62" s="37" t="n"/>
      <c r="P62" s="38" t="n"/>
      <c r="Q62" s="38" t="n"/>
      <c r="R62" s="38" t="n"/>
      <c r="S62" s="38" t="n"/>
      <c r="T62" s="38" t="n"/>
      <c r="U62" s="38" t="n"/>
      <c r="V62" s="38" t="n"/>
      <c r="W62" s="38" t="n"/>
      <c r="X62" s="38" t="n"/>
      <c r="Y62" s="39">
        <f>IF(OR(Y61="",$B$53=""),"",IFERROR(Y61/$B$53-1,""))</f>
        <v/>
      </c>
      <c r="Z62" s="40">
        <f>IF(OR(Z61="",$B$53=""),"",IFERROR(Z61/$B$53-1,""))</f>
        <v/>
      </c>
      <c r="AA62" s="40">
        <f>IF(OR(AA61="",$B$53=""),"",IFERROR(AA61/$B$53-1,""))</f>
        <v/>
      </c>
      <c r="AB62" s="40">
        <f>IF(OR(AB61="",$B$53=""),"",IFERROR(AB61/$B$53-1,""))</f>
        <v/>
      </c>
      <c r="AC62" s="40">
        <f>IF(OR(AC61="",$B$53=""),"",IFERROR(AC61/$B$53-1,""))</f>
        <v/>
      </c>
    </row>
    <row r="63">
      <c r="A63" s="18" t="inlineStr">
        <is>
          <t>자산가치 산출</t>
        </is>
      </c>
      <c r="B63" s="18" t="inlineStr">
        <is>
          <t>최신 분기 BS</t>
        </is>
      </c>
      <c r="C63" s="19" t="n"/>
      <c r="D63" s="18" t="n"/>
      <c r="E63" s="18" t="n"/>
      <c r="F63" s="18" t="n"/>
      <c r="G63" s="18" t="n"/>
      <c r="H63" s="18" t="n"/>
      <c r="I63" s="18" t="n"/>
      <c r="J63" s="18" t="n"/>
      <c r="K63" s="18" t="n"/>
      <c r="L63" s="18" t="n"/>
      <c r="M63" s="18" t="n"/>
      <c r="N63" s="18" t="n"/>
      <c r="O63" s="19" t="n"/>
      <c r="P63" s="18" t="n"/>
      <c r="Q63" s="18" t="n"/>
      <c r="R63" s="18" t="n"/>
      <c r="S63" s="18" t="n"/>
      <c r="T63" s="18" t="n"/>
      <c r="U63" s="18" t="n"/>
      <c r="V63" s="18" t="n"/>
      <c r="W63" s="18" t="n"/>
      <c r="X63" s="18" t="n"/>
      <c r="Y63" s="19" t="n"/>
      <c r="Z63" s="18" t="n"/>
      <c r="AA63" s="18" t="n"/>
      <c r="AB63" s="18" t="n"/>
      <c r="AC63" s="18" t="n"/>
    </row>
    <row r="64">
      <c r="A64" s="20" t="inlineStr">
        <is>
          <t>현금및현금성자산</t>
        </is>
      </c>
      <c r="B64" s="10" t="n"/>
      <c r="C64" s="21" t="n"/>
      <c r="D64" s="22" t="n"/>
      <c r="E64" s="22" t="n"/>
      <c r="F64" s="22" t="n"/>
      <c r="G64" s="22" t="n"/>
      <c r="H64" s="22" t="n"/>
      <c r="I64" s="22" t="n"/>
      <c r="J64" s="22" t="n"/>
      <c r="K64" s="22" t="n"/>
      <c r="L64" s="22" t="n"/>
      <c r="M64" s="22" t="n"/>
      <c r="N64" s="22" t="n"/>
      <c r="O64" s="21" t="n"/>
      <c r="P64" s="22" t="n"/>
      <c r="Q64" s="22" t="n"/>
      <c r="R64" s="22" t="n"/>
      <c r="S64" s="22" t="n"/>
      <c r="T64" s="22" t="n"/>
      <c r="U64" s="22" t="n"/>
      <c r="V64" s="22" t="n"/>
      <c r="W64" s="22" t="n"/>
      <c r="X64" s="22">
        <f>'재무상태표'!G6</f>
        <v/>
      </c>
      <c r="Y64" s="21">
        <f>'재무상태표'!G6</f>
        <v/>
      </c>
      <c r="Z64" s="22">
        <f>'재무상태표'!G6</f>
        <v/>
      </c>
      <c r="AA64" s="22">
        <f>'재무상태표'!G6</f>
        <v/>
      </c>
      <c r="AB64" s="22">
        <f>'재무상태표'!G6</f>
        <v/>
      </c>
      <c r="AC64" s="22">
        <f>'재무상태표'!G6</f>
        <v/>
      </c>
    </row>
    <row r="65">
      <c r="A65" s="20" t="inlineStr">
        <is>
          <t>단기금융상품</t>
        </is>
      </c>
      <c r="B65" s="10" t="n"/>
      <c r="C65" s="21" t="n"/>
      <c r="D65" s="22" t="n"/>
      <c r="E65" s="22" t="n"/>
      <c r="F65" s="22" t="n"/>
      <c r="G65" s="22" t="n"/>
      <c r="H65" s="22" t="n"/>
      <c r="I65" s="22" t="n"/>
      <c r="J65" s="22" t="n"/>
      <c r="K65" s="22" t="n"/>
      <c r="L65" s="22" t="n"/>
      <c r="M65" s="22" t="n"/>
      <c r="N65" s="22" t="n"/>
      <c r="O65" s="21" t="n"/>
      <c r="P65" s="22" t="n"/>
      <c r="Q65" s="22" t="n"/>
      <c r="R65" s="22" t="n"/>
      <c r="S65" s="22" t="n"/>
      <c r="T65" s="22" t="n"/>
      <c r="U65" s="22" t="n"/>
      <c r="V65" s="22" t="n"/>
      <c r="W65" s="22" t="n"/>
      <c r="X65" s="22">
        <f>'재무상태표'!G7</f>
        <v/>
      </c>
      <c r="Y65" s="21">
        <f>'재무상태표'!G7</f>
        <v/>
      </c>
      <c r="Z65" s="22">
        <f>'재무상태표'!G7</f>
        <v/>
      </c>
      <c r="AA65" s="22">
        <f>'재무상태표'!G7</f>
        <v/>
      </c>
      <c r="AB65" s="22">
        <f>'재무상태표'!G7</f>
        <v/>
      </c>
      <c r="AC65" s="22">
        <f>'재무상태표'!G7</f>
        <v/>
      </c>
    </row>
    <row r="66">
      <c r="A66" s="20" t="inlineStr">
        <is>
          <t>투자부동산</t>
        </is>
      </c>
      <c r="B66" s="10" t="n"/>
      <c r="C66" s="21" t="n"/>
      <c r="D66" s="22" t="n"/>
      <c r="E66" s="22" t="n"/>
      <c r="F66" s="22" t="n"/>
      <c r="G66" s="22" t="n"/>
      <c r="H66" s="22" t="n"/>
      <c r="I66" s="22" t="n"/>
      <c r="J66" s="22" t="n"/>
      <c r="K66" s="22" t="n"/>
      <c r="L66" s="22" t="n"/>
      <c r="M66" s="22" t="n"/>
      <c r="N66" s="22" t="n"/>
      <c r="O66" s="21" t="n"/>
      <c r="P66" s="22" t="n"/>
      <c r="Q66" s="22" t="n"/>
      <c r="R66" s="22" t="n"/>
      <c r="S66" s="22" t="n"/>
      <c r="T66" s="22" t="n"/>
      <c r="U66" s="22" t="n"/>
      <c r="V66" s="22" t="n"/>
      <c r="W66" s="22" t="n"/>
      <c r="X66" s="22">
        <f>'재무상태표'!G14</f>
        <v/>
      </c>
      <c r="Y66" s="21">
        <f>'재무상태표'!G14</f>
        <v/>
      </c>
      <c r="Z66" s="22">
        <f>'재무상태표'!G14</f>
        <v/>
      </c>
      <c r="AA66" s="22">
        <f>'재무상태표'!G14</f>
        <v/>
      </c>
      <c r="AB66" s="22">
        <f>'재무상태표'!G14</f>
        <v/>
      </c>
      <c r="AC66" s="22">
        <f>'재무상태표'!G14</f>
        <v/>
      </c>
    </row>
    <row r="67">
      <c r="A67" s="20" t="inlineStr">
        <is>
          <t>지배자본</t>
        </is>
      </c>
      <c r="B67" s="10" t="n"/>
      <c r="C67" s="21" t="n"/>
      <c r="D67" s="22" t="n"/>
      <c r="E67" s="22" t="n"/>
      <c r="F67" s="22" t="n"/>
      <c r="G67" s="22" t="n"/>
      <c r="H67" s="22" t="n"/>
      <c r="I67" s="22" t="n"/>
      <c r="J67" s="22" t="n"/>
      <c r="K67" s="22" t="n"/>
      <c r="L67" s="22" t="n"/>
      <c r="M67" s="22" t="n"/>
      <c r="N67" s="22" t="n"/>
      <c r="O67" s="21" t="n"/>
      <c r="P67" s="22" t="n"/>
      <c r="Q67" s="22" t="n"/>
      <c r="R67" s="22" t="n"/>
      <c r="S67" s="22" t="n"/>
      <c r="T67" s="22" t="n"/>
      <c r="U67" s="22" t="n"/>
      <c r="V67" s="22" t="n"/>
      <c r="W67" s="22" t="n"/>
      <c r="X67" s="22">
        <f>'재무상태표'!G31</f>
        <v/>
      </c>
      <c r="Y67" s="21">
        <f>'재무상태표'!G31</f>
        <v/>
      </c>
      <c r="Z67" s="22">
        <f>'재무상태표'!G31</f>
        <v/>
      </c>
      <c r="AA67" s="22">
        <f>'재무상태표'!G31</f>
        <v/>
      </c>
      <c r="AB67" s="22">
        <f>'재무상태표'!G31</f>
        <v/>
      </c>
      <c r="AC67" s="22">
        <f>'재무상태표'!G31</f>
        <v/>
      </c>
    </row>
    <row r="68">
      <c r="A68" s="20" t="inlineStr">
        <is>
          <t>부채</t>
        </is>
      </c>
      <c r="B68" s="10" t="n"/>
      <c r="C68" s="21" t="n"/>
      <c r="D68" s="22" t="n"/>
      <c r="E68" s="22" t="n"/>
      <c r="F68" s="22" t="n"/>
      <c r="G68" s="22" t="n"/>
      <c r="H68" s="22" t="n"/>
      <c r="I68" s="22" t="n"/>
      <c r="J68" s="22" t="n"/>
      <c r="K68" s="22" t="n"/>
      <c r="L68" s="22" t="n"/>
      <c r="M68" s="22" t="n"/>
      <c r="N68" s="22" t="n"/>
      <c r="O68" s="21" t="n"/>
      <c r="P68" s="22" t="n"/>
      <c r="Q68" s="22" t="n"/>
      <c r="R68" s="22" t="n"/>
      <c r="S68" s="22" t="n"/>
      <c r="T68" s="22" t="n"/>
      <c r="U68" s="22" t="n"/>
      <c r="V68" s="22" t="n"/>
      <c r="W68" s="22" t="n"/>
      <c r="X68" s="22">
        <f>'재무상태표'!G27</f>
        <v/>
      </c>
      <c r="Y68" s="21">
        <f>'재무상태표'!G27</f>
        <v/>
      </c>
      <c r="Z68" s="22">
        <f>'재무상태표'!G27</f>
        <v/>
      </c>
      <c r="AA68" s="22">
        <f>'재무상태표'!G27</f>
        <v/>
      </c>
      <c r="AB68" s="22">
        <f>'재무상태표'!G27</f>
        <v/>
      </c>
      <c r="AC68" s="22">
        <f>'재무상태표'!G27</f>
        <v/>
      </c>
    </row>
    <row r="69">
      <c r="A69" s="15" t="inlineStr">
        <is>
          <t>부채비율</t>
        </is>
      </c>
      <c r="B69" s="10" t="n"/>
      <c r="C69" s="16" t="n"/>
      <c r="D69" s="17" t="n"/>
      <c r="E69" s="17" t="n"/>
      <c r="F69" s="17" t="n"/>
      <c r="G69" s="17" t="n"/>
      <c r="H69" s="17" t="n"/>
      <c r="I69" s="17" t="n"/>
      <c r="J69" s="17" t="n"/>
      <c r="K69" s="17" t="n"/>
      <c r="L69" s="17" t="n"/>
      <c r="M69" s="17" t="n"/>
      <c r="N69" s="17" t="n"/>
      <c r="O69" s="16" t="n"/>
      <c r="P69" s="17" t="n"/>
      <c r="Q69" s="17" t="n"/>
      <c r="R69" s="17" t="n"/>
      <c r="S69" s="17" t="n"/>
      <c r="T69" s="17" t="n"/>
      <c r="U69" s="17" t="n"/>
      <c r="V69" s="17" t="n"/>
      <c r="W69" s="17" t="n"/>
      <c r="X69" s="17">
        <f>IF(OR(X68="",X67=""),"",IFERROR(X68/X67,""))</f>
        <v/>
      </c>
      <c r="Y69" s="16">
        <f>IF(OR(Y68="",Y67=""),"",IFERROR(Y68/Y67,""))</f>
        <v/>
      </c>
      <c r="Z69" s="17">
        <f>IF(OR(Z68="",Z67=""),"",IFERROR(Z68/Z67,""))</f>
        <v/>
      </c>
      <c r="AA69" s="17">
        <f>IF(OR(AA68="",AA67=""),"",IFERROR(AA68/AA67,""))</f>
        <v/>
      </c>
      <c r="AB69" s="17">
        <f>IF(OR(AB68="",AB67=""),"",IFERROR(AB68/AB67,""))</f>
        <v/>
      </c>
      <c r="AC69" s="17">
        <f>IF(OR(AC68="",AC67=""),"",IFERROR(AC68/AC67,""))</f>
        <v/>
      </c>
    </row>
    <row r="70">
      <c r="A70" s="9" t="inlineStr">
        <is>
          <t>자산가치</t>
        </is>
      </c>
      <c r="B70" s="10" t="inlineStr">
        <is>
          <t>현금+단기금융+투자부동산</t>
        </is>
      </c>
      <c r="C70" s="11" t="n"/>
      <c r="D70" s="12" t="n"/>
      <c r="E70" s="12" t="n"/>
      <c r="F70" s="12" t="n"/>
      <c r="G70" s="12" t="n"/>
      <c r="H70" s="12" t="n"/>
      <c r="I70" s="12" t="n"/>
      <c r="J70" s="12" t="n"/>
      <c r="K70" s="12" t="n"/>
      <c r="L70" s="12" t="n"/>
      <c r="M70" s="12" t="n"/>
      <c r="N70" s="12" t="n"/>
      <c r="O70" s="11" t="n"/>
      <c r="P70" s="12" t="n"/>
      <c r="Q70" s="12" t="n"/>
      <c r="R70" s="12" t="n"/>
      <c r="S70" s="12" t="n"/>
      <c r="T70" s="12" t="n"/>
      <c r="U70" s="12" t="n"/>
      <c r="V70" s="12" t="n"/>
      <c r="W70" s="12" t="n"/>
      <c r="X70" s="12">
        <f>SUM(X64,X65,X66)</f>
        <v/>
      </c>
      <c r="Y70" s="11">
        <f>SUM(Y64,Y65,Y66)</f>
        <v/>
      </c>
      <c r="Z70" s="12">
        <f>SUM(Z64,Z65,Z66)</f>
        <v/>
      </c>
      <c r="AA70" s="12">
        <f>SUM(AA64,AA65,AA66)</f>
        <v/>
      </c>
      <c r="AB70" s="12">
        <f>SUM(AB64,AB65,AB66)</f>
        <v/>
      </c>
      <c r="AC70" s="12">
        <f>SUM(AC64,AC65,AC66)</f>
        <v/>
      </c>
    </row>
    <row r="71">
      <c r="A71" s="18" t="inlineStr">
        <is>
          <t>기업가치 산출</t>
        </is>
      </c>
      <c r="B71" s="18" t="n"/>
      <c r="C71" s="19" t="n"/>
      <c r="D71" s="18" t="n"/>
      <c r="E71" s="18" t="n"/>
      <c r="F71" s="18" t="n"/>
      <c r="G71" s="18" t="n"/>
      <c r="H71" s="18" t="n"/>
      <c r="I71" s="18" t="n"/>
      <c r="J71" s="18" t="n"/>
      <c r="K71" s="18" t="n"/>
      <c r="L71" s="18" t="n"/>
      <c r="M71" s="18" t="n"/>
      <c r="N71" s="18" t="n"/>
      <c r="O71" s="19" t="n"/>
      <c r="P71" s="18" t="n"/>
      <c r="Q71" s="18" t="n"/>
      <c r="R71" s="18" t="n"/>
      <c r="S71" s="18" t="n"/>
      <c r="T71" s="18" t="n"/>
      <c r="U71" s="18" t="n"/>
      <c r="V71" s="18" t="n"/>
      <c r="W71" s="18" t="n"/>
      <c r="X71" s="18" t="n"/>
      <c r="Y71" s="19" t="n"/>
      <c r="Z71" s="18" t="n"/>
      <c r="AA71" s="18" t="n"/>
      <c r="AB71" s="18" t="n"/>
      <c r="AC71" s="18" t="n"/>
    </row>
    <row r="72">
      <c r="A72" s="20" t="inlineStr">
        <is>
          <t>목표 시가총액 (P/E)</t>
        </is>
      </c>
      <c r="B72" s="10" t="inlineStr">
        <is>
          <t>지배순이익 × Target P/E</t>
        </is>
      </c>
      <c r="C72" s="21" t="n"/>
      <c r="D72" s="22" t="n"/>
      <c r="E72" s="22" t="n"/>
      <c r="F72" s="22" t="n"/>
      <c r="G72" s="22" t="n"/>
      <c r="H72" s="22" t="n"/>
      <c r="I72" s="22" t="n"/>
      <c r="J72" s="22" t="n"/>
      <c r="K72" s="22" t="n"/>
      <c r="L72" s="22" t="n"/>
      <c r="M72" s="22" t="n"/>
      <c r="N72" s="22" t="n"/>
      <c r="O72" s="21" t="n"/>
      <c r="P72" s="22" t="n"/>
      <c r="Q72" s="22" t="n"/>
      <c r="R72" s="22" t="n"/>
      <c r="S72" s="22" t="n"/>
      <c r="T72" s="22" t="n"/>
      <c r="U72" s="22" t="n"/>
      <c r="V72" s="22" t="n"/>
      <c r="W72" s="22" t="n"/>
      <c r="X72" s="22" t="n"/>
      <c r="Y72" s="21">
        <f>IF(OR(Y49="",Y59=""),"",IFERROR(Y49*Y59,""))</f>
        <v/>
      </c>
      <c r="Z72" s="22">
        <f>IF(OR(Z49="",Z59=""),"",IFERROR(Z49*Z59,""))</f>
        <v/>
      </c>
      <c r="AA72" s="22">
        <f>IF(OR(AA49="",AA59=""),"",IFERROR(AA49*AA59,""))</f>
        <v/>
      </c>
      <c r="AB72" s="22">
        <f>IF(OR(AB49="",AB59=""),"",IFERROR(AB49*AB59,""))</f>
        <v/>
      </c>
      <c r="AC72" s="22">
        <f>IF(OR(AC49="",AC59=""),"",IFERROR(AC49*AC59,""))</f>
        <v/>
      </c>
    </row>
    <row r="73">
      <c r="A73" s="9" t="inlineStr">
        <is>
          <t>기업가치</t>
        </is>
      </c>
      <c r="B73" s="10" t="inlineStr">
        <is>
          <t>목표시총 + 자산가치</t>
        </is>
      </c>
      <c r="C73" s="11" t="n"/>
      <c r="D73" s="12" t="n"/>
      <c r="E73" s="12" t="n"/>
      <c r="F73" s="12" t="n"/>
      <c r="G73" s="12" t="n"/>
      <c r="H73" s="12" t="n"/>
      <c r="I73" s="12" t="n"/>
      <c r="J73" s="12" t="n"/>
      <c r="K73" s="12" t="n"/>
      <c r="L73" s="12" t="n"/>
      <c r="M73" s="12" t="n"/>
      <c r="N73" s="12" t="n"/>
      <c r="O73" s="11" t="n"/>
      <c r="P73" s="12" t="n"/>
      <c r="Q73" s="12" t="n"/>
      <c r="R73" s="12" t="n"/>
      <c r="S73" s="12" t="n"/>
      <c r="T73" s="12" t="n"/>
      <c r="U73" s="12" t="n"/>
      <c r="V73" s="12" t="n"/>
      <c r="W73" s="12" t="n"/>
      <c r="X73" s="12" t="n"/>
      <c r="Y73" s="11">
        <f>IF(OR(Y72=""),"",IFERROR(Y72+Y70,""))</f>
        <v/>
      </c>
      <c r="Z73" s="12">
        <f>IF(OR(Z72=""),"",IFERROR(Z72+Z70,""))</f>
        <v/>
      </c>
      <c r="AA73" s="12">
        <f>IF(OR(AA72=""),"",IFERROR(AA72+AA70,""))</f>
        <v/>
      </c>
      <c r="AB73" s="12">
        <f>IF(OR(AB72=""),"",IFERROR(AB72+AB70,""))</f>
        <v/>
      </c>
      <c r="AC73" s="12">
        <f>IF(OR(AC72=""),"",IFERROR(AC72+AC70,""))</f>
        <v/>
      </c>
    </row>
    <row r="74">
      <c r="A74" s="20" t="inlineStr">
        <is>
          <t>현재 시가총액</t>
        </is>
      </c>
      <c r="B74" s="10" t="n"/>
      <c r="C74" s="21" t="n"/>
      <c r="D74" s="22" t="n"/>
      <c r="E74" s="22" t="n"/>
      <c r="F74" s="22" t="n"/>
      <c r="G74" s="22" t="n"/>
      <c r="H74" s="22" t="n"/>
      <c r="I74" s="22" t="n"/>
      <c r="J74" s="22" t="n"/>
      <c r="K74" s="22" t="n"/>
      <c r="L74" s="22" t="n"/>
      <c r="M74" s="22" t="n"/>
      <c r="N74" s="22" t="n"/>
      <c r="O74" s="21" t="n"/>
      <c r="P74" s="22" t="n"/>
      <c r="Q74" s="22" t="n"/>
      <c r="R74" s="22" t="n"/>
      <c r="S74" s="22" t="n"/>
      <c r="T74" s="22" t="n"/>
      <c r="U74" s="22" t="n"/>
      <c r="V74" s="22" t="n"/>
      <c r="W74" s="22" t="n"/>
      <c r="X74" s="22" t="n"/>
      <c r="Y74" s="21">
        <f>$B$55</f>
        <v/>
      </c>
      <c r="Z74" s="22">
        <f>$B$55</f>
        <v/>
      </c>
      <c r="AA74" s="22">
        <f>$B$55</f>
        <v/>
      </c>
      <c r="AB74" s="22">
        <f>$B$55</f>
        <v/>
      </c>
      <c r="AC74" s="22">
        <f>$B$55</f>
        <v/>
      </c>
    </row>
    <row r="75">
      <c r="A75" s="20" t="inlineStr">
        <is>
          <t>상승여력</t>
        </is>
      </c>
      <c r="B75" s="10" t="n"/>
      <c r="C75" s="37" t="n"/>
      <c r="D75" s="38" t="n"/>
      <c r="E75" s="38" t="n"/>
      <c r="F75" s="38" t="n"/>
      <c r="G75" s="38" t="n"/>
      <c r="H75" s="38" t="n"/>
      <c r="I75" s="38" t="n"/>
      <c r="J75" s="38" t="n"/>
      <c r="K75" s="38" t="n"/>
      <c r="L75" s="38" t="n"/>
      <c r="M75" s="38" t="n"/>
      <c r="N75" s="38" t="n"/>
      <c r="O75" s="37" t="n"/>
      <c r="P75" s="38" t="n"/>
      <c r="Q75" s="38" t="n"/>
      <c r="R75" s="38" t="n"/>
      <c r="S75" s="38" t="n"/>
      <c r="T75" s="38" t="n"/>
      <c r="U75" s="38" t="n"/>
      <c r="V75" s="38" t="n"/>
      <c r="W75" s="38" t="n"/>
      <c r="X75" s="38" t="n"/>
      <c r="Y75" s="39">
        <f>IF(OR(Y73="",Y74=""),"",IFERROR(Y73/Y74-1,""))</f>
        <v/>
      </c>
      <c r="Z75" s="40">
        <f>IF(OR(Z73="",Z74=""),"",IFERROR(Z73/Z74-1,""))</f>
        <v/>
      </c>
      <c r="AA75" s="40">
        <f>IF(OR(AA73="",AA74=""),"",IFERROR(AA73/AA74-1,""))</f>
        <v/>
      </c>
      <c r="AB75" s="40">
        <f>IF(OR(AB73="",AB74=""),"",IFERROR(AB73/AB74-1,""))</f>
        <v/>
      </c>
      <c r="AC75" s="40">
        <f>IF(OR(AC73="",AC74=""),"",IFERROR(AC73/AC74-1,""))</f>
        <v/>
      </c>
    </row>
    <row r="76">
      <c r="C76" s="41" t="n"/>
      <c r="O76" s="41" t="n"/>
      <c r="Y76" s="41" t="n"/>
    </row>
    <row r="77">
      <c r="A77" s="42" t="inlineStr">
        <is>
          <t>출처</t>
        </is>
      </c>
      <c r="C77" s="41" t="n"/>
      <c r="O77" s="41" t="n"/>
      <c r="Y77" s="41" t="n"/>
    </row>
    <row r="78">
      <c r="A78" s="43" t="inlineStr">
        <is>
          <t>결산단신 XBRL(TDnet·JPX 보관소) — 쓴 문서는 '출처' 시트</t>
        </is>
      </c>
      <c r="C78" s="41" t="n"/>
      <c r="O78" s="41" t="n"/>
      <c r="Y78" s="41" t="n"/>
    </row>
    <row r="79">
      <c r="A79" s="43" t="inlineStr">
        <is>
          <t>분기 = 누계에서 앞 분기를 뺀 3개월 값</t>
        </is>
      </c>
      <c r="C79" s="41" t="n"/>
      <c r="O79" s="41" t="n"/>
      <c r="Y79" s="41" t="n"/>
    </row>
    <row r="80">
      <c r="A80" s="43" t="inlineStr">
        <is>
          <t>주가: 야후 파이낸스 일봉 2026.10.28</t>
        </is>
      </c>
      <c r="C80" s="41" t="n"/>
      <c r="O80" s="41" t="n"/>
      <c r="Y80" s="41" t="n"/>
    </row>
    <row r="82">
      <c r="A82" s="18" t="inlineStr">
        <is>
          <t>손익계산서 · 전 항목</t>
        </is>
      </c>
      <c r="B82" s="44" t="inlineStr">
        <is>
          <t>분기 = 3개월 단독</t>
        </is>
      </c>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row>
    <row r="83">
      <c r="A83" s="5" t="inlineStr">
        <is>
          <t>항목</t>
        </is>
      </c>
      <c r="B83" s="5" t="inlineStr">
        <is>
          <t>참고</t>
        </is>
      </c>
      <c r="C83" s="5" t="inlineStr">
        <is>
          <t>2024.2Q</t>
        </is>
      </c>
      <c r="D83" s="5" t="inlineStr">
        <is>
          <t>2024.3Q</t>
        </is>
      </c>
      <c r="E83" s="5" t="inlineStr">
        <is>
          <t>2024.4Q</t>
        </is>
      </c>
      <c r="F83" s="5" t="inlineStr">
        <is>
          <t>2025.1Q</t>
        </is>
      </c>
      <c r="G83" s="5" t="inlineStr">
        <is>
          <t>2025.2Q</t>
        </is>
      </c>
      <c r="H83" s="5" t="inlineStr">
        <is>
          <t>2025.3Q</t>
        </is>
      </c>
      <c r="I83" s="5" t="inlineStr">
        <is>
          <t>2025.4Q</t>
        </is>
      </c>
      <c r="J83" s="5" t="inlineStr">
        <is>
          <t>2026.1Q</t>
        </is>
      </c>
      <c r="K83" s="5" t="inlineStr">
        <is>
          <t>2026.2Q</t>
        </is>
      </c>
      <c r="L83" s="5" t="inlineStr">
        <is>
          <t>2026.3Q</t>
        </is>
      </c>
      <c r="M83" s="5" t="inlineStr">
        <is>
          <t>2026.4Q</t>
        </is>
      </c>
      <c r="N83" s="5" t="inlineStr">
        <is>
          <t>2027.1Q</t>
        </is>
      </c>
      <c r="O83" s="5" t="inlineStr">
        <is>
          <t>2017</t>
        </is>
      </c>
      <c r="P83" s="5" t="inlineStr">
        <is>
          <t>2018</t>
        </is>
      </c>
      <c r="Q83" s="5" t="inlineStr">
        <is>
          <t>2019</t>
        </is>
      </c>
      <c r="R83" s="5" t="inlineStr">
        <is>
          <t>2020</t>
        </is>
      </c>
      <c r="S83" s="5" t="inlineStr">
        <is>
          <t>2021</t>
        </is>
      </c>
      <c r="T83" s="5" t="inlineStr">
        <is>
          <t>2022</t>
        </is>
      </c>
      <c r="U83" s="5" t="inlineStr">
        <is>
          <t>2023</t>
        </is>
      </c>
      <c r="V83" s="5" t="inlineStr">
        <is>
          <t>2024</t>
        </is>
      </c>
      <c r="W83" s="5" t="inlineStr">
        <is>
          <t>2025</t>
        </is>
      </c>
      <c r="X83" s="5" t="inlineStr">
        <is>
          <t>2026</t>
        </is>
      </c>
      <c r="Y83" s="5" t="inlineStr">
        <is>
          <t>2027(MW)</t>
        </is>
      </c>
      <c r="Z83" s="5" t="inlineStr">
        <is>
          <t>2028(MW)</t>
        </is>
      </c>
      <c r="AA83" s="5" t="inlineStr">
        <is>
          <t>2029(MW)</t>
        </is>
      </c>
      <c r="AB83" s="5" t="inlineStr">
        <is>
          <t>2030(MW)</t>
        </is>
      </c>
      <c r="AC83" s="5" t="inlineStr">
        <is>
          <t>2031(MW)</t>
        </is>
      </c>
    </row>
    <row r="84">
      <c r="A84" s="9" t="inlineStr">
        <is>
          <t>매출수익</t>
        </is>
      </c>
      <c r="C84" s="12" t="n">
        <v>1043089</v>
      </c>
      <c r="D84" s="12" t="n">
        <v>1111186</v>
      </c>
      <c r="E84" s="12" t="n">
        <v>1050869</v>
      </c>
      <c r="F84" s="12" t="n">
        <v>1207990</v>
      </c>
      <c r="G84" s="12" t="n">
        <v>1176038</v>
      </c>
      <c r="H84" s="12" t="n">
        <v>1144124</v>
      </c>
      <c r="I84" s="12" t="n">
        <v>1053399</v>
      </c>
      <c r="J84" s="12" t="n">
        <v>1106685</v>
      </c>
      <c r="K84" s="12" t="n">
        <v>1112796</v>
      </c>
      <c r="L84" s="12" t="n">
        <v>1191698</v>
      </c>
      <c r="M84" s="12" t="n">
        <v>1094541</v>
      </c>
      <c r="N84" s="12" t="n">
        <v>1219900</v>
      </c>
      <c r="T84" s="12" t="n">
        <v>873289</v>
      </c>
      <c r="U84" s="12" t="n">
        <v>956156</v>
      </c>
      <c r="V84" s="12" t="n">
        <v>1050869</v>
      </c>
      <c r="W84" s="12" t="n">
        <v>1053399</v>
      </c>
      <c r="X84" s="12" t="n">
        <v>1094541</v>
      </c>
    </row>
    <row r="85">
      <c r="A85" s="45" t="inlineStr">
        <is>
          <t>YoY</t>
        </is>
      </c>
      <c r="B85" s="3" t="inlineStr">
        <is>
          <t>전년 같은 분기·전년 대비</t>
        </is>
      </c>
      <c r="G85" s="17">
        <f>IF(OR(G84="",C84=""),"",IF(C84&lt;=0,"",IFERROR(G84/C84-1,"")))</f>
        <v/>
      </c>
      <c r="H85" s="17">
        <f>IF(OR(H84="",D84=""),"",IF(D84&lt;=0,"",IFERROR(H84/D84-1,"")))</f>
        <v/>
      </c>
      <c r="I85" s="17">
        <f>IF(OR(I84="",E84=""),"",IF(E84&lt;=0,"",IFERROR(I84/E84-1,"")))</f>
        <v/>
      </c>
      <c r="J85" s="17">
        <f>IF(OR(J84="",F84=""),"",IF(F84&lt;=0,"",IFERROR(J84/F84-1,"")))</f>
        <v/>
      </c>
      <c r="K85" s="17">
        <f>IF(OR(K84="",G84=""),"",IF(G84&lt;=0,"",IFERROR(K84/G84-1,"")))</f>
        <v/>
      </c>
      <c r="L85" s="17">
        <f>IF(OR(L84="",H84=""),"",IF(H84&lt;=0,"",IFERROR(L84/H84-1,"")))</f>
        <v/>
      </c>
      <c r="M85" s="17">
        <f>IF(OR(M84="",I84=""),"",IF(I84&lt;=0,"",IFERROR(M84/I84-1,"")))</f>
        <v/>
      </c>
      <c r="N85" s="17">
        <f>IF(OR(N84="",J84=""),"",IF(J84&lt;=0,"",IFERROR(N84/J84-1,"")))</f>
        <v/>
      </c>
      <c r="T85" s="17">
        <f>IF(OR(T84="",S84=""),"",IF(S84&lt;=0,"",IFERROR(T84/S84-1,"")))</f>
        <v/>
      </c>
      <c r="U85" s="17">
        <f>IF(OR(U84="",T84=""),"",IF(T84&lt;=0,"",IFERROR(U84/T84-1,"")))</f>
        <v/>
      </c>
      <c r="V85" s="17">
        <f>IF(OR(V84="",U84=""),"",IF(U84&lt;=0,"",IFERROR(V84/U84-1,"")))</f>
        <v/>
      </c>
      <c r="W85" s="17">
        <f>IF(OR(W84="",V84=""),"",IF(V84&lt;=0,"",IFERROR(W84/V84-1,"")))</f>
        <v/>
      </c>
      <c r="X85" s="17">
        <f>IF(OR(X84="",W84=""),"",IF(W84&lt;=0,"",IFERROR(X84/W84-1,"")))</f>
        <v/>
      </c>
    </row>
    <row r="86">
      <c r="A86" s="20" t="inlineStr">
        <is>
          <t>매출원가</t>
        </is>
      </c>
      <c r="C86" s="22" t="n">
        <v>343582</v>
      </c>
      <c r="D86" s="22" t="n">
        <v>379481</v>
      </c>
      <c r="E86" s="22" t="n">
        <v>382501</v>
      </c>
      <c r="F86" s="22" t="n">
        <v>386954</v>
      </c>
      <c r="G86" s="22" t="n">
        <v>394311</v>
      </c>
      <c r="H86" s="22" t="n">
        <v>416874</v>
      </c>
      <c r="I86" s="22" t="n">
        <v>382078</v>
      </c>
      <c r="J86" s="22" t="n">
        <v>384675</v>
      </c>
      <c r="K86" s="22" t="n">
        <v>380061</v>
      </c>
      <c r="L86" s="22" t="n">
        <v>401148</v>
      </c>
      <c r="M86" s="22" t="n">
        <v>405704</v>
      </c>
      <c r="N86" s="22" t="n">
        <v>406676</v>
      </c>
      <c r="T86" s="22" t="n">
        <v>308380</v>
      </c>
      <c r="U86" s="22" t="n">
        <v>309772</v>
      </c>
      <c r="V86" s="22" t="n">
        <v>382501</v>
      </c>
      <c r="W86" s="22" t="n">
        <v>382078</v>
      </c>
      <c r="X86" s="22" t="n">
        <v>405704</v>
      </c>
    </row>
    <row r="87">
      <c r="A87" s="45" t="inlineStr">
        <is>
          <t>YoY</t>
        </is>
      </c>
      <c r="B87" s="3" t="inlineStr">
        <is>
          <t>전년 같은 분기·전년 대비</t>
        </is>
      </c>
      <c r="G87" s="17">
        <f>IF(OR(G86="",C86=""),"",IF(G86*C86&lt;=0,"",IFERROR(G86/C86-1,"")))</f>
        <v/>
      </c>
      <c r="H87" s="17">
        <f>IF(OR(H86="",D86=""),"",IF(H86*D86&lt;=0,"",IFERROR(H86/D86-1,"")))</f>
        <v/>
      </c>
      <c r="I87" s="17">
        <f>IF(OR(I86="",E86=""),"",IF(I86*E86&lt;=0,"",IFERROR(I86/E86-1,"")))</f>
        <v/>
      </c>
      <c r="J87" s="17">
        <f>IF(OR(J86="",F86=""),"",IF(J86*F86&lt;=0,"",IFERROR(J86/F86-1,"")))</f>
        <v/>
      </c>
      <c r="K87" s="17">
        <f>IF(OR(K86="",G86=""),"",IF(K86*G86&lt;=0,"",IFERROR(K86/G86-1,"")))</f>
        <v/>
      </c>
      <c r="L87" s="17">
        <f>IF(OR(L86="",H86=""),"",IF(L86*H86&lt;=0,"",IFERROR(L86/H86-1,"")))</f>
        <v/>
      </c>
      <c r="M87" s="17">
        <f>IF(OR(M86="",I86=""),"",IF(M86*I86&lt;=0,"",IFERROR(M86/I86-1,"")))</f>
        <v/>
      </c>
      <c r="N87" s="17">
        <f>IF(OR(N86="",J86=""),"",IF(N86*J86&lt;=0,"",IFERROR(N86/J86-1,"")))</f>
        <v/>
      </c>
      <c r="T87" s="17">
        <f>IF(OR(T86="",S86=""),"",IF(T86*S86&lt;=0,"",IFERROR(T86/S86-1,"")))</f>
        <v/>
      </c>
      <c r="U87" s="17">
        <f>IF(OR(U86="",T86=""),"",IF(U86*T86&lt;=0,"",IFERROR(U86/T86-1,"")))</f>
        <v/>
      </c>
      <c r="V87" s="17">
        <f>IF(OR(V86="",U86=""),"",IF(V86*U86&lt;=0,"",IFERROR(V86/U86-1,"")))</f>
        <v/>
      </c>
      <c r="W87" s="17">
        <f>IF(OR(W86="",V86=""),"",IF(W86*V86&lt;=0,"",IFERROR(W86/V86-1,"")))</f>
        <v/>
      </c>
      <c r="X87" s="17">
        <f>IF(OR(X86="",W86=""),"",IF(X86*W86&lt;=0,"",IFERROR(X86/W86-1,"")))</f>
        <v/>
      </c>
    </row>
    <row r="88">
      <c r="A88" s="20" t="inlineStr">
        <is>
          <t>판매비와 관리비</t>
        </is>
      </c>
      <c r="C88" s="22" t="n">
        <v>252952</v>
      </c>
      <c r="D88" s="22" t="n">
        <v>267520</v>
      </c>
      <c r="E88" s="22" t="n">
        <v>285234</v>
      </c>
      <c r="F88" s="22" t="n">
        <v>270030</v>
      </c>
      <c r="G88" s="22" t="n">
        <v>268282</v>
      </c>
      <c r="H88" s="22" t="n">
        <v>270588</v>
      </c>
      <c r="I88" s="22" t="n">
        <v>295866</v>
      </c>
      <c r="J88" s="22" t="n">
        <v>255885</v>
      </c>
      <c r="K88" s="22" t="n">
        <v>253551</v>
      </c>
      <c r="L88" s="22" t="n">
        <v>282783</v>
      </c>
      <c r="M88" s="22" t="n">
        <v>291996</v>
      </c>
      <c r="N88" s="22" t="n">
        <v>286513</v>
      </c>
      <c r="T88" s="22" t="n">
        <v>223429</v>
      </c>
      <c r="U88" s="22" t="n">
        <v>254796</v>
      </c>
      <c r="V88" s="22" t="n">
        <v>285234</v>
      </c>
      <c r="W88" s="22" t="n">
        <v>295866</v>
      </c>
      <c r="X88" s="22" t="n">
        <v>291996</v>
      </c>
    </row>
    <row r="89">
      <c r="A89" s="45" t="inlineStr">
        <is>
          <t>YoY</t>
        </is>
      </c>
      <c r="B89" s="3" t="inlineStr">
        <is>
          <t>전년 같은 분기·전년 대비</t>
        </is>
      </c>
      <c r="G89" s="17">
        <f>IF(OR(G88="",C88=""),"",IF(G88*C88&lt;=0,"",IFERROR(G88/C88-1,"")))</f>
        <v/>
      </c>
      <c r="H89" s="17">
        <f>IF(OR(H88="",D88=""),"",IF(H88*D88&lt;=0,"",IFERROR(H88/D88-1,"")))</f>
        <v/>
      </c>
      <c r="I89" s="17">
        <f>IF(OR(I88="",E88=""),"",IF(I88*E88&lt;=0,"",IFERROR(I88/E88-1,"")))</f>
        <v/>
      </c>
      <c r="J89" s="17">
        <f>IF(OR(J88="",F88=""),"",IF(J88*F88&lt;=0,"",IFERROR(J88/F88-1,"")))</f>
        <v/>
      </c>
      <c r="K89" s="17">
        <f>IF(OR(K88="",G88=""),"",IF(K88*G88&lt;=0,"",IFERROR(K88/G88-1,"")))</f>
        <v/>
      </c>
      <c r="L89" s="17">
        <f>IF(OR(L88="",H88=""),"",IF(L88*H88&lt;=0,"",IFERROR(L88/H88-1,"")))</f>
        <v/>
      </c>
      <c r="M89" s="17">
        <f>IF(OR(M88="",I88=""),"",IF(M88*I88&lt;=0,"",IFERROR(M88/I88-1,"")))</f>
        <v/>
      </c>
      <c r="N89" s="17">
        <f>IF(OR(N88="",J88=""),"",IF(N88*J88&lt;=0,"",IFERROR(N88/J88-1,"")))</f>
        <v/>
      </c>
      <c r="T89" s="17">
        <f>IF(OR(T88="",S88=""),"",IF(T88*S88&lt;=0,"",IFERROR(T88/S88-1,"")))</f>
        <v/>
      </c>
      <c r="U89" s="17">
        <f>IF(OR(U88="",T88=""),"",IF(U88*T88&lt;=0,"",IFERROR(U88/T88-1,"")))</f>
        <v/>
      </c>
      <c r="V89" s="17">
        <f>IF(OR(V88="",U88=""),"",IF(V88*U88&lt;=0,"",IFERROR(V88/U88-1,"")))</f>
        <v/>
      </c>
      <c r="W89" s="17">
        <f>IF(OR(W88="",V88=""),"",IF(W88*V88&lt;=0,"",IFERROR(W88/V88-1,"")))</f>
        <v/>
      </c>
      <c r="X89" s="17">
        <f>IF(OR(X88="",W88=""),"",IF(X88*W88&lt;=0,"",IFERROR(X88/W88-1,"")))</f>
        <v/>
      </c>
    </row>
    <row r="90">
      <c r="A90" s="20" t="inlineStr">
        <is>
          <t>연구개발비</t>
        </is>
      </c>
      <c r="C90" s="22" t="n">
        <v>183946</v>
      </c>
      <c r="D90" s="22" t="n">
        <v>187381</v>
      </c>
      <c r="E90" s="22" t="n">
        <v>195856</v>
      </c>
      <c r="F90" s="22" t="n">
        <v>168463</v>
      </c>
      <c r="G90" s="22" t="n">
        <v>175564</v>
      </c>
      <c r="H90" s="22" t="n">
        <v>170193</v>
      </c>
      <c r="I90" s="22" t="n">
        <v>216007</v>
      </c>
      <c r="J90" s="22" t="n">
        <v>143891</v>
      </c>
      <c r="K90" s="22" t="n">
        <v>161482</v>
      </c>
      <c r="L90" s="22" t="n">
        <v>175231</v>
      </c>
      <c r="M90" s="22" t="n">
        <v>195320</v>
      </c>
      <c r="N90" s="22" t="n">
        <v>167395</v>
      </c>
      <c r="T90" s="22" t="n">
        <v>143628</v>
      </c>
      <c r="U90" s="22" t="n">
        <v>160944</v>
      </c>
      <c r="V90" s="22" t="n">
        <v>195856</v>
      </c>
      <c r="W90" s="22" t="n">
        <v>216007</v>
      </c>
      <c r="X90" s="22" t="n">
        <v>195320</v>
      </c>
    </row>
    <row r="91">
      <c r="A91" s="20" t="inlineStr">
        <is>
          <t>Amortization And Impairment Losses On Intangible Assets Associated With Products</t>
        </is>
      </c>
      <c r="C91" s="22" t="n">
        <v>240242</v>
      </c>
      <c r="D91" s="22" t="n">
        <v>137338</v>
      </c>
      <c r="E91" s="22" t="n">
        <v>145114</v>
      </c>
      <c r="F91" s="22" t="n">
        <v>162831</v>
      </c>
      <c r="G91" s="22" t="n">
        <v>142414</v>
      </c>
      <c r="H91" s="22" t="n">
        <v>134913</v>
      </c>
      <c r="I91" s="22" t="n">
        <v>203075</v>
      </c>
      <c r="J91" s="22" t="n">
        <v>131638</v>
      </c>
      <c r="K91" s="22" t="n">
        <v>205155</v>
      </c>
      <c r="L91" s="22" t="n">
        <v>141914</v>
      </c>
      <c r="M91" s="22" t="n">
        <v>154837</v>
      </c>
      <c r="N91" s="22" t="n">
        <v>110928</v>
      </c>
      <c r="T91" s="22" t="n">
        <v>149283</v>
      </c>
      <c r="U91" s="22" t="n">
        <v>133224</v>
      </c>
      <c r="V91" s="22" t="n">
        <v>145114</v>
      </c>
      <c r="W91" s="22" t="n">
        <v>203075</v>
      </c>
      <c r="X91" s="22" t="n">
        <v>154837</v>
      </c>
    </row>
    <row r="92">
      <c r="A92" s="20" t="inlineStr">
        <is>
          <t>기타 영업수익</t>
        </is>
      </c>
      <c r="C92" s="22" t="n">
        <v>5623</v>
      </c>
      <c r="D92" s="22" t="n">
        <v>894</v>
      </c>
      <c r="E92" s="22" t="n">
        <v>8611</v>
      </c>
      <c r="F92" s="22" t="n">
        <v>10868</v>
      </c>
      <c r="G92" s="22" t="n">
        <v>3065</v>
      </c>
      <c r="H92" s="22" t="n">
        <v>2294</v>
      </c>
      <c r="I92" s="22" t="n">
        <v>9985</v>
      </c>
      <c r="J92" s="22" t="n">
        <v>22030</v>
      </c>
      <c r="K92" s="22" t="n">
        <v>1489</v>
      </c>
      <c r="L92" s="22" t="n">
        <v>-852</v>
      </c>
      <c r="M92" s="22" t="n">
        <v>2080</v>
      </c>
      <c r="N92" s="22" t="n">
        <v>8258</v>
      </c>
      <c r="T92" s="22" t="n">
        <v>8854</v>
      </c>
      <c r="U92" s="22" t="n">
        <v>8748</v>
      </c>
      <c r="V92" s="22" t="n">
        <v>8611</v>
      </c>
      <c r="W92" s="22" t="n">
        <v>9985</v>
      </c>
      <c r="X92" s="22" t="n">
        <v>2080</v>
      </c>
    </row>
    <row r="93">
      <c r="A93" s="20" t="inlineStr">
        <is>
          <t>기타 영업비용</t>
        </is>
      </c>
      <c r="C93" s="22" t="n">
        <v>77333</v>
      </c>
      <c r="D93" s="22" t="n">
        <v>35445</v>
      </c>
      <c r="E93" s="22" t="n">
        <v>60842</v>
      </c>
      <c r="F93" s="22" t="n">
        <v>64252</v>
      </c>
      <c r="G93" s="22" t="n">
        <v>14285</v>
      </c>
      <c r="H93" s="22" t="n">
        <v>86907</v>
      </c>
      <c r="I93" s="22" t="n">
        <v>41289</v>
      </c>
      <c r="J93" s="22" t="n">
        <v>28061</v>
      </c>
      <c r="K93" s="22" t="n">
        <v>45040</v>
      </c>
      <c r="L93" s="22" t="n">
        <v>20948</v>
      </c>
      <c r="M93" s="22" t="n">
        <v>62386</v>
      </c>
      <c r="N93" s="22" t="n">
        <v>55229</v>
      </c>
      <c r="T93" s="22" t="n">
        <v>59041</v>
      </c>
      <c r="U93" s="22" t="n">
        <v>17604</v>
      </c>
      <c r="V93" s="22" t="n">
        <v>60842</v>
      </c>
      <c r="W93" s="22" t="n">
        <v>41289</v>
      </c>
      <c r="X93" s="22" t="n">
        <v>62386</v>
      </c>
    </row>
    <row r="94">
      <c r="A94" s="20" t="inlineStr">
        <is>
          <t>영업이익</t>
        </is>
      </c>
      <c r="C94" s="22" t="n">
        <v>-49341</v>
      </c>
      <c r="D94" s="22" t="n">
        <v>104914</v>
      </c>
      <c r="E94" s="22" t="n">
        <v>-10069</v>
      </c>
      <c r="F94" s="22" t="n">
        <v>166329</v>
      </c>
      <c r="G94" s="22" t="n">
        <v>184247</v>
      </c>
      <c r="H94" s="22" t="n">
        <v>66942</v>
      </c>
      <c r="I94" s="22" t="n">
        <v>-74932</v>
      </c>
      <c r="J94" s="22" t="n">
        <v>184566</v>
      </c>
      <c r="K94" s="22" t="n">
        <v>68995</v>
      </c>
      <c r="L94" s="22" t="n">
        <v>168821</v>
      </c>
      <c r="M94" s="22" t="n">
        <v>-13621</v>
      </c>
      <c r="N94" s="22" t="n">
        <v>201417</v>
      </c>
      <c r="T94" s="22" t="n">
        <v>-1619</v>
      </c>
      <c r="U94" s="22" t="n">
        <v>88562</v>
      </c>
      <c r="V94" s="22" t="n">
        <v>-10069</v>
      </c>
      <c r="W94" s="22" t="n">
        <v>-74932</v>
      </c>
      <c r="X94" s="22" t="n">
        <v>-13621</v>
      </c>
    </row>
    <row r="95">
      <c r="A95" s="45" t="inlineStr">
        <is>
          <t>OPM</t>
        </is>
      </c>
      <c r="B95" s="3" t="inlineStr">
        <is>
          <t>영업이익 ÷ 매출</t>
        </is>
      </c>
      <c r="C95" s="17">
        <f>IF(OR(C94="",C84=""),"",IF(C84&lt;=0,"",IFERROR(C94/C84,"")))</f>
        <v/>
      </c>
      <c r="D95" s="17">
        <f>IF(OR(D94="",D84=""),"",IF(D84&lt;=0,"",IFERROR(D94/D84,"")))</f>
        <v/>
      </c>
      <c r="E95" s="17">
        <f>IF(OR(E94="",E84=""),"",IF(E84&lt;=0,"",IFERROR(E94/E84,"")))</f>
        <v/>
      </c>
      <c r="F95" s="17">
        <f>IF(OR(F94="",F84=""),"",IF(F84&lt;=0,"",IFERROR(F94/F84,"")))</f>
        <v/>
      </c>
      <c r="G95" s="17">
        <f>IF(OR(G94="",G84=""),"",IF(G84&lt;=0,"",IFERROR(G94/G84,"")))</f>
        <v/>
      </c>
      <c r="H95" s="17">
        <f>IF(OR(H94="",H84=""),"",IF(H84&lt;=0,"",IFERROR(H94/H84,"")))</f>
        <v/>
      </c>
      <c r="I95" s="17">
        <f>IF(OR(I94="",I84=""),"",IF(I84&lt;=0,"",IFERROR(I94/I84,"")))</f>
        <v/>
      </c>
      <c r="J95" s="17">
        <f>IF(OR(J94="",J84=""),"",IF(J84&lt;=0,"",IFERROR(J94/J84,"")))</f>
        <v/>
      </c>
      <c r="K95" s="17">
        <f>IF(OR(K94="",K84=""),"",IF(K84&lt;=0,"",IFERROR(K94/K84,"")))</f>
        <v/>
      </c>
      <c r="L95" s="17">
        <f>IF(OR(L94="",L84=""),"",IF(L84&lt;=0,"",IFERROR(L94/L84,"")))</f>
        <v/>
      </c>
      <c r="M95" s="17">
        <f>IF(OR(M94="",M84=""),"",IF(M84&lt;=0,"",IFERROR(M94/M84,"")))</f>
        <v/>
      </c>
      <c r="N95" s="17">
        <f>IF(OR(N94="",N84=""),"",IF(N84&lt;=0,"",IFERROR(N94/N84,"")))</f>
        <v/>
      </c>
      <c r="T95" s="17">
        <f>IF(OR(T94="",T84=""),"",IF(T84&lt;=0,"",IFERROR(T94/T84,"")))</f>
        <v/>
      </c>
      <c r="U95" s="17">
        <f>IF(OR(U94="",U84=""),"",IF(U84&lt;=0,"",IFERROR(U94/U84,"")))</f>
        <v/>
      </c>
      <c r="V95" s="17">
        <f>IF(OR(V94="",V84=""),"",IF(V84&lt;=0,"",IFERROR(V94/V84,"")))</f>
        <v/>
      </c>
      <c r="W95" s="17">
        <f>IF(OR(W94="",W84=""),"",IF(W84&lt;=0,"",IFERROR(W94/W84,"")))</f>
        <v/>
      </c>
      <c r="X95" s="17">
        <f>IF(OR(X94="",X84=""),"",IF(X84&lt;=0,"",IFERROR(X94/X84,"")))</f>
        <v/>
      </c>
    </row>
    <row r="96">
      <c r="A96" s="45" t="inlineStr">
        <is>
          <t>YoY</t>
        </is>
      </c>
      <c r="B96" s="3" t="inlineStr">
        <is>
          <t>전년 같은 분기·전년 대비</t>
        </is>
      </c>
      <c r="G96" s="17">
        <f>IF(OR(G94="",C94=""),"",IF(C94&lt;=0,"",IFERROR(G94/C94-1,"")))</f>
        <v/>
      </c>
      <c r="H96" s="17">
        <f>IF(OR(H94="",D94=""),"",IF(D94&lt;=0,"",IFERROR(H94/D94-1,"")))</f>
        <v/>
      </c>
      <c r="I96" s="17">
        <f>IF(OR(I94="",E94=""),"",IF(E94&lt;=0,"",IFERROR(I94/E94-1,"")))</f>
        <v/>
      </c>
      <c r="J96" s="17">
        <f>IF(OR(J94="",F94=""),"",IF(F94&lt;=0,"",IFERROR(J94/F94-1,"")))</f>
        <v/>
      </c>
      <c r="K96" s="17">
        <f>IF(OR(K94="",G94=""),"",IF(G94&lt;=0,"",IFERROR(K94/G94-1,"")))</f>
        <v/>
      </c>
      <c r="L96" s="17">
        <f>IF(OR(L94="",H94=""),"",IF(H94&lt;=0,"",IFERROR(L94/H94-1,"")))</f>
        <v/>
      </c>
      <c r="M96" s="17">
        <f>IF(OR(M94="",I94=""),"",IF(I94&lt;=0,"",IFERROR(M94/I94-1,"")))</f>
        <v/>
      </c>
      <c r="N96" s="17">
        <f>IF(OR(N94="",J94=""),"",IF(J94&lt;=0,"",IFERROR(N94/J94-1,"")))</f>
        <v/>
      </c>
      <c r="T96" s="17">
        <f>IF(OR(T94="",S94=""),"",IF(S94&lt;=0,"",IFERROR(T94/S94-1,"")))</f>
        <v/>
      </c>
      <c r="U96" s="17">
        <f>IF(OR(U94="",T94=""),"",IF(T94&lt;=0,"",IFERROR(U94/T94-1,"")))</f>
        <v/>
      </c>
      <c r="V96" s="17">
        <f>IF(OR(V94="",U94=""),"",IF(U94&lt;=0,"",IFERROR(V94/U94-1,"")))</f>
        <v/>
      </c>
      <c r="W96" s="17">
        <f>IF(OR(W94="",V94=""),"",IF(V94&lt;=0,"",IFERROR(W94/V94-1,"")))</f>
        <v/>
      </c>
      <c r="X96" s="17">
        <f>IF(OR(X94="",W94=""),"",IF(W94&lt;=0,"",IFERROR(X94/W94-1,"")))</f>
        <v/>
      </c>
    </row>
    <row r="97">
      <c r="A97" s="20" t="inlineStr">
        <is>
          <t>금융수익</t>
        </is>
      </c>
      <c r="C97" s="22" t="n">
        <v>-2143</v>
      </c>
      <c r="D97" s="22" t="n">
        <v>21789</v>
      </c>
      <c r="E97" s="22" t="n">
        <v>5992</v>
      </c>
      <c r="F97" s="22" t="n">
        <v>30677</v>
      </c>
      <c r="G97" s="22" t="n">
        <v>4116</v>
      </c>
      <c r="H97" s="22" t="n">
        <v>-6988</v>
      </c>
      <c r="I97" s="22" t="n">
        <v>18744</v>
      </c>
      <c r="J97" s="22" t="n">
        <v>73758</v>
      </c>
      <c r="K97" s="22" t="n">
        <v>44396</v>
      </c>
      <c r="L97" s="22" t="n">
        <v>87871</v>
      </c>
      <c r="M97" s="22" t="n">
        <v>5152</v>
      </c>
      <c r="N97" s="22" t="n">
        <v>24608</v>
      </c>
      <c r="T97" s="22" t="n">
        <v>-19249</v>
      </c>
      <c r="U97" s="22" t="n">
        <v>7783</v>
      </c>
      <c r="V97" s="22" t="n">
        <v>5992</v>
      </c>
      <c r="W97" s="22" t="n">
        <v>18744</v>
      </c>
      <c r="X97" s="22" t="n">
        <v>5152</v>
      </c>
    </row>
    <row r="98">
      <c r="A98" s="45" t="inlineStr">
        <is>
          <t>YoY</t>
        </is>
      </c>
      <c r="B98" s="3" t="inlineStr">
        <is>
          <t>전년 같은 분기·전년 대비</t>
        </is>
      </c>
      <c r="G98" s="17">
        <f>IF(OR(G97="",C97=""),"",IF(G97*C97&lt;=0,"",IFERROR(G97/C97-1,"")))</f>
        <v/>
      </c>
      <c r="H98" s="17">
        <f>IF(OR(H97="",D97=""),"",IF(H97*D97&lt;=0,"",IFERROR(H97/D97-1,"")))</f>
        <v/>
      </c>
      <c r="I98" s="17">
        <f>IF(OR(I97="",E97=""),"",IF(I97*E97&lt;=0,"",IFERROR(I97/E97-1,"")))</f>
        <v/>
      </c>
      <c r="J98" s="17">
        <f>IF(OR(J97="",F97=""),"",IF(J97*F97&lt;=0,"",IFERROR(J97/F97-1,"")))</f>
        <v/>
      </c>
      <c r="K98" s="17">
        <f>IF(OR(K97="",G97=""),"",IF(K97*G97&lt;=0,"",IFERROR(K97/G97-1,"")))</f>
        <v/>
      </c>
      <c r="L98" s="17">
        <f>IF(OR(L97="",H97=""),"",IF(L97*H97&lt;=0,"",IFERROR(L97/H97-1,"")))</f>
        <v/>
      </c>
      <c r="M98" s="17">
        <f>IF(OR(M97="",I97=""),"",IF(M97*I97&lt;=0,"",IFERROR(M97/I97-1,"")))</f>
        <v/>
      </c>
      <c r="N98" s="17">
        <f>IF(OR(N97="",J97=""),"",IF(N97*J97&lt;=0,"",IFERROR(N97/J97-1,"")))</f>
        <v/>
      </c>
      <c r="T98" s="17">
        <f>IF(OR(T97="",S97=""),"",IF(T97*S97&lt;=0,"",IFERROR(T97/S97-1,"")))</f>
        <v/>
      </c>
      <c r="U98" s="17">
        <f>IF(OR(U97="",T97=""),"",IF(U97*T97&lt;=0,"",IFERROR(U97/T97-1,"")))</f>
        <v/>
      </c>
      <c r="V98" s="17">
        <f>IF(OR(V97="",U97=""),"",IF(V97*U97&lt;=0,"",IFERROR(V97/U97-1,"")))</f>
        <v/>
      </c>
      <c r="W98" s="17">
        <f>IF(OR(W97="",V97=""),"",IF(W97*V97&lt;=0,"",IFERROR(W97/V97-1,"")))</f>
        <v/>
      </c>
      <c r="X98" s="17">
        <f>IF(OR(X97="",W97=""),"",IF(X97*W97&lt;=0,"",IFERROR(X97/W97-1,"")))</f>
        <v/>
      </c>
    </row>
    <row r="99">
      <c r="A99" s="20" t="inlineStr">
        <is>
          <t>금융비용</t>
        </is>
      </c>
      <c r="C99" s="22" t="n">
        <v>46520</v>
      </c>
      <c r="D99" s="22" t="n">
        <v>66568</v>
      </c>
      <c r="E99" s="22" t="n">
        <v>47187</v>
      </c>
      <c r="F99" s="22" t="n">
        <v>59691</v>
      </c>
      <c r="G99" s="22" t="n">
        <v>68454</v>
      </c>
      <c r="H99" s="22" t="n">
        <v>31596</v>
      </c>
      <c r="I99" s="22" t="n">
        <v>50324</v>
      </c>
      <c r="J99" s="22" t="n">
        <v>107158</v>
      </c>
      <c r="K99" s="22" t="n">
        <v>83138</v>
      </c>
      <c r="L99" s="22" t="n">
        <v>123627</v>
      </c>
      <c r="M99" s="22" t="n">
        <v>43649</v>
      </c>
      <c r="N99" s="22" t="n">
        <v>63845</v>
      </c>
      <c r="T99" s="22" t="n">
        <v>23068</v>
      </c>
      <c r="U99" s="22" t="n">
        <v>42933</v>
      </c>
      <c r="V99" s="22" t="n">
        <v>47187</v>
      </c>
      <c r="W99" s="22" t="n">
        <v>50324</v>
      </c>
      <c r="X99" s="22" t="n">
        <v>43649</v>
      </c>
    </row>
    <row r="100">
      <c r="A100" s="45" t="inlineStr">
        <is>
          <t>YoY</t>
        </is>
      </c>
      <c r="B100" s="3" t="inlineStr">
        <is>
          <t>전년 같은 분기·전년 대비</t>
        </is>
      </c>
      <c r="G100" s="17">
        <f>IF(OR(G99="",C99=""),"",IF(G99*C99&lt;=0,"",IFERROR(G99/C99-1,"")))</f>
        <v/>
      </c>
      <c r="H100" s="17">
        <f>IF(OR(H99="",D99=""),"",IF(H99*D99&lt;=0,"",IFERROR(H99/D99-1,"")))</f>
        <v/>
      </c>
      <c r="I100" s="17">
        <f>IF(OR(I99="",E99=""),"",IF(I99*E99&lt;=0,"",IFERROR(I99/E99-1,"")))</f>
        <v/>
      </c>
      <c r="J100" s="17">
        <f>IF(OR(J99="",F99=""),"",IF(J99*F99&lt;=0,"",IFERROR(J99/F99-1,"")))</f>
        <v/>
      </c>
      <c r="K100" s="17">
        <f>IF(OR(K99="",G99=""),"",IF(K99*G99&lt;=0,"",IFERROR(K99/G99-1,"")))</f>
        <v/>
      </c>
      <c r="L100" s="17">
        <f>IF(OR(L99="",H99=""),"",IF(L99*H99&lt;=0,"",IFERROR(L99/H99-1,"")))</f>
        <v/>
      </c>
      <c r="M100" s="17">
        <f>IF(OR(M99="",I99=""),"",IF(M99*I99&lt;=0,"",IFERROR(M99/I99-1,"")))</f>
        <v/>
      </c>
      <c r="N100" s="17">
        <f>IF(OR(N99="",J99=""),"",IF(N99*J99&lt;=0,"",IFERROR(N99/J99-1,"")))</f>
        <v/>
      </c>
      <c r="T100" s="17">
        <f>IF(OR(T99="",S99=""),"",IF(T99*S99&lt;=0,"",IFERROR(T99/S99-1,"")))</f>
        <v/>
      </c>
      <c r="U100" s="17">
        <f>IF(OR(U99="",T99=""),"",IF(U99*T99&lt;=0,"",IFERROR(U99/T99-1,"")))</f>
        <v/>
      </c>
      <c r="V100" s="17">
        <f>IF(OR(V99="",U99=""),"",IF(V99*U99&lt;=0,"",IFERROR(V99/U99-1,"")))</f>
        <v/>
      </c>
      <c r="W100" s="17">
        <f>IF(OR(W99="",V99=""),"",IF(W99*V99&lt;=0,"",IFERROR(W99/V99-1,"")))</f>
        <v/>
      </c>
      <c r="X100" s="17">
        <f>IF(OR(X99="",W99=""),"",IF(X99*W99&lt;=0,"",IFERROR(X99/W99-1,"")))</f>
        <v/>
      </c>
    </row>
    <row r="101">
      <c r="A101" s="20" t="inlineStr">
        <is>
          <t>Share Of Profit Loss Of Investments Accounted For Using Equity Method</t>
        </is>
      </c>
      <c r="C101" s="22" t="n">
        <v>2025</v>
      </c>
      <c r="D101" s="22" t="n">
        <v>1124</v>
      </c>
      <c r="E101" s="22" t="n">
        <v>3742</v>
      </c>
      <c r="F101" s="22" t="n">
        <v>-712</v>
      </c>
      <c r="G101" s="22" t="n">
        <v>-535</v>
      </c>
      <c r="H101" s="22" t="n">
        <v>-1952</v>
      </c>
      <c r="I101" s="22" t="n">
        <v>-787</v>
      </c>
      <c r="J101" s="22" t="n">
        <v>-536</v>
      </c>
      <c r="K101" s="22" t="n">
        <v>-2079</v>
      </c>
      <c r="L101" s="22" t="n">
        <v>799</v>
      </c>
      <c r="M101" s="22" t="n">
        <v>-361</v>
      </c>
      <c r="N101" s="22" t="n">
        <v>538</v>
      </c>
      <c r="T101" s="22" t="n">
        <v>-10112</v>
      </c>
      <c r="U101" s="22" t="n">
        <v>-5497</v>
      </c>
      <c r="V101" s="22" t="n">
        <v>3742</v>
      </c>
      <c r="W101" s="22" t="n">
        <v>-787</v>
      </c>
      <c r="X101" s="22" t="n">
        <v>-361</v>
      </c>
    </row>
    <row r="102">
      <c r="A102" s="9" t="inlineStr">
        <is>
          <t>법인세비용차감전 중간이익</t>
        </is>
      </c>
      <c r="C102" s="12" t="n">
        <v>-95980</v>
      </c>
      <c r="D102" s="12" t="n">
        <v>61260</v>
      </c>
      <c r="E102" s="12" t="n">
        <v>-47522</v>
      </c>
      <c r="F102" s="12" t="n">
        <v>136604</v>
      </c>
      <c r="G102" s="12" t="n">
        <v>119372</v>
      </c>
      <c r="H102" s="12" t="n">
        <v>26407</v>
      </c>
      <c r="I102" s="12" t="n">
        <v>-107299</v>
      </c>
      <c r="J102" s="12" t="n">
        <v>150630</v>
      </c>
      <c r="K102" s="12" t="n">
        <v>28174</v>
      </c>
      <c r="L102" s="12" t="n">
        <v>133864</v>
      </c>
      <c r="M102" s="12" t="n">
        <v>-52479</v>
      </c>
      <c r="N102" s="12" t="n">
        <v>162718</v>
      </c>
      <c r="T102" s="12" t="n">
        <v>-54047</v>
      </c>
      <c r="U102" s="12" t="n">
        <v>47915</v>
      </c>
      <c r="V102" s="12" t="n">
        <v>-47522</v>
      </c>
      <c r="W102" s="12" t="n">
        <v>-107299</v>
      </c>
      <c r="X102" s="12" t="n">
        <v>-52479</v>
      </c>
    </row>
    <row r="103">
      <c r="A103" s="20" t="inlineStr">
        <is>
          <t>법인소득세 비용</t>
        </is>
      </c>
      <c r="C103" s="22" t="n">
        <v>-48009</v>
      </c>
      <c r="D103" s="22" t="n">
        <v>-44496</v>
      </c>
      <c r="E103" s="22" t="n">
        <v>-44528</v>
      </c>
      <c r="F103" s="22" t="n">
        <v>41304</v>
      </c>
      <c r="G103" s="22" t="n">
        <v>27266</v>
      </c>
      <c r="H103" s="22" t="n">
        <v>2572</v>
      </c>
      <c r="I103" s="22" t="n">
        <v>-4201</v>
      </c>
      <c r="J103" s="22" t="n">
        <v>26351</v>
      </c>
      <c r="K103" s="22" t="n">
        <v>39903</v>
      </c>
      <c r="L103" s="22" t="n">
        <v>30131</v>
      </c>
      <c r="M103" s="22" t="n">
        <v>-28222</v>
      </c>
      <c r="N103" s="22" t="n">
        <v>49462</v>
      </c>
      <c r="T103" s="22" t="n">
        <v>-42672</v>
      </c>
      <c r="U103" s="22" t="n">
        <v>16779</v>
      </c>
      <c r="V103" s="22" t="n">
        <v>-44528</v>
      </c>
      <c r="W103" s="22" t="n">
        <v>-4201</v>
      </c>
      <c r="X103" s="22" t="n">
        <v>-28222</v>
      </c>
    </row>
    <row r="104">
      <c r="A104" s="45" t="inlineStr">
        <is>
          <t>YoY</t>
        </is>
      </c>
      <c r="B104" s="3" t="inlineStr">
        <is>
          <t>전년 같은 분기·전년 대비</t>
        </is>
      </c>
      <c r="G104" s="17">
        <f>IF(OR(G103="",C103=""),"",IF(G103*C103&lt;=0,"",IFERROR(G103/C103-1,"")))</f>
        <v/>
      </c>
      <c r="H104" s="17">
        <f>IF(OR(H103="",D103=""),"",IF(H103*D103&lt;=0,"",IFERROR(H103/D103-1,"")))</f>
        <v/>
      </c>
      <c r="I104" s="17">
        <f>IF(OR(I103="",E103=""),"",IF(I103*E103&lt;=0,"",IFERROR(I103/E103-1,"")))</f>
        <v/>
      </c>
      <c r="J104" s="17">
        <f>IF(OR(J103="",F103=""),"",IF(J103*F103&lt;=0,"",IFERROR(J103/F103-1,"")))</f>
        <v/>
      </c>
      <c r="K104" s="17">
        <f>IF(OR(K103="",G103=""),"",IF(K103*G103&lt;=0,"",IFERROR(K103/G103-1,"")))</f>
        <v/>
      </c>
      <c r="L104" s="17">
        <f>IF(OR(L103="",H103=""),"",IF(L103*H103&lt;=0,"",IFERROR(L103/H103-1,"")))</f>
        <v/>
      </c>
      <c r="M104" s="17">
        <f>IF(OR(M103="",I103=""),"",IF(M103*I103&lt;=0,"",IFERROR(M103/I103-1,"")))</f>
        <v/>
      </c>
      <c r="N104" s="17">
        <f>IF(OR(N103="",J103=""),"",IF(N103*J103&lt;=0,"",IFERROR(N103/J103-1,"")))</f>
        <v/>
      </c>
      <c r="T104" s="17">
        <f>IF(OR(T103="",S103=""),"",IF(T103*S103&lt;=0,"",IFERROR(T103/S103-1,"")))</f>
        <v/>
      </c>
      <c r="U104" s="17">
        <f>IF(OR(U103="",T103=""),"",IF(U103*T103&lt;=0,"",IFERROR(U103/T103-1,"")))</f>
        <v/>
      </c>
      <c r="V104" s="17">
        <f>IF(OR(V103="",U103=""),"",IF(V103*U103&lt;=0,"",IFERROR(V103/U103-1,"")))</f>
        <v/>
      </c>
      <c r="W104" s="17">
        <f>IF(OR(W103="",V103=""),"",IF(W103*V103&lt;=0,"",IFERROR(W103/V103-1,"")))</f>
        <v/>
      </c>
      <c r="X104" s="17">
        <f>IF(OR(X103="",W103=""),"",IF(X103*W103&lt;=0,"",IFERROR(X103/W103-1,"")))</f>
        <v/>
      </c>
    </row>
    <row r="105">
      <c r="A105" s="9" t="inlineStr">
        <is>
          <t>중간이익</t>
        </is>
      </c>
      <c r="C105" s="12" t="n">
        <v>-47970</v>
      </c>
      <c r="D105" s="12" t="n">
        <v>105755</v>
      </c>
      <c r="E105" s="12" t="n">
        <v>-2994</v>
      </c>
      <c r="F105" s="12" t="n">
        <v>95299</v>
      </c>
      <c r="G105" s="12" t="n">
        <v>92107</v>
      </c>
      <c r="H105" s="12" t="n">
        <v>23835</v>
      </c>
      <c r="I105" s="12" t="n">
        <v>-103098</v>
      </c>
      <c r="J105" s="12" t="n">
        <v>124279</v>
      </c>
      <c r="K105" s="12" t="n">
        <v>-11729</v>
      </c>
      <c r="L105" s="12" t="n">
        <v>103733</v>
      </c>
      <c r="M105" s="12" t="n">
        <v>-24257</v>
      </c>
      <c r="N105" s="12" t="n">
        <v>113256</v>
      </c>
      <c r="T105" s="12" t="n">
        <v>-11375</v>
      </c>
      <c r="U105" s="12" t="n">
        <v>31135</v>
      </c>
      <c r="V105" s="12" t="n">
        <v>-2994</v>
      </c>
      <c r="W105" s="12" t="n">
        <v>-103098</v>
      </c>
      <c r="X105" s="12" t="n">
        <v>-24257</v>
      </c>
    </row>
    <row r="106">
      <c r="A106" s="45" t="inlineStr">
        <is>
          <t>YoY</t>
        </is>
      </c>
      <c r="B106" s="3" t="inlineStr">
        <is>
          <t>전년 같은 분기·전년 대비</t>
        </is>
      </c>
      <c r="G106" s="17">
        <f>IF(OR(G105="",C105=""),"",IF(C105&lt;=0,"",IFERROR(G105/C105-1,"")))</f>
        <v/>
      </c>
      <c r="H106" s="17">
        <f>IF(OR(H105="",D105=""),"",IF(D105&lt;=0,"",IFERROR(H105/D105-1,"")))</f>
        <v/>
      </c>
      <c r="I106" s="17">
        <f>IF(OR(I105="",E105=""),"",IF(E105&lt;=0,"",IFERROR(I105/E105-1,"")))</f>
        <v/>
      </c>
      <c r="J106" s="17">
        <f>IF(OR(J105="",F105=""),"",IF(F105&lt;=0,"",IFERROR(J105/F105-1,"")))</f>
        <v/>
      </c>
      <c r="K106" s="17">
        <f>IF(OR(K105="",G105=""),"",IF(G105&lt;=0,"",IFERROR(K105/G105-1,"")))</f>
        <v/>
      </c>
      <c r="L106" s="17">
        <f>IF(OR(L105="",H105=""),"",IF(H105&lt;=0,"",IFERROR(L105/H105-1,"")))</f>
        <v/>
      </c>
      <c r="M106" s="17">
        <f>IF(OR(M105="",I105=""),"",IF(I105&lt;=0,"",IFERROR(M105/I105-1,"")))</f>
        <v/>
      </c>
      <c r="N106" s="17">
        <f>IF(OR(N105="",J105=""),"",IF(J105&lt;=0,"",IFERROR(N105/J105-1,"")))</f>
        <v/>
      </c>
      <c r="T106" s="17">
        <f>IF(OR(T105="",S105=""),"",IF(S105&lt;=0,"",IFERROR(T105/S105-1,"")))</f>
        <v/>
      </c>
      <c r="U106" s="17">
        <f>IF(OR(U105="",T105=""),"",IF(T105&lt;=0,"",IFERROR(U105/T105-1,"")))</f>
        <v/>
      </c>
      <c r="V106" s="17">
        <f>IF(OR(V105="",U105=""),"",IF(U105&lt;=0,"",IFERROR(V105/U105-1,"")))</f>
        <v/>
      </c>
      <c r="W106" s="17">
        <f>IF(OR(W105="",V105=""),"",IF(V105&lt;=0,"",IFERROR(W105/V105-1,"")))</f>
        <v/>
      </c>
      <c r="X106" s="17">
        <f>IF(OR(X105="",W105=""),"",IF(W105&lt;=0,"",IFERROR(X105/W105-1,"")))</f>
        <v/>
      </c>
    </row>
    <row r="107">
      <c r="A107" s="20" t="inlineStr">
        <is>
          <t>Basic Earnings Loss Per Share</t>
        </is>
      </c>
      <c r="C107" s="22" t="n">
        <v>-3.099999999999999e-05</v>
      </c>
      <c r="D107" s="22" t="n">
        <v>6.758999999999999e-05</v>
      </c>
      <c r="E107" s="22" t="n">
        <v>-2.009999999999991e-06</v>
      </c>
      <c r="F107" s="22" t="n">
        <v>6.071e-05</v>
      </c>
      <c r="G107" s="22" t="n">
        <v>5.814e-05</v>
      </c>
      <c r="H107" s="22" t="n">
        <v>1.486000000000001e-05</v>
      </c>
      <c r="I107" s="22" t="n">
        <v>-6.535e-05</v>
      </c>
      <c r="J107" s="22" t="n">
        <v>7.940000000000001e-05</v>
      </c>
      <c r="K107" s="22" t="n">
        <v>-7.830000000000013e-06</v>
      </c>
      <c r="L107" s="22" t="n">
        <v>6.574e-05</v>
      </c>
      <c r="M107" s="22" t="n">
        <v>-1.556e-05</v>
      </c>
      <c r="N107" s="22" t="n">
        <v>7.165000000000001e-05</v>
      </c>
      <c r="T107" s="22" t="n">
        <v>-6.950000000000017e-06</v>
      </c>
      <c r="U107" s="22" t="n">
        <v>1.997e-05</v>
      </c>
      <c r="V107" s="22" t="n">
        <v>-2.009999999999991e-06</v>
      </c>
      <c r="W107" s="22" t="n">
        <v>-6.535e-05</v>
      </c>
      <c r="X107" s="22" t="n">
        <v>-1.556e-05</v>
      </c>
    </row>
    <row r="108">
      <c r="A108" s="20" t="inlineStr">
        <is>
          <t>Diluted Earnings Loss Per Share</t>
        </is>
      </c>
      <c r="C108" s="22" t="n">
        <v>-3.083e-05</v>
      </c>
      <c r="D108" s="22" t="n">
        <v>6.688e-05</v>
      </c>
      <c r="E108" s="22" t="n">
        <v>-2.010000000000005e-06</v>
      </c>
      <c r="F108" s="22" t="n">
        <v>5.994e-05</v>
      </c>
      <c r="G108" s="22" t="n">
        <v>5.717e-05</v>
      </c>
      <c r="H108" s="22" t="n">
        <v>1.458e-05</v>
      </c>
      <c r="I108" s="22" t="n">
        <v>-6.445999999999999e-05</v>
      </c>
      <c r="J108" s="22" t="n">
        <v>7.823e-05</v>
      </c>
      <c r="K108" s="22" t="n">
        <v>-7.780000000000002e-06</v>
      </c>
      <c r="L108" s="22" t="n">
        <v>6.468e-05</v>
      </c>
      <c r="M108" s="22" t="n">
        <v>-1.549e-05</v>
      </c>
      <c r="N108" s="22" t="n">
        <v>7.054000000000001e-05</v>
      </c>
      <c r="T108" s="22" t="n">
        <v>-7.159999999999997e-06</v>
      </c>
      <c r="U108" s="22" t="n">
        <v>1.928999999999999e-05</v>
      </c>
      <c r="V108" s="22" t="n">
        <v>-2.010000000000005e-06</v>
      </c>
      <c r="W108" s="22" t="n">
        <v>-6.445999999999999e-05</v>
      </c>
      <c r="X108" s="22" t="n">
        <v>-1.549e-05</v>
      </c>
    </row>
    <row r="109">
      <c r="A109" s="9" t="inlineStr">
        <is>
          <t>Profit Loss Attributable To Owners Of Parent</t>
        </is>
      </c>
      <c r="C109" s="12" t="n">
        <v>-48030</v>
      </c>
      <c r="D109" s="12" t="n">
        <v>105720</v>
      </c>
      <c r="E109" s="12" t="n">
        <v>-3018</v>
      </c>
      <c r="F109" s="12" t="n">
        <v>95248</v>
      </c>
      <c r="G109" s="12" t="n">
        <v>92046</v>
      </c>
      <c r="H109" s="12" t="n">
        <v>23789</v>
      </c>
      <c r="I109" s="12" t="n">
        <v>-103155</v>
      </c>
      <c r="J109" s="12" t="n">
        <v>124243</v>
      </c>
      <c r="K109" s="12" t="n">
        <v>-11802</v>
      </c>
      <c r="L109" s="12" t="n">
        <v>103640</v>
      </c>
      <c r="M109" s="12" t="n">
        <v>-24319</v>
      </c>
      <c r="N109" s="12" t="n">
        <v>113197</v>
      </c>
      <c r="T109" s="12" t="n">
        <v>-11358</v>
      </c>
      <c r="U109" s="12" t="n">
        <v>31134</v>
      </c>
      <c r="V109" s="12" t="n">
        <v>-3018</v>
      </c>
      <c r="W109" s="12" t="n">
        <v>-103155</v>
      </c>
      <c r="X109" s="12" t="n">
        <v>-24319</v>
      </c>
    </row>
    <row r="110">
      <c r="A110" s="45" t="inlineStr">
        <is>
          <t>YoY</t>
        </is>
      </c>
      <c r="B110" s="3" t="inlineStr">
        <is>
          <t>전년 같은 분기·전년 대비</t>
        </is>
      </c>
      <c r="G110" s="17">
        <f>IF(OR(G109="",C109=""),"",IF(C109&lt;=0,"",IFERROR(G109/C109-1,"")))</f>
        <v/>
      </c>
      <c r="H110" s="17">
        <f>IF(OR(H109="",D109=""),"",IF(D109&lt;=0,"",IFERROR(H109/D109-1,"")))</f>
        <v/>
      </c>
      <c r="I110" s="17">
        <f>IF(OR(I109="",E109=""),"",IF(E109&lt;=0,"",IFERROR(I109/E109-1,"")))</f>
        <v/>
      </c>
      <c r="J110" s="17">
        <f>IF(OR(J109="",F109=""),"",IF(F109&lt;=0,"",IFERROR(J109/F109-1,"")))</f>
        <v/>
      </c>
      <c r="K110" s="17">
        <f>IF(OR(K109="",G109=""),"",IF(G109&lt;=0,"",IFERROR(K109/G109-1,"")))</f>
        <v/>
      </c>
      <c r="L110" s="17">
        <f>IF(OR(L109="",H109=""),"",IF(H109&lt;=0,"",IFERROR(L109/H109-1,"")))</f>
        <v/>
      </c>
      <c r="M110" s="17">
        <f>IF(OR(M109="",I109=""),"",IF(I109&lt;=0,"",IFERROR(M109/I109-1,"")))</f>
        <v/>
      </c>
      <c r="N110" s="17">
        <f>IF(OR(N109="",J109=""),"",IF(J109&lt;=0,"",IFERROR(N109/J109-1,"")))</f>
        <v/>
      </c>
      <c r="T110" s="17">
        <f>IF(OR(T109="",S109=""),"",IF(S109&lt;=0,"",IFERROR(T109/S109-1,"")))</f>
        <v/>
      </c>
      <c r="U110" s="17">
        <f>IF(OR(U109="",T109=""),"",IF(T109&lt;=0,"",IFERROR(U109/T109-1,"")))</f>
        <v/>
      </c>
      <c r="V110" s="17">
        <f>IF(OR(V109="",U109=""),"",IF(U109&lt;=0,"",IFERROR(V109/U109-1,"")))</f>
        <v/>
      </c>
      <c r="W110" s="17">
        <f>IF(OR(W109="",V109=""),"",IF(V109&lt;=0,"",IFERROR(W109/V109-1,"")))</f>
        <v/>
      </c>
      <c r="X110" s="17">
        <f>IF(OR(X109="",W109=""),"",IF(W109&lt;=0,"",IFERROR(X109/W109-1,"")))</f>
        <v/>
      </c>
    </row>
    <row r="111">
      <c r="A111" s="9" t="inlineStr">
        <is>
          <t>비지배지분</t>
        </is>
      </c>
      <c r="C111" s="12" t="n">
        <v>60</v>
      </c>
      <c r="D111" s="12" t="n">
        <v>35</v>
      </c>
      <c r="E111" s="12" t="n">
        <v>24</v>
      </c>
      <c r="F111" s="12" t="n">
        <v>51</v>
      </c>
      <c r="G111" s="12" t="n">
        <v>61</v>
      </c>
      <c r="H111" s="12" t="n">
        <v>46</v>
      </c>
      <c r="I111" s="12" t="n">
        <v>57</v>
      </c>
      <c r="J111" s="12" t="n">
        <v>36</v>
      </c>
      <c r="K111" s="12" t="n">
        <v>72</v>
      </c>
      <c r="L111" s="12" t="n">
        <v>94</v>
      </c>
      <c r="M111" s="12" t="n">
        <v>62</v>
      </c>
      <c r="N111" s="12" t="n">
        <v>60</v>
      </c>
      <c r="T111" s="12" t="n">
        <v>-17</v>
      </c>
      <c r="U111" s="12" t="n">
        <v>2</v>
      </c>
      <c r="V111" s="12" t="n">
        <v>24</v>
      </c>
      <c r="W111" s="12" t="n">
        <v>57</v>
      </c>
      <c r="X111" s="12" t="n">
        <v>62</v>
      </c>
    </row>
    <row r="113">
      <c r="A113" s="18" t="inlineStr">
        <is>
          <t>포괄손익 · 전 항목</t>
        </is>
      </c>
      <c r="B113" s="44" t="inlineStr">
        <is>
          <t>분기 = 3개월 단독</t>
        </is>
      </c>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c r="AA113" s="18" t="n"/>
      <c r="AB113" s="18" t="n"/>
      <c r="AC113" s="18" t="n"/>
    </row>
    <row r="114">
      <c r="A114" s="5" t="inlineStr">
        <is>
          <t>항목</t>
        </is>
      </c>
      <c r="B114" s="5" t="inlineStr">
        <is>
          <t>참고</t>
        </is>
      </c>
      <c r="C114" s="5" t="inlineStr">
        <is>
          <t>2024.2Q</t>
        </is>
      </c>
      <c r="D114" s="5" t="inlineStr">
        <is>
          <t>2024.3Q</t>
        </is>
      </c>
      <c r="E114" s="5" t="inlineStr">
        <is>
          <t>2024.4Q</t>
        </is>
      </c>
      <c r="F114" s="5" t="inlineStr">
        <is>
          <t>2025.1Q</t>
        </is>
      </c>
      <c r="G114" s="5" t="inlineStr">
        <is>
          <t>2025.2Q</t>
        </is>
      </c>
      <c r="H114" s="5" t="inlineStr">
        <is>
          <t>2025.3Q</t>
        </is>
      </c>
      <c r="I114" s="5" t="inlineStr">
        <is>
          <t>2025.4Q</t>
        </is>
      </c>
      <c r="J114" s="5" t="inlineStr">
        <is>
          <t>2026.1Q</t>
        </is>
      </c>
      <c r="K114" s="5" t="inlineStr">
        <is>
          <t>2026.2Q</t>
        </is>
      </c>
      <c r="L114" s="5" t="inlineStr">
        <is>
          <t>2026.3Q</t>
        </is>
      </c>
      <c r="M114" s="5" t="inlineStr">
        <is>
          <t>2026.4Q</t>
        </is>
      </c>
      <c r="N114" s="5" t="inlineStr">
        <is>
          <t>2027.1Q</t>
        </is>
      </c>
      <c r="O114" s="5" t="inlineStr">
        <is>
          <t>2017</t>
        </is>
      </c>
      <c r="P114" s="5" t="inlineStr">
        <is>
          <t>2018</t>
        </is>
      </c>
      <c r="Q114" s="5" t="inlineStr">
        <is>
          <t>2019</t>
        </is>
      </c>
      <c r="R114" s="5" t="inlineStr">
        <is>
          <t>2020</t>
        </is>
      </c>
      <c r="S114" s="5" t="inlineStr">
        <is>
          <t>2021</t>
        </is>
      </c>
      <c r="T114" s="5" t="inlineStr">
        <is>
          <t>2022</t>
        </is>
      </c>
      <c r="U114" s="5" t="inlineStr">
        <is>
          <t>2023</t>
        </is>
      </c>
      <c r="V114" s="5" t="inlineStr">
        <is>
          <t>2024</t>
        </is>
      </c>
      <c r="W114" s="5" t="inlineStr">
        <is>
          <t>2025</t>
        </is>
      </c>
      <c r="X114" s="5" t="inlineStr">
        <is>
          <t>2026</t>
        </is>
      </c>
      <c r="Y114" s="5" t="inlineStr">
        <is>
          <t>2027(MW)</t>
        </is>
      </c>
      <c r="Z114" s="5" t="inlineStr">
        <is>
          <t>2028(MW)</t>
        </is>
      </c>
      <c r="AA114" s="5" t="inlineStr">
        <is>
          <t>2029(MW)</t>
        </is>
      </c>
      <c r="AB114" s="5" t="inlineStr">
        <is>
          <t>2030(MW)</t>
        </is>
      </c>
      <c r="AC114" s="5" t="inlineStr">
        <is>
          <t>2031(MW)</t>
        </is>
      </c>
    </row>
    <row r="115">
      <c r="A115" s="9" t="inlineStr">
        <is>
          <t>중간이익</t>
        </is>
      </c>
      <c r="C115" s="12" t="n">
        <v>-47970</v>
      </c>
      <c r="D115" s="12" t="n">
        <v>105755</v>
      </c>
      <c r="E115" s="12" t="n">
        <v>-2994</v>
      </c>
      <c r="F115" s="12" t="n">
        <v>95299</v>
      </c>
      <c r="G115" s="12" t="n">
        <v>92107</v>
      </c>
      <c r="H115" s="12" t="n">
        <v>23835</v>
      </c>
      <c r="I115" s="12" t="n">
        <v>-103098</v>
      </c>
      <c r="J115" s="12" t="n">
        <v>124279</v>
      </c>
      <c r="K115" s="12" t="n">
        <v>-11729</v>
      </c>
      <c r="L115" s="12" t="n">
        <v>103733</v>
      </c>
      <c r="M115" s="12" t="n">
        <v>-24257</v>
      </c>
      <c r="N115" s="12" t="n">
        <v>113256</v>
      </c>
      <c r="T115" s="12" t="n">
        <v>-11375</v>
      </c>
      <c r="U115" s="12" t="n">
        <v>31135</v>
      </c>
      <c r="V115" s="12" t="n">
        <v>-2994</v>
      </c>
      <c r="W115" s="12" t="n">
        <v>-103098</v>
      </c>
      <c r="X115" s="12" t="n">
        <v>-24257</v>
      </c>
    </row>
    <row r="116">
      <c r="A116" s="20" t="inlineStr">
        <is>
          <t>Net Change In Fair Value Of Equity Instruments Designated As Measured At Fair Value Through Other Comprehensive Income Net Of Tax Items That Will Not Be Reclassified To Profit Or Loss OCI</t>
        </is>
      </c>
      <c r="C116" s="22" t="n">
        <v>-7655</v>
      </c>
      <c r="D116" s="22" t="n">
        <v>-7920</v>
      </c>
      <c r="E116" s="22" t="n">
        <v>3692</v>
      </c>
      <c r="F116" s="22" t="n">
        <v>-5077</v>
      </c>
      <c r="G116" s="22" t="n">
        <v>-2437</v>
      </c>
      <c r="H116" s="22" t="n">
        <v>-5601</v>
      </c>
      <c r="I116" s="22" t="n">
        <v>804</v>
      </c>
      <c r="J116" s="22" t="n">
        <v>9437</v>
      </c>
      <c r="K116" s="22" t="n">
        <v>17874</v>
      </c>
      <c r="L116" s="22" t="n">
        <v>-15333</v>
      </c>
      <c r="M116" s="22" t="n">
        <v>-16954</v>
      </c>
      <c r="N116" s="22" t="n">
        <v>-7887</v>
      </c>
      <c r="T116" s="22" t="n">
        <v>-8675</v>
      </c>
      <c r="U116" s="22" t="n">
        <v>-3384</v>
      </c>
      <c r="V116" s="22" t="n">
        <v>3692</v>
      </c>
      <c r="W116" s="22" t="n">
        <v>804</v>
      </c>
      <c r="X116" s="22" t="n">
        <v>-16954</v>
      </c>
    </row>
    <row r="117">
      <c r="A117" s="20" t="inlineStr">
        <is>
          <t>확정급여제도 재측정</t>
        </is>
      </c>
      <c r="C117" s="22" t="n">
        <v>2954</v>
      </c>
      <c r="D117" s="22" t="n">
        <v>-5682</v>
      </c>
      <c r="E117" s="22" t="n">
        <v>-1964</v>
      </c>
      <c r="F117" s="22" t="n">
        <v>1916</v>
      </c>
      <c r="G117" s="22" t="n">
        <v>-1213</v>
      </c>
      <c r="H117" s="22" t="n">
        <v>-3643</v>
      </c>
      <c r="I117" s="22" t="n">
        <v>-4106</v>
      </c>
      <c r="J117" s="22" t="n">
        <v>-397</v>
      </c>
      <c r="K117" s="22" t="n">
        <v>1154</v>
      </c>
      <c r="L117" s="22" t="n">
        <v>1412</v>
      </c>
      <c r="M117" s="22" t="n">
        <v>-255</v>
      </c>
      <c r="N117" s="22" t="n">
        <v>-485</v>
      </c>
      <c r="T117" s="22" t="n">
        <v>23695</v>
      </c>
      <c r="U117" s="22" t="n">
        <v>4775</v>
      </c>
      <c r="V117" s="22" t="n">
        <v>-1964</v>
      </c>
      <c r="W117" s="22" t="n">
        <v>-4106</v>
      </c>
      <c r="X117" s="22" t="n">
        <v>-255</v>
      </c>
    </row>
    <row r="118">
      <c r="A118" s="20" t="inlineStr">
        <is>
          <t>Total Of Items That Will Not Be Reclassified To Profit Or Loss OCI</t>
        </is>
      </c>
      <c r="C118" s="22" t="n">
        <v>-4700</v>
      </c>
      <c r="D118" s="22" t="n">
        <v>-13602</v>
      </c>
      <c r="E118" s="22" t="n">
        <v>1728</v>
      </c>
      <c r="F118" s="22" t="n">
        <v>-3160</v>
      </c>
      <c r="G118" s="22" t="n">
        <v>-3651</v>
      </c>
      <c r="H118" s="22" t="n">
        <v>-9245</v>
      </c>
      <c r="I118" s="22" t="n">
        <v>-3301</v>
      </c>
      <c r="J118" s="22" t="n">
        <v>9040</v>
      </c>
      <c r="K118" s="22" t="n">
        <v>19027</v>
      </c>
      <c r="L118" s="22" t="n">
        <v>-13921</v>
      </c>
      <c r="M118" s="22" t="n">
        <v>-17208</v>
      </c>
      <c r="N118" s="22" t="n">
        <v>-8371</v>
      </c>
      <c r="T118" s="22" t="n">
        <v>15020</v>
      </c>
      <c r="U118" s="22" t="n">
        <v>1391</v>
      </c>
      <c r="V118" s="22" t="n">
        <v>1728</v>
      </c>
      <c r="W118" s="22" t="n">
        <v>-3301</v>
      </c>
      <c r="X118" s="22" t="n">
        <v>-17208</v>
      </c>
    </row>
    <row r="119">
      <c r="A119" s="20" t="inlineStr">
        <is>
          <t>해외사업 환산차액</t>
        </is>
      </c>
      <c r="C119" s="22" t="n">
        <v>185281</v>
      </c>
      <c r="D119" s="22" t="n">
        <v>-319417</v>
      </c>
      <c r="E119" s="22" t="n">
        <v>509039</v>
      </c>
      <c r="F119" s="22" t="n">
        <v>563483</v>
      </c>
      <c r="G119" s="22" t="n">
        <v>-1015916</v>
      </c>
      <c r="H119" s="22" t="n">
        <v>638458</v>
      </c>
      <c r="I119" s="22" t="n">
        <v>-339370</v>
      </c>
      <c r="J119" s="22" t="n">
        <v>-19647</v>
      </c>
      <c r="K119" s="22" t="n">
        <v>224606</v>
      </c>
      <c r="L119" s="22" t="n">
        <v>558104</v>
      </c>
      <c r="M119" s="22" t="n">
        <v>140832</v>
      </c>
      <c r="N119" s="22" t="n">
        <v>163296</v>
      </c>
      <c r="T119" s="22" t="n">
        <v>377387</v>
      </c>
      <c r="U119" s="22" t="n">
        <v>137567</v>
      </c>
      <c r="V119" s="22" t="n">
        <v>509039</v>
      </c>
      <c r="W119" s="22" t="n">
        <v>-339370</v>
      </c>
      <c r="X119" s="22" t="n">
        <v>140832</v>
      </c>
    </row>
    <row r="120">
      <c r="A120" s="20" t="inlineStr">
        <is>
          <t>현금흐름 위험회피</t>
        </is>
      </c>
      <c r="C120" s="22" t="n">
        <v>9006</v>
      </c>
      <c r="D120" s="22" t="n">
        <v>24761</v>
      </c>
      <c r="E120" s="22" t="n">
        <v>710</v>
      </c>
      <c r="F120" s="22" t="n">
        <v>-3271</v>
      </c>
      <c r="G120" s="22" t="n">
        <v>29575</v>
      </c>
      <c r="H120" s="22" t="n">
        <v>-21261</v>
      </c>
      <c r="I120" s="22" t="n">
        <v>-5999</v>
      </c>
      <c r="J120" s="22" t="n">
        <v>3655</v>
      </c>
      <c r="K120" s="22" t="n">
        <v>12956</v>
      </c>
      <c r="L120" s="22" t="n">
        <v>5382</v>
      </c>
      <c r="M120" s="22" t="n">
        <v>6957</v>
      </c>
      <c r="N120" s="22" t="n">
        <v>525</v>
      </c>
      <c r="T120" s="22" t="n">
        <v>-11785</v>
      </c>
      <c r="U120" s="22" t="n">
        <v>-3867</v>
      </c>
      <c r="V120" s="22" t="n">
        <v>710</v>
      </c>
      <c r="W120" s="22" t="n">
        <v>-5999</v>
      </c>
      <c r="X120" s="22" t="n">
        <v>6957</v>
      </c>
    </row>
    <row r="121">
      <c r="A121" s="20" t="inlineStr">
        <is>
          <t>Hedging Cost Net Of Tax Items That May Be Reclassified To Profit Or Loss OCI</t>
        </is>
      </c>
      <c r="C121" s="22" t="n">
        <v>-10438</v>
      </c>
      <c r="D121" s="22" t="n">
        <v>2880</v>
      </c>
      <c r="E121" s="22" t="n">
        <v>6896</v>
      </c>
      <c r="F121" s="22" t="n">
        <v>6908</v>
      </c>
      <c r="G121" s="22" t="n">
        <v>-1252</v>
      </c>
      <c r="H121" s="22" t="n">
        <v>3491</v>
      </c>
      <c r="I121" s="22" t="n">
        <v>-1184</v>
      </c>
      <c r="J121" s="22" t="n">
        <v>1892</v>
      </c>
      <c r="K121" s="22" t="n">
        <v>1566</v>
      </c>
      <c r="L121" s="22" t="n">
        <v>53</v>
      </c>
      <c r="M121" s="22" t="n">
        <v>-352</v>
      </c>
      <c r="N121" s="22" t="n">
        <v>3029</v>
      </c>
      <c r="T121" s="22" t="n">
        <v>-3512</v>
      </c>
      <c r="U121" s="22" t="n">
        <v>-4886</v>
      </c>
      <c r="V121" s="22" t="n">
        <v>6896</v>
      </c>
      <c r="W121" s="22" t="n">
        <v>-1184</v>
      </c>
      <c r="X121" s="22" t="n">
        <v>-352</v>
      </c>
    </row>
    <row r="122">
      <c r="A122" s="20" t="inlineStr">
        <is>
          <t>Share Of Other Comprehensive Income Of Investments Accounted For Using Equity Method Net Of Tax Items That May Be Reclassified To Profit Or Loss OCI</t>
        </is>
      </c>
      <c r="C122" s="22" t="n">
        <v>-88</v>
      </c>
      <c r="D122" s="22" t="n">
        <v>-187</v>
      </c>
      <c r="E122" s="22" t="n">
        <v>-1327</v>
      </c>
      <c r="F122" s="22" t="n">
        <v>864</v>
      </c>
      <c r="G122" s="22" t="n">
        <v>-965</v>
      </c>
      <c r="H122" s="22" t="n">
        <v>-7</v>
      </c>
      <c r="I122" s="22" t="n">
        <v>-37</v>
      </c>
      <c r="J122" s="22" t="n">
        <v>-119</v>
      </c>
      <c r="K122" s="22" t="n">
        <v>-141</v>
      </c>
      <c r="L122" s="22" t="n">
        <v>-63</v>
      </c>
      <c r="M122" s="22" t="n">
        <v>-218</v>
      </c>
      <c r="N122" s="22" t="n">
        <v>-434</v>
      </c>
      <c r="T122" s="22" t="n">
        <v>-352</v>
      </c>
      <c r="U122" s="22" t="n">
        <v>23</v>
      </c>
      <c r="V122" s="22" t="n">
        <v>-1327</v>
      </c>
      <c r="W122" s="22" t="n">
        <v>-37</v>
      </c>
      <c r="X122" s="22" t="n">
        <v>-218</v>
      </c>
    </row>
    <row r="123">
      <c r="A123" s="20" t="inlineStr">
        <is>
          <t>Total Of Items That May Be Reclassified To Profit Or Loss OCI</t>
        </is>
      </c>
      <c r="C123" s="22" t="n">
        <v>183761</v>
      </c>
      <c r="D123" s="22" t="n">
        <v>-291964</v>
      </c>
      <c r="E123" s="22" t="n">
        <v>515319</v>
      </c>
      <c r="F123" s="22" t="n">
        <v>567983</v>
      </c>
      <c r="G123" s="22" t="n">
        <v>-988557</v>
      </c>
      <c r="H123" s="22" t="n">
        <v>620681</v>
      </c>
      <c r="I123" s="22" t="n">
        <v>-346591</v>
      </c>
      <c r="J123" s="22" t="n">
        <v>-14218</v>
      </c>
      <c r="K123" s="22" t="n">
        <v>238986</v>
      </c>
      <c r="L123" s="22" t="n">
        <v>563476</v>
      </c>
      <c r="M123" s="22" t="n">
        <v>147219</v>
      </c>
      <c r="N123" s="22" t="n">
        <v>166415</v>
      </c>
      <c r="T123" s="22" t="n">
        <v>361738</v>
      </c>
      <c r="U123" s="22" t="n">
        <v>128838</v>
      </c>
      <c r="V123" s="22" t="n">
        <v>515319</v>
      </c>
      <c r="W123" s="22" t="n">
        <v>-346591</v>
      </c>
      <c r="X123" s="22" t="n">
        <v>147219</v>
      </c>
    </row>
    <row r="124">
      <c r="A124" s="20" t="inlineStr">
        <is>
          <t>기타포괄손익 합계</t>
        </is>
      </c>
      <c r="C124" s="22" t="n">
        <v>179061</v>
      </c>
      <c r="D124" s="22" t="n">
        <v>-305565</v>
      </c>
      <c r="E124" s="22" t="n">
        <v>517046</v>
      </c>
      <c r="F124" s="22" t="n">
        <v>564823</v>
      </c>
      <c r="G124" s="22" t="n">
        <v>-992208</v>
      </c>
      <c r="H124" s="22" t="n">
        <v>611436</v>
      </c>
      <c r="I124" s="22" t="n">
        <v>-349892</v>
      </c>
      <c r="J124" s="22" t="n">
        <v>-5178</v>
      </c>
      <c r="K124" s="22" t="n">
        <v>258013</v>
      </c>
      <c r="L124" s="22" t="n">
        <v>549555</v>
      </c>
      <c r="M124" s="22" t="n">
        <v>130011</v>
      </c>
      <c r="N124" s="22" t="n">
        <v>158044</v>
      </c>
      <c r="T124" s="22" t="n">
        <v>376758</v>
      </c>
      <c r="U124" s="22" t="n">
        <v>130229</v>
      </c>
      <c r="V124" s="22" t="n">
        <v>517046</v>
      </c>
      <c r="W124" s="22" t="n">
        <v>-349892</v>
      </c>
      <c r="X124" s="22" t="n">
        <v>130011</v>
      </c>
    </row>
    <row r="125">
      <c r="A125" s="9" t="inlineStr">
        <is>
          <t>Comprehensive Income</t>
        </is>
      </c>
      <c r="C125" s="12" t="n">
        <v>131090</v>
      </c>
      <c r="D125" s="12" t="n">
        <v>-199810</v>
      </c>
      <c r="E125" s="12" t="n">
        <v>514052</v>
      </c>
      <c r="F125" s="12" t="n">
        <v>660122</v>
      </c>
      <c r="G125" s="12" t="n">
        <v>-900101</v>
      </c>
      <c r="H125" s="12" t="n">
        <v>635272</v>
      </c>
      <c r="I125" s="12" t="n">
        <v>-452991</v>
      </c>
      <c r="J125" s="12" t="n">
        <v>119101</v>
      </c>
      <c r="K125" s="12" t="n">
        <v>246284</v>
      </c>
      <c r="L125" s="12" t="n">
        <v>653288</v>
      </c>
      <c r="M125" s="12" t="n">
        <v>105754</v>
      </c>
      <c r="N125" s="12" t="n">
        <v>271301</v>
      </c>
      <c r="T125" s="12" t="n">
        <v>365383</v>
      </c>
      <c r="U125" s="12" t="n">
        <v>161365</v>
      </c>
      <c r="V125" s="12" t="n">
        <v>514052</v>
      </c>
      <c r="W125" s="12" t="n">
        <v>-452991</v>
      </c>
      <c r="X125" s="12" t="n">
        <v>105754</v>
      </c>
    </row>
    <row r="126">
      <c r="A126" s="9" t="inlineStr">
        <is>
          <t>Comprehensive Income Attributable To Owners Of Parent</t>
        </is>
      </c>
      <c r="C126" s="12" t="n">
        <v>131027</v>
      </c>
      <c r="D126" s="12" t="n">
        <v>-199813</v>
      </c>
      <c r="E126" s="12" t="n">
        <v>514003</v>
      </c>
      <c r="F126" s="12" t="n">
        <v>660048</v>
      </c>
      <c r="G126" s="12" t="n">
        <v>-900129</v>
      </c>
      <c r="H126" s="12" t="n">
        <v>635197</v>
      </c>
      <c r="I126" s="12" t="n">
        <v>-452968</v>
      </c>
      <c r="J126" s="12" t="n">
        <v>119076</v>
      </c>
      <c r="K126" s="12" t="n">
        <v>246212</v>
      </c>
      <c r="L126" s="12" t="n">
        <v>653133</v>
      </c>
      <c r="M126" s="12" t="n">
        <v>105693</v>
      </c>
      <c r="N126" s="12" t="n">
        <v>271277</v>
      </c>
      <c r="T126" s="12" t="n">
        <v>365371</v>
      </c>
      <c r="U126" s="12" t="n">
        <v>161336</v>
      </c>
      <c r="V126" s="12" t="n">
        <v>514003</v>
      </c>
      <c r="W126" s="12" t="n">
        <v>-452968</v>
      </c>
      <c r="X126" s="12" t="n">
        <v>105693</v>
      </c>
    </row>
    <row r="127">
      <c r="A127" s="9" t="inlineStr">
        <is>
          <t>비지배지분</t>
        </is>
      </c>
      <c r="C127" s="12" t="n">
        <v>63</v>
      </c>
      <c r="D127" s="12" t="n">
        <v>3</v>
      </c>
      <c r="E127" s="12" t="n">
        <v>49</v>
      </c>
      <c r="F127" s="12" t="n">
        <v>74</v>
      </c>
      <c r="G127" s="12" t="n">
        <v>28</v>
      </c>
      <c r="H127" s="12" t="n">
        <v>74</v>
      </c>
      <c r="I127" s="12" t="n">
        <v>-22</v>
      </c>
      <c r="J127" s="12" t="n">
        <v>25</v>
      </c>
      <c r="K127" s="12" t="n">
        <v>72</v>
      </c>
      <c r="L127" s="12" t="n">
        <v>155</v>
      </c>
      <c r="M127" s="12" t="n">
        <v>61</v>
      </c>
      <c r="N127" s="12" t="n">
        <v>23</v>
      </c>
      <c r="T127" s="12" t="n">
        <v>11</v>
      </c>
      <c r="U127" s="12" t="n">
        <v>29</v>
      </c>
      <c r="V127" s="12" t="n">
        <v>49</v>
      </c>
      <c r="W127" s="12" t="n">
        <v>-22</v>
      </c>
      <c r="X127" s="12" t="n">
        <v>61</v>
      </c>
    </row>
    <row r="129">
      <c r="A129" s="18" t="inlineStr">
        <is>
          <t>현금흐름표 · 전 항목</t>
        </is>
      </c>
      <c r="B129" s="44" t="inlineStr">
        <is>
          <t>분기 = 결산기 첫날부터 누계(공시 그대로)</t>
        </is>
      </c>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c r="AA129" s="18" t="n"/>
      <c r="AB129" s="18" t="n"/>
      <c r="AC129" s="18" t="n"/>
    </row>
    <row r="130">
      <c r="A130" s="5" t="inlineStr">
        <is>
          <t>항목</t>
        </is>
      </c>
      <c r="B130" s="5" t="inlineStr">
        <is>
          <t>참고</t>
        </is>
      </c>
      <c r="C130" s="5" t="inlineStr">
        <is>
          <t>2024.2Q</t>
        </is>
      </c>
      <c r="D130" s="5" t="inlineStr">
        <is>
          <t>2024.3Q</t>
        </is>
      </c>
      <c r="E130" s="5" t="inlineStr">
        <is>
          <t>2024.4Q</t>
        </is>
      </c>
      <c r="F130" s="5" t="inlineStr">
        <is>
          <t>2025.1Q</t>
        </is>
      </c>
      <c r="G130" s="5" t="inlineStr">
        <is>
          <t>2025.2Q</t>
        </is>
      </c>
      <c r="H130" s="5" t="inlineStr">
        <is>
          <t>2025.3Q</t>
        </is>
      </c>
      <c r="I130" s="5" t="inlineStr">
        <is>
          <t>2025.4Q</t>
        </is>
      </c>
      <c r="J130" s="5" t="inlineStr">
        <is>
          <t>2026.1Q</t>
        </is>
      </c>
      <c r="K130" s="5" t="inlineStr">
        <is>
          <t>2026.2Q</t>
        </is>
      </c>
      <c r="L130" s="5" t="inlineStr">
        <is>
          <t>2026.3Q</t>
        </is>
      </c>
      <c r="M130" s="5" t="inlineStr">
        <is>
          <t>2026.4Q</t>
        </is>
      </c>
      <c r="N130" s="5" t="inlineStr">
        <is>
          <t>2027.1Q</t>
        </is>
      </c>
      <c r="O130" s="5" t="inlineStr">
        <is>
          <t>2017</t>
        </is>
      </c>
      <c r="P130" s="5" t="inlineStr">
        <is>
          <t>2018</t>
        </is>
      </c>
      <c r="Q130" s="5" t="inlineStr">
        <is>
          <t>2019</t>
        </is>
      </c>
      <c r="R130" s="5" t="inlineStr">
        <is>
          <t>2020</t>
        </is>
      </c>
      <c r="S130" s="5" t="inlineStr">
        <is>
          <t>2021</t>
        </is>
      </c>
      <c r="T130" s="5" t="inlineStr">
        <is>
          <t>2022</t>
        </is>
      </c>
      <c r="U130" s="5" t="inlineStr">
        <is>
          <t>2023</t>
        </is>
      </c>
      <c r="V130" s="5" t="inlineStr">
        <is>
          <t>2024</t>
        </is>
      </c>
      <c r="W130" s="5" t="inlineStr">
        <is>
          <t>2025</t>
        </is>
      </c>
      <c r="X130" s="5" t="inlineStr">
        <is>
          <t>2026</t>
        </is>
      </c>
      <c r="Y130" s="5" t="inlineStr">
        <is>
          <t>2027(MW)</t>
        </is>
      </c>
      <c r="Z130" s="5" t="inlineStr">
        <is>
          <t>2028(MW)</t>
        </is>
      </c>
      <c r="AA130" s="5" t="inlineStr">
        <is>
          <t>2029(MW)</t>
        </is>
      </c>
      <c r="AB130" s="5" t="inlineStr">
        <is>
          <t>2030(MW)</t>
        </is>
      </c>
      <c r="AC130" s="5" t="inlineStr">
        <is>
          <t>2031(MW)</t>
        </is>
      </c>
    </row>
    <row r="131">
      <c r="A131" s="9" t="inlineStr">
        <is>
          <t>중간이익</t>
        </is>
      </c>
      <c r="C131" s="12" t="n">
        <v>41436</v>
      </c>
      <c r="D131" s="12" t="n">
        <v>147191</v>
      </c>
      <c r="E131" s="12" t="n">
        <v>144197</v>
      </c>
      <c r="F131" s="12" t="n">
        <v>95299</v>
      </c>
      <c r="G131" s="12" t="n">
        <v>187406</v>
      </c>
      <c r="H131" s="12" t="n">
        <v>211241</v>
      </c>
      <c r="I131" s="12" t="n">
        <v>108143</v>
      </c>
      <c r="J131" s="12" t="n">
        <v>124279</v>
      </c>
      <c r="K131" s="12" t="n">
        <v>112550</v>
      </c>
      <c r="L131" s="12" t="n">
        <v>216283</v>
      </c>
      <c r="M131" s="12" t="n">
        <v>192026</v>
      </c>
      <c r="N131" s="12" t="n">
        <v>113256</v>
      </c>
      <c r="P131" s="12" t="n">
        <v>186708</v>
      </c>
      <c r="Q131" s="12" t="n">
        <v>135080</v>
      </c>
      <c r="R131" s="12" t="n">
        <v>44290</v>
      </c>
      <c r="S131" s="12" t="n">
        <v>376171</v>
      </c>
      <c r="T131" s="12" t="n">
        <v>230166</v>
      </c>
      <c r="U131" s="12" t="n">
        <v>317038</v>
      </c>
      <c r="V131" s="12" t="n">
        <v>144197</v>
      </c>
      <c r="W131" s="12" t="n">
        <v>108143</v>
      </c>
      <c r="X131" s="12" t="n">
        <v>192026</v>
      </c>
    </row>
    <row r="132">
      <c r="A132" s="20" t="inlineStr">
        <is>
          <t>감가상각비 및 상각비</t>
        </is>
      </c>
      <c r="C132" s="22" t="n">
        <v>354197</v>
      </c>
      <c r="D132" s="22" t="n">
        <v>541258</v>
      </c>
      <c r="E132" s="22" t="n">
        <v>728002</v>
      </c>
      <c r="F132" s="22" t="n">
        <v>192220</v>
      </c>
      <c r="G132" s="22" t="n">
        <v>384672</v>
      </c>
      <c r="H132" s="22" t="n">
        <v>571627</v>
      </c>
      <c r="I132" s="22" t="n">
        <v>761396</v>
      </c>
      <c r="J132" s="22" t="n">
        <v>181636</v>
      </c>
      <c r="K132" s="22" t="n">
        <v>366618</v>
      </c>
      <c r="L132" s="22" t="n">
        <v>557257</v>
      </c>
      <c r="M132" s="22" t="n">
        <v>721127</v>
      </c>
      <c r="N132" s="22" t="n">
        <v>163042</v>
      </c>
      <c r="P132" s="22" t="n">
        <v>182127</v>
      </c>
      <c r="Q132" s="22" t="n">
        <v>247691</v>
      </c>
      <c r="R132" s="22" t="n">
        <v>583649</v>
      </c>
      <c r="S132" s="22" t="n">
        <v>559671</v>
      </c>
      <c r="T132" s="22" t="n">
        <v>583151</v>
      </c>
      <c r="U132" s="22" t="n">
        <v>664400</v>
      </c>
      <c r="V132" s="22" t="n">
        <v>728002</v>
      </c>
      <c r="W132" s="22" t="n">
        <v>761396</v>
      </c>
      <c r="X132" s="22" t="n">
        <v>721127</v>
      </c>
    </row>
    <row r="133">
      <c r="A133" s="20" t="inlineStr">
        <is>
          <t>손상차손</t>
        </is>
      </c>
      <c r="C133" s="22" t="n">
        <v>126703</v>
      </c>
      <c r="D133" s="22" t="n">
        <v>134281</v>
      </c>
      <c r="E133" s="22" t="n">
        <v>150017</v>
      </c>
      <c r="F133" s="22" t="n">
        <v>26000</v>
      </c>
      <c r="G133" s="22" t="n">
        <v>36065</v>
      </c>
      <c r="H133" s="22" t="n">
        <v>38227</v>
      </c>
      <c r="I133" s="22" t="n">
        <v>106529</v>
      </c>
      <c r="J133" s="22" t="n">
        <v>2357</v>
      </c>
      <c r="K133" s="22" t="n">
        <v>87143</v>
      </c>
      <c r="L133" s="22" t="n">
        <v>94790</v>
      </c>
      <c r="M133" s="22" t="n">
        <v>145716</v>
      </c>
      <c r="N133" s="22" t="n">
        <v>29997</v>
      </c>
      <c r="P133" s="22" t="n">
        <v>13544</v>
      </c>
      <c r="Q133" s="22" t="n">
        <v>10120</v>
      </c>
      <c r="R133" s="22" t="n">
        <v>101882</v>
      </c>
      <c r="S133" s="22" t="n">
        <v>25452</v>
      </c>
      <c r="T133" s="22" t="n">
        <v>54515</v>
      </c>
      <c r="U133" s="22" t="n">
        <v>64394</v>
      </c>
      <c r="V133" s="22" t="n">
        <v>150017</v>
      </c>
      <c r="W133" s="22" t="n">
        <v>106529</v>
      </c>
      <c r="X133" s="22" t="n">
        <v>145716</v>
      </c>
    </row>
    <row r="134">
      <c r="A134" s="20" t="inlineStr">
        <is>
          <t>Equity Settled Share Based Compensation Ope CF</t>
        </is>
      </c>
      <c r="P134" s="22" t="n">
        <v>18610</v>
      </c>
      <c r="Q134" s="22" t="n">
        <v>20084</v>
      </c>
    </row>
    <row r="135">
      <c r="A135" s="20" t="inlineStr">
        <is>
          <t>Share Based Payment Expenses Ope CF</t>
        </is>
      </c>
      <c r="C135" s="22" t="n">
        <v>33977</v>
      </c>
      <c r="D135" s="22" t="n">
        <v>52683</v>
      </c>
      <c r="E135" s="22" t="n">
        <v>70871</v>
      </c>
      <c r="F135" s="22" t="n">
        <v>15386</v>
      </c>
      <c r="G135" s="22" t="n">
        <v>36940</v>
      </c>
      <c r="H135" s="22" t="n">
        <v>55240</v>
      </c>
      <c r="I135" s="22" t="n">
        <v>72867</v>
      </c>
      <c r="J135" s="22" t="n">
        <v>16531</v>
      </c>
      <c r="K135" s="22" t="n">
        <v>35262</v>
      </c>
      <c r="L135" s="22" t="n">
        <v>53064</v>
      </c>
      <c r="M135" s="22" t="n">
        <v>72775</v>
      </c>
      <c r="N135" s="22" t="n">
        <v>18190</v>
      </c>
      <c r="Q135" s="22" t="n">
        <v>20084</v>
      </c>
      <c r="R135" s="22" t="n">
        <v>29122</v>
      </c>
      <c r="S135" s="22" t="n">
        <v>37663</v>
      </c>
      <c r="T135" s="22" t="n">
        <v>43374</v>
      </c>
      <c r="U135" s="22" t="n">
        <v>60672</v>
      </c>
      <c r="V135" s="22" t="n">
        <v>70871</v>
      </c>
      <c r="W135" s="22" t="n">
        <v>72867</v>
      </c>
      <c r="X135" s="22" t="n">
        <v>72775</v>
      </c>
    </row>
    <row r="136">
      <c r="A136" s="20" t="inlineStr">
        <is>
          <t>Gain On Sales And Disposal Of Property Plant And Equipment Ope CF</t>
        </is>
      </c>
      <c r="P136" s="22" t="n">
        <v>-434</v>
      </c>
      <c r="Q136" s="22" t="n">
        <v>-45220</v>
      </c>
      <c r="R136" s="22" t="n">
        <v>-990</v>
      </c>
    </row>
    <row r="137">
      <c r="A137" s="20" t="inlineStr">
        <is>
          <t>Business Transfer And Gain On Sale Of Subsidiary Stock Ope CF</t>
        </is>
      </c>
      <c r="P137" s="22" t="n">
        <v>-134100</v>
      </c>
      <c r="Q137" s="22" t="n">
        <v>-82975</v>
      </c>
      <c r="R137" s="22" t="n">
        <v>-16755</v>
      </c>
    </row>
    <row r="138">
      <c r="A138" s="20" t="inlineStr">
        <is>
          <t>Obligation Release Of SHP647Program Ope CF</t>
        </is>
      </c>
      <c r="R138" s="22" t="n">
        <v>0</v>
      </c>
      <c r="S138" s="22" t="n">
        <v>-60179</v>
      </c>
      <c r="T138" s="22" t="n">
        <v>0</v>
      </c>
    </row>
    <row r="139">
      <c r="A139" s="20" t="inlineStr">
        <is>
          <t>Loss Gain On Disposal And Sale Of Property Plant And Equipment Ope CF</t>
        </is>
      </c>
      <c r="C139" s="22" t="n">
        <v>304</v>
      </c>
      <c r="D139" s="22" t="n">
        <v>1988</v>
      </c>
      <c r="E139" s="22" t="n">
        <v>6052</v>
      </c>
      <c r="F139" s="22" t="n">
        <v>2088</v>
      </c>
      <c r="G139" s="22" t="n">
        <v>2457</v>
      </c>
      <c r="H139" s="22" t="n">
        <v>3059</v>
      </c>
      <c r="I139" s="22" t="n">
        <v>4495</v>
      </c>
      <c r="J139" s="22" t="n">
        <v>584</v>
      </c>
      <c r="K139" s="22" t="n">
        <v>916</v>
      </c>
      <c r="L139" s="22" t="n">
        <v>1274</v>
      </c>
      <c r="M139" s="22" t="n">
        <v>3068</v>
      </c>
      <c r="R139" s="22" t="n">
        <v>-990</v>
      </c>
      <c r="S139" s="22" t="n">
        <v>-2109</v>
      </c>
      <c r="T139" s="22" t="n">
        <v>655</v>
      </c>
      <c r="U139" s="22" t="n">
        <v>10</v>
      </c>
      <c r="V139" s="22" t="n">
        <v>6052</v>
      </c>
      <c r="W139" s="22" t="n">
        <v>4495</v>
      </c>
      <c r="X139" s="22" t="n">
        <v>3068</v>
      </c>
    </row>
    <row r="140">
      <c r="A140" s="20" t="inlineStr">
        <is>
          <t>Loss Gain On Disposal And Sale Of Property Plant And Equipment</t>
        </is>
      </c>
      <c r="J140" s="22" t="n">
        <v>584</v>
      </c>
      <c r="N140" s="22" t="n">
        <v>194</v>
      </c>
    </row>
    <row r="141">
      <c r="A141" s="20" t="inlineStr">
        <is>
          <t>Gain On Sale Of Businesses Ope CF</t>
        </is>
      </c>
      <c r="C141" s="22" t="n">
        <v>-294</v>
      </c>
      <c r="D141" s="22" t="n">
        <v>-441</v>
      </c>
      <c r="E141" s="22" t="n">
        <v>-7832</v>
      </c>
      <c r="F141" s="22" t="n">
        <v>-6229</v>
      </c>
      <c r="G141" s="22" t="n">
        <v>-6376</v>
      </c>
      <c r="H141" s="22" t="n">
        <v>-6376</v>
      </c>
      <c r="I141" s="22" t="n">
        <v>-10198</v>
      </c>
      <c r="J141" s="22" t="n">
        <v>-17900</v>
      </c>
      <c r="K141" s="22" t="n">
        <v>-17929</v>
      </c>
      <c r="L141" s="22" t="n">
        <v>-17929</v>
      </c>
      <c r="M141" s="22" t="n">
        <v>-18265</v>
      </c>
      <c r="N141" s="22" t="n">
        <v>-6196</v>
      </c>
      <c r="R141" s="22" t="n">
        <v>-16755</v>
      </c>
      <c r="S141" s="22" t="n">
        <v>-229993</v>
      </c>
      <c r="T141" s="22" t="n">
        <v>-7829</v>
      </c>
      <c r="U141" s="22" t="n">
        <v>-6807</v>
      </c>
      <c r="V141" s="22" t="n">
        <v>-7832</v>
      </c>
      <c r="W141" s="22" t="n">
        <v>-10198</v>
      </c>
      <c r="X141" s="22" t="n">
        <v>-18265</v>
      </c>
    </row>
    <row r="142">
      <c r="A142" s="20" t="inlineStr">
        <is>
          <t>Gain On Divestment Of Business And Subsidiaries Ope CF</t>
        </is>
      </c>
      <c r="P142" s="22" t="n">
        <v>41465</v>
      </c>
      <c r="Q142" s="22" t="n">
        <v>-2669</v>
      </c>
      <c r="R142" s="22" t="n">
        <v>399</v>
      </c>
      <c r="S142" s="22" t="n">
        <v>0</v>
      </c>
    </row>
    <row r="143">
      <c r="A143" s="20" t="inlineStr">
        <is>
          <t>Change In Fair Value Of Contingent Consideration Ope CF</t>
        </is>
      </c>
      <c r="P143" s="22" t="n">
        <v>10523</v>
      </c>
      <c r="Q143" s="22" t="n">
        <v>-5966</v>
      </c>
      <c r="R143" s="22" t="n">
        <v>-18387</v>
      </c>
    </row>
    <row r="144">
      <c r="A144" s="20" t="inlineStr">
        <is>
          <t>Change In Fair Value Of Financial Assets And Liabilities Associated With Contingent Consideration Arrangements Net Ope CF</t>
        </is>
      </c>
      <c r="C144" s="22" t="n">
        <v>-150</v>
      </c>
      <c r="D144" s="22" t="n">
        <v>12773</v>
      </c>
      <c r="E144" s="22" t="n">
        <v>20757</v>
      </c>
      <c r="F144" s="22" t="n">
        <v>-12</v>
      </c>
      <c r="G144" s="22" t="n">
        <v>2172</v>
      </c>
      <c r="H144" s="22" t="n">
        <v>2253</v>
      </c>
      <c r="I144" s="22" t="n">
        <v>-602</v>
      </c>
      <c r="J144" s="22" t="n">
        <v>764</v>
      </c>
      <c r="K144" s="22" t="n">
        <v>989</v>
      </c>
      <c r="L144" s="22" t="n">
        <v>1057</v>
      </c>
      <c r="M144" s="22" t="n">
        <v>1006</v>
      </c>
      <c r="N144" s="22" t="n">
        <v>8</v>
      </c>
      <c r="R144" s="22" t="n">
        <v>-18387</v>
      </c>
      <c r="S144" s="22" t="n">
        <v>59277</v>
      </c>
      <c r="T144" s="22" t="n">
        <v>-11195</v>
      </c>
      <c r="U144" s="22" t="n">
        <v>3991</v>
      </c>
      <c r="V144" s="22" t="n">
        <v>20757</v>
      </c>
      <c r="W144" s="22" t="n">
        <v>-602</v>
      </c>
      <c r="X144" s="22" t="n">
        <v>1006</v>
      </c>
    </row>
    <row r="145">
      <c r="A145" s="20" t="inlineStr">
        <is>
          <t>Finance Income And Finance Costs Ope CF</t>
        </is>
      </c>
      <c r="C145" s="22" t="n">
        <v>81783</v>
      </c>
      <c r="D145" s="22" t="n">
        <v>126563</v>
      </c>
      <c r="E145" s="22" t="n">
        <v>167757</v>
      </c>
      <c r="F145" s="22" t="n">
        <v>29014</v>
      </c>
      <c r="G145" s="22" t="n">
        <v>93352</v>
      </c>
      <c r="H145" s="22" t="n">
        <v>131936</v>
      </c>
      <c r="I145" s="22" t="n">
        <v>163516</v>
      </c>
      <c r="J145" s="22" t="n">
        <v>33400</v>
      </c>
      <c r="K145" s="22" t="n">
        <v>72142</v>
      </c>
      <c r="L145" s="22" t="n">
        <v>107898</v>
      </c>
      <c r="M145" s="22" t="n">
        <v>146395</v>
      </c>
      <c r="N145" s="22" t="n">
        <v>39237</v>
      </c>
      <c r="P145" s="22" t="n">
        <v>-7615</v>
      </c>
      <c r="Q145" s="22" t="n">
        <v>66446</v>
      </c>
      <c r="R145" s="22" t="n">
        <v>137175</v>
      </c>
      <c r="S145" s="22" t="n">
        <v>143110</v>
      </c>
      <c r="T145" s="22" t="n">
        <v>142907</v>
      </c>
      <c r="U145" s="22" t="n">
        <v>106785</v>
      </c>
      <c r="V145" s="22" t="n">
        <v>167757</v>
      </c>
      <c r="W145" s="22" t="n">
        <v>163516</v>
      </c>
      <c r="X145" s="22" t="n">
        <v>146395</v>
      </c>
    </row>
    <row r="146">
      <c r="A146" s="20" t="inlineStr">
        <is>
          <t>Share Of Loss Profit Of Investments Accounted For Using Equity Method Ope CF</t>
        </is>
      </c>
      <c r="C146" s="22" t="n">
        <v>-1607</v>
      </c>
      <c r="D146" s="22" t="n">
        <v>-2731</v>
      </c>
      <c r="E146" s="22" t="n">
        <v>-6473</v>
      </c>
      <c r="F146" s="22" t="n">
        <v>712</v>
      </c>
      <c r="G146" s="22" t="n">
        <v>1247</v>
      </c>
      <c r="H146" s="22" t="n">
        <v>3199</v>
      </c>
      <c r="I146" s="22" t="n">
        <v>3986</v>
      </c>
      <c r="J146" s="22" t="n">
        <v>536</v>
      </c>
      <c r="K146" s="22" t="n">
        <v>2615</v>
      </c>
      <c r="L146" s="22" t="n">
        <v>1816</v>
      </c>
      <c r="M146" s="22" t="n">
        <v>2177</v>
      </c>
      <c r="N146" s="22" t="n">
        <v>-538</v>
      </c>
      <c r="P146" s="22" t="n">
        <v>32199</v>
      </c>
      <c r="Q146" s="22" t="n">
        <v>43627</v>
      </c>
      <c r="R146" s="22" t="n">
        <v>23987</v>
      </c>
      <c r="S146" s="22" t="n">
        <v>-76</v>
      </c>
      <c r="T146" s="22" t="n">
        <v>15367</v>
      </c>
      <c r="U146" s="22" t="n">
        <v>8630</v>
      </c>
      <c r="V146" s="22" t="n">
        <v>-6473</v>
      </c>
      <c r="W146" s="22" t="n">
        <v>3986</v>
      </c>
      <c r="X146" s="22" t="n">
        <v>2177</v>
      </c>
    </row>
    <row r="147">
      <c r="A147" s="20" t="inlineStr">
        <is>
          <t>법인소득세 비용</t>
        </is>
      </c>
      <c r="C147" s="22" t="n">
        <v>-2382</v>
      </c>
      <c r="D147" s="22" t="n">
        <v>-46878</v>
      </c>
      <c r="E147" s="22" t="n">
        <v>-91406</v>
      </c>
      <c r="F147" s="22" t="n">
        <v>41304</v>
      </c>
      <c r="G147" s="22" t="n">
        <v>68570</v>
      </c>
      <c r="H147" s="22" t="n">
        <v>71142</v>
      </c>
      <c r="I147" s="22" t="n">
        <v>66941</v>
      </c>
      <c r="J147" s="22" t="n">
        <v>26351</v>
      </c>
      <c r="K147" s="22" t="n">
        <v>66254</v>
      </c>
      <c r="L147" s="22" t="n">
        <v>96385</v>
      </c>
      <c r="M147" s="22" t="n">
        <v>68163</v>
      </c>
      <c r="N147" s="22" t="n">
        <v>49462</v>
      </c>
      <c r="P147" s="22" t="n">
        <v>30497</v>
      </c>
      <c r="Q147" s="22" t="n">
        <v>-7468</v>
      </c>
      <c r="R147" s="22" t="n">
        <v>-105044</v>
      </c>
      <c r="S147" s="22" t="n">
        <v>-9936</v>
      </c>
      <c r="T147" s="22" t="n">
        <v>72405</v>
      </c>
      <c r="U147" s="22" t="n">
        <v>58052</v>
      </c>
      <c r="V147" s="22" t="n">
        <v>-91406</v>
      </c>
      <c r="W147" s="22" t="n">
        <v>66941</v>
      </c>
      <c r="X147" s="22" t="n">
        <v>68163</v>
      </c>
    </row>
    <row r="148">
      <c r="A148" s="20" t="inlineStr">
        <is>
          <t>매출채권 및 기타채권 증감액</t>
        </is>
      </c>
      <c r="C148" s="22" t="n">
        <v>-73081</v>
      </c>
      <c r="D148" s="22" t="n">
        <v>-58793</v>
      </c>
      <c r="E148" s="22" t="n">
        <v>15104</v>
      </c>
      <c r="F148" s="22" t="n">
        <v>-47744</v>
      </c>
      <c r="G148" s="22" t="n">
        <v>-57779</v>
      </c>
      <c r="H148" s="22" t="n">
        <v>-45105</v>
      </c>
      <c r="I148" s="22" t="n">
        <v>-58959</v>
      </c>
      <c r="J148" s="22" t="n">
        <v>48083</v>
      </c>
      <c r="K148" s="22" t="n">
        <v>38286</v>
      </c>
      <c r="L148" s="22" t="n">
        <v>27350</v>
      </c>
      <c r="M148" s="22" t="n">
        <v>-70166</v>
      </c>
      <c r="N148" s="22" t="n">
        <v>-70970</v>
      </c>
      <c r="P148" s="22" t="n">
        <v>-647</v>
      </c>
      <c r="Q148" s="22" t="n">
        <v>-13382</v>
      </c>
      <c r="R148" s="22" t="n">
        <v>-34826</v>
      </c>
      <c r="S148" s="22" t="n">
        <v>-9316</v>
      </c>
      <c r="T148" s="22" t="n">
        <v>127294</v>
      </c>
      <c r="U148" s="22" t="n">
        <v>75127</v>
      </c>
      <c r="V148" s="22" t="n">
        <v>15104</v>
      </c>
      <c r="W148" s="22" t="n">
        <v>-58959</v>
      </c>
      <c r="X148" s="22" t="n">
        <v>-70166</v>
      </c>
    </row>
    <row r="149">
      <c r="A149" s="20" t="inlineStr">
        <is>
          <t>Decrease Increase In Inventories Ope CF</t>
        </is>
      </c>
      <c r="C149" s="22" t="n">
        <v>-77938</v>
      </c>
      <c r="D149" s="22" t="n">
        <v>-128490</v>
      </c>
      <c r="E149" s="22" t="n">
        <v>-115743</v>
      </c>
      <c r="F149" s="22" t="n">
        <v>-10079</v>
      </c>
      <c r="G149" s="22" t="n">
        <v>-51218</v>
      </c>
      <c r="H149" s="22" t="n">
        <v>-29981</v>
      </c>
      <c r="I149" s="22" t="n">
        <v>-34973</v>
      </c>
      <c r="J149" s="22" t="n">
        <v>-13069</v>
      </c>
      <c r="K149" s="22" t="n">
        <v>-42031</v>
      </c>
      <c r="L149" s="22" t="n">
        <v>-79993</v>
      </c>
      <c r="M149" s="22" t="n">
        <v>-61293</v>
      </c>
      <c r="N149" s="22" t="n">
        <v>-33405</v>
      </c>
      <c r="P149" s="22" t="n">
        <v>13719</v>
      </c>
      <c r="Q149" s="22" t="n">
        <v>50717</v>
      </c>
      <c r="R149" s="22" t="n">
        <v>137492</v>
      </c>
      <c r="S149" s="22" t="n">
        <v>25978</v>
      </c>
      <c r="T149" s="22" t="n">
        <v>-46148</v>
      </c>
      <c r="U149" s="22" t="n">
        <v>-79155</v>
      </c>
      <c r="V149" s="22" t="n">
        <v>-115743</v>
      </c>
      <c r="W149" s="22" t="n">
        <v>-34973</v>
      </c>
      <c r="X149" s="22" t="n">
        <v>-61293</v>
      </c>
    </row>
    <row r="150">
      <c r="A150" s="20" t="inlineStr">
        <is>
          <t>Increase Decrease In Trade And Other Payables2Ope CF</t>
        </is>
      </c>
      <c r="C150" s="22" t="n">
        <v>-49679</v>
      </c>
      <c r="D150" s="22" t="n">
        <v>20587</v>
      </c>
      <c r="E150" s="22" t="n">
        <v>-9895</v>
      </c>
      <c r="F150" s="22" t="n">
        <v>-37455</v>
      </c>
      <c r="G150" s="22" t="n">
        <v>-37079</v>
      </c>
      <c r="H150" s="22" t="n">
        <v>-17448</v>
      </c>
      <c r="I150" s="22" t="n">
        <v>-7118</v>
      </c>
      <c r="J150" s="22" t="n">
        <v>-27780</v>
      </c>
      <c r="K150" s="22" t="n">
        <v>-11242</v>
      </c>
      <c r="L150" s="22" t="n">
        <v>-7949</v>
      </c>
      <c r="M150" s="22" t="n">
        <v>-3150</v>
      </c>
      <c r="N150" s="22" t="n">
        <v>-22910</v>
      </c>
      <c r="P150" s="22" t="n">
        <v>6862</v>
      </c>
      <c r="Q150" s="22" t="n">
        <v>-16413</v>
      </c>
      <c r="R150" s="22" t="n">
        <v>-29932</v>
      </c>
      <c r="S150" s="22" t="n">
        <v>36620</v>
      </c>
      <c r="T150" s="22" t="n">
        <v>125157</v>
      </c>
      <c r="U150" s="22" t="n">
        <v>-84804</v>
      </c>
      <c r="V150" s="22" t="n">
        <v>-9895</v>
      </c>
      <c r="W150" s="22" t="n">
        <v>-7118</v>
      </c>
      <c r="X150" s="22" t="n">
        <v>-3150</v>
      </c>
    </row>
    <row r="151">
      <c r="A151" s="20" t="inlineStr">
        <is>
          <t>Increase Decrease In Provisions Ope CF</t>
        </is>
      </c>
      <c r="C151" s="22" t="n">
        <v>17163</v>
      </c>
      <c r="D151" s="22" t="n">
        <v>-138669</v>
      </c>
      <c r="E151" s="22" t="n">
        <v>-126901</v>
      </c>
      <c r="F151" s="22" t="n">
        <v>6120</v>
      </c>
      <c r="G151" s="22" t="n">
        <v>12527</v>
      </c>
      <c r="H151" s="22" t="n">
        <v>39885</v>
      </c>
      <c r="I151" s="22" t="n">
        <v>45166</v>
      </c>
      <c r="J151" s="22" t="n">
        <v>-23404</v>
      </c>
      <c r="K151" s="22" t="n">
        <v>8533</v>
      </c>
      <c r="L151" s="22" t="n">
        <v>-5261</v>
      </c>
      <c r="M151" s="22" t="n">
        <v>13576</v>
      </c>
      <c r="N151" s="22" t="n">
        <v>-19381</v>
      </c>
      <c r="P151" s="22" t="n">
        <v>-6530</v>
      </c>
      <c r="Q151" s="22" t="n">
        <v>47063</v>
      </c>
      <c r="R151" s="22" t="n">
        <v>21938</v>
      </c>
      <c r="S151" s="22" t="n">
        <v>49099</v>
      </c>
      <c r="T151" s="22" t="n">
        <v>-58090</v>
      </c>
      <c r="U151" s="22" t="n">
        <v>31899</v>
      </c>
      <c r="V151" s="22" t="n">
        <v>-126901</v>
      </c>
      <c r="W151" s="22" t="n">
        <v>45166</v>
      </c>
      <c r="X151" s="22" t="n">
        <v>13576</v>
      </c>
    </row>
    <row r="152">
      <c r="A152" s="20" t="inlineStr">
        <is>
          <t>Increase Decrease In Other Financial Liabilities Ope CF</t>
        </is>
      </c>
      <c r="C152" s="22" t="n">
        <v>34178</v>
      </c>
      <c r="D152" s="22" t="n">
        <v>-10014</v>
      </c>
      <c r="E152" s="22" t="n">
        <v>-18568</v>
      </c>
      <c r="F152" s="22" t="n">
        <v>8964</v>
      </c>
      <c r="G152" s="22" t="n">
        <v>-17455</v>
      </c>
      <c r="H152" s="22" t="n">
        <v>-9596</v>
      </c>
      <c r="I152" s="22" t="n">
        <v>-3488</v>
      </c>
      <c r="J152" s="22" t="n">
        <v>-17531</v>
      </c>
      <c r="K152" s="22" t="n">
        <v>-5309</v>
      </c>
      <c r="L152" s="22" t="n">
        <v>14759</v>
      </c>
      <c r="M152" s="22" t="n">
        <v>-81606</v>
      </c>
      <c r="N152" s="22" t="n">
        <v>-34906</v>
      </c>
      <c r="R152" s="22" t="n">
        <v>7158</v>
      </c>
      <c r="S152" s="22" t="n">
        <v>173400</v>
      </c>
      <c r="T152" s="22" t="n">
        <v>-49608</v>
      </c>
      <c r="U152" s="22" t="n">
        <v>31669</v>
      </c>
      <c r="V152" s="22" t="n">
        <v>-18568</v>
      </c>
      <c r="W152" s="22" t="n">
        <v>-3488</v>
      </c>
      <c r="X152" s="22" t="n">
        <v>-81606</v>
      </c>
    </row>
    <row r="153">
      <c r="A153" s="20" t="inlineStr">
        <is>
          <t>Settlement Of Forward Exchange Contracts Net Ope CF</t>
        </is>
      </c>
      <c r="I153" s="22" t="n">
        <v>5945</v>
      </c>
      <c r="J153" s="22" t="n">
        <v>19364</v>
      </c>
      <c r="M153" s="22" t="n">
        <v>129727</v>
      </c>
      <c r="N153" s="22" t="n">
        <v>-4759</v>
      </c>
      <c r="W153" s="22" t="n">
        <v>5945</v>
      </c>
      <c r="X153" s="22" t="n">
        <v>129727</v>
      </c>
    </row>
    <row r="154">
      <c r="A154" s="20" t="inlineStr">
        <is>
          <t>기타(순액)</t>
        </is>
      </c>
      <c r="C154" s="22" t="n">
        <v>-74375</v>
      </c>
      <c r="D154" s="22" t="n">
        <v>-47242</v>
      </c>
      <c r="E154" s="22" t="n">
        <v>-7556</v>
      </c>
      <c r="F154" s="22" t="n">
        <v>-109785</v>
      </c>
      <c r="G154" s="22" t="n">
        <v>-119427</v>
      </c>
      <c r="H154" s="22" t="n">
        <v>-82164</v>
      </c>
      <c r="I154" s="22" t="n">
        <v>-16052</v>
      </c>
      <c r="J154" s="22" t="n">
        <v>-105784</v>
      </c>
      <c r="K154" s="22" t="n">
        <v>-34790</v>
      </c>
      <c r="L154" s="22" t="n">
        <v>14544</v>
      </c>
      <c r="M154" s="22" t="n">
        <v>-47282</v>
      </c>
      <c r="N154" s="22" t="n">
        <v>-79235</v>
      </c>
      <c r="P154" s="22" t="n">
        <v>20809</v>
      </c>
      <c r="Q154" s="22" t="n">
        <v>-73347</v>
      </c>
      <c r="R154" s="22" t="n">
        <v>15362</v>
      </c>
      <c r="S154" s="22" t="n">
        <v>37786</v>
      </c>
      <c r="T154" s="22" t="n">
        <v>41409</v>
      </c>
      <c r="U154" s="22" t="n">
        <v>-88778</v>
      </c>
      <c r="V154" s="22" t="n">
        <v>-7556</v>
      </c>
      <c r="W154" s="22" t="n">
        <v>-16052</v>
      </c>
      <c r="X154" s="22" t="n">
        <v>-47282</v>
      </c>
    </row>
    <row r="155">
      <c r="A155" s="20" t="inlineStr">
        <is>
          <t>Cash Generated From Operations Ope CF</t>
        </is>
      </c>
      <c r="C155" s="22" t="n">
        <v>410234</v>
      </c>
      <c r="D155" s="22" t="n">
        <v>604064</v>
      </c>
      <c r="E155" s="22" t="n">
        <v>918383</v>
      </c>
      <c r="F155" s="22" t="n">
        <v>205805</v>
      </c>
      <c r="G155" s="22" t="n">
        <v>536076</v>
      </c>
      <c r="H155" s="22" t="n">
        <v>937140</v>
      </c>
      <c r="I155" s="22" t="n">
        <v>1207595</v>
      </c>
      <c r="J155" s="22" t="n">
        <v>248418</v>
      </c>
      <c r="K155" s="22" t="n">
        <v>680006</v>
      </c>
      <c r="L155" s="22" t="n">
        <v>1075345</v>
      </c>
      <c r="M155" s="22" t="n">
        <v>1213993</v>
      </c>
      <c r="N155" s="22" t="n">
        <v>141085</v>
      </c>
      <c r="P155" s="22" t="n">
        <v>407737</v>
      </c>
      <c r="Q155" s="22" t="n">
        <v>373388</v>
      </c>
      <c r="R155" s="22" t="n">
        <v>896520</v>
      </c>
      <c r="S155" s="22" t="n">
        <v>1212618</v>
      </c>
      <c r="T155" s="22" t="n">
        <v>1263528</v>
      </c>
      <c r="U155" s="22" t="n">
        <v>1163122</v>
      </c>
      <c r="V155" s="22" t="n">
        <v>918383</v>
      </c>
      <c r="W155" s="22" t="n">
        <v>1207595</v>
      </c>
      <c r="X155" s="22" t="n">
        <v>1213993</v>
      </c>
    </row>
    <row r="156">
      <c r="A156" s="20" t="inlineStr">
        <is>
          <t>Income Taxes Paid Ope CF</t>
        </is>
      </c>
      <c r="C156" s="22" t="n">
        <v>-129040</v>
      </c>
      <c r="D156" s="22" t="n">
        <v>-179298</v>
      </c>
      <c r="E156" s="22" t="n">
        <v>-219941</v>
      </c>
      <c r="F156" s="22" t="n">
        <v>-37811</v>
      </c>
      <c r="G156" s="22" t="n">
        <v>-89081</v>
      </c>
      <c r="H156" s="22" t="n">
        <v>-120349</v>
      </c>
      <c r="I156" s="22" t="n">
        <v>-170589</v>
      </c>
      <c r="J156" s="22" t="n">
        <v>-36653</v>
      </c>
      <c r="K156" s="22" t="n">
        <v>-91891</v>
      </c>
      <c r="L156" s="22" t="n">
        <v>-115928</v>
      </c>
      <c r="M156" s="22" t="n">
        <v>-180405</v>
      </c>
      <c r="N156" s="22" t="n">
        <v>-16900</v>
      </c>
      <c r="P156" s="22" t="n">
        <v>-54874</v>
      </c>
      <c r="Q156" s="22" t="n">
        <v>-51536</v>
      </c>
      <c r="R156" s="22" t="n">
        <v>-234612</v>
      </c>
      <c r="S156" s="22" t="n">
        <v>-235801</v>
      </c>
      <c r="T156" s="22" t="n">
        <v>-147724</v>
      </c>
      <c r="U156" s="22" t="n">
        <v>-198439</v>
      </c>
      <c r="V156" s="22" t="n">
        <v>-219941</v>
      </c>
      <c r="W156" s="22" t="n">
        <v>-170589</v>
      </c>
      <c r="X156" s="22" t="n">
        <v>-180405</v>
      </c>
    </row>
    <row r="157">
      <c r="A157" s="20" t="inlineStr">
        <is>
          <t>Tax Refunds And Interest On Tax Refunds Received Ope CF</t>
        </is>
      </c>
      <c r="C157" s="22" t="n">
        <v>10111</v>
      </c>
      <c r="D157" s="22" t="n">
        <v>12990</v>
      </c>
      <c r="E157" s="22" t="n">
        <v>17902</v>
      </c>
      <c r="F157" s="22" t="n">
        <v>2310</v>
      </c>
      <c r="G157" s="22" t="n">
        <v>4272</v>
      </c>
      <c r="H157" s="22" t="n">
        <v>18231</v>
      </c>
      <c r="I157" s="22" t="n">
        <v>20176</v>
      </c>
      <c r="J157" s="22" t="n">
        <v>3658</v>
      </c>
      <c r="K157" s="22" t="n">
        <v>5535</v>
      </c>
      <c r="L157" s="22" t="n">
        <v>7485</v>
      </c>
      <c r="M157" s="22" t="n">
        <v>7843</v>
      </c>
      <c r="N157" s="22" t="n">
        <v>3438</v>
      </c>
      <c r="P157" s="22" t="n">
        <v>24991</v>
      </c>
      <c r="Q157" s="22" t="n">
        <v>6627</v>
      </c>
      <c r="R157" s="22" t="n">
        <v>7844</v>
      </c>
      <c r="S157" s="22" t="n">
        <v>34114</v>
      </c>
      <c r="T157" s="22" t="n">
        <v>7301</v>
      </c>
      <c r="U157" s="22" t="n">
        <v>12473</v>
      </c>
      <c r="V157" s="22" t="n">
        <v>17902</v>
      </c>
      <c r="W157" s="22" t="n">
        <v>20176</v>
      </c>
      <c r="X157" s="22" t="n">
        <v>7843</v>
      </c>
    </row>
    <row r="158">
      <c r="A158" s="9" t="inlineStr">
        <is>
          <t>영업활동 현금흐름</t>
        </is>
      </c>
      <c r="C158" s="12" t="n">
        <v>291305</v>
      </c>
      <c r="D158" s="12" t="n">
        <v>437756</v>
      </c>
      <c r="E158" s="12" t="n">
        <v>716344</v>
      </c>
      <c r="F158" s="12" t="n">
        <v>170304</v>
      </c>
      <c r="G158" s="12" t="n">
        <v>451267</v>
      </c>
      <c r="H158" s="12" t="n">
        <v>835023</v>
      </c>
      <c r="I158" s="12" t="n">
        <v>1057182</v>
      </c>
      <c r="J158" s="12" t="n">
        <v>215423</v>
      </c>
      <c r="K158" s="12" t="n">
        <v>593651</v>
      </c>
      <c r="L158" s="12" t="n">
        <v>966903</v>
      </c>
      <c r="M158" s="12" t="n">
        <v>1041431</v>
      </c>
      <c r="N158" s="12" t="n">
        <v>127623</v>
      </c>
      <c r="P158" s="12" t="n">
        <v>377854</v>
      </c>
      <c r="Q158" s="12" t="n">
        <v>328479</v>
      </c>
      <c r="R158" s="12" t="n">
        <v>669752</v>
      </c>
      <c r="S158" s="12" t="n">
        <v>1010931</v>
      </c>
      <c r="T158" s="12" t="n">
        <v>1123105</v>
      </c>
      <c r="U158" s="12" t="n">
        <v>977156</v>
      </c>
      <c r="V158" s="12" t="n">
        <v>716344</v>
      </c>
      <c r="W158" s="12" t="n">
        <v>1057182</v>
      </c>
      <c r="X158" s="12" t="n">
        <v>1041431</v>
      </c>
    </row>
    <row r="159">
      <c r="A159" s="20" t="inlineStr">
        <is>
          <t>이자 수취</t>
        </is>
      </c>
      <c r="C159" s="22" t="n">
        <v>5102</v>
      </c>
      <c r="D159" s="22" t="n">
        <v>8245</v>
      </c>
      <c r="E159" s="22" t="n">
        <v>11161</v>
      </c>
      <c r="F159" s="22" t="n">
        <v>4331</v>
      </c>
      <c r="G159" s="22" t="n">
        <v>9198</v>
      </c>
      <c r="H159" s="22" t="n">
        <v>13324</v>
      </c>
      <c r="I159" s="22" t="n">
        <v>17660</v>
      </c>
      <c r="J159" s="22" t="n">
        <v>4850</v>
      </c>
      <c r="K159" s="22" t="n">
        <v>7726</v>
      </c>
      <c r="L159" s="22" t="n">
        <v>12866</v>
      </c>
      <c r="M159" s="22" t="n">
        <v>17359</v>
      </c>
      <c r="N159" s="22" t="n">
        <v>4741</v>
      </c>
      <c r="P159" s="22" t="n">
        <v>2412</v>
      </c>
      <c r="Q159" s="22" t="n">
        <v>6305</v>
      </c>
      <c r="R159" s="22" t="n">
        <v>11487</v>
      </c>
      <c r="S159" s="22" t="n">
        <v>1105</v>
      </c>
      <c r="T159" s="22" t="n">
        <v>2919</v>
      </c>
      <c r="U159" s="22" t="n">
        <v>5054</v>
      </c>
      <c r="V159" s="22" t="n">
        <v>11161</v>
      </c>
      <c r="W159" s="22" t="n">
        <v>17660</v>
      </c>
      <c r="X159" s="22" t="n">
        <v>17359</v>
      </c>
    </row>
    <row r="160">
      <c r="A160" s="20" t="inlineStr">
        <is>
          <t>배당금 수취액</t>
        </is>
      </c>
      <c r="C160" s="22" t="n">
        <v>147</v>
      </c>
      <c r="D160" s="22" t="n">
        <v>531</v>
      </c>
      <c r="E160" s="22" t="n">
        <v>13191</v>
      </c>
      <c r="F160" s="22" t="n">
        <v>206</v>
      </c>
      <c r="G160" s="22" t="n">
        <v>207</v>
      </c>
      <c r="H160" s="22" t="n">
        <v>604</v>
      </c>
      <c r="I160" s="22" t="n">
        <v>635</v>
      </c>
      <c r="J160" s="22" t="n">
        <v>250</v>
      </c>
      <c r="K160" s="22" t="n">
        <v>584</v>
      </c>
      <c r="L160" s="22" t="n">
        <v>656</v>
      </c>
      <c r="M160" s="22" t="n">
        <v>1298</v>
      </c>
      <c r="N160" s="22" t="n">
        <v>225</v>
      </c>
      <c r="P160" s="22" t="n">
        <v>7699</v>
      </c>
      <c r="Q160" s="22" t="n">
        <v>2739</v>
      </c>
      <c r="R160" s="22" t="n">
        <v>1382</v>
      </c>
      <c r="S160" s="22" t="n">
        <v>387</v>
      </c>
      <c r="T160" s="22" t="n">
        <v>3401</v>
      </c>
      <c r="U160" s="22" t="n">
        <v>3562</v>
      </c>
      <c r="V160" s="22" t="n">
        <v>13191</v>
      </c>
      <c r="W160" s="22" t="n">
        <v>635</v>
      </c>
      <c r="X160" s="22" t="n">
        <v>1298</v>
      </c>
    </row>
    <row r="161">
      <c r="A161" s="20" t="inlineStr">
        <is>
          <t>유형자산 취득(설비투자)</t>
        </is>
      </c>
      <c r="C161" s="22" t="n">
        <v>-83804</v>
      </c>
      <c r="D161" s="22" t="n">
        <v>-130884</v>
      </c>
      <c r="E161" s="22" t="n">
        <v>-175420</v>
      </c>
      <c r="F161" s="22" t="n">
        <v>-57441</v>
      </c>
      <c r="G161" s="22" t="n">
        <v>-106914</v>
      </c>
      <c r="H161" s="22" t="n">
        <v>-152002</v>
      </c>
      <c r="I161" s="22" t="n">
        <v>-200795</v>
      </c>
      <c r="J161" s="22" t="n">
        <v>-47913</v>
      </c>
      <c r="K161" s="22" t="n">
        <v>-88008</v>
      </c>
      <c r="L161" s="22" t="n">
        <v>-129641</v>
      </c>
      <c r="M161" s="22" t="n">
        <v>-176003</v>
      </c>
      <c r="N161" s="22" t="n">
        <v>-53811</v>
      </c>
      <c r="P161" s="22" t="n">
        <v>-67005</v>
      </c>
      <c r="Q161" s="22" t="n">
        <v>-77677</v>
      </c>
      <c r="R161" s="22" t="n">
        <v>-127082</v>
      </c>
      <c r="S161" s="22" t="n">
        <v>-111206</v>
      </c>
      <c r="T161" s="22" t="n">
        <v>-123252</v>
      </c>
      <c r="U161" s="22" t="n">
        <v>-140657</v>
      </c>
      <c r="V161" s="22" t="n">
        <v>-175420</v>
      </c>
      <c r="W161" s="22" t="n">
        <v>-200795</v>
      </c>
      <c r="X161" s="22" t="n">
        <v>-176003</v>
      </c>
    </row>
    <row r="162">
      <c r="A162" s="20" t="inlineStr">
        <is>
          <t>유형자산 매각</t>
        </is>
      </c>
      <c r="C162" s="22" t="n">
        <v>8337</v>
      </c>
      <c r="D162" s="22" t="n">
        <v>8604</v>
      </c>
      <c r="E162" s="22" t="n">
        <v>8606</v>
      </c>
      <c r="F162" s="22" t="n">
        <v>9</v>
      </c>
      <c r="G162" s="22" t="n">
        <v>38</v>
      </c>
      <c r="H162" s="22" t="n">
        <v>46</v>
      </c>
      <c r="I162" s="22" t="n">
        <v>78</v>
      </c>
      <c r="J162" s="22" t="n">
        <v>6385</v>
      </c>
      <c r="K162" s="22" t="n">
        <v>6385</v>
      </c>
      <c r="L162" s="22" t="n">
        <v>6400</v>
      </c>
      <c r="M162" s="22" t="n">
        <v>6454</v>
      </c>
      <c r="N162" s="22" t="n">
        <v>1096</v>
      </c>
      <c r="P162" s="22" t="n">
        <v>2965</v>
      </c>
      <c r="Q162" s="22" t="n">
        <v>50717</v>
      </c>
      <c r="R162" s="22" t="n">
        <v>12578</v>
      </c>
      <c r="S162" s="22" t="n">
        <v>46453</v>
      </c>
      <c r="T162" s="22" t="n">
        <v>1815</v>
      </c>
      <c r="U162" s="22" t="n">
        <v>962</v>
      </c>
      <c r="V162" s="22" t="n">
        <v>8606</v>
      </c>
      <c r="W162" s="22" t="n">
        <v>78</v>
      </c>
      <c r="X162" s="22" t="n">
        <v>6454</v>
      </c>
    </row>
    <row r="163">
      <c r="A163" s="20" t="inlineStr">
        <is>
          <t>무형자산 취득 지출</t>
        </is>
      </c>
      <c r="C163" s="22" t="n">
        <v>-255476</v>
      </c>
      <c r="D163" s="22" t="n">
        <v>-285520</v>
      </c>
      <c r="E163" s="22" t="n">
        <v>-305310</v>
      </c>
      <c r="F163" s="22" t="n">
        <v>-80357</v>
      </c>
      <c r="G163" s="22" t="n">
        <v>-91552</v>
      </c>
      <c r="H163" s="22" t="n">
        <v>-103115</v>
      </c>
      <c r="I163" s="22" t="n">
        <v>-147046</v>
      </c>
      <c r="J163" s="22" t="n">
        <v>-27155</v>
      </c>
      <c r="K163" s="22" t="n">
        <v>-39885</v>
      </c>
      <c r="L163" s="22" t="n">
        <v>-218003</v>
      </c>
      <c r="M163" s="22" t="n">
        <v>-234930</v>
      </c>
      <c r="N163" s="22" t="n">
        <v>-49425</v>
      </c>
      <c r="P163" s="22" t="n">
        <v>-61257</v>
      </c>
      <c r="Q163" s="22" t="n">
        <v>-56437</v>
      </c>
      <c r="R163" s="22" t="n">
        <v>-90628</v>
      </c>
      <c r="S163" s="22" t="n">
        <v>-125262</v>
      </c>
      <c r="T163" s="22" t="n">
        <v>-62785</v>
      </c>
      <c r="U163" s="22" t="n">
        <v>-493032</v>
      </c>
      <c r="V163" s="22" t="n">
        <v>-305310</v>
      </c>
      <c r="W163" s="22" t="n">
        <v>-147046</v>
      </c>
      <c r="X163" s="22" t="n">
        <v>-234930</v>
      </c>
    </row>
    <row r="164">
      <c r="A164" s="20" t="inlineStr">
        <is>
          <t>Acquisition Of Option To License Inv CF</t>
        </is>
      </c>
      <c r="C164" s="22" t="n">
        <v>0</v>
      </c>
      <c r="D164" s="22" t="n">
        <v>0</v>
      </c>
      <c r="E164" s="22" t="n">
        <v>0</v>
      </c>
      <c r="F164" s="22" t="n">
        <v>-15693</v>
      </c>
      <c r="G164" s="22" t="n">
        <v>-31784</v>
      </c>
      <c r="H164" s="22" t="n">
        <v>-31784</v>
      </c>
      <c r="I164" s="22" t="n">
        <v>-31784</v>
      </c>
      <c r="J164" s="22" t="n">
        <v>0</v>
      </c>
      <c r="K164" s="22" t="n">
        <v>0</v>
      </c>
      <c r="L164" s="22" t="n">
        <v>-2622</v>
      </c>
      <c r="M164" s="22" t="n">
        <v>-3726</v>
      </c>
      <c r="V164" s="22" t="n">
        <v>0</v>
      </c>
      <c r="W164" s="22" t="n">
        <v>-31784</v>
      </c>
      <c r="X164" s="22" t="n">
        <v>-3726</v>
      </c>
    </row>
    <row r="165">
      <c r="A165" s="20" t="inlineStr">
        <is>
          <t>Purchase Of Investments Inv CF</t>
        </is>
      </c>
      <c r="C165" s="22" t="n">
        <v>-2264</v>
      </c>
      <c r="D165" s="22" t="n">
        <v>-4724</v>
      </c>
      <c r="E165" s="22" t="n">
        <v>-6766</v>
      </c>
      <c r="F165" s="22" t="n">
        <v>-12980</v>
      </c>
      <c r="G165" s="22" t="n">
        <v>-27734</v>
      </c>
      <c r="H165" s="22" t="n">
        <v>-95364</v>
      </c>
      <c r="I165" s="22" t="n">
        <v>-97536</v>
      </c>
      <c r="J165" s="22" t="n">
        <v>-215</v>
      </c>
      <c r="K165" s="22" t="n">
        <v>-229</v>
      </c>
      <c r="L165" s="22" t="n">
        <v>-15157</v>
      </c>
      <c r="M165" s="22" t="n">
        <v>-15895</v>
      </c>
      <c r="N165" s="22" t="n">
        <v>-1122</v>
      </c>
      <c r="P165" s="22" t="n">
        <v>-16883</v>
      </c>
      <c r="Q165" s="22" t="n">
        <v>-17099</v>
      </c>
      <c r="R165" s="22" t="n">
        <v>-7551</v>
      </c>
      <c r="S165" s="22" t="n">
        <v>-12596</v>
      </c>
      <c r="T165" s="22" t="n">
        <v>-8341</v>
      </c>
      <c r="U165" s="22" t="n">
        <v>-10151</v>
      </c>
      <c r="V165" s="22" t="n">
        <v>-6766</v>
      </c>
      <c r="W165" s="22" t="n">
        <v>-97536</v>
      </c>
      <c r="X165" s="22" t="n">
        <v>-15895</v>
      </c>
    </row>
    <row r="166">
      <c r="A166" s="20" t="inlineStr">
        <is>
          <t>Proceeds From Sale Of Investments Inv CF</t>
        </is>
      </c>
      <c r="C166" s="22" t="n">
        <v>631</v>
      </c>
      <c r="D166" s="22" t="n">
        <v>1089</v>
      </c>
      <c r="E166" s="22" t="n">
        <v>8021</v>
      </c>
      <c r="F166" s="22" t="n">
        <v>5317</v>
      </c>
      <c r="G166" s="22" t="n">
        <v>23115</v>
      </c>
      <c r="H166" s="22" t="n">
        <v>26678</v>
      </c>
      <c r="I166" s="22" t="n">
        <v>29442</v>
      </c>
      <c r="J166" s="22" t="n">
        <v>1128</v>
      </c>
      <c r="K166" s="22" t="n">
        <v>4010</v>
      </c>
      <c r="L166" s="22" t="n">
        <v>5570</v>
      </c>
      <c r="M166" s="22" t="n">
        <v>7031</v>
      </c>
      <c r="N166" s="22" t="n">
        <v>375</v>
      </c>
      <c r="P166" s="22" t="n">
        <v>40743</v>
      </c>
      <c r="Q166" s="22" t="n">
        <v>65035</v>
      </c>
      <c r="R166" s="22" t="n">
        <v>49402</v>
      </c>
      <c r="S166" s="22" t="n">
        <v>74604</v>
      </c>
      <c r="T166" s="22" t="n">
        <v>16921</v>
      </c>
      <c r="U166" s="22" t="n">
        <v>22254</v>
      </c>
      <c r="V166" s="22" t="n">
        <v>8021</v>
      </c>
      <c r="W166" s="22" t="n">
        <v>29442</v>
      </c>
      <c r="X166" s="22" t="n">
        <v>7031</v>
      </c>
    </row>
    <row r="167">
      <c r="A167" s="20" t="inlineStr">
        <is>
          <t>Acquisition Of Businesses Net Of Cash And Cash Equivalents Acquired Inv CF</t>
        </is>
      </c>
      <c r="P167" s="22" t="n">
        <v>-28328</v>
      </c>
      <c r="Q167" s="22" t="n">
        <v>-2958686</v>
      </c>
      <c r="R167" s="22" t="n">
        <v>-4890</v>
      </c>
      <c r="S167" s="22" t="n">
        <v>0</v>
      </c>
      <c r="T167" s="22" t="n">
        <v>-49672</v>
      </c>
      <c r="U167" s="22" t="n">
        <v>0</v>
      </c>
    </row>
    <row r="168">
      <c r="A168" s="20" t="inlineStr">
        <is>
          <t>Acquisition Of Shares In Associates Inv CF</t>
        </is>
      </c>
      <c r="E168" s="22" t="n">
        <v>0</v>
      </c>
      <c r="G168" s="22" t="n">
        <v>0</v>
      </c>
      <c r="H168" s="22" t="n">
        <v>0</v>
      </c>
      <c r="I168" s="22" t="n">
        <v>-1004</v>
      </c>
      <c r="K168" s="22" t="n">
        <v>-623</v>
      </c>
      <c r="L168" s="22" t="n">
        <v>-623</v>
      </c>
      <c r="M168" s="22" t="n">
        <v>-623</v>
      </c>
      <c r="V168" s="22" t="n">
        <v>0</v>
      </c>
      <c r="W168" s="22" t="n">
        <v>-1004</v>
      </c>
      <c r="X168" s="22" t="n">
        <v>-623</v>
      </c>
    </row>
    <row r="169">
      <c r="A169" s="20" t="inlineStr">
        <is>
          <t>Proceeds From Sales Of Shares In Associates Inv CF</t>
        </is>
      </c>
      <c r="E169" s="22" t="n">
        <v>0</v>
      </c>
      <c r="G169" s="22" t="n">
        <v>0</v>
      </c>
      <c r="H169" s="22" t="n">
        <v>0</v>
      </c>
      <c r="I169" s="22" t="n">
        <v>57691</v>
      </c>
      <c r="K169" s="22" t="n">
        <v>686</v>
      </c>
      <c r="L169" s="22" t="n">
        <v>880</v>
      </c>
      <c r="M169" s="22" t="n">
        <v>880</v>
      </c>
      <c r="V169" s="22" t="n">
        <v>0</v>
      </c>
      <c r="W169" s="22" t="n">
        <v>57691</v>
      </c>
      <c r="X169" s="22" t="n">
        <v>880</v>
      </c>
    </row>
    <row r="170">
      <c r="A170" s="20" t="inlineStr">
        <is>
          <t>Proceeds From Sales Of Business Net Of Cash And Cash Equivalents Divested Inv CF</t>
        </is>
      </c>
      <c r="C170" s="22" t="n">
        <v>365</v>
      </c>
      <c r="D170" s="22" t="n">
        <v>365</v>
      </c>
      <c r="E170" s="22" t="n">
        <v>19959</v>
      </c>
      <c r="F170" s="22" t="n">
        <v>2941</v>
      </c>
      <c r="G170" s="22" t="n">
        <v>8330</v>
      </c>
      <c r="H170" s="22" t="n">
        <v>9590</v>
      </c>
      <c r="I170" s="22" t="n">
        <v>20556</v>
      </c>
      <c r="J170" s="22" t="n">
        <v>29291</v>
      </c>
      <c r="K170" s="22" t="n">
        <v>29645</v>
      </c>
      <c r="L170" s="22" t="n">
        <v>32810</v>
      </c>
      <c r="M170" s="22" t="n">
        <v>33325</v>
      </c>
      <c r="N170" s="22" t="n">
        <v>10462</v>
      </c>
      <c r="P170" s="22" t="n">
        <v>85080</v>
      </c>
      <c r="Q170" s="22" t="n">
        <v>85131</v>
      </c>
      <c r="R170" s="22" t="n">
        <v>461546</v>
      </c>
      <c r="S170" s="22" t="n">
        <v>530388</v>
      </c>
      <c r="T170" s="22" t="n">
        <v>28196</v>
      </c>
      <c r="U170" s="22" t="n">
        <v>7958</v>
      </c>
      <c r="V170" s="22" t="n">
        <v>19959</v>
      </c>
      <c r="W170" s="22" t="n">
        <v>20556</v>
      </c>
      <c r="X170" s="22" t="n">
        <v>33325</v>
      </c>
    </row>
    <row r="171">
      <c r="A171" s="20" t="inlineStr">
        <is>
          <t>Proceeds From Payments Into Restricted Deposits Inv CF</t>
        </is>
      </c>
      <c r="P171" s="22" t="n">
        <v>-71774</v>
      </c>
      <c r="Q171" s="22" t="n">
        <v>0</v>
      </c>
    </row>
    <row r="172">
      <c r="A172" s="20" t="inlineStr">
        <is>
          <t>Proceeds From Withdrawal Of Restricted Deposits Inv CF</t>
        </is>
      </c>
      <c r="P172" s="22" t="n">
        <v>0</v>
      </c>
      <c r="Q172" s="22" t="n">
        <v>71844</v>
      </c>
      <c r="R172" s="22" t="n">
        <v>0</v>
      </c>
    </row>
    <row r="173">
      <c r="A173" s="20" t="inlineStr">
        <is>
          <t>Payments For The Settlement Of Forward Exchange Contracts Designated As Net Investment Hedges Inv CF</t>
        </is>
      </c>
      <c r="C173" s="22" t="n">
        <v>0</v>
      </c>
      <c r="D173" s="22" t="n">
        <v>0</v>
      </c>
      <c r="E173" s="22" t="n">
        <v>-33300</v>
      </c>
      <c r="F173" s="22" t="n">
        <v>-2999</v>
      </c>
      <c r="G173" s="22" t="n">
        <v>-13990</v>
      </c>
      <c r="H173" s="22" t="n">
        <v>-13933</v>
      </c>
      <c r="I173" s="22" t="n">
        <v>-13847</v>
      </c>
      <c r="J173" s="22" t="n">
        <v>0</v>
      </c>
      <c r="K173" s="22" t="n">
        <v>-1536</v>
      </c>
      <c r="L173" s="22" t="n">
        <v>-1536</v>
      </c>
      <c r="U173" s="22" t="n">
        <v>0</v>
      </c>
      <c r="V173" s="22" t="n">
        <v>-33300</v>
      </c>
      <c r="W173" s="22" t="n">
        <v>-13847</v>
      </c>
    </row>
    <row r="174">
      <c r="A174" s="20" t="inlineStr">
        <is>
          <t>Settlement Of Forward Exchange Contracts Designated As Net Investment Hedges Net Inv CF</t>
        </is>
      </c>
      <c r="I174" s="22" t="n">
        <v>-13847</v>
      </c>
      <c r="M174" s="22" t="n">
        <v>-1536</v>
      </c>
      <c r="W174" s="22" t="n">
        <v>-13847</v>
      </c>
      <c r="X174" s="22" t="n">
        <v>-1536</v>
      </c>
    </row>
    <row r="175">
      <c r="A175" s="20" t="inlineStr">
        <is>
          <t>기타(순액)</t>
        </is>
      </c>
      <c r="C175" s="22" t="n">
        <v>-148</v>
      </c>
      <c r="D175" s="22" t="n">
        <v>-82</v>
      </c>
      <c r="E175" s="22" t="n">
        <v>-4003</v>
      </c>
      <c r="F175" s="22" t="n">
        <v>-28</v>
      </c>
      <c r="G175" s="22" t="n">
        <v>-738</v>
      </c>
      <c r="H175" s="22" t="n">
        <v>-1423</v>
      </c>
      <c r="I175" s="22" t="n">
        <v>-1111</v>
      </c>
      <c r="J175" s="22" t="n">
        <v>186</v>
      </c>
      <c r="K175" s="22" t="n">
        <v>-82</v>
      </c>
      <c r="L175" s="22" t="n">
        <v>-2724</v>
      </c>
      <c r="M175" s="22" t="n">
        <v>-2775</v>
      </c>
      <c r="N175" s="22" t="n">
        <v>-243</v>
      </c>
      <c r="P175" s="22" t="n">
        <v>13006</v>
      </c>
      <c r="Q175" s="22" t="n">
        <v>-7570</v>
      </c>
      <c r="R175" s="22" t="n">
        <v>-14125</v>
      </c>
      <c r="S175" s="22" t="n">
        <v>-10343</v>
      </c>
      <c r="T175" s="22" t="n">
        <v>-7328</v>
      </c>
      <c r="U175" s="22" t="n">
        <v>-3052</v>
      </c>
      <c r="V175" s="22" t="n">
        <v>-4003</v>
      </c>
      <c r="W175" s="22" t="n">
        <v>-1111</v>
      </c>
      <c r="X175" s="22" t="n">
        <v>-2775</v>
      </c>
    </row>
    <row r="176">
      <c r="A176" s="9" t="inlineStr">
        <is>
          <t>투자활동 현금흐름</t>
        </is>
      </c>
      <c r="C176" s="12" t="n">
        <v>-327109</v>
      </c>
      <c r="D176" s="12" t="n">
        <v>-402378</v>
      </c>
      <c r="E176" s="12" t="n">
        <v>-463862</v>
      </c>
      <c r="F176" s="12" t="n">
        <v>-156693</v>
      </c>
      <c r="G176" s="12" t="n">
        <v>-231824</v>
      </c>
      <c r="H176" s="12" t="n">
        <v>-347379</v>
      </c>
      <c r="I176" s="12" t="n">
        <v>-367060</v>
      </c>
      <c r="J176" s="12" t="n">
        <v>-33193</v>
      </c>
      <c r="K176" s="12" t="n">
        <v>-81326</v>
      </c>
      <c r="L176" s="12" t="n">
        <v>-311124</v>
      </c>
      <c r="M176" s="12" t="n">
        <v>-369141</v>
      </c>
      <c r="N176" s="12" t="n">
        <v>-87703</v>
      </c>
      <c r="P176" s="12" t="n">
        <v>-93342</v>
      </c>
      <c r="Q176" s="12" t="n">
        <v>-2835698</v>
      </c>
      <c r="R176" s="12" t="n">
        <v>292119</v>
      </c>
      <c r="S176" s="12" t="n">
        <v>393530</v>
      </c>
      <c r="T176" s="12" t="n">
        <v>-198125</v>
      </c>
      <c r="U176" s="12" t="n">
        <v>-607102</v>
      </c>
      <c r="V176" s="12" t="n">
        <v>-463862</v>
      </c>
      <c r="W176" s="12" t="n">
        <v>-367060</v>
      </c>
      <c r="X176" s="12" t="n">
        <v>-369141</v>
      </c>
    </row>
    <row r="177">
      <c r="A177" s="20" t="inlineStr">
        <is>
          <t>단기차입금 순증감</t>
        </is>
      </c>
      <c r="P177" s="22" t="n">
        <v>-403931</v>
      </c>
      <c r="Q177" s="22" t="n">
        <v>367319</v>
      </c>
      <c r="R177" s="22" t="n">
        <v>-351223</v>
      </c>
    </row>
    <row r="178">
      <c r="A178" s="20" t="inlineStr">
        <is>
          <t>Proceeds From Bonds And Long Term Loans Fin CF</t>
        </is>
      </c>
      <c r="P178" s="22" t="n">
        <v>393453</v>
      </c>
      <c r="Q178" s="22" t="n">
        <v>2795926</v>
      </c>
    </row>
    <row r="179">
      <c r="A179" s="20" t="inlineStr">
        <is>
          <t>Repayment Of Bonds And Long Term Loans Fin CF</t>
        </is>
      </c>
      <c r="P179" s="22" t="n">
        <v>-140000</v>
      </c>
      <c r="Q179" s="22" t="n">
        <v>0</v>
      </c>
    </row>
    <row r="180">
      <c r="A180" s="20" t="inlineStr">
        <is>
          <t>Net Increase Decrease In Short Term Borrowings And Commercial Paper Fin CF</t>
        </is>
      </c>
      <c r="C180" s="22" t="n">
        <v>110000</v>
      </c>
      <c r="D180" s="22" t="n">
        <v>280000</v>
      </c>
      <c r="E180" s="22" t="n">
        <v>277000</v>
      </c>
      <c r="F180" s="22" t="n">
        <v>-17000</v>
      </c>
      <c r="G180" s="22" t="n">
        <v>-317000</v>
      </c>
      <c r="H180" s="22" t="n">
        <v>-317000</v>
      </c>
      <c r="I180" s="22" t="n">
        <v>27490</v>
      </c>
      <c r="J180" s="22" t="n">
        <v>-46032</v>
      </c>
      <c r="K180" s="22" t="n">
        <v>-341780</v>
      </c>
      <c r="L180" s="22" t="n">
        <v>-341780</v>
      </c>
      <c r="M180" s="22" t="n">
        <v>-341780</v>
      </c>
      <c r="N180" s="22" t="n">
        <v>0</v>
      </c>
      <c r="R180" s="22" t="n">
        <v>-351223</v>
      </c>
      <c r="S180" s="22" t="n">
        <v>-149043</v>
      </c>
      <c r="T180" s="22" t="n">
        <v>-2</v>
      </c>
      <c r="U180" s="22" t="n">
        <v>40000</v>
      </c>
      <c r="V180" s="22" t="n">
        <v>277000</v>
      </c>
      <c r="W180" s="22" t="n">
        <v>27490</v>
      </c>
      <c r="X180" s="22" t="n">
        <v>-341780</v>
      </c>
    </row>
    <row r="181">
      <c r="A181" s="20" t="inlineStr">
        <is>
          <t>Proceeds From Issuance Of Bonds And Long Term Borrowings Fin CF</t>
        </is>
      </c>
      <c r="C181" s="22" t="n">
        <v>100000</v>
      </c>
      <c r="D181" s="22" t="n">
        <v>100000</v>
      </c>
      <c r="E181" s="22" t="n">
        <v>100000</v>
      </c>
      <c r="F181" s="22" t="n">
        <v>507638</v>
      </c>
      <c r="G181" s="22" t="n">
        <v>984460</v>
      </c>
      <c r="H181" s="22" t="n">
        <v>1024460</v>
      </c>
      <c r="I181" s="22" t="n">
        <v>1024460</v>
      </c>
      <c r="J181" s="22" t="n">
        <v>183555</v>
      </c>
      <c r="K181" s="22" t="n">
        <v>526060</v>
      </c>
      <c r="L181" s="22" t="n">
        <v>526060</v>
      </c>
      <c r="M181" s="22" t="n">
        <v>586060</v>
      </c>
      <c r="N181" s="22" t="n">
        <v>0</v>
      </c>
      <c r="Q181" s="22" t="n">
        <v>2795926</v>
      </c>
      <c r="R181" s="22" t="n">
        <v>496190</v>
      </c>
      <c r="S181" s="22" t="n">
        <v>1179515</v>
      </c>
      <c r="T181" s="22" t="n">
        <v>249334</v>
      </c>
      <c r="U181" s="22" t="n">
        <v>75000</v>
      </c>
      <c r="V181" s="22" t="n">
        <v>100000</v>
      </c>
      <c r="W181" s="22" t="n">
        <v>1024460</v>
      </c>
      <c r="X181" s="22" t="n">
        <v>586060</v>
      </c>
    </row>
    <row r="182">
      <c r="A182" s="20" t="inlineStr">
        <is>
          <t>Redemption Of Bonds And Repayments Of Long Term Borrowings Fin CF</t>
        </is>
      </c>
      <c r="C182" s="22" t="n">
        <v>-246091</v>
      </c>
      <c r="D182" s="22" t="n">
        <v>-320817</v>
      </c>
      <c r="E182" s="22" t="n">
        <v>-320901</v>
      </c>
      <c r="F182" s="22" t="n">
        <v>-50109</v>
      </c>
      <c r="G182" s="22" t="n">
        <v>-284019</v>
      </c>
      <c r="H182" s="22" t="n">
        <v>-784079</v>
      </c>
      <c r="I182" s="22" t="n">
        <v>-1321090</v>
      </c>
      <c r="J182" s="22" t="n">
        <v>-125296</v>
      </c>
      <c r="K182" s="22" t="n">
        <v>-125385</v>
      </c>
      <c r="L182" s="22" t="n">
        <v>-125408</v>
      </c>
      <c r="M182" s="22" t="n">
        <v>-200432</v>
      </c>
      <c r="N182" s="22" t="n">
        <v>-25</v>
      </c>
      <c r="Q182" s="22" t="n">
        <v>0</v>
      </c>
      <c r="R182" s="22" t="n">
        <v>-701057</v>
      </c>
      <c r="S182" s="22" t="n">
        <v>-1651706</v>
      </c>
      <c r="T182" s="22" t="n">
        <v>-810115</v>
      </c>
      <c r="U182" s="22" t="n">
        <v>-356670</v>
      </c>
      <c r="V182" s="22" t="n">
        <v>-320901</v>
      </c>
      <c r="W182" s="22" t="n">
        <v>-1321090</v>
      </c>
      <c r="X182" s="22" t="n">
        <v>-200432</v>
      </c>
    </row>
    <row r="183">
      <c r="A183" s="20" t="inlineStr">
        <is>
          <t>Payments For Settlement Of Forward Rate Agreement Related To Bonds Fin CF</t>
        </is>
      </c>
      <c r="R183" s="22" t="n">
        <v>0</v>
      </c>
      <c r="S183" s="22" t="n">
        <v>-34830</v>
      </c>
      <c r="T183" s="22" t="n">
        <v>0</v>
      </c>
    </row>
    <row r="184">
      <c r="A184" s="20" t="inlineStr">
        <is>
          <t>Proceeds From The Settlement Of Cross Currency Interest Rate Swaps Related To Bonds Fin CF</t>
        </is>
      </c>
      <c r="C184" s="22" t="n">
        <v>60063</v>
      </c>
      <c r="D184" s="22" t="n">
        <v>60063</v>
      </c>
      <c r="E184" s="22" t="n">
        <v>60063</v>
      </c>
      <c r="U184" s="22" t="n">
        <v>0</v>
      </c>
      <c r="V184" s="22" t="n">
        <v>60063</v>
      </c>
    </row>
    <row r="185">
      <c r="A185" s="20" t="inlineStr">
        <is>
          <t>Proceeds From The Settlement Of Cross Currency Interest Rate Swaps Related To Bonds And Loans Fin CF</t>
        </is>
      </c>
      <c r="C185" s="22" t="n">
        <v>60063</v>
      </c>
      <c r="D185" s="22" t="n">
        <v>60063</v>
      </c>
      <c r="E185" s="22" t="n">
        <v>60063</v>
      </c>
      <c r="F185" s="22" t="n">
        <v>46880</v>
      </c>
      <c r="G185" s="22" t="n">
        <v>46880</v>
      </c>
      <c r="H185" s="22" t="n">
        <v>46880</v>
      </c>
      <c r="I185" s="22" t="n">
        <v>46880</v>
      </c>
      <c r="J185" s="22" t="n">
        <v>0</v>
      </c>
      <c r="K185" s="22" t="n">
        <v>0</v>
      </c>
      <c r="L185" s="22" t="n">
        <v>0</v>
      </c>
      <c r="V185" s="22" t="n">
        <v>60063</v>
      </c>
      <c r="W185" s="22" t="n">
        <v>46880</v>
      </c>
    </row>
    <row r="186">
      <c r="A186" s="20" t="inlineStr">
        <is>
          <t>Settlement Of Cross Currency Interest Swaps Related To Bonds And Loans Fin CF</t>
        </is>
      </c>
      <c r="I186" s="22" t="n">
        <v>46880</v>
      </c>
      <c r="M186" s="22" t="n">
        <v>0</v>
      </c>
      <c r="W186" s="22" t="n">
        <v>46880</v>
      </c>
      <c r="X186" s="22" t="n">
        <v>0</v>
      </c>
    </row>
    <row r="187">
      <c r="A187" s="20" t="inlineStr">
        <is>
          <t>자기주식 취득</t>
        </is>
      </c>
      <c r="C187" s="22" t="n">
        <v>-2326</v>
      </c>
      <c r="D187" s="22" t="n">
        <v>-2326</v>
      </c>
      <c r="E187" s="22" t="n">
        <v>-2326</v>
      </c>
      <c r="F187" s="22" t="n">
        <v>-1882</v>
      </c>
      <c r="G187" s="22" t="n">
        <v>-1882</v>
      </c>
      <c r="H187" s="22" t="n">
        <v>-1882</v>
      </c>
      <c r="I187" s="22" t="n">
        <v>-51860</v>
      </c>
      <c r="J187" s="22" t="n">
        <v>-51603</v>
      </c>
      <c r="K187" s="22" t="n">
        <v>-51603</v>
      </c>
      <c r="L187" s="22" t="n">
        <v>-51603</v>
      </c>
      <c r="M187" s="22" t="n">
        <v>-51603</v>
      </c>
      <c r="N187" s="22" t="n">
        <v>-1007</v>
      </c>
      <c r="P187" s="22" t="n">
        <v>-18756</v>
      </c>
      <c r="Q187" s="22" t="n">
        <v>-1172</v>
      </c>
      <c r="R187" s="22" t="n">
        <v>-3737</v>
      </c>
      <c r="S187" s="22" t="n">
        <v>-2141</v>
      </c>
      <c r="T187" s="22" t="n">
        <v>-77531</v>
      </c>
      <c r="U187" s="22" t="n">
        <v>-26929</v>
      </c>
      <c r="V187" s="22" t="n">
        <v>-2326</v>
      </c>
      <c r="W187" s="22" t="n">
        <v>-51860</v>
      </c>
      <c r="X187" s="22" t="n">
        <v>-51603</v>
      </c>
    </row>
    <row r="188">
      <c r="A188" s="20" t="inlineStr">
        <is>
          <t>이자 지급</t>
        </is>
      </c>
      <c r="C188" s="22" t="n">
        <v>-49711</v>
      </c>
      <c r="D188" s="22" t="n">
        <v>-78685</v>
      </c>
      <c r="E188" s="22" t="n">
        <v>-100375</v>
      </c>
      <c r="F188" s="22" t="n">
        <v>-15466</v>
      </c>
      <c r="G188" s="22" t="n">
        <v>-42298</v>
      </c>
      <c r="H188" s="22" t="n">
        <v>-78106</v>
      </c>
      <c r="I188" s="22" t="n">
        <v>-112984</v>
      </c>
      <c r="J188" s="22" t="n">
        <v>-16692</v>
      </c>
      <c r="K188" s="22" t="n">
        <v>-52296</v>
      </c>
      <c r="L188" s="22" t="n">
        <v>-82082</v>
      </c>
      <c r="M188" s="22" t="n">
        <v>-121380</v>
      </c>
      <c r="N188" s="22" t="n">
        <v>-15576</v>
      </c>
      <c r="P188" s="22" t="n">
        <v>-8365</v>
      </c>
      <c r="Q188" s="22" t="n">
        <v>-34914</v>
      </c>
      <c r="R188" s="22" t="n">
        <v>-127211</v>
      </c>
      <c r="S188" s="22" t="n">
        <v>-107350</v>
      </c>
      <c r="T188" s="22" t="n">
        <v>-108207</v>
      </c>
      <c r="U188" s="22" t="n">
        <v>-108555</v>
      </c>
      <c r="V188" s="22" t="n">
        <v>-100375</v>
      </c>
      <c r="W188" s="22" t="n">
        <v>-112984</v>
      </c>
      <c r="X188" s="22" t="n">
        <v>-121380</v>
      </c>
    </row>
    <row r="189">
      <c r="A189" s="20" t="inlineStr">
        <is>
          <t>배당금 지급</t>
        </is>
      </c>
      <c r="C189" s="22" t="n">
        <v>-139811</v>
      </c>
      <c r="D189" s="22" t="n">
        <v>-278062</v>
      </c>
      <c r="E189" s="22" t="n">
        <v>-287188</v>
      </c>
      <c r="F189" s="22" t="n">
        <v>-138110</v>
      </c>
      <c r="G189" s="22" t="n">
        <v>-147309</v>
      </c>
      <c r="H189" s="22" t="n">
        <v>-292760</v>
      </c>
      <c r="I189" s="22" t="n">
        <v>-302498</v>
      </c>
      <c r="J189" s="22" t="n">
        <v>-145295</v>
      </c>
      <c r="K189" s="22" t="n">
        <v>-154082</v>
      </c>
      <c r="L189" s="22" t="n">
        <v>-303114</v>
      </c>
      <c r="M189" s="22" t="n">
        <v>-311901</v>
      </c>
      <c r="N189" s="22" t="n">
        <v>-150131</v>
      </c>
      <c r="P189" s="22" t="n">
        <v>-141893</v>
      </c>
      <c r="Q189" s="22" t="n">
        <v>-142952</v>
      </c>
      <c r="R189" s="22" t="n">
        <v>-282582</v>
      </c>
      <c r="S189" s="22" t="n">
        <v>-283357</v>
      </c>
      <c r="T189" s="22" t="n">
        <v>-283665</v>
      </c>
      <c r="U189" s="22" t="n">
        <v>-279416</v>
      </c>
      <c r="V189" s="22" t="n">
        <v>-287188</v>
      </c>
      <c r="W189" s="22" t="n">
        <v>-302498</v>
      </c>
      <c r="X189" s="22" t="n">
        <v>-311901</v>
      </c>
    </row>
    <row r="190">
      <c r="A190" s="20" t="inlineStr">
        <is>
          <t>연결범위 변경 없는 자회사 주식 취득</t>
        </is>
      </c>
      <c r="P190" s="22" t="n">
        <v>0</v>
      </c>
      <c r="Q190" s="22" t="n">
        <v>-2392</v>
      </c>
      <c r="R190" s="22" t="n">
        <v>-1700</v>
      </c>
      <c r="S190" s="22" t="n">
        <v>0</v>
      </c>
    </row>
    <row r="191">
      <c r="A191" s="20" t="inlineStr">
        <is>
          <t>Repayments Of Finance Lease Obligations Fin CF</t>
        </is>
      </c>
      <c r="P191" s="22" t="n">
        <v>-2658</v>
      </c>
      <c r="Q191" s="22" t="n">
        <v>-1741</v>
      </c>
      <c r="R191" s="22" t="n">
        <v>-30000</v>
      </c>
    </row>
    <row r="192">
      <c r="A192" s="20" t="inlineStr">
        <is>
          <t>Facility Fees Paid For Loan Agreements Fin CF</t>
        </is>
      </c>
      <c r="P192" s="22" t="n">
        <v>0</v>
      </c>
      <c r="Q192" s="22" t="n">
        <v>-19507</v>
      </c>
      <c r="R192" s="22" t="n">
        <v>0</v>
      </c>
    </row>
    <row r="193">
      <c r="A193" s="20" t="inlineStr">
        <is>
          <t>Repayments Of Lease Obligations Fin CF</t>
        </is>
      </c>
      <c r="C193" s="22" t="n">
        <v>-21613</v>
      </c>
      <c r="D193" s="22" t="n">
        <v>-43394</v>
      </c>
      <c r="E193" s="22" t="n">
        <v>-54586</v>
      </c>
      <c r="F193" s="22" t="n">
        <v>-10916</v>
      </c>
      <c r="G193" s="22" t="n">
        <v>-23375</v>
      </c>
      <c r="H193" s="22" t="n">
        <v>-34193</v>
      </c>
      <c r="I193" s="22" t="n">
        <v>-45174</v>
      </c>
      <c r="J193" s="22" t="n">
        <v>-12205</v>
      </c>
      <c r="K193" s="22" t="n">
        <v>-22318</v>
      </c>
      <c r="L193" s="22" t="n">
        <v>-32181</v>
      </c>
      <c r="M193" s="22" t="n">
        <v>-42772</v>
      </c>
      <c r="N193" s="22" t="n">
        <v>-11262</v>
      </c>
      <c r="R193" s="22" t="n">
        <v>-30000</v>
      </c>
      <c r="S193" s="22" t="n">
        <v>-39270</v>
      </c>
      <c r="T193" s="22" t="n">
        <v>-39694</v>
      </c>
      <c r="U193" s="22" t="n">
        <v>-43401</v>
      </c>
      <c r="V193" s="22" t="n">
        <v>-54586</v>
      </c>
      <c r="W193" s="22" t="n">
        <v>-45174</v>
      </c>
      <c r="X193" s="22" t="n">
        <v>-42772</v>
      </c>
    </row>
    <row r="194">
      <c r="A194" s="20" t="inlineStr">
        <is>
          <t>기타(순액)</t>
        </is>
      </c>
      <c r="C194" s="22" t="n">
        <v>-8943</v>
      </c>
      <c r="D194" s="22" t="n">
        <v>-12971</v>
      </c>
      <c r="E194" s="22" t="n">
        <v>-26102</v>
      </c>
      <c r="F194" s="22" t="n">
        <v>-4654</v>
      </c>
      <c r="G194" s="22" t="n">
        <v>-9120</v>
      </c>
      <c r="H194" s="22" t="n">
        <v>-12953</v>
      </c>
      <c r="I194" s="22" t="n">
        <v>-16647</v>
      </c>
      <c r="J194" s="22" t="n">
        <v>-1332</v>
      </c>
      <c r="K194" s="22" t="n">
        <v>-5476</v>
      </c>
      <c r="L194" s="22" t="n">
        <v>-9219</v>
      </c>
      <c r="M194" s="22" t="n">
        <v>-13011</v>
      </c>
      <c r="N194" s="22" t="n">
        <v>-2347</v>
      </c>
      <c r="P194" s="22" t="n">
        <v>-4076</v>
      </c>
      <c r="Q194" s="22" t="n">
        <v>-14330</v>
      </c>
      <c r="R194" s="22" t="n">
        <v>-3893</v>
      </c>
      <c r="S194" s="22" t="n">
        <v>-172</v>
      </c>
      <c r="T194" s="22" t="n">
        <v>-385</v>
      </c>
      <c r="U194" s="22" t="n">
        <v>-9178</v>
      </c>
      <c r="V194" s="22" t="n">
        <v>-26102</v>
      </c>
      <c r="W194" s="22" t="n">
        <v>-16647</v>
      </c>
      <c r="X194" s="22" t="n">
        <v>-13011</v>
      </c>
    </row>
    <row r="195">
      <c r="A195" s="9" t="inlineStr">
        <is>
          <t>재무활동 현금흐름</t>
        </is>
      </c>
      <c r="C195" s="12" t="n">
        <v>-198433</v>
      </c>
      <c r="D195" s="12" t="n">
        <v>-296193</v>
      </c>
      <c r="E195" s="12" t="n">
        <v>-354416</v>
      </c>
      <c r="F195" s="12" t="n">
        <v>316381</v>
      </c>
      <c r="G195" s="12" t="n">
        <v>206336</v>
      </c>
      <c r="H195" s="12" t="n">
        <v>-449633</v>
      </c>
      <c r="I195" s="12" t="n">
        <v>-751425</v>
      </c>
      <c r="J195" s="12" t="n">
        <v>-214900</v>
      </c>
      <c r="K195" s="12" t="n">
        <v>-226881</v>
      </c>
      <c r="L195" s="12" t="n">
        <v>-419328</v>
      </c>
      <c r="M195" s="12" t="n">
        <v>-496820</v>
      </c>
      <c r="N195" s="12" t="n">
        <v>-180348</v>
      </c>
      <c r="P195" s="12" t="n">
        <v>-326226</v>
      </c>
      <c r="Q195" s="12" t="n">
        <v>2946237</v>
      </c>
      <c r="R195" s="12" t="n">
        <v>-1005213</v>
      </c>
      <c r="S195" s="12" t="n">
        <v>-1088354</v>
      </c>
      <c r="T195" s="12" t="n">
        <v>-1070265</v>
      </c>
      <c r="U195" s="12" t="n">
        <v>-709148</v>
      </c>
      <c r="V195" s="12" t="n">
        <v>-354416</v>
      </c>
      <c r="W195" s="12" t="n">
        <v>-751425</v>
      </c>
      <c r="X195" s="12" t="n">
        <v>-496820</v>
      </c>
    </row>
    <row r="196">
      <c r="A196" s="20" t="inlineStr">
        <is>
          <t>Net Increase Decrease In Cash And Cash Equivalents Before Effect Of Exchange Rate Changes</t>
        </is>
      </c>
      <c r="C196" s="22" t="n">
        <v>-234237</v>
      </c>
      <c r="D196" s="22" t="n">
        <v>-260814</v>
      </c>
      <c r="E196" s="22" t="n">
        <v>-101934</v>
      </c>
      <c r="F196" s="22" t="n">
        <v>329991</v>
      </c>
      <c r="G196" s="22" t="n">
        <v>425779</v>
      </c>
      <c r="H196" s="22" t="n">
        <v>38010</v>
      </c>
      <c r="I196" s="22" t="n">
        <v>-61303</v>
      </c>
      <c r="J196" s="22" t="n">
        <v>-32670</v>
      </c>
      <c r="K196" s="22" t="n">
        <v>285444</v>
      </c>
      <c r="L196" s="22" t="n">
        <v>236451</v>
      </c>
      <c r="M196" s="22" t="n">
        <v>175469</v>
      </c>
      <c r="N196" s="22" t="n">
        <v>-140427</v>
      </c>
      <c r="P196" s="22" t="n">
        <v>-41714</v>
      </c>
      <c r="Q196" s="22" t="n">
        <v>439018</v>
      </c>
      <c r="R196" s="22" t="n">
        <v>-43342</v>
      </c>
      <c r="S196" s="22" t="n">
        <v>316107</v>
      </c>
      <c r="T196" s="22" t="n">
        <v>-145285</v>
      </c>
      <c r="U196" s="22" t="n">
        <v>-339094</v>
      </c>
      <c r="V196" s="22" t="n">
        <v>-101934</v>
      </c>
      <c r="W196" s="22" t="n">
        <v>-61303</v>
      </c>
      <c r="X196" s="22" t="n">
        <v>175469</v>
      </c>
    </row>
    <row r="197">
      <c r="A197" s="20" t="inlineStr">
        <is>
          <t>Cash And Cash Equivalents Reclassified Back From Assets Held For Sale</t>
        </is>
      </c>
      <c r="P197" s="22" t="n">
        <v>21797</v>
      </c>
      <c r="Q197" s="22" t="n">
        <v>451</v>
      </c>
      <c r="R197" s="22" t="n">
        <v>629</v>
      </c>
      <c r="S197" s="22" t="n">
        <v>0</v>
      </c>
    </row>
    <row r="198">
      <c r="A198" s="20" t="inlineStr">
        <is>
          <t>현금성자산 환산차이</t>
        </is>
      </c>
      <c r="C198" s="22" t="n">
        <v>18759</v>
      </c>
      <c r="D198" s="22" t="n">
        <v>15644</v>
      </c>
      <c r="E198" s="22" t="n">
        <v>26204</v>
      </c>
      <c r="F198" s="22" t="n">
        <v>17220</v>
      </c>
      <c r="G198" s="22" t="n">
        <v>-24564</v>
      </c>
      <c r="H198" s="22" t="n">
        <v>-1685</v>
      </c>
      <c r="I198" s="22" t="n">
        <v>-11385</v>
      </c>
      <c r="J198" s="22" t="n">
        <v>-2435</v>
      </c>
      <c r="K198" s="22" t="n">
        <v>10929</v>
      </c>
      <c r="L198" s="22" t="n">
        <v>33373</v>
      </c>
      <c r="M198" s="22" t="n">
        <v>34472</v>
      </c>
      <c r="N198" s="22" t="n">
        <v>6355</v>
      </c>
      <c r="P198" s="22" t="n">
        <v>-4565</v>
      </c>
      <c r="Q198" s="22" t="n">
        <v>-31269</v>
      </c>
      <c r="R198" s="22" t="n">
        <v>-21766</v>
      </c>
      <c r="S198" s="22" t="n">
        <v>12501</v>
      </c>
      <c r="T198" s="22" t="n">
        <v>28758</v>
      </c>
      <c r="U198" s="22" t="n">
        <v>22929</v>
      </c>
      <c r="V198" s="22" t="n">
        <v>26204</v>
      </c>
      <c r="W198" s="22" t="n">
        <v>-11385</v>
      </c>
      <c r="X198" s="22" t="n">
        <v>34472</v>
      </c>
    </row>
    <row r="199">
      <c r="A199" s="20" t="inlineStr">
        <is>
          <t>Transfers To Assets Held For Sale</t>
        </is>
      </c>
      <c r="F199" s="22" t="n">
        <v>-740</v>
      </c>
      <c r="J199" s="22" t="n">
        <v>0</v>
      </c>
      <c r="P199" s="22" t="n">
        <v>-451</v>
      </c>
      <c r="Q199" s="22" t="n">
        <v>-629</v>
      </c>
      <c r="R199" s="22" t="n">
        <v>0</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4502 재무상태표</t>
        </is>
      </c>
    </row>
    <row r="2">
      <c r="A2" s="46"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8" t="inlineStr">
        <is>
          <t>자산</t>
        </is>
      </c>
      <c r="B4" s="18" t="n"/>
      <c r="C4" s="19" t="n"/>
      <c r="D4" s="18" t="n"/>
      <c r="E4" s="18" t="n"/>
      <c r="F4" s="18" t="n"/>
      <c r="G4" s="18" t="n"/>
      <c r="H4" s="19" t="n"/>
      <c r="I4" s="18" t="n"/>
      <c r="J4" s="18" t="n"/>
      <c r="K4" s="18" t="n"/>
      <c r="L4" s="18" t="n"/>
    </row>
    <row r="5">
      <c r="A5" s="9" t="inlineStr">
        <is>
          <t>유동자산</t>
        </is>
      </c>
      <c r="B5" s="10" t="n"/>
      <c r="C5" s="11" t="n">
        <v>2513122</v>
      </c>
      <c r="D5" s="12" t="n">
        <v>2920620</v>
      </c>
      <c r="E5" s="12" t="n">
        <v>3116439</v>
      </c>
      <c r="F5" s="12" t="n">
        <v>3090503</v>
      </c>
      <c r="G5" s="12" t="n">
        <v>3150269</v>
      </c>
      <c r="H5" s="11" t="n">
        <v>2593642</v>
      </c>
      <c r="I5" s="12" t="n">
        <v>2397956</v>
      </c>
      <c r="J5" s="12" t="n">
        <v>2558580</v>
      </c>
      <c r="K5" s="12" t="n">
        <v>2521192</v>
      </c>
      <c r="L5" s="12" t="n">
        <v>3090503</v>
      </c>
    </row>
    <row r="6">
      <c r="A6" s="20" t="inlineStr">
        <is>
          <t>현금및현금성자산</t>
        </is>
      </c>
      <c r="B6" s="10" t="n"/>
      <c r="C6" s="21" t="n">
        <v>350008</v>
      </c>
      <c r="D6" s="22" t="n">
        <v>681486</v>
      </c>
      <c r="E6" s="22" t="n">
        <v>654937</v>
      </c>
      <c r="F6" s="22" t="n">
        <v>595054</v>
      </c>
      <c r="G6" s="22" t="n">
        <v>460982</v>
      </c>
      <c r="H6" s="21" t="n">
        <v>849695</v>
      </c>
      <c r="I6" s="22" t="n">
        <v>533530</v>
      </c>
      <c r="J6" s="22" t="n">
        <v>457800</v>
      </c>
      <c r="K6" s="22" t="n">
        <v>385113</v>
      </c>
      <c r="L6" s="22" t="n">
        <v>595054</v>
      </c>
    </row>
    <row r="7">
      <c r="A7" s="20" t="inlineStr">
        <is>
          <t>단기금융상품</t>
        </is>
      </c>
      <c r="B7" s="10" t="n"/>
      <c r="C7" s="21" t="n">
        <v>69167</v>
      </c>
      <c r="D7" s="22" t="n">
        <v>58192</v>
      </c>
      <c r="E7" s="22" t="n">
        <v>107004</v>
      </c>
      <c r="F7" s="22" t="n">
        <v>41888</v>
      </c>
      <c r="G7" s="22" t="n">
        <v>66600</v>
      </c>
      <c r="H7" s="21" t="n">
        <v>25305</v>
      </c>
      <c r="I7" s="22" t="n">
        <v>20174</v>
      </c>
      <c r="J7" s="22" t="n">
        <v>15089</v>
      </c>
      <c r="K7" s="22" t="n">
        <v>20476</v>
      </c>
      <c r="L7" s="22" t="n">
        <v>41888</v>
      </c>
    </row>
    <row r="8">
      <c r="A8" s="20" t="inlineStr">
        <is>
          <t>매출채권</t>
        </is>
      </c>
      <c r="B8" s="10" t="n"/>
      <c r="C8" s="21" t="n"/>
      <c r="D8" s="22" t="n"/>
      <c r="E8" s="22" t="n"/>
      <c r="F8" s="22" t="n"/>
      <c r="G8" s="22" t="n"/>
      <c r="H8" s="21" t="n"/>
      <c r="I8" s="22" t="n"/>
      <c r="J8" s="22" t="n"/>
      <c r="K8" s="22" t="n"/>
      <c r="L8" s="22" t="n"/>
    </row>
    <row r="9">
      <c r="A9" s="20" t="inlineStr">
        <is>
          <t>재고자산</t>
        </is>
      </c>
      <c r="B9" s="10" t="n"/>
      <c r="C9" s="21" t="n">
        <v>1240676</v>
      </c>
      <c r="D9" s="22" t="n">
        <v>1299486</v>
      </c>
      <c r="E9" s="22" t="n">
        <v>1407192</v>
      </c>
      <c r="F9" s="22" t="n">
        <v>1396620</v>
      </c>
      <c r="G9" s="22" t="n">
        <v>1447259</v>
      </c>
      <c r="H9" s="21" t="n">
        <v>853167</v>
      </c>
      <c r="I9" s="22" t="n">
        <v>986457</v>
      </c>
      <c r="J9" s="22" t="n">
        <v>1209869</v>
      </c>
      <c r="K9" s="22" t="n">
        <v>1217349</v>
      </c>
      <c r="L9" s="22" t="n">
        <v>1396620</v>
      </c>
    </row>
    <row r="10">
      <c r="A10" s="20" t="inlineStr">
        <is>
          <t>기타유동자산</t>
        </is>
      </c>
      <c r="B10" s="10" t="inlineStr">
        <is>
          <t>총계 − 위 항목</t>
        </is>
      </c>
      <c r="C10" s="21">
        <f>IF(OR(C5=""),"",IFERROR(C5-SUM(C6,C7,C8,C9),""))</f>
        <v/>
      </c>
      <c r="D10" s="22">
        <f>IF(OR(D5=""),"",IFERROR(D5-SUM(D6,D7,D8,D9),""))</f>
        <v/>
      </c>
      <c r="E10" s="22">
        <f>IF(OR(E5=""),"",IFERROR(E5-SUM(E6,E7,E8,E9),""))</f>
        <v/>
      </c>
      <c r="F10" s="22">
        <f>IF(OR(F5=""),"",IFERROR(F5-SUM(F6,F7,F8,F9),""))</f>
        <v/>
      </c>
      <c r="G10" s="22">
        <f>IF(OR(G5=""),"",IFERROR(G5-SUM(G6,G7,G8,G9),""))</f>
        <v/>
      </c>
      <c r="H10" s="21">
        <f>IF(OR(H5=""),"",IFERROR(H5-SUM(H6,H7,H8,H9),""))</f>
        <v/>
      </c>
      <c r="I10" s="22">
        <f>IF(OR(I5=""),"",IFERROR(I5-SUM(I6,I7,I8,I9),""))</f>
        <v/>
      </c>
      <c r="J10" s="22">
        <f>IF(OR(J5=""),"",IFERROR(J5-SUM(J6,J7,J8,J9),""))</f>
        <v/>
      </c>
      <c r="K10" s="22">
        <f>IF(OR(K5=""),"",IFERROR(K5-SUM(K6,K7,K8,K9),""))</f>
        <v/>
      </c>
      <c r="L10" s="22">
        <f>IF(OR(L5=""),"",IFERROR(L5-SUM(L6,L7,L8,L9),""))</f>
        <v/>
      </c>
    </row>
    <row r="11">
      <c r="A11" s="9" t="inlineStr">
        <is>
          <t>비유동자산</t>
        </is>
      </c>
      <c r="B11" s="10" t="n"/>
      <c r="C11" s="11" t="n">
        <v>11491416</v>
      </c>
      <c r="D11" s="12" t="n">
        <v>11549679</v>
      </c>
      <c r="E11" s="12" t="n">
        <v>12292334</v>
      </c>
      <c r="F11" s="12" t="n">
        <v>12421004</v>
      </c>
      <c r="G11" s="12" t="n">
        <v>12513001</v>
      </c>
      <c r="H11" s="11" t="n">
        <v>10584376</v>
      </c>
      <c r="I11" s="12" t="n">
        <v>11559794</v>
      </c>
      <c r="J11" s="12" t="n">
        <v>12550212</v>
      </c>
      <c r="K11" s="12" t="n">
        <v>11727152</v>
      </c>
      <c r="L11" s="12" t="n">
        <v>12421004</v>
      </c>
    </row>
    <row r="12">
      <c r="A12" s="20" t="inlineStr">
        <is>
          <t>유형자산</t>
        </is>
      </c>
      <c r="B12" s="10" t="n"/>
      <c r="C12" s="21" t="n">
        <v>1956269</v>
      </c>
      <c r="D12" s="22" t="n">
        <v>1984126</v>
      </c>
      <c r="E12" s="22" t="n">
        <v>2083981</v>
      </c>
      <c r="F12" s="22" t="n">
        <v>2120639</v>
      </c>
      <c r="G12" s="22" t="n">
        <v>2142280</v>
      </c>
      <c r="H12" s="21" t="n">
        <v>1582800</v>
      </c>
      <c r="I12" s="22" t="n">
        <v>1691229</v>
      </c>
      <c r="J12" s="22" t="n">
        <v>1989777</v>
      </c>
      <c r="K12" s="22" t="n">
        <v>1968209</v>
      </c>
      <c r="L12" s="22" t="n">
        <v>2120639</v>
      </c>
    </row>
    <row r="13">
      <c r="A13" s="20" t="inlineStr">
        <is>
          <t>무형자산</t>
        </is>
      </c>
      <c r="B13" s="10" t="n"/>
      <c r="C13" s="21" t="n">
        <v>3422542</v>
      </c>
      <c r="D13" s="22" t="n">
        <v>3299225</v>
      </c>
      <c r="E13" s="22" t="n">
        <v>3515628</v>
      </c>
      <c r="F13" s="22" t="n">
        <v>3419348</v>
      </c>
      <c r="G13" s="22" t="n">
        <v>3391152</v>
      </c>
      <c r="H13" s="21" t="n">
        <v>3818544</v>
      </c>
      <c r="I13" s="22" t="n">
        <v>4269657</v>
      </c>
      <c r="J13" s="22" t="n">
        <v>4274682</v>
      </c>
      <c r="K13" s="22" t="n">
        <v>3631560</v>
      </c>
      <c r="L13" s="22" t="n">
        <v>3419348</v>
      </c>
    </row>
    <row r="14">
      <c r="A14" s="20" t="inlineStr">
        <is>
          <t>투자부동산</t>
        </is>
      </c>
      <c r="B14" s="10" t="n"/>
      <c r="C14" s="21" t="n"/>
      <c r="D14" s="22" t="n"/>
      <c r="E14" s="22" t="n"/>
      <c r="F14" s="22" t="n"/>
      <c r="G14" s="22" t="n"/>
      <c r="H14" s="21" t="n"/>
      <c r="I14" s="22" t="n"/>
      <c r="J14" s="22" t="n"/>
      <c r="K14" s="22" t="n"/>
      <c r="L14" s="22" t="n"/>
    </row>
    <row r="15">
      <c r="A15" s="20" t="inlineStr">
        <is>
          <t>기타비유동자산</t>
        </is>
      </c>
      <c r="B15" s="10" t="inlineStr">
        <is>
          <t>총계 − 위 항목</t>
        </is>
      </c>
      <c r="C15" s="21">
        <f>IF(OR(C11=""),"",IFERROR(C11-SUM(C12,C13,C14),""))</f>
        <v/>
      </c>
      <c r="D15" s="22">
        <f>IF(OR(D11=""),"",IFERROR(D11-SUM(D12,D13,D14),""))</f>
        <v/>
      </c>
      <c r="E15" s="22">
        <f>IF(OR(E11=""),"",IFERROR(E11-SUM(E12,E13,E14),""))</f>
        <v/>
      </c>
      <c r="F15" s="22">
        <f>IF(OR(F11=""),"",IFERROR(F11-SUM(F12,F13,F14),""))</f>
        <v/>
      </c>
      <c r="G15" s="22">
        <f>IF(OR(G11=""),"",IFERROR(G11-SUM(G12,G13,G14),""))</f>
        <v/>
      </c>
      <c r="H15" s="21">
        <f>IF(OR(H11=""),"",IFERROR(H11-SUM(H12,H13,H14),""))</f>
        <v/>
      </c>
      <c r="I15" s="22">
        <f>IF(OR(I11=""),"",IFERROR(I11-SUM(I12,I13,I14),""))</f>
        <v/>
      </c>
      <c r="J15" s="22">
        <f>IF(OR(J11=""),"",IFERROR(J11-SUM(J12,J13,J14),""))</f>
        <v/>
      </c>
      <c r="K15" s="22">
        <f>IF(OR(K11=""),"",IFERROR(K11-SUM(K12,K13,K14),""))</f>
        <v/>
      </c>
      <c r="L15" s="22">
        <f>IF(OR(L11=""),"",IFERROR(L11-SUM(L12,L13,L14),""))</f>
        <v/>
      </c>
    </row>
    <row r="16">
      <c r="A16" s="9" t="inlineStr">
        <is>
          <t>자산총계</t>
        </is>
      </c>
      <c r="B16" s="10" t="n"/>
      <c r="C16" s="11" t="n">
        <v>14004537</v>
      </c>
      <c r="D16" s="12" t="n">
        <v>14470300</v>
      </c>
      <c r="E16" s="12" t="n">
        <v>15408774</v>
      </c>
      <c r="F16" s="12" t="n">
        <v>15511506</v>
      </c>
      <c r="G16" s="12" t="n">
        <v>15663271</v>
      </c>
      <c r="H16" s="11" t="n">
        <v>13178018</v>
      </c>
      <c r="I16" s="12" t="n">
        <v>13957750</v>
      </c>
      <c r="J16" s="12" t="n">
        <v>15108792</v>
      </c>
      <c r="K16" s="12" t="n">
        <v>14248344</v>
      </c>
      <c r="L16" s="12" t="n">
        <v>15511506</v>
      </c>
    </row>
    <row r="17">
      <c r="A17" s="18" t="inlineStr">
        <is>
          <t>부채</t>
        </is>
      </c>
      <c r="B17" s="18" t="n"/>
      <c r="C17" s="19" t="n"/>
      <c r="D17" s="18" t="n"/>
      <c r="E17" s="18" t="n"/>
      <c r="F17" s="18" t="n"/>
      <c r="G17" s="18" t="n"/>
      <c r="H17" s="19" t="n"/>
      <c r="I17" s="18" t="n"/>
      <c r="J17" s="18" t="n"/>
      <c r="K17" s="18" t="n"/>
      <c r="L17" s="18" t="n"/>
    </row>
    <row r="18">
      <c r="A18" s="9" t="inlineStr">
        <is>
          <t>유동부채</t>
        </is>
      </c>
      <c r="B18" s="10" t="n"/>
      <c r="C18" s="11" t="n">
        <v>2169586</v>
      </c>
      <c r="D18" s="12" t="n">
        <v>2139655</v>
      </c>
      <c r="E18" s="12" t="n">
        <v>2610183</v>
      </c>
      <c r="F18" s="12" t="n">
        <v>2832074</v>
      </c>
      <c r="G18" s="12" t="n">
        <v>2764547</v>
      </c>
      <c r="H18" s="11" t="n">
        <v>2145730</v>
      </c>
      <c r="I18" s="12" t="n">
        <v>2481940</v>
      </c>
      <c r="J18" s="12" t="n">
        <v>2313103</v>
      </c>
      <c r="K18" s="12" t="n">
        <v>2506521</v>
      </c>
      <c r="L18" s="12" t="n">
        <v>2832074</v>
      </c>
    </row>
    <row r="19">
      <c r="A19" s="20" t="inlineStr">
        <is>
          <t>매입채무</t>
        </is>
      </c>
      <c r="B19" s="10" t="n"/>
      <c r="C19" s="21" t="n"/>
      <c r="D19" s="22" t="n"/>
      <c r="E19" s="22" t="n"/>
      <c r="F19" s="22" t="n"/>
      <c r="G19" s="22" t="n"/>
      <c r="H19" s="21" t="n"/>
      <c r="I19" s="22" t="n"/>
      <c r="J19" s="22" t="n"/>
      <c r="K19" s="22" t="n"/>
      <c r="L19" s="22" t="n"/>
    </row>
    <row r="20">
      <c r="A20" s="20" t="inlineStr">
        <is>
          <t>단기차입금</t>
        </is>
      </c>
      <c r="B20" s="10" t="n"/>
      <c r="C20" s="21" t="n"/>
      <c r="D20" s="22" t="n"/>
      <c r="E20" s="22" t="n"/>
      <c r="F20" s="22" t="n"/>
      <c r="G20" s="22" t="n"/>
      <c r="H20" s="21" t="n"/>
      <c r="I20" s="22" t="n"/>
      <c r="J20" s="22" t="n"/>
      <c r="K20" s="22" t="n"/>
      <c r="L20" s="22" t="n"/>
    </row>
    <row r="21">
      <c r="A21" s="20" t="inlineStr">
        <is>
          <t>유동성장기부채</t>
        </is>
      </c>
      <c r="B21" s="10" t="n"/>
      <c r="C21" s="21" t="n"/>
      <c r="D21" s="22" t="n"/>
      <c r="E21" s="22" t="n"/>
      <c r="F21" s="22" t="n"/>
      <c r="G21" s="22" t="n"/>
      <c r="H21" s="21" t="n"/>
      <c r="I21" s="22" t="n"/>
      <c r="J21" s="22" t="n"/>
      <c r="K21" s="22" t="n"/>
      <c r="L21" s="22" t="n"/>
    </row>
    <row r="22">
      <c r="A22" s="20" t="inlineStr">
        <is>
          <t>기타유동부채</t>
        </is>
      </c>
      <c r="B22" s="10" t="inlineStr">
        <is>
          <t>총계 − 위 항목</t>
        </is>
      </c>
      <c r="C22" s="21">
        <f>IF(OR(C18=""),"",IFERROR(C18-SUM(C19,C20,C21),""))</f>
        <v/>
      </c>
      <c r="D22" s="22">
        <f>IF(OR(D18=""),"",IFERROR(D18-SUM(D19,D20,D21),""))</f>
        <v/>
      </c>
      <c r="E22" s="22">
        <f>IF(OR(E18=""),"",IFERROR(E18-SUM(E19,E20,E21),""))</f>
        <v/>
      </c>
      <c r="F22" s="22">
        <f>IF(OR(F18=""),"",IFERROR(F18-SUM(F19,F20,F21),""))</f>
        <v/>
      </c>
      <c r="G22" s="22">
        <f>IF(OR(G18=""),"",IFERROR(G18-SUM(G19,G20,G21),""))</f>
        <v/>
      </c>
      <c r="H22" s="21">
        <f>IF(OR(H18=""),"",IFERROR(H18-SUM(H19,H20,H21),""))</f>
        <v/>
      </c>
      <c r="I22" s="22">
        <f>IF(OR(I18=""),"",IFERROR(I18-SUM(I19,I20,I21),""))</f>
        <v/>
      </c>
      <c r="J22" s="22">
        <f>IF(OR(J18=""),"",IFERROR(J18-SUM(J19,J20,J21),""))</f>
        <v/>
      </c>
      <c r="K22" s="22">
        <f>IF(OR(K18=""),"",IFERROR(K18-SUM(K19,K20,K21),""))</f>
        <v/>
      </c>
      <c r="L22" s="22">
        <f>IF(OR(L18=""),"",IFERROR(L18-SUM(L19,L20,L21),""))</f>
        <v/>
      </c>
    </row>
    <row r="23">
      <c r="A23" s="9" t="inlineStr">
        <is>
          <t>비유동부채</t>
        </is>
      </c>
      <c r="B23" s="10" t="n"/>
      <c r="C23" s="11" t="n">
        <v>4968772</v>
      </c>
      <c r="D23" s="12" t="n">
        <v>5198955</v>
      </c>
      <c r="E23" s="12" t="n">
        <v>5154500</v>
      </c>
      <c r="F23" s="12" t="n">
        <v>5248784</v>
      </c>
      <c r="G23" s="12" t="n">
        <v>5339847</v>
      </c>
      <c r="H23" s="11" t="n">
        <v>5348764</v>
      </c>
      <c r="I23" s="12" t="n">
        <v>5121138</v>
      </c>
      <c r="J23" s="12" t="n">
        <v>5521684</v>
      </c>
      <c r="K23" s="12" t="n">
        <v>4805844</v>
      </c>
      <c r="L23" s="12" t="n">
        <v>5248784</v>
      </c>
    </row>
    <row r="24">
      <c r="A24" s="20" t="inlineStr">
        <is>
          <t>장기차입금</t>
        </is>
      </c>
      <c r="B24" s="10" t="n"/>
      <c r="C24" s="21" t="n"/>
      <c r="D24" s="22" t="n"/>
      <c r="E24" s="22" t="n"/>
      <c r="F24" s="22" t="n"/>
      <c r="G24" s="22" t="n"/>
      <c r="H24" s="21" t="n"/>
      <c r="I24" s="22" t="n"/>
      <c r="J24" s="22" t="n"/>
      <c r="K24" s="22" t="n"/>
      <c r="L24" s="22" t="n"/>
    </row>
    <row r="25">
      <c r="A25" s="20" t="inlineStr">
        <is>
          <t>사채</t>
        </is>
      </c>
      <c r="B25" s="10" t="n"/>
      <c r="C25" s="21" t="n">
        <v>4134799</v>
      </c>
      <c r="D25" s="22" t="n">
        <v>4351462</v>
      </c>
      <c r="E25" s="22" t="n">
        <v>4270174</v>
      </c>
      <c r="F25" s="22" t="n">
        <v>4369681</v>
      </c>
      <c r="G25" s="22" t="n">
        <v>4419998</v>
      </c>
      <c r="H25" s="21" t="n">
        <v>4141418</v>
      </c>
      <c r="I25" s="22" t="n">
        <v>4042741</v>
      </c>
      <c r="J25" s="22" t="n">
        <v>4476501</v>
      </c>
      <c r="K25" s="22" t="n">
        <v>3966326</v>
      </c>
      <c r="L25" s="22" t="n">
        <v>4369681</v>
      </c>
    </row>
    <row r="26">
      <c r="A26" s="20" t="inlineStr">
        <is>
          <t>기타비유동부채</t>
        </is>
      </c>
      <c r="B26" s="10" t="inlineStr">
        <is>
          <t>총계 − 위 항목</t>
        </is>
      </c>
      <c r="C26" s="21">
        <f>IF(OR(C23=""),"",IFERROR(C23-SUM(C24,C25),""))</f>
        <v/>
      </c>
      <c r="D26" s="22">
        <f>IF(OR(D23=""),"",IFERROR(D23-SUM(D24,D25),""))</f>
        <v/>
      </c>
      <c r="E26" s="22">
        <f>IF(OR(E23=""),"",IFERROR(E23-SUM(E24,E25),""))</f>
        <v/>
      </c>
      <c r="F26" s="22">
        <f>IF(OR(F23=""),"",IFERROR(F23-SUM(F24,F25),""))</f>
        <v/>
      </c>
      <c r="G26" s="22">
        <f>IF(OR(G23=""),"",IFERROR(G23-SUM(G24,G25),""))</f>
        <v/>
      </c>
      <c r="H26" s="21">
        <f>IF(OR(H23=""),"",IFERROR(H23-SUM(H24,H25),""))</f>
        <v/>
      </c>
      <c r="I26" s="22">
        <f>IF(OR(I23=""),"",IFERROR(I23-SUM(I24,I25),""))</f>
        <v/>
      </c>
      <c r="J26" s="22">
        <f>IF(OR(J23=""),"",IFERROR(J23-SUM(J24,J25),""))</f>
        <v/>
      </c>
      <c r="K26" s="22">
        <f>IF(OR(K23=""),"",IFERROR(K23-SUM(K24,K25),""))</f>
        <v/>
      </c>
      <c r="L26" s="22">
        <f>IF(OR(L23=""),"",IFERROR(L23-SUM(L24,L25),""))</f>
        <v/>
      </c>
    </row>
    <row r="27">
      <c r="A27" s="9" t="inlineStr">
        <is>
          <t>부채총계</t>
        </is>
      </c>
      <c r="B27" s="10" t="n"/>
      <c r="C27" s="11" t="n">
        <v>7138358</v>
      </c>
      <c r="D27" s="12" t="n">
        <v>7338610</v>
      </c>
      <c r="E27" s="12" t="n">
        <v>7764683</v>
      </c>
      <c r="F27" s="12" t="n">
        <v>8080858</v>
      </c>
      <c r="G27" s="12" t="n">
        <v>8104394</v>
      </c>
      <c r="H27" s="11" t="n">
        <v>7494495</v>
      </c>
      <c r="I27" s="12" t="n">
        <v>7603078</v>
      </c>
      <c r="J27" s="12" t="n">
        <v>7834788</v>
      </c>
      <c r="K27" s="12" t="n">
        <v>7312365</v>
      </c>
      <c r="L27" s="12" t="n">
        <v>8080858</v>
      </c>
    </row>
    <row r="28">
      <c r="A28" s="20" t="inlineStr">
        <is>
          <t>총차입금</t>
        </is>
      </c>
      <c r="B28" s="10" t="inlineStr">
        <is>
          <t>단기+유동성장기+장기+사채</t>
        </is>
      </c>
      <c r="C28" s="21">
        <f>SUM(C20,C21,C24,C25)</f>
        <v/>
      </c>
      <c r="D28" s="22">
        <f>SUM(D20,D21,D24,D25)</f>
        <v/>
      </c>
      <c r="E28" s="22">
        <f>SUM(E20,E21,E24,E25)</f>
        <v/>
      </c>
      <c r="F28" s="22">
        <f>SUM(F20,F21,F24,F25)</f>
        <v/>
      </c>
      <c r="G28" s="22">
        <f>SUM(G20,G21,G24,G25)</f>
        <v/>
      </c>
      <c r="H28" s="21">
        <f>SUM(H20,H21,H24,H25)</f>
        <v/>
      </c>
      <c r="I28" s="22">
        <f>SUM(I20,I21,I24,I25)</f>
        <v/>
      </c>
      <c r="J28" s="22">
        <f>SUM(J20,J21,J24,J25)</f>
        <v/>
      </c>
      <c r="K28" s="22">
        <f>SUM(K20,K21,K24,K25)</f>
        <v/>
      </c>
      <c r="L28" s="22">
        <f>SUM(L20,L21,L24,L25)</f>
        <v/>
      </c>
    </row>
    <row r="29">
      <c r="A29" s="20" t="inlineStr">
        <is>
          <t>순차입금</t>
        </is>
      </c>
      <c r="B29" s="10" t="inlineStr">
        <is>
          <t>음수 = 순현금</t>
        </is>
      </c>
      <c r="C29" s="21">
        <f>C28-C6-N(C7)</f>
        <v/>
      </c>
      <c r="D29" s="22">
        <f>D28-D6-N(D7)</f>
        <v/>
      </c>
      <c r="E29" s="22">
        <f>E28-E6-N(E7)</f>
        <v/>
      </c>
      <c r="F29" s="22">
        <f>F28-F6-N(F7)</f>
        <v/>
      </c>
      <c r="G29" s="22">
        <f>G28-G6-N(G7)</f>
        <v/>
      </c>
      <c r="H29" s="21">
        <f>H28-H6-N(H7)</f>
        <v/>
      </c>
      <c r="I29" s="22">
        <f>I28-I6-N(I7)</f>
        <v/>
      </c>
      <c r="J29" s="22">
        <f>J28-J6-N(J7)</f>
        <v/>
      </c>
      <c r="K29" s="22">
        <f>K28-K6-N(K7)</f>
        <v/>
      </c>
      <c r="L29" s="22">
        <f>L28-L6-N(L7)</f>
        <v/>
      </c>
    </row>
    <row r="30">
      <c r="A30" s="18" t="inlineStr">
        <is>
          <t>자본</t>
        </is>
      </c>
      <c r="B30" s="18" t="n"/>
      <c r="C30" s="19" t="n"/>
      <c r="D30" s="18" t="n"/>
      <c r="E30" s="18" t="n"/>
      <c r="F30" s="18" t="n"/>
      <c r="G30" s="18" t="n"/>
      <c r="H30" s="19" t="n"/>
      <c r="I30" s="18" t="n"/>
      <c r="J30" s="18" t="n"/>
      <c r="K30" s="18" t="n"/>
      <c r="L30" s="18" t="n"/>
    </row>
    <row r="31">
      <c r="A31" s="9" t="inlineStr">
        <is>
          <t>지배주주지분</t>
        </is>
      </c>
      <c r="B31" s="10" t="n"/>
      <c r="C31" s="11" t="n">
        <v>6865259</v>
      </c>
      <c r="D31" s="12" t="n">
        <v>7130697</v>
      </c>
      <c r="E31" s="12" t="n">
        <v>7642943</v>
      </c>
      <c r="F31" s="12" t="n">
        <v>7429441</v>
      </c>
      <c r="G31" s="12" t="n">
        <v>7557887</v>
      </c>
      <c r="H31" s="11" t="n">
        <v>5683019</v>
      </c>
      <c r="I31" s="12" t="n">
        <v>6354122</v>
      </c>
      <c r="J31" s="12" t="n">
        <v>7273264</v>
      </c>
      <c r="K31" s="12" t="n">
        <v>6935084</v>
      </c>
      <c r="L31" s="12" t="n">
        <v>7429441</v>
      </c>
    </row>
    <row r="32">
      <c r="A32" s="20" t="inlineStr">
        <is>
          <t>자본금</t>
        </is>
      </c>
      <c r="B32" s="10" t="n"/>
      <c r="C32" s="21" t="n">
        <v>1694711</v>
      </c>
      <c r="D32" s="22" t="n">
        <v>1694759</v>
      </c>
      <c r="E32" s="22" t="n">
        <v>1694763</v>
      </c>
      <c r="F32" s="22" t="n">
        <v>1695277</v>
      </c>
      <c r="G32" s="22" t="n">
        <v>1695376</v>
      </c>
      <c r="H32" s="21" t="n">
        <v>1676263</v>
      </c>
      <c r="I32" s="22" t="n">
        <v>1676345</v>
      </c>
      <c r="J32" s="22" t="n">
        <v>1676596</v>
      </c>
      <c r="K32" s="22" t="n">
        <v>1694685</v>
      </c>
      <c r="L32" s="22" t="n">
        <v>1695277</v>
      </c>
    </row>
    <row r="33">
      <c r="A33" s="20" t="inlineStr">
        <is>
          <t>이익잉여금</t>
        </is>
      </c>
      <c r="B33" s="10" t="n"/>
      <c r="C33" s="21" t="n">
        <v>1156692</v>
      </c>
      <c r="D33" s="22" t="n">
        <v>1148658</v>
      </c>
      <c r="E33" s="22" t="n">
        <v>1095662</v>
      </c>
      <c r="F33" s="22" t="n">
        <v>712381</v>
      </c>
      <c r="G33" s="22" t="n">
        <v>667007</v>
      </c>
      <c r="H33" s="21" t="n">
        <v>1479716</v>
      </c>
      <c r="I33" s="22" t="n">
        <v>1541146</v>
      </c>
      <c r="J33" s="22" t="n">
        <v>1391203</v>
      </c>
      <c r="K33" s="22" t="n">
        <v>1187586</v>
      </c>
      <c r="L33" s="22" t="n">
        <v>712381</v>
      </c>
    </row>
    <row r="34">
      <c r="A34" s="20" t="inlineStr">
        <is>
          <t>비지배지분</t>
        </is>
      </c>
      <c r="B34" s="10" t="n"/>
      <c r="C34" s="21" t="n">
        <v>921</v>
      </c>
      <c r="D34" s="22" t="n">
        <v>992</v>
      </c>
      <c r="E34" s="22" t="n">
        <v>1147</v>
      </c>
      <c r="F34" s="22" t="n">
        <v>1208</v>
      </c>
      <c r="G34" s="22" t="n">
        <v>989</v>
      </c>
      <c r="H34" s="21" t="n">
        <v>504</v>
      </c>
      <c r="I34" s="22" t="n">
        <v>549</v>
      </c>
      <c r="J34" s="22" t="n">
        <v>741</v>
      </c>
      <c r="K34" s="22" t="n">
        <v>895</v>
      </c>
      <c r="L34" s="22" t="n">
        <v>1208</v>
      </c>
    </row>
    <row r="35">
      <c r="A35" s="9" t="inlineStr">
        <is>
          <t>자본총계</t>
        </is>
      </c>
      <c r="B35" s="10" t="n"/>
      <c r="C35" s="11" t="n">
        <v>6866179</v>
      </c>
      <c r="D35" s="12" t="n">
        <v>7131690</v>
      </c>
      <c r="E35" s="12" t="n">
        <v>7644091</v>
      </c>
      <c r="F35" s="12" t="n">
        <v>7430649</v>
      </c>
      <c r="G35" s="12" t="n">
        <v>7558876</v>
      </c>
      <c r="H35" s="11" t="n">
        <v>5683523</v>
      </c>
      <c r="I35" s="12" t="n">
        <v>6354672</v>
      </c>
      <c r="J35" s="12" t="n">
        <v>7274005</v>
      </c>
      <c r="K35" s="12" t="n">
        <v>6935979</v>
      </c>
      <c r="L35" s="12" t="n">
        <v>7430649</v>
      </c>
    </row>
    <row r="36">
      <c r="A36" s="18" t="inlineStr">
        <is>
          <t>현금흐름 요약</t>
        </is>
      </c>
      <c r="B36" s="18" t="inlineStr">
        <is>
          <t>분기 = TTM (있을 때만)</t>
        </is>
      </c>
      <c r="C36" s="19" t="n"/>
      <c r="D36" s="18" t="n"/>
      <c r="E36" s="18" t="n"/>
      <c r="F36" s="18" t="n"/>
      <c r="G36" s="18" t="n"/>
      <c r="H36" s="19" t="n"/>
      <c r="I36" s="18" t="n"/>
      <c r="J36" s="18" t="n"/>
      <c r="K36" s="18" t="n"/>
      <c r="L36" s="18" t="n"/>
    </row>
    <row r="37">
      <c r="A37" s="9" t="inlineStr">
        <is>
          <t>영업활동현금흐름</t>
        </is>
      </c>
      <c r="B37" s="10" t="n"/>
      <c r="C37" s="11" t="n">
        <v>1102301</v>
      </c>
      <c r="D37" s="12" t="n">
        <v>1199566</v>
      </c>
      <c r="E37" s="12" t="n">
        <v>1189062</v>
      </c>
      <c r="F37" s="12" t="n">
        <v>1041431</v>
      </c>
      <c r="G37" s="12" t="n">
        <v>953631</v>
      </c>
      <c r="H37" s="11" t="n">
        <v>1123105</v>
      </c>
      <c r="I37" s="12" t="n">
        <v>977156</v>
      </c>
      <c r="J37" s="12" t="n">
        <v>716344</v>
      </c>
      <c r="K37" s="12" t="n">
        <v>1057182</v>
      </c>
      <c r="L37" s="12" t="n">
        <v>1041431</v>
      </c>
    </row>
    <row r="38">
      <c r="A38" s="20" t="inlineStr">
        <is>
          <t>CAPEX (유·무형 취득)</t>
        </is>
      </c>
      <c r="B38" s="10" t="inlineStr">
        <is>
          <t>양수로 입력</t>
        </is>
      </c>
      <c r="C38" s="21" t="n">
        <v>285111</v>
      </c>
      <c r="D38" s="22" t="n">
        <v>277268</v>
      </c>
      <c r="E38" s="22" t="n">
        <v>440368</v>
      </c>
      <c r="F38" s="22" t="n">
        <v>410933</v>
      </c>
      <c r="G38" s="22" t="n">
        <v>439101</v>
      </c>
      <c r="H38" s="21" t="n">
        <v>186037</v>
      </c>
      <c r="I38" s="22" t="n">
        <v>633689</v>
      </c>
      <c r="J38" s="22" t="n">
        <v>480730</v>
      </c>
      <c r="K38" s="22" t="n">
        <v>347841</v>
      </c>
      <c r="L38" s="22" t="n">
        <v>410933</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20" t="inlineStr">
        <is>
          <t>배당금 지급</t>
        </is>
      </c>
      <c r="B40" s="10" t="inlineStr">
        <is>
          <t>양수로 입력</t>
        </is>
      </c>
      <c r="C40" s="21" t="n">
        <v>309683</v>
      </c>
      <c r="D40" s="22" t="n">
        <v>309271</v>
      </c>
      <c r="E40" s="22" t="n">
        <v>312852</v>
      </c>
      <c r="F40" s="22" t="n">
        <v>311901</v>
      </c>
      <c r="G40" s="22" t="n">
        <v>316737</v>
      </c>
      <c r="H40" s="21" t="n">
        <v>283665</v>
      </c>
      <c r="I40" s="22" t="n">
        <v>279416</v>
      </c>
      <c r="J40" s="22" t="n">
        <v>287188</v>
      </c>
      <c r="K40" s="22" t="n">
        <v>302498</v>
      </c>
      <c r="L40" s="22" t="n">
        <v>311901</v>
      </c>
    </row>
    <row r="41">
      <c r="A41" s="18" t="inlineStr">
        <is>
          <t>주요 재무 비율</t>
        </is>
      </c>
      <c r="B41" s="18" t="inlineStr">
        <is>
          <t>기준 (빨간 글씨 = 미달)</t>
        </is>
      </c>
      <c r="C41" s="19" t="n"/>
      <c r="D41" s="18" t="n"/>
      <c r="E41" s="18" t="n"/>
      <c r="F41" s="18" t="n"/>
      <c r="G41" s="18" t="n"/>
      <c r="H41" s="19" t="n"/>
      <c r="I41" s="18" t="n"/>
      <c r="J41" s="18" t="n"/>
      <c r="K41" s="18" t="n"/>
      <c r="L41" s="18" t="n"/>
    </row>
    <row r="42">
      <c r="A42" s="25" t="inlineStr">
        <is>
          <t>안정성</t>
        </is>
      </c>
      <c r="B42" s="25" t="n"/>
      <c r="C42" s="26" t="n"/>
      <c r="D42" s="25" t="n"/>
      <c r="E42" s="25" t="n"/>
      <c r="F42" s="25" t="n"/>
      <c r="G42" s="25" t="n"/>
      <c r="H42" s="26" t="n"/>
      <c r="I42" s="25" t="n"/>
      <c r="J42" s="25" t="n"/>
      <c r="K42" s="25" t="n"/>
      <c r="L42" s="25" t="n"/>
    </row>
    <row r="43">
      <c r="A43" s="47" t="inlineStr">
        <is>
          <t>부채비율</t>
        </is>
      </c>
      <c r="B43" s="10" t="inlineStr">
        <is>
          <t>100%↓</t>
        </is>
      </c>
      <c r="C43" s="37">
        <f>IF(OR(C27="",C35=""),"",IFERROR(C27/C35,""))</f>
        <v/>
      </c>
      <c r="D43" s="38">
        <f>IF(OR(D27="",D35=""),"",IFERROR(D27/D35,""))</f>
        <v/>
      </c>
      <c r="E43" s="38">
        <f>IF(OR(E27="",E35=""),"",IFERROR(E27/E35,""))</f>
        <v/>
      </c>
      <c r="F43" s="38">
        <f>IF(OR(F27="",F35=""),"",IFERROR(F27/F35,""))</f>
        <v/>
      </c>
      <c r="G43" s="38">
        <f>IF(OR(G27="",G35=""),"",IFERROR(G27/G35,""))</f>
        <v/>
      </c>
      <c r="H43" s="37">
        <f>IF(OR(H27="",H35=""),"",IFERROR(H27/H35,""))</f>
        <v/>
      </c>
      <c r="I43" s="38">
        <f>IF(OR(I27="",I35=""),"",IFERROR(I27/I35,""))</f>
        <v/>
      </c>
      <c r="J43" s="38">
        <f>IF(OR(J27="",J35=""),"",IFERROR(J27/J35,""))</f>
        <v/>
      </c>
      <c r="K43" s="38">
        <f>IF(OR(K27="",K35=""),"",IFERROR(K27/K35,""))</f>
        <v/>
      </c>
      <c r="L43" s="38">
        <f>IF(OR(L27="",L35=""),"",IFERROR(L27/L35,""))</f>
        <v/>
      </c>
    </row>
    <row r="44">
      <c r="A44" s="47" t="inlineStr">
        <is>
          <t>순차입금비율</t>
        </is>
      </c>
      <c r="B44" s="10" t="inlineStr">
        <is>
          <t>0%↓ 순현금</t>
        </is>
      </c>
      <c r="C44" s="37">
        <f>IF(OR(C29="",C35=""),"",IFERROR(C29/C35,""))</f>
        <v/>
      </c>
      <c r="D44" s="38">
        <f>IF(OR(D29="",D35=""),"",IFERROR(D29/D35,""))</f>
        <v/>
      </c>
      <c r="E44" s="38">
        <f>IF(OR(E29="",E35=""),"",IFERROR(E29/E35,""))</f>
        <v/>
      </c>
      <c r="F44" s="38">
        <f>IF(OR(F29="",F35=""),"",IFERROR(F29/F35,""))</f>
        <v/>
      </c>
      <c r="G44" s="38">
        <f>IF(OR(G29="",G35=""),"",IFERROR(G29/G35,""))</f>
        <v/>
      </c>
      <c r="H44" s="37">
        <f>IF(OR(H29="",H35=""),"",IFERROR(H29/H35,""))</f>
        <v/>
      </c>
      <c r="I44" s="38">
        <f>IF(OR(I29="",I35=""),"",IFERROR(I29/I35,""))</f>
        <v/>
      </c>
      <c r="J44" s="38">
        <f>IF(OR(J29="",J35=""),"",IFERROR(J29/J35,""))</f>
        <v/>
      </c>
      <c r="K44" s="38">
        <f>IF(OR(K29="",K35=""),"",IFERROR(K29/K35,""))</f>
        <v/>
      </c>
      <c r="L44" s="38">
        <f>IF(OR(L29="",L35=""),"",IFERROR(L29/L35,""))</f>
        <v/>
      </c>
    </row>
    <row r="45">
      <c r="A45" s="47" t="inlineStr">
        <is>
          <t>자기자본비율</t>
        </is>
      </c>
      <c r="B45" s="10" t="inlineStr">
        <is>
          <t>50%↑</t>
        </is>
      </c>
      <c r="C45" s="37">
        <f>IF(OR(C35="",C16=""),"",IFERROR(C35/C16,""))</f>
        <v/>
      </c>
      <c r="D45" s="38">
        <f>IF(OR(D35="",D16=""),"",IFERROR(D35/D16,""))</f>
        <v/>
      </c>
      <c r="E45" s="38">
        <f>IF(OR(E35="",E16=""),"",IFERROR(E35/E16,""))</f>
        <v/>
      </c>
      <c r="F45" s="38">
        <f>IF(OR(F35="",F16=""),"",IFERROR(F35/F16,""))</f>
        <v/>
      </c>
      <c r="G45" s="38">
        <f>IF(OR(G35="",G16=""),"",IFERROR(G35/G16,""))</f>
        <v/>
      </c>
      <c r="H45" s="37">
        <f>IF(OR(H35="",H16=""),"",IFERROR(H35/H16,""))</f>
        <v/>
      </c>
      <c r="I45" s="38">
        <f>IF(OR(I35="",I16=""),"",IFERROR(I35/I16,""))</f>
        <v/>
      </c>
      <c r="J45" s="38">
        <f>IF(OR(J35="",J16=""),"",IFERROR(J35/J16,""))</f>
        <v/>
      </c>
      <c r="K45" s="38">
        <f>IF(OR(K35="",K16=""),"",IFERROR(K35/K16,""))</f>
        <v/>
      </c>
      <c r="L45" s="38">
        <f>IF(OR(L35="",L16=""),"",IFERROR(L35/L16,""))</f>
        <v/>
      </c>
    </row>
    <row r="46">
      <c r="A46" s="47" t="inlineStr">
        <is>
          <t>유동비율</t>
        </is>
      </c>
      <c r="B46" s="10" t="inlineStr">
        <is>
          <t>150%↑</t>
        </is>
      </c>
      <c r="C46" s="37">
        <f>IF(OR(C5="",C18=""),"",IFERROR(C5/C18,""))</f>
        <v/>
      </c>
      <c r="D46" s="38">
        <f>IF(OR(D5="",D18=""),"",IFERROR(D5/D18,""))</f>
        <v/>
      </c>
      <c r="E46" s="38">
        <f>IF(OR(E5="",E18=""),"",IFERROR(E5/E18,""))</f>
        <v/>
      </c>
      <c r="F46" s="38">
        <f>IF(OR(F5="",F18=""),"",IFERROR(F5/F18,""))</f>
        <v/>
      </c>
      <c r="G46" s="38">
        <f>IF(OR(G5="",G18=""),"",IFERROR(G5/G18,""))</f>
        <v/>
      </c>
      <c r="H46" s="37">
        <f>IF(OR(H5="",H18=""),"",IFERROR(H5/H18,""))</f>
        <v/>
      </c>
      <c r="I46" s="38">
        <f>IF(OR(I5="",I18=""),"",IFERROR(I5/I18,""))</f>
        <v/>
      </c>
      <c r="J46" s="38">
        <f>IF(OR(J5="",J18=""),"",IFERROR(J5/J18,""))</f>
        <v/>
      </c>
      <c r="K46" s="38">
        <f>IF(OR(K5="",K18=""),"",IFERROR(K5/K18,""))</f>
        <v/>
      </c>
      <c r="L46" s="38">
        <f>IF(OR(L5="",L18=""),"",IFERROR(L5/L18,""))</f>
        <v/>
      </c>
    </row>
    <row r="47">
      <c r="A47" s="47" t="inlineStr">
        <is>
          <t>당좌비율</t>
        </is>
      </c>
      <c r="B47" s="10" t="inlineStr">
        <is>
          <t>100%↑</t>
        </is>
      </c>
      <c r="C47" s="37">
        <f>IF(OR(C5="",C18=""),"",IFERROR((C5-N(C9))/C18,""))</f>
        <v/>
      </c>
      <c r="D47" s="38">
        <f>IF(OR(D5="",D18=""),"",IFERROR((D5-N(D9))/D18,""))</f>
        <v/>
      </c>
      <c r="E47" s="38">
        <f>IF(OR(E5="",E18=""),"",IFERROR((E5-N(E9))/E18,""))</f>
        <v/>
      </c>
      <c r="F47" s="38">
        <f>IF(OR(F5="",F18=""),"",IFERROR((F5-N(F9))/F18,""))</f>
        <v/>
      </c>
      <c r="G47" s="38">
        <f>IF(OR(G5="",G18=""),"",IFERROR((G5-N(G9))/G18,""))</f>
        <v/>
      </c>
      <c r="H47" s="37">
        <f>IF(OR(H5="",H18=""),"",IFERROR((H5-N(H9))/H18,""))</f>
        <v/>
      </c>
      <c r="I47" s="38">
        <f>IF(OR(I5="",I18=""),"",IFERROR((I5-N(I9))/I18,""))</f>
        <v/>
      </c>
      <c r="J47" s="38">
        <f>IF(OR(J5="",J18=""),"",IFERROR((J5-N(J9))/J18,""))</f>
        <v/>
      </c>
      <c r="K47" s="38">
        <f>IF(OR(K5="",K18=""),"",IFERROR((K5-N(K9))/K18,""))</f>
        <v/>
      </c>
      <c r="L47" s="38">
        <f>IF(OR(L5="",L18=""),"",IFERROR((L5-N(L9))/L18,""))</f>
        <v/>
      </c>
    </row>
    <row r="48">
      <c r="A48" s="47" t="inlineStr">
        <is>
          <t>이자보상배율</t>
        </is>
      </c>
      <c r="B48" s="10" t="inlineStr">
        <is>
          <t>5x↑ (금융원가 기준)</t>
        </is>
      </c>
      <c r="C48" s="32">
        <f>IFERROR((IF(COUNT('연간'!G19:J19)&lt;4,"",SUM('연간'!G19:J19)))/(IF(COUNT('연간'!G41:J41)&lt;4,"",SUM('연간'!G41:J41))),"")</f>
        <v/>
      </c>
      <c r="D48" s="33">
        <f>IFERROR((IF(COUNT('연간'!H19:K19)&lt;4,"",SUM('연간'!H19:K19)))/(IF(COUNT('연간'!H41:K41)&lt;4,"",SUM('연간'!H41:K41))),"")</f>
        <v/>
      </c>
      <c r="E48" s="33">
        <f>IFERROR((IF(COUNT('연간'!I19:L19)&lt;4,"",SUM('연간'!I19:L19)))/(IF(COUNT('연간'!I41:L41)&lt;4,"",SUM('연간'!I41:L41))),"")</f>
        <v/>
      </c>
      <c r="F48" s="33">
        <f>IFERROR((IF(COUNT('연간'!J19:M19)&lt;4,"",SUM('연간'!J19:M19)))/(IF(COUNT('연간'!J41:M41)&lt;4,"",SUM('연간'!J41:M41))),"")</f>
        <v/>
      </c>
      <c r="G48" s="33">
        <f>IFERROR((IF(COUNT('연간'!K19:N19)&lt;4,"",SUM('연간'!K19:N19)))/(IF(COUNT('연간'!K41:N41)&lt;4,"",SUM('연간'!K41:N41))),"")</f>
        <v/>
      </c>
      <c r="H48" s="32">
        <f>IFERROR(('연간'!T19)/('연간'!T41),"")</f>
        <v/>
      </c>
      <c r="I48" s="33">
        <f>IFERROR(('연간'!U19)/('연간'!U41),"")</f>
        <v/>
      </c>
      <c r="J48" s="33">
        <f>IFERROR(('연간'!V19)/('연간'!V41),"")</f>
        <v/>
      </c>
      <c r="K48" s="33">
        <f>IFERROR(('연간'!W19)/('연간'!W41),"")</f>
        <v/>
      </c>
      <c r="L48" s="33">
        <f>IFERROR(('연간'!X19)/('연간'!X41),"")</f>
        <v/>
      </c>
    </row>
    <row r="49">
      <c r="A49" s="47" t="inlineStr">
        <is>
          <t>차입금 상환연수</t>
        </is>
      </c>
      <c r="B49" s="10" t="inlineStr">
        <is>
          <t>4년↓ (버핏)</t>
        </is>
      </c>
      <c r="C49" s="48">
        <f>IFERROR(IF((IF(COUNT('연간'!G49:J49)&lt;4,"",SUM('연간'!G49:J49)))&lt;=0,"적자",C28/(IF(COUNT('연간'!G49:J49)&lt;4,"",SUM('연간'!G49:J49)))),"")</f>
        <v/>
      </c>
      <c r="D49" s="49">
        <f>IFERROR(IF((IF(COUNT('연간'!H49:K49)&lt;4,"",SUM('연간'!H49:K49)))&lt;=0,"적자",D28/(IF(COUNT('연간'!H49:K49)&lt;4,"",SUM('연간'!H49:K49)))),"")</f>
        <v/>
      </c>
      <c r="E49" s="49">
        <f>IFERROR(IF((IF(COUNT('연간'!I49:L49)&lt;4,"",SUM('연간'!I49:L49)))&lt;=0,"적자",E28/(IF(COUNT('연간'!I49:L49)&lt;4,"",SUM('연간'!I49:L49)))),"")</f>
        <v/>
      </c>
      <c r="F49" s="49">
        <f>IFERROR(IF((IF(COUNT('연간'!J49:M49)&lt;4,"",SUM('연간'!J49:M49)))&lt;=0,"적자",F28/(IF(COUNT('연간'!J49:M49)&lt;4,"",SUM('연간'!J49:M49)))),"")</f>
        <v/>
      </c>
      <c r="G49" s="49">
        <f>IFERROR(IF((IF(COUNT('연간'!K49:N49)&lt;4,"",SUM('연간'!K49:N49)))&lt;=0,"적자",G28/(IF(COUNT('연간'!K49:N49)&lt;4,"",SUM('연간'!K49:N49)))),"")</f>
        <v/>
      </c>
      <c r="H49" s="48">
        <f>IFERROR(IF(('연간'!T49)&lt;=0,"적자",H28/('연간'!T49)),"")</f>
        <v/>
      </c>
      <c r="I49" s="49">
        <f>IFERROR(IF(('연간'!U49)&lt;=0,"적자",I28/('연간'!U49)),"")</f>
        <v/>
      </c>
      <c r="J49" s="49">
        <f>IFERROR(IF(('연간'!V49)&lt;=0,"적자",J28/('연간'!V49)),"")</f>
        <v/>
      </c>
      <c r="K49" s="49">
        <f>IFERROR(IF(('연간'!W49)&lt;=0,"적자",K28/('연간'!W49)),"")</f>
        <v/>
      </c>
      <c r="L49" s="49">
        <f>IFERROR(IF(('연간'!X49)&lt;=0,"적자",L28/('연간'!X49)),"")</f>
        <v/>
      </c>
    </row>
    <row r="50">
      <c r="A50" s="25" t="inlineStr">
        <is>
          <t>수익성</t>
        </is>
      </c>
      <c r="B50" s="25" t="n"/>
      <c r="C50" s="26" t="n"/>
      <c r="D50" s="25" t="n"/>
      <c r="E50" s="25" t="n"/>
      <c r="F50" s="25" t="n"/>
      <c r="G50" s="25" t="n"/>
      <c r="H50" s="26" t="n"/>
      <c r="I50" s="25" t="n"/>
      <c r="J50" s="25" t="n"/>
      <c r="K50" s="25" t="n"/>
      <c r="L50" s="25" t="n"/>
    </row>
    <row r="51">
      <c r="A51" s="47" t="inlineStr">
        <is>
          <t>ROE</t>
        </is>
      </c>
      <c r="B51" s="10" t="inlineStr">
        <is>
          <t>15%↑ (버핏)</t>
        </is>
      </c>
      <c r="C51" s="37">
        <f>IFERROR((IF(COUNT('연간'!G49:J49)&lt;4,"",SUM('연간'!G49:J49)))/C31,"")</f>
        <v/>
      </c>
      <c r="D51" s="38">
        <f>IFERROR((IF(COUNT('연간'!H49:K49)&lt;4,"",SUM('연간'!H49:K49)))/D31,"")</f>
        <v/>
      </c>
      <c r="E51" s="38">
        <f>IFERROR((IF(COUNT('연간'!I49:L49)&lt;4,"",SUM('연간'!I49:L49)))/E31,"")</f>
        <v/>
      </c>
      <c r="F51" s="38">
        <f>IFERROR((IF(COUNT('연간'!J49:M49)&lt;4,"",SUM('연간'!J49:M49)))/F31,"")</f>
        <v/>
      </c>
      <c r="G51" s="38">
        <f>IFERROR((IF(COUNT('연간'!K49:N49)&lt;4,"",SUM('연간'!K49:N49)))/G31,"")</f>
        <v/>
      </c>
      <c r="H51" s="37">
        <f>IFERROR(('연간'!T49)/H31,"")</f>
        <v/>
      </c>
      <c r="I51" s="38">
        <f>IFERROR(('연간'!U49)/I31,"")</f>
        <v/>
      </c>
      <c r="J51" s="38">
        <f>IFERROR(('연간'!V49)/J31,"")</f>
        <v/>
      </c>
      <c r="K51" s="38">
        <f>IFERROR(('연간'!W49)/K31,"")</f>
        <v/>
      </c>
      <c r="L51" s="38">
        <f>IFERROR(('연간'!X49)/L31,"")</f>
        <v/>
      </c>
    </row>
    <row r="52">
      <c r="A52" s="47" t="inlineStr">
        <is>
          <t>ROA</t>
        </is>
      </c>
      <c r="B52" s="10" t="inlineStr">
        <is>
          <t>5%↑</t>
        </is>
      </c>
      <c r="C52" s="37">
        <f>IFERROR((IF(COUNT('연간'!G47:J47)&lt;4,"",SUM('연간'!G47:J47)))/C16,"")</f>
        <v/>
      </c>
      <c r="D52" s="38">
        <f>IFERROR((IF(COUNT('연간'!H47:K47)&lt;4,"",SUM('연간'!H47:K47)))/D16,"")</f>
        <v/>
      </c>
      <c r="E52" s="38">
        <f>IFERROR((IF(COUNT('연간'!I47:L47)&lt;4,"",SUM('연간'!I47:L47)))/E16,"")</f>
        <v/>
      </c>
      <c r="F52" s="38">
        <f>IFERROR((IF(COUNT('연간'!J47:M47)&lt;4,"",SUM('연간'!J47:M47)))/F16,"")</f>
        <v/>
      </c>
      <c r="G52" s="38">
        <f>IFERROR((IF(COUNT('연간'!K47:N47)&lt;4,"",SUM('연간'!K47:N47)))/G16,"")</f>
        <v/>
      </c>
      <c r="H52" s="37">
        <f>IFERROR(('연간'!T47)/H16,"")</f>
        <v/>
      </c>
      <c r="I52" s="38">
        <f>IFERROR(('연간'!U47)/I16,"")</f>
        <v/>
      </c>
      <c r="J52" s="38">
        <f>IFERROR(('연간'!V47)/J16,"")</f>
        <v/>
      </c>
      <c r="K52" s="38">
        <f>IFERROR(('연간'!W47)/K16,"")</f>
        <v/>
      </c>
      <c r="L52" s="38">
        <f>IFERROR(('연간'!X47)/L16,"")</f>
        <v/>
      </c>
    </row>
    <row r="53">
      <c r="A53" s="47" t="inlineStr">
        <is>
          <t>ROIC</t>
        </is>
      </c>
      <c r="B53" s="10" t="inlineStr">
        <is>
          <t>10%↑ (세후영업이익 기준)</t>
        </is>
      </c>
      <c r="C53" s="37">
        <f>IFERROR((IF(COUNT('연간'!G19:J19)&lt;4,"",SUM('연간'!G19:J19)))*(1-0.3)/(C35+C29),"")</f>
        <v/>
      </c>
      <c r="D53" s="38">
        <f>IFERROR((IF(COUNT('연간'!H19:K19)&lt;4,"",SUM('연간'!H19:K19)))*(1-0.3)/(D35+D29),"")</f>
        <v/>
      </c>
      <c r="E53" s="38">
        <f>IFERROR((IF(COUNT('연간'!I19:L19)&lt;4,"",SUM('연간'!I19:L19)))*(1-0.3)/(E35+E29),"")</f>
        <v/>
      </c>
      <c r="F53" s="38">
        <f>IFERROR((IF(COUNT('연간'!J19:M19)&lt;4,"",SUM('연간'!J19:M19)))*(1-0.3)/(F35+F29),"")</f>
        <v/>
      </c>
      <c r="G53" s="38">
        <f>IFERROR((IF(COUNT('연간'!K19:N19)&lt;4,"",SUM('연간'!K19:N19)))*(1-0.3)/(G35+G29),"")</f>
        <v/>
      </c>
      <c r="H53" s="37">
        <f>IFERROR(('연간'!T19)*(1-0.3)/(H35+H29),"")</f>
        <v/>
      </c>
      <c r="I53" s="38">
        <f>IFERROR(('연간'!U19)*(1-0.3)/(I35+I29),"")</f>
        <v/>
      </c>
      <c r="J53" s="38">
        <f>IFERROR(('연간'!V19)*(1-0.3)/(J35+J29),"")</f>
        <v/>
      </c>
      <c r="K53" s="38">
        <f>IFERROR(('연간'!W19)*(1-0.3)/(K35+K29),"")</f>
        <v/>
      </c>
      <c r="L53" s="38">
        <f>IFERROR(('연간'!X19)*(1-0.3)/(L35+L29),"")</f>
        <v/>
      </c>
    </row>
    <row r="54">
      <c r="A54" s="47" t="inlineStr">
        <is>
          <t>매출총이익률 (GPM)</t>
        </is>
      </c>
      <c r="B54" s="10" t="inlineStr">
        <is>
          <t>40%↑ (해자 신호)</t>
        </is>
      </c>
      <c r="C54" s="37">
        <f>IFERROR((IF(COUNT('연간'!G13:J13)&lt;4,"",SUM('연간'!G13:J13)))/(IF(COUNT('연간'!G4:J4)&lt;4,"",SUM('연간'!G4:J4))),"")</f>
        <v/>
      </c>
      <c r="D54" s="38">
        <f>IFERROR((IF(COUNT('연간'!H13:K13)&lt;4,"",SUM('연간'!H13:K13)))/(IF(COUNT('연간'!H4:K4)&lt;4,"",SUM('연간'!H4:K4))),"")</f>
        <v/>
      </c>
      <c r="E54" s="38">
        <f>IFERROR((IF(COUNT('연간'!I13:L13)&lt;4,"",SUM('연간'!I13:L13)))/(IF(COUNT('연간'!I4:L4)&lt;4,"",SUM('연간'!I4:L4))),"")</f>
        <v/>
      </c>
      <c r="F54" s="38">
        <f>IFERROR((IF(COUNT('연간'!J13:M13)&lt;4,"",SUM('연간'!J13:M13)))/(IF(COUNT('연간'!J4:M4)&lt;4,"",SUM('연간'!J4:M4))),"")</f>
        <v/>
      </c>
      <c r="G54" s="38">
        <f>IFERROR((IF(COUNT('연간'!K13:N13)&lt;4,"",SUM('연간'!K13:N13)))/(IF(COUNT('연간'!K4:N4)&lt;4,"",SUM('연간'!K4:N4))),"")</f>
        <v/>
      </c>
      <c r="H54" s="37">
        <f>IFERROR(('연간'!T13)/('연간'!T4),"")</f>
        <v/>
      </c>
      <c r="I54" s="38">
        <f>IFERROR(('연간'!U13)/('연간'!U4),"")</f>
        <v/>
      </c>
      <c r="J54" s="38">
        <f>IFERROR(('연간'!V13)/('연간'!V4),"")</f>
        <v/>
      </c>
      <c r="K54" s="38">
        <f>IFERROR(('연간'!W13)/('연간'!W4),"")</f>
        <v/>
      </c>
      <c r="L54" s="38">
        <f>IFERROR(('연간'!X13)/('연간'!X4),"")</f>
        <v/>
      </c>
    </row>
    <row r="55">
      <c r="A55" s="47" t="inlineStr">
        <is>
          <t>영업이익률 (OPM)</t>
        </is>
      </c>
      <c r="B55" s="10" t="inlineStr">
        <is>
          <t>15%↑</t>
        </is>
      </c>
      <c r="C55" s="37">
        <f>IFERROR((IF(COUNT('연간'!G19:J19)&lt;4,"",SUM('연간'!G19:J19)))/(IF(COUNT('연간'!G4:J4)&lt;4,"",SUM('연간'!G4:J4))),"")</f>
        <v/>
      </c>
      <c r="D55" s="38">
        <f>IFERROR((IF(COUNT('연간'!H19:K19)&lt;4,"",SUM('연간'!H19:K19)))/(IF(COUNT('연간'!H4:K4)&lt;4,"",SUM('연간'!H4:K4))),"")</f>
        <v/>
      </c>
      <c r="E55" s="38">
        <f>IFERROR((IF(COUNT('연간'!I19:L19)&lt;4,"",SUM('연간'!I19:L19)))/(IF(COUNT('연간'!I4:L4)&lt;4,"",SUM('연간'!I4:L4))),"")</f>
        <v/>
      </c>
      <c r="F55" s="38">
        <f>IFERROR((IF(COUNT('연간'!J19:M19)&lt;4,"",SUM('연간'!J19:M19)))/(IF(COUNT('연간'!J4:M4)&lt;4,"",SUM('연간'!J4:M4))),"")</f>
        <v/>
      </c>
      <c r="G55" s="38">
        <f>IFERROR((IF(COUNT('연간'!K19:N19)&lt;4,"",SUM('연간'!K19:N19)))/(IF(COUNT('연간'!K4:N4)&lt;4,"",SUM('연간'!K4:N4))),"")</f>
        <v/>
      </c>
      <c r="H55" s="37">
        <f>IFERROR(('연간'!T19)/('연간'!T4),"")</f>
        <v/>
      </c>
      <c r="I55" s="38">
        <f>IFERROR(('연간'!U19)/('연간'!U4),"")</f>
        <v/>
      </c>
      <c r="J55" s="38">
        <f>IFERROR(('연간'!V19)/('연간'!V4),"")</f>
        <v/>
      </c>
      <c r="K55" s="38">
        <f>IFERROR(('연간'!W19)/('연간'!W4),"")</f>
        <v/>
      </c>
      <c r="L55" s="38">
        <f>IFERROR(('연간'!X19)/('연간'!X4),"")</f>
        <v/>
      </c>
    </row>
    <row r="56">
      <c r="A56" s="47" t="inlineStr">
        <is>
          <t>순이익률</t>
        </is>
      </c>
      <c r="B56" s="10" t="inlineStr">
        <is>
          <t>10%↑</t>
        </is>
      </c>
      <c r="C56" s="37">
        <f>IFERROR((IF(COUNT('연간'!G47:J47)&lt;4,"",SUM('연간'!G47:J47)))/(IF(COUNT('연간'!G4:J4)&lt;4,"",SUM('연간'!G4:J4))),"")</f>
        <v/>
      </c>
      <c r="D56" s="38">
        <f>IFERROR((IF(COUNT('연간'!H47:K47)&lt;4,"",SUM('연간'!H47:K47)))/(IF(COUNT('연간'!H4:K4)&lt;4,"",SUM('연간'!H4:K4))),"")</f>
        <v/>
      </c>
      <c r="E56" s="38">
        <f>IFERROR((IF(COUNT('연간'!I47:L47)&lt;4,"",SUM('연간'!I47:L47)))/(IF(COUNT('연간'!I4:L4)&lt;4,"",SUM('연간'!I4:L4))),"")</f>
        <v/>
      </c>
      <c r="F56" s="38">
        <f>IFERROR((IF(COUNT('연간'!J47:M47)&lt;4,"",SUM('연간'!J47:M47)))/(IF(COUNT('연간'!J4:M4)&lt;4,"",SUM('연간'!J4:M4))),"")</f>
        <v/>
      </c>
      <c r="G56" s="38">
        <f>IFERROR((IF(COUNT('연간'!K47:N47)&lt;4,"",SUM('연간'!K47:N47)))/(IF(COUNT('연간'!K4:N4)&lt;4,"",SUM('연간'!K4:N4))),"")</f>
        <v/>
      </c>
      <c r="H56" s="37">
        <f>IFERROR(('연간'!T47)/('연간'!T4),"")</f>
        <v/>
      </c>
      <c r="I56" s="38">
        <f>IFERROR(('연간'!U47)/('연간'!U4),"")</f>
        <v/>
      </c>
      <c r="J56" s="38">
        <f>IFERROR(('연간'!V47)/('연간'!V4),"")</f>
        <v/>
      </c>
      <c r="K56" s="38">
        <f>IFERROR(('연간'!W47)/('연간'!W4),"")</f>
        <v/>
      </c>
      <c r="L56" s="38">
        <f>IFERROR(('연간'!X47)/('연간'!X4),"")</f>
        <v/>
      </c>
    </row>
    <row r="57">
      <c r="A57" s="25" t="inlineStr">
        <is>
          <t>효율성 (회전율)</t>
        </is>
      </c>
      <c r="B57" s="25" t="n"/>
      <c r="C57" s="26" t="n"/>
      <c r="D57" s="25" t="n"/>
      <c r="E57" s="25" t="n"/>
      <c r="F57" s="25" t="n"/>
      <c r="G57" s="25" t="n"/>
      <c r="H57" s="26" t="n"/>
      <c r="I57" s="25" t="n"/>
      <c r="J57" s="25" t="n"/>
      <c r="K57" s="25" t="n"/>
      <c r="L57" s="25" t="n"/>
    </row>
    <row r="58">
      <c r="A58" s="47" t="inlineStr">
        <is>
          <t>총자산회전율</t>
        </is>
      </c>
      <c r="B58" s="10" t="inlineStr">
        <is>
          <t>높을수록↑</t>
        </is>
      </c>
      <c r="C58" s="32">
        <f>IFERROR((IF(COUNT('연간'!G4:J4)&lt;4,"",SUM('연간'!G4:J4)))/C16,"")</f>
        <v/>
      </c>
      <c r="D58" s="33">
        <f>IFERROR((IF(COUNT('연간'!H4:K4)&lt;4,"",SUM('연간'!H4:K4)))/D16,"")</f>
        <v/>
      </c>
      <c r="E58" s="33">
        <f>IFERROR((IF(COUNT('연간'!I4:L4)&lt;4,"",SUM('연간'!I4:L4)))/E16,"")</f>
        <v/>
      </c>
      <c r="F58" s="33">
        <f>IFERROR((IF(COUNT('연간'!J4:M4)&lt;4,"",SUM('연간'!J4:M4)))/F16,"")</f>
        <v/>
      </c>
      <c r="G58" s="33">
        <f>IFERROR((IF(COUNT('연간'!K4:N4)&lt;4,"",SUM('연간'!K4:N4)))/G16,"")</f>
        <v/>
      </c>
      <c r="H58" s="32">
        <f>IFERROR(('연간'!T4)/H16,"")</f>
        <v/>
      </c>
      <c r="I58" s="33">
        <f>IFERROR(('연간'!U4)/I16,"")</f>
        <v/>
      </c>
      <c r="J58" s="33">
        <f>IFERROR(('연간'!V4)/J16,"")</f>
        <v/>
      </c>
      <c r="K58" s="33">
        <f>IFERROR(('연간'!W4)/K16,"")</f>
        <v/>
      </c>
      <c r="L58" s="33">
        <f>IFERROR(('연간'!X4)/L16,"")</f>
        <v/>
      </c>
    </row>
    <row r="59">
      <c r="A59" s="47" t="inlineStr">
        <is>
          <t>매출채권회전일수</t>
        </is>
      </c>
      <c r="B59" s="10" t="inlineStr">
        <is>
          <t>짧을수록↑</t>
        </is>
      </c>
      <c r="C59" s="50">
        <f>IFERROR(C8/(IF(COUNT('연간'!G4:J4)&lt;4,"",SUM('연간'!G4:J4)))*365,"")</f>
        <v/>
      </c>
      <c r="D59" s="51">
        <f>IFERROR(D8/(IF(COUNT('연간'!H4:K4)&lt;4,"",SUM('연간'!H4:K4)))*365,"")</f>
        <v/>
      </c>
      <c r="E59" s="51">
        <f>IFERROR(E8/(IF(COUNT('연간'!I4:L4)&lt;4,"",SUM('연간'!I4:L4)))*365,"")</f>
        <v/>
      </c>
      <c r="F59" s="51">
        <f>IFERROR(F8/(IF(COUNT('연간'!J4:M4)&lt;4,"",SUM('연간'!J4:M4)))*365,"")</f>
        <v/>
      </c>
      <c r="G59" s="51">
        <f>IFERROR(G8/(IF(COUNT('연간'!K4:N4)&lt;4,"",SUM('연간'!K4:N4)))*365,"")</f>
        <v/>
      </c>
      <c r="H59" s="50">
        <f>IFERROR(H8/('연간'!T4)*365,"")</f>
        <v/>
      </c>
      <c r="I59" s="51">
        <f>IFERROR(I8/('연간'!U4)*365,"")</f>
        <v/>
      </c>
      <c r="J59" s="51">
        <f>IFERROR(J8/('연간'!V4)*365,"")</f>
        <v/>
      </c>
      <c r="K59" s="51">
        <f>IFERROR(K8/('연간'!W4)*365,"")</f>
        <v/>
      </c>
      <c r="L59" s="51">
        <f>IFERROR(L8/('연간'!X4)*365,"")</f>
        <v/>
      </c>
    </row>
    <row r="60">
      <c r="A60" s="47" t="inlineStr">
        <is>
          <t>재고자산회전일수</t>
        </is>
      </c>
      <c r="B60" s="10" t="inlineStr">
        <is>
          <t>짧을수록↑</t>
        </is>
      </c>
      <c r="C60" s="50">
        <f>IFERROR(C9/(IF(COUNT('연간'!G11:J11)&lt;4,"",SUM('연간'!G11:J11)))*365,"")</f>
        <v/>
      </c>
      <c r="D60" s="51">
        <f>IFERROR(D9/(IF(COUNT('연간'!H11:K11)&lt;4,"",SUM('연간'!H11:K11)))*365,"")</f>
        <v/>
      </c>
      <c r="E60" s="51">
        <f>IFERROR(E9/(IF(COUNT('연간'!I11:L11)&lt;4,"",SUM('연간'!I11:L11)))*365,"")</f>
        <v/>
      </c>
      <c r="F60" s="51">
        <f>IFERROR(F9/(IF(COUNT('연간'!J11:M11)&lt;4,"",SUM('연간'!J11:M11)))*365,"")</f>
        <v/>
      </c>
      <c r="G60" s="51">
        <f>IFERROR(G9/(IF(COUNT('연간'!K11:N11)&lt;4,"",SUM('연간'!K11:N11)))*365,"")</f>
        <v/>
      </c>
      <c r="H60" s="50">
        <f>IFERROR(H9/('연간'!T11)*365,"")</f>
        <v/>
      </c>
      <c r="I60" s="51">
        <f>IFERROR(I9/('연간'!U11)*365,"")</f>
        <v/>
      </c>
      <c r="J60" s="51">
        <f>IFERROR(J9/('연간'!V11)*365,"")</f>
        <v/>
      </c>
      <c r="K60" s="51">
        <f>IFERROR(K9/('연간'!W11)*365,"")</f>
        <v/>
      </c>
      <c r="L60" s="51">
        <f>IFERROR(L9/('연간'!X11)*365,"")</f>
        <v/>
      </c>
    </row>
    <row r="61">
      <c r="A61" s="47" t="inlineStr">
        <is>
          <t>매입채무회전일수</t>
        </is>
      </c>
      <c r="B61" s="10" t="inlineStr">
        <is>
          <t>길수록 유리</t>
        </is>
      </c>
      <c r="C61" s="50">
        <f>IFERROR(C19/(IF(COUNT('연간'!G11:J11)&lt;4,"",SUM('연간'!G11:J11)))*365,"")</f>
        <v/>
      </c>
      <c r="D61" s="51">
        <f>IFERROR(D19/(IF(COUNT('연간'!H11:K11)&lt;4,"",SUM('연간'!H11:K11)))*365,"")</f>
        <v/>
      </c>
      <c r="E61" s="51">
        <f>IFERROR(E19/(IF(COUNT('연간'!I11:L11)&lt;4,"",SUM('연간'!I11:L11)))*365,"")</f>
        <v/>
      </c>
      <c r="F61" s="51">
        <f>IFERROR(F19/(IF(COUNT('연간'!J11:M11)&lt;4,"",SUM('연간'!J11:M11)))*365,"")</f>
        <v/>
      </c>
      <c r="G61" s="51">
        <f>IFERROR(G19/(IF(COUNT('연간'!K11:N11)&lt;4,"",SUM('연간'!K11:N11)))*365,"")</f>
        <v/>
      </c>
      <c r="H61" s="50">
        <f>IFERROR(H19/('연간'!T11)*365,"")</f>
        <v/>
      </c>
      <c r="I61" s="51">
        <f>IFERROR(I19/('연간'!U11)*365,"")</f>
        <v/>
      </c>
      <c r="J61" s="51">
        <f>IFERROR(J19/('연간'!V11)*365,"")</f>
        <v/>
      </c>
      <c r="K61" s="51">
        <f>IFERROR(K19/('연간'!W11)*365,"")</f>
        <v/>
      </c>
      <c r="L61" s="51">
        <f>IFERROR(L19/('연간'!X11)*365,"")</f>
        <v/>
      </c>
    </row>
    <row r="62">
      <c r="A62" s="47" t="inlineStr">
        <is>
          <t>현금전환주기 (CCC)</t>
        </is>
      </c>
      <c r="B62" s="10" t="inlineStr">
        <is>
          <t>짧을수록↑</t>
        </is>
      </c>
      <c r="C62" s="50">
        <f>IF(OR(C59="",C60="",C61=""),"",IFERROR(C59+C60-C61,""))</f>
        <v/>
      </c>
      <c r="D62" s="51">
        <f>IF(OR(D59="",D60="",D61=""),"",IFERROR(D59+D60-D61,""))</f>
        <v/>
      </c>
      <c r="E62" s="51">
        <f>IF(OR(E59="",E60="",E61=""),"",IFERROR(E59+E60-E61,""))</f>
        <v/>
      </c>
      <c r="F62" s="51">
        <f>IF(OR(F59="",F60="",F61=""),"",IFERROR(F59+F60-F61,""))</f>
        <v/>
      </c>
      <c r="G62" s="51">
        <f>IF(OR(G59="",G60="",G61=""),"",IFERROR(G59+G60-G61,""))</f>
        <v/>
      </c>
      <c r="H62" s="50">
        <f>IF(OR(H59="",H60="",H61=""),"",IFERROR(H59+H60-H61,""))</f>
        <v/>
      </c>
      <c r="I62" s="51">
        <f>IF(OR(I59="",I60="",I61=""),"",IFERROR(I59+I60-I61,""))</f>
        <v/>
      </c>
      <c r="J62" s="51">
        <f>IF(OR(J59="",J60="",J61=""),"",IFERROR(J59+J60-J61,""))</f>
        <v/>
      </c>
      <c r="K62" s="51">
        <f>IF(OR(K59="",K60="",K61=""),"",IFERROR(K59+K60-K61,""))</f>
        <v/>
      </c>
      <c r="L62" s="51">
        <f>IF(OR(L59="",L60="",L61=""),"",IFERROR(L59+L60-L61,""))</f>
        <v/>
      </c>
    </row>
    <row r="63">
      <c r="A63" s="25" t="inlineStr">
        <is>
          <t>현금흐름</t>
        </is>
      </c>
      <c r="B63" s="25" t="n"/>
      <c r="C63" s="26" t="n"/>
      <c r="D63" s="25" t="n"/>
      <c r="E63" s="25" t="n"/>
      <c r="F63" s="25" t="n"/>
      <c r="G63" s="25" t="n"/>
      <c r="H63" s="26" t="n"/>
      <c r="I63" s="25" t="n"/>
      <c r="J63" s="25" t="n"/>
      <c r="K63" s="25" t="n"/>
      <c r="L63" s="25" t="n"/>
    </row>
    <row r="64">
      <c r="A64" s="47" t="inlineStr">
        <is>
          <t>영업현금흐름 / 순이익</t>
        </is>
      </c>
      <c r="B64" s="10" t="inlineStr">
        <is>
          <t>1x↑ (이익의 질)</t>
        </is>
      </c>
      <c r="C64" s="32">
        <f>IF(C37="","",IFERROR(C37/(IF(COUNT('연간'!G47:J47)&lt;4,"",SUM('연간'!G47:J47))),""))</f>
        <v/>
      </c>
      <c r="D64" s="33">
        <f>IF(D37="","",IFERROR(D37/(IF(COUNT('연간'!H47:K47)&lt;4,"",SUM('연간'!H47:K47))),""))</f>
        <v/>
      </c>
      <c r="E64" s="33">
        <f>IF(E37="","",IFERROR(E37/(IF(COUNT('연간'!I47:L47)&lt;4,"",SUM('연간'!I47:L47))),""))</f>
        <v/>
      </c>
      <c r="F64" s="33">
        <f>IF(F37="","",IFERROR(F37/(IF(COUNT('연간'!J47:M47)&lt;4,"",SUM('연간'!J47:M47))),""))</f>
        <v/>
      </c>
      <c r="G64" s="33">
        <f>IF(G37="","",IFERROR(G37/(IF(COUNT('연간'!K47:N47)&lt;4,"",SUM('연간'!K47:N47))),""))</f>
        <v/>
      </c>
      <c r="H64" s="32">
        <f>IF(H37="","",IFERROR(H37/('연간'!T47),""))</f>
        <v/>
      </c>
      <c r="I64" s="33">
        <f>IF(I37="","",IFERROR(I37/('연간'!U47),""))</f>
        <v/>
      </c>
      <c r="J64" s="33">
        <f>IF(J37="","",IFERROR(J37/('연간'!V47),""))</f>
        <v/>
      </c>
      <c r="K64" s="33">
        <f>IF(K37="","",IFERROR(K37/('연간'!W47),""))</f>
        <v/>
      </c>
      <c r="L64" s="33">
        <f>IF(L37="","",IFERROR(L37/('연간'!X47),""))</f>
        <v/>
      </c>
    </row>
    <row r="65">
      <c r="A65" s="47" t="inlineStr">
        <is>
          <t>FCF 마진</t>
        </is>
      </c>
      <c r="B65" s="10" t="inlineStr">
        <is>
          <t>5%↑</t>
        </is>
      </c>
      <c r="C65" s="37">
        <f>IF(C39="","",IFERROR(C39/(IF(COUNT('연간'!G4:J4)&lt;4,"",SUM('연간'!G4:J4))),""))</f>
        <v/>
      </c>
      <c r="D65" s="38">
        <f>IF(D39="","",IFERROR(D39/(IF(COUNT('연간'!H4:K4)&lt;4,"",SUM('연간'!H4:K4))),""))</f>
        <v/>
      </c>
      <c r="E65" s="38">
        <f>IF(E39="","",IFERROR(E39/(IF(COUNT('연간'!I4:L4)&lt;4,"",SUM('연간'!I4:L4))),""))</f>
        <v/>
      </c>
      <c r="F65" s="38">
        <f>IF(F39="","",IFERROR(F39/(IF(COUNT('연간'!J4:M4)&lt;4,"",SUM('연간'!J4:M4))),""))</f>
        <v/>
      </c>
      <c r="G65" s="38">
        <f>IF(G39="","",IFERROR(G39/(IF(COUNT('연간'!K4:N4)&lt;4,"",SUM('연간'!K4:N4))),""))</f>
        <v/>
      </c>
      <c r="H65" s="37">
        <f>IF(H39="","",IFERROR(H39/('연간'!T4),""))</f>
        <v/>
      </c>
      <c r="I65" s="38">
        <f>IF(I39="","",IFERROR(I39/('연간'!U4),""))</f>
        <v/>
      </c>
      <c r="J65" s="38">
        <f>IF(J39="","",IFERROR(J39/('연간'!V4),""))</f>
        <v/>
      </c>
      <c r="K65" s="38">
        <f>IF(K39="","",IFERROR(K39/('연간'!W4),""))</f>
        <v/>
      </c>
      <c r="L65" s="38">
        <f>IF(L39="","",IFERROR(L39/('연간'!X4),""))</f>
        <v/>
      </c>
    </row>
    <row r="66">
      <c r="A66" s="47" t="inlineStr">
        <is>
          <t>CAPEX / 매출</t>
        </is>
      </c>
      <c r="B66" s="10" t="inlineStr">
        <is>
          <t>낮을수록↑ (자본 가벼움)</t>
        </is>
      </c>
      <c r="C66" s="37">
        <f>IF(C38="","",IFERROR(C38/(IF(COUNT('연간'!G4:J4)&lt;4,"",SUM('연간'!G4:J4))),""))</f>
        <v/>
      </c>
      <c r="D66" s="38">
        <f>IF(D38="","",IFERROR(D38/(IF(COUNT('연간'!H4:K4)&lt;4,"",SUM('연간'!H4:K4))),""))</f>
        <v/>
      </c>
      <c r="E66" s="38">
        <f>IF(E38="","",IFERROR(E38/(IF(COUNT('연간'!I4:L4)&lt;4,"",SUM('연간'!I4:L4))),""))</f>
        <v/>
      </c>
      <c r="F66" s="38">
        <f>IF(F38="","",IFERROR(F38/(IF(COUNT('연간'!J4:M4)&lt;4,"",SUM('연간'!J4:M4))),""))</f>
        <v/>
      </c>
      <c r="G66" s="38">
        <f>IF(G38="","",IFERROR(G38/(IF(COUNT('연간'!K4:N4)&lt;4,"",SUM('연간'!K4:N4))),""))</f>
        <v/>
      </c>
      <c r="H66" s="37">
        <f>IF(H38="","",IFERROR(H38/('연간'!T4),""))</f>
        <v/>
      </c>
      <c r="I66" s="38">
        <f>IF(I38="","",IFERROR(I38/('연간'!U4),""))</f>
        <v/>
      </c>
      <c r="J66" s="38">
        <f>IF(J38="","",IFERROR(J38/('연간'!V4),""))</f>
        <v/>
      </c>
      <c r="K66" s="38">
        <f>IF(K38="","",IFERROR(K38/('연간'!W4),""))</f>
        <v/>
      </c>
      <c r="L66" s="38">
        <f>IF(L38="","",IFERROR(L38/('연간'!X4),""))</f>
        <v/>
      </c>
    </row>
    <row r="67">
      <c r="A67" s="47" t="inlineStr">
        <is>
          <t>배당성향</t>
        </is>
      </c>
      <c r="B67" s="10" t="inlineStr">
        <is>
          <t>참고</t>
        </is>
      </c>
      <c r="C67" s="37">
        <f>IF(C40="","",IFERROR(C40/(IF(COUNT('연간'!G49:J49)&lt;4,"",SUM('연간'!G49:J49))),""))</f>
        <v/>
      </c>
      <c r="D67" s="38">
        <f>IF(D40="","",IFERROR(D40/(IF(COUNT('연간'!H49:K49)&lt;4,"",SUM('연간'!H49:K49))),""))</f>
        <v/>
      </c>
      <c r="E67" s="38">
        <f>IF(E40="","",IFERROR(E40/(IF(COUNT('연간'!I49:L49)&lt;4,"",SUM('연간'!I49:L49))),""))</f>
        <v/>
      </c>
      <c r="F67" s="38">
        <f>IF(F40="","",IFERROR(F40/(IF(COUNT('연간'!J49:M49)&lt;4,"",SUM('연간'!J49:M49))),""))</f>
        <v/>
      </c>
      <c r="G67" s="38">
        <f>IF(G40="","",IFERROR(G40/(IF(COUNT('연간'!K49:N49)&lt;4,"",SUM('연간'!K49:N49))),""))</f>
        <v/>
      </c>
      <c r="H67" s="37">
        <f>IF(H40="","",IFERROR(H40/('연간'!T49),""))</f>
        <v/>
      </c>
      <c r="I67" s="38">
        <f>IF(I40="","",IFERROR(I40/('연간'!U49),""))</f>
        <v/>
      </c>
      <c r="J67" s="38">
        <f>IF(J40="","",IFERROR(J40/('연간'!V49),""))</f>
        <v/>
      </c>
      <c r="K67" s="38">
        <f>IF(K40="","",IFERROR(K40/('연간'!W49),""))</f>
        <v/>
      </c>
      <c r="L67" s="38">
        <f>IF(L40="","",IFERROR(L40/('연간'!X49),""))</f>
        <v/>
      </c>
    </row>
    <row r="69">
      <c r="A69" s="18" t="inlineStr">
        <is>
          <t>재무상태표 · 전 항목</t>
        </is>
      </c>
      <c r="B69" s="44" t="inlineStr">
        <is>
          <t>분기 말 잔액</t>
        </is>
      </c>
      <c r="C69" s="18" t="n"/>
      <c r="D69" s="18" t="n"/>
      <c r="E69" s="18" t="n"/>
      <c r="F69" s="18" t="n"/>
      <c r="G69" s="18" t="n"/>
      <c r="H69" s="18" t="n"/>
      <c r="I69" s="18" t="n"/>
      <c r="J69" s="18" t="n"/>
      <c r="K69" s="18" t="n"/>
      <c r="L69" s="18"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20" t="inlineStr">
        <is>
          <t>유형자산</t>
        </is>
      </c>
      <c r="C71" s="22" t="n">
        <v>1956269</v>
      </c>
      <c r="D71" s="22" t="n">
        <v>1984126</v>
      </c>
      <c r="E71" s="22" t="n">
        <v>2083981</v>
      </c>
      <c r="F71" s="22" t="n">
        <v>2120639</v>
      </c>
      <c r="G71" s="22" t="n">
        <v>2142280</v>
      </c>
      <c r="H71" s="22" t="n">
        <v>1582800</v>
      </c>
      <c r="I71" s="22" t="n">
        <v>1691229</v>
      </c>
      <c r="J71" s="22" t="n">
        <v>1989777</v>
      </c>
      <c r="K71" s="22" t="n">
        <v>1968209</v>
      </c>
      <c r="L71" s="22" t="n">
        <v>2120639</v>
      </c>
    </row>
    <row r="72">
      <c r="A72" s="20" t="inlineStr">
        <is>
          <t>영업권</t>
        </is>
      </c>
      <c r="C72" s="22" t="n">
        <v>5295871</v>
      </c>
      <c r="D72" s="22" t="n">
        <v>5431698</v>
      </c>
      <c r="E72" s="22" t="n">
        <v>5753268</v>
      </c>
      <c r="F72" s="22" t="n">
        <v>5809010</v>
      </c>
      <c r="G72" s="22" t="n">
        <v>5886905</v>
      </c>
      <c r="H72" s="22" t="n">
        <v>4407749</v>
      </c>
      <c r="I72" s="22" t="n">
        <v>4790723</v>
      </c>
      <c r="J72" s="22" t="n">
        <v>5410067</v>
      </c>
      <c r="K72" s="22" t="n">
        <v>5324430</v>
      </c>
      <c r="L72" s="22" t="n">
        <v>5809010</v>
      </c>
    </row>
    <row r="73">
      <c r="A73" s="20" t="inlineStr">
        <is>
          <t>무형자산</t>
        </is>
      </c>
      <c r="C73" s="22" t="n">
        <v>3422542</v>
      </c>
      <c r="D73" s="22" t="n">
        <v>3299225</v>
      </c>
      <c r="E73" s="22" t="n">
        <v>3515628</v>
      </c>
      <c r="F73" s="22" t="n">
        <v>3419348</v>
      </c>
      <c r="G73" s="22" t="n">
        <v>3391152</v>
      </c>
      <c r="H73" s="22" t="n">
        <v>3818544</v>
      </c>
      <c r="I73" s="22" t="n">
        <v>4269657</v>
      </c>
      <c r="J73" s="22" t="n">
        <v>4274682</v>
      </c>
      <c r="K73" s="22" t="n">
        <v>3631560</v>
      </c>
      <c r="L73" s="22" t="n">
        <v>3419348</v>
      </c>
    </row>
    <row r="74">
      <c r="A74" s="20" t="inlineStr">
        <is>
          <t>지분법 투자</t>
        </is>
      </c>
      <c r="C74" s="22" t="n">
        <v>9947</v>
      </c>
      <c r="D74" s="22" t="n">
        <v>8919</v>
      </c>
      <c r="E74" s="22" t="n">
        <v>10189</v>
      </c>
      <c r="F74" s="22" t="n">
        <v>8796</v>
      </c>
      <c r="G74" s="22" t="n">
        <v>10078</v>
      </c>
      <c r="H74" s="22" t="n">
        <v>96579</v>
      </c>
      <c r="I74" s="22" t="n">
        <v>99174</v>
      </c>
      <c r="J74" s="22" t="n">
        <v>89831</v>
      </c>
      <c r="K74" s="22" t="n">
        <v>10802</v>
      </c>
      <c r="L74" s="22" t="n">
        <v>8796</v>
      </c>
    </row>
    <row r="75">
      <c r="A75" s="20" t="inlineStr">
        <is>
          <t>기타금융자산</t>
        </is>
      </c>
      <c r="C75" s="22" t="n">
        <v>337173</v>
      </c>
      <c r="D75" s="22" t="n">
        <v>365413</v>
      </c>
      <c r="E75" s="22" t="n">
        <v>423979</v>
      </c>
      <c r="F75" s="22" t="n">
        <v>439941</v>
      </c>
      <c r="G75" s="22" t="n">
        <v>463140</v>
      </c>
      <c r="H75" s="22" t="n">
        <v>233554</v>
      </c>
      <c r="I75" s="22" t="n">
        <v>279683</v>
      </c>
      <c r="J75" s="22" t="n">
        <v>340777</v>
      </c>
      <c r="K75" s="22" t="n">
        <v>351124</v>
      </c>
      <c r="L75" s="22" t="n">
        <v>439941</v>
      </c>
    </row>
    <row r="76">
      <c r="A76" s="20" t="inlineStr">
        <is>
          <t>기타비유동자산</t>
        </is>
      </c>
      <c r="C76" s="22" t="n">
        <v>68555</v>
      </c>
      <c r="D76" s="22" t="n">
        <v>70531</v>
      </c>
      <c r="E76" s="22" t="n">
        <v>77798</v>
      </c>
      <c r="F76" s="22" t="n">
        <v>77010</v>
      </c>
      <c r="G76" s="22" t="n">
        <v>80301</v>
      </c>
      <c r="H76" s="22" t="n">
        <v>82611</v>
      </c>
      <c r="I76" s="22" t="n">
        <v>63325</v>
      </c>
      <c r="J76" s="22" t="n">
        <v>51214</v>
      </c>
      <c r="K76" s="22" t="n">
        <v>70282</v>
      </c>
      <c r="L76" s="22" t="n">
        <v>77010</v>
      </c>
    </row>
    <row r="77">
      <c r="A77" s="20" t="inlineStr">
        <is>
          <t>이연법인세자산</t>
        </is>
      </c>
      <c r="C77" s="22" t="n">
        <v>401058</v>
      </c>
      <c r="D77" s="22" t="n">
        <v>389768</v>
      </c>
      <c r="E77" s="22" t="n">
        <v>427490</v>
      </c>
      <c r="F77" s="22" t="n">
        <v>546260</v>
      </c>
      <c r="G77" s="22" t="n">
        <v>539145</v>
      </c>
      <c r="H77" s="22" t="n">
        <v>362539</v>
      </c>
      <c r="I77" s="22" t="n">
        <v>366003</v>
      </c>
      <c r="J77" s="22" t="n">
        <v>393865</v>
      </c>
      <c r="K77" s="22" t="n">
        <v>370745</v>
      </c>
      <c r="L77" s="22" t="n">
        <v>546260</v>
      </c>
    </row>
    <row r="78">
      <c r="A78" s="20" t="inlineStr">
        <is>
          <t>비유동자산 합계</t>
        </is>
      </c>
      <c r="C78" s="22" t="n">
        <v>11491416</v>
      </c>
      <c r="D78" s="22" t="n">
        <v>11549679</v>
      </c>
      <c r="E78" s="22" t="n">
        <v>12292334</v>
      </c>
      <c r="F78" s="22" t="n">
        <v>12421004</v>
      </c>
      <c r="G78" s="22" t="n">
        <v>12513001</v>
      </c>
      <c r="H78" s="22" t="n">
        <v>10584376</v>
      </c>
      <c r="I78" s="22" t="n">
        <v>11559794</v>
      </c>
      <c r="J78" s="22" t="n">
        <v>12550212</v>
      </c>
      <c r="K78" s="22" t="n">
        <v>11727152</v>
      </c>
      <c r="L78" s="22" t="n">
        <v>12421004</v>
      </c>
    </row>
    <row r="79">
      <c r="A79" s="20" t="inlineStr">
        <is>
          <t>재고자산</t>
        </is>
      </c>
      <c r="C79" s="22" t="n">
        <v>1240676</v>
      </c>
      <c r="D79" s="22" t="n">
        <v>1299486</v>
      </c>
      <c r="E79" s="22" t="n">
        <v>1407192</v>
      </c>
      <c r="F79" s="22" t="n">
        <v>1396620</v>
      </c>
      <c r="G79" s="22" t="n">
        <v>1447259</v>
      </c>
      <c r="H79" s="22" t="n">
        <v>853167</v>
      </c>
      <c r="I79" s="22" t="n">
        <v>986457</v>
      </c>
      <c r="J79" s="22" t="n">
        <v>1209869</v>
      </c>
      <c r="K79" s="22" t="n">
        <v>1217349</v>
      </c>
      <c r="L79" s="22" t="n">
        <v>1396620</v>
      </c>
    </row>
    <row r="80">
      <c r="A80" s="20" t="inlineStr">
        <is>
          <t>매출채권 및 기타채권</t>
        </is>
      </c>
      <c r="C80" s="22" t="n">
        <v>665632</v>
      </c>
      <c r="D80" s="22" t="n">
        <v>688963</v>
      </c>
      <c r="E80" s="22" t="n">
        <v>736464</v>
      </c>
      <c r="F80" s="22" t="n">
        <v>844312</v>
      </c>
      <c r="G80" s="22" t="n">
        <v>930377</v>
      </c>
      <c r="H80" s="22" t="n">
        <v>696644</v>
      </c>
      <c r="I80" s="22" t="n">
        <v>649429</v>
      </c>
      <c r="J80" s="22" t="n">
        <v>668403</v>
      </c>
      <c r="K80" s="22" t="n">
        <v>709465</v>
      </c>
      <c r="L80" s="22" t="n">
        <v>844312</v>
      </c>
    </row>
    <row r="81">
      <c r="A81" s="20" t="inlineStr">
        <is>
          <t>기타금융자산</t>
        </is>
      </c>
      <c r="C81" s="22" t="n">
        <v>69167</v>
      </c>
      <c r="D81" s="22" t="n">
        <v>58192</v>
      </c>
      <c r="E81" s="22" t="n">
        <v>107004</v>
      </c>
      <c r="F81" s="22" t="n">
        <v>41888</v>
      </c>
      <c r="G81" s="22" t="n">
        <v>66600</v>
      </c>
      <c r="H81" s="22" t="n">
        <v>25305</v>
      </c>
      <c r="I81" s="22" t="n">
        <v>20174</v>
      </c>
      <c r="J81" s="22" t="n">
        <v>15089</v>
      </c>
      <c r="K81" s="22" t="n">
        <v>20476</v>
      </c>
      <c r="L81" s="22" t="n">
        <v>41888</v>
      </c>
    </row>
    <row r="82">
      <c r="A82" s="20" t="inlineStr">
        <is>
          <t>미수법인세</t>
        </is>
      </c>
      <c r="C82" s="22" t="n">
        <v>13899</v>
      </c>
      <c r="D82" s="22" t="n">
        <v>13275</v>
      </c>
      <c r="E82" s="22" t="n">
        <v>21457</v>
      </c>
      <c r="F82" s="22" t="n">
        <v>32036</v>
      </c>
      <c r="G82" s="22" t="n">
        <v>25763</v>
      </c>
      <c r="H82" s="22" t="n">
        <v>27733</v>
      </c>
      <c r="I82" s="22" t="n">
        <v>32264</v>
      </c>
      <c r="J82" s="22" t="n">
        <v>29207</v>
      </c>
      <c r="K82" s="22" t="n">
        <v>15789</v>
      </c>
      <c r="L82" s="22" t="n">
        <v>32036</v>
      </c>
    </row>
    <row r="83">
      <c r="A83" s="20" t="inlineStr">
        <is>
          <t>기타유동자산</t>
        </is>
      </c>
      <c r="C83" s="22" t="n">
        <v>173740</v>
      </c>
      <c r="D83" s="22" t="n">
        <v>166386</v>
      </c>
      <c r="E83" s="22" t="n">
        <v>175785</v>
      </c>
      <c r="F83" s="22" t="n">
        <v>162638</v>
      </c>
      <c r="G83" s="22" t="n">
        <v>188778</v>
      </c>
      <c r="H83" s="22" t="n">
        <v>141099</v>
      </c>
      <c r="I83" s="22" t="n">
        <v>160868</v>
      </c>
      <c r="J83" s="22" t="n">
        <v>168875</v>
      </c>
      <c r="K83" s="22" t="n">
        <v>159603</v>
      </c>
      <c r="L83" s="22" t="n">
        <v>162638</v>
      </c>
    </row>
    <row r="84">
      <c r="A84" s="20" t="inlineStr">
        <is>
          <t>현금및현금성자산</t>
        </is>
      </c>
      <c r="C84" s="22" t="n">
        <v>350008</v>
      </c>
      <c r="D84" s="22" t="n">
        <v>681486</v>
      </c>
      <c r="E84" s="22" t="n">
        <v>654937</v>
      </c>
      <c r="F84" s="22" t="n">
        <v>595054</v>
      </c>
      <c r="G84" s="22" t="n">
        <v>460982</v>
      </c>
      <c r="H84" s="22" t="n">
        <v>849695</v>
      </c>
      <c r="I84" s="22" t="n">
        <v>533530</v>
      </c>
      <c r="J84" s="22" t="n">
        <v>457800</v>
      </c>
      <c r="K84" s="22" t="n">
        <v>385113</v>
      </c>
      <c r="L84" s="22" t="n">
        <v>595054</v>
      </c>
    </row>
    <row r="85">
      <c r="A85" s="20" t="inlineStr">
        <is>
          <t>매각예정 자산</t>
        </is>
      </c>
      <c r="C85" s="22" t="n">
        <v>0</v>
      </c>
      <c r="D85" s="22" t="n">
        <v>12832</v>
      </c>
      <c r="E85" s="22" t="n">
        <v>13602</v>
      </c>
      <c r="F85" s="22" t="n">
        <v>17955</v>
      </c>
      <c r="G85" s="22" t="n">
        <v>30511</v>
      </c>
      <c r="H85" s="22" t="n">
        <v>0</v>
      </c>
      <c r="I85" s="22" t="n">
        <v>15235</v>
      </c>
      <c r="J85" s="22" t="n">
        <v>9337</v>
      </c>
      <c r="K85" s="22" t="n">
        <v>13397</v>
      </c>
      <c r="L85" s="22" t="n">
        <v>17955</v>
      </c>
    </row>
    <row r="86">
      <c r="A86" s="9" t="inlineStr">
        <is>
          <t>유동자산 합계</t>
        </is>
      </c>
      <c r="C86" s="12" t="n">
        <v>2513122</v>
      </c>
      <c r="D86" s="12" t="n">
        <v>2920620</v>
      </c>
      <c r="E86" s="12" t="n">
        <v>3116439</v>
      </c>
      <c r="F86" s="12" t="n">
        <v>3090503</v>
      </c>
      <c r="G86" s="12" t="n">
        <v>3150269</v>
      </c>
      <c r="H86" s="12" t="n">
        <v>2593642</v>
      </c>
      <c r="I86" s="12" t="n">
        <v>2397956</v>
      </c>
      <c r="J86" s="12" t="n">
        <v>2558580</v>
      </c>
      <c r="K86" s="12" t="n">
        <v>2521192</v>
      </c>
      <c r="L86" s="12" t="n">
        <v>3090503</v>
      </c>
    </row>
    <row r="87">
      <c r="A87" s="20" t="inlineStr">
        <is>
          <t>자산 합계</t>
        </is>
      </c>
      <c r="C87" s="22" t="n">
        <v>14004537</v>
      </c>
      <c r="D87" s="22" t="n">
        <v>14470300</v>
      </c>
      <c r="E87" s="22" t="n">
        <v>15408774</v>
      </c>
      <c r="F87" s="22" t="n">
        <v>15511506</v>
      </c>
      <c r="G87" s="22" t="n">
        <v>15663271</v>
      </c>
      <c r="H87" s="22" t="n">
        <v>13178018</v>
      </c>
      <c r="I87" s="22" t="n">
        <v>13957750</v>
      </c>
      <c r="J87" s="22" t="n">
        <v>15108792</v>
      </c>
      <c r="K87" s="22" t="n">
        <v>14248344</v>
      </c>
      <c r="L87" s="22" t="n">
        <v>15511506</v>
      </c>
    </row>
    <row r="88">
      <c r="A88" s="20" t="inlineStr">
        <is>
          <t>사채 및 차입금</t>
        </is>
      </c>
      <c r="C88" s="22" t="n">
        <v>4134799</v>
      </c>
      <c r="D88" s="22" t="n">
        <v>4351462</v>
      </c>
      <c r="E88" s="22" t="n">
        <v>4270174</v>
      </c>
      <c r="F88" s="22" t="n">
        <v>4369681</v>
      </c>
      <c r="G88" s="22" t="n">
        <v>4419998</v>
      </c>
      <c r="H88" s="22" t="n">
        <v>4141418</v>
      </c>
      <c r="I88" s="22" t="n">
        <v>4042741</v>
      </c>
      <c r="J88" s="22" t="n">
        <v>4476501</v>
      </c>
      <c r="K88" s="22" t="n">
        <v>3966326</v>
      </c>
      <c r="L88" s="22" t="n">
        <v>4369681</v>
      </c>
    </row>
    <row r="89">
      <c r="A89" s="20" t="inlineStr">
        <is>
          <t>기타금융부채</t>
        </is>
      </c>
      <c r="C89" s="22" t="n">
        <v>535165</v>
      </c>
      <c r="D89" s="22" t="n">
        <v>545763</v>
      </c>
      <c r="E89" s="22" t="n">
        <v>568644</v>
      </c>
      <c r="F89" s="22" t="n">
        <v>571248</v>
      </c>
      <c r="G89" s="22" t="n">
        <v>596531</v>
      </c>
      <c r="H89" s="22" t="n">
        <v>468943</v>
      </c>
      <c r="I89" s="22" t="n">
        <v>534269</v>
      </c>
      <c r="J89" s="22" t="n">
        <v>687833</v>
      </c>
      <c r="K89" s="22" t="n">
        <v>550900</v>
      </c>
      <c r="L89" s="22" t="n">
        <v>571248</v>
      </c>
    </row>
    <row r="90">
      <c r="A90" s="20" t="inlineStr">
        <is>
          <t>퇴직급여부채</t>
        </is>
      </c>
      <c r="C90" s="22" t="n">
        <v>141512</v>
      </c>
      <c r="D90" s="22" t="n">
        <v>144101</v>
      </c>
      <c r="E90" s="22" t="n">
        <v>150595</v>
      </c>
      <c r="F90" s="22" t="n">
        <v>143683</v>
      </c>
      <c r="G90" s="22" t="n">
        <v>141790</v>
      </c>
      <c r="H90" s="22" t="n">
        <v>145847</v>
      </c>
      <c r="I90" s="22" t="n">
        <v>127594</v>
      </c>
      <c r="J90" s="22" t="n">
        <v>143882</v>
      </c>
      <c r="K90" s="22" t="n">
        <v>135429</v>
      </c>
      <c r="L90" s="22" t="n">
        <v>143683</v>
      </c>
    </row>
    <row r="91">
      <c r="A91" s="20" t="inlineStr">
        <is>
          <t>미지급법인세</t>
        </is>
      </c>
      <c r="C91" s="22" t="n">
        <v>396</v>
      </c>
      <c r="D91" s="22" t="n">
        <v>2307</v>
      </c>
      <c r="E91" s="22" t="n">
        <v>3271</v>
      </c>
      <c r="H91" s="22" t="n">
        <v>21634</v>
      </c>
      <c r="I91" s="22" t="n">
        <v>24558</v>
      </c>
      <c r="J91" s="22" t="n">
        <v>4381</v>
      </c>
      <c r="K91" s="22" t="n">
        <v>317</v>
      </c>
    </row>
    <row r="92">
      <c r="A92" s="20" t="inlineStr">
        <is>
          <t>충당금</t>
        </is>
      </c>
      <c r="C92" s="22" t="n">
        <v>34265</v>
      </c>
      <c r="D92" s="22" t="n">
        <v>32766</v>
      </c>
      <c r="E92" s="22" t="n">
        <v>34061</v>
      </c>
      <c r="F92" s="22" t="n">
        <v>37550</v>
      </c>
      <c r="G92" s="22" t="n">
        <v>37932</v>
      </c>
      <c r="H92" s="22" t="n">
        <v>52199</v>
      </c>
      <c r="I92" s="22" t="n">
        <v>55969</v>
      </c>
      <c r="J92" s="22" t="n">
        <v>14373</v>
      </c>
      <c r="K92" s="22" t="n">
        <v>35177</v>
      </c>
      <c r="L92" s="22" t="n">
        <v>37550</v>
      </c>
    </row>
    <row r="93">
      <c r="A93" s="20" t="inlineStr">
        <is>
          <t>기타비유동부채</t>
        </is>
      </c>
      <c r="C93" s="22" t="n">
        <v>89122</v>
      </c>
      <c r="D93" s="22" t="n">
        <v>89527</v>
      </c>
      <c r="E93" s="22" t="n">
        <v>96473</v>
      </c>
      <c r="F93" s="22" t="n">
        <v>99818</v>
      </c>
      <c r="G93" s="22" t="n">
        <v>116557</v>
      </c>
      <c r="H93" s="22" t="n">
        <v>67214</v>
      </c>
      <c r="I93" s="22" t="n">
        <v>65389</v>
      </c>
      <c r="J93" s="22" t="n">
        <v>80938</v>
      </c>
      <c r="K93" s="22" t="n">
        <v>82859</v>
      </c>
      <c r="L93" s="22" t="n">
        <v>99818</v>
      </c>
    </row>
    <row r="94">
      <c r="A94" s="20" t="inlineStr">
        <is>
          <t>이연법인세부채</t>
        </is>
      </c>
      <c r="C94" s="22" t="n">
        <v>33514</v>
      </c>
      <c r="D94" s="22" t="n">
        <v>33029</v>
      </c>
      <c r="E94" s="22" t="n">
        <v>31282</v>
      </c>
      <c r="F94" s="22" t="n">
        <v>26804</v>
      </c>
      <c r="G94" s="22" t="n">
        <v>27039</v>
      </c>
      <c r="H94" s="22" t="n">
        <v>451511</v>
      </c>
      <c r="I94" s="22" t="n">
        <v>270620</v>
      </c>
      <c r="J94" s="22" t="n">
        <v>113777</v>
      </c>
      <c r="K94" s="22" t="n">
        <v>35153</v>
      </c>
      <c r="L94" s="22" t="n">
        <v>26804</v>
      </c>
    </row>
    <row r="95">
      <c r="A95" s="20" t="inlineStr">
        <is>
          <t>비유동부채 합계</t>
        </is>
      </c>
      <c r="C95" s="22" t="n">
        <v>4968772</v>
      </c>
      <c r="D95" s="22" t="n">
        <v>5198955</v>
      </c>
      <c r="E95" s="22" t="n">
        <v>5154500</v>
      </c>
      <c r="F95" s="22" t="n">
        <v>5248784</v>
      </c>
      <c r="G95" s="22" t="n">
        <v>5339847</v>
      </c>
      <c r="H95" s="22" t="n">
        <v>5348764</v>
      </c>
      <c r="I95" s="22" t="n">
        <v>5121138</v>
      </c>
      <c r="J95" s="22" t="n">
        <v>5521684</v>
      </c>
      <c r="K95" s="22" t="n">
        <v>4805844</v>
      </c>
      <c r="L95" s="22" t="n">
        <v>5248784</v>
      </c>
    </row>
    <row r="96">
      <c r="A96" s="20" t="inlineStr">
        <is>
          <t>사채 및 차입금</t>
        </is>
      </c>
      <c r="C96" s="22" t="n">
        <v>371143</v>
      </c>
      <c r="D96" s="22" t="n">
        <v>293858</v>
      </c>
      <c r="E96" s="22" t="n">
        <v>583147</v>
      </c>
      <c r="F96" s="22" t="n">
        <v>512157</v>
      </c>
      <c r="G96" s="22" t="n">
        <v>519970</v>
      </c>
      <c r="H96" s="22" t="n">
        <v>203993</v>
      </c>
      <c r="I96" s="22" t="n">
        <v>339600</v>
      </c>
      <c r="J96" s="22" t="n">
        <v>367251</v>
      </c>
      <c r="K96" s="22" t="n">
        <v>548939</v>
      </c>
      <c r="L96" s="22" t="n">
        <v>512157</v>
      </c>
    </row>
    <row r="97">
      <c r="A97" s="20" t="inlineStr">
        <is>
          <t>매입채무 및 기타채무</t>
        </is>
      </c>
      <c r="C97" s="22" t="n">
        <v>421308</v>
      </c>
      <c r="D97" s="22" t="n">
        <v>438985</v>
      </c>
      <c r="E97" s="22" t="n">
        <v>467594</v>
      </c>
      <c r="F97" s="22" t="n">
        <v>491345</v>
      </c>
      <c r="G97" s="22" t="n">
        <v>446784</v>
      </c>
      <c r="H97" s="22" t="n">
        <v>516297</v>
      </c>
      <c r="I97" s="22" t="n">
        <v>649233</v>
      </c>
      <c r="J97" s="22" t="n">
        <v>547521</v>
      </c>
      <c r="K97" s="22" t="n">
        <v>475541</v>
      </c>
      <c r="L97" s="22" t="n">
        <v>491345</v>
      </c>
    </row>
    <row r="98">
      <c r="A98" s="20" t="inlineStr">
        <is>
          <t>기타금융부채</t>
        </is>
      </c>
      <c r="C98" s="22" t="n">
        <v>205120</v>
      </c>
      <c r="D98" s="22" t="n">
        <v>226170</v>
      </c>
      <c r="E98" s="22" t="n">
        <v>270333</v>
      </c>
      <c r="F98" s="22" t="n">
        <v>141220</v>
      </c>
      <c r="G98" s="22" t="n">
        <v>110115</v>
      </c>
      <c r="H98" s="22" t="n">
        <v>196071</v>
      </c>
      <c r="I98" s="22" t="n">
        <v>185537</v>
      </c>
      <c r="J98" s="22" t="n">
        <v>143421</v>
      </c>
      <c r="K98" s="22" t="n">
        <v>219120</v>
      </c>
      <c r="L98" s="22" t="n">
        <v>141220</v>
      </c>
    </row>
    <row r="99">
      <c r="A99" s="20" t="inlineStr">
        <is>
          <t>미지급법인세</t>
        </is>
      </c>
      <c r="C99" s="22" t="n">
        <v>150965</v>
      </c>
      <c r="D99" s="22" t="n">
        <v>122907</v>
      </c>
      <c r="E99" s="22" t="n">
        <v>148336</v>
      </c>
      <c r="F99" s="22" t="n">
        <v>97880</v>
      </c>
      <c r="G99" s="22" t="n">
        <v>117931</v>
      </c>
      <c r="H99" s="22" t="n">
        <v>200918</v>
      </c>
      <c r="I99" s="22" t="n">
        <v>232377</v>
      </c>
      <c r="J99" s="22" t="n">
        <v>109906</v>
      </c>
      <c r="K99" s="22" t="n">
        <v>133497</v>
      </c>
      <c r="L99" s="22" t="n">
        <v>97880</v>
      </c>
    </row>
    <row r="100">
      <c r="A100" s="20" t="inlineStr">
        <is>
          <t>충당금</t>
        </is>
      </c>
      <c r="C100" s="22" t="n">
        <v>504069</v>
      </c>
      <c r="D100" s="22" t="n">
        <v>551523</v>
      </c>
      <c r="E100" s="22" t="n">
        <v>572131</v>
      </c>
      <c r="F100" s="22" t="n">
        <v>998501</v>
      </c>
      <c r="G100" s="22" t="n">
        <v>995053</v>
      </c>
      <c r="H100" s="22" t="n">
        <v>443502</v>
      </c>
      <c r="I100" s="22" t="n">
        <v>508360</v>
      </c>
      <c r="J100" s="22" t="n">
        <v>524420</v>
      </c>
      <c r="K100" s="22" t="n">
        <v>533140</v>
      </c>
      <c r="L100" s="22" t="n">
        <v>998501</v>
      </c>
    </row>
    <row r="101">
      <c r="A101" s="20" t="inlineStr">
        <is>
          <t>기타유동부채</t>
        </is>
      </c>
      <c r="C101" s="22" t="n">
        <v>516981</v>
      </c>
      <c r="D101" s="22" t="n">
        <v>505483</v>
      </c>
      <c r="E101" s="22" t="n">
        <v>567858</v>
      </c>
      <c r="F101" s="22" t="n">
        <v>590152</v>
      </c>
      <c r="G101" s="22" t="n">
        <v>572325</v>
      </c>
      <c r="H101" s="22" t="n">
        <v>584949</v>
      </c>
      <c r="I101" s="22" t="n">
        <v>566689</v>
      </c>
      <c r="J101" s="22" t="n">
        <v>619174</v>
      </c>
      <c r="K101" s="22" t="n">
        <v>596283</v>
      </c>
      <c r="L101" s="22" t="n">
        <v>590152</v>
      </c>
    </row>
    <row r="102">
      <c r="A102" s="20" t="inlineStr">
        <is>
          <t>매각예정 자산 직접 관련 부채</t>
        </is>
      </c>
      <c r="D102" s="22" t="n">
        <v>729</v>
      </c>
      <c r="E102" s="22" t="n">
        <v>784</v>
      </c>
      <c r="F102" s="22" t="n">
        <v>818</v>
      </c>
      <c r="G102" s="22" t="n">
        <v>2369</v>
      </c>
      <c r="H102" s="22" t="n">
        <v>0</v>
      </c>
      <c r="I102" s="22" t="n">
        <v>144</v>
      </c>
      <c r="J102" s="22" t="n">
        <v>1410</v>
      </c>
      <c r="K102" s="22" t="n">
        <v>0</v>
      </c>
      <c r="L102" s="22" t="n">
        <v>818</v>
      </c>
    </row>
    <row r="103">
      <c r="A103" s="20" t="inlineStr">
        <is>
          <t>유동부채 합계</t>
        </is>
      </c>
      <c r="C103" s="22" t="n">
        <v>2169586</v>
      </c>
      <c r="D103" s="22" t="n">
        <v>2139655</v>
      </c>
      <c r="E103" s="22" t="n">
        <v>2610183</v>
      </c>
      <c r="F103" s="22" t="n">
        <v>2832074</v>
      </c>
      <c r="G103" s="22" t="n">
        <v>2764547</v>
      </c>
      <c r="H103" s="22" t="n">
        <v>2145730</v>
      </c>
      <c r="I103" s="22" t="n">
        <v>2481940</v>
      </c>
      <c r="J103" s="22" t="n">
        <v>2313103</v>
      </c>
      <c r="K103" s="22" t="n">
        <v>2506521</v>
      </c>
      <c r="L103" s="22" t="n">
        <v>2832074</v>
      </c>
    </row>
    <row r="104">
      <c r="A104" s="20" t="inlineStr">
        <is>
          <t>부채 합계</t>
        </is>
      </c>
      <c r="C104" s="22" t="n">
        <v>7138358</v>
      </c>
      <c r="D104" s="22" t="n">
        <v>7338610</v>
      </c>
      <c r="E104" s="22" t="n">
        <v>7764683</v>
      </c>
      <c r="F104" s="22" t="n">
        <v>8080858</v>
      </c>
      <c r="G104" s="22" t="n">
        <v>8104394</v>
      </c>
      <c r="H104" s="22" t="n">
        <v>7494495</v>
      </c>
      <c r="I104" s="22" t="n">
        <v>7603078</v>
      </c>
      <c r="J104" s="22" t="n">
        <v>7834788</v>
      </c>
      <c r="K104" s="22" t="n">
        <v>7312365</v>
      </c>
      <c r="L104" s="22" t="n">
        <v>8080858</v>
      </c>
    </row>
    <row r="105">
      <c r="A105" s="20" t="inlineStr">
        <is>
          <t>자본금</t>
        </is>
      </c>
      <c r="C105" s="22" t="n">
        <v>1694711</v>
      </c>
      <c r="D105" s="22" t="n">
        <v>1694759</v>
      </c>
      <c r="E105" s="22" t="n">
        <v>1694763</v>
      </c>
      <c r="F105" s="22" t="n">
        <v>1695277</v>
      </c>
      <c r="G105" s="22" t="n">
        <v>1695376</v>
      </c>
      <c r="H105" s="22" t="n">
        <v>1676263</v>
      </c>
      <c r="I105" s="22" t="n">
        <v>1676345</v>
      </c>
      <c r="J105" s="22" t="n">
        <v>1676596</v>
      </c>
      <c r="K105" s="22" t="n">
        <v>1694685</v>
      </c>
      <c r="L105" s="22" t="n">
        <v>1695277</v>
      </c>
    </row>
    <row r="106">
      <c r="A106" s="20" t="inlineStr">
        <is>
          <t>자본잉여금</t>
        </is>
      </c>
      <c r="C106" s="22" t="n">
        <v>1790509</v>
      </c>
      <c r="D106" s="22" t="n">
        <v>1734685</v>
      </c>
      <c r="E106" s="22" t="n">
        <v>1751906</v>
      </c>
      <c r="F106" s="22" t="n">
        <v>1776352</v>
      </c>
      <c r="G106" s="22" t="n">
        <v>1789905</v>
      </c>
      <c r="H106" s="22" t="n">
        <v>1708873</v>
      </c>
      <c r="I106" s="22" t="n">
        <v>1728830</v>
      </c>
      <c r="J106" s="22" t="n">
        <v>1747414</v>
      </c>
      <c r="K106" s="22" t="n">
        <v>1775713</v>
      </c>
      <c r="L106" s="22" t="n">
        <v>1776352</v>
      </c>
    </row>
    <row r="107">
      <c r="A107" s="20" t="inlineStr">
        <is>
          <t>자기주식</t>
        </is>
      </c>
      <c r="C107" s="22" t="n">
        <v>-124124</v>
      </c>
      <c r="D107" s="22" t="n">
        <v>-49124</v>
      </c>
      <c r="E107" s="22" t="n">
        <v>-49124</v>
      </c>
      <c r="F107" s="22" t="n">
        <v>-49128</v>
      </c>
      <c r="G107" s="22" t="n">
        <v>-47440</v>
      </c>
      <c r="H107" s="22" t="n">
        <v>-116007</v>
      </c>
      <c r="I107" s="22" t="n">
        <v>-100317</v>
      </c>
      <c r="J107" s="22" t="n">
        <v>-51259</v>
      </c>
      <c r="K107" s="22" t="n">
        <v>-74815</v>
      </c>
      <c r="L107" s="22" t="n">
        <v>-49128</v>
      </c>
    </row>
    <row r="108">
      <c r="A108" s="20" t="inlineStr">
        <is>
          <t>이익잉여금</t>
        </is>
      </c>
      <c r="C108" s="22" t="n">
        <v>1156692</v>
      </c>
      <c r="D108" s="22" t="n">
        <v>1148658</v>
      </c>
      <c r="E108" s="22" t="n">
        <v>1095662</v>
      </c>
      <c r="F108" s="22" t="n">
        <v>712381</v>
      </c>
      <c r="G108" s="22" t="n">
        <v>667007</v>
      </c>
      <c r="H108" s="22" t="n">
        <v>1479716</v>
      </c>
      <c r="I108" s="22" t="n">
        <v>1541146</v>
      </c>
      <c r="J108" s="22" t="n">
        <v>1391203</v>
      </c>
      <c r="K108" s="22" t="n">
        <v>1187586</v>
      </c>
      <c r="L108" s="22" t="n">
        <v>712381</v>
      </c>
    </row>
    <row r="109">
      <c r="A109" s="20" t="inlineStr">
        <is>
          <t>기타자본구성요소</t>
        </is>
      </c>
      <c r="C109" s="22" t="n">
        <v>2347471</v>
      </c>
      <c r="D109" s="22" t="n">
        <v>2605315</v>
      </c>
      <c r="E109" s="22" t="n">
        <v>3152680</v>
      </c>
      <c r="F109" s="22" t="n">
        <v>3297407</v>
      </c>
      <c r="G109" s="22" t="n">
        <v>3464093</v>
      </c>
      <c r="H109" s="22" t="n">
        <v>934173</v>
      </c>
      <c r="I109" s="22" t="n">
        <v>1508119</v>
      </c>
      <c r="J109" s="22" t="n">
        <v>2509310</v>
      </c>
      <c r="K109" s="22" t="n">
        <v>2351915</v>
      </c>
      <c r="L109" s="22" t="n">
        <v>3297407</v>
      </c>
    </row>
    <row r="110">
      <c r="A110" s="20" t="inlineStr">
        <is>
          <t>Other Comprehensive Income Related To Assets Held For Sale</t>
        </is>
      </c>
      <c r="D110" s="22" t="n">
        <v>-3595</v>
      </c>
      <c r="E110" s="22" t="n">
        <v>-2943</v>
      </c>
      <c r="F110" s="22" t="n">
        <v>-2848</v>
      </c>
      <c r="G110" s="22" t="n">
        <v>-11055</v>
      </c>
      <c r="K110" s="22" t="n">
        <v>0</v>
      </c>
      <c r="L110" s="22" t="n">
        <v>-2848</v>
      </c>
    </row>
    <row r="111">
      <c r="A111" s="20" t="inlineStr">
        <is>
          <t>Equity Attributable To Owners Of Parent</t>
        </is>
      </c>
      <c r="C111" s="22" t="n">
        <v>6865259</v>
      </c>
      <c r="D111" s="22" t="n">
        <v>7130697</v>
      </c>
      <c r="E111" s="22" t="n">
        <v>7642943</v>
      </c>
      <c r="F111" s="22" t="n">
        <v>7429441</v>
      </c>
      <c r="G111" s="22" t="n">
        <v>7557887</v>
      </c>
      <c r="H111" s="22" t="n">
        <v>5683019</v>
      </c>
      <c r="I111" s="22" t="n">
        <v>6354122</v>
      </c>
      <c r="J111" s="22" t="n">
        <v>7273264</v>
      </c>
      <c r="K111" s="22" t="n">
        <v>6935084</v>
      </c>
      <c r="L111" s="22" t="n">
        <v>7429441</v>
      </c>
    </row>
    <row r="112">
      <c r="A112" s="20" t="inlineStr">
        <is>
          <t>비지배지분</t>
        </is>
      </c>
      <c r="C112" s="22" t="n">
        <v>921</v>
      </c>
      <c r="D112" s="22" t="n">
        <v>992</v>
      </c>
      <c r="E112" s="22" t="n">
        <v>1147</v>
      </c>
      <c r="F112" s="22" t="n">
        <v>1208</v>
      </c>
      <c r="G112" s="22" t="n">
        <v>989</v>
      </c>
      <c r="H112" s="22" t="n">
        <v>504</v>
      </c>
      <c r="I112" s="22" t="n">
        <v>549</v>
      </c>
      <c r="J112" s="22" t="n">
        <v>741</v>
      </c>
      <c r="K112" s="22" t="n">
        <v>895</v>
      </c>
      <c r="L112" s="22" t="n">
        <v>1208</v>
      </c>
    </row>
    <row r="113">
      <c r="A113" s="20" t="inlineStr">
        <is>
          <t>자본 합계</t>
        </is>
      </c>
      <c r="C113" s="22" t="n">
        <v>6866179</v>
      </c>
      <c r="D113" s="22" t="n">
        <v>7131690</v>
      </c>
      <c r="E113" s="22" t="n">
        <v>7644091</v>
      </c>
      <c r="F113" s="22" t="n">
        <v>7430649</v>
      </c>
      <c r="G113" s="22" t="n">
        <v>7558876</v>
      </c>
      <c r="H113" s="22" t="n">
        <v>5683523</v>
      </c>
      <c r="I113" s="22" t="n">
        <v>6354672</v>
      </c>
      <c r="J113" s="22" t="n">
        <v>7274005</v>
      </c>
      <c r="K113" s="22" t="n">
        <v>6935979</v>
      </c>
      <c r="L113" s="22" t="n">
        <v>7430649</v>
      </c>
    </row>
    <row r="114">
      <c r="A114" s="20" t="inlineStr">
        <is>
          <t>부채및자본 합계</t>
        </is>
      </c>
      <c r="C114" s="22" t="n">
        <v>14004537</v>
      </c>
      <c r="D114" s="22" t="n">
        <v>14470300</v>
      </c>
      <c r="E114" s="22" t="n">
        <v>15408774</v>
      </c>
      <c r="F114" s="22" t="n">
        <v>15511506</v>
      </c>
      <c r="G114" s="22" t="n">
        <v>15663271</v>
      </c>
      <c r="H114" s="22" t="n">
        <v>13178018</v>
      </c>
      <c r="I114" s="22" t="n">
        <v>13957750</v>
      </c>
      <c r="J114" s="22" t="n">
        <v>15108792</v>
      </c>
      <c r="K114" s="22" t="n">
        <v>14248344</v>
      </c>
      <c r="L114" s="22" t="n">
        <v>15511506</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2" t="inlineStr">
        <is>
          <t>출처 · 쓴 결산단신</t>
        </is>
      </c>
    </row>
    <row r="3">
      <c r="A3" s="53" t="inlineStr">
        <is>
          <t>공시일</t>
        </is>
      </c>
      <c r="B3" s="53" t="inlineStr">
        <is>
          <t>문서</t>
        </is>
      </c>
      <c r="C3" s="53" t="inlineStr">
        <is>
          <t>PDF</t>
        </is>
      </c>
    </row>
    <row r="4">
      <c r="A4" t="inlineStr">
        <is>
          <t>2026-07-30</t>
        </is>
      </c>
      <c r="B4" t="inlineStr">
        <is>
          <t>2027년 3월 결산기 1분기 결산단신</t>
        </is>
      </c>
      <c r="C4" t="inlineStr">
        <is>
          <t>https://www2.jpx.co.jp/disc/45020/140120260730502934.pdf</t>
        </is>
      </c>
    </row>
    <row r="5">
      <c r="A5" t="inlineStr">
        <is>
          <t>2026-05-13</t>
        </is>
      </c>
      <c r="B5" t="inlineStr">
        <is>
          <t>2026년 3월 결산기 연간 결산단신</t>
        </is>
      </c>
      <c r="C5" t="inlineStr">
        <is>
          <t>https://www2.jpx.co.jp/disc/45020/140120260513528342.pdf</t>
        </is>
      </c>
    </row>
    <row r="6">
      <c r="A6" t="inlineStr">
        <is>
          <t>2026-01-29</t>
        </is>
      </c>
      <c r="B6" t="inlineStr">
        <is>
          <t>2026년 3월 결산기 3분기 결산단신</t>
        </is>
      </c>
      <c r="C6" t="inlineStr">
        <is>
          <t>https://www2.jpx.co.jp/disc/45020/140120260128539926.pdf</t>
        </is>
      </c>
    </row>
    <row r="7">
      <c r="A7" t="inlineStr">
        <is>
          <t>2025-10-30</t>
        </is>
      </c>
      <c r="B7" t="inlineStr">
        <is>
          <t>2026년 3월 결산기 2분기 결산단신</t>
        </is>
      </c>
      <c r="C7" t="inlineStr">
        <is>
          <t>https://www2.jpx.co.jp/disc/45020/140120251028580260.pdf</t>
        </is>
      </c>
    </row>
    <row r="8">
      <c r="A8" t="inlineStr">
        <is>
          <t>2025-07-30</t>
        </is>
      </c>
      <c r="B8" t="inlineStr">
        <is>
          <t>2026년 3월 결산기 1분기 결산단신</t>
        </is>
      </c>
      <c r="C8" t="inlineStr">
        <is>
          <t>https://www2.jpx.co.jp/disc/45020/140120250729522992.pdf</t>
        </is>
      </c>
    </row>
    <row r="9">
      <c r="A9" t="inlineStr">
        <is>
          <t>2025-05-08</t>
        </is>
      </c>
      <c r="B9" t="inlineStr">
        <is>
          <t>2025년 3월 결산기 연간 결산단신</t>
        </is>
      </c>
      <c r="C9" t="inlineStr">
        <is>
          <t>https://www2.jpx.co.jp/disc/45020/140120250508533528.pdf</t>
        </is>
      </c>
    </row>
    <row r="10">
      <c r="A10" t="inlineStr">
        <is>
          <t>2025-01-30</t>
        </is>
      </c>
      <c r="B10" t="inlineStr">
        <is>
          <t>2025년 3월 결산기 ３분기 결산단신</t>
        </is>
      </c>
      <c r="C10" t="inlineStr">
        <is>
          <t>https://www2.jpx.co.jp/disc/45020/140120250121553106.pdf</t>
        </is>
      </c>
    </row>
    <row r="11">
      <c r="A11" t="inlineStr">
        <is>
          <t>2024-10-31</t>
        </is>
      </c>
      <c r="B11" t="inlineStr">
        <is>
          <t>2025년 3월 결산기 ２분기 결산단신</t>
        </is>
      </c>
      <c r="C11" t="inlineStr">
        <is>
          <t>https://www2.jpx.co.jp/disc/45020/140120241028503757.pdf</t>
        </is>
      </c>
    </row>
    <row r="12">
      <c r="A12" t="inlineStr">
        <is>
          <t>2024-07-31</t>
        </is>
      </c>
      <c r="B12" t="inlineStr">
        <is>
          <t>2025년 3월 결산기 １분기 결산단신</t>
        </is>
      </c>
      <c r="C12" t="inlineStr">
        <is>
          <t>https://www2.jpx.co.jp/disc/45020/140120240730557335.pdf</t>
        </is>
      </c>
    </row>
    <row r="13">
      <c r="A13" t="inlineStr">
        <is>
          <t>2024-05-09</t>
        </is>
      </c>
      <c r="B13" t="inlineStr">
        <is>
          <t>2024년 3월 결산기 연간 결산단신</t>
        </is>
      </c>
      <c r="C13" t="inlineStr">
        <is>
          <t>https://www2.jpx.co.jp/disc/45020/140120240508584856.pdf</t>
        </is>
      </c>
    </row>
    <row r="14">
      <c r="A14" t="inlineStr">
        <is>
          <t>2024-02-01</t>
        </is>
      </c>
      <c r="B14" t="inlineStr">
        <is>
          <t>2024년 3월 결산기 3분기 결산단신</t>
        </is>
      </c>
      <c r="C14" t="inlineStr">
        <is>
          <t>https://www2.jpx.co.jp/disc/45020/140120240131523222.pdf</t>
        </is>
      </c>
    </row>
    <row r="15">
      <c r="A15" t="inlineStr">
        <is>
          <t>2023-10-26</t>
        </is>
      </c>
      <c r="B15" t="inlineStr">
        <is>
          <t>2024년 3월 결산기 ２분기 결산단신</t>
        </is>
      </c>
      <c r="C15" t="inlineStr">
        <is>
          <t>https://www2.jpx.co.jp/disc/45020/140120231025571476.pdf</t>
        </is>
      </c>
    </row>
    <row r="16">
      <c r="A16" t="inlineStr">
        <is>
          <t>2023-07-27</t>
        </is>
      </c>
      <c r="B16" t="inlineStr">
        <is>
          <t>2024년 3월 결산기 1분기 결산단신</t>
        </is>
      </c>
      <c r="C16" t="inlineStr">
        <is>
          <t>https://www2.jpx.co.jp/disc/45020/140120230726527421.pdf</t>
        </is>
      </c>
    </row>
    <row r="17">
      <c r="A17" t="inlineStr">
        <is>
          <t>2023-05-11</t>
        </is>
      </c>
      <c r="B17" t="inlineStr">
        <is>
          <t>2023년 3월 결산기 연간 결산단신</t>
        </is>
      </c>
      <c r="C17" t="inlineStr">
        <is>
          <t>https://www2.jpx.co.jp/disc/45020/140120230510564518.pdf</t>
        </is>
      </c>
    </row>
    <row r="18">
      <c r="A18" t="inlineStr">
        <is>
          <t>2023-02-02</t>
        </is>
      </c>
      <c r="B18" t="inlineStr">
        <is>
          <t>2023년 3월 결산기 ３분기 결산단신</t>
        </is>
      </c>
      <c r="C18" t="inlineStr">
        <is>
          <t>https://www2.jpx.co.jp/disc/45020/140120230201598537.pdf</t>
        </is>
      </c>
    </row>
    <row r="19">
      <c r="A19" t="inlineStr">
        <is>
          <t>2022-10-27</t>
        </is>
      </c>
      <c r="B19" t="inlineStr">
        <is>
          <t>2023년 3월 결산기 ２분기 결산단신</t>
        </is>
      </c>
      <c r="C19" t="inlineStr">
        <is>
          <t>https://www2.jpx.co.jp/disc/45020/140120221026549978.pdf</t>
        </is>
      </c>
    </row>
    <row r="20">
      <c r="A20" t="inlineStr">
        <is>
          <t>2022-05-11</t>
        </is>
      </c>
      <c r="B20" t="inlineStr">
        <is>
          <t>2022년 3월 결산기 연간 결산단신</t>
        </is>
      </c>
      <c r="C20" t="inlineStr">
        <is>
          <t>https://www2.jpx.co.jp/disc/45020/140120220510538507.pdf</t>
        </is>
      </c>
    </row>
    <row r="21">
      <c r="A21" t="inlineStr">
        <is>
          <t>2021-05-11</t>
        </is>
      </c>
      <c r="B21" t="inlineStr">
        <is>
          <t>2021년 3월 결산기 연간 결산단신</t>
        </is>
      </c>
      <c r="C21" t="inlineStr">
        <is>
          <t>https://www2.jpx.co.jp/disc/45020/140120210510410369.pdf</t>
        </is>
      </c>
    </row>
    <row r="22">
      <c r="A22" t="inlineStr">
        <is>
          <t>2020-05-13</t>
        </is>
      </c>
      <c r="B22" t="inlineStr">
        <is>
          <t>2020년 3월 결산기 연간 결산단신</t>
        </is>
      </c>
      <c r="C22" t="inlineStr">
        <is>
          <t>https://www2.jpx.co.jp/disc/45020/140120200512411289.pdf</t>
        </is>
      </c>
    </row>
    <row r="23">
      <c r="A23" t="inlineStr">
        <is>
          <t>2019-05-14</t>
        </is>
      </c>
      <c r="B23" t="inlineStr">
        <is>
          <t>2019년 3월 결산기 연간 결산단신</t>
        </is>
      </c>
      <c r="C23" t="inlineStr">
        <is>
          <t>https://www2.jpx.co.jp/disc/45020/140120190513423783.pdf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2026-10-28T07:03:17Z</dcterms:created>
  <dcterms:modified xmlns:dcterms="http://purl.org/dc/terms/" xmlns:xsi="http://www.w3.org/2001/XMLSchema-instance" xsi:type="dcterms:W3CDTF">2026-10-28T07:03:17Z</dcterms:modified>
</cp:coreProperties>
</file>