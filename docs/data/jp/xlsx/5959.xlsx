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6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8" borderId="0" applyAlignment="1" pivotButton="0" quotePrefix="0" xfId="0">
      <alignment horizontal="center"/>
    </xf>
    <xf numFmtId="0" fontId="25" fillId="0" borderId="0" pivotButton="0" quotePrefix="0" xfId="0"/>
    <xf numFmtId="3" fontId="25" fillId="0" borderId="0" pivotButton="0" quotePrefix="0" xfId="0"/>
    <xf numFmtId="170" fontId="25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3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5959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12월 결산 · 일본 기준 · 2026.3Q = 2026년 12월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19990</v>
      </c>
      <c r="D4" s="12" t="n">
        <v>15671</v>
      </c>
      <c r="E4" s="12" t="n">
        <v>16142</v>
      </c>
      <c r="F4" s="12" t="n">
        <v>17810</v>
      </c>
      <c r="G4" s="12" t="n">
        <v>18183</v>
      </c>
      <c r="H4" s="12" t="n">
        <v>15997</v>
      </c>
      <c r="I4" s="12" t="n">
        <v>17072</v>
      </c>
      <c r="J4" s="12" t="n">
        <v>18178</v>
      </c>
      <c r="K4" s="12" t="n">
        <v>18511</v>
      </c>
      <c r="L4" s="12" t="n">
        <v>16436</v>
      </c>
      <c r="M4" s="12" t="n">
        <v>18121</v>
      </c>
      <c r="N4" s="12" t="n">
        <v>19579</v>
      </c>
      <c r="O4" s="11" t="n">
        <v>63190.466</v>
      </c>
      <c r="P4" s="12" t="n">
        <v>60917</v>
      </c>
      <c r="Q4" s="12" t="n">
        <v>64785</v>
      </c>
      <c r="R4" s="12" t="n">
        <v>65409</v>
      </c>
      <c r="S4" s="12" t="n">
        <v>63127</v>
      </c>
      <c r="T4" s="12" t="n">
        <v>64829</v>
      </c>
      <c r="U4" s="12" t="n">
        <v>76854</v>
      </c>
      <c r="V4" s="12" t="n">
        <v>78152</v>
      </c>
      <c r="W4" s="12" t="n">
        <v>67806</v>
      </c>
      <c r="X4" s="12" t="n">
        <v>69758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14709</v>
      </c>
      <c r="D11" s="22" t="n">
        <v>10850</v>
      </c>
      <c r="E11" s="22" t="n">
        <v>10914</v>
      </c>
      <c r="F11" s="22" t="n">
        <v>12212</v>
      </c>
      <c r="G11" s="22" t="n">
        <v>12670</v>
      </c>
      <c r="H11" s="22" t="n">
        <v>10989</v>
      </c>
      <c r="I11" s="22" t="n">
        <v>11583</v>
      </c>
      <c r="J11" s="22" t="n">
        <v>12499</v>
      </c>
      <c r="K11" s="22" t="n">
        <v>12973</v>
      </c>
      <c r="L11" s="22" t="n">
        <v>11688</v>
      </c>
      <c r="M11" s="22" t="n">
        <v>12377</v>
      </c>
      <c r="N11" s="22" t="n">
        <v>12668</v>
      </c>
      <c r="O11" s="21" t="n">
        <v>45548.075</v>
      </c>
      <c r="P11" s="22" t="n">
        <v>43895</v>
      </c>
      <c r="Q11" s="22" t="n">
        <v>46677</v>
      </c>
      <c r="R11" s="22" t="n">
        <v>46912</v>
      </c>
      <c r="S11" s="22" t="n">
        <v>45509</v>
      </c>
      <c r="T11" s="22" t="n">
        <v>46689</v>
      </c>
      <c r="U11" s="22" t="n">
        <v>56199</v>
      </c>
      <c r="V11" s="22" t="n">
        <v>56875</v>
      </c>
      <c r="W11" s="22" t="n">
        <v>46646</v>
      </c>
      <c r="X11" s="22" t="n">
        <v>48044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4617</v>
      </c>
      <c r="D17" s="22" t="n">
        <v>4019</v>
      </c>
      <c r="E17" s="22" t="n">
        <v>4259</v>
      </c>
      <c r="F17" s="22" t="n">
        <v>4210</v>
      </c>
      <c r="G17" s="22" t="n">
        <v>4478</v>
      </c>
      <c r="H17" s="22" t="n">
        <v>4026</v>
      </c>
      <c r="I17" s="22" t="n">
        <v>4196</v>
      </c>
      <c r="J17" s="22" t="n">
        <v>4283</v>
      </c>
      <c r="K17" s="22" t="n">
        <v>4446</v>
      </c>
      <c r="L17" s="22" t="n">
        <v>4219</v>
      </c>
      <c r="M17" s="22" t="n">
        <v>4465</v>
      </c>
      <c r="N17" s="22" t="n">
        <v>4650</v>
      </c>
      <c r="O17" s="21" t="n">
        <v>12114.901</v>
      </c>
      <c r="P17" s="22" t="n">
        <v>12177</v>
      </c>
      <c r="Q17" s="22" t="n">
        <v>12758</v>
      </c>
      <c r="R17" s="22" t="n">
        <v>13202</v>
      </c>
      <c r="S17" s="22" t="n">
        <v>13121</v>
      </c>
      <c r="T17" s="22" t="n">
        <v>13806</v>
      </c>
      <c r="U17" s="22" t="n">
        <v>15383</v>
      </c>
      <c r="V17" s="22" t="n">
        <v>17194</v>
      </c>
      <c r="W17" s="22" t="n">
        <v>16966</v>
      </c>
      <c r="X17" s="22" t="n">
        <v>16951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663</v>
      </c>
      <c r="D19" s="12" t="n">
        <v>801</v>
      </c>
      <c r="E19" s="12" t="n">
        <v>969</v>
      </c>
      <c r="F19" s="12" t="n">
        <v>1388</v>
      </c>
      <c r="G19" s="12" t="n">
        <v>1036</v>
      </c>
      <c r="H19" s="12" t="n">
        <v>981</v>
      </c>
      <c r="I19" s="12" t="n">
        <v>1292</v>
      </c>
      <c r="J19" s="12" t="n">
        <v>1397</v>
      </c>
      <c r="K19" s="12" t="n">
        <v>1092</v>
      </c>
      <c r="L19" s="12" t="n">
        <v>528</v>
      </c>
      <c r="M19" s="12" t="n">
        <v>1278</v>
      </c>
      <c r="N19" s="12" t="n">
        <v>2262</v>
      </c>
      <c r="O19" s="11" t="n">
        <v>5527.489</v>
      </c>
      <c r="P19" s="12" t="n">
        <v>4844</v>
      </c>
      <c r="Q19" s="12" t="n">
        <v>5349</v>
      </c>
      <c r="R19" s="12" t="n">
        <v>5294</v>
      </c>
      <c r="S19" s="12" t="n">
        <v>4496</v>
      </c>
      <c r="T19" s="12" t="n">
        <v>4334</v>
      </c>
      <c r="U19" s="12" t="n">
        <v>5271</v>
      </c>
      <c r="V19" s="12" t="n">
        <v>4082</v>
      </c>
      <c r="W19" s="12" t="n">
        <v>4194</v>
      </c>
      <c r="X19" s="12" t="n">
        <v>4762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>
        <v>42</v>
      </c>
      <c r="D35" s="22" t="n">
        <v>64</v>
      </c>
      <c r="E35" s="22" t="n">
        <v>116</v>
      </c>
      <c r="F35" s="22" t="n">
        <v>47</v>
      </c>
      <c r="G35" s="22" t="n">
        <v>8</v>
      </c>
      <c r="H35" s="22" t="n">
        <v>29</v>
      </c>
      <c r="I35" s="22" t="n">
        <v>141</v>
      </c>
      <c r="J35" s="22" t="n">
        <v>132</v>
      </c>
      <c r="K35" s="22" t="n">
        <v>14</v>
      </c>
      <c r="L35" s="22" t="n">
        <v>285</v>
      </c>
      <c r="M35" s="22" t="n">
        <v>6</v>
      </c>
      <c r="N35" s="22" t="n">
        <v>6</v>
      </c>
      <c r="O35" s="21" t="n">
        <v>6510.885</v>
      </c>
      <c r="P35" s="22" t="n">
        <v>464</v>
      </c>
      <c r="Q35" s="22" t="n">
        <v>717</v>
      </c>
      <c r="R35" s="22" t="n">
        <v>132</v>
      </c>
      <c r="S35" s="22" t="n">
        <v>0</v>
      </c>
      <c r="T35" s="22" t="n">
        <v>52</v>
      </c>
      <c r="U35" s="22" t="n">
        <v>790</v>
      </c>
      <c r="V35" s="22" t="n">
        <v>54</v>
      </c>
      <c r="W35" s="22" t="n">
        <v>235</v>
      </c>
      <c r="X35" s="22" t="n">
        <v>316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>
        <v>8122</v>
      </c>
      <c r="D37" s="22" t="n">
        <v>93</v>
      </c>
      <c r="E37" s="22" t="n">
        <v>45</v>
      </c>
      <c r="F37" s="22" t="n">
        <v>121</v>
      </c>
      <c r="G37" s="22" t="n">
        <v>5659</v>
      </c>
      <c r="H37" s="22" t="n">
        <v>11</v>
      </c>
      <c r="I37" s="22" t="n">
        <v>18</v>
      </c>
      <c r="J37" s="22" t="n">
        <v>98</v>
      </c>
      <c r="K37" s="22" t="n">
        <v>291</v>
      </c>
      <c r="L37" s="22" t="n">
        <v>7</v>
      </c>
      <c r="M37" s="22" t="n">
        <v>7</v>
      </c>
      <c r="N37" s="22" t="n">
        <v>0</v>
      </c>
      <c r="O37" s="21" t="n">
        <v>391.654</v>
      </c>
      <c r="P37" s="22" t="n">
        <v>193</v>
      </c>
      <c r="Q37" s="22" t="n">
        <v>2124</v>
      </c>
      <c r="R37" s="22" t="n">
        <v>605</v>
      </c>
      <c r="S37" s="22" t="n">
        <v>1127</v>
      </c>
      <c r="T37" s="22" t="n">
        <v>706</v>
      </c>
      <c r="U37" s="22" t="n">
        <v>495</v>
      </c>
      <c r="V37" s="22" t="n">
        <v>10307</v>
      </c>
      <c r="W37" s="22" t="n">
        <v>5918</v>
      </c>
      <c r="X37" s="22" t="n">
        <v>418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167</v>
      </c>
      <c r="D39" s="22" t="n">
        <v>99</v>
      </c>
      <c r="E39" s="22" t="n">
        <v>140</v>
      </c>
      <c r="F39" s="22" t="n">
        <v>86</v>
      </c>
      <c r="G39" s="22" t="n">
        <v>163</v>
      </c>
      <c r="H39" s="22" t="n">
        <v>146</v>
      </c>
      <c r="I39" s="22" t="n">
        <v>143</v>
      </c>
      <c r="J39" s="22" t="n">
        <v>118</v>
      </c>
      <c r="K39" s="22" t="n">
        <v>158</v>
      </c>
      <c r="L39" s="22" t="n">
        <v>113</v>
      </c>
      <c r="M39" s="22" t="n">
        <v>158</v>
      </c>
      <c r="N39" s="22" t="n">
        <v>169</v>
      </c>
      <c r="O39" s="21" t="n">
        <v>383.657</v>
      </c>
      <c r="P39" s="22" t="n">
        <v>405</v>
      </c>
      <c r="Q39" s="22" t="n">
        <v>379</v>
      </c>
      <c r="R39" s="22" t="n">
        <v>476</v>
      </c>
      <c r="S39" s="22" t="n">
        <v>374</v>
      </c>
      <c r="T39" s="22" t="n">
        <v>548</v>
      </c>
      <c r="U39" s="22" t="n">
        <v>414</v>
      </c>
      <c r="V39" s="22" t="n">
        <v>571</v>
      </c>
      <c r="W39" s="22" t="n">
        <v>488</v>
      </c>
      <c r="X39" s="22" t="n">
        <v>565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80</v>
      </c>
      <c r="D41" s="22" t="n">
        <v>46</v>
      </c>
      <c r="E41" s="22" t="n">
        <v>29</v>
      </c>
      <c r="F41" s="22" t="n">
        <v>44</v>
      </c>
      <c r="G41" s="22" t="n">
        <v>141</v>
      </c>
      <c r="H41" s="22" t="n">
        <v>72</v>
      </c>
      <c r="I41" s="22" t="n">
        <v>46</v>
      </c>
      <c r="J41" s="22" t="n">
        <v>66</v>
      </c>
      <c r="K41" s="22" t="n">
        <v>62</v>
      </c>
      <c r="L41" s="22" t="n">
        <v>62</v>
      </c>
      <c r="M41" s="22" t="n">
        <v>32</v>
      </c>
      <c r="N41" s="22" t="n">
        <v>62</v>
      </c>
      <c r="O41" s="21" t="n">
        <v>130.751</v>
      </c>
      <c r="P41" s="22" t="n">
        <v>182</v>
      </c>
      <c r="Q41" s="22" t="n">
        <v>127</v>
      </c>
      <c r="R41" s="22" t="n">
        <v>151</v>
      </c>
      <c r="S41" s="22" t="n">
        <v>167</v>
      </c>
      <c r="T41" s="22" t="n">
        <v>155</v>
      </c>
      <c r="U41" s="22" t="n">
        <v>213</v>
      </c>
      <c r="V41" s="22" t="n">
        <v>350</v>
      </c>
      <c r="W41" s="22" t="n">
        <v>260</v>
      </c>
      <c r="X41" s="22" t="n">
        <v>246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-7330</v>
      </c>
      <c r="D43" s="12" t="n">
        <v>824</v>
      </c>
      <c r="E43" s="12" t="n">
        <v>1152</v>
      </c>
      <c r="F43" s="12" t="n">
        <v>1357</v>
      </c>
      <c r="G43" s="12" t="n">
        <v>-4593</v>
      </c>
      <c r="H43" s="12" t="n">
        <v>1073</v>
      </c>
      <c r="I43" s="12" t="n">
        <v>1512</v>
      </c>
      <c r="J43" s="12" t="n">
        <v>1482</v>
      </c>
      <c r="K43" s="12" t="n">
        <v>912</v>
      </c>
      <c r="L43" s="12" t="n">
        <v>856</v>
      </c>
      <c r="M43" s="12" t="n">
        <v>1403</v>
      </c>
      <c r="N43" s="12" t="n">
        <v>2375</v>
      </c>
      <c r="O43" s="11" t="n">
        <v>11899.625</v>
      </c>
      <c r="P43" s="12" t="n">
        <v>5339</v>
      </c>
      <c r="Q43" s="12" t="n">
        <v>4194</v>
      </c>
      <c r="R43" s="12" t="n">
        <v>5147</v>
      </c>
      <c r="S43" s="12" t="n">
        <v>3576</v>
      </c>
      <c r="T43" s="12" t="n">
        <v>4072</v>
      </c>
      <c r="U43" s="12" t="n">
        <v>5767</v>
      </c>
      <c r="V43" s="12" t="n">
        <v>-5950</v>
      </c>
      <c r="W43" s="12" t="n">
        <v>-1260</v>
      </c>
      <c r="X43" s="12" t="n">
        <v>4979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-1112</v>
      </c>
      <c r="D45" s="22" t="n">
        <v>245</v>
      </c>
      <c r="E45" s="22" t="n">
        <v>391</v>
      </c>
      <c r="F45" s="22" t="n">
        <v>364</v>
      </c>
      <c r="G45" s="22" t="n">
        <v>-1386</v>
      </c>
      <c r="H45" s="22" t="n">
        <v>330</v>
      </c>
      <c r="I45" s="22" t="n">
        <v>502</v>
      </c>
      <c r="J45" s="22" t="n">
        <v>459</v>
      </c>
      <c r="K45" s="22" t="n">
        <v>402</v>
      </c>
      <c r="L45" s="22" t="n">
        <v>322</v>
      </c>
      <c r="M45" s="22" t="n">
        <v>452</v>
      </c>
      <c r="N45" s="22" t="n">
        <v>698</v>
      </c>
      <c r="O45" s="21" t="n">
        <v>4037.811</v>
      </c>
      <c r="P45" s="22" t="n">
        <v>1853</v>
      </c>
      <c r="Q45" s="22" t="n">
        <v>1065</v>
      </c>
      <c r="R45" s="22" t="n">
        <v>1805</v>
      </c>
      <c r="S45" s="22" t="n">
        <v>890</v>
      </c>
      <c r="T45" s="22" t="n">
        <v>1444</v>
      </c>
      <c r="U45" s="22" t="n">
        <v>1919</v>
      </c>
      <c r="V45" s="22" t="n">
        <v>-477</v>
      </c>
      <c r="W45" s="22" t="n">
        <v>-386</v>
      </c>
      <c r="X45" s="22" t="n">
        <v>1693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-6216</v>
      </c>
      <c r="D47" s="12" t="n">
        <v>579</v>
      </c>
      <c r="E47" s="12" t="n">
        <v>760</v>
      </c>
      <c r="F47" s="12" t="n">
        <v>994</v>
      </c>
      <c r="G47" s="12" t="n">
        <v>-3206</v>
      </c>
      <c r="H47" s="12" t="n">
        <v>743</v>
      </c>
      <c r="I47" s="12" t="n">
        <v>1009</v>
      </c>
      <c r="J47" s="12" t="n">
        <v>1024</v>
      </c>
      <c r="K47" s="12" t="n">
        <v>510</v>
      </c>
      <c r="L47" s="12" t="n">
        <v>534</v>
      </c>
      <c r="M47" s="12" t="n">
        <v>951</v>
      </c>
      <c r="N47" s="12" t="n">
        <v>1677</v>
      </c>
      <c r="O47" s="11" t="n">
        <v>7861.814</v>
      </c>
      <c r="P47" s="12" t="n">
        <v>3485</v>
      </c>
      <c r="Q47" s="12" t="n">
        <v>3128</v>
      </c>
      <c r="R47" s="12" t="n">
        <v>3342</v>
      </c>
      <c r="S47" s="12" t="n">
        <v>2685</v>
      </c>
      <c r="T47" s="12" t="n">
        <v>2628</v>
      </c>
      <c r="U47" s="12" t="n">
        <v>3847</v>
      </c>
      <c r="V47" s="12" t="n">
        <v>-5472</v>
      </c>
      <c r="W47" s="12" t="n">
        <v>-873</v>
      </c>
      <c r="X47" s="12" t="n">
        <v>3286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-6217</v>
      </c>
      <c r="D49" s="12" t="n">
        <v>578</v>
      </c>
      <c r="E49" s="12" t="n">
        <v>761</v>
      </c>
      <c r="F49" s="12" t="n">
        <v>993</v>
      </c>
      <c r="G49" s="12" t="n">
        <v>-3206</v>
      </c>
      <c r="H49" s="12" t="n">
        <v>743</v>
      </c>
      <c r="I49" s="12" t="n">
        <v>1009</v>
      </c>
      <c r="J49" s="12" t="n">
        <v>1024</v>
      </c>
      <c r="K49" s="12" t="n">
        <v>509</v>
      </c>
      <c r="L49" s="12" t="n">
        <v>534</v>
      </c>
      <c r="M49" s="12" t="n">
        <v>951</v>
      </c>
      <c r="N49" s="12" t="n">
        <v>1677</v>
      </c>
      <c r="O49" s="11" t="n">
        <v>7861.814</v>
      </c>
      <c r="P49" s="12" t="n">
        <v>3485</v>
      </c>
      <c r="Q49" s="12" t="n">
        <v>3128</v>
      </c>
      <c r="R49" s="12" t="n">
        <v>3342</v>
      </c>
      <c r="S49" s="12" t="n">
        <v>2685</v>
      </c>
      <c r="T49" s="12" t="n">
        <v>2627</v>
      </c>
      <c r="U49" s="12" t="n">
        <v>3848</v>
      </c>
      <c r="V49" s="12" t="n">
        <v>-5472</v>
      </c>
      <c r="W49" s="12" t="n">
        <v>-874</v>
      </c>
      <c r="X49" s="12" t="n">
        <v>3285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2023.4Q</t>
        </is>
      </c>
      <c r="D83" s="5" t="inlineStr">
        <is>
          <t>2024.1Q</t>
        </is>
      </c>
      <c r="E83" s="5" t="inlineStr">
        <is>
          <t>2024.2Q</t>
        </is>
      </c>
      <c r="F83" s="5" t="inlineStr">
        <is>
          <t>2024.3Q</t>
        </is>
      </c>
      <c r="G83" s="5" t="inlineStr">
        <is>
          <t>2024.4Q</t>
        </is>
      </c>
      <c r="H83" s="5" t="inlineStr">
        <is>
          <t>2025.1Q</t>
        </is>
      </c>
      <c r="I83" s="5" t="inlineStr">
        <is>
          <t>2025.2Q</t>
        </is>
      </c>
      <c r="J83" s="5" t="inlineStr">
        <is>
          <t>2025.3Q</t>
        </is>
      </c>
      <c r="K83" s="5" t="inlineStr">
        <is>
          <t>2025.4Q</t>
        </is>
      </c>
      <c r="L83" s="5" t="inlineStr">
        <is>
          <t>2026.1Q</t>
        </is>
      </c>
      <c r="M83" s="5" t="inlineStr">
        <is>
          <t>2026.2Q</t>
        </is>
      </c>
      <c r="N83" s="5" t="inlineStr">
        <is>
          <t>2026.3Q</t>
        </is>
      </c>
      <c r="O83" s="5" t="inlineStr">
        <is>
          <t>2016</t>
        </is>
      </c>
      <c r="P83" s="5" t="inlineStr">
        <is>
          <t>2017</t>
        </is>
      </c>
      <c r="Q83" s="5" t="inlineStr">
        <is>
          <t>2018</t>
        </is>
      </c>
      <c r="R83" s="5" t="inlineStr">
        <is>
          <t>2019</t>
        </is>
      </c>
      <c r="S83" s="5" t="inlineStr">
        <is>
          <t>2020</t>
        </is>
      </c>
      <c r="T83" s="5" t="inlineStr">
        <is>
          <t>2021</t>
        </is>
      </c>
      <c r="U83" s="5" t="inlineStr">
        <is>
          <t>2022</t>
        </is>
      </c>
      <c r="V83" s="5" t="inlineStr">
        <is>
          <t>2023</t>
        </is>
      </c>
      <c r="W83" s="5" t="inlineStr">
        <is>
          <t>2024</t>
        </is>
      </c>
      <c r="X83" s="5" t="inlineStr">
        <is>
          <t>2025</t>
        </is>
      </c>
      <c r="Y83" s="5" t="inlineStr">
        <is>
          <t>2026(MW)</t>
        </is>
      </c>
      <c r="Z83" s="5" t="inlineStr">
        <is>
          <t>2027(MW)</t>
        </is>
      </c>
      <c r="AA83" s="5" t="inlineStr">
        <is>
          <t>2028(MW)</t>
        </is>
      </c>
      <c r="AB83" s="5" t="inlineStr">
        <is>
          <t>2029(MW)</t>
        </is>
      </c>
      <c r="AC83" s="5" t="inlineStr">
        <is>
          <t>2030(MW)</t>
        </is>
      </c>
    </row>
    <row r="84">
      <c r="A84" s="9" t="inlineStr">
        <is>
          <t>매출액</t>
        </is>
      </c>
      <c r="C84" s="12" t="n">
        <v>19990</v>
      </c>
      <c r="D84" s="12" t="n">
        <v>15671</v>
      </c>
      <c r="E84" s="12" t="n">
        <v>16142</v>
      </c>
      <c r="F84" s="12" t="n">
        <v>17810</v>
      </c>
      <c r="G84" s="12" t="n">
        <v>18183</v>
      </c>
      <c r="H84" s="12" t="n">
        <v>15997</v>
      </c>
      <c r="I84" s="12" t="n">
        <v>17072</v>
      </c>
      <c r="J84" s="12" t="n">
        <v>18178</v>
      </c>
      <c r="K84" s="12" t="n">
        <v>18511</v>
      </c>
      <c r="L84" s="12" t="n">
        <v>16436</v>
      </c>
      <c r="M84" s="12" t="n">
        <v>18121</v>
      </c>
      <c r="N84" s="12" t="n">
        <v>19579</v>
      </c>
      <c r="U84" s="12" t="n">
        <v>20410</v>
      </c>
      <c r="V84" s="12" t="n">
        <v>19990</v>
      </c>
      <c r="W84" s="12" t="n">
        <v>18183</v>
      </c>
      <c r="X84" s="12" t="n">
        <v>18511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14709</v>
      </c>
      <c r="D86" s="22" t="n">
        <v>10850</v>
      </c>
      <c r="E86" s="22" t="n">
        <v>10914</v>
      </c>
      <c r="F86" s="22" t="n">
        <v>12212</v>
      </c>
      <c r="G86" s="22" t="n">
        <v>12670</v>
      </c>
      <c r="H86" s="22" t="n">
        <v>10989</v>
      </c>
      <c r="I86" s="22" t="n">
        <v>11583</v>
      </c>
      <c r="J86" s="22" t="n">
        <v>12499</v>
      </c>
      <c r="K86" s="22" t="n">
        <v>12973</v>
      </c>
      <c r="L86" s="22" t="n">
        <v>11688</v>
      </c>
      <c r="M86" s="22" t="n">
        <v>12377</v>
      </c>
      <c r="N86" s="22" t="n">
        <v>12668</v>
      </c>
      <c r="U86" s="22" t="n">
        <v>14946</v>
      </c>
      <c r="V86" s="22" t="n">
        <v>14709</v>
      </c>
      <c r="W86" s="22" t="n">
        <v>12670</v>
      </c>
      <c r="X86" s="22" t="n">
        <v>12973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5281</v>
      </c>
      <c r="D88" s="12" t="n">
        <v>4821</v>
      </c>
      <c r="E88" s="12" t="n">
        <v>5227</v>
      </c>
      <c r="F88" s="12" t="n">
        <v>5598</v>
      </c>
      <c r="G88" s="12" t="n">
        <v>5514</v>
      </c>
      <c r="H88" s="12" t="n">
        <v>5008</v>
      </c>
      <c r="I88" s="12" t="n">
        <v>5488</v>
      </c>
      <c r="J88" s="12" t="n">
        <v>5679</v>
      </c>
      <c r="K88" s="12" t="n">
        <v>5539</v>
      </c>
      <c r="L88" s="12" t="n">
        <v>4748</v>
      </c>
      <c r="M88" s="12" t="n">
        <v>5743</v>
      </c>
      <c r="N88" s="12" t="n">
        <v>6911</v>
      </c>
      <c r="U88" s="12" t="n">
        <v>5465</v>
      </c>
      <c r="V88" s="12" t="n">
        <v>5281</v>
      </c>
      <c r="W88" s="12" t="n">
        <v>5514</v>
      </c>
      <c r="X88" s="12" t="n">
        <v>5539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4617</v>
      </c>
      <c r="D90" s="22" t="n">
        <v>4019</v>
      </c>
      <c r="E90" s="22" t="n">
        <v>4259</v>
      </c>
      <c r="F90" s="22" t="n">
        <v>4210</v>
      </c>
      <c r="G90" s="22" t="n">
        <v>4478</v>
      </c>
      <c r="H90" s="22" t="n">
        <v>4026</v>
      </c>
      <c r="I90" s="22" t="n">
        <v>4196</v>
      </c>
      <c r="J90" s="22" t="n">
        <v>4283</v>
      </c>
      <c r="K90" s="22" t="n">
        <v>4446</v>
      </c>
      <c r="L90" s="22" t="n">
        <v>4219</v>
      </c>
      <c r="M90" s="22" t="n">
        <v>4465</v>
      </c>
      <c r="N90" s="22" t="n">
        <v>4650</v>
      </c>
      <c r="U90" s="22" t="n">
        <v>4113</v>
      </c>
      <c r="V90" s="22" t="n">
        <v>4617</v>
      </c>
      <c r="W90" s="22" t="n">
        <v>4478</v>
      </c>
      <c r="X90" s="22" t="n">
        <v>4446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663</v>
      </c>
      <c r="D92" s="12" t="n">
        <v>801</v>
      </c>
      <c r="E92" s="12" t="n">
        <v>969</v>
      </c>
      <c r="F92" s="12" t="n">
        <v>1388</v>
      </c>
      <c r="G92" s="12" t="n">
        <v>1036</v>
      </c>
      <c r="H92" s="12" t="n">
        <v>981</v>
      </c>
      <c r="I92" s="12" t="n">
        <v>1292</v>
      </c>
      <c r="J92" s="12" t="n">
        <v>1397</v>
      </c>
      <c r="K92" s="12" t="n">
        <v>1092</v>
      </c>
      <c r="L92" s="12" t="n">
        <v>528</v>
      </c>
      <c r="M92" s="12" t="n">
        <v>1278</v>
      </c>
      <c r="N92" s="12" t="n">
        <v>2262</v>
      </c>
      <c r="U92" s="12" t="n">
        <v>1351</v>
      </c>
      <c r="V92" s="12" t="n">
        <v>663</v>
      </c>
      <c r="W92" s="12" t="n">
        <v>1036</v>
      </c>
      <c r="X92" s="12" t="n">
        <v>1092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C95" s="22" t="n">
        <v>27</v>
      </c>
      <c r="D95" s="22" t="n">
        <v>15</v>
      </c>
      <c r="E95" s="22" t="n">
        <v>10</v>
      </c>
      <c r="F95" s="22" t="n">
        <v>11</v>
      </c>
      <c r="G95" s="22" t="n">
        <v>10</v>
      </c>
      <c r="H95" s="22" t="n">
        <v>7</v>
      </c>
      <c r="I95" s="22" t="n">
        <v>20</v>
      </c>
      <c r="J95" s="22" t="n">
        <v>12</v>
      </c>
      <c r="K95" s="22" t="n">
        <v>6</v>
      </c>
      <c r="L95" s="22" t="n">
        <v>7</v>
      </c>
      <c r="M95" s="22" t="n">
        <v>7</v>
      </c>
      <c r="N95" s="22" t="n">
        <v>47</v>
      </c>
      <c r="U95" s="22" t="n">
        <v>8</v>
      </c>
      <c r="V95" s="22" t="n">
        <v>27</v>
      </c>
      <c r="W95" s="22" t="n">
        <v>10</v>
      </c>
      <c r="X95" s="22" t="n">
        <v>6</v>
      </c>
    </row>
    <row r="96">
      <c r="A96" s="20" t="inlineStr">
        <is>
          <t>배당금수익</t>
        </is>
      </c>
      <c r="C96" s="22" t="n">
        <v>50</v>
      </c>
      <c r="D96" s="22" t="n">
        <v>32</v>
      </c>
      <c r="E96" s="22" t="n">
        <v>75</v>
      </c>
      <c r="F96" s="22" t="n">
        <v>24</v>
      </c>
      <c r="G96" s="22" t="n">
        <v>91</v>
      </c>
      <c r="H96" s="22" t="n">
        <v>40</v>
      </c>
      <c r="I96" s="22" t="n">
        <v>77</v>
      </c>
      <c r="J96" s="22" t="n">
        <v>27</v>
      </c>
      <c r="K96" s="22" t="n">
        <v>99</v>
      </c>
      <c r="L96" s="22" t="n">
        <v>45</v>
      </c>
      <c r="M96" s="22" t="n">
        <v>98</v>
      </c>
      <c r="N96" s="22" t="n">
        <v>63</v>
      </c>
      <c r="U96" s="22" t="n">
        <v>41</v>
      </c>
      <c r="V96" s="22" t="n">
        <v>50</v>
      </c>
      <c r="W96" s="22" t="n">
        <v>91</v>
      </c>
      <c r="X96" s="22" t="n">
        <v>99</v>
      </c>
    </row>
    <row r="97">
      <c r="A97" s="20" t="inlineStr">
        <is>
          <t>Gain On Sales Of Scrap NOI</t>
        </is>
      </c>
      <c r="C97" s="22" t="n">
        <v>37</v>
      </c>
      <c r="D97" s="22" t="n">
        <v>33</v>
      </c>
      <c r="E97" s="22" t="n">
        <v>32</v>
      </c>
      <c r="F97" s="22" t="n">
        <v>26</v>
      </c>
      <c r="G97" s="22" t="n">
        <v>24</v>
      </c>
      <c r="H97" s="22" t="n">
        <v>22</v>
      </c>
      <c r="I97" s="22" t="n">
        <v>23</v>
      </c>
      <c r="J97" s="22" t="n">
        <v>18</v>
      </c>
      <c r="K97" s="22" t="n">
        <v>27</v>
      </c>
      <c r="L97" s="22" t="n">
        <v>36</v>
      </c>
      <c r="M97" s="22" t="n">
        <v>35</v>
      </c>
      <c r="N97" s="22" t="n">
        <v>34</v>
      </c>
      <c r="U97" s="22" t="n">
        <v>52</v>
      </c>
      <c r="V97" s="22" t="n">
        <v>37</v>
      </c>
      <c r="W97" s="22" t="n">
        <v>24</v>
      </c>
      <c r="X97" s="22" t="n">
        <v>27</v>
      </c>
    </row>
    <row r="98">
      <c r="A98" s="20" t="inlineStr">
        <is>
          <t>기타</t>
        </is>
      </c>
      <c r="C98" s="22" t="n">
        <v>53</v>
      </c>
      <c r="D98" s="22" t="n">
        <v>19</v>
      </c>
      <c r="E98" s="22" t="n">
        <v>22</v>
      </c>
      <c r="F98" s="22" t="n">
        <v>25</v>
      </c>
      <c r="G98" s="22" t="n">
        <v>38</v>
      </c>
      <c r="H98" s="22" t="n">
        <v>75</v>
      </c>
      <c r="I98" s="22" t="n">
        <v>23</v>
      </c>
      <c r="J98" s="22" t="n">
        <v>61</v>
      </c>
      <c r="K98" s="22" t="n">
        <v>27</v>
      </c>
      <c r="L98" s="22" t="n">
        <v>23</v>
      </c>
      <c r="M98" s="22" t="n">
        <v>17</v>
      </c>
      <c r="N98" s="22" t="n">
        <v>26</v>
      </c>
      <c r="U98" s="22" t="n">
        <v>12</v>
      </c>
      <c r="V98" s="22" t="n">
        <v>53</v>
      </c>
      <c r="W98" s="22" t="n">
        <v>38</v>
      </c>
      <c r="X98" s="22" t="n">
        <v>27</v>
      </c>
    </row>
    <row r="99">
      <c r="A99" s="20" t="inlineStr">
        <is>
          <t>영업외수익 합계</t>
        </is>
      </c>
      <c r="C99" s="22" t="n">
        <v>167</v>
      </c>
      <c r="D99" s="22" t="n">
        <v>99</v>
      </c>
      <c r="E99" s="22" t="n">
        <v>140</v>
      </c>
      <c r="F99" s="22" t="n">
        <v>86</v>
      </c>
      <c r="G99" s="22" t="n">
        <v>163</v>
      </c>
      <c r="H99" s="22" t="n">
        <v>146</v>
      </c>
      <c r="I99" s="22" t="n">
        <v>143</v>
      </c>
      <c r="J99" s="22" t="n">
        <v>118</v>
      </c>
      <c r="K99" s="22" t="n">
        <v>158</v>
      </c>
      <c r="L99" s="22" t="n">
        <v>113</v>
      </c>
      <c r="M99" s="22" t="n">
        <v>158</v>
      </c>
      <c r="N99" s="22" t="n">
        <v>169</v>
      </c>
      <c r="U99" s="22" t="n">
        <v>113</v>
      </c>
      <c r="V99" s="22" t="n">
        <v>167</v>
      </c>
      <c r="W99" s="22" t="n">
        <v>163</v>
      </c>
      <c r="X99" s="22" t="n">
        <v>158</v>
      </c>
    </row>
    <row r="100">
      <c r="A100" s="45" t="inlineStr">
        <is>
          <t>YoY</t>
        </is>
      </c>
      <c r="B100" s="3" t="inlineStr">
        <is>
          <t>전년 같은 분기·전년 대비</t>
        </is>
      </c>
      <c r="G100" s="17">
        <f>IF(OR(G99="",C99=""),"",IF(G99*C99&lt;=0,"",IFERROR(G99/C99-1,"")))</f>
        <v/>
      </c>
      <c r="H100" s="17">
        <f>IF(OR(H99="",D99=""),"",IF(H99*D99&lt;=0,"",IFERROR(H99/D99-1,"")))</f>
        <v/>
      </c>
      <c r="I100" s="17">
        <f>IF(OR(I99="",E99=""),"",IF(I99*E99&lt;=0,"",IFERROR(I99/E99-1,"")))</f>
        <v/>
      </c>
      <c r="J100" s="17">
        <f>IF(OR(J99="",F99=""),"",IF(J99*F99&lt;=0,"",IFERROR(J99/F99-1,"")))</f>
        <v/>
      </c>
      <c r="K100" s="17">
        <f>IF(OR(K99="",G99=""),"",IF(K99*G99&lt;=0,"",IFERROR(K99/G99-1,"")))</f>
        <v/>
      </c>
      <c r="L100" s="17">
        <f>IF(OR(L99="",H99=""),"",IF(L99*H99&lt;=0,"",IFERROR(L99/H99-1,"")))</f>
        <v/>
      </c>
      <c r="M100" s="17">
        <f>IF(OR(M99="",I99=""),"",IF(M99*I99&lt;=0,"",IFERROR(M99/I99-1,"")))</f>
        <v/>
      </c>
      <c r="N100" s="17">
        <f>IF(OR(N99="",J99=""),"",IF(N99*J99&lt;=0,"",IFERROR(N99/J99-1,"")))</f>
        <v/>
      </c>
      <c r="U100" s="17">
        <f>IF(OR(U99="",T99=""),"",IF(U99*T99&lt;=0,"",IFERROR(U99/T99-1,"")))</f>
        <v/>
      </c>
      <c r="V100" s="17">
        <f>IF(OR(V99="",U99=""),"",IF(V99*U99&lt;=0,"",IFERROR(V99/U99-1,"")))</f>
        <v/>
      </c>
      <c r="W100" s="17">
        <f>IF(OR(W99="",V99=""),"",IF(W99*V99&lt;=0,"",IFERROR(W99/V99-1,"")))</f>
        <v/>
      </c>
      <c r="X100" s="17">
        <f>IF(OR(X99="",W99=""),"",IF(X99*W99&lt;=0,"",IFERROR(X99/W99-1,"")))</f>
        <v/>
      </c>
    </row>
    <row r="101">
      <c r="A101" s="20" t="inlineStr">
        <is>
          <t>이자비용</t>
        </is>
      </c>
      <c r="C101" s="22" t="n">
        <v>71</v>
      </c>
      <c r="D101" s="22" t="n">
        <v>16</v>
      </c>
      <c r="E101" s="22" t="n">
        <v>13</v>
      </c>
      <c r="F101" s="22" t="n">
        <v>13</v>
      </c>
      <c r="G101" s="22" t="n">
        <v>15</v>
      </c>
      <c r="H101" s="22" t="n">
        <v>20</v>
      </c>
      <c r="I101" s="22" t="n">
        <v>24</v>
      </c>
      <c r="J101" s="22" t="n">
        <v>26</v>
      </c>
      <c r="K101" s="22" t="n">
        <v>28</v>
      </c>
      <c r="L101" s="22" t="n">
        <v>16</v>
      </c>
      <c r="M101" s="22" t="n">
        <v>20</v>
      </c>
      <c r="N101" s="22" t="n">
        <v>26</v>
      </c>
      <c r="U101" s="22" t="n">
        <v>56</v>
      </c>
      <c r="V101" s="22" t="n">
        <v>71</v>
      </c>
      <c r="W101" s="22" t="n">
        <v>15</v>
      </c>
      <c r="X101" s="22" t="n">
        <v>28</v>
      </c>
    </row>
    <row r="102">
      <c r="A102" s="20" t="inlineStr">
        <is>
          <t>투자조합 운용손실</t>
        </is>
      </c>
      <c r="C102" s="22" t="n">
        <v>0</v>
      </c>
      <c r="D102" s="22" t="n">
        <v>19</v>
      </c>
      <c r="E102" s="22" t="n">
        <v>0</v>
      </c>
      <c r="F102" s="22" t="n">
        <v>24</v>
      </c>
      <c r="G102" s="22" t="n">
        <v>0</v>
      </c>
      <c r="H102" s="22" t="n">
        <v>43</v>
      </c>
      <c r="I102" s="22" t="n">
        <v>0</v>
      </c>
      <c r="J102" s="22" t="n">
        <v>8</v>
      </c>
      <c r="K102" s="22" t="n">
        <v>0</v>
      </c>
      <c r="L102" s="22" t="n">
        <v>25</v>
      </c>
      <c r="M102" s="22" t="n">
        <v>0</v>
      </c>
      <c r="N102" s="22" t="n">
        <v>17</v>
      </c>
      <c r="V102" s="22" t="n">
        <v>0</v>
      </c>
      <c r="W102" s="22" t="n">
        <v>0</v>
      </c>
      <c r="X102" s="22" t="n">
        <v>0</v>
      </c>
    </row>
    <row r="103">
      <c r="A103" s="20" t="inlineStr">
        <is>
          <t>보험해약 손실</t>
        </is>
      </c>
      <c r="G103" s="22" t="n">
        <v>0</v>
      </c>
      <c r="K103" s="22" t="n">
        <v>0</v>
      </c>
      <c r="W103" s="22" t="n">
        <v>0</v>
      </c>
      <c r="X103" s="22" t="n">
        <v>0</v>
      </c>
    </row>
    <row r="104">
      <c r="A104" s="20" t="inlineStr">
        <is>
          <t>기타</t>
        </is>
      </c>
      <c r="C104" s="22" t="n">
        <v>9</v>
      </c>
      <c r="D104" s="22" t="n">
        <v>10</v>
      </c>
      <c r="E104" s="22" t="n">
        <v>16</v>
      </c>
      <c r="F104" s="22" t="n">
        <v>5</v>
      </c>
      <c r="G104" s="22" t="n">
        <v>13</v>
      </c>
      <c r="H104" s="22" t="n">
        <v>7</v>
      </c>
      <c r="I104" s="22" t="n">
        <v>23</v>
      </c>
      <c r="J104" s="22" t="n">
        <v>32</v>
      </c>
      <c r="K104" s="22" t="n">
        <v>-4</v>
      </c>
      <c r="L104" s="22" t="n">
        <v>20</v>
      </c>
      <c r="M104" s="22" t="n">
        <v>12</v>
      </c>
      <c r="N104" s="22" t="n">
        <v>19</v>
      </c>
      <c r="U104" s="22" t="n">
        <v>17</v>
      </c>
      <c r="V104" s="22" t="n">
        <v>9</v>
      </c>
      <c r="W104" s="22" t="n">
        <v>13</v>
      </c>
      <c r="X104" s="22" t="n">
        <v>-4</v>
      </c>
    </row>
    <row r="105">
      <c r="A105" s="20" t="inlineStr">
        <is>
          <t>영업외비용 합계</t>
        </is>
      </c>
      <c r="C105" s="22" t="n">
        <v>80</v>
      </c>
      <c r="D105" s="22" t="n">
        <v>46</v>
      </c>
      <c r="E105" s="22" t="n">
        <v>29</v>
      </c>
      <c r="F105" s="22" t="n">
        <v>44</v>
      </c>
      <c r="G105" s="22" t="n">
        <v>141</v>
      </c>
      <c r="H105" s="22" t="n">
        <v>72</v>
      </c>
      <c r="I105" s="22" t="n">
        <v>46</v>
      </c>
      <c r="J105" s="22" t="n">
        <v>66</v>
      </c>
      <c r="K105" s="22" t="n">
        <v>62</v>
      </c>
      <c r="L105" s="22" t="n">
        <v>62</v>
      </c>
      <c r="M105" s="22" t="n">
        <v>32</v>
      </c>
      <c r="N105" s="22" t="n">
        <v>62</v>
      </c>
      <c r="U105" s="22" t="n">
        <v>72</v>
      </c>
      <c r="V105" s="22" t="n">
        <v>80</v>
      </c>
      <c r="W105" s="22" t="n">
        <v>141</v>
      </c>
      <c r="X105" s="22" t="n">
        <v>62</v>
      </c>
    </row>
    <row r="106">
      <c r="A106" s="45" t="inlineStr">
        <is>
          <t>YoY</t>
        </is>
      </c>
      <c r="B106" s="3" t="inlineStr">
        <is>
          <t>전년 같은 분기·전년 대비</t>
        </is>
      </c>
      <c r="G106" s="17">
        <f>IF(OR(G105="",C105=""),"",IF(G105*C105&lt;=0,"",IFERROR(G105/C105-1,"")))</f>
        <v/>
      </c>
      <c r="H106" s="17">
        <f>IF(OR(H105="",D105=""),"",IF(H105*D105&lt;=0,"",IFERROR(H105/D105-1,"")))</f>
        <v/>
      </c>
      <c r="I106" s="17">
        <f>IF(OR(I105="",E105=""),"",IF(I105*E105&lt;=0,"",IFERROR(I105/E105-1,"")))</f>
        <v/>
      </c>
      <c r="J106" s="17">
        <f>IF(OR(J105="",F105=""),"",IF(J105*F105&lt;=0,"",IFERROR(J105/F105-1,"")))</f>
        <v/>
      </c>
      <c r="K106" s="17">
        <f>IF(OR(K105="",G105=""),"",IF(K105*G105&lt;=0,"",IFERROR(K105/G105-1,"")))</f>
        <v/>
      </c>
      <c r="L106" s="17">
        <f>IF(OR(L105="",H105=""),"",IF(L105*H105&lt;=0,"",IFERROR(L105/H105-1,"")))</f>
        <v/>
      </c>
      <c r="M106" s="17">
        <f>IF(OR(M105="",I105=""),"",IF(M105*I105&lt;=0,"",IFERROR(M105/I105-1,"")))</f>
        <v/>
      </c>
      <c r="N106" s="17">
        <f>IF(OR(N105="",J105=""),"",IF(N105*J105&lt;=0,"",IFERROR(N105/J105-1,"")))</f>
        <v/>
      </c>
      <c r="U106" s="17">
        <f>IF(OR(U105="",T105=""),"",IF(U105*T105&lt;=0,"",IFERROR(U105/T105-1,"")))</f>
        <v/>
      </c>
      <c r="V106" s="17">
        <f>IF(OR(V105="",U105=""),"",IF(V105*U105&lt;=0,"",IFERROR(V105/U105-1,"")))</f>
        <v/>
      </c>
      <c r="W106" s="17">
        <f>IF(OR(W105="",V105=""),"",IF(W105*V105&lt;=0,"",IFERROR(W105/V105-1,"")))</f>
        <v/>
      </c>
      <c r="X106" s="17">
        <f>IF(OR(X105="",W105=""),"",IF(X105*W105&lt;=0,"",IFERROR(X105/W105-1,"")))</f>
        <v/>
      </c>
    </row>
    <row r="107">
      <c r="A107" s="9" t="inlineStr">
        <is>
          <t>경상이익</t>
        </is>
      </c>
      <c r="C107" s="12" t="n">
        <v>750</v>
      </c>
      <c r="D107" s="12" t="n">
        <v>854</v>
      </c>
      <c r="E107" s="12" t="n">
        <v>1080</v>
      </c>
      <c r="F107" s="12" t="n">
        <v>1430</v>
      </c>
      <c r="G107" s="12" t="n">
        <v>1058</v>
      </c>
      <c r="H107" s="12" t="n">
        <v>1055</v>
      </c>
      <c r="I107" s="12" t="n">
        <v>1388</v>
      </c>
      <c r="J107" s="12" t="n">
        <v>1450</v>
      </c>
      <c r="K107" s="12" t="n">
        <v>1188</v>
      </c>
      <c r="L107" s="12" t="n">
        <v>579</v>
      </c>
      <c r="M107" s="12" t="n">
        <v>1404</v>
      </c>
      <c r="N107" s="12" t="n">
        <v>2369</v>
      </c>
      <c r="U107" s="12" t="n">
        <v>1391</v>
      </c>
      <c r="V107" s="12" t="n">
        <v>750</v>
      </c>
      <c r="W107" s="12" t="n">
        <v>1058</v>
      </c>
      <c r="X107" s="12" t="n">
        <v>1188</v>
      </c>
    </row>
    <row r="108">
      <c r="A108" s="45" t="inlineStr">
        <is>
          <t>YoY</t>
        </is>
      </c>
      <c r="B108" s="3" t="inlineStr">
        <is>
          <t>전년 같은 분기·전년 대비</t>
        </is>
      </c>
      <c r="G108" s="17">
        <f>IF(OR(G107="",C107=""),"",IF(C107&lt;=0,"",IFERROR(G107/C107-1,"")))</f>
        <v/>
      </c>
      <c r="H108" s="17">
        <f>IF(OR(H107="",D107=""),"",IF(D107&lt;=0,"",IFERROR(H107/D107-1,"")))</f>
        <v/>
      </c>
      <c r="I108" s="17">
        <f>IF(OR(I107="",E107=""),"",IF(E107&lt;=0,"",IFERROR(I107/E107-1,"")))</f>
        <v/>
      </c>
      <c r="J108" s="17">
        <f>IF(OR(J107="",F107=""),"",IF(F107&lt;=0,"",IFERROR(J107/F107-1,"")))</f>
        <v/>
      </c>
      <c r="K108" s="17">
        <f>IF(OR(K107="",G107=""),"",IF(G107&lt;=0,"",IFERROR(K107/G107-1,"")))</f>
        <v/>
      </c>
      <c r="L108" s="17">
        <f>IF(OR(L107="",H107=""),"",IF(H107&lt;=0,"",IFERROR(L107/H107-1,"")))</f>
        <v/>
      </c>
      <c r="M108" s="17">
        <f>IF(OR(M107="",I107=""),"",IF(I107&lt;=0,"",IFERROR(M107/I107-1,"")))</f>
        <v/>
      </c>
      <c r="N108" s="17">
        <f>IF(OR(N107="",J107=""),"",IF(J107&lt;=0,"",IFERROR(N107/J107-1,"")))</f>
        <v/>
      </c>
      <c r="U108" s="17">
        <f>IF(OR(U107="",T107=""),"",IF(T107&lt;=0,"",IFERROR(U107/T107-1,"")))</f>
        <v/>
      </c>
      <c r="V108" s="17">
        <f>IF(OR(V107="",U107=""),"",IF(U107&lt;=0,"",IFERROR(V107/U107-1,"")))</f>
        <v/>
      </c>
      <c r="W108" s="17">
        <f>IF(OR(W107="",V107=""),"",IF(V107&lt;=0,"",IFERROR(W107/V107-1,"")))</f>
        <v/>
      </c>
      <c r="X108" s="17">
        <f>IF(OR(X107="",W107=""),"",IF(W107&lt;=0,"",IFERROR(X107/W107-1,"")))</f>
        <v/>
      </c>
    </row>
    <row r="109">
      <c r="A109" s="20" t="inlineStr">
        <is>
          <t>고정자산 매각이익</t>
        </is>
      </c>
      <c r="C109" s="22" t="n">
        <v>38</v>
      </c>
      <c r="D109" s="22" t="n">
        <v>31</v>
      </c>
      <c r="E109" s="22" t="n">
        <v>-15</v>
      </c>
      <c r="F109" s="22" t="n">
        <v>21</v>
      </c>
      <c r="G109" s="22" t="n">
        <v>0</v>
      </c>
      <c r="H109" s="22" t="n">
        <v>0</v>
      </c>
      <c r="I109" s="22" t="n">
        <v>3</v>
      </c>
      <c r="J109" s="22" t="n">
        <v>27</v>
      </c>
      <c r="K109" s="22" t="n">
        <v>9</v>
      </c>
      <c r="L109" s="22" t="n">
        <v>0</v>
      </c>
      <c r="M109" s="22" t="n">
        <v>3</v>
      </c>
      <c r="N109" s="22" t="n">
        <v>1</v>
      </c>
      <c r="U109" s="22" t="n">
        <v>6</v>
      </c>
      <c r="V109" s="22" t="n">
        <v>38</v>
      </c>
      <c r="W109" s="22" t="n">
        <v>0</v>
      </c>
      <c r="X109" s="22" t="n">
        <v>9</v>
      </c>
    </row>
    <row r="110">
      <c r="A110" s="20" t="inlineStr">
        <is>
          <t>투자유가증권 매각이익</t>
        </is>
      </c>
      <c r="C110" s="22" t="n">
        <v>3</v>
      </c>
      <c r="D110" s="22" t="n">
        <v>30</v>
      </c>
      <c r="E110" s="22" t="n">
        <v>0</v>
      </c>
      <c r="F110" s="22" t="n">
        <v>0</v>
      </c>
      <c r="G110" s="22" t="n">
        <v>0</v>
      </c>
      <c r="H110" s="22" t="n">
        <v>29</v>
      </c>
      <c r="I110" s="22" t="n">
        <v>138</v>
      </c>
      <c r="J110" s="22" t="n">
        <v>103</v>
      </c>
      <c r="K110" s="22" t="n">
        <v>6</v>
      </c>
      <c r="L110" s="22" t="n">
        <v>285</v>
      </c>
      <c r="M110" s="22" t="n">
        <v>2</v>
      </c>
      <c r="N110" s="22" t="n">
        <v>5</v>
      </c>
      <c r="U110" s="22" t="n">
        <v>0</v>
      </c>
      <c r="V110" s="22" t="n">
        <v>3</v>
      </c>
      <c r="W110" s="22" t="n">
        <v>0</v>
      </c>
      <c r="X110" s="22" t="n">
        <v>6</v>
      </c>
    </row>
    <row r="111">
      <c r="A111" s="20" t="inlineStr">
        <is>
          <t>Reversal Of Provision For Loss On Liquidation Of Subsidiaries And Affiliates EI</t>
        </is>
      </c>
      <c r="C111" s="22" t="n">
        <v>0</v>
      </c>
      <c r="F111" s="22" t="n">
        <v>0</v>
      </c>
      <c r="G111" s="22" t="n">
        <v>0</v>
      </c>
      <c r="U111" s="22" t="n">
        <v>0</v>
      </c>
      <c r="V111" s="22" t="n">
        <v>0</v>
      </c>
      <c r="W111" s="22" t="n">
        <v>0</v>
      </c>
    </row>
    <row r="112">
      <c r="A112" s="20" t="inlineStr">
        <is>
          <t>Previous Year Customs Refund Amount EI</t>
        </is>
      </c>
      <c r="C112" s="22" t="n">
        <v>0</v>
      </c>
      <c r="F112" s="22" t="n">
        <v>27</v>
      </c>
      <c r="G112" s="22" t="n">
        <v>7</v>
      </c>
      <c r="J112" s="22" t="n">
        <v>0</v>
      </c>
      <c r="K112" s="22" t="n">
        <v>0</v>
      </c>
      <c r="V112" s="22" t="n">
        <v>0</v>
      </c>
      <c r="W112" s="22" t="n">
        <v>7</v>
      </c>
      <c r="X112" s="22" t="n">
        <v>0</v>
      </c>
    </row>
    <row r="113">
      <c r="A113" s="20" t="inlineStr">
        <is>
          <t>기타</t>
        </is>
      </c>
      <c r="C113" s="22" t="n">
        <v>0</v>
      </c>
      <c r="D113" s="22" t="n">
        <v>2</v>
      </c>
      <c r="E113" s="22" t="n">
        <v>28</v>
      </c>
      <c r="F113" s="22" t="n">
        <v>-30</v>
      </c>
      <c r="G113" s="22" t="n">
        <v>0</v>
      </c>
      <c r="H113" s="22" t="n">
        <v>0</v>
      </c>
      <c r="K113" s="22" t="n">
        <v>0</v>
      </c>
      <c r="V113" s="22" t="n">
        <v>0</v>
      </c>
      <c r="W113" s="22" t="n">
        <v>0</v>
      </c>
      <c r="X113" s="22" t="n">
        <v>0</v>
      </c>
    </row>
    <row r="114">
      <c r="A114" s="20" t="inlineStr">
        <is>
          <t>특별이익 합계</t>
        </is>
      </c>
      <c r="C114" s="22" t="n">
        <v>42</v>
      </c>
      <c r="D114" s="22" t="n">
        <v>64</v>
      </c>
      <c r="E114" s="22" t="n">
        <v>116</v>
      </c>
      <c r="F114" s="22" t="n">
        <v>47</v>
      </c>
      <c r="G114" s="22" t="n">
        <v>8</v>
      </c>
      <c r="H114" s="22" t="n">
        <v>29</v>
      </c>
      <c r="I114" s="22" t="n">
        <v>141</v>
      </c>
      <c r="J114" s="22" t="n">
        <v>132</v>
      </c>
      <c r="K114" s="22" t="n">
        <v>14</v>
      </c>
      <c r="L114" s="22" t="n">
        <v>285</v>
      </c>
      <c r="M114" s="22" t="n">
        <v>6</v>
      </c>
      <c r="N114" s="22" t="n">
        <v>6</v>
      </c>
      <c r="U114" s="22" t="n">
        <v>6</v>
      </c>
      <c r="V114" s="22" t="n">
        <v>42</v>
      </c>
      <c r="W114" s="22" t="n">
        <v>8</v>
      </c>
      <c r="X114" s="22" t="n">
        <v>14</v>
      </c>
    </row>
    <row r="115">
      <c r="A115" s="45" t="inlineStr">
        <is>
          <t>YoY</t>
        </is>
      </c>
      <c r="B115" s="3" t="inlineStr">
        <is>
          <t>전년 같은 분기·전년 대비</t>
        </is>
      </c>
      <c r="G115" s="17">
        <f>IF(OR(G114="",C114=""),"",IF(G114*C114&lt;=0,"",IFERROR(G114/C114-1,"")))</f>
        <v/>
      </c>
      <c r="H115" s="17">
        <f>IF(OR(H114="",D114=""),"",IF(H114*D114&lt;=0,"",IFERROR(H114/D114-1,"")))</f>
        <v/>
      </c>
      <c r="I115" s="17">
        <f>IF(OR(I114="",E114=""),"",IF(I114*E114&lt;=0,"",IFERROR(I114/E114-1,"")))</f>
        <v/>
      </c>
      <c r="J115" s="17">
        <f>IF(OR(J114="",F114=""),"",IF(J114*F114&lt;=0,"",IFERROR(J114/F114-1,"")))</f>
        <v/>
      </c>
      <c r="K115" s="17">
        <f>IF(OR(K114="",G114=""),"",IF(K114*G114&lt;=0,"",IFERROR(K114/G114-1,"")))</f>
        <v/>
      </c>
      <c r="L115" s="17">
        <f>IF(OR(L114="",H114=""),"",IF(L114*H114&lt;=0,"",IFERROR(L114/H114-1,"")))</f>
        <v/>
      </c>
      <c r="M115" s="17">
        <f>IF(OR(M114="",I114=""),"",IF(M114*I114&lt;=0,"",IFERROR(M114/I114-1,"")))</f>
        <v/>
      </c>
      <c r="N115" s="17">
        <f>IF(OR(N114="",J114=""),"",IF(N114*J114&lt;=0,"",IFERROR(N114/J114-1,"")))</f>
        <v/>
      </c>
      <c r="U115" s="17">
        <f>IF(OR(U114="",T114=""),"",IF(U114*T114&lt;=0,"",IFERROR(U114/T114-1,"")))</f>
        <v/>
      </c>
      <c r="V115" s="17">
        <f>IF(OR(V114="",U114=""),"",IF(V114*U114&lt;=0,"",IFERROR(V114/U114-1,"")))</f>
        <v/>
      </c>
      <c r="W115" s="17">
        <f>IF(OR(W114="",V114=""),"",IF(W114*V114&lt;=0,"",IFERROR(W114/V114-1,"")))</f>
        <v/>
      </c>
      <c r="X115" s="17">
        <f>IF(OR(X114="",W114=""),"",IF(X114*W114&lt;=0,"",IFERROR(X114/W114-1,"")))</f>
        <v/>
      </c>
    </row>
    <row r="116">
      <c r="A116" s="20" t="inlineStr">
        <is>
          <t>손상차손</t>
        </is>
      </c>
      <c r="C116" s="22" t="n">
        <v>1662</v>
      </c>
      <c r="F116" s="22" t="n">
        <v>0</v>
      </c>
      <c r="U116" s="22" t="n">
        <v>188</v>
      </c>
      <c r="V116" s="22" t="n">
        <v>1662</v>
      </c>
    </row>
    <row r="117">
      <c r="A117" s="20" t="inlineStr">
        <is>
          <t>고정자산 처분손실</t>
        </is>
      </c>
      <c r="F117" s="22" t="n">
        <v>0</v>
      </c>
      <c r="G117" s="22" t="n">
        <v>2</v>
      </c>
      <c r="H117" s="22" t="n">
        <v>0</v>
      </c>
      <c r="I117" s="22" t="n">
        <v>9</v>
      </c>
      <c r="J117" s="22" t="n">
        <v>78</v>
      </c>
      <c r="K117" s="22" t="n">
        <v>6</v>
      </c>
      <c r="L117" s="22" t="n">
        <v>3</v>
      </c>
      <c r="M117" s="22" t="n">
        <v>5</v>
      </c>
      <c r="N117" s="22" t="n">
        <v>1</v>
      </c>
      <c r="W117" s="22" t="n">
        <v>2</v>
      </c>
      <c r="X117" s="22" t="n">
        <v>6</v>
      </c>
    </row>
    <row r="118">
      <c r="A118" s="20" t="inlineStr">
        <is>
          <t>해외 자회사 송금사기 손실</t>
        </is>
      </c>
      <c r="D118" s="22" t="n">
        <v>76</v>
      </c>
      <c r="E118" s="22" t="n">
        <v>0</v>
      </c>
      <c r="F118" s="22" t="n">
        <v>1</v>
      </c>
      <c r="H118" s="22" t="n">
        <v>0</v>
      </c>
      <c r="I118" s="22" t="n">
        <v>0</v>
      </c>
      <c r="J118" s="22" t="n">
        <v>0</v>
      </c>
    </row>
    <row r="119">
      <c r="A119" s="20" t="inlineStr">
        <is>
          <t>Litigation Related Expenses And Other EL</t>
        </is>
      </c>
      <c r="D119" s="22" t="n">
        <v>16</v>
      </c>
      <c r="E119" s="22" t="n">
        <v>41</v>
      </c>
      <c r="F119" s="22" t="n">
        <v>99</v>
      </c>
      <c r="G119" s="22" t="n">
        <v>16</v>
      </c>
      <c r="H119" s="22" t="n">
        <v>10</v>
      </c>
      <c r="I119" s="22" t="n">
        <v>7</v>
      </c>
      <c r="J119" s="22" t="n">
        <v>20</v>
      </c>
      <c r="K119" s="22" t="n">
        <v>5</v>
      </c>
      <c r="W119" s="22" t="n">
        <v>16</v>
      </c>
      <c r="X119" s="22" t="n">
        <v>5</v>
      </c>
    </row>
    <row r="120">
      <c r="A120" s="20" t="inlineStr">
        <is>
          <t>점포 폐쇄 손실</t>
        </is>
      </c>
      <c r="H120" s="22" t="n">
        <v>0</v>
      </c>
      <c r="I120" s="22" t="n">
        <v>0</v>
      </c>
      <c r="J120" s="22" t="n">
        <v>0</v>
      </c>
      <c r="K120" s="22" t="n">
        <v>279</v>
      </c>
      <c r="L120" s="22" t="n">
        <v>4</v>
      </c>
      <c r="M120" s="22" t="n">
        <v>1</v>
      </c>
      <c r="N120" s="22" t="n">
        <v>0</v>
      </c>
      <c r="X120" s="22" t="n">
        <v>279</v>
      </c>
    </row>
    <row r="121">
      <c r="A121" s="20" t="inlineStr">
        <is>
          <t>기타</t>
        </is>
      </c>
      <c r="C121" s="22" t="n">
        <v>3610</v>
      </c>
      <c r="D121" s="22" t="n">
        <v>0</v>
      </c>
      <c r="E121" s="22" t="n">
        <v>0</v>
      </c>
      <c r="F121" s="22" t="n">
        <v>20</v>
      </c>
      <c r="G121" s="22" t="n">
        <v>103</v>
      </c>
      <c r="H121" s="22" t="n">
        <v>10</v>
      </c>
      <c r="I121" s="22" t="n">
        <v>10</v>
      </c>
      <c r="J121" s="22" t="n">
        <v>20</v>
      </c>
      <c r="K121" s="22" t="n">
        <v>-38</v>
      </c>
      <c r="L121" s="22" t="n">
        <v>0</v>
      </c>
      <c r="M121" s="22" t="n">
        <v>0</v>
      </c>
      <c r="N121" s="22" t="n">
        <v>0</v>
      </c>
      <c r="U121" s="22" t="n">
        <v>37</v>
      </c>
      <c r="V121" s="22" t="n">
        <v>3610</v>
      </c>
      <c r="W121" s="22" t="n">
        <v>103</v>
      </c>
      <c r="X121" s="22" t="n">
        <v>-38</v>
      </c>
    </row>
    <row r="122">
      <c r="A122" s="20" t="inlineStr">
        <is>
          <t>특별손실 합계</t>
        </is>
      </c>
      <c r="C122" s="22" t="n">
        <v>8122</v>
      </c>
      <c r="D122" s="22" t="n">
        <v>93</v>
      </c>
      <c r="E122" s="22" t="n">
        <v>45</v>
      </c>
      <c r="F122" s="22" t="n">
        <v>121</v>
      </c>
      <c r="G122" s="22" t="n">
        <v>5659</v>
      </c>
      <c r="H122" s="22" t="n">
        <v>11</v>
      </c>
      <c r="I122" s="22" t="n">
        <v>18</v>
      </c>
      <c r="J122" s="22" t="n">
        <v>98</v>
      </c>
      <c r="K122" s="22" t="n">
        <v>291</v>
      </c>
      <c r="L122" s="22" t="n">
        <v>7</v>
      </c>
      <c r="M122" s="22" t="n">
        <v>7</v>
      </c>
      <c r="N122" s="22" t="n">
        <v>0</v>
      </c>
      <c r="U122" s="22" t="n">
        <v>225</v>
      </c>
      <c r="V122" s="22" t="n">
        <v>8122</v>
      </c>
      <c r="W122" s="22" t="n">
        <v>5659</v>
      </c>
      <c r="X122" s="22" t="n">
        <v>291</v>
      </c>
    </row>
    <row r="123">
      <c r="A123" s="45" t="inlineStr">
        <is>
          <t>YoY</t>
        </is>
      </c>
      <c r="B123" s="3" t="inlineStr">
        <is>
          <t>전년 같은 분기·전년 대비</t>
        </is>
      </c>
      <c r="G123" s="17">
        <f>IF(OR(G122="",C122=""),"",IF(G122*C122&lt;=0,"",IFERROR(G122/C122-1,"")))</f>
        <v/>
      </c>
      <c r="H123" s="17">
        <f>IF(OR(H122="",D122=""),"",IF(H122*D122&lt;=0,"",IFERROR(H122/D122-1,"")))</f>
        <v/>
      </c>
      <c r="I123" s="17">
        <f>IF(OR(I122="",E122=""),"",IF(I122*E122&lt;=0,"",IFERROR(I122/E122-1,"")))</f>
        <v/>
      </c>
      <c r="J123" s="17">
        <f>IF(OR(J122="",F122=""),"",IF(J122*F122&lt;=0,"",IFERROR(J122/F122-1,"")))</f>
        <v/>
      </c>
      <c r="K123" s="17">
        <f>IF(OR(K122="",G122=""),"",IF(K122*G122&lt;=0,"",IFERROR(K122/G122-1,"")))</f>
        <v/>
      </c>
      <c r="L123" s="17">
        <f>IF(OR(L122="",H122=""),"",IF(L122*H122&lt;=0,"",IFERROR(L122/H122-1,"")))</f>
        <v/>
      </c>
      <c r="M123" s="17">
        <f>IF(OR(M122="",I122=""),"",IF(M122*I122&lt;=0,"",IFERROR(M122/I122-1,"")))</f>
        <v/>
      </c>
      <c r="N123" s="17">
        <f>IF(OR(N122="",J122=""),"",IF(N122*J122&lt;=0,"",IFERROR(N122/J122-1,"")))</f>
        <v/>
      </c>
      <c r="U123" s="17">
        <f>IF(OR(U122="",T122=""),"",IF(U122*T122&lt;=0,"",IFERROR(U122/T122-1,"")))</f>
        <v/>
      </c>
      <c r="V123" s="17">
        <f>IF(OR(V122="",U122=""),"",IF(V122*U122&lt;=0,"",IFERROR(V122/U122-1,"")))</f>
        <v/>
      </c>
      <c r="W123" s="17">
        <f>IF(OR(W122="",V122=""),"",IF(W122*V122&lt;=0,"",IFERROR(W122/V122-1,"")))</f>
        <v/>
      </c>
      <c r="X123" s="17">
        <f>IF(OR(X122="",W122=""),"",IF(X122*W122&lt;=0,"",IFERROR(X122/W122-1,"")))</f>
        <v/>
      </c>
    </row>
    <row r="124">
      <c r="A124" s="9" t="inlineStr">
        <is>
          <t>법인세차감전 순이익</t>
        </is>
      </c>
      <c r="C124" s="12" t="n">
        <v>-7330</v>
      </c>
      <c r="D124" s="12" t="n">
        <v>824</v>
      </c>
      <c r="E124" s="12" t="n">
        <v>1152</v>
      </c>
      <c r="F124" s="12" t="n">
        <v>1357</v>
      </c>
      <c r="G124" s="12" t="n">
        <v>-4593</v>
      </c>
      <c r="H124" s="12" t="n">
        <v>1073</v>
      </c>
      <c r="I124" s="12" t="n">
        <v>1512</v>
      </c>
      <c r="J124" s="12" t="n">
        <v>1482</v>
      </c>
      <c r="K124" s="12" t="n">
        <v>912</v>
      </c>
      <c r="L124" s="12" t="n">
        <v>856</v>
      </c>
      <c r="M124" s="12" t="n">
        <v>1403</v>
      </c>
      <c r="N124" s="12" t="n">
        <v>2375</v>
      </c>
      <c r="U124" s="12" t="n">
        <v>1173</v>
      </c>
      <c r="V124" s="12" t="n">
        <v>-7330</v>
      </c>
      <c r="W124" s="12" t="n">
        <v>-4593</v>
      </c>
      <c r="X124" s="12" t="n">
        <v>912</v>
      </c>
    </row>
    <row r="125">
      <c r="A125" s="45" t="inlineStr">
        <is>
          <t>YoY</t>
        </is>
      </c>
      <c r="B125" s="3" t="inlineStr">
        <is>
          <t>전년 같은 분기·전년 대비</t>
        </is>
      </c>
      <c r="G125" s="17">
        <f>IF(OR(G124="",C124=""),"",IF(C124&lt;=0,"",IFERROR(G124/C124-1,"")))</f>
        <v/>
      </c>
      <c r="H125" s="17">
        <f>IF(OR(H124="",D124=""),"",IF(D124&lt;=0,"",IFERROR(H124/D124-1,"")))</f>
        <v/>
      </c>
      <c r="I125" s="17">
        <f>IF(OR(I124="",E124=""),"",IF(E124&lt;=0,"",IFERROR(I124/E124-1,"")))</f>
        <v/>
      </c>
      <c r="J125" s="17">
        <f>IF(OR(J124="",F124=""),"",IF(F124&lt;=0,"",IFERROR(J124/F124-1,"")))</f>
        <v/>
      </c>
      <c r="K125" s="17">
        <f>IF(OR(K124="",G124=""),"",IF(G124&lt;=0,"",IFERROR(K124/G124-1,"")))</f>
        <v/>
      </c>
      <c r="L125" s="17">
        <f>IF(OR(L124="",H124=""),"",IF(H124&lt;=0,"",IFERROR(L124/H124-1,"")))</f>
        <v/>
      </c>
      <c r="M125" s="17">
        <f>IF(OR(M124="",I124=""),"",IF(I124&lt;=0,"",IFERROR(M124/I124-1,"")))</f>
        <v/>
      </c>
      <c r="N125" s="17">
        <f>IF(OR(N124="",J124=""),"",IF(J124&lt;=0,"",IFERROR(N124/J124-1,"")))</f>
        <v/>
      </c>
      <c r="U125" s="17">
        <f>IF(OR(U124="",T124=""),"",IF(T124&lt;=0,"",IFERROR(U124/T124-1,"")))</f>
        <v/>
      </c>
      <c r="V125" s="17">
        <f>IF(OR(V124="",U124=""),"",IF(U124&lt;=0,"",IFERROR(V124/U124-1,"")))</f>
        <v/>
      </c>
      <c r="W125" s="17">
        <f>IF(OR(W124="",V124=""),"",IF(V124&lt;=0,"",IFERROR(W124/V124-1,"")))</f>
        <v/>
      </c>
      <c r="X125" s="17">
        <f>IF(OR(X124="",W124=""),"",IF(W124&lt;=0,"",IFERROR(X124/W124-1,"")))</f>
        <v/>
      </c>
    </row>
    <row r="126">
      <c r="A126" s="20" t="inlineStr">
        <is>
          <t>법인세·주민세·사업세</t>
        </is>
      </c>
      <c r="C126" s="22" t="n">
        <v>289</v>
      </c>
      <c r="D126" s="22" t="n">
        <v>278</v>
      </c>
      <c r="E126" s="22" t="n">
        <v>392</v>
      </c>
      <c r="F126" s="22" t="n">
        <v>366</v>
      </c>
      <c r="G126" s="22" t="n">
        <v>548</v>
      </c>
      <c r="H126" s="22" t="n">
        <v>345</v>
      </c>
      <c r="I126" s="22" t="n">
        <v>502</v>
      </c>
      <c r="U126" s="22" t="n">
        <v>452</v>
      </c>
      <c r="V126" s="22" t="n">
        <v>289</v>
      </c>
      <c r="W126" s="22" t="n">
        <v>548</v>
      </c>
    </row>
    <row r="127">
      <c r="A127" s="20" t="inlineStr">
        <is>
          <t>법인세 조정액</t>
        </is>
      </c>
      <c r="C127" s="22" t="n">
        <v>-1401</v>
      </c>
      <c r="D127" s="22" t="n">
        <v>-33</v>
      </c>
      <c r="E127" s="22" t="n">
        <v>0</v>
      </c>
      <c r="F127" s="22" t="n">
        <v>-3</v>
      </c>
      <c r="G127" s="22" t="n">
        <v>-1935</v>
      </c>
      <c r="H127" s="22" t="n">
        <v>-15</v>
      </c>
      <c r="I127" s="22" t="n">
        <v>1</v>
      </c>
      <c r="U127" s="22" t="n">
        <v>59</v>
      </c>
      <c r="V127" s="22" t="n">
        <v>-1401</v>
      </c>
      <c r="W127" s="22" t="n">
        <v>-1935</v>
      </c>
    </row>
    <row r="128">
      <c r="A128" s="20" t="inlineStr">
        <is>
          <t>법인세 등</t>
        </is>
      </c>
      <c r="C128" s="22" t="n">
        <v>-1112</v>
      </c>
      <c r="D128" s="22" t="n">
        <v>245</v>
      </c>
      <c r="E128" s="22" t="n">
        <v>391</v>
      </c>
      <c r="F128" s="22" t="n">
        <v>364</v>
      </c>
      <c r="G128" s="22" t="n">
        <v>-1386</v>
      </c>
      <c r="H128" s="22" t="n">
        <v>330</v>
      </c>
      <c r="I128" s="22" t="n">
        <v>502</v>
      </c>
      <c r="J128" s="22" t="n">
        <v>459</v>
      </c>
      <c r="K128" s="22" t="n">
        <v>402</v>
      </c>
      <c r="L128" s="22" t="n">
        <v>322</v>
      </c>
      <c r="M128" s="22" t="n">
        <v>452</v>
      </c>
      <c r="N128" s="22" t="n">
        <v>698</v>
      </c>
      <c r="U128" s="22" t="n">
        <v>511</v>
      </c>
      <c r="V128" s="22" t="n">
        <v>-1112</v>
      </c>
      <c r="W128" s="22" t="n">
        <v>-1386</v>
      </c>
      <c r="X128" s="22" t="n">
        <v>402</v>
      </c>
    </row>
    <row r="129">
      <c r="A129" s="45" t="inlineStr">
        <is>
          <t>YoY</t>
        </is>
      </c>
      <c r="B129" s="3" t="inlineStr">
        <is>
          <t>전년 같은 분기·전년 대비</t>
        </is>
      </c>
      <c r="G129" s="17">
        <f>IF(OR(G128="",C128=""),"",IF(G128*C128&lt;=0,"",IFERROR(G128/C128-1,"")))</f>
        <v/>
      </c>
      <c r="H129" s="17">
        <f>IF(OR(H128="",D128=""),"",IF(H128*D128&lt;=0,"",IFERROR(H128/D128-1,"")))</f>
        <v/>
      </c>
      <c r="I129" s="17">
        <f>IF(OR(I128="",E128=""),"",IF(I128*E128&lt;=0,"",IFERROR(I128/E128-1,"")))</f>
        <v/>
      </c>
      <c r="J129" s="17">
        <f>IF(OR(J128="",F128=""),"",IF(J128*F128&lt;=0,"",IFERROR(J128/F128-1,"")))</f>
        <v/>
      </c>
      <c r="K129" s="17">
        <f>IF(OR(K128="",G128=""),"",IF(K128*G128&lt;=0,"",IFERROR(K128/G128-1,"")))</f>
        <v/>
      </c>
      <c r="L129" s="17">
        <f>IF(OR(L128="",H128=""),"",IF(L128*H128&lt;=0,"",IFERROR(L128/H128-1,"")))</f>
        <v/>
      </c>
      <c r="M129" s="17">
        <f>IF(OR(M128="",I128=""),"",IF(M128*I128&lt;=0,"",IFERROR(M128/I128-1,"")))</f>
        <v/>
      </c>
      <c r="N129" s="17">
        <f>IF(OR(N128="",J128=""),"",IF(N128*J128&lt;=0,"",IFERROR(N128/J128-1,"")))</f>
        <v/>
      </c>
      <c r="U129" s="17">
        <f>IF(OR(U128="",T128=""),"",IF(U128*T128&lt;=0,"",IFERROR(U128/T128-1,"")))</f>
        <v/>
      </c>
      <c r="V129" s="17">
        <f>IF(OR(V128="",U128=""),"",IF(V128*U128&lt;=0,"",IFERROR(V128/U128-1,"")))</f>
        <v/>
      </c>
      <c r="W129" s="17">
        <f>IF(OR(W128="",V128=""),"",IF(W128*V128&lt;=0,"",IFERROR(W128/V128-1,"")))</f>
        <v/>
      </c>
      <c r="X129" s="17">
        <f>IF(OR(X128="",W128=""),"",IF(X128*W128&lt;=0,"",IFERROR(X128/W128-1,"")))</f>
        <v/>
      </c>
    </row>
    <row r="130">
      <c r="A130" s="9" t="inlineStr">
        <is>
          <t>순이익</t>
        </is>
      </c>
      <c r="C130" s="12" t="n">
        <v>-6216</v>
      </c>
      <c r="D130" s="12" t="n">
        <v>579</v>
      </c>
      <c r="E130" s="12" t="n">
        <v>760</v>
      </c>
      <c r="F130" s="12" t="n">
        <v>994</v>
      </c>
      <c r="G130" s="12" t="n">
        <v>-3206</v>
      </c>
      <c r="H130" s="12" t="n">
        <v>743</v>
      </c>
      <c r="I130" s="12" t="n">
        <v>1009</v>
      </c>
      <c r="J130" s="12" t="n">
        <v>1024</v>
      </c>
      <c r="K130" s="12" t="n">
        <v>510</v>
      </c>
      <c r="L130" s="12" t="n">
        <v>534</v>
      </c>
      <c r="M130" s="12" t="n">
        <v>951</v>
      </c>
      <c r="N130" s="12" t="n">
        <v>1677</v>
      </c>
      <c r="U130" s="12" t="n">
        <v>661</v>
      </c>
      <c r="V130" s="12" t="n">
        <v>-6216</v>
      </c>
      <c r="W130" s="12" t="n">
        <v>-3206</v>
      </c>
      <c r="X130" s="12" t="n">
        <v>510</v>
      </c>
    </row>
    <row r="131">
      <c r="A131" s="45" t="inlineStr">
        <is>
          <t>YoY</t>
        </is>
      </c>
      <c r="B131" s="3" t="inlineStr">
        <is>
          <t>전년 같은 분기·전년 대비</t>
        </is>
      </c>
      <c r="G131" s="17">
        <f>IF(OR(G130="",C130=""),"",IF(C130&lt;=0,"",IFERROR(G130/C130-1,"")))</f>
        <v/>
      </c>
      <c r="H131" s="17">
        <f>IF(OR(H130="",D130=""),"",IF(D130&lt;=0,"",IFERROR(H130/D130-1,"")))</f>
        <v/>
      </c>
      <c r="I131" s="17">
        <f>IF(OR(I130="",E130=""),"",IF(E130&lt;=0,"",IFERROR(I130/E130-1,"")))</f>
        <v/>
      </c>
      <c r="J131" s="17">
        <f>IF(OR(J130="",F130=""),"",IF(F130&lt;=0,"",IFERROR(J130/F130-1,"")))</f>
        <v/>
      </c>
      <c r="K131" s="17">
        <f>IF(OR(K130="",G130=""),"",IF(G130&lt;=0,"",IFERROR(K130/G130-1,"")))</f>
        <v/>
      </c>
      <c r="L131" s="17">
        <f>IF(OR(L130="",H130=""),"",IF(H130&lt;=0,"",IFERROR(L130/H130-1,"")))</f>
        <v/>
      </c>
      <c r="M131" s="17">
        <f>IF(OR(M130="",I130=""),"",IF(I130&lt;=0,"",IFERROR(M130/I130-1,"")))</f>
        <v/>
      </c>
      <c r="N131" s="17">
        <f>IF(OR(N130="",J130=""),"",IF(J130&lt;=0,"",IFERROR(N130/J130-1,"")))</f>
        <v/>
      </c>
      <c r="U131" s="17">
        <f>IF(OR(U130="",T130=""),"",IF(T130&lt;=0,"",IFERROR(U130/T130-1,"")))</f>
        <v/>
      </c>
      <c r="V131" s="17">
        <f>IF(OR(V130="",U130=""),"",IF(U130&lt;=0,"",IFERROR(V130/U130-1,"")))</f>
        <v/>
      </c>
      <c r="W131" s="17">
        <f>IF(OR(W130="",V130=""),"",IF(V130&lt;=0,"",IFERROR(W130/V130-1,"")))</f>
        <v/>
      </c>
      <c r="X131" s="17">
        <f>IF(OR(X130="",W130=""),"",IF(W130&lt;=0,"",IFERROR(X130/W130-1,"")))</f>
        <v/>
      </c>
    </row>
    <row r="132">
      <c r="A132" s="9" t="inlineStr">
        <is>
          <t>비지배주주 순이익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-0</v>
      </c>
      <c r="M132" s="12" t="n">
        <v>0</v>
      </c>
      <c r="N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</row>
    <row r="133">
      <c r="A133" s="9" t="inlineStr">
        <is>
          <t>지배주주 순이익</t>
        </is>
      </c>
      <c r="C133" s="12" t="n">
        <v>-6217</v>
      </c>
      <c r="D133" s="12" t="n">
        <v>578</v>
      </c>
      <c r="E133" s="12" t="n">
        <v>761</v>
      </c>
      <c r="F133" s="12" t="n">
        <v>993</v>
      </c>
      <c r="G133" s="12" t="n">
        <v>-3206</v>
      </c>
      <c r="H133" s="12" t="n">
        <v>743</v>
      </c>
      <c r="I133" s="12" t="n">
        <v>1009</v>
      </c>
      <c r="J133" s="12" t="n">
        <v>1024</v>
      </c>
      <c r="K133" s="12" t="n">
        <v>509</v>
      </c>
      <c r="L133" s="12" t="n">
        <v>534</v>
      </c>
      <c r="M133" s="12" t="n">
        <v>951</v>
      </c>
      <c r="N133" s="12" t="n">
        <v>1677</v>
      </c>
      <c r="U133" s="12" t="n">
        <v>661</v>
      </c>
      <c r="V133" s="12" t="n">
        <v>-6217</v>
      </c>
      <c r="W133" s="12" t="n">
        <v>-3206</v>
      </c>
      <c r="X133" s="12" t="n">
        <v>509</v>
      </c>
    </row>
    <row r="134">
      <c r="A134" s="45" t="inlineStr">
        <is>
          <t>YoY</t>
        </is>
      </c>
      <c r="B134" s="3" t="inlineStr">
        <is>
          <t>전년 같은 분기·전년 대비</t>
        </is>
      </c>
      <c r="G134" s="17">
        <f>IF(OR(G133="",C133=""),"",IF(C133&lt;=0,"",IFERROR(G133/C133-1,"")))</f>
        <v/>
      </c>
      <c r="H134" s="17">
        <f>IF(OR(H133="",D133=""),"",IF(D133&lt;=0,"",IFERROR(H133/D133-1,"")))</f>
        <v/>
      </c>
      <c r="I134" s="17">
        <f>IF(OR(I133="",E133=""),"",IF(E133&lt;=0,"",IFERROR(I133/E133-1,"")))</f>
        <v/>
      </c>
      <c r="J134" s="17">
        <f>IF(OR(J133="",F133=""),"",IF(F133&lt;=0,"",IFERROR(J133/F133-1,"")))</f>
        <v/>
      </c>
      <c r="K134" s="17">
        <f>IF(OR(K133="",G133=""),"",IF(G133&lt;=0,"",IFERROR(K133/G133-1,"")))</f>
        <v/>
      </c>
      <c r="L134" s="17">
        <f>IF(OR(L133="",H133=""),"",IF(H133&lt;=0,"",IFERROR(L133/H133-1,"")))</f>
        <v/>
      </c>
      <c r="M134" s="17">
        <f>IF(OR(M133="",I133=""),"",IF(I133&lt;=0,"",IFERROR(M133/I133-1,"")))</f>
        <v/>
      </c>
      <c r="N134" s="17">
        <f>IF(OR(N133="",J133=""),"",IF(J133&lt;=0,"",IFERROR(N133/J133-1,"")))</f>
        <v/>
      </c>
      <c r="U134" s="17">
        <f>IF(OR(U133="",T133=""),"",IF(T133&lt;=0,"",IFERROR(U133/T133-1,"")))</f>
        <v/>
      </c>
      <c r="V134" s="17">
        <f>IF(OR(V133="",U133=""),"",IF(U133&lt;=0,"",IFERROR(V133/U133-1,"")))</f>
        <v/>
      </c>
      <c r="W134" s="17">
        <f>IF(OR(W133="",V133=""),"",IF(V133&lt;=0,"",IFERROR(W133/V133-1,"")))</f>
        <v/>
      </c>
      <c r="X134" s="17">
        <f>IF(OR(X133="",W133=""),"",IF(W133&lt;=0,"",IFERROR(X133/W133-1,"")))</f>
        <v/>
      </c>
    </row>
    <row r="136">
      <c r="A136" s="18" t="inlineStr">
        <is>
          <t>포괄손익 · 전 항목</t>
        </is>
      </c>
      <c r="B136" s="44" t="inlineStr">
        <is>
          <t>분기 = 3개월 단독</t>
        </is>
      </c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</row>
    <row r="137">
      <c r="A137" s="5" t="inlineStr">
        <is>
          <t>항목</t>
        </is>
      </c>
      <c r="B137" s="5" t="inlineStr">
        <is>
          <t>참고</t>
        </is>
      </c>
      <c r="C137" s="5" t="inlineStr">
        <is>
          <t>2023.4Q</t>
        </is>
      </c>
      <c r="D137" s="5" t="inlineStr">
        <is>
          <t>2024.1Q</t>
        </is>
      </c>
      <c r="E137" s="5" t="inlineStr">
        <is>
          <t>2024.2Q</t>
        </is>
      </c>
      <c r="F137" s="5" t="inlineStr">
        <is>
          <t>2024.3Q</t>
        </is>
      </c>
      <c r="G137" s="5" t="inlineStr">
        <is>
          <t>2024.4Q</t>
        </is>
      </c>
      <c r="H137" s="5" t="inlineStr">
        <is>
          <t>2025.1Q</t>
        </is>
      </c>
      <c r="I137" s="5" t="inlineStr">
        <is>
          <t>2025.2Q</t>
        </is>
      </c>
      <c r="J137" s="5" t="inlineStr">
        <is>
          <t>2025.3Q</t>
        </is>
      </c>
      <c r="K137" s="5" t="inlineStr">
        <is>
          <t>2025.4Q</t>
        </is>
      </c>
      <c r="L137" s="5" t="inlineStr">
        <is>
          <t>2026.1Q</t>
        </is>
      </c>
      <c r="M137" s="5" t="inlineStr">
        <is>
          <t>2026.2Q</t>
        </is>
      </c>
      <c r="N137" s="5" t="inlineStr">
        <is>
          <t>2026.3Q</t>
        </is>
      </c>
      <c r="O137" s="5" t="inlineStr">
        <is>
          <t>2016</t>
        </is>
      </c>
      <c r="P137" s="5" t="inlineStr">
        <is>
          <t>2017</t>
        </is>
      </c>
      <c r="Q137" s="5" t="inlineStr">
        <is>
          <t>2018</t>
        </is>
      </c>
      <c r="R137" s="5" t="inlineStr">
        <is>
          <t>2019</t>
        </is>
      </c>
      <c r="S137" s="5" t="inlineStr">
        <is>
          <t>2020</t>
        </is>
      </c>
      <c r="T137" s="5" t="inlineStr">
        <is>
          <t>2021</t>
        </is>
      </c>
      <c r="U137" s="5" t="inlineStr">
        <is>
          <t>2022</t>
        </is>
      </c>
      <c r="V137" s="5" t="inlineStr">
        <is>
          <t>2023</t>
        </is>
      </c>
      <c r="W137" s="5" t="inlineStr">
        <is>
          <t>2024</t>
        </is>
      </c>
      <c r="X137" s="5" t="inlineStr">
        <is>
          <t>2025</t>
        </is>
      </c>
      <c r="Y137" s="5" t="inlineStr">
        <is>
          <t>2026(MW)</t>
        </is>
      </c>
      <c r="Z137" s="5" t="inlineStr">
        <is>
          <t>2027(MW)</t>
        </is>
      </c>
      <c r="AA137" s="5" t="inlineStr">
        <is>
          <t>2028(MW)</t>
        </is>
      </c>
      <c r="AB137" s="5" t="inlineStr">
        <is>
          <t>2029(MW)</t>
        </is>
      </c>
      <c r="AC137" s="5" t="inlineStr">
        <is>
          <t>2030(MW)</t>
        </is>
      </c>
    </row>
    <row r="138">
      <c r="A138" s="9" t="inlineStr">
        <is>
          <t>순이익</t>
        </is>
      </c>
      <c r="C138" s="12" t="n">
        <v>-6216</v>
      </c>
      <c r="D138" s="12" t="n">
        <v>579</v>
      </c>
      <c r="E138" s="12" t="n">
        <v>760</v>
      </c>
      <c r="F138" s="12" t="n">
        <v>994</v>
      </c>
      <c r="G138" s="12" t="n">
        <v>-3206</v>
      </c>
      <c r="H138" s="12" t="n">
        <v>743</v>
      </c>
      <c r="I138" s="12" t="n">
        <v>1009</v>
      </c>
      <c r="J138" s="12" t="n">
        <v>1024</v>
      </c>
      <c r="K138" s="12" t="n">
        <v>510</v>
      </c>
      <c r="L138" s="12" t="n">
        <v>534</v>
      </c>
      <c r="M138" s="12" t="n">
        <v>951</v>
      </c>
      <c r="N138" s="12" t="n">
        <v>1677</v>
      </c>
      <c r="U138" s="12" t="n">
        <v>661</v>
      </c>
      <c r="V138" s="12" t="n">
        <v>-6216</v>
      </c>
      <c r="W138" s="12" t="n">
        <v>-3206</v>
      </c>
      <c r="X138" s="12" t="n">
        <v>510</v>
      </c>
    </row>
    <row r="139">
      <c r="A139" s="20" t="inlineStr">
        <is>
          <t>기타유가증권 평가차액</t>
        </is>
      </c>
      <c r="C139" s="22" t="n">
        <v>-32</v>
      </c>
      <c r="D139" s="22" t="n">
        <v>717</v>
      </c>
      <c r="E139" s="22" t="n">
        <v>125</v>
      </c>
      <c r="F139" s="22" t="n">
        <v>-560</v>
      </c>
      <c r="G139" s="22" t="n">
        <v>108</v>
      </c>
      <c r="H139" s="22" t="n">
        <v>-130</v>
      </c>
      <c r="I139" s="22" t="n">
        <v>136</v>
      </c>
      <c r="J139" s="22" t="n">
        <v>374</v>
      </c>
      <c r="K139" s="22" t="n">
        <v>349</v>
      </c>
      <c r="L139" s="22" t="n">
        <v>-54</v>
      </c>
      <c r="M139" s="22" t="n">
        <v>579</v>
      </c>
      <c r="N139" s="22" t="n">
        <v>-291</v>
      </c>
      <c r="U139" s="22" t="n">
        <v>-132</v>
      </c>
      <c r="V139" s="22" t="n">
        <v>-32</v>
      </c>
      <c r="W139" s="22" t="n">
        <v>108</v>
      </c>
      <c r="X139" s="22" t="n">
        <v>349</v>
      </c>
    </row>
    <row r="140">
      <c r="A140" s="20" t="inlineStr">
        <is>
          <t>해외사업환산조정</t>
        </is>
      </c>
      <c r="C140" s="22" t="n">
        <v>-2130</v>
      </c>
      <c r="D140" s="22" t="n">
        <v>-1014</v>
      </c>
      <c r="E140" s="22" t="n">
        <v>1215</v>
      </c>
      <c r="F140" s="22" t="n">
        <v>1175</v>
      </c>
      <c r="G140" s="22" t="n">
        <v>-2221</v>
      </c>
      <c r="H140" s="22" t="n">
        <v>1853</v>
      </c>
      <c r="I140" s="22" t="n">
        <v>-1262</v>
      </c>
      <c r="J140" s="22" t="n">
        <v>-589</v>
      </c>
      <c r="K140" s="22" t="n">
        <v>491</v>
      </c>
      <c r="L140" s="22" t="n">
        <v>1064</v>
      </c>
      <c r="M140" s="22" t="n">
        <v>454</v>
      </c>
      <c r="N140" s="22" t="n">
        <v>243</v>
      </c>
      <c r="U140" s="22" t="n">
        <v>1218</v>
      </c>
      <c r="V140" s="22" t="n">
        <v>-2130</v>
      </c>
      <c r="W140" s="22" t="n">
        <v>-2221</v>
      </c>
      <c r="X140" s="22" t="n">
        <v>491</v>
      </c>
    </row>
    <row r="141">
      <c r="A141" s="20" t="inlineStr">
        <is>
          <t>퇴직급여 조정액</t>
        </is>
      </c>
      <c r="C141" s="22" t="n">
        <v>19</v>
      </c>
      <c r="D141" s="22" t="n">
        <v>2</v>
      </c>
      <c r="E141" s="22" t="n">
        <v>2</v>
      </c>
      <c r="F141" s="22" t="n">
        <v>2</v>
      </c>
      <c r="G141" s="22" t="n">
        <v>13</v>
      </c>
      <c r="H141" s="22" t="n">
        <v>3</v>
      </c>
      <c r="I141" s="22" t="n">
        <v>3</v>
      </c>
      <c r="J141" s="22" t="n">
        <v>3</v>
      </c>
      <c r="K141" s="22" t="n">
        <v>227</v>
      </c>
      <c r="L141" s="22" t="n">
        <v>-2</v>
      </c>
      <c r="M141" s="22" t="n">
        <v>-3</v>
      </c>
      <c r="N141" s="22" t="n">
        <v>-3</v>
      </c>
      <c r="U141" s="22" t="n">
        <v>-107</v>
      </c>
      <c r="V141" s="22" t="n">
        <v>19</v>
      </c>
      <c r="W141" s="22" t="n">
        <v>13</v>
      </c>
      <c r="X141" s="22" t="n">
        <v>227</v>
      </c>
    </row>
    <row r="142">
      <c r="A142" s="20" t="inlineStr">
        <is>
          <t>기타포괄손익 합계</t>
        </is>
      </c>
      <c r="C142" s="22" t="n">
        <v>-2143</v>
      </c>
      <c r="D142" s="22" t="n">
        <v>-294</v>
      </c>
      <c r="E142" s="22" t="n">
        <v>1342</v>
      </c>
      <c r="F142" s="22" t="n">
        <v>618</v>
      </c>
      <c r="G142" s="22" t="n">
        <v>-2101</v>
      </c>
      <c r="H142" s="22" t="n">
        <v>1727</v>
      </c>
      <c r="I142" s="22" t="n">
        <v>-1123</v>
      </c>
      <c r="J142" s="22" t="n">
        <v>-212</v>
      </c>
      <c r="K142" s="22" t="n">
        <v>1066</v>
      </c>
      <c r="L142" s="22" t="n">
        <v>1007</v>
      </c>
      <c r="M142" s="22" t="n">
        <v>1031</v>
      </c>
      <c r="N142" s="22" t="n">
        <v>-51</v>
      </c>
      <c r="U142" s="22" t="n">
        <v>980</v>
      </c>
      <c r="V142" s="22" t="n">
        <v>-2143</v>
      </c>
      <c r="W142" s="22" t="n">
        <v>-2101</v>
      </c>
      <c r="X142" s="22" t="n">
        <v>1066</v>
      </c>
    </row>
    <row r="143">
      <c r="A143" s="9" t="inlineStr">
        <is>
          <t>포괄이익</t>
        </is>
      </c>
      <c r="C143" s="12" t="n">
        <v>-8361</v>
      </c>
      <c r="D143" s="12" t="n">
        <v>284</v>
      </c>
      <c r="E143" s="12" t="n">
        <v>2104</v>
      </c>
      <c r="F143" s="12" t="n">
        <v>1611</v>
      </c>
      <c r="G143" s="12" t="n">
        <v>-5308</v>
      </c>
      <c r="H143" s="12" t="n">
        <v>2470</v>
      </c>
      <c r="I143" s="12" t="n">
        <v>-113</v>
      </c>
      <c r="J143" s="12" t="n">
        <v>812</v>
      </c>
      <c r="K143" s="12" t="n">
        <v>1575</v>
      </c>
      <c r="L143" s="12" t="n">
        <v>1541</v>
      </c>
      <c r="M143" s="12" t="n">
        <v>1983</v>
      </c>
      <c r="N143" s="12" t="n">
        <v>1625</v>
      </c>
      <c r="U143" s="12" t="n">
        <v>1641</v>
      </c>
      <c r="V143" s="12" t="n">
        <v>-8361</v>
      </c>
      <c r="W143" s="12" t="n">
        <v>-5308</v>
      </c>
      <c r="X143" s="12" t="n">
        <v>1575</v>
      </c>
    </row>
    <row r="144">
      <c r="A144" s="9" t="inlineStr">
        <is>
          <t>지배주주 포괄이익</t>
        </is>
      </c>
      <c r="C144" s="12" t="n">
        <v>-8361</v>
      </c>
      <c r="D144" s="12" t="n">
        <v>284</v>
      </c>
      <c r="E144" s="12" t="n">
        <v>2103</v>
      </c>
      <c r="F144" s="12" t="n">
        <v>1611</v>
      </c>
      <c r="G144" s="12" t="n">
        <v>-5307</v>
      </c>
      <c r="H144" s="12" t="n">
        <v>2470</v>
      </c>
      <c r="I144" s="12" t="n">
        <v>-113</v>
      </c>
      <c r="J144" s="12" t="n">
        <v>813</v>
      </c>
      <c r="K144" s="12" t="n">
        <v>1575</v>
      </c>
      <c r="L144" s="12" t="n">
        <v>1541</v>
      </c>
      <c r="M144" s="12" t="n">
        <v>1982</v>
      </c>
      <c r="N144" s="12" t="n">
        <v>1625</v>
      </c>
      <c r="U144" s="12" t="n">
        <v>1640</v>
      </c>
      <c r="V144" s="12" t="n">
        <v>-8361</v>
      </c>
      <c r="W144" s="12" t="n">
        <v>-5307</v>
      </c>
      <c r="X144" s="12" t="n">
        <v>1575</v>
      </c>
    </row>
    <row r="145">
      <c r="A145" s="9" t="inlineStr">
        <is>
          <t>비지배주주 포괄이익</t>
        </is>
      </c>
      <c r="C145" s="12" t="n">
        <v>0</v>
      </c>
      <c r="D145" s="12" t="n">
        <v>-0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-0</v>
      </c>
      <c r="J145" s="12" t="n">
        <v>0</v>
      </c>
      <c r="K145" s="12" t="n">
        <v>0</v>
      </c>
      <c r="L145" s="12" t="n">
        <v>0</v>
      </c>
      <c r="M145" s="12" t="n">
        <v>1</v>
      </c>
      <c r="N145" s="12" t="n">
        <v>-1</v>
      </c>
      <c r="U145" s="12" t="n">
        <v>1</v>
      </c>
      <c r="V145" s="12" t="n">
        <v>0</v>
      </c>
      <c r="W145" s="12" t="n">
        <v>0</v>
      </c>
      <c r="X145" s="12" t="n">
        <v>0</v>
      </c>
    </row>
    <row r="147">
      <c r="A147" s="18" t="inlineStr">
        <is>
          <t>현금흐름표 · 전 항목</t>
        </is>
      </c>
      <c r="B147" s="44" t="inlineStr">
        <is>
          <t>분기 = 결산기 첫날부터 누계(공시 그대로)</t>
        </is>
      </c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</row>
    <row r="148">
      <c r="A148" s="5" t="inlineStr">
        <is>
          <t>항목</t>
        </is>
      </c>
      <c r="B148" s="5" t="inlineStr">
        <is>
          <t>참고</t>
        </is>
      </c>
      <c r="C148" s="5" t="inlineStr">
        <is>
          <t>2023.4Q</t>
        </is>
      </c>
      <c r="D148" s="5" t="inlineStr">
        <is>
          <t>2024.1Q</t>
        </is>
      </c>
      <c r="E148" s="5" t="inlineStr">
        <is>
          <t>2024.2Q</t>
        </is>
      </c>
      <c r="F148" s="5" t="inlineStr">
        <is>
          <t>2024.3Q</t>
        </is>
      </c>
      <c r="G148" s="5" t="inlineStr">
        <is>
          <t>2024.4Q</t>
        </is>
      </c>
      <c r="H148" s="5" t="inlineStr">
        <is>
          <t>2025.1Q</t>
        </is>
      </c>
      <c r="I148" s="5" t="inlineStr">
        <is>
          <t>2025.2Q</t>
        </is>
      </c>
      <c r="J148" s="5" t="inlineStr">
        <is>
          <t>2025.3Q</t>
        </is>
      </c>
      <c r="K148" s="5" t="inlineStr">
        <is>
          <t>2025.4Q</t>
        </is>
      </c>
      <c r="L148" s="5" t="inlineStr">
        <is>
          <t>2026.1Q</t>
        </is>
      </c>
      <c r="M148" s="5" t="inlineStr">
        <is>
          <t>2026.2Q</t>
        </is>
      </c>
      <c r="N148" s="5" t="inlineStr">
        <is>
          <t>2026.3Q</t>
        </is>
      </c>
      <c r="O148" s="5" t="inlineStr">
        <is>
          <t>2016</t>
        </is>
      </c>
      <c r="P148" s="5" t="inlineStr">
        <is>
          <t>2017</t>
        </is>
      </c>
      <c r="Q148" s="5" t="inlineStr">
        <is>
          <t>2018</t>
        </is>
      </c>
      <c r="R148" s="5" t="inlineStr">
        <is>
          <t>2019</t>
        </is>
      </c>
      <c r="S148" s="5" t="inlineStr">
        <is>
          <t>2020</t>
        </is>
      </c>
      <c r="T148" s="5" t="inlineStr">
        <is>
          <t>2021</t>
        </is>
      </c>
      <c r="U148" s="5" t="inlineStr">
        <is>
          <t>2022</t>
        </is>
      </c>
      <c r="V148" s="5" t="inlineStr">
        <is>
          <t>2023</t>
        </is>
      </c>
      <c r="W148" s="5" t="inlineStr">
        <is>
          <t>2024</t>
        </is>
      </c>
      <c r="X148" s="5" t="inlineStr">
        <is>
          <t>2025</t>
        </is>
      </c>
      <c r="Y148" s="5" t="inlineStr">
        <is>
          <t>2026(MW)</t>
        </is>
      </c>
      <c r="Z148" s="5" t="inlineStr">
        <is>
          <t>2027(MW)</t>
        </is>
      </c>
      <c r="AA148" s="5" t="inlineStr">
        <is>
          <t>2028(MW)</t>
        </is>
      </c>
      <c r="AB148" s="5" t="inlineStr">
        <is>
          <t>2029(MW)</t>
        </is>
      </c>
      <c r="AC148" s="5" t="inlineStr">
        <is>
          <t>2030(MW)</t>
        </is>
      </c>
    </row>
    <row r="149">
      <c r="A149" s="9" t="inlineStr">
        <is>
          <t>법인세차감전 중간순이익(손실)</t>
        </is>
      </c>
      <c r="C149" s="12" t="n">
        <v>-5950</v>
      </c>
      <c r="G149" s="12" t="n">
        <v>-1260</v>
      </c>
      <c r="K149" s="12" t="n">
        <v>4979</v>
      </c>
      <c r="O149" s="12" t="n">
        <v>11899.625</v>
      </c>
      <c r="P149" s="12" t="n">
        <v>5339</v>
      </c>
      <c r="Q149" s="12" t="n">
        <v>4194</v>
      </c>
      <c r="R149" s="12" t="n">
        <v>5147</v>
      </c>
      <c r="S149" s="12" t="n">
        <v>3576</v>
      </c>
      <c r="T149" s="12" t="n">
        <v>4072</v>
      </c>
      <c r="U149" s="12" t="n">
        <v>5767</v>
      </c>
      <c r="V149" s="12" t="n">
        <v>-5950</v>
      </c>
      <c r="W149" s="12" t="n">
        <v>-1260</v>
      </c>
      <c r="X149" s="12" t="n">
        <v>4979</v>
      </c>
    </row>
    <row r="150">
      <c r="A150" s="20" t="inlineStr">
        <is>
          <t>감가상각비</t>
        </is>
      </c>
      <c r="C150" s="22" t="n">
        <v>2449</v>
      </c>
      <c r="G150" s="22" t="n">
        <v>1961</v>
      </c>
      <c r="K150" s="22" t="n">
        <v>1741</v>
      </c>
      <c r="O150" s="22" t="n">
        <v>1680.772</v>
      </c>
      <c r="P150" s="22" t="n">
        <v>1422</v>
      </c>
      <c r="Q150" s="22" t="n">
        <v>1674</v>
      </c>
      <c r="R150" s="22" t="n">
        <v>1693</v>
      </c>
      <c r="S150" s="22" t="n">
        <v>1772</v>
      </c>
      <c r="T150" s="22" t="n">
        <v>1878</v>
      </c>
      <c r="U150" s="22" t="n">
        <v>2508</v>
      </c>
      <c r="V150" s="22" t="n">
        <v>2449</v>
      </c>
      <c r="W150" s="22" t="n">
        <v>1961</v>
      </c>
      <c r="X150" s="22" t="n">
        <v>1741</v>
      </c>
    </row>
    <row r="151">
      <c r="A151" s="20" t="inlineStr">
        <is>
          <t>점포 폐쇄 손실</t>
        </is>
      </c>
      <c r="G151" s="22" t="n">
        <v>0</v>
      </c>
      <c r="K151" s="22" t="n">
        <v>279</v>
      </c>
      <c r="W151" s="22" t="n">
        <v>0</v>
      </c>
      <c r="X151" s="22" t="n">
        <v>279</v>
      </c>
    </row>
    <row r="152">
      <c r="A152" s="20" t="inlineStr">
        <is>
          <t>영업권 상각</t>
        </is>
      </c>
      <c r="C152" s="22" t="n">
        <v>375</v>
      </c>
      <c r="G152" s="22" t="n">
        <v>170</v>
      </c>
      <c r="K152" s="22" t="n">
        <v>170</v>
      </c>
      <c r="Q152" s="22" t="n">
        <v>78</v>
      </c>
      <c r="R152" s="22" t="n">
        <v>206</v>
      </c>
      <c r="S152" s="22" t="n">
        <v>240</v>
      </c>
      <c r="T152" s="22" t="n">
        <v>217</v>
      </c>
      <c r="U152" s="22" t="n">
        <v>382</v>
      </c>
      <c r="V152" s="22" t="n">
        <v>375</v>
      </c>
      <c r="W152" s="22" t="n">
        <v>170</v>
      </c>
      <c r="X152" s="22" t="n">
        <v>170</v>
      </c>
    </row>
    <row r="153">
      <c r="A153" s="20" t="inlineStr">
        <is>
          <t>손상차손</t>
        </is>
      </c>
      <c r="C153" s="22" t="n">
        <v>3469</v>
      </c>
      <c r="S153" s="22" t="n">
        <v>25</v>
      </c>
      <c r="T153" s="22" t="n">
        <v>244</v>
      </c>
      <c r="U153" s="22" t="n">
        <v>392</v>
      </c>
      <c r="V153" s="22" t="n">
        <v>3469</v>
      </c>
    </row>
    <row r="154">
      <c r="A154" s="20" t="inlineStr">
        <is>
          <t>대손충당금 증감</t>
        </is>
      </c>
      <c r="C154" s="22" t="n">
        <v>-0</v>
      </c>
      <c r="G154" s="22" t="n">
        <v>122</v>
      </c>
      <c r="K154" s="22" t="n">
        <v>-25</v>
      </c>
      <c r="O154" s="22" t="n">
        <v>-30.279</v>
      </c>
      <c r="P154" s="22" t="n">
        <v>-53</v>
      </c>
      <c r="Q154" s="22" t="n">
        <v>-3</v>
      </c>
      <c r="R154" s="22" t="n">
        <v>-2</v>
      </c>
      <c r="S154" s="22" t="n">
        <v>-11</v>
      </c>
      <c r="T154" s="22" t="n">
        <v>-46</v>
      </c>
      <c r="U154" s="22" t="n">
        <v>-3</v>
      </c>
      <c r="V154" s="22" t="n">
        <v>-0</v>
      </c>
      <c r="W154" s="22" t="n">
        <v>122</v>
      </c>
      <c r="X154" s="22" t="n">
        <v>-25</v>
      </c>
    </row>
    <row r="155">
      <c r="A155" s="20" t="inlineStr">
        <is>
          <t>퇴직급여부채 증감</t>
        </is>
      </c>
      <c r="C155" s="22" t="n">
        <v>7</v>
      </c>
      <c r="G155" s="22" t="n">
        <v>-8</v>
      </c>
      <c r="K155" s="22" t="n">
        <v>-60</v>
      </c>
      <c r="O155" s="22" t="n">
        <v>88.29600000000001</v>
      </c>
      <c r="P155" s="22" t="n">
        <v>86</v>
      </c>
      <c r="Q155" s="22" t="n">
        <v>85</v>
      </c>
      <c r="R155" s="22" t="n">
        <v>61</v>
      </c>
      <c r="S155" s="22" t="n">
        <v>62</v>
      </c>
      <c r="T155" s="22" t="n">
        <v>-35</v>
      </c>
      <c r="U155" s="22" t="n">
        <v>44</v>
      </c>
      <c r="V155" s="22" t="n">
        <v>7</v>
      </c>
      <c r="W155" s="22" t="n">
        <v>-8</v>
      </c>
      <c r="X155" s="22" t="n">
        <v>-60</v>
      </c>
    </row>
    <row r="156">
      <c r="A156" s="20" t="inlineStr">
        <is>
          <t>이자·배당금 수익</t>
        </is>
      </c>
      <c r="C156" s="22" t="n">
        <v>-297</v>
      </c>
      <c r="G156" s="22" t="n">
        <v>-268</v>
      </c>
      <c r="K156" s="22" t="n">
        <v>-288</v>
      </c>
      <c r="O156" s="22" t="n">
        <v>-157.666</v>
      </c>
      <c r="P156" s="22" t="n">
        <v>-189</v>
      </c>
      <c r="Q156" s="22" t="n">
        <v>-182</v>
      </c>
      <c r="R156" s="22" t="n">
        <v>-194</v>
      </c>
      <c r="S156" s="22" t="n">
        <v>-167</v>
      </c>
      <c r="T156" s="22" t="n">
        <v>-187</v>
      </c>
      <c r="U156" s="22" t="n">
        <v>-204</v>
      </c>
      <c r="V156" s="22" t="n">
        <v>-297</v>
      </c>
      <c r="W156" s="22" t="n">
        <v>-268</v>
      </c>
      <c r="X156" s="22" t="n">
        <v>-288</v>
      </c>
    </row>
    <row r="157">
      <c r="A157" s="20" t="inlineStr">
        <is>
          <t>이자비용</t>
        </is>
      </c>
      <c r="C157" s="22" t="n">
        <v>303</v>
      </c>
      <c r="G157" s="22" t="n">
        <v>52</v>
      </c>
      <c r="K157" s="22" t="n">
        <v>98</v>
      </c>
      <c r="O157" s="22" t="n">
        <v>83.134</v>
      </c>
      <c r="P157" s="22" t="n">
        <v>53</v>
      </c>
      <c r="Q157" s="22" t="n">
        <v>43</v>
      </c>
      <c r="R157" s="22" t="n">
        <v>65</v>
      </c>
      <c r="S157" s="22" t="n">
        <v>122</v>
      </c>
      <c r="T157" s="22" t="n">
        <v>94</v>
      </c>
      <c r="U157" s="22" t="n">
        <v>143</v>
      </c>
      <c r="V157" s="22" t="n">
        <v>303</v>
      </c>
      <c r="W157" s="22" t="n">
        <v>52</v>
      </c>
      <c r="X157" s="22" t="n">
        <v>98</v>
      </c>
    </row>
    <row r="158">
      <c r="A158" s="20" t="inlineStr">
        <is>
          <t>고정자산 제각손실</t>
        </is>
      </c>
      <c r="C158" s="22" t="n">
        <v>17</v>
      </c>
      <c r="G158" s="22" t="n">
        <v>1</v>
      </c>
      <c r="K158" s="22" t="n">
        <v>62</v>
      </c>
      <c r="O158" s="22" t="n">
        <v>241.829</v>
      </c>
      <c r="P158" s="22" t="n">
        <v>132</v>
      </c>
      <c r="Q158" s="22" t="n">
        <v>143</v>
      </c>
      <c r="R158" s="22" t="n">
        <v>67</v>
      </c>
      <c r="S158" s="22" t="n">
        <v>58</v>
      </c>
      <c r="T158" s="22" t="n">
        <v>3</v>
      </c>
      <c r="U158" s="22" t="n">
        <v>5</v>
      </c>
      <c r="V158" s="22" t="n">
        <v>17</v>
      </c>
      <c r="W158" s="22" t="n">
        <v>1</v>
      </c>
      <c r="X158" s="22" t="n">
        <v>62</v>
      </c>
    </row>
    <row r="159">
      <c r="A159" s="20" t="inlineStr">
        <is>
          <t>고정자산 매각손익</t>
        </is>
      </c>
      <c r="O159" s="22" t="n">
        <v>-241.301</v>
      </c>
      <c r="P159" s="22" t="n">
        <v>-28</v>
      </c>
      <c r="Q159" s="22" t="n">
        <v>-101</v>
      </c>
    </row>
    <row r="160">
      <c r="A160" s="20" t="inlineStr">
        <is>
          <t>투자유가증권 평가손익</t>
        </is>
      </c>
      <c r="C160" s="22" t="n">
        <v>0</v>
      </c>
      <c r="G160" s="22" t="n">
        <v>3332</v>
      </c>
      <c r="K160" s="22" t="n">
        <v>0</v>
      </c>
      <c r="O160" s="22" t="n">
        <v>80.15000000000001</v>
      </c>
      <c r="P160" s="22" t="n">
        <v>0</v>
      </c>
      <c r="R160" s="22" t="n">
        <v>0</v>
      </c>
      <c r="S160" s="22" t="n">
        <v>139</v>
      </c>
      <c r="T160" s="22" t="n">
        <v>0</v>
      </c>
      <c r="V160" s="22" t="n">
        <v>0</v>
      </c>
      <c r="W160" s="22" t="n">
        <v>3332</v>
      </c>
      <c r="X160" s="22" t="n">
        <v>0</v>
      </c>
    </row>
    <row r="161">
      <c r="A161" s="20" t="inlineStr">
        <is>
          <t>관계회사 주식 평가손실</t>
        </is>
      </c>
      <c r="O161" s="22" t="n">
        <v>18.963</v>
      </c>
      <c r="P161" s="22" t="n">
        <v>0</v>
      </c>
    </row>
    <row r="162">
      <c r="A162" s="20" t="inlineStr">
        <is>
          <t>관계회사 주식 매각손익</t>
        </is>
      </c>
      <c r="O162" s="22" t="n">
        <v>-6266.617</v>
      </c>
      <c r="P162" s="22" t="n">
        <v>0</v>
      </c>
    </row>
    <row r="163">
      <c r="A163" s="20" t="inlineStr">
        <is>
          <t>Loss On Closing Of Factory Ope CF</t>
        </is>
      </c>
      <c r="P163" s="22" t="n">
        <v>0</v>
      </c>
      <c r="Q163" s="22" t="n">
        <v>1217</v>
      </c>
      <c r="R163" s="22" t="n">
        <v>60</v>
      </c>
      <c r="S163" s="22" t="n">
        <v>0</v>
      </c>
    </row>
    <row r="164">
      <c r="A164" s="20" t="inlineStr">
        <is>
          <t>투자사업조합 운용 손익(△는 이익)</t>
        </is>
      </c>
      <c r="C164" s="22" t="n">
        <v>-4</v>
      </c>
      <c r="G164" s="22" t="n">
        <v>43</v>
      </c>
      <c r="K164" s="22" t="n">
        <v>47</v>
      </c>
      <c r="S164" s="22" t="n">
        <v>0</v>
      </c>
      <c r="T164" s="22" t="n">
        <v>-117</v>
      </c>
      <c r="U164" s="22" t="n">
        <v>15</v>
      </c>
      <c r="V164" s="22" t="n">
        <v>-4</v>
      </c>
      <c r="W164" s="22" t="n">
        <v>43</v>
      </c>
      <c r="X164" s="22" t="n">
        <v>47</v>
      </c>
    </row>
    <row r="165">
      <c r="A165" s="20" t="inlineStr">
        <is>
          <t>투자유가증권 매각손익</t>
        </is>
      </c>
      <c r="C165" s="22" t="n">
        <v>0</v>
      </c>
      <c r="G165" s="22" t="n">
        <v>-30</v>
      </c>
      <c r="K165" s="22" t="n">
        <v>-276</v>
      </c>
      <c r="P165" s="22" t="n">
        <v>-17</v>
      </c>
      <c r="Q165" s="22" t="n">
        <v>-614</v>
      </c>
      <c r="R165" s="22" t="n">
        <v>-67</v>
      </c>
      <c r="T165" s="22" t="n">
        <v>0</v>
      </c>
      <c r="U165" s="22" t="n">
        <v>-709</v>
      </c>
      <c r="V165" s="22" t="n">
        <v>0</v>
      </c>
      <c r="W165" s="22" t="n">
        <v>-30</v>
      </c>
      <c r="X165" s="22" t="n">
        <v>-276</v>
      </c>
    </row>
    <row r="166">
      <c r="A166" s="20" t="inlineStr">
        <is>
          <t>보조금 수입</t>
        </is>
      </c>
      <c r="O166" s="22" t="n">
        <v>0</v>
      </c>
      <c r="P166" s="22" t="n">
        <v>-411</v>
      </c>
      <c r="Q166" s="22" t="n">
        <v>0</v>
      </c>
    </row>
    <row r="167">
      <c r="A167" s="20" t="inlineStr">
        <is>
          <t>환경대책비</t>
        </is>
      </c>
      <c r="R167" s="22" t="n">
        <v>351</v>
      </c>
      <c r="S167" s="22" t="n">
        <v>810</v>
      </c>
      <c r="T167" s="22" t="n">
        <v>221</v>
      </c>
      <c r="U167" s="22" t="n">
        <v>0</v>
      </c>
    </row>
    <row r="168">
      <c r="A168" s="20" t="inlineStr">
        <is>
          <t>보험해약 손익</t>
        </is>
      </c>
      <c r="G168" s="22" t="n">
        <v>1</v>
      </c>
      <c r="K168" s="22" t="n">
        <v>38</v>
      </c>
      <c r="W168" s="22" t="n">
        <v>1</v>
      </c>
      <c r="X168" s="22" t="n">
        <v>38</v>
      </c>
    </row>
    <row r="169">
      <c r="A169" s="20" t="inlineStr">
        <is>
          <t>해외 자회사 송금사기 손실</t>
        </is>
      </c>
      <c r="C169" s="22" t="n">
        <v>0</v>
      </c>
      <c r="G169" s="22" t="n">
        <v>77</v>
      </c>
      <c r="K169" s="22" t="n">
        <v>0</v>
      </c>
      <c r="S169" s="22" t="n">
        <v>0</v>
      </c>
      <c r="T169" s="22" t="n">
        <v>159</v>
      </c>
      <c r="U169" s="22" t="n">
        <v>0</v>
      </c>
      <c r="V169" s="22" t="n">
        <v>0</v>
      </c>
      <c r="W169" s="22" t="n">
        <v>77</v>
      </c>
      <c r="X169" s="22" t="n">
        <v>0</v>
      </c>
    </row>
    <row r="170">
      <c r="A170" s="20" t="inlineStr">
        <is>
          <t>Amount Of Customs Refund For The Past Fiscal Year Ope CF</t>
        </is>
      </c>
      <c r="C170" s="22" t="n">
        <v>0</v>
      </c>
      <c r="G170" s="22" t="n">
        <v>-167</v>
      </c>
      <c r="K170" s="22" t="n">
        <v>0</v>
      </c>
      <c r="V170" s="22" t="n">
        <v>0</v>
      </c>
      <c r="W170" s="22" t="n">
        <v>-167</v>
      </c>
      <c r="X170" s="22" t="n">
        <v>0</v>
      </c>
    </row>
    <row r="171">
      <c r="A171" s="20" t="inlineStr">
        <is>
          <t>Litigation Related Expenses And Other Ope CF</t>
        </is>
      </c>
      <c r="C171" s="22" t="n">
        <v>0</v>
      </c>
      <c r="G171" s="22" t="n">
        <v>172</v>
      </c>
      <c r="K171" s="22" t="n">
        <v>42</v>
      </c>
      <c r="V171" s="22" t="n">
        <v>0</v>
      </c>
      <c r="W171" s="22" t="n">
        <v>172</v>
      </c>
      <c r="X171" s="22" t="n">
        <v>42</v>
      </c>
    </row>
    <row r="172">
      <c r="A172" s="20" t="inlineStr">
        <is>
          <t>화해금</t>
        </is>
      </c>
      <c r="C172" s="22" t="n">
        <v>0</v>
      </c>
      <c r="G172" s="22" t="n">
        <v>2283</v>
      </c>
      <c r="K172" s="22" t="n">
        <v>0</v>
      </c>
      <c r="V172" s="22" t="n">
        <v>0</v>
      </c>
      <c r="W172" s="22" t="n">
        <v>2283</v>
      </c>
      <c r="X172" s="22" t="n">
        <v>0</v>
      </c>
    </row>
    <row r="173">
      <c r="A173" s="20" t="inlineStr">
        <is>
          <t>사업정리 손실</t>
        </is>
      </c>
      <c r="C173" s="22" t="n">
        <v>6320</v>
      </c>
      <c r="G173" s="22" t="n">
        <v>0</v>
      </c>
      <c r="U173" s="22" t="n">
        <v>0</v>
      </c>
      <c r="V173" s="22" t="n">
        <v>6320</v>
      </c>
      <c r="W173" s="22" t="n">
        <v>0</v>
      </c>
    </row>
    <row r="174">
      <c r="A174" s="20" t="inlineStr">
        <is>
          <t>매출채권 증감</t>
        </is>
      </c>
      <c r="C174" s="22" t="n">
        <v>793</v>
      </c>
      <c r="G174" s="22" t="n">
        <v>790</v>
      </c>
      <c r="K174" s="22" t="n">
        <v>375</v>
      </c>
      <c r="O174" s="22" t="n">
        <v>903.109</v>
      </c>
      <c r="P174" s="22" t="n">
        <v>-1495</v>
      </c>
      <c r="Q174" s="22" t="n">
        <v>-798</v>
      </c>
      <c r="R174" s="22" t="n">
        <v>1448</v>
      </c>
      <c r="S174" s="22" t="n">
        <v>1555</v>
      </c>
      <c r="T174" s="22" t="n">
        <v>-294</v>
      </c>
      <c r="U174" s="22" t="n">
        <v>-300</v>
      </c>
      <c r="V174" s="22" t="n">
        <v>793</v>
      </c>
      <c r="W174" s="22" t="n">
        <v>790</v>
      </c>
      <c r="X174" s="22" t="n">
        <v>375</v>
      </c>
    </row>
    <row r="175">
      <c r="A175" s="20" t="inlineStr">
        <is>
          <t>기타 유동자산 증감</t>
        </is>
      </c>
      <c r="C175" s="22" t="n">
        <v>-523</v>
      </c>
      <c r="G175" s="22" t="n">
        <v>257</v>
      </c>
      <c r="K175" s="22" t="n">
        <v>-44</v>
      </c>
      <c r="O175" s="22" t="n">
        <v>268.465</v>
      </c>
      <c r="P175" s="22" t="n">
        <v>9</v>
      </c>
      <c r="Q175" s="22" t="n">
        <v>360</v>
      </c>
      <c r="R175" s="22" t="n">
        <v>218</v>
      </c>
      <c r="S175" s="22" t="n">
        <v>-697</v>
      </c>
      <c r="T175" s="22" t="n">
        <v>564</v>
      </c>
      <c r="U175" s="22" t="n">
        <v>2</v>
      </c>
      <c r="V175" s="22" t="n">
        <v>-523</v>
      </c>
      <c r="W175" s="22" t="n">
        <v>257</v>
      </c>
      <c r="X175" s="22" t="n">
        <v>-44</v>
      </c>
    </row>
    <row r="176">
      <c r="A176" s="20" t="inlineStr">
        <is>
          <t>재고자산 증감</t>
        </is>
      </c>
      <c r="C176" s="22" t="n">
        <v>2285</v>
      </c>
      <c r="G176" s="22" t="n">
        <v>-254</v>
      </c>
      <c r="K176" s="22" t="n">
        <v>-405</v>
      </c>
      <c r="O176" s="22" t="n">
        <v>-132.205</v>
      </c>
      <c r="P176" s="22" t="n">
        <v>-720</v>
      </c>
      <c r="Q176" s="22" t="n">
        <v>-1493</v>
      </c>
      <c r="R176" s="22" t="n">
        <v>-895</v>
      </c>
      <c r="S176" s="22" t="n">
        <v>104</v>
      </c>
      <c r="T176" s="22" t="n">
        <v>-1347</v>
      </c>
      <c r="U176" s="22" t="n">
        <v>-5389</v>
      </c>
      <c r="V176" s="22" t="n">
        <v>2285</v>
      </c>
      <c r="W176" s="22" t="n">
        <v>-254</v>
      </c>
      <c r="X176" s="22" t="n">
        <v>-405</v>
      </c>
    </row>
    <row r="177">
      <c r="A177" s="20" t="inlineStr">
        <is>
          <t>매입채무 증감</t>
        </is>
      </c>
      <c r="C177" s="22" t="n">
        <v>-754</v>
      </c>
      <c r="G177" s="22" t="n">
        <v>-3215</v>
      </c>
      <c r="K177" s="22" t="n">
        <v>-201</v>
      </c>
      <c r="O177" s="22" t="n">
        <v>-780.576</v>
      </c>
      <c r="P177" s="22" t="n">
        <v>1418</v>
      </c>
      <c r="Q177" s="22" t="n">
        <v>949</v>
      </c>
      <c r="R177" s="22" t="n">
        <v>-856</v>
      </c>
      <c r="S177" s="22" t="n">
        <v>-791</v>
      </c>
      <c r="T177" s="22" t="n">
        <v>1164</v>
      </c>
      <c r="U177" s="22" t="n">
        <v>565</v>
      </c>
      <c r="V177" s="22" t="n">
        <v>-754</v>
      </c>
      <c r="W177" s="22" t="n">
        <v>-3215</v>
      </c>
      <c r="X177" s="22" t="n">
        <v>-201</v>
      </c>
    </row>
    <row r="178">
      <c r="A178" s="20" t="inlineStr">
        <is>
          <t>기타 유동부채 증감</t>
        </is>
      </c>
      <c r="C178" s="22" t="n">
        <v>61</v>
      </c>
      <c r="G178" s="22" t="n">
        <v>1232</v>
      </c>
      <c r="K178" s="22" t="n">
        <v>-448</v>
      </c>
      <c r="O178" s="22" t="n">
        <v>540.478</v>
      </c>
      <c r="P178" s="22" t="n">
        <v>117</v>
      </c>
      <c r="Q178" s="22" t="n">
        <v>434</v>
      </c>
      <c r="R178" s="22" t="n">
        <v>-972</v>
      </c>
      <c r="S178" s="22" t="n">
        <v>178</v>
      </c>
      <c r="T178" s="22" t="n">
        <v>412</v>
      </c>
      <c r="U178" s="22" t="n">
        <v>-91</v>
      </c>
      <c r="V178" s="22" t="n">
        <v>61</v>
      </c>
      <c r="W178" s="22" t="n">
        <v>1232</v>
      </c>
      <c r="X178" s="22" t="n">
        <v>-448</v>
      </c>
    </row>
    <row r="179">
      <c r="A179" s="20" t="inlineStr">
        <is>
          <t>기타 비유동부채 증감액</t>
        </is>
      </c>
      <c r="C179" s="22" t="n">
        <v>10</v>
      </c>
      <c r="G179" s="22" t="n">
        <v>-32</v>
      </c>
      <c r="K179" s="22" t="n">
        <v>-18</v>
      </c>
      <c r="O179" s="22" t="n">
        <v>21.065</v>
      </c>
      <c r="P179" s="22" t="n">
        <v>-14</v>
      </c>
      <c r="Q179" s="22" t="n">
        <v>10</v>
      </c>
      <c r="R179" s="22" t="n">
        <v>-7</v>
      </c>
      <c r="S179" s="22" t="n">
        <v>16</v>
      </c>
      <c r="T179" s="22" t="n">
        <v>-3</v>
      </c>
      <c r="U179" s="22" t="n">
        <v>-19</v>
      </c>
      <c r="V179" s="22" t="n">
        <v>10</v>
      </c>
      <c r="W179" s="22" t="n">
        <v>-32</v>
      </c>
      <c r="X179" s="22" t="n">
        <v>-18</v>
      </c>
    </row>
    <row r="180">
      <c r="A180" s="20" t="inlineStr">
        <is>
          <t>미수 소비세 증감</t>
        </is>
      </c>
      <c r="C180" s="22" t="n">
        <v>-33</v>
      </c>
      <c r="G180" s="22" t="n">
        <v>-24</v>
      </c>
      <c r="K180" s="22" t="n">
        <v>-9</v>
      </c>
      <c r="T180" s="22" t="n">
        <v>0</v>
      </c>
      <c r="U180" s="22" t="n">
        <v>-169</v>
      </c>
      <c r="V180" s="22" t="n">
        <v>-33</v>
      </c>
      <c r="W180" s="22" t="n">
        <v>-24</v>
      </c>
      <c r="X180" s="22" t="n">
        <v>-9</v>
      </c>
    </row>
    <row r="181">
      <c r="A181" s="20" t="inlineStr">
        <is>
          <t>미지급 소비세 증감</t>
        </is>
      </c>
      <c r="C181" s="22" t="n">
        <v>-135</v>
      </c>
      <c r="G181" s="22" t="n">
        <v>8</v>
      </c>
      <c r="K181" s="22" t="n">
        <v>-53</v>
      </c>
      <c r="O181" s="22" t="n">
        <v>510.53</v>
      </c>
      <c r="P181" s="22" t="n">
        <v>-303</v>
      </c>
      <c r="Q181" s="22" t="n">
        <v>107</v>
      </c>
      <c r="R181" s="22" t="n">
        <v>152</v>
      </c>
      <c r="S181" s="22" t="n">
        <v>-135</v>
      </c>
      <c r="T181" s="22" t="n">
        <v>-61</v>
      </c>
      <c r="U181" s="22" t="n">
        <v>225</v>
      </c>
      <c r="V181" s="22" t="n">
        <v>-135</v>
      </c>
      <c r="W181" s="22" t="n">
        <v>8</v>
      </c>
      <c r="X181" s="22" t="n">
        <v>-53</v>
      </c>
    </row>
    <row r="182">
      <c r="A182" s="20" t="inlineStr">
        <is>
          <t>기타</t>
        </is>
      </c>
      <c r="C182" s="22" t="n">
        <v>3525</v>
      </c>
      <c r="G182" s="22" t="n">
        <v>-47</v>
      </c>
      <c r="K182" s="22" t="n">
        <v>0</v>
      </c>
      <c r="O182" s="22" t="n">
        <v>155.408</v>
      </c>
      <c r="P182" s="22" t="n">
        <v>170</v>
      </c>
      <c r="Q182" s="22" t="n">
        <v>-109</v>
      </c>
      <c r="R182" s="22" t="n">
        <v>7</v>
      </c>
      <c r="S182" s="22" t="n">
        <v>-89</v>
      </c>
      <c r="T182" s="22" t="n">
        <v>-147</v>
      </c>
      <c r="U182" s="22" t="n">
        <v>91</v>
      </c>
      <c r="V182" s="22" t="n">
        <v>3525</v>
      </c>
      <c r="W182" s="22" t="n">
        <v>-47</v>
      </c>
      <c r="X182" s="22" t="n">
        <v>0</v>
      </c>
    </row>
    <row r="183">
      <c r="A183" s="20" t="inlineStr">
        <is>
          <t>소계</t>
        </is>
      </c>
      <c r="C183" s="22" t="n">
        <v>8449</v>
      </c>
      <c r="G183" s="22" t="n">
        <v>5199</v>
      </c>
      <c r="K183" s="22" t="n">
        <v>6004</v>
      </c>
      <c r="O183" s="22" t="n">
        <v>8883.183999999999</v>
      </c>
      <c r="P183" s="22" t="n">
        <v>5515</v>
      </c>
      <c r="Q183" s="22" t="n">
        <v>6098</v>
      </c>
      <c r="R183" s="22" t="n">
        <v>6551</v>
      </c>
      <c r="S183" s="22" t="n">
        <v>6770</v>
      </c>
      <c r="T183" s="22" t="n">
        <v>6791</v>
      </c>
      <c r="U183" s="22" t="n">
        <v>3255</v>
      </c>
      <c r="V183" s="22" t="n">
        <v>8449</v>
      </c>
      <c r="W183" s="22" t="n">
        <v>5199</v>
      </c>
      <c r="X183" s="22" t="n">
        <v>6004</v>
      </c>
    </row>
    <row r="184">
      <c r="A184" s="20" t="inlineStr">
        <is>
          <t>법인세 납부</t>
        </is>
      </c>
      <c r="C184" s="22" t="n">
        <v>-2455</v>
      </c>
      <c r="G184" s="22" t="n">
        <v>-1374</v>
      </c>
      <c r="K184" s="22" t="n">
        <v>-1271</v>
      </c>
      <c r="O184" s="22" t="n">
        <v>-3179.561</v>
      </c>
      <c r="P184" s="22" t="n">
        <v>-3407</v>
      </c>
      <c r="Q184" s="22" t="n">
        <v>-1808</v>
      </c>
      <c r="R184" s="22" t="n">
        <v>-2175</v>
      </c>
      <c r="S184" s="22" t="n">
        <v>-1078</v>
      </c>
      <c r="T184" s="22" t="n">
        <v>-1739</v>
      </c>
      <c r="U184" s="22" t="n">
        <v>-1280</v>
      </c>
      <c r="V184" s="22" t="n">
        <v>-2455</v>
      </c>
      <c r="W184" s="22" t="n">
        <v>-1374</v>
      </c>
      <c r="X184" s="22" t="n">
        <v>-1271</v>
      </c>
    </row>
    <row r="185">
      <c r="A185" s="20" t="inlineStr">
        <is>
          <t>법인세 환급</t>
        </is>
      </c>
      <c r="C185" s="22" t="n">
        <v>377</v>
      </c>
      <c r="G185" s="22" t="n">
        <v>0</v>
      </c>
      <c r="S185" s="22" t="n">
        <v>0</v>
      </c>
      <c r="T185" s="22" t="n">
        <v>832</v>
      </c>
      <c r="U185" s="22" t="n">
        <v>0</v>
      </c>
      <c r="V185" s="22" t="n">
        <v>377</v>
      </c>
      <c r="W185" s="22" t="n">
        <v>0</v>
      </c>
    </row>
    <row r="186">
      <c r="A186" s="20" t="inlineStr">
        <is>
          <t>Payments For Environmental Expenses Ope CF</t>
        </is>
      </c>
      <c r="R186" s="22" t="n">
        <v>-351</v>
      </c>
      <c r="S186" s="22" t="n">
        <v>-810</v>
      </c>
      <c r="T186" s="22" t="n">
        <v>-221</v>
      </c>
      <c r="U186" s="22" t="n">
        <v>0</v>
      </c>
    </row>
    <row r="187">
      <c r="A187" s="20" t="inlineStr">
        <is>
          <t>Loss On Closing Factory Paid Ope CF</t>
        </is>
      </c>
      <c r="P187" s="22" t="n">
        <v>0</v>
      </c>
      <c r="Q187" s="22" t="n">
        <v>-1103</v>
      </c>
      <c r="R187" s="22" t="n">
        <v>-60</v>
      </c>
      <c r="S187" s="22" t="n">
        <v>0</v>
      </c>
    </row>
    <row r="188">
      <c r="A188" s="20" t="inlineStr">
        <is>
          <t>사업정리 손실 지급</t>
        </is>
      </c>
      <c r="C188" s="22" t="n">
        <v>-168</v>
      </c>
      <c r="U188" s="22" t="n">
        <v>0</v>
      </c>
      <c r="V188" s="22" t="n">
        <v>-168</v>
      </c>
    </row>
    <row r="189">
      <c r="A189" s="20" t="inlineStr">
        <is>
          <t>해외 자회사 송금사기 손실 지급액</t>
        </is>
      </c>
      <c r="C189" s="22" t="n">
        <v>0</v>
      </c>
      <c r="G189" s="22" t="n">
        <v>-77</v>
      </c>
      <c r="K189" s="22" t="n">
        <v>0</v>
      </c>
      <c r="S189" s="22" t="n">
        <v>0</v>
      </c>
      <c r="T189" s="22" t="n">
        <v>-159</v>
      </c>
      <c r="U189" s="22" t="n">
        <v>0</v>
      </c>
      <c r="V189" s="22" t="n">
        <v>0</v>
      </c>
      <c r="W189" s="22" t="n">
        <v>-77</v>
      </c>
      <c r="X189" s="22" t="n">
        <v>0</v>
      </c>
    </row>
    <row r="190">
      <c r="A190" s="20" t="inlineStr">
        <is>
          <t>Payment Amount Of Litigation Related Expenses And Other Ope CF</t>
        </is>
      </c>
      <c r="C190" s="22" t="n">
        <v>0</v>
      </c>
      <c r="G190" s="22" t="n">
        <v>-165</v>
      </c>
      <c r="K190" s="22" t="n">
        <v>-49</v>
      </c>
      <c r="V190" s="22" t="n">
        <v>0</v>
      </c>
      <c r="W190" s="22" t="n">
        <v>-165</v>
      </c>
      <c r="X190" s="22" t="n">
        <v>-49</v>
      </c>
    </row>
    <row r="191">
      <c r="A191" s="20" t="inlineStr">
        <is>
          <t>Amount Of Customs Refund For The Previous Year Ope CF</t>
        </is>
      </c>
      <c r="C191" s="22" t="n">
        <v>0</v>
      </c>
      <c r="G191" s="22" t="n">
        <v>167</v>
      </c>
      <c r="K191" s="22" t="n">
        <v>0</v>
      </c>
      <c r="V191" s="22" t="n">
        <v>0</v>
      </c>
      <c r="W191" s="22" t="n">
        <v>167</v>
      </c>
      <c r="X191" s="22" t="n">
        <v>0</v>
      </c>
    </row>
    <row r="192">
      <c r="A192" s="20" t="inlineStr">
        <is>
          <t>화해금 지급액</t>
        </is>
      </c>
      <c r="C192" s="22" t="n">
        <v>0</v>
      </c>
      <c r="G192" s="22" t="n">
        <v>-20</v>
      </c>
      <c r="K192" s="22" t="n">
        <v>-2263</v>
      </c>
      <c r="V192" s="22" t="n">
        <v>0</v>
      </c>
      <c r="W192" s="22" t="n">
        <v>-20</v>
      </c>
      <c r="X192" s="22" t="n">
        <v>-2263</v>
      </c>
    </row>
    <row r="193">
      <c r="A193" s="20" t="inlineStr">
        <is>
          <t>사업정리 손실 지급</t>
        </is>
      </c>
      <c r="C193" s="22" t="n">
        <v>-168</v>
      </c>
      <c r="G193" s="22" t="n">
        <v>0</v>
      </c>
      <c r="V193" s="22" t="n">
        <v>-168</v>
      </c>
      <c r="W193" s="22" t="n">
        <v>0</v>
      </c>
    </row>
    <row r="194">
      <c r="A194" s="9" t="inlineStr">
        <is>
          <t>영업활동 현금흐름</t>
        </is>
      </c>
      <c r="C194" s="12" t="n">
        <v>6202</v>
      </c>
      <c r="G194" s="12" t="n">
        <v>3729</v>
      </c>
      <c r="K194" s="12" t="n">
        <v>2420</v>
      </c>
      <c r="O194" s="12" t="n">
        <v>5703.622</v>
      </c>
      <c r="P194" s="12" t="n">
        <v>2107</v>
      </c>
      <c r="Q194" s="12" t="n">
        <v>3186</v>
      </c>
      <c r="R194" s="12" t="n">
        <v>3963</v>
      </c>
      <c r="S194" s="12" t="n">
        <v>4881</v>
      </c>
      <c r="T194" s="12" t="n">
        <v>5504</v>
      </c>
      <c r="U194" s="12" t="n">
        <v>1975</v>
      </c>
      <c r="V194" s="12" t="n">
        <v>6202</v>
      </c>
      <c r="W194" s="12" t="n">
        <v>3729</v>
      </c>
      <c r="X194" s="12" t="n">
        <v>2420</v>
      </c>
    </row>
    <row r="195">
      <c r="A195" s="20" t="inlineStr">
        <is>
          <t>유형자산 취득(설비투자)</t>
        </is>
      </c>
      <c r="C195" s="22" t="n">
        <v>-1653</v>
      </c>
      <c r="G195" s="22" t="n">
        <v>-2866</v>
      </c>
      <c r="K195" s="22" t="n">
        <v>-1796</v>
      </c>
      <c r="O195" s="22" t="n">
        <v>-2823.026</v>
      </c>
      <c r="P195" s="22" t="n">
        <v>-2859</v>
      </c>
      <c r="Q195" s="22" t="n">
        <v>-5547</v>
      </c>
      <c r="R195" s="22" t="n">
        <v>-1787</v>
      </c>
      <c r="S195" s="22" t="n">
        <v>-1671</v>
      </c>
      <c r="T195" s="22" t="n">
        <v>-918</v>
      </c>
      <c r="U195" s="22" t="n">
        <v>-2774</v>
      </c>
      <c r="V195" s="22" t="n">
        <v>-1653</v>
      </c>
      <c r="W195" s="22" t="n">
        <v>-2866</v>
      </c>
      <c r="X195" s="22" t="n">
        <v>-1796</v>
      </c>
    </row>
    <row r="196">
      <c r="A196" s="20" t="inlineStr">
        <is>
          <t>유형자산 매각</t>
        </is>
      </c>
      <c r="C196" s="22" t="n">
        <v>116</v>
      </c>
      <c r="G196" s="22" t="n">
        <v>316</v>
      </c>
      <c r="K196" s="22" t="n">
        <v>110</v>
      </c>
      <c r="O196" s="22" t="n">
        <v>546.0170000000001</v>
      </c>
      <c r="P196" s="22" t="n">
        <v>86</v>
      </c>
      <c r="Q196" s="22" t="n">
        <v>2107</v>
      </c>
      <c r="R196" s="22" t="n">
        <v>210</v>
      </c>
      <c r="V196" s="22" t="n">
        <v>116</v>
      </c>
      <c r="W196" s="22" t="n">
        <v>316</v>
      </c>
      <c r="X196" s="22" t="n">
        <v>110</v>
      </c>
    </row>
    <row r="197">
      <c r="A197" s="20" t="inlineStr">
        <is>
          <t>무형자산 취득</t>
        </is>
      </c>
      <c r="C197" s="22" t="n">
        <v>-129</v>
      </c>
      <c r="G197" s="22" t="n">
        <v>-146</v>
      </c>
      <c r="K197" s="22" t="n">
        <v>-1058</v>
      </c>
      <c r="O197" s="22" t="n">
        <v>-67.867</v>
      </c>
      <c r="P197" s="22" t="n">
        <v>-48</v>
      </c>
      <c r="Q197" s="22" t="n">
        <v>-51</v>
      </c>
      <c r="R197" s="22" t="n">
        <v>-143</v>
      </c>
      <c r="S197" s="22" t="n">
        <v>-204</v>
      </c>
      <c r="T197" s="22" t="n">
        <v>-90</v>
      </c>
      <c r="U197" s="22" t="n">
        <v>-60</v>
      </c>
      <c r="V197" s="22" t="n">
        <v>-129</v>
      </c>
      <c r="W197" s="22" t="n">
        <v>-146</v>
      </c>
      <c r="X197" s="22" t="n">
        <v>-1058</v>
      </c>
    </row>
    <row r="198">
      <c r="A198" s="20" t="inlineStr">
        <is>
          <t>연결범위 변경 자회사 주식 취득</t>
        </is>
      </c>
      <c r="Q198" s="22" t="n">
        <v>0</v>
      </c>
      <c r="R198" s="22" t="n">
        <v>-2821</v>
      </c>
      <c r="S198" s="22" t="n">
        <v>0</v>
      </c>
    </row>
    <row r="199">
      <c r="A199" s="20" t="inlineStr">
        <is>
          <t>투자유가증권 취득</t>
        </is>
      </c>
      <c r="C199" s="22" t="n">
        <v>-102</v>
      </c>
      <c r="G199" s="22" t="n">
        <v>-101</v>
      </c>
      <c r="K199" s="22" t="n">
        <v>-618</v>
      </c>
      <c r="O199" s="22" t="n">
        <v>-1500</v>
      </c>
      <c r="P199" s="22" t="n">
        <v>-700</v>
      </c>
      <c r="Q199" s="22" t="n">
        <v>-670</v>
      </c>
      <c r="R199" s="22" t="n">
        <v>-690</v>
      </c>
      <c r="S199" s="22" t="n">
        <v>-0</v>
      </c>
      <c r="T199" s="22" t="n">
        <v>-300</v>
      </c>
      <c r="U199" s="22" t="n">
        <v>-101</v>
      </c>
      <c r="V199" s="22" t="n">
        <v>-102</v>
      </c>
      <c r="W199" s="22" t="n">
        <v>-101</v>
      </c>
      <c r="X199" s="22" t="n">
        <v>-618</v>
      </c>
    </row>
    <row r="200">
      <c r="A200" s="20" t="inlineStr">
        <is>
          <t>투자유가증권 매각</t>
        </is>
      </c>
      <c r="C200" s="22" t="n">
        <v>52</v>
      </c>
      <c r="G200" s="22" t="n">
        <v>198</v>
      </c>
      <c r="K200" s="22" t="n">
        <v>473</v>
      </c>
      <c r="O200" s="22" t="n">
        <v>4.852</v>
      </c>
      <c r="P200" s="22" t="n">
        <v>1520</v>
      </c>
      <c r="Q200" s="22" t="n">
        <v>2085</v>
      </c>
      <c r="R200" s="22" t="n">
        <v>527</v>
      </c>
      <c r="S200" s="22" t="n">
        <v>0</v>
      </c>
      <c r="T200" s="22" t="n">
        <v>232</v>
      </c>
      <c r="U200" s="22" t="n">
        <v>1334</v>
      </c>
      <c r="V200" s="22" t="n">
        <v>52</v>
      </c>
      <c r="W200" s="22" t="n">
        <v>198</v>
      </c>
      <c r="X200" s="22" t="n">
        <v>473</v>
      </c>
    </row>
    <row r="201">
      <c r="A201" s="20" t="inlineStr">
        <is>
          <t>투자유가증권 상환</t>
        </is>
      </c>
      <c r="O201" s="22" t="n">
        <v>0</v>
      </c>
      <c r="P201" s="22" t="n">
        <v>200</v>
      </c>
      <c r="Q201" s="22" t="n">
        <v>0</v>
      </c>
    </row>
    <row r="202">
      <c r="A202" s="20" t="inlineStr">
        <is>
          <t>자회사 주식 취득</t>
        </is>
      </c>
      <c r="O202" s="22" t="n">
        <v>-30</v>
      </c>
      <c r="P202" s="22" t="n">
        <v>0</v>
      </c>
    </row>
    <row r="203">
      <c r="A203" s="20" t="inlineStr">
        <is>
          <t>연결범위 변경 자회사 주식 매각</t>
        </is>
      </c>
      <c r="O203" s="22" t="n">
        <v>10787.46</v>
      </c>
      <c r="P203" s="22" t="n">
        <v>0</v>
      </c>
    </row>
    <row r="204">
      <c r="A204" s="20" t="inlineStr">
        <is>
          <t>사업양수 지출</t>
        </is>
      </c>
      <c r="C204" s="22" t="n">
        <v>0</v>
      </c>
      <c r="T204" s="22" t="n">
        <v>0</v>
      </c>
      <c r="U204" s="22" t="n">
        <v>-6872</v>
      </c>
      <c r="V204" s="22" t="n">
        <v>0</v>
      </c>
    </row>
    <row r="205">
      <c r="A205" s="20" t="inlineStr">
        <is>
          <t>정기예금 예입</t>
        </is>
      </c>
      <c r="C205" s="22" t="n">
        <v>-136</v>
      </c>
      <c r="G205" s="22" t="n">
        <v>-114</v>
      </c>
      <c r="K205" s="22" t="n">
        <v>-1042</v>
      </c>
      <c r="O205" s="22" t="n">
        <v>-50</v>
      </c>
      <c r="P205" s="22" t="n">
        <v>-1229</v>
      </c>
      <c r="Q205" s="22" t="n">
        <v>0</v>
      </c>
      <c r="V205" s="22" t="n">
        <v>-136</v>
      </c>
      <c r="W205" s="22" t="n">
        <v>-114</v>
      </c>
      <c r="X205" s="22" t="n">
        <v>-1042</v>
      </c>
    </row>
    <row r="206">
      <c r="A206" s="20" t="inlineStr">
        <is>
          <t>정기예금 인출</t>
        </is>
      </c>
      <c r="C206" s="22" t="n">
        <v>0</v>
      </c>
      <c r="G206" s="22" t="n">
        <v>142</v>
      </c>
      <c r="K206" s="22" t="n">
        <v>593</v>
      </c>
      <c r="O206" s="22" t="n">
        <v>456.385</v>
      </c>
      <c r="P206" s="22" t="n">
        <v>0</v>
      </c>
      <c r="Q206" s="22" t="n">
        <v>1211</v>
      </c>
      <c r="R206" s="22" t="n">
        <v>0</v>
      </c>
      <c r="S206" s="22" t="n">
        <v>60</v>
      </c>
      <c r="T206" s="22" t="n">
        <v>0</v>
      </c>
      <c r="V206" s="22" t="n">
        <v>0</v>
      </c>
      <c r="W206" s="22" t="n">
        <v>142</v>
      </c>
      <c r="X206" s="22" t="n">
        <v>593</v>
      </c>
    </row>
    <row r="207">
      <c r="A207" s="20" t="inlineStr">
        <is>
          <t>유가증권 취득</t>
        </is>
      </c>
      <c r="O207" s="22" t="n">
        <v>-500</v>
      </c>
      <c r="P207" s="22" t="n">
        <v>0</v>
      </c>
    </row>
    <row r="208">
      <c r="A208" s="20" t="inlineStr">
        <is>
          <t>유가증권 상환 수입</t>
        </is>
      </c>
      <c r="O208" s="22" t="n">
        <v>0</v>
      </c>
      <c r="P208" s="22" t="n">
        <v>500</v>
      </c>
      <c r="Q208" s="22" t="n">
        <v>0</v>
      </c>
    </row>
    <row r="209">
      <c r="A209" s="20" t="inlineStr">
        <is>
          <t>보험적립금 적립</t>
        </is>
      </c>
      <c r="C209" s="22" t="n">
        <v>-219</v>
      </c>
      <c r="G209" s="22" t="n">
        <v>-228</v>
      </c>
      <c r="K209" s="22" t="n">
        <v>-533</v>
      </c>
      <c r="O209" s="22" t="n">
        <v>-99.276</v>
      </c>
      <c r="P209" s="22" t="n">
        <v>-115</v>
      </c>
      <c r="Q209" s="22" t="n">
        <v>-101</v>
      </c>
      <c r="R209" s="22" t="n">
        <v>-157</v>
      </c>
      <c r="S209" s="22" t="n">
        <v>-131</v>
      </c>
      <c r="T209" s="22" t="n">
        <v>-196</v>
      </c>
      <c r="U209" s="22" t="n">
        <v>-205</v>
      </c>
      <c r="V209" s="22" t="n">
        <v>-219</v>
      </c>
      <c r="W209" s="22" t="n">
        <v>-228</v>
      </c>
      <c r="X209" s="22" t="n">
        <v>-533</v>
      </c>
    </row>
    <row r="210">
      <c r="A210" s="20" t="inlineStr">
        <is>
          <t>보험적립금 환급</t>
        </is>
      </c>
      <c r="C210" s="22" t="n">
        <v>0</v>
      </c>
      <c r="G210" s="22" t="n">
        <v>121</v>
      </c>
      <c r="K210" s="22" t="n">
        <v>975</v>
      </c>
      <c r="O210" s="22" t="n">
        <v>125.514</v>
      </c>
      <c r="P210" s="22" t="n">
        <v>168</v>
      </c>
      <c r="Q210" s="22" t="n">
        <v>0</v>
      </c>
      <c r="R210" s="22" t="n">
        <v>0</v>
      </c>
      <c r="S210" s="22" t="n">
        <v>64</v>
      </c>
      <c r="T210" s="22" t="n">
        <v>269</v>
      </c>
      <c r="U210" s="22" t="n">
        <v>175</v>
      </c>
      <c r="V210" s="22" t="n">
        <v>0</v>
      </c>
      <c r="W210" s="22" t="n">
        <v>121</v>
      </c>
      <c r="X210" s="22" t="n">
        <v>975</v>
      </c>
    </row>
    <row r="211">
      <c r="A211" s="20" t="inlineStr">
        <is>
          <t>대여</t>
        </is>
      </c>
      <c r="O211" s="22" t="n">
        <v>-72.755</v>
      </c>
      <c r="P211" s="22" t="n">
        <v>-1038</v>
      </c>
      <c r="Q211" s="22" t="n">
        <v>-118</v>
      </c>
      <c r="R211" s="22" t="n">
        <v>-1259</v>
      </c>
      <c r="S211" s="22" t="n">
        <v>-19</v>
      </c>
      <c r="T211" s="22" t="n">
        <v>0</v>
      </c>
    </row>
    <row r="212">
      <c r="A212" s="20" t="inlineStr">
        <is>
          <t>대여금 회수</t>
        </is>
      </c>
      <c r="O212" s="22" t="n">
        <v>77.735</v>
      </c>
      <c r="P212" s="22" t="n">
        <v>38</v>
      </c>
      <c r="Q212" s="22" t="n">
        <v>76</v>
      </c>
      <c r="R212" s="22" t="n">
        <v>986</v>
      </c>
      <c r="S212" s="22" t="n">
        <v>20</v>
      </c>
      <c r="T212" s="22" t="n">
        <v>0</v>
      </c>
    </row>
    <row r="213">
      <c r="A213" s="20" t="inlineStr">
        <is>
          <t>Payments Into Long Term Deposits Paid Inv CF</t>
        </is>
      </c>
      <c r="O213" s="22" t="n">
        <v>-3110.472</v>
      </c>
      <c r="P213" s="22" t="n">
        <v>0</v>
      </c>
    </row>
    <row r="214">
      <c r="A214" s="20" t="inlineStr">
        <is>
          <t>Collection Of Long Term Deposits Inv CF</t>
        </is>
      </c>
      <c r="P214" s="22" t="n">
        <v>0</v>
      </c>
      <c r="Q214" s="22" t="n">
        <v>3110</v>
      </c>
      <c r="R214" s="22" t="n">
        <v>0</v>
      </c>
    </row>
    <row r="215">
      <c r="A215" s="20" t="inlineStr">
        <is>
          <t>이자·배당금 수취</t>
        </is>
      </c>
      <c r="C215" s="22" t="n">
        <v>296</v>
      </c>
      <c r="G215" s="22" t="n">
        <v>267</v>
      </c>
      <c r="K215" s="22" t="n">
        <v>285</v>
      </c>
      <c r="O215" s="22" t="n">
        <v>153.003</v>
      </c>
      <c r="P215" s="22" t="n">
        <v>196</v>
      </c>
      <c r="Q215" s="22" t="n">
        <v>189</v>
      </c>
      <c r="R215" s="22" t="n">
        <v>192</v>
      </c>
      <c r="S215" s="22" t="n">
        <v>172</v>
      </c>
      <c r="T215" s="22" t="n">
        <v>182</v>
      </c>
      <c r="U215" s="22" t="n">
        <v>205</v>
      </c>
      <c r="V215" s="22" t="n">
        <v>296</v>
      </c>
      <c r="W215" s="22" t="n">
        <v>267</v>
      </c>
      <c r="X215" s="22" t="n">
        <v>285</v>
      </c>
    </row>
    <row r="216">
      <c r="A216" s="20" t="inlineStr">
        <is>
          <t>기타</t>
        </is>
      </c>
      <c r="C216" s="22" t="n">
        <v>6</v>
      </c>
      <c r="G216" s="22" t="n">
        <v>-12</v>
      </c>
      <c r="K216" s="22" t="n">
        <v>36</v>
      </c>
      <c r="O216" s="22" t="n">
        <v>-100.551</v>
      </c>
      <c r="P216" s="22" t="n">
        <v>67</v>
      </c>
      <c r="Q216" s="22" t="n">
        <v>-78</v>
      </c>
      <c r="R216" s="22" t="n">
        <v>-103</v>
      </c>
      <c r="S216" s="22" t="n">
        <v>-32</v>
      </c>
      <c r="T216" s="22" t="n">
        <v>125</v>
      </c>
      <c r="U216" s="22" t="n">
        <v>96</v>
      </c>
      <c r="V216" s="22" t="n">
        <v>6</v>
      </c>
      <c r="W216" s="22" t="n">
        <v>-12</v>
      </c>
      <c r="X216" s="22" t="n">
        <v>36</v>
      </c>
    </row>
    <row r="217">
      <c r="A217" s="9" t="inlineStr">
        <is>
          <t>투자활동 현금흐름</t>
        </is>
      </c>
      <c r="C217" s="12" t="n">
        <v>-1769</v>
      </c>
      <c r="G217" s="12" t="n">
        <v>-2423</v>
      </c>
      <c r="K217" s="12" t="n">
        <v>-2575</v>
      </c>
      <c r="O217" s="12" t="n">
        <v>3797.02</v>
      </c>
      <c r="P217" s="12" t="n">
        <v>-3213</v>
      </c>
      <c r="Q217" s="12" t="n">
        <v>2211</v>
      </c>
      <c r="R217" s="12" t="n">
        <v>-5093</v>
      </c>
      <c r="S217" s="12" t="n">
        <v>-1742</v>
      </c>
      <c r="T217" s="12" t="n">
        <v>-696</v>
      </c>
      <c r="U217" s="12" t="n">
        <v>-8202</v>
      </c>
      <c r="V217" s="12" t="n">
        <v>-1769</v>
      </c>
      <c r="W217" s="12" t="n">
        <v>-2423</v>
      </c>
      <c r="X217" s="12" t="n">
        <v>-2575</v>
      </c>
    </row>
    <row r="218">
      <c r="A218" s="20" t="inlineStr">
        <is>
          <t>단기차입</t>
        </is>
      </c>
      <c r="C218" s="22" t="n">
        <v>142886</v>
      </c>
      <c r="G218" s="22" t="n">
        <v>5697</v>
      </c>
      <c r="K218" s="22" t="n">
        <v>14333</v>
      </c>
      <c r="O218" s="22" t="n">
        <v>6932.043</v>
      </c>
      <c r="P218" s="22" t="n">
        <v>4708</v>
      </c>
      <c r="Q218" s="22" t="n">
        <v>5590</v>
      </c>
      <c r="R218" s="22" t="n">
        <v>5342</v>
      </c>
      <c r="S218" s="22" t="n">
        <v>6676</v>
      </c>
      <c r="T218" s="22" t="n">
        <v>10071</v>
      </c>
      <c r="U218" s="22" t="n">
        <v>68923</v>
      </c>
      <c r="V218" s="22" t="n">
        <v>142886</v>
      </c>
      <c r="W218" s="22" t="n">
        <v>5697</v>
      </c>
      <c r="X218" s="22" t="n">
        <v>14333</v>
      </c>
    </row>
    <row r="219">
      <c r="A219" s="20" t="inlineStr">
        <is>
          <t>단기차입금 상환</t>
        </is>
      </c>
      <c r="C219" s="22" t="n">
        <v>-147802</v>
      </c>
      <c r="G219" s="22" t="n">
        <v>-6008</v>
      </c>
      <c r="K219" s="22" t="n">
        <v>-13892</v>
      </c>
      <c r="O219" s="22" t="n">
        <v>-8641.394</v>
      </c>
      <c r="P219" s="22" t="n">
        <v>-4631</v>
      </c>
      <c r="Q219" s="22" t="n">
        <v>-5393</v>
      </c>
      <c r="R219" s="22" t="n">
        <v>-4710</v>
      </c>
      <c r="S219" s="22" t="n">
        <v>-5260</v>
      </c>
      <c r="T219" s="22" t="n">
        <v>-10750</v>
      </c>
      <c r="U219" s="22" t="n">
        <v>-66598</v>
      </c>
      <c r="V219" s="22" t="n">
        <v>-147802</v>
      </c>
      <c r="W219" s="22" t="n">
        <v>-6008</v>
      </c>
      <c r="X219" s="22" t="n">
        <v>-13892</v>
      </c>
    </row>
    <row r="220">
      <c r="A220" s="20" t="inlineStr">
        <is>
          <t>장기차입</t>
        </is>
      </c>
      <c r="C220" s="22" t="n">
        <v>0</v>
      </c>
      <c r="G220" s="22" t="n">
        <v>0</v>
      </c>
      <c r="K220" s="22" t="n">
        <v>100</v>
      </c>
      <c r="O220" s="22" t="n">
        <v>5831.353</v>
      </c>
      <c r="P220" s="22" t="n">
        <v>1000</v>
      </c>
      <c r="Q220" s="22" t="n">
        <v>100</v>
      </c>
      <c r="R220" s="22" t="n">
        <v>850</v>
      </c>
      <c r="S220" s="22" t="n">
        <v>6100</v>
      </c>
      <c r="T220" s="22" t="n">
        <v>100</v>
      </c>
      <c r="U220" s="22" t="n">
        <v>100</v>
      </c>
      <c r="V220" s="22" t="n">
        <v>0</v>
      </c>
      <c r="W220" s="22" t="n">
        <v>0</v>
      </c>
      <c r="X220" s="22" t="n">
        <v>100</v>
      </c>
    </row>
    <row r="221">
      <c r="A221" s="20" t="inlineStr">
        <is>
          <t>장기차입금 상환</t>
        </is>
      </c>
      <c r="C221" s="22" t="n">
        <v>-484</v>
      </c>
      <c r="G221" s="22" t="n">
        <v>-472</v>
      </c>
      <c r="K221" s="22" t="n">
        <v>-449</v>
      </c>
      <c r="O221" s="22" t="n">
        <v>-3350</v>
      </c>
      <c r="P221" s="22" t="n">
        <v>-92</v>
      </c>
      <c r="Q221" s="22" t="n">
        <v>-1368</v>
      </c>
      <c r="R221" s="22" t="n">
        <v>-1785</v>
      </c>
      <c r="S221" s="22" t="n">
        <v>-7174</v>
      </c>
      <c r="T221" s="22" t="n">
        <v>-546</v>
      </c>
      <c r="U221" s="22" t="n">
        <v>-2238</v>
      </c>
      <c r="V221" s="22" t="n">
        <v>-484</v>
      </c>
      <c r="W221" s="22" t="n">
        <v>-472</v>
      </c>
      <c r="X221" s="22" t="n">
        <v>-449</v>
      </c>
    </row>
    <row r="222">
      <c r="A222" s="20" t="inlineStr">
        <is>
          <t>자기주식 취득</t>
        </is>
      </c>
      <c r="C222" s="22" t="n">
        <v>-437</v>
      </c>
      <c r="G222" s="22" t="n">
        <v>0</v>
      </c>
      <c r="K222" s="22" t="n">
        <v>-600</v>
      </c>
      <c r="O222" s="22" t="n">
        <v>-1000.051</v>
      </c>
      <c r="P222" s="22" t="n">
        <v>-89</v>
      </c>
      <c r="Q222" s="22" t="n">
        <v>-0</v>
      </c>
      <c r="R222" s="22" t="n">
        <v>0</v>
      </c>
      <c r="S222" s="22" t="n">
        <v>-1059</v>
      </c>
      <c r="T222" s="22" t="n">
        <v>-998</v>
      </c>
      <c r="U222" s="22" t="n">
        <v>-500</v>
      </c>
      <c r="V222" s="22" t="n">
        <v>-437</v>
      </c>
      <c r="W222" s="22" t="n">
        <v>0</v>
      </c>
      <c r="X222" s="22" t="n">
        <v>-600</v>
      </c>
    </row>
    <row r="223">
      <c r="A223" s="20" t="inlineStr">
        <is>
          <t>자기주식 매각</t>
        </is>
      </c>
      <c r="O223" s="22" t="n">
        <v>0</v>
      </c>
      <c r="P223" s="22" t="n">
        <v>89</v>
      </c>
      <c r="Q223" s="22" t="n">
        <v>0</v>
      </c>
    </row>
    <row r="224">
      <c r="A224" s="20" t="inlineStr">
        <is>
          <t>연결범위 변경 없는 자회사 주식 취득</t>
        </is>
      </c>
      <c r="O224" s="22" t="n">
        <v>0</v>
      </c>
      <c r="P224" s="22" t="n">
        <v>-75</v>
      </c>
      <c r="Q224" s="22" t="n">
        <v>0</v>
      </c>
    </row>
    <row r="225">
      <c r="A225" s="20" t="inlineStr">
        <is>
          <t>사채 발행</t>
        </is>
      </c>
      <c r="C225" s="22" t="n">
        <v>0</v>
      </c>
      <c r="O225" s="22" t="n">
        <v>977.42</v>
      </c>
      <c r="P225" s="22" t="n">
        <v>0</v>
      </c>
      <c r="T225" s="22" t="n">
        <v>0</v>
      </c>
      <c r="U225" s="22" t="n">
        <v>1716</v>
      </c>
      <c r="V225" s="22" t="n">
        <v>0</v>
      </c>
    </row>
    <row r="226">
      <c r="A226" s="20" t="inlineStr">
        <is>
          <t>사채 상환</t>
        </is>
      </c>
      <c r="C226" s="22" t="n">
        <v>-1000</v>
      </c>
      <c r="G226" s="22" t="n">
        <v>0</v>
      </c>
      <c r="U226" s="22" t="n">
        <v>0</v>
      </c>
      <c r="V226" s="22" t="n">
        <v>-1000</v>
      </c>
      <c r="W226" s="22" t="n">
        <v>0</v>
      </c>
    </row>
    <row r="227">
      <c r="A227" s="20" t="inlineStr">
        <is>
          <t>배당금 지급</t>
        </is>
      </c>
      <c r="C227" s="22" t="n">
        <v>-1141</v>
      </c>
      <c r="G227" s="22" t="n">
        <v>-1277</v>
      </c>
      <c r="K227" s="22" t="n">
        <v>-1846</v>
      </c>
      <c r="O227" s="22" t="n">
        <v>-1224.923</v>
      </c>
      <c r="P227" s="22" t="n">
        <v>-1346</v>
      </c>
      <c r="Q227" s="22" t="n">
        <v>-1398</v>
      </c>
      <c r="R227" s="22" t="n">
        <v>-1347</v>
      </c>
      <c r="S227" s="22" t="n">
        <v>-1041</v>
      </c>
      <c r="T227" s="22" t="n">
        <v>-976</v>
      </c>
      <c r="U227" s="22" t="n">
        <v>-1052</v>
      </c>
      <c r="V227" s="22" t="n">
        <v>-1141</v>
      </c>
      <c r="W227" s="22" t="n">
        <v>-1277</v>
      </c>
      <c r="X227" s="22" t="n">
        <v>-1846</v>
      </c>
    </row>
    <row r="228">
      <c r="A228" s="20" t="inlineStr">
        <is>
          <t>이자 지급</t>
        </is>
      </c>
      <c r="C228" s="22" t="n">
        <v>-306</v>
      </c>
      <c r="G228" s="22" t="n">
        <v>-52</v>
      </c>
      <c r="K228" s="22" t="n">
        <v>-98</v>
      </c>
      <c r="O228" s="22" t="n">
        <v>-88.87</v>
      </c>
      <c r="P228" s="22" t="n">
        <v>-52</v>
      </c>
      <c r="Q228" s="22" t="n">
        <v>-43</v>
      </c>
      <c r="R228" s="22" t="n">
        <v>-65</v>
      </c>
      <c r="S228" s="22" t="n">
        <v>-110</v>
      </c>
      <c r="T228" s="22" t="n">
        <v>-95</v>
      </c>
      <c r="U228" s="22" t="n">
        <v>-142</v>
      </c>
      <c r="V228" s="22" t="n">
        <v>-306</v>
      </c>
      <c r="W228" s="22" t="n">
        <v>-52</v>
      </c>
      <c r="X228" s="22" t="n">
        <v>-98</v>
      </c>
    </row>
    <row r="229">
      <c r="A229" s="20" t="inlineStr">
        <is>
          <t>리스부채 상환</t>
        </is>
      </c>
      <c r="C229" s="22" t="n">
        <v>-283</v>
      </c>
      <c r="G229" s="22" t="n">
        <v>-300</v>
      </c>
      <c r="K229" s="22" t="n">
        <v>-319</v>
      </c>
      <c r="O229" s="22" t="n">
        <v>-147.32</v>
      </c>
      <c r="P229" s="22" t="n">
        <v>-215</v>
      </c>
      <c r="Q229" s="22" t="n">
        <v>-164</v>
      </c>
      <c r="R229" s="22" t="n">
        <v>-208</v>
      </c>
      <c r="S229" s="22" t="n">
        <v>-203</v>
      </c>
      <c r="T229" s="22" t="n">
        <v>-218</v>
      </c>
      <c r="U229" s="22" t="n">
        <v>-225</v>
      </c>
      <c r="V229" s="22" t="n">
        <v>-283</v>
      </c>
      <c r="W229" s="22" t="n">
        <v>-300</v>
      </c>
      <c r="X229" s="22" t="n">
        <v>-319</v>
      </c>
    </row>
    <row r="230">
      <c r="A230" s="20" t="inlineStr">
        <is>
          <t>기타</t>
        </is>
      </c>
      <c r="Q230" s="22" t="n">
        <v>-0</v>
      </c>
      <c r="R230" s="22" t="n">
        <v>0</v>
      </c>
      <c r="S230" s="22" t="n">
        <v>93</v>
      </c>
      <c r="T230" s="22" t="n">
        <v>67</v>
      </c>
      <c r="U230" s="22" t="n">
        <v>0</v>
      </c>
    </row>
    <row r="231">
      <c r="A231" s="9" t="inlineStr">
        <is>
          <t>재무활동 현금흐름</t>
        </is>
      </c>
      <c r="C231" s="12" t="n">
        <v>-8567</v>
      </c>
      <c r="G231" s="12" t="n">
        <v>-2413</v>
      </c>
      <c r="K231" s="12" t="n">
        <v>-2773</v>
      </c>
      <c r="O231" s="12" t="n">
        <v>-711.742</v>
      </c>
      <c r="P231" s="12" t="n">
        <v>-705</v>
      </c>
      <c r="Q231" s="12" t="n">
        <v>-2678</v>
      </c>
      <c r="R231" s="12" t="n">
        <v>-1924</v>
      </c>
      <c r="S231" s="12" t="n">
        <v>-1979</v>
      </c>
      <c r="T231" s="12" t="n">
        <v>-3346</v>
      </c>
      <c r="U231" s="12" t="n">
        <v>-18</v>
      </c>
      <c r="V231" s="12" t="n">
        <v>-8567</v>
      </c>
      <c r="W231" s="12" t="n">
        <v>-2413</v>
      </c>
      <c r="X231" s="12" t="n">
        <v>-2773</v>
      </c>
    </row>
    <row r="232">
      <c r="A232" s="20" t="inlineStr">
        <is>
          <t>현금성자산 환산차이</t>
        </is>
      </c>
      <c r="C232" s="22" t="n">
        <v>177</v>
      </c>
      <c r="G232" s="22" t="n">
        <v>-68</v>
      </c>
      <c r="K232" s="22" t="n">
        <v>26</v>
      </c>
      <c r="O232" s="22" t="n">
        <v>-539.51</v>
      </c>
      <c r="P232" s="22" t="n">
        <v>198</v>
      </c>
      <c r="Q232" s="22" t="n">
        <v>-38</v>
      </c>
      <c r="R232" s="22" t="n">
        <v>-104</v>
      </c>
      <c r="S232" s="22" t="n">
        <v>54</v>
      </c>
      <c r="T232" s="22" t="n">
        <v>69</v>
      </c>
      <c r="U232" s="22" t="n">
        <v>827</v>
      </c>
      <c r="V232" s="22" t="n">
        <v>177</v>
      </c>
      <c r="W232" s="22" t="n">
        <v>-68</v>
      </c>
      <c r="X232" s="22" t="n">
        <v>26</v>
      </c>
    </row>
    <row r="233">
      <c r="A233" s="20" t="inlineStr">
        <is>
          <t>현금성자산 증감</t>
        </is>
      </c>
      <c r="C233" s="22" t="n">
        <v>-3956</v>
      </c>
      <c r="G233" s="22" t="n">
        <v>-1175</v>
      </c>
      <c r="K233" s="22" t="n">
        <v>-2900</v>
      </c>
      <c r="O233" s="22" t="n">
        <v>8249.388999999999</v>
      </c>
      <c r="P233" s="22" t="n">
        <v>-1612</v>
      </c>
      <c r="Q233" s="22" t="n">
        <v>2680</v>
      </c>
      <c r="R233" s="22" t="n">
        <v>-3158</v>
      </c>
      <c r="S233" s="22" t="n">
        <v>1213</v>
      </c>
      <c r="T233" s="22" t="n">
        <v>1530</v>
      </c>
      <c r="U233" s="22" t="n">
        <v>-5419</v>
      </c>
      <c r="V233" s="22" t="n">
        <v>-3956</v>
      </c>
      <c r="W233" s="22" t="n">
        <v>-1175</v>
      </c>
      <c r="X233" s="22" t="n">
        <v>-2900</v>
      </c>
    </row>
    <row r="234">
      <c r="A234" s="20" t="inlineStr">
        <is>
          <t>신규 연결 현금성자산 증가</t>
        </is>
      </c>
      <c r="R234" s="22" t="n">
        <v>0</v>
      </c>
      <c r="S234" s="22" t="n">
        <v>164</v>
      </c>
      <c r="T234" s="22" t="n">
        <v>63</v>
      </c>
      <c r="U234" s="22" t="n">
        <v>0</v>
      </c>
    </row>
    <row r="235">
      <c r="A235" s="20" t="inlineStr">
        <is>
          <t>연결 제외 현금성자산 감소</t>
        </is>
      </c>
      <c r="C235" s="22" t="n">
        <v>-1660</v>
      </c>
      <c r="G235" s="22" t="n">
        <v>0</v>
      </c>
      <c r="U235" s="22" t="n">
        <v>0</v>
      </c>
      <c r="V235" s="22" t="n">
        <v>-1660</v>
      </c>
      <c r="W235" s="22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5959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47101</v>
      </c>
      <c r="D5" s="12" t="n">
        <v>46777</v>
      </c>
      <c r="E5" s="12" t="n">
        <v>46391</v>
      </c>
      <c r="F5" s="12" t="n">
        <v>47628</v>
      </c>
      <c r="G5" s="12" t="n">
        <v>48892</v>
      </c>
      <c r="H5" s="11" t="n">
        <v>58825</v>
      </c>
      <c r="I5" s="12" t="n">
        <v>63515</v>
      </c>
      <c r="J5" s="12" t="n">
        <v>51236</v>
      </c>
      <c r="K5" s="12" t="n">
        <v>48824</v>
      </c>
      <c r="L5" s="12" t="n">
        <v>46777</v>
      </c>
    </row>
    <row r="6">
      <c r="A6" s="20" t="inlineStr">
        <is>
          <t>현금및현금성자산</t>
        </is>
      </c>
      <c r="B6" s="10" t="n"/>
      <c r="C6" s="21" t="n">
        <v>9741</v>
      </c>
      <c r="D6" s="22" t="n">
        <v>9021</v>
      </c>
      <c r="E6" s="22" t="n">
        <v>8840</v>
      </c>
      <c r="F6" s="22" t="n">
        <v>8616</v>
      </c>
      <c r="G6" s="22" t="n">
        <v>8564</v>
      </c>
      <c r="H6" s="21" t="n">
        <v>23575</v>
      </c>
      <c r="I6" s="22" t="n">
        <v>18156</v>
      </c>
      <c r="J6" s="22" t="n">
        <v>12683</v>
      </c>
      <c r="K6" s="22" t="n">
        <v>11477</v>
      </c>
      <c r="L6" s="22" t="n">
        <v>9021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13528</v>
      </c>
      <c r="D8" s="22" t="n">
        <v>13520</v>
      </c>
      <c r="E8" s="22" t="n">
        <v>11605</v>
      </c>
      <c r="F8" s="22" t="n">
        <v>12792</v>
      </c>
      <c r="G8" s="22" t="n">
        <v>13619</v>
      </c>
      <c r="H8" s="21" t="n">
        <v>0</v>
      </c>
      <c r="I8" s="22" t="n">
        <v>17538</v>
      </c>
      <c r="J8" s="22" t="n">
        <v>14824</v>
      </c>
      <c r="K8" s="22" t="n">
        <v>13850</v>
      </c>
      <c r="L8" s="22" t="n">
        <v>13520</v>
      </c>
    </row>
    <row r="9">
      <c r="A9" s="20" t="inlineStr">
        <is>
          <t>재고자산</t>
        </is>
      </c>
      <c r="B9" s="10" t="n"/>
      <c r="C9" s="21" t="n">
        <v>16615</v>
      </c>
      <c r="D9" s="22" t="n">
        <v>16177</v>
      </c>
      <c r="E9" s="22" t="n">
        <v>18179</v>
      </c>
      <c r="F9" s="22" t="n">
        <v>18877</v>
      </c>
      <c r="G9" s="22" t="n">
        <v>18645</v>
      </c>
      <c r="H9" s="21" t="n">
        <v>12434</v>
      </c>
      <c r="I9" s="22" t="n">
        <v>20586</v>
      </c>
      <c r="J9" s="22" t="n">
        <v>15780</v>
      </c>
      <c r="K9" s="22" t="n">
        <v>15705</v>
      </c>
      <c r="L9" s="22" t="n">
        <v>16177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38114</v>
      </c>
      <c r="D11" s="12" t="n">
        <v>38238</v>
      </c>
      <c r="E11" s="12" t="n">
        <v>38718</v>
      </c>
      <c r="F11" s="12" t="n">
        <v>40103</v>
      </c>
      <c r="G11" s="12" t="n">
        <v>39828</v>
      </c>
      <c r="H11" s="11" t="n">
        <v>33187</v>
      </c>
      <c r="I11" s="12" t="n">
        <v>40347</v>
      </c>
      <c r="J11" s="12" t="n">
        <v>38622</v>
      </c>
      <c r="K11" s="12" t="n">
        <v>38148</v>
      </c>
      <c r="L11" s="12" t="n">
        <v>38238</v>
      </c>
    </row>
    <row r="12">
      <c r="A12" s="20" t="inlineStr">
        <is>
          <t>유형자산</t>
        </is>
      </c>
      <c r="B12" s="10" t="n"/>
      <c r="C12" s="21" t="n">
        <v>22368</v>
      </c>
      <c r="D12" s="22" t="n">
        <v>22373</v>
      </c>
      <c r="E12" s="22" t="n">
        <v>22744</v>
      </c>
      <c r="F12" s="22" t="n">
        <v>23219</v>
      </c>
      <c r="G12" s="22" t="n">
        <v>23198</v>
      </c>
      <c r="H12" s="21" t="n">
        <v>21600</v>
      </c>
      <c r="I12" s="22" t="n">
        <v>27968</v>
      </c>
      <c r="J12" s="22" t="n">
        <v>21937</v>
      </c>
      <c r="K12" s="22" t="n">
        <v>22558</v>
      </c>
      <c r="L12" s="22" t="n">
        <v>22373</v>
      </c>
    </row>
    <row r="13">
      <c r="A13" s="20" t="inlineStr">
        <is>
          <t>무형자산</t>
        </is>
      </c>
      <c r="B13" s="10" t="n"/>
      <c r="C13" s="21" t="n">
        <v>2472</v>
      </c>
      <c r="D13" s="22" t="n">
        <v>2712</v>
      </c>
      <c r="E13" s="22" t="n">
        <v>2893</v>
      </c>
      <c r="F13" s="22" t="n">
        <v>3067</v>
      </c>
      <c r="G13" s="22" t="n">
        <v>3250</v>
      </c>
      <c r="H13" s="21" t="n">
        <v>2448</v>
      </c>
      <c r="I13" s="22" t="n">
        <v>4168</v>
      </c>
      <c r="J13" s="22" t="n">
        <v>2029</v>
      </c>
      <c r="K13" s="22" t="n">
        <v>1929</v>
      </c>
      <c r="L13" s="22" t="n">
        <v>2712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85232</v>
      </c>
      <c r="D16" s="12" t="n">
        <v>85030</v>
      </c>
      <c r="E16" s="12" t="n">
        <v>85124</v>
      </c>
      <c r="F16" s="12" t="n">
        <v>87745</v>
      </c>
      <c r="G16" s="12" t="n">
        <v>88732</v>
      </c>
      <c r="H16" s="11" t="n">
        <v>92018</v>
      </c>
      <c r="I16" s="12" t="n">
        <v>103894</v>
      </c>
      <c r="J16" s="12" t="n">
        <v>89885</v>
      </c>
      <c r="K16" s="12" t="n">
        <v>86993</v>
      </c>
      <c r="L16" s="12" t="n">
        <v>85030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16128</v>
      </c>
      <c r="D18" s="12" t="n">
        <v>14747</v>
      </c>
      <c r="E18" s="12" t="n">
        <v>15070</v>
      </c>
      <c r="F18" s="12" t="n">
        <v>16255</v>
      </c>
      <c r="G18" s="12" t="n">
        <v>16631</v>
      </c>
      <c r="H18" s="11" t="n">
        <v>21712</v>
      </c>
      <c r="I18" s="12" t="n">
        <v>26402</v>
      </c>
      <c r="J18" s="12" t="n">
        <v>18177</v>
      </c>
      <c r="K18" s="12" t="n">
        <v>18329</v>
      </c>
      <c r="L18" s="12" t="n">
        <v>14747</v>
      </c>
    </row>
    <row r="19">
      <c r="A19" s="20" t="inlineStr">
        <is>
          <t>매입채무</t>
        </is>
      </c>
      <c r="B19" s="10" t="n"/>
      <c r="C19" s="21" t="n">
        <v>4182</v>
      </c>
      <c r="D19" s="22" t="n">
        <v>3856</v>
      </c>
      <c r="E19" s="22" t="n">
        <v>4870</v>
      </c>
      <c r="F19" s="22" t="n">
        <v>4591</v>
      </c>
      <c r="G19" s="22" t="n">
        <v>4782</v>
      </c>
      <c r="H19" s="21" t="n">
        <v>5181</v>
      </c>
      <c r="I19" s="22" t="n">
        <v>5085</v>
      </c>
      <c r="J19" s="22" t="n">
        <v>4169</v>
      </c>
      <c r="K19" s="22" t="n">
        <v>3781</v>
      </c>
      <c r="L19" s="22" t="n">
        <v>3856</v>
      </c>
    </row>
    <row r="20">
      <c r="A20" s="20" t="inlineStr">
        <is>
          <t>단기차입금</t>
        </is>
      </c>
      <c r="B20" s="10" t="n"/>
      <c r="C20" s="21" t="n">
        <v>1468</v>
      </c>
      <c r="D20" s="22" t="n">
        <v>1124</v>
      </c>
      <c r="E20" s="22" t="n">
        <v>532</v>
      </c>
      <c r="F20" s="22" t="n">
        <v>1723</v>
      </c>
      <c r="G20" s="22" t="n">
        <v>1419</v>
      </c>
      <c r="H20" s="21" t="n">
        <v>4318</v>
      </c>
      <c r="I20" s="22" t="n">
        <v>5865</v>
      </c>
      <c r="J20" s="22" t="n">
        <v>1035</v>
      </c>
      <c r="K20" s="22" t="n">
        <v>680</v>
      </c>
      <c r="L20" s="22" t="n">
        <v>1124</v>
      </c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8779</v>
      </c>
      <c r="D23" s="12" t="n">
        <v>8376</v>
      </c>
      <c r="E23" s="12" t="n">
        <v>8251</v>
      </c>
      <c r="F23" s="12" t="n">
        <v>8468</v>
      </c>
      <c r="G23" s="12" t="n">
        <v>8384</v>
      </c>
      <c r="H23" s="11" t="n">
        <v>9935</v>
      </c>
      <c r="I23" s="12" t="n">
        <v>10381</v>
      </c>
      <c r="J23" s="12" t="n">
        <v>9647</v>
      </c>
      <c r="K23" s="12" t="n">
        <v>9122</v>
      </c>
      <c r="L23" s="12" t="n">
        <v>8376</v>
      </c>
    </row>
    <row r="24">
      <c r="A24" s="20" t="inlineStr">
        <is>
          <t>장기차입금</t>
        </is>
      </c>
      <c r="B24" s="10" t="n"/>
      <c r="C24" s="21" t="n">
        <v>3460</v>
      </c>
      <c r="D24" s="22" t="n">
        <v>3352</v>
      </c>
      <c r="E24" s="22" t="n">
        <v>3244</v>
      </c>
      <c r="F24" s="22" t="n">
        <v>3136</v>
      </c>
      <c r="G24" s="22" t="n">
        <v>3028</v>
      </c>
      <c r="H24" s="21" t="n">
        <v>4997</v>
      </c>
      <c r="I24" s="22" t="n">
        <v>4605</v>
      </c>
      <c r="J24" s="22" t="n">
        <v>4133</v>
      </c>
      <c r="K24" s="22" t="n">
        <v>3700</v>
      </c>
      <c r="L24" s="22" t="n">
        <v>3352</v>
      </c>
    </row>
    <row r="25">
      <c r="A25" s="20" t="inlineStr">
        <is>
          <t>사채</t>
        </is>
      </c>
      <c r="B25" s="10" t="n"/>
      <c r="C25" s="21" t="n">
        <v>1750</v>
      </c>
      <c r="D25" s="22" t="n">
        <v>1750</v>
      </c>
      <c r="E25" s="22" t="n">
        <v>1750</v>
      </c>
      <c r="F25" s="22" t="n">
        <v>1750</v>
      </c>
      <c r="G25" s="22" t="n">
        <v>1750</v>
      </c>
      <c r="H25" s="21" t="n">
        <v>1000</v>
      </c>
      <c r="I25" s="22" t="n">
        <v>1750</v>
      </c>
      <c r="J25" s="22" t="n">
        <v>1750</v>
      </c>
      <c r="K25" s="22" t="n">
        <v>1750</v>
      </c>
      <c r="L25" s="22" t="n">
        <v>1750</v>
      </c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24907</v>
      </c>
      <c r="D27" s="12" t="n">
        <v>23124</v>
      </c>
      <c r="E27" s="12" t="n">
        <v>23321</v>
      </c>
      <c r="F27" s="12" t="n">
        <v>24723</v>
      </c>
      <c r="G27" s="12" t="n">
        <v>25016</v>
      </c>
      <c r="H27" s="11" t="n">
        <v>31648</v>
      </c>
      <c r="I27" s="12" t="n">
        <v>36783</v>
      </c>
      <c r="J27" s="12" t="n">
        <v>27824</v>
      </c>
      <c r="K27" s="12" t="n">
        <v>27452</v>
      </c>
      <c r="L27" s="12" t="n">
        <v>23124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60308</v>
      </c>
      <c r="D31" s="12" t="n">
        <v>61888</v>
      </c>
      <c r="E31" s="12" t="n">
        <v>61784</v>
      </c>
      <c r="F31" s="12" t="n">
        <v>63002</v>
      </c>
      <c r="G31" s="12" t="n">
        <v>63698</v>
      </c>
      <c r="H31" s="11" t="n">
        <v>60354</v>
      </c>
      <c r="I31" s="12" t="n">
        <v>67093</v>
      </c>
      <c r="J31" s="12" t="n">
        <v>62042</v>
      </c>
      <c r="K31" s="12" t="n">
        <v>59523</v>
      </c>
      <c r="L31" s="12" t="n">
        <v>61888</v>
      </c>
    </row>
    <row r="32">
      <c r="A32" s="20" t="inlineStr">
        <is>
          <t>자본금</t>
        </is>
      </c>
      <c r="B32" s="10" t="n"/>
      <c r="C32" s="21" t="n">
        <v>6911</v>
      </c>
      <c r="D32" s="22" t="n">
        <v>6911</v>
      </c>
      <c r="E32" s="22" t="n">
        <v>6911</v>
      </c>
      <c r="F32" s="22" t="n">
        <v>6911</v>
      </c>
      <c r="G32" s="22" t="n">
        <v>6911</v>
      </c>
      <c r="H32" s="21" t="n">
        <v>6911</v>
      </c>
      <c r="I32" s="22" t="n">
        <v>6911</v>
      </c>
      <c r="J32" s="22" t="n">
        <v>6911</v>
      </c>
      <c r="K32" s="22" t="n">
        <v>6911</v>
      </c>
      <c r="L32" s="22" t="n">
        <v>6911</v>
      </c>
    </row>
    <row r="33">
      <c r="A33" s="20" t="inlineStr">
        <is>
          <t>이익잉여금</t>
        </is>
      </c>
      <c r="B33" s="10" t="n"/>
      <c r="C33" s="21" t="n">
        <v>43348</v>
      </c>
      <c r="D33" s="22" t="n">
        <v>42382</v>
      </c>
      <c r="E33" s="22" t="n">
        <v>41954</v>
      </c>
      <c r="F33" s="22" t="n">
        <v>42905</v>
      </c>
      <c r="G33" s="22" t="n">
        <v>43649</v>
      </c>
      <c r="H33" s="21" t="n">
        <v>46724</v>
      </c>
      <c r="I33" s="22" t="n">
        <v>48536</v>
      </c>
      <c r="J33" s="22" t="n">
        <v>44571</v>
      </c>
      <c r="K33" s="22" t="n">
        <v>42419</v>
      </c>
      <c r="L33" s="22" t="n">
        <v>42382</v>
      </c>
    </row>
    <row r="34">
      <c r="A34" s="20" t="inlineStr">
        <is>
          <t>비지배지분</t>
        </is>
      </c>
      <c r="B34" s="10" t="n"/>
      <c r="C34" s="21" t="n">
        <v>17</v>
      </c>
      <c r="D34" s="22" t="n">
        <v>18</v>
      </c>
      <c r="E34" s="22" t="n">
        <v>18</v>
      </c>
      <c r="F34" s="22" t="n">
        <v>19</v>
      </c>
      <c r="G34" s="22" t="n">
        <v>18</v>
      </c>
      <c r="H34" s="21" t="n">
        <v>15</v>
      </c>
      <c r="I34" s="22" t="n">
        <v>18</v>
      </c>
      <c r="J34" s="22" t="n">
        <v>18</v>
      </c>
      <c r="K34" s="22" t="n">
        <v>18</v>
      </c>
      <c r="L34" s="22" t="n">
        <v>18</v>
      </c>
    </row>
    <row r="35">
      <c r="A35" s="9" t="inlineStr">
        <is>
          <t>자본총계</t>
        </is>
      </c>
      <c r="B35" s="10" t="n"/>
      <c r="C35" s="11" t="n">
        <v>60325</v>
      </c>
      <c r="D35" s="12" t="n">
        <v>61906</v>
      </c>
      <c r="E35" s="12" t="n">
        <v>61802</v>
      </c>
      <c r="F35" s="12" t="n">
        <v>63021</v>
      </c>
      <c r="G35" s="12" t="n">
        <v>63716</v>
      </c>
      <c r="H35" s="11" t="n">
        <v>60369</v>
      </c>
      <c r="I35" s="12" t="n">
        <v>67111</v>
      </c>
      <c r="J35" s="12" t="n">
        <v>62060</v>
      </c>
      <c r="K35" s="12" t="n">
        <v>59541</v>
      </c>
      <c r="L35" s="12" t="n">
        <v>61906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2420</v>
      </c>
      <c r="E37" s="12" t="n"/>
      <c r="F37" s="12" t="n"/>
      <c r="G37" s="12" t="n"/>
      <c r="H37" s="11" t="n">
        <v>5504</v>
      </c>
      <c r="I37" s="12" t="n">
        <v>1975</v>
      </c>
      <c r="J37" s="12" t="n">
        <v>6202</v>
      </c>
      <c r="K37" s="12" t="n">
        <v>3729</v>
      </c>
      <c r="L37" s="12" t="n">
        <v>2420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2854</v>
      </c>
      <c r="E38" s="22" t="n"/>
      <c r="F38" s="22" t="n"/>
      <c r="G38" s="22" t="n"/>
      <c r="H38" s="21" t="n">
        <v>1008</v>
      </c>
      <c r="I38" s="22" t="n">
        <v>2834</v>
      </c>
      <c r="J38" s="22" t="n">
        <v>1782</v>
      </c>
      <c r="K38" s="22" t="n">
        <v>3012</v>
      </c>
      <c r="L38" s="22" t="n">
        <v>2854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1846</v>
      </c>
      <c r="E40" s="22" t="n"/>
      <c r="F40" s="22" t="n"/>
      <c r="G40" s="22" t="n"/>
      <c r="H40" s="21" t="n">
        <v>976</v>
      </c>
      <c r="I40" s="22" t="n">
        <v>1052</v>
      </c>
      <c r="J40" s="22" t="n">
        <v>1141</v>
      </c>
      <c r="K40" s="22" t="n">
        <v>1277</v>
      </c>
      <c r="L40" s="22" t="n">
        <v>1846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20" t="inlineStr">
        <is>
          <t>현금 및 예금</t>
        </is>
      </c>
      <c r="C71" s="22" t="n">
        <v>9741</v>
      </c>
      <c r="D71" s="22" t="n">
        <v>9021</v>
      </c>
      <c r="E71" s="22" t="n">
        <v>8840</v>
      </c>
      <c r="F71" s="22" t="n">
        <v>8616</v>
      </c>
      <c r="G71" s="22" t="n">
        <v>8564</v>
      </c>
      <c r="H71" s="22" t="n">
        <v>23575</v>
      </c>
      <c r="I71" s="22" t="n">
        <v>18156</v>
      </c>
      <c r="J71" s="22" t="n">
        <v>12683</v>
      </c>
      <c r="K71" s="22" t="n">
        <v>11477</v>
      </c>
      <c r="L71" s="22" t="n">
        <v>9021</v>
      </c>
    </row>
    <row r="72">
      <c r="A72" s="20" t="inlineStr">
        <is>
          <t>받을어음·매출채권</t>
        </is>
      </c>
      <c r="H72" s="22" t="n">
        <v>16277</v>
      </c>
      <c r="I72" s="22" t="n">
        <v>0</v>
      </c>
    </row>
    <row r="73">
      <c r="A73" s="20" t="inlineStr">
        <is>
          <t>받을어음·매출채권·계약자산</t>
        </is>
      </c>
      <c r="C73" s="22" t="n">
        <v>13528</v>
      </c>
      <c r="D73" s="22" t="n">
        <v>13520</v>
      </c>
      <c r="E73" s="22" t="n">
        <v>11605</v>
      </c>
      <c r="F73" s="22" t="n">
        <v>12792</v>
      </c>
      <c r="G73" s="22" t="n">
        <v>13619</v>
      </c>
      <c r="H73" s="22" t="n">
        <v>0</v>
      </c>
      <c r="I73" s="22" t="n">
        <v>17538</v>
      </c>
      <c r="J73" s="22" t="n">
        <v>14824</v>
      </c>
      <c r="K73" s="22" t="n">
        <v>13850</v>
      </c>
      <c r="L73" s="22" t="n">
        <v>13520</v>
      </c>
    </row>
    <row r="74">
      <c r="A74" s="20" t="inlineStr">
        <is>
          <t>전자기록채권</t>
        </is>
      </c>
      <c r="C74" s="22" t="n">
        <v>6458</v>
      </c>
      <c r="D74" s="22" t="n">
        <v>6872</v>
      </c>
      <c r="E74" s="22" t="n">
        <v>6169</v>
      </c>
      <c r="F74" s="22" t="n">
        <v>6274</v>
      </c>
      <c r="G74" s="22" t="n">
        <v>6493</v>
      </c>
      <c r="H74" s="22" t="n">
        <v>5118</v>
      </c>
      <c r="I74" s="22" t="n">
        <v>5864</v>
      </c>
      <c r="J74" s="22" t="n">
        <v>6766</v>
      </c>
      <c r="K74" s="22" t="n">
        <v>6826</v>
      </c>
      <c r="L74" s="22" t="n">
        <v>6872</v>
      </c>
    </row>
    <row r="75">
      <c r="A75" s="20" t="inlineStr">
        <is>
          <t>상품·제품</t>
        </is>
      </c>
      <c r="C75" s="22" t="n">
        <v>11266</v>
      </c>
      <c r="D75" s="22" t="n">
        <v>11387</v>
      </c>
      <c r="E75" s="22" t="n">
        <v>12811</v>
      </c>
      <c r="F75" s="22" t="n">
        <v>13058</v>
      </c>
      <c r="G75" s="22" t="n">
        <v>12976</v>
      </c>
      <c r="H75" s="22" t="n">
        <v>8269</v>
      </c>
      <c r="I75" s="22" t="n">
        <v>13799</v>
      </c>
      <c r="J75" s="22" t="n">
        <v>10747</v>
      </c>
      <c r="K75" s="22" t="n">
        <v>10768</v>
      </c>
      <c r="L75" s="22" t="n">
        <v>11387</v>
      </c>
    </row>
    <row r="76">
      <c r="A76" s="20" t="inlineStr">
        <is>
          <t>재공품</t>
        </is>
      </c>
      <c r="C76" s="22" t="n">
        <v>1699</v>
      </c>
      <c r="D76" s="22" t="n">
        <v>1423</v>
      </c>
      <c r="E76" s="22" t="n">
        <v>1460</v>
      </c>
      <c r="F76" s="22" t="n">
        <v>1689</v>
      </c>
      <c r="G76" s="22" t="n">
        <v>1897</v>
      </c>
      <c r="H76" s="22" t="n">
        <v>1809</v>
      </c>
      <c r="I76" s="22" t="n">
        <v>1992</v>
      </c>
      <c r="J76" s="22" t="n">
        <v>1512</v>
      </c>
      <c r="K76" s="22" t="n">
        <v>1837</v>
      </c>
      <c r="L76" s="22" t="n">
        <v>1423</v>
      </c>
    </row>
    <row r="77">
      <c r="A77" s="20" t="inlineStr">
        <is>
          <t>원재료·저장품</t>
        </is>
      </c>
      <c r="C77" s="22" t="n">
        <v>3650</v>
      </c>
      <c r="D77" s="22" t="n">
        <v>3367</v>
      </c>
      <c r="E77" s="22" t="n">
        <v>3908</v>
      </c>
      <c r="F77" s="22" t="n">
        <v>4130</v>
      </c>
      <c r="G77" s="22" t="n">
        <v>3772</v>
      </c>
      <c r="H77" s="22" t="n">
        <v>2356</v>
      </c>
      <c r="I77" s="22" t="n">
        <v>4795</v>
      </c>
      <c r="J77" s="22" t="n">
        <v>3521</v>
      </c>
      <c r="K77" s="22" t="n">
        <v>3100</v>
      </c>
      <c r="L77" s="22" t="n">
        <v>3367</v>
      </c>
    </row>
    <row r="78">
      <c r="A78" s="20" t="inlineStr">
        <is>
          <t>기타</t>
        </is>
      </c>
      <c r="C78" s="22" t="n">
        <v>779</v>
      </c>
      <c r="D78" s="22" t="n">
        <v>1214</v>
      </c>
      <c r="E78" s="22" t="n">
        <v>1620</v>
      </c>
      <c r="F78" s="22" t="n">
        <v>1092</v>
      </c>
      <c r="G78" s="22" t="n">
        <v>1594</v>
      </c>
      <c r="H78" s="22" t="n">
        <v>1442</v>
      </c>
      <c r="I78" s="22" t="n">
        <v>1395</v>
      </c>
      <c r="J78" s="22" t="n">
        <v>1204</v>
      </c>
      <c r="K78" s="22" t="n">
        <v>996</v>
      </c>
      <c r="L78" s="22" t="n">
        <v>1214</v>
      </c>
    </row>
    <row r="79">
      <c r="A79" s="20" t="inlineStr">
        <is>
          <t>대손충당금</t>
        </is>
      </c>
      <c r="C79" s="22" t="n">
        <v>-21</v>
      </c>
      <c r="D79" s="22" t="n">
        <v>-31</v>
      </c>
      <c r="E79" s="22" t="n">
        <v>-24</v>
      </c>
      <c r="F79" s="22" t="n">
        <v>-26</v>
      </c>
      <c r="G79" s="22" t="n">
        <v>-26</v>
      </c>
      <c r="H79" s="22" t="n">
        <v>-25</v>
      </c>
      <c r="I79" s="22" t="n">
        <v>-28</v>
      </c>
      <c r="J79" s="22" t="n">
        <v>-24</v>
      </c>
      <c r="K79" s="22" t="n">
        <v>-32</v>
      </c>
      <c r="L79" s="22" t="n">
        <v>-31</v>
      </c>
    </row>
    <row r="80">
      <c r="A80" s="9" t="inlineStr">
        <is>
          <t>유동자산 합계</t>
        </is>
      </c>
      <c r="C80" s="12" t="n">
        <v>47101</v>
      </c>
      <c r="D80" s="12" t="n">
        <v>46777</v>
      </c>
      <c r="E80" s="12" t="n">
        <v>46391</v>
      </c>
      <c r="F80" s="12" t="n">
        <v>47628</v>
      </c>
      <c r="G80" s="12" t="n">
        <v>48892</v>
      </c>
      <c r="H80" s="12" t="n">
        <v>58825</v>
      </c>
      <c r="I80" s="12" t="n">
        <v>63515</v>
      </c>
      <c r="J80" s="12" t="n">
        <v>51236</v>
      </c>
      <c r="K80" s="12" t="n">
        <v>48824</v>
      </c>
      <c r="L80" s="12" t="n">
        <v>46777</v>
      </c>
    </row>
    <row r="81">
      <c r="A81" s="20" t="inlineStr">
        <is>
          <t>건물·구축물</t>
        </is>
      </c>
      <c r="D81" s="22" t="n">
        <v>22978</v>
      </c>
      <c r="H81" s="22" t="n">
        <v>18815</v>
      </c>
      <c r="I81" s="22" t="n">
        <v>23151</v>
      </c>
      <c r="J81" s="22" t="n">
        <v>19955</v>
      </c>
      <c r="K81" s="22" t="n">
        <v>20733</v>
      </c>
      <c r="L81" s="22" t="n">
        <v>22978</v>
      </c>
    </row>
    <row r="82">
      <c r="A82" s="20" t="inlineStr">
        <is>
          <t>감가상각누계액</t>
        </is>
      </c>
      <c r="D82" s="22" t="n">
        <v>-8936</v>
      </c>
      <c r="H82" s="22" t="n">
        <v>-7156</v>
      </c>
      <c r="I82" s="22" t="n">
        <v>-8137</v>
      </c>
      <c r="J82" s="22" t="n">
        <v>-7764</v>
      </c>
      <c r="K82" s="22" t="n">
        <v>-8428</v>
      </c>
      <c r="L82" s="22" t="n">
        <v>-8936</v>
      </c>
    </row>
    <row r="83">
      <c r="A83" s="20" t="inlineStr">
        <is>
          <t>건물·구축물(순액)</t>
        </is>
      </c>
      <c r="C83" s="22" t="n">
        <v>14037</v>
      </c>
      <c r="D83" s="22" t="n">
        <v>14042</v>
      </c>
      <c r="E83" s="22" t="n">
        <v>14227</v>
      </c>
      <c r="F83" s="22" t="n">
        <v>14264</v>
      </c>
      <c r="G83" s="22" t="n">
        <v>14190</v>
      </c>
      <c r="H83" s="22" t="n">
        <v>11658</v>
      </c>
      <c r="I83" s="22" t="n">
        <v>15013</v>
      </c>
      <c r="J83" s="22" t="n">
        <v>12191</v>
      </c>
      <c r="K83" s="22" t="n">
        <v>12305</v>
      </c>
      <c r="L83" s="22" t="n">
        <v>14042</v>
      </c>
    </row>
    <row r="84">
      <c r="A84" s="20" t="inlineStr">
        <is>
          <t>기계장치·운반구</t>
        </is>
      </c>
      <c r="D84" s="22" t="n">
        <v>12329</v>
      </c>
      <c r="H84" s="22" t="n">
        <v>16723</v>
      </c>
      <c r="I84" s="22" t="n">
        <v>19623</v>
      </c>
      <c r="J84" s="22" t="n">
        <v>11781</v>
      </c>
      <c r="K84" s="22" t="n">
        <v>11910</v>
      </c>
      <c r="L84" s="22" t="n">
        <v>12329</v>
      </c>
    </row>
    <row r="85">
      <c r="A85" s="20" t="inlineStr">
        <is>
          <t>감가상각누계액</t>
        </is>
      </c>
      <c r="D85" s="22" t="n">
        <v>-10377</v>
      </c>
      <c r="H85" s="22" t="n">
        <v>-12373</v>
      </c>
      <c r="I85" s="22" t="n">
        <v>-14257</v>
      </c>
      <c r="J85" s="22" t="n">
        <v>-9230</v>
      </c>
      <c r="K85" s="22" t="n">
        <v>-9923</v>
      </c>
      <c r="L85" s="22" t="n">
        <v>-10377</v>
      </c>
    </row>
    <row r="86">
      <c r="A86" s="20" t="inlineStr">
        <is>
          <t>기계장치·운반구(순액)</t>
        </is>
      </c>
      <c r="C86" s="22" t="n">
        <v>2002</v>
      </c>
      <c r="D86" s="22" t="n">
        <v>1952</v>
      </c>
      <c r="E86" s="22" t="n">
        <v>2043</v>
      </c>
      <c r="F86" s="22" t="n">
        <v>2096</v>
      </c>
      <c r="G86" s="22" t="n">
        <v>2080</v>
      </c>
      <c r="H86" s="22" t="n">
        <v>4349</v>
      </c>
      <c r="I86" s="22" t="n">
        <v>5365</v>
      </c>
      <c r="J86" s="22" t="n">
        <v>2551</v>
      </c>
      <c r="K86" s="22" t="n">
        <v>1987</v>
      </c>
      <c r="L86" s="22" t="n">
        <v>1952</v>
      </c>
    </row>
    <row r="87">
      <c r="A87" s="20" t="inlineStr">
        <is>
          <t>토지</t>
        </is>
      </c>
      <c r="C87" s="22" t="n">
        <v>5277</v>
      </c>
      <c r="D87" s="22" t="n">
        <v>5287</v>
      </c>
      <c r="E87" s="22" t="n">
        <v>5376</v>
      </c>
      <c r="F87" s="22" t="n">
        <v>5402</v>
      </c>
      <c r="G87" s="22" t="n">
        <v>5356</v>
      </c>
      <c r="H87" s="22" t="n">
        <v>4269</v>
      </c>
      <c r="I87" s="22" t="n">
        <v>6185</v>
      </c>
      <c r="J87" s="22" t="n">
        <v>5535</v>
      </c>
      <c r="K87" s="22" t="n">
        <v>5425</v>
      </c>
      <c r="L87" s="22" t="n">
        <v>5287</v>
      </c>
    </row>
    <row r="88">
      <c r="A88" s="20" t="inlineStr">
        <is>
          <t>리스자산</t>
        </is>
      </c>
      <c r="D88" s="22" t="n">
        <v>1143</v>
      </c>
      <c r="H88" s="22" t="n">
        <v>1145</v>
      </c>
      <c r="I88" s="22" t="n">
        <v>1200</v>
      </c>
      <c r="J88" s="22" t="n">
        <v>1394</v>
      </c>
      <c r="K88" s="22" t="n">
        <v>1340</v>
      </c>
      <c r="L88" s="22" t="n">
        <v>1143</v>
      </c>
    </row>
    <row r="89">
      <c r="A89" s="20" t="inlineStr">
        <is>
          <t>감가상각누계액</t>
        </is>
      </c>
      <c r="D89" s="22" t="n">
        <v>-607</v>
      </c>
      <c r="H89" s="22" t="n">
        <v>-556</v>
      </c>
      <c r="I89" s="22" t="n">
        <v>-659</v>
      </c>
      <c r="J89" s="22" t="n">
        <v>-709</v>
      </c>
      <c r="K89" s="22" t="n">
        <v>-696</v>
      </c>
      <c r="L89" s="22" t="n">
        <v>-607</v>
      </c>
    </row>
    <row r="90">
      <c r="A90" s="20" t="inlineStr">
        <is>
          <t>리스자산(순액)</t>
        </is>
      </c>
      <c r="D90" s="22" t="n">
        <v>535</v>
      </c>
      <c r="H90" s="22" t="n">
        <v>589</v>
      </c>
      <c r="I90" s="22" t="n">
        <v>541</v>
      </c>
      <c r="J90" s="22" t="n">
        <v>685</v>
      </c>
      <c r="K90" s="22" t="n">
        <v>643</v>
      </c>
      <c r="L90" s="22" t="n">
        <v>535</v>
      </c>
    </row>
    <row r="91">
      <c r="A91" s="20" t="inlineStr">
        <is>
          <t>건설중인자산</t>
        </is>
      </c>
      <c r="D91" s="22" t="n">
        <v>156</v>
      </c>
      <c r="H91" s="22" t="n">
        <v>352</v>
      </c>
      <c r="I91" s="22" t="n">
        <v>479</v>
      </c>
      <c r="J91" s="22" t="n">
        <v>564</v>
      </c>
      <c r="K91" s="22" t="n">
        <v>1752</v>
      </c>
      <c r="L91" s="22" t="n">
        <v>156</v>
      </c>
    </row>
    <row r="92">
      <c r="A92" s="20" t="inlineStr">
        <is>
          <t>기타</t>
        </is>
      </c>
      <c r="D92" s="22" t="n">
        <v>2131</v>
      </c>
      <c r="H92" s="22" t="n">
        <v>2028</v>
      </c>
      <c r="I92" s="22" t="n">
        <v>2026</v>
      </c>
      <c r="J92" s="22" t="n">
        <v>1946</v>
      </c>
      <c r="K92" s="22" t="n">
        <v>2120</v>
      </c>
      <c r="L92" s="22" t="n">
        <v>2131</v>
      </c>
    </row>
    <row r="93">
      <c r="A93" s="20" t="inlineStr">
        <is>
          <t>감가상각누계액</t>
        </is>
      </c>
      <c r="D93" s="22" t="n">
        <v>-1731</v>
      </c>
      <c r="H93" s="22" t="n">
        <v>-1647</v>
      </c>
      <c r="I93" s="22" t="n">
        <v>-1643</v>
      </c>
      <c r="J93" s="22" t="n">
        <v>-1537</v>
      </c>
      <c r="K93" s="22" t="n">
        <v>-1675</v>
      </c>
      <c r="L93" s="22" t="n">
        <v>-1731</v>
      </c>
    </row>
    <row r="94">
      <c r="A94" s="20" t="inlineStr">
        <is>
          <t>기타(순액)</t>
        </is>
      </c>
      <c r="C94" s="22" t="n">
        <v>1051</v>
      </c>
      <c r="D94" s="22" t="n">
        <v>1091</v>
      </c>
      <c r="E94" s="22" t="n">
        <v>1097</v>
      </c>
      <c r="F94" s="22" t="n">
        <v>1456</v>
      </c>
      <c r="G94" s="22" t="n">
        <v>1570</v>
      </c>
      <c r="H94" s="22" t="n">
        <v>380</v>
      </c>
      <c r="I94" s="22" t="n">
        <v>383</v>
      </c>
      <c r="J94" s="22" t="n">
        <v>408</v>
      </c>
      <c r="K94" s="22" t="n">
        <v>444</v>
      </c>
      <c r="L94" s="22" t="n">
        <v>1091</v>
      </c>
    </row>
    <row r="95">
      <c r="A95" s="20" t="inlineStr">
        <is>
          <t>유형자산 합계</t>
        </is>
      </c>
      <c r="C95" s="22" t="n">
        <v>22368</v>
      </c>
      <c r="D95" s="22" t="n">
        <v>22373</v>
      </c>
      <c r="E95" s="22" t="n">
        <v>22744</v>
      </c>
      <c r="F95" s="22" t="n">
        <v>23219</v>
      </c>
      <c r="G95" s="22" t="n">
        <v>23198</v>
      </c>
      <c r="H95" s="22" t="n">
        <v>21600</v>
      </c>
      <c r="I95" s="22" t="n">
        <v>27968</v>
      </c>
      <c r="J95" s="22" t="n">
        <v>21937</v>
      </c>
      <c r="K95" s="22" t="n">
        <v>22558</v>
      </c>
      <c r="L95" s="22" t="n">
        <v>22373</v>
      </c>
    </row>
    <row r="96">
      <c r="A96" s="20" t="inlineStr">
        <is>
          <t>영업권</t>
        </is>
      </c>
      <c r="C96" s="22" t="n">
        <v>1422</v>
      </c>
      <c r="D96" s="22" t="n">
        <v>1379</v>
      </c>
      <c r="E96" s="22" t="n">
        <v>1337</v>
      </c>
      <c r="F96" s="22" t="n">
        <v>1294</v>
      </c>
      <c r="G96" s="22" t="n">
        <v>1251</v>
      </c>
      <c r="H96" s="22" t="n">
        <v>2089</v>
      </c>
      <c r="I96" s="22" t="n">
        <v>3811</v>
      </c>
      <c r="J96" s="22" t="n">
        <v>1721</v>
      </c>
      <c r="K96" s="22" t="n">
        <v>1550</v>
      </c>
      <c r="L96" s="22" t="n">
        <v>1379</v>
      </c>
    </row>
    <row r="97">
      <c r="A97" s="20" t="inlineStr">
        <is>
          <t>기타</t>
        </is>
      </c>
      <c r="C97" s="22" t="n">
        <v>1049</v>
      </c>
      <c r="D97" s="22" t="n">
        <v>1332</v>
      </c>
      <c r="E97" s="22" t="n">
        <v>1556</v>
      </c>
      <c r="F97" s="22" t="n">
        <v>1773</v>
      </c>
      <c r="G97" s="22" t="n">
        <v>1999</v>
      </c>
      <c r="H97" s="22" t="n">
        <v>358</v>
      </c>
      <c r="I97" s="22" t="n">
        <v>357</v>
      </c>
      <c r="J97" s="22" t="n">
        <v>308</v>
      </c>
      <c r="K97" s="22" t="n">
        <v>378</v>
      </c>
      <c r="L97" s="22" t="n">
        <v>1332</v>
      </c>
    </row>
    <row r="98">
      <c r="A98" s="20" t="inlineStr">
        <is>
          <t>무형자산 합계</t>
        </is>
      </c>
      <c r="C98" s="22" t="n">
        <v>2472</v>
      </c>
      <c r="D98" s="22" t="n">
        <v>2712</v>
      </c>
      <c r="E98" s="22" t="n">
        <v>2893</v>
      </c>
      <c r="F98" s="22" t="n">
        <v>3067</v>
      </c>
      <c r="G98" s="22" t="n">
        <v>3250</v>
      </c>
      <c r="H98" s="22" t="n">
        <v>2448</v>
      </c>
      <c r="I98" s="22" t="n">
        <v>4168</v>
      </c>
      <c r="J98" s="22" t="n">
        <v>2029</v>
      </c>
      <c r="K98" s="22" t="n">
        <v>1929</v>
      </c>
      <c r="L98" s="22" t="n">
        <v>2712</v>
      </c>
    </row>
    <row r="99">
      <c r="A99" s="20" t="inlineStr">
        <is>
          <t>투자유가증권</t>
        </is>
      </c>
      <c r="C99" s="22" t="n">
        <v>8821</v>
      </c>
      <c r="D99" s="22" t="n">
        <v>9834</v>
      </c>
      <c r="E99" s="22" t="n">
        <v>9690</v>
      </c>
      <c r="F99" s="22" t="n">
        <v>10629</v>
      </c>
      <c r="G99" s="22" t="n">
        <v>10158</v>
      </c>
      <c r="H99" s="22" t="n">
        <v>7387</v>
      </c>
      <c r="I99" s="22" t="n">
        <v>6094</v>
      </c>
      <c r="J99" s="22" t="n">
        <v>11218</v>
      </c>
      <c r="K99" s="22" t="n">
        <v>8344</v>
      </c>
      <c r="L99" s="22" t="n">
        <v>9834</v>
      </c>
    </row>
    <row r="100">
      <c r="A100" s="20" t="inlineStr">
        <is>
          <t>장기대여금</t>
        </is>
      </c>
      <c r="H100" s="22" t="n">
        <v>0</v>
      </c>
    </row>
    <row r="101">
      <c r="A101" s="20" t="inlineStr">
        <is>
          <t>이연법인세자산</t>
        </is>
      </c>
      <c r="D101" s="22" t="n">
        <v>1788</v>
      </c>
      <c r="H101" s="22" t="n">
        <v>79</v>
      </c>
      <c r="I101" s="22" t="n">
        <v>220</v>
      </c>
      <c r="J101" s="22" t="n">
        <v>1529</v>
      </c>
      <c r="K101" s="22" t="n">
        <v>3299</v>
      </c>
      <c r="L101" s="22" t="n">
        <v>1788</v>
      </c>
    </row>
    <row r="102">
      <c r="A102" s="20" t="inlineStr">
        <is>
          <t>기타</t>
        </is>
      </c>
      <c r="C102" s="22" t="n">
        <v>4600</v>
      </c>
      <c r="D102" s="22" t="n">
        <v>3442</v>
      </c>
      <c r="E102" s="22" t="n">
        <v>3522</v>
      </c>
      <c r="F102" s="22" t="n">
        <v>3319</v>
      </c>
      <c r="G102" s="22" t="n">
        <v>3350</v>
      </c>
      <c r="H102" s="22" t="n">
        <v>1718</v>
      </c>
      <c r="I102" s="22" t="n">
        <v>1937</v>
      </c>
      <c r="J102" s="22" t="n">
        <v>1951</v>
      </c>
      <c r="K102" s="22" t="n">
        <v>2171</v>
      </c>
      <c r="L102" s="22" t="n">
        <v>3442</v>
      </c>
    </row>
    <row r="103">
      <c r="A103" s="20" t="inlineStr">
        <is>
          <t>대손충당금</t>
        </is>
      </c>
      <c r="C103" s="22" t="n">
        <v>-148</v>
      </c>
      <c r="D103" s="22" t="n">
        <v>-125</v>
      </c>
      <c r="E103" s="22" t="n">
        <v>-132</v>
      </c>
      <c r="F103" s="22" t="n">
        <v>-133</v>
      </c>
      <c r="G103" s="22" t="n">
        <v>-130</v>
      </c>
      <c r="H103" s="22" t="n">
        <v>-47</v>
      </c>
      <c r="I103" s="22" t="n">
        <v>-43</v>
      </c>
      <c r="J103" s="22" t="n">
        <v>-43</v>
      </c>
      <c r="K103" s="22" t="n">
        <v>-154</v>
      </c>
      <c r="L103" s="22" t="n">
        <v>-125</v>
      </c>
    </row>
    <row r="104">
      <c r="A104" s="20" t="inlineStr">
        <is>
          <t>투자 및 기타자산 합계</t>
        </is>
      </c>
      <c r="C104" s="22" t="n">
        <v>13274</v>
      </c>
      <c r="D104" s="22" t="n">
        <v>13151</v>
      </c>
      <c r="E104" s="22" t="n">
        <v>13080</v>
      </c>
      <c r="F104" s="22" t="n">
        <v>13815</v>
      </c>
      <c r="G104" s="22" t="n">
        <v>13378</v>
      </c>
      <c r="H104" s="22" t="n">
        <v>9138</v>
      </c>
      <c r="I104" s="22" t="n">
        <v>8209</v>
      </c>
      <c r="J104" s="22" t="n">
        <v>14655</v>
      </c>
      <c r="K104" s="22" t="n">
        <v>13660</v>
      </c>
      <c r="L104" s="22" t="n">
        <v>13151</v>
      </c>
    </row>
    <row r="105">
      <c r="A105" s="9" t="inlineStr">
        <is>
          <t>비유동자산 합계</t>
        </is>
      </c>
      <c r="C105" s="12" t="n">
        <v>38114</v>
      </c>
      <c r="D105" s="12" t="n">
        <v>38238</v>
      </c>
      <c r="E105" s="12" t="n">
        <v>38718</v>
      </c>
      <c r="F105" s="12" t="n">
        <v>40103</v>
      </c>
      <c r="G105" s="12" t="n">
        <v>39828</v>
      </c>
      <c r="H105" s="12" t="n">
        <v>33187</v>
      </c>
      <c r="I105" s="12" t="n">
        <v>40347</v>
      </c>
      <c r="J105" s="12" t="n">
        <v>38622</v>
      </c>
      <c r="K105" s="12" t="n">
        <v>38148</v>
      </c>
      <c r="L105" s="12" t="n">
        <v>38238</v>
      </c>
    </row>
    <row r="106">
      <c r="A106" s="20" t="inlineStr">
        <is>
          <t>사채발행비</t>
        </is>
      </c>
      <c r="C106" s="22" t="n">
        <v>16</v>
      </c>
      <c r="D106" s="22" t="n">
        <v>15</v>
      </c>
      <c r="E106" s="22" t="n">
        <v>14</v>
      </c>
      <c r="F106" s="22" t="n">
        <v>13</v>
      </c>
      <c r="G106" s="22" t="n">
        <v>12</v>
      </c>
      <c r="H106" s="22" t="n">
        <v>5</v>
      </c>
      <c r="I106" s="22" t="n">
        <v>32</v>
      </c>
      <c r="J106" s="22" t="n">
        <v>25</v>
      </c>
      <c r="K106" s="22" t="n">
        <v>20</v>
      </c>
      <c r="L106" s="22" t="n">
        <v>15</v>
      </c>
    </row>
    <row r="107">
      <c r="A107" s="20" t="inlineStr">
        <is>
          <t>이연자산 합계</t>
        </is>
      </c>
      <c r="C107" s="22" t="n">
        <v>16</v>
      </c>
      <c r="D107" s="22" t="n">
        <v>15</v>
      </c>
      <c r="E107" s="22" t="n">
        <v>14</v>
      </c>
      <c r="F107" s="22" t="n">
        <v>13</v>
      </c>
      <c r="G107" s="22" t="n">
        <v>12</v>
      </c>
      <c r="H107" s="22" t="n">
        <v>5</v>
      </c>
      <c r="I107" s="22" t="n">
        <v>32</v>
      </c>
      <c r="J107" s="22" t="n">
        <v>25</v>
      </c>
      <c r="K107" s="22" t="n">
        <v>20</v>
      </c>
      <c r="L107" s="22" t="n">
        <v>15</v>
      </c>
    </row>
    <row r="108">
      <c r="A108" s="9" t="inlineStr">
        <is>
          <t>자산 합계</t>
        </is>
      </c>
      <c r="C108" s="12" t="n">
        <v>85232</v>
      </c>
      <c r="D108" s="12" t="n">
        <v>85030</v>
      </c>
      <c r="E108" s="12" t="n">
        <v>85124</v>
      </c>
      <c r="F108" s="12" t="n">
        <v>87745</v>
      </c>
      <c r="G108" s="12" t="n">
        <v>88732</v>
      </c>
      <c r="H108" s="12" t="n">
        <v>92018</v>
      </c>
      <c r="I108" s="12" t="n">
        <v>103894</v>
      </c>
      <c r="J108" s="12" t="n">
        <v>89885</v>
      </c>
      <c r="K108" s="12" t="n">
        <v>86993</v>
      </c>
      <c r="L108" s="12" t="n">
        <v>85030</v>
      </c>
    </row>
    <row r="109">
      <c r="A109" s="20" t="inlineStr">
        <is>
          <t>지급어음·매입채무</t>
        </is>
      </c>
      <c r="C109" s="22" t="n">
        <v>4182</v>
      </c>
      <c r="D109" s="22" t="n">
        <v>3856</v>
      </c>
      <c r="E109" s="22" t="n">
        <v>4870</v>
      </c>
      <c r="F109" s="22" t="n">
        <v>4591</v>
      </c>
      <c r="G109" s="22" t="n">
        <v>4782</v>
      </c>
      <c r="H109" s="22" t="n">
        <v>5181</v>
      </c>
      <c r="I109" s="22" t="n">
        <v>5085</v>
      </c>
      <c r="J109" s="22" t="n">
        <v>4169</v>
      </c>
      <c r="K109" s="22" t="n">
        <v>3781</v>
      </c>
      <c r="L109" s="22" t="n">
        <v>3856</v>
      </c>
    </row>
    <row r="110">
      <c r="A110" s="20" t="inlineStr">
        <is>
          <t>전자기록채무</t>
        </is>
      </c>
      <c r="C110" s="22" t="n">
        <v>6487</v>
      </c>
      <c r="D110" s="22" t="n">
        <v>6212</v>
      </c>
      <c r="E110" s="22" t="n">
        <v>5631</v>
      </c>
      <c r="F110" s="22" t="n">
        <v>5380</v>
      </c>
      <c r="G110" s="22" t="n">
        <v>5425</v>
      </c>
      <c r="H110" s="22" t="n">
        <v>8924</v>
      </c>
      <c r="I110" s="22" t="n">
        <v>9782</v>
      </c>
      <c r="J110" s="22" t="n">
        <v>9448</v>
      </c>
      <c r="K110" s="22" t="n">
        <v>6579</v>
      </c>
      <c r="L110" s="22" t="n">
        <v>6212</v>
      </c>
    </row>
    <row r="111">
      <c r="A111" s="20" t="inlineStr">
        <is>
          <t>단기차입금</t>
        </is>
      </c>
      <c r="C111" s="22" t="n">
        <v>1468</v>
      </c>
      <c r="D111" s="22" t="n">
        <v>1124</v>
      </c>
      <c r="E111" s="22" t="n">
        <v>532</v>
      </c>
      <c r="F111" s="22" t="n">
        <v>1723</v>
      </c>
      <c r="G111" s="22" t="n">
        <v>1419</v>
      </c>
      <c r="H111" s="22" t="n">
        <v>4318</v>
      </c>
      <c r="I111" s="22" t="n">
        <v>5865</v>
      </c>
      <c r="J111" s="22" t="n">
        <v>1035</v>
      </c>
      <c r="K111" s="22" t="n">
        <v>680</v>
      </c>
      <c r="L111" s="22" t="n">
        <v>1124</v>
      </c>
    </row>
    <row r="112">
      <c r="A112" s="20" t="inlineStr">
        <is>
          <t>리스부채</t>
        </is>
      </c>
      <c r="H112" s="22" t="n">
        <v>201</v>
      </c>
    </row>
    <row r="113">
      <c r="A113" s="20" t="inlineStr">
        <is>
          <t>관계회사 정리손실 충당금</t>
        </is>
      </c>
      <c r="H113" s="22" t="n">
        <v>0</v>
      </c>
      <c r="I113" s="22" t="n">
        <v>21</v>
      </c>
      <c r="J113" s="22" t="n">
        <v>0</v>
      </c>
    </row>
    <row r="114">
      <c r="A114" s="20" t="inlineStr">
        <is>
          <t>미지급금</t>
        </is>
      </c>
      <c r="J114" s="22" t="n">
        <v>1545</v>
      </c>
      <c r="K114" s="22" t="n">
        <v>4388</v>
      </c>
    </row>
    <row r="115">
      <c r="A115" s="20" t="inlineStr">
        <is>
          <t>미지급법인세</t>
        </is>
      </c>
      <c r="C115" s="22" t="n">
        <v>429</v>
      </c>
      <c r="D115" s="22" t="n">
        <v>151</v>
      </c>
      <c r="E115" s="22" t="n">
        <v>348</v>
      </c>
      <c r="F115" s="22" t="n">
        <v>731</v>
      </c>
      <c r="G115" s="22" t="n">
        <v>1099</v>
      </c>
      <c r="H115" s="22" t="n">
        <v>438</v>
      </c>
      <c r="I115" s="22" t="n">
        <v>1245</v>
      </c>
      <c r="J115" s="22" t="n">
        <v>519</v>
      </c>
      <c r="K115" s="22" t="n">
        <v>674</v>
      </c>
      <c r="L115" s="22" t="n">
        <v>151</v>
      </c>
    </row>
    <row r="116">
      <c r="A116" s="20" t="inlineStr">
        <is>
          <t>상여충당금</t>
        </is>
      </c>
      <c r="C116" s="22" t="n">
        <v>405</v>
      </c>
      <c r="D116" s="22" t="n">
        <v>0</v>
      </c>
      <c r="E116" s="22" t="n">
        <v>293</v>
      </c>
      <c r="G116" s="22" t="n">
        <v>384</v>
      </c>
      <c r="I116" s="22" t="n">
        <v>0</v>
      </c>
      <c r="J116" s="22" t="n">
        <v>0</v>
      </c>
      <c r="K116" s="22" t="n">
        <v>0</v>
      </c>
      <c r="L116" s="22" t="n">
        <v>0</v>
      </c>
    </row>
    <row r="117">
      <c r="A117" s="20" t="inlineStr">
        <is>
          <t>기타</t>
        </is>
      </c>
      <c r="C117" s="22" t="n">
        <v>3154</v>
      </c>
      <c r="D117" s="22" t="n">
        <v>3401</v>
      </c>
      <c r="E117" s="22" t="n">
        <v>3393</v>
      </c>
      <c r="F117" s="22" t="n">
        <v>3827</v>
      </c>
      <c r="G117" s="22" t="n">
        <v>3519</v>
      </c>
      <c r="H117" s="22" t="n">
        <v>2850</v>
      </c>
      <c r="I117" s="22" t="n">
        <v>4402</v>
      </c>
      <c r="J117" s="22" t="n">
        <v>1458</v>
      </c>
      <c r="K117" s="22" t="n">
        <v>6613</v>
      </c>
      <c r="L117" s="22" t="n">
        <v>3401</v>
      </c>
    </row>
    <row r="118">
      <c r="A118" s="9" t="inlineStr">
        <is>
          <t>유동부채 합계</t>
        </is>
      </c>
      <c r="C118" s="12" t="n">
        <v>16128</v>
      </c>
      <c r="D118" s="12" t="n">
        <v>14747</v>
      </c>
      <c r="E118" s="12" t="n">
        <v>15070</v>
      </c>
      <c r="F118" s="12" t="n">
        <v>16255</v>
      </c>
      <c r="G118" s="12" t="n">
        <v>16631</v>
      </c>
      <c r="H118" s="12" t="n">
        <v>21712</v>
      </c>
      <c r="I118" s="12" t="n">
        <v>26402</v>
      </c>
      <c r="J118" s="12" t="n">
        <v>18177</v>
      </c>
      <c r="K118" s="12" t="n">
        <v>18329</v>
      </c>
      <c r="L118" s="12" t="n">
        <v>14747</v>
      </c>
    </row>
    <row r="119">
      <c r="A119" s="20" t="inlineStr">
        <is>
          <t>사채</t>
        </is>
      </c>
      <c r="C119" s="22" t="n">
        <v>1750</v>
      </c>
      <c r="D119" s="22" t="n">
        <v>1750</v>
      </c>
      <c r="E119" s="22" t="n">
        <v>1750</v>
      </c>
      <c r="F119" s="22" t="n">
        <v>1750</v>
      </c>
      <c r="G119" s="22" t="n">
        <v>1750</v>
      </c>
      <c r="H119" s="22" t="n">
        <v>1000</v>
      </c>
      <c r="I119" s="22" t="n">
        <v>1750</v>
      </c>
      <c r="J119" s="22" t="n">
        <v>1750</v>
      </c>
      <c r="K119" s="22" t="n">
        <v>1750</v>
      </c>
      <c r="L119" s="22" t="n">
        <v>1750</v>
      </c>
    </row>
    <row r="120">
      <c r="A120" s="20" t="inlineStr">
        <is>
          <t>장기차입금</t>
        </is>
      </c>
      <c r="C120" s="22" t="n">
        <v>3460</v>
      </c>
      <c r="D120" s="22" t="n">
        <v>3352</v>
      </c>
      <c r="E120" s="22" t="n">
        <v>3244</v>
      </c>
      <c r="F120" s="22" t="n">
        <v>3136</v>
      </c>
      <c r="G120" s="22" t="n">
        <v>3028</v>
      </c>
      <c r="H120" s="22" t="n">
        <v>4997</v>
      </c>
      <c r="I120" s="22" t="n">
        <v>4605</v>
      </c>
      <c r="J120" s="22" t="n">
        <v>4133</v>
      </c>
      <c r="K120" s="22" t="n">
        <v>3700</v>
      </c>
      <c r="L120" s="22" t="n">
        <v>3352</v>
      </c>
    </row>
    <row r="121">
      <c r="A121" s="20" t="inlineStr">
        <is>
          <t>리스부채</t>
        </is>
      </c>
      <c r="H121" s="22" t="n">
        <v>421</v>
      </c>
    </row>
    <row r="122">
      <c r="A122" s="20" t="inlineStr">
        <is>
          <t>이연법인세부채</t>
        </is>
      </c>
      <c r="D122" s="22" t="n">
        <v>253</v>
      </c>
      <c r="H122" s="22" t="n">
        <v>549</v>
      </c>
      <c r="I122" s="22" t="n">
        <v>479</v>
      </c>
      <c r="J122" s="22" t="n">
        <v>145</v>
      </c>
      <c r="K122" s="22" t="n">
        <v>149</v>
      </c>
      <c r="L122" s="22" t="n">
        <v>253</v>
      </c>
    </row>
    <row r="123">
      <c r="A123" s="20" t="inlineStr">
        <is>
          <t>주식급여 충당금</t>
        </is>
      </c>
      <c r="C123" s="22" t="n">
        <v>203</v>
      </c>
      <c r="D123" s="22" t="n">
        <v>205</v>
      </c>
      <c r="E123" s="22" t="n">
        <v>212</v>
      </c>
      <c r="F123" s="22" t="n">
        <v>219</v>
      </c>
      <c r="G123" s="22" t="n">
        <v>225</v>
      </c>
      <c r="H123" s="22" t="n">
        <v>125</v>
      </c>
      <c r="I123" s="22" t="n">
        <v>149</v>
      </c>
      <c r="J123" s="22" t="n">
        <v>163</v>
      </c>
      <c r="K123" s="22" t="n">
        <v>185</v>
      </c>
      <c r="L123" s="22" t="n">
        <v>205</v>
      </c>
    </row>
    <row r="124">
      <c r="A124" s="20" t="inlineStr">
        <is>
          <t>퇴직급여부채</t>
        </is>
      </c>
      <c r="C124" s="22" t="n">
        <v>1955</v>
      </c>
      <c r="D124" s="22" t="n">
        <v>1615</v>
      </c>
      <c r="E124" s="22" t="n">
        <v>1623</v>
      </c>
      <c r="F124" s="22" t="n">
        <v>1621</v>
      </c>
      <c r="G124" s="22" t="n">
        <v>1619</v>
      </c>
      <c r="H124" s="22" t="n">
        <v>1933</v>
      </c>
      <c r="I124" s="22" t="n">
        <v>2141</v>
      </c>
      <c r="J124" s="22" t="n">
        <v>2058</v>
      </c>
      <c r="K124" s="22" t="n">
        <v>2020</v>
      </c>
      <c r="L124" s="22" t="n">
        <v>1615</v>
      </c>
    </row>
    <row r="125">
      <c r="A125" s="20" t="inlineStr">
        <is>
          <t>자산복구부채</t>
        </is>
      </c>
      <c r="C125" s="22" t="n">
        <v>53</v>
      </c>
      <c r="D125" s="22" t="n">
        <v>53</v>
      </c>
      <c r="E125" s="22" t="n">
        <v>53</v>
      </c>
      <c r="F125" s="22" t="n">
        <v>53</v>
      </c>
      <c r="G125" s="22" t="n">
        <v>53</v>
      </c>
      <c r="H125" s="22" t="n">
        <v>54</v>
      </c>
      <c r="I125" s="22" t="n">
        <v>54</v>
      </c>
      <c r="J125" s="22" t="n">
        <v>55</v>
      </c>
      <c r="K125" s="22" t="n">
        <v>55</v>
      </c>
      <c r="L125" s="22" t="n">
        <v>53</v>
      </c>
    </row>
    <row r="126">
      <c r="A126" s="20" t="inlineStr">
        <is>
          <t>기타</t>
        </is>
      </c>
      <c r="C126" s="22" t="n">
        <v>1358</v>
      </c>
      <c r="D126" s="22" t="n">
        <v>1400</v>
      </c>
      <c r="E126" s="22" t="n">
        <v>1369</v>
      </c>
      <c r="F126" s="22" t="n">
        <v>1689</v>
      </c>
      <c r="G126" s="22" t="n">
        <v>1707</v>
      </c>
      <c r="H126" s="22" t="n">
        <v>1276</v>
      </c>
      <c r="I126" s="22" t="n">
        <v>1200</v>
      </c>
      <c r="J126" s="22" t="n">
        <v>1341</v>
      </c>
      <c r="K126" s="22" t="n">
        <v>1261</v>
      </c>
      <c r="L126" s="22" t="n">
        <v>1400</v>
      </c>
    </row>
    <row r="127">
      <c r="A127" s="9" t="inlineStr">
        <is>
          <t>비유동부채 합계</t>
        </is>
      </c>
      <c r="C127" s="12" t="n">
        <v>8779</v>
      </c>
      <c r="D127" s="12" t="n">
        <v>8376</v>
      </c>
      <c r="E127" s="12" t="n">
        <v>8251</v>
      </c>
      <c r="F127" s="12" t="n">
        <v>8468</v>
      </c>
      <c r="G127" s="12" t="n">
        <v>8384</v>
      </c>
      <c r="H127" s="12" t="n">
        <v>9935</v>
      </c>
      <c r="I127" s="12" t="n">
        <v>10381</v>
      </c>
      <c r="J127" s="12" t="n">
        <v>9647</v>
      </c>
      <c r="K127" s="12" t="n">
        <v>9122</v>
      </c>
      <c r="L127" s="12" t="n">
        <v>8376</v>
      </c>
    </row>
    <row r="128">
      <c r="A128" s="9" t="inlineStr">
        <is>
          <t>부채 합계</t>
        </is>
      </c>
      <c r="C128" s="12" t="n">
        <v>24907</v>
      </c>
      <c r="D128" s="12" t="n">
        <v>23124</v>
      </c>
      <c r="E128" s="12" t="n">
        <v>23321</v>
      </c>
      <c r="F128" s="12" t="n">
        <v>24723</v>
      </c>
      <c r="G128" s="12" t="n">
        <v>25016</v>
      </c>
      <c r="H128" s="12" t="n">
        <v>31648</v>
      </c>
      <c r="I128" s="12" t="n">
        <v>36783</v>
      </c>
      <c r="J128" s="12" t="n">
        <v>27824</v>
      </c>
      <c r="K128" s="12" t="n">
        <v>27452</v>
      </c>
      <c r="L128" s="12" t="n">
        <v>23124</v>
      </c>
    </row>
    <row r="129">
      <c r="A129" s="20" t="inlineStr">
        <is>
          <t>자본금</t>
        </is>
      </c>
      <c r="C129" s="22" t="n">
        <v>6911</v>
      </c>
      <c r="D129" s="22" t="n">
        <v>6911</v>
      </c>
      <c r="E129" s="22" t="n">
        <v>6911</v>
      </c>
      <c r="F129" s="22" t="n">
        <v>6911</v>
      </c>
      <c r="G129" s="22" t="n">
        <v>6911</v>
      </c>
      <c r="H129" s="22" t="n">
        <v>6911</v>
      </c>
      <c r="I129" s="22" t="n">
        <v>6911</v>
      </c>
      <c r="J129" s="22" t="n">
        <v>6911</v>
      </c>
      <c r="K129" s="22" t="n">
        <v>6911</v>
      </c>
      <c r="L129" s="22" t="n">
        <v>6911</v>
      </c>
    </row>
    <row r="130">
      <c r="A130" s="20" t="inlineStr">
        <is>
          <t>자본잉여금</t>
        </is>
      </c>
      <c r="C130" s="22" t="n">
        <v>6004</v>
      </c>
      <c r="D130" s="22" t="n">
        <v>5983</v>
      </c>
      <c r="E130" s="22" t="n">
        <v>5983</v>
      </c>
      <c r="F130" s="22" t="n">
        <v>5990</v>
      </c>
      <c r="G130" s="22" t="n">
        <v>5990</v>
      </c>
      <c r="H130" s="22" t="n">
        <v>5983</v>
      </c>
      <c r="I130" s="22" t="n">
        <v>5983</v>
      </c>
      <c r="J130" s="22" t="n">
        <v>5990</v>
      </c>
      <c r="K130" s="22" t="n">
        <v>5994</v>
      </c>
      <c r="L130" s="22" t="n">
        <v>5983</v>
      </c>
    </row>
    <row r="131">
      <c r="A131" s="20" t="inlineStr">
        <is>
          <t>이익잉여금</t>
        </is>
      </c>
      <c r="C131" s="22" t="n">
        <v>43348</v>
      </c>
      <c r="D131" s="22" t="n">
        <v>42382</v>
      </c>
      <c r="E131" s="22" t="n">
        <v>41954</v>
      </c>
      <c r="F131" s="22" t="n">
        <v>42905</v>
      </c>
      <c r="G131" s="22" t="n">
        <v>43649</v>
      </c>
      <c r="H131" s="22" t="n">
        <v>46724</v>
      </c>
      <c r="I131" s="22" t="n">
        <v>48536</v>
      </c>
      <c r="J131" s="22" t="n">
        <v>44571</v>
      </c>
      <c r="K131" s="22" t="n">
        <v>42419</v>
      </c>
      <c r="L131" s="22" t="n">
        <v>42382</v>
      </c>
    </row>
    <row r="132">
      <c r="A132" s="20" t="inlineStr">
        <is>
          <t>자기주식</t>
        </is>
      </c>
      <c r="C132" s="22" t="n">
        <v>-2773</v>
      </c>
      <c r="D132" s="22" t="n">
        <v>-1271</v>
      </c>
      <c r="E132" s="22" t="n">
        <v>-1954</v>
      </c>
      <c r="F132" s="22" t="n">
        <v>-2725</v>
      </c>
      <c r="G132" s="22" t="n">
        <v>-2723</v>
      </c>
      <c r="H132" s="22" t="n">
        <v>-1953</v>
      </c>
      <c r="I132" s="22" t="n">
        <v>-1774</v>
      </c>
      <c r="J132" s="22" t="n">
        <v>-2289</v>
      </c>
      <c r="K132" s="22" t="n">
        <v>-2225</v>
      </c>
      <c r="L132" s="22" t="n">
        <v>-1271</v>
      </c>
    </row>
    <row r="133">
      <c r="A133" s="9" t="inlineStr">
        <is>
          <t>주주자본 합계</t>
        </is>
      </c>
      <c r="C133" s="12" t="n">
        <v>53490</v>
      </c>
      <c r="D133" s="12" t="n">
        <v>54006</v>
      </c>
      <c r="E133" s="12" t="n">
        <v>52894</v>
      </c>
      <c r="F133" s="12" t="n">
        <v>53081</v>
      </c>
      <c r="G133" s="12" t="n">
        <v>53828</v>
      </c>
      <c r="H133" s="12" t="n">
        <v>57666</v>
      </c>
      <c r="I133" s="12" t="n">
        <v>59656</v>
      </c>
      <c r="J133" s="12" t="n">
        <v>55184</v>
      </c>
      <c r="K133" s="12" t="n">
        <v>53100</v>
      </c>
      <c r="L133" s="12" t="n">
        <v>54006</v>
      </c>
    </row>
    <row r="134">
      <c r="A134" s="20" t="inlineStr">
        <is>
          <t>기타유가증권 평가차액</t>
        </is>
      </c>
      <c r="C134" s="22" t="n">
        <v>3423</v>
      </c>
      <c r="D134" s="22" t="n">
        <v>3772</v>
      </c>
      <c r="E134" s="22" t="n">
        <v>3717</v>
      </c>
      <c r="F134" s="22" t="n">
        <v>4297</v>
      </c>
      <c r="G134" s="22" t="n">
        <v>4006</v>
      </c>
      <c r="H134" s="22" t="n">
        <v>1982</v>
      </c>
      <c r="I134" s="22" t="n">
        <v>1443</v>
      </c>
      <c r="J134" s="22" t="n">
        <v>2652</v>
      </c>
      <c r="K134" s="22" t="n">
        <v>3042</v>
      </c>
      <c r="L134" s="22" t="n">
        <v>3772</v>
      </c>
    </row>
    <row r="135">
      <c r="A135" s="20" t="inlineStr">
        <is>
          <t>해외사업환산조정</t>
        </is>
      </c>
      <c r="C135" s="22" t="n">
        <v>3447</v>
      </c>
      <c r="D135" s="22" t="n">
        <v>3937</v>
      </c>
      <c r="E135" s="22" t="n">
        <v>5001</v>
      </c>
      <c r="F135" s="22" t="n">
        <v>5454</v>
      </c>
      <c r="G135" s="22" t="n">
        <v>5698</v>
      </c>
      <c r="H135" s="22" t="n">
        <v>698</v>
      </c>
      <c r="I135" s="22" t="n">
        <v>6095</v>
      </c>
      <c r="J135" s="22" t="n">
        <v>4288</v>
      </c>
      <c r="K135" s="22" t="n">
        <v>3442</v>
      </c>
      <c r="L135" s="22" t="n">
        <v>3937</v>
      </c>
    </row>
    <row r="136">
      <c r="A136" s="20" t="inlineStr">
        <is>
          <t>퇴직급여 조정누계액</t>
        </is>
      </c>
      <c r="C136" s="22" t="n">
        <v>-53</v>
      </c>
      <c r="D136" s="22" t="n">
        <v>173</v>
      </c>
      <c r="E136" s="22" t="n">
        <v>170</v>
      </c>
      <c r="F136" s="22" t="n">
        <v>167</v>
      </c>
      <c r="G136" s="22" t="n">
        <v>164</v>
      </c>
      <c r="H136" s="22" t="n">
        <v>6</v>
      </c>
      <c r="I136" s="22" t="n">
        <v>-102</v>
      </c>
      <c r="J136" s="22" t="n">
        <v>-82</v>
      </c>
      <c r="K136" s="22" t="n">
        <v>-62</v>
      </c>
      <c r="L136" s="22" t="n">
        <v>173</v>
      </c>
    </row>
    <row r="137">
      <c r="A137" s="20" t="inlineStr">
        <is>
          <t>기타포괄손익누계액 합계</t>
        </is>
      </c>
      <c r="C137" s="22" t="n">
        <v>6816</v>
      </c>
      <c r="D137" s="22" t="n">
        <v>7882</v>
      </c>
      <c r="E137" s="22" t="n">
        <v>8889</v>
      </c>
      <c r="F137" s="22" t="n">
        <v>9919</v>
      </c>
      <c r="G137" s="22" t="n">
        <v>9869</v>
      </c>
      <c r="H137" s="22" t="n">
        <v>2688</v>
      </c>
      <c r="I137" s="22" t="n">
        <v>7436</v>
      </c>
      <c r="J137" s="22" t="n">
        <v>6857</v>
      </c>
      <c r="K137" s="22" t="n">
        <v>6422</v>
      </c>
      <c r="L137" s="22" t="n">
        <v>7882</v>
      </c>
    </row>
    <row r="138">
      <c r="A138" s="20" t="inlineStr">
        <is>
          <t>비지배지분</t>
        </is>
      </c>
      <c r="C138" s="22" t="n">
        <v>17</v>
      </c>
      <c r="D138" s="22" t="n">
        <v>18</v>
      </c>
      <c r="E138" s="22" t="n">
        <v>18</v>
      </c>
      <c r="F138" s="22" t="n">
        <v>19</v>
      </c>
      <c r="G138" s="22" t="n">
        <v>18</v>
      </c>
      <c r="H138" s="22" t="n">
        <v>15</v>
      </c>
      <c r="I138" s="22" t="n">
        <v>18</v>
      </c>
      <c r="J138" s="22" t="n">
        <v>18</v>
      </c>
      <c r="K138" s="22" t="n">
        <v>18</v>
      </c>
      <c r="L138" s="22" t="n">
        <v>18</v>
      </c>
    </row>
    <row r="139">
      <c r="A139" s="9" t="inlineStr">
        <is>
          <t>순자산 합계</t>
        </is>
      </c>
      <c r="C139" s="12" t="n">
        <v>60325</v>
      </c>
      <c r="D139" s="12" t="n">
        <v>61906</v>
      </c>
      <c r="E139" s="12" t="n">
        <v>61802</v>
      </c>
      <c r="F139" s="12" t="n">
        <v>63021</v>
      </c>
      <c r="G139" s="12" t="n">
        <v>63716</v>
      </c>
      <c r="H139" s="12" t="n">
        <v>60369</v>
      </c>
      <c r="I139" s="12" t="n">
        <v>67111</v>
      </c>
      <c r="J139" s="12" t="n">
        <v>62060</v>
      </c>
      <c r="K139" s="12" t="n">
        <v>59541</v>
      </c>
      <c r="L139" s="12" t="n">
        <v>61906</v>
      </c>
    </row>
    <row r="140">
      <c r="A140" s="9" t="inlineStr">
        <is>
          <t>부채·순자산 합계</t>
        </is>
      </c>
      <c r="C140" s="12" t="n">
        <v>85232</v>
      </c>
      <c r="D140" s="12" t="n">
        <v>85030</v>
      </c>
      <c r="E140" s="12" t="n">
        <v>85124</v>
      </c>
      <c r="F140" s="12" t="n">
        <v>87745</v>
      </c>
      <c r="G140" s="12" t="n">
        <v>88732</v>
      </c>
      <c r="H140" s="12" t="n">
        <v>92018</v>
      </c>
      <c r="I140" s="12" t="n">
        <v>103894</v>
      </c>
      <c r="J140" s="12" t="n">
        <v>89885</v>
      </c>
      <c r="K140" s="12" t="n">
        <v>86993</v>
      </c>
      <c r="L140" s="12" t="n">
        <v>85030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44" customWidth="1" min="14" max="14"/>
  </cols>
  <sheetData>
    <row r="1">
      <c r="A1" s="52" t="inlineStr">
        <is>
          <t>5959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quarter · q standalone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</row>
    <row r="5">
      <c r="A5" s="55" t="inlineStr">
        <is>
          <t>항목</t>
        </is>
      </c>
      <c r="B5" s="55" t="inlineStr">
        <is>
          <t>값</t>
        </is>
      </c>
      <c r="N5" s="55" t="inlineStr">
        <is>
          <t>출처</t>
        </is>
      </c>
    </row>
    <row r="6">
      <c r="A6" s="56" t="inlineStr">
        <is>
          <t>매출</t>
        </is>
      </c>
      <c r="B6" s="57" t="n">
        <v>195.8</v>
      </c>
      <c r="N6" s="58" t="inlineStr">
        <is>
          <t>2단계 보고서 자료(회사 설명회 자료·공시)</t>
        </is>
      </c>
    </row>
    <row r="7">
      <c r="A7" s="56" t="inlineStr">
        <is>
          <t>매출총이익</t>
        </is>
      </c>
      <c r="B7" s="57" t="n">
        <v>69.09999999999999</v>
      </c>
    </row>
    <row r="8">
      <c r="A8" s="56" t="inlineStr">
        <is>
          <t>판관비</t>
        </is>
      </c>
      <c r="B8" s="57" t="n">
        <v>46.5</v>
      </c>
    </row>
    <row r="9">
      <c r="A9" s="56" t="inlineStr">
        <is>
          <t>영업이익</t>
        </is>
      </c>
      <c r="B9" s="57" t="n">
        <v>22.6</v>
      </c>
    </row>
    <row r="10">
      <c r="A10" s="56" t="inlineStr">
        <is>
          <t>경상이익</t>
        </is>
      </c>
      <c r="B10" s="57" t="n">
        <v>23.7</v>
      </c>
    </row>
    <row r="11">
      <c r="A11" s="56" t="inlineStr">
        <is>
          <t>순이익</t>
        </is>
      </c>
      <c r="B11" s="57" t="n">
        <v>16.8</v>
      </c>
    </row>
    <row r="12">
      <c r="A12" s="56" t="inlineStr">
        <is>
          <t>EPS</t>
        </is>
      </c>
      <c r="B12" s="57" t="n">
        <v>37.68</v>
      </c>
    </row>
    <row r="14">
      <c r="A14" s="54" t="inlineStr">
        <is>
          <t>this_quarter · q_yoy_vs_2025.3Q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</row>
    <row r="15">
      <c r="A15" s="55" t="inlineStr">
        <is>
          <t>항목</t>
        </is>
      </c>
      <c r="B15" s="55" t="inlineStr">
        <is>
          <t>값</t>
        </is>
      </c>
      <c r="N15" s="55" t="inlineStr">
        <is>
          <t>출처</t>
        </is>
      </c>
    </row>
    <row r="16">
      <c r="A16" s="56" t="inlineStr">
        <is>
          <t>매출</t>
        </is>
      </c>
      <c r="B16" s="57" t="n">
        <v>181.8</v>
      </c>
      <c r="N16" s="58" t="inlineStr">
        <is>
          <t>2단계 보고서 자료(회사 설명회 자료·공시)</t>
        </is>
      </c>
    </row>
    <row r="17">
      <c r="A17" s="56" t="inlineStr">
        <is>
          <t>영업이익</t>
        </is>
      </c>
      <c r="B17" s="57" t="n">
        <v>14</v>
      </c>
    </row>
    <row r="18">
      <c r="A18" s="56" t="inlineStr">
        <is>
          <t>경상이익</t>
        </is>
      </c>
      <c r="B18" s="57" t="n">
        <v>14.5</v>
      </c>
    </row>
    <row r="19">
      <c r="A19" s="56" t="inlineStr">
        <is>
          <t>순이익</t>
        </is>
      </c>
      <c r="B19" s="57" t="n">
        <v>10.2</v>
      </c>
    </row>
    <row r="21">
      <c r="A21" s="54" t="inlineStr">
        <is>
          <t>this quarter · ytd 9m</t>
        </is>
      </c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</row>
    <row r="22">
      <c r="A22" s="55" t="inlineStr">
        <is>
          <t>항목</t>
        </is>
      </c>
      <c r="B22" s="55" t="inlineStr">
        <is>
          <t>값</t>
        </is>
      </c>
      <c r="N22" s="55" t="inlineStr">
        <is>
          <t>출처</t>
        </is>
      </c>
    </row>
    <row r="23">
      <c r="A23" s="56" t="inlineStr">
        <is>
          <t>매출</t>
        </is>
      </c>
      <c r="B23" s="57" t="n">
        <v>541.4</v>
      </c>
      <c r="N23" s="58" t="inlineStr">
        <is>
          <t>2단계 보고서 자료(회사 설명회 자료·공시)</t>
        </is>
      </c>
    </row>
    <row r="24">
      <c r="A24" s="56" t="inlineStr">
        <is>
          <t>매출총이익</t>
        </is>
      </c>
      <c r="B24" s="57" t="n">
        <v>174</v>
      </c>
    </row>
    <row r="25">
      <c r="A25" s="56" t="inlineStr">
        <is>
          <t>판관비</t>
        </is>
      </c>
      <c r="B25" s="57" t="n">
        <v>133.3</v>
      </c>
    </row>
    <row r="26">
      <c r="A26" s="56" t="inlineStr">
        <is>
          <t>영업이익</t>
        </is>
      </c>
      <c r="B26" s="57" t="n">
        <v>40.7</v>
      </c>
    </row>
    <row r="27">
      <c r="A27" s="56" t="inlineStr">
        <is>
          <t>경상이익</t>
        </is>
      </c>
      <c r="B27" s="57" t="n">
        <v>43.5</v>
      </c>
    </row>
    <row r="28">
      <c r="A28" s="56" t="inlineStr">
        <is>
          <t>세전</t>
        </is>
      </c>
      <c r="B28" s="57" t="n">
        <v>46.3</v>
      </c>
    </row>
    <row r="29">
      <c r="A29" s="56" t="inlineStr">
        <is>
          <t>순이익</t>
        </is>
      </c>
      <c r="B29" s="57" t="n">
        <v>31.6</v>
      </c>
    </row>
    <row r="30">
      <c r="A30" s="56" t="inlineStr">
        <is>
          <t>EPS</t>
        </is>
      </c>
      <c r="B30" s="57" t="n">
        <v>70.73</v>
      </c>
    </row>
    <row r="32">
      <c r="A32" s="54" t="inlineStr">
        <is>
          <t>this quarter · ytd 9m prior</t>
        </is>
      </c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</row>
    <row r="33">
      <c r="A33" s="55" t="inlineStr">
        <is>
          <t>항목</t>
        </is>
      </c>
      <c r="B33" s="55" t="inlineStr">
        <is>
          <t>값</t>
        </is>
      </c>
      <c r="N33" s="55" t="inlineStr">
        <is>
          <t>출처</t>
        </is>
      </c>
    </row>
    <row r="34">
      <c r="A34" s="56" t="inlineStr">
        <is>
          <t>매출</t>
        </is>
      </c>
      <c r="B34" s="57" t="n">
        <v>512.5</v>
      </c>
      <c r="N34" s="58" t="inlineStr">
        <is>
          <t>2단계 보고서 자료(회사 설명회 자료·공시)</t>
        </is>
      </c>
    </row>
    <row r="35">
      <c r="A35" s="56" t="inlineStr">
        <is>
          <t>매출총이익</t>
        </is>
      </c>
      <c r="B35" s="57" t="n">
        <v>161.8</v>
      </c>
    </row>
    <row r="36">
      <c r="A36" s="56" t="inlineStr">
        <is>
          <t>판관비</t>
        </is>
      </c>
      <c r="B36" s="57" t="n">
        <v>125.1</v>
      </c>
    </row>
    <row r="37">
      <c r="A37" s="56" t="inlineStr">
        <is>
          <t>영업이익</t>
        </is>
      </c>
      <c r="B37" s="57" t="n">
        <v>36.7</v>
      </c>
    </row>
    <row r="38">
      <c r="A38" s="56" t="inlineStr">
        <is>
          <t>경상이익</t>
        </is>
      </c>
      <c r="B38" s="57" t="n">
        <v>38.9</v>
      </c>
    </row>
    <row r="39">
      <c r="A39" s="56" t="inlineStr">
        <is>
          <t>세전</t>
        </is>
      </c>
      <c r="B39" s="57" t="n">
        <v>40.7</v>
      </c>
    </row>
    <row r="40">
      <c r="A40" s="56" t="inlineStr">
        <is>
          <t>순이익</t>
        </is>
      </c>
      <c r="B40" s="57" t="n">
        <v>27.8</v>
      </c>
    </row>
    <row r="42">
      <c r="A42" s="54" t="inlineStr">
        <is>
          <t>this quarter · implied 4Q</t>
        </is>
      </c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</row>
    <row r="43">
      <c r="A43" s="55" t="inlineStr">
        <is>
          <t>항목</t>
        </is>
      </c>
      <c r="B43" s="55" t="inlineStr">
        <is>
          <t>값</t>
        </is>
      </c>
      <c r="N43" s="55" t="inlineStr">
        <is>
          <t>출처</t>
        </is>
      </c>
    </row>
    <row r="44">
      <c r="A44" s="56" t="inlineStr">
        <is>
          <t>매출</t>
        </is>
      </c>
      <c r="B44" s="57" t="n">
        <v>183.6</v>
      </c>
      <c r="N44" s="58" t="inlineStr">
        <is>
          <t>2단계 보고서 자료(회사 설명회 자료·공시)</t>
        </is>
      </c>
    </row>
    <row r="45">
      <c r="A45" s="56" t="inlineStr">
        <is>
          <t>영업이익</t>
        </is>
      </c>
      <c r="B45" s="57" t="n">
        <v>10.8</v>
      </c>
    </row>
    <row r="46">
      <c r="A46" s="56" t="inlineStr">
        <is>
          <t>순이익</t>
        </is>
      </c>
      <c r="B46" s="57" t="n">
        <v>5.4</v>
      </c>
    </row>
    <row r="48">
      <c r="A48" s="54" t="inlineStr">
        <is>
          <t>prep quarterly</t>
        </is>
      </c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  <c r="K48" s="54" t="n"/>
      <c r="L48" s="54" t="n"/>
      <c r="M48" s="54" t="n"/>
      <c r="N48" s="54" t="n"/>
    </row>
    <row r="49">
      <c r="A49" s="55" t="inlineStr">
        <is>
          <t>항목</t>
        </is>
      </c>
      <c r="B49" s="55" t="inlineStr">
        <is>
          <t>2023.4Q</t>
        </is>
      </c>
      <c r="C49" s="55" t="inlineStr">
        <is>
          <t>2024.1Q</t>
        </is>
      </c>
      <c r="D49" s="55" t="inlineStr">
        <is>
          <t>2024.2Q</t>
        </is>
      </c>
      <c r="E49" s="55" t="inlineStr">
        <is>
          <t>2024.3Q</t>
        </is>
      </c>
      <c r="F49" s="55" t="inlineStr">
        <is>
          <t>2024.4Q</t>
        </is>
      </c>
      <c r="G49" s="55" t="inlineStr">
        <is>
          <t>2025.1Q</t>
        </is>
      </c>
      <c r="H49" s="55" t="inlineStr">
        <is>
          <t>2025.2Q</t>
        </is>
      </c>
      <c r="I49" s="55" t="inlineStr">
        <is>
          <t>2025.3Q</t>
        </is>
      </c>
      <c r="J49" s="55" t="inlineStr">
        <is>
          <t>2025.4Q</t>
        </is>
      </c>
      <c r="K49" s="55" t="inlineStr">
        <is>
          <t>2026.1Q</t>
        </is>
      </c>
      <c r="L49" s="55" t="inlineStr">
        <is>
          <t>2026.2Q</t>
        </is>
      </c>
      <c r="M49" s="55" t="inlineStr">
        <is>
          <t>2026.3Q</t>
        </is>
      </c>
      <c r="N49" s="55" t="inlineStr">
        <is>
          <t>출처</t>
        </is>
      </c>
    </row>
    <row r="50">
      <c r="A50" s="56" t="inlineStr">
        <is>
          <t>매출</t>
        </is>
      </c>
      <c r="B50" s="57" t="n">
        <v>199.9</v>
      </c>
      <c r="C50" s="57" t="n">
        <v>156.7</v>
      </c>
      <c r="D50" s="57" t="n">
        <v>161.4</v>
      </c>
      <c r="E50" s="57" t="n">
        <v>178.1</v>
      </c>
      <c r="F50" s="57" t="n">
        <v>181.8</v>
      </c>
      <c r="G50" s="57" t="n">
        <v>160</v>
      </c>
      <c r="H50" s="57" t="n">
        <v>170.7</v>
      </c>
      <c r="I50" s="57" t="n">
        <v>181.8</v>
      </c>
      <c r="J50" s="57" t="n">
        <v>185.1</v>
      </c>
      <c r="K50" s="57" t="n">
        <v>164.4</v>
      </c>
      <c r="L50" s="57" t="n">
        <v>181.2</v>
      </c>
      <c r="M50" s="57" t="n">
        <v>195.8</v>
      </c>
      <c r="N50" s="58" t="inlineStr">
        <is>
          <t>2단계 보고서 자료(회사 설명회 자료·공시)</t>
        </is>
      </c>
    </row>
    <row r="51">
      <c r="A51" s="56" t="inlineStr">
        <is>
          <t>gp</t>
        </is>
      </c>
      <c r="B51" s="57" t="n">
        <v>52.8</v>
      </c>
      <c r="C51" s="57" t="n">
        <v>48.2</v>
      </c>
      <c r="D51" s="57" t="n">
        <v>52.3</v>
      </c>
      <c r="E51" s="57" t="n">
        <v>56</v>
      </c>
      <c r="F51" s="57" t="n">
        <v>55.1</v>
      </c>
      <c r="G51" s="57" t="n">
        <v>50.1</v>
      </c>
      <c r="H51" s="57" t="n">
        <v>54.9</v>
      </c>
      <c r="I51" s="57" t="n">
        <v>56.8</v>
      </c>
      <c r="J51" s="57" t="n">
        <v>55.4</v>
      </c>
      <c r="K51" s="57" t="n">
        <v>47.5</v>
      </c>
      <c r="L51" s="57" t="n">
        <v>57.4</v>
      </c>
      <c r="M51" s="57" t="n">
        <v>69.09999999999999</v>
      </c>
    </row>
    <row r="52">
      <c r="A52" s="56" t="inlineStr">
        <is>
          <t>sga</t>
        </is>
      </c>
      <c r="B52" s="57" t="n">
        <v>46.2</v>
      </c>
      <c r="C52" s="57" t="n">
        <v>40.2</v>
      </c>
      <c r="D52" s="57" t="n">
        <v>42.6</v>
      </c>
      <c r="E52" s="57" t="n">
        <v>42.1</v>
      </c>
      <c r="F52" s="57" t="n">
        <v>44.8</v>
      </c>
      <c r="G52" s="57" t="n">
        <v>40.3</v>
      </c>
      <c r="H52" s="57" t="n">
        <v>42</v>
      </c>
      <c r="I52" s="57" t="n">
        <v>42.8</v>
      </c>
      <c r="J52" s="57" t="n">
        <v>44.5</v>
      </c>
      <c r="K52" s="57" t="n">
        <v>42.2</v>
      </c>
      <c r="L52" s="57" t="n">
        <v>44.6</v>
      </c>
      <c r="M52" s="57" t="n">
        <v>46.5</v>
      </c>
    </row>
    <row r="53">
      <c r="A53" s="56" t="inlineStr">
        <is>
          <t>영업이익</t>
        </is>
      </c>
      <c r="B53" s="57" t="n">
        <v>6.6</v>
      </c>
      <c r="C53" s="57" t="n">
        <v>8</v>
      </c>
      <c r="D53" s="57" t="n">
        <v>9.699999999999999</v>
      </c>
      <c r="E53" s="57" t="n">
        <v>13.9</v>
      </c>
      <c r="F53" s="57" t="n">
        <v>10.4</v>
      </c>
      <c r="G53" s="57" t="n">
        <v>9.800000000000001</v>
      </c>
      <c r="H53" s="57" t="n">
        <v>12.9</v>
      </c>
      <c r="I53" s="57" t="n">
        <v>14</v>
      </c>
      <c r="J53" s="57" t="n">
        <v>10.9</v>
      </c>
      <c r="K53" s="57" t="n">
        <v>5.3</v>
      </c>
      <c r="L53" s="57" t="n">
        <v>12.8</v>
      </c>
      <c r="M53" s="57" t="n">
        <v>22.6</v>
      </c>
    </row>
    <row r="54">
      <c r="A54" s="56" t="inlineStr">
        <is>
          <t>pbt</t>
        </is>
      </c>
      <c r="B54" s="57" t="n">
        <v>-73.3</v>
      </c>
      <c r="C54" s="57" t="n">
        <v>8.199999999999999</v>
      </c>
      <c r="D54" s="57" t="n">
        <v>11.5</v>
      </c>
      <c r="E54" s="57" t="n">
        <v>13.6</v>
      </c>
      <c r="F54" s="57" t="n">
        <v>-45.9</v>
      </c>
      <c r="G54" s="57" t="n">
        <v>10.7</v>
      </c>
      <c r="H54" s="57" t="n">
        <v>15.1</v>
      </c>
      <c r="I54" s="57" t="n">
        <v>14.8</v>
      </c>
      <c r="J54" s="57" t="n">
        <v>9.1</v>
      </c>
      <c r="K54" s="57" t="n">
        <v>8.6</v>
      </c>
      <c r="L54" s="57" t="n">
        <v>14</v>
      </c>
      <c r="M54" s="57" t="n">
        <v>23.8</v>
      </c>
    </row>
    <row r="55">
      <c r="A55" s="56" t="inlineStr">
        <is>
          <t>순이익 owner</t>
        </is>
      </c>
      <c r="B55" s="57" t="n">
        <v>-62.2</v>
      </c>
      <c r="C55" s="57" t="n">
        <v>5.8</v>
      </c>
      <c r="D55" s="57" t="n">
        <v>7.6</v>
      </c>
      <c r="E55" s="57" t="n">
        <v>9.9</v>
      </c>
      <c r="F55" s="57" t="n">
        <v>-32.1</v>
      </c>
      <c r="G55" s="57" t="n">
        <v>7.4</v>
      </c>
      <c r="H55" s="57" t="n">
        <v>10.1</v>
      </c>
      <c r="I55" s="57" t="n">
        <v>10.2</v>
      </c>
      <c r="J55" s="57" t="n">
        <v>5.1</v>
      </c>
      <c r="K55" s="57" t="n">
        <v>5.3</v>
      </c>
      <c r="L55" s="57" t="n">
        <v>9.5</v>
      </c>
      <c r="M55" s="57" t="n">
        <v>16.8</v>
      </c>
    </row>
    <row r="57">
      <c r="A57" s="54" t="inlineStr">
        <is>
          <t>prep annual</t>
        </is>
      </c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  <c r="K57" s="54" t="n"/>
      <c r="L57" s="54" t="n"/>
      <c r="M57" s="54" t="n"/>
      <c r="N57" s="54" t="n"/>
    </row>
    <row r="58">
      <c r="A58" s="55" t="inlineStr">
        <is>
          <t>항목</t>
        </is>
      </c>
      <c r="B58" s="55" t="inlineStr">
        <is>
          <t>2016</t>
        </is>
      </c>
      <c r="C58" s="55" t="inlineStr">
        <is>
          <t>2017</t>
        </is>
      </c>
      <c r="D58" s="55" t="inlineStr">
        <is>
          <t>2018</t>
        </is>
      </c>
      <c r="E58" s="55" t="inlineStr">
        <is>
          <t>2019</t>
        </is>
      </c>
      <c r="F58" s="55" t="inlineStr">
        <is>
          <t>2020</t>
        </is>
      </c>
      <c r="G58" s="55" t="inlineStr">
        <is>
          <t>2021</t>
        </is>
      </c>
      <c r="H58" s="55" t="inlineStr">
        <is>
          <t>2022</t>
        </is>
      </c>
      <c r="I58" s="55" t="inlineStr">
        <is>
          <t>2023</t>
        </is>
      </c>
      <c r="J58" s="55" t="inlineStr">
        <is>
          <t>2024</t>
        </is>
      </c>
      <c r="K58" s="55" t="inlineStr">
        <is>
          <t>2025</t>
        </is>
      </c>
      <c r="N58" s="55" t="inlineStr">
        <is>
          <t>출처</t>
        </is>
      </c>
    </row>
    <row r="59">
      <c r="A59" s="56" t="inlineStr">
        <is>
          <t>labels</t>
        </is>
      </c>
      <c r="B59" s="59" t="n">
        <v>2016</v>
      </c>
      <c r="C59" s="59" t="n">
        <v>2017</v>
      </c>
      <c r="D59" s="59" t="n">
        <v>2018</v>
      </c>
      <c r="E59" s="59" t="n">
        <v>2019</v>
      </c>
      <c r="F59" s="59" t="n">
        <v>2020</v>
      </c>
      <c r="G59" s="59" t="n">
        <v>2021</v>
      </c>
      <c r="H59" s="59" t="n">
        <v>2022</v>
      </c>
      <c r="I59" s="59" t="n">
        <v>2023</v>
      </c>
      <c r="J59" s="59" t="n">
        <v>2024</v>
      </c>
      <c r="K59" s="59" t="n">
        <v>2025</v>
      </c>
      <c r="N59" s="58" t="inlineStr">
        <is>
          <t>2단계 보고서 자료(회사 설명회 자료·공시)</t>
        </is>
      </c>
    </row>
    <row r="60">
      <c r="A60" s="56" t="inlineStr">
        <is>
          <t>매출</t>
        </is>
      </c>
      <c r="B60" s="57" t="n">
        <v>631.9</v>
      </c>
      <c r="C60" s="57" t="n">
        <v>609.2</v>
      </c>
      <c r="D60" s="57" t="n">
        <v>647.9</v>
      </c>
      <c r="E60" s="57" t="n">
        <v>654.1</v>
      </c>
      <c r="F60" s="57" t="n">
        <v>631.3</v>
      </c>
      <c r="G60" s="57" t="n">
        <v>648.3</v>
      </c>
      <c r="H60" s="57" t="n">
        <v>768.5</v>
      </c>
      <c r="I60" s="57" t="n">
        <v>781.5</v>
      </c>
      <c r="J60" s="57" t="n">
        <v>678.1</v>
      </c>
      <c r="K60" s="57" t="n">
        <v>697.6</v>
      </c>
    </row>
    <row r="61">
      <c r="A61" s="56" t="inlineStr">
        <is>
          <t>gp</t>
        </is>
      </c>
      <c r="B61" s="57" t="n">
        <v>176.4</v>
      </c>
      <c r="C61" s="57" t="n">
        <v>170.2</v>
      </c>
      <c r="D61" s="57" t="n">
        <v>181.1</v>
      </c>
      <c r="E61" s="57" t="n">
        <v>185</v>
      </c>
      <c r="F61" s="57" t="n">
        <v>176.2</v>
      </c>
      <c r="G61" s="57" t="n">
        <v>181.4</v>
      </c>
      <c r="H61" s="57" t="n">
        <v>206.6</v>
      </c>
      <c r="I61" s="57" t="n">
        <v>212.8</v>
      </c>
      <c r="J61" s="57" t="n">
        <v>211.6</v>
      </c>
      <c r="K61" s="57" t="n">
        <v>217.1</v>
      </c>
    </row>
    <row r="62">
      <c r="A62" s="56" t="inlineStr">
        <is>
          <t>sga</t>
        </is>
      </c>
      <c r="B62" s="57" t="n">
        <v>121.1</v>
      </c>
      <c r="C62" s="57" t="n">
        <v>121.8</v>
      </c>
      <c r="D62" s="57" t="n">
        <v>127.6</v>
      </c>
      <c r="E62" s="57" t="n">
        <v>132</v>
      </c>
      <c r="F62" s="57" t="n">
        <v>131.2</v>
      </c>
      <c r="G62" s="57" t="n">
        <v>138.1</v>
      </c>
      <c r="H62" s="57" t="n">
        <v>153.8</v>
      </c>
      <c r="I62" s="57" t="n">
        <v>171.9</v>
      </c>
      <c r="J62" s="57" t="n">
        <v>169.7</v>
      </c>
      <c r="K62" s="57" t="n">
        <v>169.5</v>
      </c>
    </row>
    <row r="63">
      <c r="A63" s="56" t="inlineStr">
        <is>
          <t>영업이익</t>
        </is>
      </c>
      <c r="B63" s="57" t="n">
        <v>55.3</v>
      </c>
      <c r="C63" s="57" t="n">
        <v>48.4</v>
      </c>
      <c r="D63" s="57" t="n">
        <v>53.5</v>
      </c>
      <c r="E63" s="57" t="n">
        <v>52.9</v>
      </c>
      <c r="F63" s="57" t="n">
        <v>45</v>
      </c>
      <c r="G63" s="57" t="n">
        <v>43.3</v>
      </c>
      <c r="H63" s="57" t="n">
        <v>52.7</v>
      </c>
      <c r="I63" s="57" t="n">
        <v>40.8</v>
      </c>
      <c r="J63" s="57" t="n">
        <v>41.9</v>
      </c>
      <c r="K63" s="57" t="n">
        <v>47.6</v>
      </c>
    </row>
    <row r="64">
      <c r="A64" s="56" t="inlineStr">
        <is>
          <t>pbt</t>
        </is>
      </c>
      <c r="B64" s="57" t="n">
        <v>119</v>
      </c>
      <c r="C64" s="57" t="n">
        <v>53.4</v>
      </c>
      <c r="D64" s="57" t="n">
        <v>41.9</v>
      </c>
      <c r="E64" s="57" t="n">
        <v>51.5</v>
      </c>
      <c r="F64" s="57" t="n">
        <v>35.8</v>
      </c>
      <c r="G64" s="57" t="n">
        <v>40.7</v>
      </c>
      <c r="H64" s="57" t="n">
        <v>57.7</v>
      </c>
      <c r="I64" s="57" t="n">
        <v>-59.5</v>
      </c>
      <c r="J64" s="57" t="n">
        <v>-12.6</v>
      </c>
      <c r="K64" s="57" t="n">
        <v>49.8</v>
      </c>
    </row>
    <row r="65">
      <c r="A65" s="56" t="inlineStr">
        <is>
          <t>순이익 owner</t>
        </is>
      </c>
      <c r="B65" s="57" t="n">
        <v>78.59999999999999</v>
      </c>
      <c r="C65" s="57" t="n">
        <v>34.9</v>
      </c>
      <c r="D65" s="57" t="n">
        <v>31.3</v>
      </c>
      <c r="E65" s="57" t="n">
        <v>33.4</v>
      </c>
      <c r="F65" s="57" t="n">
        <v>26.9</v>
      </c>
      <c r="G65" s="57" t="n">
        <v>26.3</v>
      </c>
      <c r="H65" s="57" t="n">
        <v>38.5</v>
      </c>
      <c r="I65" s="57" t="n">
        <v>-54.7</v>
      </c>
      <c r="J65" s="57" t="n">
        <v>-8.699999999999999</v>
      </c>
      <c r="K65" s="57" t="n">
        <v>32.9</v>
      </c>
    </row>
    <row r="67">
      <c r="A67" s="54" t="inlineStr">
        <is>
          <t>bs annual</t>
        </is>
      </c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  <c r="K67" s="54" t="n"/>
      <c r="L67" s="54" t="n"/>
      <c r="M67" s="54" t="n"/>
      <c r="N67" s="54" t="n"/>
    </row>
    <row r="68">
      <c r="A68" s="55" t="inlineStr">
        <is>
          <t>항목</t>
        </is>
      </c>
      <c r="B68" s="55" t="inlineStr">
        <is>
          <t>2021</t>
        </is>
      </c>
      <c r="C68" s="55" t="inlineStr">
        <is>
          <t>2022</t>
        </is>
      </c>
      <c r="D68" s="55" t="inlineStr">
        <is>
          <t>2023</t>
        </is>
      </c>
      <c r="E68" s="55" t="inlineStr">
        <is>
          <t>2024</t>
        </is>
      </c>
      <c r="F68" s="55" t="inlineStr">
        <is>
          <t>2025</t>
        </is>
      </c>
      <c r="N68" s="55" t="inlineStr">
        <is>
          <t>출처</t>
        </is>
      </c>
    </row>
    <row r="69">
      <c r="A69" s="56" t="inlineStr">
        <is>
          <t>labels</t>
        </is>
      </c>
      <c r="B69" s="59" t="n">
        <v>2021</v>
      </c>
      <c r="C69" s="59" t="n">
        <v>2022</v>
      </c>
      <c r="D69" s="59" t="n">
        <v>2023</v>
      </c>
      <c r="E69" s="59" t="n">
        <v>2024</v>
      </c>
      <c r="F69" s="59" t="n">
        <v>2025</v>
      </c>
      <c r="N69" s="58" t="inlineStr">
        <is>
          <t>2단계 보고서 자료(회사 설명회 자료·공시)</t>
        </is>
      </c>
    </row>
    <row r="70">
      <c r="A70" s="56" t="inlineStr">
        <is>
          <t>current assets</t>
        </is>
      </c>
      <c r="B70" s="57" t="n">
        <v>588.2</v>
      </c>
      <c r="C70" s="57" t="n">
        <v>635.1</v>
      </c>
      <c r="D70" s="57" t="n">
        <v>512.4</v>
      </c>
      <c r="E70" s="57" t="n">
        <v>488.2</v>
      </c>
      <c r="F70" s="57" t="n">
        <v>467.8</v>
      </c>
    </row>
    <row r="71">
      <c r="A71" s="56" t="inlineStr">
        <is>
          <t>cash</t>
        </is>
      </c>
      <c r="B71" s="57" t="n">
        <v>235.8</v>
      </c>
      <c r="C71" s="57" t="n">
        <v>181.6</v>
      </c>
      <c r="D71" s="57" t="n">
        <v>126.8</v>
      </c>
      <c r="E71" s="57" t="n">
        <v>114.8</v>
      </c>
      <c r="F71" s="57" t="n">
        <v>90.2</v>
      </c>
    </row>
    <row r="72">
      <c r="A72" s="56" t="inlineStr">
        <is>
          <t>st fin</t>
        </is>
      </c>
      <c r="B72" s="60" t="n"/>
      <c r="C72" s="60" t="n"/>
      <c r="D72" s="60" t="n"/>
      <c r="E72" s="60" t="n"/>
      <c r="F72" s="60" t="n"/>
    </row>
    <row r="73">
      <c r="A73" s="56" t="inlineStr">
        <is>
          <t>receivables</t>
        </is>
      </c>
      <c r="B73" s="57" t="n">
        <v>0</v>
      </c>
      <c r="C73" s="57" t="n">
        <v>175.4</v>
      </c>
      <c r="D73" s="57" t="n">
        <v>148.2</v>
      </c>
      <c r="E73" s="57" t="n">
        <v>138.5</v>
      </c>
      <c r="F73" s="57" t="n">
        <v>135.2</v>
      </c>
    </row>
    <row r="74">
      <c r="A74" s="56" t="inlineStr">
        <is>
          <t>inventory</t>
        </is>
      </c>
      <c r="B74" s="57" t="n">
        <v>124.3</v>
      </c>
      <c r="C74" s="57" t="n">
        <v>205.9</v>
      </c>
      <c r="D74" s="57" t="n">
        <v>157.8</v>
      </c>
      <c r="E74" s="57" t="n">
        <v>157.1</v>
      </c>
      <c r="F74" s="57" t="n">
        <v>161.8</v>
      </c>
    </row>
    <row r="75">
      <c r="A75" s="56" t="inlineStr">
        <is>
          <t>noncurrent assets</t>
        </is>
      </c>
      <c r="B75" s="57" t="n">
        <v>331.9</v>
      </c>
      <c r="C75" s="57" t="n">
        <v>403.5</v>
      </c>
      <c r="D75" s="57" t="n">
        <v>386.2</v>
      </c>
      <c r="E75" s="57" t="n">
        <v>381.5</v>
      </c>
      <c r="F75" s="57" t="n">
        <v>382.4</v>
      </c>
    </row>
    <row r="76">
      <c r="A76" s="56" t="inlineStr">
        <is>
          <t>ppe</t>
        </is>
      </c>
      <c r="B76" s="57" t="n">
        <v>216</v>
      </c>
      <c r="C76" s="57" t="n">
        <v>279.7</v>
      </c>
      <c r="D76" s="57" t="n">
        <v>219.4</v>
      </c>
      <c r="E76" s="57" t="n">
        <v>225.6</v>
      </c>
      <c r="F76" s="57" t="n">
        <v>223.7</v>
      </c>
    </row>
    <row r="77">
      <c r="A77" s="56" t="inlineStr">
        <is>
          <t>intangibles</t>
        </is>
      </c>
      <c r="B77" s="57" t="n">
        <v>24.5</v>
      </c>
      <c r="C77" s="57" t="n">
        <v>41.7</v>
      </c>
      <c r="D77" s="57" t="n">
        <v>20.3</v>
      </c>
      <c r="E77" s="57" t="n">
        <v>19.3</v>
      </c>
      <c r="F77" s="57" t="n">
        <v>27.1</v>
      </c>
    </row>
    <row r="78">
      <c r="A78" s="56" t="inlineStr">
        <is>
          <t>inv property</t>
        </is>
      </c>
      <c r="B78" s="60" t="n"/>
      <c r="C78" s="60" t="n"/>
      <c r="D78" s="60" t="n"/>
      <c r="E78" s="60" t="n"/>
      <c r="F78" s="60" t="n"/>
    </row>
    <row r="79">
      <c r="A79" s="56" t="inlineStr">
        <is>
          <t>합계 assets</t>
        </is>
      </c>
      <c r="B79" s="57" t="n">
        <v>920.2</v>
      </c>
      <c r="C79" s="57" t="n">
        <v>1038.9</v>
      </c>
      <c r="D79" s="57" t="n">
        <v>898.9</v>
      </c>
      <c r="E79" s="57" t="n">
        <v>869.9</v>
      </c>
      <c r="F79" s="57" t="n">
        <v>850.3</v>
      </c>
    </row>
    <row r="80">
      <c r="A80" s="56" t="inlineStr">
        <is>
          <t>current liab</t>
        </is>
      </c>
      <c r="B80" s="57" t="n">
        <v>217.1</v>
      </c>
      <c r="C80" s="57" t="n">
        <v>264</v>
      </c>
      <c r="D80" s="57" t="n">
        <v>181.8</v>
      </c>
      <c r="E80" s="57" t="n">
        <v>183.3</v>
      </c>
      <c r="F80" s="57" t="n">
        <v>147.5</v>
      </c>
    </row>
    <row r="81">
      <c r="A81" s="56" t="inlineStr">
        <is>
          <t>payables</t>
        </is>
      </c>
      <c r="B81" s="57" t="n">
        <v>51.8</v>
      </c>
      <c r="C81" s="57" t="n">
        <v>50.9</v>
      </c>
      <c r="D81" s="57" t="n">
        <v>41.7</v>
      </c>
      <c r="E81" s="57" t="n">
        <v>37.8</v>
      </c>
      <c r="F81" s="57" t="n">
        <v>38.6</v>
      </c>
    </row>
    <row r="82">
      <c r="A82" s="56" t="inlineStr">
        <is>
          <t>st debt</t>
        </is>
      </c>
      <c r="B82" s="57" t="n">
        <v>43.2</v>
      </c>
      <c r="C82" s="57" t="n">
        <v>58.6</v>
      </c>
      <c r="D82" s="57" t="n">
        <v>10.3</v>
      </c>
      <c r="E82" s="57" t="n">
        <v>6.8</v>
      </c>
      <c r="F82" s="57" t="n">
        <v>11.2</v>
      </c>
    </row>
    <row r="83">
      <c r="A83" s="56" t="inlineStr">
        <is>
          <t>noncurrent liab</t>
        </is>
      </c>
      <c r="B83" s="57" t="n">
        <v>99.3</v>
      </c>
      <c r="C83" s="57" t="n">
        <v>103.8</v>
      </c>
      <c r="D83" s="57" t="n">
        <v>96.5</v>
      </c>
      <c r="E83" s="57" t="n">
        <v>91.2</v>
      </c>
      <c r="F83" s="57" t="n">
        <v>83.8</v>
      </c>
    </row>
    <row r="84">
      <c r="A84" s="56" t="inlineStr">
        <is>
          <t>lt debt</t>
        </is>
      </c>
      <c r="B84" s="57" t="n">
        <v>50</v>
      </c>
      <c r="C84" s="57" t="n">
        <v>46</v>
      </c>
      <c r="D84" s="57" t="n">
        <v>41.3</v>
      </c>
      <c r="E84" s="57" t="n">
        <v>37</v>
      </c>
      <c r="F84" s="57" t="n">
        <v>33.5</v>
      </c>
    </row>
    <row r="85">
      <c r="A85" s="56" t="inlineStr">
        <is>
          <t>bonds</t>
        </is>
      </c>
      <c r="B85" s="57" t="n">
        <v>10</v>
      </c>
      <c r="C85" s="57" t="n">
        <v>17.5</v>
      </c>
      <c r="D85" s="57" t="n">
        <v>17.5</v>
      </c>
      <c r="E85" s="57" t="n">
        <v>17.5</v>
      </c>
      <c r="F85" s="57" t="n">
        <v>17.5</v>
      </c>
    </row>
    <row r="86">
      <c r="A86" s="56" t="inlineStr">
        <is>
          <t>합계 liab</t>
        </is>
      </c>
      <c r="B86" s="57" t="n">
        <v>316.5</v>
      </c>
      <c r="C86" s="57" t="n">
        <v>367.8</v>
      </c>
      <c r="D86" s="57" t="n">
        <v>278.2</v>
      </c>
      <c r="E86" s="57" t="n">
        <v>274.5</v>
      </c>
      <c r="F86" s="57" t="n">
        <v>231.2</v>
      </c>
    </row>
    <row r="87">
      <c r="A87" s="56" t="inlineStr">
        <is>
          <t>capital stock</t>
        </is>
      </c>
      <c r="B87" s="57" t="n">
        <v>69.09999999999999</v>
      </c>
      <c r="C87" s="57" t="n">
        <v>69.09999999999999</v>
      </c>
      <c r="D87" s="57" t="n">
        <v>69.09999999999999</v>
      </c>
      <c r="E87" s="57" t="n">
        <v>69.09999999999999</v>
      </c>
      <c r="F87" s="57" t="n">
        <v>69.09999999999999</v>
      </c>
    </row>
    <row r="88">
      <c r="A88" s="56" t="inlineStr">
        <is>
          <t>retained</t>
        </is>
      </c>
      <c r="B88" s="57" t="n">
        <v>467.2</v>
      </c>
      <c r="C88" s="57" t="n">
        <v>485.4</v>
      </c>
      <c r="D88" s="57" t="n">
        <v>445.7</v>
      </c>
      <c r="E88" s="57" t="n">
        <v>424.2</v>
      </c>
      <c r="F88" s="57" t="n">
        <v>423.8</v>
      </c>
    </row>
    <row r="89">
      <c r="A89" s="56" t="inlineStr">
        <is>
          <t>nci</t>
        </is>
      </c>
      <c r="B89" s="57" t="n">
        <v>0.1</v>
      </c>
      <c r="C89" s="57" t="n">
        <v>0.2</v>
      </c>
      <c r="D89" s="57" t="n">
        <v>0.2</v>
      </c>
      <c r="E89" s="57" t="n">
        <v>0.2</v>
      </c>
      <c r="F89" s="57" t="n">
        <v>0.2</v>
      </c>
    </row>
    <row r="90">
      <c r="A90" s="56" t="inlineStr">
        <is>
          <t>합계 equity</t>
        </is>
      </c>
      <c r="B90" s="57" t="n">
        <v>603.7</v>
      </c>
      <c r="C90" s="57" t="n">
        <v>671.1</v>
      </c>
      <c r="D90" s="57" t="n">
        <v>620.6</v>
      </c>
      <c r="E90" s="57" t="n">
        <v>595.4</v>
      </c>
      <c r="F90" s="57" t="n">
        <v>619.1</v>
      </c>
    </row>
    <row r="91">
      <c r="A91" s="56" t="inlineStr">
        <is>
          <t>current ltd</t>
        </is>
      </c>
      <c r="B91" s="60" t="n"/>
      <c r="C91" s="60" t="n"/>
      <c r="D91" s="60" t="n"/>
      <c r="E91" s="60" t="n"/>
      <c r="F91" s="60" t="n"/>
    </row>
    <row r="92">
      <c r="A92" s="56" t="inlineStr">
        <is>
          <t>equity owner</t>
        </is>
      </c>
      <c r="B92" s="57" t="n">
        <v>603.5</v>
      </c>
      <c r="C92" s="57" t="n">
        <v>670.9</v>
      </c>
      <c r="D92" s="57" t="n">
        <v>620.4</v>
      </c>
      <c r="E92" s="57" t="n">
        <v>595.2</v>
      </c>
      <c r="F92" s="57" t="n">
        <v>618.9</v>
      </c>
    </row>
    <row r="94">
      <c r="A94" s="54" t="inlineStr">
        <is>
          <t>cf annual</t>
        </is>
      </c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  <c r="K94" s="54" t="n"/>
      <c r="L94" s="54" t="n"/>
      <c r="M94" s="54" t="n"/>
      <c r="N94" s="54" t="n"/>
    </row>
    <row r="95">
      <c r="A95" s="55" t="inlineStr">
        <is>
          <t>항목</t>
        </is>
      </c>
      <c r="B95" s="55" t="inlineStr">
        <is>
          <t>2021</t>
        </is>
      </c>
      <c r="C95" s="55" t="inlineStr">
        <is>
          <t>2022</t>
        </is>
      </c>
      <c r="D95" s="55" t="inlineStr">
        <is>
          <t>2023</t>
        </is>
      </c>
      <c r="E95" s="55" t="inlineStr">
        <is>
          <t>2024</t>
        </is>
      </c>
      <c r="F95" s="55" t="inlineStr">
        <is>
          <t>2025</t>
        </is>
      </c>
      <c r="N95" s="55" t="inlineStr">
        <is>
          <t>출처</t>
        </is>
      </c>
    </row>
    <row r="96">
      <c r="A96" s="56" t="inlineStr">
        <is>
          <t>labels</t>
        </is>
      </c>
      <c r="B96" s="59" t="n">
        <v>2021</v>
      </c>
      <c r="C96" s="59" t="n">
        <v>2022</v>
      </c>
      <c r="D96" s="59" t="n">
        <v>2023</v>
      </c>
      <c r="E96" s="59" t="n">
        <v>2024</v>
      </c>
      <c r="F96" s="59" t="n">
        <v>2025</v>
      </c>
      <c r="N96" s="58" t="inlineStr">
        <is>
          <t>2단계 보고서 자료(회사 설명회 자료·공시)</t>
        </is>
      </c>
    </row>
    <row r="97">
      <c r="A97" s="56" t="inlineStr">
        <is>
          <t>ocf</t>
        </is>
      </c>
      <c r="B97" s="57" t="n">
        <v>55</v>
      </c>
      <c r="C97" s="57" t="n">
        <v>19.8</v>
      </c>
      <c r="D97" s="57" t="n">
        <v>62</v>
      </c>
      <c r="E97" s="57" t="n">
        <v>37.3</v>
      </c>
      <c r="F97" s="57" t="n">
        <v>24.2</v>
      </c>
    </row>
    <row r="98">
      <c r="A98" s="56" t="inlineStr">
        <is>
          <t>설비투자</t>
        </is>
      </c>
      <c r="B98" s="57" t="n">
        <v>10.1</v>
      </c>
      <c r="C98" s="57" t="n">
        <v>28.3</v>
      </c>
      <c r="D98" s="57" t="n">
        <v>17.8</v>
      </c>
      <c r="E98" s="57" t="n">
        <v>30.1</v>
      </c>
      <c r="F98" s="57" t="n">
        <v>28.5</v>
      </c>
    </row>
    <row r="99">
      <c r="A99" s="56" t="inlineStr">
        <is>
          <t>dividends</t>
        </is>
      </c>
      <c r="B99" s="57" t="n">
        <v>9.800000000000001</v>
      </c>
      <c r="C99" s="57" t="n">
        <v>10.5</v>
      </c>
      <c r="D99" s="57" t="n">
        <v>11.4</v>
      </c>
      <c r="E99" s="57" t="n">
        <v>12.8</v>
      </c>
      <c r="F99" s="57" t="n">
        <v>18.5</v>
      </c>
    </row>
    <row r="101">
      <c r="A101" s="54" t="inlineStr">
        <is>
          <t>reactions</t>
        </is>
      </c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  <c r="K101" s="54" t="n"/>
      <c r="L101" s="54" t="n"/>
      <c r="M101" s="54" t="n"/>
      <c r="N101" s="54" t="n"/>
    </row>
    <row r="102">
      <c r="A102" s="55" t="inlineStr">
        <is>
          <t>항목</t>
        </is>
      </c>
      <c r="B102" s="55" t="inlineStr">
        <is>
          <t>기준일</t>
        </is>
      </c>
      <c r="C102" s="55" t="inlineStr">
        <is>
          <t>다음날</t>
        </is>
      </c>
      <c r="D102" s="55" t="inlineStr">
        <is>
          <t>등락%</t>
        </is>
      </c>
      <c r="N102" s="55" t="inlineStr">
        <is>
          <t>출처</t>
        </is>
      </c>
    </row>
    <row r="103">
      <c r="A103" s="56" t="inlineStr">
        <is>
          <t>2025-04-30</t>
        </is>
      </c>
      <c r="B103" s="60" t="inlineStr">
        <is>
          <t>2025-04-30</t>
        </is>
      </c>
      <c r="C103" s="60" t="inlineStr">
        <is>
          <t>2025-05-01</t>
        </is>
      </c>
      <c r="D103" s="57" t="n">
        <v>-1.9</v>
      </c>
      <c r="N103" s="58" t="inlineStr">
        <is>
          <t>2단계 보고서 자료(회사 설명회 자료·공시)</t>
        </is>
      </c>
    </row>
    <row r="104">
      <c r="A104" s="56" t="inlineStr">
        <is>
          <t>2025-07-31</t>
        </is>
      </c>
      <c r="B104" s="60" t="inlineStr">
        <is>
          <t>2025-07-31</t>
        </is>
      </c>
      <c r="C104" s="60" t="inlineStr">
        <is>
          <t>2025-08-01</t>
        </is>
      </c>
      <c r="D104" s="57" t="n">
        <v>3.3</v>
      </c>
    </row>
    <row r="105">
      <c r="A105" s="56" t="inlineStr">
        <is>
          <t>2025-10-31</t>
        </is>
      </c>
      <c r="B105" s="60" t="inlineStr">
        <is>
          <t>2025-10-31</t>
        </is>
      </c>
      <c r="C105" s="60" t="inlineStr">
        <is>
          <t>2025-11-04</t>
        </is>
      </c>
      <c r="D105" s="57" t="n">
        <v>-1</v>
      </c>
    </row>
    <row r="106">
      <c r="A106" s="56" t="inlineStr">
        <is>
          <t>2025-11-21</t>
        </is>
      </c>
      <c r="B106" s="60" t="inlineStr">
        <is>
          <t>2025-11-21</t>
        </is>
      </c>
      <c r="C106" s="60" t="inlineStr">
        <is>
          <t>2025-11-25</t>
        </is>
      </c>
      <c r="D106" s="57" t="n">
        <v>-1.9</v>
      </c>
    </row>
    <row r="107">
      <c r="A107" s="56" t="inlineStr">
        <is>
          <t>2026-02-13</t>
        </is>
      </c>
      <c r="B107" s="60" t="inlineStr">
        <is>
          <t>2026-02-13</t>
        </is>
      </c>
      <c r="C107" s="60" t="inlineStr">
        <is>
          <t>2026-02-16</t>
        </is>
      </c>
      <c r="D107" s="57" t="n">
        <v>3.9</v>
      </c>
    </row>
    <row r="108">
      <c r="A108" s="56" t="inlineStr">
        <is>
          <t>2026-04-30</t>
        </is>
      </c>
      <c r="B108" s="60" t="inlineStr">
        <is>
          <t>2026-04-30</t>
        </is>
      </c>
      <c r="C108" s="60" t="inlineStr">
        <is>
          <t>2026-05-01</t>
        </is>
      </c>
      <c r="D108" s="57" t="n">
        <v>-5.7</v>
      </c>
    </row>
    <row r="109">
      <c r="A109" s="56" t="inlineStr">
        <is>
          <t>2026-07-31</t>
        </is>
      </c>
      <c r="B109" s="60" t="inlineStr">
        <is>
          <t>2026-07-31</t>
        </is>
      </c>
      <c r="C109" s="60" t="inlineStr">
        <is>
          <t>2026-08-03</t>
        </is>
      </c>
      <c r="D109" s="57" t="n">
        <v>-1.2</v>
      </c>
    </row>
    <row r="111">
      <c r="A111" s="54" t="inlineStr">
        <is>
          <t>filings</t>
        </is>
      </c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</row>
    <row r="112">
      <c r="A112" s="55" t="inlineStr">
        <is>
          <t>항목</t>
        </is>
      </c>
      <c r="B112" s="55" t="inlineStr">
        <is>
          <t>title</t>
        </is>
      </c>
      <c r="C112" s="55" t="inlineStr">
        <is>
          <t>doc</t>
        </is>
      </c>
      <c r="N112" s="55" t="inlineStr">
        <is>
          <t>출처</t>
        </is>
      </c>
    </row>
    <row r="113">
      <c r="A113" s="56" t="inlineStr">
        <is>
          <t>2026-10-30</t>
        </is>
      </c>
      <c r="B113" s="60" t="inlineStr">
        <is>
          <t>2026年12月期 第3四半期決算短信〔日本基準〕（連結）</t>
        </is>
      </c>
      <c r="C113" s="60" t="inlineStr">
        <is>
          <t>140120261030561300</t>
        </is>
      </c>
      <c r="N113" s="58" t="inlineStr">
        <is>
          <t>2단계 보고서 자료(회사 설명회 자료·공시)</t>
        </is>
      </c>
    </row>
    <row r="114">
      <c r="A114" s="56" t="inlineStr">
        <is>
          <t>2026-07-31</t>
        </is>
      </c>
      <c r="B114" s="60" t="inlineStr">
        <is>
          <t>2026年12月期 第2四半期（中間期）決算短信〔日本基準〕（連結）</t>
        </is>
      </c>
      <c r="C114" s="60" t="inlineStr">
        <is>
          <t>140120260731504729</t>
        </is>
      </c>
    </row>
    <row r="115">
      <c r="A115" s="56" t="inlineStr">
        <is>
          <t>2026-04-30</t>
        </is>
      </c>
      <c r="B115" s="60" t="inlineStr">
        <is>
          <t>2026年12月期 第1四半期決算短信〔日本基準〕（連結）</t>
        </is>
      </c>
      <c r="C115" s="60" t="inlineStr">
        <is>
          <t>140120260430515105</t>
        </is>
      </c>
    </row>
    <row r="116">
      <c r="A116" s="56" t="inlineStr">
        <is>
          <t>2026-02-13</t>
        </is>
      </c>
      <c r="B116" s="60" t="inlineStr">
        <is>
          <t>2025年12月期　決算短信〔日本基準〕（連結）</t>
        </is>
      </c>
      <c r="C116" s="60" t="inlineStr">
        <is>
          <t>140120260213559958</t>
        </is>
      </c>
    </row>
    <row r="117">
      <c r="A117" s="56" t="inlineStr">
        <is>
          <t>2025-11-21</t>
        </is>
      </c>
      <c r="B117" s="60" t="inlineStr">
        <is>
          <t>2025年12月期第３四半期決算短信〔日本基準〕（連結）（公認会計士等による期中レビューの完了）</t>
        </is>
      </c>
      <c r="C117" s="60" t="inlineStr">
        <is>
          <t>140120251121507617</t>
        </is>
      </c>
    </row>
    <row r="118">
      <c r="A118" s="56" t="inlineStr">
        <is>
          <t>2025-10-31</t>
        </is>
      </c>
      <c r="B118" s="60" t="inlineStr">
        <is>
          <t>2025年12月期 第3四半期決算短信〔日本基準〕（連結）</t>
        </is>
      </c>
      <c r="C118" s="60" t="inlineStr">
        <is>
          <t>140120251030583362</t>
        </is>
      </c>
    </row>
    <row r="119">
      <c r="A119" s="56" t="inlineStr">
        <is>
          <t>2025-07-31</t>
        </is>
      </c>
      <c r="B119" s="60" t="inlineStr">
        <is>
          <t>2025年12月期 第2四半期（中間期）決算短信〔日本基準〕（連結）</t>
        </is>
      </c>
      <c r="C119" s="60" t="inlineStr">
        <is>
          <t>140120250731525257</t>
        </is>
      </c>
    </row>
    <row r="120">
      <c r="A120" s="56" t="inlineStr">
        <is>
          <t>2025-04-30</t>
        </is>
      </c>
      <c r="B120" s="60" t="inlineStr">
        <is>
          <t>2025年12月期 第1四半期決算短信〔日本基準〕（連結）</t>
        </is>
      </c>
      <c r="C120" s="60" t="inlineStr">
        <is>
          <t>140120250430527321</t>
        </is>
      </c>
    </row>
    <row r="121">
      <c r="A121" s="56" t="inlineStr">
        <is>
          <t>2025-02-14</t>
        </is>
      </c>
      <c r="B121" s="60" t="inlineStr">
        <is>
          <t>2024年12月期　決算短信〔日本基準〕（連結）</t>
        </is>
      </c>
      <c r="C121" s="60" t="inlineStr">
        <is>
          <t>140120250214574773</t>
        </is>
      </c>
    </row>
    <row r="122">
      <c r="A122" s="56" t="inlineStr">
        <is>
          <t>2024-11-12</t>
        </is>
      </c>
      <c r="B122" s="60" t="inlineStr">
        <is>
          <t>2024年12月期　第３四半期決算短信〔日本基準〕（連結）</t>
        </is>
      </c>
      <c r="C122" s="60" t="inlineStr">
        <is>
          <t>140120241112519448</t>
        </is>
      </c>
    </row>
    <row r="123">
      <c r="A123" s="56" t="inlineStr">
        <is>
          <t>2024-07-26</t>
        </is>
      </c>
      <c r="B123" s="60" t="inlineStr">
        <is>
          <t>2024年12月期 第２四半期（中間期）決算短信〔日本基準〕（連結）</t>
        </is>
      </c>
      <c r="C123" s="60" t="inlineStr">
        <is>
          <t>140120240725554702</t>
        </is>
      </c>
    </row>
    <row r="124">
      <c r="A124" s="56" t="inlineStr">
        <is>
          <t>2024-04-26</t>
        </is>
      </c>
      <c r="B124" s="60" t="inlineStr">
        <is>
          <t>2024年12月期　第１四半期決算短信〔日本基準〕（連結）</t>
        </is>
      </c>
      <c r="C124" s="60" t="inlineStr">
        <is>
          <t>140120240426578044</t>
        </is>
      </c>
    </row>
    <row r="125">
      <c r="A125" s="56" t="inlineStr">
        <is>
          <t>2024-02-19</t>
        </is>
      </c>
      <c r="B125" s="60" t="inlineStr">
        <is>
          <t>2023年12月期　決算短信〔日本基準〕（連結）</t>
        </is>
      </c>
      <c r="C125" s="60" t="inlineStr">
        <is>
          <t>140120240219539076</t>
        </is>
      </c>
    </row>
    <row r="126">
      <c r="A126" s="56" t="inlineStr">
        <is>
          <t>2023-10-27</t>
        </is>
      </c>
      <c r="B126" s="60" t="inlineStr">
        <is>
          <t>2023年12月期　第３四半期決算短信〔日本基準〕（連結）</t>
        </is>
      </c>
      <c r="C126" s="60" t="inlineStr">
        <is>
          <t>140120231027573031</t>
        </is>
      </c>
    </row>
    <row r="127">
      <c r="A127" s="56" t="inlineStr">
        <is>
          <t>2023-07-28</t>
        </is>
      </c>
      <c r="B127" s="60" t="inlineStr">
        <is>
          <t>2023年12月期　第２四半期決算短信〔日本基準〕（連結）</t>
        </is>
      </c>
      <c r="C127" s="60" t="inlineStr">
        <is>
          <t>140120230728528729</t>
        </is>
      </c>
    </row>
    <row r="128">
      <c r="A128" s="56" t="inlineStr">
        <is>
          <t>2023-04-28</t>
        </is>
      </c>
      <c r="B128" s="60" t="inlineStr">
        <is>
          <t>2023年12月期　第１四半期決算短信〔日本基準〕（連結）</t>
        </is>
      </c>
      <c r="C128" s="60" t="inlineStr">
        <is>
          <t>140120230427555526</t>
        </is>
      </c>
    </row>
    <row r="129">
      <c r="A129" s="56" t="inlineStr">
        <is>
          <t>2023-02-10</t>
        </is>
      </c>
      <c r="B129" s="60" t="inlineStr">
        <is>
          <t>2022年12月期　決算短信〔日本基準〕（連結）</t>
        </is>
      </c>
      <c r="C129" s="60" t="inlineStr">
        <is>
          <t>140120230124592572</t>
        </is>
      </c>
    </row>
    <row r="130">
      <c r="A130" s="56" t="inlineStr">
        <is>
          <t>2022-02-10</t>
        </is>
      </c>
      <c r="B130" s="60" t="inlineStr">
        <is>
          <t>2021年12月期　決算短信〔日本基準〕（連結）</t>
        </is>
      </c>
      <c r="C130" s="60" t="inlineStr">
        <is>
          <t>140120220209585554</t>
        </is>
      </c>
    </row>
    <row r="131">
      <c r="A131" s="56" t="inlineStr">
        <is>
          <t>2021-02-12</t>
        </is>
      </c>
      <c r="B131" s="60" t="inlineStr">
        <is>
          <t>2020年12月期 決算短信〔日本基準〕（連結)</t>
        </is>
      </c>
      <c r="C131" s="60" t="inlineStr">
        <is>
          <t>140120210212462951</t>
        </is>
      </c>
    </row>
    <row r="132">
      <c r="A132" s="56" t="inlineStr">
        <is>
          <t>2020-02-14</t>
        </is>
      </c>
      <c r="B132" s="60" t="inlineStr">
        <is>
          <t>2019年12月期 決算短信〔日本基準〕（連結）</t>
        </is>
      </c>
      <c r="C132" s="60" t="inlineStr">
        <is>
          <t>140120200214465459</t>
        </is>
      </c>
    </row>
    <row r="133">
      <c r="A133" s="56" t="inlineStr">
        <is>
          <t>2019-02-14</t>
        </is>
      </c>
      <c r="B133" s="60" t="inlineStr">
        <is>
          <t>2018年12月期 決算短信〔日本基準〕（連結）</t>
        </is>
      </c>
      <c r="C133" s="60" t="inlineStr">
        <is>
          <t>140120190214477104</t>
        </is>
      </c>
    </row>
    <row r="134">
      <c r="A134" s="56" t="inlineStr">
        <is>
          <t>2018-02-14</t>
        </is>
      </c>
      <c r="B134" s="60" t="inlineStr">
        <is>
          <t>平成29年12月期 決算短信〔日本基準〕（連結）</t>
        </is>
      </c>
      <c r="C134" s="60" t="inlineStr">
        <is>
          <t>140120180213471185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2026-10-30</t>
        </is>
      </c>
      <c r="B4" t="inlineStr">
        <is>
          <t>2026년 12월 결산기 3분기 결산단신</t>
        </is>
      </c>
      <c r="C4" t="inlineStr">
        <is>
          <t>https://www2.jpx.co.jp/disc/59590/140120261030561300.pdf</t>
        </is>
      </c>
    </row>
    <row r="5">
      <c r="A5" t="inlineStr">
        <is>
          <t>2026-07-31</t>
        </is>
      </c>
      <c r="B5" t="inlineStr">
        <is>
          <t>2026년 12월 결산기 2분기 결산단신</t>
        </is>
      </c>
      <c r="C5" t="inlineStr">
        <is>
          <t>https://www2.jpx.co.jp/disc/59590/140120260731504729.pdf</t>
        </is>
      </c>
    </row>
    <row r="6">
      <c r="A6" t="inlineStr">
        <is>
          <t>2026-04-30</t>
        </is>
      </c>
      <c r="B6" t="inlineStr">
        <is>
          <t>2026년 12월 결산기 1분기 결산단신</t>
        </is>
      </c>
      <c r="C6" t="inlineStr">
        <is>
          <t>https://www2.jpx.co.jp/disc/59590/140120260430515105.pdf</t>
        </is>
      </c>
    </row>
    <row r="7">
      <c r="A7" t="inlineStr">
        <is>
          <t>2026-02-13</t>
        </is>
      </c>
      <c r="B7" t="inlineStr">
        <is>
          <t>2025년 12월 결산기 연간 결산단신</t>
        </is>
      </c>
      <c r="C7" t="inlineStr">
        <is>
          <t>https://www2.jpx.co.jp/disc/59590/140120260213559958.pdf</t>
        </is>
      </c>
    </row>
    <row r="8">
      <c r="A8" t="inlineStr">
        <is>
          <t>2025-11-21</t>
        </is>
      </c>
      <c r="B8" t="inlineStr">
        <is>
          <t>2025년 12월 결산기 ３분기 결산단신</t>
        </is>
      </c>
      <c r="C8" t="inlineStr">
        <is>
          <t>https://www2.jpx.co.jp/disc/59590/140120251121507617.pdf</t>
        </is>
      </c>
    </row>
    <row r="9">
      <c r="A9" t="inlineStr">
        <is>
          <t>2025-10-31</t>
        </is>
      </c>
      <c r="B9" t="inlineStr">
        <is>
          <t>2025년 12월 결산기 3분기 결산단신</t>
        </is>
      </c>
      <c r="C9" t="inlineStr">
        <is>
          <t>https://www2.jpx.co.jp/disc/59590/140120251030583362.pdf</t>
        </is>
      </c>
    </row>
    <row r="10">
      <c r="A10" t="inlineStr">
        <is>
          <t>2025-07-31</t>
        </is>
      </c>
      <c r="B10" t="inlineStr">
        <is>
          <t>2025년 12월 결산기 2분기 결산단신</t>
        </is>
      </c>
      <c r="C10" t="inlineStr">
        <is>
          <t>https://www2.jpx.co.jp/disc/59590/140120250731525257.pdf</t>
        </is>
      </c>
    </row>
    <row r="11">
      <c r="A11" t="inlineStr">
        <is>
          <t>2025-04-30</t>
        </is>
      </c>
      <c r="B11" t="inlineStr">
        <is>
          <t>2025년 12월 결산기 1분기 결산단신</t>
        </is>
      </c>
      <c r="C11" t="inlineStr">
        <is>
          <t>https://www2.jpx.co.jp/disc/59590/140120250430527321.pdf</t>
        </is>
      </c>
    </row>
    <row r="12">
      <c r="A12" t="inlineStr">
        <is>
          <t>2025-02-14</t>
        </is>
      </c>
      <c r="B12" t="inlineStr">
        <is>
          <t>2024년 12월 결산기 연간 결산단신</t>
        </is>
      </c>
      <c r="C12" t="inlineStr">
        <is>
          <t>https://www2.jpx.co.jp/disc/59590/140120250214574773.pdf</t>
        </is>
      </c>
    </row>
    <row r="13">
      <c r="A13" t="inlineStr">
        <is>
          <t>2024-11-12</t>
        </is>
      </c>
      <c r="B13" t="inlineStr">
        <is>
          <t>2024년 12월 결산기 ３분기 결산단신</t>
        </is>
      </c>
      <c r="C13" t="inlineStr">
        <is>
          <t>https://www2.jpx.co.jp/disc/59590/140120241112519448.pdf</t>
        </is>
      </c>
    </row>
    <row r="14">
      <c r="A14" t="inlineStr">
        <is>
          <t>2024-07-26</t>
        </is>
      </c>
      <c r="B14" t="inlineStr">
        <is>
          <t>2024년 12월 결산기 ２분기 결산단신</t>
        </is>
      </c>
      <c r="C14" t="inlineStr">
        <is>
          <t>https://www2.jpx.co.jp/disc/59590/140120240725554702.pdf</t>
        </is>
      </c>
    </row>
    <row r="15">
      <c r="A15" t="inlineStr">
        <is>
          <t>2024-04-26</t>
        </is>
      </c>
      <c r="B15" t="inlineStr">
        <is>
          <t>2024년 12월 결산기 １분기 결산단신</t>
        </is>
      </c>
      <c r="C15" t="inlineStr">
        <is>
          <t>https://www2.jpx.co.jp/disc/59590/140120240426578044.pdf</t>
        </is>
      </c>
    </row>
    <row r="16">
      <c r="A16" t="inlineStr">
        <is>
          <t>2024-02-19</t>
        </is>
      </c>
      <c r="B16" t="inlineStr">
        <is>
          <t>2023년 12월 결산기 연간 결산단신</t>
        </is>
      </c>
      <c r="C16" t="inlineStr">
        <is>
          <t>https://www2.jpx.co.jp/disc/59590/140120240219539076.pdf</t>
        </is>
      </c>
    </row>
    <row r="17">
      <c r="A17" t="inlineStr">
        <is>
          <t>2023-10-27</t>
        </is>
      </c>
      <c r="B17" t="inlineStr">
        <is>
          <t>2023년 12월 결산기 ３분기 결산단신</t>
        </is>
      </c>
      <c r="C17" t="inlineStr">
        <is>
          <t>https://www2.jpx.co.jp/disc/59590/140120231027573031.pdf</t>
        </is>
      </c>
    </row>
    <row r="18">
      <c r="A18" t="inlineStr">
        <is>
          <t>2023-07-28</t>
        </is>
      </c>
      <c r="B18" t="inlineStr">
        <is>
          <t>2023년 12월 결산기 ２분기 결산단신</t>
        </is>
      </c>
      <c r="C18" t="inlineStr">
        <is>
          <t>https://www2.jpx.co.jp/disc/59590/140120230728528729.pdf</t>
        </is>
      </c>
    </row>
    <row r="19">
      <c r="A19" t="inlineStr">
        <is>
          <t>2023-04-28</t>
        </is>
      </c>
      <c r="B19" t="inlineStr">
        <is>
          <t>2023년 12월 결산기 １분기 결산단신</t>
        </is>
      </c>
      <c r="C19" t="inlineStr">
        <is>
          <t>https://www2.jpx.co.jp/disc/59590/140120230427555526.pdf</t>
        </is>
      </c>
    </row>
    <row r="20">
      <c r="A20" t="inlineStr">
        <is>
          <t>2023-02-10</t>
        </is>
      </c>
      <c r="B20" t="inlineStr">
        <is>
          <t>2022년 12월 결산기 연간 결산단신</t>
        </is>
      </c>
      <c r="C20" t="inlineStr">
        <is>
          <t>https://www2.jpx.co.jp/disc/59590/140120230124592572.pdf</t>
        </is>
      </c>
    </row>
    <row r="21">
      <c r="A21" t="inlineStr">
        <is>
          <t>2022-02-10</t>
        </is>
      </c>
      <c r="B21" t="inlineStr">
        <is>
          <t>2021년 12월 결산기 연간 결산단신</t>
        </is>
      </c>
      <c r="C21" t="inlineStr">
        <is>
          <t>https://www2.jpx.co.jp/disc/59590/140120220209585554.pdf</t>
        </is>
      </c>
    </row>
    <row r="22">
      <c r="A22" t="inlineStr">
        <is>
          <t>2021-02-12</t>
        </is>
      </c>
      <c r="B22" t="inlineStr">
        <is>
          <t>2020년 12월 결산기 연간 결산단신</t>
        </is>
      </c>
      <c r="C22" t="inlineStr">
        <is>
          <t>https://www2.jpx.co.jp/disc/59590/140120210212462951.pdf</t>
        </is>
      </c>
    </row>
    <row r="23">
      <c r="A23" t="inlineStr">
        <is>
          <t>2020-02-14</t>
        </is>
      </c>
      <c r="B23" t="inlineStr">
        <is>
          <t>2019년 12월 결산기 연간 결산단신</t>
        </is>
      </c>
      <c r="C23" t="inlineStr">
        <is>
          <t>https://www2.jpx.co.jp/disc/59590/140120200214465459.pdf</t>
        </is>
      </c>
    </row>
    <row r="24">
      <c r="A24" t="inlineStr">
        <is>
          <t>2019-02-14</t>
        </is>
      </c>
      <c r="B24" t="inlineStr">
        <is>
          <t>2018년 12월 결산기 연간 결산단신</t>
        </is>
      </c>
      <c r="C24" t="inlineStr">
        <is>
          <t>https://www2.jpx.co.jp/disc/59590/140120190214477104.pdf</t>
        </is>
      </c>
    </row>
    <row r="25">
      <c r="A25" t="inlineStr">
        <is>
          <t>2018-02-14</t>
        </is>
      </c>
      <c r="B25" t="inlineStr">
        <is>
          <t>연간 결산단신</t>
        </is>
      </c>
      <c r="C25" t="inlineStr">
        <is>
          <t>https://www2.jpx.co.jp/disc/59590/140120180213471185.pdf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2" t="inlineStr">
        <is>
          <t>5959 재무제표 한눈에 보기 — 최근 40개 분기(달력 분기, 3Q26 = 26.7~9) · 단위 억 엔</t>
        </is>
      </c>
    </row>
    <row r="2">
      <c r="A2" s="63" t="inlineStr">
        <is>
          <t>출처: 매출·영업이익 결산단신 XBRL · 재무상태표 등 결산단신 XBRL 36건(2018-04-27~2026-10-30). 부문·지역·수주·수출은 있을 때만(출처는 줄 끝). 총 차입금 = 이자 붙는 부채 전부(단기·장기 차입금, CP, 사채·전환사채, 리스부채)</t>
        </is>
      </c>
    </row>
    <row r="4">
      <c r="A4" s="64" t="inlineStr">
        <is>
          <t>항목</t>
        </is>
      </c>
      <c r="B4" s="65" t="inlineStr">
        <is>
          <t>4Q16</t>
        </is>
      </c>
      <c r="C4" s="65" t="inlineStr">
        <is>
          <t>1Q17</t>
        </is>
      </c>
      <c r="D4" s="65" t="inlineStr">
        <is>
          <t>2Q17</t>
        </is>
      </c>
      <c r="E4" s="65" t="inlineStr">
        <is>
          <t>3Q17</t>
        </is>
      </c>
      <c r="F4" s="65" t="inlineStr">
        <is>
          <t>4Q17</t>
        </is>
      </c>
      <c r="G4" s="65" t="inlineStr">
        <is>
          <t>1Q18</t>
        </is>
      </c>
      <c r="H4" s="65" t="inlineStr">
        <is>
          <t>2Q18</t>
        </is>
      </c>
      <c r="I4" s="65" t="inlineStr">
        <is>
          <t>3Q18</t>
        </is>
      </c>
      <c r="J4" s="65" t="inlineStr">
        <is>
          <t>4Q18</t>
        </is>
      </c>
      <c r="K4" s="65" t="inlineStr">
        <is>
          <t>1Q19</t>
        </is>
      </c>
      <c r="L4" s="65" t="inlineStr">
        <is>
          <t>2Q19</t>
        </is>
      </c>
      <c r="M4" s="65" t="inlineStr">
        <is>
          <t>3Q19</t>
        </is>
      </c>
      <c r="N4" s="65" t="inlineStr">
        <is>
          <t>4Q19</t>
        </is>
      </c>
      <c r="O4" s="65" t="inlineStr">
        <is>
          <t>1Q20</t>
        </is>
      </c>
      <c r="P4" s="65" t="inlineStr">
        <is>
          <t>2Q20</t>
        </is>
      </c>
      <c r="Q4" s="65" t="inlineStr">
        <is>
          <t>3Q20</t>
        </is>
      </c>
      <c r="R4" s="65" t="inlineStr">
        <is>
          <t>4Q20</t>
        </is>
      </c>
      <c r="S4" s="65" t="inlineStr">
        <is>
          <t>1Q21</t>
        </is>
      </c>
      <c r="T4" s="65" t="inlineStr">
        <is>
          <t>2Q21</t>
        </is>
      </c>
      <c r="U4" s="65" t="inlineStr">
        <is>
          <t>3Q21</t>
        </is>
      </c>
      <c r="V4" s="65" t="inlineStr">
        <is>
          <t>4Q21</t>
        </is>
      </c>
      <c r="W4" s="65" t="inlineStr">
        <is>
          <t>1Q22</t>
        </is>
      </c>
      <c r="X4" s="65" t="inlineStr">
        <is>
          <t>2Q22</t>
        </is>
      </c>
      <c r="Y4" s="65" t="inlineStr">
        <is>
          <t>3Q22</t>
        </is>
      </c>
      <c r="Z4" s="65" t="inlineStr">
        <is>
          <t>4Q22</t>
        </is>
      </c>
      <c r="AA4" s="65" t="inlineStr">
        <is>
          <t>1Q23</t>
        </is>
      </c>
      <c r="AB4" s="65" t="inlineStr">
        <is>
          <t>2Q23</t>
        </is>
      </c>
      <c r="AC4" s="65" t="inlineStr">
        <is>
          <t>3Q23</t>
        </is>
      </c>
      <c r="AD4" s="65" t="inlineStr">
        <is>
          <t>4Q23</t>
        </is>
      </c>
      <c r="AE4" s="65" t="inlineStr">
        <is>
          <t>1Q24</t>
        </is>
      </c>
      <c r="AF4" s="65" t="inlineStr">
        <is>
          <t>2Q24</t>
        </is>
      </c>
      <c r="AG4" s="65" t="inlineStr">
        <is>
          <t>3Q24</t>
        </is>
      </c>
      <c r="AH4" s="65" t="inlineStr">
        <is>
          <t>4Q24</t>
        </is>
      </c>
      <c r="AI4" s="65" t="inlineStr">
        <is>
          <t>1Q25</t>
        </is>
      </c>
      <c r="AJ4" s="65" t="inlineStr">
        <is>
          <t>2Q25</t>
        </is>
      </c>
      <c r="AK4" s="65" t="inlineStr">
        <is>
          <t>3Q25</t>
        </is>
      </c>
      <c r="AL4" s="65" t="inlineStr">
        <is>
          <t>4Q25</t>
        </is>
      </c>
      <c r="AM4" s="65" t="inlineStr">
        <is>
          <t>1Q26</t>
        </is>
      </c>
      <c r="AN4" s="65" t="inlineStr">
        <is>
          <t>2Q26</t>
        </is>
      </c>
      <c r="AO4" s="65" t="inlineStr">
        <is>
          <t>3Q26</t>
        </is>
      </c>
      <c r="AP4" s="64" t="inlineStr">
        <is>
          <t>출처</t>
        </is>
      </c>
    </row>
    <row r="5">
      <c r="A5" s="66" t="inlineStr">
        <is>
          <t>매출액</t>
        </is>
      </c>
      <c r="B5" s="67" t="n"/>
      <c r="C5" s="67" t="n">
        <v>134.2</v>
      </c>
      <c r="D5" s="67" t="n">
        <v>154.3</v>
      </c>
      <c r="E5" s="67" t="n">
        <v>159.4</v>
      </c>
      <c r="F5" s="67" t="n">
        <v>161.2</v>
      </c>
      <c r="G5" s="67" t="n">
        <v>144.7</v>
      </c>
      <c r="H5" s="67" t="n">
        <v>163.3</v>
      </c>
      <c r="I5" s="67" t="n">
        <v>165.9</v>
      </c>
      <c r="J5" s="67" t="n">
        <v>173.9</v>
      </c>
      <c r="K5" s="67" t="n">
        <v>154.4</v>
      </c>
      <c r="L5" s="67" t="n">
        <v>163.8</v>
      </c>
      <c r="M5" s="67" t="n">
        <v>169.1</v>
      </c>
      <c r="N5" s="67" t="n">
        <v>166.8</v>
      </c>
      <c r="O5" s="67" t="n">
        <v>152.8</v>
      </c>
      <c r="P5" s="67" t="n">
        <v>158.6</v>
      </c>
      <c r="Q5" s="67" t="n">
        <v>156.2</v>
      </c>
      <c r="R5" s="67" t="n">
        <v>163.6</v>
      </c>
      <c r="S5" s="67" t="n">
        <v>149.3</v>
      </c>
      <c r="T5" s="67" t="n">
        <v>159.3</v>
      </c>
      <c r="U5" s="67" t="n">
        <v>162.3</v>
      </c>
      <c r="V5" s="67" t="n">
        <v>177.3</v>
      </c>
      <c r="W5" s="67" t="n">
        <v>175.9</v>
      </c>
      <c r="X5" s="67" t="n">
        <v>186.8</v>
      </c>
      <c r="Y5" s="67" t="n">
        <v>201.8</v>
      </c>
      <c r="Z5" s="67" t="n">
        <v>204.1</v>
      </c>
      <c r="AA5" s="67" t="n">
        <v>186.7</v>
      </c>
      <c r="AB5" s="67" t="n">
        <v>193.5</v>
      </c>
      <c r="AC5" s="67" t="n">
        <v>201.4</v>
      </c>
      <c r="AD5" s="67" t="n">
        <v>199.9</v>
      </c>
      <c r="AE5" s="67" t="n">
        <v>156.7</v>
      </c>
      <c r="AF5" s="67" t="n">
        <v>161.4</v>
      </c>
      <c r="AG5" s="67" t="n">
        <v>178.1</v>
      </c>
      <c r="AH5" s="67" t="n">
        <v>181.8</v>
      </c>
      <c r="AI5" s="67" t="n">
        <v>160</v>
      </c>
      <c r="AJ5" s="67" t="n">
        <v>170.7</v>
      </c>
      <c r="AK5" s="67" t="n">
        <v>181.8</v>
      </c>
      <c r="AL5" s="67" t="n">
        <v>185.1</v>
      </c>
      <c r="AM5" s="67" t="n">
        <v>164.4</v>
      </c>
      <c r="AN5" s="67" t="n">
        <v>181.2</v>
      </c>
      <c r="AO5" s="67" t="n">
        <v>195.8</v>
      </c>
    </row>
    <row r="6">
      <c r="A6" s="66" t="inlineStr">
        <is>
          <t>매출액 YoY</t>
        </is>
      </c>
      <c r="B6" s="68" t="n"/>
      <c r="C6" s="68" t="n"/>
      <c r="D6" s="68" t="n"/>
      <c r="E6" s="68" t="n"/>
      <c r="F6" s="68" t="n"/>
      <c r="G6" s="68" t="n">
        <v>7.8</v>
      </c>
      <c r="H6" s="68" t="n">
        <v>5.8</v>
      </c>
      <c r="I6" s="68" t="n">
        <v>4.1</v>
      </c>
      <c r="J6" s="68" t="n">
        <v>7.9</v>
      </c>
      <c r="K6" s="68" t="n">
        <v>6.7</v>
      </c>
      <c r="L6" s="68" t="n">
        <v>0.3</v>
      </c>
      <c r="M6" s="68" t="n">
        <v>1.9</v>
      </c>
      <c r="N6" s="68" t="n">
        <v>-4.1</v>
      </c>
      <c r="O6" s="68" t="n">
        <v>-1</v>
      </c>
      <c r="P6" s="68" t="n">
        <v>-3.2</v>
      </c>
      <c r="Q6" s="68" t="n">
        <v>-7.6</v>
      </c>
      <c r="R6" s="68" t="n">
        <v>-1.9</v>
      </c>
      <c r="S6" s="68" t="n">
        <v>-2.3</v>
      </c>
      <c r="T6" s="68" t="n">
        <v>0.4</v>
      </c>
      <c r="U6" s="68" t="n">
        <v>3.9</v>
      </c>
      <c r="V6" s="68" t="n">
        <v>8.4</v>
      </c>
      <c r="W6" s="68" t="n">
        <v>17.8</v>
      </c>
      <c r="X6" s="68" t="n">
        <v>17.3</v>
      </c>
      <c r="Y6" s="68" t="n">
        <v>24.3</v>
      </c>
      <c r="Z6" s="68" t="n">
        <v>15.1</v>
      </c>
      <c r="AA6" s="68" t="n">
        <v>6.1</v>
      </c>
      <c r="AB6" s="68" t="n">
        <v>3.6</v>
      </c>
      <c r="AC6" s="68" t="n">
        <v>-0.2</v>
      </c>
      <c r="AD6" s="68" t="n">
        <v>-2.1</v>
      </c>
      <c r="AE6" s="68" t="n">
        <v>-16.1</v>
      </c>
      <c r="AF6" s="68" t="n">
        <v>-16.6</v>
      </c>
      <c r="AG6" s="68" t="n">
        <v>-11.6</v>
      </c>
      <c r="AH6" s="68" t="n">
        <v>-9.1</v>
      </c>
      <c r="AI6" s="68" t="n">
        <v>2.1</v>
      </c>
      <c r="AJ6" s="68" t="n">
        <v>5.8</v>
      </c>
      <c r="AK6" s="68" t="n">
        <v>2.1</v>
      </c>
      <c r="AL6" s="68" t="n">
        <v>1.8</v>
      </c>
      <c r="AM6" s="68" t="n">
        <v>2.8</v>
      </c>
      <c r="AN6" s="68" t="n">
        <v>6.2</v>
      </c>
      <c r="AO6" s="68" t="n">
        <v>7.7</v>
      </c>
    </row>
    <row r="7">
      <c r="A7" s="66" t="inlineStr">
        <is>
          <t>영업이익</t>
        </is>
      </c>
      <c r="B7" s="67" t="n"/>
      <c r="C7" s="67" t="n">
        <v>8.800000000000001</v>
      </c>
      <c r="D7" s="67" t="n">
        <v>12.2</v>
      </c>
      <c r="E7" s="67" t="n">
        <v>13.8</v>
      </c>
      <c r="F7" s="67" t="n">
        <v>13.7</v>
      </c>
      <c r="G7" s="67" t="n">
        <v>8.6</v>
      </c>
      <c r="H7" s="67" t="n">
        <v>15.3</v>
      </c>
      <c r="I7" s="67" t="n">
        <v>15.3</v>
      </c>
      <c r="J7" s="67" t="n">
        <v>14.3</v>
      </c>
      <c r="K7" s="67" t="n">
        <v>11.4</v>
      </c>
      <c r="L7" s="67" t="n">
        <v>13.7</v>
      </c>
      <c r="M7" s="67" t="n">
        <v>15.1</v>
      </c>
      <c r="N7" s="67" t="n">
        <v>12.8</v>
      </c>
      <c r="O7" s="67" t="n">
        <v>8.1</v>
      </c>
      <c r="P7" s="67" t="n">
        <v>11.2</v>
      </c>
      <c r="Q7" s="67" t="n">
        <v>12.1</v>
      </c>
      <c r="R7" s="67" t="n">
        <v>13.5</v>
      </c>
      <c r="S7" s="67" t="n">
        <v>8.6</v>
      </c>
      <c r="T7" s="67" t="n">
        <v>11.9</v>
      </c>
      <c r="U7" s="67" t="n">
        <v>11.2</v>
      </c>
      <c r="V7" s="67" t="n">
        <v>11.7</v>
      </c>
      <c r="W7" s="67" t="n">
        <v>12</v>
      </c>
      <c r="X7" s="67" t="n">
        <v>12.5</v>
      </c>
      <c r="Y7" s="67" t="n">
        <v>14.7</v>
      </c>
      <c r="Z7" s="67" t="n">
        <v>13.5</v>
      </c>
      <c r="AA7" s="67" t="n">
        <v>9.699999999999999</v>
      </c>
      <c r="AB7" s="67" t="n">
        <v>10.7</v>
      </c>
      <c r="AC7" s="67" t="n">
        <v>13.8</v>
      </c>
      <c r="AD7" s="67" t="n">
        <v>6.6</v>
      </c>
      <c r="AE7" s="67" t="n">
        <v>8</v>
      </c>
      <c r="AF7" s="67" t="n">
        <v>9.699999999999999</v>
      </c>
      <c r="AG7" s="67" t="n">
        <v>13.9</v>
      </c>
      <c r="AH7" s="67" t="n">
        <v>10.4</v>
      </c>
      <c r="AI7" s="67" t="n">
        <v>9.800000000000001</v>
      </c>
      <c r="AJ7" s="67" t="n">
        <v>12.9</v>
      </c>
      <c r="AK7" s="67" t="n">
        <v>14</v>
      </c>
      <c r="AL7" s="67" t="n">
        <v>10.9</v>
      </c>
      <c r="AM7" s="67" t="n">
        <v>5.3</v>
      </c>
      <c r="AN7" s="67" t="n">
        <v>12.8</v>
      </c>
      <c r="AO7" s="67" t="n">
        <v>22.6</v>
      </c>
    </row>
    <row r="8">
      <c r="A8" s="66" t="inlineStr">
        <is>
          <t>영업이익률</t>
        </is>
      </c>
      <c r="B8" s="68" t="n"/>
      <c r="C8" s="68" t="n">
        <v>6.6</v>
      </c>
      <c r="D8" s="68" t="n">
        <v>7.9</v>
      </c>
      <c r="E8" s="68" t="n">
        <v>8.699999999999999</v>
      </c>
      <c r="F8" s="68" t="n">
        <v>8.5</v>
      </c>
      <c r="G8" s="68" t="n">
        <v>5.9</v>
      </c>
      <c r="H8" s="68" t="n">
        <v>9.4</v>
      </c>
      <c r="I8" s="68" t="n">
        <v>9.199999999999999</v>
      </c>
      <c r="J8" s="68" t="n">
        <v>8.199999999999999</v>
      </c>
      <c r="K8" s="68" t="n">
        <v>7.4</v>
      </c>
      <c r="L8" s="68" t="n">
        <v>8.4</v>
      </c>
      <c r="M8" s="68" t="n">
        <v>8.9</v>
      </c>
      <c r="N8" s="68" t="n">
        <v>7.7</v>
      </c>
      <c r="O8" s="68" t="n">
        <v>5.3</v>
      </c>
      <c r="P8" s="68" t="n">
        <v>7.1</v>
      </c>
      <c r="Q8" s="68" t="n">
        <v>7.7</v>
      </c>
      <c r="R8" s="68" t="n">
        <v>8.300000000000001</v>
      </c>
      <c r="S8" s="68" t="n">
        <v>5.8</v>
      </c>
      <c r="T8" s="68" t="n">
        <v>7.5</v>
      </c>
      <c r="U8" s="68" t="n">
        <v>6.9</v>
      </c>
      <c r="V8" s="68" t="n">
        <v>6.6</v>
      </c>
      <c r="W8" s="68" t="n">
        <v>6.8</v>
      </c>
      <c r="X8" s="68" t="n">
        <v>6.7</v>
      </c>
      <c r="Y8" s="68" t="n">
        <v>7.3</v>
      </c>
      <c r="Z8" s="68" t="n">
        <v>6.6</v>
      </c>
      <c r="AA8" s="68" t="n">
        <v>5.2</v>
      </c>
      <c r="AB8" s="68" t="n">
        <v>5.5</v>
      </c>
      <c r="AC8" s="68" t="n">
        <v>6.9</v>
      </c>
      <c r="AD8" s="68" t="n">
        <v>3.3</v>
      </c>
      <c r="AE8" s="68" t="n">
        <v>5.1</v>
      </c>
      <c r="AF8" s="68" t="n">
        <v>6</v>
      </c>
      <c r="AG8" s="68" t="n">
        <v>7.8</v>
      </c>
      <c r="AH8" s="68" t="n">
        <v>5.7</v>
      </c>
      <c r="AI8" s="68" t="n">
        <v>6.1</v>
      </c>
      <c r="AJ8" s="68" t="n">
        <v>7.6</v>
      </c>
      <c r="AK8" s="68" t="n">
        <v>7.7</v>
      </c>
      <c r="AL8" s="68" t="n">
        <v>5.9</v>
      </c>
      <c r="AM8" s="68" t="n">
        <v>3.2</v>
      </c>
      <c r="AN8" s="68" t="n">
        <v>7.1</v>
      </c>
      <c r="AO8" s="68" t="n">
        <v>11.5</v>
      </c>
    </row>
    <row r="9">
      <c r="A9" s="66" t="inlineStr">
        <is>
          <t>영업이익 YoY</t>
        </is>
      </c>
      <c r="B9" s="68" t="n"/>
      <c r="C9" s="68" t="n"/>
      <c r="D9" s="68" t="n"/>
      <c r="E9" s="68" t="n"/>
      <c r="F9" s="68" t="n"/>
      <c r="G9" s="68" t="n">
        <v>-2.3</v>
      </c>
      <c r="H9" s="68" t="n">
        <v>25.4</v>
      </c>
      <c r="I9" s="68" t="n">
        <v>10.9</v>
      </c>
      <c r="J9" s="68" t="n">
        <v>4.4</v>
      </c>
      <c r="K9" s="68" t="n">
        <v>32.6</v>
      </c>
      <c r="L9" s="68" t="n">
        <v>-10.5</v>
      </c>
      <c r="M9" s="68" t="n">
        <v>-1.3</v>
      </c>
      <c r="N9" s="68" t="n">
        <v>-10.5</v>
      </c>
      <c r="O9" s="68" t="n">
        <v>-28.9</v>
      </c>
      <c r="P9" s="68" t="n">
        <v>-18.2</v>
      </c>
      <c r="Q9" s="68" t="n">
        <v>-19.9</v>
      </c>
      <c r="R9" s="68" t="n">
        <v>5.5</v>
      </c>
      <c r="S9" s="68" t="n">
        <v>6.2</v>
      </c>
      <c r="T9" s="68" t="n">
        <v>6.2</v>
      </c>
      <c r="U9" s="68" t="n">
        <v>-7.4</v>
      </c>
      <c r="V9" s="68" t="n">
        <v>-13.3</v>
      </c>
      <c r="W9" s="68" t="n">
        <v>39.5</v>
      </c>
      <c r="X9" s="68" t="n">
        <v>5</v>
      </c>
      <c r="Y9" s="68" t="n">
        <v>31.2</v>
      </c>
      <c r="Z9" s="68" t="n">
        <v>15.4</v>
      </c>
      <c r="AA9" s="68" t="n">
        <v>-19.2</v>
      </c>
      <c r="AB9" s="68" t="n">
        <v>-14.4</v>
      </c>
      <c r="AC9" s="68" t="n">
        <v>-6.1</v>
      </c>
      <c r="AD9" s="68" t="n">
        <v>-51.1</v>
      </c>
      <c r="AE9" s="68" t="n">
        <v>-17.5</v>
      </c>
      <c r="AF9" s="68" t="n">
        <v>-9.300000000000001</v>
      </c>
      <c r="AG9" s="68" t="n">
        <v>0.7</v>
      </c>
      <c r="AH9" s="68" t="n">
        <v>57.6</v>
      </c>
      <c r="AI9" s="68" t="n">
        <v>22.5</v>
      </c>
      <c r="AJ9" s="68" t="n">
        <v>33</v>
      </c>
      <c r="AK9" s="68" t="n">
        <v>0.7</v>
      </c>
      <c r="AL9" s="68" t="n">
        <v>4.8</v>
      </c>
      <c r="AM9" s="68" t="n">
        <v>-45.9</v>
      </c>
      <c r="AN9" s="68" t="n">
        <v>-0.8</v>
      </c>
      <c r="AO9" s="68" t="n">
        <v>61.4</v>
      </c>
    </row>
    <row r="10">
      <c r="A10" s="66" t="inlineStr">
        <is>
          <t>유동자산</t>
        </is>
      </c>
      <c r="B10" s="67" t="n"/>
      <c r="C10" s="67" t="n"/>
      <c r="D10" s="67" t="n"/>
      <c r="E10" s="67" t="n"/>
      <c r="F10" s="67" t="n">
        <v>535.4</v>
      </c>
      <c r="G10" s="67" t="n">
        <v>566.6</v>
      </c>
      <c r="H10" s="67" t="n">
        <v>563.7</v>
      </c>
      <c r="I10" s="67" t="n">
        <v>566.7</v>
      </c>
      <c r="J10" s="67" t="n">
        <v>577.3</v>
      </c>
      <c r="K10" s="67" t="n">
        <v>573.8</v>
      </c>
      <c r="L10" s="67" t="n">
        <v>557.2</v>
      </c>
      <c r="M10" s="67" t="n">
        <v>558.4</v>
      </c>
      <c r="N10" s="67" t="n">
        <v>534.1</v>
      </c>
      <c r="O10" s="67" t="n">
        <v>536.4</v>
      </c>
      <c r="P10" s="67" t="n">
        <v>542.2</v>
      </c>
      <c r="Q10" s="67" t="n">
        <v>548.4</v>
      </c>
      <c r="R10" s="67" t="n">
        <v>557.3</v>
      </c>
      <c r="S10" s="67" t="n">
        <v>547.7</v>
      </c>
      <c r="T10" s="67" t="n">
        <v>565.2</v>
      </c>
      <c r="U10" s="67" t="n">
        <v>568.4</v>
      </c>
      <c r="V10" s="67" t="n">
        <v>588.2</v>
      </c>
      <c r="W10" s="67" t="n">
        <v>558.4</v>
      </c>
      <c r="X10" s="67" t="n">
        <v>600.2</v>
      </c>
      <c r="Y10" s="67" t="n">
        <v>636.5</v>
      </c>
      <c r="Z10" s="67" t="n">
        <v>635.1</v>
      </c>
      <c r="AA10" s="67" t="n">
        <v>594</v>
      </c>
      <c r="AB10" s="67" t="n">
        <v>604.9</v>
      </c>
      <c r="AC10" s="67" t="n">
        <v>592.2</v>
      </c>
      <c r="AD10" s="67" t="n">
        <v>512.4</v>
      </c>
      <c r="AE10" s="67" t="n">
        <v>486.8</v>
      </c>
      <c r="AF10" s="67" t="n">
        <v>494.9</v>
      </c>
      <c r="AG10" s="67" t="n">
        <v>505.6</v>
      </c>
      <c r="AH10" s="67" t="n">
        <v>488.2</v>
      </c>
      <c r="AI10" s="67" t="n">
        <v>479.1</v>
      </c>
      <c r="AJ10" s="67" t="n">
        <v>488.3</v>
      </c>
      <c r="AK10" s="67" t="n">
        <v>471</v>
      </c>
      <c r="AL10" s="67" t="n">
        <v>467.8</v>
      </c>
      <c r="AM10" s="67" t="n">
        <v>463.9</v>
      </c>
      <c r="AN10" s="67" t="n">
        <v>476.3</v>
      </c>
      <c r="AO10" s="67" t="n">
        <v>488.9</v>
      </c>
    </row>
    <row r="11">
      <c r="A11" s="66" t="inlineStr">
        <is>
          <t>유동부채</t>
        </is>
      </c>
      <c r="B11" s="67" t="n"/>
      <c r="C11" s="67" t="n"/>
      <c r="D11" s="67" t="n"/>
      <c r="E11" s="67" t="n"/>
      <c r="F11" s="67" t="n">
        <v>193.5</v>
      </c>
      <c r="G11" s="67" t="n">
        <v>210.1</v>
      </c>
      <c r="H11" s="67" t="n">
        <v>197.5</v>
      </c>
      <c r="I11" s="67" t="n">
        <v>204.8</v>
      </c>
      <c r="J11" s="67" t="n">
        <v>200.4</v>
      </c>
      <c r="K11" s="67" t="n">
        <v>271.4</v>
      </c>
      <c r="L11" s="67" t="n">
        <v>256.6</v>
      </c>
      <c r="M11" s="67" t="n">
        <v>254.2</v>
      </c>
      <c r="N11" s="67" t="n">
        <v>237.2</v>
      </c>
      <c r="O11" s="67" t="n">
        <v>190</v>
      </c>
      <c r="P11" s="67" t="n">
        <v>197</v>
      </c>
      <c r="Q11" s="67" t="n">
        <v>194.4</v>
      </c>
      <c r="R11" s="67" t="n">
        <v>190.9</v>
      </c>
      <c r="S11" s="67" t="n">
        <v>200.3</v>
      </c>
      <c r="T11" s="67" t="n">
        <v>200.9</v>
      </c>
      <c r="U11" s="67" t="n">
        <v>201.8</v>
      </c>
      <c r="V11" s="67" t="n">
        <v>217.1</v>
      </c>
      <c r="W11" s="67" t="n">
        <v>215.9</v>
      </c>
      <c r="X11" s="67" t="n">
        <v>228.5</v>
      </c>
      <c r="Y11" s="67" t="n">
        <v>256.1</v>
      </c>
      <c r="Z11" s="67" t="n">
        <v>264</v>
      </c>
      <c r="AA11" s="67" t="n">
        <v>235.5</v>
      </c>
      <c r="AB11" s="67" t="n">
        <v>238.9</v>
      </c>
      <c r="AC11" s="67" t="n">
        <v>214.3</v>
      </c>
      <c r="AD11" s="67" t="n">
        <v>181.8</v>
      </c>
      <c r="AE11" s="67" t="n">
        <v>158.3</v>
      </c>
      <c r="AF11" s="67" t="n">
        <v>153.3</v>
      </c>
      <c r="AG11" s="67" t="n">
        <v>159.4</v>
      </c>
      <c r="AH11" s="67" t="n">
        <v>183.3</v>
      </c>
      <c r="AI11" s="67" t="n">
        <v>176</v>
      </c>
      <c r="AJ11" s="67" t="n">
        <v>181.8</v>
      </c>
      <c r="AK11" s="67" t="n">
        <v>161.3</v>
      </c>
      <c r="AL11" s="67" t="n">
        <v>147.5</v>
      </c>
      <c r="AM11" s="67" t="n">
        <v>150.7</v>
      </c>
      <c r="AN11" s="67" t="n">
        <v>162.6</v>
      </c>
      <c r="AO11" s="67" t="n">
        <v>166.3</v>
      </c>
    </row>
    <row r="12">
      <c r="A12" s="66" t="inlineStr">
        <is>
          <t>부채총계</t>
        </is>
      </c>
      <c r="B12" s="67" t="n"/>
      <c r="C12" s="67" t="n"/>
      <c r="D12" s="67" t="n"/>
      <c r="E12" s="67" t="n"/>
      <c r="F12" s="67" t="n">
        <v>330.9</v>
      </c>
      <c r="G12" s="67" t="n">
        <v>334.1</v>
      </c>
      <c r="H12" s="67" t="n">
        <v>317.1</v>
      </c>
      <c r="I12" s="67" t="n">
        <v>327.3</v>
      </c>
      <c r="J12" s="67" t="n">
        <v>313.7</v>
      </c>
      <c r="K12" s="67" t="n">
        <v>345.3</v>
      </c>
      <c r="L12" s="67" t="n">
        <v>323.4</v>
      </c>
      <c r="M12" s="67" t="n">
        <v>322.4</v>
      </c>
      <c r="N12" s="67" t="n">
        <v>307.8</v>
      </c>
      <c r="O12" s="67" t="n">
        <v>311.4</v>
      </c>
      <c r="P12" s="67" t="n">
        <v>317.3</v>
      </c>
      <c r="Q12" s="67" t="n">
        <v>314</v>
      </c>
      <c r="R12" s="67" t="n">
        <v>312.9</v>
      </c>
      <c r="S12" s="67" t="n">
        <v>304.2</v>
      </c>
      <c r="T12" s="67" t="n">
        <v>303.4</v>
      </c>
      <c r="U12" s="67" t="n">
        <v>303.8</v>
      </c>
      <c r="V12" s="67" t="n">
        <v>316.5</v>
      </c>
      <c r="W12" s="67" t="n">
        <v>331.5</v>
      </c>
      <c r="X12" s="67" t="n">
        <v>341.5</v>
      </c>
      <c r="Y12" s="67" t="n">
        <v>358.6</v>
      </c>
      <c r="Z12" s="67" t="n">
        <v>367.8</v>
      </c>
      <c r="AA12" s="67" t="n">
        <v>339.6</v>
      </c>
      <c r="AB12" s="67" t="n">
        <v>343.6</v>
      </c>
      <c r="AC12" s="67" t="n">
        <v>319.4</v>
      </c>
      <c r="AD12" s="67" t="n">
        <v>278.2</v>
      </c>
      <c r="AE12" s="67" t="n">
        <v>253.4</v>
      </c>
      <c r="AF12" s="67" t="n">
        <v>247.3</v>
      </c>
      <c r="AG12" s="67" t="n">
        <v>252</v>
      </c>
      <c r="AH12" s="67" t="n">
        <v>274.5</v>
      </c>
      <c r="AI12" s="67" t="n">
        <v>265.8</v>
      </c>
      <c r="AJ12" s="67" t="n">
        <v>271.5</v>
      </c>
      <c r="AK12" s="67" t="n">
        <v>249.1</v>
      </c>
      <c r="AL12" s="67" t="n">
        <v>231.2</v>
      </c>
      <c r="AM12" s="67" t="n">
        <v>233.2</v>
      </c>
      <c r="AN12" s="67" t="n">
        <v>247.2</v>
      </c>
      <c r="AO12" s="67" t="n">
        <v>250.2</v>
      </c>
    </row>
    <row r="13">
      <c r="A13" s="66" t="inlineStr">
        <is>
          <t>자기자본</t>
        </is>
      </c>
      <c r="B13" s="68" t="n"/>
      <c r="C13" s="68" t="n"/>
      <c r="D13" s="68" t="n"/>
      <c r="E13" s="68" t="n"/>
      <c r="F13" s="68" t="n">
        <v>562.5</v>
      </c>
      <c r="G13" s="68" t="n">
        <v>558.8</v>
      </c>
      <c r="H13" s="68" t="n">
        <v>559.5</v>
      </c>
      <c r="I13" s="68" t="n">
        <v>564.1</v>
      </c>
      <c r="J13" s="68" t="n">
        <v>563.3</v>
      </c>
      <c r="K13" s="68" t="n">
        <v>563.5</v>
      </c>
      <c r="L13" s="68" t="n">
        <v>567.5</v>
      </c>
      <c r="M13" s="68" t="n">
        <v>569.2</v>
      </c>
      <c r="N13" s="68" t="n">
        <v>578.7</v>
      </c>
      <c r="O13" s="68" t="n">
        <v>563.3</v>
      </c>
      <c r="P13" s="68" t="n">
        <v>569.1</v>
      </c>
      <c r="Q13" s="68" t="n">
        <v>572.3</v>
      </c>
      <c r="R13" s="68" t="n">
        <v>583.6</v>
      </c>
      <c r="S13" s="68" t="n">
        <v>580.9</v>
      </c>
      <c r="T13" s="68" t="n">
        <v>595</v>
      </c>
      <c r="U13" s="68" t="n">
        <v>601.9</v>
      </c>
      <c r="V13" s="68" t="n">
        <v>603.7</v>
      </c>
      <c r="W13" s="68" t="n">
        <v>605.2</v>
      </c>
      <c r="X13" s="68" t="n">
        <v>628</v>
      </c>
      <c r="Y13" s="68" t="n">
        <v>658.3</v>
      </c>
      <c r="Z13" s="68" t="n">
        <v>671.1</v>
      </c>
      <c r="AA13" s="68" t="n">
        <v>647.1</v>
      </c>
      <c r="AB13" s="68" t="n">
        <v>649</v>
      </c>
      <c r="AC13" s="68" t="n">
        <v>677.7</v>
      </c>
      <c r="AD13" s="68" t="n">
        <v>620.6</v>
      </c>
      <c r="AE13" s="68" t="n">
        <v>617.7</v>
      </c>
      <c r="AF13" s="68" t="n">
        <v>639.3</v>
      </c>
      <c r="AG13" s="68" t="n">
        <v>648.5</v>
      </c>
      <c r="AH13" s="68" t="n">
        <v>595.4</v>
      </c>
      <c r="AI13" s="68" t="n">
        <v>607.7</v>
      </c>
      <c r="AJ13" s="68" t="n">
        <v>604.3</v>
      </c>
      <c r="AK13" s="68" t="n">
        <v>603.2</v>
      </c>
      <c r="AL13" s="68" t="n">
        <v>619.1</v>
      </c>
      <c r="AM13" s="68" t="n">
        <v>618</v>
      </c>
      <c r="AN13" s="68" t="n">
        <v>630.2</v>
      </c>
      <c r="AO13" s="68" t="n">
        <v>637.2</v>
      </c>
    </row>
    <row r="14">
      <c r="A14" s="66" t="inlineStr">
        <is>
          <t>유동비율</t>
        </is>
      </c>
      <c r="B14" s="68" t="n"/>
      <c r="C14" s="68" t="n"/>
      <c r="D14" s="68" t="n"/>
      <c r="E14" s="68" t="n"/>
      <c r="F14" s="68" t="n">
        <v>276.7</v>
      </c>
      <c r="G14" s="68" t="n">
        <v>269.7</v>
      </c>
      <c r="H14" s="68" t="n">
        <v>285.4</v>
      </c>
      <c r="I14" s="68" t="n">
        <v>276.7</v>
      </c>
      <c r="J14" s="68" t="n">
        <v>288.1</v>
      </c>
      <c r="K14" s="68" t="n">
        <v>211.4</v>
      </c>
      <c r="L14" s="68" t="n">
        <v>217.1</v>
      </c>
      <c r="M14" s="68" t="n">
        <v>219.7</v>
      </c>
      <c r="N14" s="68" t="n">
        <v>225.2</v>
      </c>
      <c r="O14" s="68" t="n">
        <v>282.3</v>
      </c>
      <c r="P14" s="68" t="n">
        <v>275.2</v>
      </c>
      <c r="Q14" s="68" t="n">
        <v>282.1</v>
      </c>
      <c r="R14" s="68" t="n">
        <v>291.9</v>
      </c>
      <c r="S14" s="68" t="n">
        <v>273.4</v>
      </c>
      <c r="T14" s="68" t="n">
        <v>281.3</v>
      </c>
      <c r="U14" s="68" t="n">
        <v>281.7</v>
      </c>
      <c r="V14" s="68" t="n">
        <v>270.9</v>
      </c>
      <c r="W14" s="68" t="n">
        <v>258.6</v>
      </c>
      <c r="X14" s="68" t="n">
        <v>262.7</v>
      </c>
      <c r="Y14" s="68" t="n">
        <v>248.5</v>
      </c>
      <c r="Z14" s="68" t="n">
        <v>240.6</v>
      </c>
      <c r="AA14" s="68" t="n">
        <v>252.2</v>
      </c>
      <c r="AB14" s="68" t="n">
        <v>253.2</v>
      </c>
      <c r="AC14" s="68" t="n">
        <v>276.3</v>
      </c>
      <c r="AD14" s="68" t="n">
        <v>281.8</v>
      </c>
      <c r="AE14" s="68" t="n">
        <v>307.5</v>
      </c>
      <c r="AF14" s="68" t="n">
        <v>322.8</v>
      </c>
      <c r="AG14" s="68" t="n">
        <v>317.2</v>
      </c>
      <c r="AH14" s="68" t="n">
        <v>266.3</v>
      </c>
      <c r="AI14" s="68" t="n">
        <v>272.2</v>
      </c>
      <c r="AJ14" s="68" t="n">
        <v>268.6</v>
      </c>
      <c r="AK14" s="68" t="n">
        <v>292</v>
      </c>
      <c r="AL14" s="68" t="n">
        <v>317.2</v>
      </c>
      <c r="AM14" s="68" t="n">
        <v>307.8</v>
      </c>
      <c r="AN14" s="68" t="n">
        <v>292.9</v>
      </c>
      <c r="AO14" s="68" t="n">
        <v>294</v>
      </c>
    </row>
    <row r="15">
      <c r="A15" s="66" t="inlineStr">
        <is>
          <t>부채비율</t>
        </is>
      </c>
      <c r="B15" s="68" t="n"/>
      <c r="C15" s="68" t="n"/>
      <c r="D15" s="68" t="n"/>
      <c r="E15" s="68" t="n"/>
      <c r="F15" s="68" t="n">
        <v>58.8</v>
      </c>
      <c r="G15" s="68" t="n">
        <v>59.8</v>
      </c>
      <c r="H15" s="68" t="n">
        <v>56.7</v>
      </c>
      <c r="I15" s="68" t="n">
        <v>58</v>
      </c>
      <c r="J15" s="68" t="n">
        <v>55.7</v>
      </c>
      <c r="K15" s="68" t="n">
        <v>61.3</v>
      </c>
      <c r="L15" s="68" t="n">
        <v>57</v>
      </c>
      <c r="M15" s="68" t="n">
        <v>56.6</v>
      </c>
      <c r="N15" s="68" t="n">
        <v>53.2</v>
      </c>
      <c r="O15" s="68" t="n">
        <v>55.3</v>
      </c>
      <c r="P15" s="68" t="n">
        <v>55.8</v>
      </c>
      <c r="Q15" s="68" t="n">
        <v>54.9</v>
      </c>
      <c r="R15" s="68" t="n">
        <v>53.6</v>
      </c>
      <c r="S15" s="68" t="n">
        <v>52.4</v>
      </c>
      <c r="T15" s="68" t="n">
        <v>51</v>
      </c>
      <c r="U15" s="68" t="n">
        <v>50.5</v>
      </c>
      <c r="V15" s="68" t="n">
        <v>52.4</v>
      </c>
      <c r="W15" s="68" t="n">
        <v>54.8</v>
      </c>
      <c r="X15" s="68" t="n">
        <v>54.4</v>
      </c>
      <c r="Y15" s="68" t="n">
        <v>54.5</v>
      </c>
      <c r="Z15" s="68" t="n">
        <v>54.8</v>
      </c>
      <c r="AA15" s="68" t="n">
        <v>52.5</v>
      </c>
      <c r="AB15" s="68" t="n">
        <v>52.9</v>
      </c>
      <c r="AC15" s="68" t="n">
        <v>47.1</v>
      </c>
      <c r="AD15" s="68" t="n">
        <v>44.8</v>
      </c>
      <c r="AE15" s="68" t="n">
        <v>41</v>
      </c>
      <c r="AF15" s="68" t="n">
        <v>38.7</v>
      </c>
      <c r="AG15" s="68" t="n">
        <v>38.9</v>
      </c>
      <c r="AH15" s="68" t="n">
        <v>46.1</v>
      </c>
      <c r="AI15" s="68" t="n">
        <v>43.7</v>
      </c>
      <c r="AJ15" s="68" t="n">
        <v>44.9</v>
      </c>
      <c r="AK15" s="68" t="n">
        <v>41.3</v>
      </c>
      <c r="AL15" s="68" t="n">
        <v>37.3</v>
      </c>
      <c r="AM15" s="68" t="n">
        <v>37.7</v>
      </c>
      <c r="AN15" s="68" t="n">
        <v>39.2</v>
      </c>
      <c r="AO15" s="68" t="n">
        <v>39.3</v>
      </c>
    </row>
    <row r="16">
      <c r="A16" s="66" t="inlineStr">
        <is>
          <t>순차입금/자기자본</t>
        </is>
      </c>
      <c r="B16" s="68" t="n"/>
      <c r="C16" s="68" t="n"/>
      <c r="D16" s="68" t="n"/>
      <c r="E16" s="68" t="n"/>
      <c r="F16" s="68" t="n">
        <v>-19.4</v>
      </c>
      <c r="G16" s="68" t="n">
        <v>-19.4</v>
      </c>
      <c r="H16" s="68" t="n">
        <v>-25</v>
      </c>
      <c r="I16" s="68" t="n">
        <v>-22.7</v>
      </c>
      <c r="J16" s="68" t="n">
        <v>-23.8</v>
      </c>
      <c r="K16" s="68" t="n">
        <v>-18.6</v>
      </c>
      <c r="L16" s="68" t="n">
        <v>-17.1</v>
      </c>
      <c r="M16" s="68" t="n">
        <v>-17.4</v>
      </c>
      <c r="N16" s="68" t="n">
        <v>-15.8</v>
      </c>
      <c r="O16" s="68" t="n">
        <v>-18.8</v>
      </c>
      <c r="P16" s="68" t="n">
        <v>-17.8</v>
      </c>
      <c r="Q16" s="68" t="n">
        <v>-17.5</v>
      </c>
      <c r="R16" s="68" t="n">
        <v>-17.2</v>
      </c>
      <c r="S16" s="68" t="n">
        <v>-9.300000000000001</v>
      </c>
      <c r="T16" s="68" t="n">
        <v>-25.5</v>
      </c>
      <c r="U16" s="68" t="n">
        <v>-24.2</v>
      </c>
      <c r="V16" s="68" t="n">
        <v>-20.9</v>
      </c>
      <c r="W16" s="68" t="n">
        <v>-13</v>
      </c>
      <c r="X16" s="68" t="n">
        <v>-14.1</v>
      </c>
      <c r="Y16" s="68" t="n">
        <v>-12.7</v>
      </c>
      <c r="Z16" s="68" t="n">
        <v>-8.9</v>
      </c>
      <c r="AA16" s="68" t="n">
        <v>-9.6</v>
      </c>
      <c r="AB16" s="68" t="n">
        <v>-12</v>
      </c>
      <c r="AC16" s="68" t="n">
        <v>-8.5</v>
      </c>
      <c r="AD16" s="68" t="n">
        <v>-9.300000000000001</v>
      </c>
      <c r="AE16" s="68" t="n">
        <v>-9.300000000000001</v>
      </c>
      <c r="AF16" s="68" t="n">
        <v>-9.699999999999999</v>
      </c>
      <c r="AG16" s="68" t="n">
        <v>-8.6</v>
      </c>
      <c r="AH16" s="68" t="n">
        <v>-9</v>
      </c>
      <c r="AI16" s="68" t="n">
        <v>-9.300000000000001</v>
      </c>
      <c r="AJ16" s="68" t="n">
        <v>-9.9</v>
      </c>
      <c r="AK16" s="68" t="n">
        <v>-5.1</v>
      </c>
      <c r="AL16" s="68" t="n">
        <v>-4.5</v>
      </c>
      <c r="AM16" s="68" t="n">
        <v>-5.4</v>
      </c>
      <c r="AN16" s="68" t="n">
        <v>-3.2</v>
      </c>
      <c r="AO16" s="68" t="n">
        <v>-3.7</v>
      </c>
    </row>
    <row r="17">
      <c r="A17" s="66" t="inlineStr">
        <is>
          <t>재고자산</t>
        </is>
      </c>
      <c r="B17" s="67" t="n"/>
      <c r="C17" s="67" t="n"/>
      <c r="D17" s="67" t="n"/>
      <c r="E17" s="67" t="n"/>
      <c r="F17" s="67" t="n">
        <v>80.90000000000001</v>
      </c>
      <c r="G17" s="67" t="n">
        <v>95.3</v>
      </c>
      <c r="H17" s="67" t="n">
        <v>94.3</v>
      </c>
      <c r="I17" s="67" t="n">
        <v>95.8</v>
      </c>
      <c r="J17" s="67" t="n">
        <v>96.3</v>
      </c>
      <c r="K17" s="67" t="n">
        <v>115.3</v>
      </c>
      <c r="L17" s="67" t="n">
        <v>116.2</v>
      </c>
      <c r="M17" s="67" t="n">
        <v>115.1</v>
      </c>
      <c r="N17" s="67" t="n">
        <v>106.3</v>
      </c>
      <c r="O17" s="67" t="n">
        <v>112.6</v>
      </c>
      <c r="P17" s="67" t="n">
        <v>113.8</v>
      </c>
      <c r="Q17" s="67" t="n">
        <v>114</v>
      </c>
      <c r="R17" s="67" t="n">
        <v>106.9</v>
      </c>
      <c r="S17" s="67" t="n">
        <v>107.8</v>
      </c>
      <c r="T17" s="67" t="n">
        <v>109.4</v>
      </c>
      <c r="U17" s="67" t="n">
        <v>113.6</v>
      </c>
      <c r="V17" s="67" t="n">
        <v>124.4</v>
      </c>
      <c r="W17" s="67" t="n">
        <v>153.3</v>
      </c>
      <c r="X17" s="67" t="n">
        <v>166.5</v>
      </c>
      <c r="Y17" s="67" t="n">
        <v>194.3</v>
      </c>
      <c r="Z17" s="67" t="n">
        <v>205.9</v>
      </c>
      <c r="AA17" s="67" t="n">
        <v>194.3</v>
      </c>
      <c r="AB17" s="67" t="n">
        <v>185.1</v>
      </c>
      <c r="AC17" s="67" t="n">
        <v>188.9</v>
      </c>
      <c r="AD17" s="67" t="n">
        <v>157.8</v>
      </c>
      <c r="AE17" s="67" t="n">
        <v>158.2</v>
      </c>
      <c r="AF17" s="67" t="n">
        <v>162.5</v>
      </c>
      <c r="AG17" s="67" t="n">
        <v>167.5</v>
      </c>
      <c r="AH17" s="67" t="n">
        <v>157.1</v>
      </c>
      <c r="AI17" s="67" t="n">
        <v>167.1</v>
      </c>
      <c r="AJ17" s="67" t="n">
        <v>167.3</v>
      </c>
      <c r="AK17" s="67" t="n">
        <v>166.2</v>
      </c>
      <c r="AL17" s="67" t="n">
        <v>161.8</v>
      </c>
      <c r="AM17" s="67" t="n">
        <v>181.8</v>
      </c>
      <c r="AN17" s="67" t="n">
        <v>188.8</v>
      </c>
      <c r="AO17" s="67" t="n">
        <v>186.5</v>
      </c>
    </row>
    <row r="18">
      <c r="A18" s="66" t="inlineStr">
        <is>
          <t>재고자산 회전일수</t>
        </is>
      </c>
      <c r="B18" s="67" t="n"/>
      <c r="C18" s="67" t="n"/>
      <c r="D18" s="67" t="n"/>
      <c r="E18" s="67" t="n"/>
      <c r="F18" s="67" t="n">
        <v>63</v>
      </c>
      <c r="G18" s="67" t="n">
        <v>82</v>
      </c>
      <c r="H18" s="67" t="n">
        <v>74</v>
      </c>
      <c r="I18" s="67" t="n">
        <v>74</v>
      </c>
      <c r="J18" s="67" t="n">
        <v>70</v>
      </c>
      <c r="K18" s="67" t="n">
        <v>94</v>
      </c>
      <c r="L18" s="67" t="n">
        <v>90</v>
      </c>
      <c r="M18" s="67" t="n">
        <v>87</v>
      </c>
      <c r="N18" s="67" t="n">
        <v>80</v>
      </c>
      <c r="O18" s="67" t="n">
        <v>92</v>
      </c>
      <c r="P18" s="67" t="n">
        <v>90</v>
      </c>
      <c r="Q18" s="67" t="n">
        <v>93</v>
      </c>
      <c r="R18" s="67" t="n">
        <v>83</v>
      </c>
      <c r="S18" s="67" t="n">
        <v>90</v>
      </c>
      <c r="T18" s="67" t="n">
        <v>88</v>
      </c>
      <c r="U18" s="67" t="n">
        <v>89</v>
      </c>
      <c r="V18" s="67" t="n">
        <v>88</v>
      </c>
      <c r="W18" s="67" t="n">
        <v>109</v>
      </c>
      <c r="X18" s="67" t="n">
        <v>110</v>
      </c>
      <c r="Y18" s="67" t="n">
        <v>120</v>
      </c>
      <c r="Z18" s="67" t="n">
        <v>125</v>
      </c>
      <c r="AA18" s="67" t="n">
        <v>129</v>
      </c>
      <c r="AB18" s="67" t="n">
        <v>120</v>
      </c>
      <c r="AC18" s="67" t="n">
        <v>119</v>
      </c>
      <c r="AD18" s="67" t="n">
        <v>98</v>
      </c>
      <c r="AE18" s="67" t="n">
        <v>133</v>
      </c>
      <c r="AF18" s="67" t="n">
        <v>136</v>
      </c>
      <c r="AG18" s="67" t="n">
        <v>125</v>
      </c>
      <c r="AH18" s="67" t="n">
        <v>113</v>
      </c>
      <c r="AI18" s="67" t="n">
        <v>138</v>
      </c>
      <c r="AJ18" s="67" t="n">
        <v>131</v>
      </c>
      <c r="AK18" s="67" t="n">
        <v>121</v>
      </c>
      <c r="AL18" s="67" t="n">
        <v>114</v>
      </c>
      <c r="AM18" s="67" t="n">
        <v>142</v>
      </c>
      <c r="AN18" s="67" t="n">
        <v>139</v>
      </c>
      <c r="AO18" s="67" t="n">
        <v>134</v>
      </c>
    </row>
    <row r="19">
      <c r="A19" s="66" t="inlineStr">
        <is>
          <t>매출채권 회전일수</t>
        </is>
      </c>
      <c r="B19" s="67" t="n"/>
      <c r="C19" s="67" t="n"/>
      <c r="D19" s="67" t="n"/>
      <c r="E19" s="67" t="n"/>
      <c r="F19" s="67" t="n">
        <v>123</v>
      </c>
      <c r="G19" s="67" t="n">
        <v>128</v>
      </c>
      <c r="H19" s="67" t="n">
        <v>119</v>
      </c>
      <c r="I19" s="67" t="n">
        <v>124</v>
      </c>
      <c r="J19" s="67" t="n">
        <v>118</v>
      </c>
      <c r="K19" s="67" t="n">
        <v>128</v>
      </c>
      <c r="L19" s="67" t="n">
        <v>121</v>
      </c>
      <c r="M19" s="67" t="n">
        <v>117</v>
      </c>
      <c r="N19" s="67" t="n">
        <v>118</v>
      </c>
      <c r="O19" s="67" t="n">
        <v>120</v>
      </c>
      <c r="P19" s="67" t="n">
        <v>117</v>
      </c>
      <c r="Q19" s="67" t="n">
        <v>119</v>
      </c>
      <c r="R19" s="67" t="n">
        <v>116</v>
      </c>
      <c r="S19" s="67" t="n">
        <v>116</v>
      </c>
      <c r="T19" s="67" t="n">
        <v>111</v>
      </c>
      <c r="U19" s="67" t="n">
        <v>112</v>
      </c>
      <c r="V19" s="67" t="n">
        <v>0</v>
      </c>
      <c r="W19" s="67" t="n">
        <v>105</v>
      </c>
      <c r="X19" s="67" t="n">
        <v>103</v>
      </c>
      <c r="Y19" s="67" t="n">
        <v>103</v>
      </c>
      <c r="Z19" s="67" t="n">
        <v>78</v>
      </c>
      <c r="AA19" s="67" t="n">
        <v>76</v>
      </c>
      <c r="AB19" s="67" t="n">
        <v>76</v>
      </c>
      <c r="AC19" s="67" t="n">
        <v>78</v>
      </c>
      <c r="AD19" s="67" t="n">
        <v>67</v>
      </c>
      <c r="AE19" s="67" t="n">
        <v>81</v>
      </c>
      <c r="AF19" s="67" t="n">
        <v>78</v>
      </c>
      <c r="AG19" s="67" t="n">
        <v>74</v>
      </c>
      <c r="AH19" s="67" t="n">
        <v>69</v>
      </c>
      <c r="AI19" s="67" t="n">
        <v>69</v>
      </c>
      <c r="AJ19" s="67" t="n">
        <v>69</v>
      </c>
      <c r="AK19" s="67" t="n">
        <v>68</v>
      </c>
      <c r="AL19" s="67" t="n">
        <v>66</v>
      </c>
      <c r="AM19" s="67" t="n">
        <v>64</v>
      </c>
      <c r="AN19" s="67" t="n">
        <v>64</v>
      </c>
      <c r="AO19" s="67" t="n">
        <v>63</v>
      </c>
    </row>
    <row r="20">
      <c r="A20" s="66" t="inlineStr">
        <is>
          <t>매입채무 회전일수</t>
        </is>
      </c>
      <c r="B20" s="67" t="n"/>
      <c r="C20" s="67" t="n"/>
      <c r="D20" s="67" t="n"/>
      <c r="E20" s="67" t="n"/>
      <c r="F20" s="67" t="n">
        <v>32</v>
      </c>
      <c r="G20" s="67" t="n">
        <v>45</v>
      </c>
      <c r="H20" s="67" t="n">
        <v>39</v>
      </c>
      <c r="I20" s="67" t="n">
        <v>38</v>
      </c>
      <c r="J20" s="67" t="n">
        <v>35</v>
      </c>
      <c r="K20" s="67" t="n">
        <v>46</v>
      </c>
      <c r="L20" s="67" t="n">
        <v>41</v>
      </c>
      <c r="M20" s="67" t="n">
        <v>40</v>
      </c>
      <c r="N20" s="67" t="n">
        <v>36</v>
      </c>
      <c r="O20" s="67" t="n">
        <v>39</v>
      </c>
      <c r="P20" s="67" t="n">
        <v>41</v>
      </c>
      <c r="Q20" s="67" t="n">
        <v>41</v>
      </c>
      <c r="R20" s="67" t="n">
        <v>34</v>
      </c>
      <c r="S20" s="67" t="n">
        <v>40</v>
      </c>
      <c r="T20" s="67" t="n">
        <v>40</v>
      </c>
      <c r="U20" s="67" t="n">
        <v>39</v>
      </c>
      <c r="V20" s="67" t="n">
        <v>37</v>
      </c>
      <c r="W20" s="67" t="n">
        <v>40</v>
      </c>
      <c r="X20" s="67" t="n">
        <v>36</v>
      </c>
      <c r="Y20" s="67" t="n">
        <v>40</v>
      </c>
      <c r="Z20" s="67" t="n">
        <v>31</v>
      </c>
      <c r="AA20" s="67" t="n">
        <v>34</v>
      </c>
      <c r="AB20" s="67" t="n">
        <v>31</v>
      </c>
      <c r="AC20" s="67" t="n">
        <v>35</v>
      </c>
      <c r="AD20" s="67" t="n">
        <v>26</v>
      </c>
      <c r="AE20" s="67" t="n">
        <v>36</v>
      </c>
      <c r="AF20" s="67" t="n">
        <v>35</v>
      </c>
      <c r="AG20" s="67" t="n">
        <v>37</v>
      </c>
      <c r="AH20" s="67" t="n">
        <v>27</v>
      </c>
      <c r="AI20" s="67" t="n">
        <v>33</v>
      </c>
      <c r="AJ20" s="67" t="n">
        <v>34</v>
      </c>
      <c r="AK20" s="67" t="n">
        <v>30</v>
      </c>
      <c r="AL20" s="67" t="n">
        <v>27</v>
      </c>
      <c r="AM20" s="67" t="n">
        <v>38</v>
      </c>
      <c r="AN20" s="67" t="n">
        <v>34</v>
      </c>
      <c r="AO20" s="67" t="n">
        <v>34</v>
      </c>
    </row>
    <row r="21">
      <c r="A21" s="66" t="inlineStr">
        <is>
          <t>현금전환주기(CCC)</t>
        </is>
      </c>
      <c r="B21" s="67" t="n"/>
      <c r="C21" s="67" t="n"/>
      <c r="D21" s="67" t="n"/>
      <c r="E21" s="67" t="n"/>
      <c r="F21" s="67" t="n">
        <v>154</v>
      </c>
      <c r="G21" s="67" t="n">
        <v>165</v>
      </c>
      <c r="H21" s="67" t="n">
        <v>154</v>
      </c>
      <c r="I21" s="67" t="n">
        <v>160</v>
      </c>
      <c r="J21" s="67" t="n">
        <v>153</v>
      </c>
      <c r="K21" s="67" t="n">
        <v>176</v>
      </c>
      <c r="L21" s="67" t="n">
        <v>170</v>
      </c>
      <c r="M21" s="67" t="n">
        <v>164</v>
      </c>
      <c r="N21" s="67" t="n">
        <v>162</v>
      </c>
      <c r="O21" s="67" t="n">
        <v>173</v>
      </c>
      <c r="P21" s="67" t="n">
        <v>166</v>
      </c>
      <c r="Q21" s="67" t="n">
        <v>171</v>
      </c>
      <c r="R21" s="67" t="n">
        <v>165</v>
      </c>
      <c r="S21" s="67" t="n">
        <v>166</v>
      </c>
      <c r="T21" s="67" t="n">
        <v>159</v>
      </c>
      <c r="U21" s="67" t="n">
        <v>162</v>
      </c>
      <c r="V21" s="67" t="n">
        <v>51</v>
      </c>
      <c r="W21" s="67" t="n">
        <v>174</v>
      </c>
      <c r="X21" s="67" t="n">
        <v>177</v>
      </c>
      <c r="Y21" s="67" t="n">
        <v>183</v>
      </c>
      <c r="Z21" s="67" t="n">
        <v>172</v>
      </c>
      <c r="AA21" s="67" t="n">
        <v>171</v>
      </c>
      <c r="AB21" s="67" t="n">
        <v>165</v>
      </c>
      <c r="AC21" s="67" t="n">
        <v>162</v>
      </c>
      <c r="AD21" s="67" t="n">
        <v>139</v>
      </c>
      <c r="AE21" s="67" t="n">
        <v>178</v>
      </c>
      <c r="AF21" s="67" t="n">
        <v>179</v>
      </c>
      <c r="AG21" s="67" t="n">
        <v>162</v>
      </c>
      <c r="AH21" s="67" t="n">
        <v>155</v>
      </c>
      <c r="AI21" s="67" t="n">
        <v>174</v>
      </c>
      <c r="AJ21" s="67" t="n">
        <v>166</v>
      </c>
      <c r="AK21" s="67" t="n">
        <v>159</v>
      </c>
      <c r="AL21" s="67" t="n">
        <v>153</v>
      </c>
      <c r="AM21" s="67" t="n">
        <v>168</v>
      </c>
      <c r="AN21" s="67" t="n">
        <v>169</v>
      </c>
      <c r="AO21" s="67" t="n">
        <v>163</v>
      </c>
    </row>
    <row r="22">
      <c r="A22" s="66" t="inlineStr">
        <is>
          <t>총 차입금</t>
        </is>
      </c>
      <c r="B22" s="67" t="n"/>
      <c r="C22" s="67" t="n"/>
      <c r="D22" s="67" t="n"/>
      <c r="E22" s="67" t="n"/>
      <c r="F22" s="67" t="n">
        <v>114</v>
      </c>
      <c r="G22" s="67" t="n">
        <v>111.4</v>
      </c>
      <c r="H22" s="67" t="n">
        <v>98.8</v>
      </c>
      <c r="I22" s="67" t="n">
        <v>99.80000000000001</v>
      </c>
      <c r="J22" s="67" t="n">
        <v>103.7</v>
      </c>
      <c r="K22" s="67" t="n">
        <v>119.6</v>
      </c>
      <c r="L22" s="67" t="n">
        <v>111.3</v>
      </c>
      <c r="M22" s="67" t="n">
        <v>112.6</v>
      </c>
      <c r="N22" s="67" t="n">
        <v>115.4</v>
      </c>
      <c r="O22" s="67" t="n">
        <v>106.1</v>
      </c>
      <c r="P22" s="67" t="n">
        <v>111.3</v>
      </c>
      <c r="Q22" s="67" t="n">
        <v>112.8</v>
      </c>
      <c r="R22" s="67" t="n">
        <v>119.6</v>
      </c>
      <c r="S22" s="67" t="n">
        <v>105</v>
      </c>
      <c r="T22" s="67" t="n">
        <v>98.59999999999999</v>
      </c>
      <c r="U22" s="67" t="n">
        <v>95.7</v>
      </c>
      <c r="V22" s="67" t="n">
        <v>109.4</v>
      </c>
      <c r="W22" s="67" t="n">
        <v>112.3</v>
      </c>
      <c r="X22" s="67" t="n">
        <v>119.1</v>
      </c>
      <c r="Y22" s="67" t="n">
        <v>114.7</v>
      </c>
      <c r="Z22" s="67" t="n">
        <v>122.1</v>
      </c>
      <c r="AA22" s="67" t="n">
        <v>111</v>
      </c>
      <c r="AB22" s="67" t="n">
        <v>106</v>
      </c>
      <c r="AC22" s="67" t="n">
        <v>97.59999999999999</v>
      </c>
      <c r="AD22" s="67" t="n">
        <v>69.09999999999999</v>
      </c>
      <c r="AE22" s="67" t="n">
        <v>63.40000000000001</v>
      </c>
      <c r="AF22" s="67" t="n">
        <v>62.1</v>
      </c>
      <c r="AG22" s="67" t="n">
        <v>61</v>
      </c>
      <c r="AH22" s="67" t="n">
        <v>61.3</v>
      </c>
      <c r="AI22" s="67" t="n">
        <v>64.3</v>
      </c>
      <c r="AJ22" s="67" t="n">
        <v>65.40000000000001</v>
      </c>
      <c r="AK22" s="67" t="n">
        <v>66.8</v>
      </c>
      <c r="AL22" s="67" t="n">
        <v>62.2</v>
      </c>
      <c r="AM22" s="67" t="n">
        <v>55.2</v>
      </c>
      <c r="AN22" s="67" t="n">
        <v>66.09999999999999</v>
      </c>
      <c r="AO22" s="67" t="n">
        <v>62</v>
      </c>
    </row>
    <row r="23">
      <c r="A23" s="66" t="inlineStr">
        <is>
          <t>현금</t>
        </is>
      </c>
      <c r="B23" s="67" t="n"/>
      <c r="C23" s="67" t="n"/>
      <c r="D23" s="67" t="n"/>
      <c r="E23" s="67" t="n"/>
      <c r="F23" s="67" t="n">
        <v>223.1</v>
      </c>
      <c r="G23" s="67" t="n">
        <v>220</v>
      </c>
      <c r="H23" s="67" t="n">
        <v>238.9</v>
      </c>
      <c r="I23" s="67" t="n">
        <v>228.1</v>
      </c>
      <c r="J23" s="67" t="n">
        <v>237.6</v>
      </c>
      <c r="K23" s="67" t="n">
        <v>224.5</v>
      </c>
      <c r="L23" s="67" t="n">
        <v>208.2</v>
      </c>
      <c r="M23" s="67" t="n">
        <v>211.9</v>
      </c>
      <c r="N23" s="67" t="n">
        <v>206.6</v>
      </c>
      <c r="O23" s="67" t="n">
        <v>212.2</v>
      </c>
      <c r="P23" s="67" t="n">
        <v>212.5</v>
      </c>
      <c r="Q23" s="67" t="n">
        <v>213</v>
      </c>
      <c r="R23" s="67" t="n">
        <v>219.8</v>
      </c>
      <c r="S23" s="67" t="n">
        <v>159</v>
      </c>
      <c r="T23" s="67" t="n">
        <v>250.3</v>
      </c>
      <c r="U23" s="67" t="n">
        <v>241.6</v>
      </c>
      <c r="V23" s="67" t="n">
        <v>235.8</v>
      </c>
      <c r="W23" s="67" t="n">
        <v>191.1</v>
      </c>
      <c r="X23" s="67" t="n">
        <v>207.9</v>
      </c>
      <c r="Y23" s="67" t="n">
        <v>198.1</v>
      </c>
      <c r="Z23" s="67" t="n">
        <v>181.6</v>
      </c>
      <c r="AA23" s="67" t="n">
        <v>173.3</v>
      </c>
      <c r="AB23" s="67" t="n">
        <v>183.6</v>
      </c>
      <c r="AC23" s="67" t="n">
        <v>155</v>
      </c>
      <c r="AD23" s="67" t="n">
        <v>126.8</v>
      </c>
      <c r="AE23" s="67" t="n">
        <v>120.9</v>
      </c>
      <c r="AF23" s="67" t="n">
        <v>123.8</v>
      </c>
      <c r="AG23" s="67" t="n">
        <v>116.5</v>
      </c>
      <c r="AH23" s="67" t="n">
        <v>114.8</v>
      </c>
      <c r="AI23" s="67" t="n">
        <v>121.1</v>
      </c>
      <c r="AJ23" s="67" t="n">
        <v>125.5</v>
      </c>
      <c r="AK23" s="67" t="n">
        <v>97.40000000000001</v>
      </c>
      <c r="AL23" s="67" t="n">
        <v>90.2</v>
      </c>
      <c r="AM23" s="67" t="n">
        <v>88.40000000000001</v>
      </c>
      <c r="AN23" s="67" t="n">
        <v>86.2</v>
      </c>
      <c r="AO23" s="67" t="n">
        <v>85.59999999999999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2026-10-30T09:32:12Z</dcterms:created>
  <dcterms:modified xmlns:dcterms="http://purl.org/dc/terms/" xmlns:xsi="http://www.w3.org/2001/XMLSchema-instance" xsi:type="dcterms:W3CDTF">2026-10-30T09:33:25Z</dcterms:modified>
</cp:coreProperties>
</file>